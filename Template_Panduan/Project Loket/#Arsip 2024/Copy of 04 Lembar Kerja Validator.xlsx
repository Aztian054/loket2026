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Warkah" sheetId="1" r:id="rId5"/>
    <sheet state="visible" name="Validator" sheetId="2" r:id="rId6"/>
  </sheets>
  <definedNames>
    <definedName hidden="1" localSheetId="1" name="_xlnm._FilterDatabase">Validator!$B$6:$T$2006</definedName>
  </definedNames>
  <calcPr/>
</workbook>
</file>

<file path=xl/sharedStrings.xml><?xml version="1.0" encoding="utf-8"?>
<sst xmlns="http://schemas.openxmlformats.org/spreadsheetml/2006/main" count="6942" uniqueCount="1387">
  <si>
    <t>https://docs.google.com/spreadsheets/d/1clLcZQhEZ8I05EBC8Bm1CXuq4IJwZWxjkNZgNNoCTpg/edit?usp=sharing</t>
  </si>
  <si>
    <t>Nomor Tiket</t>
  </si>
  <si>
    <t>Nomor Sertipikat</t>
  </si>
  <si>
    <t>Nama Petugas Warkah</t>
  </si>
  <si>
    <t>Status Sertipikat</t>
  </si>
  <si>
    <t>Tanggal diserahkan kepada Validator</t>
  </si>
  <si>
    <t>Jenis Permohonan</t>
  </si>
  <si>
    <t>Count</t>
  </si>
  <si>
    <t xml:space="preserve"> </t>
  </si>
  <si>
    <t>Kantor Pertanahan Kota Bandar Lampung</t>
  </si>
  <si>
    <t>To :</t>
  </si>
  <si>
    <t>Teman teman validator</t>
  </si>
  <si>
    <t>Lembar Kerja Validator</t>
  </si>
  <si>
    <t>Jika ketika melakukan input nomor hak, kolom C berubah menjadi merah, artinya nomor hak tersebut sudah pernah diinput, maka mohon Ctrl + F untuk melakukan input data Validasi BT SU</t>
  </si>
  <si>
    <t>No</t>
  </si>
  <si>
    <t>Tanggal Diserhkan BT SU</t>
  </si>
  <si>
    <t>Petugas Warkah</t>
  </si>
  <si>
    <t>Nama Petugas BT</t>
  </si>
  <si>
    <t>Status BT</t>
  </si>
  <si>
    <t>Tanggal Selesai Validasi BT</t>
  </si>
  <si>
    <t>Nama Petugas Validator SU</t>
  </si>
  <si>
    <t>Status Validasi SU</t>
  </si>
  <si>
    <t>Tanggal Selesai Validasi SU</t>
  </si>
  <si>
    <t>Kesimupulan Validator</t>
  </si>
  <si>
    <t>Tangal BT SU Selesai</t>
  </si>
  <si>
    <t>Ceklis</t>
  </si>
  <si>
    <t>Diberikan kepada Petugas Alih Media</t>
  </si>
  <si>
    <t>Ceklis kembali ke Warkah Sementara</t>
  </si>
  <si>
    <t>DIberikan Kepada Warkah Sementara</t>
  </si>
  <si>
    <t>Keterangan Validator</t>
  </si>
  <si>
    <t>M. 6977/ TANJUNG SENANG</t>
  </si>
  <si>
    <t>Nadian (BT)</t>
  </si>
  <si>
    <t>SELESAI</t>
  </si>
  <si>
    <t>Aprill (SU)</t>
  </si>
  <si>
    <t>M.16678/SUKABUMI</t>
  </si>
  <si>
    <t>B. 613/ SUMUR PUTRI</t>
  </si>
  <si>
    <t>HM 17565/SUKARAME I</t>
  </si>
  <si>
    <t>Afriza (BT)</t>
  </si>
  <si>
    <t>M.1088/NEGERI OLOK GADING-SEKARANG;B.1201/NEGERI OLOK GADING-DAHULU</t>
  </si>
  <si>
    <t>M.988/NEGERI OLOK GADING-SEKARANG;B.1050/NEGERI OLOK GADING-DAHULU</t>
  </si>
  <si>
    <t>B.895/BERINGIN JAYA</t>
  </si>
  <si>
    <t>M.11980/JAGABAYA II</t>
  </si>
  <si>
    <t>HM 2144/WAY KANDIS</t>
  </si>
  <si>
    <t>/</t>
  </si>
  <si>
    <t>M.2617/WAY KANDIS</t>
  </si>
  <si>
    <t>M.9974/TANJUNG BARU</t>
  </si>
  <si>
    <t>M. 133/ SUKARAME BARU- SEKARANG; B. 144/ SUKARAME BARU-DAHULU; B. 4605/SUKARAME I-DAHULU</t>
  </si>
  <si>
    <t>M. 1952/ Langkapura</t>
  </si>
  <si>
    <t>M.250/LANGKAPURA BARU</t>
  </si>
  <si>
    <t>M. 1931/ Campang Jaya</t>
  </si>
  <si>
    <t>M. 2283/ GEDONG AIR</t>
  </si>
  <si>
    <t>B.561/NUSANTARA PERMAI;B.329/CAMPANG RAYA-DAHULU</t>
  </si>
  <si>
    <t>M. 10315/ Rajabasa</t>
  </si>
  <si>
    <t>minta di plot ulang tidak sesuai dengan di warkah di kkp</t>
  </si>
  <si>
    <t>M.2094/CAMPANG JAYA</t>
  </si>
  <si>
    <t>M.3326/LANGKAPURA</t>
  </si>
  <si>
    <t>M.676/SAWAH BREBES</t>
  </si>
  <si>
    <t>M. 3157/ LABUHAN DALAM</t>
  </si>
  <si>
    <t>M. 2400/ NOG;  M. 811/ Bakung; M. 131/NOG:</t>
  </si>
  <si>
    <t>M.2064/GUNUNG TERANG</t>
  </si>
  <si>
    <t>M.9137/GEDONG MENENG</t>
  </si>
  <si>
    <t>HM 1812/TANJUNG SENANG</t>
  </si>
  <si>
    <t>M.1540/GUNUNG TERANG;B.17/GU TERANG-DAHULU</t>
  </si>
  <si>
    <t>HM 1527/RAJABASA NUNYAI (SUPER PRIORITAS)</t>
  </si>
  <si>
    <t>M. 41/ Kota Sepang</t>
  </si>
  <si>
    <t>Bu Eva (SU)</t>
  </si>
  <si>
    <t>M. 3901/ Tanjung Senang</t>
  </si>
  <si>
    <t>HM 4010/TANJUNG SENANG</t>
  </si>
  <si>
    <t>M. 2589/ Kota Baru</t>
  </si>
  <si>
    <t>M. 1311/ Beringin Jaya; dahulu B. 2093/ Beringin Raya</t>
  </si>
  <si>
    <t>M.550/KORPRI RAYA-SEKARANG;M.10135/SUKARAME U-DAHULU</t>
  </si>
  <si>
    <t>HM 401/KALI BALAU KENCANA</t>
  </si>
  <si>
    <t>M. 2418/ KEDAUNG</t>
  </si>
  <si>
    <t>M. 2424/ KEDAUNG</t>
  </si>
  <si>
    <t>M. 13602/ SEGALA MIDER</t>
  </si>
  <si>
    <t>M. 509/ LABUHAN RATU RAYA</t>
  </si>
  <si>
    <t>B. 176/ LABUHAN RATU RAYA</t>
  </si>
  <si>
    <t>B.238/BERINGIN RAYA;B.238/BERINGIN JAYA-DAHULU</t>
  </si>
  <si>
    <t>HM 1763/RAJABASA NUNYAI</t>
  </si>
  <si>
    <t>M.3814/SUKADANAHAM</t>
  </si>
  <si>
    <t>M.13978/TANJUNG BARU</t>
  </si>
  <si>
    <t>M. 2732/ KOTA BARU</t>
  </si>
  <si>
    <t>M. 11294/ Labuhan Ratu</t>
  </si>
  <si>
    <t>HM 479/HARAPAN JAYA (DAHULU)-HM 49/KORPRI JAYA (SEKARANG)</t>
  </si>
  <si>
    <t>M. 288/ Kaliawi</t>
  </si>
  <si>
    <t>PERBAIKAN</t>
  </si>
  <si>
    <t>M. 16119/ Sukabumi</t>
  </si>
  <si>
    <t xml:space="preserve">B.522/BERINGIN JAYA </t>
  </si>
  <si>
    <t>M. 1402/ Tanjung Raya</t>
  </si>
  <si>
    <t>M. 2800/ Sumber Rejo</t>
  </si>
  <si>
    <t>B. 592/ SUMBER AGUNG</t>
  </si>
  <si>
    <t>M. 1186/ Enggal</t>
  </si>
  <si>
    <t>M. 579/ KUPANG KOTA</t>
  </si>
  <si>
    <t>B. 598/ SUMBER AGUNG</t>
  </si>
  <si>
    <t>M. 1535/ KEDAUNG</t>
  </si>
  <si>
    <t>HM 3925/BERINGIN RAYA (SEBELUM NYA) HM 1609/SS (SEKARANG)</t>
  </si>
  <si>
    <t>M. 5621/ Langkapura</t>
  </si>
  <si>
    <t>M.1095/NOG</t>
  </si>
  <si>
    <t>M. 590/ Pematang Wangi; 382/ Tanjung Senang dahulu</t>
  </si>
  <si>
    <t>PLOTING</t>
  </si>
  <si>
    <t>M.48/KALI BALAU KENCANA-SEKARANG;B.46/KALI BALAU KENCANA -DAHULU</t>
  </si>
  <si>
    <t>M. 128/ Kemiling Raya</t>
  </si>
  <si>
    <t>M. 111/ KEMILING RAYA</t>
  </si>
  <si>
    <t>M.13036/SUKABUMI</t>
  </si>
  <si>
    <t>HGB 416/WAY KANDIS</t>
  </si>
  <si>
    <t>M. 2465/ Pinang jaya</t>
  </si>
  <si>
    <t>M. 2523/ Pinang Jaya</t>
  </si>
  <si>
    <t>B.834/PWK;B.763/WAY KANDIS-DAHULU</t>
  </si>
  <si>
    <t>M. 651/ Durian Payung</t>
  </si>
  <si>
    <t>M. 511/ PEMATANG WANGI</t>
  </si>
  <si>
    <t>M. 2463/ Pinang Jaya</t>
  </si>
  <si>
    <t>harusnya 2463 atau salah ketik?</t>
  </si>
  <si>
    <t>M.779/NEGERI OLOK GADING-SEKARANG;B.579/NEGERI OLOK GADING-DAHULU</t>
  </si>
  <si>
    <t>M. 14030/ Tanjung Baru; M. 13709/ Kedamaian-dahulu</t>
  </si>
  <si>
    <t>M. 1812/ Rajabasa Nunyai-</t>
  </si>
  <si>
    <t>M.2892/SUKARAME BARU-SEKARANG;B.3671/SUKARAME I-DAHULU</t>
  </si>
  <si>
    <t>M.5070/RAJABASA JAYA</t>
  </si>
  <si>
    <t>M. 3996/ Rajabasa Jaya</t>
  </si>
  <si>
    <t>M. 370/ Korpri Raya-sekarang; M. 9602/ Sukarame I-dahulu</t>
  </si>
  <si>
    <t>M.1552/PESAWAHAN</t>
  </si>
  <si>
    <t>M. 1371/ Pengajaran</t>
  </si>
  <si>
    <t>B. 653; 654/ Pesawahan dan SHT 1213/2008 dan SHT 3013/2006</t>
  </si>
  <si>
    <t>HM 1375/TANJUNG SENENG</t>
  </si>
  <si>
    <t>M. 11796/ Sukabumi; B. 3316/ Sukabumi-dahulu</t>
  </si>
  <si>
    <t>HM 16138/SUKARAME I</t>
  </si>
  <si>
    <t>masi proses perbaikan sekitar sudah di fotokopi</t>
  </si>
  <si>
    <t>M.9381/SURABAYA</t>
  </si>
  <si>
    <t>M. 377/ ENGGAL</t>
  </si>
  <si>
    <t>M. 3265/ Gedong Air</t>
  </si>
  <si>
    <t>M. 6466/ Way kandis</t>
  </si>
  <si>
    <t>B. 649/ Sumber Agung</t>
  </si>
  <si>
    <t>M. 4522/ Gunung Terang</t>
  </si>
  <si>
    <t>perbaikan sekitar sudah di fc su nya</t>
  </si>
  <si>
    <t>M. 2924/ Sukarame II</t>
  </si>
  <si>
    <t>M. 2933/ Sukarame II</t>
  </si>
  <si>
    <t>HM 296/RAJABASA RAYA</t>
  </si>
  <si>
    <t>M. 227/ Sukarame Baru- sekarang; M. 13036/ Sukarame I- dahulu</t>
  </si>
  <si>
    <t>B. 538/ SUKARAME BARU</t>
  </si>
  <si>
    <t>M.13833/RAJABASA</t>
  </si>
  <si>
    <t>M. 1401/ K B K SHT 3354/2013 dan 590/2017</t>
  </si>
  <si>
    <t>M.598/GUNUNG TERANG</t>
  </si>
  <si>
    <t>M.1297/GUNUNG TERANG</t>
  </si>
  <si>
    <t>M.9733/SURABAYA-SEKARANG;B.249/SURABAYA-DAHULU</t>
  </si>
  <si>
    <t>M.2473/RAJABASA JAYA</t>
  </si>
  <si>
    <t>HM 180/PINANG JAYA</t>
  </si>
  <si>
    <t>HM 2414/KUPANG TEBA</t>
  </si>
  <si>
    <t>M. 467/ Sumur Putri</t>
  </si>
  <si>
    <t>M.2704/SUKARAME BARU-SEKARANG;B.986/SUKARAME -DAHULU</t>
  </si>
  <si>
    <t>M. 2644/ Sumber Rejo</t>
  </si>
  <si>
    <t>HM 101/KEMILING RAYA</t>
  </si>
  <si>
    <t>HGB 3764/BERINGIN RAYA</t>
  </si>
  <si>
    <t>B.569/NUSANTARA PERMAI-SEKARANG;B.336/CAMPANG RAYA-DAHULU</t>
  </si>
  <si>
    <t>M. 240/ Kemiling Permai</t>
  </si>
  <si>
    <t>M. 2661/ Sukarame Baru</t>
  </si>
  <si>
    <t>B. 696/ Peswahan dan SHT 3014/2006</t>
  </si>
  <si>
    <t>B.530/CAMPANG JAYA</t>
  </si>
  <si>
    <t>HM 15995/SUKARAME I</t>
  </si>
  <si>
    <t>HM 2993/CAMPANG RAYA-SEKARANG;HGB 2402/CAMPANG RAYA-DAHULU</t>
  </si>
  <si>
    <t>M. 11632/ Sukarame</t>
  </si>
  <si>
    <t>M. 37/ KUPANG TEBA</t>
  </si>
  <si>
    <t>M. 2888/ Sukarame Baru- sekarang; M. 17475/ Sukarame I</t>
  </si>
  <si>
    <t>M. 4393/ Gunung Terang</t>
  </si>
  <si>
    <t>B. 209/ Campang Jaya</t>
  </si>
  <si>
    <t>M. 2226/ kedaung</t>
  </si>
  <si>
    <t>M. 2263/ Kedaung</t>
  </si>
  <si>
    <t>M. 4625/ Sukadana Ham</t>
  </si>
  <si>
    <t>B. 606/ Sumur Putri</t>
  </si>
  <si>
    <t>M. 16640/ Sukabumi</t>
  </si>
  <si>
    <t>M. 1992/ L R R</t>
  </si>
  <si>
    <t>M. 1504/ Batu Putuk</t>
  </si>
  <si>
    <t>B.97/BILABONG JAYA;B.28/SUSUNAN BARU-DAHULU</t>
  </si>
  <si>
    <t>M. 1991/ L R R</t>
  </si>
  <si>
    <t>M. 543/ Sumur Putri</t>
  </si>
  <si>
    <t>M. 2152/ Sepang Jaya</t>
  </si>
  <si>
    <t>B. 1206/ Kemiling Permai</t>
  </si>
  <si>
    <t>perbaikan sekitar sudah di fc</t>
  </si>
  <si>
    <t>M.1260/SUKAJAWA</t>
  </si>
  <si>
    <t>M. 525/ Sumber Agung</t>
  </si>
  <si>
    <t>M. 16685/ SUKABUMI</t>
  </si>
  <si>
    <t>M.2225/SUKARAME BARU</t>
  </si>
  <si>
    <t>M.2226/SUKARAME BARU</t>
  </si>
  <si>
    <t>M. 8119/ Sukabumi</t>
  </si>
  <si>
    <t>M. 10719/ Segala Mider</t>
  </si>
  <si>
    <t>M.1326/KOTA BARU</t>
  </si>
  <si>
    <t>M. 1046/ Kupang Teba</t>
  </si>
  <si>
    <t>M.1107/PEMATANG WANGI-SEKARANG;M.792/TANJUNG SENENG-DAHULU</t>
  </si>
  <si>
    <t>M. 182/ Way Kandis</t>
  </si>
  <si>
    <t>SELESAI (VIA PERMOHONAN)</t>
  </si>
  <si>
    <t>M. 1217/ Campang Jaya</t>
  </si>
  <si>
    <t>M. 1305/ KBK; B. 185/KBK-dahulu</t>
  </si>
  <si>
    <t>M. 3797/ Keteguhan</t>
  </si>
  <si>
    <t>B. 164/ Rawa Laut</t>
  </si>
  <si>
    <t>M. 1186/ Teluk betung</t>
  </si>
  <si>
    <t>M. 1636/ Bumi Kedamaian- Sekarang; M. 7926/ Kedamaian- dahulu</t>
  </si>
  <si>
    <t>M. 395/ Kebon Jeruk</t>
  </si>
  <si>
    <t>M.3337/SUKADANA HAM</t>
  </si>
  <si>
    <t>M.3338/SUKADANA HAM</t>
  </si>
  <si>
    <t>M. 6306/ Way Kandis</t>
  </si>
  <si>
    <t>M. 2446/ Way Kandis</t>
  </si>
  <si>
    <t>M. 68/ Perumnas Way Kandis</t>
  </si>
  <si>
    <t>M. 2174/ Way Kandis</t>
  </si>
  <si>
    <t>M.178/PERWATA</t>
  </si>
  <si>
    <t>M.1520/BATU PUTUK</t>
  </si>
  <si>
    <t>M. 193/ Palapa</t>
  </si>
  <si>
    <t>M. 2232/ KUPANG TEBA</t>
  </si>
  <si>
    <t>M. 1556/ Bumi Waras</t>
  </si>
  <si>
    <t>HM 3875/LANGKAPURA</t>
  </si>
  <si>
    <t>M. 2222/ Way Kandis; SHT 1348/ 2018</t>
  </si>
  <si>
    <t>HGB 143/KAMPUNG BARU</t>
  </si>
  <si>
    <t>M.26/LANGKAPURA BARU-SEKARANG;B.113/LANGKAPURA-DAHULU</t>
  </si>
  <si>
    <t>M.12607/RAJABASA;B.1164/RAJABASA-DAHULU</t>
  </si>
  <si>
    <t>M. 3903/ Way Kandis</t>
  </si>
  <si>
    <t>M. 11085/ Kedamaian; SHT 4351/2015</t>
  </si>
  <si>
    <t>M. 2278/ Rajabasa Jaya</t>
  </si>
  <si>
    <t>HM 1642/KOTA KARANG</t>
  </si>
  <si>
    <t>M. 1666/ Way Halim Permai; SHT 1552/2016</t>
  </si>
  <si>
    <t>B. 2082/ Sukabumi</t>
  </si>
  <si>
    <t>M.1878/KEDAUNG</t>
  </si>
  <si>
    <t>B.1044/KEMILING PERMAI</t>
  </si>
  <si>
    <t>M.4449/SUKADANAHAM</t>
  </si>
  <si>
    <t>M. 5455/ Tanjung Seneng</t>
  </si>
  <si>
    <t>M. 351/ Sumber Rejo</t>
  </si>
  <si>
    <t>B.578/KEMILING PERMAI</t>
  </si>
  <si>
    <t>HGB.4629/BERINGIN RAYA</t>
  </si>
  <si>
    <t xml:space="preserve">M.2138/NEGERI OLOK GADING </t>
  </si>
  <si>
    <t>M. 1470/ Sukamaju</t>
  </si>
  <si>
    <t>M. 12665/ Kali Balau Kencana-sekarang; M. 12665/ Tanjung Baru- dahulu</t>
  </si>
  <si>
    <t>M.671/ENGGAL</t>
  </si>
  <si>
    <t>M. 2271/ Rajabasa Jaya</t>
  </si>
  <si>
    <t xml:space="preserve">M. 2955/ Sukarame Baru; M. 16806/ Sukarame-dahulu; B. 2357/ Sukarame-dahulu; </t>
  </si>
  <si>
    <t>M.1116/LABUHAN RATU RAYA</t>
  </si>
  <si>
    <t>B. 645/ Jagabaya III; 4216/Sukarame-dahulu</t>
  </si>
  <si>
    <t>HM 1366/KALIAWI</t>
  </si>
  <si>
    <t>M. 217/ Bilabong Jaya-sekarang; M.880/ susunan Baru-dahulu</t>
  </si>
  <si>
    <t>M. 14789/ Sukarame; B. 2781/ Sukarame-dahulu; SHT 2097/2010 dan SHT 1880/2008</t>
  </si>
  <si>
    <t>M.16877/SUKARAME I</t>
  </si>
  <si>
    <t>M. 1832/ Sumberrejo sejahtera-sekarang; M.1090/ Sumberrejo Dahulu</t>
  </si>
  <si>
    <t>M. 1651/ Sukarame II</t>
  </si>
  <si>
    <t>M.4791/BERINGIN RAYA-SEKARANG;B.1135/SUMBERREJO-DAHULU</t>
  </si>
  <si>
    <t>M. 923/ Gunung Sulah</t>
  </si>
  <si>
    <t>M. 224/ Kampung Baru Raya</t>
  </si>
  <si>
    <t>M. 690/ Sumur Putri dan SHT 4003/ 2013</t>
  </si>
  <si>
    <t>M.2065/GUNUNG TERANG</t>
  </si>
  <si>
    <t>M. 6618/TANJUNG SENENG</t>
  </si>
  <si>
    <t>B.311/PEMATANG WANGI;B.546/TJ SENANG-DAHULU</t>
  </si>
  <si>
    <t>M. 1120/ Sukajawa</t>
  </si>
  <si>
    <t>M. 16581/ Sukabumi</t>
  </si>
  <si>
    <t>M. 561/ Tanjung Senang</t>
  </si>
  <si>
    <t>B.627/KEMILING PERMAI</t>
  </si>
  <si>
    <t>B.657/KEMILING PERMAI</t>
  </si>
  <si>
    <t>M. 2583/ Rajabasa Jaya</t>
  </si>
  <si>
    <t xml:space="preserve">M.6404/WAY KANDIS </t>
  </si>
  <si>
    <t>M. 308/ Kupang Kota</t>
  </si>
  <si>
    <t>HMASRS/ 178/ I/MASRS/Tanjungkarang</t>
  </si>
  <si>
    <t>M. 9800/ Kedamaian; SHT 2878/2017 dan SHT 1059/20211</t>
  </si>
  <si>
    <t>M. 379/ Kali Balau Kencana</t>
  </si>
  <si>
    <t>M. 1498/ Kali Balau Kencana-sekarang; M. 11808/ Tanjung Baru-dahulu</t>
  </si>
  <si>
    <t>M. 369/ Kali Balau Kencana</t>
  </si>
  <si>
    <t>M. 3219/ Way Kandis</t>
  </si>
  <si>
    <t>HMASRS/64/I/MASRS/Tanjung karang</t>
  </si>
  <si>
    <t>M.3314/KOTA KARANG</t>
  </si>
  <si>
    <t>M.4510/WAY KANDIS</t>
  </si>
  <si>
    <t xml:space="preserve">M.4511/WAY KANDIS </t>
  </si>
  <si>
    <t>M. 1824/ Beringin Jaya ; M. 944/ Beringin Raya-dahulu; B. 718/ Beringin Raya-dahulu</t>
  </si>
  <si>
    <t>M. 2394/ Pinang Jaya</t>
  </si>
  <si>
    <t>M. 2528/ Pinang Jaya</t>
  </si>
  <si>
    <t>M. 2543/ Pinang Jaya</t>
  </si>
  <si>
    <t>M.14233/SEGALA MIDER</t>
  </si>
  <si>
    <t>B. 503/ Gunung Sulah</t>
  </si>
  <si>
    <t>M. 18118/ Sukarame</t>
  </si>
  <si>
    <t>M. 3289/ kota baru</t>
  </si>
  <si>
    <t>M. 13663/ Segala Mider</t>
  </si>
  <si>
    <t xml:space="preserve">B.355 DAN B.356/LABUHAN RATU </t>
  </si>
  <si>
    <t>M. 1543/ Kupang Kota</t>
  </si>
  <si>
    <t>M/ 1544/ Kupang Kota</t>
  </si>
  <si>
    <t>HM 12867/TANJUNG BARU</t>
  </si>
  <si>
    <t>M.990/DURIAN PAYUNG</t>
  </si>
  <si>
    <t>M. 13993/ SukarameI, M. 13992/ Sukarame I-sekarang; B. 443/ Way Halim Permai, B. 984/ Way Halim Permai-dahulu</t>
  </si>
  <si>
    <t>HGB 254/CAMPANG RAYA</t>
  </si>
  <si>
    <t>M. 13693/ Korpri Raya; M. 13693/ Sukarame-dahulu</t>
  </si>
  <si>
    <t>M. 596/ Gunung Terang</t>
  </si>
  <si>
    <t>M.1459/KEMILING PERMAI</t>
  </si>
  <si>
    <t>M. 1469/ Sukamaju</t>
  </si>
  <si>
    <t>M. 811/ Way Dadi</t>
  </si>
  <si>
    <t>B.91/GUNUNG TERANG</t>
  </si>
  <si>
    <t>M. 215/ Beringin Raya</t>
  </si>
  <si>
    <t>M.1252/LANGKAPURA BARU</t>
  </si>
  <si>
    <t>B.936/JAGABAYA III-SEKARANG;B.1342/JAGABAYA II-DAHULU</t>
  </si>
  <si>
    <t>M.1593/BUMI KEDAMAIAN-SEKARANG;M.10186/KEDAMAIAN-DAHULU</t>
  </si>
  <si>
    <t>M. 3227/Gunung Terang</t>
  </si>
  <si>
    <t>M. 9417/ Sidodadi</t>
  </si>
  <si>
    <t>M.739/NOG</t>
  </si>
  <si>
    <t>M. 1317/ Kupang Teba</t>
  </si>
  <si>
    <t>M. 45/ Kupang Teba</t>
  </si>
  <si>
    <t>B. 903/ Kemiling Permai</t>
  </si>
  <si>
    <t>K/40/281024/1</t>
  </si>
  <si>
    <t>Berry</t>
  </si>
  <si>
    <t>BN JUAL BELI</t>
  </si>
  <si>
    <t>M. 2051/ L R R; M. 11392/ L R</t>
  </si>
  <si>
    <t>B.605/SUMUR PUTRI</t>
  </si>
  <si>
    <t>M. 1938/ Kupang Kota</t>
  </si>
  <si>
    <t>M. 652/ PINANG JAYA</t>
  </si>
  <si>
    <t>B.1072/CAMPANG JAYA</t>
  </si>
  <si>
    <t>M.2112 SUMBEREJO/KEMILING</t>
  </si>
  <si>
    <t>B.244/LRR;B.28/LR-DAHULU</t>
  </si>
  <si>
    <t>B.161/LRR;B.161/LR-DAHULU</t>
  </si>
  <si>
    <t>M.15567/S I</t>
  </si>
  <si>
    <t>HGB 208/PWK</t>
  </si>
  <si>
    <t>M.1591/RAJABASA NUNYAI-SEKARANG;B.347/RAJABASA NUNYAI-DAHULU</t>
  </si>
  <si>
    <t>M.2877/SUKARAME II</t>
  </si>
  <si>
    <t>M.231/CAMPANG JAYA-SEKARANG;M.231/NUSANTARA PERMAI-DAHULU</t>
  </si>
  <si>
    <t>HGB 3734/BERINGIN RAYA</t>
  </si>
  <si>
    <t>B. 835/ Perumnas Way Kandis; B. 309/ Way Kandis</t>
  </si>
  <si>
    <t>M. 11524/ Kedamaian</t>
  </si>
  <si>
    <t>M.466/WAY TATAAN</t>
  </si>
  <si>
    <t>B. 578/ Negeri Olok Gading</t>
  </si>
  <si>
    <t>M. 12564/ Rajabasa Nunyai; 1137/ Rajabasa Dahulu</t>
  </si>
  <si>
    <t>M. 13267/ Sukabumi</t>
  </si>
  <si>
    <t>M. 666/ Beringin Jaya</t>
  </si>
  <si>
    <t>M. 16698/ Sukabumi</t>
  </si>
  <si>
    <t>M. 1601/ Bumi Kedamaian</t>
  </si>
  <si>
    <t>B. 763/ Sumur Putri</t>
  </si>
  <si>
    <t>M. 2679/ Kota Baru</t>
  </si>
  <si>
    <t>M. 4838/ Tanjung Senang</t>
  </si>
  <si>
    <t>M. 13899/ Rajabasa</t>
  </si>
  <si>
    <t>M. 13651/ Labuhan Ratu; SHT 2739/2019</t>
  </si>
  <si>
    <t>M. 2590/ Beringin Raya - sekarang; B. 2536/ Beringin raya-dahulu</t>
  </si>
  <si>
    <t>M.14139/KEDAMAIAN</t>
  </si>
  <si>
    <t>M. 534/ Sumur Batu</t>
  </si>
  <si>
    <t>M.2281/SU HAM</t>
  </si>
  <si>
    <t>M. 1304/ Sumur Putri</t>
  </si>
  <si>
    <t>M.1586/SUMUR BATU;SHT. 5389/2018</t>
  </si>
  <si>
    <t>M.1397/RAJABASA NUNYAI-SEKARANG;B.346/RAJABASA NUNYAI-DAHULU</t>
  </si>
  <si>
    <t>M. 3413/ Kota Baru</t>
  </si>
  <si>
    <t>HM 208/KUPANG RAYA</t>
  </si>
  <si>
    <t>B.721/SUMUR PUTRI</t>
  </si>
  <si>
    <t>M. 19255/ Sukarame</t>
  </si>
  <si>
    <t>B. 1717/ Jagabaya II; SHT 5850/2013 dan SHT 763/2015</t>
  </si>
  <si>
    <t>B. 1370/ Kemiling Permai; B. 1441/ Su K-dahulu</t>
  </si>
  <si>
    <t>M. 16736/ Sukabumi</t>
  </si>
  <si>
    <t>M. 1360/ Tanjungkarang</t>
  </si>
  <si>
    <t>M. 17942/ Sukarame</t>
  </si>
  <si>
    <t>HM 1869/TANJUNG SENANG</t>
  </si>
  <si>
    <t>M.11542/LABUHAN RATU</t>
  </si>
  <si>
    <t>HM 11867/LABUHAN RATU</t>
  </si>
  <si>
    <t>M.9801/SUKABUMI</t>
  </si>
  <si>
    <t>M.11025/SUKABUMI</t>
  </si>
  <si>
    <t>HM 2070/PWH</t>
  </si>
  <si>
    <t>HM 617/SUKARAJA</t>
  </si>
  <si>
    <t>M. 2009/ Tanjung Senang</t>
  </si>
  <si>
    <t>M. 2314/ NOG; B. 558/ NOG</t>
  </si>
  <si>
    <t>M. 1927/ Labuhan Dalam</t>
  </si>
  <si>
    <t>M.11011/KEDAMAIAN- HT 5445/2014</t>
  </si>
  <si>
    <t>M.217/TJ RAYA</t>
  </si>
  <si>
    <t>M. 18827/ Sukarame</t>
  </si>
  <si>
    <t>M.10426/KAMPUNG BARU</t>
  </si>
  <si>
    <t>M.5568/LANGKAPURA</t>
  </si>
  <si>
    <t>M.422/KUPANG RAYA</t>
  </si>
  <si>
    <t>M. 2390/ Kedaung</t>
  </si>
  <si>
    <t>M. 2398/ Kedaung</t>
  </si>
  <si>
    <t>M. 2375/ Kedaung</t>
  </si>
  <si>
    <t>HM 2509/WAY KANDIS</t>
  </si>
  <si>
    <t>HM 2000/WAY KANDIS</t>
  </si>
  <si>
    <t>M. 1069/ Rajabasa Pemuka</t>
  </si>
  <si>
    <t>M.1637/BUMI KEDAMAIAN-SEKARANG;M.13670/KEDAMAIAN-DAHULU</t>
  </si>
  <si>
    <t>M.221/BILABONG JAYA</t>
  </si>
  <si>
    <t>HM 1472/DURIAN PAYUNG</t>
  </si>
  <si>
    <t>M. 9298/ Rajabasa</t>
  </si>
  <si>
    <t>M. 1126/ Gotong Royong</t>
  </si>
  <si>
    <t>M. 1279/ SUKAJAWA</t>
  </si>
  <si>
    <t>M. 1647/ Rajabasa Pemuka</t>
  </si>
  <si>
    <t>HM 2643/GUNUNG TERANG</t>
  </si>
  <si>
    <t>M.600/RAJABASA NUNYAI</t>
  </si>
  <si>
    <t>HM 29/RAJABASA NUNYAI</t>
  </si>
  <si>
    <t>SARUSUN 180/SUMUR PUTRI</t>
  </si>
  <si>
    <t>M.715/PINANG JAYA</t>
  </si>
  <si>
    <t xml:space="preserve">M. 3082/ Labuhan Dalam </t>
  </si>
  <si>
    <t>M. 13414/ SUKABUMI</t>
  </si>
  <si>
    <t>M. 2572/ Gedong Air</t>
  </si>
  <si>
    <t>M. 1603/ Bumi Kedamaian</t>
  </si>
  <si>
    <t>M. 15125/ Sukabumi</t>
  </si>
  <si>
    <t>M.9492/SEGALAMIDER</t>
  </si>
  <si>
    <t>M. 228/ Jagabaya I</t>
  </si>
  <si>
    <t>B.3378/SUKABUMI</t>
  </si>
  <si>
    <t>M. 141/ Talang (gedung pakuon Talang)</t>
  </si>
  <si>
    <t>M. 429/ Gedong Pakuon</t>
  </si>
  <si>
    <t>M.3135/TANJUNG SENENG</t>
  </si>
  <si>
    <t>M.1565/KEMILING PERMAI</t>
  </si>
  <si>
    <t>M. 963; 932/ Pengajaran; SHT2637/2017 dan SHT 2144/2017</t>
  </si>
  <si>
    <t>M.5014/RAJABASA JAYA-SEKARANG;M.9263/RAJABASA-DAHULU</t>
  </si>
  <si>
    <t>M.1915/SUKARAME BARU</t>
  </si>
  <si>
    <t>M. 6570/ TANJUNG SENANG</t>
  </si>
  <si>
    <t>HGB 403/SUKARAME BARU</t>
  </si>
  <si>
    <t>HM 1915/GUNUNG TERANG</t>
  </si>
  <si>
    <t>M. 859/ Tanjung Gading</t>
  </si>
  <si>
    <t>B.1037/CAMPANG JAYA;B.1083/CAMPANG RAYA-DAHULU</t>
  </si>
  <si>
    <t>M.702/KORPRI JAYA-SEKARANG;M12004/SUKARAME I-DAHULU</t>
  </si>
  <si>
    <t>M.9511/SIDODADI</t>
  </si>
  <si>
    <t>M.2818/GU.T;B.92/GU.T-DAHULU</t>
  </si>
  <si>
    <t>B. 1546/ Sukabumi</t>
  </si>
  <si>
    <t>M. 948/ Campang Raya; B. 200/ CR-dahulu</t>
  </si>
  <si>
    <t>B.571/NUSANTARA PERMAI-SEKARANG;B.616/CAMPANG RAYA-DAHULU</t>
  </si>
  <si>
    <t>M.183/LABUHAN RATU RAYA</t>
  </si>
  <si>
    <t>M.1183/PERUMNAS WAY KANDIS</t>
  </si>
  <si>
    <t>M. 1333/ SEPANG JAYA</t>
  </si>
  <si>
    <t>M. 3912/ Sukadana Ham</t>
  </si>
  <si>
    <t>B.698/NEGERI OLOK GADING</t>
  </si>
  <si>
    <t>M. 1871/ Tanjung Seneng</t>
  </si>
  <si>
    <t>M.13681/LABUHAN RATU</t>
  </si>
  <si>
    <t>M. 16697/ Sukabumi</t>
  </si>
  <si>
    <t>M.1014/BUMI KEDAMAIAN-SEKARANG;M.12108/KEDAMAIAN-DAHULU</t>
  </si>
  <si>
    <t>M.1814/RAJABASA NUNYAI</t>
  </si>
  <si>
    <t>M.2632/SUMBER AGUNG</t>
  </si>
  <si>
    <t>M.2066/RAJABASA RAYA</t>
  </si>
  <si>
    <t>M. 4485/ Beringin Raya; B. 1808/ Beringin Raya</t>
  </si>
  <si>
    <t>M.505/SUKABUMI INDAH</t>
  </si>
  <si>
    <t>B. 127/ Nusantara Permai</t>
  </si>
  <si>
    <t>B. 128/ Nusantara Permai</t>
  </si>
  <si>
    <t>HM 1095/GEDONG AIR</t>
  </si>
  <si>
    <t>M.15228/S I</t>
  </si>
  <si>
    <t>M. 639/ PEMATANG WANGI</t>
  </si>
  <si>
    <t>K/27/011124/1</t>
  </si>
  <si>
    <t>David</t>
  </si>
  <si>
    <t>M. 2996/ Sukadana Ham</t>
  </si>
  <si>
    <t>B.1127/KEMILING PERMAI</t>
  </si>
  <si>
    <t>M.16627/SUKABUMI</t>
  </si>
  <si>
    <t>B. 946/ Beringin Jaya</t>
  </si>
  <si>
    <t>M. 1233/ Talang</t>
  </si>
  <si>
    <t>M.1563/KEMILING PERMAI</t>
  </si>
  <si>
    <t>M. 520/ Gunung Agung</t>
  </si>
  <si>
    <t>M. 16570/ Sukabumi</t>
  </si>
  <si>
    <t>M. 3998/ Rajabasa Jaya</t>
  </si>
  <si>
    <t>M.5979/WAY KANDIS</t>
  </si>
  <si>
    <t>M.5980/WAY KANDIS</t>
  </si>
  <si>
    <t>B. 578/ Sumber Agung</t>
  </si>
  <si>
    <t>B. 581/ Sumber Agung</t>
  </si>
  <si>
    <t>M.2446/RAJABASA JAYA</t>
  </si>
  <si>
    <t>M. 858/ Tanjung Gading</t>
  </si>
  <si>
    <t>M. 860/ Tanjung Gading</t>
  </si>
  <si>
    <t>M.1462/SS.B</t>
  </si>
  <si>
    <t>B. 103/ Nusantara Permai</t>
  </si>
  <si>
    <t>B. 256/ Nusantara Permai</t>
  </si>
  <si>
    <t>M.11378/SEGALA MIDER</t>
  </si>
  <si>
    <t>M. 551/ Way Halim Permai</t>
  </si>
  <si>
    <t>B, 570/ Nusantara Permai</t>
  </si>
  <si>
    <t>M. 2956/ Sukarame Baru- sekarang; M. 16805/ Sukarame I</t>
  </si>
  <si>
    <t>HM 769/WHP</t>
  </si>
  <si>
    <t>M.1031/NEGERI OLOK GADING-SEKARANG;B.975/NEGERI OLOK GADING-DAHULU</t>
  </si>
  <si>
    <t>M. 2800/ Sukarame II</t>
  </si>
  <si>
    <t>M. 3488/ Kota Baru</t>
  </si>
  <si>
    <t>B.764/WAY KANDIS</t>
  </si>
  <si>
    <t>M.24/NUSANTARA PERMAI-SEKARANG; M.32/CAMPANG RAYA -DAHULU</t>
  </si>
  <si>
    <t>B.4891 / BERINGIN RAYA</t>
  </si>
  <si>
    <t>M.11580/SEGALA MIDER</t>
  </si>
  <si>
    <t>M.13763/RAJABASA</t>
  </si>
  <si>
    <t>M. 2095/ Campang Jaya</t>
  </si>
  <si>
    <t>M. 3227/ TANJUNG SENENG</t>
  </si>
  <si>
    <t>B. 1655/ KANGKUNG</t>
  </si>
  <si>
    <t>M. 2889/ Sukarame Baru- sekarang; M. 16509/ Sukarame-dahulu</t>
  </si>
  <si>
    <t>M. 2245/ Sukarame Baru; B. 4947/Sukarame-dahulu</t>
  </si>
  <si>
    <t>M. 1409/ Panjang Utara</t>
  </si>
  <si>
    <t>B.661/SUKABUMI INDAH</t>
  </si>
  <si>
    <t>M.1773/SUKAJAWA</t>
  </si>
  <si>
    <t xml:space="preserve">B. 1406/ Jagabaya II </t>
  </si>
  <si>
    <t>M. 884/ SUMBER AGUNG</t>
  </si>
  <si>
    <t>M. 10227/ Segala Mider</t>
  </si>
  <si>
    <t>M.4157/LANGKAPURA</t>
  </si>
  <si>
    <t>M. 9268/ Sidodadi</t>
  </si>
  <si>
    <t>M. 12416/ Sukabumi; B. 4544/ Sukabumi</t>
  </si>
  <si>
    <t>M.9336/GEDONG MENENG</t>
  </si>
  <si>
    <t>M. 2253/ Kedaung</t>
  </si>
  <si>
    <t>M. 2322/ Kedaung</t>
  </si>
  <si>
    <t>M. 11995/ Segala Mider</t>
  </si>
  <si>
    <t>M.4410/BERINGIN RAYA</t>
  </si>
  <si>
    <t>M. 168/ Bumi Raya</t>
  </si>
  <si>
    <t>B.1202/SUKABUMI INDAH-SEKARANG; B.1339/SUKABUMI-DAHULU</t>
  </si>
  <si>
    <t>M. 937/ Gunung Terang</t>
  </si>
  <si>
    <t>M.417/NUSANTARA PERMAI-SEKARANG;B.381/CAMPANG RAYA-DAHULU</t>
  </si>
  <si>
    <t>M. 2693/ Sukadana Ham</t>
  </si>
  <si>
    <t>M.6050/WAY KANDIS</t>
  </si>
  <si>
    <t>M.548/RAJABASA PEMUKA</t>
  </si>
  <si>
    <t xml:space="preserve">M.1311 /GUNUNG SULAH </t>
  </si>
  <si>
    <t>M.1524/RAJABASA JAYA</t>
  </si>
  <si>
    <t>M. 776/ NOG; B. 809/ N O G-dahulu</t>
  </si>
  <si>
    <t>M. 12471/ Kedamaian</t>
  </si>
  <si>
    <t>M. 146/ Kampung Baru Raya</t>
  </si>
  <si>
    <t>M.1706/PERUMNAS WAY HALIM</t>
  </si>
  <si>
    <t>M. 1979/ Way Halim Permai</t>
  </si>
  <si>
    <t>M.631/LANGKAPURA BARU</t>
  </si>
  <si>
    <t>M.2425/KEDAUNG</t>
  </si>
  <si>
    <t>M.2429/KEDAUNG</t>
  </si>
  <si>
    <t>M.1669/KALIAWI</t>
  </si>
  <si>
    <t>M. 876/ Korpri Jaya</t>
  </si>
  <si>
    <t>M. 1055/ PemaTang Wangi</t>
  </si>
  <si>
    <t>M.286/LABUHAN RATU RAYA</t>
  </si>
  <si>
    <t xml:space="preserve">M.573/PERUMNAS WAY KANDIS-SEKARANG;B.419/WAY KANDIS </t>
  </si>
  <si>
    <t>M. 1825/ Panjang Utara</t>
  </si>
  <si>
    <t>M.3994/WAY KANDIS</t>
  </si>
  <si>
    <t>M.2303/CAMPANG JAYA-SEKARANG;M.1537/CAMPANG RAYA-DAHULU</t>
  </si>
  <si>
    <t>M. 2268/ Pinang Jaya</t>
  </si>
  <si>
    <t>M. 591/ Rajabasa Jaya</t>
  </si>
  <si>
    <t>M. 1113/ Pematang Wangi; M. 3217/ Tanjung Senang-dahulu</t>
  </si>
  <si>
    <t>M. 2181/ Kemiling Permai; SHT 1853/2019</t>
  </si>
  <si>
    <t>M. 6423/ Gunung Sulah</t>
  </si>
  <si>
    <t>M. 1346/ Sumberrejo</t>
  </si>
  <si>
    <t>M. 6475/ Way Kandis</t>
  </si>
  <si>
    <t>M. 12720/ Kedaton</t>
  </si>
  <si>
    <t>M.10543/GEDONG MENENG</t>
  </si>
  <si>
    <t>M.2660/SUMBER AGUNG-SEKARANG;M.90/BERINGIN RAYA-DAHULU</t>
  </si>
  <si>
    <t>M.1511/BUMI WARAS</t>
  </si>
  <si>
    <t>HGB 1368/KEMILING PERMAI</t>
  </si>
  <si>
    <t>M.697/GUNUNG AGUNG</t>
  </si>
  <si>
    <t>m.1815/RAJABASA NUNYAI_SEKARANG;b.1210/RAJABASA-DAHULU</t>
  </si>
  <si>
    <t>M.1929/KALI BALAU KENCANA</t>
  </si>
  <si>
    <t>M. 2096/ Kangkung</t>
  </si>
  <si>
    <t>M. 2684/ Pinang Jaya-sekarang; B. 12782/ Pinang Jaya</t>
  </si>
  <si>
    <t>M. 676/BUMI KEDAMAIAN</t>
  </si>
  <si>
    <t>M. 14387/ Rajabasa; SHT 2838/ 2018</t>
  </si>
  <si>
    <t>M. 2050/ L R R; M. 11134/ Labuhan Ratu-dahulu</t>
  </si>
  <si>
    <t>B. 1017/ Keteguhan</t>
  </si>
  <si>
    <t>M. 5102/ Rajabasa Jaya</t>
  </si>
  <si>
    <t>M. 445/ Kota Sepang</t>
  </si>
  <si>
    <t>M. 4132/ Keteguhan</t>
  </si>
  <si>
    <t>M. 2426/ Kedaung</t>
  </si>
  <si>
    <t>M. 11169/ Tanjung Baru</t>
  </si>
  <si>
    <t>K/23/061124/1</t>
  </si>
  <si>
    <t>BN Lelang</t>
  </si>
  <si>
    <t>M. 2285/ Bumi Waras</t>
  </si>
  <si>
    <t>M. 2122/ Way Kandis</t>
  </si>
  <si>
    <t>B.1777/JAGABAYA II-SEKARANG;B.354/JAGABAYA III-DAHULU</t>
  </si>
  <si>
    <t>M. 4107/ Tanjung Seneng</t>
  </si>
  <si>
    <t>B.798/SUMUR PUTRI</t>
  </si>
  <si>
    <t>M.2428/ Kedaung</t>
  </si>
  <si>
    <t>M. 2430/ Kedaung</t>
  </si>
  <si>
    <t>M. 16717/ Sukarame I</t>
  </si>
  <si>
    <t>M.2555/PINANG JAYA</t>
  </si>
  <si>
    <t>M.4696/SUKADANAHAM</t>
  </si>
  <si>
    <t>M.4706/SUKADANAHAM</t>
  </si>
  <si>
    <t>M.2475/PINANG JAYA</t>
  </si>
  <si>
    <t>HM 2435/PANJANG UTARA</t>
  </si>
  <si>
    <t>M. 87/ L R R</t>
  </si>
  <si>
    <t>M. 10980/ Segala Mider</t>
  </si>
  <si>
    <t>B. 621/ Kemiling Permai</t>
  </si>
  <si>
    <t>B. 716/ Kemiling Permai</t>
  </si>
  <si>
    <t>B. 1118/ Keteguhan</t>
  </si>
  <si>
    <t>M. 1894/ Sukaraja</t>
  </si>
  <si>
    <t>M.12840/SEGALA MIDER-SEKARANG;B.114/SEGALA MIDER-DAHULU</t>
  </si>
  <si>
    <t>K/1/061124/1</t>
  </si>
  <si>
    <t>M.2019/LABUHAN DALAM</t>
  </si>
  <si>
    <t>M.3451/KOTABARU-SEKARANG;B.211/KOTA BARU-DAHULU</t>
  </si>
  <si>
    <t>M. 2206/ Perumnas Way Halim</t>
  </si>
  <si>
    <t>HGB 811/KETEGUHAN</t>
  </si>
  <si>
    <t>M. 1440/ Pesawahan</t>
  </si>
  <si>
    <t>B. 254/ Nusantara Permai</t>
  </si>
  <si>
    <t>B. 388/ Panjang Utara</t>
  </si>
  <si>
    <t>M. 1538/ Keteguhan</t>
  </si>
  <si>
    <t>M.05/GUNUNG SARI</t>
  </si>
  <si>
    <t>B. 105/ Nusantara Permai</t>
  </si>
  <si>
    <t>M.3348/KEMILING PERMAI-SEKARANG;M.1620-SUMBEREJO/KEMILING-DAHULU</t>
  </si>
  <si>
    <t>M. 901/ Sumberrejo Sehatera</t>
  </si>
  <si>
    <t>M. 1704/ Way Kandis</t>
  </si>
  <si>
    <t>M.16239/SUKABUMI</t>
  </si>
  <si>
    <t>M. 2147/ WAY HALIM PERMAI</t>
  </si>
  <si>
    <t>M. 927/ Pelita; SHT 2384/2014 dan SHT 4033/2018</t>
  </si>
  <si>
    <t>M. 534/ Sumberrejo Sejahtera</t>
  </si>
  <si>
    <t>M.17182/SUKARAME-SEKARANG'B.1230/SUKARAME I</t>
  </si>
  <si>
    <t>B.545/GUNUNG SULAH</t>
  </si>
  <si>
    <t>M.11612/SEGALA MIDER</t>
  </si>
  <si>
    <t>M. 2289/ Perumnas Way Halim</t>
  </si>
  <si>
    <t>M. 2150/SUKARAME BARU-SEKARANG;B. 2323/SUKARAME-DAHULU</t>
  </si>
  <si>
    <t>M. 22/ Perwata dan SHT 7366/2013</t>
  </si>
  <si>
    <t>B. 919/ Nusantara Permai</t>
  </si>
  <si>
    <t>SALAH INPUT KELURAHAN</t>
  </si>
  <si>
    <t>M. 2869/ Sukarame Baru</t>
  </si>
  <si>
    <t>GM 613/PEMATANG WANGI</t>
  </si>
  <si>
    <t>M. 1242/SUKABUMI INDAH</t>
  </si>
  <si>
    <t>B. 4954, 4958/ Kali Balau Kencana</t>
  </si>
  <si>
    <t>B.223/NEGERI OLOK GADING</t>
  </si>
  <si>
    <t>M. 1450/ Kupang Teba</t>
  </si>
  <si>
    <t>M. 3493/ Kota Baru</t>
  </si>
  <si>
    <t>M. 541/ SAWAH LAMA</t>
  </si>
  <si>
    <t>M. 19649/ Sukarame</t>
  </si>
  <si>
    <t>M. 324/ Korpri Raya</t>
  </si>
  <si>
    <t xml:space="preserve">M.4432/GUNUNG TERANG </t>
  </si>
  <si>
    <t>K/42/081124/1</t>
  </si>
  <si>
    <t>M. 6416/WAY KANDIS</t>
  </si>
  <si>
    <t>M.6867/TANJUNG SENENG</t>
  </si>
  <si>
    <t>HM 683/JAGABAYA III</t>
  </si>
  <si>
    <t>M.1711/RAJABASA NUNYAI</t>
  </si>
  <si>
    <t>M.1712/RAJABASA NUNYAI</t>
  </si>
  <si>
    <t>HM 271/RAJABSA NUNYAI</t>
  </si>
  <si>
    <t>M. 2353/SUKARAME BARU-SEKARANG;M.17754/SUKARAME-DAHULU</t>
  </si>
  <si>
    <t>M. 14029/ Tanjung Baru</t>
  </si>
  <si>
    <t>M.2072/CAMPANG JAYA-SEKARANG;M 247/NUSANTARA PERMAI-DAHULU</t>
  </si>
  <si>
    <t>B.752/SUMUR PUTRI</t>
  </si>
  <si>
    <t>M.1602/BUMI KEDAMAIAN</t>
  </si>
  <si>
    <t>M. 1892/BERINGIN JAYA-SEKARANG;M.1538/BERINGIN RAYA-DAHULU</t>
  </si>
  <si>
    <t>M.1588/SUMUR BATU</t>
  </si>
  <si>
    <t>M. 3237/ Labuhan Dalam</t>
  </si>
  <si>
    <t>M. 6488/ Way Kandis</t>
  </si>
  <si>
    <t>M.1419/SUSUNAN BARU</t>
  </si>
  <si>
    <t>M. 10329/ Segala Mider</t>
  </si>
  <si>
    <t>HM 1134/GULAK GALIK</t>
  </si>
  <si>
    <t>M. 815/ Rajabasa Pemuka</t>
  </si>
  <si>
    <t>M. 16629/ Sukabumi</t>
  </si>
  <si>
    <t>M. 6354/ Gunung Sulah</t>
  </si>
  <si>
    <t>M. 3209/ Labuhan Dalam</t>
  </si>
  <si>
    <t>M.1280/KELAPA TIGA</t>
  </si>
  <si>
    <t>M.2945/SUKARAME II</t>
  </si>
  <si>
    <t>HM 1934/PENGAJARAN</t>
  </si>
  <si>
    <t>HM 10617/KEDAMAIAN (SHM TETANGGA)</t>
  </si>
  <si>
    <t>M. 9657/ Labuhan Ratu</t>
  </si>
  <si>
    <t>M. 428/SAWAH BREBES</t>
  </si>
  <si>
    <t>B.65/LABUHAN DALAM</t>
  </si>
  <si>
    <t>B. 256/ Kota Baru</t>
  </si>
  <si>
    <t>M.868/BAKUNG</t>
  </si>
  <si>
    <t>HMASRS. 152/SUMUR PUTRI</t>
  </si>
  <si>
    <t>M. 867/ Kupang Teba</t>
  </si>
  <si>
    <t>M. 2660/ Sukarame Baru</t>
  </si>
  <si>
    <t>B. 756/ Sumur Putri</t>
  </si>
  <si>
    <t>M.5182/RAJABASA JAYA</t>
  </si>
  <si>
    <t>M. 2502/ Kemiling Permai- B. 248/ Kemiling Permai-dahulu</t>
  </si>
  <si>
    <t>M.12226/SUKABUMI-SEKARANG;B.2222/SUKABUMI-DAHULU</t>
  </si>
  <si>
    <t>M. 70/ Garuntang</t>
  </si>
  <si>
    <t>M. 4901/ Langkapura</t>
  </si>
  <si>
    <t>K/39/261124/3</t>
  </si>
  <si>
    <t>M. 1322/ Labuhan Dalam</t>
  </si>
  <si>
    <t>M.2593/CAMPANG RAYA-SEKARANG;B.2035/CAMPANG RAYA-DAHULU</t>
  </si>
  <si>
    <t>M. 12112/TANJUNG BARU</t>
  </si>
  <si>
    <t>M. 914/ Kemiling Permai</t>
  </si>
  <si>
    <t>M. 9364/ Kampung Baru</t>
  </si>
  <si>
    <t>HM 838/PINANG JAYA</t>
  </si>
  <si>
    <t>B. 668/ Sukabumi Indah</t>
  </si>
  <si>
    <t>M.1142/BUMI KEDAMAIAN</t>
  </si>
  <si>
    <t>HM 614/RAJABASA PEMUKA</t>
  </si>
  <si>
    <t>HM 755/RAJABASA RAYA</t>
  </si>
  <si>
    <t>M. 4936/ SUKADANA HAM</t>
  </si>
  <si>
    <t>M. 1756/ Rajabasa Nunyai</t>
  </si>
  <si>
    <t>M. 10853/ Jagabaya II</t>
  </si>
  <si>
    <t>M. 467/ Kota Sepang</t>
  </si>
  <si>
    <t>M. 2076/ Kota Baru</t>
  </si>
  <si>
    <t>M. 1254/ Langkapura Baru</t>
  </si>
  <si>
    <t>M. 787, 786, 773/ Rajabasa Jaya</t>
  </si>
  <si>
    <t>M. 813/WAY DADI- SEKARANG; M. 13188/SUKARAME I</t>
  </si>
  <si>
    <t>M. 1004/ Gunung Agung-SEKARANG; M. 9784/ SEGALA MIDER-DAHULU</t>
  </si>
  <si>
    <t xml:space="preserve">M.8738/SUKABUMI </t>
  </si>
  <si>
    <t>K/13/111124/1</t>
  </si>
  <si>
    <t>M.5073/RAJABASA JAYA</t>
  </si>
  <si>
    <t>M. 1320/ Gedong Air</t>
  </si>
  <si>
    <t>M.15/RAJABASA JAYA</t>
  </si>
  <si>
    <t>B. 215/ Kota Baru</t>
  </si>
  <si>
    <t>M. 1541/ Keteguhan</t>
  </si>
  <si>
    <t xml:space="preserve">M. 370/ Campang Raya </t>
  </si>
  <si>
    <t>M. 12302/ Jagabaya II</t>
  </si>
  <si>
    <t>M. 253/ Kemiling Permai</t>
  </si>
  <si>
    <t>M.2462/PINANG JAYA</t>
  </si>
  <si>
    <t>B.277/ BAKUNG</t>
  </si>
  <si>
    <t>M. 560/ Korpri Raya - sekarang; M. 9773/ Sukarame I-Dahulu</t>
  </si>
  <si>
    <t>M.10150/SUKAMENANTI</t>
  </si>
  <si>
    <t>M. 1597/ Gedong Air</t>
  </si>
  <si>
    <t>M. 2237/LANGKAPURA</t>
  </si>
  <si>
    <t>M. 1200 / GULAK GALIK-SEKARANG;M. 66/SUMUR BATU-DAHULU</t>
  </si>
  <si>
    <t>M. 439/KALIAWI PERSADA-SEKARANG;B.41/SUKADANA HAM-DAHULU</t>
  </si>
  <si>
    <t>M.1375/BERINGIN JAYA-SEKARANG;B.2740/BERINGIN RAYA-DAHULU</t>
  </si>
  <si>
    <t>M.342/RAJABASA JAYA</t>
  </si>
  <si>
    <t>M. 121/ Enggal</t>
  </si>
  <si>
    <t>B.815/SUKABUMI INDAH</t>
  </si>
  <si>
    <t>M. 657/ Kangkung</t>
  </si>
  <si>
    <t>B. 308/ Pematang Wangi; B. 964/ Tanjung Senang</t>
  </si>
  <si>
    <t>M. 6925/TANJUNG SENANG</t>
  </si>
  <si>
    <t>M.14809/RAJABASA</t>
  </si>
  <si>
    <t>M. 1467; 1474/ Tanjung Karang; SHT 5221/2017 dan 2980/2017 dan 3713/2017 dan 3715/2017 dan 2985/2017</t>
  </si>
  <si>
    <t>M. 4977/ Sukadana Ham</t>
  </si>
  <si>
    <t>M. 88/ Kampung Baru Raya</t>
  </si>
  <si>
    <t>M. 1646/ Negeri Olok Gading</t>
  </si>
  <si>
    <t>B.535/BAKUNG</t>
  </si>
  <si>
    <t>K/21/151124/2</t>
  </si>
  <si>
    <t>M.4148/LANGKAPURA</t>
  </si>
  <si>
    <t>HGB 4020/SUKABUMI</t>
  </si>
  <si>
    <t>M. 1721/ Labuhan Dalam</t>
  </si>
  <si>
    <t>M. 693/ Gedong Air</t>
  </si>
  <si>
    <t>M. 6036/WAY KANDIS</t>
  </si>
  <si>
    <t>HM 2548/WAY KANDIS</t>
  </si>
  <si>
    <t>M.3233/GEDONG AIR</t>
  </si>
  <si>
    <t>M.14810/RAJABASA</t>
  </si>
  <si>
    <t>M. 26/ Kampung Baru Raya</t>
  </si>
  <si>
    <t>M. 12/ Kampung Baru raya</t>
  </si>
  <si>
    <t>HM 605/SUMBER REJO</t>
  </si>
  <si>
    <t>M. 2517/ Pinang Jaya</t>
  </si>
  <si>
    <t>M. 2483/ Pinang Jaya</t>
  </si>
  <si>
    <t>M. 2553/ Pinang Jaya</t>
  </si>
  <si>
    <t>M. 1717/SUMBERREJO SEJAHTERA</t>
  </si>
  <si>
    <t>HM 8198/SUKABUMI</t>
  </si>
  <si>
    <t>HGB 216/RAJABASA PEMUKA</t>
  </si>
  <si>
    <t>HM 1424/BAKUNG &amp; HM 1423/BAKUNG</t>
  </si>
  <si>
    <t>M. 86/ Sawah Brebes</t>
  </si>
  <si>
    <t>M. 346/ Sawah Lama</t>
  </si>
  <si>
    <t>M. 1193/ Sukadana Ham</t>
  </si>
  <si>
    <t>M. 1845/ Kaliawi</t>
  </si>
  <si>
    <t>M. 942/ Sumur Putri</t>
  </si>
  <si>
    <t>B. 335/ Kampung Baru</t>
  </si>
  <si>
    <t>HM 17028/SUKARAME</t>
  </si>
  <si>
    <t>M.2944/SUKARAME II</t>
  </si>
  <si>
    <t>M. 13164/ Tanjung Baru</t>
  </si>
  <si>
    <t>HM 17408/SUKARAME</t>
  </si>
  <si>
    <t>B. 799/ Sumur Putri</t>
  </si>
  <si>
    <t>M. 1350/ Perumnas Way Halim</t>
  </si>
  <si>
    <t>HM 9337/SEGALA MIDER</t>
  </si>
  <si>
    <t>M. 4937/ Sukadana Ham</t>
  </si>
  <si>
    <t>M. 2268/ Campang Jaya-SEKARANG; m. 1520/ CAMPANG RAYA-DULU</t>
  </si>
  <si>
    <t>M. 4605/ Rajabasa Jaya</t>
  </si>
  <si>
    <t>M. 1635 / PANJANG SELATAN</t>
  </si>
  <si>
    <t>M. 16695/ Sukabumi</t>
  </si>
  <si>
    <t>M. 1050/ Kaliawi</t>
  </si>
  <si>
    <t>B. 919/ Beringin Jaya</t>
  </si>
  <si>
    <t>HM 636/SUMUR BATU</t>
  </si>
  <si>
    <t>M. 4317/ Beringin Jaya</t>
  </si>
  <si>
    <t>M. 253/ Bumi Kedmaian</t>
  </si>
  <si>
    <t>M. 213/ K B K</t>
  </si>
  <si>
    <t>K/58/151124/1</t>
  </si>
  <si>
    <t>HGB 172/LABUHAN DALAM</t>
  </si>
  <si>
    <t>HGB 1677/SUKARAME</t>
  </si>
  <si>
    <t>M. 468/SUMUR PUTRI</t>
  </si>
  <si>
    <t>M. 14929/ Rajabasa</t>
  </si>
  <si>
    <t>M.4198/KETEGUHAN</t>
  </si>
  <si>
    <t>B. 625/ Kemiling Permai</t>
  </si>
  <si>
    <t>M. 2926/ Sukarame II</t>
  </si>
  <si>
    <t>M. 3172/ Gedong Air</t>
  </si>
  <si>
    <t>M. 3174/ Gedong Air</t>
  </si>
  <si>
    <t>M. 3173/ Gedong Air</t>
  </si>
  <si>
    <t>B.1319/NEGERI OLOK GADING</t>
  </si>
  <si>
    <t>M. 3175/ Gedong Air</t>
  </si>
  <si>
    <t>M.10479/KAMPUNG BARU</t>
  </si>
  <si>
    <t>HM 18712/SUKARAME</t>
  </si>
  <si>
    <t>M. 6417/ Gunung Sulah</t>
  </si>
  <si>
    <t>M.42/KORPRI RAYA-SEKARANG;M.9925/SUKARAME I-DAHULU</t>
  </si>
  <si>
    <t>M.1375/KALI BALAU KENCANA</t>
  </si>
  <si>
    <t>M. 2669/ Sumberrejo</t>
  </si>
  <si>
    <t>M. 9210/ Kedamaian</t>
  </si>
  <si>
    <t>M. 9123 / TANJUNG BARU</t>
  </si>
  <si>
    <t>M. 1103/ Sukamaju</t>
  </si>
  <si>
    <t>M. 2126/ Kangkung</t>
  </si>
  <si>
    <t>M. 1399/ Beringin Jaya; M. 2912 Beringin Raya-dahulu; B. 2928/ Berringin Raya-dahulu</t>
  </si>
  <si>
    <t>M.789/PELITA</t>
  </si>
  <si>
    <t>M.913/KORPRI JAYA</t>
  </si>
  <si>
    <t>M.937/KORPRI JAYA</t>
  </si>
  <si>
    <t>M.931/KORPRI JAYA</t>
  </si>
  <si>
    <t>M. 1048/ Pematang Wangi</t>
  </si>
  <si>
    <t>HM 12132/KEDAMAIAN</t>
  </si>
  <si>
    <t>M. 254/ Bumi Kedamaian</t>
  </si>
  <si>
    <t>M.10108/LABUHAN RATU</t>
  </si>
  <si>
    <t>K/20/151124/1</t>
  </si>
  <si>
    <t>M. 80/ Tanjung Gading</t>
  </si>
  <si>
    <t>HM 10314/SUKABUMI</t>
  </si>
  <si>
    <t>M. 6411/ Gunung Sulah</t>
  </si>
  <si>
    <t>M. 6408/ Gunung Sulah</t>
  </si>
  <si>
    <t>M. 6415/ Gunung Sulah</t>
  </si>
  <si>
    <t>M. 6416/ Gunung Sulah</t>
  </si>
  <si>
    <t>M. 789/ Pelita</t>
  </si>
  <si>
    <t>M.3972/RAJABASA JAYA</t>
  </si>
  <si>
    <t>M. 16385/ Sukabumi</t>
  </si>
  <si>
    <t>M. 2922/SUKARAME II</t>
  </si>
  <si>
    <t>HM 9463/GEDUNG MENENG</t>
  </si>
  <si>
    <t>M. 2529/ Kota Karang; SHT 3781/2019</t>
  </si>
  <si>
    <t>B. 201/LABUHAN DALAM</t>
  </si>
  <si>
    <t>B.202/LABUHAN DALAM</t>
  </si>
  <si>
    <t>HM 9634/SURABAYA</t>
  </si>
  <si>
    <t>M. 383/ Rajabasa Nunyai</t>
  </si>
  <si>
    <t>M. 1799/ Labuhan Ratu Raya</t>
  </si>
  <si>
    <t>M. 5046/ Langkapura; SHT 3779/2018</t>
  </si>
  <si>
    <t>M. 2445/ SUKADANA HAM</t>
  </si>
  <si>
    <t>HGB 220/BAKUNG</t>
  </si>
  <si>
    <t>HGB 50/DURIAN PAYUNG</t>
  </si>
  <si>
    <t>M. 1114/ Pematang Wangi</t>
  </si>
  <si>
    <t>M. 10668/ Kedaton</t>
  </si>
  <si>
    <t>M. 740/ Perwata</t>
  </si>
  <si>
    <t>B. 770/ SUMUR PUTRI</t>
  </si>
  <si>
    <t>B. 773/ Sumur Putri</t>
  </si>
  <si>
    <t>M. 3242/ Labuhan Dalam</t>
  </si>
  <si>
    <t>M. 1775/ Rajabasa Pemuka</t>
  </si>
  <si>
    <t>M.2721/SUMBER REJO</t>
  </si>
  <si>
    <t>HM 358/WHP</t>
  </si>
  <si>
    <t>HM 17234/SUKARAME</t>
  </si>
  <si>
    <t>HM 11988/LABUHAN RATU</t>
  </si>
  <si>
    <t>M. 1083/ Way Halim Permai</t>
  </si>
  <si>
    <t>M.1142/WAY HALIM PERMAI</t>
  </si>
  <si>
    <t>M. 1282/ Sukabumi Indah</t>
  </si>
  <si>
    <t>M.529/SAWAH LAMA</t>
  </si>
  <si>
    <t>M. 10206/ Segala Mider</t>
  </si>
  <si>
    <t>M. 14241/ Sukarame</t>
  </si>
  <si>
    <t>HM 360/PESAWAHAN</t>
  </si>
  <si>
    <t>HM 9009/SUKABUMI</t>
  </si>
  <si>
    <t>B.725/SUMUR PUTRI</t>
  </si>
  <si>
    <t>M.44/BILABONG JAYA</t>
  </si>
  <si>
    <t>M.4493/RAJABASA JAYA</t>
  </si>
  <si>
    <t>M.220/BATU PUTU</t>
  </si>
  <si>
    <t>K/44/191124/2</t>
  </si>
  <si>
    <t>HM 3180/KOTA BARU (BATAL, Menolak Menjadi Elektronik)</t>
  </si>
  <si>
    <t>K/23/181224/1</t>
  </si>
  <si>
    <t>M.1005/KOPRI JAYA</t>
  </si>
  <si>
    <t>M. 413/ Pahoman</t>
  </si>
  <si>
    <t>M. 10144/ Kampung Baru</t>
  </si>
  <si>
    <t>HM 10385/KEDAMAIAN</t>
  </si>
  <si>
    <t>M. 1423/ Kuripan</t>
  </si>
  <si>
    <t>M. 10629, 12588/ Kedamaian</t>
  </si>
  <si>
    <t>M.2086/LABUHAN DALAM</t>
  </si>
  <si>
    <t>M. 807/ Negeri Olok Gading</t>
  </si>
  <si>
    <t>M.1458/PANJANG SELATAN</t>
  </si>
  <si>
    <t>B. 614/ Sumber Agung</t>
  </si>
  <si>
    <t>B. 590/ Sumber Agung</t>
  </si>
  <si>
    <t>M.6410/GUNUNG SULAH</t>
  </si>
  <si>
    <t>M.6409/GUNUNG SULAH</t>
  </si>
  <si>
    <t>M. 2455/ Keteguhan</t>
  </si>
  <si>
    <t>M. 1432/ Sumur Putri</t>
  </si>
  <si>
    <t>K/23/201124/1</t>
  </si>
  <si>
    <t>M. 1668/ Rajabasa Raya</t>
  </si>
  <si>
    <t>M. 2624/ Pinang Jaya</t>
  </si>
  <si>
    <t>M. 4411/ Rajabasa Jaya</t>
  </si>
  <si>
    <t>B. 34/ Korpri Jaya</t>
  </si>
  <si>
    <t>B. 2679/ Campang Raya</t>
  </si>
  <si>
    <t>B. 2677/ Campang Raya</t>
  </si>
  <si>
    <t>B. 2678/ Campang Raya</t>
  </si>
  <si>
    <t>HM 2606/WAY KANDIS</t>
  </si>
  <si>
    <t>L/6/201124/1</t>
  </si>
  <si>
    <t>M. 141/ PERUMNAS WAY KANDIS-SEKARANG; B. 250/ WAY KANDIS-DAHULU</t>
  </si>
  <si>
    <t>HGB 1072/SUKABUMI INDAH</t>
  </si>
  <si>
    <t>B. 814/ Sukabumi Indah</t>
  </si>
  <si>
    <t>B. 745/ Sumur Putri</t>
  </si>
  <si>
    <t>M. 6974/ Tanjung Seneng</t>
  </si>
  <si>
    <t>M. 2199/ Rajabasa Raya</t>
  </si>
  <si>
    <t>M.1208/KOTA BARU</t>
  </si>
  <si>
    <t>M. 236/ L R R</t>
  </si>
  <si>
    <t>K/2/211124/1</t>
  </si>
  <si>
    <t>M. 2831/ Sukarame Baru</t>
  </si>
  <si>
    <t>HM 8969/GEDUNG MENENG</t>
  </si>
  <si>
    <t>HM 1926/PENGAJARAN</t>
  </si>
  <si>
    <t>HM 16855/SUKARAME</t>
  </si>
  <si>
    <t>M.751/KUPANG KOTA</t>
  </si>
  <si>
    <t>M. 984/ Sukarame Baru</t>
  </si>
  <si>
    <t>M.1803/BERINGIN JAYA-SEKARANG;M.110/BERINGIN RAYA-DAHULU</t>
  </si>
  <si>
    <t>M. 2990/ Way Kandis</t>
  </si>
  <si>
    <t>M. 3347/ Kemiling Raya</t>
  </si>
  <si>
    <t>M.14031/ Tanjung Baru</t>
  </si>
  <si>
    <t>B. 30/ Sukarame II; SHT 1776/2016</t>
  </si>
  <si>
    <t>B. 31/ Sukarame II; SHT 1775/2016</t>
  </si>
  <si>
    <t>M. 1638/ Bumi Kedamaian</t>
  </si>
  <si>
    <t>M. 6396/ Gunung Sulah</t>
  </si>
  <si>
    <t>M. 3199/ Labuhan Dalam</t>
  </si>
  <si>
    <t>M. 4728/ Langkapura</t>
  </si>
  <si>
    <t>M. 2395/ Sukarame Baru</t>
  </si>
  <si>
    <t>Sudah Alih Media tetapi ada perbedaan tanggal lahir</t>
  </si>
  <si>
    <t>M.150/GEDONG AIR</t>
  </si>
  <si>
    <t>B. 2814/ Sukabumi</t>
  </si>
  <si>
    <t>M.4941/TANJUNG SENANG</t>
  </si>
  <si>
    <t>M. 9702/ Surabaya</t>
  </si>
  <si>
    <t>HM 1348/KALIAWI</t>
  </si>
  <si>
    <t>M. 2273/ Rajabasa Raya</t>
  </si>
  <si>
    <t>M.352/TANJUNG SENENG</t>
  </si>
  <si>
    <t>M. 1112/ Pinang Jaya</t>
  </si>
  <si>
    <t>M. 1010/ Jagabaya III</t>
  </si>
  <si>
    <t>M.111/SUMBERREJO SEJAHTERA</t>
  </si>
  <si>
    <t>M.5493/WAY KANDIS</t>
  </si>
  <si>
    <t>M. 6814/TANJUNG SENANG</t>
  </si>
  <si>
    <t>M.902/NEGERI OLOK GADING-SEKARANG;B.724/NEGERI OLOK GADING-DAHULU</t>
  </si>
  <si>
    <t>M.2697/SUKARAME BARU</t>
  </si>
  <si>
    <t>M.2695/SUKARAME BARU</t>
  </si>
  <si>
    <t>B. 4995/ Sukabumi</t>
  </si>
  <si>
    <t>M.37/PEMATANG WANGI</t>
  </si>
  <si>
    <t>M. 16684/ Sukabumi</t>
  </si>
  <si>
    <t>M.1499/LABUHAN DALAM-SEKARANG;B.225/LABUHAN DALAM-DAHULU, M.1500/LABUHAN DALAM-SEKARANG;B.226/LABUHAN DALAM-DAHULU</t>
  </si>
  <si>
    <t>B.818/SUMUR PUTRI</t>
  </si>
  <si>
    <t>M.1562/TANJUNG SENENG</t>
  </si>
  <si>
    <t>M.1003/GUNUNG AGUNG-SEKARANG;M.1012/SEGALA MIDER-DAHULU</t>
  </si>
  <si>
    <t>HM 13671/KEDAMAIAN</t>
  </si>
  <si>
    <t>M. 2443/ Sukamaju</t>
  </si>
  <si>
    <t>M.1217/SRENGSEM</t>
  </si>
  <si>
    <t>2445/SUKAMAJU</t>
  </si>
  <si>
    <t>M. 897/ Sumber rejo</t>
  </si>
  <si>
    <t>M. 3265/SUKADANA HAM</t>
  </si>
  <si>
    <t>M. 1912/SUKABUMI INDAH</t>
  </si>
  <si>
    <t>HGB 5267/BERINGIN RAYA</t>
  </si>
  <si>
    <t>M. 221/ Pahoman</t>
  </si>
  <si>
    <t>M. 1224/ Way Kandis</t>
  </si>
  <si>
    <t>M. 906/ Korpri Jaya</t>
  </si>
  <si>
    <t xml:space="preserve">M. 1408/ Sukarame Baru; sht 3424/2019; </t>
  </si>
  <si>
    <t>B.703/SUMUR PUTRI</t>
  </si>
  <si>
    <t>M. 381/ Batu Putuk; sht 603/2016</t>
  </si>
  <si>
    <t>M. 1265/ Bumi Kedamaian</t>
  </si>
  <si>
    <t>B. 616/ Sumber Agung</t>
  </si>
  <si>
    <t>M. 6421/ Gunung Sulah</t>
  </si>
  <si>
    <t>M. 1235/ Susunan Baru; SHT 116/2019; B. 605/ Susunan Baru-dahulu</t>
  </si>
  <si>
    <t>B.138/SUKARAJA</t>
  </si>
  <si>
    <t>HM 86/PALAPA</t>
  </si>
  <si>
    <t>HM 87/PALAPA</t>
  </si>
  <si>
    <t>M. 14890/ Sukabumi</t>
  </si>
  <si>
    <t>HM 15181/SUKABUMI</t>
  </si>
  <si>
    <t>M. 9272/ Rajabasa; sht5050/2011; sht 5516/2016</t>
  </si>
  <si>
    <t>M.1451/LABUHAN DALAM-SEKARANG;B.46/LABUHAN DALAM-DAHULU</t>
  </si>
  <si>
    <t>salah ketik harusnya 1491/labuhan dalam</t>
  </si>
  <si>
    <t>M. 551/ Enggal</t>
  </si>
  <si>
    <t>M.221/PALAPA</t>
  </si>
  <si>
    <t>M. 11329/TANJUNG BARU</t>
  </si>
  <si>
    <t>M. 306/ Kota Sepang</t>
  </si>
  <si>
    <t>M. 2345/ Sukamaju</t>
  </si>
  <si>
    <t>m. 2586/ Gedong AIr</t>
  </si>
  <si>
    <t>M. 815/ Pelita</t>
  </si>
  <si>
    <t>M.371/WAY HALIM PERMAI-SEKARANG;B.91/JAGABAYA II-DAHULU</t>
  </si>
  <si>
    <t>M. 12739/ Kedaton</t>
  </si>
  <si>
    <t>M. 1429/ Tanjung Gading</t>
  </si>
  <si>
    <t>M.2992/SUKADANAHAM</t>
  </si>
  <si>
    <t>M. 1849/ Tanjung Seneng</t>
  </si>
  <si>
    <t>M. 6420/ Gunung Sulah</t>
  </si>
  <si>
    <t>M. 6419/ Gunung Sulah</t>
  </si>
  <si>
    <t>M.2421/WAY KANDIS</t>
  </si>
  <si>
    <t>B. 74/ korpri Jaya</t>
  </si>
  <si>
    <t>M. 995/ Korpri Jaya</t>
  </si>
  <si>
    <t>M.2329/SEPANG JAYA-SEKARANG;M.10676/KEDATON-DAHULU</t>
  </si>
  <si>
    <t>M. 1816/ Rajabasa Nunyai</t>
  </si>
  <si>
    <t>M. 1432/ SUMUR PUTRI</t>
  </si>
  <si>
    <t>M.1350/TANJUNG SENENG</t>
  </si>
  <si>
    <t>M. 6040/ Way Kandis</t>
  </si>
  <si>
    <t>M.19618/SUKARAME-SEKARANG;B.1143/SUKARAME I-DAHULU</t>
  </si>
  <si>
    <t>M.2198/GEDONG AIR</t>
  </si>
  <si>
    <t>M. 3445/ Beringin raya</t>
  </si>
  <si>
    <t>HM 12100/JAGABAYA II</t>
  </si>
  <si>
    <t>M. 6428/ way Kandis</t>
  </si>
  <si>
    <t>M. 132/ Sumur Putri</t>
  </si>
  <si>
    <t>HM 1401/KURIPAN</t>
  </si>
  <si>
    <t>M. 2017/ Kota Baru</t>
  </si>
  <si>
    <t>M. 2585/ Gedong Air</t>
  </si>
  <si>
    <t>HM10219/GEDONG MENENG</t>
  </si>
  <si>
    <t>M. 3390/ Sukadana Ham</t>
  </si>
  <si>
    <t>M. 181/ Bumi Kedamaian; SHT 05715/2018</t>
  </si>
  <si>
    <t>HM 10000</t>
  </si>
  <si>
    <t>M. 17127/ Sukarame I</t>
  </si>
  <si>
    <t>HM 2474/SUKADANA HAM</t>
  </si>
  <si>
    <t>HM 4986/BERINGIN RAYA</t>
  </si>
  <si>
    <t>M. 267/ Korpri Raya</t>
  </si>
  <si>
    <t>M. 1219/ Beringin Jaya</t>
  </si>
  <si>
    <t>M. 6486/ Way Kandis</t>
  </si>
  <si>
    <t>M. 1217/ Beringin Jaya</t>
  </si>
  <si>
    <t>M.646/PEMATANG WANGI</t>
  </si>
  <si>
    <t>B.345/KANGKUNG</t>
  </si>
  <si>
    <t>HM 758/KEPILING PERMAI</t>
  </si>
  <si>
    <t>M. 1182/ Sukajawa</t>
  </si>
  <si>
    <t>M. 4167/ Sukadana Ham</t>
  </si>
  <si>
    <t>M. 10209/ Jagabaya II</t>
  </si>
  <si>
    <t>M. 10188/ Jagabaya II</t>
  </si>
  <si>
    <t>B. 66/ Korpri Jaya</t>
  </si>
  <si>
    <t>M.2235/SUSUNAN BARU</t>
  </si>
  <si>
    <t>M. 2648/ PiNang Jaya</t>
  </si>
  <si>
    <t>M. 909/ Korpri Jaya</t>
  </si>
  <si>
    <t>M. 2250/ Sukarame Baru</t>
  </si>
  <si>
    <t>M.562/GUNUNG TERANG</t>
  </si>
  <si>
    <t>M. 12044/ Segala Mider</t>
  </si>
  <si>
    <t>M. 2562/ Keteguhan</t>
  </si>
  <si>
    <t>HM 1594/LANGKAPURA</t>
  </si>
  <si>
    <t>HM 11065/LABUHAN RATU</t>
  </si>
  <si>
    <t>B.953/BERINGIN JAYA</t>
  </si>
  <si>
    <t>M.11397/SEGALA MIDER</t>
  </si>
  <si>
    <t>M. 815/ Pasir Gintung</t>
  </si>
  <si>
    <t>M. 2558/ Sukarame II</t>
  </si>
  <si>
    <t>HGB 60/BUMI KEDAMAIAN</t>
  </si>
  <si>
    <t>B,567/NUSANTARA PERMAI-SEKARANG;B.2095/CAMPANG RAYA-DAHULU</t>
  </si>
  <si>
    <t>B.4393/SUKARAME-SEKARANG;B.4393/SUKARAME I-DAHULU</t>
  </si>
  <si>
    <t>M.545/CAMPANG RAYA</t>
  </si>
  <si>
    <t>M. 72/ Way Dadi Baru</t>
  </si>
  <si>
    <t>M. 62/ Gunung Sulah</t>
  </si>
  <si>
    <t>M. 168/ Tanjung Senang</t>
  </si>
  <si>
    <t>K/40/261124/4</t>
  </si>
  <si>
    <t>B.702/SUMUR PUTRI</t>
  </si>
  <si>
    <t>M. 415/ Kaliawi Persada</t>
  </si>
  <si>
    <t>B.346/NEGERI OLOK GADING</t>
  </si>
  <si>
    <t>M. 2048/GUNUNG TERANG</t>
  </si>
  <si>
    <t>M.3204/LABUHAN DALAM-SEKARANG;B.215/LABUHAN DALAM-DAHULU</t>
  </si>
  <si>
    <t>M. 4433/ Gunung Terang</t>
  </si>
  <si>
    <t>HM 829/GUNUNG AGUNG</t>
  </si>
  <si>
    <t>M. 9251/ Labuhan Ratu; sht 3105/1996</t>
  </si>
  <si>
    <t>HM 4436/BERINGIN RAYA</t>
  </si>
  <si>
    <t>B.705/KEMILING PERMAI</t>
  </si>
  <si>
    <t>M. 6411/ Way Kandis</t>
  </si>
  <si>
    <t>M. 569/ Langkapura Baru</t>
  </si>
  <si>
    <t>B.624/KEMILING PERMAI</t>
  </si>
  <si>
    <t>B.1221/KEMILING PERMAI</t>
  </si>
  <si>
    <t>HM 11000/SEGALA MIDER</t>
  </si>
  <si>
    <t>M.12552/TANJUNG BARU</t>
  </si>
  <si>
    <t>M. 1933/ Sukarame Baru</t>
  </si>
  <si>
    <t>HM 691/DURIAN PAYUNG</t>
  </si>
  <si>
    <t>M. 1764/ Rajabasa Pemuka; M. 11947/ Rajabasa-dahulu; B. 71/ Rajabasa-dahulu</t>
  </si>
  <si>
    <t xml:space="preserve">M.6469/WAY KANDIS </t>
  </si>
  <si>
    <t>HGB 1204/SUKABUMI INDAH</t>
  </si>
  <si>
    <t>M.2876/KOTA BARU</t>
  </si>
  <si>
    <t>M. 215/ Bumi Raya</t>
  </si>
  <si>
    <t>M. 1430/ Tanjung Gading</t>
  </si>
  <si>
    <t>M. 1818/ Kupang Teba</t>
  </si>
  <si>
    <t>M.2227/SUKARAME BARU</t>
  </si>
  <si>
    <t>M.487/NUSANTARA PERMAI</t>
  </si>
  <si>
    <t>B.4381/SUKARAME-SEKARANG;B.4381/SUKARAME I-DAHULU</t>
  </si>
  <si>
    <t>M.1542/SUKABUMI INDAH-SEKARANG;M.14829/SKABUMI-DAHULU</t>
  </si>
  <si>
    <t>M. 16745/ Sukarame; SHT 685/2010</t>
  </si>
  <si>
    <t>M. 2492/ Kemiling Permai</t>
  </si>
  <si>
    <t>M.834/DURIAN PAYUNG</t>
  </si>
  <si>
    <t>M.948/SUSUNAN BARU-SEKARANG;B.424/SUSUNAN BARU-DAHULU</t>
  </si>
  <si>
    <t>HGB 1864/SUKABUMI</t>
  </si>
  <si>
    <t>M. 3240/ beringin raya - SEKARANG; M. 3240/sumberejo kemiling</t>
  </si>
  <si>
    <t>HM 13229/SEGALA MIDER</t>
  </si>
  <si>
    <t>M.2228/SUKARAME BARU</t>
  </si>
  <si>
    <t>M. 420/ Rajabasa Nunyai</t>
  </si>
  <si>
    <t>M. 3647/ Gunung Terang</t>
  </si>
  <si>
    <t>M. 1859/ Pengajaran; SHT 5654/2017</t>
  </si>
  <si>
    <t>M. 2077/ Campang Jaya</t>
  </si>
  <si>
    <t>M. 84/ Gunung Sari</t>
  </si>
  <si>
    <t>HM 563/NOG</t>
  </si>
  <si>
    <t>M. 9150/ Gedong Meneng; SHT 4769/ 2015</t>
  </si>
  <si>
    <t>M.922/DURIAN PAYUNG</t>
  </si>
  <si>
    <t>M.973/DURIAN PAYUNG</t>
  </si>
  <si>
    <t>M.949/DURIAN PAYUNG</t>
  </si>
  <si>
    <t>M.1232/DURIAN PAYUNG</t>
  </si>
  <si>
    <t>M.1395/WAY HALIM PERMAI</t>
  </si>
  <si>
    <t>M. 2146/ Pengajaran</t>
  </si>
  <si>
    <t>M. 2089/ Beringin Raya; B. 2069/ Beringin Raya-dahulu</t>
  </si>
  <si>
    <t>B. 497; 496; 477; 478/ P W K</t>
  </si>
  <si>
    <t>M. 1037/ Kaliawi</t>
  </si>
  <si>
    <t>M.2867/KETEGUHAN-SEKARANG;B.867/KETEGUHAN-DAHULU</t>
  </si>
  <si>
    <t>M.1763/SEPANG JAYA</t>
  </si>
  <si>
    <t>M. 9026/ Labuhan Ratu</t>
  </si>
  <si>
    <t>K/23/031224/1</t>
  </si>
  <si>
    <t>M. 1612/ Sukarame Baru; B. 427/ Sukarame Baru-dahulu</t>
  </si>
  <si>
    <t>M.2619/PINANG JAYA</t>
  </si>
  <si>
    <t>M.2616/PINANG JAYA</t>
  </si>
  <si>
    <t>M.11916/SUKABUMI-SEKARANG;B.3374/SUKABUMI-DAHULU</t>
  </si>
  <si>
    <t>HM 2692/KOTA BARU</t>
  </si>
  <si>
    <t>L/8/031224/1</t>
  </si>
  <si>
    <t>HM 2025/NOG</t>
  </si>
  <si>
    <t>M. 10450/ Sukabumi</t>
  </si>
  <si>
    <t>B.253/NUSANTARA PERMAI</t>
  </si>
  <si>
    <t>B. 135/ Rajabasa Nunyai</t>
  </si>
  <si>
    <t>M. 4720/ Rajabasa Jaya</t>
  </si>
  <si>
    <t>M. 6251/ Way Kandis</t>
  </si>
  <si>
    <t>M. 646/ Perwata</t>
  </si>
  <si>
    <t>M.1607/TANJUNG SENENG</t>
  </si>
  <si>
    <t>M. 1646/ Bumi Kedamaian</t>
  </si>
  <si>
    <t>M. 5630/ Langkapura</t>
  </si>
  <si>
    <t>M. 440/ Kaliawi Persada</t>
  </si>
  <si>
    <t>M. 13723/ Rajabasa; SHT 3508/2015</t>
  </si>
  <si>
    <t>M. 1345/ Sukarame Baru</t>
  </si>
  <si>
    <t>M.3122/KOTA BARU</t>
  </si>
  <si>
    <t>M. 13514/ Sukabumi</t>
  </si>
  <si>
    <t>M. 214/ Kedaung</t>
  </si>
  <si>
    <t>M. 16734/ Sukabumi</t>
  </si>
  <si>
    <t>M. 6403/ Gunung Sulah</t>
  </si>
  <si>
    <t>M. 2871/ Sukarame Baru</t>
  </si>
  <si>
    <t>M. 2421/ Kedaung</t>
  </si>
  <si>
    <t>M.6262/WAY KANDIS</t>
  </si>
  <si>
    <t>HGB 303/NUSANTARA PERMAI</t>
  </si>
  <si>
    <t>HGB 320/NUSANTARA PERMAI</t>
  </si>
  <si>
    <t>M.2623/PINANG JAYA</t>
  </si>
  <si>
    <t>M.1980/LABUHAN RATU RAYA</t>
  </si>
  <si>
    <t>M.1619/PERUMNAS WAY HALIM-SEKARANG;B.715/PERUMNAS WAY HALIM</t>
  </si>
  <si>
    <t>B.691/KEMILING PERMAI</t>
  </si>
  <si>
    <t>M. 1600/ Kangkung</t>
  </si>
  <si>
    <t>M. 1428/ Perumnas Way Halim</t>
  </si>
  <si>
    <t>M. 5062/ Rajabasa Jaya</t>
  </si>
  <si>
    <t>M. 2337/ Langkapura</t>
  </si>
  <si>
    <t>HM 406/LABUHAN DALAM</t>
  </si>
  <si>
    <t>HM 16505/SUKARAME</t>
  </si>
  <si>
    <t>M. 11265/ Tanjung Baru</t>
  </si>
  <si>
    <t>M. 13980/ Tanjung Baru</t>
  </si>
  <si>
    <t>M.6398/WAY KANDIS</t>
  </si>
  <si>
    <t>HM 419/KALI BALAU KENCANA</t>
  </si>
  <si>
    <t>M. 14955/ Rajabasa</t>
  </si>
  <si>
    <t>M. 2734/ Sukarame II</t>
  </si>
  <si>
    <t>M. 853/ Batu Putuk</t>
  </si>
  <si>
    <t>B.599/SUMBER AGUNG</t>
  </si>
  <si>
    <t>M. 1061/ Kangkung; SHT peringkat I-IX</t>
  </si>
  <si>
    <t>M.2682/GEDONG AIR</t>
  </si>
  <si>
    <t>M.1615/SUKABUMI INDAH</t>
  </si>
  <si>
    <t>M.66/TANJUNG AGUNG RAYA</t>
  </si>
  <si>
    <t>M.1213/SUKARAME II</t>
  </si>
  <si>
    <t>M. 12511/ Kedamaian</t>
  </si>
  <si>
    <t>M. 1631/ Kuripan</t>
  </si>
  <si>
    <t>B. 375/ Sumur Putri</t>
  </si>
  <si>
    <t>M. 2154/ Kedaung</t>
  </si>
  <si>
    <t>M. 308/ Campang Jaya</t>
  </si>
  <si>
    <t>M. 5074/ Rajabasa Jaya</t>
  </si>
  <si>
    <t>M. 1399/ Kupang Kota</t>
  </si>
  <si>
    <t>M. 2829/ Gunung Terang</t>
  </si>
  <si>
    <t>M. 13970/ Kedamaian</t>
  </si>
  <si>
    <t>B. 917/ Beringin Jaya</t>
  </si>
  <si>
    <t>B. 472/ Sumber Agung</t>
  </si>
  <si>
    <t>B. 637/ Kemiling Permai</t>
  </si>
  <si>
    <t>M. 6250/ Way Kandis</t>
  </si>
  <si>
    <t>M. 6397/ Way Kandis</t>
  </si>
  <si>
    <t>M. 478/ Korpri Raya</t>
  </si>
  <si>
    <t>M.2474/ PINANG JAYA</t>
  </si>
  <si>
    <t>M.5177/RAJABASA JAYA</t>
  </si>
  <si>
    <t>M. 1117/PEMATANG WANGI</t>
  </si>
  <si>
    <t>M.4740/ SUKADANA HAM</t>
  </si>
  <si>
    <t>M. 554/ Korpri Raya</t>
  </si>
  <si>
    <t>B.737/NOG</t>
  </si>
  <si>
    <t>M.63/TANJUNG AGUNG RAYA-SEKARANG;M.63/TANJUNG AGUNG-DAHULU;</t>
  </si>
  <si>
    <t>M. 12400/KEDATON</t>
  </si>
  <si>
    <t>B. 66/ Pengajaran</t>
  </si>
  <si>
    <t>M.19454/SUKARAME</t>
  </si>
  <si>
    <t>B. 1216/ Kemiling Permai</t>
  </si>
  <si>
    <t>M. 555/ K B K</t>
  </si>
  <si>
    <t>M. 3350/ Kemiling Permai</t>
  </si>
  <si>
    <t>HGB 836/PWK</t>
  </si>
  <si>
    <t>B. 110/ Bumi Waras</t>
  </si>
  <si>
    <t>M. 5161/ Rajabasa Jaya</t>
  </si>
  <si>
    <t>M. 968/ PWH</t>
  </si>
  <si>
    <t>HM 32/WAY HALIM PERMAI</t>
  </si>
  <si>
    <t>M.484/KEDAUNG</t>
  </si>
  <si>
    <t>M. 839/ PWH</t>
  </si>
  <si>
    <t>M. 5877/ Labuhan ratu</t>
  </si>
  <si>
    <t>B. 914/ Beringin Jaya</t>
  </si>
  <si>
    <t>B. 945/ Beringin Jaya</t>
  </si>
  <si>
    <t>HM 1146/GEDONG AIR</t>
  </si>
  <si>
    <t>M. 1057/ PWH</t>
  </si>
  <si>
    <t>M. 221/ Kampung Baru Raya</t>
  </si>
  <si>
    <t>M.1344/BAKUNG</t>
  </si>
  <si>
    <t>M. 529/ Bakung</t>
  </si>
  <si>
    <t>M. 4547/ Gunung Terang</t>
  </si>
  <si>
    <t>M. 888/ Sumur Putri</t>
  </si>
  <si>
    <t>HGB 1739/SUKARAME</t>
  </si>
  <si>
    <t>M.957/LANGKAPURA</t>
  </si>
  <si>
    <t>M. 1395/ Way Halim Permai</t>
  </si>
  <si>
    <t>M. 6460/ Way Kandis</t>
  </si>
  <si>
    <t>M.191/BATU PUTU</t>
  </si>
  <si>
    <t>M.2722/SUKARAME BARU</t>
  </si>
  <si>
    <t>M.922/KUPANG TEBA</t>
  </si>
  <si>
    <t>M.3004/SUKARAME BARU-SEKARANG;M.13031/SUKARAME I-DAHULU</t>
  </si>
  <si>
    <t>M. 1005/GUNUNG AGUNG-SEKARANG;M.10292/SEGALA MIDER-DAHULU;</t>
  </si>
  <si>
    <t>M.2013/LABUHAN RATU RAYA</t>
  </si>
  <si>
    <t>M.1380/RAJABASA RAYA</t>
  </si>
  <si>
    <t>M.566/KORPRI RAYA-SEKARANG;M.11116/SUKARAME I-DAHULU</t>
  </si>
  <si>
    <t>M. 2339/ Kedaung</t>
  </si>
  <si>
    <t>HM 3876/TANJUNG SENANG</t>
  </si>
  <si>
    <t>HM 3877/TANJUNG SENANG</t>
  </si>
  <si>
    <t>HM 11937/SEGALA MIDER</t>
  </si>
  <si>
    <t>M. 262/ PWH</t>
  </si>
  <si>
    <t>M. 4614/ Sukadana Ham</t>
  </si>
  <si>
    <t>M.4707/SUKADANAHAM</t>
  </si>
  <si>
    <t>M.4664/SUKADANAHAM</t>
  </si>
  <si>
    <t>M. 1651/ Sumberejo Sejahtera</t>
  </si>
  <si>
    <t>M.997/GEDONG AIR</t>
  </si>
  <si>
    <t>M. 158/ Beringin Jaya</t>
  </si>
  <si>
    <t>HM 897/TANJUNG RAYA</t>
  </si>
  <si>
    <t>M. 228/ Pidada</t>
  </si>
  <si>
    <t>M. 1375/ Sukabumi Indah</t>
  </si>
  <si>
    <t>M. 9545/ Jagabaya II</t>
  </si>
  <si>
    <t>M. 2373/ Kedaung</t>
  </si>
  <si>
    <t>B. 342/ Rajabasa Pemuka</t>
  </si>
  <si>
    <t>B. 365/ Kali Balau Kencana</t>
  </si>
  <si>
    <t>M. 59/ K B K</t>
  </si>
  <si>
    <t>M.1057/PERUMNAS WAY HALIM</t>
  </si>
  <si>
    <t>HM 11871/RAJABASA</t>
  </si>
  <si>
    <t>M.2160/ Gunung Terang</t>
  </si>
  <si>
    <t>M. 561/ Korpri Raya</t>
  </si>
  <si>
    <t>M.2398/SUKAJAWA</t>
  </si>
  <si>
    <t>B.667/SUMBER AGUNG</t>
  </si>
  <si>
    <t>B.635/KEMILING PERMAI</t>
  </si>
  <si>
    <t>M. 4673/ Sukadana Ham</t>
  </si>
  <si>
    <t>B.794/SUMUR PUTRI</t>
  </si>
  <si>
    <t>B.1128/KEMILING PERMAI</t>
  </si>
  <si>
    <t>M. 2569/ Pinang Jaya</t>
  </si>
  <si>
    <t>M.5947/TANJUNG SENANG</t>
  </si>
  <si>
    <t>HM 8575/SUKARAME</t>
  </si>
  <si>
    <t>HM 521/GULAK GALIK</t>
  </si>
  <si>
    <t>M. 2274/ Campang Jaya</t>
  </si>
  <si>
    <t>M.3344/CAMPANG RAYA</t>
  </si>
  <si>
    <t>M. 1488/ Bumi Kedamaian</t>
  </si>
  <si>
    <t>B. 686/ Kemiling Permai</t>
  </si>
  <si>
    <t>M.1195/SUKADANAHAM</t>
  </si>
  <si>
    <t>M.5548/WAY KANDIS</t>
  </si>
  <si>
    <t>M. 6440/ Way Kandis</t>
  </si>
  <si>
    <t>M.149/SUKARAME BARU</t>
  </si>
  <si>
    <t>M.7025/TANJUNG SENENG</t>
  </si>
  <si>
    <t>M.16656/SUKABUMI</t>
  </si>
  <si>
    <t>B. 225/ LABUHAN RATU RAYA</t>
  </si>
  <si>
    <t>B. 341/ Rajabasa Pemuka</t>
  </si>
  <si>
    <t>B. 338/ Rajabasa Pemuka</t>
  </si>
  <si>
    <t>M. 854/ Kaliawi</t>
  </si>
  <si>
    <t>M.118/GEDUNG MENENG BARU-SEKARANG;M.9441/GEDUNG MENENG-DAHULU</t>
  </si>
  <si>
    <t>M.2702/SUMBERREJO-SEKARANG;B.787/SUMBERREJO-DAHULU</t>
  </si>
  <si>
    <t>M.1536/GUNUNG TERANG-SEKARANG;B.134/GUNUNG TERANG-DAHULU</t>
  </si>
  <si>
    <t>B.1138/KEMILING PERMAI</t>
  </si>
  <si>
    <t>M.1688/KOTA BARU</t>
  </si>
  <si>
    <t>K/17/121224/2</t>
  </si>
  <si>
    <t>HGB 637/CAMPANG RAYA</t>
  </si>
  <si>
    <t>HM 12803/SUKARAME</t>
  </si>
  <si>
    <t>HM 1201/KOTA BARU</t>
  </si>
  <si>
    <t>M. 10242/ Sukabumi</t>
  </si>
  <si>
    <t>HM 1430/WHP</t>
  </si>
  <si>
    <t>M.1234/RAJABASA PEMUKA</t>
  </si>
  <si>
    <t>M. 6463/ Way Kandis</t>
  </si>
  <si>
    <t>M. 1760/ Rajabasa Nunyai</t>
  </si>
  <si>
    <t>M. 1673/ Rajabasa Raya</t>
  </si>
  <si>
    <t>M.2203/SUKARAME BARU</t>
  </si>
  <si>
    <t>hanya bt,su</t>
  </si>
  <si>
    <t>M. 154/ Rajabasa Pemuka</t>
  </si>
  <si>
    <t>B. 336/ Rajabasa Pemuka</t>
  </si>
  <si>
    <t>B. 343/ Rajabasa Pemuka</t>
  </si>
  <si>
    <t>B. 2161/ Sukabumi</t>
  </si>
  <si>
    <t xml:space="preserve">M.1239/RAJABASA PEMUKA </t>
  </si>
  <si>
    <t>M.3254/SUKADANAHAM</t>
  </si>
  <si>
    <t>B.819/SUMUR PUTRI</t>
  </si>
  <si>
    <t>B. 339/ Rajabasa Pemuka</t>
  </si>
  <si>
    <t>B. 340/ Rajabasa Pemuka</t>
  </si>
  <si>
    <t>HM 14213/RAJABASA</t>
  </si>
  <si>
    <t>B.262/JAGABAYA III-SEKARANG;B.80/TANJUNG BARU-DAHULU</t>
  </si>
  <si>
    <t>M.1627/KEMILING RAYA-SEKARANG;M.3258/SUMBERREJO KEMILING-DAHULU</t>
  </si>
  <si>
    <t>M.16597/SUKABUMI</t>
  </si>
  <si>
    <t>M.2525/SUMBER AGUNG</t>
  </si>
  <si>
    <t>M.3464/GUNUNG TERANG</t>
  </si>
  <si>
    <t>M.4602/GUNUNG TERANG</t>
  </si>
  <si>
    <t>M.5633/LANGKAPURA-SEKARANG;M.03780/GUNUNG TERANG-DAHULU</t>
  </si>
  <si>
    <t>M.1227/SUKARAME</t>
  </si>
  <si>
    <t>M.16759/SUKABUMI</t>
  </si>
  <si>
    <t>B. 337/ Rajabasa Pemuka</t>
  </si>
  <si>
    <t>M. 1020/ Kali Balau Kencana</t>
  </si>
  <si>
    <t>M. 4592/ Gunung Terang</t>
  </si>
  <si>
    <t>M. 1113/ Sepang Jaya</t>
  </si>
  <si>
    <t>M. 2313/ Sukamaju</t>
  </si>
  <si>
    <t>HM 12616/RAJABASA</t>
  </si>
  <si>
    <t>M.2624/WAY KANDIS</t>
  </si>
  <si>
    <t>M.2654/KOTA BARU</t>
  </si>
  <si>
    <t>HM 13813/RAJABASA</t>
  </si>
  <si>
    <t>M.581/GULAK GALIK</t>
  </si>
  <si>
    <t>B.625/SUMBER AGUNG</t>
  </si>
  <si>
    <t>B.609/SUMBER AGUNG</t>
  </si>
  <si>
    <t>M. 5552/ Way Kandis</t>
  </si>
  <si>
    <t>M. 2803/ Sukarame Baru</t>
  </si>
  <si>
    <t>M. 2802/ Sukarame Baru</t>
  </si>
  <si>
    <t>B.265/LABUHAN RATU RAYA-SEKARANG;B.277/LABUHAN RATU-DAHULU</t>
  </si>
  <si>
    <t>B. 352/ Kemiling permai</t>
  </si>
  <si>
    <t>M. 1662/Kaliawi</t>
  </si>
  <si>
    <t>M. 2031/ Durian Payung</t>
  </si>
  <si>
    <t>M. 2021/ Durian Payung</t>
  </si>
  <si>
    <t>M. 4439/ Langkapura</t>
  </si>
  <si>
    <t>M. 1021/ Kali Balau Kencana</t>
  </si>
  <si>
    <t>M. 1019/ Kali Balau Kencana</t>
  </si>
  <si>
    <t>M. 1018/ Kali Balau Kencana</t>
  </si>
  <si>
    <t>HM 3794/WAY KANDIS</t>
  </si>
  <si>
    <t>M.53/BATU PUTU</t>
  </si>
  <si>
    <t>B.802/SUMUR PUTRI</t>
  </si>
  <si>
    <t>M.2970/SUKARAME BARU</t>
  </si>
  <si>
    <t>M. 168/ Kaliawi</t>
  </si>
  <si>
    <t>M. 4231/ Rajabasa Jaya</t>
  </si>
  <si>
    <t>B. 348/ Rajabasa Pemuka</t>
  </si>
  <si>
    <t>M.4725/LANGKAPURA</t>
  </si>
  <si>
    <t>M.542/KORPRI RAYA-SEKARANG;M.11104/SUKAARME I-DAHULU</t>
  </si>
  <si>
    <t>B.820/PERUMNAS WAY KANDIS-SEKARANG;B.579/WAY KANDIS-DAHULU</t>
  </si>
  <si>
    <t>M. 2380/ Sukarame Baru</t>
  </si>
  <si>
    <t>M. 10204/ Rajabasa Jaya</t>
  </si>
  <si>
    <t>HM 13195/SUKABUMI</t>
  </si>
  <si>
    <t>M. 1921/ Kedaung</t>
  </si>
  <si>
    <t>B. 334/ Rajabasa pemuka</t>
  </si>
  <si>
    <t>M.1805/WAY GUBAK</t>
  </si>
  <si>
    <t>M.233/CAMPANG JAYA</t>
  </si>
  <si>
    <t>B. 122 /RAJABASA RAYA-SEKARANG; B.348/RAJABASA-DAHULU;</t>
  </si>
  <si>
    <t>M. 10491/ Kampung Baru</t>
  </si>
  <si>
    <t>M. 1923/ Rajabasa Raya</t>
  </si>
  <si>
    <t>HGB 1476/CAMPANG RAYA</t>
  </si>
  <si>
    <t>M.1574/KEMILING RAYA</t>
  </si>
  <si>
    <t>M. 2327/ Sepang Jaya</t>
  </si>
  <si>
    <t>HM 567/SUMBEREJO S</t>
  </si>
  <si>
    <t>L/49/181224/1</t>
  </si>
  <si>
    <t>M. 1372/ Sukarame Baru</t>
  </si>
  <si>
    <t>M. 5287/ Langkapura</t>
  </si>
  <si>
    <t>M. 719/ Gunung Agung</t>
  </si>
  <si>
    <t>B.328/RAJABASA NUNYAI</t>
  </si>
  <si>
    <t>B.329/RAJABASA NUNYAI</t>
  </si>
  <si>
    <t>B.342/RAJABASA NUNYAI</t>
  </si>
  <si>
    <t>M. 5168/ Tanjung Senang</t>
  </si>
  <si>
    <t>M.5631/LANGKAPURA-SEKARANG-M.3781/GUNUNG TERANG-DAHULU</t>
  </si>
  <si>
    <t>M.1602/SUSUNAN BARU</t>
  </si>
  <si>
    <t>M. 2874/ Way Laga</t>
  </si>
  <si>
    <t>HGB 98/PINANG JAYA</t>
  </si>
  <si>
    <t>M. 4224/ Langkapura</t>
  </si>
  <si>
    <t>M. 1648/ Bumi Kedamaian</t>
  </si>
  <si>
    <t>M. 3349/ Kemiling Permai</t>
  </si>
  <si>
    <t>B. 5631/ Beringin Raya; B. 1269/ Sumberrejo-dahulu</t>
  </si>
  <si>
    <t>HM 1818/LABUHAN DALAM</t>
  </si>
  <si>
    <t>M. 1942/ Sukabumi Indah</t>
  </si>
  <si>
    <t>M. 663/ Tanjung Gading</t>
  </si>
  <si>
    <t>M. 1345/ Way Halim Permai</t>
  </si>
  <si>
    <t>M. 2616/ Sumber Agung</t>
  </si>
  <si>
    <t>M. 169/ Tanjung Raya; SHT 889/2011</t>
  </si>
  <si>
    <t>M.11875/SEGALA MIDER</t>
  </si>
  <si>
    <t>M.2129/GEDONG AIR</t>
  </si>
  <si>
    <t>K/48/191224/3</t>
  </si>
  <si>
    <t>M. 1416/ Sukamaju</t>
  </si>
  <si>
    <t>M.699/RAJABASA RAYA</t>
  </si>
  <si>
    <t>HM 466/GUNUNG MAS</t>
  </si>
  <si>
    <t>B. 345/ Rajabasa Pemuka</t>
  </si>
  <si>
    <t>M. 3605/ Rajabasa Jaya</t>
  </si>
  <si>
    <t>M. 435/ Enggal</t>
  </si>
  <si>
    <t>M. 339/ RAJABASA RAYA</t>
  </si>
  <si>
    <t>HM 844/PENENGAHAN RAYA</t>
  </si>
  <si>
    <t>M. 2655/ Gunung Terang</t>
  </si>
  <si>
    <t>HM 12942/SUKABUMI</t>
  </si>
  <si>
    <t>M.567/KORPRI RAYA-SEKARANG;M.10866/SUKARAME I</t>
  </si>
  <si>
    <t>B.1369/KEMILING PERMAI</t>
  </si>
  <si>
    <t>M.10776/SIDODADI-SEKARANG;M.9026/SIDODADI-DAHULU</t>
  </si>
  <si>
    <t>M.10130/SUKABUMI</t>
  </si>
  <si>
    <t xml:space="preserve">M.6406/WAY KANDIS </t>
  </si>
  <si>
    <t>M. 1025/ Bumi Kedamaian</t>
  </si>
  <si>
    <t>M. 1263/ Langkapura Baru</t>
  </si>
  <si>
    <t>HGB 175/SS</t>
  </si>
  <si>
    <t>M. 6407/GUNUNG SULAH</t>
  </si>
  <si>
    <t>M. 1758/ Rajabasa Pemuka</t>
  </si>
  <si>
    <t>HM 2122/BAKUNG</t>
  </si>
  <si>
    <t>M. 1128/ sumberrejo</t>
  </si>
  <si>
    <t>M. 4493/ Sukadana Ham</t>
  </si>
  <si>
    <t>M. 1762/ Rajabasa Nunyai</t>
  </si>
  <si>
    <t>M. 1689/ Rajabasa Raya</t>
  </si>
  <si>
    <t>B. 675/ Sumber Agung</t>
  </si>
  <si>
    <t>M. 865/ Tanjung Gading</t>
  </si>
  <si>
    <t>M. 1986/ Gunung Terang</t>
  </si>
  <si>
    <t>M. 4391/ Tanjung Seneng</t>
  </si>
  <si>
    <t>M. 2981/ Labuhan Dalam</t>
  </si>
  <si>
    <t>HGB 227/KEMILING PERMAI</t>
  </si>
  <si>
    <t>M. 729/ Beringin Jaya</t>
  </si>
  <si>
    <t>M.959/LANGKAPURA</t>
  </si>
  <si>
    <t>M. 11875/SUKARAME</t>
  </si>
  <si>
    <t>M.9826/KALI BALAU KENCANA-SEKARANG;M9826/TANJUNG BARU-DAHULU</t>
  </si>
  <si>
    <t>B. 867/ Pesawahan</t>
  </si>
  <si>
    <t>HM 1024/PANJNAG UTARA</t>
  </si>
  <si>
    <t>M. 460/ Gunung Terang</t>
  </si>
  <si>
    <t>M. 687/ Pahoman</t>
  </si>
  <si>
    <t>M. 772/ Perwata</t>
  </si>
  <si>
    <t>M. 773/ Perwata</t>
  </si>
  <si>
    <t>HM 10313/SUKABUMI</t>
  </si>
  <si>
    <t>M. 859/ Rajabasa Jaya</t>
  </si>
  <si>
    <t>HM 12528/RAJABASA</t>
  </si>
  <si>
    <t xml:space="preserve">M. 293/ Pahoman </t>
  </si>
  <si>
    <t>M.1732/SUKARAME I-SEKARANG;B.4078/SUKARAME I-DAHULU;</t>
  </si>
  <si>
    <t>B. 599/ Pesawahan</t>
  </si>
  <si>
    <t>M. 1164/ Kupang Teba</t>
  </si>
  <si>
    <t>M. 1765/ Rajabasa Nunyai</t>
  </si>
  <si>
    <t>M. 14704/ Sukarame</t>
  </si>
  <si>
    <t>M. 5839/ Tanjung Senang</t>
  </si>
  <si>
    <t>M. 6418/ Gunung Sulah</t>
  </si>
  <si>
    <t>M. 428/ Kaliawi Persada</t>
  </si>
  <si>
    <t>M. 429/ Kaliawi Persada</t>
  </si>
  <si>
    <t>HM 12131/KEDAMAIAN</t>
  </si>
  <si>
    <t>HM 72/PEMATANG WANGI</t>
  </si>
  <si>
    <t>HM 378/SUMUR PUTRI</t>
  </si>
  <si>
    <t>M. 339/ Pesawahan</t>
  </si>
  <si>
    <t>HM 1090/KEDAUNG</t>
  </si>
  <si>
    <t>M. 1313,1312/ GOTONG ROYONG</t>
  </si>
  <si>
    <t>M. 367/ Sukamenanti Baru</t>
  </si>
  <si>
    <t>M.471/KOTA SEPANG-SEKARANG; M.9885/KEDATON-DAHULU</t>
  </si>
  <si>
    <t>M. 9662/ KEDAMAIAN</t>
  </si>
  <si>
    <t>K/22/051224/4</t>
  </si>
  <si>
    <t>M. 566/ Pinang Jaya</t>
  </si>
  <si>
    <t xml:space="preserve">M.1640/WAY LAGA </t>
  </si>
  <si>
    <t>M.2615/PINANG JAYA</t>
  </si>
  <si>
    <t>M. 3212/ Rajabasa Jaya</t>
  </si>
  <si>
    <t>M.75/SUKARAME BARU-SEKARANG;M.749/SUKARAME I-DAHULU</t>
  </si>
  <si>
    <t>M. 1264/ Rawa Laut</t>
  </si>
  <si>
    <t>HM 2460/KEMILING PERMAI</t>
  </si>
  <si>
    <t xml:space="preserve">M.1855/WAY KANDIS </t>
  </si>
  <si>
    <t>HM 9966/KEDAMAIAN</t>
  </si>
  <si>
    <t>M. 1517/ Sepang Jaya</t>
  </si>
  <si>
    <t xml:space="preserve"> M. 58/ Campang Jaya</t>
  </si>
  <si>
    <t>B. 2017; 2018/ Sukarame</t>
  </si>
  <si>
    <t>M. 224/ Tanjungraya</t>
  </si>
  <si>
    <t>M. 1389/ Rajabasa Pemuka</t>
  </si>
  <si>
    <t>M. 2229/ Sukadana Ham</t>
  </si>
  <si>
    <t>HM 9674/KEDATON</t>
  </si>
  <si>
    <t>M. 1132/ Kota Baru</t>
  </si>
  <si>
    <t>HM 306/GUNUNG AGUNG</t>
  </si>
  <si>
    <t>M. 1422/ Gunung Sulah</t>
  </si>
  <si>
    <t>M. 737/ Perumnas Way Kandis</t>
  </si>
  <si>
    <t>M. 1425/ Bumi Kedamaian</t>
  </si>
  <si>
    <t>M. 1928/ Campang Jaya</t>
  </si>
  <si>
    <t>B. 629/ Sukarame Baru</t>
  </si>
  <si>
    <t>M. 107/ Palapa</t>
  </si>
  <si>
    <t>M.56/TANJUNG GADING</t>
  </si>
  <si>
    <t>K/61/231224/2</t>
  </si>
  <si>
    <t>M.1001/LANGKAPURA</t>
  </si>
  <si>
    <t>K/18/181224/2</t>
  </si>
  <si>
    <t>M.1114/LANGKAPURA</t>
  </si>
  <si>
    <t>K/17/181224/1</t>
  </si>
  <si>
    <t>B. 1701/ Sukarame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</si>
</sst>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m/d/yyyy h:mm:ss"/>
    <numFmt numFmtId="166" formatCode="d/m/yyyy"/>
  </numFmts>
  <fonts count="14">
    <font>
      <sz val="10.0"/>
      <color rgb="FF000000"/>
      <name val="Arial"/>
      <scheme val="minor"/>
    </font>
    <font>
      <color theme="0"/>
      <name val="Arial"/>
      <scheme val="minor"/>
    </font>
    <font>
      <u/>
      <color rgb="FF0000FF"/>
    </font>
    <font>
      <color theme="1"/>
      <name val="Arial"/>
      <scheme val="minor"/>
    </font>
    <font>
      <color rgb="FFFFFFFF"/>
      <name val="Roboto"/>
    </font>
    <font>
      <b/>
      <sz val="11.0"/>
      <color theme="1"/>
      <name val="Arial"/>
      <scheme val="minor"/>
    </font>
    <font>
      <b/>
      <sz val="12.0"/>
      <color theme="1"/>
      <name val="Bookman Old Style"/>
    </font>
    <font>
      <b/>
      <color rgb="FFFF0000"/>
      <name val="Arial"/>
      <scheme val="minor"/>
    </font>
    <font>
      <sz val="9.0"/>
      <color rgb="FF1F1F1F"/>
      <name val="&quot;Google Sans&quot;"/>
    </font>
    <font>
      <sz val="11.0"/>
      <color theme="1"/>
      <name val="Arial"/>
      <scheme val="minor"/>
    </font>
    <font>
      <sz val="11.0"/>
      <color rgb="FF0A53A8"/>
      <name val="Roboto"/>
    </font>
    <font>
      <sz val="11.0"/>
      <color rgb="FF473821"/>
      <name val="Roboto"/>
    </font>
    <font>
      <sz val="11.0"/>
      <color rgb="FFE5CFF2"/>
      <name val="Roboto"/>
    </font>
    <font>
      <sz val="11.0"/>
      <color rgb="FFBFE0F6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1" fillId="2" fontId="4" numFmtId="49" xfId="0" applyAlignment="1" applyBorder="1" applyFill="1" applyFont="1" applyNumberForma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5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3" fontId="8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1"/>
    </xf>
    <xf borderId="2" fillId="4" fontId="10" numFmtId="0" xfId="0" applyAlignment="1" applyBorder="1" applyFill="1" applyFont="1">
      <alignment shrinkToFit="0" vertical="center" wrapText="0"/>
    </xf>
    <xf borderId="2" fillId="4" fontId="11" numFmtId="0" xfId="0" applyAlignment="1" applyBorder="1" applyFill="1" applyFont="1">
      <alignment shrinkToFit="0" vertical="center" wrapText="0"/>
    </xf>
    <xf borderId="3" fillId="3" fontId="10" numFmtId="0" xfId="0" applyAlignment="1" applyBorder="1" applyFill="1" applyFont="1">
      <alignment shrinkToFit="0" vertical="center" wrapText="0"/>
    </xf>
    <xf borderId="3" fillId="3" fontId="11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2" fillId="4" fontId="12" numFmtId="0" xfId="0" applyAlignment="1" applyBorder="1" applyFill="1" applyFont="1">
      <alignment shrinkToFit="0" vertical="center" wrapText="0"/>
    </xf>
    <xf borderId="2" fillId="4" fontId="13" numFmtId="0" xfId="0" applyAlignment="1" applyBorder="1" applyFill="1" applyFont="1">
      <alignment shrinkToFit="0" vertical="center" wrapText="0"/>
    </xf>
    <xf borderId="3" fillId="3" fontId="12" numFmtId="0" xfId="0" applyAlignment="1" applyBorder="1" applyFill="1" applyFont="1">
      <alignment shrinkToFit="0" vertical="center" wrapText="0"/>
    </xf>
    <xf borderId="3" fillId="3" fontId="13" numFmtId="0" xfId="0" applyAlignment="1" applyBorder="1" applyFill="1" applyFont="1">
      <alignment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  <tableStyles count="2">
    <tableStyle count="4" pivot="0" name="Form Warka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idato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H10504" displayName="Table_Tarikan_Warkah" name="Table_Tarikan_Warkah" id="1">
  <tableColumns count="7">
    <tableColumn name="Nomor Tiket" id="1"/>
    <tableColumn name="Nomor Sertipikat" id="2"/>
    <tableColumn name="Nama Petugas Warkah" id="3"/>
    <tableColumn name="Status Sertipikat" id="4"/>
    <tableColumn name="Tanggal diserahkan kepada Validator" id="5"/>
    <tableColumn name="Jenis Permohonan" id="6"/>
    <tableColumn name="Count" id="7"/>
  </tableColumns>
  <tableStyleInfo name="Form Warkah-style" showColumnStripes="0" showFirstColumn="1" showLastColumn="1" showRowStripes="1"/>
</table>
</file>

<file path=xl/tables/table2.xml><?xml version="1.0" encoding="utf-8"?>
<table xmlns="http://schemas.openxmlformats.org/spreadsheetml/2006/main" ref="B6:T2006" displayName="Table_Validator" name="Table_Validator" id="2">
  <autoFilter ref="$B$6:$T$2006">
    <filterColumn colId="1">
      <filters>
        <filter val="M. 1432/ SUMUR PUTRI"/>
        <filter val="B. 122 /RAJABASA RAYA-SEKARANG; B.348/RAJABASA-DAHULU;"/>
      </filters>
    </filterColumn>
  </autoFilter>
  <tableColumns count="19">
    <tableColumn name="No" id="1"/>
    <tableColumn name="Nomor Sertipikat" id="2"/>
    <tableColumn name="Nomor Tiket" id="3"/>
    <tableColumn name="Tanggal Diserhkan BT SU" id="4"/>
    <tableColumn name="Petugas Warkah" id="5"/>
    <tableColumn name="Jenis Permohonan" id="6"/>
    <tableColumn name="Nama Petugas BT" id="7"/>
    <tableColumn name="Status BT" id="8"/>
    <tableColumn name="Tanggal Selesai Validasi BT" id="9"/>
    <tableColumn name="Nama Petugas Validator SU" id="10"/>
    <tableColumn name="Status Validasi SU" id="11"/>
    <tableColumn name="Tanggal Selesai Validasi SU" id="12"/>
    <tableColumn name="Kesimupulan Validator" id="13"/>
    <tableColumn name="Tangal BT SU Selesai" id="14"/>
    <tableColumn name="Ceklis" id="15"/>
    <tableColumn name="Diberikan kepada Petugas Alih Media" id="16"/>
    <tableColumn name="Ceklis kembali ke Warkah Sementara" id="17"/>
    <tableColumn name="DIberikan Kepada Warkah Sementara" id="18"/>
    <tableColumn name="Keterangan Validator" id="19"/>
  </tableColumns>
  <tableStyleInfo name="Validat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lLcZQhEZ8I05EBC8Bm1CXuq4IJwZWxjkNZgNNoCTpg/edit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20.25"/>
    <col customWidth="1" min="4" max="4" width="20.0"/>
    <col customWidth="1" min="6" max="6" width="19.5"/>
    <col customWidth="1" min="7" max="7" width="16.25"/>
  </cols>
  <sheetData>
    <row r="1">
      <c r="B1" s="1"/>
      <c r="C1" s="2" t="s">
        <v>0</v>
      </c>
    </row>
    <row r="4" ht="22.5" customHeight="1">
      <c r="B4" s="3" t="s">
        <v>1</v>
      </c>
      <c r="C4" s="3" t="s">
        <v>2</v>
      </c>
      <c r="D4" s="4" t="s">
        <v>3</v>
      </c>
      <c r="E4" s="5" t="s">
        <v>4</v>
      </c>
      <c r="F4" s="5" t="s">
        <v>5</v>
      </c>
      <c r="G4" s="6" t="s">
        <v>6</v>
      </c>
      <c r="H4" s="3" t="s">
        <v>7</v>
      </c>
    </row>
    <row r="5" ht="22.5" customHeight="1">
      <c r="B5" s="7" t="str">
        <f>IFERROR(__xludf.DUMMYFUNCTION("IMPORTRANGE($C$1,""Warkah!C7:C10000"")"),"")</f>
        <v/>
      </c>
      <c r="C5" s="7" t="str">
        <f>IFERROR(__xludf.DUMMYFUNCTION("IMPORTRANGE($C$1,""Warkah!D7:D10000"")"),"")</f>
        <v/>
      </c>
      <c r="D5" s="7" t="str">
        <f>IFERROR(__xludf.DUMMYFUNCTION("IMPORTRANGE($C$1,""Warkah!G7:I10000"")"),"")</f>
        <v/>
      </c>
      <c r="E5" s="7"/>
      <c r="F5" s="7" t="str">
        <f>IFERROR(__xludf.DUMMYFUNCTION("""COMPUTED_VALUE"""),"")</f>
        <v/>
      </c>
      <c r="G5" s="8" t="str">
        <f>IFERROR(__xludf.DUMMYFUNCTION("IMPORTRANGE($C$1,""Warkah!F7:F10000"")"),"")</f>
        <v/>
      </c>
      <c r="H5" s="8">
        <f>IFNA(IFS(E5="Diserahkan",1,E5="DISERAHKAN BT",1,E5="DISERAHAKAN SU",1),0)</f>
        <v>0</v>
      </c>
    </row>
    <row r="6" ht="22.5" customHeight="1">
      <c r="B6" s="7" t="str">
        <f>IFERROR(__xludf.DUMMYFUNCTION("""COMPUTED_VALUE"""),"L/1/141024/1")</f>
        <v>L/1/141024/1</v>
      </c>
      <c r="C6" s="7" t="str">
        <f>IFERROR(__xludf.DUMMYFUNCTION("""COMPUTED_VALUE"""),"HM 9463/GEDUNG MENENG")</f>
        <v>HM 9463/GEDUNG MENENG</v>
      </c>
      <c r="D6" s="7"/>
      <c r="E6" s="7" t="str">
        <f>IFERROR(__xludf.DUMMYFUNCTION("""COMPUTED_VALUE"""),"DISERAHKAN")</f>
        <v>DISERAHKAN</v>
      </c>
      <c r="F6" s="9">
        <f>IFERROR(__xludf.DUMMYFUNCTION("""COMPUTED_VALUE"""),45616.45837700232)</f>
        <v>45616.45838</v>
      </c>
      <c r="G6" s="7" t="str">
        <f>IFERROR(__xludf.DUMMYFUNCTION("""COMPUTED_VALUE"""),"ROYA")</f>
        <v>ROYA</v>
      </c>
      <c r="H6" s="7">
        <f>IFNA(IFS(E6="Diserahkan",H5+ 1,E6="DISERAHKAN BT",H5+ 1,E6="DISERAHAKAN SU",H5+ 1),0)</f>
        <v>1</v>
      </c>
    </row>
    <row r="7" ht="22.5" customHeight="1">
      <c r="B7" s="7" t="str">
        <f>IFERROR(__xludf.DUMMYFUNCTION("""COMPUTED_VALUE"""),"L/2/141024/1")</f>
        <v>L/2/141024/1</v>
      </c>
      <c r="C7" s="7" t="str">
        <f>IFERROR(__xludf.DUMMYFUNCTION("""COMPUTED_VALUE"""),"HM 17565/SUKARAME I")</f>
        <v>HM 17565/SUKARAME I</v>
      </c>
      <c r="D7" s="7" t="str">
        <f>IFERROR(__xludf.DUMMYFUNCTION("""COMPUTED_VALUE"""),"Berry")</f>
        <v>Berry</v>
      </c>
      <c r="E7" s="7" t="str">
        <f>IFERROR(__xludf.DUMMYFUNCTION("""COMPUTED_VALUE"""),"DISERAHKAN")</f>
        <v>DISERAHKAN</v>
      </c>
      <c r="F7" s="9">
        <f>IFERROR(__xludf.DUMMYFUNCTION("""COMPUTED_VALUE"""),45579.63079519676)</f>
        <v>45579.6308</v>
      </c>
      <c r="G7" s="7" t="str">
        <f>IFERROR(__xludf.DUMMYFUNCTION("""COMPUTED_VALUE"""),"ROYA")</f>
        <v>ROYA</v>
      </c>
      <c r="H7" s="7">
        <f t="shared" ref="H7:H10504" si="1">IF(E7="DISERAHKAN",H6+1,H6)</f>
        <v>2</v>
      </c>
    </row>
    <row r="8" ht="22.5" customHeight="1">
      <c r="B8" s="7" t="str">
        <f>IFERROR(__xludf.DUMMYFUNCTION("""COMPUTED_VALUE"""),"L/5/141024/1")</f>
        <v>L/5/141024/1</v>
      </c>
      <c r="C8" s="7" t="str">
        <f>IFERROR(__xludf.DUMMYFUNCTION("""COMPUTED_VALUE"""),"M.9974/TANJUNG BARU")</f>
        <v>M.9974/TANJUNG BARU</v>
      </c>
      <c r="D8" s="7" t="str">
        <f>IFERROR(__xludf.DUMMYFUNCTION("""COMPUTED_VALUE"""),"Berry")</f>
        <v>Berry</v>
      </c>
      <c r="E8" s="7" t="str">
        <f>IFERROR(__xludf.DUMMYFUNCTION("""COMPUTED_VALUE"""),"DISERAHKAN")</f>
        <v>DISERAHKAN</v>
      </c>
      <c r="F8" s="9">
        <f>IFERROR(__xludf.DUMMYFUNCTION("""COMPUTED_VALUE"""),45579.62889846065)</f>
        <v>45579.6289</v>
      </c>
      <c r="G8" s="7" t="str">
        <f>IFERROR(__xludf.DUMMYFUNCTION("""COMPUTED_VALUE"""),"ROYA")</f>
        <v>ROYA</v>
      </c>
      <c r="H8" s="7">
        <f t="shared" si="1"/>
        <v>3</v>
      </c>
    </row>
    <row r="9" ht="22.5" customHeight="1">
      <c r="B9" s="7" t="str">
        <f>IFERROR(__xludf.DUMMYFUNCTION("""COMPUTED_VALUE"""),"L/6/141024/1")</f>
        <v>L/6/141024/1</v>
      </c>
      <c r="C9" s="7" t="str">
        <f>IFERROR(__xludf.DUMMYFUNCTION("""COMPUTED_VALUE"""),"HM 154/SUSUNAN BARU")</f>
        <v>HM 154/SUSUNAN BARU</v>
      </c>
      <c r="D9" s="7" t="str">
        <f>IFERROR(__xludf.DUMMYFUNCTION("""COMPUTED_VALUE"""),"David")</f>
        <v>David</v>
      </c>
      <c r="E9" s="7" t="str">
        <f>IFERROR(__xludf.DUMMYFUNCTION("""COMPUTED_VALUE"""),"DISERAHKAN")</f>
        <v>DISERAHKAN</v>
      </c>
      <c r="F9" s="9">
        <f>IFERROR(__xludf.DUMMYFUNCTION("""COMPUTED_VALUE"""),45579.625970810186)</f>
        <v>45579.62597</v>
      </c>
      <c r="G9" s="7" t="str">
        <f>IFERROR(__xludf.DUMMYFUNCTION("""COMPUTED_VALUE"""),"PLOT SERTIPIKAT HILANG")</f>
        <v>PLOT SERTIPIKAT HILANG</v>
      </c>
      <c r="H9" s="7">
        <f t="shared" si="1"/>
        <v>4</v>
      </c>
    </row>
    <row r="10" ht="22.5" customHeight="1">
      <c r="B10" s="7" t="str">
        <f>IFERROR(__xludf.DUMMYFUNCTION("""COMPUTED_VALUE"""),"K/7/141024/1")</f>
        <v>K/7/141024/1</v>
      </c>
      <c r="C10" s="7" t="str">
        <f>IFERROR(__xludf.DUMMYFUNCTION("""COMPUTED_VALUE"""),"M. 631/Pahoman- sekarang; M. 631/Pahoman-Dahulu")</f>
        <v>M. 631/Pahoman- sekarang; M. 631/Pahoman-Dahulu</v>
      </c>
      <c r="D10" s="7" t="str">
        <f>IFERROR(__xludf.DUMMYFUNCTION("""COMPUTED_VALUE"""),"Berry")</f>
        <v>Berry</v>
      </c>
      <c r="E10" s="7" t="str">
        <f>IFERROR(__xludf.DUMMYFUNCTION("""COMPUTED_VALUE"""),"DISERAHKAN")</f>
        <v>DISERAHKAN</v>
      </c>
      <c r="F10" s="9">
        <f>IFERROR(__xludf.DUMMYFUNCTION("""COMPUTED_VALUE"""),45579.629050393516)</f>
        <v>45579.62905</v>
      </c>
      <c r="G10" s="7" t="str">
        <f>IFERROR(__xludf.DUMMYFUNCTION("""COMPUTED_VALUE"""),"ANGKAT SITA")</f>
        <v>ANGKAT SITA</v>
      </c>
      <c r="H10" s="7">
        <f t="shared" si="1"/>
        <v>5</v>
      </c>
    </row>
    <row r="11" ht="22.5" customHeight="1">
      <c r="B11" s="7" t="str">
        <f>IFERROR(__xludf.DUMMYFUNCTION("""COMPUTED_VALUE"""),"L/8/141024/1")</f>
        <v>L/8/141024/1</v>
      </c>
      <c r="C11" s="7" t="str">
        <f>IFERROR(__xludf.DUMMYFUNCTION("""COMPUTED_VALUE"""),"M.1134/GULAK GALIK")</f>
        <v>M.1134/GULAK GALIK</v>
      </c>
      <c r="D11" s="7" t="str">
        <f>IFERROR(__xludf.DUMMYFUNCTION("""COMPUTED_VALUE"""),"Berry")</f>
        <v>Berry</v>
      </c>
      <c r="E11" s="7" t="str">
        <f>IFERROR(__xludf.DUMMYFUNCTION("""COMPUTED_VALUE"""),"DISERAHKAN")</f>
        <v>DISERAHKAN</v>
      </c>
      <c r="F11" s="9">
        <f>IFERROR(__xludf.DUMMYFUNCTION("""COMPUTED_VALUE"""),45579.63003028935)</f>
        <v>45579.63003</v>
      </c>
      <c r="G11" s="7" t="str">
        <f>IFERROR(__xludf.DUMMYFUNCTION("""COMPUTED_VALUE"""),"HAPUS BPHTB")</f>
        <v>HAPUS BPHTB</v>
      </c>
      <c r="H11" s="7">
        <f t="shared" si="1"/>
        <v>6</v>
      </c>
    </row>
    <row r="12" ht="22.5" customHeight="1">
      <c r="B12" s="7" t="str">
        <f>IFERROR(__xludf.DUMMYFUNCTION("""COMPUTED_VALUE"""),"K/9/141024/1")</f>
        <v>K/9/141024/1</v>
      </c>
      <c r="C12" s="7" t="str">
        <f>IFERROR(__xludf.DUMMYFUNCTION("""COMPUTED_VALUE"""),"M.11980/JAGABAYA II")</f>
        <v>M.11980/JAGABAYA II</v>
      </c>
      <c r="D12" s="7" t="str">
        <f>IFERROR(__xludf.DUMMYFUNCTION("""COMPUTED_VALUE"""),"Berry")</f>
        <v>Berry</v>
      </c>
      <c r="E12" s="7" t="str">
        <f>IFERROR(__xludf.DUMMYFUNCTION("""COMPUTED_VALUE"""),"DISERAHKAN")</f>
        <v>DISERAHKAN</v>
      </c>
      <c r="F12" s="9">
        <f>IFERROR(__xludf.DUMMYFUNCTION("""COMPUTED_VALUE"""),45579.629890462966)</f>
        <v>45579.62989</v>
      </c>
      <c r="G12" s="7" t="str">
        <f>IFERROR(__xludf.DUMMYFUNCTION("""COMPUTED_VALUE"""),"ROYA")</f>
        <v>ROYA</v>
      </c>
      <c r="H12" s="7">
        <f t="shared" si="1"/>
        <v>7</v>
      </c>
    </row>
    <row r="13" ht="22.5" customHeight="1">
      <c r="B13" s="7" t="str">
        <f>IFERROR(__xludf.DUMMYFUNCTION("""COMPUTED_VALUE"""),"L/11/141024/1")</f>
        <v>L/11/141024/1</v>
      </c>
      <c r="C13" s="7" t="str">
        <f>IFERROR(__xludf.DUMMYFUNCTION("""COMPUTED_VALUE"""),"HM 1505 LABUHAN DALAM &amp; HM 1506 LABUHAN DALAM")</f>
        <v>HM 1505 LABUHAN DALAM &amp; HM 1506 LABUHAN DALAM</v>
      </c>
      <c r="D13" s="7"/>
      <c r="E13" s="7" t="str">
        <f>IFERROR(__xludf.DUMMYFUNCTION("""COMPUTED_VALUE"""),"TIDAK DITEMUKAN")</f>
        <v>TIDAK DITEMUKAN</v>
      </c>
      <c r="F13" s="9" t="str">
        <f>IFERROR(__xludf.DUMMYFUNCTION("""COMPUTED_VALUE"""),"")</f>
        <v/>
      </c>
      <c r="G13" s="7" t="str">
        <f>IFERROR(__xludf.DUMMYFUNCTION("""COMPUTED_VALUE"""),"ROYA")</f>
        <v>ROYA</v>
      </c>
      <c r="H13" s="7">
        <f t="shared" si="1"/>
        <v>7</v>
      </c>
    </row>
    <row r="14" ht="22.5" customHeight="1">
      <c r="B14" s="7" t="str">
        <f>IFERROR(__xludf.DUMMYFUNCTION("""COMPUTED_VALUE"""),"K/12/141024/1")</f>
        <v>K/12/141024/1</v>
      </c>
      <c r="C14" s="7" t="str">
        <f>IFERROR(__xludf.DUMMYFUNCTION("""COMPUTED_VALUE"""),"M.3326/LANGKAPURA")</f>
        <v>M.3326/LANGKAPURA</v>
      </c>
      <c r="D14" s="7" t="str">
        <f>IFERROR(__xludf.DUMMYFUNCTION("""COMPUTED_VALUE"""),"Berry")</f>
        <v>Berry</v>
      </c>
      <c r="E14" s="7" t="str">
        <f>IFERROR(__xludf.DUMMYFUNCTION("""COMPUTED_VALUE"""),"DISERAHKAN")</f>
        <v>DISERAHKAN</v>
      </c>
      <c r="F14" s="9">
        <f>IFERROR(__xludf.DUMMYFUNCTION("""COMPUTED_VALUE"""),45579.62748780093)</f>
        <v>45579.62749</v>
      </c>
      <c r="G14" s="7" t="str">
        <f>IFERROR(__xludf.DUMMYFUNCTION("""COMPUTED_VALUE"""),"ROYA")</f>
        <v>ROYA</v>
      </c>
      <c r="H14" s="7">
        <f t="shared" si="1"/>
        <v>8</v>
      </c>
    </row>
    <row r="15" ht="22.5" customHeight="1">
      <c r="B15" s="7" t="str">
        <f>IFERROR(__xludf.DUMMYFUNCTION("""COMPUTED_VALUE"""),"K/13/141024/2")</f>
        <v>K/13/141024/2</v>
      </c>
      <c r="C15" s="7" t="str">
        <f>IFERROR(__xludf.DUMMYFUNCTION("""COMPUTED_VALUE"""),"M.1088/NEGERI OLOK GADING-SEKARANG;B.1201/NEGERI OLOK GADING-DAHULU")</f>
        <v>M.1088/NEGERI OLOK GADING-SEKARANG;B.1201/NEGERI OLOK GADING-DAHULU</v>
      </c>
      <c r="D15" s="7" t="str">
        <f>IFERROR(__xludf.DUMMYFUNCTION("""COMPUTED_VALUE"""),"Berry")</f>
        <v>Berry</v>
      </c>
      <c r="E15" s="7" t="str">
        <f>IFERROR(__xludf.DUMMYFUNCTION("""COMPUTED_VALUE"""),"DISERAHKAN")</f>
        <v>DISERAHKAN</v>
      </c>
      <c r="F15" s="9">
        <f>IFERROR(__xludf.DUMMYFUNCTION("""COMPUTED_VALUE"""),45579.63049646991)</f>
        <v>45579.6305</v>
      </c>
      <c r="G15" s="7" t="str">
        <f>IFERROR(__xludf.DUMMYFUNCTION("""COMPUTED_VALUE"""),"ROYA")</f>
        <v>ROYA</v>
      </c>
      <c r="H15" s="7">
        <f t="shared" si="1"/>
        <v>9</v>
      </c>
    </row>
    <row r="16" ht="22.5" customHeight="1">
      <c r="B16" s="7" t="str">
        <f>IFERROR(__xludf.DUMMYFUNCTION("""COMPUTED_VALUE"""),"K/14/141024/3")</f>
        <v>K/14/141024/3</v>
      </c>
      <c r="C16" s="7" t="str">
        <f>IFERROR(__xludf.DUMMYFUNCTION("""COMPUTED_VALUE"""),"M.988/NEGERI OLOK GADING-SEKARANG;B.1050/NEGERI OLOK GADING-DAHULU")</f>
        <v>M.988/NEGERI OLOK GADING-SEKARANG;B.1050/NEGERI OLOK GADING-DAHULU</v>
      </c>
      <c r="D16" s="7" t="str">
        <f>IFERROR(__xludf.DUMMYFUNCTION("""COMPUTED_VALUE"""),"Berry")</f>
        <v>Berry</v>
      </c>
      <c r="E16" s="7" t="str">
        <f>IFERROR(__xludf.DUMMYFUNCTION("""COMPUTED_VALUE"""),"DISERAHKAN")</f>
        <v>DISERAHKAN</v>
      </c>
      <c r="F16" s="9">
        <f>IFERROR(__xludf.DUMMYFUNCTION("""COMPUTED_VALUE"""),45579.6306147338)</f>
        <v>45579.63061</v>
      </c>
      <c r="G16" s="7" t="str">
        <f>IFERROR(__xludf.DUMMYFUNCTION("""COMPUTED_VALUE"""),"ROYA")</f>
        <v>ROYA</v>
      </c>
      <c r="H16" s="7">
        <f t="shared" si="1"/>
        <v>10</v>
      </c>
    </row>
    <row r="17" ht="22.5" customHeight="1">
      <c r="B17" s="7" t="str">
        <f>IFERROR(__xludf.DUMMYFUNCTION("""COMPUTED_VALUE"""),"K/16/141024/1")</f>
        <v>K/16/141024/1</v>
      </c>
      <c r="C17" s="7" t="str">
        <f>IFERROR(__xludf.DUMMYFUNCTION("""COMPUTED_VALUE"""),"M.9137/GEDONG MENENG")</f>
        <v>M.9137/GEDONG MENENG</v>
      </c>
      <c r="D17" s="7" t="str">
        <f>IFERROR(__xludf.DUMMYFUNCTION("""COMPUTED_VALUE"""),"Berry")</f>
        <v>Berry</v>
      </c>
      <c r="E17" s="7" t="str">
        <f>IFERROR(__xludf.DUMMYFUNCTION("""COMPUTED_VALUE"""),"DISERAHKAN")</f>
        <v>DISERAHKAN</v>
      </c>
      <c r="F17" s="9">
        <f>IFERROR(__xludf.DUMMYFUNCTION("""COMPUTED_VALUE"""),45579.62728997685)</f>
        <v>45579.62729</v>
      </c>
      <c r="G17" s="7" t="str">
        <f>IFERROR(__xludf.DUMMYFUNCTION("""COMPUTED_VALUE"""),"SKPT")</f>
        <v>SKPT</v>
      </c>
      <c r="H17" s="7">
        <f t="shared" si="1"/>
        <v>11</v>
      </c>
    </row>
    <row r="18" ht="22.5" customHeight="1">
      <c r="B18" s="7" t="str">
        <f>IFERROR(__xludf.DUMMYFUNCTION("""COMPUTED_VALUE"""),"L/17/141024/1")</f>
        <v>L/17/141024/1</v>
      </c>
      <c r="C18" s="7" t="str">
        <f>IFERROR(__xludf.DUMMYFUNCTION("""COMPUTED_VALUE"""),"HM 2144/WAY KANDIS")</f>
        <v>HM 2144/WAY KANDIS</v>
      </c>
      <c r="D18" s="7" t="str">
        <f>IFERROR(__xludf.DUMMYFUNCTION("""COMPUTED_VALUE"""),"Berry")</f>
        <v>Berry</v>
      </c>
      <c r="E18" s="7" t="str">
        <f>IFERROR(__xludf.DUMMYFUNCTION("""COMPUTED_VALUE"""),"DISERAHKAN")</f>
        <v>DISERAHKAN</v>
      </c>
      <c r="F18" s="9">
        <f>IFERROR(__xludf.DUMMYFUNCTION("""COMPUTED_VALUE"""),45579.62964841435)</f>
        <v>45579.62965</v>
      </c>
      <c r="G18" s="7" t="str">
        <f>IFERROR(__xludf.DUMMYFUNCTION("""COMPUTED_VALUE"""),"ROYA")</f>
        <v>ROYA</v>
      </c>
      <c r="H18" s="7">
        <f t="shared" si="1"/>
        <v>12</v>
      </c>
    </row>
    <row r="19" ht="22.5" customHeight="1">
      <c r="B19" s="7" t="str">
        <f>IFERROR(__xludf.DUMMYFUNCTION("""COMPUTED_VALUE"""),"K/19/141024/1")</f>
        <v>K/19/141024/1</v>
      </c>
      <c r="C19" s="7" t="str">
        <f>IFERROR(__xludf.DUMMYFUNCTION("""COMPUTED_VALUE"""),"M.16678/SUKABUMI")</f>
        <v>M.16678/SUKABUMI</v>
      </c>
      <c r="D19" s="7" t="str">
        <f>IFERROR(__xludf.DUMMYFUNCTION("""COMPUTED_VALUE"""),"Berry")</f>
        <v>Berry</v>
      </c>
      <c r="E19" s="7" t="str">
        <f>IFERROR(__xludf.DUMMYFUNCTION("""COMPUTED_VALUE"""),"DISERAHKAN")</f>
        <v>DISERAHKAN</v>
      </c>
      <c r="F19" s="9">
        <f>IFERROR(__xludf.DUMMYFUNCTION("""COMPUTED_VALUE"""),45579.62653782408)</f>
        <v>45579.62654</v>
      </c>
      <c r="G19" s="7" t="str">
        <f>IFERROR(__xludf.DUMMYFUNCTION("""COMPUTED_VALUE"""),"PERALIHAN JUAL BELI")</f>
        <v>PERALIHAN JUAL BELI</v>
      </c>
      <c r="H19" s="7">
        <f t="shared" si="1"/>
        <v>13</v>
      </c>
    </row>
    <row r="20" ht="22.5" customHeight="1">
      <c r="B20" s="7" t="str">
        <f>IFERROR(__xludf.DUMMYFUNCTION("""COMPUTED_VALUE"""),"L/18/141024/1")</f>
        <v>L/18/141024/1</v>
      </c>
      <c r="C20" s="7" t="str">
        <f>IFERROR(__xludf.DUMMYFUNCTION("""COMPUTED_VALUE"""),"M.331/NUSANTARA PERMAI;B.389/CAMPANG RAYA-DAHULU")</f>
        <v>M.331/NUSANTARA PERMAI;B.389/CAMPANG RAYA-DAHULU</v>
      </c>
      <c r="D20" s="7" t="str">
        <f>IFERROR(__xludf.DUMMYFUNCTION("""COMPUTED_VALUE"""),"Berry")</f>
        <v>Berry</v>
      </c>
      <c r="E20" s="7" t="str">
        <f>IFERROR(__xludf.DUMMYFUNCTION("""COMPUTED_VALUE"""),"DISERAHKAN")</f>
        <v>DISERAHKAN</v>
      </c>
      <c r="F20" s="9">
        <f>IFERROR(__xludf.DUMMYFUNCTION("""COMPUTED_VALUE"""),45579.62795226852)</f>
        <v>45579.62795</v>
      </c>
      <c r="G20" s="7" t="str">
        <f>IFERROR(__xludf.DUMMYFUNCTION("""COMPUTED_VALUE"""),"BLOKIR")</f>
        <v>BLOKIR</v>
      </c>
      <c r="H20" s="7">
        <f t="shared" si="1"/>
        <v>14</v>
      </c>
    </row>
    <row r="21" ht="22.5" customHeight="1">
      <c r="B21" s="7" t="str">
        <f>IFERROR(__xludf.DUMMYFUNCTION("""COMPUTED_VALUE"""),"K/20/141024/1")</f>
        <v>K/20/141024/1</v>
      </c>
      <c r="C21" s="7" t="str">
        <f>IFERROR(__xludf.DUMMYFUNCTION("""COMPUTED_VALUE"""),"M.12883/RAJABASA-SEKARANG;B.1210/RAJABASA-DAHULU")</f>
        <v>M.12883/RAJABASA-SEKARANG;B.1210/RAJABASA-DAHULU</v>
      </c>
      <c r="D21" s="7" t="str">
        <f>IFERROR(__xludf.DUMMYFUNCTION("""COMPUTED_VALUE"""),"Berry")</f>
        <v>Berry</v>
      </c>
      <c r="E21" s="7" t="str">
        <f>IFERROR(__xludf.DUMMYFUNCTION("""COMPUTED_VALUE"""),"DISERAHKAN")</f>
        <v>DISERAHKAN</v>
      </c>
      <c r="F21" s="9">
        <f>IFERROR(__xludf.DUMMYFUNCTION("""COMPUTED_VALUE"""),45579.628188125)</f>
        <v>45579.62819</v>
      </c>
      <c r="G21" s="7" t="str">
        <f>IFERROR(__xludf.DUMMYFUNCTION("""COMPUTED_VALUE"""),"GANDES")</f>
        <v>GANDES</v>
      </c>
      <c r="H21" s="7">
        <f t="shared" si="1"/>
        <v>15</v>
      </c>
    </row>
    <row r="22" ht="22.5" customHeight="1">
      <c r="B22" s="7" t="str">
        <f>IFERROR(__xludf.DUMMYFUNCTION("""COMPUTED_VALUE"""),"L/21/141024/1")</f>
        <v>L/21/141024/1</v>
      </c>
      <c r="C22" s="7" t="str">
        <f>IFERROR(__xludf.DUMMYFUNCTION("""COMPUTED_VALUE"""),"HM 1812/TANJUNG SENANG")</f>
        <v>HM 1812/TANJUNG SENANG</v>
      </c>
      <c r="D22" s="7" t="str">
        <f>IFERROR(__xludf.DUMMYFUNCTION("""COMPUTED_VALUE"""),"Berry")</f>
        <v>Berry</v>
      </c>
      <c r="E22" s="7" t="str">
        <f>IFERROR(__xludf.DUMMYFUNCTION("""COMPUTED_VALUE"""),"DISERAHKAN")</f>
        <v>DISERAHKAN</v>
      </c>
      <c r="F22" s="9">
        <f>IFERROR(__xludf.DUMMYFUNCTION("""COMPUTED_VALUE"""),45579.62832758102)</f>
        <v>45579.62833</v>
      </c>
      <c r="G22" s="7" t="str">
        <f>IFERROR(__xludf.DUMMYFUNCTION("""COMPUTED_VALUE"""),"ROYA")</f>
        <v>ROYA</v>
      </c>
      <c r="H22" s="7">
        <f t="shared" si="1"/>
        <v>16</v>
      </c>
    </row>
    <row r="23" ht="22.5" customHeight="1">
      <c r="B23" s="7" t="str">
        <f>IFERROR(__xludf.DUMMYFUNCTION("""COMPUTED_VALUE"""),"K/22/141024/1")</f>
        <v>K/22/141024/1</v>
      </c>
      <c r="C23" s="7" t="str">
        <f>IFERROR(__xludf.DUMMYFUNCTION("""COMPUTED_VALUE"""),"M. 6977/ TANJUNG SENANG")</f>
        <v>M. 6977/ TANJUNG SENANG</v>
      </c>
      <c r="D23" s="7" t="str">
        <f>IFERROR(__xludf.DUMMYFUNCTION("""COMPUTED_VALUE"""),"Berry")</f>
        <v>Berry</v>
      </c>
      <c r="E23" s="7" t="str">
        <f>IFERROR(__xludf.DUMMYFUNCTION("""COMPUTED_VALUE"""),"DISERAHKAN")</f>
        <v>DISERAHKAN</v>
      </c>
      <c r="F23" s="9">
        <f>IFERROR(__xludf.DUMMYFUNCTION("""COMPUTED_VALUE"""),45579.62844675926)</f>
        <v>45579.62845</v>
      </c>
      <c r="G23" s="7" t="str">
        <f>IFERROR(__xludf.DUMMYFUNCTION("""COMPUTED_VALUE"""),"PERALIHAN JUAL BELI")</f>
        <v>PERALIHAN JUAL BELI</v>
      </c>
      <c r="H23" s="7">
        <f t="shared" si="1"/>
        <v>17</v>
      </c>
    </row>
    <row r="24" ht="22.5" customHeight="1">
      <c r="B24" s="7" t="str">
        <f>IFERROR(__xludf.DUMMYFUNCTION("""COMPUTED_VALUE"""),"K/23/141024/2")</f>
        <v>K/23/141024/2</v>
      </c>
      <c r="C24" s="7" t="str">
        <f>IFERROR(__xludf.DUMMYFUNCTION("""COMPUTED_VALUE"""),"M. 246/ GUNUNG SULAH")</f>
        <v>M. 246/ GUNUNG SULAH</v>
      </c>
      <c r="D24" s="7" t="str">
        <f>IFERROR(__xludf.DUMMYFUNCTION("""COMPUTED_VALUE"""),"Berry")</f>
        <v>Berry</v>
      </c>
      <c r="E24" s="7" t="str">
        <f>IFERROR(__xludf.DUMMYFUNCTION("""COMPUTED_VALUE"""),"DISERAHKAN")</f>
        <v>DISERAHKAN</v>
      </c>
      <c r="F24" s="9">
        <f>IFERROR(__xludf.DUMMYFUNCTION("""COMPUTED_VALUE"""),45579.62973648148)</f>
        <v>45579.62974</v>
      </c>
      <c r="G24" s="7" t="str">
        <f>IFERROR(__xludf.DUMMYFUNCTION("""COMPUTED_VALUE"""),"PLOTTING")</f>
        <v>PLOTTING</v>
      </c>
      <c r="H24" s="7">
        <f t="shared" si="1"/>
        <v>18</v>
      </c>
    </row>
    <row r="25" ht="22.5" customHeight="1">
      <c r="B25" s="7" t="str">
        <f>IFERROR(__xludf.DUMMYFUNCTION("""COMPUTED_VALUE"""),"L/24/141024/1")</f>
        <v>L/24/141024/1</v>
      </c>
      <c r="C25" s="7" t="str">
        <f>IFERROR(__xludf.DUMMYFUNCTION("""COMPUTED_VALUE"""),"M.2064/GUNUNG TERANG")</f>
        <v>M.2064/GUNUNG TERANG</v>
      </c>
      <c r="D25" s="7" t="str">
        <f>IFERROR(__xludf.DUMMYFUNCTION("""COMPUTED_VALUE"""),"Berry")</f>
        <v>Berry</v>
      </c>
      <c r="E25" s="7" t="str">
        <f>IFERROR(__xludf.DUMMYFUNCTION("""COMPUTED_VALUE"""),"DISERAHKAN")</f>
        <v>DISERAHKAN</v>
      </c>
      <c r="F25" s="9">
        <f>IFERROR(__xludf.DUMMYFUNCTION("""COMPUTED_VALUE"""),45579.62615322917)</f>
        <v>45579.62615</v>
      </c>
      <c r="G25" s="7" t="str">
        <f>IFERROR(__xludf.DUMMYFUNCTION("""COMPUTED_VALUE"""),"ROYA")</f>
        <v>ROYA</v>
      </c>
      <c r="H25" s="7">
        <f t="shared" si="1"/>
        <v>19</v>
      </c>
    </row>
    <row r="26" ht="22.5" customHeight="1">
      <c r="B26" s="7" t="str">
        <f>IFERROR(__xludf.DUMMYFUNCTION("""COMPUTED_VALUE"""),"K/25/141024/3")</f>
        <v>K/25/141024/3</v>
      </c>
      <c r="C26" s="7" t="str">
        <f>IFERROR(__xludf.DUMMYFUNCTION("""COMPUTED_VALUE"""),"M. 133/ SUKARAME BARU- SEKARANG; B. 144/ SUKARAME BARU-DAHULU; B. 4605/SUKARAME I-DAHULU")</f>
        <v>M. 133/ SUKARAME BARU- SEKARANG; B. 144/ SUKARAME BARU-DAHULU; B. 4605/SUKARAME I-DAHULU</v>
      </c>
      <c r="D26" s="7" t="str">
        <f>IFERROR(__xludf.DUMMYFUNCTION("""COMPUTED_VALUE"""),"Berry")</f>
        <v>Berry</v>
      </c>
      <c r="E26" s="7" t="str">
        <f>IFERROR(__xludf.DUMMYFUNCTION("""COMPUTED_VALUE"""),"DISERAHKAN")</f>
        <v>DISERAHKAN</v>
      </c>
      <c r="F26" s="9">
        <f>IFERROR(__xludf.DUMMYFUNCTION("""COMPUTED_VALUE"""),45579.62857482639)</f>
        <v>45579.62857</v>
      </c>
      <c r="G26" s="7" t="str">
        <f>IFERROR(__xludf.DUMMYFUNCTION("""COMPUTED_VALUE"""),"PERALIHAN JUAL BELI")</f>
        <v>PERALIHAN JUAL BELI</v>
      </c>
      <c r="H26" s="7">
        <f t="shared" si="1"/>
        <v>20</v>
      </c>
    </row>
    <row r="27" ht="22.5" customHeight="1">
      <c r="B27" s="7" t="str">
        <f>IFERROR(__xludf.DUMMYFUNCTION("""COMPUTED_VALUE"""),"K/26/141024/1")</f>
        <v>K/26/141024/1</v>
      </c>
      <c r="C27" s="7" t="str">
        <f>IFERROR(__xludf.DUMMYFUNCTION("""COMPUTED_VALUE"""),"M.2094/CAMPANG JAYA")</f>
        <v>M.2094/CAMPANG JAYA</v>
      </c>
      <c r="D27" s="7" t="str">
        <f>IFERROR(__xludf.DUMMYFUNCTION("""COMPUTED_VALUE"""),"Berry")</f>
        <v>Berry</v>
      </c>
      <c r="E27" s="7" t="str">
        <f>IFERROR(__xludf.DUMMYFUNCTION("""COMPUTED_VALUE"""),"DISERAHKAN")</f>
        <v>DISERAHKAN</v>
      </c>
      <c r="F27" s="9">
        <f>IFERROR(__xludf.DUMMYFUNCTION("""COMPUTED_VALUE"""),45579.62709289352)</f>
        <v>45579.62709</v>
      </c>
      <c r="G27" s="7" t="str">
        <f>IFERROR(__xludf.DUMMYFUNCTION("""COMPUTED_VALUE"""),"PERALIHAN JUAL BELI")</f>
        <v>PERALIHAN JUAL BELI</v>
      </c>
      <c r="H27" s="7">
        <f t="shared" si="1"/>
        <v>21</v>
      </c>
    </row>
    <row r="28" ht="22.5" customHeight="1">
      <c r="B28" s="7" t="str">
        <f>IFERROR(__xludf.DUMMYFUNCTION("""COMPUTED_VALUE"""),"K/27/141024/4")</f>
        <v>K/27/141024/4</v>
      </c>
      <c r="C28" s="7" t="str">
        <f>IFERROR(__xludf.DUMMYFUNCTION("""COMPUTED_VALUE"""),"M. 13414/ SUKABUMI")</f>
        <v>M. 13414/ SUKABUMI</v>
      </c>
      <c r="D28" s="7" t="str">
        <f>IFERROR(__xludf.DUMMYFUNCTION("""COMPUTED_VALUE"""),"Alfiansyah")</f>
        <v>Alfiansyah</v>
      </c>
      <c r="E28" s="7" t="str">
        <f>IFERROR(__xludf.DUMMYFUNCTION("""COMPUTED_VALUE"""),"DISERAHKAN BT")</f>
        <v>DISERAHKAN BT</v>
      </c>
      <c r="F28" s="9">
        <f>IFERROR(__xludf.DUMMYFUNCTION("""COMPUTED_VALUE"""),45610.3643525463)</f>
        <v>45610.36435</v>
      </c>
      <c r="G28" s="7" t="str">
        <f>IFERROR(__xludf.DUMMYFUNCTION("""COMPUTED_VALUE"""),"PERALIHAN JUAL BELI")</f>
        <v>PERALIHAN JUAL BELI</v>
      </c>
      <c r="H28" s="7">
        <f t="shared" si="1"/>
        <v>21</v>
      </c>
    </row>
    <row r="29" ht="22.5" customHeight="1">
      <c r="B29" s="7" t="str">
        <f>IFERROR(__xludf.DUMMYFUNCTION("""COMPUTED_VALUE"""),"K/28/141024/1")</f>
        <v>K/28/141024/1</v>
      </c>
      <c r="C29" s="7" t="str">
        <f>IFERROR(__xludf.DUMMYFUNCTION("""COMPUTED_VALUE"""),"B.895/BERINGIN JAYA")</f>
        <v>B.895/BERINGIN JAYA</v>
      </c>
      <c r="D29" s="7" t="str">
        <f>IFERROR(__xludf.DUMMYFUNCTION("""COMPUTED_VALUE"""),"Berry")</f>
        <v>Berry</v>
      </c>
      <c r="E29" s="7" t="str">
        <f>IFERROR(__xludf.DUMMYFUNCTION("""COMPUTED_VALUE"""),"DISERAHKAN")</f>
        <v>DISERAHKAN</v>
      </c>
      <c r="F29" s="9">
        <f>IFERROR(__xludf.DUMMYFUNCTION("""COMPUTED_VALUE"""),45579.630171365745)</f>
        <v>45579.63017</v>
      </c>
      <c r="G29" s="7" t="str">
        <f>IFERROR(__xludf.DUMMYFUNCTION("""COMPUTED_VALUE"""),"PERALIHAN JUAL BELI")</f>
        <v>PERALIHAN JUAL BELI</v>
      </c>
      <c r="H29" s="7">
        <f t="shared" si="1"/>
        <v>22</v>
      </c>
    </row>
    <row r="30" ht="22.5" customHeight="1">
      <c r="B30" s="7" t="str">
        <f>IFERROR(__xludf.DUMMYFUNCTION("""COMPUTED_VALUE"""),"K/29/141024/1")</f>
        <v>K/29/141024/1</v>
      </c>
      <c r="C30" s="7" t="str">
        <f>IFERROR(__xludf.DUMMYFUNCTION("""COMPUTED_VALUE"""),"M. 2445/ SUKADANA HAM")</f>
        <v>M. 2445/ SUKADANA HAM</v>
      </c>
      <c r="D30" s="7"/>
      <c r="E30" s="7" t="str">
        <f>IFERROR(__xludf.DUMMYFUNCTION("""COMPUTED_VALUE"""),"PROSES")</f>
        <v>PROSES</v>
      </c>
      <c r="F30" s="9" t="str">
        <f>IFERROR(__xludf.DUMMYFUNCTION("""COMPUTED_VALUE"""),"")</f>
        <v/>
      </c>
      <c r="G30" s="7" t="str">
        <f>IFERROR(__xludf.DUMMYFUNCTION("""COMPUTED_VALUE"""),"PTPGT PEMECAHAN")</f>
        <v>PTPGT PEMECAHAN</v>
      </c>
      <c r="H30" s="7">
        <f t="shared" si="1"/>
        <v>22</v>
      </c>
    </row>
    <row r="31" ht="22.5" customHeight="1">
      <c r="B31" s="7" t="str">
        <f>IFERROR(__xludf.DUMMYFUNCTION("""COMPUTED_VALUE"""),"K/30/141024/1")</f>
        <v>K/30/141024/1</v>
      </c>
      <c r="C31" s="7" t="str">
        <f>IFERROR(__xludf.DUMMYFUNCTION("""COMPUTED_VALUE"""),"M.2617/WAY KANDIS")</f>
        <v>M.2617/WAY KANDIS</v>
      </c>
      <c r="D31" s="7" t="str">
        <f>IFERROR(__xludf.DUMMYFUNCTION("""COMPUTED_VALUE"""),"Berry")</f>
        <v>Berry</v>
      </c>
      <c r="E31" s="7" t="str">
        <f>IFERROR(__xludf.DUMMYFUNCTION("""COMPUTED_VALUE"""),"DISERAHKAN")</f>
        <v>DISERAHKAN</v>
      </c>
      <c r="F31" s="9">
        <f>IFERROR(__xludf.DUMMYFUNCTION("""COMPUTED_VALUE"""),45579.63192630787)</f>
        <v>45579.63193</v>
      </c>
      <c r="G31" s="7" t="str">
        <f>IFERROR(__xludf.DUMMYFUNCTION("""COMPUTED_VALUE"""),"ROYA")</f>
        <v>ROYA</v>
      </c>
      <c r="H31" s="7">
        <f t="shared" si="1"/>
        <v>23</v>
      </c>
    </row>
    <row r="32" ht="22.5" customHeight="1">
      <c r="B32" s="7" t="str">
        <f>IFERROR(__xludf.DUMMYFUNCTION("""COMPUTED_VALUE"""),"K/31/141024/1")</f>
        <v>K/31/141024/1</v>
      </c>
      <c r="C32" s="7" t="str">
        <f>IFERROR(__xludf.DUMMYFUNCTION("""COMPUTED_VALUE"""),"NIBEL 1691/ SUKABUMI INDAH")</f>
        <v>NIBEL 1691/ SUKABUMI INDAH</v>
      </c>
      <c r="D32" s="7"/>
      <c r="E32" s="7"/>
      <c r="F32" s="9" t="str">
        <f>IFERROR(__xludf.DUMMYFUNCTION("""COMPUTED_VALUE"""),"")</f>
        <v/>
      </c>
      <c r="G32" s="7" t="str">
        <f>IFERROR(__xludf.DUMMYFUNCTION("""COMPUTED_VALUE"""),"PERUBAHAN HAK")</f>
        <v>PERUBAHAN HAK</v>
      </c>
      <c r="H32" s="7">
        <f t="shared" si="1"/>
        <v>23</v>
      </c>
    </row>
    <row r="33" ht="22.5" customHeight="1">
      <c r="B33" s="7" t="str">
        <f>IFERROR(__xludf.DUMMYFUNCTION("""COMPUTED_VALUE"""),"L/34/141024/1")</f>
        <v>L/34/141024/1</v>
      </c>
      <c r="C33" s="7" t="str">
        <f>IFERROR(__xludf.DUMMYFUNCTION("""COMPUTED_VALUE"""),"KORPRI JAYA")</f>
        <v>KORPRI JAYA</v>
      </c>
      <c r="D33" s="7"/>
      <c r="E33" s="7"/>
      <c r="F33" s="9" t="str">
        <f>IFERROR(__xludf.DUMMYFUNCTION("""COMPUTED_VALUE"""),"")</f>
        <v/>
      </c>
      <c r="G33" s="7" t="str">
        <f>IFERROR(__xludf.DUMMYFUNCTION("""COMPUTED_VALUE"""),"PERTAMA KALI")</f>
        <v>PERTAMA KALI</v>
      </c>
      <c r="H33" s="7">
        <f t="shared" si="1"/>
        <v>23</v>
      </c>
    </row>
    <row r="34" ht="22.5" customHeight="1">
      <c r="B34" s="7" t="str">
        <f>IFERROR(__xludf.DUMMYFUNCTION("""COMPUTED_VALUE"""),"L/33/141024/1")</f>
        <v>L/33/141024/1</v>
      </c>
      <c r="C34" s="7" t="str">
        <f>IFERROR(__xludf.DUMMYFUNCTION("""COMPUTED_VALUE"""),"M.1540/GUNUNG TERANG;B.17/GU TERANG-DAHULU")</f>
        <v>M.1540/GUNUNG TERANG;B.17/GU TERANG-DAHULU</v>
      </c>
      <c r="D34" s="7" t="str">
        <f>IFERROR(__xludf.DUMMYFUNCTION("""COMPUTED_VALUE"""),"David")</f>
        <v>David</v>
      </c>
      <c r="E34" s="7" t="str">
        <f>IFERROR(__xludf.DUMMYFUNCTION("""COMPUTED_VALUE"""),"DISERAHKAN BT")</f>
        <v>DISERAHKAN BT</v>
      </c>
      <c r="F34" s="9">
        <f>IFERROR(__xludf.DUMMYFUNCTION("""COMPUTED_VALUE"""),45580.66785084491)</f>
        <v>45580.66785</v>
      </c>
      <c r="G34" s="7" t="str">
        <f>IFERROR(__xludf.DUMMYFUNCTION("""COMPUTED_VALUE"""),"ROYA")</f>
        <v>ROYA</v>
      </c>
      <c r="H34" s="7">
        <f t="shared" si="1"/>
        <v>23</v>
      </c>
    </row>
    <row r="35" ht="22.5" customHeight="1">
      <c r="B35" s="7" t="str">
        <f>IFERROR(__xludf.DUMMYFUNCTION("""COMPUTED_VALUE"""),"K/32/141024/1")</f>
        <v>K/32/141024/1</v>
      </c>
      <c r="C35" s="7" t="str">
        <f>IFERROR(__xludf.DUMMYFUNCTION("""COMPUTED_VALUE"""),"M.10108/LABUHAN RATU")</f>
        <v>M.10108/LABUHAN RATU</v>
      </c>
      <c r="D35" s="7" t="str">
        <f>IFERROR(__xludf.DUMMYFUNCTION("""COMPUTED_VALUE"""),"Bayu")</f>
        <v>Bayu</v>
      </c>
      <c r="E35" s="7" t="str">
        <f>IFERROR(__xludf.DUMMYFUNCTION("""COMPUTED_VALUE"""),"DISERAHKAN")</f>
        <v>DISERAHKAN</v>
      </c>
      <c r="F35" s="9">
        <f>IFERROR(__xludf.DUMMYFUNCTION("""COMPUTED_VALUE"""),45580.66059434028)</f>
        <v>45580.66059</v>
      </c>
      <c r="G35" s="7" t="str">
        <f>IFERROR(__xludf.DUMMYFUNCTION("""COMPUTED_VALUE"""),"GANDES")</f>
        <v>GANDES</v>
      </c>
      <c r="H35" s="7">
        <f t="shared" si="1"/>
        <v>24</v>
      </c>
    </row>
    <row r="36" ht="22.5" customHeight="1">
      <c r="B36" s="7" t="str">
        <f>IFERROR(__xludf.DUMMYFUNCTION("""COMPUTED_VALUE"""),"L/35/141024/1")</f>
        <v>L/35/141024/1</v>
      </c>
      <c r="C36" s="7" t="str">
        <f>IFERROR(__xludf.DUMMYFUNCTION("""COMPUTED_VALUE"""),"M.676/SAWAH BREBES")</f>
        <v>M.676/SAWAH BREBES</v>
      </c>
      <c r="D36" s="7" t="str">
        <f>IFERROR(__xludf.DUMMYFUNCTION("""COMPUTED_VALUE"""),"David")</f>
        <v>David</v>
      </c>
      <c r="E36" s="7" t="str">
        <f>IFERROR(__xludf.DUMMYFUNCTION("""COMPUTED_VALUE"""),"DISERAHKAN BT")</f>
        <v>DISERAHKAN BT</v>
      </c>
      <c r="F36" s="9">
        <f>IFERROR(__xludf.DUMMYFUNCTION("""COMPUTED_VALUE"""),45580.66789099537)</f>
        <v>45580.66789</v>
      </c>
      <c r="G36" s="7" t="str">
        <f>IFERROR(__xludf.DUMMYFUNCTION("""COMPUTED_VALUE"""),"ROYA LELANG")</f>
        <v>ROYA LELANG</v>
      </c>
      <c r="H36" s="7">
        <f t="shared" si="1"/>
        <v>24</v>
      </c>
    </row>
    <row r="37" ht="22.5" customHeight="1">
      <c r="B37" s="7" t="str">
        <f>IFERROR(__xludf.DUMMYFUNCTION("""COMPUTED_VALUE"""),"K/36/141024/1")</f>
        <v>K/36/141024/1</v>
      </c>
      <c r="C37" s="7" t="str">
        <f>IFERROR(__xludf.DUMMYFUNCTION("""COMPUTED_VALUE"""),"M.250/LANGKAPURA BARU")</f>
        <v>M.250/LANGKAPURA BARU</v>
      </c>
      <c r="D37" s="7" t="str">
        <f>IFERROR(__xludf.DUMMYFUNCTION("""COMPUTED_VALUE"""),"David")</f>
        <v>David</v>
      </c>
      <c r="E37" s="7" t="str">
        <f>IFERROR(__xludf.DUMMYFUNCTION("""COMPUTED_VALUE"""),"DISERAHKAN BT")</f>
        <v>DISERAHKAN BT</v>
      </c>
      <c r="F37" s="9">
        <f>IFERROR(__xludf.DUMMYFUNCTION("""COMPUTED_VALUE"""),45580.667953020835)</f>
        <v>45580.66795</v>
      </c>
      <c r="G37" s="7" t="str">
        <f>IFERROR(__xludf.DUMMYFUNCTION("""COMPUTED_VALUE"""),"PERALIHAN JUAL BELI")</f>
        <v>PERALIHAN JUAL BELI</v>
      </c>
      <c r="H37" s="7">
        <f t="shared" si="1"/>
        <v>24</v>
      </c>
    </row>
    <row r="38" ht="22.5" customHeight="1">
      <c r="B38" s="7" t="str">
        <f>IFERROR(__xludf.DUMMYFUNCTION("""COMPUTED_VALUE"""),"K/38/141024/1")</f>
        <v>K/38/141024/1</v>
      </c>
      <c r="C38" s="7" t="str">
        <f>IFERROR(__xludf.DUMMYFUNCTION("""COMPUTED_VALUE"""),"M. 3157/ LABUHAN DALAM")</f>
        <v>M. 3157/ LABUHAN DALAM</v>
      </c>
      <c r="D38" s="7" t="str">
        <f>IFERROR(__xludf.DUMMYFUNCTION("""COMPUTED_VALUE"""),"David")</f>
        <v>David</v>
      </c>
      <c r="E38" s="7" t="str">
        <f>IFERROR(__xludf.DUMMYFUNCTION("""COMPUTED_VALUE"""),"DISERAHKAN BT")</f>
        <v>DISERAHKAN BT</v>
      </c>
      <c r="F38" s="9">
        <f>IFERROR(__xludf.DUMMYFUNCTION("""COMPUTED_VALUE"""),45580.668006886575)</f>
        <v>45580.66801</v>
      </c>
      <c r="G38" s="7" t="str">
        <f>IFERROR(__xludf.DUMMYFUNCTION("""COMPUTED_VALUE"""),"PERALIHAN HAK JUAL BELI")</f>
        <v>PERALIHAN HAK JUAL BELI</v>
      </c>
      <c r="H38" s="7">
        <f t="shared" si="1"/>
        <v>24</v>
      </c>
    </row>
    <row r="39" ht="22.5" customHeight="1">
      <c r="B39" s="7" t="str">
        <f>IFERROR(__xludf.DUMMYFUNCTION("""COMPUTED_VALUE"""),"K/39/141024/1")</f>
        <v>K/39/141024/1</v>
      </c>
      <c r="C39" s="7" t="str">
        <f>IFERROR(__xludf.DUMMYFUNCTION("""COMPUTED_VALUE"""),"M.379/KALI BALAU KENCANA")</f>
        <v>M.379/KALI BALAU KENCANA</v>
      </c>
      <c r="D39" s="7"/>
      <c r="E39" s="7"/>
      <c r="F39" s="9" t="str">
        <f>IFERROR(__xludf.DUMMYFUNCTION("""COMPUTED_VALUE"""),"")</f>
        <v/>
      </c>
      <c r="G39" s="7" t="str">
        <f>IFERROR(__xludf.DUMMYFUNCTION("""COMPUTED_VALUE"""),"GANDES")</f>
        <v>GANDES</v>
      </c>
      <c r="H39" s="7">
        <f t="shared" si="1"/>
        <v>24</v>
      </c>
    </row>
    <row r="40" ht="22.5" customHeight="1">
      <c r="B40" s="7" t="str">
        <f>IFERROR(__xludf.DUMMYFUNCTION("""COMPUTED_VALUE"""),"K/40/141024/5")</f>
        <v>K/40/141024/5</v>
      </c>
      <c r="C40" s="7" t="str">
        <f>IFERROR(__xludf.DUMMYFUNCTION("""COMPUTED_VALUE"""),"NIBEL 2507/ SUMUR BATU")</f>
        <v>NIBEL 2507/ SUMUR BATU</v>
      </c>
      <c r="D40" s="7"/>
      <c r="E40" s="7"/>
      <c r="F40" s="9" t="str">
        <f>IFERROR(__xludf.DUMMYFUNCTION("""COMPUTED_VALUE"""),"")</f>
        <v/>
      </c>
      <c r="G40" s="7" t="str">
        <f>IFERROR(__xludf.DUMMYFUNCTION("""COMPUTED_VALUE"""),"PERALIHAN JUAL BELI")</f>
        <v>PERALIHAN JUAL BELI</v>
      </c>
      <c r="H40" s="7">
        <f t="shared" si="1"/>
        <v>24</v>
      </c>
    </row>
    <row r="41" ht="22.5" customHeight="1">
      <c r="B41" s="7" t="str">
        <f>IFERROR(__xludf.DUMMYFUNCTION("""COMPUTED_VALUE"""),"K/42/141024/1")</f>
        <v>K/42/141024/1</v>
      </c>
      <c r="C41" s="7" t="str">
        <f>IFERROR(__xludf.DUMMYFUNCTION("""COMPUTED_VALUE"""),"M.10676/KEDATON")</f>
        <v>M.10676/KEDATON</v>
      </c>
      <c r="D41" s="7"/>
      <c r="E41" s="7"/>
      <c r="F41" s="9" t="str">
        <f>IFERROR(__xludf.DUMMYFUNCTION("""COMPUTED_VALUE"""),"")</f>
        <v/>
      </c>
      <c r="G41" s="7" t="str">
        <f>IFERROR(__xludf.DUMMYFUNCTION("""COMPUTED_VALUE"""),"GANDES")</f>
        <v>GANDES</v>
      </c>
      <c r="H41" s="7">
        <f t="shared" si="1"/>
        <v>24</v>
      </c>
    </row>
    <row r="42" ht="22.5" customHeight="1">
      <c r="B42" s="7" t="str">
        <f>IFERROR(__xludf.DUMMYFUNCTION("""COMPUTED_VALUE"""),"K/41/141024/1")</f>
        <v>K/41/141024/1</v>
      </c>
      <c r="C42" s="7" t="str">
        <f>IFERROR(__xludf.DUMMYFUNCTION("""COMPUTED_VALUE"""),"M. 2283/ GEDONG AIR")</f>
        <v>M. 2283/ GEDONG AIR</v>
      </c>
      <c r="D42" s="7" t="str">
        <f>IFERROR(__xludf.DUMMYFUNCTION("""COMPUTED_VALUE"""),"David")</f>
        <v>David</v>
      </c>
      <c r="E42" s="7" t="str">
        <f>IFERROR(__xludf.DUMMYFUNCTION("""COMPUTED_VALUE"""),"DISERAHKAN BT")</f>
        <v>DISERAHKAN BT</v>
      </c>
      <c r="F42" s="9">
        <f>IFERROR(__xludf.DUMMYFUNCTION("""COMPUTED_VALUE"""),45580.66823964121)</f>
        <v>45580.66824</v>
      </c>
      <c r="G42" s="7" t="str">
        <f>IFERROR(__xludf.DUMMYFUNCTION("""COMPUTED_VALUE"""),"ROYA")</f>
        <v>ROYA</v>
      </c>
      <c r="H42" s="7">
        <f t="shared" si="1"/>
        <v>24</v>
      </c>
    </row>
    <row r="43" ht="22.5" customHeight="1">
      <c r="B43" s="7" t="str">
        <f>IFERROR(__xludf.DUMMYFUNCTION("""COMPUTED_VALUE"""),"K/43/141024/1")</f>
        <v>K/43/141024/1</v>
      </c>
      <c r="C43" s="7" t="str">
        <f>IFERROR(__xludf.DUMMYFUNCTION("""COMPUTED_VALUE"""),"B.2096/CAMPANG RAYA")</f>
        <v>B.2096/CAMPANG RAYA</v>
      </c>
      <c r="D43" s="7"/>
      <c r="E43" s="7"/>
      <c r="F43" s="9" t="str">
        <f>IFERROR(__xludf.DUMMYFUNCTION("""COMPUTED_VALUE"""),"")</f>
        <v/>
      </c>
      <c r="G43" s="7" t="str">
        <f>IFERROR(__xludf.DUMMYFUNCTION("""COMPUTED_VALUE"""),"GANDES")</f>
        <v>GANDES</v>
      </c>
      <c r="H43" s="7">
        <f t="shared" si="1"/>
        <v>24</v>
      </c>
    </row>
    <row r="44" ht="22.5" customHeight="1">
      <c r="B44" s="7" t="str">
        <f>IFERROR(__xludf.DUMMYFUNCTION("""COMPUTED_VALUE"""),"K/44/141024/2")</f>
        <v>K/44/141024/2</v>
      </c>
      <c r="C44" s="7" t="str">
        <f>IFERROR(__xludf.DUMMYFUNCTION("""COMPUTED_VALUE"""),"B.2095/CAMPANG RAYA")</f>
        <v>B.2095/CAMPANG RAYA</v>
      </c>
      <c r="D44" s="7"/>
      <c r="E44" s="7"/>
      <c r="F44" s="9" t="str">
        <f>IFERROR(__xludf.DUMMYFUNCTION("""COMPUTED_VALUE"""),"")</f>
        <v/>
      </c>
      <c r="G44" s="7" t="str">
        <f>IFERROR(__xludf.DUMMYFUNCTION("""COMPUTED_VALUE"""),"GANDES")</f>
        <v>GANDES</v>
      </c>
      <c r="H44" s="7">
        <f t="shared" si="1"/>
        <v>24</v>
      </c>
    </row>
    <row r="45" ht="22.5" customHeight="1">
      <c r="B45" s="7" t="str">
        <f>IFERROR(__xludf.DUMMYFUNCTION("""COMPUTED_VALUE"""),"K/45/151024/1")</f>
        <v>K/45/151024/1</v>
      </c>
      <c r="C45" s="7" t="str">
        <f>IFERROR(__xludf.DUMMYFUNCTION("""COMPUTED_VALUE"""),"M. 2732/ KOTA BARU")</f>
        <v>M. 2732/ KOTA BARU</v>
      </c>
      <c r="D45" s="7" t="str">
        <f>IFERROR(__xludf.DUMMYFUNCTION("""COMPUTED_VALUE"""),"David")</f>
        <v>David</v>
      </c>
      <c r="E45" s="7" t="str">
        <f>IFERROR(__xludf.DUMMYFUNCTION("""COMPUTED_VALUE"""),"DISERAHKAN")</f>
        <v>DISERAHKAN</v>
      </c>
      <c r="F45" s="9">
        <f>IFERROR(__xludf.DUMMYFUNCTION("""COMPUTED_VALUE"""),45581.34828209491)</f>
        <v>45581.34828</v>
      </c>
      <c r="G45" s="7" t="str">
        <f>IFERROR(__xludf.DUMMYFUNCTION("""COMPUTED_VALUE"""),"PERALIHAN HAK KEWARISAN")</f>
        <v>PERALIHAN HAK KEWARISAN</v>
      </c>
      <c r="H45" s="7">
        <f t="shared" si="1"/>
        <v>25</v>
      </c>
    </row>
    <row r="46" ht="22.5" customHeight="1">
      <c r="B46" s="7" t="str">
        <f>IFERROR(__xludf.DUMMYFUNCTION("""COMPUTED_VALUE"""),"K/46/151024/2")</f>
        <v>K/46/151024/2</v>
      </c>
      <c r="C46" s="7" t="str">
        <f>IFERROR(__xludf.DUMMYFUNCTION("""COMPUTED_VALUE"""),"M. 534/ SUMBEREJO SEJAHTERA")</f>
        <v>M. 534/ SUMBEREJO SEJAHTERA</v>
      </c>
      <c r="D46" s="7"/>
      <c r="E46" s="7"/>
      <c r="F46" s="9" t="str">
        <f>IFERROR(__xludf.DUMMYFUNCTION("""COMPUTED_VALUE"""),"")</f>
        <v/>
      </c>
      <c r="G46" s="7" t="str">
        <f>IFERROR(__xludf.DUMMYFUNCTION("""COMPUTED_VALUE"""),"PTPGT")</f>
        <v>PTPGT</v>
      </c>
      <c r="H46" s="7">
        <f t="shared" si="1"/>
        <v>25</v>
      </c>
    </row>
    <row r="47" ht="22.5" customHeight="1">
      <c r="B47" s="7" t="str">
        <f>IFERROR(__xludf.DUMMYFUNCTION("""COMPUTED_VALUE"""),"K/1/151024/1")</f>
        <v>K/1/151024/1</v>
      </c>
      <c r="C47" s="7" t="str">
        <f>IFERROR(__xludf.DUMMYFUNCTION("""COMPUTED_VALUE"""),"M. 777/ GEDONG PAKUON")</f>
        <v>M. 777/ GEDONG PAKUON</v>
      </c>
      <c r="D47" s="7"/>
      <c r="E47" s="7"/>
      <c r="F47" s="9" t="str">
        <f>IFERROR(__xludf.DUMMYFUNCTION("""COMPUTED_VALUE"""),"")</f>
        <v/>
      </c>
      <c r="G47" s="7" t="str">
        <f>IFERROR(__xludf.DUMMYFUNCTION("""COMPUTED_VALUE"""),"PENGECEKKAN")</f>
        <v>PENGECEKKAN</v>
      </c>
      <c r="H47" s="7">
        <f t="shared" si="1"/>
        <v>25</v>
      </c>
    </row>
    <row r="48" ht="22.5" customHeight="1">
      <c r="B48" s="7" t="str">
        <f>IFERROR(__xludf.DUMMYFUNCTION("""COMPUTED_VALUE"""),"K/2/151024/2")</f>
        <v>K/2/151024/2</v>
      </c>
      <c r="C48" s="7" t="str">
        <f>IFERROR(__xludf.DUMMYFUNCTION("""COMPUTED_VALUE"""),"M. 12840/ SEGALA MIDER")</f>
        <v>M. 12840/ SEGALA MIDER</v>
      </c>
      <c r="D48" s="7"/>
      <c r="E48" s="7"/>
      <c r="F48" s="9" t="str">
        <f>IFERROR(__xludf.DUMMYFUNCTION("""COMPUTED_VALUE"""),"")</f>
        <v/>
      </c>
      <c r="G48" s="7" t="str">
        <f>IFERROR(__xludf.DUMMYFUNCTION("""COMPUTED_VALUE"""),"PENGECEKKAN")</f>
        <v>PENGECEKKAN</v>
      </c>
      <c r="H48" s="7">
        <f t="shared" si="1"/>
        <v>25</v>
      </c>
    </row>
    <row r="49" ht="22.5" customHeight="1">
      <c r="B49" s="7" t="str">
        <f>IFERROR(__xludf.DUMMYFUNCTION("""COMPUTED_VALUE"""),"K/3/151024/1")</f>
        <v>K/3/151024/1</v>
      </c>
      <c r="C49" s="7" t="str">
        <f>IFERROR(__xludf.DUMMYFUNCTION("""COMPUTED_VALUE"""),"B. 613/ SUMUR PUTRI")</f>
        <v>B. 613/ SUMUR PUTRI</v>
      </c>
      <c r="D49" s="7" t="str">
        <f>IFERROR(__xludf.DUMMYFUNCTION("""COMPUTED_VALUE"""),"David")</f>
        <v>David</v>
      </c>
      <c r="E49" s="7" t="str">
        <f>IFERROR(__xludf.DUMMYFUNCTION("""COMPUTED_VALUE"""),"DISERAHKAN BT")</f>
        <v>DISERAHKAN BT</v>
      </c>
      <c r="F49" s="9">
        <f>IFERROR(__xludf.DUMMYFUNCTION("""COMPUTED_VALUE"""),45580.668318634256)</f>
        <v>45580.66832</v>
      </c>
      <c r="G49" s="7" t="str">
        <f>IFERROR(__xludf.DUMMYFUNCTION("""COMPUTED_VALUE"""),"PERALIHAN JUAL BELI")</f>
        <v>PERALIHAN JUAL BELI</v>
      </c>
      <c r="H49" s="7">
        <f t="shared" si="1"/>
        <v>25</v>
      </c>
    </row>
    <row r="50" ht="22.5" customHeight="1">
      <c r="B50" s="7" t="str">
        <f>IFERROR(__xludf.DUMMYFUNCTION("""COMPUTED_VALUE"""),"K/4/151024/1")</f>
        <v>K/4/151024/1</v>
      </c>
      <c r="C50" s="7" t="str">
        <f>IFERROR(__xludf.DUMMYFUNCTION("""COMPUTED_VALUE"""),"M. 10315/ Rajabasa")</f>
        <v>M. 10315/ Rajabasa</v>
      </c>
      <c r="D50" s="7" t="str">
        <f>IFERROR(__xludf.DUMMYFUNCTION("""COMPUTED_VALUE"""),"David")</f>
        <v>David</v>
      </c>
      <c r="E50" s="7" t="str">
        <f>IFERROR(__xludf.DUMMYFUNCTION("""COMPUTED_VALUE"""),"DISERAHKAN BT")</f>
        <v>DISERAHKAN BT</v>
      </c>
      <c r="F50" s="9">
        <f>IFERROR(__xludf.DUMMYFUNCTION("""COMPUTED_VALUE"""),45580.66873210648)</f>
        <v>45580.66873</v>
      </c>
      <c r="G50" s="7" t="str">
        <f>IFERROR(__xludf.DUMMYFUNCTION("""COMPUTED_VALUE"""),"Roya")</f>
        <v>Roya</v>
      </c>
      <c r="H50" s="7">
        <f t="shared" si="1"/>
        <v>25</v>
      </c>
    </row>
    <row r="51" ht="22.5" customHeight="1">
      <c r="B51" s="7" t="str">
        <f>IFERROR(__xludf.DUMMYFUNCTION("""COMPUTED_VALUE"""),"K/5/151024/2")</f>
        <v>K/5/151024/2</v>
      </c>
      <c r="C51" s="7" t="str">
        <f>IFERROR(__xludf.DUMMYFUNCTION("""COMPUTED_VALUE"""),"M. 1952/ Langkapura")</f>
        <v>M. 1952/ Langkapura</v>
      </c>
      <c r="D51" s="7" t="str">
        <f>IFERROR(__xludf.DUMMYFUNCTION("""COMPUTED_VALUE"""),"David")</f>
        <v>David</v>
      </c>
      <c r="E51" s="7" t="str">
        <f>IFERROR(__xludf.DUMMYFUNCTION("""COMPUTED_VALUE"""),"DISERAHKAN BT")</f>
        <v>DISERAHKAN BT</v>
      </c>
      <c r="F51" s="9">
        <f>IFERROR(__xludf.DUMMYFUNCTION("""COMPUTED_VALUE"""),45580.6687846412)</f>
        <v>45580.66878</v>
      </c>
      <c r="G51" s="7" t="str">
        <f>IFERROR(__xludf.DUMMYFUNCTION("""COMPUTED_VALUE"""),"Roya")</f>
        <v>Roya</v>
      </c>
      <c r="H51" s="7">
        <f t="shared" si="1"/>
        <v>25</v>
      </c>
    </row>
    <row r="52" ht="22.5" customHeight="1">
      <c r="B52" s="7" t="str">
        <f>IFERROR(__xludf.DUMMYFUNCTION("""COMPUTED_VALUE"""),"L/8/151024/1")</f>
        <v>L/8/151024/1</v>
      </c>
      <c r="C52" s="7" t="str">
        <f>IFERROR(__xludf.DUMMYFUNCTION("""COMPUTED_VALUE"""),"NIB 0801000002556/KEMILING PERMAI")</f>
        <v>NIB 0801000002556/KEMILING PERMAI</v>
      </c>
      <c r="D52" s="7"/>
      <c r="E52" s="7"/>
      <c r="F52" s="9" t="str">
        <f>IFERROR(__xludf.DUMMYFUNCTION("""COMPUTED_VALUE"""),"")</f>
        <v/>
      </c>
      <c r="G52" s="7" t="str">
        <f>IFERROR(__xludf.DUMMYFUNCTION("""COMPUTED_VALUE"""),"PERUBAHAN HAK")</f>
        <v>PERUBAHAN HAK</v>
      </c>
      <c r="H52" s="7">
        <f t="shared" si="1"/>
        <v>25</v>
      </c>
    </row>
    <row r="53" ht="22.5" customHeight="1">
      <c r="B53" s="7" t="str">
        <f>IFERROR(__xludf.DUMMYFUNCTION("""COMPUTED_VALUE"""),"K/7/151024/1")</f>
        <v>K/7/151024/1</v>
      </c>
      <c r="C53" s="7" t="str">
        <f>IFERROR(__xludf.DUMMYFUNCTION("""COMPUTED_VALUE"""),"NIBEL 874/ BUMI KEDAMAIAN")</f>
        <v>NIBEL 874/ BUMI KEDAMAIAN</v>
      </c>
      <c r="D53" s="7"/>
      <c r="E53" s="7"/>
      <c r="F53" s="9" t="str">
        <f>IFERROR(__xludf.DUMMYFUNCTION("""COMPUTED_VALUE"""),"")</f>
        <v/>
      </c>
      <c r="G53" s="7" t="str">
        <f>IFERROR(__xludf.DUMMYFUNCTION("""COMPUTED_VALUE"""),"PERALIHAN JUAL BELI")</f>
        <v>PERALIHAN JUAL BELI</v>
      </c>
      <c r="H53" s="7">
        <f t="shared" si="1"/>
        <v>25</v>
      </c>
    </row>
    <row r="54" ht="22.5" customHeight="1">
      <c r="B54" s="7" t="str">
        <f>IFERROR(__xludf.DUMMYFUNCTION("""COMPUTED_VALUE"""),"K/6/151024/1")</f>
        <v>K/6/151024/1</v>
      </c>
      <c r="C54" s="7" t="str">
        <f>IFERROR(__xludf.DUMMYFUNCTION("""COMPUTED_VALUE"""),"M. 1931/ Campang Jaya")</f>
        <v>M. 1931/ Campang Jaya</v>
      </c>
      <c r="D54" s="7" t="str">
        <f>IFERROR(__xludf.DUMMYFUNCTION("""COMPUTED_VALUE"""),"David")</f>
        <v>David</v>
      </c>
      <c r="E54" s="7" t="str">
        <f>IFERROR(__xludf.DUMMYFUNCTION("""COMPUTED_VALUE"""),"DISERAHKAN BT")</f>
        <v>DISERAHKAN BT</v>
      </c>
      <c r="F54" s="9">
        <f>IFERROR(__xludf.DUMMYFUNCTION("""COMPUTED_VALUE"""),45580.6674862037)</f>
        <v>45580.66749</v>
      </c>
      <c r="G54" s="7" t="str">
        <f>IFERROR(__xludf.DUMMYFUNCTION("""COMPUTED_VALUE"""),"BN Jual Beli")</f>
        <v>BN Jual Beli</v>
      </c>
      <c r="H54" s="7">
        <f t="shared" si="1"/>
        <v>25</v>
      </c>
    </row>
    <row r="55" ht="22.5" customHeight="1">
      <c r="B55" s="7" t="str">
        <f>IFERROR(__xludf.DUMMYFUNCTION("""COMPUTED_VALUE"""),"K/9/151024/2")</f>
        <v>K/9/151024/2</v>
      </c>
      <c r="C55" s="7" t="str">
        <f>IFERROR(__xludf.DUMMYFUNCTION("""COMPUTED_VALUE"""),"M. 2400/ NOG;  M. 811/ Bakung; M. 131/NOG:")</f>
        <v>M. 2400/ NOG;  M. 811/ Bakung; M. 131/NOG:</v>
      </c>
      <c r="D55" s="7" t="str">
        <f>IFERROR(__xludf.DUMMYFUNCTION("""COMPUTED_VALUE"""),"David")</f>
        <v>David</v>
      </c>
      <c r="E55" s="7" t="str">
        <f>IFERROR(__xludf.DUMMYFUNCTION("""COMPUTED_VALUE"""),"DISERAHKAN BT")</f>
        <v>DISERAHKAN BT</v>
      </c>
      <c r="F55" s="9">
        <f>IFERROR(__xludf.DUMMYFUNCTION("""COMPUTED_VALUE"""),45580.66760204861)</f>
        <v>45580.6676</v>
      </c>
      <c r="G55" s="7" t="str">
        <f>IFERROR(__xludf.DUMMYFUNCTION("""COMPUTED_VALUE"""),"BN Jual Beli")</f>
        <v>BN Jual Beli</v>
      </c>
      <c r="H55" s="7">
        <f t="shared" si="1"/>
        <v>25</v>
      </c>
    </row>
    <row r="56" ht="22.5" customHeight="1">
      <c r="B56" s="7" t="str">
        <f>IFERROR(__xludf.DUMMYFUNCTION("""COMPUTED_VALUE"""),"L/10/151024/1")</f>
        <v>L/10/151024/1</v>
      </c>
      <c r="C56" s="7" t="str">
        <f>IFERROR(__xludf.DUMMYFUNCTION("""COMPUTED_VALUE"""),"B.561/NUSANTARA PERMAI;B.329/CAMPANG RAYA-DAHULU")</f>
        <v>B.561/NUSANTARA PERMAI;B.329/CAMPANG RAYA-DAHULU</v>
      </c>
      <c r="D56" s="7" t="str">
        <f>IFERROR(__xludf.DUMMYFUNCTION("""COMPUTED_VALUE"""),"David")</f>
        <v>David</v>
      </c>
      <c r="E56" s="7" t="str">
        <f>IFERROR(__xludf.DUMMYFUNCTION("""COMPUTED_VALUE"""),"DISERAHKAN")</f>
        <v>DISERAHKAN</v>
      </c>
      <c r="F56" s="9">
        <f>IFERROR(__xludf.DUMMYFUNCTION("""COMPUTED_VALUE"""),45580.45984196759)</f>
        <v>45580.45984</v>
      </c>
      <c r="G56" s="7" t="str">
        <f>IFERROR(__xludf.DUMMYFUNCTION("""COMPUTED_VALUE"""),"PERUBAHAN HAK")</f>
        <v>PERUBAHAN HAK</v>
      </c>
      <c r="H56" s="7">
        <f t="shared" si="1"/>
        <v>26</v>
      </c>
    </row>
    <row r="57" ht="22.5" customHeight="1">
      <c r="B57" s="7" t="str">
        <f>IFERROR(__xludf.DUMMYFUNCTION("""COMPUTED_VALUE"""),"K/11/151024/1")</f>
        <v>K/11/151024/1</v>
      </c>
      <c r="C57" s="7" t="str">
        <f>IFERROR(__xludf.DUMMYFUNCTION("""COMPUTED_VALUE"""),"Nibel. M. 1869/ Sepang Jaya")</f>
        <v>Nibel. M. 1869/ Sepang Jaya</v>
      </c>
      <c r="D57" s="7"/>
      <c r="E57" s="7"/>
      <c r="F57" s="9" t="str">
        <f>IFERROR(__xludf.DUMMYFUNCTION("""COMPUTED_VALUE"""),"")</f>
        <v/>
      </c>
      <c r="G57" s="7" t="str">
        <f>IFERROR(__xludf.DUMMYFUNCTION("""COMPUTED_VALUE"""),"BN Jual Beli")</f>
        <v>BN Jual Beli</v>
      </c>
      <c r="H57" s="7">
        <f t="shared" si="1"/>
        <v>26</v>
      </c>
    </row>
    <row r="58" ht="22.5" customHeight="1">
      <c r="B58" s="7" t="str">
        <f>IFERROR(__xludf.DUMMYFUNCTION("""COMPUTED_VALUE"""),"K/12/151024/2")</f>
        <v>K/12/151024/2</v>
      </c>
      <c r="C58" s="7" t="str">
        <f>IFERROR(__xludf.DUMMYFUNCTION("""COMPUTED_VALUE"""),"M. 288/ Kaliawi")</f>
        <v>M. 288/ Kaliawi</v>
      </c>
      <c r="D58" s="7" t="str">
        <f>IFERROR(__xludf.DUMMYFUNCTION("""COMPUTED_VALUE"""),"David")</f>
        <v>David</v>
      </c>
      <c r="E58" s="7" t="str">
        <f>IFERROR(__xludf.DUMMYFUNCTION("""COMPUTED_VALUE"""),"DISERAHKAN")</f>
        <v>DISERAHKAN</v>
      </c>
      <c r="F58" s="9">
        <f>IFERROR(__xludf.DUMMYFUNCTION("""COMPUTED_VALUE"""),45587.64174263889)</f>
        <v>45587.64174</v>
      </c>
      <c r="G58" s="7" t="str">
        <f>IFERROR(__xludf.DUMMYFUNCTION("""COMPUTED_VALUE"""),"BN Jual Beli")</f>
        <v>BN Jual Beli</v>
      </c>
      <c r="H58" s="7">
        <f t="shared" si="1"/>
        <v>27</v>
      </c>
    </row>
    <row r="59" ht="22.5" customHeight="1">
      <c r="B59" s="7" t="str">
        <f>IFERROR(__xludf.DUMMYFUNCTION("""COMPUTED_VALUE"""),"K/13/151024/3")</f>
        <v>K/13/151024/3</v>
      </c>
      <c r="C59" s="7" t="str">
        <f>IFERROR(__xludf.DUMMYFUNCTION("""COMPUTED_VALUE"""),"M. 41/ Kota Sepang")</f>
        <v>M. 41/ Kota Sepang</v>
      </c>
      <c r="D59" s="7" t="str">
        <f>IFERROR(__xludf.DUMMYFUNCTION("""COMPUTED_VALUE"""),"Berry")</f>
        <v>Berry</v>
      </c>
      <c r="E59" s="7" t="str">
        <f>IFERROR(__xludf.DUMMYFUNCTION("""COMPUTED_VALUE"""),"DISERAHKAN")</f>
        <v>DISERAHKAN</v>
      </c>
      <c r="F59" s="9">
        <f>IFERROR(__xludf.DUMMYFUNCTION("""COMPUTED_VALUE"""),45581.40763483796)</f>
        <v>45581.40763</v>
      </c>
      <c r="G59" s="7" t="str">
        <f>IFERROR(__xludf.DUMMYFUNCTION("""COMPUTED_VALUE"""),"BN Jual Beli")</f>
        <v>BN Jual Beli</v>
      </c>
      <c r="H59" s="7">
        <f t="shared" si="1"/>
        <v>28</v>
      </c>
    </row>
    <row r="60" ht="22.5" customHeight="1">
      <c r="B60" s="7" t="str">
        <f>IFERROR(__xludf.DUMMYFUNCTION("""COMPUTED_VALUE"""),"K/14/151024/1")</f>
        <v>K/14/151024/1</v>
      </c>
      <c r="C60" s="7" t="str">
        <f>IFERROR(__xludf.DUMMYFUNCTION("""COMPUTED_VALUE"""),"M. 3901/ Tanjung Senang")</f>
        <v>M. 3901/ Tanjung Senang</v>
      </c>
      <c r="D60" s="7" t="str">
        <f>IFERROR(__xludf.DUMMYFUNCTION("""COMPUTED_VALUE"""),"Berry")</f>
        <v>Berry</v>
      </c>
      <c r="E60" s="7" t="str">
        <f>IFERROR(__xludf.DUMMYFUNCTION("""COMPUTED_VALUE"""),"DISERAHKAN")</f>
        <v>DISERAHKAN</v>
      </c>
      <c r="F60" s="9">
        <f>IFERROR(__xludf.DUMMYFUNCTION("""COMPUTED_VALUE"""),45581.34974259259)</f>
        <v>45581.34974</v>
      </c>
      <c r="G60" s="7" t="str">
        <f>IFERROR(__xludf.DUMMYFUNCTION("""COMPUTED_VALUE"""),"Roya")</f>
        <v>Roya</v>
      </c>
      <c r="H60" s="7">
        <f t="shared" si="1"/>
        <v>29</v>
      </c>
    </row>
    <row r="61" ht="22.5" customHeight="1">
      <c r="B61" s="7" t="str">
        <f>IFERROR(__xludf.DUMMYFUNCTION("""COMPUTED_VALUE"""),"K/15/151024/1")</f>
        <v>K/15/151024/1</v>
      </c>
      <c r="C61" s="7" t="str">
        <f>IFERROR(__xludf.DUMMYFUNCTION("""COMPUTED_VALUE"""),"M. 2424/ KEDAUNG")</f>
        <v>M. 2424/ KEDAUNG</v>
      </c>
      <c r="D61" s="7" t="str">
        <f>IFERROR(__xludf.DUMMYFUNCTION("""COMPUTED_VALUE"""),"David")</f>
        <v>David</v>
      </c>
      <c r="E61" s="7" t="str">
        <f>IFERROR(__xludf.DUMMYFUNCTION("""COMPUTED_VALUE"""),"DISERAHKAN")</f>
        <v>DISERAHKAN</v>
      </c>
      <c r="F61" s="9">
        <f>IFERROR(__xludf.DUMMYFUNCTION("""COMPUTED_VALUE"""),45581.42071446759)</f>
        <v>45581.42071</v>
      </c>
      <c r="G61" s="7" t="str">
        <f>IFERROR(__xludf.DUMMYFUNCTION("""COMPUTED_VALUE"""),"BN JUAL BELI")</f>
        <v>BN JUAL BELI</v>
      </c>
      <c r="H61" s="7">
        <f t="shared" si="1"/>
        <v>30</v>
      </c>
    </row>
    <row r="62" ht="22.5" customHeight="1">
      <c r="B62" s="7" t="str">
        <f>IFERROR(__xludf.DUMMYFUNCTION("""COMPUTED_VALUE"""),"K/16/151024/2")</f>
        <v>K/16/151024/2</v>
      </c>
      <c r="C62" s="7" t="str">
        <f>IFERROR(__xludf.DUMMYFUNCTION("""COMPUTED_VALUE"""),"M. 2418/ KEDAUNG")</f>
        <v>M. 2418/ KEDAUNG</v>
      </c>
      <c r="D62" s="7" t="str">
        <f>IFERROR(__xludf.DUMMYFUNCTION("""COMPUTED_VALUE"""),"David")</f>
        <v>David</v>
      </c>
      <c r="E62" s="7" t="str">
        <f>IFERROR(__xludf.DUMMYFUNCTION("""COMPUTED_VALUE"""),"DISERAHKAN")</f>
        <v>DISERAHKAN</v>
      </c>
      <c r="F62" s="9">
        <f>IFERROR(__xludf.DUMMYFUNCTION("""COMPUTED_VALUE"""),45581.42062440972)</f>
        <v>45581.42062</v>
      </c>
      <c r="G62" s="7" t="str">
        <f>IFERROR(__xludf.DUMMYFUNCTION("""COMPUTED_VALUE"""),"BN JUAL BELI")</f>
        <v>BN JUAL BELI</v>
      </c>
      <c r="H62" s="7">
        <f t="shared" si="1"/>
        <v>31</v>
      </c>
    </row>
    <row r="63" ht="22.5" customHeight="1">
      <c r="B63" s="7" t="str">
        <f>IFERROR(__xludf.DUMMYFUNCTION("""COMPUTED_VALUE"""),"L/18/151024/1")</f>
        <v>L/18/151024/1</v>
      </c>
      <c r="C63" s="7" t="str">
        <f>IFERROR(__xludf.DUMMYFUNCTION("""COMPUTED_VALUE"""),"HM 1527/RAJABASA NUNYAI (SUPER PRIORITAS)")</f>
        <v>HM 1527/RAJABASA NUNYAI (SUPER PRIORITAS)</v>
      </c>
      <c r="D63" s="7" t="str">
        <f>IFERROR(__xludf.DUMMYFUNCTION("""COMPUTED_VALUE"""),"Berry")</f>
        <v>Berry</v>
      </c>
      <c r="E63" s="7" t="str">
        <f>IFERROR(__xludf.DUMMYFUNCTION("""COMPUTED_VALUE"""),"DISERAHKAN")</f>
        <v>DISERAHKAN</v>
      </c>
      <c r="F63" s="9">
        <f>IFERROR(__xludf.DUMMYFUNCTION("""COMPUTED_VALUE"""),45581.34960615741)</f>
        <v>45581.34961</v>
      </c>
      <c r="G63" s="7" t="str">
        <f>IFERROR(__xludf.DUMMYFUNCTION("""COMPUTED_VALUE"""),"BN JUAL BELI")</f>
        <v>BN JUAL BELI</v>
      </c>
      <c r="H63" s="7">
        <f t="shared" si="1"/>
        <v>32</v>
      </c>
    </row>
    <row r="64" ht="22.5" customHeight="1">
      <c r="B64" s="7" t="str">
        <f>IFERROR(__xludf.DUMMYFUNCTION("""COMPUTED_VALUE"""),"L/19/151024/1")</f>
        <v>L/19/151024/1</v>
      </c>
      <c r="C64" s="7" t="str">
        <f>IFERROR(__xludf.DUMMYFUNCTION("""COMPUTED_VALUE"""),"M.178/GARUNTANG")</f>
        <v>M.178/GARUNTANG</v>
      </c>
      <c r="D64" s="7"/>
      <c r="E64" s="7"/>
      <c r="F64" s="9" t="str">
        <f>IFERROR(__xludf.DUMMYFUNCTION("""COMPUTED_VALUE"""),"")</f>
        <v/>
      </c>
      <c r="G64" s="7" t="str">
        <f>IFERROR(__xludf.DUMMYFUNCTION("""COMPUTED_VALUE"""),"GANDES")</f>
        <v>GANDES</v>
      </c>
      <c r="H64" s="7">
        <f t="shared" si="1"/>
        <v>32</v>
      </c>
    </row>
    <row r="65" ht="22.5" customHeight="1">
      <c r="B65" s="7" t="str">
        <f>IFERROR(__xludf.DUMMYFUNCTION("""COMPUTED_VALUE"""),"L/20/151024/1")</f>
        <v>L/20/151024/1</v>
      </c>
      <c r="C65" s="7" t="str">
        <f>IFERROR(__xludf.DUMMYFUNCTION("""COMPUTED_VALUE"""),"NIB 0801000023950/SUKARAME")</f>
        <v>NIB 0801000023950/SUKARAME</v>
      </c>
      <c r="D65" s="7"/>
      <c r="E65" s="7"/>
      <c r="F65" s="9" t="str">
        <f>IFERROR(__xludf.DUMMYFUNCTION("""COMPUTED_VALUE"""),"")</f>
        <v/>
      </c>
      <c r="G65" s="7" t="str">
        <f>IFERROR(__xludf.DUMMYFUNCTION("""COMPUTED_VALUE"""),"GANTI NAMA")</f>
        <v>GANTI NAMA</v>
      </c>
      <c r="H65" s="7">
        <f t="shared" si="1"/>
        <v>32</v>
      </c>
    </row>
    <row r="66" ht="22.5" customHeight="1">
      <c r="B66" s="7" t="str">
        <f>IFERROR(__xludf.DUMMYFUNCTION("""COMPUTED_VALUE"""),"K/17/151024/1")</f>
        <v>K/17/151024/1</v>
      </c>
      <c r="C66" s="7" t="str">
        <f>IFERROR(__xludf.DUMMYFUNCTION("""COMPUTED_VALUE"""),"M. 13602/ SEGALA MIDER")</f>
        <v>M. 13602/ SEGALA MIDER</v>
      </c>
      <c r="D66" s="7" t="str">
        <f>IFERROR(__xludf.DUMMYFUNCTION("""COMPUTED_VALUE"""),"Berry")</f>
        <v>Berry</v>
      </c>
      <c r="E66" s="7" t="str">
        <f>IFERROR(__xludf.DUMMYFUNCTION("""COMPUTED_VALUE"""),"DISERAHKAN")</f>
        <v>DISERAHKAN</v>
      </c>
      <c r="F66" s="9">
        <f>IFERROR(__xludf.DUMMYFUNCTION("""COMPUTED_VALUE"""),45581.34947328704)</f>
        <v>45581.34947</v>
      </c>
      <c r="G66" s="7" t="str">
        <f>IFERROR(__xludf.DUMMYFUNCTION("""COMPUTED_VALUE"""),"BN JUAL BELI")</f>
        <v>BN JUAL BELI</v>
      </c>
      <c r="H66" s="7">
        <f t="shared" si="1"/>
        <v>33</v>
      </c>
    </row>
    <row r="67" ht="22.5" customHeight="1">
      <c r="B67" s="7" t="str">
        <f>IFERROR(__xludf.DUMMYFUNCTION("""COMPUTED_VALUE"""),"K/21/151024/1")</f>
        <v>K/21/151024/1</v>
      </c>
      <c r="C67" s="7" t="str">
        <f>IFERROR(__xludf.DUMMYFUNCTION("""COMPUTED_VALUE"""),"M. 652/ PINANG JAYA")</f>
        <v>M. 652/ PINANG JAYA</v>
      </c>
      <c r="D67" s="7"/>
      <c r="E67" s="7" t="str">
        <f>IFERROR(__xludf.DUMMYFUNCTION("""COMPUTED_VALUE"""),"PROSES")</f>
        <v>PROSES</v>
      </c>
      <c r="F67" s="9" t="str">
        <f>IFERROR(__xludf.DUMMYFUNCTION("""COMPUTED_VALUE"""),"")</f>
        <v/>
      </c>
      <c r="G67" s="7" t="str">
        <f>IFERROR(__xludf.DUMMYFUNCTION("""COMPUTED_VALUE"""),"BN JUAL BELI")</f>
        <v>BN JUAL BELI</v>
      </c>
      <c r="H67" s="7">
        <f t="shared" si="1"/>
        <v>33</v>
      </c>
    </row>
    <row r="68" ht="22.5" customHeight="1">
      <c r="B68" s="7" t="str">
        <f>IFERROR(__xludf.DUMMYFUNCTION("""COMPUTED_VALUE"""),"K/24/151024/1")</f>
        <v>K/24/151024/1</v>
      </c>
      <c r="C68" s="7" t="str">
        <f>IFERROR(__xludf.DUMMYFUNCTION("""COMPUTED_VALUE"""),"M. 2009/ Campang Jaya")</f>
        <v>M. 2009/ Campang Jaya</v>
      </c>
      <c r="D68" s="7"/>
      <c r="E68" s="7"/>
      <c r="F68" s="9" t="str">
        <f>IFERROR(__xludf.DUMMYFUNCTION("""COMPUTED_VALUE"""),"")</f>
        <v/>
      </c>
      <c r="G68" s="7" t="str">
        <f>IFERROR(__xludf.DUMMYFUNCTION("""COMPUTED_VALUE"""),"Pengecekan")</f>
        <v>Pengecekan</v>
      </c>
      <c r="H68" s="7">
        <f t="shared" si="1"/>
        <v>33</v>
      </c>
    </row>
    <row r="69" ht="22.5" customHeight="1">
      <c r="B69" s="7" t="str">
        <f>IFERROR(__xludf.DUMMYFUNCTION("""COMPUTED_VALUE"""),"L/26/151024/1")</f>
        <v>L/26/151024/1</v>
      </c>
      <c r="C69" s="7" t="str">
        <f>IFERROR(__xludf.DUMMYFUNCTION("""COMPUTED_VALUE"""),"HM 401/KALI BALAU KENCANA")</f>
        <v>HM 401/KALI BALAU KENCANA</v>
      </c>
      <c r="D69" s="7" t="str">
        <f>IFERROR(__xludf.DUMMYFUNCTION("""COMPUTED_VALUE"""),"Berry")</f>
        <v>Berry</v>
      </c>
      <c r="E69" s="7" t="str">
        <f>IFERROR(__xludf.DUMMYFUNCTION("""COMPUTED_VALUE"""),"DISERAHKAN")</f>
        <v>DISERAHKAN</v>
      </c>
      <c r="F69" s="9">
        <f>IFERROR(__xludf.DUMMYFUNCTION("""COMPUTED_VALUE"""),45581.35010113426)</f>
        <v>45581.3501</v>
      </c>
      <c r="G69" s="7" t="str">
        <f>IFERROR(__xludf.DUMMYFUNCTION("""COMPUTED_VALUE"""),"ROYA")</f>
        <v>ROYA</v>
      </c>
      <c r="H69" s="7">
        <f t="shared" si="1"/>
        <v>34</v>
      </c>
    </row>
    <row r="70" ht="22.5" customHeight="1">
      <c r="B70" s="7" t="str">
        <f>IFERROR(__xludf.DUMMYFUNCTION("""COMPUTED_VALUE"""),"K/25/151024/2")</f>
        <v>K/25/151024/2</v>
      </c>
      <c r="C70" s="7" t="str">
        <f>IFERROR(__xludf.DUMMYFUNCTION("""COMPUTED_VALUE"""),"M. 2010/ Campang Jaya")</f>
        <v>M. 2010/ Campang Jaya</v>
      </c>
      <c r="D70" s="7"/>
      <c r="E70" s="7"/>
      <c r="F70" s="9" t="str">
        <f>IFERROR(__xludf.DUMMYFUNCTION("""COMPUTED_VALUE"""),"")</f>
        <v/>
      </c>
      <c r="G70" s="7" t="str">
        <f>IFERROR(__xludf.DUMMYFUNCTION("""COMPUTED_VALUE"""),"Pengecekan")</f>
        <v>Pengecekan</v>
      </c>
      <c r="H70" s="7">
        <f t="shared" si="1"/>
        <v>34</v>
      </c>
    </row>
    <row r="71" ht="22.5" customHeight="1">
      <c r="B71" s="7" t="str">
        <f>IFERROR(__xludf.DUMMYFUNCTION("""COMPUTED_VALUE"""),"K/22/151024/2")</f>
        <v>K/22/151024/2</v>
      </c>
      <c r="C71" s="7" t="str">
        <f>IFERROR(__xludf.DUMMYFUNCTION("""COMPUTED_VALUE"""),"NIBEL 3118/ SEGALA MIDER")</f>
        <v>NIBEL 3118/ SEGALA MIDER</v>
      </c>
      <c r="D71" s="7"/>
      <c r="E71" s="7"/>
      <c r="F71" s="9" t="str">
        <f>IFERROR(__xludf.DUMMYFUNCTION("""COMPUTED_VALUE"""),"")</f>
        <v/>
      </c>
      <c r="G71" s="7" t="str">
        <f>IFERROR(__xludf.DUMMYFUNCTION("""COMPUTED_VALUE"""),"BN JUAL BELI")</f>
        <v>BN JUAL BELI</v>
      </c>
      <c r="H71" s="7">
        <f t="shared" si="1"/>
        <v>34</v>
      </c>
    </row>
    <row r="72" ht="22.5" customHeight="1">
      <c r="B72" s="7" t="str">
        <f>IFERROR(__xludf.DUMMYFUNCTION("""COMPUTED_VALUE"""),"K/27/151024/1")</f>
        <v>K/27/151024/1</v>
      </c>
      <c r="C72" s="7" t="str">
        <f>IFERROR(__xludf.DUMMYFUNCTION("""COMPUTED_VALUE"""),"M.629/RAWA LAUT")</f>
        <v>M.629/RAWA LAUT</v>
      </c>
      <c r="D72" s="7"/>
      <c r="E72" s="7" t="str">
        <f>IFERROR(__xludf.DUMMYFUNCTION("""COMPUTED_VALUE"""),"DISERAHKAN")</f>
        <v>DISERAHKAN</v>
      </c>
      <c r="F72" s="9">
        <f>IFERROR(__xludf.DUMMYFUNCTION("""COMPUTED_VALUE"""),45581.564358159725)</f>
        <v>45581.56436</v>
      </c>
      <c r="G72" s="7" t="str">
        <f>IFERROR(__xludf.DUMMYFUNCTION("""COMPUTED_VALUE"""),"GANDES")</f>
        <v>GANDES</v>
      </c>
      <c r="H72" s="7">
        <f t="shared" si="1"/>
        <v>35</v>
      </c>
    </row>
    <row r="73" ht="22.5" customHeight="1">
      <c r="B73" s="7" t="str">
        <f>IFERROR(__xludf.DUMMYFUNCTION("""COMPUTED_VALUE"""),"K/23/151024/3")</f>
        <v>K/23/151024/3</v>
      </c>
      <c r="C73" s="7" t="str">
        <f>IFERROR(__xludf.DUMMYFUNCTION("""COMPUTED_VALUE"""),"M. 509/ LABUHAN RATU RAYA")</f>
        <v>M. 509/ LABUHAN RATU RAYA</v>
      </c>
      <c r="D73" s="7" t="str">
        <f>IFERROR(__xludf.DUMMYFUNCTION("""COMPUTED_VALUE"""),"David")</f>
        <v>David</v>
      </c>
      <c r="E73" s="7" t="str">
        <f>IFERROR(__xludf.DUMMYFUNCTION("""COMPUTED_VALUE"""),"DISERAHKAN")</f>
        <v>DISERAHKAN</v>
      </c>
      <c r="F73" s="9">
        <f>IFERROR(__xludf.DUMMYFUNCTION("""COMPUTED_VALUE"""),45581.34840998842)</f>
        <v>45581.34841</v>
      </c>
      <c r="G73" s="7" t="str">
        <f>IFERROR(__xludf.DUMMYFUNCTION("""COMPUTED_VALUE"""),"BN JUAL BELI")</f>
        <v>BN JUAL BELI</v>
      </c>
      <c r="H73" s="7">
        <f t="shared" si="1"/>
        <v>36</v>
      </c>
    </row>
    <row r="74" ht="22.5" customHeight="1">
      <c r="B74" s="7" t="str">
        <f>IFERROR(__xludf.DUMMYFUNCTION("""COMPUTED_VALUE"""),"K/28/151024/1")</f>
        <v>K/28/151024/1</v>
      </c>
      <c r="C74" s="7" t="str">
        <f>IFERROR(__xludf.DUMMYFUNCTION("""COMPUTED_VALUE"""),"B. 309/ Way Kandis")</f>
        <v>B. 309/ Way Kandis</v>
      </c>
      <c r="D74" s="7"/>
      <c r="E74" s="7"/>
      <c r="F74" s="9" t="str">
        <f>IFERROR(__xludf.DUMMYFUNCTION("""COMPUTED_VALUE"""),"")</f>
        <v/>
      </c>
      <c r="G74" s="7" t="str">
        <f>IFERROR(__xludf.DUMMYFUNCTION("""COMPUTED_VALUE"""),"Gandes")</f>
        <v>Gandes</v>
      </c>
      <c r="H74" s="7">
        <f t="shared" si="1"/>
        <v>36</v>
      </c>
    </row>
    <row r="75" ht="22.5" customHeight="1">
      <c r="B75" s="7" t="str">
        <f>IFERROR(__xludf.DUMMYFUNCTION("""COMPUTED_VALUE"""),"K/29/151024/2")</f>
        <v>K/29/151024/2</v>
      </c>
      <c r="C75" s="7" t="str">
        <f>IFERROR(__xludf.DUMMYFUNCTION("""COMPUTED_VALUE"""),"Nibel. B. 2015/ Pinang Jaya")</f>
        <v>Nibel. B. 2015/ Pinang Jaya</v>
      </c>
      <c r="D75" s="7"/>
      <c r="E75" s="7"/>
      <c r="F75" s="9" t="str">
        <f>IFERROR(__xludf.DUMMYFUNCTION("""COMPUTED_VALUE"""),"")</f>
        <v/>
      </c>
      <c r="G75" s="7" t="str">
        <f>IFERROR(__xludf.DUMMYFUNCTION("""COMPUTED_VALUE"""),"Perubahan Hak")</f>
        <v>Perubahan Hak</v>
      </c>
      <c r="H75" s="7">
        <f t="shared" si="1"/>
        <v>36</v>
      </c>
    </row>
    <row r="76" ht="22.5" customHeight="1">
      <c r="B76" s="7" t="str">
        <f>IFERROR(__xludf.DUMMYFUNCTION("""COMPUTED_VALUE"""),"K/30/151024/1")</f>
        <v>K/30/151024/1</v>
      </c>
      <c r="C76" s="7" t="str">
        <f>IFERROR(__xludf.DUMMYFUNCTION("""COMPUTED_VALUE"""),"M.3814/SUKADANAHAM")</f>
        <v>M.3814/SUKADANAHAM</v>
      </c>
      <c r="D76" s="7" t="str">
        <f>IFERROR(__xludf.DUMMYFUNCTION("""COMPUTED_VALUE"""),"David")</f>
        <v>David</v>
      </c>
      <c r="E76" s="7" t="str">
        <f>IFERROR(__xludf.DUMMYFUNCTION("""COMPUTED_VALUE"""),"DISERAHKAN")</f>
        <v>DISERAHKAN</v>
      </c>
      <c r="F76" s="9">
        <f>IFERROR(__xludf.DUMMYFUNCTION("""COMPUTED_VALUE"""),45581.348973217595)</f>
        <v>45581.34897</v>
      </c>
      <c r="G76" s="7" t="str">
        <f>IFERROR(__xludf.DUMMYFUNCTION("""COMPUTED_VALUE"""),"HAPUS BPHTB")</f>
        <v>HAPUS BPHTB</v>
      </c>
      <c r="H76" s="7">
        <f t="shared" si="1"/>
        <v>37</v>
      </c>
    </row>
    <row r="77" ht="22.5" customHeight="1">
      <c r="B77" s="7" t="str">
        <f>IFERROR(__xludf.DUMMYFUNCTION("""COMPUTED_VALUE"""),"L/31/151024/1")</f>
        <v>L/31/151024/1</v>
      </c>
      <c r="C77" s="7" t="str">
        <f>IFERROR(__xludf.DUMMYFUNCTION("""COMPUTED_VALUE"""),"B.91/GUNUNG TERANG")</f>
        <v>B.91/GUNUNG TERANG</v>
      </c>
      <c r="D77" s="7" t="str">
        <f>IFERROR(__xludf.DUMMYFUNCTION("""COMPUTED_VALUE"""),"Bayu")</f>
        <v>Bayu</v>
      </c>
      <c r="E77" s="7" t="str">
        <f>IFERROR(__xludf.DUMMYFUNCTION("""COMPUTED_VALUE"""),"DISERAHKAN")</f>
        <v>DISERAHKAN</v>
      </c>
      <c r="F77" s="9">
        <f>IFERROR(__xludf.DUMMYFUNCTION("""COMPUTED_VALUE"""),45594.45336979166)</f>
        <v>45594.45337</v>
      </c>
      <c r="G77" s="7" t="str">
        <f>IFERROR(__xludf.DUMMYFUNCTION("""COMPUTED_VALUE"""),"PERUBAHAN HAK")</f>
        <v>PERUBAHAN HAK</v>
      </c>
      <c r="H77" s="7">
        <f t="shared" si="1"/>
        <v>38</v>
      </c>
    </row>
    <row r="78" ht="22.5" customHeight="1">
      <c r="B78" s="7" t="str">
        <f>IFERROR(__xludf.DUMMYFUNCTION("""COMPUTED_VALUE"""),"K/32/151024/1")</f>
        <v>K/32/151024/1</v>
      </c>
      <c r="C78" s="7" t="str">
        <f>IFERROR(__xludf.DUMMYFUNCTION("""COMPUTED_VALUE"""),"M. 11169/ Tanjung Baru")</f>
        <v>M. 11169/ Tanjung Baru</v>
      </c>
      <c r="D78" s="7"/>
      <c r="E78" s="7"/>
      <c r="F78" s="9" t="str">
        <f>IFERROR(__xludf.DUMMYFUNCTION("""COMPUTED_VALUE"""),"")</f>
        <v/>
      </c>
      <c r="G78" s="7" t="str">
        <f>IFERROR(__xludf.DUMMYFUNCTION("""COMPUTED_VALUE"""),"Cabut Blokir")</f>
        <v>Cabut Blokir</v>
      </c>
      <c r="H78" s="7">
        <f t="shared" si="1"/>
        <v>38</v>
      </c>
    </row>
    <row r="79" ht="22.5" customHeight="1">
      <c r="B79" s="7" t="str">
        <f>IFERROR(__xludf.DUMMYFUNCTION("""COMPUTED_VALUE"""),"K/34/151024/2")</f>
        <v>K/34/151024/2</v>
      </c>
      <c r="C79" s="7" t="str">
        <f>IFERROR(__xludf.DUMMYFUNCTION("""COMPUTED_VALUE"""),"M. 1311/ Beringin Jaya; dahulu B. 2093/ Beringin Raya")</f>
        <v>M. 1311/ Beringin Jaya; dahulu B. 2093/ Beringin Raya</v>
      </c>
      <c r="D79" s="7" t="str">
        <f>IFERROR(__xludf.DUMMYFUNCTION("""COMPUTED_VALUE"""),"David")</f>
        <v>David</v>
      </c>
      <c r="E79" s="7" t="str">
        <f>IFERROR(__xludf.DUMMYFUNCTION("""COMPUTED_VALUE"""),"DISERAHKAN")</f>
        <v>DISERAHKAN</v>
      </c>
      <c r="F79" s="9">
        <f>IFERROR(__xludf.DUMMYFUNCTION("""COMPUTED_VALUE"""),45581.40885175926)</f>
        <v>45581.40885</v>
      </c>
      <c r="G79" s="7" t="str">
        <f>IFERROR(__xludf.DUMMYFUNCTION("""COMPUTED_VALUE"""),"BN Hibah")</f>
        <v>BN Hibah</v>
      </c>
      <c r="H79" s="7">
        <f t="shared" si="1"/>
        <v>39</v>
      </c>
    </row>
    <row r="80" ht="22.5" customHeight="1">
      <c r="B80" s="7" t="str">
        <f>IFERROR(__xludf.DUMMYFUNCTION("""COMPUTED_VALUE"""),"K/36/151024/1")</f>
        <v>K/36/151024/1</v>
      </c>
      <c r="C80" s="7" t="str">
        <f>IFERROR(__xludf.DUMMYFUNCTION("""COMPUTED_VALUE"""),"M.4791/BERINGIN RAYA-SEKARANG;B.1135/SUMBERREJO-DAHULU")</f>
        <v>M.4791/BERINGIN RAYA-SEKARANG;B.1135/SUMBERREJO-DAHULU</v>
      </c>
      <c r="D80" s="7"/>
      <c r="E80" s="7" t="str">
        <f>IFERROR(__xludf.DUMMYFUNCTION("""COMPUTED_VALUE"""),"PROSES")</f>
        <v>PROSES</v>
      </c>
      <c r="F80" s="9" t="str">
        <f>IFERROR(__xludf.DUMMYFUNCTION("""COMPUTED_VALUE"""),"")</f>
        <v/>
      </c>
      <c r="G80" s="7" t="str">
        <f>IFERROR(__xludf.DUMMYFUNCTION("""COMPUTED_VALUE"""),"PERALIHAN LELANG")</f>
        <v>PERALIHAN LELANG</v>
      </c>
      <c r="H80" s="7">
        <f t="shared" si="1"/>
        <v>39</v>
      </c>
    </row>
    <row r="81" ht="22.5" customHeight="1">
      <c r="B81" s="7" t="str">
        <f>IFERROR(__xludf.DUMMYFUNCTION("""COMPUTED_VALUE"""),"K/33/151024/1")</f>
        <v>K/33/151024/1</v>
      </c>
      <c r="C81" s="7" t="str">
        <f>IFERROR(__xludf.DUMMYFUNCTION("""COMPUTED_VALUE"""),"M. 933/ Sukarame")</f>
        <v>M. 933/ Sukarame</v>
      </c>
      <c r="D81" s="7"/>
      <c r="E81" s="7"/>
      <c r="F81" s="9" t="str">
        <f>IFERROR(__xludf.DUMMYFUNCTION("""COMPUTED_VALUE"""),"")</f>
        <v/>
      </c>
      <c r="G81" s="7" t="str">
        <f>IFERROR(__xludf.DUMMYFUNCTION("""COMPUTED_VALUE"""),"Gandes")</f>
        <v>Gandes</v>
      </c>
      <c r="H81" s="7">
        <f t="shared" si="1"/>
        <v>39</v>
      </c>
    </row>
    <row r="82" ht="22.5" customHeight="1">
      <c r="B82" s="7" t="str">
        <f>IFERROR(__xludf.DUMMYFUNCTION("""COMPUTED_VALUE"""),"K/37/151024/1")</f>
        <v>K/37/151024/1</v>
      </c>
      <c r="C82" s="7" t="str">
        <f>IFERROR(__xludf.DUMMYFUNCTION("""COMPUTED_VALUE"""),"M. 3954/ BERINGIN RAYA-SEKARANG; B.4107/ BERINGIN RAYA-DAHULU")</f>
        <v>M. 3954/ BERINGIN RAYA-SEKARANG; B.4107/ BERINGIN RAYA-DAHULU</v>
      </c>
      <c r="D82" s="7"/>
      <c r="E82" s="7" t="str">
        <f>IFERROR(__xludf.DUMMYFUNCTION("""COMPUTED_VALUE"""),"DISERAHKAN")</f>
        <v>DISERAHKAN</v>
      </c>
      <c r="F82" s="9">
        <f>IFERROR(__xludf.DUMMYFUNCTION("""COMPUTED_VALUE"""),45581.564358159725)</f>
        <v>45581.56436</v>
      </c>
      <c r="G82" s="7" t="str">
        <f>IFERROR(__xludf.DUMMYFUNCTION("""COMPUTED_VALUE"""),"GANTI KELURAHAN")</f>
        <v>GANTI KELURAHAN</v>
      </c>
      <c r="H82" s="7">
        <f t="shared" si="1"/>
        <v>40</v>
      </c>
    </row>
    <row r="83" ht="22.5" customHeight="1">
      <c r="B83" s="7" t="str">
        <f>IFERROR(__xludf.DUMMYFUNCTION("""COMPUTED_VALUE"""),"L/35/151024/1")</f>
        <v>L/35/151024/1</v>
      </c>
      <c r="C83" s="7" t="str">
        <f>IFERROR(__xludf.DUMMYFUNCTION("""COMPUTED_VALUE"""),"HM 479/HARAPAN JAYA (DAHULU)-HM 49/KORPRI JAYA (SEKARANG)")</f>
        <v>HM 479/HARAPAN JAYA (DAHULU)-HM 49/KORPRI JAYA (SEKARANG)</v>
      </c>
      <c r="D83" s="7" t="str">
        <f>IFERROR(__xludf.DUMMYFUNCTION("""COMPUTED_VALUE"""),"David")</f>
        <v>David</v>
      </c>
      <c r="E83" s="7" t="str">
        <f>IFERROR(__xludf.DUMMYFUNCTION("""COMPUTED_VALUE"""),"DISERAHKAN")</f>
        <v>DISERAHKAN</v>
      </c>
      <c r="F83" s="9">
        <f>IFERROR(__xludf.DUMMYFUNCTION("""COMPUTED_VALUE"""),45581.34805112268)</f>
        <v>45581.34805</v>
      </c>
      <c r="G83" s="7" t="str">
        <f>IFERROR(__xludf.DUMMYFUNCTION("""COMPUTED_VALUE"""),"BN PUTUSAN PENGADILAN (AHLI WARIS)")</f>
        <v>BN PUTUSAN PENGADILAN (AHLI WARIS)</v>
      </c>
      <c r="H83" s="7">
        <f t="shared" si="1"/>
        <v>41</v>
      </c>
    </row>
    <row r="84" ht="22.5" customHeight="1">
      <c r="B84" s="7" t="str">
        <f>IFERROR(__xludf.DUMMYFUNCTION("""COMPUTED_VALUE"""),"K/38/151024/2")</f>
        <v>K/38/151024/2</v>
      </c>
      <c r="C84" s="7" t="str">
        <f>IFERROR(__xludf.DUMMYFUNCTION("""COMPUTED_VALUE"""),"M. 1904/ KALIAWI")</f>
        <v>M. 1904/ KALIAWI</v>
      </c>
      <c r="D84" s="7"/>
      <c r="E84" s="7" t="str">
        <f>IFERROR(__xludf.DUMMYFUNCTION("""COMPUTED_VALUE"""),"DISERAHKAN")</f>
        <v>DISERAHKAN</v>
      </c>
      <c r="F84" s="9">
        <f>IFERROR(__xludf.DUMMYFUNCTION("""COMPUTED_VALUE"""),45581.564358159725)</f>
        <v>45581.56436</v>
      </c>
      <c r="G84" s="7" t="str">
        <f>IFERROR(__xludf.DUMMYFUNCTION("""COMPUTED_VALUE"""),"GANDES")</f>
        <v>GANDES</v>
      </c>
      <c r="H84" s="7">
        <f t="shared" si="1"/>
        <v>42</v>
      </c>
    </row>
    <row r="85" ht="22.5" customHeight="1">
      <c r="B85" s="7" t="str">
        <f>IFERROR(__xludf.DUMMYFUNCTION("""COMPUTED_VALUE"""),"K/39/151024/1")</f>
        <v>K/39/151024/1</v>
      </c>
      <c r="C85" s="7" t="str">
        <f>IFERROR(__xludf.DUMMYFUNCTION("""COMPUTED_VALUE"""),"M.13978/TANJUNG BARU")</f>
        <v>M.13978/TANJUNG BARU</v>
      </c>
      <c r="D85" s="7" t="str">
        <f>IFERROR(__xludf.DUMMYFUNCTION("""COMPUTED_VALUE"""),"David")</f>
        <v>David</v>
      </c>
      <c r="E85" s="7" t="str">
        <f>IFERROR(__xludf.DUMMYFUNCTION("""COMPUTED_VALUE"""),"DISERAHKAN")</f>
        <v>DISERAHKAN</v>
      </c>
      <c r="F85" s="9">
        <f>IFERROR(__xludf.DUMMYFUNCTION("""COMPUTED_VALUE"""),45581.348869525464)</f>
        <v>45581.34887</v>
      </c>
      <c r="G85" s="7" t="str">
        <f>IFERROR(__xludf.DUMMYFUNCTION("""COMPUTED_VALUE"""),"PERALIHAN JUAL BELI")</f>
        <v>PERALIHAN JUAL BELI</v>
      </c>
      <c r="H85" s="7">
        <f t="shared" si="1"/>
        <v>43</v>
      </c>
    </row>
    <row r="86" ht="22.5" customHeight="1">
      <c r="B86" s="7" t="str">
        <f>IFERROR(__xludf.DUMMYFUNCTION("""COMPUTED_VALUE"""),"K/40/151024/1")</f>
        <v>K/40/151024/1</v>
      </c>
      <c r="C86" s="7" t="str">
        <f>IFERROR(__xludf.DUMMYFUNCTION("""COMPUTED_VALUE"""),"M. 2800/ Sumber Rejo")</f>
        <v>M. 2800/ Sumber Rejo</v>
      </c>
      <c r="D86" s="7" t="str">
        <f>IFERROR(__xludf.DUMMYFUNCTION("""COMPUTED_VALUE"""),"Berry")</f>
        <v>Berry</v>
      </c>
      <c r="E86" s="7" t="str">
        <f>IFERROR(__xludf.DUMMYFUNCTION("""COMPUTED_VALUE"""),"DISERAHKAN")</f>
        <v>DISERAHKAN</v>
      </c>
      <c r="F86" s="9">
        <f>IFERROR(__xludf.DUMMYFUNCTION("""COMPUTED_VALUE"""),45582.3496090625)</f>
        <v>45582.34961</v>
      </c>
      <c r="G86" s="7" t="str">
        <f>IFERROR(__xludf.DUMMYFUNCTION("""COMPUTED_VALUE"""),"BN Jual Beli")</f>
        <v>BN Jual Beli</v>
      </c>
      <c r="H86" s="7">
        <f t="shared" si="1"/>
        <v>44</v>
      </c>
    </row>
    <row r="87" ht="22.5" customHeight="1">
      <c r="B87" s="7" t="str">
        <f>IFERROR(__xludf.DUMMYFUNCTION("""COMPUTED_VALUE"""),"L/43/151024/1")</f>
        <v>L/43/151024/1</v>
      </c>
      <c r="C87" s="7" t="str">
        <f>IFERROR(__xludf.DUMMYFUNCTION("""COMPUTED_VALUE"""),"HM 4010/TANJUNG SENANG")</f>
        <v>HM 4010/TANJUNG SENANG</v>
      </c>
      <c r="D87" s="7" t="str">
        <f>IFERROR(__xludf.DUMMYFUNCTION("""COMPUTED_VALUE"""),"Berry")</f>
        <v>Berry</v>
      </c>
      <c r="E87" s="7" t="str">
        <f>IFERROR(__xludf.DUMMYFUNCTION("""COMPUTED_VALUE"""),"DISERAHKAN")</f>
        <v>DISERAHKAN</v>
      </c>
      <c r="F87" s="9">
        <f>IFERROR(__xludf.DUMMYFUNCTION("""COMPUTED_VALUE"""),45581.34985450232)</f>
        <v>45581.34985</v>
      </c>
      <c r="G87" s="7" t="str">
        <f>IFERROR(__xludf.DUMMYFUNCTION("""COMPUTED_VALUE"""),"ROYA")</f>
        <v>ROYA</v>
      </c>
      <c r="H87" s="7">
        <f t="shared" si="1"/>
        <v>45</v>
      </c>
    </row>
    <row r="88" ht="22.5" customHeight="1">
      <c r="B88" s="7" t="str">
        <f>IFERROR(__xludf.DUMMYFUNCTION("""COMPUTED_VALUE"""),"K/41/151024/2")</f>
        <v>K/41/151024/2</v>
      </c>
      <c r="C88" s="7" t="str">
        <f>IFERROR(__xludf.DUMMYFUNCTION("""COMPUTED_VALUE"""),"M. 11294/ Labuhan Ratu")</f>
        <v>M. 11294/ Labuhan Ratu</v>
      </c>
      <c r="D88" s="7" t="str">
        <f>IFERROR(__xludf.DUMMYFUNCTION("""COMPUTED_VALUE"""),"David")</f>
        <v>David</v>
      </c>
      <c r="E88" s="7" t="str">
        <f>IFERROR(__xludf.DUMMYFUNCTION("""COMPUTED_VALUE"""),"DISERAHKAN")</f>
        <v>DISERAHKAN</v>
      </c>
      <c r="F88" s="9">
        <f>IFERROR(__xludf.DUMMYFUNCTION("""COMPUTED_VALUE"""),45581.34873121528)</f>
        <v>45581.34873</v>
      </c>
      <c r="G88" s="7" t="str">
        <f>IFERROR(__xludf.DUMMYFUNCTION("""COMPUTED_VALUE"""),"BN Jual Beli")</f>
        <v>BN Jual Beli</v>
      </c>
      <c r="H88" s="7">
        <f t="shared" si="1"/>
        <v>46</v>
      </c>
    </row>
    <row r="89" ht="22.5" customHeight="1">
      <c r="B89" s="7" t="str">
        <f>IFERROR(__xludf.DUMMYFUNCTION("""COMPUTED_VALUE"""),"K/44/151024/1")</f>
        <v>K/44/151024/1</v>
      </c>
      <c r="C89" s="7" t="str">
        <f>IFERROR(__xludf.DUMMYFUNCTION("""COMPUTED_VALUE"""),"M.1375/PERUMNAS WAY HALIM-SEKARANG;B.2097/KEDATON-DAHULU")</f>
        <v>M.1375/PERUMNAS WAY HALIM-SEKARANG;B.2097/KEDATON-DAHULU</v>
      </c>
      <c r="D89" s="7"/>
      <c r="E89" s="7"/>
      <c r="F89" s="9" t="str">
        <f>IFERROR(__xludf.DUMMYFUNCTION("""COMPUTED_VALUE"""),"")</f>
        <v/>
      </c>
      <c r="G89" s="7" t="str">
        <f>IFERROR(__xludf.DUMMYFUNCTION("""COMPUTED_VALUE"""),"SKPT")</f>
        <v>SKPT</v>
      </c>
      <c r="H89" s="7">
        <f t="shared" si="1"/>
        <v>46</v>
      </c>
    </row>
    <row r="90" ht="22.5" customHeight="1">
      <c r="B90" s="7" t="str">
        <f>IFERROR(__xludf.DUMMYFUNCTION("""COMPUTED_VALUE"""),"K/42/151024/3")</f>
        <v>K/42/151024/3</v>
      </c>
      <c r="C90" s="7" t="str">
        <f>IFERROR(__xludf.DUMMYFUNCTION("""COMPUTED_VALUE"""),"M. 2589/ Kota Baru")</f>
        <v>M. 2589/ Kota Baru</v>
      </c>
      <c r="D90" s="7" t="str">
        <f>IFERROR(__xludf.DUMMYFUNCTION("""COMPUTED_VALUE"""),"Berry")</f>
        <v>Berry</v>
      </c>
      <c r="E90" s="7" t="str">
        <f>IFERROR(__xludf.DUMMYFUNCTION("""COMPUTED_VALUE"""),"DISERAHKAN")</f>
        <v>DISERAHKAN</v>
      </c>
      <c r="F90" s="9">
        <f>IFERROR(__xludf.DUMMYFUNCTION("""COMPUTED_VALUE"""),45581.349979074075)</f>
        <v>45581.34998</v>
      </c>
      <c r="G90" s="7" t="str">
        <f>IFERROR(__xludf.DUMMYFUNCTION("""COMPUTED_VALUE"""),"BN Kewarisan")</f>
        <v>BN Kewarisan</v>
      </c>
      <c r="H90" s="7">
        <f t="shared" si="1"/>
        <v>47</v>
      </c>
    </row>
    <row r="91" ht="22.5" customHeight="1">
      <c r="B91" s="7" t="str">
        <f>IFERROR(__xludf.DUMMYFUNCTION("""COMPUTED_VALUE"""),"K/47/151024/1")</f>
        <v>K/47/151024/1</v>
      </c>
      <c r="C91" s="7" t="str">
        <f>IFERROR(__xludf.DUMMYFUNCTION("""COMPUTED_VALUE"""),"B. 176/ LABUHAN RATU RAYA")</f>
        <v>B. 176/ LABUHAN RATU RAYA</v>
      </c>
      <c r="D91" s="7" t="str">
        <f>IFERROR(__xludf.DUMMYFUNCTION("""COMPUTED_VALUE"""),"David")</f>
        <v>David</v>
      </c>
      <c r="E91" s="7" t="str">
        <f>IFERROR(__xludf.DUMMYFUNCTION("""COMPUTED_VALUE"""),"DISERAHKAN")</f>
        <v>DISERAHKAN</v>
      </c>
      <c r="F91" s="9">
        <f>IFERROR(__xludf.DUMMYFUNCTION("""COMPUTED_VALUE"""),45581.34853820602)</f>
        <v>45581.34854</v>
      </c>
      <c r="G91" s="7" t="str">
        <f>IFERROR(__xludf.DUMMYFUNCTION("""COMPUTED_VALUE"""),"BN JUAL BELI")</f>
        <v>BN JUAL BELI</v>
      </c>
      <c r="H91" s="7">
        <f t="shared" si="1"/>
        <v>48</v>
      </c>
    </row>
    <row r="92" ht="22.5" customHeight="1">
      <c r="B92" s="7" t="str">
        <f>IFERROR(__xludf.DUMMYFUNCTION("""COMPUTED_VALUE"""),"K/48/151024/1")</f>
        <v>K/48/151024/1</v>
      </c>
      <c r="C92" s="7" t="str">
        <f>IFERROR(__xludf.DUMMYFUNCTION("""COMPUTED_VALUE"""),"M.550/KORPRI RAYA-SEKARANG;M.10135/SUKARAME U-DAHULU")</f>
        <v>M.550/KORPRI RAYA-SEKARANG;M.10135/SUKARAME U-DAHULU</v>
      </c>
      <c r="D92" s="7" t="str">
        <f>IFERROR(__xludf.DUMMYFUNCTION("""COMPUTED_VALUE"""),"David")</f>
        <v>David</v>
      </c>
      <c r="E92" s="7" t="str">
        <f>IFERROR(__xludf.DUMMYFUNCTION("""COMPUTED_VALUE"""),"DISERAHKAN")</f>
        <v>DISERAHKAN</v>
      </c>
      <c r="F92" s="9">
        <f>IFERROR(__xludf.DUMMYFUNCTION("""COMPUTED_VALUE"""),45581.409004375004)</f>
        <v>45581.409</v>
      </c>
      <c r="G92" s="7" t="str">
        <f>IFERROR(__xludf.DUMMYFUNCTION("""COMPUTED_VALUE"""),"PERALIHAN JUAL BELI")</f>
        <v>PERALIHAN JUAL BELI</v>
      </c>
      <c r="H92" s="7">
        <f t="shared" si="1"/>
        <v>49</v>
      </c>
    </row>
    <row r="93" ht="22.5" customHeight="1">
      <c r="B93" s="7" t="str">
        <f>IFERROR(__xludf.DUMMYFUNCTION("""COMPUTED_VALUE"""),"L/49/151024/1")</f>
        <v>L/49/151024/1</v>
      </c>
      <c r="C93" s="7" t="str">
        <f>IFERROR(__xludf.DUMMYFUNCTION("""COMPUTED_VALUE"""),"B.238/BERINGIN RAYA;B.238/BERINGIN JAYA-DAHULU")</f>
        <v>B.238/BERINGIN RAYA;B.238/BERINGIN JAYA-DAHULU</v>
      </c>
      <c r="D93" s="7" t="str">
        <f>IFERROR(__xludf.DUMMYFUNCTION("""COMPUTED_VALUE"""),"Berry")</f>
        <v>Berry</v>
      </c>
      <c r="E93" s="7" t="str">
        <f>IFERROR(__xludf.DUMMYFUNCTION("""COMPUTED_VALUE"""),"DISERAHKAN")</f>
        <v>DISERAHKAN</v>
      </c>
      <c r="F93" s="9">
        <f>IFERROR(__xludf.DUMMYFUNCTION("""COMPUTED_VALUE"""),45581.34922737269)</f>
        <v>45581.34923</v>
      </c>
      <c r="G93" s="7" t="str">
        <f>IFERROR(__xludf.DUMMYFUNCTION("""COMPUTED_VALUE"""),"PERUBAHAN HAK")</f>
        <v>PERUBAHAN HAK</v>
      </c>
      <c r="H93" s="7">
        <f t="shared" si="1"/>
        <v>50</v>
      </c>
    </row>
    <row r="94" ht="22.5" customHeight="1">
      <c r="B94" s="7" t="str">
        <f>IFERROR(__xludf.DUMMYFUNCTION("""COMPUTED_VALUE"""),"L/50/151024/1")</f>
        <v>L/50/151024/1</v>
      </c>
      <c r="C94" s="7" t="str">
        <f>IFERROR(__xludf.DUMMYFUNCTION("""COMPUTED_VALUE"""),"HM 1763/RAJABASA NUNYAI")</f>
        <v>HM 1763/RAJABASA NUNYAI</v>
      </c>
      <c r="D94" s="7" t="str">
        <f>IFERROR(__xludf.DUMMYFUNCTION("""COMPUTED_VALUE"""),"Berry")</f>
        <v>Berry</v>
      </c>
      <c r="E94" s="7" t="str">
        <f>IFERROR(__xludf.DUMMYFUNCTION("""COMPUTED_VALUE"""),"DISERAHKAN")</f>
        <v>DISERAHKAN</v>
      </c>
      <c r="F94" s="9">
        <f>IFERROR(__xludf.DUMMYFUNCTION("""COMPUTED_VALUE"""),45581.34934998842)</f>
        <v>45581.34935</v>
      </c>
      <c r="G94" s="7" t="str">
        <f>IFERROR(__xludf.DUMMYFUNCTION("""COMPUTED_VALUE"""),"BN JUAL-BELI")</f>
        <v>BN JUAL-BELI</v>
      </c>
      <c r="H94" s="7">
        <f t="shared" si="1"/>
        <v>51</v>
      </c>
    </row>
    <row r="95" ht="22.5" customHeight="1">
      <c r="B95" s="7" t="str">
        <f>IFERROR(__xludf.DUMMYFUNCTION("""COMPUTED_VALUE"""),"K/51/151024/1")</f>
        <v>K/51/151024/1</v>
      </c>
      <c r="C95" s="7" t="str">
        <f>IFERROR(__xludf.DUMMYFUNCTION("""COMPUTED_VALUE"""),"M. 2411/ Kota Karang")</f>
        <v>M. 2411/ Kota Karang</v>
      </c>
      <c r="D95" s="7"/>
      <c r="E95" s="7"/>
      <c r="F95" s="9" t="str">
        <f>IFERROR(__xludf.DUMMYFUNCTION("""COMPUTED_VALUE"""),"")</f>
        <v/>
      </c>
      <c r="G95" s="7" t="str">
        <f>IFERROR(__xludf.DUMMYFUNCTION("""COMPUTED_VALUE"""),"Gandes")</f>
        <v>Gandes</v>
      </c>
      <c r="H95" s="7">
        <f t="shared" si="1"/>
        <v>51</v>
      </c>
    </row>
    <row r="96" ht="22.5" customHeight="1">
      <c r="B96" s="7" t="str">
        <f>IFERROR(__xludf.DUMMYFUNCTION("""COMPUTED_VALUE"""),"K/52/151024/1")</f>
        <v>K/52/151024/1</v>
      </c>
      <c r="C96" s="7" t="str">
        <f>IFERROR(__xludf.DUMMYFUNCTION("""COMPUTED_VALUE"""),"M. 579/ KUPANG KOTA")</f>
        <v>M. 579/ KUPANG KOTA</v>
      </c>
      <c r="D96" s="7" t="str">
        <f>IFERROR(__xludf.DUMMYFUNCTION("""COMPUTED_VALUE"""),"David")</f>
        <v>David</v>
      </c>
      <c r="E96" s="7" t="str">
        <f>IFERROR(__xludf.DUMMYFUNCTION("""COMPUTED_VALUE"""),"DISERAHKAN")</f>
        <v>DISERAHKAN</v>
      </c>
      <c r="F96" s="9">
        <f>IFERROR(__xludf.DUMMYFUNCTION("""COMPUTED_VALUE"""),45582.58565149306)</f>
        <v>45582.58565</v>
      </c>
      <c r="G96" s="7" t="str">
        <f>IFERROR(__xludf.DUMMYFUNCTION("""COMPUTED_VALUE"""),"BN WARIS")</f>
        <v>BN WARIS</v>
      </c>
      <c r="H96" s="7">
        <f t="shared" si="1"/>
        <v>52</v>
      </c>
    </row>
    <row r="97" ht="22.5" customHeight="1">
      <c r="B97" s="7" t="str">
        <f>IFERROR(__xludf.DUMMYFUNCTION("""COMPUTED_VALUE"""),"K/53/151024/4")</f>
        <v>K/53/151024/4</v>
      </c>
      <c r="C97" s="7" t="str">
        <f>IFERROR(__xludf.DUMMYFUNCTION("""COMPUTED_VALUE"""),"M. 672/ Tanjung Karang")</f>
        <v>M. 672/ Tanjung Karang</v>
      </c>
      <c r="D97" s="7" t="str">
        <f>IFERROR(__xludf.DUMMYFUNCTION("""COMPUTED_VALUE"""),"Bayu")</f>
        <v>Bayu</v>
      </c>
      <c r="E97" s="7" t="str">
        <f>IFERROR(__xludf.DUMMYFUNCTION("""COMPUTED_VALUE"""),"DISERAHKAN")</f>
        <v>DISERAHKAN</v>
      </c>
      <c r="F97" s="9">
        <f>IFERROR(__xludf.DUMMYFUNCTION("""COMPUTED_VALUE"""),45581.564358159725)</f>
        <v>45581.56436</v>
      </c>
      <c r="G97" s="7" t="str">
        <f>IFERROR(__xludf.DUMMYFUNCTION("""COMPUTED_VALUE"""),"Gandes")</f>
        <v>Gandes</v>
      </c>
      <c r="H97" s="7">
        <f t="shared" si="1"/>
        <v>53</v>
      </c>
    </row>
    <row r="98" ht="22.5" customHeight="1">
      <c r="B98" s="7" t="str">
        <f>IFERROR(__xludf.DUMMYFUNCTION("""COMPUTED_VALUE"""),"K/54/151024/1")</f>
        <v>K/54/151024/1</v>
      </c>
      <c r="C98" s="7" t="str">
        <f>IFERROR(__xludf.DUMMYFUNCTION("""COMPUTED_VALUE"""),"M.131/PENGAJARAN")</f>
        <v>M.131/PENGAJARAN</v>
      </c>
      <c r="D98" s="7"/>
      <c r="E98" s="7"/>
      <c r="F98" s="9" t="str">
        <f>IFERROR(__xludf.DUMMYFUNCTION("""COMPUTED_VALUE"""),"")</f>
        <v/>
      </c>
      <c r="G98" s="7" t="str">
        <f>IFERROR(__xludf.DUMMYFUNCTION("""COMPUTED_VALUE"""),"PLOTING")</f>
        <v>PLOTING</v>
      </c>
      <c r="H98" s="7">
        <f t="shared" si="1"/>
        <v>53</v>
      </c>
    </row>
    <row r="99" ht="22.5" customHeight="1">
      <c r="B99" s="7" t="str">
        <f>IFERROR(__xludf.DUMMYFUNCTION("""COMPUTED_VALUE"""),"K/55/151024/1")</f>
        <v>K/55/151024/1</v>
      </c>
      <c r="C99" s="7" t="str">
        <f>IFERROR(__xludf.DUMMYFUNCTION("""COMPUTED_VALUE"""),"M. 1402/ Tanjung Raya")</f>
        <v>M. 1402/ Tanjung Raya</v>
      </c>
      <c r="D99" s="7" t="str">
        <f>IFERROR(__xludf.DUMMYFUNCTION("""COMPUTED_VALUE"""),"David")</f>
        <v>David</v>
      </c>
      <c r="E99" s="7" t="str">
        <f>IFERROR(__xludf.DUMMYFUNCTION("""COMPUTED_VALUE"""),"DISERAHKAN")</f>
        <v>DISERAHKAN</v>
      </c>
      <c r="F99" s="9">
        <f>IFERROR(__xludf.DUMMYFUNCTION("""COMPUTED_VALUE"""),45582.58565149306)</f>
        <v>45582.58565</v>
      </c>
      <c r="G99" s="7" t="str">
        <f>IFERROR(__xludf.DUMMYFUNCTION("""COMPUTED_VALUE"""),"BN Jual Beli")</f>
        <v>BN Jual Beli</v>
      </c>
      <c r="H99" s="7">
        <f t="shared" si="1"/>
        <v>54</v>
      </c>
    </row>
    <row r="100" ht="22.5" customHeight="1">
      <c r="B100" s="7" t="str">
        <f>IFERROR(__xludf.DUMMYFUNCTION("""COMPUTED_VALUE"""),"K/56/151024/2")</f>
        <v>K/56/151024/2</v>
      </c>
      <c r="C100" s="7" t="str">
        <f>IFERROR(__xludf.DUMMYFUNCTION("""COMPUTED_VALUE"""),"M. 345/ Rajabasa Jaya; dahulu M. 9164/Rajabasa")</f>
        <v>M. 345/ Rajabasa Jaya; dahulu M. 9164/Rajabasa</v>
      </c>
      <c r="D100" s="7"/>
      <c r="E100" s="7"/>
      <c r="F100" s="9" t="str">
        <f>IFERROR(__xludf.DUMMYFUNCTION("""COMPUTED_VALUE"""),"")</f>
        <v/>
      </c>
      <c r="G100" s="7" t="str">
        <f>IFERROR(__xludf.DUMMYFUNCTION("""COMPUTED_VALUE"""),"Ploting")</f>
        <v>Ploting</v>
      </c>
      <c r="H100" s="7">
        <f t="shared" si="1"/>
        <v>54</v>
      </c>
    </row>
    <row r="101" ht="22.5" customHeight="1">
      <c r="B101" s="7" t="str">
        <f>IFERROR(__xludf.DUMMYFUNCTION("""COMPUTED_VALUE"""),"K/57/151024/3")</f>
        <v>K/57/151024/3</v>
      </c>
      <c r="C101" s="7" t="str">
        <f>IFERROR(__xludf.DUMMYFUNCTION("""COMPUTED_VALUE"""),"M. 590/ Pematang Wangi; 382/ Tanjung Senang dahulu")</f>
        <v>M. 590/ Pematang Wangi; 382/ Tanjung Senang dahulu</v>
      </c>
      <c r="D101" s="7" t="str">
        <f>IFERROR(__xludf.DUMMYFUNCTION("""COMPUTED_VALUE"""),"David")</f>
        <v>David</v>
      </c>
      <c r="E101" s="7" t="str">
        <f>IFERROR(__xludf.DUMMYFUNCTION("""COMPUTED_VALUE"""),"DISERAHKAN")</f>
        <v>DISERAHKAN</v>
      </c>
      <c r="F101" s="9">
        <f>IFERROR(__xludf.DUMMYFUNCTION("""COMPUTED_VALUE"""),45582.58565149306)</f>
        <v>45582.58565</v>
      </c>
      <c r="G101" s="7" t="str">
        <f>IFERROR(__xludf.DUMMYFUNCTION("""COMPUTED_VALUE"""),"Roya")</f>
        <v>Roya</v>
      </c>
      <c r="H101" s="7">
        <f t="shared" si="1"/>
        <v>55</v>
      </c>
    </row>
    <row r="102" ht="22.5" customHeight="1">
      <c r="B102" s="7" t="str">
        <f>IFERROR(__xludf.DUMMYFUNCTION("""COMPUTED_VALUE"""),"L/58/151024/1")</f>
        <v>L/58/151024/1</v>
      </c>
      <c r="C102" s="7" t="str">
        <f>IFERROR(__xludf.DUMMYFUNCTION("""COMPUTED_VALUE"""),"HM 730/SAWAH LAMA")</f>
        <v>HM 730/SAWAH LAMA</v>
      </c>
      <c r="D102" s="7"/>
      <c r="E102" s="7"/>
      <c r="F102" s="9" t="str">
        <f>IFERROR(__xludf.DUMMYFUNCTION("""COMPUTED_VALUE"""),"")</f>
        <v/>
      </c>
      <c r="G102" s="7" t="str">
        <f>IFERROR(__xludf.DUMMYFUNCTION("""COMPUTED_VALUE"""),"PENGHAPUSAN BPHTB")</f>
        <v>PENGHAPUSAN BPHTB</v>
      </c>
      <c r="H102" s="7">
        <f t="shared" si="1"/>
        <v>55</v>
      </c>
    </row>
    <row r="103" ht="22.5" customHeight="1">
      <c r="B103" s="7" t="str">
        <f>IFERROR(__xludf.DUMMYFUNCTION("""COMPUTED_VALUE"""),"K/59/151024/1")</f>
        <v>K/59/151024/1</v>
      </c>
      <c r="C103" s="7" t="str">
        <f>IFERROR(__xludf.DUMMYFUNCTION("""COMPUTED_VALUE"""),"B.522/BERINGIN JAYA")</f>
        <v>B.522/BERINGIN JAYA</v>
      </c>
      <c r="D103" s="7" t="str">
        <f>IFERROR(__xludf.DUMMYFUNCTION("""COMPUTED_VALUE"""),"David")</f>
        <v>David</v>
      </c>
      <c r="E103" s="7" t="str">
        <f>IFERROR(__xludf.DUMMYFUNCTION("""COMPUTED_VALUE"""),"DISERAHKAN")</f>
        <v>DISERAHKAN</v>
      </c>
      <c r="F103" s="9">
        <f>IFERROR(__xludf.DUMMYFUNCTION("""COMPUTED_VALUE"""),45582.58565149306)</f>
        <v>45582.58565</v>
      </c>
      <c r="G103" s="7" t="str">
        <f>IFERROR(__xludf.DUMMYFUNCTION("""COMPUTED_VALUE"""),"PERALIHAN JUAL BELI")</f>
        <v>PERALIHAN JUAL BELI</v>
      </c>
      <c r="H103" s="7">
        <f t="shared" si="1"/>
        <v>56</v>
      </c>
    </row>
    <row r="104" ht="22.5" customHeight="1">
      <c r="B104" s="7" t="str">
        <f>IFERROR(__xludf.DUMMYFUNCTION("""COMPUTED_VALUE"""),"K/1/161024/1")</f>
        <v>K/1/161024/1</v>
      </c>
      <c r="C104" s="7" t="str">
        <f>IFERROR(__xludf.DUMMYFUNCTION("""COMPUTED_VALUE"""),"NIBEL M.2600/SUKARAME")</f>
        <v>NIBEL M.2600/SUKARAME</v>
      </c>
      <c r="D104" s="7"/>
      <c r="E104" s="7"/>
      <c r="F104" s="9" t="str">
        <f>IFERROR(__xludf.DUMMYFUNCTION("""COMPUTED_VALUE"""),"")</f>
        <v/>
      </c>
      <c r="G104" s="7" t="str">
        <f>IFERROR(__xludf.DUMMYFUNCTION("""COMPUTED_VALUE"""),"PERALIHAN KEWARISAN")</f>
        <v>PERALIHAN KEWARISAN</v>
      </c>
      <c r="H104" s="7">
        <f t="shared" si="1"/>
        <v>56</v>
      </c>
    </row>
    <row r="105" ht="22.5" customHeight="1">
      <c r="B105" s="7" t="str">
        <f>IFERROR(__xludf.DUMMYFUNCTION("""COMPUTED_VALUE"""),"K/2/161024/1")</f>
        <v>K/2/161024/1</v>
      </c>
      <c r="C105" s="7" t="str">
        <f>IFERROR(__xludf.DUMMYFUNCTION("""COMPUTED_VALUE"""),"Nibel. M. 2246/ Sumber Agung")</f>
        <v>Nibel. M. 2246/ Sumber Agung</v>
      </c>
      <c r="D105" s="7"/>
      <c r="E105" s="7"/>
      <c r="F105" s="9" t="str">
        <f>IFERROR(__xludf.DUMMYFUNCTION("""COMPUTED_VALUE"""),"")</f>
        <v/>
      </c>
      <c r="G105" s="7" t="str">
        <f>IFERROR(__xludf.DUMMYFUNCTION("""COMPUTED_VALUE"""),"BN Jual Beli")</f>
        <v>BN Jual Beli</v>
      </c>
      <c r="H105" s="7">
        <f t="shared" si="1"/>
        <v>56</v>
      </c>
    </row>
    <row r="106" ht="22.5" customHeight="1">
      <c r="B106" s="7" t="str">
        <f>IFERROR(__xludf.DUMMYFUNCTION("""COMPUTED_VALUE"""),"K/3/161024/2")</f>
        <v>K/3/161024/2</v>
      </c>
      <c r="C106" s="7" t="str">
        <f>IFERROR(__xludf.DUMMYFUNCTION("""COMPUTED_VALUE"""),"M. 1217/ Campang Jaya")</f>
        <v>M. 1217/ Campang Jaya</v>
      </c>
      <c r="D106" s="7"/>
      <c r="E106" s="7" t="str">
        <f>IFERROR(__xludf.DUMMYFUNCTION("""COMPUTED_VALUE"""),"PROSES")</f>
        <v>PROSES</v>
      </c>
      <c r="F106" s="9" t="str">
        <f>IFERROR(__xludf.DUMMYFUNCTION("""COMPUTED_VALUE"""),"")</f>
        <v/>
      </c>
      <c r="G106" s="7" t="str">
        <f>IFERROR(__xludf.DUMMYFUNCTION("""COMPUTED_VALUE"""),"BN Jual Beli")</f>
        <v>BN Jual Beli</v>
      </c>
      <c r="H106" s="7">
        <f t="shared" si="1"/>
        <v>56</v>
      </c>
    </row>
    <row r="107" ht="22.5" customHeight="1">
      <c r="B107" s="7" t="str">
        <f>IFERROR(__xludf.DUMMYFUNCTION("""COMPUTED_VALUE"""),"L/4/161024/1")</f>
        <v>L/4/161024/1</v>
      </c>
      <c r="C107" s="7" t="str">
        <f>IFERROR(__xludf.DUMMYFUNCTION("""COMPUTED_VALUE"""),"B.3464/SUKABUMI")</f>
        <v>B.3464/SUKABUMI</v>
      </c>
      <c r="D107" s="7"/>
      <c r="E107" s="7"/>
      <c r="F107" s="9" t="str">
        <f>IFERROR(__xludf.DUMMYFUNCTION("""COMPUTED_VALUE"""),"")</f>
        <v/>
      </c>
      <c r="G107" s="7" t="str">
        <f>IFERROR(__xludf.DUMMYFUNCTION("""COMPUTED_VALUE"""),"SKPT INFORMASI PEMBAHARUAN")</f>
        <v>SKPT INFORMASI PEMBAHARUAN</v>
      </c>
      <c r="H107" s="7">
        <f t="shared" si="1"/>
        <v>56</v>
      </c>
    </row>
    <row r="108" ht="22.5" customHeight="1">
      <c r="B108" s="7" t="str">
        <f>IFERROR(__xludf.DUMMYFUNCTION("""COMPUTED_VALUE"""),"K/5/161024/1")</f>
        <v>K/5/161024/1</v>
      </c>
      <c r="C108" s="7" t="str">
        <f>IFERROR(__xludf.DUMMYFUNCTION("""COMPUTED_VALUE"""),"M. 1818/ Kupang Teba")</f>
        <v>M. 1818/ Kupang Teba</v>
      </c>
      <c r="D108" s="7"/>
      <c r="E108" s="7" t="str">
        <f>IFERROR(__xludf.DUMMYFUNCTION("""COMPUTED_VALUE"""),"PROSES")</f>
        <v>PROSES</v>
      </c>
      <c r="F108" s="9" t="str">
        <f>IFERROR(__xludf.DUMMYFUNCTION("""COMPUTED_VALUE"""),"")</f>
        <v/>
      </c>
      <c r="G108" s="7" t="str">
        <f>IFERROR(__xludf.DUMMYFUNCTION("""COMPUTED_VALUE"""),"BN Jual Beli")</f>
        <v>BN Jual Beli</v>
      </c>
      <c r="H108" s="7">
        <f t="shared" si="1"/>
        <v>56</v>
      </c>
    </row>
    <row r="109" ht="22.5" customHeight="1">
      <c r="B109" s="7" t="str">
        <f>IFERROR(__xludf.DUMMYFUNCTION("""COMPUTED_VALUE"""),"K/6/161024/1")</f>
        <v>K/6/161024/1</v>
      </c>
      <c r="C109" s="7" t="str">
        <f>IFERROR(__xludf.DUMMYFUNCTION("""COMPUTED_VALUE"""),"M. 1560/ Bumi Waras")</f>
        <v>M. 1560/ Bumi Waras</v>
      </c>
      <c r="D109" s="7"/>
      <c r="E109" s="7"/>
      <c r="F109" s="9" t="str">
        <f>IFERROR(__xludf.DUMMYFUNCTION("""COMPUTED_VALUE"""),"")</f>
        <v/>
      </c>
      <c r="G109" s="7" t="str">
        <f>IFERROR(__xludf.DUMMYFUNCTION("""COMPUTED_VALUE"""),"SKPT LELANG")</f>
        <v>SKPT LELANG</v>
      </c>
      <c r="H109" s="7">
        <f t="shared" si="1"/>
        <v>56</v>
      </c>
    </row>
    <row r="110" ht="22.5" customHeight="1">
      <c r="B110" s="7" t="str">
        <f>IFERROR(__xludf.DUMMYFUNCTION("""COMPUTED_VALUE"""),"K/7/161024/2")</f>
        <v>K/7/161024/2</v>
      </c>
      <c r="C110" s="7" t="str">
        <f>IFERROR(__xludf.DUMMYFUNCTION("""COMPUTED_VALUE"""),"M. 617/ SAWAH LAMA")</f>
        <v>M. 617/ SAWAH LAMA</v>
      </c>
      <c r="D110" s="7"/>
      <c r="E110" s="7"/>
      <c r="F110" s="9" t="str">
        <f>IFERROR(__xludf.DUMMYFUNCTION("""COMPUTED_VALUE"""),"")</f>
        <v/>
      </c>
      <c r="G110" s="7" t="str">
        <f>IFERROR(__xludf.DUMMYFUNCTION("""COMPUTED_VALUE"""),"SKPT LELANG")</f>
        <v>SKPT LELANG</v>
      </c>
      <c r="H110" s="7">
        <f t="shared" si="1"/>
        <v>56</v>
      </c>
    </row>
    <row r="111" ht="22.5" customHeight="1">
      <c r="B111" s="7" t="str">
        <f>IFERROR(__xludf.DUMMYFUNCTION("""COMPUTED_VALUE"""),"L/8/161024/1")</f>
        <v>L/8/161024/1</v>
      </c>
      <c r="C111" s="7" t="str">
        <f>IFERROR(__xludf.DUMMYFUNCTION("""COMPUTED_VALUE"""),"B.834/PWK;B.763/WAY KANDIS-DAHULU")</f>
        <v>B.834/PWK;B.763/WAY KANDIS-DAHULU</v>
      </c>
      <c r="D111" s="7" t="str">
        <f>IFERROR(__xludf.DUMMYFUNCTION("""COMPUTED_VALUE"""),"David")</f>
        <v>David</v>
      </c>
      <c r="E111" s="7" t="str">
        <f>IFERROR(__xludf.DUMMYFUNCTION("""COMPUTED_VALUE"""),"DISERAHKAN")</f>
        <v>DISERAHKAN</v>
      </c>
      <c r="F111" s="9">
        <f>IFERROR(__xludf.DUMMYFUNCTION("""COMPUTED_VALUE"""),45582.58565149306)</f>
        <v>45582.58565</v>
      </c>
      <c r="G111" s="7" t="str">
        <f>IFERROR(__xludf.DUMMYFUNCTION("""COMPUTED_VALUE"""),"PERUBAHAN HAK")</f>
        <v>PERUBAHAN HAK</v>
      </c>
      <c r="H111" s="7">
        <f t="shared" si="1"/>
        <v>57</v>
      </c>
    </row>
    <row r="112" ht="22.5" customHeight="1">
      <c r="B112" s="7" t="str">
        <f>IFERROR(__xludf.DUMMYFUNCTION("""COMPUTED_VALUE"""),"K/9/161024/1")</f>
        <v>K/9/161024/1</v>
      </c>
      <c r="C112" s="7" t="str">
        <f>IFERROR(__xludf.DUMMYFUNCTION("""COMPUTED_VALUE"""),"M. 3934/ Way Kandis - sekarang/ B. 923/ Way Kandis -dahulu")</f>
        <v>M. 3934/ Way Kandis - sekarang/ B. 923/ Way Kandis -dahulu</v>
      </c>
      <c r="D112" s="7"/>
      <c r="E112" s="7"/>
      <c r="F112" s="9" t="str">
        <f>IFERROR(__xludf.DUMMYFUNCTION("""COMPUTED_VALUE"""),"")</f>
        <v/>
      </c>
      <c r="G112" s="7" t="str">
        <f>IFERROR(__xludf.DUMMYFUNCTION("""COMPUTED_VALUE"""),"Ganti Kelurahan")</f>
        <v>Ganti Kelurahan</v>
      </c>
      <c r="H112" s="7">
        <f t="shared" si="1"/>
        <v>57</v>
      </c>
    </row>
    <row r="113" ht="22.5" customHeight="1">
      <c r="B113" s="7" t="str">
        <f>IFERROR(__xludf.DUMMYFUNCTION("""COMPUTED_VALUE"""),"K/10/161024/1")</f>
        <v>K/10/161024/1</v>
      </c>
      <c r="C113" s="7" t="str">
        <f>IFERROR(__xludf.DUMMYFUNCTION("""COMPUTED_VALUE"""),"NIBEL M.2729/GUNUNG SULAH")</f>
        <v>NIBEL M.2729/GUNUNG SULAH</v>
      </c>
      <c r="D113" s="7"/>
      <c r="E113" s="7"/>
      <c r="F113" s="9" t="str">
        <f>IFERROR(__xludf.DUMMYFUNCTION("""COMPUTED_VALUE"""),"")</f>
        <v/>
      </c>
      <c r="G113" s="7" t="str">
        <f>IFERROR(__xludf.DUMMYFUNCTION("""COMPUTED_VALUE"""),"PERALIHAN JUAL BELI")</f>
        <v>PERALIHAN JUAL BELI</v>
      </c>
      <c r="H113" s="7">
        <f t="shared" si="1"/>
        <v>57</v>
      </c>
    </row>
    <row r="114" ht="22.5" customHeight="1">
      <c r="B114" s="7" t="str">
        <f>IFERROR(__xludf.DUMMYFUNCTION("""COMPUTED_VALUE"""),"K/11/161024/2")</f>
        <v>K/11/161024/2</v>
      </c>
      <c r="C114" s="7" t="str">
        <f>IFERROR(__xludf.DUMMYFUNCTION("""COMPUTED_VALUE"""),"NIBEL B.2730/GUNUNG SULAH")</f>
        <v>NIBEL B.2730/GUNUNG SULAH</v>
      </c>
      <c r="D114" s="7"/>
      <c r="E114" s="7"/>
      <c r="F114" s="9" t="str">
        <f>IFERROR(__xludf.DUMMYFUNCTION("""COMPUTED_VALUE"""),"")</f>
        <v/>
      </c>
      <c r="G114" s="7" t="str">
        <f>IFERROR(__xludf.DUMMYFUNCTION("""COMPUTED_VALUE"""),"PERALIHAN BALIK NAMA")</f>
        <v>PERALIHAN BALIK NAMA</v>
      </c>
      <c r="H114" s="7">
        <f t="shared" si="1"/>
        <v>57</v>
      </c>
    </row>
    <row r="115" ht="22.5" customHeight="1">
      <c r="B115" s="7" t="str">
        <f>IFERROR(__xludf.DUMMYFUNCTION("""COMPUTED_VALUE"""),"K/12/161024/3")</f>
        <v>K/12/161024/3</v>
      </c>
      <c r="C115" s="7" t="str">
        <f>IFERROR(__xludf.DUMMYFUNCTION("""COMPUTED_VALUE"""),"B.545/GUNUNG SULAH")</f>
        <v>B.545/GUNUNG SULAH</v>
      </c>
      <c r="D115" s="7"/>
      <c r="E115" s="7" t="str">
        <f>IFERROR(__xludf.DUMMYFUNCTION("""COMPUTED_VALUE"""),"PROSES")</f>
        <v>PROSES</v>
      </c>
      <c r="F115" s="9" t="str">
        <f>IFERROR(__xludf.DUMMYFUNCTION("""COMPUTED_VALUE"""),"")</f>
        <v/>
      </c>
      <c r="G115" s="7" t="str">
        <f>IFERROR(__xludf.DUMMYFUNCTION("""COMPUTED_VALUE"""),"PERALIHAN JUAL BELI")</f>
        <v>PERALIHAN JUAL BELI</v>
      </c>
      <c r="H115" s="7">
        <f t="shared" si="1"/>
        <v>57</v>
      </c>
    </row>
    <row r="116" ht="22.5" customHeight="1">
      <c r="B116" s="7" t="str">
        <f>IFERROR(__xludf.DUMMYFUNCTION("""COMPUTED_VALUE"""),"K/13/161024/1")</f>
        <v>K/13/161024/1</v>
      </c>
      <c r="C116" s="7" t="str">
        <f>IFERROR(__xludf.DUMMYFUNCTION("""COMPUTED_VALUE"""),"M. 1186/ Enggal")</f>
        <v>M. 1186/ Enggal</v>
      </c>
      <c r="D116" s="7" t="str">
        <f>IFERROR(__xludf.DUMMYFUNCTION("""COMPUTED_VALUE"""),"David")</f>
        <v>David</v>
      </c>
      <c r="E116" s="7" t="str">
        <f>IFERROR(__xludf.DUMMYFUNCTION("""COMPUTED_VALUE"""),"DISERAHKAN")</f>
        <v>DISERAHKAN</v>
      </c>
      <c r="F116" s="9">
        <f>IFERROR(__xludf.DUMMYFUNCTION("""COMPUTED_VALUE"""),45582.58565149306)</f>
        <v>45582.58565</v>
      </c>
      <c r="G116" s="7" t="str">
        <f>IFERROR(__xludf.DUMMYFUNCTION("""COMPUTED_VALUE"""),"BN Jual Beli")</f>
        <v>BN Jual Beli</v>
      </c>
      <c r="H116" s="7">
        <f t="shared" si="1"/>
        <v>58</v>
      </c>
    </row>
    <row r="117" ht="22.5" customHeight="1">
      <c r="B117" s="7" t="str">
        <f>IFERROR(__xludf.DUMMYFUNCTION("""COMPUTED_VALUE"""),"K/14/161024/2")</f>
        <v>K/14/161024/2</v>
      </c>
      <c r="C117" s="7" t="str">
        <f>IFERROR(__xludf.DUMMYFUNCTION("""COMPUTED_VALUE"""),"M. 5621/ Langkapura")</f>
        <v>M. 5621/ Langkapura</v>
      </c>
      <c r="D117" s="7" t="str">
        <f>IFERROR(__xludf.DUMMYFUNCTION("""COMPUTED_VALUE"""),"David")</f>
        <v>David</v>
      </c>
      <c r="E117" s="7" t="str">
        <f>IFERROR(__xludf.DUMMYFUNCTION("""COMPUTED_VALUE"""),"DISERAHKAN")</f>
        <v>DISERAHKAN</v>
      </c>
      <c r="F117" s="9">
        <f>IFERROR(__xludf.DUMMYFUNCTION("""COMPUTED_VALUE"""),45582.41639537037)</f>
        <v>45582.4164</v>
      </c>
      <c r="G117" s="7" t="str">
        <f>IFERROR(__xludf.DUMMYFUNCTION("""COMPUTED_VALUE"""),"BN Jual Beli")</f>
        <v>BN Jual Beli</v>
      </c>
      <c r="H117" s="7">
        <f t="shared" si="1"/>
        <v>59</v>
      </c>
    </row>
    <row r="118" ht="22.5" customHeight="1">
      <c r="B118" s="7" t="str">
        <f>IFERROR(__xludf.DUMMYFUNCTION("""COMPUTED_VALUE"""),"K/15/161024/1")</f>
        <v>K/15/161024/1</v>
      </c>
      <c r="C118" s="7" t="str">
        <f>IFERROR(__xludf.DUMMYFUNCTION("""COMPUTED_VALUE"""),"M. 639/ PEMATANG WANGI")</f>
        <v>M. 639/ PEMATANG WANGI</v>
      </c>
      <c r="D118" s="7"/>
      <c r="E118" s="7"/>
      <c r="F118" s="9" t="str">
        <f>IFERROR(__xludf.DUMMYFUNCTION("""COMPUTED_VALUE"""),"")</f>
        <v/>
      </c>
      <c r="G118" s="7" t="str">
        <f>IFERROR(__xludf.DUMMYFUNCTION("""COMPUTED_VALUE"""),"PLOTTING")</f>
        <v>PLOTTING</v>
      </c>
      <c r="H118" s="7">
        <f t="shared" si="1"/>
        <v>59</v>
      </c>
    </row>
    <row r="119" ht="22.5" customHeight="1">
      <c r="B119" s="7" t="str">
        <f>IFERROR(__xludf.DUMMYFUNCTION("""COMPUTED_VALUE"""),"L/16/161024/1")</f>
        <v>L/16/161024/1</v>
      </c>
      <c r="C119" s="7" t="str">
        <f>IFERROR(__xludf.DUMMYFUNCTION("""COMPUTED_VALUE"""),"M.1095/NOG")</f>
        <v>M.1095/NOG</v>
      </c>
      <c r="D119" s="7" t="str">
        <f>IFERROR(__xludf.DUMMYFUNCTION("""COMPUTED_VALUE"""),"David")</f>
        <v>David</v>
      </c>
      <c r="E119" s="7" t="str">
        <f>IFERROR(__xludf.DUMMYFUNCTION("""COMPUTED_VALUE"""),"DISERAHKAN")</f>
        <v>DISERAHKAN</v>
      </c>
      <c r="F119" s="9">
        <f>IFERROR(__xludf.DUMMYFUNCTION("""COMPUTED_VALUE"""),45582.417255243054)</f>
        <v>45582.41726</v>
      </c>
      <c r="G119" s="7" t="str">
        <f>IFERROR(__xludf.DUMMYFUNCTION("""COMPUTED_VALUE"""),"ROYA")</f>
        <v>ROYA</v>
      </c>
      <c r="H119" s="7">
        <f t="shared" si="1"/>
        <v>60</v>
      </c>
    </row>
    <row r="120" ht="22.5" customHeight="1">
      <c r="B120" s="7" t="str">
        <f>IFERROR(__xludf.DUMMYFUNCTION("""COMPUTED_VALUE"""),"K/17/161024/1")</f>
        <v>K/17/161024/1</v>
      </c>
      <c r="C120" s="7" t="str">
        <f>IFERROR(__xludf.DUMMYFUNCTION("""COMPUTED_VALUE"""),"M. 12720/ SUKABUMI")</f>
        <v>M. 12720/ SUKABUMI</v>
      </c>
      <c r="D120" s="7"/>
      <c r="E120" s="7"/>
      <c r="F120" s="9" t="str">
        <f>IFERROR(__xludf.DUMMYFUNCTION("""COMPUTED_VALUE"""),"")</f>
        <v/>
      </c>
      <c r="G120" s="7" t="str">
        <f>IFERROR(__xludf.DUMMYFUNCTION("""COMPUTED_VALUE"""),"PENGECEKKAN")</f>
        <v>PENGECEKKAN</v>
      </c>
      <c r="H120" s="7">
        <f t="shared" si="1"/>
        <v>60</v>
      </c>
    </row>
    <row r="121" ht="22.5" customHeight="1">
      <c r="B121" s="7" t="str">
        <f>IFERROR(__xludf.DUMMYFUNCTION("""COMPUTED_VALUE"""),"K/18/161024/1")</f>
        <v>K/18/161024/1</v>
      </c>
      <c r="C121" s="7" t="str">
        <f>IFERROR(__xludf.DUMMYFUNCTION("""COMPUTED_VALUE"""),"M. 1213/ SUKARAME II")</f>
        <v>M. 1213/ SUKARAME II</v>
      </c>
      <c r="D121" s="7"/>
      <c r="E121" s="7"/>
      <c r="F121" s="9" t="str">
        <f>IFERROR(__xludf.DUMMYFUNCTION("""COMPUTED_VALUE"""),"")</f>
        <v/>
      </c>
      <c r="G121" s="7" t="str">
        <f>IFERROR(__xludf.DUMMYFUNCTION("""COMPUTED_VALUE"""),"HAPUS BHPTB")</f>
        <v>HAPUS BHPTB</v>
      </c>
      <c r="H121" s="7">
        <f t="shared" si="1"/>
        <v>60</v>
      </c>
    </row>
    <row r="122" ht="22.5" customHeight="1">
      <c r="B122" s="7" t="str">
        <f>IFERROR(__xludf.DUMMYFUNCTION("""COMPUTED_VALUE"""),"L/19/161024/1")</f>
        <v>L/19/161024/1</v>
      </c>
      <c r="C122" s="7" t="str">
        <f>IFERROR(__xludf.DUMMYFUNCTION("""COMPUTED_VALUE"""),"HM 3925/BERINGIN RAYA (SEBELUM NYA) HM 1609/SS (SEKARANG)")</f>
        <v>HM 3925/BERINGIN RAYA (SEBELUM NYA) HM 1609/SS (SEKARANG)</v>
      </c>
      <c r="D122" s="7" t="str">
        <f>IFERROR(__xludf.DUMMYFUNCTION("""COMPUTED_VALUE"""),"David")</f>
        <v>David</v>
      </c>
      <c r="E122" s="7" t="str">
        <f>IFERROR(__xludf.DUMMYFUNCTION("""COMPUTED_VALUE"""),"DISERAHKAN")</f>
        <v>DISERAHKAN</v>
      </c>
      <c r="F122" s="9">
        <f>IFERROR(__xludf.DUMMYFUNCTION("""COMPUTED_VALUE"""),45582.41672032408)</f>
        <v>45582.41672</v>
      </c>
      <c r="G122" s="7" t="str">
        <f>IFERROR(__xludf.DUMMYFUNCTION("""COMPUTED_VALUE"""),"BN HIBAH")</f>
        <v>BN HIBAH</v>
      </c>
      <c r="H122" s="7">
        <f t="shared" si="1"/>
        <v>61</v>
      </c>
    </row>
    <row r="123" ht="22.5" customHeight="1">
      <c r="B123" s="7" t="str">
        <f>IFERROR(__xludf.DUMMYFUNCTION("""COMPUTED_VALUE"""),"K/20/161024/1")</f>
        <v>K/20/161024/1</v>
      </c>
      <c r="C123" s="7" t="str">
        <f>IFERROR(__xludf.DUMMYFUNCTION("""COMPUTED_VALUE"""),"M.48/KALI BALAU KENCANA-SEKARANG;B.46/KALI BALAU KENCANA -DAHULU")</f>
        <v>M.48/KALI BALAU KENCANA-SEKARANG;B.46/KALI BALAU KENCANA -DAHULU</v>
      </c>
      <c r="D123" s="7" t="str">
        <f>IFERROR(__xludf.DUMMYFUNCTION("""COMPUTED_VALUE"""),"David")</f>
        <v>David</v>
      </c>
      <c r="E123" s="7" t="str">
        <f>IFERROR(__xludf.DUMMYFUNCTION("""COMPUTED_VALUE"""),"DISERAHKAN")</f>
        <v>DISERAHKAN</v>
      </c>
      <c r="F123" s="9">
        <f>IFERROR(__xludf.DUMMYFUNCTION("""COMPUTED_VALUE"""),45582.416551608796)</f>
        <v>45582.41655</v>
      </c>
      <c r="G123" s="7" t="str">
        <f>IFERROR(__xludf.DUMMYFUNCTION("""COMPUTED_VALUE"""),"PERALIHAN KEWARISAN")</f>
        <v>PERALIHAN KEWARISAN</v>
      </c>
      <c r="H123" s="7">
        <f t="shared" si="1"/>
        <v>62</v>
      </c>
    </row>
    <row r="124" ht="22.5" customHeight="1">
      <c r="B124" s="7" t="str">
        <f>IFERROR(__xludf.DUMMYFUNCTION("""COMPUTED_VALUE"""),"K/21/161024/1")</f>
        <v>K/21/161024/1</v>
      </c>
      <c r="C124" s="7" t="str">
        <f>IFERROR(__xludf.DUMMYFUNCTION("""COMPUTED_VALUE"""),"M. 651/ Durian Payung")</f>
        <v>M. 651/ Durian Payung</v>
      </c>
      <c r="D124" s="7" t="str">
        <f>IFERROR(__xludf.DUMMYFUNCTION("""COMPUTED_VALUE"""),"David")</f>
        <v>David</v>
      </c>
      <c r="E124" s="7" t="str">
        <f>IFERROR(__xludf.DUMMYFUNCTION("""COMPUTED_VALUE"""),"DISERAHKAN SU")</f>
        <v>DISERAHKAN SU</v>
      </c>
      <c r="F124" s="9">
        <f>IFERROR(__xludf.DUMMYFUNCTION("""COMPUTED_VALUE"""),45582.41696993056)</f>
        <v>45582.41697</v>
      </c>
      <c r="G124" s="7" t="str">
        <f>IFERROR(__xludf.DUMMYFUNCTION("""COMPUTED_VALUE"""),"BN PHB")</f>
        <v>BN PHB</v>
      </c>
      <c r="H124" s="7">
        <f t="shared" si="1"/>
        <v>62</v>
      </c>
    </row>
    <row r="125" ht="22.5" customHeight="1">
      <c r="B125" s="7" t="str">
        <f>IFERROR(__xludf.DUMMYFUNCTION("""COMPUTED_VALUE"""),"K/23/161024/1")</f>
        <v>K/23/161024/1</v>
      </c>
      <c r="C125" s="7" t="str">
        <f>IFERROR(__xludf.DUMMYFUNCTION("""COMPUTED_VALUE"""),"NIBEL 2899/ RAWA LAUT")</f>
        <v>NIBEL 2899/ RAWA LAUT</v>
      </c>
      <c r="D125" s="7"/>
      <c r="E125" s="7"/>
      <c r="F125" s="9" t="str">
        <f>IFERROR(__xludf.DUMMYFUNCTION("""COMPUTED_VALUE"""),"")</f>
        <v/>
      </c>
      <c r="G125" s="7" t="str">
        <f>IFERROR(__xludf.DUMMYFUNCTION("""COMPUTED_VALUE"""),"BN JUAL BELI")</f>
        <v>BN JUAL BELI</v>
      </c>
      <c r="H125" s="7">
        <f t="shared" si="1"/>
        <v>62</v>
      </c>
    </row>
    <row r="126" ht="22.5" customHeight="1">
      <c r="B126" s="7" t="str">
        <f>IFERROR(__xludf.DUMMYFUNCTION("""COMPUTED_VALUE"""),"K/25/161024/2")</f>
        <v>K/25/161024/2</v>
      </c>
      <c r="C126" s="7" t="str">
        <f>IFERROR(__xludf.DUMMYFUNCTION("""COMPUTED_VALUE"""),"M. 1443/ Batu Putuk")</f>
        <v>M. 1443/ Batu Putuk</v>
      </c>
      <c r="D126" s="7"/>
      <c r="E126" s="7"/>
      <c r="F126" s="9" t="str">
        <f>IFERROR(__xludf.DUMMYFUNCTION("""COMPUTED_VALUE"""),"")</f>
        <v/>
      </c>
      <c r="G126" s="7" t="str">
        <f>IFERROR(__xludf.DUMMYFUNCTION("""COMPUTED_VALUE"""),"Hapus BPHTB")</f>
        <v>Hapus BPHTB</v>
      </c>
      <c r="H126" s="7">
        <f t="shared" si="1"/>
        <v>62</v>
      </c>
    </row>
    <row r="127" ht="22.5" customHeight="1">
      <c r="B127" s="7" t="str">
        <f>IFERROR(__xludf.DUMMYFUNCTION("""COMPUTED_VALUE"""),"K/24/161024/2")</f>
        <v>K/24/161024/2</v>
      </c>
      <c r="C127" s="7" t="str">
        <f>IFERROR(__xludf.DUMMYFUNCTION("""COMPUTED_VALUE"""),"M. 1535/ KEDAUNG")</f>
        <v>M. 1535/ KEDAUNG</v>
      </c>
      <c r="D127" s="7" t="str">
        <f>IFERROR(__xludf.DUMMYFUNCTION("""COMPUTED_VALUE"""),"David")</f>
        <v>David</v>
      </c>
      <c r="E127" s="7" t="str">
        <f>IFERROR(__xludf.DUMMYFUNCTION("""COMPUTED_VALUE"""),"DISERAHKAN")</f>
        <v>DISERAHKAN</v>
      </c>
      <c r="F127" s="9">
        <f>IFERROR(__xludf.DUMMYFUNCTION("""COMPUTED_VALUE"""),45582.41738006944)</f>
        <v>45582.41738</v>
      </c>
      <c r="G127" s="7" t="str">
        <f>IFERROR(__xludf.DUMMYFUNCTION("""COMPUTED_VALUE"""),"BN JUAL BELI")</f>
        <v>BN JUAL BELI</v>
      </c>
      <c r="H127" s="7">
        <f t="shared" si="1"/>
        <v>63</v>
      </c>
    </row>
    <row r="128" ht="22.5" customHeight="1">
      <c r="B128" s="7" t="str">
        <f>IFERROR(__xludf.DUMMYFUNCTION("""COMPUTED_VALUE"""),"K/27/161024/1")</f>
        <v>K/27/161024/1</v>
      </c>
      <c r="C128" s="7" t="str">
        <f>IFERROR(__xludf.DUMMYFUNCTION("""COMPUTED_VALUE"""),"M. 12564/ Rajabasa Nunyai; 1137/ Rajabasa Dahulu")</f>
        <v>M. 12564/ Rajabasa Nunyai; 1137/ Rajabasa Dahulu</v>
      </c>
      <c r="D128" s="7" t="str">
        <f>IFERROR(__xludf.DUMMYFUNCTION("""COMPUTED_VALUE"""),"Sahelia")</f>
        <v>Sahelia</v>
      </c>
      <c r="E128" s="7" t="str">
        <f>IFERROR(__xludf.DUMMYFUNCTION("""COMPUTED_VALUE"""),"DISERAHKAN")</f>
        <v>DISERAHKAN</v>
      </c>
      <c r="F128" s="9">
        <f>IFERROR(__xludf.DUMMYFUNCTION("""COMPUTED_VALUE"""),45601.420971307874)</f>
        <v>45601.42097</v>
      </c>
      <c r="G128" s="7" t="str">
        <f>IFERROR(__xludf.DUMMYFUNCTION("""COMPUTED_VALUE"""),"BN Jual Beli")</f>
        <v>BN Jual Beli</v>
      </c>
      <c r="H128" s="7">
        <f t="shared" si="1"/>
        <v>64</v>
      </c>
    </row>
    <row r="129" ht="22.5" customHeight="1">
      <c r="B129" s="7" t="str">
        <f>IFERROR(__xludf.DUMMYFUNCTION("""COMPUTED_VALUE"""),"K/28/161024/1")</f>
        <v>K/28/161024/1</v>
      </c>
      <c r="C129" s="7" t="str">
        <f>IFERROR(__xludf.DUMMYFUNCTION("""COMPUTED_VALUE"""),"M. 68/ Perumnas Way Kandis")</f>
        <v>M. 68/ Perumnas Way Kandis</v>
      </c>
      <c r="D129" s="7" t="str">
        <f>IFERROR(__xludf.DUMMYFUNCTION("""COMPUTED_VALUE"""),"Berry")</f>
        <v>Berry</v>
      </c>
      <c r="E129" s="7" t="str">
        <f>IFERROR(__xludf.DUMMYFUNCTION("""COMPUTED_VALUE"""),"DISERAHKAN BT")</f>
        <v>DISERAHKAN BT</v>
      </c>
      <c r="F129" s="9">
        <f>IFERROR(__xludf.DUMMYFUNCTION("""COMPUTED_VALUE"""),45588.377377094905)</f>
        <v>45588.37738</v>
      </c>
      <c r="G129" s="7" t="str">
        <f>IFERROR(__xludf.DUMMYFUNCTION("""COMPUTED_VALUE"""),"PEMECAHAN BIDANG")</f>
        <v>PEMECAHAN BIDANG</v>
      </c>
      <c r="H129" s="7">
        <f t="shared" si="1"/>
        <v>64</v>
      </c>
    </row>
    <row r="130" ht="22.5" customHeight="1">
      <c r="B130" s="7" t="str">
        <f>IFERROR(__xludf.DUMMYFUNCTION("""COMPUTED_VALUE"""),"K/29/161024/2")</f>
        <v>K/29/161024/2</v>
      </c>
      <c r="C130" s="7" t="str">
        <f>IFERROR(__xludf.DUMMYFUNCTION("""COMPUTED_VALUE"""),"M. 8953/ KAMPUNG BARU")</f>
        <v>M. 8953/ KAMPUNG BARU</v>
      </c>
      <c r="D130" s="7"/>
      <c r="E130" s="7"/>
      <c r="F130" s="9" t="str">
        <f>IFERROR(__xludf.DUMMYFUNCTION("""COMPUTED_VALUE"""),"")</f>
        <v/>
      </c>
      <c r="G130" s="7" t="str">
        <f>IFERROR(__xludf.DUMMYFUNCTION("""COMPUTED_VALUE"""),"GANTI KELURAHAN")</f>
        <v>GANTI KELURAHAN</v>
      </c>
      <c r="H130" s="7">
        <f t="shared" si="1"/>
        <v>64</v>
      </c>
    </row>
    <row r="131" ht="22.5" customHeight="1">
      <c r="B131" s="7" t="str">
        <f>IFERROR(__xludf.DUMMYFUNCTION("""COMPUTED_VALUE"""),"K/30/161024/1")</f>
        <v>K/30/161024/1</v>
      </c>
      <c r="C131" s="7" t="str">
        <f>IFERROR(__xludf.DUMMYFUNCTION("""COMPUTED_VALUE"""),"M. 4485/ Beringin Raya; B. 1808/ Beringin Raya")</f>
        <v>M. 4485/ Beringin Raya; B. 1808/ Beringin Raya</v>
      </c>
      <c r="D131" s="7" t="str">
        <f>IFERROR(__xludf.DUMMYFUNCTION("""COMPUTED_VALUE"""),"Sahelia")</f>
        <v>Sahelia</v>
      </c>
      <c r="E131" s="7" t="str">
        <f>IFERROR(__xludf.DUMMYFUNCTION("""COMPUTED_VALUE"""),"DISERAHKAN BT")</f>
        <v>DISERAHKAN BT</v>
      </c>
      <c r="F131" s="9">
        <f>IFERROR(__xludf.DUMMYFUNCTION("""COMPUTED_VALUE"""),45608.58292483796)</f>
        <v>45608.58292</v>
      </c>
      <c r="G131" s="7" t="str">
        <f>IFERROR(__xludf.DUMMYFUNCTION("""COMPUTED_VALUE"""),"BN Jual Beli")</f>
        <v>BN Jual Beli</v>
      </c>
      <c r="H131" s="7">
        <f t="shared" si="1"/>
        <v>64</v>
      </c>
    </row>
    <row r="132" ht="22.5" customHeight="1">
      <c r="B132" s="7" t="str">
        <f>IFERROR(__xludf.DUMMYFUNCTION("""COMPUTED_VALUE"""),"K/32/161024/1")</f>
        <v>K/32/161024/1</v>
      </c>
      <c r="C132" s="7" t="str">
        <f>IFERROR(__xludf.DUMMYFUNCTION("""COMPUTED_VALUE"""),"B. 598/ SUMBER AGUNG")</f>
        <v>B. 598/ SUMBER AGUNG</v>
      </c>
      <c r="D132" s="7" t="str">
        <f>IFERROR(__xludf.DUMMYFUNCTION("""COMPUTED_VALUE"""),"David")</f>
        <v>David</v>
      </c>
      <c r="E132" s="7" t="str">
        <f>IFERROR(__xludf.DUMMYFUNCTION("""COMPUTED_VALUE"""),"DISERAHKAN")</f>
        <v>DISERAHKAN</v>
      </c>
      <c r="F132" s="9">
        <f>IFERROR(__xludf.DUMMYFUNCTION("""COMPUTED_VALUE"""),45582.41748238426)</f>
        <v>45582.41748</v>
      </c>
      <c r="G132" s="7" t="str">
        <f>IFERROR(__xludf.DUMMYFUNCTION("""COMPUTED_VALUE"""),"BN JUAL BELI")</f>
        <v>BN JUAL BELI</v>
      </c>
      <c r="H132" s="7">
        <f t="shared" si="1"/>
        <v>65</v>
      </c>
    </row>
    <row r="133" ht="22.5" customHeight="1">
      <c r="B133" s="7" t="str">
        <f>IFERROR(__xludf.DUMMYFUNCTION("""COMPUTED_VALUE"""),"L/34/161024/1")</f>
        <v>L/34/161024/1</v>
      </c>
      <c r="C133" s="7" t="str">
        <f>IFERROR(__xludf.DUMMYFUNCTION("""COMPUTED_VALUE"""),"M.1450/SUMBERREJO SEJAHTERA")</f>
        <v>M.1450/SUMBERREJO SEJAHTERA</v>
      </c>
      <c r="D133" s="7"/>
      <c r="E133" s="7"/>
      <c r="F133" s="9" t="str">
        <f>IFERROR(__xludf.DUMMYFUNCTION("""COMPUTED_VALUE"""),"")</f>
        <v/>
      </c>
      <c r="G133" s="7" t="str">
        <f>IFERROR(__xludf.DUMMYFUNCTION("""COMPUTED_VALUE"""),"HAPUS BPHTB")</f>
        <v>HAPUS BPHTB</v>
      </c>
      <c r="H133" s="7">
        <f t="shared" si="1"/>
        <v>65</v>
      </c>
    </row>
    <row r="134" ht="22.5" customHeight="1">
      <c r="B134" s="7" t="str">
        <f>IFERROR(__xludf.DUMMYFUNCTION("""COMPUTED_VALUE"""),"K/33/161024/2")</f>
        <v>K/33/161024/2</v>
      </c>
      <c r="C134" s="7" t="str">
        <f>IFERROR(__xludf.DUMMYFUNCTION("""COMPUTED_VALUE"""),"B. 592/ SUMBER AGUNG")</f>
        <v>B. 592/ SUMBER AGUNG</v>
      </c>
      <c r="D134" s="7" t="str">
        <f>IFERROR(__xludf.DUMMYFUNCTION("""COMPUTED_VALUE"""),"David")</f>
        <v>David</v>
      </c>
      <c r="E134" s="7" t="str">
        <f>IFERROR(__xludf.DUMMYFUNCTION("""COMPUTED_VALUE"""),"DISERAHKAN")</f>
        <v>DISERAHKAN</v>
      </c>
      <c r="F134" s="9">
        <f>IFERROR(__xludf.DUMMYFUNCTION("""COMPUTED_VALUE"""),45582.417565868054)</f>
        <v>45582.41757</v>
      </c>
      <c r="G134" s="7" t="str">
        <f>IFERROR(__xludf.DUMMYFUNCTION("""COMPUTED_VALUE"""),"BN JUAL BELI")</f>
        <v>BN JUAL BELI</v>
      </c>
      <c r="H134" s="7">
        <f t="shared" si="1"/>
        <v>66</v>
      </c>
    </row>
    <row r="135" ht="22.5" customHeight="1">
      <c r="B135" s="7" t="str">
        <f>IFERROR(__xludf.DUMMYFUNCTION("""COMPUTED_VALUE"""),"K/35/161024/1")</f>
        <v>K/35/161024/1</v>
      </c>
      <c r="C135" s="7" t="str">
        <f>IFERROR(__xludf.DUMMYFUNCTION("""COMPUTED_VALUE"""),"M.11916/SUKABUMI-SEKARANG;B.3374/SUKABUMI-DAHULU")</f>
        <v>M.11916/SUKABUMI-SEKARANG;B.3374/SUKABUMI-DAHULU</v>
      </c>
      <c r="D135" s="7" t="str">
        <f>IFERROR(__xludf.DUMMYFUNCTION("""COMPUTED_VALUE"""),"David")</f>
        <v>David</v>
      </c>
      <c r="E135" s="7" t="str">
        <f>IFERROR(__xludf.DUMMYFUNCTION("""COMPUTED_VALUE"""),"DISERAHKAN")</f>
        <v>DISERAHKAN</v>
      </c>
      <c r="F135" s="9">
        <f>IFERROR(__xludf.DUMMYFUNCTION("""COMPUTED_VALUE"""),45582.41683134259)</f>
        <v>45582.41683</v>
      </c>
      <c r="G135" s="7" t="str">
        <f>IFERROR(__xludf.DUMMYFUNCTION("""COMPUTED_VALUE"""),"ROYA")</f>
        <v>ROYA</v>
      </c>
      <c r="H135" s="7">
        <f t="shared" si="1"/>
        <v>67</v>
      </c>
    </row>
    <row r="136" ht="22.5" customHeight="1">
      <c r="B136" s="7" t="str">
        <f>IFERROR(__xludf.DUMMYFUNCTION("""COMPUTED_VALUE"""),"K/36/161024/1")</f>
        <v>K/36/161024/1</v>
      </c>
      <c r="C136" s="7" t="str">
        <f>IFERROR(__xludf.DUMMYFUNCTION("""COMPUTED_VALUE"""),"M. 16685/ SUKABUMI")</f>
        <v>M. 16685/ SUKABUMI</v>
      </c>
      <c r="D136" s="7" t="str">
        <f>IFERROR(__xludf.DUMMYFUNCTION("""COMPUTED_VALUE"""),"Berry")</f>
        <v>Berry</v>
      </c>
      <c r="E136" s="7" t="str">
        <f>IFERROR(__xludf.DUMMYFUNCTION("""COMPUTED_VALUE"""),"DISERAHKAN")</f>
        <v>DISERAHKAN</v>
      </c>
      <c r="F136" s="9">
        <f>IFERROR(__xludf.DUMMYFUNCTION("""COMPUTED_VALUE"""),45588.377377094905)</f>
        <v>45588.37738</v>
      </c>
      <c r="G136" s="7" t="str">
        <f>IFERROR(__xludf.DUMMYFUNCTION("""COMPUTED_VALUE"""),"PEMECAHAN BIDANG")</f>
        <v>PEMECAHAN BIDANG</v>
      </c>
      <c r="H136" s="7">
        <f t="shared" si="1"/>
        <v>68</v>
      </c>
    </row>
    <row r="137" ht="22.5" customHeight="1">
      <c r="B137" s="7" t="str">
        <f>IFERROR(__xludf.DUMMYFUNCTION("""COMPUTED_VALUE"""),"K/37/161024/1")</f>
        <v>K/37/161024/1</v>
      </c>
      <c r="C137" s="7" t="str">
        <f>IFERROR(__xludf.DUMMYFUNCTION("""COMPUTED_VALUE"""),"M. 16119/ Sukabumi")</f>
        <v>M. 16119/ Sukabumi</v>
      </c>
      <c r="D137" s="7" t="str">
        <f>IFERROR(__xludf.DUMMYFUNCTION("""COMPUTED_VALUE"""),"Berry")</f>
        <v>Berry</v>
      </c>
      <c r="E137" s="7" t="str">
        <f>IFERROR(__xludf.DUMMYFUNCTION("""COMPUTED_VALUE"""),"DISERAHKAN")</f>
        <v>DISERAHKAN</v>
      </c>
      <c r="F137" s="9">
        <f>IFERROR(__xludf.DUMMYFUNCTION("""COMPUTED_VALUE"""),45587.56231875)</f>
        <v>45587.56232</v>
      </c>
      <c r="G137" s="7" t="str">
        <f>IFERROR(__xludf.DUMMYFUNCTION("""COMPUTED_VALUE"""),"BN Jual Beli")</f>
        <v>BN Jual Beli</v>
      </c>
      <c r="H137" s="7">
        <f t="shared" si="1"/>
        <v>69</v>
      </c>
    </row>
    <row r="138" ht="22.5" customHeight="1">
      <c r="B138" s="7" t="str">
        <f>IFERROR(__xludf.DUMMYFUNCTION("""COMPUTED_VALUE"""),"K/38/161024/1")</f>
        <v>K/38/161024/1</v>
      </c>
      <c r="C138" s="7" t="str">
        <f>IFERROR(__xludf.DUMMYFUNCTION("""COMPUTED_VALUE"""),"M. 2904/ Gedong Air")</f>
        <v>M. 2904/ Gedong Air</v>
      </c>
      <c r="D138" s="7"/>
      <c r="E138" s="7"/>
      <c r="F138" s="9" t="str">
        <f>IFERROR(__xludf.DUMMYFUNCTION("""COMPUTED_VALUE"""),"")</f>
        <v/>
      </c>
      <c r="G138" s="7" t="str">
        <f>IFERROR(__xludf.DUMMYFUNCTION("""COMPUTED_VALUE"""),"Hapus BPHTB")</f>
        <v>Hapus BPHTB</v>
      </c>
      <c r="H138" s="7">
        <f t="shared" si="1"/>
        <v>69</v>
      </c>
    </row>
    <row r="139" ht="22.5" customHeight="1">
      <c r="B139" s="7" t="str">
        <f>IFERROR(__xludf.DUMMYFUNCTION("""COMPUTED_VALUE"""),"K/39/161024/1")</f>
        <v>K/39/161024/1</v>
      </c>
      <c r="C139" s="7" t="str">
        <f>IFERROR(__xludf.DUMMYFUNCTION("""COMPUTED_VALUE"""),"M. 1812/ Rajabasa Nunyai-")</f>
        <v>M. 1812/ Rajabasa Nunyai-</v>
      </c>
      <c r="D139" s="7" t="str">
        <f>IFERROR(__xludf.DUMMYFUNCTION("""COMPUTED_VALUE"""),"Berry")</f>
        <v>Berry</v>
      </c>
      <c r="E139" s="7" t="str">
        <f>IFERROR(__xludf.DUMMYFUNCTION("""COMPUTED_VALUE"""),"DISERAHKAN")</f>
        <v>DISERAHKAN</v>
      </c>
      <c r="F139" s="9">
        <f>IFERROR(__xludf.DUMMYFUNCTION("""COMPUTED_VALUE"""),45582.636577592595)</f>
        <v>45582.63658</v>
      </c>
      <c r="G139" s="7" t="str">
        <f>IFERROR(__xludf.DUMMYFUNCTION("""COMPUTED_VALUE"""),"BN Jual Beli")</f>
        <v>BN Jual Beli</v>
      </c>
      <c r="H139" s="7">
        <f t="shared" si="1"/>
        <v>70</v>
      </c>
    </row>
    <row r="140" ht="22.5" customHeight="1">
      <c r="B140" s="7" t="str">
        <f>IFERROR(__xludf.DUMMYFUNCTION("""COMPUTED_VALUE"""),"K/40/161024/1")</f>
        <v>K/40/161024/1</v>
      </c>
      <c r="C140" s="7" t="str">
        <f>IFERROR(__xludf.DUMMYFUNCTION("""COMPUTED_VALUE"""),"M.5925/TANJUNG SENENG")</f>
        <v>M.5925/TANJUNG SENENG</v>
      </c>
      <c r="D140" s="7"/>
      <c r="E140" s="7"/>
      <c r="F140" s="9" t="str">
        <f>IFERROR(__xludf.DUMMYFUNCTION("""COMPUTED_VALUE"""),"")</f>
        <v/>
      </c>
      <c r="G140" s="7" t="str">
        <f>IFERROR(__xludf.DUMMYFUNCTION("""COMPUTED_VALUE"""),"HAPUS BPHTB")</f>
        <v>HAPUS BPHTB</v>
      </c>
      <c r="H140" s="7">
        <f t="shared" si="1"/>
        <v>70</v>
      </c>
    </row>
    <row r="141" ht="22.5" customHeight="1">
      <c r="B141" s="7" t="str">
        <f>IFERROR(__xludf.DUMMYFUNCTION("""COMPUTED_VALUE"""),"K/1/171024/1")</f>
        <v>K/1/171024/1</v>
      </c>
      <c r="C141" s="7" t="str">
        <f>IFERROR(__xludf.DUMMYFUNCTION("""COMPUTED_VALUE"""),"B.1379/SUKABUMI")</f>
        <v>B.1379/SUKABUMI</v>
      </c>
      <c r="D141" s="7"/>
      <c r="E141" s="7"/>
      <c r="F141" s="9" t="str">
        <f>IFERROR(__xludf.DUMMYFUNCTION("""COMPUTED_VALUE"""),"")</f>
        <v/>
      </c>
      <c r="G141" s="7" t="str">
        <f>IFERROR(__xludf.DUMMYFUNCTION("""COMPUTED_VALUE"""),"GANDES")</f>
        <v>GANDES</v>
      </c>
      <c r="H141" s="7">
        <f t="shared" si="1"/>
        <v>70</v>
      </c>
    </row>
    <row r="142" ht="22.5" customHeight="1">
      <c r="B142" s="7" t="str">
        <f>IFERROR(__xludf.DUMMYFUNCTION("""COMPUTED_VALUE"""),"K/2/171024/1")</f>
        <v>K/2/171024/1</v>
      </c>
      <c r="C142" s="7" t="str">
        <f>IFERROR(__xludf.DUMMYFUNCTION("""COMPUTED_VALUE"""),"M. 525/ Sumber Agung")</f>
        <v>M. 525/ Sumber Agung</v>
      </c>
      <c r="D142" s="7" t="str">
        <f>IFERROR(__xludf.DUMMYFUNCTION("""COMPUTED_VALUE"""),"Berry")</f>
        <v>Berry</v>
      </c>
      <c r="E142" s="7" t="str">
        <f>IFERROR(__xludf.DUMMYFUNCTION("""COMPUTED_VALUE"""),"DISERAHKAN")</f>
        <v>DISERAHKAN</v>
      </c>
      <c r="F142" s="9">
        <f>IFERROR(__xludf.DUMMYFUNCTION("""COMPUTED_VALUE"""),45588.37738121528)</f>
        <v>45588.37738</v>
      </c>
      <c r="G142" s="7" t="str">
        <f>IFERROR(__xludf.DUMMYFUNCTION("""COMPUTED_VALUE"""),"PEMECAHAN BIDANG")</f>
        <v>PEMECAHAN BIDANG</v>
      </c>
      <c r="H142" s="7">
        <f t="shared" si="1"/>
        <v>71</v>
      </c>
    </row>
    <row r="143" ht="22.5" customHeight="1">
      <c r="B143" s="7" t="str">
        <f>IFERROR(__xludf.DUMMYFUNCTION("""COMPUTED_VALUE"""),"L/3/171024/1")</f>
        <v>L/3/171024/1</v>
      </c>
      <c r="C143" s="7" t="str">
        <f>IFERROR(__xludf.DUMMYFUNCTION("""COMPUTED_VALUE"""),"M 3895/CAMPANG RAYA")</f>
        <v>M 3895/CAMPANG RAYA</v>
      </c>
      <c r="D143" s="7"/>
      <c r="E143" s="7"/>
      <c r="F143" s="9" t="str">
        <f>IFERROR(__xludf.DUMMYFUNCTION("""COMPUTED_VALUE"""),"")</f>
        <v/>
      </c>
      <c r="G143" s="7" t="str">
        <f>IFERROR(__xludf.DUMMYFUNCTION("""COMPUTED_VALUE"""),"HAPUS BPTHB")</f>
        <v>HAPUS BPTHB</v>
      </c>
      <c r="H143" s="7">
        <f t="shared" si="1"/>
        <v>71</v>
      </c>
    </row>
    <row r="144" ht="22.5" customHeight="1">
      <c r="B144" s="7" t="str">
        <f>IFERROR(__xludf.DUMMYFUNCTION("""COMPUTED_VALUE"""),"K/4/171024/1")</f>
        <v>K/4/171024/1</v>
      </c>
      <c r="C144" s="7" t="str">
        <f>IFERROR(__xludf.DUMMYFUNCTION("""COMPUTED_VALUE"""),"NIBEL B.2410/RAJABASA NUNYAI")</f>
        <v>NIBEL B.2410/RAJABASA NUNYAI</v>
      </c>
      <c r="D144" s="7"/>
      <c r="E144" s="7"/>
      <c r="F144" s="9" t="str">
        <f>IFERROR(__xludf.DUMMYFUNCTION("""COMPUTED_VALUE"""),"")</f>
        <v/>
      </c>
      <c r="G144" s="7" t="str">
        <f>IFERROR(__xludf.DUMMYFUNCTION("""COMPUTED_VALUE"""),"PENINGKATAN HAK")</f>
        <v>PENINGKATAN HAK</v>
      </c>
      <c r="H144" s="7">
        <f t="shared" si="1"/>
        <v>71</v>
      </c>
    </row>
    <row r="145" ht="22.5" customHeight="1">
      <c r="B145" s="7" t="str">
        <f>IFERROR(__xludf.DUMMYFUNCTION("""COMPUTED_VALUE"""),"K/5/171024/1")</f>
        <v>K/5/171024/1</v>
      </c>
      <c r="C145" s="7" t="str">
        <f>IFERROR(__xludf.DUMMYFUNCTION("""COMPUTED_VALUE"""),"M. 14030/ Tanjung Baru; M. 13709/ Kedamaian-dahulu")</f>
        <v>M. 14030/ Tanjung Baru; M. 13709/ Kedamaian-dahulu</v>
      </c>
      <c r="D145" s="7" t="str">
        <f>IFERROR(__xludf.DUMMYFUNCTION("""COMPUTED_VALUE"""),"Berry")</f>
        <v>Berry</v>
      </c>
      <c r="E145" s="7" t="str">
        <f>IFERROR(__xludf.DUMMYFUNCTION("""COMPUTED_VALUE"""),"DISERAHKAN")</f>
        <v>DISERAHKAN</v>
      </c>
      <c r="F145" s="9">
        <f>IFERROR(__xludf.DUMMYFUNCTION("""COMPUTED_VALUE"""),45582.63491119213)</f>
        <v>45582.63491</v>
      </c>
      <c r="G145" s="7" t="str">
        <f>IFERROR(__xludf.DUMMYFUNCTION("""COMPUTED_VALUE"""),"BN Waris")</f>
        <v>BN Waris</v>
      </c>
      <c r="H145" s="7">
        <f t="shared" si="1"/>
        <v>72</v>
      </c>
    </row>
    <row r="146" ht="22.5" customHeight="1">
      <c r="B146" s="7" t="str">
        <f>IFERROR(__xludf.DUMMYFUNCTION("""COMPUTED_VALUE"""),"L/6/171024/1")</f>
        <v>L/6/171024/1</v>
      </c>
      <c r="C146" s="7" t="str">
        <f>IFERROR(__xludf.DUMMYFUNCTION("""COMPUTED_VALUE"""),"M.13036/SUKABUMI")</f>
        <v>M.13036/SUKABUMI</v>
      </c>
      <c r="D146" s="7" t="str">
        <f>IFERROR(__xludf.DUMMYFUNCTION("""COMPUTED_VALUE"""),"Berry")</f>
        <v>Berry</v>
      </c>
      <c r="E146" s="7" t="str">
        <f>IFERROR(__xludf.DUMMYFUNCTION("""COMPUTED_VALUE"""),"DISERAHKAN")</f>
        <v>DISERAHKAN</v>
      </c>
      <c r="F146" s="9">
        <f>IFERROR(__xludf.DUMMYFUNCTION("""COMPUTED_VALUE"""),45582.635881863425)</f>
        <v>45582.63588</v>
      </c>
      <c r="G146" s="7" t="str">
        <f>IFERROR(__xludf.DUMMYFUNCTION("""COMPUTED_VALUE"""),"ROYA")</f>
        <v>ROYA</v>
      </c>
      <c r="H146" s="7">
        <f t="shared" si="1"/>
        <v>73</v>
      </c>
    </row>
    <row r="147" ht="22.5" customHeight="1">
      <c r="B147" s="7" t="str">
        <f>IFERROR(__xludf.DUMMYFUNCTION("""COMPUTED_VALUE"""),"K/7/171024/1")</f>
        <v>K/7/171024/1</v>
      </c>
      <c r="C147" s="7" t="str">
        <f>IFERROR(__xludf.DUMMYFUNCTION("""COMPUTED_VALUE"""),"M. 2174/ Way Kandis")</f>
        <v>M. 2174/ Way Kandis</v>
      </c>
      <c r="D147" s="7" t="str">
        <f>IFERROR(__xludf.DUMMYFUNCTION("""COMPUTED_VALUE"""),"Berry")</f>
        <v>Berry</v>
      </c>
      <c r="E147" s="7" t="str">
        <f>IFERROR(__xludf.DUMMYFUNCTION("""COMPUTED_VALUE"""),"DISERAHKAN")</f>
        <v>DISERAHKAN</v>
      </c>
      <c r="F147" s="9">
        <f>IFERROR(__xludf.DUMMYFUNCTION("""COMPUTED_VALUE"""),45588.37756144676)</f>
        <v>45588.37756</v>
      </c>
      <c r="G147" s="7" t="str">
        <f>IFERROR(__xludf.DUMMYFUNCTION("""COMPUTED_VALUE"""),"Pemecahan")</f>
        <v>Pemecahan</v>
      </c>
      <c r="H147" s="7">
        <f t="shared" si="1"/>
        <v>74</v>
      </c>
    </row>
    <row r="148" ht="22.5" customHeight="1">
      <c r="B148" s="7" t="str">
        <f>IFERROR(__xludf.DUMMYFUNCTION("""COMPUTED_VALUE"""),"K/8/171024/1")</f>
        <v>K/8/171024/1</v>
      </c>
      <c r="C148" s="7" t="str">
        <f>IFERROR(__xludf.DUMMYFUNCTION("""COMPUTED_VALUE"""),"M.779/NEGERI OLOK GADING-SEKARANG;B.579/NEGERI OLOK GADING-DAHULU")</f>
        <v>M.779/NEGERI OLOK GADING-SEKARANG;B.579/NEGERI OLOK GADING-DAHULU</v>
      </c>
      <c r="D148" s="7" t="str">
        <f>IFERROR(__xludf.DUMMYFUNCTION("""COMPUTED_VALUE"""),"Berry")</f>
        <v>Berry</v>
      </c>
      <c r="E148" s="7" t="str">
        <f>IFERROR(__xludf.DUMMYFUNCTION("""COMPUTED_VALUE"""),"DISERAHKAN")</f>
        <v>DISERAHKAN</v>
      </c>
      <c r="F148" s="9">
        <f>IFERROR(__xludf.DUMMYFUNCTION("""COMPUTED_VALUE"""),45582.63514003472)</f>
        <v>45582.63514</v>
      </c>
      <c r="G148" s="7" t="str">
        <f>IFERROR(__xludf.DUMMYFUNCTION("""COMPUTED_VALUE"""),"PERALIHAN JUAL BELI")</f>
        <v>PERALIHAN JUAL BELI</v>
      </c>
      <c r="H148" s="7">
        <f t="shared" si="1"/>
        <v>75</v>
      </c>
    </row>
    <row r="149" ht="22.5" customHeight="1">
      <c r="B149" s="7" t="str">
        <f>IFERROR(__xludf.DUMMYFUNCTION("""COMPUTED_VALUE"""),"K/9/171024/1")</f>
        <v>K/9/171024/1</v>
      </c>
      <c r="C149" s="7" t="str">
        <f>IFERROR(__xludf.DUMMYFUNCTION("""COMPUTED_VALUE"""),"M. 18422/ SUKARAME I")</f>
        <v>M. 18422/ SUKARAME I</v>
      </c>
      <c r="D149" s="7"/>
      <c r="E149" s="7"/>
      <c r="F149" s="9" t="str">
        <f>IFERROR(__xludf.DUMMYFUNCTION("""COMPUTED_VALUE"""),"")</f>
        <v/>
      </c>
      <c r="G149" s="7" t="str">
        <f>IFERROR(__xludf.DUMMYFUNCTION("""COMPUTED_VALUE"""),"GANTI KELURAHAN")</f>
        <v>GANTI KELURAHAN</v>
      </c>
      <c r="H149" s="7">
        <f t="shared" si="1"/>
        <v>75</v>
      </c>
    </row>
    <row r="150" ht="22.5" customHeight="1">
      <c r="B150" s="7" t="str">
        <f>IFERROR(__xludf.DUMMYFUNCTION("""COMPUTED_VALUE"""),"K/10/171024/2")</f>
        <v>K/10/171024/2</v>
      </c>
      <c r="C150" s="7" t="str">
        <f>IFERROR(__xludf.DUMMYFUNCTION("""COMPUTED_VALUE"""),"M. 511/ PEMATANG WANGI")</f>
        <v>M. 511/ PEMATANG WANGI</v>
      </c>
      <c r="D150" s="7" t="str">
        <f>IFERROR(__xludf.DUMMYFUNCTION("""COMPUTED_VALUE"""),"Berry")</f>
        <v>Berry</v>
      </c>
      <c r="E150" s="7" t="str">
        <f>IFERROR(__xludf.DUMMYFUNCTION("""COMPUTED_VALUE"""),"DISERAHKAN")</f>
        <v>DISERAHKAN</v>
      </c>
      <c r="F150" s="9">
        <f>IFERROR(__xludf.DUMMYFUNCTION("""COMPUTED_VALUE"""),45582.63703510417)</f>
        <v>45582.63704</v>
      </c>
      <c r="G150" s="7" t="str">
        <f>IFERROR(__xludf.DUMMYFUNCTION("""COMPUTED_VALUE"""),"BN JUAL BELI")</f>
        <v>BN JUAL BELI</v>
      </c>
      <c r="H150" s="7">
        <f t="shared" si="1"/>
        <v>76</v>
      </c>
    </row>
    <row r="151" ht="22.5" customHeight="1">
      <c r="B151" s="7" t="str">
        <f>IFERROR(__xludf.DUMMYFUNCTION("""COMPUTED_VALUE"""),"L/11/171024/1")</f>
        <v>L/11/171024/1</v>
      </c>
      <c r="C151" s="7" t="str">
        <f>IFERROR(__xludf.DUMMYFUNCTION("""COMPUTED_VALUE"""),"HGB 416/WAY KANDIS")</f>
        <v>HGB 416/WAY KANDIS</v>
      </c>
      <c r="D151" s="7" t="str">
        <f>IFERROR(__xludf.DUMMYFUNCTION("""COMPUTED_VALUE"""),"Berry")</f>
        <v>Berry</v>
      </c>
      <c r="E151" s="7" t="str">
        <f>IFERROR(__xludf.DUMMYFUNCTION("""COMPUTED_VALUE"""),"DISERAHKAN")</f>
        <v>DISERAHKAN</v>
      </c>
      <c r="F151" s="9">
        <f>IFERROR(__xludf.DUMMYFUNCTION("""COMPUTED_VALUE"""),45582.63561024306)</f>
        <v>45582.63561</v>
      </c>
      <c r="G151" s="7" t="str">
        <f>IFERROR(__xludf.DUMMYFUNCTION("""COMPUTED_VALUE"""),"ROYA")</f>
        <v>ROYA</v>
      </c>
      <c r="H151" s="7">
        <f t="shared" si="1"/>
        <v>77</v>
      </c>
    </row>
    <row r="152" ht="22.5" customHeight="1">
      <c r="B152" s="7" t="str">
        <f>IFERROR(__xludf.DUMMYFUNCTION("""COMPUTED_VALUE"""),"K/12/171024/3")</f>
        <v>K/12/171024/3</v>
      </c>
      <c r="C152" s="7" t="str">
        <f>IFERROR(__xludf.DUMMYFUNCTION("""COMPUTED_VALUE"""),"M. 2463/ Pinang Jaya")</f>
        <v>M. 2463/ Pinang Jaya</v>
      </c>
      <c r="D152" s="7" t="str">
        <f>IFERROR(__xludf.DUMMYFUNCTION("""COMPUTED_VALUE"""),"Berry")</f>
        <v>Berry</v>
      </c>
      <c r="E152" s="7" t="str">
        <f>IFERROR(__xludf.DUMMYFUNCTION("""COMPUTED_VALUE"""),"DISERAHKAN")</f>
        <v>DISERAHKAN</v>
      </c>
      <c r="F152" s="9">
        <f>IFERROR(__xludf.DUMMYFUNCTION("""COMPUTED_VALUE"""),45582.63546704861)</f>
        <v>45582.63547</v>
      </c>
      <c r="G152" s="7" t="str">
        <f>IFERROR(__xludf.DUMMYFUNCTION("""COMPUTED_VALUE"""),"BN Jual beli")</f>
        <v>BN Jual beli</v>
      </c>
      <c r="H152" s="7">
        <f t="shared" si="1"/>
        <v>78</v>
      </c>
    </row>
    <row r="153" ht="22.5" customHeight="1">
      <c r="B153" s="7" t="str">
        <f>IFERROR(__xludf.DUMMYFUNCTION("""COMPUTED_VALUE"""),"K/13/171024/4")</f>
        <v>K/13/171024/4</v>
      </c>
      <c r="C153" s="7" t="str">
        <f>IFERROR(__xludf.DUMMYFUNCTION("""COMPUTED_VALUE"""),"M. 2523/ Pinang Jaya")</f>
        <v>M. 2523/ Pinang Jaya</v>
      </c>
      <c r="D153" s="7" t="str">
        <f>IFERROR(__xludf.DUMMYFUNCTION("""COMPUTED_VALUE"""),"David")</f>
        <v>David</v>
      </c>
      <c r="E153" s="7" t="str">
        <f>IFERROR(__xludf.DUMMYFUNCTION("""COMPUTED_VALUE"""),"DISERAHKAN")</f>
        <v>DISERAHKAN</v>
      </c>
      <c r="F153" s="9">
        <f>IFERROR(__xludf.DUMMYFUNCTION("""COMPUTED_VALUE"""),45582.63870394676)</f>
        <v>45582.6387</v>
      </c>
      <c r="G153" s="7" t="str">
        <f>IFERROR(__xludf.DUMMYFUNCTION("""COMPUTED_VALUE"""),"BN Jual beli")</f>
        <v>BN Jual beli</v>
      </c>
      <c r="H153" s="7">
        <f t="shared" si="1"/>
        <v>79</v>
      </c>
    </row>
    <row r="154" ht="22.5" customHeight="1">
      <c r="B154" s="7" t="str">
        <f>IFERROR(__xludf.DUMMYFUNCTION("""COMPUTED_VALUE"""),"K/14/171024/5")</f>
        <v>K/14/171024/5</v>
      </c>
      <c r="C154" s="7" t="str">
        <f>IFERROR(__xludf.DUMMYFUNCTION("""COMPUTED_VALUE"""),"M. 2465/ Pinang jaya")</f>
        <v>M. 2465/ Pinang jaya</v>
      </c>
      <c r="D154" s="7" t="str">
        <f>IFERROR(__xludf.DUMMYFUNCTION("""COMPUTED_VALUE"""),"David")</f>
        <v>David</v>
      </c>
      <c r="E154" s="7" t="str">
        <f>IFERROR(__xludf.DUMMYFUNCTION("""COMPUTED_VALUE"""),"DISERAHKAN")</f>
        <v>DISERAHKAN</v>
      </c>
      <c r="F154" s="9">
        <f>IFERROR(__xludf.DUMMYFUNCTION("""COMPUTED_VALUE"""),45582.638842569446)</f>
        <v>45582.63884</v>
      </c>
      <c r="G154" s="7" t="str">
        <f>IFERROR(__xludf.DUMMYFUNCTION("""COMPUTED_VALUE"""),"BN Jual Beli")</f>
        <v>BN Jual Beli</v>
      </c>
      <c r="H154" s="7">
        <f t="shared" si="1"/>
        <v>80</v>
      </c>
    </row>
    <row r="155" ht="22.5" customHeight="1">
      <c r="B155" s="7" t="str">
        <f>IFERROR(__xludf.DUMMYFUNCTION("""COMPUTED_VALUE"""),"K/15/171024/1")</f>
        <v>K/15/171024/1</v>
      </c>
      <c r="C155" s="7" t="str">
        <f>IFERROR(__xludf.DUMMYFUNCTION("""COMPUTED_VALUE"""),"M.10543/GEDONG MENENG")</f>
        <v>M.10543/GEDONG MENENG</v>
      </c>
      <c r="D155" s="7"/>
      <c r="E155" s="7"/>
      <c r="F155" s="9" t="str">
        <f>IFERROR(__xludf.DUMMYFUNCTION("""COMPUTED_VALUE"""),"")</f>
        <v/>
      </c>
      <c r="G155" s="7" t="str">
        <f>IFERROR(__xludf.DUMMYFUNCTION("""COMPUTED_VALUE"""),"PENGUKURAN ULANG")</f>
        <v>PENGUKURAN ULANG</v>
      </c>
      <c r="H155" s="7">
        <f t="shared" si="1"/>
        <v>80</v>
      </c>
    </row>
    <row r="156" ht="22.5" customHeight="1">
      <c r="B156" s="7" t="str">
        <f>IFERROR(__xludf.DUMMYFUNCTION("""COMPUTED_VALUE"""),"K/16/171024/1")</f>
        <v>K/16/171024/1</v>
      </c>
      <c r="C156" s="7" t="str">
        <f>IFERROR(__xludf.DUMMYFUNCTION("""COMPUTED_VALUE"""),"M. 3235/ Rajabasa Jaya")</f>
        <v>M. 3235/ Rajabasa Jaya</v>
      </c>
      <c r="D156" s="7"/>
      <c r="E156" s="7"/>
      <c r="F156" s="9" t="str">
        <f>IFERROR(__xludf.DUMMYFUNCTION("""COMPUTED_VALUE"""),"")</f>
        <v/>
      </c>
      <c r="G156" s="7" t="str">
        <f>IFERROR(__xludf.DUMMYFUNCTION("""COMPUTED_VALUE"""),"Plotting")</f>
        <v>Plotting</v>
      </c>
      <c r="H156" s="7">
        <f t="shared" si="1"/>
        <v>80</v>
      </c>
    </row>
    <row r="157" ht="22.5" customHeight="1">
      <c r="B157" s="7" t="str">
        <f>IFERROR(__xludf.DUMMYFUNCTION("""COMPUTED_VALUE"""),"K/17/171024/1")</f>
        <v>K/17/171024/1</v>
      </c>
      <c r="C157" s="7" t="str">
        <f>IFERROR(__xludf.DUMMYFUNCTION("""COMPUTED_VALUE"""),"M. 560/ Korpri Raya; 9773/ Sukarame-dahulu")</f>
        <v>M. 560/ Korpri Raya; 9773/ Sukarame-dahulu</v>
      </c>
      <c r="D157" s="7"/>
      <c r="E157" s="7"/>
      <c r="F157" s="9" t="str">
        <f>IFERROR(__xludf.DUMMYFUNCTION("""COMPUTED_VALUE"""),"")</f>
        <v/>
      </c>
      <c r="G157" s="7" t="str">
        <f>IFERROR(__xludf.DUMMYFUNCTION("""COMPUTED_VALUE"""),"Pengecekan")</f>
        <v>Pengecekan</v>
      </c>
      <c r="H157" s="7">
        <f t="shared" si="1"/>
        <v>80</v>
      </c>
    </row>
    <row r="158" ht="22.5" customHeight="1">
      <c r="B158" s="7" t="str">
        <f>IFERROR(__xludf.DUMMYFUNCTION("""COMPUTED_VALUE"""),"K/18/171024/1")</f>
        <v>K/18/171024/1</v>
      </c>
      <c r="C158" s="7" t="str">
        <f>IFERROR(__xludf.DUMMYFUNCTION("""COMPUTED_VALUE"""),"M. 111/ KEMILING RAYA")</f>
        <v>M. 111/ KEMILING RAYA</v>
      </c>
      <c r="D158" s="7" t="str">
        <f>IFERROR(__xludf.DUMMYFUNCTION("""COMPUTED_VALUE"""),"David")</f>
        <v>David</v>
      </c>
      <c r="E158" s="7" t="str">
        <f>IFERROR(__xludf.DUMMYFUNCTION("""COMPUTED_VALUE"""),"DISERAHKAN")</f>
        <v>DISERAHKAN</v>
      </c>
      <c r="F158" s="9">
        <f>IFERROR(__xludf.DUMMYFUNCTION("""COMPUTED_VALUE"""),45582.63896869213)</f>
        <v>45582.63897</v>
      </c>
      <c r="G158" s="7" t="str">
        <f>IFERROR(__xludf.DUMMYFUNCTION("""COMPUTED_VALUE"""),"BN JUAL BELI")</f>
        <v>BN JUAL BELI</v>
      </c>
      <c r="H158" s="7">
        <f t="shared" si="1"/>
        <v>81</v>
      </c>
    </row>
    <row r="159" ht="22.5" customHeight="1">
      <c r="B159" s="7" t="str">
        <f>IFERROR(__xludf.DUMMYFUNCTION("""COMPUTED_VALUE"""),"K/19/171024/1")</f>
        <v>K/19/171024/1</v>
      </c>
      <c r="C159" s="7" t="str">
        <f>IFERROR(__xludf.DUMMYFUNCTION("""COMPUTED_VALUE"""),"M.2442/TANJUNG SENENG")</f>
        <v>M.2442/TANJUNG SENENG</v>
      </c>
      <c r="D159" s="7"/>
      <c r="E159" s="7"/>
      <c r="F159" s="9" t="str">
        <f>IFERROR(__xludf.DUMMYFUNCTION("""COMPUTED_VALUE"""),"")</f>
        <v/>
      </c>
      <c r="G159" s="7" t="str">
        <f>IFERROR(__xludf.DUMMYFUNCTION("""COMPUTED_VALUE"""),"SKPT LELANG")</f>
        <v>SKPT LELANG</v>
      </c>
      <c r="H159" s="7">
        <f t="shared" si="1"/>
        <v>81</v>
      </c>
    </row>
    <row r="160" ht="22.5" customHeight="1">
      <c r="B160" s="7" t="str">
        <f>IFERROR(__xludf.DUMMYFUNCTION("""COMPUTED_VALUE"""),"K/21/171024/2")</f>
        <v>K/21/171024/2</v>
      </c>
      <c r="C160" s="7" t="str">
        <f>IFERROR(__xludf.DUMMYFUNCTION("""COMPUTED_VALUE"""),"M. 128/ Kemiling Raya")</f>
        <v>M. 128/ Kemiling Raya</v>
      </c>
      <c r="D160" s="7" t="str">
        <f>IFERROR(__xludf.DUMMYFUNCTION("""COMPUTED_VALUE"""),"David")</f>
        <v>David</v>
      </c>
      <c r="E160" s="7" t="str">
        <f>IFERROR(__xludf.DUMMYFUNCTION("""COMPUTED_VALUE"""),"DISERAHKAN")</f>
        <v>DISERAHKAN</v>
      </c>
      <c r="F160" s="9">
        <f>IFERROR(__xludf.DUMMYFUNCTION("""COMPUTED_VALUE"""),45582.639176956014)</f>
        <v>45582.63918</v>
      </c>
      <c r="G160" s="7" t="str">
        <f>IFERROR(__xludf.DUMMYFUNCTION("""COMPUTED_VALUE"""),"BN Jual Beli")</f>
        <v>BN Jual Beli</v>
      </c>
      <c r="H160" s="7">
        <f t="shared" si="1"/>
        <v>82</v>
      </c>
    </row>
    <row r="161" ht="22.5" customHeight="1">
      <c r="B161" s="7" t="str">
        <f>IFERROR(__xludf.DUMMYFUNCTION("""COMPUTED_VALUE"""),"K/20/171024/2")</f>
        <v>K/20/171024/2</v>
      </c>
      <c r="C161" s="7" t="str">
        <f>IFERROR(__xludf.DUMMYFUNCTION("""COMPUTED_VALUE"""),"M.11594/JAGABAYA II")</f>
        <v>M.11594/JAGABAYA II</v>
      </c>
      <c r="D161" s="7"/>
      <c r="E161" s="7"/>
      <c r="F161" s="9" t="str">
        <f>IFERROR(__xludf.DUMMYFUNCTION("""COMPUTED_VALUE"""),"")</f>
        <v/>
      </c>
      <c r="G161" s="7" t="str">
        <f>IFERROR(__xludf.DUMMYFUNCTION("""COMPUTED_VALUE"""),"SKPT")</f>
        <v>SKPT</v>
      </c>
      <c r="H161" s="7">
        <f t="shared" si="1"/>
        <v>82</v>
      </c>
    </row>
    <row r="162" ht="22.5" customHeight="1">
      <c r="B162" s="7" t="str">
        <f>IFERROR(__xludf.DUMMYFUNCTION("""COMPUTED_VALUE"""),"K/22/171024/1")</f>
        <v>K/22/171024/1</v>
      </c>
      <c r="C162" s="7" t="str">
        <f>IFERROR(__xludf.DUMMYFUNCTION("""COMPUTED_VALUE"""),"Nibel. M. 118/ Rajabasa Raya")</f>
        <v>Nibel. M. 118/ Rajabasa Raya</v>
      </c>
      <c r="D162" s="7"/>
      <c r="E162" s="7"/>
      <c r="F162" s="9" t="str">
        <f>IFERROR(__xludf.DUMMYFUNCTION("""COMPUTED_VALUE"""),"")</f>
        <v/>
      </c>
      <c r="G162" s="7" t="str">
        <f>IFERROR(__xludf.DUMMYFUNCTION("""COMPUTED_VALUE"""),"BN Jual Beli")</f>
        <v>BN Jual Beli</v>
      </c>
      <c r="H162" s="7">
        <f t="shared" si="1"/>
        <v>82</v>
      </c>
    </row>
    <row r="163" ht="22.5" customHeight="1">
      <c r="B163" s="7" t="str">
        <f>IFERROR(__xludf.DUMMYFUNCTION("""COMPUTED_VALUE"""),"L/23/171024/1")</f>
        <v>L/23/171024/1</v>
      </c>
      <c r="C163" s="7" t="str">
        <f>IFERROR(__xludf.DUMMYFUNCTION("""COMPUTED_VALUE"""),"HGB 556/WAY KANDIS")</f>
        <v>HGB 556/WAY KANDIS</v>
      </c>
      <c r="D163" s="7"/>
      <c r="E163" s="7"/>
      <c r="F163" s="9" t="str">
        <f>IFERROR(__xludf.DUMMYFUNCTION("""COMPUTED_VALUE"""),"")</f>
        <v/>
      </c>
      <c r="G163" s="7" t="str">
        <f>IFERROR(__xludf.DUMMYFUNCTION("""COMPUTED_VALUE"""),"GANDES")</f>
        <v>GANDES</v>
      </c>
      <c r="H163" s="7">
        <f t="shared" si="1"/>
        <v>82</v>
      </c>
    </row>
    <row r="164" ht="22.5" customHeight="1">
      <c r="B164" s="7" t="str">
        <f>IFERROR(__xludf.DUMMYFUNCTION("""COMPUTED_VALUE"""),"K/24/171024/1")</f>
        <v>K/24/171024/1</v>
      </c>
      <c r="C164" s="7" t="str">
        <f>IFERROR(__xludf.DUMMYFUNCTION("""COMPUTED_VALUE"""),"NIBEL M.370/GUNUNG SULAH")</f>
        <v>NIBEL M.370/GUNUNG SULAH</v>
      </c>
      <c r="D164" s="7"/>
      <c r="E164" s="7"/>
      <c r="F164" s="9" t="str">
        <f>IFERROR(__xludf.DUMMYFUNCTION("""COMPUTED_VALUE"""),"")</f>
        <v/>
      </c>
      <c r="G164" s="7" t="str">
        <f>IFERROR(__xludf.DUMMYFUNCTION("""COMPUTED_VALUE"""),"PERALIHAN JUAL BELI")</f>
        <v>PERALIHAN JUAL BELI</v>
      </c>
      <c r="H164" s="7">
        <f t="shared" si="1"/>
        <v>82</v>
      </c>
    </row>
    <row r="165" ht="22.5" customHeight="1">
      <c r="B165" s="7" t="str">
        <f>IFERROR(__xludf.DUMMYFUNCTION("""COMPUTED_VALUE"""),"K/25/171024/1")</f>
        <v>K/25/171024/1</v>
      </c>
      <c r="C165" s="7" t="str">
        <f>IFERROR(__xludf.DUMMYFUNCTION("""COMPUTED_VALUE"""),"Nibel. M. 1067/ Sukarame Baru")</f>
        <v>Nibel. M. 1067/ Sukarame Baru</v>
      </c>
      <c r="D165" s="7"/>
      <c r="E165" s="7"/>
      <c r="F165" s="9" t="str">
        <f>IFERROR(__xludf.DUMMYFUNCTION("""COMPUTED_VALUE"""),"")</f>
        <v/>
      </c>
      <c r="G165" s="7" t="str">
        <f>IFERROR(__xludf.DUMMYFUNCTION("""COMPUTED_VALUE"""),"BN Jual Beli")</f>
        <v>BN Jual Beli</v>
      </c>
      <c r="H165" s="7">
        <f t="shared" si="1"/>
        <v>82</v>
      </c>
    </row>
    <row r="166" ht="22.5" customHeight="1">
      <c r="B166" s="7" t="str">
        <f>IFERROR(__xludf.DUMMYFUNCTION("""COMPUTED_VALUE"""),"K/26/171024/2")</f>
        <v>K/26/171024/2</v>
      </c>
      <c r="C166" s="7" t="str">
        <f>IFERROR(__xludf.DUMMYFUNCTION("""COMPUTED_VALUE"""),"Nibel. M. 1066/ Sukarame Baru")</f>
        <v>Nibel. M. 1066/ Sukarame Baru</v>
      </c>
      <c r="D166" s="7"/>
      <c r="E166" s="7"/>
      <c r="F166" s="9" t="str">
        <f>IFERROR(__xludf.DUMMYFUNCTION("""COMPUTED_VALUE"""),"")</f>
        <v/>
      </c>
      <c r="G166" s="7" t="str">
        <f>IFERROR(__xludf.DUMMYFUNCTION("""COMPUTED_VALUE"""),"BN Jual Beli")</f>
        <v>BN Jual Beli</v>
      </c>
      <c r="H166" s="7">
        <f t="shared" si="1"/>
        <v>82</v>
      </c>
    </row>
    <row r="167" ht="22.5" customHeight="1">
      <c r="B167" s="7" t="str">
        <f>IFERROR(__xludf.DUMMYFUNCTION("""COMPUTED_VALUE"""),"K/27/171024/1")</f>
        <v>K/27/171024/1</v>
      </c>
      <c r="C167" s="7" t="str">
        <f>IFERROR(__xludf.DUMMYFUNCTION("""COMPUTED_VALUE"""),"M. 3797/ Keteguhan")</f>
        <v>M. 3797/ Keteguhan</v>
      </c>
      <c r="D167" s="7" t="str">
        <f>IFERROR(__xludf.DUMMYFUNCTION("""COMPUTED_VALUE"""),"Sahelia")</f>
        <v>Sahelia</v>
      </c>
      <c r="E167" s="7" t="str">
        <f>IFERROR(__xludf.DUMMYFUNCTION("""COMPUTED_VALUE"""),"DISERAHKAN")</f>
        <v>DISERAHKAN</v>
      </c>
      <c r="F167" s="9">
        <f>IFERROR(__xludf.DUMMYFUNCTION("""COMPUTED_VALUE"""),45593.6776565162)</f>
        <v>45593.67766</v>
      </c>
      <c r="G167" s="7" t="str">
        <f>IFERROR(__xludf.DUMMYFUNCTION("""COMPUTED_VALUE"""),"BN Jual Beli")</f>
        <v>BN Jual Beli</v>
      </c>
      <c r="H167" s="7">
        <f t="shared" si="1"/>
        <v>83</v>
      </c>
    </row>
    <row r="168" ht="22.5" customHeight="1">
      <c r="B168" s="7" t="str">
        <f>IFERROR(__xludf.DUMMYFUNCTION("""COMPUTED_VALUE"""),"K/29/171024/1")</f>
        <v>K/29/171024/1</v>
      </c>
      <c r="C168" s="7" t="str">
        <f>IFERROR(__xludf.DUMMYFUNCTION("""COMPUTED_VALUE"""),"M.617/SUKARAJA")</f>
        <v>M.617/SUKARAJA</v>
      </c>
      <c r="D168" s="7"/>
      <c r="E168" s="7"/>
      <c r="F168" s="9" t="str">
        <f>IFERROR(__xludf.DUMMYFUNCTION("""COMPUTED_VALUE"""),"")</f>
        <v/>
      </c>
      <c r="G168" s="7" t="str">
        <f>IFERROR(__xludf.DUMMYFUNCTION("""COMPUTED_VALUE"""),"GANDES")</f>
        <v>GANDES</v>
      </c>
      <c r="H168" s="7">
        <f t="shared" si="1"/>
        <v>83</v>
      </c>
    </row>
    <row r="169" ht="22.5" customHeight="1">
      <c r="B169" s="7" t="str">
        <f>IFERROR(__xludf.DUMMYFUNCTION("""COMPUTED_VALUE"""),"K/28/171024/2")</f>
        <v>K/28/171024/2</v>
      </c>
      <c r="C169" s="7" t="str">
        <f>IFERROR(__xludf.DUMMYFUNCTION("""COMPUTED_VALUE"""),"M. 182/ Way Kandis")</f>
        <v>M. 182/ Way Kandis</v>
      </c>
      <c r="D169" s="7" t="str">
        <f>IFERROR(__xludf.DUMMYFUNCTION("""COMPUTED_VALUE"""),"Sahelia")</f>
        <v>Sahelia</v>
      </c>
      <c r="E169" s="7" t="str">
        <f>IFERROR(__xludf.DUMMYFUNCTION("""COMPUTED_VALUE"""),"DISERAHKAN BT")</f>
        <v>DISERAHKAN BT</v>
      </c>
      <c r="F169" s="9">
        <f>IFERROR(__xludf.DUMMYFUNCTION("""COMPUTED_VALUE"""),45593.677730509255)</f>
        <v>45593.67773</v>
      </c>
      <c r="G169" s="7" t="str">
        <f>IFERROR(__xludf.DUMMYFUNCTION("""COMPUTED_VALUE"""),"BN Jual Beli")</f>
        <v>BN Jual Beli</v>
      </c>
      <c r="H169" s="7">
        <f t="shared" si="1"/>
        <v>83</v>
      </c>
    </row>
    <row r="170" ht="22.5" customHeight="1">
      <c r="B170" s="7" t="str">
        <f>IFERROR(__xludf.DUMMYFUNCTION("""COMPUTED_VALUE"""),"K/30/171024/2")</f>
        <v>K/30/171024/2</v>
      </c>
      <c r="C170" s="7" t="str">
        <f>IFERROR(__xludf.DUMMYFUNCTION("""COMPUTED_VALUE"""),"M.9272/RAJABASA")</f>
        <v>M.9272/RAJABASA</v>
      </c>
      <c r="D170" s="7"/>
      <c r="E170" s="7"/>
      <c r="F170" s="9" t="str">
        <f>IFERROR(__xludf.DUMMYFUNCTION("""COMPUTED_VALUE"""),"")</f>
        <v/>
      </c>
      <c r="G170" s="7" t="str">
        <f>IFERROR(__xludf.DUMMYFUNCTION("""COMPUTED_VALUE"""),"PLOTING")</f>
        <v>PLOTING</v>
      </c>
      <c r="H170" s="7">
        <f t="shared" si="1"/>
        <v>83</v>
      </c>
    </row>
    <row r="171" ht="22.5" customHeight="1">
      <c r="B171" s="7" t="str">
        <f>IFERROR(__xludf.DUMMYFUNCTION("""COMPUTED_VALUE"""),"K/31/171024/1")</f>
        <v>K/31/171024/1</v>
      </c>
      <c r="C171" s="7" t="str">
        <f>IFERROR(__xludf.DUMMYFUNCTION("""COMPUTED_VALUE"""),"M. 2933/ Sukarame II")</f>
        <v>M. 2933/ Sukarame II</v>
      </c>
      <c r="D171" s="7" t="str">
        <f>IFERROR(__xludf.DUMMYFUNCTION("""COMPUTED_VALUE"""),"Berry")</f>
        <v>Berry</v>
      </c>
      <c r="E171" s="7" t="str">
        <f>IFERROR(__xludf.DUMMYFUNCTION("""COMPUTED_VALUE"""),"DISERAHKAN")</f>
        <v>DISERAHKAN</v>
      </c>
      <c r="F171" s="9">
        <f>IFERROR(__xludf.DUMMYFUNCTION("""COMPUTED_VALUE"""),45586.48778776621)</f>
        <v>45586.48779</v>
      </c>
      <c r="G171" s="7" t="str">
        <f>IFERROR(__xludf.DUMMYFUNCTION("""COMPUTED_VALUE"""),"BN Jual Beli")</f>
        <v>BN Jual Beli</v>
      </c>
      <c r="H171" s="7">
        <f t="shared" si="1"/>
        <v>84</v>
      </c>
    </row>
    <row r="172" ht="22.5" customHeight="1">
      <c r="B172" s="7" t="str">
        <f>IFERROR(__xludf.DUMMYFUNCTION("""COMPUTED_VALUE"""),"L/32/171024/1")</f>
        <v>L/32/171024/1</v>
      </c>
      <c r="C172" s="7" t="str">
        <f>IFERROR(__xludf.DUMMYFUNCTION("""COMPUTED_VALUE"""),"M.1520/BATU PUTUK")</f>
        <v>M.1520/BATU PUTUK</v>
      </c>
      <c r="D172" s="7" t="str">
        <f>IFERROR(__xludf.DUMMYFUNCTION("""COMPUTED_VALUE"""),"Berry")</f>
        <v>Berry</v>
      </c>
      <c r="E172" s="7" t="str">
        <f>IFERROR(__xludf.DUMMYFUNCTION("""COMPUTED_VALUE"""),"DISERAHKAN")</f>
        <v>DISERAHKAN</v>
      </c>
      <c r="F172" s="9">
        <f>IFERROR(__xludf.DUMMYFUNCTION("""COMPUTED_VALUE"""),45588.37778077547)</f>
        <v>45588.37778</v>
      </c>
      <c r="G172" s="7" t="str">
        <f>IFERROR(__xludf.DUMMYFUNCTION("""COMPUTED_VALUE"""),"PEMISAHAN")</f>
        <v>PEMISAHAN</v>
      </c>
      <c r="H172" s="7">
        <f t="shared" si="1"/>
        <v>85</v>
      </c>
    </row>
    <row r="173" ht="22.5" customHeight="1">
      <c r="B173" s="7" t="str">
        <f>IFERROR(__xludf.DUMMYFUNCTION("""COMPUTED_VALUE"""),"K/34/171024/2")</f>
        <v>K/34/171024/2</v>
      </c>
      <c r="C173" s="7" t="str">
        <f>IFERROR(__xludf.DUMMYFUNCTION("""COMPUTED_VALUE"""),"M. 2924/ Sukarame II")</f>
        <v>M. 2924/ Sukarame II</v>
      </c>
      <c r="D173" s="7" t="str">
        <f>IFERROR(__xludf.DUMMYFUNCTION("""COMPUTED_VALUE"""),"Berry")</f>
        <v>Berry</v>
      </c>
      <c r="E173" s="7" t="str">
        <f>IFERROR(__xludf.DUMMYFUNCTION("""COMPUTED_VALUE"""),"DISERAHKAN")</f>
        <v>DISERAHKAN</v>
      </c>
      <c r="F173" s="9">
        <f>IFERROR(__xludf.DUMMYFUNCTION("""COMPUTED_VALUE"""),45586.487787777776)</f>
        <v>45586.48779</v>
      </c>
      <c r="G173" s="7" t="str">
        <f>IFERROR(__xludf.DUMMYFUNCTION("""COMPUTED_VALUE"""),"BN Jual Beli")</f>
        <v>BN Jual Beli</v>
      </c>
      <c r="H173" s="7">
        <f t="shared" si="1"/>
        <v>86</v>
      </c>
    </row>
    <row r="174" ht="22.5" customHeight="1">
      <c r="B174" s="7" t="str">
        <f>IFERROR(__xludf.DUMMYFUNCTION("""COMPUTED_VALUE"""),"L/35/171024/1")</f>
        <v>L/35/171024/1</v>
      </c>
      <c r="C174" s="7" t="str">
        <f>IFERROR(__xludf.DUMMYFUNCTION("""COMPUTED_VALUE"""),"HM 296/RAJABASA RAYA")</f>
        <v>HM 296/RAJABASA RAYA</v>
      </c>
      <c r="D174" s="7" t="str">
        <f>IFERROR(__xludf.DUMMYFUNCTION("""COMPUTED_VALUE"""),"Berry")</f>
        <v>Berry</v>
      </c>
      <c r="E174" s="7" t="str">
        <f>IFERROR(__xludf.DUMMYFUNCTION("""COMPUTED_VALUE"""),"DISERAHKAN")</f>
        <v>DISERAHKAN</v>
      </c>
      <c r="F174" s="9">
        <f>IFERROR(__xludf.DUMMYFUNCTION("""COMPUTED_VALUE"""),45586.487787777776)</f>
        <v>45586.48779</v>
      </c>
      <c r="G174" s="7" t="str">
        <f>IFERROR(__xludf.DUMMYFUNCTION("""COMPUTED_VALUE"""),"ROYA")</f>
        <v>ROYA</v>
      </c>
      <c r="H174" s="7">
        <f t="shared" si="1"/>
        <v>87</v>
      </c>
    </row>
    <row r="175" ht="22.5" customHeight="1">
      <c r="B175" s="7" t="str">
        <f>IFERROR(__xludf.DUMMYFUNCTION("""COMPUTED_VALUE"""),"K/33/171024/1")</f>
        <v>K/33/171024/1</v>
      </c>
      <c r="C175" s="7" t="str">
        <f>IFERROR(__xludf.DUMMYFUNCTION("""COMPUTED_VALUE"""),"NIBEL M.1652/LABUHAN DALAM")</f>
        <v>NIBEL M.1652/LABUHAN DALAM</v>
      </c>
      <c r="D175" s="7"/>
      <c r="E175" s="7"/>
      <c r="F175" s="9" t="str">
        <f>IFERROR(__xludf.DUMMYFUNCTION("""COMPUTED_VALUE"""),"")</f>
        <v/>
      </c>
      <c r="G175" s="7" t="str">
        <f>IFERROR(__xludf.DUMMYFUNCTION("""COMPUTED_VALUE"""),"PERALIHAN JUAL BELI")</f>
        <v>PERALIHAN JUAL BELI</v>
      </c>
      <c r="H175" s="7">
        <f t="shared" si="1"/>
        <v>87</v>
      </c>
    </row>
    <row r="176" ht="22.5" customHeight="1">
      <c r="B176" s="7" t="str">
        <f>IFERROR(__xludf.DUMMYFUNCTION("""COMPUTED_VALUE"""),"K/36/171024/2")</f>
        <v>K/36/171024/2</v>
      </c>
      <c r="C176" s="7" t="str">
        <f>IFERROR(__xludf.DUMMYFUNCTION("""COMPUTED_VALUE"""),"M.789/PELITA")</f>
        <v>M.789/PELITA</v>
      </c>
      <c r="D176" s="7"/>
      <c r="E176" s="7"/>
      <c r="F176" s="9" t="str">
        <f>IFERROR(__xludf.DUMMYFUNCTION("""COMPUTED_VALUE"""),"")</f>
        <v/>
      </c>
      <c r="G176" s="7" t="str">
        <f>IFERROR(__xludf.DUMMYFUNCTION("""COMPUTED_VALUE"""),"GANDES")</f>
        <v>GANDES</v>
      </c>
      <c r="H176" s="7">
        <f t="shared" si="1"/>
        <v>87</v>
      </c>
    </row>
    <row r="177" ht="22.5" customHeight="1">
      <c r="B177" s="7" t="str">
        <f>IFERROR(__xludf.DUMMYFUNCTION("""COMPUTED_VALUE"""),"K/37/171024/1")</f>
        <v>K/37/171024/1</v>
      </c>
      <c r="C177" s="7" t="str">
        <f>IFERROR(__xludf.DUMMYFUNCTION("""COMPUTED_VALUE"""),"M. 1305/ KBK; B. 185/KBK-dahulu")</f>
        <v>M. 1305/ KBK; B. 185/KBK-dahulu</v>
      </c>
      <c r="D177" s="7"/>
      <c r="E177" s="7" t="str">
        <f>IFERROR(__xludf.DUMMYFUNCTION("""COMPUTED_VALUE"""),"PROSES")</f>
        <v>PROSES</v>
      </c>
      <c r="F177" s="9" t="str">
        <f>IFERROR(__xludf.DUMMYFUNCTION("""COMPUTED_VALUE"""),"")</f>
        <v/>
      </c>
      <c r="G177" s="7" t="str">
        <f>IFERROR(__xludf.DUMMYFUNCTION("""COMPUTED_VALUE"""),"BN Jual Beli")</f>
        <v>BN Jual Beli</v>
      </c>
      <c r="H177" s="7">
        <f t="shared" si="1"/>
        <v>87</v>
      </c>
    </row>
    <row r="178" ht="22.5" customHeight="1">
      <c r="B178" s="7" t="str">
        <f>IFERROR(__xludf.DUMMYFUNCTION("""COMPUTED_VALUE"""),"K/38/171024/2")</f>
        <v>K/38/171024/2</v>
      </c>
      <c r="C178" s="7" t="str">
        <f>IFERROR(__xludf.DUMMYFUNCTION("""COMPUTED_VALUE"""),"M. 4522/ Gunung Terang")</f>
        <v>M. 4522/ Gunung Terang</v>
      </c>
      <c r="D178" s="7" t="str">
        <f>IFERROR(__xludf.DUMMYFUNCTION("""COMPUTED_VALUE"""),"Berry")</f>
        <v>Berry</v>
      </c>
      <c r="E178" s="7" t="str">
        <f>IFERROR(__xludf.DUMMYFUNCTION("""COMPUTED_VALUE"""),"DISERAHKAN")</f>
        <v>DISERAHKAN</v>
      </c>
      <c r="F178" s="9">
        <f>IFERROR(__xludf.DUMMYFUNCTION("""COMPUTED_VALUE"""),45586.487787777776)</f>
        <v>45586.48779</v>
      </c>
      <c r="G178" s="7" t="str">
        <f>IFERROR(__xludf.DUMMYFUNCTION("""COMPUTED_VALUE"""),"BN Jual Beli")</f>
        <v>BN Jual Beli</v>
      </c>
      <c r="H178" s="7">
        <f t="shared" si="1"/>
        <v>88</v>
      </c>
    </row>
    <row r="179" ht="22.5" customHeight="1">
      <c r="B179" s="7" t="str">
        <f>IFERROR(__xludf.DUMMYFUNCTION("""COMPUTED_VALUE"""),"K/39/171024/3")</f>
        <v>K/39/171024/3</v>
      </c>
      <c r="C179" s="7" t="str">
        <f>IFERROR(__xludf.DUMMYFUNCTION("""COMPUTED_VALUE"""),"M. 1461/ Rajabasa Jaya")</f>
        <v>M. 1461/ Rajabasa Jaya</v>
      </c>
      <c r="D179" s="7"/>
      <c r="E179" s="7"/>
      <c r="F179" s="9" t="str">
        <f>IFERROR(__xludf.DUMMYFUNCTION("""COMPUTED_VALUE"""),"")</f>
        <v/>
      </c>
      <c r="G179" s="7" t="str">
        <f>IFERROR(__xludf.DUMMYFUNCTION("""COMPUTED_VALUE"""),"Hapus BPHTB")</f>
        <v>Hapus BPHTB</v>
      </c>
      <c r="H179" s="7">
        <f t="shared" si="1"/>
        <v>88</v>
      </c>
    </row>
    <row r="180" ht="22.5" customHeight="1">
      <c r="B180" s="7" t="str">
        <f>IFERROR(__xludf.DUMMYFUNCTION("""COMPUTED_VALUE"""),"L/40/171024/1")</f>
        <v>L/40/171024/1</v>
      </c>
      <c r="C180" s="7" t="str">
        <f>IFERROR(__xludf.DUMMYFUNCTION("""COMPUTED_VALUE"""),"HM 1375/TANJUNG SENENG")</f>
        <v>HM 1375/TANJUNG SENENG</v>
      </c>
      <c r="D180" s="7" t="str">
        <f>IFERROR(__xludf.DUMMYFUNCTION("""COMPUTED_VALUE"""),"Berry")</f>
        <v>Berry</v>
      </c>
      <c r="E180" s="7" t="str">
        <f>IFERROR(__xludf.DUMMYFUNCTION("""COMPUTED_VALUE"""),"DISERAHKAN")</f>
        <v>DISERAHKAN</v>
      </c>
      <c r="F180" s="9">
        <f>IFERROR(__xludf.DUMMYFUNCTION("""COMPUTED_VALUE"""),45586.487787777776)</f>
        <v>45586.48779</v>
      </c>
      <c r="G180" s="7" t="str">
        <f>IFERROR(__xludf.DUMMYFUNCTION("""COMPUTED_VALUE"""),"ROYA")</f>
        <v>ROYA</v>
      </c>
      <c r="H180" s="7">
        <f t="shared" si="1"/>
        <v>89</v>
      </c>
    </row>
    <row r="181" ht="22.5" customHeight="1">
      <c r="B181" s="7" t="str">
        <f>IFERROR(__xludf.DUMMYFUNCTION("""COMPUTED_VALUE"""),"K/41/171024/1")</f>
        <v>K/41/171024/1</v>
      </c>
      <c r="C181" s="7" t="str">
        <f>IFERROR(__xludf.DUMMYFUNCTION("""COMPUTED_VALUE"""),"M. 11796/ Sukabumi; B. 3316/ Sukabumi-dahulu")</f>
        <v>M. 11796/ Sukabumi; B. 3316/ Sukabumi-dahulu</v>
      </c>
      <c r="D181" s="7" t="str">
        <f>IFERROR(__xludf.DUMMYFUNCTION("""COMPUTED_VALUE"""),"Berry")</f>
        <v>Berry</v>
      </c>
      <c r="E181" s="7" t="str">
        <f>IFERROR(__xludf.DUMMYFUNCTION("""COMPUTED_VALUE"""),"DISERAHKAN")</f>
        <v>DISERAHKAN</v>
      </c>
      <c r="F181" s="9">
        <f>IFERROR(__xludf.DUMMYFUNCTION("""COMPUTED_VALUE"""),45586.487787777776)</f>
        <v>45586.48779</v>
      </c>
      <c r="G181" s="7" t="str">
        <f>IFERROR(__xludf.DUMMYFUNCTION("""COMPUTED_VALUE"""),"Roya")</f>
        <v>Roya</v>
      </c>
      <c r="H181" s="7">
        <f t="shared" si="1"/>
        <v>90</v>
      </c>
    </row>
    <row r="182" ht="22.5" customHeight="1">
      <c r="B182" s="7" t="str">
        <f>IFERROR(__xludf.DUMMYFUNCTION("""COMPUTED_VALUE"""),"K/42/171024/1")</f>
        <v>K/42/171024/1</v>
      </c>
      <c r="C182" s="7" t="str">
        <f>IFERROR(__xludf.DUMMYFUNCTION("""COMPUTED_VALUE"""),"B. 649/ Sumber Agung")</f>
        <v>B. 649/ Sumber Agung</v>
      </c>
      <c r="D182" s="7" t="str">
        <f>IFERROR(__xludf.DUMMYFUNCTION("""COMPUTED_VALUE"""),"Berry")</f>
        <v>Berry</v>
      </c>
      <c r="E182" s="7" t="str">
        <f>IFERROR(__xludf.DUMMYFUNCTION("""COMPUTED_VALUE"""),"DISERAHKAN")</f>
        <v>DISERAHKAN</v>
      </c>
      <c r="F182" s="9">
        <f>IFERROR(__xludf.DUMMYFUNCTION("""COMPUTED_VALUE"""),45586.487787777776)</f>
        <v>45586.48779</v>
      </c>
      <c r="G182" s="7" t="str">
        <f>IFERROR(__xludf.DUMMYFUNCTION("""COMPUTED_VALUE"""),"BN Jual Beli")</f>
        <v>BN Jual Beli</v>
      </c>
      <c r="H182" s="7">
        <f t="shared" si="1"/>
        <v>91</v>
      </c>
    </row>
    <row r="183" ht="22.5" customHeight="1">
      <c r="B183" s="7" t="str">
        <f>IFERROR(__xludf.DUMMYFUNCTION("""COMPUTED_VALUE"""),"K/43/171024/1")</f>
        <v>K/43/171024/1</v>
      </c>
      <c r="C183" s="7" t="str">
        <f>IFERROR(__xludf.DUMMYFUNCTION("""COMPUTED_VALUE"""),"M. 600/ Rajabasa Nunyai")</f>
        <v>M. 600/ Rajabasa Nunyai</v>
      </c>
      <c r="D183" s="7"/>
      <c r="E183" s="7"/>
      <c r="F183" s="9" t="str">
        <f>IFERROR(__xludf.DUMMYFUNCTION("""COMPUTED_VALUE"""),"")</f>
        <v/>
      </c>
      <c r="G183" s="7" t="str">
        <f>IFERROR(__xludf.DUMMYFUNCTION("""COMPUTED_VALUE"""),"Pengecekan")</f>
        <v>Pengecekan</v>
      </c>
      <c r="H183" s="7">
        <f t="shared" si="1"/>
        <v>91</v>
      </c>
    </row>
    <row r="184" ht="22.5" customHeight="1">
      <c r="B184" s="7" t="str">
        <f>IFERROR(__xludf.DUMMYFUNCTION("""COMPUTED_VALUE"""),"L/44/171024/1")</f>
        <v>L/44/171024/1</v>
      </c>
      <c r="C184" s="7" t="str">
        <f>IFERROR(__xludf.DUMMYFUNCTION("""COMPUTED_VALUE"""),"HM 16138/SUKARAME I")</f>
        <v>HM 16138/SUKARAME I</v>
      </c>
      <c r="D184" s="7" t="str">
        <f>IFERROR(__xludf.DUMMYFUNCTION("""COMPUTED_VALUE"""),"Berry")</f>
        <v>Berry</v>
      </c>
      <c r="E184" s="7" t="str">
        <f>IFERROR(__xludf.DUMMYFUNCTION("""COMPUTED_VALUE"""),"DISERAHKAN")</f>
        <v>DISERAHKAN</v>
      </c>
      <c r="F184" s="9">
        <f>IFERROR(__xludf.DUMMYFUNCTION("""COMPUTED_VALUE"""),45586.487787777776)</f>
        <v>45586.48779</v>
      </c>
      <c r="G184" s="7" t="str">
        <f>IFERROR(__xludf.DUMMYFUNCTION("""COMPUTED_VALUE"""),"ROYA")</f>
        <v>ROYA</v>
      </c>
      <c r="H184" s="7">
        <f t="shared" si="1"/>
        <v>92</v>
      </c>
    </row>
    <row r="185" ht="22.5" customHeight="1">
      <c r="B185" s="7" t="str">
        <f>IFERROR(__xludf.DUMMYFUNCTION("""COMPUTED_VALUE"""),"K/45/171024/1")</f>
        <v>K/45/171024/1</v>
      </c>
      <c r="C185" s="7" t="str">
        <f>IFERROR(__xludf.DUMMYFUNCTION("""COMPUTED_VALUE"""),"B. 903/ Kemiling Permai")</f>
        <v>B. 903/ Kemiling Permai</v>
      </c>
      <c r="D185" s="7"/>
      <c r="E185" s="7"/>
      <c r="F185" s="9" t="str">
        <f>IFERROR(__xludf.DUMMYFUNCTION("""COMPUTED_VALUE"""),"")</f>
        <v/>
      </c>
      <c r="G185" s="7" t="str">
        <f>IFERROR(__xludf.DUMMYFUNCTION("""COMPUTED_VALUE"""),"pengecekkan")</f>
        <v>pengecekkan</v>
      </c>
      <c r="H185" s="7">
        <f t="shared" si="1"/>
        <v>92</v>
      </c>
    </row>
    <row r="186" ht="22.5" customHeight="1">
      <c r="B186" s="7" t="str">
        <f>IFERROR(__xludf.DUMMYFUNCTION("""COMPUTED_VALUE"""),"K/46/171024/1")</f>
        <v>K/46/171024/1</v>
      </c>
      <c r="C186" s="7" t="str">
        <f>IFERROR(__xludf.DUMMYFUNCTION("""COMPUTED_VALUE"""),"M.9381/SURABAYA")</f>
        <v>M.9381/SURABAYA</v>
      </c>
      <c r="D186" s="7" t="str">
        <f>IFERROR(__xludf.DUMMYFUNCTION("""COMPUTED_VALUE"""),"Berry")</f>
        <v>Berry</v>
      </c>
      <c r="E186" s="7" t="str">
        <f>IFERROR(__xludf.DUMMYFUNCTION("""COMPUTED_VALUE"""),"DISERAHKAN")</f>
        <v>DISERAHKAN</v>
      </c>
      <c r="F186" s="9">
        <f>IFERROR(__xludf.DUMMYFUNCTION("""COMPUTED_VALUE"""),45586.487787777776)</f>
        <v>45586.48779</v>
      </c>
      <c r="G186" s="7" t="str">
        <f>IFERROR(__xludf.DUMMYFUNCTION("""COMPUTED_VALUE"""),"PERALIHAN JUAL BELI")</f>
        <v>PERALIHAN JUAL BELI</v>
      </c>
      <c r="H186" s="7">
        <f t="shared" si="1"/>
        <v>93</v>
      </c>
    </row>
    <row r="187" ht="22.5" customHeight="1">
      <c r="B187" s="7" t="str">
        <f>IFERROR(__xludf.DUMMYFUNCTION("""COMPUTED_VALUE"""),"K/47/171024/1")</f>
        <v>K/47/171024/1</v>
      </c>
      <c r="C187" s="7" t="str">
        <f>IFERROR(__xludf.DUMMYFUNCTION("""COMPUTED_VALUE"""),"M. 463/ Sukaraja")</f>
        <v>M. 463/ Sukaraja</v>
      </c>
      <c r="D187" s="7"/>
      <c r="E187" s="7"/>
      <c r="F187" s="9" t="str">
        <f>IFERROR(__xludf.DUMMYFUNCTION("""COMPUTED_VALUE"""),"")</f>
        <v/>
      </c>
      <c r="G187" s="7" t="str">
        <f>IFERROR(__xludf.DUMMYFUNCTION("""COMPUTED_VALUE"""),"plotting")</f>
        <v>plotting</v>
      </c>
      <c r="H187" s="7">
        <f t="shared" si="1"/>
        <v>93</v>
      </c>
    </row>
    <row r="188" ht="22.5" customHeight="1">
      <c r="B188" s="7" t="str">
        <f>IFERROR(__xludf.DUMMYFUNCTION("""COMPUTED_VALUE"""),"K/48/171024/1")</f>
        <v>K/48/171024/1</v>
      </c>
      <c r="C188" s="7" t="str">
        <f>IFERROR(__xludf.DUMMYFUNCTION("""COMPUTED_VALUE"""),"M. 6466/ Way kandis")</f>
        <v>M. 6466/ Way kandis</v>
      </c>
      <c r="D188" s="7" t="str">
        <f>IFERROR(__xludf.DUMMYFUNCTION("""COMPUTED_VALUE"""),"Berry")</f>
        <v>Berry</v>
      </c>
      <c r="E188" s="7" t="str">
        <f>IFERROR(__xludf.DUMMYFUNCTION("""COMPUTED_VALUE"""),"DISERAHKAN")</f>
        <v>DISERAHKAN</v>
      </c>
      <c r="F188" s="9">
        <f>IFERROR(__xludf.DUMMYFUNCTION("""COMPUTED_VALUE"""),45586.487787777776)</f>
        <v>45586.48779</v>
      </c>
      <c r="G188" s="7" t="str">
        <f>IFERROR(__xludf.DUMMYFUNCTION("""COMPUTED_VALUE"""),"BN Jual Beli")</f>
        <v>BN Jual Beli</v>
      </c>
      <c r="H188" s="7">
        <f t="shared" si="1"/>
        <v>94</v>
      </c>
    </row>
    <row r="189" ht="22.5" customHeight="1">
      <c r="B189" s="7" t="str">
        <f>IFERROR(__xludf.DUMMYFUNCTION("""COMPUTED_VALUE"""),"K/49/171024/2")</f>
        <v>K/49/171024/2</v>
      </c>
      <c r="C189" s="7" t="str">
        <f>IFERROR(__xludf.DUMMYFUNCTION("""COMPUTED_VALUE"""),"M. 3265/ Gedong Air")</f>
        <v>M. 3265/ Gedong Air</v>
      </c>
      <c r="D189" s="7" t="str">
        <f>IFERROR(__xludf.DUMMYFUNCTION("""COMPUTED_VALUE"""),"Berry")</f>
        <v>Berry</v>
      </c>
      <c r="E189" s="7" t="str">
        <f>IFERROR(__xludf.DUMMYFUNCTION("""COMPUTED_VALUE"""),"DISERAHKAN")</f>
        <v>DISERAHKAN</v>
      </c>
      <c r="F189" s="9">
        <f>IFERROR(__xludf.DUMMYFUNCTION("""COMPUTED_VALUE"""),45586.487787777776)</f>
        <v>45586.48779</v>
      </c>
      <c r="G189" s="7" t="str">
        <f>IFERROR(__xludf.DUMMYFUNCTION("""COMPUTED_VALUE"""),"BN Jual Beli")</f>
        <v>BN Jual Beli</v>
      </c>
      <c r="H189" s="7">
        <f t="shared" si="1"/>
        <v>95</v>
      </c>
    </row>
    <row r="190" ht="22.5" customHeight="1">
      <c r="B190" s="7" t="str">
        <f>IFERROR(__xludf.DUMMYFUNCTION("""COMPUTED_VALUE"""),"K/50/171024/3")</f>
        <v>K/50/171024/3</v>
      </c>
      <c r="C190" s="7" t="str">
        <f>IFERROR(__xludf.DUMMYFUNCTION("""COMPUTED_VALUE"""),"M. 2502/ Kemiling Permai- B. 248/ Kemiling Permai-dahulu")</f>
        <v>M. 2502/ Kemiling Permai- B. 248/ Kemiling Permai-dahulu</v>
      </c>
      <c r="D190" s="7"/>
      <c r="E190" s="7" t="str">
        <f>IFERROR(__xludf.DUMMYFUNCTION("""COMPUTED_VALUE"""),"PROSES")</f>
        <v>PROSES</v>
      </c>
      <c r="F190" s="9" t="str">
        <f>IFERROR(__xludf.DUMMYFUNCTION("""COMPUTED_VALUE"""),"")</f>
        <v/>
      </c>
      <c r="G190" s="7" t="str">
        <f>IFERROR(__xludf.DUMMYFUNCTION("""COMPUTED_VALUE"""),"Roya")</f>
        <v>Roya</v>
      </c>
      <c r="H190" s="7">
        <f t="shared" si="1"/>
        <v>95</v>
      </c>
    </row>
    <row r="191" ht="22.5" customHeight="1">
      <c r="B191" s="7" t="str">
        <f>IFERROR(__xludf.DUMMYFUNCTION("""COMPUTED_VALUE"""),"K/51/171024/1")</f>
        <v>K/51/171024/1</v>
      </c>
      <c r="C191" s="7" t="str">
        <f>IFERROR(__xludf.DUMMYFUNCTION("""COMPUTED_VALUE"""),"M.178/PERWATA")</f>
        <v>M.178/PERWATA</v>
      </c>
      <c r="D191" s="7" t="str">
        <f>IFERROR(__xludf.DUMMYFUNCTION("""COMPUTED_VALUE"""),"Berry")</f>
        <v>Berry</v>
      </c>
      <c r="E191" s="7" t="str">
        <f>IFERROR(__xludf.DUMMYFUNCTION("""COMPUTED_VALUE"""),"DISERAHKAN")</f>
        <v>DISERAHKAN</v>
      </c>
      <c r="F191" s="9">
        <f>IFERROR(__xludf.DUMMYFUNCTION("""COMPUTED_VALUE"""),45588.37806462963)</f>
        <v>45588.37806</v>
      </c>
      <c r="G191" s="7" t="str">
        <f>IFERROR(__xludf.DUMMYFUNCTION("""COMPUTED_VALUE"""),"PEMECAHAN")</f>
        <v>PEMECAHAN</v>
      </c>
      <c r="H191" s="7">
        <f t="shared" si="1"/>
        <v>96</v>
      </c>
    </row>
    <row r="192" ht="22.5" customHeight="1">
      <c r="B192" s="7" t="str">
        <f>IFERROR(__xludf.DUMMYFUNCTION("""COMPUTED_VALUE"""),"K/52/171024/1")</f>
        <v>K/52/171024/1</v>
      </c>
      <c r="C192" s="7" t="str">
        <f>IFERROR(__xludf.DUMMYFUNCTION("""COMPUTED_VALUE"""),"M.3877/TANJUNG SENENG")</f>
        <v>M.3877/TANJUNG SENENG</v>
      </c>
      <c r="D192" s="7"/>
      <c r="E192" s="7"/>
      <c r="F192" s="9" t="str">
        <f>IFERROR(__xludf.DUMMYFUNCTION("""COMPUTED_VALUE"""),"")</f>
        <v/>
      </c>
      <c r="G192" s="7" t="str">
        <f>IFERROR(__xludf.DUMMYFUNCTION("""COMPUTED_VALUE"""),"PENGECEKAN")</f>
        <v>PENGECEKAN</v>
      </c>
      <c r="H192" s="7">
        <f t="shared" si="1"/>
        <v>96</v>
      </c>
    </row>
    <row r="193" ht="22.5" customHeight="1">
      <c r="B193" s="7" t="str">
        <f>IFERROR(__xludf.DUMMYFUNCTION("""COMPUTED_VALUE"""),"K/53/171024/2")</f>
        <v>K/53/171024/2</v>
      </c>
      <c r="C193" s="7" t="str">
        <f>IFERROR(__xludf.DUMMYFUNCTION("""COMPUTED_VALUE"""),"M.1183/PERUMNAS WAY KANDIS")</f>
        <v>M.1183/PERUMNAS WAY KANDIS</v>
      </c>
      <c r="D193" s="7"/>
      <c r="E193" s="7"/>
      <c r="F193" s="9" t="str">
        <f>IFERROR(__xludf.DUMMYFUNCTION("""COMPUTED_VALUE"""),"")</f>
        <v/>
      </c>
      <c r="G193" s="7" t="str">
        <f>IFERROR(__xludf.DUMMYFUNCTION("""COMPUTED_VALUE"""),"PENGECEKAN")</f>
        <v>PENGECEKAN</v>
      </c>
      <c r="H193" s="7">
        <f t="shared" si="1"/>
        <v>96</v>
      </c>
    </row>
    <row r="194" ht="22.5" customHeight="1">
      <c r="B194" s="7" t="str">
        <f>IFERROR(__xludf.DUMMYFUNCTION("""COMPUTED_VALUE"""),"K/54/171024/3")</f>
        <v>K/54/171024/3</v>
      </c>
      <c r="C194" s="7" t="str">
        <f>IFERROR(__xludf.DUMMYFUNCTION("""COMPUTED_VALUE"""),"M.1473/KUPANG TEBA")</f>
        <v>M.1473/KUPANG TEBA</v>
      </c>
      <c r="D194" s="7"/>
      <c r="E194" s="7"/>
      <c r="F194" s="9" t="str">
        <f>IFERROR(__xludf.DUMMYFUNCTION("""COMPUTED_VALUE"""),"")</f>
        <v/>
      </c>
      <c r="G194" s="7" t="str">
        <f>IFERROR(__xludf.DUMMYFUNCTION("""COMPUTED_VALUE"""),"PLOTING")</f>
        <v>PLOTING</v>
      </c>
      <c r="H194" s="7">
        <f t="shared" si="1"/>
        <v>96</v>
      </c>
    </row>
    <row r="195" ht="22.5" customHeight="1">
      <c r="B195" s="7" t="str">
        <f>IFERROR(__xludf.DUMMYFUNCTION("""COMPUTED_VALUE"""),"K/56/171024/1")</f>
        <v>K/56/171024/1</v>
      </c>
      <c r="C195" s="7" t="str">
        <f>IFERROR(__xludf.DUMMYFUNCTION("""COMPUTED_VALUE"""),"M. 377/ ENGGAL")</f>
        <v>M. 377/ ENGGAL</v>
      </c>
      <c r="D195" s="7" t="str">
        <f>IFERROR(__xludf.DUMMYFUNCTION("""COMPUTED_VALUE"""),"Berry")</f>
        <v>Berry</v>
      </c>
      <c r="E195" s="7" t="str">
        <f>IFERROR(__xludf.DUMMYFUNCTION("""COMPUTED_VALUE"""),"DISERAHKAN")</f>
        <v>DISERAHKAN</v>
      </c>
      <c r="F195" s="9">
        <f>IFERROR(__xludf.DUMMYFUNCTION("""COMPUTED_VALUE"""),45586.487787777776)</f>
        <v>45586.48779</v>
      </c>
      <c r="G195" s="7" t="str">
        <f>IFERROR(__xludf.DUMMYFUNCTION("""COMPUTED_VALUE"""),"ROYA")</f>
        <v>ROYA</v>
      </c>
      <c r="H195" s="7">
        <f t="shared" si="1"/>
        <v>97</v>
      </c>
    </row>
    <row r="196" ht="22.5" customHeight="1">
      <c r="B196" s="7" t="str">
        <f>IFERROR(__xludf.DUMMYFUNCTION("""COMPUTED_VALUE"""),"L/57/181024/1")</f>
        <v>L/57/181024/1</v>
      </c>
      <c r="C196" s="7" t="str">
        <f>IFERROR(__xludf.DUMMYFUNCTION("""COMPUTED_VALUE"""),"M.13833/RAJABASA")</f>
        <v>M.13833/RAJABASA</v>
      </c>
      <c r="D196" s="7" t="str">
        <f>IFERROR(__xludf.DUMMYFUNCTION("""COMPUTED_VALUE"""),"Berry")</f>
        <v>Berry</v>
      </c>
      <c r="E196" s="7" t="str">
        <f>IFERROR(__xludf.DUMMYFUNCTION("""COMPUTED_VALUE"""),"DISERAHKAN")</f>
        <v>DISERAHKAN</v>
      </c>
      <c r="F196" s="9">
        <f>IFERROR(__xludf.DUMMYFUNCTION("""COMPUTED_VALUE"""),45586.487787777776)</f>
        <v>45586.48779</v>
      </c>
      <c r="G196" s="7" t="str">
        <f>IFERROR(__xludf.DUMMYFUNCTION("""COMPUTED_VALUE"""),"ROYA")</f>
        <v>ROYA</v>
      </c>
      <c r="H196" s="7">
        <f t="shared" si="1"/>
        <v>98</v>
      </c>
    </row>
    <row r="197" ht="22.5" customHeight="1">
      <c r="B197" s="7" t="str">
        <f>IFERROR(__xludf.DUMMYFUNCTION("""COMPUTED_VALUE"""),"K/1/181024/1")</f>
        <v>K/1/181024/1</v>
      </c>
      <c r="C197" s="7" t="str">
        <f>IFERROR(__xludf.DUMMYFUNCTION("""COMPUTED_VALUE"""),"NIBEL 1145/ SUKAMAJU")</f>
        <v>NIBEL 1145/ SUKAMAJU</v>
      </c>
      <c r="D197" s="7"/>
      <c r="E197" s="7"/>
      <c r="F197" s="9" t="str">
        <f>IFERROR(__xludf.DUMMYFUNCTION("""COMPUTED_VALUE"""),"")</f>
        <v/>
      </c>
      <c r="G197" s="7" t="str">
        <f>IFERROR(__xludf.DUMMYFUNCTION("""COMPUTED_VALUE"""),"BN PHB")</f>
        <v>BN PHB</v>
      </c>
      <c r="H197" s="7">
        <f t="shared" si="1"/>
        <v>98</v>
      </c>
    </row>
    <row r="198" ht="22.5" customHeight="1">
      <c r="B198" s="7" t="str">
        <f>IFERROR(__xludf.DUMMYFUNCTION("""COMPUTED_VALUE"""),"K/4/181024/1")</f>
        <v>K/4/181024/1</v>
      </c>
      <c r="C198" s="7" t="str">
        <f>IFERROR(__xludf.DUMMYFUNCTION("""COMPUTED_VALUE"""),"M. 1401/ K B K SHT 3354/2013 dan 590/2017")</f>
        <v>M. 1401/ K B K SHT 3354/2013 dan 590/2017</v>
      </c>
      <c r="D198" s="7" t="str">
        <f>IFERROR(__xludf.DUMMYFUNCTION("""COMPUTED_VALUE"""),"Berry")</f>
        <v>Berry</v>
      </c>
      <c r="E198" s="7" t="str">
        <f>IFERROR(__xludf.DUMMYFUNCTION("""COMPUTED_VALUE"""),"DISERAHKAN")</f>
        <v>DISERAHKAN</v>
      </c>
      <c r="F198" s="9">
        <f>IFERROR(__xludf.DUMMYFUNCTION("""COMPUTED_VALUE"""),45586.487787777776)</f>
        <v>45586.48779</v>
      </c>
      <c r="G198" s="7" t="str">
        <f>IFERROR(__xludf.DUMMYFUNCTION("""COMPUTED_VALUE"""),"Roya")</f>
        <v>Roya</v>
      </c>
      <c r="H198" s="7">
        <f t="shared" si="1"/>
        <v>99</v>
      </c>
    </row>
    <row r="199" ht="22.5" customHeight="1">
      <c r="B199" s="7" t="str">
        <f>IFERROR(__xludf.DUMMYFUNCTION("""COMPUTED_VALUE"""),"K/2/181024/2")</f>
        <v>K/2/181024/2</v>
      </c>
      <c r="C199" s="7" t="str">
        <f>IFERROR(__xludf.DUMMYFUNCTION("""COMPUTED_VALUE"""),"M. 596/ Gunung Terang")</f>
        <v>M. 596/ Gunung Terang</v>
      </c>
      <c r="D199" s="7"/>
      <c r="E199" s="7" t="str">
        <f>IFERROR(__xludf.DUMMYFUNCTION("""COMPUTED_VALUE"""),"PROSES")</f>
        <v>PROSES</v>
      </c>
      <c r="F199" s="9" t="str">
        <f>IFERROR(__xludf.DUMMYFUNCTION("""COMPUTED_VALUE"""),"")</f>
        <v/>
      </c>
      <c r="G199" s="7" t="str">
        <f>IFERROR(__xludf.DUMMYFUNCTION("""COMPUTED_VALUE"""),"BN JUAL BELI")</f>
        <v>BN JUAL BELI</v>
      </c>
      <c r="H199" s="7">
        <f t="shared" si="1"/>
        <v>99</v>
      </c>
    </row>
    <row r="200" ht="22.5" customHeight="1">
      <c r="B200" s="7" t="str">
        <f>IFERROR(__xludf.DUMMYFUNCTION("""COMPUTED_VALUE"""),"K/3/181024/3")</f>
        <v>K/3/181024/3</v>
      </c>
      <c r="C200" s="7" t="str">
        <f>IFERROR(__xludf.DUMMYFUNCTION("""COMPUTED_VALUE"""),"B. 538/ SUKARAME BARU")</f>
        <v>B. 538/ SUKARAME BARU</v>
      </c>
      <c r="D200" s="7" t="str">
        <f>IFERROR(__xludf.DUMMYFUNCTION("""COMPUTED_VALUE"""),"Berry")</f>
        <v>Berry</v>
      </c>
      <c r="E200" s="7" t="str">
        <f>IFERROR(__xludf.DUMMYFUNCTION("""COMPUTED_VALUE"""),"DISERAHKAN")</f>
        <v>DISERAHKAN</v>
      </c>
      <c r="F200" s="9">
        <f>IFERROR(__xludf.DUMMYFUNCTION("""COMPUTED_VALUE"""),45586.487787777776)</f>
        <v>45586.48779</v>
      </c>
      <c r="G200" s="7" t="str">
        <f>IFERROR(__xludf.DUMMYFUNCTION("""COMPUTED_VALUE"""),"BN JUAL BELI")</f>
        <v>BN JUAL BELI</v>
      </c>
      <c r="H200" s="7">
        <f t="shared" si="1"/>
        <v>100</v>
      </c>
    </row>
    <row r="201" ht="22.5" customHeight="1">
      <c r="B201" s="7" t="str">
        <f>IFERROR(__xludf.DUMMYFUNCTION("""COMPUTED_VALUE"""),"K/5/181024/1")</f>
        <v>K/5/181024/1</v>
      </c>
      <c r="C201" s="7" t="str">
        <f>IFERROR(__xludf.DUMMYFUNCTION("""COMPUTED_VALUE"""),"B. 164/ Rawa Laut")</f>
        <v>B. 164/ Rawa Laut</v>
      </c>
      <c r="D201" s="7" t="str">
        <f>IFERROR(__xludf.DUMMYFUNCTION("""COMPUTED_VALUE"""),"Sahelia")</f>
        <v>Sahelia</v>
      </c>
      <c r="E201" s="7" t="str">
        <f>IFERROR(__xludf.DUMMYFUNCTION("""COMPUTED_VALUE"""),"DISERAHKAN")</f>
        <v>DISERAHKAN</v>
      </c>
      <c r="F201" s="9">
        <f>IFERROR(__xludf.DUMMYFUNCTION("""COMPUTED_VALUE"""),45593.67786582176)</f>
        <v>45593.67787</v>
      </c>
      <c r="G201" s="7" t="str">
        <f>IFERROR(__xludf.DUMMYFUNCTION("""COMPUTED_VALUE"""),"BN Jual Beli")</f>
        <v>BN Jual Beli</v>
      </c>
      <c r="H201" s="7">
        <f t="shared" si="1"/>
        <v>101</v>
      </c>
    </row>
    <row r="202" ht="22.5" customHeight="1">
      <c r="B202" s="7" t="str">
        <f>IFERROR(__xludf.DUMMYFUNCTION("""COMPUTED_VALUE"""),"K/8/181024/1")</f>
        <v>K/8/181024/1</v>
      </c>
      <c r="C202" s="7" t="str">
        <f>IFERROR(__xludf.DUMMYFUNCTION("""COMPUTED_VALUE"""),"M. 227/ Sukarame Baru- sekarang; M. 13036/ Sukarame I- dahulu")</f>
        <v>M. 227/ Sukarame Baru- sekarang; M. 13036/ Sukarame I- dahulu</v>
      </c>
      <c r="D202" s="7" t="str">
        <f>IFERROR(__xludf.DUMMYFUNCTION("""COMPUTED_VALUE"""),"Berry")</f>
        <v>Berry</v>
      </c>
      <c r="E202" s="7" t="str">
        <f>IFERROR(__xludf.DUMMYFUNCTION("""COMPUTED_VALUE"""),"DISERAHKAN")</f>
        <v>DISERAHKAN</v>
      </c>
      <c r="F202" s="9">
        <f>IFERROR(__xludf.DUMMYFUNCTION("""COMPUTED_VALUE"""),45586.487787777776)</f>
        <v>45586.48779</v>
      </c>
      <c r="G202" s="7" t="str">
        <f>IFERROR(__xludf.DUMMYFUNCTION("""COMPUTED_VALUE"""),"BN JUAL BELI")</f>
        <v>BN JUAL BELI</v>
      </c>
      <c r="H202" s="7">
        <f t="shared" si="1"/>
        <v>102</v>
      </c>
    </row>
    <row r="203" ht="22.5" customHeight="1">
      <c r="B203" s="7" t="str">
        <f>IFERROR(__xludf.DUMMYFUNCTION("""COMPUTED_VALUE"""),"K/6/181024/1")</f>
        <v>K/6/181024/1</v>
      </c>
      <c r="C203" s="7" t="str">
        <f>IFERROR(__xludf.DUMMYFUNCTION("""COMPUTED_VALUE"""),"B. 653; 654/ Pesawahan dan SHT 1213/2008 dan SHT 3013/2006")</f>
        <v>B. 653; 654/ Pesawahan dan SHT 1213/2008 dan SHT 3013/2006</v>
      </c>
      <c r="D203" s="7" t="str">
        <f>IFERROR(__xludf.DUMMYFUNCTION("""COMPUTED_VALUE"""),"David")</f>
        <v>David</v>
      </c>
      <c r="E203" s="7" t="str">
        <f>IFERROR(__xludf.DUMMYFUNCTION("""COMPUTED_VALUE"""),"DISERAHKAN")</f>
        <v>DISERAHKAN</v>
      </c>
      <c r="F203" s="9">
        <f>IFERROR(__xludf.DUMMYFUNCTION("""COMPUTED_VALUE"""),45586.487787777776)</f>
        <v>45586.48779</v>
      </c>
      <c r="G203" s="7" t="str">
        <f>IFERROR(__xludf.DUMMYFUNCTION("""COMPUTED_VALUE"""),"Roya")</f>
        <v>Roya</v>
      </c>
      <c r="H203" s="7">
        <f t="shared" si="1"/>
        <v>103</v>
      </c>
    </row>
    <row r="204" ht="22.5" customHeight="1">
      <c r="B204" s="7" t="str">
        <f>IFERROR(__xludf.DUMMYFUNCTION("""COMPUTED_VALUE"""),"K/9/181024/1")</f>
        <v>K/9/181024/1</v>
      </c>
      <c r="C204" s="7" t="str">
        <f>IFERROR(__xludf.DUMMYFUNCTION("""COMPUTED_VALUE"""),"M.5070/RAJABASA JAYA")</f>
        <v>M.5070/RAJABASA JAYA</v>
      </c>
      <c r="D204" s="7" t="str">
        <f>IFERROR(__xludf.DUMMYFUNCTION("""COMPUTED_VALUE"""),"David")</f>
        <v>David</v>
      </c>
      <c r="E204" s="7" t="str">
        <f>IFERROR(__xludf.DUMMYFUNCTION("""COMPUTED_VALUE"""),"DISERAHKAN")</f>
        <v>DISERAHKAN</v>
      </c>
      <c r="F204" s="9">
        <f>IFERROR(__xludf.DUMMYFUNCTION("""COMPUTED_VALUE"""),45586.487787777776)</f>
        <v>45586.48779</v>
      </c>
      <c r="G204" s="7" t="str">
        <f>IFERROR(__xludf.DUMMYFUNCTION("""COMPUTED_VALUE"""),"PERALIHAN JUAL BELI")</f>
        <v>PERALIHAN JUAL BELI</v>
      </c>
      <c r="H204" s="7">
        <f t="shared" si="1"/>
        <v>104</v>
      </c>
    </row>
    <row r="205" ht="22.5" customHeight="1">
      <c r="B205" s="7" t="str">
        <f>IFERROR(__xludf.DUMMYFUNCTION("""COMPUTED_VALUE"""),"K/7/181024/2")</f>
        <v>K/7/181024/2</v>
      </c>
      <c r="C205" s="7" t="str">
        <f>IFERROR(__xludf.DUMMYFUNCTION("""COMPUTED_VALUE"""),"B. 696/ Peswahan dan SHT 3014/2006")</f>
        <v>B. 696/ Peswahan dan SHT 3014/2006</v>
      </c>
      <c r="D205" s="7" t="str">
        <f>IFERROR(__xludf.DUMMYFUNCTION("""COMPUTED_VALUE"""),"David")</f>
        <v>David</v>
      </c>
      <c r="E205" s="7" t="str">
        <f>IFERROR(__xludf.DUMMYFUNCTION("""COMPUTED_VALUE"""),"DISERAHKAN")</f>
        <v>DISERAHKAN</v>
      </c>
      <c r="F205" s="9">
        <f>IFERROR(__xludf.DUMMYFUNCTION("""COMPUTED_VALUE"""),45587.42304090278)</f>
        <v>45587.42304</v>
      </c>
      <c r="G205" s="7" t="str">
        <f>IFERROR(__xludf.DUMMYFUNCTION("""COMPUTED_VALUE"""),"Roya")</f>
        <v>Roya</v>
      </c>
      <c r="H205" s="7">
        <f t="shared" si="1"/>
        <v>105</v>
      </c>
    </row>
    <row r="206" ht="22.5" customHeight="1">
      <c r="B206" s="7" t="str">
        <f>IFERROR(__xludf.DUMMYFUNCTION("""COMPUTED_VALUE"""),"L/10/181024/1")</f>
        <v>L/10/181024/1</v>
      </c>
      <c r="C206" s="7" t="str">
        <f>IFERROR(__xludf.DUMMYFUNCTION("""COMPUTED_VALUE"""),"HGB.4629/BERINGIN RAYA")</f>
        <v>HGB.4629/BERINGIN RAYA</v>
      </c>
      <c r="D206" s="7" t="str">
        <f>IFERROR(__xludf.DUMMYFUNCTION("""COMPUTED_VALUE"""),"David")</f>
        <v>David</v>
      </c>
      <c r="E206" s="7" t="str">
        <f>IFERROR(__xludf.DUMMYFUNCTION("""COMPUTED_VALUE"""),"DISERAHKAN")</f>
        <v>DISERAHKAN</v>
      </c>
      <c r="F206" s="9">
        <f>IFERROR(__xludf.DUMMYFUNCTION("""COMPUTED_VALUE"""),45588.38566894676)</f>
        <v>45588.38567</v>
      </c>
      <c r="G206" s="7" t="str">
        <f>IFERROR(__xludf.DUMMYFUNCTION("""COMPUTED_VALUE"""),"SERTIPIKAT HILANG")</f>
        <v>SERTIPIKAT HILANG</v>
      </c>
      <c r="H206" s="7">
        <f t="shared" si="1"/>
        <v>106</v>
      </c>
    </row>
    <row r="207" ht="22.5" customHeight="1">
      <c r="B207" s="7" t="str">
        <f>IFERROR(__xludf.DUMMYFUNCTION("""COMPUTED_VALUE"""),"K/11/181024/1")</f>
        <v>K/11/181024/1</v>
      </c>
      <c r="C207" s="7" t="str">
        <f>IFERROR(__xludf.DUMMYFUNCTION("""COMPUTED_VALUE"""),"M.1637/BUMI KEDAMAIAN-SEKARANG;M.13670/KEDAMAIAN-DAHULU")</f>
        <v>M.1637/BUMI KEDAMAIAN-SEKARANG;M.13670/KEDAMAIAN-DAHULU</v>
      </c>
      <c r="D207" s="7"/>
      <c r="E207" s="7" t="str">
        <f>IFERROR(__xludf.DUMMYFUNCTION("""COMPUTED_VALUE"""),"PROSES")</f>
        <v>PROSES</v>
      </c>
      <c r="F207" s="9" t="str">
        <f>IFERROR(__xludf.DUMMYFUNCTION("""COMPUTED_VALUE"""),"")</f>
        <v/>
      </c>
      <c r="G207" s="7" t="str">
        <f>IFERROR(__xludf.DUMMYFUNCTION("""COMPUTED_VALUE"""),"PEMECAHAN")</f>
        <v>PEMECAHAN</v>
      </c>
      <c r="H207" s="7">
        <f t="shared" si="1"/>
        <v>106</v>
      </c>
    </row>
    <row r="208" ht="22.5" customHeight="1">
      <c r="B208" s="7" t="str">
        <f>IFERROR(__xludf.DUMMYFUNCTION("""COMPUTED_VALUE"""),"K/12/181024/1")</f>
        <v>K/12/181024/1</v>
      </c>
      <c r="C208" s="7" t="str">
        <f>IFERROR(__xludf.DUMMYFUNCTION("""COMPUTED_VALUE"""),"M. 13899/ Rajabasa")</f>
        <v>M. 13899/ Rajabasa</v>
      </c>
      <c r="D208" s="7" t="str">
        <f>IFERROR(__xludf.DUMMYFUNCTION("""COMPUTED_VALUE"""),"Sahelia")</f>
        <v>Sahelia</v>
      </c>
      <c r="E208" s="7" t="str">
        <f>IFERROR(__xludf.DUMMYFUNCTION("""COMPUTED_VALUE"""),"DISERAHKAN BT")</f>
        <v>DISERAHKAN BT</v>
      </c>
      <c r="F208" s="9">
        <f>IFERROR(__xludf.DUMMYFUNCTION("""COMPUTED_VALUE"""),45600.472544212964)</f>
        <v>45600.47254</v>
      </c>
      <c r="G208" s="7" t="str">
        <f>IFERROR(__xludf.DUMMYFUNCTION("""COMPUTED_VALUE"""),"BN Jual Beli")</f>
        <v>BN Jual Beli</v>
      </c>
      <c r="H208" s="7">
        <f t="shared" si="1"/>
        <v>106</v>
      </c>
    </row>
    <row r="209" ht="22.5" customHeight="1">
      <c r="B209" s="7" t="str">
        <f>IFERROR(__xludf.DUMMYFUNCTION("""COMPUTED_VALUE"""),"L/13/181024/1")</f>
        <v>L/13/181024/1</v>
      </c>
      <c r="C209" s="7" t="str">
        <f>IFERROR(__xludf.DUMMYFUNCTION("""COMPUTED_VALUE"""),"HGB.1333/JG II")</f>
        <v>HGB.1333/JG II</v>
      </c>
      <c r="D209" s="7"/>
      <c r="E209" s="7"/>
      <c r="F209" s="9" t="str">
        <f>IFERROR(__xludf.DUMMYFUNCTION("""COMPUTED_VALUE"""),"")</f>
        <v/>
      </c>
      <c r="G209" s="7" t="str">
        <f>IFERROR(__xludf.DUMMYFUNCTION("""COMPUTED_VALUE"""),"GANDES")</f>
        <v>GANDES</v>
      </c>
      <c r="H209" s="7">
        <f t="shared" si="1"/>
        <v>106</v>
      </c>
    </row>
    <row r="210" ht="22.5" customHeight="1">
      <c r="B210" s="7" t="str">
        <f>IFERROR(__xludf.DUMMYFUNCTION("""COMPUTED_VALUE"""),"K/14/181024/1")</f>
        <v>K/14/181024/1</v>
      </c>
      <c r="C210" s="7" t="str">
        <f>IFERROR(__xludf.DUMMYFUNCTION("""COMPUTED_VALUE"""),"M. 13267/ Sukabumi")</f>
        <v>M. 13267/ Sukabumi</v>
      </c>
      <c r="D210" s="7" t="str">
        <f>IFERROR(__xludf.DUMMYFUNCTION("""COMPUTED_VALUE"""),"Alfiansyah")</f>
        <v>Alfiansyah</v>
      </c>
      <c r="E210" s="7" t="str">
        <f>IFERROR(__xludf.DUMMYFUNCTION("""COMPUTED_VALUE"""),"DISERAHKAN BT")</f>
        <v>DISERAHKAN BT</v>
      </c>
      <c r="F210" s="9">
        <f>IFERROR(__xludf.DUMMYFUNCTION("""COMPUTED_VALUE"""),45610.36185707176)</f>
        <v>45610.36186</v>
      </c>
      <c r="G210" s="7" t="str">
        <f>IFERROR(__xludf.DUMMYFUNCTION("""COMPUTED_VALUE"""),"BN Jual Beli")</f>
        <v>BN Jual Beli</v>
      </c>
      <c r="H210" s="7">
        <f t="shared" si="1"/>
        <v>106</v>
      </c>
    </row>
    <row r="211" ht="22.5" customHeight="1">
      <c r="B211" s="7" t="str">
        <f>IFERROR(__xludf.DUMMYFUNCTION("""COMPUTED_VALUE"""),"K/15/181024/1")</f>
        <v>K/15/181024/1</v>
      </c>
      <c r="C211" s="7" t="str">
        <f>IFERROR(__xludf.DUMMYFUNCTION("""COMPUTED_VALUE"""),"B.921/NEGERI OLOK GADING")</f>
        <v>B.921/NEGERI OLOK GADING</v>
      </c>
      <c r="D211" s="7"/>
      <c r="E211" s="7"/>
      <c r="F211" s="9" t="str">
        <f>IFERROR(__xludf.DUMMYFUNCTION("""COMPUTED_VALUE"""),"")</f>
        <v/>
      </c>
      <c r="G211" s="7" t="str">
        <f>IFERROR(__xludf.DUMMYFUNCTION("""COMPUTED_VALUE"""),"SKPT PERPANJANGAN")</f>
        <v>SKPT PERPANJANGAN</v>
      </c>
      <c r="H211" s="7">
        <f t="shared" si="1"/>
        <v>106</v>
      </c>
    </row>
    <row r="212" ht="22.5" customHeight="1">
      <c r="B212" s="7" t="str">
        <f>IFERROR(__xludf.DUMMYFUNCTION("""COMPUTED_VALUE"""),"K/16/181024/1")</f>
        <v>K/16/181024/1</v>
      </c>
      <c r="C212" s="7" t="str">
        <f>IFERROR(__xludf.DUMMYFUNCTION("""COMPUTED_VALUE"""),"Nibel 2006/ sumur putri")</f>
        <v>Nibel 2006/ sumur putri</v>
      </c>
      <c r="D212" s="7"/>
      <c r="E212" s="7"/>
      <c r="F212" s="9" t="str">
        <f>IFERROR(__xludf.DUMMYFUNCTION("""COMPUTED_VALUE"""),"")</f>
        <v/>
      </c>
      <c r="G212" s="7" t="str">
        <f>IFERROR(__xludf.DUMMYFUNCTION("""COMPUTED_VALUE"""),"perubahan hak")</f>
        <v>perubahan hak</v>
      </c>
      <c r="H212" s="7">
        <f t="shared" si="1"/>
        <v>106</v>
      </c>
    </row>
    <row r="213" ht="22.5" customHeight="1">
      <c r="B213" s="7" t="str">
        <f>IFERROR(__xludf.DUMMYFUNCTION("""COMPUTED_VALUE"""),"K/17/181024/2")</f>
        <v>K/17/181024/2</v>
      </c>
      <c r="C213" s="7" t="str">
        <f>IFERROR(__xludf.DUMMYFUNCTION("""COMPUTED_VALUE"""),"M. 443/ Sukarame")</f>
        <v>M. 443/ Sukarame</v>
      </c>
      <c r="D213" s="7"/>
      <c r="E213" s="7"/>
      <c r="F213" s="9" t="str">
        <f>IFERROR(__xludf.DUMMYFUNCTION("""COMPUTED_VALUE"""),"")</f>
        <v/>
      </c>
      <c r="G213" s="7" t="str">
        <f>IFERROR(__xludf.DUMMYFUNCTION("""COMPUTED_VALUE"""),"ganti kelurahan")</f>
        <v>ganti kelurahan</v>
      </c>
      <c r="H213" s="7">
        <f t="shared" si="1"/>
        <v>106</v>
      </c>
    </row>
    <row r="214" ht="22.5" customHeight="1">
      <c r="B214" s="7" t="str">
        <f>IFERROR(__xludf.DUMMYFUNCTION("""COMPUTED_VALUE"""),"K/18/181024/1")</f>
        <v>K/18/181024/1</v>
      </c>
      <c r="C214" s="7" t="str">
        <f>IFERROR(__xludf.DUMMYFUNCTION("""COMPUTED_VALUE"""),"M.4511/WAY KANDIS")</f>
        <v>M.4511/WAY KANDIS</v>
      </c>
      <c r="D214" s="7"/>
      <c r="E214" s="7" t="str">
        <f>IFERROR(__xludf.DUMMYFUNCTION("""COMPUTED_VALUE"""),"PROSES")</f>
        <v>PROSES</v>
      </c>
      <c r="F214" s="9" t="str">
        <f>IFERROR(__xludf.DUMMYFUNCTION("""COMPUTED_VALUE"""),"")</f>
        <v/>
      </c>
      <c r="G214" s="7" t="str">
        <f>IFERROR(__xludf.DUMMYFUNCTION("""COMPUTED_VALUE"""),"PEMECAHAN")</f>
        <v>PEMECAHAN</v>
      </c>
      <c r="H214" s="7">
        <f t="shared" si="1"/>
        <v>106</v>
      </c>
    </row>
    <row r="215" ht="22.5" customHeight="1">
      <c r="B215" s="7" t="str">
        <f>IFERROR(__xludf.DUMMYFUNCTION("""COMPUTED_VALUE"""),"K/19/181024/2")</f>
        <v>K/19/181024/2</v>
      </c>
      <c r="C215" s="7" t="str">
        <f>IFERROR(__xludf.DUMMYFUNCTION("""COMPUTED_VALUE"""),"M.4510/WAY KANDIS")</f>
        <v>M.4510/WAY KANDIS</v>
      </c>
      <c r="D215" s="7"/>
      <c r="E215" s="7" t="str">
        <f>IFERROR(__xludf.DUMMYFUNCTION("""COMPUTED_VALUE"""),"PROSES")</f>
        <v>PROSES</v>
      </c>
      <c r="F215" s="9" t="str">
        <f>IFERROR(__xludf.DUMMYFUNCTION("""COMPUTED_VALUE"""),"")</f>
        <v/>
      </c>
      <c r="G215" s="7" t="str">
        <f>IFERROR(__xludf.DUMMYFUNCTION("""COMPUTED_VALUE"""),"PEMECAHAN")</f>
        <v>PEMECAHAN</v>
      </c>
      <c r="H215" s="7">
        <f t="shared" si="1"/>
        <v>106</v>
      </c>
    </row>
    <row r="216" ht="22.5" customHeight="1">
      <c r="B216" s="7" t="str">
        <f>IFERROR(__xludf.DUMMYFUNCTION("""COMPUTED_VALUE"""),"K/20/181024/1")</f>
        <v>K/20/181024/1</v>
      </c>
      <c r="C216" s="7" t="str">
        <f>IFERROR(__xludf.DUMMYFUNCTION("""COMPUTED_VALUE"""),"M. 501/ Campang Jaya")</f>
        <v>M. 501/ Campang Jaya</v>
      </c>
      <c r="D216" s="7"/>
      <c r="E216" s="7"/>
      <c r="F216" s="9" t="str">
        <f>IFERROR(__xludf.DUMMYFUNCTION("""COMPUTED_VALUE"""),"")</f>
        <v/>
      </c>
      <c r="G216" s="7" t="str">
        <f>IFERROR(__xludf.DUMMYFUNCTION("""COMPUTED_VALUE"""),"Hapus BPHTB")</f>
        <v>Hapus BPHTB</v>
      </c>
      <c r="H216" s="7">
        <f t="shared" si="1"/>
        <v>106</v>
      </c>
    </row>
    <row r="217" ht="22.5" customHeight="1">
      <c r="B217" s="7" t="str">
        <f>IFERROR(__xludf.DUMMYFUNCTION("""COMPUTED_VALUE"""),"K/21/181024/1")</f>
        <v>K/21/181024/1</v>
      </c>
      <c r="C217" s="7" t="str">
        <f>IFERROR(__xludf.DUMMYFUNCTION("""COMPUTED_VALUE"""),"B. 616/ Campang Raya")</f>
        <v>B. 616/ Campang Raya</v>
      </c>
      <c r="D217" s="7" t="str">
        <f>IFERROR(__xludf.DUMMYFUNCTION("""COMPUTED_VALUE"""),"David")</f>
        <v>David</v>
      </c>
      <c r="E217" s="7" t="str">
        <f>IFERROR(__xludf.DUMMYFUNCTION("""COMPUTED_VALUE"""),"DISERAHKAN")</f>
        <v>DISERAHKAN</v>
      </c>
      <c r="F217" s="9">
        <f>IFERROR(__xludf.DUMMYFUNCTION("""COMPUTED_VALUE"""),45587.38060362269)</f>
        <v>45587.3806</v>
      </c>
      <c r="G217" s="7" t="str">
        <f>IFERROR(__xludf.DUMMYFUNCTION("""COMPUTED_VALUE"""),"Gandes")</f>
        <v>Gandes</v>
      </c>
      <c r="H217" s="7">
        <f t="shared" si="1"/>
        <v>107</v>
      </c>
    </row>
    <row r="218" ht="22.5" customHeight="1">
      <c r="B218" s="7" t="str">
        <f>IFERROR(__xludf.DUMMYFUNCTION("""COMPUTED_VALUE"""),"K/22/181024/2")</f>
        <v>K/22/181024/2</v>
      </c>
      <c r="C218" s="7" t="str">
        <f>IFERROR(__xludf.DUMMYFUNCTION("""COMPUTED_VALUE"""),"B. 641/ Campang Raya")</f>
        <v>B. 641/ Campang Raya</v>
      </c>
      <c r="D218" s="7" t="str">
        <f>IFERROR(__xludf.DUMMYFUNCTION("""COMPUTED_VALUE"""),"Berry")</f>
        <v>Berry</v>
      </c>
      <c r="E218" s="7" t="str">
        <f>IFERROR(__xludf.DUMMYFUNCTION("""COMPUTED_VALUE"""),"DISERAHKAN")</f>
        <v>DISERAHKAN</v>
      </c>
      <c r="F218" s="9">
        <f>IFERROR(__xludf.DUMMYFUNCTION("""COMPUTED_VALUE"""),45587.38034246527)</f>
        <v>45587.38034</v>
      </c>
      <c r="G218" s="7" t="str">
        <f>IFERROR(__xludf.DUMMYFUNCTION("""COMPUTED_VALUE"""),"Gandes")</f>
        <v>Gandes</v>
      </c>
      <c r="H218" s="7">
        <f t="shared" si="1"/>
        <v>108</v>
      </c>
    </row>
    <row r="219" ht="22.5" customHeight="1">
      <c r="B219" s="7" t="str">
        <f>IFERROR(__xludf.DUMMYFUNCTION("""COMPUTED_VALUE"""),"K/23/181024/1")</f>
        <v>K/23/181024/1</v>
      </c>
      <c r="C219" s="7" t="str">
        <f>IFERROR(__xludf.DUMMYFUNCTION("""COMPUTED_VALUE"""),"M. 224/ Kampung Baru Raya")</f>
        <v>M. 224/ Kampung Baru Raya</v>
      </c>
      <c r="D219" s="7"/>
      <c r="E219" s="7" t="str">
        <f>IFERROR(__xludf.DUMMYFUNCTION("""COMPUTED_VALUE"""),"PROSES")</f>
        <v>PROSES</v>
      </c>
      <c r="F219" s="9" t="str">
        <f>IFERROR(__xludf.DUMMYFUNCTION("""COMPUTED_VALUE"""),"")</f>
        <v/>
      </c>
      <c r="G219" s="7" t="str">
        <f>IFERROR(__xludf.DUMMYFUNCTION("""COMPUTED_VALUE"""),"BN Jual Beli")</f>
        <v>BN Jual Beli</v>
      </c>
      <c r="H219" s="7">
        <f t="shared" si="1"/>
        <v>108</v>
      </c>
    </row>
    <row r="220" ht="22.5" customHeight="1">
      <c r="B220" s="7" t="str">
        <f>IFERROR(__xludf.DUMMYFUNCTION("""COMPUTED_VALUE"""),"K/24/181024/1")</f>
        <v>K/24/181024/1</v>
      </c>
      <c r="C220" s="7" t="str">
        <f>IFERROR(__xludf.DUMMYFUNCTION("""COMPUTED_VALUE"""),"M. 1371/ Pengajaran")</f>
        <v>M. 1371/ Pengajaran</v>
      </c>
      <c r="D220" s="7" t="str">
        <f>IFERROR(__xludf.DUMMYFUNCTION("""COMPUTED_VALUE"""),"David")</f>
        <v>David</v>
      </c>
      <c r="E220" s="7" t="str">
        <f>IFERROR(__xludf.DUMMYFUNCTION("""COMPUTED_VALUE"""),"DISERAHKAN")</f>
        <v>DISERAHKAN</v>
      </c>
      <c r="F220" s="9">
        <f>IFERROR(__xludf.DUMMYFUNCTION("""COMPUTED_VALUE"""),45586.487787777776)</f>
        <v>45586.48779</v>
      </c>
      <c r="G220" s="7" t="str">
        <f>IFERROR(__xludf.DUMMYFUNCTION("""COMPUTED_VALUE"""),"BN Hibah")</f>
        <v>BN Hibah</v>
      </c>
      <c r="H220" s="7">
        <f t="shared" si="1"/>
        <v>109</v>
      </c>
    </row>
    <row r="221" ht="22.5" customHeight="1">
      <c r="B221" s="7" t="str">
        <f>IFERROR(__xludf.DUMMYFUNCTION("""COMPUTED_VALUE"""),"K/25/181024/1")</f>
        <v>K/25/181024/1</v>
      </c>
      <c r="C221" s="7" t="str">
        <f>IFERROR(__xludf.DUMMYFUNCTION("""COMPUTED_VALUE"""),"M. 3996/ Rajabasa Jaya")</f>
        <v>M. 3996/ Rajabasa Jaya</v>
      </c>
      <c r="D221" s="7" t="str">
        <f>IFERROR(__xludf.DUMMYFUNCTION("""COMPUTED_VALUE"""),"David")</f>
        <v>David</v>
      </c>
      <c r="E221" s="7" t="str">
        <f>IFERROR(__xludf.DUMMYFUNCTION("""COMPUTED_VALUE"""),"DISERAHKAN")</f>
        <v>DISERAHKAN</v>
      </c>
      <c r="F221" s="9">
        <f>IFERROR(__xludf.DUMMYFUNCTION("""COMPUTED_VALUE"""),45586.487787777776)</f>
        <v>45586.48779</v>
      </c>
      <c r="G221" s="7" t="str">
        <f>IFERROR(__xludf.DUMMYFUNCTION("""COMPUTED_VALUE"""),"BN Jual Beli")</f>
        <v>BN Jual Beli</v>
      </c>
      <c r="H221" s="7">
        <f t="shared" si="1"/>
        <v>110</v>
      </c>
    </row>
    <row r="222" ht="22.5" customHeight="1">
      <c r="B222" s="7" t="str">
        <f>IFERROR(__xludf.DUMMYFUNCTION("""COMPUTED_VALUE"""),"K/26/181024/1")</f>
        <v>K/26/181024/1</v>
      </c>
      <c r="C222" s="7" t="str">
        <f>IFERROR(__xludf.DUMMYFUNCTION("""COMPUTED_VALUE"""),"M. 114/ Tanjung Karang")</f>
        <v>M. 114/ Tanjung Karang</v>
      </c>
      <c r="D222" s="7" t="str">
        <f>IFERROR(__xludf.DUMMYFUNCTION("""COMPUTED_VALUE"""),"David")</f>
        <v>David</v>
      </c>
      <c r="E222" s="7" t="str">
        <f>IFERROR(__xludf.DUMMYFUNCTION("""COMPUTED_VALUE"""),"DISERAHKAN")</f>
        <v>DISERAHKAN</v>
      </c>
      <c r="F222" s="9">
        <f>IFERROR(__xludf.DUMMYFUNCTION("""COMPUTED_VALUE"""),45587.37996371528)</f>
        <v>45587.37996</v>
      </c>
      <c r="G222" s="7" t="str">
        <f>IFERROR(__xludf.DUMMYFUNCTION("""COMPUTED_VALUE"""),"Gandes")</f>
        <v>Gandes</v>
      </c>
      <c r="H222" s="7">
        <f t="shared" si="1"/>
        <v>111</v>
      </c>
    </row>
    <row r="223" ht="22.5" customHeight="1">
      <c r="B223" s="7" t="str">
        <f>IFERROR(__xludf.DUMMYFUNCTION("""COMPUTED_VALUE"""),"K/27/181024/1")</f>
        <v>K/27/181024/1</v>
      </c>
      <c r="C223" s="7" t="str">
        <f>IFERROR(__xludf.DUMMYFUNCTION("""COMPUTED_VALUE"""),"M. 193/ Palapa")</f>
        <v>M. 193/ Palapa</v>
      </c>
      <c r="D223" s="7" t="str">
        <f>IFERROR(__xludf.DUMMYFUNCTION("""COMPUTED_VALUE"""),"Berry")</f>
        <v>Berry</v>
      </c>
      <c r="E223" s="7" t="str">
        <f>IFERROR(__xludf.DUMMYFUNCTION("""COMPUTED_VALUE"""),"DISERAHKAN")</f>
        <v>DISERAHKAN</v>
      </c>
      <c r="F223" s="9">
        <f>IFERROR(__xludf.DUMMYFUNCTION("""COMPUTED_VALUE"""),45588.378877511575)</f>
        <v>45588.37888</v>
      </c>
      <c r="G223" s="7" t="str">
        <f>IFERROR(__xludf.DUMMYFUNCTION("""COMPUTED_VALUE"""),"Pemecahan")</f>
        <v>Pemecahan</v>
      </c>
      <c r="H223" s="7">
        <f t="shared" si="1"/>
        <v>112</v>
      </c>
    </row>
    <row r="224" ht="22.5" customHeight="1">
      <c r="B224" s="7" t="str">
        <f>IFERROR(__xludf.DUMMYFUNCTION("""COMPUTED_VALUE"""),"K/28/181024/1")</f>
        <v>K/28/181024/1</v>
      </c>
      <c r="C224" s="7" t="str">
        <f>IFERROR(__xludf.DUMMYFUNCTION("""COMPUTED_VALUE"""),"M. 690/ Sumur Putri dan SHT 4003/ 2013")</f>
        <v>M. 690/ Sumur Putri dan SHT 4003/ 2013</v>
      </c>
      <c r="D224" s="7"/>
      <c r="E224" s="7" t="str">
        <f>IFERROR(__xludf.DUMMYFUNCTION("""COMPUTED_VALUE"""),"PROSES")</f>
        <v>PROSES</v>
      </c>
      <c r="F224" s="9" t="str">
        <f>IFERROR(__xludf.DUMMYFUNCTION("""COMPUTED_VALUE"""),"")</f>
        <v/>
      </c>
      <c r="G224" s="7" t="str">
        <f>IFERROR(__xludf.DUMMYFUNCTION("""COMPUTED_VALUE"""),"Roya")</f>
        <v>Roya</v>
      </c>
      <c r="H224" s="7">
        <f t="shared" si="1"/>
        <v>112</v>
      </c>
    </row>
    <row r="225" ht="22.5" customHeight="1">
      <c r="B225" s="7" t="str">
        <f>IFERROR(__xludf.DUMMYFUNCTION("""COMPUTED_VALUE"""),"K/29/181024/1")</f>
        <v>K/29/181024/1</v>
      </c>
      <c r="C225" s="7" t="str">
        <f>IFERROR(__xludf.DUMMYFUNCTION("""COMPUTED_VALUE"""),"B. 02/ Gunung Mas")</f>
        <v>B. 02/ Gunung Mas</v>
      </c>
      <c r="D225" s="7"/>
      <c r="E225" s="7"/>
      <c r="F225" s="9" t="str">
        <f>IFERROR(__xludf.DUMMYFUNCTION("""COMPUTED_VALUE"""),"")</f>
        <v/>
      </c>
      <c r="G225" s="7" t="str">
        <f>IFERROR(__xludf.DUMMYFUNCTION("""COMPUTED_VALUE"""),"Pengukuran Hgb Berakhir")</f>
        <v>Pengukuran Hgb Berakhir</v>
      </c>
      <c r="H225" s="7">
        <f t="shared" si="1"/>
        <v>112</v>
      </c>
    </row>
    <row r="226" ht="22.5" customHeight="1">
      <c r="B226" s="7" t="str">
        <f>IFERROR(__xludf.DUMMYFUNCTION("""COMPUTED_VALUE"""),"K/30/181024/1")</f>
        <v>K/30/181024/1</v>
      </c>
      <c r="C226" s="7" t="str">
        <f>IFERROR(__xludf.DUMMYFUNCTION("""COMPUTED_VALUE"""),"M. 10206/ Segala Mider")</f>
        <v>M. 10206/ Segala Mider</v>
      </c>
      <c r="D226" s="7"/>
      <c r="E226" s="7"/>
      <c r="F226" s="9" t="str">
        <f>IFERROR(__xludf.DUMMYFUNCTION("""COMPUTED_VALUE"""),"")</f>
        <v/>
      </c>
      <c r="G226" s="7" t="str">
        <f>IFERROR(__xludf.DUMMYFUNCTION("""COMPUTED_VALUE"""),"Plotting")</f>
        <v>Plotting</v>
      </c>
      <c r="H226" s="7">
        <f t="shared" si="1"/>
        <v>112</v>
      </c>
    </row>
    <row r="227" ht="22.5" customHeight="1">
      <c r="B227" s="7" t="str">
        <f>IFERROR(__xludf.DUMMYFUNCTION("""COMPUTED_VALUE"""),"K/31/181024/2")</f>
        <v>K/31/181024/2</v>
      </c>
      <c r="C227" s="7" t="str">
        <f>IFERROR(__xludf.DUMMYFUNCTION("""COMPUTED_VALUE"""),"M. 1134/ Sukamaju")</f>
        <v>M. 1134/ Sukamaju</v>
      </c>
      <c r="D227" s="7"/>
      <c r="E227" s="7"/>
      <c r="F227" s="9" t="str">
        <f>IFERROR(__xludf.DUMMYFUNCTION("""COMPUTED_VALUE"""),"")</f>
        <v/>
      </c>
      <c r="G227" s="7" t="str">
        <f>IFERROR(__xludf.DUMMYFUNCTION("""COMPUTED_VALUE"""),"plotting")</f>
        <v>plotting</v>
      </c>
      <c r="H227" s="7">
        <f t="shared" si="1"/>
        <v>112</v>
      </c>
    </row>
    <row r="228" ht="22.5" customHeight="1">
      <c r="B228" s="7" t="str">
        <f>IFERROR(__xludf.DUMMYFUNCTION("""COMPUTED_VALUE"""),"K/32/181024/3")</f>
        <v>K/32/181024/3</v>
      </c>
      <c r="C228" s="7" t="str">
        <f>IFERROR(__xludf.DUMMYFUNCTION("""COMPUTED_VALUE"""),"M. 2500/ Sumberejo kemiling")</f>
        <v>M. 2500/ Sumberejo kemiling</v>
      </c>
      <c r="D228" s="7"/>
      <c r="E228" s="7"/>
      <c r="F228" s="9" t="str">
        <f>IFERROR(__xludf.DUMMYFUNCTION("""COMPUTED_VALUE"""),"")</f>
        <v/>
      </c>
      <c r="G228" s="7" t="str">
        <f>IFERROR(__xludf.DUMMYFUNCTION("""COMPUTED_VALUE"""),"plotting")</f>
        <v>plotting</v>
      </c>
      <c r="H228" s="7">
        <f t="shared" si="1"/>
        <v>112</v>
      </c>
    </row>
    <row r="229" ht="22.5" customHeight="1">
      <c r="B229" s="7" t="str">
        <f>IFERROR(__xludf.DUMMYFUNCTION("""COMPUTED_VALUE"""),"K/33/181024/1")</f>
        <v>K/33/181024/1</v>
      </c>
      <c r="C229" s="7" t="str">
        <f>IFERROR(__xludf.DUMMYFUNCTION("""COMPUTED_VALUE"""),"M.3314/KOTA KARANG")</f>
        <v>M.3314/KOTA KARANG</v>
      </c>
      <c r="D229" s="7" t="str">
        <f>IFERROR(__xludf.DUMMYFUNCTION("""COMPUTED_VALUE"""),"Sahelia")</f>
        <v>Sahelia</v>
      </c>
      <c r="E229" s="7" t="str">
        <f>IFERROR(__xludf.DUMMYFUNCTION("""COMPUTED_VALUE"""),"DISERAHKAN")</f>
        <v>DISERAHKAN</v>
      </c>
      <c r="F229" s="9">
        <f>IFERROR(__xludf.DUMMYFUNCTION("""COMPUTED_VALUE"""),45603.59289547453)</f>
        <v>45603.5929</v>
      </c>
      <c r="G229" s="7" t="str">
        <f>IFERROR(__xludf.DUMMYFUNCTION("""COMPUTED_VALUE"""),"PERALIHAN JUAL BELI")</f>
        <v>PERALIHAN JUAL BELI</v>
      </c>
      <c r="H229" s="7">
        <f t="shared" si="1"/>
        <v>113</v>
      </c>
    </row>
    <row r="230" ht="22.5" customHeight="1">
      <c r="B230" s="7" t="str">
        <f>IFERROR(__xludf.DUMMYFUNCTION("""COMPUTED_VALUE"""),"K/34/181024/2")</f>
        <v>K/34/181024/2</v>
      </c>
      <c r="C230" s="7" t="str">
        <f>IFERROR(__xludf.DUMMYFUNCTION("""COMPUTED_VALUE"""),"M.1552/PESAWAHAN")</f>
        <v>M.1552/PESAWAHAN</v>
      </c>
      <c r="D230" s="7" t="str">
        <f>IFERROR(__xludf.DUMMYFUNCTION("""COMPUTED_VALUE"""),"David")</f>
        <v>David</v>
      </c>
      <c r="E230" s="7" t="str">
        <f>IFERROR(__xludf.DUMMYFUNCTION("""COMPUTED_VALUE"""),"DISERAHKAN")</f>
        <v>DISERAHKAN</v>
      </c>
      <c r="F230" s="9">
        <f>IFERROR(__xludf.DUMMYFUNCTION("""COMPUTED_VALUE"""),45586.487787777776)</f>
        <v>45586.48779</v>
      </c>
      <c r="G230" s="7" t="str">
        <f>IFERROR(__xludf.DUMMYFUNCTION("""COMPUTED_VALUE"""),"PERALIHAN JUAL BELI")</f>
        <v>PERALIHAN JUAL BELI</v>
      </c>
      <c r="H230" s="7">
        <f t="shared" si="1"/>
        <v>114</v>
      </c>
    </row>
    <row r="231" ht="22.5" customHeight="1">
      <c r="B231" s="7" t="str">
        <f>IFERROR(__xludf.DUMMYFUNCTION("""COMPUTED_VALUE"""),"K/35/181024/1")</f>
        <v>K/35/181024/1</v>
      </c>
      <c r="C231" s="7" t="str">
        <f>IFERROR(__xludf.DUMMYFUNCTION("""COMPUTED_VALUE"""),"B.936/JAGABAYA III-SEKARANG;B.1342/JAGABAYA II-DAHULU")</f>
        <v>B.936/JAGABAYA III-SEKARANG;B.1342/JAGABAYA II-DAHULU</v>
      </c>
      <c r="D231" s="7" t="str">
        <f>IFERROR(__xludf.DUMMYFUNCTION("""COMPUTED_VALUE"""),"Bayu")</f>
        <v>Bayu</v>
      </c>
      <c r="E231" s="7" t="str">
        <f>IFERROR(__xludf.DUMMYFUNCTION("""COMPUTED_VALUE"""),"DISERAHKAN")</f>
        <v>DISERAHKAN</v>
      </c>
      <c r="F231" s="9">
        <f>IFERROR(__xludf.DUMMYFUNCTION("""COMPUTED_VALUE"""),45594.45216559028)</f>
        <v>45594.45217</v>
      </c>
      <c r="G231" s="7" t="str">
        <f>IFERROR(__xludf.DUMMYFUNCTION("""COMPUTED_VALUE"""),"PENINGKATAN")</f>
        <v>PENINGKATAN</v>
      </c>
      <c r="H231" s="7">
        <f t="shared" si="1"/>
        <v>115</v>
      </c>
    </row>
    <row r="232" ht="22.5" customHeight="1">
      <c r="B232" s="7" t="str">
        <f>IFERROR(__xludf.DUMMYFUNCTION("""COMPUTED_VALUE"""),"K/36/181024/1")</f>
        <v>K/36/181024/1</v>
      </c>
      <c r="C232" s="7" t="str">
        <f>IFERROR(__xludf.DUMMYFUNCTION("""COMPUTED_VALUE"""),"Nibel. M. 379/ Gunung Sulah")</f>
        <v>Nibel. M. 379/ Gunung Sulah</v>
      </c>
      <c r="D232" s="7"/>
      <c r="E232" s="7"/>
      <c r="F232" s="9" t="str">
        <f>IFERROR(__xludf.DUMMYFUNCTION("""COMPUTED_VALUE"""),"")</f>
        <v/>
      </c>
      <c r="G232" s="7" t="str">
        <f>IFERROR(__xludf.DUMMYFUNCTION("""COMPUTED_VALUE"""),"BN Jual Beli")</f>
        <v>BN Jual Beli</v>
      </c>
      <c r="H232" s="7">
        <f t="shared" si="1"/>
        <v>115</v>
      </c>
    </row>
    <row r="233" ht="22.5" customHeight="1">
      <c r="B233" s="7" t="str">
        <f>IFERROR(__xludf.DUMMYFUNCTION("""COMPUTED_VALUE"""),"K/37/181024/3")</f>
        <v>K/37/181024/3</v>
      </c>
      <c r="C233" s="7" t="str">
        <f>IFERROR(__xludf.DUMMYFUNCTION("""COMPUTED_VALUE"""),"M.1593/BUMI KEDAMAIAN-SEKARANG;M.10186/KEDAMAIAN-DAHULU")</f>
        <v>M.1593/BUMI KEDAMAIAN-SEKARANG;M.10186/KEDAMAIAN-DAHULU</v>
      </c>
      <c r="D233" s="7" t="str">
        <f>IFERROR(__xludf.DUMMYFUNCTION("""COMPUTED_VALUE"""),"Sahelia")</f>
        <v>Sahelia</v>
      </c>
      <c r="E233" s="7" t="str">
        <f>IFERROR(__xludf.DUMMYFUNCTION("""COMPUTED_VALUE"""),"DISERAHKAN")</f>
        <v>DISERAHKAN</v>
      </c>
      <c r="F233" s="9">
        <f>IFERROR(__xludf.DUMMYFUNCTION("""COMPUTED_VALUE"""),45593.67754741898)</f>
        <v>45593.67755</v>
      </c>
      <c r="G233" s="7" t="str">
        <f>IFERROR(__xludf.DUMMYFUNCTION("""COMPUTED_VALUE"""),"PERALIHAN JUAL BELI")</f>
        <v>PERALIHAN JUAL BELI</v>
      </c>
      <c r="H233" s="7">
        <f t="shared" si="1"/>
        <v>116</v>
      </c>
    </row>
    <row r="234" ht="22.5" customHeight="1">
      <c r="B234" s="7" t="str">
        <f>IFERROR(__xludf.DUMMYFUNCTION("""COMPUTED_VALUE"""),"K/38/181024/1")</f>
        <v>K/38/181024/1</v>
      </c>
      <c r="C234" s="7" t="str">
        <f>IFERROR(__xludf.DUMMYFUNCTION("""COMPUTED_VALUE"""),"M. 370/ Korpri Raya-sekarang; M. 9602/ Sukarame I-dahulu")</f>
        <v>M. 370/ Korpri Raya-sekarang; M. 9602/ Sukarame I-dahulu</v>
      </c>
      <c r="D234" s="7" t="str">
        <f>IFERROR(__xludf.DUMMYFUNCTION("""COMPUTED_VALUE"""),"David")</f>
        <v>David</v>
      </c>
      <c r="E234" s="7" t="str">
        <f>IFERROR(__xludf.DUMMYFUNCTION("""COMPUTED_VALUE"""),"DISERAHKAN")</f>
        <v>DISERAHKAN</v>
      </c>
      <c r="F234" s="9">
        <f>IFERROR(__xludf.DUMMYFUNCTION("""COMPUTED_VALUE"""),45586.487787777776)</f>
        <v>45586.48779</v>
      </c>
      <c r="G234" s="7" t="str">
        <f>IFERROR(__xludf.DUMMYFUNCTION("""COMPUTED_VALUE"""),"BN Jual Beli")</f>
        <v>BN Jual Beli</v>
      </c>
      <c r="H234" s="7">
        <f t="shared" si="1"/>
        <v>117</v>
      </c>
    </row>
    <row r="235" ht="22.5" customHeight="1">
      <c r="B235" s="7" t="str">
        <f>IFERROR(__xludf.DUMMYFUNCTION("""COMPUTED_VALUE"""),"K/40/181024/1")</f>
        <v>K/40/181024/1</v>
      </c>
      <c r="C235" s="7" t="str">
        <f>IFERROR(__xludf.DUMMYFUNCTION("""COMPUTED_VALUE"""),"Nibel. M. 816/ Durian Payung")</f>
        <v>Nibel. M. 816/ Durian Payung</v>
      </c>
      <c r="D235" s="7"/>
      <c r="E235" s="7"/>
      <c r="F235" s="9" t="str">
        <f>IFERROR(__xludf.DUMMYFUNCTION("""COMPUTED_VALUE"""),"")</f>
        <v/>
      </c>
      <c r="G235" s="7" t="str">
        <f>IFERROR(__xludf.DUMMYFUNCTION("""COMPUTED_VALUE"""),"BN Jual beli")</f>
        <v>BN Jual beli</v>
      </c>
      <c r="H235" s="7">
        <f t="shared" si="1"/>
        <v>117</v>
      </c>
    </row>
    <row r="236" ht="22.5" customHeight="1">
      <c r="B236" s="7" t="str">
        <f>IFERROR(__xludf.DUMMYFUNCTION("""COMPUTED_VALUE"""),"K/39/181024/2")</f>
        <v>K/39/181024/2</v>
      </c>
      <c r="C236" s="7" t="str">
        <f>IFERROR(__xludf.DUMMYFUNCTION("""COMPUTED_VALUE"""),"M. 37/ KUPANG TEBA")</f>
        <v>M. 37/ KUPANG TEBA</v>
      </c>
      <c r="D236" s="7" t="str">
        <f>IFERROR(__xludf.DUMMYFUNCTION("""COMPUTED_VALUE"""),"David")</f>
        <v>David</v>
      </c>
      <c r="E236" s="7" t="str">
        <f>IFERROR(__xludf.DUMMYFUNCTION("""COMPUTED_VALUE"""),"DISERAHKAN BT")</f>
        <v>DISERAHKAN BT</v>
      </c>
      <c r="F236" s="9">
        <f>IFERROR(__xludf.DUMMYFUNCTION("""COMPUTED_VALUE"""),45586.487787777776)</f>
        <v>45586.48779</v>
      </c>
      <c r="G236" s="7" t="str">
        <f>IFERROR(__xludf.DUMMYFUNCTION("""COMPUTED_VALUE"""),"ROYA")</f>
        <v>ROYA</v>
      </c>
      <c r="H236" s="7">
        <f t="shared" si="1"/>
        <v>117</v>
      </c>
    </row>
    <row r="237" ht="22.5" customHeight="1">
      <c r="B237" s="7" t="str">
        <f>IFERROR(__xludf.DUMMYFUNCTION("""COMPUTED_VALUE"""),"K/41/181024/1")</f>
        <v>K/41/181024/1</v>
      </c>
      <c r="C237" s="7" t="str">
        <f>IFERROR(__xludf.DUMMYFUNCTION("""COMPUTED_VALUE"""),"M. 1504/ Batu Putuk")</f>
        <v>M. 1504/ Batu Putuk</v>
      </c>
      <c r="D237" s="7" t="str">
        <f>IFERROR(__xludf.DUMMYFUNCTION("""COMPUTED_VALUE"""),"David")</f>
        <v>David</v>
      </c>
      <c r="E237" s="7" t="str">
        <f>IFERROR(__xludf.DUMMYFUNCTION("""COMPUTED_VALUE"""),"DISERAHKAN")</f>
        <v>DISERAHKAN</v>
      </c>
      <c r="F237" s="9">
        <f>IFERROR(__xludf.DUMMYFUNCTION("""COMPUTED_VALUE"""),45588.38544189815)</f>
        <v>45588.38544</v>
      </c>
      <c r="G237" s="7" t="str">
        <f>IFERROR(__xludf.DUMMYFUNCTION("""COMPUTED_VALUE"""),"BN Jual Beli")</f>
        <v>BN Jual Beli</v>
      </c>
      <c r="H237" s="7">
        <f t="shared" si="1"/>
        <v>118</v>
      </c>
    </row>
    <row r="238" ht="22.5" customHeight="1">
      <c r="B238" s="7" t="str">
        <f>IFERROR(__xludf.DUMMYFUNCTION("""COMPUTED_VALUE"""),"K/43/181024/1")</f>
        <v>K/43/181024/1</v>
      </c>
      <c r="C238" s="7" t="str">
        <f>IFERROR(__xludf.DUMMYFUNCTION("""COMPUTED_VALUE"""),"M. 3058/ Gunung Terang")</f>
        <v>M. 3058/ Gunung Terang</v>
      </c>
      <c r="D238" s="7"/>
      <c r="E238" s="7"/>
      <c r="F238" s="9" t="str">
        <f>IFERROR(__xludf.DUMMYFUNCTION("""COMPUTED_VALUE"""),"")</f>
        <v/>
      </c>
      <c r="G238" s="7" t="str">
        <f>IFERROR(__xludf.DUMMYFUNCTION("""COMPUTED_VALUE"""),"Hapus BPHTB")</f>
        <v>Hapus BPHTB</v>
      </c>
      <c r="H238" s="7">
        <f t="shared" si="1"/>
        <v>118</v>
      </c>
    </row>
    <row r="239" ht="22.5" customHeight="1">
      <c r="B239" s="7" t="str">
        <f>IFERROR(__xludf.DUMMYFUNCTION("""COMPUTED_VALUE"""),"K/45/181024/1")</f>
        <v>K/45/181024/1</v>
      </c>
      <c r="C239" s="7" t="str">
        <f>IFERROR(__xludf.DUMMYFUNCTION("""COMPUTED_VALUE"""),"M.2473/RAJABASA JAYA")</f>
        <v>M.2473/RAJABASA JAYA</v>
      </c>
      <c r="D239" s="7" t="str">
        <f>IFERROR(__xludf.DUMMYFUNCTION("""COMPUTED_VALUE"""),"Bayu")</f>
        <v>Bayu</v>
      </c>
      <c r="E239" s="7" t="str">
        <f>IFERROR(__xludf.DUMMYFUNCTION("""COMPUTED_VALUE"""),"DISERAHKAN")</f>
        <v>DISERAHKAN</v>
      </c>
      <c r="F239" s="9">
        <f>IFERROR(__xludf.DUMMYFUNCTION("""COMPUTED_VALUE"""),45587.37665027777)</f>
        <v>45587.37665</v>
      </c>
      <c r="G239" s="7" t="str">
        <f>IFERROR(__xludf.DUMMYFUNCTION("""COMPUTED_VALUE"""),"KEWARISAN")</f>
        <v>KEWARISAN</v>
      </c>
      <c r="H239" s="7">
        <f t="shared" si="1"/>
        <v>119</v>
      </c>
    </row>
    <row r="240" ht="22.5" customHeight="1">
      <c r="B240" s="7" t="str">
        <f>IFERROR(__xludf.DUMMYFUNCTION("""COMPUTED_VALUE"""),"K/42/181024/2")</f>
        <v>K/42/181024/2</v>
      </c>
      <c r="C240" s="7" t="str">
        <f>IFERROR(__xludf.DUMMYFUNCTION("""COMPUTED_VALUE"""),"M. 1938/ Kupang Kota")</f>
        <v>M. 1938/ Kupang Kota</v>
      </c>
      <c r="D240" s="7" t="str">
        <f>IFERROR(__xludf.DUMMYFUNCTION("""COMPUTED_VALUE"""),"Sahelia")</f>
        <v>Sahelia</v>
      </c>
      <c r="E240" s="7" t="str">
        <f>IFERROR(__xludf.DUMMYFUNCTION("""COMPUTED_VALUE"""),"DISERAHKAN")</f>
        <v>DISERAHKAN</v>
      </c>
      <c r="F240" s="9">
        <f>IFERROR(__xludf.DUMMYFUNCTION("""COMPUTED_VALUE"""),45596.462557314815)</f>
        <v>45596.46256</v>
      </c>
      <c r="G240" s="7" t="str">
        <f>IFERROR(__xludf.DUMMYFUNCTION("""COMPUTED_VALUE"""),"BN PHB")</f>
        <v>BN PHB</v>
      </c>
      <c r="H240" s="7">
        <f t="shared" si="1"/>
        <v>120</v>
      </c>
    </row>
    <row r="241" ht="22.5" customHeight="1">
      <c r="B241" s="7" t="str">
        <f>IFERROR(__xludf.DUMMYFUNCTION("""COMPUTED_VALUE"""),"K/46/181024/2")</f>
        <v>K/46/181024/2</v>
      </c>
      <c r="C241" s="7" t="str">
        <f>IFERROR(__xludf.DUMMYFUNCTION("""COMPUTED_VALUE"""),"M.598/GUNUNG TERANG")</f>
        <v>M.598/GUNUNG TERANG</v>
      </c>
      <c r="D241" s="7" t="str">
        <f>IFERROR(__xludf.DUMMYFUNCTION("""COMPUTED_VALUE"""),"Bayu")</f>
        <v>Bayu</v>
      </c>
      <c r="E241" s="7" t="str">
        <f>IFERROR(__xludf.DUMMYFUNCTION("""COMPUTED_VALUE"""),"DISERAHKAN")</f>
        <v>DISERAHKAN</v>
      </c>
      <c r="F241" s="9">
        <f>IFERROR(__xludf.DUMMYFUNCTION("""COMPUTED_VALUE"""),45587.37703341435)</f>
        <v>45587.37703</v>
      </c>
      <c r="G241" s="7" t="str">
        <f>IFERROR(__xludf.DUMMYFUNCTION("""COMPUTED_VALUE"""),"KEWARISAN")</f>
        <v>KEWARISAN</v>
      </c>
      <c r="H241" s="7">
        <f t="shared" si="1"/>
        <v>121</v>
      </c>
    </row>
    <row r="242" ht="22.5" customHeight="1">
      <c r="B242" s="7" t="str">
        <f>IFERROR(__xludf.DUMMYFUNCTION("""COMPUTED_VALUE"""),"K/47/181024/3")</f>
        <v>K/47/181024/3</v>
      </c>
      <c r="C242" s="7" t="str">
        <f>IFERROR(__xludf.DUMMYFUNCTION("""COMPUTED_VALUE"""),"M.1297/GUNUNG TERANG")</f>
        <v>M.1297/GUNUNG TERANG</v>
      </c>
      <c r="D242" s="7" t="str">
        <f>IFERROR(__xludf.DUMMYFUNCTION("""COMPUTED_VALUE"""),"Pras")</f>
        <v>Pras</v>
      </c>
      <c r="E242" s="7" t="str">
        <f>IFERROR(__xludf.DUMMYFUNCTION("""COMPUTED_VALUE"""),"DISERAHKAN")</f>
        <v>DISERAHKAN</v>
      </c>
      <c r="F242" s="9">
        <f>IFERROR(__xludf.DUMMYFUNCTION("""COMPUTED_VALUE"""),45587.376820150464)</f>
        <v>45587.37682</v>
      </c>
      <c r="G242" s="7" t="str">
        <f>IFERROR(__xludf.DUMMYFUNCTION("""COMPUTED_VALUE"""),"KEWARISAN")</f>
        <v>KEWARISAN</v>
      </c>
      <c r="H242" s="7">
        <f t="shared" si="1"/>
        <v>122</v>
      </c>
    </row>
    <row r="243" ht="22.5" customHeight="1">
      <c r="B243" s="7" t="str">
        <f>IFERROR(__xludf.DUMMYFUNCTION("""COMPUTED_VALUE"""),"K/48/181024/4")</f>
        <v>K/48/181024/4</v>
      </c>
      <c r="C243" s="7" t="str">
        <f>IFERROR(__xludf.DUMMYFUNCTION("""COMPUTED_VALUE"""),"M.9733/SURABAYA-SEKARANG;B.249/SURABAYA-DAHULU")</f>
        <v>M.9733/SURABAYA-SEKARANG;B.249/SURABAYA-DAHULU</v>
      </c>
      <c r="D243" s="7" t="str">
        <f>IFERROR(__xludf.DUMMYFUNCTION("""COMPUTED_VALUE"""),"Pras")</f>
        <v>Pras</v>
      </c>
      <c r="E243" s="7" t="str">
        <f>IFERROR(__xludf.DUMMYFUNCTION("""COMPUTED_VALUE"""),"DISERAHKAN")</f>
        <v>DISERAHKAN</v>
      </c>
      <c r="F243" s="9">
        <f>IFERROR(__xludf.DUMMYFUNCTION("""COMPUTED_VALUE"""),45587.37644327546)</f>
        <v>45587.37644</v>
      </c>
      <c r="G243" s="7" t="str">
        <f>IFERROR(__xludf.DUMMYFUNCTION("""COMPUTED_VALUE"""),"ROYA LELANG")</f>
        <v>ROYA LELANG</v>
      </c>
      <c r="H243" s="7">
        <f t="shared" si="1"/>
        <v>123</v>
      </c>
    </row>
    <row r="244" ht="22.5" customHeight="1">
      <c r="B244" s="7" t="str">
        <f>IFERROR(__xludf.DUMMYFUNCTION("""COMPUTED_VALUE"""),"K/44/181024/2")</f>
        <v>K/44/181024/2</v>
      </c>
      <c r="C244" s="7" t="str">
        <f>IFERROR(__xludf.DUMMYFUNCTION("""COMPUTED_VALUE"""),"Nibel. B. 2430/ Kemiling Permai")</f>
        <v>Nibel. B. 2430/ Kemiling Permai</v>
      </c>
      <c r="D244" s="7"/>
      <c r="E244" s="7"/>
      <c r="F244" s="9" t="str">
        <f>IFERROR(__xludf.DUMMYFUNCTION("""COMPUTED_VALUE"""),"")</f>
        <v/>
      </c>
      <c r="G244" s="7" t="str">
        <f>IFERROR(__xludf.DUMMYFUNCTION("""COMPUTED_VALUE"""),"Perubahan Hak")</f>
        <v>Perubahan Hak</v>
      </c>
      <c r="H244" s="7">
        <f t="shared" si="1"/>
        <v>123</v>
      </c>
    </row>
    <row r="245" ht="22.5" customHeight="1">
      <c r="B245" s="7" t="str">
        <f>IFERROR(__xludf.DUMMYFUNCTION("""COMPUTED_VALUE"""),"K/49/181024/4")</f>
        <v>K/49/181024/4</v>
      </c>
      <c r="C245" s="7" t="str">
        <f>IFERROR(__xludf.DUMMYFUNCTION("""COMPUTED_VALUE"""),"M.2892/SUKARAME BARU-SEKARANG;B.3671/SUKARAME I-DAHULU")</f>
        <v>M.2892/SUKARAME BARU-SEKARANG;B.3671/SUKARAME I-DAHULU</v>
      </c>
      <c r="D245" s="7" t="str">
        <f>IFERROR(__xludf.DUMMYFUNCTION("""COMPUTED_VALUE"""),"David")</f>
        <v>David</v>
      </c>
      <c r="E245" s="7" t="str">
        <f>IFERROR(__xludf.DUMMYFUNCTION("""COMPUTED_VALUE"""),"DISERAHKAN BT")</f>
        <v>DISERAHKAN BT</v>
      </c>
      <c r="F245" s="9">
        <f>IFERROR(__xludf.DUMMYFUNCTION("""COMPUTED_VALUE"""),45586.487787777776)</f>
        <v>45586.48779</v>
      </c>
      <c r="G245" s="7" t="str">
        <f>IFERROR(__xludf.DUMMYFUNCTION("""COMPUTED_VALUE"""),"PERALIHAN HAK")</f>
        <v>PERALIHAN HAK</v>
      </c>
      <c r="H245" s="7">
        <f t="shared" si="1"/>
        <v>123</v>
      </c>
    </row>
    <row r="246" ht="22.5" customHeight="1">
      <c r="B246" s="7" t="str">
        <f>IFERROR(__xludf.DUMMYFUNCTION("""COMPUTED_VALUE"""),"L/50/191024/1")</f>
        <v>L/50/191024/1</v>
      </c>
      <c r="C246" s="7" t="str">
        <f>IFERROR(__xludf.DUMMYFUNCTION("""COMPUTED_VALUE"""),"M.3937/WAY KANDIS")</f>
        <v>M.3937/WAY KANDIS</v>
      </c>
      <c r="D246" s="7"/>
      <c r="E246" s="7" t="str">
        <f>IFERROR(__xludf.DUMMYFUNCTION("""COMPUTED_VALUE"""),"PROSES")</f>
        <v>PROSES</v>
      </c>
      <c r="F246" s="9" t="str">
        <f>IFERROR(__xludf.DUMMYFUNCTION("""COMPUTED_VALUE"""),"")</f>
        <v/>
      </c>
      <c r="G246" s="7" t="str">
        <f>IFERROR(__xludf.DUMMYFUNCTION("""COMPUTED_VALUE"""),"ROYA")</f>
        <v>ROYA</v>
      </c>
      <c r="H246" s="7">
        <f t="shared" si="1"/>
        <v>123</v>
      </c>
    </row>
    <row r="247" ht="22.5" customHeight="1">
      <c r="B247" s="7" t="str">
        <f>IFERROR(__xludf.DUMMYFUNCTION("""COMPUTED_VALUE"""),"L/52/191024/1")</f>
        <v>L/52/191024/1</v>
      </c>
      <c r="C247" s="7" t="str">
        <f>IFERROR(__xludf.DUMMYFUNCTION("""COMPUTED_VALUE"""),"M.9013/GEDONGMENENG")</f>
        <v>M.9013/GEDONGMENENG</v>
      </c>
      <c r="D247" s="7"/>
      <c r="E247" s="7"/>
      <c r="F247" s="9" t="str">
        <f>IFERROR(__xludf.DUMMYFUNCTION("""COMPUTED_VALUE"""),"")</f>
        <v/>
      </c>
      <c r="G247" s="7" t="str">
        <f>IFERROR(__xludf.DUMMYFUNCTION("""COMPUTED_VALUE"""),"GANDES")</f>
        <v>GANDES</v>
      </c>
      <c r="H247" s="7">
        <f t="shared" si="1"/>
        <v>123</v>
      </c>
    </row>
    <row r="248" ht="22.5" customHeight="1">
      <c r="B248" s="7" t="str">
        <f>IFERROR(__xludf.DUMMYFUNCTION("""COMPUTED_VALUE"""),"L/53/191024/1")</f>
        <v>L/53/191024/1</v>
      </c>
      <c r="C248" s="7" t="str">
        <f>IFERROR(__xludf.DUMMYFUNCTION("""COMPUTED_VALUE"""),"M.13681/LABUHAN RATU")</f>
        <v>M.13681/LABUHAN RATU</v>
      </c>
      <c r="D248" s="7"/>
      <c r="E248" s="7"/>
      <c r="F248" s="9" t="str">
        <f>IFERROR(__xludf.DUMMYFUNCTION("""COMPUTED_VALUE"""),"")</f>
        <v/>
      </c>
      <c r="G248" s="7" t="str">
        <f>IFERROR(__xludf.DUMMYFUNCTION("""COMPUTED_VALUE"""),"CEKPLOT GANTI BLANGKO LAMA")</f>
        <v>CEKPLOT GANTI BLANGKO LAMA</v>
      </c>
      <c r="H248" s="7">
        <f t="shared" si="1"/>
        <v>123</v>
      </c>
    </row>
    <row r="249" ht="22.5" customHeight="1">
      <c r="B249" s="7" t="str">
        <f>IFERROR(__xludf.DUMMYFUNCTION("""COMPUTED_VALUE"""),"K/1/211024/1")</f>
        <v>K/1/211024/1</v>
      </c>
      <c r="C249" s="7" t="str">
        <f>IFERROR(__xludf.DUMMYFUNCTION("""COMPUTED_VALUE"""),"B. 1370/ Kemiling Permai; B. 1441/ Su K")</f>
        <v>B. 1370/ Kemiling Permai; B. 1441/ Su K</v>
      </c>
      <c r="D249" s="7"/>
      <c r="E249" s="7"/>
      <c r="F249" s="9" t="str">
        <f>IFERROR(__xludf.DUMMYFUNCTION("""COMPUTED_VALUE"""),"")</f>
        <v/>
      </c>
      <c r="G249" s="7" t="str">
        <f>IFERROR(__xludf.DUMMYFUNCTION("""COMPUTED_VALUE"""),"Perubahan Hak")</f>
        <v>Perubahan Hak</v>
      </c>
      <c r="H249" s="7">
        <f t="shared" si="1"/>
        <v>123</v>
      </c>
    </row>
    <row r="250" ht="22.5" customHeight="1">
      <c r="B250" s="7" t="str">
        <f>IFERROR(__xludf.DUMMYFUNCTION("""COMPUTED_VALUE"""),"K/3/211024/1")</f>
        <v>K/3/211024/1</v>
      </c>
      <c r="C250" s="7" t="str">
        <f>IFERROR(__xludf.DUMMYFUNCTION("""COMPUTED_VALUE"""),"B.530/CAMPANG JAYA")</f>
        <v>B.530/CAMPANG JAYA</v>
      </c>
      <c r="D250" s="7" t="str">
        <f>IFERROR(__xludf.DUMMYFUNCTION("""COMPUTED_VALUE"""),"Berry")</f>
        <v>Berry</v>
      </c>
      <c r="E250" s="7" t="str">
        <f>IFERROR(__xludf.DUMMYFUNCTION("""COMPUTED_VALUE"""),"DISERAHKAN")</f>
        <v>DISERAHKAN</v>
      </c>
      <c r="F250" s="9">
        <f>IFERROR(__xludf.DUMMYFUNCTION("""COMPUTED_VALUE"""),45587.41103474537)</f>
        <v>45587.41103</v>
      </c>
      <c r="G250" s="7" t="str">
        <f>IFERROR(__xludf.DUMMYFUNCTION("""COMPUTED_VALUE"""),"PENINGKATAN HAK")</f>
        <v>PENINGKATAN HAK</v>
      </c>
      <c r="H250" s="7">
        <f t="shared" si="1"/>
        <v>124</v>
      </c>
    </row>
    <row r="251" ht="22.5" customHeight="1">
      <c r="B251" s="7" t="str">
        <f>IFERROR(__xludf.DUMMYFUNCTION("""COMPUTED_VALUE"""),"K/4/211024/1")</f>
        <v>K/4/211024/1</v>
      </c>
      <c r="C251" s="7" t="str">
        <f>IFERROR(__xludf.DUMMYFUNCTION("""COMPUTED_VALUE"""),"B. 327/ Labuhan Ratu")</f>
        <v>B. 327/ Labuhan Ratu</v>
      </c>
      <c r="D251" s="7"/>
      <c r="E251" s="7"/>
      <c r="F251" s="9" t="str">
        <f>IFERROR(__xludf.DUMMYFUNCTION("""COMPUTED_VALUE"""),"")</f>
        <v/>
      </c>
      <c r="G251" s="7" t="str">
        <f>IFERROR(__xludf.DUMMYFUNCTION("""COMPUTED_VALUE"""),"Gandes")</f>
        <v>Gandes</v>
      </c>
      <c r="H251" s="7">
        <f t="shared" si="1"/>
        <v>124</v>
      </c>
    </row>
    <row r="252" ht="22.5" customHeight="1">
      <c r="B252" s="7" t="str">
        <f>IFERROR(__xludf.DUMMYFUNCTION("""COMPUTED_VALUE"""),"K/5/211024/2")</f>
        <v>K/5/211024/2</v>
      </c>
      <c r="C252" s="7" t="str">
        <f>IFERROR(__xludf.DUMMYFUNCTION("""COMPUTED_VALUE"""),"B. 324/ Labuhan Ratu")</f>
        <v>B. 324/ Labuhan Ratu</v>
      </c>
      <c r="D252" s="7"/>
      <c r="E252" s="7"/>
      <c r="F252" s="9" t="str">
        <f>IFERROR(__xludf.DUMMYFUNCTION("""COMPUTED_VALUE"""),"")</f>
        <v/>
      </c>
      <c r="G252" s="7" t="str">
        <f>IFERROR(__xludf.DUMMYFUNCTION("""COMPUTED_VALUE"""),"Gandes")</f>
        <v>Gandes</v>
      </c>
      <c r="H252" s="7">
        <f t="shared" si="1"/>
        <v>124</v>
      </c>
    </row>
    <row r="253" ht="22.5" customHeight="1">
      <c r="B253" s="7" t="str">
        <f>IFERROR(__xludf.DUMMYFUNCTION("""COMPUTED_VALUE"""),"K/6/211024/3")</f>
        <v>K/6/211024/3</v>
      </c>
      <c r="C253" s="7" t="str">
        <f>IFERROR(__xludf.DUMMYFUNCTION("""COMPUTED_VALUE"""),"B. 326/ Labuhan Ratu")</f>
        <v>B. 326/ Labuhan Ratu</v>
      </c>
      <c r="D253" s="7"/>
      <c r="E253" s="7"/>
      <c r="F253" s="9" t="str">
        <f>IFERROR(__xludf.DUMMYFUNCTION("""COMPUTED_VALUE"""),"")</f>
        <v/>
      </c>
      <c r="G253" s="7" t="str">
        <f>IFERROR(__xludf.DUMMYFUNCTION("""COMPUTED_VALUE"""),"Gandes")</f>
        <v>Gandes</v>
      </c>
      <c r="H253" s="7">
        <f t="shared" si="1"/>
        <v>124</v>
      </c>
    </row>
    <row r="254" ht="22.5" customHeight="1">
      <c r="B254" s="7" t="str">
        <f>IFERROR(__xludf.DUMMYFUNCTION("""COMPUTED_VALUE"""),"L/7/211024/1")</f>
        <v>L/7/211024/1</v>
      </c>
      <c r="C254" s="7" t="str">
        <f>IFERROR(__xludf.DUMMYFUNCTION("""COMPUTED_VALUE"""),"NIB 08010000029980/WAY GUBAK")</f>
        <v>NIB 08010000029980/WAY GUBAK</v>
      </c>
      <c r="D254" s="7"/>
      <c r="E254" s="7"/>
      <c r="F254" s="9" t="str">
        <f>IFERROR(__xludf.DUMMYFUNCTION("""COMPUTED_VALUE"""),"")</f>
        <v/>
      </c>
      <c r="G254" s="7" t="str">
        <f>IFERROR(__xludf.DUMMYFUNCTION("""COMPUTED_VALUE"""),"BALIK NAMA LELANG")</f>
        <v>BALIK NAMA LELANG</v>
      </c>
      <c r="H254" s="7">
        <f t="shared" si="1"/>
        <v>124</v>
      </c>
    </row>
    <row r="255" ht="22.5" customHeight="1">
      <c r="B255" s="7" t="str">
        <f>IFERROR(__xludf.DUMMYFUNCTION("""COMPUTED_VALUE"""),"L/8/211024/1")</f>
        <v>L/8/211024/1</v>
      </c>
      <c r="C255" s="7" t="str">
        <f>IFERROR(__xludf.DUMMYFUNCTION("""COMPUTED_VALUE"""),"HM 15995/SUKARAME I")</f>
        <v>HM 15995/SUKARAME I</v>
      </c>
      <c r="D255" s="7" t="str">
        <f>IFERROR(__xludf.DUMMYFUNCTION("""COMPUTED_VALUE"""),"Berry")</f>
        <v>Berry</v>
      </c>
      <c r="E255" s="7" t="str">
        <f>IFERROR(__xludf.DUMMYFUNCTION("""COMPUTED_VALUE"""),"DISERAHKAN")</f>
        <v>DISERAHKAN</v>
      </c>
      <c r="F255" s="9">
        <f>IFERROR(__xludf.DUMMYFUNCTION("""COMPUTED_VALUE"""),45587.411637893514)</f>
        <v>45587.41164</v>
      </c>
      <c r="G255" s="7" t="str">
        <f>IFERROR(__xludf.DUMMYFUNCTION("""COMPUTED_VALUE"""),"ROYA")</f>
        <v>ROYA</v>
      </c>
      <c r="H255" s="7">
        <f t="shared" si="1"/>
        <v>125</v>
      </c>
    </row>
    <row r="256" ht="22.5" customHeight="1">
      <c r="B256" s="7" t="str">
        <f>IFERROR(__xludf.DUMMYFUNCTION("""COMPUTED_VALUE"""),"L/9/211024/1")</f>
        <v>L/9/211024/1</v>
      </c>
      <c r="C256" s="7" t="str">
        <f>IFERROR(__xludf.DUMMYFUNCTION("""COMPUTED_VALUE"""),"HM 2993/CAMPANG RAYA-SEKARANG;HGB 2402/CAMPANG RAYA-DAHULU")</f>
        <v>HM 2993/CAMPANG RAYA-SEKARANG;HGB 2402/CAMPANG RAYA-DAHULU</v>
      </c>
      <c r="D256" s="7" t="str">
        <f>IFERROR(__xludf.DUMMYFUNCTION("""COMPUTED_VALUE"""),"Berry")</f>
        <v>Berry</v>
      </c>
      <c r="E256" s="7" t="str">
        <f>IFERROR(__xludf.DUMMYFUNCTION("""COMPUTED_VALUE"""),"DISERAHKAN")</f>
        <v>DISERAHKAN</v>
      </c>
      <c r="F256" s="9">
        <f>IFERROR(__xludf.DUMMYFUNCTION("""COMPUTED_VALUE"""),45587.4119084375)</f>
        <v>45587.41191</v>
      </c>
      <c r="G256" s="7" t="str">
        <f>IFERROR(__xludf.DUMMYFUNCTION("""COMPUTED_VALUE"""),"ROYA")</f>
        <v>ROYA</v>
      </c>
      <c r="H256" s="7">
        <f t="shared" si="1"/>
        <v>126</v>
      </c>
    </row>
    <row r="257" ht="22.5" customHeight="1">
      <c r="B257" s="7" t="str">
        <f>IFERROR(__xludf.DUMMYFUNCTION("""COMPUTED_VALUE"""),"K/10/211024/1")</f>
        <v>K/10/211024/1</v>
      </c>
      <c r="C257" s="7" t="str">
        <f>IFERROR(__xludf.DUMMYFUNCTION("""COMPUTED_VALUE"""),"B. 606/ Sumur Putri")</f>
        <v>B. 606/ Sumur Putri</v>
      </c>
      <c r="D257" s="7" t="str">
        <f>IFERROR(__xludf.DUMMYFUNCTION("""COMPUTED_VALUE"""),"Berry")</f>
        <v>Berry</v>
      </c>
      <c r="E257" s="7" t="str">
        <f>IFERROR(__xludf.DUMMYFUNCTION("""COMPUTED_VALUE"""),"DISERAHKAN")</f>
        <v>DISERAHKAN</v>
      </c>
      <c r="F257" s="9">
        <f>IFERROR(__xludf.DUMMYFUNCTION("""COMPUTED_VALUE"""),45587.41226528936)</f>
        <v>45587.41227</v>
      </c>
      <c r="G257" s="7" t="str">
        <f>IFERROR(__xludf.DUMMYFUNCTION("""COMPUTED_VALUE"""),"BN Jual Beli")</f>
        <v>BN Jual Beli</v>
      </c>
      <c r="H257" s="7">
        <f t="shared" si="1"/>
        <v>127</v>
      </c>
    </row>
    <row r="258" ht="22.5" customHeight="1">
      <c r="B258" s="7" t="str">
        <f>IFERROR(__xludf.DUMMYFUNCTION("""COMPUTED_VALUE"""),"K/11/211024/2")</f>
        <v>K/11/211024/2</v>
      </c>
      <c r="C258" s="7" t="str">
        <f>IFERROR(__xludf.DUMMYFUNCTION("""COMPUTED_VALUE"""),"B. 763/ Sumur Putri")</f>
        <v>B. 763/ Sumur Putri</v>
      </c>
      <c r="D258" s="7" t="str">
        <f>IFERROR(__xludf.DUMMYFUNCTION("""COMPUTED_VALUE"""),"Sahelia")</f>
        <v>Sahelia</v>
      </c>
      <c r="E258" s="7" t="str">
        <f>IFERROR(__xludf.DUMMYFUNCTION("""COMPUTED_VALUE"""),"DISERAHKAN")</f>
        <v>DISERAHKAN</v>
      </c>
      <c r="F258" s="9">
        <f>IFERROR(__xludf.DUMMYFUNCTION("""COMPUTED_VALUE"""),45601.42226306713)</f>
        <v>45601.42226</v>
      </c>
      <c r="G258" s="7" t="str">
        <f>IFERROR(__xludf.DUMMYFUNCTION("""COMPUTED_VALUE"""),"BN Jual Beli")</f>
        <v>BN Jual Beli</v>
      </c>
      <c r="H258" s="7">
        <f t="shared" si="1"/>
        <v>128</v>
      </c>
    </row>
    <row r="259" ht="22.5" customHeight="1">
      <c r="B259" s="7" t="str">
        <f>IFERROR(__xludf.DUMMYFUNCTION("""COMPUTED_VALUE"""),"K/12/211024/3")</f>
        <v>K/12/211024/3</v>
      </c>
      <c r="C259" s="7" t="str">
        <f>IFERROR(__xludf.DUMMYFUNCTION("""COMPUTED_VALUE"""),"Nibel. B. 2432/ N O G")</f>
        <v>Nibel. B. 2432/ N O G</v>
      </c>
      <c r="D259" s="7"/>
      <c r="E259" s="7"/>
      <c r="F259" s="9" t="str">
        <f>IFERROR(__xludf.DUMMYFUNCTION("""COMPUTED_VALUE"""),"")</f>
        <v/>
      </c>
      <c r="G259" s="7" t="str">
        <f>IFERROR(__xludf.DUMMYFUNCTION("""COMPUTED_VALUE"""),"Perubahan Hak")</f>
        <v>Perubahan Hak</v>
      </c>
      <c r="H259" s="7">
        <f t="shared" si="1"/>
        <v>128</v>
      </c>
    </row>
    <row r="260" ht="22.5" customHeight="1">
      <c r="B260" s="7" t="str">
        <f>IFERROR(__xludf.DUMMYFUNCTION("""COMPUTED_VALUE"""),"K/13/211024/4")</f>
        <v>K/13/211024/4</v>
      </c>
      <c r="C260" s="7" t="str">
        <f>IFERROR(__xludf.DUMMYFUNCTION("""COMPUTED_VALUE"""),"Nibel. B. 2361/ N O G")</f>
        <v>Nibel. B. 2361/ N O G</v>
      </c>
      <c r="D260" s="7"/>
      <c r="E260" s="7"/>
      <c r="F260" s="9" t="str">
        <f>IFERROR(__xludf.DUMMYFUNCTION("""COMPUTED_VALUE"""),"")</f>
        <v/>
      </c>
      <c r="G260" s="7" t="str">
        <f>IFERROR(__xludf.DUMMYFUNCTION("""COMPUTED_VALUE"""),"Perubahan Hak")</f>
        <v>Perubahan Hak</v>
      </c>
      <c r="H260" s="7">
        <f t="shared" si="1"/>
        <v>128</v>
      </c>
    </row>
    <row r="261" ht="22.5" customHeight="1">
      <c r="B261" s="7" t="str">
        <f>IFERROR(__xludf.DUMMYFUNCTION("""COMPUTED_VALUE"""),"K/15/211024/1")</f>
        <v>K/15/211024/1</v>
      </c>
      <c r="C261" s="7" t="str">
        <f>IFERROR(__xludf.DUMMYFUNCTION("""COMPUTED_VALUE"""),"PBT 162/2024 KEL. LABUHAN DALAM")</f>
        <v>PBT 162/2024 KEL. LABUHAN DALAM</v>
      </c>
      <c r="D261" s="7"/>
      <c r="E261" s="7"/>
      <c r="F261" s="9" t="str">
        <f>IFERROR(__xludf.DUMMYFUNCTION("""COMPUTED_VALUE"""),"")</f>
        <v/>
      </c>
      <c r="G261" s="7" t="str">
        <f>IFERROR(__xludf.DUMMYFUNCTION("""COMPUTED_VALUE"""),"PTPGT")</f>
        <v>PTPGT</v>
      </c>
      <c r="H261" s="7">
        <f t="shared" si="1"/>
        <v>128</v>
      </c>
    </row>
    <row r="262" ht="22.5" customHeight="1">
      <c r="B262" s="7" t="str">
        <f>IFERROR(__xludf.DUMMYFUNCTION("""COMPUTED_VALUE"""),"K/14/211024/1")</f>
        <v>K/14/211024/1</v>
      </c>
      <c r="C262" s="7" t="str">
        <f>IFERROR(__xludf.DUMMYFUNCTION("""COMPUTED_VALUE"""),"M. 11632/ Sukarame")</f>
        <v>M. 11632/ Sukarame</v>
      </c>
      <c r="D262" s="7" t="str">
        <f>IFERROR(__xludf.DUMMYFUNCTION("""COMPUTED_VALUE"""),"Berry")</f>
        <v>Berry</v>
      </c>
      <c r="E262" s="7" t="str">
        <f>IFERROR(__xludf.DUMMYFUNCTION("""COMPUTED_VALUE"""),"DISERAHKAN")</f>
        <v>DISERAHKAN</v>
      </c>
      <c r="F262" s="9">
        <f>IFERROR(__xludf.DUMMYFUNCTION("""COMPUTED_VALUE"""),45587.413350625)</f>
        <v>45587.41335</v>
      </c>
      <c r="G262" s="7" t="str">
        <f>IFERROR(__xludf.DUMMYFUNCTION("""COMPUTED_VALUE"""),"BN Jual Beli")</f>
        <v>BN Jual Beli</v>
      </c>
      <c r="H262" s="7">
        <f t="shared" si="1"/>
        <v>129</v>
      </c>
    </row>
    <row r="263" ht="22.5" customHeight="1">
      <c r="B263" s="7" t="str">
        <f>IFERROR(__xludf.DUMMYFUNCTION("""COMPUTED_VALUE"""),"K/16/211024/2")</f>
        <v>K/16/211024/2</v>
      </c>
      <c r="C263" s="7" t="str">
        <f>IFERROR(__xludf.DUMMYFUNCTION("""COMPUTED_VALUE"""),"M. 467/ Sumur Putri")</f>
        <v>M. 467/ Sumur Putri</v>
      </c>
      <c r="D263" s="7" t="str">
        <f>IFERROR(__xludf.DUMMYFUNCTION("""COMPUTED_VALUE"""),"Berry")</f>
        <v>Berry</v>
      </c>
      <c r="E263" s="7" t="str">
        <f>IFERROR(__xludf.DUMMYFUNCTION("""COMPUTED_VALUE"""),"DISERAHKAN")</f>
        <v>DISERAHKAN</v>
      </c>
      <c r="F263" s="9">
        <f>IFERROR(__xludf.DUMMYFUNCTION("""COMPUTED_VALUE"""),45587.41362922454)</f>
        <v>45587.41363</v>
      </c>
      <c r="G263" s="7" t="str">
        <f>IFERROR(__xludf.DUMMYFUNCTION("""COMPUTED_VALUE"""),"BN Jual Beli")</f>
        <v>BN Jual Beli</v>
      </c>
      <c r="H263" s="7">
        <f t="shared" si="1"/>
        <v>130</v>
      </c>
    </row>
    <row r="264" ht="22.5" customHeight="1">
      <c r="B264" s="7" t="str">
        <f>IFERROR(__xludf.DUMMYFUNCTION("""COMPUTED_VALUE"""),"K/17/211024/1")</f>
        <v>K/17/211024/1</v>
      </c>
      <c r="C264" s="7" t="str">
        <f>IFERROR(__xludf.DUMMYFUNCTION("""COMPUTED_VALUE"""),"M. 4393/ Gunung Terang")</f>
        <v>M. 4393/ Gunung Terang</v>
      </c>
      <c r="D264" s="7" t="str">
        <f>IFERROR(__xludf.DUMMYFUNCTION("""COMPUTED_VALUE"""),"Berry")</f>
        <v>Berry</v>
      </c>
      <c r="E264" s="7" t="str">
        <f>IFERROR(__xludf.DUMMYFUNCTION("""COMPUTED_VALUE"""),"DISERAHKAN")</f>
        <v>DISERAHKAN</v>
      </c>
      <c r="F264" s="9">
        <f>IFERROR(__xludf.DUMMYFUNCTION("""COMPUTED_VALUE"""),45587.41382914352)</f>
        <v>45587.41383</v>
      </c>
      <c r="G264" s="7" t="str">
        <f>IFERROR(__xludf.DUMMYFUNCTION("""COMPUTED_VALUE"""),"BN Jual Beli")</f>
        <v>BN Jual Beli</v>
      </c>
      <c r="H264" s="7">
        <f t="shared" si="1"/>
        <v>131</v>
      </c>
    </row>
    <row r="265" ht="22.5" customHeight="1">
      <c r="B265" s="7" t="str">
        <f>IFERROR(__xludf.DUMMYFUNCTION("""COMPUTED_VALUE"""),"K/18/211024/1")</f>
        <v>K/18/211024/1</v>
      </c>
      <c r="C265" s="7" t="str">
        <f>IFERROR(__xludf.DUMMYFUNCTION("""COMPUTED_VALUE"""),"B. 209/ Campang Jaya")</f>
        <v>B. 209/ Campang Jaya</v>
      </c>
      <c r="D265" s="7" t="str">
        <f>IFERROR(__xludf.DUMMYFUNCTION("""COMPUTED_VALUE"""),"Berry")</f>
        <v>Berry</v>
      </c>
      <c r="E265" s="7" t="str">
        <f>IFERROR(__xludf.DUMMYFUNCTION("""COMPUTED_VALUE"""),"DISERAHKAN")</f>
        <v>DISERAHKAN</v>
      </c>
      <c r="F265" s="9">
        <f>IFERROR(__xludf.DUMMYFUNCTION("""COMPUTED_VALUE"""),45587.41405398148)</f>
        <v>45587.41405</v>
      </c>
      <c r="G265" s="7" t="str">
        <f>IFERROR(__xludf.DUMMYFUNCTION("""COMPUTED_VALUE"""),"Bn Jual Beli")</f>
        <v>Bn Jual Beli</v>
      </c>
      <c r="H265" s="7">
        <f t="shared" si="1"/>
        <v>132</v>
      </c>
    </row>
    <row r="266" ht="22.5" customHeight="1">
      <c r="B266" s="7" t="str">
        <f>IFERROR(__xludf.DUMMYFUNCTION("""COMPUTED_VALUE"""),"K/19/211024/2")</f>
        <v>K/19/211024/2</v>
      </c>
      <c r="C266" s="7" t="str">
        <f>IFERROR(__xludf.DUMMYFUNCTION("""COMPUTED_VALUE"""),"M. 4625/ Sukadana Ham")</f>
        <v>M. 4625/ Sukadana Ham</v>
      </c>
      <c r="D266" s="7" t="str">
        <f>IFERROR(__xludf.DUMMYFUNCTION("""COMPUTED_VALUE"""),"Berry")</f>
        <v>Berry</v>
      </c>
      <c r="E266" s="7" t="str">
        <f>IFERROR(__xludf.DUMMYFUNCTION("""COMPUTED_VALUE"""),"DISERAHKAN")</f>
        <v>DISERAHKAN</v>
      </c>
      <c r="F266" s="9">
        <f>IFERROR(__xludf.DUMMYFUNCTION("""COMPUTED_VALUE"""),45587.414276400465)</f>
        <v>45587.41428</v>
      </c>
      <c r="G266" s="7" t="str">
        <f>IFERROR(__xludf.DUMMYFUNCTION("""COMPUTED_VALUE"""),"BN Jual Beli")</f>
        <v>BN Jual Beli</v>
      </c>
      <c r="H266" s="7">
        <f t="shared" si="1"/>
        <v>133</v>
      </c>
    </row>
    <row r="267" ht="22.5" customHeight="1">
      <c r="B267" s="7" t="str">
        <f>IFERROR(__xludf.DUMMYFUNCTION("""COMPUTED_VALUE"""),"K/22/211024/1")</f>
        <v>K/22/211024/1</v>
      </c>
      <c r="C267" s="7" t="str">
        <f>IFERROR(__xludf.DUMMYFUNCTION("""COMPUTED_VALUE"""),"M. 2644/ Sumber Rejo")</f>
        <v>M. 2644/ Sumber Rejo</v>
      </c>
      <c r="D267" s="7" t="str">
        <f>IFERROR(__xludf.DUMMYFUNCTION("""COMPUTED_VALUE"""),"Berry")</f>
        <v>Berry</v>
      </c>
      <c r="E267" s="7" t="str">
        <f>IFERROR(__xludf.DUMMYFUNCTION("""COMPUTED_VALUE"""),"DISERAHKAN")</f>
        <v>DISERAHKAN</v>
      </c>
      <c r="F267" s="9">
        <f>IFERROR(__xludf.DUMMYFUNCTION("""COMPUTED_VALUE"""),45587.41709070602)</f>
        <v>45587.41709</v>
      </c>
      <c r="G267" s="7" t="str">
        <f>IFERROR(__xludf.DUMMYFUNCTION("""COMPUTED_VALUE"""),"BN Waris")</f>
        <v>BN Waris</v>
      </c>
      <c r="H267" s="7">
        <f t="shared" si="1"/>
        <v>134</v>
      </c>
    </row>
    <row r="268" ht="22.5" customHeight="1">
      <c r="B268" s="7" t="str">
        <f>IFERROR(__xludf.DUMMYFUNCTION("""COMPUTED_VALUE"""),"K/20/211024/3")</f>
        <v>K/20/211024/3</v>
      </c>
      <c r="C268" s="7" t="str">
        <f>IFERROR(__xludf.DUMMYFUNCTION("""COMPUTED_VALUE"""),"M. 2226/ kedaung")</f>
        <v>M. 2226/ kedaung</v>
      </c>
      <c r="D268" s="7" t="str">
        <f>IFERROR(__xludf.DUMMYFUNCTION("""COMPUTED_VALUE"""),"Berry")</f>
        <v>Berry</v>
      </c>
      <c r="E268" s="7" t="str">
        <f>IFERROR(__xludf.DUMMYFUNCTION("""COMPUTED_VALUE"""),"DISERAHKAN")</f>
        <v>DISERAHKAN</v>
      </c>
      <c r="F268" s="9">
        <f>IFERROR(__xludf.DUMMYFUNCTION("""COMPUTED_VALUE"""),45587.415574178245)</f>
        <v>45587.41557</v>
      </c>
      <c r="G268" s="7" t="str">
        <f>IFERROR(__xludf.DUMMYFUNCTION("""COMPUTED_VALUE"""),"BN Jual Beli")</f>
        <v>BN Jual Beli</v>
      </c>
      <c r="H268" s="7">
        <f t="shared" si="1"/>
        <v>135</v>
      </c>
    </row>
    <row r="269" ht="22.5" customHeight="1">
      <c r="B269" s="7" t="str">
        <f>IFERROR(__xludf.DUMMYFUNCTION("""COMPUTED_VALUE"""),"K/21/211024/4")</f>
        <v>K/21/211024/4</v>
      </c>
      <c r="C269" s="7" t="str">
        <f>IFERROR(__xludf.DUMMYFUNCTION("""COMPUTED_VALUE"""),"M. 2263/ Kedaung")</f>
        <v>M. 2263/ Kedaung</v>
      </c>
      <c r="D269" s="7" t="str">
        <f>IFERROR(__xludf.DUMMYFUNCTION("""COMPUTED_VALUE"""),"Berry")</f>
        <v>Berry</v>
      </c>
      <c r="E269" s="7" t="str">
        <f>IFERROR(__xludf.DUMMYFUNCTION("""COMPUTED_VALUE"""),"DISERAHKAN")</f>
        <v>DISERAHKAN</v>
      </c>
      <c r="F269" s="9">
        <f>IFERROR(__xludf.DUMMYFUNCTION("""COMPUTED_VALUE"""),45587.415599201384)</f>
        <v>45587.4156</v>
      </c>
      <c r="G269" s="7" t="str">
        <f>IFERROR(__xludf.DUMMYFUNCTION("""COMPUTED_VALUE"""),"BN Jual Beli")</f>
        <v>BN Jual Beli</v>
      </c>
      <c r="H269" s="7">
        <f t="shared" si="1"/>
        <v>136</v>
      </c>
    </row>
    <row r="270" ht="22.5" customHeight="1">
      <c r="B270" s="7" t="str">
        <f>IFERROR(__xludf.DUMMYFUNCTION("""COMPUTED_VALUE"""),"L/23/211024/1")</f>
        <v>L/23/211024/1</v>
      </c>
      <c r="C270" s="7" t="str">
        <f>IFERROR(__xludf.DUMMYFUNCTION("""COMPUTED_VALUE"""),"HGB 3764/BERINGIN RAYA")</f>
        <v>HGB 3764/BERINGIN RAYA</v>
      </c>
      <c r="D270" s="7" t="str">
        <f>IFERROR(__xludf.DUMMYFUNCTION("""COMPUTED_VALUE"""),"David")</f>
        <v>David</v>
      </c>
      <c r="E270" s="7" t="str">
        <f>IFERROR(__xludf.DUMMYFUNCTION("""COMPUTED_VALUE"""),"DISERAHKAN")</f>
        <v>DISERAHKAN</v>
      </c>
      <c r="F270" s="9">
        <f>IFERROR(__xludf.DUMMYFUNCTION("""COMPUTED_VALUE"""),45587.42280421296)</f>
        <v>45587.4228</v>
      </c>
      <c r="G270" s="7" t="str">
        <f>IFERROR(__xludf.DUMMYFUNCTION("""COMPUTED_VALUE"""),"PH")</f>
        <v>PH</v>
      </c>
      <c r="H270" s="7">
        <f t="shared" si="1"/>
        <v>137</v>
      </c>
    </row>
    <row r="271" ht="22.5" customHeight="1">
      <c r="B271" s="7" t="str">
        <f>IFERROR(__xludf.DUMMYFUNCTION("""COMPUTED_VALUE"""),"K/24/211024/1")</f>
        <v>K/24/211024/1</v>
      </c>
      <c r="C271" s="7" t="str">
        <f>IFERROR(__xludf.DUMMYFUNCTION("""COMPUTED_VALUE"""),"M. 12665/ Kali Balau Kencana-sekarang; M. 12665/ Tanjung Baru- dahulu")</f>
        <v>M. 12665/ Kali Balau Kencana-sekarang; M. 12665/ Tanjung Baru- dahulu</v>
      </c>
      <c r="D271" s="7" t="str">
        <f>IFERROR(__xludf.DUMMYFUNCTION("""COMPUTED_VALUE"""),"David")</f>
        <v>David</v>
      </c>
      <c r="E271" s="7" t="str">
        <f>IFERROR(__xludf.DUMMYFUNCTION("""COMPUTED_VALUE"""),"DISERAHKAN")</f>
        <v>DISERAHKAN</v>
      </c>
      <c r="F271" s="9">
        <f>IFERROR(__xludf.DUMMYFUNCTION("""COMPUTED_VALUE"""),45588.384940937496)</f>
        <v>45588.38494</v>
      </c>
      <c r="G271" s="7" t="str">
        <f>IFERROR(__xludf.DUMMYFUNCTION("""COMPUTED_VALUE"""),"BN Waris")</f>
        <v>BN Waris</v>
      </c>
      <c r="H271" s="7">
        <f t="shared" si="1"/>
        <v>138</v>
      </c>
    </row>
    <row r="272" ht="22.5" customHeight="1">
      <c r="B272" s="7" t="str">
        <f>IFERROR(__xludf.DUMMYFUNCTION("""COMPUTED_VALUE"""),"K/25/211024/2")</f>
        <v>K/25/211024/2</v>
      </c>
      <c r="C272" s="7" t="str">
        <f>IFERROR(__xludf.DUMMYFUNCTION("""COMPUTED_VALUE"""),"M. 215/ Beringin Raya")</f>
        <v>M. 215/ Beringin Raya</v>
      </c>
      <c r="D272" s="7" t="str">
        <f>IFERROR(__xludf.DUMMYFUNCTION("""COMPUTED_VALUE"""),"Alfiansyah")</f>
        <v>Alfiansyah</v>
      </c>
      <c r="E272" s="7" t="str">
        <f>IFERROR(__xludf.DUMMYFUNCTION("""COMPUTED_VALUE"""),"DISERAHKAN BT")</f>
        <v>DISERAHKAN BT</v>
      </c>
      <c r="F272" s="9">
        <f>IFERROR(__xludf.DUMMYFUNCTION("""COMPUTED_VALUE"""),45610.3628947338)</f>
        <v>45610.36289</v>
      </c>
      <c r="G272" s="7" t="str">
        <f>IFERROR(__xludf.DUMMYFUNCTION("""COMPUTED_VALUE"""),"BN Jual Beli")</f>
        <v>BN Jual Beli</v>
      </c>
      <c r="H272" s="7">
        <f t="shared" si="1"/>
        <v>138</v>
      </c>
    </row>
    <row r="273" ht="22.5" customHeight="1">
      <c r="B273" s="7" t="str">
        <f>IFERROR(__xludf.DUMMYFUNCTION("""COMPUTED_VALUE"""),"L/26/211024/1")</f>
        <v>L/26/211024/1</v>
      </c>
      <c r="C273" s="7" t="str">
        <f>IFERROR(__xludf.DUMMYFUNCTION("""COMPUTED_VALUE"""),"B.97/BILABONG JAYA;B.28/SUSUNAN BARU-DAHULU")</f>
        <v>B.97/BILABONG JAYA;B.28/SUSUNAN BARU-DAHULU</v>
      </c>
      <c r="D273" s="7" t="str">
        <f>IFERROR(__xludf.DUMMYFUNCTION("""COMPUTED_VALUE"""),"David")</f>
        <v>David</v>
      </c>
      <c r="E273" s="7" t="str">
        <f>IFERROR(__xludf.DUMMYFUNCTION("""COMPUTED_VALUE"""),"DISERAHKAN")</f>
        <v>DISERAHKAN</v>
      </c>
      <c r="F273" s="9">
        <f>IFERROR(__xludf.DUMMYFUNCTION("""COMPUTED_VALUE"""),45588.38520444444)</f>
        <v>45588.3852</v>
      </c>
      <c r="G273" s="7" t="str">
        <f>IFERROR(__xludf.DUMMYFUNCTION("""COMPUTED_VALUE"""),"PERUBAHAN HAK")</f>
        <v>PERUBAHAN HAK</v>
      </c>
      <c r="H273" s="7">
        <f t="shared" si="1"/>
        <v>139</v>
      </c>
    </row>
    <row r="274" ht="22.5" customHeight="1">
      <c r="B274" s="7" t="str">
        <f>IFERROR(__xludf.DUMMYFUNCTION("""COMPUTED_VALUE"""),"K/27/211024/1")</f>
        <v>K/27/211024/1</v>
      </c>
      <c r="C274" s="7" t="str">
        <f>IFERROR(__xludf.DUMMYFUNCTION("""COMPUTED_VALUE"""),"M. 1717/ Batu Putuk")</f>
        <v>M. 1717/ Batu Putuk</v>
      </c>
      <c r="D274" s="7"/>
      <c r="E274" s="7"/>
      <c r="F274" s="9" t="str">
        <f>IFERROR(__xludf.DUMMYFUNCTION("""COMPUTED_VALUE"""),"")</f>
        <v/>
      </c>
      <c r="G274" s="7" t="str">
        <f>IFERROR(__xludf.DUMMYFUNCTION("""COMPUTED_VALUE"""),"PTPGT (Pemecahan)")</f>
        <v>PTPGT (Pemecahan)</v>
      </c>
      <c r="H274" s="7">
        <f t="shared" si="1"/>
        <v>139</v>
      </c>
    </row>
    <row r="275" ht="22.5" customHeight="1">
      <c r="B275" s="7" t="str">
        <f>IFERROR(__xludf.DUMMYFUNCTION("""COMPUTED_VALUE"""),"L/28/211024/1")</f>
        <v>L/28/211024/1</v>
      </c>
      <c r="C275" s="7" t="str">
        <f>IFERROR(__xludf.DUMMYFUNCTION("""COMPUTED_VALUE"""),"HM 2414/KUPANG TEBA")</f>
        <v>HM 2414/KUPANG TEBA</v>
      </c>
      <c r="D275" s="7" t="str">
        <f>IFERROR(__xludf.DUMMYFUNCTION("""COMPUTED_VALUE"""),"David")</f>
        <v>David</v>
      </c>
      <c r="E275" s="7" t="str">
        <f>IFERROR(__xludf.DUMMYFUNCTION("""COMPUTED_VALUE"""),"DISERAHKAN")</f>
        <v>DISERAHKAN</v>
      </c>
      <c r="F275" s="9">
        <f>IFERROR(__xludf.DUMMYFUNCTION("""COMPUTED_VALUE"""),45587.41910998843)</f>
        <v>45587.41911</v>
      </c>
      <c r="G275" s="7" t="str">
        <f>IFERROR(__xludf.DUMMYFUNCTION("""COMPUTED_VALUE"""),"ROYA")</f>
        <v>ROYA</v>
      </c>
      <c r="H275" s="7">
        <f t="shared" si="1"/>
        <v>140</v>
      </c>
    </row>
    <row r="276" ht="22.5" customHeight="1">
      <c r="B276" s="7" t="str">
        <f>IFERROR(__xludf.DUMMYFUNCTION("""COMPUTED_VALUE"""),"K/29/211024/1")</f>
        <v>K/29/211024/1</v>
      </c>
      <c r="C276" s="7" t="str">
        <f>IFERROR(__xludf.DUMMYFUNCTION("""COMPUTED_VALUE"""),"M. 14789/ Sukarame; B. 2781/ Sukarame-dahulu; SHT 2097/2010 dan SHT 1880/2008")</f>
        <v>M. 14789/ Sukarame; B. 2781/ Sukarame-dahulu; SHT 2097/2010 dan SHT 1880/2008</v>
      </c>
      <c r="D276" s="7"/>
      <c r="E276" s="7" t="str">
        <f>IFERROR(__xludf.DUMMYFUNCTION("""COMPUTED_VALUE"""),"PROSES")</f>
        <v>PROSES</v>
      </c>
      <c r="F276" s="9" t="str">
        <f>IFERROR(__xludf.DUMMYFUNCTION("""COMPUTED_VALUE"""),"")</f>
        <v/>
      </c>
      <c r="G276" s="7" t="str">
        <f>IFERROR(__xludf.DUMMYFUNCTION("""COMPUTED_VALUE"""),"Roya")</f>
        <v>Roya</v>
      </c>
      <c r="H276" s="7">
        <f t="shared" si="1"/>
        <v>140</v>
      </c>
    </row>
    <row r="277" ht="22.5" customHeight="1">
      <c r="B277" s="7" t="str">
        <f>IFERROR(__xludf.DUMMYFUNCTION("""COMPUTED_VALUE"""),"K/30/211024/2")</f>
        <v>K/30/211024/2</v>
      </c>
      <c r="C277" s="7" t="str">
        <f>IFERROR(__xludf.DUMMYFUNCTION("""COMPUTED_VALUE"""),"M. 2661/ Sukarame Baru")</f>
        <v>M. 2661/ Sukarame Baru</v>
      </c>
      <c r="D277" s="7" t="str">
        <f>IFERROR(__xludf.DUMMYFUNCTION("""COMPUTED_VALUE"""),"David")</f>
        <v>David</v>
      </c>
      <c r="E277" s="7" t="str">
        <f>IFERROR(__xludf.DUMMYFUNCTION("""COMPUTED_VALUE"""),"DISERAHKAN")</f>
        <v>DISERAHKAN</v>
      </c>
      <c r="F277" s="9">
        <f>IFERROR(__xludf.DUMMYFUNCTION("""COMPUTED_VALUE"""),45587.4200765625)</f>
        <v>45587.42008</v>
      </c>
      <c r="G277" s="7" t="str">
        <f>IFERROR(__xludf.DUMMYFUNCTION("""COMPUTED_VALUE"""),"BN Jual Beli")</f>
        <v>BN Jual Beli</v>
      </c>
      <c r="H277" s="7">
        <f t="shared" si="1"/>
        <v>141</v>
      </c>
    </row>
    <row r="278" ht="22.5" customHeight="1">
      <c r="B278" s="7" t="str">
        <f>IFERROR(__xludf.DUMMYFUNCTION("""COMPUTED_VALUE"""),"K/31/211024/1")</f>
        <v>K/31/211024/1</v>
      </c>
      <c r="C278" s="7" t="str">
        <f>IFERROR(__xludf.DUMMYFUNCTION("""COMPUTED_VALUE"""),"M.658/GUNUNG TERANG")</f>
        <v>M.658/GUNUNG TERANG</v>
      </c>
      <c r="D278" s="7"/>
      <c r="E278" s="7"/>
      <c r="F278" s="9" t="str">
        <f>IFERROR(__xludf.DUMMYFUNCTION("""COMPUTED_VALUE"""),"")</f>
        <v/>
      </c>
      <c r="G278" s="7" t="str">
        <f>IFERROR(__xludf.DUMMYFUNCTION("""COMPUTED_VALUE"""),"PLOTING")</f>
        <v>PLOTING</v>
      </c>
      <c r="H278" s="7">
        <f t="shared" si="1"/>
        <v>141</v>
      </c>
    </row>
    <row r="279" ht="22.5" customHeight="1">
      <c r="B279" s="7" t="str">
        <f>IFERROR(__xludf.DUMMYFUNCTION("""COMPUTED_VALUE"""),"K/32/211024/1")</f>
        <v>K/32/211024/1</v>
      </c>
      <c r="C279" s="7" t="str">
        <f>IFERROR(__xludf.DUMMYFUNCTION("""COMPUTED_VALUE"""),"M.466/GUBUNG MAS-SEKARANG;M 466/GUNUNG MAS -DAHULU")</f>
        <v>M.466/GUBUNG MAS-SEKARANG;M 466/GUNUNG MAS -DAHULU</v>
      </c>
      <c r="D279" s="7"/>
      <c r="E279" s="7"/>
      <c r="F279" s="9" t="str">
        <f>IFERROR(__xludf.DUMMYFUNCTION("""COMPUTED_VALUE"""),"")</f>
        <v/>
      </c>
      <c r="G279" s="7" t="str">
        <f>IFERROR(__xludf.DUMMYFUNCTION("""COMPUTED_VALUE"""),"PLOT")</f>
        <v>PLOT</v>
      </c>
      <c r="H279" s="7">
        <f t="shared" si="1"/>
        <v>141</v>
      </c>
    </row>
    <row r="280" ht="22.5" customHeight="1">
      <c r="B280" s="7" t="str">
        <f>IFERROR(__xludf.DUMMYFUNCTION("""COMPUTED_VALUE"""),"L/33/211024/1")</f>
        <v>L/33/211024/1</v>
      </c>
      <c r="C280" s="7" t="str">
        <f>IFERROR(__xludf.DUMMYFUNCTION("""COMPUTED_VALUE"""),"HM 180/PINANG JAYA")</f>
        <v>HM 180/PINANG JAYA</v>
      </c>
      <c r="D280" s="7" t="str">
        <f>IFERROR(__xludf.DUMMYFUNCTION("""COMPUTED_VALUE"""),"David")</f>
        <v>David</v>
      </c>
      <c r="E280" s="7" t="str">
        <f>IFERROR(__xludf.DUMMYFUNCTION("""COMPUTED_VALUE"""),"DISERAHKAN")</f>
        <v>DISERAHKAN</v>
      </c>
      <c r="F280" s="9">
        <f>IFERROR(__xludf.DUMMYFUNCTION("""COMPUTED_VALUE"""),45587.420423483796)</f>
        <v>45587.42042</v>
      </c>
      <c r="G280" s="7" t="str">
        <f>IFERROR(__xludf.DUMMYFUNCTION("""COMPUTED_VALUE"""),"ROYA")</f>
        <v>ROYA</v>
      </c>
      <c r="H280" s="7">
        <f t="shared" si="1"/>
        <v>142</v>
      </c>
    </row>
    <row r="281" ht="22.5" customHeight="1">
      <c r="B281" s="7" t="str">
        <f>IFERROR(__xludf.DUMMYFUNCTION("""COMPUTED_VALUE"""),"K/34/211024/1")</f>
        <v>K/34/211024/1</v>
      </c>
      <c r="C281" s="7" t="str">
        <f>IFERROR(__xludf.DUMMYFUNCTION("""COMPUTED_VALUE"""),"M. 1594/ langkapura")</f>
        <v>M. 1594/ langkapura</v>
      </c>
      <c r="D281" s="7"/>
      <c r="E281" s="7"/>
      <c r="F281" s="9" t="str">
        <f>IFERROR(__xludf.DUMMYFUNCTION("""COMPUTED_VALUE"""),"")</f>
        <v/>
      </c>
      <c r="G281" s="7" t="str">
        <f>IFERROR(__xludf.DUMMYFUNCTION("""COMPUTED_VALUE"""),"SKPT Lelang")</f>
        <v>SKPT Lelang</v>
      </c>
      <c r="H281" s="7">
        <f t="shared" si="1"/>
        <v>142</v>
      </c>
    </row>
    <row r="282" ht="22.5" customHeight="1">
      <c r="B282" s="7" t="str">
        <f>IFERROR(__xludf.DUMMYFUNCTION("""COMPUTED_VALUE"""),"K/35/211024/2")</f>
        <v>K/35/211024/2</v>
      </c>
      <c r="C282" s="7" t="str">
        <f>IFERROR(__xludf.DUMMYFUNCTION("""COMPUTED_VALUE"""),"M.181/ Bumi Kedamaian")</f>
        <v>M.181/ Bumi Kedamaian</v>
      </c>
      <c r="D282" s="7"/>
      <c r="E282" s="7"/>
      <c r="F282" s="9" t="str">
        <f>IFERROR(__xludf.DUMMYFUNCTION("""COMPUTED_VALUE"""),"")</f>
        <v/>
      </c>
      <c r="G282" s="7" t="str">
        <f>IFERROR(__xludf.DUMMYFUNCTION("""COMPUTED_VALUE"""),"SKPT LELANG")</f>
        <v>SKPT LELANG</v>
      </c>
      <c r="H282" s="7">
        <f t="shared" si="1"/>
        <v>142</v>
      </c>
    </row>
    <row r="283" ht="22.5" customHeight="1">
      <c r="B283" s="7" t="str">
        <f>IFERROR(__xludf.DUMMYFUNCTION("""COMPUTED_VALUE"""),"K/36/211024/3")</f>
        <v>K/36/211024/3</v>
      </c>
      <c r="C283" s="7" t="str">
        <f>IFERROR(__xludf.DUMMYFUNCTION("""COMPUTED_VALUE"""),"M. 977/ Tanjung Gading")</f>
        <v>M. 977/ Tanjung Gading</v>
      </c>
      <c r="D283" s="7"/>
      <c r="E283" s="7"/>
      <c r="F283" s="9" t="str">
        <f>IFERROR(__xludf.DUMMYFUNCTION("""COMPUTED_VALUE"""),"")</f>
        <v/>
      </c>
      <c r="G283" s="7" t="str">
        <f>IFERROR(__xludf.DUMMYFUNCTION("""COMPUTED_VALUE"""),"SKPT Lelang")</f>
        <v>SKPT Lelang</v>
      </c>
      <c r="H283" s="7">
        <f t="shared" si="1"/>
        <v>142</v>
      </c>
    </row>
    <row r="284" ht="22.5" customHeight="1">
      <c r="B284" s="7" t="str">
        <f>IFERROR(__xludf.DUMMYFUNCTION("""COMPUTED_VALUE"""),"K/38/211024/1")</f>
        <v>K/38/211024/1</v>
      </c>
      <c r="C284" s="7" t="str">
        <f>IFERROR(__xludf.DUMMYFUNCTION("""COMPUTED_VALUE"""),"PBT 26/2024 KEL. WAY LAGA")</f>
        <v>PBT 26/2024 KEL. WAY LAGA</v>
      </c>
      <c r="D284" s="7"/>
      <c r="E284" s="7"/>
      <c r="F284" s="9" t="str">
        <f>IFERROR(__xludf.DUMMYFUNCTION("""COMPUTED_VALUE"""),"")</f>
        <v/>
      </c>
      <c r="G284" s="7" t="str">
        <f>IFERROR(__xludf.DUMMYFUNCTION("""COMPUTED_VALUE"""),"PERMOHONAN SK")</f>
        <v>PERMOHONAN SK</v>
      </c>
      <c r="H284" s="7">
        <f t="shared" si="1"/>
        <v>142</v>
      </c>
    </row>
    <row r="285" ht="22.5" customHeight="1">
      <c r="B285" s="7" t="str">
        <f>IFERROR(__xludf.DUMMYFUNCTION("""COMPUTED_VALUE"""),"K/37/211024/1")</f>
        <v>K/37/211024/1</v>
      </c>
      <c r="C285" s="7" t="str">
        <f>IFERROR(__xludf.DUMMYFUNCTION("""COMPUTED_VALUE"""),"B. 354/ Kangkung; PBT. 98/2024")</f>
        <v>B. 354/ Kangkung; PBT. 98/2024</v>
      </c>
      <c r="D285" s="7"/>
      <c r="E285" s="7"/>
      <c r="F285" s="9" t="str">
        <f>IFERROR(__xludf.DUMMYFUNCTION("""COMPUTED_VALUE"""),"")</f>
        <v/>
      </c>
      <c r="G285" s="7" t="str">
        <f>IFERROR(__xludf.DUMMYFUNCTION("""COMPUTED_VALUE"""),"PTPGT (Hgb Berakhir)")</f>
        <v>PTPGT (Hgb Berakhir)</v>
      </c>
      <c r="H285" s="7">
        <f t="shared" si="1"/>
        <v>142</v>
      </c>
    </row>
    <row r="286" ht="22.5" customHeight="1">
      <c r="B286" s="7" t="str">
        <f>IFERROR(__xludf.DUMMYFUNCTION("""COMPUTED_VALUE"""),"L/40/211024/1")</f>
        <v>L/40/211024/1</v>
      </c>
      <c r="C286" s="7" t="str">
        <f>IFERROR(__xludf.DUMMYFUNCTION("""COMPUTED_VALUE"""),"HM 101/KEMILING RAYA")</f>
        <v>HM 101/KEMILING RAYA</v>
      </c>
      <c r="D286" s="7" t="str">
        <f>IFERROR(__xludf.DUMMYFUNCTION("""COMPUTED_VALUE"""),"David")</f>
        <v>David</v>
      </c>
      <c r="E286" s="7" t="str">
        <f>IFERROR(__xludf.DUMMYFUNCTION("""COMPUTED_VALUE"""),"DISERAHKAN")</f>
        <v>DISERAHKAN</v>
      </c>
      <c r="F286" s="9">
        <f>IFERROR(__xludf.DUMMYFUNCTION("""COMPUTED_VALUE"""),45587.42078596065)</f>
        <v>45587.42079</v>
      </c>
      <c r="G286" s="7" t="str">
        <f>IFERROR(__xludf.DUMMYFUNCTION("""COMPUTED_VALUE"""),"ROYA LELANG")</f>
        <v>ROYA LELANG</v>
      </c>
      <c r="H286" s="7">
        <f t="shared" si="1"/>
        <v>143</v>
      </c>
    </row>
    <row r="287" ht="22.5" customHeight="1">
      <c r="B287" s="7" t="str">
        <f>IFERROR(__xludf.DUMMYFUNCTION("""COMPUTED_VALUE"""),"K/39/211024/2")</f>
        <v>K/39/211024/2</v>
      </c>
      <c r="C287" s="7" t="str">
        <f>IFERROR(__xludf.DUMMYFUNCTION("""COMPUTED_VALUE"""),"PBT 27/2024 KEL. WAY GUBAK")</f>
        <v>PBT 27/2024 KEL. WAY GUBAK</v>
      </c>
      <c r="D287" s="7"/>
      <c r="E287" s="7"/>
      <c r="F287" s="9" t="str">
        <f>IFERROR(__xludf.DUMMYFUNCTION("""COMPUTED_VALUE"""),"")</f>
        <v/>
      </c>
      <c r="G287" s="7" t="str">
        <f>IFERROR(__xludf.DUMMYFUNCTION("""COMPUTED_VALUE"""),"PERMOHONAN SK")</f>
        <v>PERMOHONAN SK</v>
      </c>
      <c r="H287" s="7">
        <f t="shared" si="1"/>
        <v>143</v>
      </c>
    </row>
    <row r="288" ht="22.5" customHeight="1">
      <c r="B288" s="7" t="str">
        <f>IFERROR(__xludf.DUMMYFUNCTION("""COMPUTED_VALUE"""),"K/41/211024/1")</f>
        <v>K/41/211024/1</v>
      </c>
      <c r="C288" s="7" t="str">
        <f>IFERROR(__xludf.DUMMYFUNCTION("""COMPUTED_VALUE"""),"B.569/NUSANTARA PERMAI-SEKARANG;B.336/CAMPANG RAYA-DAHULU")</f>
        <v>B.569/NUSANTARA PERMAI-SEKARANG;B.336/CAMPANG RAYA-DAHULU</v>
      </c>
      <c r="D288" s="7" t="str">
        <f>IFERROR(__xludf.DUMMYFUNCTION("""COMPUTED_VALUE"""),"Sahelia")</f>
        <v>Sahelia</v>
      </c>
      <c r="E288" s="7" t="str">
        <f>IFERROR(__xludf.DUMMYFUNCTION("""COMPUTED_VALUE"""),"DISERAHKAN")</f>
        <v>DISERAHKAN</v>
      </c>
      <c r="F288" s="9">
        <f>IFERROR(__xludf.DUMMYFUNCTION("""COMPUTED_VALUE"""),45586.685435798616)</f>
        <v>45586.68544</v>
      </c>
      <c r="G288" s="7" t="str">
        <f>IFERROR(__xludf.DUMMYFUNCTION("""COMPUTED_VALUE"""),"PENINGKATAN HAK")</f>
        <v>PENINGKATAN HAK</v>
      </c>
      <c r="H288" s="7">
        <f t="shared" si="1"/>
        <v>144</v>
      </c>
    </row>
    <row r="289" ht="22.5" customHeight="1">
      <c r="B289" s="7" t="str">
        <f>IFERROR(__xludf.DUMMYFUNCTION("""COMPUTED_VALUE"""),"K/44/211024/1")</f>
        <v>K/44/211024/1</v>
      </c>
      <c r="C289" s="7" t="str">
        <f>IFERROR(__xludf.DUMMYFUNCTION("""COMPUTED_VALUE"""),"M. 19255/ Sukarame")</f>
        <v>M. 19255/ Sukarame</v>
      </c>
      <c r="D289" s="7" t="str">
        <f>IFERROR(__xludf.DUMMYFUNCTION("""COMPUTED_VALUE"""),"Sahelia")</f>
        <v>Sahelia</v>
      </c>
      <c r="E289" s="7" t="str">
        <f>IFERROR(__xludf.DUMMYFUNCTION("""COMPUTED_VALUE"""),"DISERAHKAN BT")</f>
        <v>DISERAHKAN BT</v>
      </c>
      <c r="F289" s="9">
        <f>IFERROR(__xludf.DUMMYFUNCTION("""COMPUTED_VALUE"""),45600.472206238424)</f>
        <v>45600.47221</v>
      </c>
      <c r="G289" s="7" t="str">
        <f>IFERROR(__xludf.DUMMYFUNCTION("""COMPUTED_VALUE"""),"BN Jual Beli")</f>
        <v>BN Jual Beli</v>
      </c>
      <c r="H289" s="7">
        <f t="shared" si="1"/>
        <v>144</v>
      </c>
    </row>
    <row r="290" ht="22.5" customHeight="1">
      <c r="B290" s="7" t="str">
        <f>IFERROR(__xludf.DUMMYFUNCTION("""COMPUTED_VALUE"""),"K/45/211024/1")</f>
        <v>K/45/211024/1</v>
      </c>
      <c r="C290" s="7" t="str">
        <f>IFERROR(__xludf.DUMMYFUNCTION("""COMPUTED_VALUE"""),"M. 2245/ Sukarame Baru; B. 4947/Sukarame-dahulu")</f>
        <v>M. 2245/ Sukarame Baru; B. 4947/Sukarame-dahulu</v>
      </c>
      <c r="D290" s="7"/>
      <c r="E290" s="7" t="str">
        <f>IFERROR(__xludf.DUMMYFUNCTION("""COMPUTED_VALUE"""),"DISERAHKAN")</f>
        <v>DISERAHKAN</v>
      </c>
      <c r="F290" s="9">
        <f>IFERROR(__xludf.DUMMYFUNCTION("""COMPUTED_VALUE"""),45615.57032974537)</f>
        <v>45615.57033</v>
      </c>
      <c r="G290" s="7" t="str">
        <f>IFERROR(__xludf.DUMMYFUNCTION("""COMPUTED_VALUE"""),"BN Jual Beli")</f>
        <v>BN Jual Beli</v>
      </c>
      <c r="H290" s="7">
        <f t="shared" si="1"/>
        <v>145</v>
      </c>
    </row>
    <row r="291" ht="22.5" customHeight="1">
      <c r="B291" s="7" t="str">
        <f>IFERROR(__xludf.DUMMYFUNCTION("""COMPUTED_VALUE"""),"K/46/211024/2")</f>
        <v>K/46/211024/2</v>
      </c>
      <c r="C291" s="7" t="str">
        <f>IFERROR(__xludf.DUMMYFUNCTION("""COMPUTED_VALUE"""),"B. 1717/ Jagabaya II; SHT 5850/2013 dan SHT 763/2015")</f>
        <v>B. 1717/ Jagabaya II; SHT 5850/2013 dan SHT 763/2015</v>
      </c>
      <c r="D291" s="7" t="str">
        <f>IFERROR(__xludf.DUMMYFUNCTION("""COMPUTED_VALUE"""),"Sahelia")</f>
        <v>Sahelia</v>
      </c>
      <c r="E291" s="7" t="str">
        <f>IFERROR(__xludf.DUMMYFUNCTION("""COMPUTED_VALUE"""),"DISERAHKAN")</f>
        <v>DISERAHKAN</v>
      </c>
      <c r="F291" s="9">
        <f>IFERROR(__xludf.DUMMYFUNCTION("""COMPUTED_VALUE"""),45603.647567175925)</f>
        <v>45603.64757</v>
      </c>
      <c r="G291" s="7" t="str">
        <f>IFERROR(__xludf.DUMMYFUNCTION("""COMPUTED_VALUE"""),"Roya")</f>
        <v>Roya</v>
      </c>
      <c r="H291" s="7">
        <f t="shared" si="1"/>
        <v>146</v>
      </c>
    </row>
    <row r="292" ht="22.5" customHeight="1">
      <c r="B292" s="7" t="str">
        <f>IFERROR(__xludf.DUMMYFUNCTION("""COMPUTED_VALUE"""),"K/47/211024/1")</f>
        <v>K/47/211024/1</v>
      </c>
      <c r="C292" s="7" t="str">
        <f>IFERROR(__xludf.DUMMYFUNCTION("""COMPUTED_VALUE"""),"M.2704/SUKARAME BARU-SEKARANG;B.986/SUKARAME -DAHULU")</f>
        <v>M.2704/SUKARAME BARU-SEKARANG;B.986/SUKARAME -DAHULU</v>
      </c>
      <c r="D292" s="7" t="str">
        <f>IFERROR(__xludf.DUMMYFUNCTION("""COMPUTED_VALUE"""),"David")</f>
        <v>David</v>
      </c>
      <c r="E292" s="7" t="str">
        <f>IFERROR(__xludf.DUMMYFUNCTION("""COMPUTED_VALUE"""),"DISERAHKAN")</f>
        <v>DISERAHKAN</v>
      </c>
      <c r="F292" s="9">
        <f>IFERROR(__xludf.DUMMYFUNCTION("""COMPUTED_VALUE"""),45587.422078159725)</f>
        <v>45587.42208</v>
      </c>
      <c r="G292" s="7" t="str">
        <f>IFERROR(__xludf.DUMMYFUNCTION("""COMPUTED_VALUE"""),"PERALIHAN JUAL BELI")</f>
        <v>PERALIHAN JUAL BELI</v>
      </c>
      <c r="H292" s="7">
        <f t="shared" si="1"/>
        <v>147</v>
      </c>
    </row>
    <row r="293" ht="22.5" customHeight="1">
      <c r="B293" s="7" t="str">
        <f>IFERROR(__xludf.DUMMYFUNCTION("""COMPUTED_VALUE"""),"K/48/211024/1")</f>
        <v>K/48/211024/1</v>
      </c>
      <c r="C293" s="7" t="str">
        <f>IFERROR(__xludf.DUMMYFUNCTION("""COMPUTED_VALUE"""),"M. 240/ Kemiling Permai")</f>
        <v>M. 240/ Kemiling Permai</v>
      </c>
      <c r="D293" s="7" t="str">
        <f>IFERROR(__xludf.DUMMYFUNCTION("""COMPUTED_VALUE"""),"David")</f>
        <v>David</v>
      </c>
      <c r="E293" s="7" t="str">
        <f>IFERROR(__xludf.DUMMYFUNCTION("""COMPUTED_VALUE"""),"DISERAHKAN")</f>
        <v>DISERAHKAN</v>
      </c>
      <c r="F293" s="9">
        <f>IFERROR(__xludf.DUMMYFUNCTION("""COMPUTED_VALUE"""),45587.42215008102)</f>
        <v>45587.42215</v>
      </c>
      <c r="G293" s="7" t="str">
        <f>IFERROR(__xludf.DUMMYFUNCTION("""COMPUTED_VALUE"""),"BN Jual Beli")</f>
        <v>BN Jual Beli</v>
      </c>
      <c r="H293" s="7">
        <f t="shared" si="1"/>
        <v>148</v>
      </c>
    </row>
    <row r="294" ht="22.5" customHeight="1">
      <c r="B294" s="7" t="str">
        <f>IFERROR(__xludf.DUMMYFUNCTION("""COMPUTED_VALUE"""),"L/49/211024/1")</f>
        <v>L/49/211024/1</v>
      </c>
      <c r="C294" s="7" t="str">
        <f>IFERROR(__xludf.DUMMYFUNCTION("""COMPUTED_VALUE"""),"NIB 0801000019330/NOG")</f>
        <v>NIB 0801000019330/NOG</v>
      </c>
      <c r="D294" s="7"/>
      <c r="E294" s="7"/>
      <c r="F294" s="9" t="str">
        <f>IFERROR(__xludf.DUMMYFUNCTION("""COMPUTED_VALUE"""),"")</f>
        <v/>
      </c>
      <c r="G294" s="7" t="str">
        <f>IFERROR(__xludf.DUMMYFUNCTION("""COMPUTED_VALUE"""),"PH")</f>
        <v>PH</v>
      </c>
      <c r="H294" s="7">
        <f t="shared" si="1"/>
        <v>148</v>
      </c>
    </row>
    <row r="295" ht="22.5" customHeight="1">
      <c r="B295" s="7" t="str">
        <f>IFERROR(__xludf.DUMMYFUNCTION("""COMPUTED_VALUE"""),"K/50/211024/1")</f>
        <v>K/50/211024/1</v>
      </c>
      <c r="C295" s="7" t="str">
        <f>IFERROR(__xludf.DUMMYFUNCTION("""COMPUTED_VALUE"""),"M. 13651/ Labuhan Ratu; SHT 2739/2019")</f>
        <v>M. 13651/ Labuhan Ratu; SHT 2739/2019</v>
      </c>
      <c r="D295" s="7"/>
      <c r="E295" s="7" t="str">
        <f>IFERROR(__xludf.DUMMYFUNCTION("""COMPUTED_VALUE"""),"PROSES")</f>
        <v>PROSES</v>
      </c>
      <c r="F295" s="9" t="str">
        <f>IFERROR(__xludf.DUMMYFUNCTION("""COMPUTED_VALUE"""),"")</f>
        <v/>
      </c>
      <c r="G295" s="7" t="str">
        <f>IFERROR(__xludf.DUMMYFUNCTION("""COMPUTED_VALUE"""),"Roya")</f>
        <v>Roya</v>
      </c>
      <c r="H295" s="7">
        <f t="shared" si="1"/>
        <v>148</v>
      </c>
    </row>
    <row r="296" ht="22.5" customHeight="1">
      <c r="B296" s="7" t="str">
        <f>IFERROR(__xludf.DUMMYFUNCTION("""COMPUTED_VALUE"""),"K/51/211024/2")</f>
        <v>K/51/211024/2</v>
      </c>
      <c r="C296" s="7" t="str">
        <f>IFERROR(__xludf.DUMMYFUNCTION("""COMPUTED_VALUE"""),"M. 923/ Gunung Sulah")</f>
        <v>M. 923/ Gunung Sulah</v>
      </c>
      <c r="D296" s="7" t="str">
        <f>IFERROR(__xludf.DUMMYFUNCTION("""COMPUTED_VALUE"""),"Sahelia")</f>
        <v>Sahelia</v>
      </c>
      <c r="E296" s="7" t="str">
        <f>IFERROR(__xludf.DUMMYFUNCTION("""COMPUTED_VALUE"""),"DISERAHKAN")</f>
        <v>DISERAHKAN</v>
      </c>
      <c r="F296" s="9">
        <f>IFERROR(__xludf.DUMMYFUNCTION("""COMPUTED_VALUE"""),45595.46413894676)</f>
        <v>45595.46414</v>
      </c>
      <c r="G296" s="7" t="str">
        <f>IFERROR(__xludf.DUMMYFUNCTION("""COMPUTED_VALUE"""),"BN Jual Beli")</f>
        <v>BN Jual Beli</v>
      </c>
      <c r="H296" s="7">
        <f t="shared" si="1"/>
        <v>149</v>
      </c>
    </row>
    <row r="297" ht="22.5" customHeight="1">
      <c r="B297" s="7" t="str">
        <f>IFERROR(__xludf.DUMMYFUNCTION("""COMPUTED_VALUE"""),"K/52/211024/1")</f>
        <v>K/52/211024/1</v>
      </c>
      <c r="C297" s="7" t="str">
        <f>IFERROR(__xludf.DUMMYFUNCTION("""COMPUTED_VALUE"""),"M. 1885/ Sumberejo/ Kemiling")</f>
        <v>M. 1885/ Sumberejo/ Kemiling</v>
      </c>
      <c r="D297" s="7"/>
      <c r="E297" s="7"/>
      <c r="F297" s="9" t="str">
        <f>IFERROR(__xludf.DUMMYFUNCTION("""COMPUTED_VALUE"""),"")</f>
        <v/>
      </c>
      <c r="G297" s="7" t="str">
        <f>IFERROR(__xludf.DUMMYFUNCTION("""COMPUTED_VALUE"""),"Gandes")</f>
        <v>Gandes</v>
      </c>
      <c r="H297" s="7">
        <f t="shared" si="1"/>
        <v>149</v>
      </c>
    </row>
    <row r="298" ht="22.5" customHeight="1">
      <c r="B298" s="7" t="str">
        <f>IFERROR(__xludf.DUMMYFUNCTION("""COMPUTED_VALUE"""),"K/53/211024/1")</f>
        <v>K/53/211024/1</v>
      </c>
      <c r="C298" s="7" t="str">
        <f>IFERROR(__xludf.DUMMYFUNCTION("""COMPUTED_VALUE"""),"M. 666/ Beringin Jaya")</f>
        <v>M. 666/ Beringin Jaya</v>
      </c>
      <c r="D298" s="7" t="str">
        <f>IFERROR(__xludf.DUMMYFUNCTION("""COMPUTED_VALUE"""),"Sahelia")</f>
        <v>Sahelia</v>
      </c>
      <c r="E298" s="7" t="str">
        <f>IFERROR(__xludf.DUMMYFUNCTION("""COMPUTED_VALUE"""),"DISERAHKAN")</f>
        <v>DISERAHKAN</v>
      </c>
      <c r="F298" s="9">
        <f>IFERROR(__xludf.DUMMYFUNCTION("""COMPUTED_VALUE"""),45601.421437488425)</f>
        <v>45601.42144</v>
      </c>
      <c r="G298" s="7" t="str">
        <f>IFERROR(__xludf.DUMMYFUNCTION("""COMPUTED_VALUE"""),"BN Jual Beli")</f>
        <v>BN Jual Beli</v>
      </c>
      <c r="H298" s="7">
        <f t="shared" si="1"/>
        <v>150</v>
      </c>
    </row>
    <row r="299" ht="22.5" customHeight="1">
      <c r="B299" s="7" t="str">
        <f>IFERROR(__xludf.DUMMYFUNCTION("""COMPUTED_VALUE"""),"K/54/211024/1")</f>
        <v>K/54/211024/1</v>
      </c>
      <c r="C299" s="7" t="str">
        <f>IFERROR(__xludf.DUMMYFUNCTION("""COMPUTED_VALUE"""),"B. 578/ Negeri Olok Gading")</f>
        <v>B. 578/ Negeri Olok Gading</v>
      </c>
      <c r="D299" s="7"/>
      <c r="E299" s="7" t="str">
        <f>IFERROR(__xludf.DUMMYFUNCTION("""COMPUTED_VALUE"""),"DISERAHKAN")</f>
        <v>DISERAHKAN</v>
      </c>
      <c r="F299" s="9">
        <f>IFERROR(__xludf.DUMMYFUNCTION("""COMPUTED_VALUE"""),45594.418135659726)</f>
        <v>45594.41814</v>
      </c>
      <c r="G299" s="7" t="str">
        <f>IFERROR(__xludf.DUMMYFUNCTION("""COMPUTED_VALUE"""),"Roya")</f>
        <v>Roya</v>
      </c>
      <c r="H299" s="7">
        <f t="shared" si="1"/>
        <v>151</v>
      </c>
    </row>
    <row r="300" ht="22.5" customHeight="1">
      <c r="B300" s="7" t="str">
        <f>IFERROR(__xludf.DUMMYFUNCTION("""COMPUTED_VALUE"""),"K/1/221024/1")</f>
        <v>K/1/221024/1</v>
      </c>
      <c r="C300" s="7" t="str">
        <f>IFERROR(__xludf.DUMMYFUNCTION("""COMPUTED_VALUE"""),"M. 2232/ KUPANG TEBA")</f>
        <v>M. 2232/ KUPANG TEBA</v>
      </c>
      <c r="D300" s="7" t="str">
        <f>IFERROR(__xludf.DUMMYFUNCTION("""COMPUTED_VALUE"""),"Berry")</f>
        <v>Berry</v>
      </c>
      <c r="E300" s="7" t="str">
        <f>IFERROR(__xludf.DUMMYFUNCTION("""COMPUTED_VALUE"""),"DISERAHKAN")</f>
        <v>DISERAHKAN</v>
      </c>
      <c r="F300" s="9">
        <f>IFERROR(__xludf.DUMMYFUNCTION("""COMPUTED_VALUE"""),45588.37737711806)</f>
        <v>45588.37738</v>
      </c>
      <c r="G300" s="7" t="str">
        <f>IFERROR(__xludf.DUMMYFUNCTION("""COMPUTED_VALUE"""),"ROYA")</f>
        <v>ROYA</v>
      </c>
      <c r="H300" s="7">
        <f t="shared" si="1"/>
        <v>152</v>
      </c>
    </row>
    <row r="301" ht="22.5" customHeight="1">
      <c r="B301" s="7" t="str">
        <f>IFERROR(__xludf.DUMMYFUNCTION("""COMPUTED_VALUE"""),"K/2/221024/2")</f>
        <v>K/2/221024/2</v>
      </c>
      <c r="C301" s="7" t="str">
        <f>IFERROR(__xludf.DUMMYFUNCTION("""COMPUTED_VALUE"""),"M. 1556/ Bumi Waras")</f>
        <v>M. 1556/ Bumi Waras</v>
      </c>
      <c r="D301" s="7" t="str">
        <f>IFERROR(__xludf.DUMMYFUNCTION("""COMPUTED_VALUE"""),"Berry")</f>
        <v>Berry</v>
      </c>
      <c r="E301" s="7" t="str">
        <f>IFERROR(__xludf.DUMMYFUNCTION("""COMPUTED_VALUE"""),"DISERAHKAN")</f>
        <v>DISERAHKAN</v>
      </c>
      <c r="F301" s="9">
        <f>IFERROR(__xludf.DUMMYFUNCTION("""COMPUTED_VALUE"""),45588.37737711806)</f>
        <v>45588.37738</v>
      </c>
      <c r="G301" s="7" t="str">
        <f>IFERROR(__xludf.DUMMYFUNCTION("""COMPUTED_VALUE"""),"Roya")</f>
        <v>Roya</v>
      </c>
      <c r="H301" s="7">
        <f t="shared" si="1"/>
        <v>153</v>
      </c>
    </row>
    <row r="302" ht="22.5" customHeight="1">
      <c r="B302" s="7" t="str">
        <f>IFERROR(__xludf.DUMMYFUNCTION("""COMPUTED_VALUE"""),"K/3/221024/1c")</f>
        <v>K/3/221024/1c</v>
      </c>
      <c r="C302" s="7" t="str">
        <f>IFERROR(__xludf.DUMMYFUNCTION("""COMPUTED_VALUE"""),"M.1260/SUKAJAWA")</f>
        <v>M.1260/SUKAJAWA</v>
      </c>
      <c r="D302" s="7" t="str">
        <f>IFERROR(__xludf.DUMMYFUNCTION("""COMPUTED_VALUE"""),"Berry")</f>
        <v>Berry</v>
      </c>
      <c r="E302" s="7" t="str">
        <f>IFERROR(__xludf.DUMMYFUNCTION("""COMPUTED_VALUE"""),"DISERAHKAN BT")</f>
        <v>DISERAHKAN BT</v>
      </c>
      <c r="F302" s="9">
        <f>IFERROR(__xludf.DUMMYFUNCTION("""COMPUTED_VALUE"""),45588.37737711806)</f>
        <v>45588.37738</v>
      </c>
      <c r="G302" s="7" t="str">
        <f>IFERROR(__xludf.DUMMYFUNCTION("""COMPUTED_VALUE"""),"ROYA")</f>
        <v>ROYA</v>
      </c>
      <c r="H302" s="7">
        <f t="shared" si="1"/>
        <v>153</v>
      </c>
    </row>
    <row r="303" ht="22.5" customHeight="1">
      <c r="B303" s="7" t="str">
        <f>IFERROR(__xludf.DUMMYFUNCTION("""COMPUTED_VALUE"""),"L/4/221024/1")</f>
        <v>L/4/221024/1</v>
      </c>
      <c r="C303" s="7" t="str">
        <f>IFERROR(__xludf.DUMMYFUNCTION("""COMPUTED_VALUE"""),"HM 3875/LANGKAPURA")</f>
        <v>HM 3875/LANGKAPURA</v>
      </c>
      <c r="D303" s="7" t="str">
        <f>IFERROR(__xludf.DUMMYFUNCTION("""COMPUTED_VALUE"""),"Berry")</f>
        <v>Berry</v>
      </c>
      <c r="E303" s="7" t="str">
        <f>IFERROR(__xludf.DUMMYFUNCTION("""COMPUTED_VALUE"""),"DISERAHKAN")</f>
        <v>DISERAHKAN</v>
      </c>
      <c r="F303" s="9">
        <f>IFERROR(__xludf.DUMMYFUNCTION("""COMPUTED_VALUE"""),45588.37737711806)</f>
        <v>45588.37738</v>
      </c>
      <c r="G303" s="7" t="str">
        <f>IFERROR(__xludf.DUMMYFUNCTION("""COMPUTED_VALUE"""),"BN WARIS")</f>
        <v>BN WARIS</v>
      </c>
      <c r="H303" s="7">
        <f t="shared" si="1"/>
        <v>154</v>
      </c>
    </row>
    <row r="304" ht="22.5" customHeight="1">
      <c r="B304" s="7" t="str">
        <f>IFERROR(__xludf.DUMMYFUNCTION("""COMPUTED_VALUE"""),"K/5/221024/1")</f>
        <v>K/5/221024/1</v>
      </c>
      <c r="C304" s="7" t="str">
        <f>IFERROR(__xludf.DUMMYFUNCTION("""COMPUTED_VALUE"""),"B. 308/ Pematang Wangi; B. 964/ Tanjung Senang")</f>
        <v>B. 308/ Pematang Wangi; B. 964/ Tanjung Senang</v>
      </c>
      <c r="D304" s="7"/>
      <c r="E304" s="7" t="str">
        <f>IFERROR(__xludf.DUMMYFUNCTION("""COMPUTED_VALUE"""),"PROSES")</f>
        <v>PROSES</v>
      </c>
      <c r="F304" s="9" t="str">
        <f>IFERROR(__xludf.DUMMYFUNCTION("""COMPUTED_VALUE"""),"")</f>
        <v/>
      </c>
      <c r="G304" s="7" t="str">
        <f>IFERROR(__xludf.DUMMYFUNCTION("""COMPUTED_VALUE"""),"Perubahan Hak")</f>
        <v>Perubahan Hak</v>
      </c>
      <c r="H304" s="7">
        <f t="shared" si="1"/>
        <v>154</v>
      </c>
    </row>
    <row r="305" ht="22.5" customHeight="1">
      <c r="B305" s="7" t="str">
        <f>IFERROR(__xludf.DUMMYFUNCTION("""COMPUTED_VALUE"""),"L/6/221024/1")</f>
        <v>L/6/221024/1</v>
      </c>
      <c r="C305" s="7" t="str">
        <f>IFERROR(__xludf.DUMMYFUNCTION("""COMPUTED_VALUE"""),"SHGB.262/KAMPUNG BARU DAN SHGB.258/KAMPUNG BARU")</f>
        <v>SHGB.262/KAMPUNG BARU DAN SHGB.258/KAMPUNG BARU</v>
      </c>
      <c r="D305" s="7"/>
      <c r="E305" s="7" t="str">
        <f>IFERROR(__xludf.DUMMYFUNCTION("""COMPUTED_VALUE"""),"PROSES")</f>
        <v>PROSES</v>
      </c>
      <c r="F305" s="9" t="str">
        <f>IFERROR(__xludf.DUMMYFUNCTION("""COMPUTED_VALUE"""),"")</f>
        <v/>
      </c>
      <c r="G305" s="7" t="str">
        <f>IFERROR(__xludf.DUMMYFUNCTION("""COMPUTED_VALUE"""),"ROYA")</f>
        <v>ROYA</v>
      </c>
      <c r="H305" s="7">
        <f t="shared" si="1"/>
        <v>154</v>
      </c>
    </row>
    <row r="306" ht="22.5" customHeight="1">
      <c r="B306" s="7" t="str">
        <f>IFERROR(__xludf.DUMMYFUNCTION("""COMPUTED_VALUE"""),"K/7/221024/1")</f>
        <v>K/7/221024/1</v>
      </c>
      <c r="C306" s="7" t="str">
        <f>IFERROR(__xludf.DUMMYFUNCTION("""COMPUTED_VALUE"""),"M. 2222/ Way Kandis; SHT 1348/ 2018")</f>
        <v>M. 2222/ Way Kandis; SHT 1348/ 2018</v>
      </c>
      <c r="D306" s="7" t="str">
        <f>IFERROR(__xludf.DUMMYFUNCTION("""COMPUTED_VALUE"""),"Berry")</f>
        <v>Berry</v>
      </c>
      <c r="E306" s="7" t="str">
        <f>IFERROR(__xludf.DUMMYFUNCTION("""COMPUTED_VALUE"""),"DISERAHKAN")</f>
        <v>DISERAHKAN</v>
      </c>
      <c r="F306" s="9">
        <f>IFERROR(__xludf.DUMMYFUNCTION("""COMPUTED_VALUE"""),45588.37737711806)</f>
        <v>45588.37738</v>
      </c>
      <c r="G306" s="7" t="str">
        <f>IFERROR(__xludf.DUMMYFUNCTION("""COMPUTED_VALUE"""),"Roya")</f>
        <v>Roya</v>
      </c>
      <c r="H306" s="7">
        <f t="shared" si="1"/>
        <v>155</v>
      </c>
    </row>
    <row r="307" ht="22.5" customHeight="1">
      <c r="B307" s="7" t="str">
        <f>IFERROR(__xludf.DUMMYFUNCTION("""COMPUTED_VALUE"""),"L/8/221024/1")</f>
        <v>L/8/221024/1</v>
      </c>
      <c r="C307" s="7" t="str">
        <f>IFERROR(__xludf.DUMMYFUNCTION("""COMPUTED_VALUE"""),"HGB 143/KAMPUNG BARU")</f>
        <v>HGB 143/KAMPUNG BARU</v>
      </c>
      <c r="D307" s="7" t="str">
        <f>IFERROR(__xludf.DUMMYFUNCTION("""COMPUTED_VALUE"""),"Berry")</f>
        <v>Berry</v>
      </c>
      <c r="E307" s="7" t="str">
        <f>IFERROR(__xludf.DUMMYFUNCTION("""COMPUTED_VALUE"""),"DISERAHKAN")</f>
        <v>DISERAHKAN</v>
      </c>
      <c r="F307" s="9">
        <f>IFERROR(__xludf.DUMMYFUNCTION("""COMPUTED_VALUE"""),45588.37737711806)</f>
        <v>45588.37738</v>
      </c>
      <c r="G307" s="7" t="str">
        <f>IFERROR(__xludf.DUMMYFUNCTION("""COMPUTED_VALUE"""),"ROYA")</f>
        <v>ROYA</v>
      </c>
      <c r="H307" s="7">
        <f t="shared" si="1"/>
        <v>156</v>
      </c>
    </row>
    <row r="308" ht="22.5" customHeight="1">
      <c r="B308" s="7" t="str">
        <f>IFERROR(__xludf.DUMMYFUNCTION("""COMPUTED_VALUE"""),"K/9/221024/1")</f>
        <v>K/9/221024/1</v>
      </c>
      <c r="C308" s="7" t="str">
        <f>IFERROR(__xludf.DUMMYFUNCTION("""COMPUTED_VALUE"""),"M.26/LANGKAPURA BARU-SEKARANG;B.113/LANGKAPURA-DAHULU")</f>
        <v>M.26/LANGKAPURA BARU-SEKARANG;B.113/LANGKAPURA-DAHULU</v>
      </c>
      <c r="D308" s="7" t="str">
        <f>IFERROR(__xludf.DUMMYFUNCTION("""COMPUTED_VALUE"""),"David")</f>
        <v>David</v>
      </c>
      <c r="E308" s="7" t="str">
        <f>IFERROR(__xludf.DUMMYFUNCTION("""COMPUTED_VALUE"""),"DISERAHKAN")</f>
        <v>DISERAHKAN</v>
      </c>
      <c r="F308" s="9">
        <f>IFERROR(__xludf.DUMMYFUNCTION("""COMPUTED_VALUE"""),45588.379742731486)</f>
        <v>45588.37974</v>
      </c>
      <c r="G308" s="7" t="str">
        <f>IFERROR(__xludf.DUMMYFUNCTION("""COMPUTED_VALUE"""),"ROYA")</f>
        <v>ROYA</v>
      </c>
      <c r="H308" s="7">
        <f t="shared" si="1"/>
        <v>157</v>
      </c>
    </row>
    <row r="309" ht="22.5" customHeight="1">
      <c r="B309" s="7" t="str">
        <f>IFERROR(__xludf.DUMMYFUNCTION("""COMPUTED_VALUE"""),"K/10/221024/1")</f>
        <v>K/10/221024/1</v>
      </c>
      <c r="C309" s="7" t="str">
        <f>IFERROR(__xludf.DUMMYFUNCTION("""COMPUTED_VALUE"""),"M.13711/RAJABASA")</f>
        <v>M.13711/RAJABASA</v>
      </c>
      <c r="D309" s="7"/>
      <c r="E309" s="7"/>
      <c r="F309" s="9" t="str">
        <f>IFERROR(__xludf.DUMMYFUNCTION("""COMPUTED_VALUE"""),"")</f>
        <v/>
      </c>
      <c r="G309" s="7" t="str">
        <f>IFERROR(__xludf.DUMMYFUNCTION("""COMPUTED_VALUE"""),"GANDES")</f>
        <v>GANDES</v>
      </c>
      <c r="H309" s="7">
        <f t="shared" si="1"/>
        <v>157</v>
      </c>
    </row>
    <row r="310" ht="22.5" customHeight="1">
      <c r="B310" s="7" t="str">
        <f>IFERROR(__xludf.DUMMYFUNCTION("""COMPUTED_VALUE"""),"K/13/221024/1")</f>
        <v>K/13/221024/1</v>
      </c>
      <c r="C310" s="7" t="str">
        <f>IFERROR(__xludf.DUMMYFUNCTION("""COMPUTED_VALUE"""),"Nibel. M. 1167/ Tanjung Gading")</f>
        <v>Nibel. M. 1167/ Tanjung Gading</v>
      </c>
      <c r="D310" s="7"/>
      <c r="E310" s="7"/>
      <c r="F310" s="9" t="str">
        <f>IFERROR(__xludf.DUMMYFUNCTION("""COMPUTED_VALUE"""),"")</f>
        <v/>
      </c>
      <c r="G310" s="7" t="str">
        <f>IFERROR(__xludf.DUMMYFUNCTION("""COMPUTED_VALUE"""),"BN Jual Beli")</f>
        <v>BN Jual Beli</v>
      </c>
      <c r="H310" s="7">
        <f t="shared" si="1"/>
        <v>157</v>
      </c>
    </row>
    <row r="311" ht="22.5" customHeight="1">
      <c r="B311" s="7" t="str">
        <f>IFERROR(__xludf.DUMMYFUNCTION("""COMPUTED_VALUE"""),"L/12/221024/1")</f>
        <v>L/12/221024/1</v>
      </c>
      <c r="C311" s="7" t="str">
        <f>IFERROR(__xludf.DUMMYFUNCTION("""COMPUTED_VALUE"""),"HM 769/WHP")</f>
        <v>HM 769/WHP</v>
      </c>
      <c r="D311" s="7" t="str">
        <f>IFERROR(__xludf.DUMMYFUNCTION("""COMPUTED_VALUE"""),"Sahelia")</f>
        <v>Sahelia</v>
      </c>
      <c r="E311" s="7" t="str">
        <f>IFERROR(__xludf.DUMMYFUNCTION("""COMPUTED_VALUE"""),"DISERAHKAN BT")</f>
        <v>DISERAHKAN BT</v>
      </c>
      <c r="F311" s="9">
        <f>IFERROR(__xludf.DUMMYFUNCTION("""COMPUTED_VALUE"""),45601.690126319445)</f>
        <v>45601.69013</v>
      </c>
      <c r="G311" s="7" t="str">
        <f>IFERROR(__xludf.DUMMYFUNCTION("""COMPUTED_VALUE"""),"ROYA")</f>
        <v>ROYA</v>
      </c>
      <c r="H311" s="7">
        <f t="shared" si="1"/>
        <v>157</v>
      </c>
    </row>
    <row r="312" ht="22.5" customHeight="1">
      <c r="B312" s="7" t="str">
        <f>IFERROR(__xludf.DUMMYFUNCTION("""COMPUTED_VALUE"""),"L/11/221024/1")</f>
        <v>L/11/221024/1</v>
      </c>
      <c r="C312" s="7" t="str">
        <f>IFERROR(__xludf.DUMMYFUNCTION("""COMPUTED_VALUE"""),"M.12607/RAJABASA;B.1164/RAJABASA-DAHULU")</f>
        <v>M.12607/RAJABASA;B.1164/RAJABASA-DAHULU</v>
      </c>
      <c r="D312" s="7" t="str">
        <f>IFERROR(__xludf.DUMMYFUNCTION("""COMPUTED_VALUE"""),"David")</f>
        <v>David</v>
      </c>
      <c r="E312" s="7" t="str">
        <f>IFERROR(__xludf.DUMMYFUNCTION("""COMPUTED_VALUE"""),"DISERAHKAN")</f>
        <v>DISERAHKAN</v>
      </c>
      <c r="F312" s="9">
        <f>IFERROR(__xludf.DUMMYFUNCTION("""COMPUTED_VALUE"""),45588.38056278935)</f>
        <v>45588.38056</v>
      </c>
      <c r="G312" s="7" t="str">
        <f>IFERROR(__xludf.DUMMYFUNCTION("""COMPUTED_VALUE"""),"ROYA")</f>
        <v>ROYA</v>
      </c>
      <c r="H312" s="7">
        <f t="shared" si="1"/>
        <v>158</v>
      </c>
    </row>
    <row r="313" ht="22.5" customHeight="1">
      <c r="B313" s="7" t="str">
        <f>IFERROR(__xludf.DUMMYFUNCTION("""COMPUTED_VALUE"""),"K/15/221024/1")</f>
        <v>K/15/221024/1</v>
      </c>
      <c r="C313" s="7" t="str">
        <f>IFERROR(__xludf.DUMMYFUNCTION("""COMPUTED_VALUE"""),"M. 1415/ Labuhan Dalam")</f>
        <v>M. 1415/ Labuhan Dalam</v>
      </c>
      <c r="D313" s="7"/>
      <c r="E313" s="7"/>
      <c r="F313" s="9" t="str">
        <f>IFERROR(__xludf.DUMMYFUNCTION("""COMPUTED_VALUE"""),"")</f>
        <v/>
      </c>
      <c r="G313" s="7" t="str">
        <f>IFERROR(__xludf.DUMMYFUNCTION("""COMPUTED_VALUE"""),"Pengecekkan")</f>
        <v>Pengecekkan</v>
      </c>
      <c r="H313" s="7">
        <f t="shared" si="1"/>
        <v>158</v>
      </c>
    </row>
    <row r="314" ht="22.5" customHeight="1">
      <c r="B314" s="7" t="str">
        <f>IFERROR(__xludf.DUMMYFUNCTION("""COMPUTED_VALUE"""),"K/16/221024/2")</f>
        <v>K/16/221024/2</v>
      </c>
      <c r="C314" s="7" t="str">
        <f>IFERROR(__xludf.DUMMYFUNCTION("""COMPUTED_VALUE"""),"M. 48/ Kedaton")</f>
        <v>M. 48/ Kedaton</v>
      </c>
      <c r="D314" s="7"/>
      <c r="E314" s="7"/>
      <c r="F314" s="9" t="str">
        <f>IFERROR(__xludf.DUMMYFUNCTION("""COMPUTED_VALUE"""),"")</f>
        <v/>
      </c>
      <c r="G314" s="7" t="str">
        <f>IFERROR(__xludf.DUMMYFUNCTION("""COMPUTED_VALUE"""),"Pengecekkan")</f>
        <v>Pengecekkan</v>
      </c>
      <c r="H314" s="7">
        <f t="shared" si="1"/>
        <v>158</v>
      </c>
    </row>
    <row r="315" ht="22.5" customHeight="1">
      <c r="B315" s="7" t="str">
        <f>IFERROR(__xludf.DUMMYFUNCTION("""COMPUTED_VALUE"""),"K/14/221024/2")</f>
        <v>K/14/221024/2</v>
      </c>
      <c r="C315" s="7" t="str">
        <f>IFERROR(__xludf.DUMMYFUNCTION("""COMPUTED_VALUE"""),"M. 3903/ Way Kandis")</f>
        <v>M. 3903/ Way Kandis</v>
      </c>
      <c r="D315" s="7" t="str">
        <f>IFERROR(__xludf.DUMMYFUNCTION("""COMPUTED_VALUE"""),"David")</f>
        <v>David</v>
      </c>
      <c r="E315" s="7" t="str">
        <f>IFERROR(__xludf.DUMMYFUNCTION("""COMPUTED_VALUE"""),"DISERAHKAN")</f>
        <v>DISERAHKAN</v>
      </c>
      <c r="F315" s="9">
        <f>IFERROR(__xludf.DUMMYFUNCTION("""COMPUTED_VALUE"""),45588.38084185185)</f>
        <v>45588.38084</v>
      </c>
      <c r="G315" s="7" t="str">
        <f>IFERROR(__xludf.DUMMYFUNCTION("""COMPUTED_VALUE"""),"BN Waris")</f>
        <v>BN Waris</v>
      </c>
      <c r="H315" s="7">
        <f t="shared" si="1"/>
        <v>159</v>
      </c>
    </row>
    <row r="316" ht="22.5" customHeight="1">
      <c r="B316" s="7" t="str">
        <f>IFERROR(__xludf.DUMMYFUNCTION("""COMPUTED_VALUE"""),"K/17/221024/3")</f>
        <v>K/17/221024/3</v>
      </c>
      <c r="C316" s="7" t="str">
        <f>IFERROR(__xludf.DUMMYFUNCTION("""COMPUTED_VALUE"""),"M. 8998/ Surabaya")</f>
        <v>M. 8998/ Surabaya</v>
      </c>
      <c r="D316" s="7"/>
      <c r="E316" s="7"/>
      <c r="F316" s="9" t="str">
        <f>IFERROR(__xludf.DUMMYFUNCTION("""COMPUTED_VALUE"""),"")</f>
        <v/>
      </c>
      <c r="G316" s="7" t="str">
        <f>IFERROR(__xludf.DUMMYFUNCTION("""COMPUTED_VALUE"""),"Pengecekkan")</f>
        <v>Pengecekkan</v>
      </c>
      <c r="H316" s="7">
        <f t="shared" si="1"/>
        <v>159</v>
      </c>
    </row>
    <row r="317" ht="22.5" customHeight="1">
      <c r="B317" s="7" t="str">
        <f>IFERROR(__xludf.DUMMYFUNCTION("""COMPUTED_VALUE"""),"K/18/221024/4")</f>
        <v>K/18/221024/4</v>
      </c>
      <c r="C317" s="7" t="str">
        <f>IFERROR(__xludf.DUMMYFUNCTION("""COMPUTED_VALUE"""),"M. 5809/ Surabaya")</f>
        <v>M. 5809/ Surabaya</v>
      </c>
      <c r="D317" s="7"/>
      <c r="E317" s="7"/>
      <c r="F317" s="9" t="str">
        <f>IFERROR(__xludf.DUMMYFUNCTION("""COMPUTED_VALUE"""),"")</f>
        <v/>
      </c>
      <c r="G317" s="7" t="str">
        <f>IFERROR(__xludf.DUMMYFUNCTION("""COMPUTED_VALUE"""),"Pengecekkan")</f>
        <v>Pengecekkan</v>
      </c>
      <c r="H317" s="7">
        <f t="shared" si="1"/>
        <v>159</v>
      </c>
    </row>
    <row r="318" ht="22.5" customHeight="1">
      <c r="B318" s="7" t="str">
        <f>IFERROR(__xludf.DUMMYFUNCTION("""COMPUTED_VALUE"""),"K/19/221024/5")</f>
        <v>K/19/221024/5</v>
      </c>
      <c r="C318" s="7" t="str">
        <f>IFERROR(__xludf.DUMMYFUNCTION("""COMPUTED_VALUE"""),"M. 9899/ Surabaya")</f>
        <v>M. 9899/ Surabaya</v>
      </c>
      <c r="D318" s="7"/>
      <c r="E318" s="7"/>
      <c r="F318" s="9" t="str">
        <f>IFERROR(__xludf.DUMMYFUNCTION("""COMPUTED_VALUE"""),"")</f>
        <v/>
      </c>
      <c r="G318" s="7" t="str">
        <f>IFERROR(__xludf.DUMMYFUNCTION("""COMPUTED_VALUE"""),"Pengecekkan")</f>
        <v>Pengecekkan</v>
      </c>
      <c r="H318" s="7">
        <f t="shared" si="1"/>
        <v>159</v>
      </c>
    </row>
    <row r="319" ht="22.5" customHeight="1">
      <c r="B319" s="7" t="str">
        <f>IFERROR(__xludf.DUMMYFUNCTION("""COMPUTED_VALUE"""),"K/20/221024/6")</f>
        <v>K/20/221024/6</v>
      </c>
      <c r="C319" s="7" t="str">
        <f>IFERROR(__xludf.DUMMYFUNCTION("""COMPUTED_VALUE"""),"M. 8940/ Surabaya")</f>
        <v>M. 8940/ Surabaya</v>
      </c>
      <c r="D319" s="7"/>
      <c r="E319" s="7"/>
      <c r="F319" s="9" t="str">
        <f>IFERROR(__xludf.DUMMYFUNCTION("""COMPUTED_VALUE"""),"")</f>
        <v/>
      </c>
      <c r="G319" s="7" t="str">
        <f>IFERROR(__xludf.DUMMYFUNCTION("""COMPUTED_VALUE"""),"Pengecekkan")</f>
        <v>Pengecekkan</v>
      </c>
      <c r="H319" s="7">
        <f t="shared" si="1"/>
        <v>159</v>
      </c>
    </row>
    <row r="320" ht="22.5" customHeight="1">
      <c r="B320" s="7" t="str">
        <f>IFERROR(__xludf.DUMMYFUNCTION("""COMPUTED_VALUE"""),"K/21/221024/7")</f>
        <v>K/21/221024/7</v>
      </c>
      <c r="C320" s="7" t="str">
        <f>IFERROR(__xludf.DUMMYFUNCTION("""COMPUTED_VALUE"""),"M. 9894/ Surabaya")</f>
        <v>M. 9894/ Surabaya</v>
      </c>
      <c r="D320" s="7"/>
      <c r="E320" s="7"/>
      <c r="F320" s="9" t="str">
        <f>IFERROR(__xludf.DUMMYFUNCTION("""COMPUTED_VALUE"""),"")</f>
        <v/>
      </c>
      <c r="G320" s="7" t="str">
        <f>IFERROR(__xludf.DUMMYFUNCTION("""COMPUTED_VALUE"""),"Pengecekkan")</f>
        <v>Pengecekkan</v>
      </c>
      <c r="H320" s="7">
        <f t="shared" si="1"/>
        <v>159</v>
      </c>
    </row>
    <row r="321" ht="22.5" customHeight="1">
      <c r="B321" s="7" t="str">
        <f>IFERROR(__xludf.DUMMYFUNCTION("""COMPUTED_VALUE"""),"K/22/221024/1")</f>
        <v>K/22/221024/1</v>
      </c>
      <c r="C321" s="7" t="str">
        <f>IFERROR(__xludf.DUMMYFUNCTION("""COMPUTED_VALUE"""),"NIBEL M.2999/BUMI KEDAMAIAN")</f>
        <v>NIBEL M.2999/BUMI KEDAMAIAN</v>
      </c>
      <c r="D321" s="7"/>
      <c r="E321" s="7"/>
      <c r="F321" s="9" t="str">
        <f>IFERROR(__xludf.DUMMYFUNCTION("""COMPUTED_VALUE"""),"")</f>
        <v/>
      </c>
      <c r="G321" s="7" t="str">
        <f>IFERROR(__xludf.DUMMYFUNCTION("""COMPUTED_VALUE"""),"PERALIHAN JUAL BELI")</f>
        <v>PERALIHAN JUAL BELI</v>
      </c>
      <c r="H321" s="7">
        <f t="shared" si="1"/>
        <v>159</v>
      </c>
    </row>
    <row r="322" ht="22.5" customHeight="1">
      <c r="B322" s="7" t="str">
        <f>IFERROR(__xludf.DUMMYFUNCTION("""COMPUTED_VALUE"""),"K/23/221024/8")</f>
        <v>K/23/221024/8</v>
      </c>
      <c r="C322" s="7" t="str">
        <f>IFERROR(__xludf.DUMMYFUNCTION("""COMPUTED_VALUE"""),"M. 560/ Korpri Raya - sekarang; M. 9773/ Sukarame I-Dahulu")</f>
        <v>M. 560/ Korpri Raya - sekarang; M. 9773/ Sukarame I-Dahulu</v>
      </c>
      <c r="D322" s="7"/>
      <c r="E322" s="7" t="str">
        <f>IFERROR(__xludf.DUMMYFUNCTION("""COMPUTED_VALUE"""),"PROSES")</f>
        <v>PROSES</v>
      </c>
      <c r="F322" s="9" t="str">
        <f>IFERROR(__xludf.DUMMYFUNCTION("""COMPUTED_VALUE"""),"")</f>
        <v/>
      </c>
      <c r="G322" s="7" t="str">
        <f>IFERROR(__xludf.DUMMYFUNCTION("""COMPUTED_VALUE"""),"BN Waris")</f>
        <v>BN Waris</v>
      </c>
      <c r="H322" s="7">
        <f t="shared" si="1"/>
        <v>159</v>
      </c>
    </row>
    <row r="323" ht="22.5" customHeight="1">
      <c r="B323" s="7" t="str">
        <f>IFERROR(__xludf.DUMMYFUNCTION("""COMPUTED_VALUE"""),"K/24/221024/3")</f>
        <v>K/24/221024/3</v>
      </c>
      <c r="C323" s="7" t="str">
        <f>IFERROR(__xludf.DUMMYFUNCTION("""COMPUTED_VALUE"""),"B. 314/ Labuhan Ratu")</f>
        <v>B. 314/ Labuhan Ratu</v>
      </c>
      <c r="D323" s="7"/>
      <c r="E323" s="7"/>
      <c r="F323" s="9" t="str">
        <f>IFERROR(__xludf.DUMMYFUNCTION("""COMPUTED_VALUE"""),"")</f>
        <v/>
      </c>
      <c r="G323" s="7" t="str">
        <f>IFERROR(__xludf.DUMMYFUNCTION("""COMPUTED_VALUE"""),"Gandes")</f>
        <v>Gandes</v>
      </c>
      <c r="H323" s="7">
        <f t="shared" si="1"/>
        <v>159</v>
      </c>
    </row>
    <row r="324" ht="22.5" customHeight="1">
      <c r="B324" s="7" t="str">
        <f>IFERROR(__xludf.DUMMYFUNCTION("""COMPUTED_VALUE"""),"K/25/221024/4")</f>
        <v>K/25/221024/4</v>
      </c>
      <c r="C324" s="7" t="str">
        <f>IFERROR(__xludf.DUMMYFUNCTION("""COMPUTED_VALUE"""),"B. 330/ Labuhan Ratu")</f>
        <v>B. 330/ Labuhan Ratu</v>
      </c>
      <c r="D324" s="7"/>
      <c r="E324" s="7"/>
      <c r="F324" s="9" t="str">
        <f>IFERROR(__xludf.DUMMYFUNCTION("""COMPUTED_VALUE"""),"")</f>
        <v/>
      </c>
      <c r="G324" s="7" t="str">
        <f>IFERROR(__xludf.DUMMYFUNCTION("""COMPUTED_VALUE"""),"Gandes")</f>
        <v>Gandes</v>
      </c>
      <c r="H324" s="7">
        <f t="shared" si="1"/>
        <v>159</v>
      </c>
    </row>
    <row r="325" ht="22.5" customHeight="1">
      <c r="B325" s="7" t="str">
        <f>IFERROR(__xludf.DUMMYFUNCTION("""COMPUTED_VALUE"""),"K/26/221024/5")</f>
        <v>K/26/221024/5</v>
      </c>
      <c r="C325" s="7" t="str">
        <f>IFERROR(__xludf.DUMMYFUNCTION("""COMPUTED_VALUE"""),"B. 325/ Labuhan Ratu")</f>
        <v>B. 325/ Labuhan Ratu</v>
      </c>
      <c r="D325" s="7"/>
      <c r="E325" s="7"/>
      <c r="F325" s="9" t="str">
        <f>IFERROR(__xludf.DUMMYFUNCTION("""COMPUTED_VALUE"""),"")</f>
        <v/>
      </c>
      <c r="G325" s="7" t="str">
        <f>IFERROR(__xludf.DUMMYFUNCTION("""COMPUTED_VALUE"""),"Gandes")</f>
        <v>Gandes</v>
      </c>
      <c r="H325" s="7">
        <f t="shared" si="1"/>
        <v>159</v>
      </c>
    </row>
    <row r="326" ht="22.5" customHeight="1">
      <c r="B326" s="7" t="str">
        <f>IFERROR(__xludf.DUMMYFUNCTION("""COMPUTED_VALUE"""),"K/28/221024/1")</f>
        <v>K/28/221024/1</v>
      </c>
      <c r="C326" s="7" t="str">
        <f>IFERROR(__xludf.DUMMYFUNCTION("""COMPUTED_VALUE"""),"B. 1206/ Kemiling Permai")</f>
        <v>B. 1206/ Kemiling Permai</v>
      </c>
      <c r="D326" s="7" t="str">
        <f>IFERROR(__xludf.DUMMYFUNCTION("""COMPUTED_VALUE"""),"David")</f>
        <v>David</v>
      </c>
      <c r="E326" s="7" t="str">
        <f>IFERROR(__xludf.DUMMYFUNCTION("""COMPUTED_VALUE"""),"DISERAHKAN")</f>
        <v>DISERAHKAN</v>
      </c>
      <c r="F326" s="9">
        <f>IFERROR(__xludf.DUMMYFUNCTION("""COMPUTED_VALUE"""),45588.38212512732)</f>
        <v>45588.38213</v>
      </c>
      <c r="G326" s="7" t="str">
        <f>IFERROR(__xludf.DUMMYFUNCTION("""COMPUTED_VALUE"""),"Bn Jual Beli")</f>
        <v>Bn Jual Beli</v>
      </c>
      <c r="H326" s="7">
        <f t="shared" si="1"/>
        <v>160</v>
      </c>
    </row>
    <row r="327" ht="22.5" customHeight="1">
      <c r="B327" s="7" t="str">
        <f>IFERROR(__xludf.DUMMYFUNCTION("""COMPUTED_VALUE"""),"K/27/221024/1")</f>
        <v>K/27/221024/1</v>
      </c>
      <c r="C327" s="7" t="str">
        <f>IFERROR(__xludf.DUMMYFUNCTION("""COMPUTED_VALUE"""),"M.1252/LANGKAPURA BARU")</f>
        <v>M.1252/LANGKAPURA BARU</v>
      </c>
      <c r="D327" s="7"/>
      <c r="E327" s="7" t="str">
        <f>IFERROR(__xludf.DUMMYFUNCTION("""COMPUTED_VALUE"""),"PROSES")</f>
        <v>PROSES</v>
      </c>
      <c r="F327" s="9" t="str">
        <f>IFERROR(__xludf.DUMMYFUNCTION("""COMPUTED_VALUE"""),"")</f>
        <v/>
      </c>
      <c r="G327" s="7" t="str">
        <f>IFERROR(__xludf.DUMMYFUNCTION("""COMPUTED_VALUE"""),"PERALIHAN JUAL BELI")</f>
        <v>PERALIHAN JUAL BELI</v>
      </c>
      <c r="H327" s="7">
        <f t="shared" si="1"/>
        <v>160</v>
      </c>
    </row>
    <row r="328" ht="22.5" customHeight="1">
      <c r="B328" s="7" t="str">
        <f>IFERROR(__xludf.DUMMYFUNCTION("""COMPUTED_VALUE"""),"K/29/221024/1")</f>
        <v>K/29/221024/1</v>
      </c>
      <c r="C328" s="7" t="str">
        <f>IFERROR(__xludf.DUMMYFUNCTION("""COMPUTED_VALUE"""),"M.1636/SUMBEREJO/KEMILING")</f>
        <v>M.1636/SUMBEREJO/KEMILING</v>
      </c>
      <c r="D328" s="7"/>
      <c r="E328" s="7"/>
      <c r="F328" s="9" t="str">
        <f>IFERROR(__xludf.DUMMYFUNCTION("""COMPUTED_VALUE"""),"")</f>
        <v/>
      </c>
      <c r="G328" s="7" t="str">
        <f>IFERROR(__xludf.DUMMYFUNCTION("""COMPUTED_VALUE"""),"PLOTING")</f>
        <v>PLOTING</v>
      </c>
      <c r="H328" s="7">
        <f t="shared" si="1"/>
        <v>160</v>
      </c>
    </row>
    <row r="329" ht="22.5" customHeight="1">
      <c r="B329" s="7" t="str">
        <f>IFERROR(__xludf.DUMMYFUNCTION("""COMPUTED_VALUE"""),"K/30/221024/2")</f>
        <v>K/30/221024/2</v>
      </c>
      <c r="C329" s="7" t="str">
        <f>IFERROR(__xludf.DUMMYFUNCTION("""COMPUTED_VALUE"""),"M.1898/BUMI WARAS")</f>
        <v>M.1898/BUMI WARAS</v>
      </c>
      <c r="D329" s="7"/>
      <c r="E329" s="7"/>
      <c r="F329" s="9" t="str">
        <f>IFERROR(__xludf.DUMMYFUNCTION("""COMPUTED_VALUE"""),"")</f>
        <v/>
      </c>
      <c r="G329" s="7" t="str">
        <f>IFERROR(__xludf.DUMMYFUNCTION("""COMPUTED_VALUE"""),"PLOTING")</f>
        <v>PLOTING</v>
      </c>
      <c r="H329" s="7">
        <f t="shared" si="1"/>
        <v>160</v>
      </c>
    </row>
    <row r="330" ht="22.5" customHeight="1">
      <c r="B330" s="7" t="str">
        <f>IFERROR(__xludf.DUMMYFUNCTION("""COMPUTED_VALUE"""),"K/32/221024/1")</f>
        <v>K/32/221024/1</v>
      </c>
      <c r="C330" s="7" t="str">
        <f>IFERROR(__xludf.DUMMYFUNCTION("""COMPUTED_VALUE"""),"Nibel. B. 2386/ P W K")</f>
        <v>Nibel. B. 2386/ P W K</v>
      </c>
      <c r="D330" s="7"/>
      <c r="E330" s="7"/>
      <c r="F330" s="9" t="str">
        <f>IFERROR(__xludf.DUMMYFUNCTION("""COMPUTED_VALUE"""),"")</f>
        <v/>
      </c>
      <c r="G330" s="7" t="str">
        <f>IFERROR(__xludf.DUMMYFUNCTION("""COMPUTED_VALUE"""),"Perubahan Hak")</f>
        <v>Perubahan Hak</v>
      </c>
      <c r="H330" s="7">
        <f t="shared" si="1"/>
        <v>160</v>
      </c>
    </row>
    <row r="331" ht="22.5" customHeight="1">
      <c r="B331" s="7" t="str">
        <f>IFERROR(__xludf.DUMMYFUNCTION("""COMPUTED_VALUE"""),"K/31/221024/3")</f>
        <v>K/31/221024/3</v>
      </c>
      <c r="C331" s="7" t="str">
        <f>IFERROR(__xludf.DUMMYFUNCTION("""COMPUTED_VALUE"""),"M.1459/KEMILING PERMAI")</f>
        <v>M.1459/KEMILING PERMAI</v>
      </c>
      <c r="D331" s="7" t="str">
        <f>IFERROR(__xludf.DUMMYFUNCTION("""COMPUTED_VALUE"""),"David")</f>
        <v>David</v>
      </c>
      <c r="E331" s="7" t="str">
        <f>IFERROR(__xludf.DUMMYFUNCTION("""COMPUTED_VALUE"""),"DISERAHKAN")</f>
        <v>DISERAHKAN</v>
      </c>
      <c r="F331" s="9">
        <f>IFERROR(__xludf.DUMMYFUNCTION("""COMPUTED_VALUE"""),45588.382509849536)</f>
        <v>45588.38251</v>
      </c>
      <c r="G331" s="7" t="str">
        <f>IFERROR(__xludf.DUMMYFUNCTION("""COMPUTED_VALUE"""),"PERALIHAN JUAL BELI")</f>
        <v>PERALIHAN JUAL BELI</v>
      </c>
      <c r="H331" s="7">
        <f t="shared" si="1"/>
        <v>161</v>
      </c>
    </row>
    <row r="332" ht="22.5" customHeight="1">
      <c r="B332" s="7" t="str">
        <f>IFERROR(__xludf.DUMMYFUNCTION("""COMPUTED_VALUE"""),"K/33/221024/1")</f>
        <v>K/33/221024/1</v>
      </c>
      <c r="C332" s="7" t="str">
        <f>IFERROR(__xludf.DUMMYFUNCTION("""COMPUTED_VALUE"""),"M. 2679/ Kota Baru")</f>
        <v>M. 2679/ Kota Baru</v>
      </c>
      <c r="D332" s="7" t="str">
        <f>IFERROR(__xludf.DUMMYFUNCTION("""COMPUTED_VALUE"""),"Sahelia")</f>
        <v>Sahelia</v>
      </c>
      <c r="E332" s="7" t="str">
        <f>IFERROR(__xludf.DUMMYFUNCTION("""COMPUTED_VALUE"""),"DISERAHKAN")</f>
        <v>DISERAHKAN</v>
      </c>
      <c r="F332" s="9">
        <f>IFERROR(__xludf.DUMMYFUNCTION("""COMPUTED_VALUE"""),45600.47311160879)</f>
        <v>45600.47311</v>
      </c>
      <c r="G332" s="7" t="str">
        <f>IFERROR(__xludf.DUMMYFUNCTION("""COMPUTED_VALUE"""),"BN Jual Beli")</f>
        <v>BN Jual Beli</v>
      </c>
      <c r="H332" s="7">
        <f t="shared" si="1"/>
        <v>162</v>
      </c>
    </row>
    <row r="333" ht="22.5" customHeight="1">
      <c r="B333" s="7" t="str">
        <f>IFERROR(__xludf.DUMMYFUNCTION("""COMPUTED_VALUE"""),"K/34/221024/1")</f>
        <v>K/34/221024/1</v>
      </c>
      <c r="C333" s="7" t="str">
        <f>IFERROR(__xludf.DUMMYFUNCTION("""COMPUTED_VALUE"""),"M.2138/NEGERI OLOK GADING")</f>
        <v>M.2138/NEGERI OLOK GADING</v>
      </c>
      <c r="D333" s="7" t="str">
        <f>IFERROR(__xludf.DUMMYFUNCTION("""COMPUTED_VALUE"""),"David")</f>
        <v>David</v>
      </c>
      <c r="E333" s="7" t="str">
        <f>IFERROR(__xludf.DUMMYFUNCTION("""COMPUTED_VALUE"""),"DISERAHKAN")</f>
        <v>DISERAHKAN</v>
      </c>
      <c r="F333" s="9">
        <f>IFERROR(__xludf.DUMMYFUNCTION("""COMPUTED_VALUE"""),45588.38286563657)</f>
        <v>45588.38287</v>
      </c>
      <c r="G333" s="7" t="str">
        <f>IFERROR(__xludf.DUMMYFUNCTION("""COMPUTED_VALUE"""),"PERALIHAN JUAL BELI")</f>
        <v>PERALIHAN JUAL BELI</v>
      </c>
      <c r="H333" s="7">
        <f t="shared" si="1"/>
        <v>163</v>
      </c>
    </row>
    <row r="334" ht="22.5" customHeight="1">
      <c r="B334" s="7" t="str">
        <f>IFERROR(__xludf.DUMMYFUNCTION("""COMPUTED_VALUE"""),"K/35/221024/1")</f>
        <v>K/35/221024/1</v>
      </c>
      <c r="C334" s="7" t="str">
        <f>IFERROR(__xludf.DUMMYFUNCTION("""COMPUTED_VALUE"""),"M. 10040/ Segala Mider")</f>
        <v>M. 10040/ Segala Mider</v>
      </c>
      <c r="D334" s="7"/>
      <c r="E334" s="7"/>
      <c r="F334" s="9" t="str">
        <f>IFERROR(__xludf.DUMMYFUNCTION("""COMPUTED_VALUE"""),"")</f>
        <v/>
      </c>
      <c r="G334" s="7" t="str">
        <f>IFERROR(__xludf.DUMMYFUNCTION("""COMPUTED_VALUE"""),"PTPGT Pemecahan")</f>
        <v>PTPGT Pemecahan</v>
      </c>
      <c r="H334" s="7">
        <f t="shared" si="1"/>
        <v>163</v>
      </c>
    </row>
    <row r="335" ht="22.5" customHeight="1">
      <c r="B335" s="7" t="str">
        <f>IFERROR(__xludf.DUMMYFUNCTION("""COMPUTED_VALUE"""),"K/36/221024/1")</f>
        <v>K/36/221024/1</v>
      </c>
      <c r="C335" s="7" t="str">
        <f>IFERROR(__xludf.DUMMYFUNCTION("""COMPUTED_VALUE"""),"M. 1399/ Beringin Jaya; M. 2912 Beringin Raya-dahulu; B. 2928/ Berringin Raya-dahulu")</f>
        <v>M. 1399/ Beringin Jaya; M. 2912 Beringin Raya-dahulu; B. 2928/ Berringin Raya-dahulu</v>
      </c>
      <c r="D335" s="7"/>
      <c r="E335" s="7" t="str">
        <f>IFERROR(__xludf.DUMMYFUNCTION("""COMPUTED_VALUE"""),"PROSES")</f>
        <v>PROSES</v>
      </c>
      <c r="F335" s="9" t="str">
        <f>IFERROR(__xludf.DUMMYFUNCTION("""COMPUTED_VALUE"""),"")</f>
        <v/>
      </c>
      <c r="G335" s="7" t="str">
        <f>IFERROR(__xludf.DUMMYFUNCTION("""COMPUTED_VALUE"""),"BN Jual Beli")</f>
        <v>BN Jual Beli</v>
      </c>
      <c r="H335" s="7">
        <f t="shared" si="1"/>
        <v>163</v>
      </c>
    </row>
    <row r="336" ht="22.5" customHeight="1">
      <c r="B336" s="7" t="str">
        <f>IFERROR(__xludf.DUMMYFUNCTION("""COMPUTED_VALUE"""),"K/38/221024/2")</f>
        <v>K/38/221024/2</v>
      </c>
      <c r="C336" s="7" t="str">
        <f>IFERROR(__xludf.DUMMYFUNCTION("""COMPUTED_VALUE"""),"M. 2050/ L R R; M. 11134/ Labuhan Ratu-dahulu")</f>
        <v>M. 2050/ L R R; M. 11134/ Labuhan Ratu-dahulu</v>
      </c>
      <c r="D336" s="7" t="str">
        <f>IFERROR(__xludf.DUMMYFUNCTION("""COMPUTED_VALUE"""),"David")</f>
        <v>David</v>
      </c>
      <c r="E336" s="7" t="str">
        <f>IFERROR(__xludf.DUMMYFUNCTION("""COMPUTED_VALUE"""),"DISERAHKAN")</f>
        <v>DISERAHKAN</v>
      </c>
      <c r="F336" s="9">
        <f>IFERROR(__xludf.DUMMYFUNCTION("""COMPUTED_VALUE"""),45609.44697456018)</f>
        <v>45609.44697</v>
      </c>
      <c r="G336" s="7" t="str">
        <f>IFERROR(__xludf.DUMMYFUNCTION("""COMPUTED_VALUE"""),"BN Waris")</f>
        <v>BN Waris</v>
      </c>
      <c r="H336" s="7">
        <f t="shared" si="1"/>
        <v>164</v>
      </c>
    </row>
    <row r="337" ht="22.5" customHeight="1">
      <c r="B337" s="7" t="str">
        <f>IFERROR(__xludf.DUMMYFUNCTION("""COMPUTED_VALUE"""),"K/37/221024/1")</f>
        <v>K/37/221024/1</v>
      </c>
      <c r="C337" s="7" t="str">
        <f>IFERROR(__xludf.DUMMYFUNCTION("""COMPUTED_VALUE"""),"M. 14029/ Tanjung Baru")</f>
        <v>M. 14029/ Tanjung Baru</v>
      </c>
      <c r="D337" s="7"/>
      <c r="E337" s="7" t="str">
        <f>IFERROR(__xludf.DUMMYFUNCTION("""COMPUTED_VALUE"""),"PROSES")</f>
        <v>PROSES</v>
      </c>
      <c r="F337" s="9" t="str">
        <f>IFERROR(__xludf.DUMMYFUNCTION("""COMPUTED_VALUE"""),"")</f>
        <v/>
      </c>
      <c r="G337" s="7" t="str">
        <f>IFERROR(__xludf.DUMMYFUNCTION("""COMPUTED_VALUE"""),"BN Hibah")</f>
        <v>BN Hibah</v>
      </c>
      <c r="H337" s="7">
        <f t="shared" si="1"/>
        <v>164</v>
      </c>
    </row>
    <row r="338" ht="22.5" customHeight="1">
      <c r="B338" s="7" t="str">
        <f>IFERROR(__xludf.DUMMYFUNCTION("""COMPUTED_VALUE"""),"K/42/221024/4")</f>
        <v>K/42/221024/4</v>
      </c>
      <c r="C338" s="7" t="str">
        <f>IFERROR(__xludf.DUMMYFUNCTION("""COMPUTED_VALUE"""),"M. 5090/ Way Kandis")</f>
        <v>M. 5090/ Way Kandis</v>
      </c>
      <c r="D338" s="7"/>
      <c r="E338" s="7"/>
      <c r="F338" s="9" t="str">
        <f>IFERROR(__xludf.DUMMYFUNCTION("""COMPUTED_VALUE"""),"")</f>
        <v/>
      </c>
      <c r="G338" s="7" t="str">
        <f>IFERROR(__xludf.DUMMYFUNCTION("""COMPUTED_VALUE"""),"Hapus BPHTB")</f>
        <v>Hapus BPHTB</v>
      </c>
      <c r="H338" s="7">
        <f t="shared" si="1"/>
        <v>164</v>
      </c>
    </row>
    <row r="339" ht="22.5" customHeight="1">
      <c r="B339" s="7" t="str">
        <f>IFERROR(__xludf.DUMMYFUNCTION("""COMPUTED_VALUE"""),"K/41/221024/3")</f>
        <v>K/41/221024/3</v>
      </c>
      <c r="C339" s="7" t="str">
        <f>IFERROR(__xludf.DUMMYFUNCTION("""COMPUTED_VALUE"""),"M. 1069/ Rajabasa Pemuka")</f>
        <v>M. 1069/ Rajabasa Pemuka</v>
      </c>
      <c r="D339" s="7" t="str">
        <f>IFERROR(__xludf.DUMMYFUNCTION("""COMPUTED_VALUE"""),"Sahelia")</f>
        <v>Sahelia</v>
      </c>
      <c r="E339" s="7" t="str">
        <f>IFERROR(__xludf.DUMMYFUNCTION("""COMPUTED_VALUE"""),"DISERAHKAN")</f>
        <v>DISERAHKAN</v>
      </c>
      <c r="F339" s="9">
        <f>IFERROR(__xludf.DUMMYFUNCTION("""COMPUTED_VALUE"""),45601.42123414352)</f>
        <v>45601.42123</v>
      </c>
      <c r="G339" s="7" t="str">
        <f>IFERROR(__xludf.DUMMYFUNCTION("""COMPUTED_VALUE"""),"BN Jual Beli")</f>
        <v>BN Jual Beli</v>
      </c>
      <c r="H339" s="7">
        <f t="shared" si="1"/>
        <v>165</v>
      </c>
    </row>
    <row r="340" ht="22.5" customHeight="1">
      <c r="B340" s="7" t="str">
        <f>IFERROR(__xludf.DUMMYFUNCTION("""COMPUTED_VALUE"""),"K/40/221024/2")</f>
        <v>K/40/221024/2</v>
      </c>
      <c r="C340" s="7" t="str">
        <f>IFERROR(__xludf.DUMMYFUNCTION("""COMPUTED_VALUE"""),"M. 2152/ Sepang Jaya")</f>
        <v>M. 2152/ Sepang Jaya</v>
      </c>
      <c r="D340" s="7" t="str">
        <f>IFERROR(__xludf.DUMMYFUNCTION("""COMPUTED_VALUE"""),"David")</f>
        <v>David</v>
      </c>
      <c r="E340" s="7" t="str">
        <f>IFERROR(__xludf.DUMMYFUNCTION("""COMPUTED_VALUE"""),"DISERAHKAN")</f>
        <v>DISERAHKAN</v>
      </c>
      <c r="F340" s="9">
        <f>IFERROR(__xludf.DUMMYFUNCTION("""COMPUTED_VALUE"""),45588.38385291667)</f>
        <v>45588.38385</v>
      </c>
      <c r="G340" s="7" t="str">
        <f>IFERROR(__xludf.DUMMYFUNCTION("""COMPUTED_VALUE"""),"BN Jual Beli")</f>
        <v>BN Jual Beli</v>
      </c>
      <c r="H340" s="7">
        <f t="shared" si="1"/>
        <v>166</v>
      </c>
    </row>
    <row r="341" ht="22.5" customHeight="1">
      <c r="B341" s="7" t="str">
        <f>IFERROR(__xludf.DUMMYFUNCTION("""COMPUTED_VALUE"""),"K/39/221024/1")</f>
        <v>K/39/221024/1</v>
      </c>
      <c r="C341" s="7" t="str">
        <f>IFERROR(__xludf.DUMMYFUNCTION("""COMPUTED_VALUE"""),"M. 6475/ Way Kandis")</f>
        <v>M. 6475/ Way Kandis</v>
      </c>
      <c r="D341" s="7" t="str">
        <f>IFERROR(__xludf.DUMMYFUNCTION("""COMPUTED_VALUE"""),"Sahelia")</f>
        <v>Sahelia</v>
      </c>
      <c r="E341" s="7" t="str">
        <f>IFERROR(__xludf.DUMMYFUNCTION("""COMPUTED_VALUE"""),"DISERAHKAN")</f>
        <v>DISERAHKAN</v>
      </c>
      <c r="F341" s="9">
        <f>IFERROR(__xludf.DUMMYFUNCTION("""COMPUTED_VALUE"""),45608.583333877315)</f>
        <v>45608.58333</v>
      </c>
      <c r="G341" s="7" t="str">
        <f>IFERROR(__xludf.DUMMYFUNCTION("""COMPUTED_VALUE"""),"BN Jual Beli")</f>
        <v>BN Jual Beli</v>
      </c>
      <c r="H341" s="7">
        <f t="shared" si="1"/>
        <v>167</v>
      </c>
    </row>
    <row r="342" ht="22.5" customHeight="1">
      <c r="B342" s="7" t="str">
        <f>IFERROR(__xludf.DUMMYFUNCTION("""COMPUTED_VALUE"""),"K/43/221024/1")</f>
        <v>K/43/221024/1</v>
      </c>
      <c r="C342" s="7" t="str">
        <f>IFERROR(__xludf.DUMMYFUNCTION("""COMPUTED_VALUE"""),"M. 5455/ Tanjung Seneng")</f>
        <v>M. 5455/ Tanjung Seneng</v>
      </c>
      <c r="D342" s="7" t="str">
        <f>IFERROR(__xludf.DUMMYFUNCTION("""COMPUTED_VALUE"""),"David")</f>
        <v>David</v>
      </c>
      <c r="E342" s="7" t="str">
        <f>IFERROR(__xludf.DUMMYFUNCTION("""COMPUTED_VALUE"""),"DISERAHKAN")</f>
        <v>DISERAHKAN</v>
      </c>
      <c r="F342" s="9">
        <f>IFERROR(__xludf.DUMMYFUNCTION("""COMPUTED_VALUE"""),45588.38406445602)</f>
        <v>45588.38406</v>
      </c>
      <c r="G342" s="7" t="str">
        <f>IFERROR(__xludf.DUMMYFUNCTION("""COMPUTED_VALUE"""),"BN Jual Beli")</f>
        <v>BN Jual Beli</v>
      </c>
      <c r="H342" s="7">
        <f t="shared" si="1"/>
        <v>168</v>
      </c>
    </row>
    <row r="343" ht="22.5" customHeight="1">
      <c r="B343" s="7" t="str">
        <f>IFERROR(__xludf.DUMMYFUNCTION("""COMPUTED_VALUE"""),"K/44/221024/2")</f>
        <v>K/44/221024/2</v>
      </c>
      <c r="C343" s="7" t="str">
        <f>IFERROR(__xludf.DUMMYFUNCTION("""COMPUTED_VALUE"""),"M. 2956/ Sukarame Baru- sekarang; M. 16805/ Sukarame I")</f>
        <v>M. 2956/ Sukarame Baru- sekarang; M. 16805/ Sukarame I</v>
      </c>
      <c r="D343" s="7" t="str">
        <f>IFERROR(__xludf.DUMMYFUNCTION("""COMPUTED_VALUE"""),"Berry")</f>
        <v>Berry</v>
      </c>
      <c r="E343" s="7" t="str">
        <f>IFERROR(__xludf.DUMMYFUNCTION("""COMPUTED_VALUE"""),"DISERAHKAN")</f>
        <v>DISERAHKAN</v>
      </c>
      <c r="F343" s="9">
        <f>IFERROR(__xludf.DUMMYFUNCTION("""COMPUTED_VALUE"""),45604.624999884254)</f>
        <v>45604.625</v>
      </c>
      <c r="G343" s="7" t="str">
        <f>IFERROR(__xludf.DUMMYFUNCTION("""COMPUTED_VALUE"""),"BN Waris")</f>
        <v>BN Waris</v>
      </c>
      <c r="H343" s="7">
        <f t="shared" si="1"/>
        <v>169</v>
      </c>
    </row>
    <row r="344" ht="22.5" customHeight="1">
      <c r="B344" s="7" t="str">
        <f>IFERROR(__xludf.DUMMYFUNCTION("""COMPUTED_VALUE"""),"K/45/221024/1")</f>
        <v>K/45/221024/1</v>
      </c>
      <c r="C344" s="7" t="str">
        <f>IFERROR(__xludf.DUMMYFUNCTION("""COMPUTED_VALUE"""),"M. 543/ Sumur Putri")</f>
        <v>M. 543/ Sumur Putri</v>
      </c>
      <c r="D344" s="7" t="str">
        <f>IFERROR(__xludf.DUMMYFUNCTION("""COMPUTED_VALUE"""),"David")</f>
        <v>David</v>
      </c>
      <c r="E344" s="7" t="str">
        <f>IFERROR(__xludf.DUMMYFUNCTION("""COMPUTED_VALUE"""),"DISERAHKAN")</f>
        <v>DISERAHKAN</v>
      </c>
      <c r="F344" s="9">
        <f>IFERROR(__xludf.DUMMYFUNCTION("""COMPUTED_VALUE"""),45588.384359398144)</f>
        <v>45588.38436</v>
      </c>
      <c r="G344" s="7" t="str">
        <f>IFERROR(__xludf.DUMMYFUNCTION("""COMPUTED_VALUE"""),"Roya")</f>
        <v>Roya</v>
      </c>
      <c r="H344" s="7">
        <f t="shared" si="1"/>
        <v>170</v>
      </c>
    </row>
    <row r="345" ht="22.5" customHeight="1">
      <c r="B345" s="7" t="str">
        <f>IFERROR(__xludf.DUMMYFUNCTION("""COMPUTED_VALUE"""),"K/46/221024/1")</f>
        <v>K/46/221024/1</v>
      </c>
      <c r="C345" s="7" t="str">
        <f>IFERROR(__xludf.DUMMYFUNCTION("""COMPUTED_VALUE"""),"M. 12400/ Kedaton")</f>
        <v>M. 12400/ Kedaton</v>
      </c>
      <c r="D345" s="7"/>
      <c r="E345" s="7"/>
      <c r="F345" s="9" t="str">
        <f>IFERROR(__xludf.DUMMYFUNCTION("""COMPUTED_VALUE"""),"")</f>
        <v/>
      </c>
      <c r="G345" s="7" t="str">
        <f>IFERROR(__xludf.DUMMYFUNCTION("""COMPUTED_VALUE"""),"Plotting")</f>
        <v>Plotting</v>
      </c>
      <c r="H345" s="7">
        <f t="shared" si="1"/>
        <v>170</v>
      </c>
    </row>
    <row r="346" ht="22.5" customHeight="1">
      <c r="B346" s="7" t="str">
        <f>IFERROR(__xludf.DUMMYFUNCTION("""COMPUTED_VALUE"""),"K/47/221024/1")</f>
        <v>K/47/221024/1</v>
      </c>
      <c r="C346" s="7" t="str">
        <f>IFERROR(__xludf.DUMMYFUNCTION("""COMPUTED_VALUE"""),"M. 417/ Nusantara Permai")</f>
        <v>M. 417/ Nusantara Permai</v>
      </c>
      <c r="D346" s="7" t="str">
        <f>IFERROR(__xludf.DUMMYFUNCTION("""COMPUTED_VALUE"""),"Berry")</f>
        <v>Berry</v>
      </c>
      <c r="E346" s="7" t="str">
        <f>IFERROR(__xludf.DUMMYFUNCTION("""COMPUTED_VALUE"""),"DISERAHKAN")</f>
        <v>DISERAHKAN</v>
      </c>
      <c r="F346" s="9">
        <f>IFERROR(__xludf.DUMMYFUNCTION("""COMPUTED_VALUE"""),45608.659986597224)</f>
        <v>45608.65999</v>
      </c>
      <c r="G346" s="7" t="str">
        <f>IFERROR(__xludf.DUMMYFUNCTION("""COMPUTED_VALUE"""),"Plotting")</f>
        <v>Plotting</v>
      </c>
      <c r="H346" s="7">
        <f t="shared" si="1"/>
        <v>171</v>
      </c>
    </row>
    <row r="347" ht="22.5" customHeight="1">
      <c r="B347" s="7" t="str">
        <f>IFERROR(__xludf.DUMMYFUNCTION("""COMPUTED_VALUE"""),"K/49/221024/1")</f>
        <v>K/49/221024/1</v>
      </c>
      <c r="C347" s="7" t="str">
        <f>IFERROR(__xludf.DUMMYFUNCTION("""COMPUTED_VALUE"""),"M. 351/ Sumber Rejo")</f>
        <v>M. 351/ Sumber Rejo</v>
      </c>
      <c r="D347" s="7" t="str">
        <f>IFERROR(__xludf.DUMMYFUNCTION("""COMPUTED_VALUE"""),"Rahma")</f>
        <v>Rahma</v>
      </c>
      <c r="E347" s="7" t="str">
        <f>IFERROR(__xludf.DUMMYFUNCTION("""COMPUTED_VALUE"""),"DISERAHKAN")</f>
        <v>DISERAHKAN</v>
      </c>
      <c r="F347" s="9">
        <f>IFERROR(__xludf.DUMMYFUNCTION("""COMPUTED_VALUE"""),45588.46425719907)</f>
        <v>45588.46426</v>
      </c>
      <c r="G347" s="7" t="str">
        <f>IFERROR(__xludf.DUMMYFUNCTION("""COMPUTED_VALUE"""),"Roya")</f>
        <v>Roya</v>
      </c>
      <c r="H347" s="7">
        <f t="shared" si="1"/>
        <v>172</v>
      </c>
    </row>
    <row r="348" ht="22.5" customHeight="1">
      <c r="B348" s="7" t="str">
        <f>IFERROR(__xludf.DUMMYFUNCTION("""COMPUTED_VALUE"""),"K/50/221024/1")</f>
        <v>K/50/221024/1</v>
      </c>
      <c r="C348" s="7" t="str">
        <f>IFERROR(__xludf.DUMMYFUNCTION("""COMPUTED_VALUE"""),"M. 1410/ Bumi Waras")</f>
        <v>M. 1410/ Bumi Waras</v>
      </c>
      <c r="D348" s="7"/>
      <c r="E348" s="7"/>
      <c r="F348" s="9" t="str">
        <f>IFERROR(__xludf.DUMMYFUNCTION("""COMPUTED_VALUE"""),"")</f>
        <v/>
      </c>
      <c r="G348" s="7" t="str">
        <f>IFERROR(__xludf.DUMMYFUNCTION("""COMPUTED_VALUE"""),"Ganti Kelurahan")</f>
        <v>Ganti Kelurahan</v>
      </c>
      <c r="H348" s="7">
        <f t="shared" si="1"/>
        <v>172</v>
      </c>
    </row>
    <row r="349" ht="22.5" customHeight="1">
      <c r="B349" s="7" t="str">
        <f>IFERROR(__xludf.DUMMYFUNCTION("""COMPUTED_VALUE"""),"K/48/221024/1")</f>
        <v>K/48/221024/1</v>
      </c>
      <c r="C349" s="7" t="str">
        <f>IFERROR(__xludf.DUMMYFUNCTION("""COMPUTED_VALUE"""),"B.578/KEMILING PERMAI")</f>
        <v>B.578/KEMILING PERMAI</v>
      </c>
      <c r="D349" s="7" t="str">
        <f>IFERROR(__xludf.DUMMYFUNCTION("""COMPUTED_VALUE"""),"Rahma")</f>
        <v>Rahma</v>
      </c>
      <c r="E349" s="7" t="str">
        <f>IFERROR(__xludf.DUMMYFUNCTION("""COMPUTED_VALUE"""),"DISERAHKAN")</f>
        <v>DISERAHKAN</v>
      </c>
      <c r="F349" s="9">
        <f>IFERROR(__xludf.DUMMYFUNCTION("""COMPUTED_VALUE"""),45588.46425719907)</f>
        <v>45588.46426</v>
      </c>
      <c r="G349" s="7" t="str">
        <f>IFERROR(__xludf.DUMMYFUNCTION("""COMPUTED_VALUE"""),"PERALIHAN JUAL BELI")</f>
        <v>PERALIHAN JUAL BELI</v>
      </c>
      <c r="H349" s="7">
        <f t="shared" si="1"/>
        <v>173</v>
      </c>
    </row>
    <row r="350" ht="22.5" customHeight="1">
      <c r="B350" s="7" t="str">
        <f>IFERROR(__xludf.DUMMYFUNCTION("""COMPUTED_VALUE"""),"L/54/221024/1")</f>
        <v>L/54/221024/1</v>
      </c>
      <c r="C350" s="7" t="str">
        <f>IFERROR(__xludf.DUMMYFUNCTION("""COMPUTED_VALUE"""),"HM 2260/NOG")</f>
        <v>HM 2260/NOG</v>
      </c>
      <c r="D350" s="7"/>
      <c r="E350" s="7"/>
      <c r="F350" s="9" t="str">
        <f>IFERROR(__xludf.DUMMYFUNCTION("""COMPUTED_VALUE"""),"")</f>
        <v/>
      </c>
      <c r="G350" s="7" t="str">
        <f>IFERROR(__xludf.DUMMYFUNCTION("""COMPUTED_VALUE"""),"GANDES")</f>
        <v>GANDES</v>
      </c>
      <c r="H350" s="7">
        <f t="shared" si="1"/>
        <v>173</v>
      </c>
    </row>
    <row r="351" ht="22.5" customHeight="1">
      <c r="B351" s="7" t="str">
        <f>IFERROR(__xludf.DUMMYFUNCTION("""COMPUTED_VALUE"""),"K/51/221024/1")</f>
        <v>K/51/221024/1</v>
      </c>
      <c r="C351" s="7" t="str">
        <f>IFERROR(__xludf.DUMMYFUNCTION("""COMPUTED_VALUE"""),"M. 1358/ Sukajawa")</f>
        <v>M. 1358/ Sukajawa</v>
      </c>
      <c r="D351" s="7"/>
      <c r="E351" s="7"/>
      <c r="F351" s="9" t="str">
        <f>IFERROR(__xludf.DUMMYFUNCTION("""COMPUTED_VALUE"""),"")</f>
        <v/>
      </c>
      <c r="G351" s="7" t="str">
        <f>IFERROR(__xludf.DUMMYFUNCTION("""COMPUTED_VALUE"""),"Plotting")</f>
        <v>Plotting</v>
      </c>
      <c r="H351" s="7">
        <f t="shared" si="1"/>
        <v>173</v>
      </c>
    </row>
    <row r="352" ht="22.5" customHeight="1">
      <c r="B352" s="7" t="str">
        <f>IFERROR(__xludf.DUMMYFUNCTION("""COMPUTED_VALUE"""),"K/55/221024/1")</f>
        <v>K/55/221024/1</v>
      </c>
      <c r="C352" s="7" t="str">
        <f>IFERROR(__xludf.DUMMYFUNCTION("""COMPUTED_VALUE"""),"M.671/ENGGAL")</f>
        <v>M.671/ENGGAL</v>
      </c>
      <c r="D352" s="7" t="str">
        <f>IFERROR(__xludf.DUMMYFUNCTION("""COMPUTED_VALUE"""),"Rahma")</f>
        <v>Rahma</v>
      </c>
      <c r="E352" s="7" t="str">
        <f>IFERROR(__xludf.DUMMYFUNCTION("""COMPUTED_VALUE"""),"DISERAHKAN")</f>
        <v>DISERAHKAN</v>
      </c>
      <c r="F352" s="9">
        <f>IFERROR(__xludf.DUMMYFUNCTION("""COMPUTED_VALUE"""),45588.46425719907)</f>
        <v>45588.46426</v>
      </c>
      <c r="G352" s="7" t="str">
        <f>IFERROR(__xludf.DUMMYFUNCTION("""COMPUTED_VALUE"""),"PERALIHAN JUAL BELI")</f>
        <v>PERALIHAN JUAL BELI</v>
      </c>
      <c r="H352" s="7">
        <f t="shared" si="1"/>
        <v>174</v>
      </c>
    </row>
    <row r="353" ht="22.5" customHeight="1">
      <c r="B353" s="7" t="str">
        <f>IFERROR(__xludf.DUMMYFUNCTION("""COMPUTED_VALUE"""),"K/57/221024/1")</f>
        <v>K/57/221024/1</v>
      </c>
      <c r="C353" s="7" t="str">
        <f>IFERROR(__xludf.DUMMYFUNCTION("""COMPUTED_VALUE"""),"M. 1470/ Sukamaju")</f>
        <v>M. 1470/ Sukamaju</v>
      </c>
      <c r="D353" s="7" t="str">
        <f>IFERROR(__xludf.DUMMYFUNCTION("""COMPUTED_VALUE"""),"Rahma")</f>
        <v>Rahma</v>
      </c>
      <c r="E353" s="7" t="str">
        <f>IFERROR(__xludf.DUMMYFUNCTION("""COMPUTED_VALUE"""),"DISERAHKAN")</f>
        <v>DISERAHKAN</v>
      </c>
      <c r="F353" s="9">
        <f>IFERROR(__xludf.DUMMYFUNCTION("""COMPUTED_VALUE"""),45588.46425721065)</f>
        <v>45588.46426</v>
      </c>
      <c r="G353" s="7" t="str">
        <f>IFERROR(__xludf.DUMMYFUNCTION("""COMPUTED_VALUE"""),"BN Jual Beli")</f>
        <v>BN Jual Beli</v>
      </c>
      <c r="H353" s="7">
        <f t="shared" si="1"/>
        <v>175</v>
      </c>
    </row>
    <row r="354" ht="22.5" customHeight="1">
      <c r="B354" s="7" t="str">
        <f>IFERROR(__xludf.DUMMYFUNCTION("""COMPUTED_VALUE"""),"K/52/221024/2")</f>
        <v>K/52/221024/2</v>
      </c>
      <c r="C354" s="7" t="str">
        <f>IFERROR(__xludf.DUMMYFUNCTION("""COMPUTED_VALUE"""),"M. 1991/ L R R")</f>
        <v>M. 1991/ L R R</v>
      </c>
      <c r="D354" s="7" t="str">
        <f>IFERROR(__xludf.DUMMYFUNCTION("""COMPUTED_VALUE"""),"Rahma")</f>
        <v>Rahma</v>
      </c>
      <c r="E354" s="7" t="str">
        <f>IFERROR(__xludf.DUMMYFUNCTION("""COMPUTED_VALUE"""),"DISERAHKAN")</f>
        <v>DISERAHKAN</v>
      </c>
      <c r="F354" s="9">
        <f>IFERROR(__xludf.DUMMYFUNCTION("""COMPUTED_VALUE"""),45588.46425721065)</f>
        <v>45588.46426</v>
      </c>
      <c r="G354" s="7" t="str">
        <f>IFERROR(__xludf.DUMMYFUNCTION("""COMPUTED_VALUE"""),"BN Jual Beli")</f>
        <v>BN Jual Beli</v>
      </c>
      <c r="H354" s="7">
        <f t="shared" si="1"/>
        <v>176</v>
      </c>
    </row>
    <row r="355" ht="22.5" customHeight="1">
      <c r="B355" s="7" t="str">
        <f>IFERROR(__xludf.DUMMYFUNCTION("""COMPUTED_VALUE"""),"K/53/221024/3")</f>
        <v>K/53/221024/3</v>
      </c>
      <c r="C355" s="7" t="str">
        <f>IFERROR(__xludf.DUMMYFUNCTION("""COMPUTED_VALUE"""),"M. 1992/ L R R")</f>
        <v>M. 1992/ L R R</v>
      </c>
      <c r="D355" s="7" t="str">
        <f>IFERROR(__xludf.DUMMYFUNCTION("""COMPUTED_VALUE"""),"Rahma")</f>
        <v>Rahma</v>
      </c>
      <c r="E355" s="7" t="str">
        <f>IFERROR(__xludf.DUMMYFUNCTION("""COMPUTED_VALUE"""),"DISERAHKAN")</f>
        <v>DISERAHKAN</v>
      </c>
      <c r="F355" s="9">
        <f>IFERROR(__xludf.DUMMYFUNCTION("""COMPUTED_VALUE"""),45588.46425721065)</f>
        <v>45588.46426</v>
      </c>
      <c r="G355" s="7" t="str">
        <f>IFERROR(__xludf.DUMMYFUNCTION("""COMPUTED_VALUE"""),"BN Jual Beli")</f>
        <v>BN Jual Beli</v>
      </c>
      <c r="H355" s="7">
        <f t="shared" si="1"/>
        <v>177</v>
      </c>
    </row>
    <row r="356" ht="22.5" customHeight="1">
      <c r="B356" s="7" t="str">
        <f>IFERROR(__xludf.DUMMYFUNCTION("""COMPUTED_VALUE"""),"K/58/221024/2")</f>
        <v>K/58/221024/2</v>
      </c>
      <c r="C356" s="7" t="str">
        <f>IFERROR(__xludf.DUMMYFUNCTION("""COMPUTED_VALUE"""),"M. 1469/ Sukamaju")</f>
        <v>M. 1469/ Sukamaju</v>
      </c>
      <c r="D356" s="7" t="str">
        <f>IFERROR(__xludf.DUMMYFUNCTION("""COMPUTED_VALUE"""),"Rahma")</f>
        <v>Rahma</v>
      </c>
      <c r="E356" s="7" t="str">
        <f>IFERROR(__xludf.DUMMYFUNCTION("""COMPUTED_VALUE"""),"DISERAHKAN")</f>
        <v>DISERAHKAN</v>
      </c>
      <c r="F356" s="9">
        <f>IFERROR(__xludf.DUMMYFUNCTION("""COMPUTED_VALUE"""),45588.46425721065)</f>
        <v>45588.46426</v>
      </c>
      <c r="G356" s="7" t="str">
        <f>IFERROR(__xludf.DUMMYFUNCTION("""COMPUTED_VALUE"""),"BN Jual Beli")</f>
        <v>BN Jual Beli</v>
      </c>
      <c r="H356" s="7">
        <f t="shared" si="1"/>
        <v>178</v>
      </c>
    </row>
    <row r="357" ht="22.5" customHeight="1">
      <c r="B357" s="7" t="str">
        <f>IFERROR(__xludf.DUMMYFUNCTION("""COMPUTED_VALUE"""),"K/56/221024/2")</f>
        <v>K/56/221024/2</v>
      </c>
      <c r="C357" s="7" t="str">
        <f>IFERROR(__xludf.DUMMYFUNCTION("""COMPUTED_VALUE"""),"M.1107/PEMATANG WANGI-SEKARANG;M.792/TANJUNG SENENG-DAHULU")</f>
        <v>M.1107/PEMATANG WANGI-SEKARANG;M.792/TANJUNG SENENG-DAHULU</v>
      </c>
      <c r="D357" s="7" t="str">
        <f>IFERROR(__xludf.DUMMYFUNCTION("""COMPUTED_VALUE"""),"Rahma")</f>
        <v>Rahma</v>
      </c>
      <c r="E357" s="7" t="str">
        <f>IFERROR(__xludf.DUMMYFUNCTION("""COMPUTED_VALUE"""),"DISERAHKAN")</f>
        <v>DISERAHKAN</v>
      </c>
      <c r="F357" s="9">
        <f>IFERROR(__xludf.DUMMYFUNCTION("""COMPUTED_VALUE"""),45588.46425721065)</f>
        <v>45588.46426</v>
      </c>
      <c r="G357" s="7" t="str">
        <f>IFERROR(__xludf.DUMMYFUNCTION("""COMPUTED_VALUE"""),"PEMISAHAN")</f>
        <v>PEMISAHAN</v>
      </c>
      <c r="H357" s="7">
        <f t="shared" si="1"/>
        <v>179</v>
      </c>
    </row>
    <row r="358" ht="22.5" customHeight="1">
      <c r="B358" s="7" t="str">
        <f>IFERROR(__xludf.DUMMYFUNCTION("""COMPUTED_VALUE"""),"K/59/221024/1")</f>
        <v>K/59/221024/1</v>
      </c>
      <c r="C358" s="7" t="str">
        <f>IFERROR(__xludf.DUMMYFUNCTION("""COMPUTED_VALUE"""),"M.118/GEDUNG MENENG BARU-SEKARANG;M.9441/GEDUNG MENENG-DAHULU")</f>
        <v>M.118/GEDUNG MENENG BARU-SEKARANG;M.9441/GEDUNG MENENG-DAHULU</v>
      </c>
      <c r="D358" s="7"/>
      <c r="E358" s="7" t="str">
        <f>IFERROR(__xludf.DUMMYFUNCTION("""COMPUTED_VALUE"""),"PROSES")</f>
        <v>PROSES</v>
      </c>
      <c r="F358" s="9" t="str">
        <f>IFERROR(__xludf.DUMMYFUNCTION("""COMPUTED_VALUE"""),"")</f>
        <v/>
      </c>
      <c r="G358" s="7" t="str">
        <f>IFERROR(__xludf.DUMMYFUNCTION("""COMPUTED_VALUE"""),"KEWARISAN")</f>
        <v>KEWARISAN</v>
      </c>
      <c r="H358" s="7">
        <f t="shared" si="1"/>
        <v>179</v>
      </c>
    </row>
    <row r="359" ht="22.5" customHeight="1">
      <c r="B359" s="7" t="str">
        <f>IFERROR(__xludf.DUMMYFUNCTION("""COMPUTED_VALUE"""),"K/61/221024/1")</f>
        <v>K/61/221024/1</v>
      </c>
      <c r="C359" s="7" t="str">
        <f>IFERROR(__xludf.DUMMYFUNCTION("""COMPUTED_VALUE"""),"Nibel. M. 1018/ Tanjung Baru")</f>
        <v>Nibel. M. 1018/ Tanjung Baru</v>
      </c>
      <c r="D359" s="7"/>
      <c r="E359" s="7"/>
      <c r="F359" s="9" t="str">
        <f>IFERROR(__xludf.DUMMYFUNCTION("""COMPUTED_VALUE"""),"")</f>
        <v/>
      </c>
      <c r="G359" s="7" t="str">
        <f>IFERROR(__xludf.DUMMYFUNCTION("""COMPUTED_VALUE"""),"BN Jual Beli")</f>
        <v>BN Jual Beli</v>
      </c>
      <c r="H359" s="7">
        <f t="shared" si="1"/>
        <v>179</v>
      </c>
    </row>
    <row r="360" ht="22.5" customHeight="1">
      <c r="B360" s="7" t="str">
        <f>IFERROR(__xludf.DUMMYFUNCTION("""COMPUTED_VALUE"""),"K/64/221024/1")</f>
        <v>K/64/221024/1</v>
      </c>
      <c r="C360" s="7" t="str">
        <f>IFERROR(__xludf.DUMMYFUNCTION("""COMPUTED_VALUE"""),"M. 16736/ Sukabumi")</f>
        <v>M. 16736/ Sukabumi</v>
      </c>
      <c r="D360" s="7" t="str">
        <f>IFERROR(__xludf.DUMMYFUNCTION("""COMPUTED_VALUE"""),"Sahelia")</f>
        <v>Sahelia</v>
      </c>
      <c r="E360" s="7" t="str">
        <f>IFERROR(__xludf.DUMMYFUNCTION("""COMPUTED_VALUE"""),"DISERAHKAN")</f>
        <v>DISERAHKAN</v>
      </c>
      <c r="F360" s="9">
        <f>IFERROR(__xludf.DUMMYFUNCTION("""COMPUTED_VALUE"""),45600.47466302083)</f>
        <v>45600.47466</v>
      </c>
      <c r="G360" s="7" t="str">
        <f>IFERROR(__xludf.DUMMYFUNCTION("""COMPUTED_VALUE"""),"BN Jual Beli")</f>
        <v>BN Jual Beli</v>
      </c>
      <c r="H360" s="7">
        <f t="shared" si="1"/>
        <v>180</v>
      </c>
    </row>
    <row r="361" ht="22.5" customHeight="1">
      <c r="B361" s="7" t="str">
        <f>IFERROR(__xludf.DUMMYFUNCTION("""COMPUTED_VALUE"""),"K/62/221024/2")</f>
        <v>K/62/221024/2</v>
      </c>
      <c r="C361" s="7" t="str">
        <f>IFERROR(__xludf.DUMMYFUNCTION("""COMPUTED_VALUE"""),"M. 1603/ Bumi Kedamaian")</f>
        <v>M. 1603/ Bumi Kedamaian</v>
      </c>
      <c r="D361" s="7" t="str">
        <f>IFERROR(__xludf.DUMMYFUNCTION("""COMPUTED_VALUE"""),"Sahelia")</f>
        <v>Sahelia</v>
      </c>
      <c r="E361" s="7" t="str">
        <f>IFERROR(__xludf.DUMMYFUNCTION("""COMPUTED_VALUE"""),"DISERAHKAN")</f>
        <v>DISERAHKAN</v>
      </c>
      <c r="F361" s="9">
        <f>IFERROR(__xludf.DUMMYFUNCTION("""COMPUTED_VALUE"""),45601.42182121528)</f>
        <v>45601.42182</v>
      </c>
      <c r="G361" s="7" t="str">
        <f>IFERROR(__xludf.DUMMYFUNCTION("""COMPUTED_VALUE"""),"BN Jual Beli")</f>
        <v>BN Jual Beli</v>
      </c>
      <c r="H361" s="7">
        <f t="shared" si="1"/>
        <v>181</v>
      </c>
    </row>
    <row r="362" ht="22.5" customHeight="1">
      <c r="B362" s="7" t="str">
        <f>IFERROR(__xludf.DUMMYFUNCTION("""COMPUTED_VALUE"""),"K/65/221024/2")</f>
        <v>K/65/221024/2</v>
      </c>
      <c r="C362" s="7" t="str">
        <f>IFERROR(__xludf.DUMMYFUNCTION("""COMPUTED_VALUE"""),"M. 16640/ Sukabumi")</f>
        <v>M. 16640/ Sukabumi</v>
      </c>
      <c r="D362" s="7" t="str">
        <f>IFERROR(__xludf.DUMMYFUNCTION("""COMPUTED_VALUE"""),"Rahma")</f>
        <v>Rahma</v>
      </c>
      <c r="E362" s="7" t="str">
        <f>IFERROR(__xludf.DUMMYFUNCTION("""COMPUTED_VALUE"""),"DISERAHKAN")</f>
        <v>DISERAHKAN</v>
      </c>
      <c r="F362" s="9">
        <f>IFERROR(__xludf.DUMMYFUNCTION("""COMPUTED_VALUE"""),45588.46425721065)</f>
        <v>45588.46426</v>
      </c>
      <c r="G362" s="7" t="str">
        <f>IFERROR(__xludf.DUMMYFUNCTION("""COMPUTED_VALUE"""),"BN Jual Beli")</f>
        <v>BN Jual Beli</v>
      </c>
      <c r="H362" s="7">
        <f t="shared" si="1"/>
        <v>182</v>
      </c>
    </row>
    <row r="363" ht="22.5" customHeight="1">
      <c r="B363" s="7" t="str">
        <f>IFERROR(__xludf.DUMMYFUNCTION("""COMPUTED_VALUE"""),"K/63/221024/3")</f>
        <v>K/63/221024/3</v>
      </c>
      <c r="C363" s="7" t="str">
        <f>IFERROR(__xludf.DUMMYFUNCTION("""COMPUTED_VALUE"""),"M. 1601/ Bumi Kedamaian")</f>
        <v>M. 1601/ Bumi Kedamaian</v>
      </c>
      <c r="D363" s="7" t="str">
        <f>IFERROR(__xludf.DUMMYFUNCTION("""COMPUTED_VALUE"""),"Sahelia")</f>
        <v>Sahelia</v>
      </c>
      <c r="E363" s="7" t="str">
        <f>IFERROR(__xludf.DUMMYFUNCTION("""COMPUTED_VALUE"""),"DISERAHKAN")</f>
        <v>DISERAHKAN</v>
      </c>
      <c r="F363" s="9">
        <f>IFERROR(__xludf.DUMMYFUNCTION("""COMPUTED_VALUE"""),45600.47429244213)</f>
        <v>45600.47429</v>
      </c>
      <c r="G363" s="7" t="str">
        <f>IFERROR(__xludf.DUMMYFUNCTION("""COMPUTED_VALUE"""),"BN Jual Beli")</f>
        <v>BN Jual Beli</v>
      </c>
      <c r="H363" s="7">
        <f t="shared" si="1"/>
        <v>183</v>
      </c>
    </row>
    <row r="364" ht="22.5" customHeight="1">
      <c r="B364" s="7" t="str">
        <f>IFERROR(__xludf.DUMMYFUNCTION("""COMPUTED_VALUE"""),"K/60/221024/2")</f>
        <v>K/60/221024/2</v>
      </c>
      <c r="C364" s="7" t="str">
        <f>IFERROR(__xludf.DUMMYFUNCTION("""COMPUTED_VALUE"""),"NIBEL M 859/NUSANTARA PERMAI")</f>
        <v>NIBEL M 859/NUSANTARA PERMAI</v>
      </c>
      <c r="D364" s="7"/>
      <c r="E364" s="7"/>
      <c r="F364" s="9" t="str">
        <f>IFERROR(__xludf.DUMMYFUNCTION("""COMPUTED_VALUE"""),"")</f>
        <v/>
      </c>
      <c r="G364" s="7" t="str">
        <f>IFERROR(__xludf.DUMMYFUNCTION("""COMPUTED_VALUE"""),"HIBAH")</f>
        <v>HIBAH</v>
      </c>
      <c r="H364" s="7">
        <f t="shared" si="1"/>
        <v>183</v>
      </c>
    </row>
    <row r="365" ht="22.5" customHeight="1">
      <c r="B365" s="7" t="str">
        <f>IFERROR(__xludf.DUMMYFUNCTION("""COMPUTED_VALUE"""),"K/1/231024/1")</f>
        <v>K/1/231024/1</v>
      </c>
      <c r="C365" s="7" t="str">
        <f>IFERROR(__xludf.DUMMYFUNCTION("""COMPUTED_VALUE"""),"M. 2889/ Sukarame Baru- sekarang; M. 16509/ Sukarame-dahulu")</f>
        <v>M. 2889/ Sukarame Baru- sekarang; M. 16509/ Sukarame-dahulu</v>
      </c>
      <c r="D365" s="7"/>
      <c r="E365" s="7" t="str">
        <f>IFERROR(__xludf.DUMMYFUNCTION("""COMPUTED_VALUE"""),"PROSES")</f>
        <v>PROSES</v>
      </c>
      <c r="F365" s="9" t="str">
        <f>IFERROR(__xludf.DUMMYFUNCTION("""COMPUTED_VALUE"""),"")</f>
        <v/>
      </c>
      <c r="G365" s="7" t="str">
        <f>IFERROR(__xludf.DUMMYFUNCTION("""COMPUTED_VALUE"""),"BN Hibah")</f>
        <v>BN Hibah</v>
      </c>
      <c r="H365" s="7">
        <f t="shared" si="1"/>
        <v>183</v>
      </c>
    </row>
    <row r="366" ht="22.5" customHeight="1">
      <c r="B366" s="7" t="str">
        <f>IFERROR(__xludf.DUMMYFUNCTION("""COMPUTED_VALUE"""),"K/2/231024/2")</f>
        <v>K/2/231024/2</v>
      </c>
      <c r="C366" s="7" t="str">
        <f>IFERROR(__xludf.DUMMYFUNCTION("""COMPUTED_VALUE"""),"M. 2888/ Sukarame Baru- sekarang; M. 17475/ Sukarame I")</f>
        <v>M. 2888/ Sukarame Baru- sekarang; M. 17475/ Sukarame I</v>
      </c>
      <c r="D366" s="7" t="str">
        <f>IFERROR(__xludf.DUMMYFUNCTION("""COMPUTED_VALUE"""),"Berry")</f>
        <v>Berry</v>
      </c>
      <c r="E366" s="7" t="str">
        <f>IFERROR(__xludf.DUMMYFUNCTION("""COMPUTED_VALUE"""),"DISERAHKAN")</f>
        <v>DISERAHKAN</v>
      </c>
      <c r="F366" s="9">
        <f>IFERROR(__xludf.DUMMYFUNCTION("""COMPUTED_VALUE"""),45588.38733254629)</f>
        <v>45588.38733</v>
      </c>
      <c r="G366" s="7" t="str">
        <f>IFERROR(__xludf.DUMMYFUNCTION("""COMPUTED_VALUE"""),"BN Hibah")</f>
        <v>BN Hibah</v>
      </c>
      <c r="H366" s="7">
        <f t="shared" si="1"/>
        <v>184</v>
      </c>
    </row>
    <row r="367" ht="22.5" customHeight="1">
      <c r="B367" s="7" t="str">
        <f>IFERROR(__xludf.DUMMYFUNCTION("""COMPUTED_VALUE"""),"K/3/231024/1")</f>
        <v>K/3/231024/1</v>
      </c>
      <c r="C367" s="7" t="str">
        <f>IFERROR(__xludf.DUMMYFUNCTION("""COMPUTED_VALUE"""),"M. 1186/ Teluk betung")</f>
        <v>M. 1186/ Teluk betung</v>
      </c>
      <c r="D367" s="7" t="str">
        <f>IFERROR(__xludf.DUMMYFUNCTION("""COMPUTED_VALUE"""),"Rahma")</f>
        <v>Rahma</v>
      </c>
      <c r="E367" s="7" t="str">
        <f>IFERROR(__xludf.DUMMYFUNCTION("""COMPUTED_VALUE"""),"DISERAHKAN")</f>
        <v>DISERAHKAN</v>
      </c>
      <c r="F367" s="9">
        <f>IFERROR(__xludf.DUMMYFUNCTION("""COMPUTED_VALUE"""),45588.5936553125)</f>
        <v>45588.59366</v>
      </c>
      <c r="G367" s="7" t="str">
        <f>IFERROR(__xludf.DUMMYFUNCTION("""COMPUTED_VALUE"""),"BN Hibah")</f>
        <v>BN Hibah</v>
      </c>
      <c r="H367" s="7">
        <f t="shared" si="1"/>
        <v>185</v>
      </c>
    </row>
    <row r="368" ht="22.5" customHeight="1">
      <c r="B368" s="7" t="str">
        <f>IFERROR(__xludf.DUMMYFUNCTION("""COMPUTED_VALUE"""),"K/4/231024/2")</f>
        <v>K/4/231024/2</v>
      </c>
      <c r="C368" s="7" t="str">
        <f>IFERROR(__xludf.DUMMYFUNCTION("""COMPUTED_VALUE"""),"M. 1238/ Sukamaju")</f>
        <v>M. 1238/ Sukamaju</v>
      </c>
      <c r="D368" s="7"/>
      <c r="E368" s="7"/>
      <c r="F368" s="9" t="str">
        <f>IFERROR(__xludf.DUMMYFUNCTION("""COMPUTED_VALUE"""),"")</f>
        <v/>
      </c>
      <c r="G368" s="7" t="str">
        <f>IFERROR(__xludf.DUMMYFUNCTION("""COMPUTED_VALUE"""),"Plotting")</f>
        <v>Plotting</v>
      </c>
      <c r="H368" s="7">
        <f t="shared" si="1"/>
        <v>185</v>
      </c>
    </row>
    <row r="369" ht="22.5" customHeight="1">
      <c r="B369" s="7" t="str">
        <f>IFERROR(__xludf.DUMMYFUNCTION("""COMPUTED_VALUE"""),"K/5/231024/1")</f>
        <v>K/5/231024/1</v>
      </c>
      <c r="C369" s="7" t="str">
        <f>IFERROR(__xludf.DUMMYFUNCTION("""COMPUTED_VALUE"""),"M. 1046/ Kupang Teba")</f>
        <v>M. 1046/ Kupang Teba</v>
      </c>
      <c r="D369" s="7" t="str">
        <f>IFERROR(__xludf.DUMMYFUNCTION("""COMPUTED_VALUE"""),"Rahma")</f>
        <v>Rahma</v>
      </c>
      <c r="E369" s="7" t="str">
        <f>IFERROR(__xludf.DUMMYFUNCTION("""COMPUTED_VALUE"""),"DISERAHKAN")</f>
        <v>DISERAHKAN</v>
      </c>
      <c r="F369" s="9">
        <f>IFERROR(__xludf.DUMMYFUNCTION("""COMPUTED_VALUE"""),45588.59418746528)</f>
        <v>45588.59419</v>
      </c>
      <c r="G369" s="7" t="str">
        <f>IFERROR(__xludf.DUMMYFUNCTION("""COMPUTED_VALUE"""),"Roya")</f>
        <v>Roya</v>
      </c>
      <c r="H369" s="7">
        <f t="shared" si="1"/>
        <v>186</v>
      </c>
    </row>
    <row r="370" ht="22.5" customHeight="1">
      <c r="B370" s="7" t="str">
        <f>IFERROR(__xludf.DUMMYFUNCTION("""COMPUTED_VALUE"""),"K/6/231024/1")</f>
        <v>K/6/231024/1</v>
      </c>
      <c r="C370" s="7" t="str">
        <f>IFERROR(__xludf.DUMMYFUNCTION("""COMPUTED_VALUE"""),"M. 149/ Bakung")</f>
        <v>M. 149/ Bakung</v>
      </c>
      <c r="D370" s="7"/>
      <c r="E370" s="7" t="str">
        <f>IFERROR(__xludf.DUMMYFUNCTION("""COMPUTED_VALUE"""),"PROSES")</f>
        <v>PROSES</v>
      </c>
      <c r="F370" s="9" t="str">
        <f>IFERROR(__xludf.DUMMYFUNCTION("""COMPUTED_VALUE"""),"")</f>
        <v/>
      </c>
      <c r="G370" s="7" t="str">
        <f>IFERROR(__xludf.DUMMYFUNCTION("""COMPUTED_VALUE"""),"Pemecahan")</f>
        <v>Pemecahan</v>
      </c>
      <c r="H370" s="7">
        <f t="shared" si="1"/>
        <v>186</v>
      </c>
    </row>
    <row r="371" ht="22.5" customHeight="1">
      <c r="B371" s="7" t="str">
        <f>IFERROR(__xludf.DUMMYFUNCTION("""COMPUTED_VALUE"""),"L/7/231024/1")</f>
        <v>L/7/231024/1</v>
      </c>
      <c r="C371" s="7" t="str">
        <f>IFERROR(__xludf.DUMMYFUNCTION("""COMPUTED_VALUE"""),"M.1326/KOTA BARU")</f>
        <v>M.1326/KOTA BARU</v>
      </c>
      <c r="D371" s="7" t="str">
        <f>IFERROR(__xludf.DUMMYFUNCTION("""COMPUTED_VALUE"""),"Rahma")</f>
        <v>Rahma</v>
      </c>
      <c r="E371" s="7" t="str">
        <f>IFERROR(__xludf.DUMMYFUNCTION("""COMPUTED_VALUE"""),"DISERAHKAN")</f>
        <v>DISERAHKAN</v>
      </c>
      <c r="F371" s="9">
        <f>IFERROR(__xludf.DUMMYFUNCTION("""COMPUTED_VALUE"""),45588.60028126158)</f>
        <v>45588.60028</v>
      </c>
      <c r="G371" s="7" t="str">
        <f>IFERROR(__xludf.DUMMYFUNCTION("""COMPUTED_VALUE"""),"ROYA WARIS")</f>
        <v>ROYA WARIS</v>
      </c>
      <c r="H371" s="7">
        <f t="shared" si="1"/>
        <v>187</v>
      </c>
    </row>
    <row r="372" ht="22.5" customHeight="1">
      <c r="B372" s="7" t="str">
        <f>IFERROR(__xludf.DUMMYFUNCTION("""COMPUTED_VALUE"""),"K/8/231024/1")</f>
        <v>K/8/231024/1</v>
      </c>
      <c r="C372" s="7" t="str">
        <f>IFERROR(__xludf.DUMMYFUNCTION("""COMPUTED_VALUE"""),"M. 547/ Sukajawa")</f>
        <v>M. 547/ Sukajawa</v>
      </c>
      <c r="D372" s="7"/>
      <c r="E372" s="7"/>
      <c r="F372" s="9" t="str">
        <f>IFERROR(__xludf.DUMMYFUNCTION("""COMPUTED_VALUE"""),"")</f>
        <v/>
      </c>
      <c r="G372" s="7" t="str">
        <f>IFERROR(__xludf.DUMMYFUNCTION("""COMPUTED_VALUE"""),"Ganti Kelurahan")</f>
        <v>Ganti Kelurahan</v>
      </c>
      <c r="H372" s="7">
        <f t="shared" si="1"/>
        <v>187</v>
      </c>
    </row>
    <row r="373" ht="22.5" customHeight="1">
      <c r="B373" s="7" t="str">
        <f>IFERROR(__xludf.DUMMYFUNCTION("""COMPUTED_VALUE"""),"K/9/231024/2")</f>
        <v>K/9/231024/2</v>
      </c>
      <c r="C373" s="7" t="str">
        <f>IFERROR(__xludf.DUMMYFUNCTION("""COMPUTED_VALUE"""),"M. 1636/ Bumi Kedamaian- Sekarang; M. 7926/ Kedamaian- dahulu")</f>
        <v>M. 1636/ Bumi Kedamaian- Sekarang; M. 7926/ Kedamaian- dahulu</v>
      </c>
      <c r="D373" s="7" t="str">
        <f>IFERROR(__xludf.DUMMYFUNCTION("""COMPUTED_VALUE"""),"Rahma")</f>
        <v>Rahma</v>
      </c>
      <c r="E373" s="7" t="str">
        <f>IFERROR(__xludf.DUMMYFUNCTION("""COMPUTED_VALUE"""),"DISERAHKAN")</f>
        <v>DISERAHKAN</v>
      </c>
      <c r="F373" s="9">
        <f>IFERROR(__xludf.DUMMYFUNCTION("""COMPUTED_VALUE"""),45588.607855636576)</f>
        <v>45588.60786</v>
      </c>
      <c r="G373" s="7" t="str">
        <f>IFERROR(__xludf.DUMMYFUNCTION("""COMPUTED_VALUE"""),"BN Jual Beli")</f>
        <v>BN Jual Beli</v>
      </c>
      <c r="H373" s="7">
        <f t="shared" si="1"/>
        <v>188</v>
      </c>
    </row>
    <row r="374" ht="22.5" customHeight="1">
      <c r="B374" s="7" t="str">
        <f>IFERROR(__xludf.DUMMYFUNCTION("""COMPUTED_VALUE"""),"K/10/231024/3")</f>
        <v>K/10/231024/3</v>
      </c>
      <c r="C374" s="7" t="str">
        <f>IFERROR(__xludf.DUMMYFUNCTION("""COMPUTED_VALUE"""),"M. 10670/ Kedaton")</f>
        <v>M. 10670/ Kedaton</v>
      </c>
      <c r="D374" s="7"/>
      <c r="E374" s="7" t="str">
        <f>IFERROR(__xludf.DUMMYFUNCTION("""COMPUTED_VALUE"""),"PROSES")</f>
        <v>PROSES</v>
      </c>
      <c r="F374" s="9" t="str">
        <f>IFERROR(__xludf.DUMMYFUNCTION("""COMPUTED_VALUE"""),"")</f>
        <v/>
      </c>
      <c r="G374" s="7" t="str">
        <f>IFERROR(__xludf.DUMMYFUNCTION("""COMPUTED_VALUE"""),"Roya")</f>
        <v>Roya</v>
      </c>
      <c r="H374" s="7">
        <f t="shared" si="1"/>
        <v>188</v>
      </c>
    </row>
    <row r="375" ht="22.5" customHeight="1">
      <c r="B375" s="7" t="str">
        <f>IFERROR(__xludf.DUMMYFUNCTION("""COMPUTED_VALUE"""),"K/12/231024/1")</f>
        <v>K/12/231024/1</v>
      </c>
      <c r="C375" s="7" t="str">
        <f>IFERROR(__xludf.DUMMYFUNCTION("""COMPUTED_VALUE"""),"M. 10719/ Segala Mider")</f>
        <v>M. 10719/ Segala Mider</v>
      </c>
      <c r="D375" s="7" t="str">
        <f>IFERROR(__xludf.DUMMYFUNCTION("""COMPUTED_VALUE"""),"Rahma")</f>
        <v>Rahma</v>
      </c>
      <c r="E375" s="7" t="str">
        <f>IFERROR(__xludf.DUMMYFUNCTION("""COMPUTED_VALUE"""),"DISERAHKAN")</f>
        <v>DISERAHKAN</v>
      </c>
      <c r="F375" s="9">
        <f>IFERROR(__xludf.DUMMYFUNCTION("""COMPUTED_VALUE"""),45588.601041180555)</f>
        <v>45588.60104</v>
      </c>
      <c r="G375" s="7" t="str">
        <f>IFERROR(__xludf.DUMMYFUNCTION("""COMPUTED_VALUE"""),"BN Jual Beli")</f>
        <v>BN Jual Beli</v>
      </c>
      <c r="H375" s="7">
        <f t="shared" si="1"/>
        <v>189</v>
      </c>
    </row>
    <row r="376" ht="22.5" customHeight="1">
      <c r="B376" s="7" t="str">
        <f>IFERROR(__xludf.DUMMYFUNCTION("""COMPUTED_VALUE"""),"K/11/231024/4")</f>
        <v>K/11/231024/4</v>
      </c>
      <c r="C376" s="7" t="str">
        <f>IFERROR(__xludf.DUMMYFUNCTION("""COMPUTED_VALUE"""),"M. 395/ Kebon Jeruk")</f>
        <v>M. 395/ Kebon Jeruk</v>
      </c>
      <c r="D376" s="7" t="str">
        <f>IFERROR(__xludf.DUMMYFUNCTION("""COMPUTED_VALUE"""),"Rahma")</f>
        <v>Rahma</v>
      </c>
      <c r="E376" s="7" t="str">
        <f>IFERROR(__xludf.DUMMYFUNCTION("""COMPUTED_VALUE"""),"DISERAHKAN")</f>
        <v>DISERAHKAN</v>
      </c>
      <c r="F376" s="9">
        <f>IFERROR(__xludf.DUMMYFUNCTION("""COMPUTED_VALUE"""),45588.60118636574)</f>
        <v>45588.60119</v>
      </c>
      <c r="G376" s="7" t="str">
        <f>IFERROR(__xludf.DUMMYFUNCTION("""COMPUTED_VALUE"""),"BN Jual beli")</f>
        <v>BN Jual beli</v>
      </c>
      <c r="H376" s="7">
        <f t="shared" si="1"/>
        <v>190</v>
      </c>
    </row>
    <row r="377" ht="22.5" customHeight="1">
      <c r="B377" s="7" t="str">
        <f>IFERROR(__xludf.DUMMYFUNCTION("""COMPUTED_VALUE"""),"K/13/231024/1")</f>
        <v>K/13/231024/1</v>
      </c>
      <c r="C377" s="7" t="str">
        <f>IFERROR(__xludf.DUMMYFUNCTION("""COMPUTED_VALUE"""),"B. 645/ Jagabaya III; 4216/Sukarame-dahulu")</f>
        <v>B. 645/ Jagabaya III; 4216/Sukarame-dahulu</v>
      </c>
      <c r="D377" s="7" t="str">
        <f>IFERROR(__xludf.DUMMYFUNCTION("""COMPUTED_VALUE"""),"Rahma")</f>
        <v>Rahma</v>
      </c>
      <c r="E377" s="7" t="str">
        <f>IFERROR(__xludf.DUMMYFUNCTION("""COMPUTED_VALUE"""),"DISERAHKAN")</f>
        <v>DISERAHKAN</v>
      </c>
      <c r="F377" s="9">
        <f>IFERROR(__xludf.DUMMYFUNCTION("""COMPUTED_VALUE"""),45588.601384988426)</f>
        <v>45588.60138</v>
      </c>
      <c r="G377" s="7" t="str">
        <f>IFERROR(__xludf.DUMMYFUNCTION("""COMPUTED_VALUE"""),"Perubahan Hak")</f>
        <v>Perubahan Hak</v>
      </c>
      <c r="H377" s="7">
        <f t="shared" si="1"/>
        <v>191</v>
      </c>
    </row>
    <row r="378" ht="22.5" customHeight="1">
      <c r="B378" s="7" t="str">
        <f>IFERROR(__xludf.DUMMYFUNCTION("""COMPUTED_VALUE"""),"L/14/231024/1")</f>
        <v>L/14/231024/1</v>
      </c>
      <c r="C378" s="7" t="str">
        <f>IFERROR(__xludf.DUMMYFUNCTION("""COMPUTED_VALUE"""),"HM 14460/SUKABUMI")</f>
        <v>HM 14460/SUKABUMI</v>
      </c>
      <c r="D378" s="7"/>
      <c r="E378" s="7"/>
      <c r="F378" s="9" t="str">
        <f>IFERROR(__xludf.DUMMYFUNCTION("""COMPUTED_VALUE"""),"")</f>
        <v/>
      </c>
      <c r="G378" s="7" t="str">
        <f>IFERROR(__xludf.DUMMYFUNCTION("""COMPUTED_VALUE"""),"PENGHAPUSAN BPHTB")</f>
        <v>PENGHAPUSAN BPHTB</v>
      </c>
      <c r="H378" s="7">
        <f t="shared" si="1"/>
        <v>191</v>
      </c>
    </row>
    <row r="379" ht="22.5" customHeight="1">
      <c r="B379" s="7" t="str">
        <f>IFERROR(__xludf.DUMMYFUNCTION("""COMPUTED_VALUE"""),"K/15/231024/1")</f>
        <v>K/15/231024/1</v>
      </c>
      <c r="C379" s="7" t="str">
        <f>IFERROR(__xludf.DUMMYFUNCTION("""COMPUTED_VALUE"""),"M. 8119/ Sukabumi")</f>
        <v>M. 8119/ Sukabumi</v>
      </c>
      <c r="D379" s="7" t="str">
        <f>IFERROR(__xludf.DUMMYFUNCTION("""COMPUTED_VALUE"""),"Rahma")</f>
        <v>Rahma</v>
      </c>
      <c r="E379" s="7" t="str">
        <f>IFERROR(__xludf.DUMMYFUNCTION("""COMPUTED_VALUE"""),"DISERAHKAN BT")</f>
        <v>DISERAHKAN BT</v>
      </c>
      <c r="F379" s="9">
        <f>IFERROR(__xludf.DUMMYFUNCTION("""COMPUTED_VALUE"""),45588.60808438658)</f>
        <v>45588.60808</v>
      </c>
      <c r="G379" s="7" t="str">
        <f>IFERROR(__xludf.DUMMYFUNCTION("""COMPUTED_VALUE"""),"BN Jual Beli")</f>
        <v>BN Jual Beli</v>
      </c>
      <c r="H379" s="7">
        <f t="shared" si="1"/>
        <v>191</v>
      </c>
    </row>
    <row r="380" ht="22.5" customHeight="1">
      <c r="B380" s="7" t="str">
        <f>IFERROR(__xludf.DUMMYFUNCTION("""COMPUTED_VALUE"""),"L/16/231024/1")</f>
        <v>L/16/231024/1</v>
      </c>
      <c r="C380" s="7" t="str">
        <f>IFERROR(__xludf.DUMMYFUNCTION("""COMPUTED_VALUE"""),"M.3338/SUKADANA HAM")</f>
        <v>M.3338/SUKADANA HAM</v>
      </c>
      <c r="D380" s="7" t="str">
        <f>IFERROR(__xludf.DUMMYFUNCTION("""COMPUTED_VALUE"""),"Rahma")</f>
        <v>Rahma</v>
      </c>
      <c r="E380" s="7" t="str">
        <f>IFERROR(__xludf.DUMMYFUNCTION("""COMPUTED_VALUE"""),"DISERAHKAN")</f>
        <v>DISERAHKAN</v>
      </c>
      <c r="F380" s="9">
        <f>IFERROR(__xludf.DUMMYFUNCTION("""COMPUTED_VALUE"""),45588.6016609375)</f>
        <v>45588.60166</v>
      </c>
      <c r="G380" s="7" t="str">
        <f>IFERROR(__xludf.DUMMYFUNCTION("""COMPUTED_VALUE"""),"SERTIPIKAT HILANG")</f>
        <v>SERTIPIKAT HILANG</v>
      </c>
      <c r="H380" s="7">
        <f t="shared" si="1"/>
        <v>192</v>
      </c>
    </row>
    <row r="381" ht="22.5" customHeight="1">
      <c r="B381" s="7" t="str">
        <f>IFERROR(__xludf.DUMMYFUNCTION("""COMPUTED_VALUE"""),"L/17/231024/2")</f>
        <v>L/17/231024/2</v>
      </c>
      <c r="C381" s="7" t="str">
        <f>IFERROR(__xludf.DUMMYFUNCTION("""COMPUTED_VALUE"""),"M.3337/SUKADANA HAM")</f>
        <v>M.3337/SUKADANA HAM</v>
      </c>
      <c r="D381" s="7" t="str">
        <f>IFERROR(__xludf.DUMMYFUNCTION("""COMPUTED_VALUE"""),"Rahma")</f>
        <v>Rahma</v>
      </c>
      <c r="E381" s="7" t="str">
        <f>IFERROR(__xludf.DUMMYFUNCTION("""COMPUTED_VALUE"""),"DISERAHKAN")</f>
        <v>DISERAHKAN</v>
      </c>
      <c r="F381" s="9">
        <f>IFERROR(__xludf.DUMMYFUNCTION("""COMPUTED_VALUE"""),45588.601698530096)</f>
        <v>45588.6017</v>
      </c>
      <c r="G381" s="7" t="str">
        <f>IFERROR(__xludf.DUMMYFUNCTION("""COMPUTED_VALUE"""),"SERTIPIKAT HILANG")</f>
        <v>SERTIPIKAT HILANG</v>
      </c>
      <c r="H381" s="7">
        <f t="shared" si="1"/>
        <v>193</v>
      </c>
    </row>
    <row r="382" ht="22.5" customHeight="1">
      <c r="B382" s="7" t="str">
        <f>IFERROR(__xludf.DUMMYFUNCTION("""COMPUTED_VALUE"""),"K/18/231024/1")</f>
        <v>K/18/231024/1</v>
      </c>
      <c r="C382" s="7" t="str">
        <f>IFERROR(__xludf.DUMMYFUNCTION("""COMPUTED_VALUE"""),"Nibel 3407/ Jagabaya II")</f>
        <v>Nibel 3407/ Jagabaya II</v>
      </c>
      <c r="D382" s="7"/>
      <c r="E382" s="7"/>
      <c r="F382" s="9" t="str">
        <f>IFERROR(__xludf.DUMMYFUNCTION("""COMPUTED_VALUE"""),"")</f>
        <v/>
      </c>
      <c r="G382" s="7" t="str">
        <f>IFERROR(__xludf.DUMMYFUNCTION("""COMPUTED_VALUE"""),"BN Lelang")</f>
        <v>BN Lelang</v>
      </c>
      <c r="H382" s="7">
        <f t="shared" si="1"/>
        <v>193</v>
      </c>
    </row>
    <row r="383" ht="22.5" customHeight="1">
      <c r="B383" s="7" t="str">
        <f>IFERROR(__xludf.DUMMYFUNCTION("""COMPUTED_VALUE"""),"L/19/231024/1")</f>
        <v>L/19/231024/1</v>
      </c>
      <c r="C383" s="7" t="str">
        <f>IFERROR(__xludf.DUMMYFUNCTION("""COMPUTED_VALUE"""),"HM 409/KBK")</f>
        <v>HM 409/KBK</v>
      </c>
      <c r="D383" s="7"/>
      <c r="E383" s="7" t="str">
        <f>IFERROR(__xludf.DUMMYFUNCTION("""COMPUTED_VALUE"""),"PROSES")</f>
        <v>PROSES</v>
      </c>
      <c r="F383" s="9" t="str">
        <f>IFERROR(__xludf.DUMMYFUNCTION("""COMPUTED_VALUE"""),"")</f>
        <v/>
      </c>
      <c r="G383" s="7" t="str">
        <f>IFERROR(__xludf.DUMMYFUNCTION("""COMPUTED_VALUE"""),"ROYA")</f>
        <v>ROYA</v>
      </c>
      <c r="H383" s="7">
        <f t="shared" si="1"/>
        <v>193</v>
      </c>
    </row>
    <row r="384" ht="22.5" customHeight="1">
      <c r="B384" s="7" t="str">
        <f>IFERROR(__xludf.DUMMYFUNCTION("""COMPUTED_VALUE"""),"K/20/231024/1")</f>
        <v>K/20/231024/1</v>
      </c>
      <c r="C384" s="7" t="str">
        <f>IFERROR(__xludf.DUMMYFUNCTION("""COMPUTED_VALUE"""),"NIBEL M.2396/KORPRI RAYA")</f>
        <v>NIBEL M.2396/KORPRI RAYA</v>
      </c>
      <c r="D384" s="7"/>
      <c r="E384" s="7"/>
      <c r="F384" s="9" t="str">
        <f>IFERROR(__xludf.DUMMYFUNCTION("""COMPUTED_VALUE"""),"")</f>
        <v/>
      </c>
      <c r="G384" s="7" t="str">
        <f>IFERROR(__xludf.DUMMYFUNCTION("""COMPUTED_VALUE"""),"BN JUAL BELI")</f>
        <v>BN JUAL BELI</v>
      </c>
      <c r="H384" s="7">
        <f t="shared" si="1"/>
        <v>193</v>
      </c>
    </row>
    <row r="385" ht="22.5" customHeight="1">
      <c r="B385" s="7" t="str">
        <f>IFERROR(__xludf.DUMMYFUNCTION("""COMPUTED_VALUE"""),"K/22/231024/1")</f>
        <v>K/22/231024/1</v>
      </c>
      <c r="C385" s="7" t="str">
        <f>IFERROR(__xludf.DUMMYFUNCTION("""COMPUTED_VALUE"""),"M. 6306/ Way Kandis")</f>
        <v>M. 6306/ Way Kandis</v>
      </c>
      <c r="D385" s="7" t="str">
        <f>IFERROR(__xludf.DUMMYFUNCTION("""COMPUTED_VALUE"""),"Rahma")</f>
        <v>Rahma</v>
      </c>
      <c r="E385" s="7" t="str">
        <f>IFERROR(__xludf.DUMMYFUNCTION("""COMPUTED_VALUE"""),"DISERAHKAN")</f>
        <v>DISERAHKAN</v>
      </c>
      <c r="F385" s="9">
        <f>IFERROR(__xludf.DUMMYFUNCTION("""COMPUTED_VALUE"""),45588.60205223379)</f>
        <v>45588.60205</v>
      </c>
      <c r="G385" s="7" t="str">
        <f>IFERROR(__xludf.DUMMYFUNCTION("""COMPUTED_VALUE"""),"BN Jual Beli")</f>
        <v>BN Jual Beli</v>
      </c>
      <c r="H385" s="7">
        <f t="shared" si="1"/>
        <v>194</v>
      </c>
    </row>
    <row r="386" ht="22.5" customHeight="1">
      <c r="B386" s="7" t="str">
        <f>IFERROR(__xludf.DUMMYFUNCTION("""COMPUTED_VALUE"""),"K/21/231024/1")</f>
        <v>K/21/231024/1</v>
      </c>
      <c r="C386" s="7" t="str">
        <f>IFERROR(__xludf.DUMMYFUNCTION("""COMPUTED_VALUE"""),"Nibel. B. 2499/ Sumur Putri")</f>
        <v>Nibel. B. 2499/ Sumur Putri</v>
      </c>
      <c r="D386" s="7"/>
      <c r="E386" s="7"/>
      <c r="F386" s="9" t="str">
        <f>IFERROR(__xludf.DUMMYFUNCTION("""COMPUTED_VALUE"""),"")</f>
        <v/>
      </c>
      <c r="G386" s="7" t="str">
        <f>IFERROR(__xludf.DUMMYFUNCTION("""COMPUTED_VALUE"""),"Perubahan Hak")</f>
        <v>Perubahan Hak</v>
      </c>
      <c r="H386" s="7">
        <f t="shared" si="1"/>
        <v>194</v>
      </c>
    </row>
    <row r="387" ht="22.5" customHeight="1">
      <c r="B387" s="7" t="str">
        <f>IFERROR(__xludf.DUMMYFUNCTION("""COMPUTED_VALUE"""),"K/23/231024/2")</f>
        <v>K/23/231024/2</v>
      </c>
      <c r="C387" s="7" t="str">
        <f>IFERROR(__xludf.DUMMYFUNCTION("""COMPUTED_VALUE"""),"B. 922/ Campang Raya")</f>
        <v>B. 922/ Campang Raya</v>
      </c>
      <c r="D387" s="7"/>
      <c r="E387" s="7"/>
      <c r="F387" s="9" t="str">
        <f>IFERROR(__xludf.DUMMYFUNCTION("""COMPUTED_VALUE"""),"")</f>
        <v/>
      </c>
      <c r="G387" s="7" t="str">
        <f>IFERROR(__xludf.DUMMYFUNCTION("""COMPUTED_VALUE"""),"Ploting")</f>
        <v>Ploting</v>
      </c>
      <c r="H387" s="7">
        <f t="shared" si="1"/>
        <v>194</v>
      </c>
    </row>
    <row r="388" ht="22.5" customHeight="1">
      <c r="B388" s="7" t="str">
        <f>IFERROR(__xludf.DUMMYFUNCTION("""COMPUTED_VALUE"""),"K/24/231024/1")</f>
        <v>K/24/231024/1</v>
      </c>
      <c r="C388" s="7" t="str">
        <f>IFERROR(__xludf.DUMMYFUNCTION("""COMPUTED_VALUE"""),"M.2226/SUKARAME BARU")</f>
        <v>M.2226/SUKARAME BARU</v>
      </c>
      <c r="D388" s="7" t="str">
        <f>IFERROR(__xludf.DUMMYFUNCTION("""COMPUTED_VALUE"""),"Rahma")</f>
        <v>Rahma</v>
      </c>
      <c r="E388" s="7" t="str">
        <f>IFERROR(__xludf.DUMMYFUNCTION("""COMPUTED_VALUE"""),"DISERAHKAN")</f>
        <v>DISERAHKAN</v>
      </c>
      <c r="F388" s="9">
        <f>IFERROR(__xludf.DUMMYFUNCTION("""COMPUTED_VALUE"""),45588.60234855324)</f>
        <v>45588.60235</v>
      </c>
      <c r="G388" s="7" t="str">
        <f>IFERROR(__xludf.DUMMYFUNCTION("""COMPUTED_VALUE"""),"BN JUAL BELI")</f>
        <v>BN JUAL BELI</v>
      </c>
      <c r="H388" s="7">
        <f t="shared" si="1"/>
        <v>195</v>
      </c>
    </row>
    <row r="389" ht="22.5" customHeight="1">
      <c r="B389" s="7" t="str">
        <f>IFERROR(__xludf.DUMMYFUNCTION("""COMPUTED_VALUE"""),"K/25/231024/2")</f>
        <v>K/25/231024/2</v>
      </c>
      <c r="C389" s="7" t="str">
        <f>IFERROR(__xludf.DUMMYFUNCTION("""COMPUTED_VALUE"""),"M.2225/SUKARAME BARU")</f>
        <v>M.2225/SUKARAME BARU</v>
      </c>
      <c r="D389" s="7" t="str">
        <f>IFERROR(__xludf.DUMMYFUNCTION("""COMPUTED_VALUE"""),"Rahma")</f>
        <v>Rahma</v>
      </c>
      <c r="E389" s="7" t="str">
        <f>IFERROR(__xludf.DUMMYFUNCTION("""COMPUTED_VALUE"""),"DISERAHKAN")</f>
        <v>DISERAHKAN</v>
      </c>
      <c r="F389" s="9">
        <f>IFERROR(__xludf.DUMMYFUNCTION("""COMPUTED_VALUE"""),45588.60237217593)</f>
        <v>45588.60237</v>
      </c>
      <c r="G389" s="7" t="str">
        <f>IFERROR(__xludf.DUMMYFUNCTION("""COMPUTED_VALUE"""),"BN JUAL BELI")</f>
        <v>BN JUAL BELI</v>
      </c>
      <c r="H389" s="7">
        <f t="shared" si="1"/>
        <v>196</v>
      </c>
    </row>
    <row r="390" ht="22.5" customHeight="1">
      <c r="B390" s="7" t="str">
        <f>IFERROR(__xludf.DUMMYFUNCTION("""COMPUTED_VALUE"""),"K/26/231024/2")</f>
        <v>K/26/231024/2</v>
      </c>
      <c r="C390" s="7" t="str">
        <f>IFERROR(__xludf.DUMMYFUNCTION("""COMPUTED_VALUE"""),"Nibel 2486/ Sumur Putri")</f>
        <v>Nibel 2486/ Sumur Putri</v>
      </c>
      <c r="D390" s="7"/>
      <c r="E390" s="7"/>
      <c r="F390" s="9" t="str">
        <f>IFERROR(__xludf.DUMMYFUNCTION("""COMPUTED_VALUE"""),"")</f>
        <v/>
      </c>
      <c r="G390" s="7" t="str">
        <f>IFERROR(__xludf.DUMMYFUNCTION("""COMPUTED_VALUE"""),"Perubahan Hak")</f>
        <v>Perubahan Hak</v>
      </c>
      <c r="H390" s="7">
        <f t="shared" si="1"/>
        <v>196</v>
      </c>
    </row>
    <row r="391" ht="22.5" customHeight="1">
      <c r="B391" s="7" t="str">
        <f>IFERROR(__xludf.DUMMYFUNCTION("""COMPUTED_VALUE"""),"K/27/231024/3")</f>
        <v>K/27/231024/3</v>
      </c>
      <c r="C391" s="7" t="str">
        <f>IFERROR(__xludf.DUMMYFUNCTION("""COMPUTED_VALUE"""),"M. 9026/ Labuhan Ratu")</f>
        <v>M. 9026/ Labuhan Ratu</v>
      </c>
      <c r="D391" s="7"/>
      <c r="E391" s="7"/>
      <c r="F391" s="9" t="str">
        <f>IFERROR(__xludf.DUMMYFUNCTION("""COMPUTED_VALUE"""),"")</f>
        <v/>
      </c>
      <c r="G391" s="7" t="str">
        <f>IFERROR(__xludf.DUMMYFUNCTION("""COMPUTED_VALUE"""),"Plotting")</f>
        <v>Plotting</v>
      </c>
      <c r="H391" s="7">
        <f t="shared" si="1"/>
        <v>196</v>
      </c>
    </row>
    <row r="392" ht="22.5" customHeight="1">
      <c r="B392" s="7" t="str">
        <f>IFERROR(__xludf.DUMMYFUNCTION("""COMPUTED_VALUE"""),"K/28/231024/1")</f>
        <v>K/28/231024/1</v>
      </c>
      <c r="C392" s="7" t="str">
        <f>IFERROR(__xludf.DUMMYFUNCTION("""COMPUTED_VALUE"""),"M. 2446/ Way Kandis")</f>
        <v>M. 2446/ Way Kandis</v>
      </c>
      <c r="D392" s="7" t="str">
        <f>IFERROR(__xludf.DUMMYFUNCTION("""COMPUTED_VALUE"""),"Rahma")</f>
        <v>Rahma</v>
      </c>
      <c r="E392" s="7" t="str">
        <f>IFERROR(__xludf.DUMMYFUNCTION("""COMPUTED_VALUE"""),"DISERAHKAN")</f>
        <v>DISERAHKAN</v>
      </c>
      <c r="F392" s="9">
        <f>IFERROR(__xludf.DUMMYFUNCTION("""COMPUTED_VALUE"""),45588.60255628472)</f>
        <v>45588.60256</v>
      </c>
      <c r="G392" s="7" t="str">
        <f>IFERROR(__xludf.DUMMYFUNCTION("""COMPUTED_VALUE"""),"Roya")</f>
        <v>Roya</v>
      </c>
      <c r="H392" s="7">
        <f t="shared" si="1"/>
        <v>197</v>
      </c>
    </row>
    <row r="393" ht="22.5" customHeight="1">
      <c r="B393" s="7" t="str">
        <f>IFERROR(__xludf.DUMMYFUNCTION("""COMPUTED_VALUE"""),"K/30/231024/1")</f>
        <v>K/30/231024/1</v>
      </c>
      <c r="C393" s="7" t="str">
        <f>IFERROR(__xludf.DUMMYFUNCTION("""COMPUTED_VALUE"""),"NIBEL M.661/BILABONG JAYA")</f>
        <v>NIBEL M.661/BILABONG JAYA</v>
      </c>
      <c r="D393" s="7"/>
      <c r="E393" s="7"/>
      <c r="F393" s="9" t="str">
        <f>IFERROR(__xludf.DUMMYFUNCTION("""COMPUTED_VALUE"""),"")</f>
        <v/>
      </c>
      <c r="G393" s="7" t="str">
        <f>IFERROR(__xludf.DUMMYFUNCTION("""COMPUTED_VALUE"""),"BN JUAL BELI")</f>
        <v>BN JUAL BELI</v>
      </c>
      <c r="H393" s="7">
        <f t="shared" si="1"/>
        <v>197</v>
      </c>
    </row>
    <row r="394" ht="22.5" customHeight="1">
      <c r="B394" s="7" t="str">
        <f>IFERROR(__xludf.DUMMYFUNCTION("""COMPUTED_VALUE"""),"K/31/231024/1")</f>
        <v>K/31/231024/1</v>
      </c>
      <c r="C394" s="7" t="str">
        <f>IFERROR(__xludf.DUMMYFUNCTION("""COMPUTED_VALUE"""),"Nibel.2638/ Sumberejo/Kemiling")</f>
        <v>Nibel.2638/ Sumberejo/Kemiling</v>
      </c>
      <c r="D394" s="7"/>
      <c r="E394" s="7"/>
      <c r="F394" s="9" t="str">
        <f>IFERROR(__xludf.DUMMYFUNCTION("""COMPUTED_VALUE"""),"")</f>
        <v/>
      </c>
      <c r="G394" s="7" t="str">
        <f>IFERROR(__xludf.DUMMYFUNCTION("""COMPUTED_VALUE"""),"Gandes")</f>
        <v>Gandes</v>
      </c>
      <c r="H394" s="7">
        <f t="shared" si="1"/>
        <v>197</v>
      </c>
    </row>
    <row r="395" ht="22.5" customHeight="1">
      <c r="B395" s="7" t="str">
        <f>IFERROR(__xludf.DUMMYFUNCTION("""COMPUTED_VALUE"""),"L/32/231024/1")</f>
        <v>L/32/231024/1</v>
      </c>
      <c r="C395" s="7" t="str">
        <f>IFERROR(__xludf.DUMMYFUNCTION("""COMPUTED_VALUE"""),"B.1072/CAMPANG JAYA")</f>
        <v>B.1072/CAMPANG JAYA</v>
      </c>
      <c r="D395" s="7"/>
      <c r="E395" s="7" t="str">
        <f>IFERROR(__xludf.DUMMYFUNCTION("""COMPUTED_VALUE"""),"PROSES")</f>
        <v>PROSES</v>
      </c>
      <c r="F395" s="9" t="str">
        <f>IFERROR(__xludf.DUMMYFUNCTION("""COMPUTED_VALUE"""),"")</f>
        <v/>
      </c>
      <c r="G395" s="7" t="str">
        <f>IFERROR(__xludf.DUMMYFUNCTION("""COMPUTED_VALUE"""),"PERUBAHAN HAK")</f>
        <v>PERUBAHAN HAK</v>
      </c>
      <c r="H395" s="7">
        <f t="shared" si="1"/>
        <v>197</v>
      </c>
    </row>
    <row r="396" ht="22.5" customHeight="1">
      <c r="B396" s="7" t="str">
        <f>IFERROR(__xludf.DUMMYFUNCTION("""COMPUTED_VALUE"""),"K/33/231024/1")</f>
        <v>K/33/231024/1</v>
      </c>
      <c r="C396" s="7" t="str">
        <f>IFERROR(__xludf.DUMMYFUNCTION("""COMPUTED_VALUE"""),"M. 1666/ Way Halim Permai; SHT 1552/2016")</f>
        <v>M. 1666/ Way Halim Permai; SHT 1552/2016</v>
      </c>
      <c r="D396" s="7" t="str">
        <f>IFERROR(__xludf.DUMMYFUNCTION("""COMPUTED_VALUE"""),"Rahma")</f>
        <v>Rahma</v>
      </c>
      <c r="E396" s="7" t="str">
        <f>IFERROR(__xludf.DUMMYFUNCTION("""COMPUTED_VALUE"""),"DISERAHKAN")</f>
        <v>DISERAHKAN</v>
      </c>
      <c r="F396" s="9">
        <f>IFERROR(__xludf.DUMMYFUNCTION("""COMPUTED_VALUE"""),45588.69434164352)</f>
        <v>45588.69434</v>
      </c>
      <c r="G396" s="7" t="str">
        <f>IFERROR(__xludf.DUMMYFUNCTION("""COMPUTED_VALUE"""),"Roya")</f>
        <v>Roya</v>
      </c>
      <c r="H396" s="7">
        <f t="shared" si="1"/>
        <v>198</v>
      </c>
    </row>
    <row r="397" ht="22.5" customHeight="1">
      <c r="B397" s="7" t="str">
        <f>IFERROR(__xludf.DUMMYFUNCTION("""COMPUTED_VALUE"""),"K/34/231024/2")</f>
        <v>K/34/231024/2</v>
      </c>
      <c r="C397" s="7" t="str">
        <f>IFERROR(__xludf.DUMMYFUNCTION("""COMPUTED_VALUE"""),"M. 19/ L R R")</f>
        <v>M. 19/ L R R</v>
      </c>
      <c r="D397" s="7"/>
      <c r="E397" s="7"/>
      <c r="F397" s="9" t="str">
        <f>IFERROR(__xludf.DUMMYFUNCTION("""COMPUTED_VALUE"""),"")</f>
        <v/>
      </c>
      <c r="G397" s="7" t="str">
        <f>IFERROR(__xludf.DUMMYFUNCTION("""COMPUTED_VALUE"""),"Ploting")</f>
        <v>Ploting</v>
      </c>
      <c r="H397" s="7">
        <f t="shared" si="1"/>
        <v>198</v>
      </c>
    </row>
    <row r="398" ht="22.5" customHeight="1">
      <c r="B398" s="7" t="str">
        <f>IFERROR(__xludf.DUMMYFUNCTION("""COMPUTED_VALUE"""),"K/35/231024/3")</f>
        <v>K/35/231024/3</v>
      </c>
      <c r="C398" s="7" t="str">
        <f>IFERROR(__xludf.DUMMYFUNCTION("""COMPUTED_VALUE"""),"M. 113/ Rajabasa Pemuka")</f>
        <v>M. 113/ Rajabasa Pemuka</v>
      </c>
      <c r="D398" s="7"/>
      <c r="E398" s="7"/>
      <c r="F398" s="9" t="str">
        <f>IFERROR(__xludf.DUMMYFUNCTION("""COMPUTED_VALUE"""),"")</f>
        <v/>
      </c>
      <c r="G398" s="7" t="str">
        <f>IFERROR(__xludf.DUMMYFUNCTION("""COMPUTED_VALUE"""),"Ploting")</f>
        <v>Ploting</v>
      </c>
      <c r="H398" s="7">
        <f t="shared" si="1"/>
        <v>198</v>
      </c>
    </row>
    <row r="399" ht="22.5" customHeight="1">
      <c r="B399" s="7" t="str">
        <f>IFERROR(__xludf.DUMMYFUNCTION("""COMPUTED_VALUE"""),"K/36/231024/4")</f>
        <v>K/36/231024/4</v>
      </c>
      <c r="C399" s="7" t="str">
        <f>IFERROR(__xludf.DUMMYFUNCTION("""COMPUTED_VALUE"""),"M. 112/ Rajabasa Pemuka")</f>
        <v>M. 112/ Rajabasa Pemuka</v>
      </c>
      <c r="D399" s="7"/>
      <c r="E399" s="7"/>
      <c r="F399" s="9" t="str">
        <f>IFERROR(__xludf.DUMMYFUNCTION("""COMPUTED_VALUE"""),"")</f>
        <v/>
      </c>
      <c r="G399" s="7" t="str">
        <f>IFERROR(__xludf.DUMMYFUNCTION("""COMPUTED_VALUE"""),"Ploting")</f>
        <v>Ploting</v>
      </c>
      <c r="H399" s="7">
        <f t="shared" si="1"/>
        <v>198</v>
      </c>
    </row>
    <row r="400" ht="22.5" customHeight="1">
      <c r="B400" s="7" t="str">
        <f>IFERROR(__xludf.DUMMYFUNCTION("""COMPUTED_VALUE"""),"L/37/231024/1")</f>
        <v>L/37/231024/1</v>
      </c>
      <c r="C400" s="7" t="str">
        <f>IFERROR(__xludf.DUMMYFUNCTION("""COMPUTED_VALUE"""),"HM 1642/KOTA KARANG")</f>
        <v>HM 1642/KOTA KARANG</v>
      </c>
      <c r="D400" s="7" t="str">
        <f>IFERROR(__xludf.DUMMYFUNCTION("""COMPUTED_VALUE"""),"Rahma")</f>
        <v>Rahma</v>
      </c>
      <c r="E400" s="7" t="str">
        <f>IFERROR(__xludf.DUMMYFUNCTION("""COMPUTED_VALUE"""),"DISERAHKAN")</f>
        <v>DISERAHKAN</v>
      </c>
      <c r="F400" s="9">
        <f>IFERROR(__xludf.DUMMYFUNCTION("""COMPUTED_VALUE"""),45588.69456527778)</f>
        <v>45588.69457</v>
      </c>
      <c r="G400" s="7" t="str">
        <f>IFERROR(__xludf.DUMMYFUNCTION("""COMPUTED_VALUE"""),"ROYA")</f>
        <v>ROYA</v>
      </c>
      <c r="H400" s="7">
        <f t="shared" si="1"/>
        <v>199</v>
      </c>
    </row>
    <row r="401" ht="22.5" customHeight="1">
      <c r="B401" s="7" t="str">
        <f>IFERROR(__xludf.DUMMYFUNCTION("""COMPUTED_VALUE"""),"K/38/231024/1")</f>
        <v>K/38/231024/1</v>
      </c>
      <c r="C401" s="7" t="str">
        <f>IFERROR(__xludf.DUMMYFUNCTION("""COMPUTED_VALUE"""),"Nibel 2815/  Kemiling raya")</f>
        <v>Nibel 2815/  Kemiling raya</v>
      </c>
      <c r="D401" s="7"/>
      <c r="E401" s="7"/>
      <c r="F401" s="9" t="str">
        <f>IFERROR(__xludf.DUMMYFUNCTION("""COMPUTED_VALUE"""),"")</f>
        <v/>
      </c>
      <c r="G401" s="7" t="str">
        <f>IFERROR(__xludf.DUMMYFUNCTION("""COMPUTED_VALUE"""),"Perubahan Hak")</f>
        <v>Perubahan Hak</v>
      </c>
      <c r="H401" s="7">
        <f t="shared" si="1"/>
        <v>199</v>
      </c>
    </row>
    <row r="402" ht="22.5" customHeight="1">
      <c r="B402" s="7" t="str">
        <f>IFERROR(__xludf.DUMMYFUNCTION("""COMPUTED_VALUE"""),"K/39/231024/1")</f>
        <v>K/39/231024/1</v>
      </c>
      <c r="C402" s="7" t="str">
        <f>IFERROR(__xludf.DUMMYFUNCTION("""COMPUTED_VALUE"""),"M. 2683/ Sukadana Ham")</f>
        <v>M. 2683/ Sukadana Ham</v>
      </c>
      <c r="D402" s="7"/>
      <c r="E402" s="7"/>
      <c r="F402" s="9" t="str">
        <f>IFERROR(__xludf.DUMMYFUNCTION("""COMPUTED_VALUE"""),"")</f>
        <v/>
      </c>
      <c r="G402" s="7" t="str">
        <f>IFERROR(__xludf.DUMMYFUNCTION("""COMPUTED_VALUE"""),"PTPGT (Pemecahan)")</f>
        <v>PTPGT (Pemecahan)</v>
      </c>
      <c r="H402" s="7">
        <f t="shared" si="1"/>
        <v>199</v>
      </c>
    </row>
    <row r="403" ht="22.5" customHeight="1">
      <c r="B403" s="7" t="str">
        <f>IFERROR(__xludf.DUMMYFUNCTION("""COMPUTED_VALUE"""),"L/40/231024/1")</f>
        <v>L/40/231024/1</v>
      </c>
      <c r="C403" s="7" t="str">
        <f>IFERROR(__xludf.DUMMYFUNCTION("""COMPUTED_VALUE"""),"B.1044/KEMILING PERMAI")</f>
        <v>B.1044/KEMILING PERMAI</v>
      </c>
      <c r="D403" s="7" t="str">
        <f>IFERROR(__xludf.DUMMYFUNCTION("""COMPUTED_VALUE"""),"Rahma")</f>
        <v>Rahma</v>
      </c>
      <c r="E403" s="7" t="str">
        <f>IFERROR(__xludf.DUMMYFUNCTION("""COMPUTED_VALUE"""),"DISERAHKAN")</f>
        <v>DISERAHKAN</v>
      </c>
      <c r="F403" s="9">
        <f>IFERROR(__xludf.DUMMYFUNCTION("""COMPUTED_VALUE"""),45588.69514725695)</f>
        <v>45588.69515</v>
      </c>
      <c r="G403" s="7" t="str">
        <f>IFERROR(__xludf.DUMMYFUNCTION("""COMPUTED_VALUE"""),"ROYA")</f>
        <v>ROYA</v>
      </c>
      <c r="H403" s="7">
        <f t="shared" si="1"/>
        <v>200</v>
      </c>
    </row>
    <row r="404" ht="22.5" customHeight="1">
      <c r="B404" s="7" t="str">
        <f>IFERROR(__xludf.DUMMYFUNCTION("""COMPUTED_VALUE"""),"L/41/231024/1")</f>
        <v>L/41/231024/1</v>
      </c>
      <c r="C404" s="7" t="str">
        <f>IFERROR(__xludf.DUMMYFUNCTION("""COMPUTED_VALUE"""),"M.1801/KELAPA TIGA")</f>
        <v>M.1801/KELAPA TIGA</v>
      </c>
      <c r="D404" s="7"/>
      <c r="E404" s="7" t="str">
        <f>IFERROR(__xludf.DUMMYFUNCTION("""COMPUTED_VALUE"""),"PROSES")</f>
        <v>PROSES</v>
      </c>
      <c r="F404" s="9" t="str">
        <f>IFERROR(__xludf.DUMMYFUNCTION("""COMPUTED_VALUE"""),"")</f>
        <v/>
      </c>
      <c r="G404" s="7" t="str">
        <f>IFERROR(__xludf.DUMMYFUNCTION("""COMPUTED_VALUE"""),"ROYA")</f>
        <v>ROYA</v>
      </c>
      <c r="H404" s="7">
        <f t="shared" si="1"/>
        <v>200</v>
      </c>
    </row>
    <row r="405" ht="22.5" customHeight="1">
      <c r="B405" s="7" t="str">
        <f>IFERROR(__xludf.DUMMYFUNCTION("""COMPUTED_VALUE"""),"K/42/231024/1")</f>
        <v>K/42/231024/1</v>
      </c>
      <c r="C405" s="7" t="str">
        <f>IFERROR(__xludf.DUMMYFUNCTION("""COMPUTED_VALUE"""),"M.1878/KEDAUNG")</f>
        <v>M.1878/KEDAUNG</v>
      </c>
      <c r="D405" s="7" t="str">
        <f>IFERROR(__xludf.DUMMYFUNCTION("""COMPUTED_VALUE"""),"Rahma")</f>
        <v>Rahma</v>
      </c>
      <c r="E405" s="7" t="str">
        <f>IFERROR(__xludf.DUMMYFUNCTION("""COMPUTED_VALUE"""),"DISERAHKAN")</f>
        <v>DISERAHKAN</v>
      </c>
      <c r="F405" s="9">
        <f>IFERROR(__xludf.DUMMYFUNCTION("""COMPUTED_VALUE"""),45588.69560976852)</f>
        <v>45588.69561</v>
      </c>
      <c r="G405" s="7" t="str">
        <f>IFERROR(__xludf.DUMMYFUNCTION("""COMPUTED_VALUE"""),"BN JUAL BELI")</f>
        <v>BN JUAL BELI</v>
      </c>
      <c r="H405" s="7">
        <f t="shared" si="1"/>
        <v>201</v>
      </c>
    </row>
    <row r="406" ht="22.5" customHeight="1">
      <c r="B406" s="7" t="str">
        <f>IFERROR(__xludf.DUMMYFUNCTION("""COMPUTED_VALUE"""),"K/43/231024/1")</f>
        <v>K/43/231024/1</v>
      </c>
      <c r="C406" s="7" t="str">
        <f>IFERROR(__xludf.DUMMYFUNCTION("""COMPUTED_VALUE"""),"Nibel. B. 3306/ Kedamaian")</f>
        <v>Nibel. B. 3306/ Kedamaian</v>
      </c>
      <c r="D406" s="7"/>
      <c r="E406" s="7"/>
      <c r="F406" s="9" t="str">
        <f>IFERROR(__xludf.DUMMYFUNCTION("""COMPUTED_VALUE"""),"")</f>
        <v/>
      </c>
      <c r="G406" s="7" t="str">
        <f>IFERROR(__xludf.DUMMYFUNCTION("""COMPUTED_VALUE"""),"Gandes")</f>
        <v>Gandes</v>
      </c>
      <c r="H406" s="7">
        <f t="shared" si="1"/>
        <v>201</v>
      </c>
    </row>
    <row r="407" ht="22.5" customHeight="1">
      <c r="B407" s="7" t="str">
        <f>IFERROR(__xludf.DUMMYFUNCTION("""COMPUTED_VALUE"""),"K/44/231024/1")</f>
        <v>K/44/231024/1</v>
      </c>
      <c r="C407" s="7" t="str">
        <f>IFERROR(__xludf.DUMMYFUNCTION("""COMPUTED_VALUE"""),"M. 11085/ Kedamaian; SHT 4351/2015")</f>
        <v>M. 11085/ Kedamaian; SHT 4351/2015</v>
      </c>
      <c r="D407" s="7" t="str">
        <f>IFERROR(__xludf.DUMMYFUNCTION("""COMPUTED_VALUE"""),"Rahma")</f>
        <v>Rahma</v>
      </c>
      <c r="E407" s="7" t="str">
        <f>IFERROR(__xludf.DUMMYFUNCTION("""COMPUTED_VALUE"""),"DISERAHKAN")</f>
        <v>DISERAHKAN</v>
      </c>
      <c r="F407" s="9">
        <f>IFERROR(__xludf.DUMMYFUNCTION("""COMPUTED_VALUE"""),45588.69996891204)</f>
        <v>45588.69997</v>
      </c>
      <c r="G407" s="7" t="str">
        <f>IFERROR(__xludf.DUMMYFUNCTION("""COMPUTED_VALUE"""),"Roya")</f>
        <v>Roya</v>
      </c>
      <c r="H407" s="7">
        <f t="shared" si="1"/>
        <v>202</v>
      </c>
    </row>
    <row r="408" ht="22.5" customHeight="1">
      <c r="B408" s="7" t="str">
        <f>IFERROR(__xludf.DUMMYFUNCTION("""COMPUTED_VALUE"""),"K/45/231024/1")</f>
        <v>K/45/231024/1</v>
      </c>
      <c r="C408" s="7" t="str">
        <f>IFERROR(__xludf.DUMMYFUNCTION("""COMPUTED_VALUE"""),"M.4728/TANJUNG SENENG")</f>
        <v>M.4728/TANJUNG SENENG</v>
      </c>
      <c r="D408" s="7"/>
      <c r="E408" s="7"/>
      <c r="F408" s="9" t="str">
        <f>IFERROR(__xludf.DUMMYFUNCTION("""COMPUTED_VALUE"""),"")</f>
        <v/>
      </c>
      <c r="G408" s="7" t="str">
        <f>IFERROR(__xludf.DUMMYFUNCTION("""COMPUTED_VALUE"""),"GANDES")</f>
        <v>GANDES</v>
      </c>
      <c r="H408" s="7">
        <f t="shared" si="1"/>
        <v>202</v>
      </c>
    </row>
    <row r="409" ht="22.5" customHeight="1">
      <c r="B409" s="7" t="str">
        <f>IFERROR(__xludf.DUMMYFUNCTION("""COMPUTED_VALUE"""),"K/46/231024/2")</f>
        <v>K/46/231024/2</v>
      </c>
      <c r="C409" s="7" t="str">
        <f>IFERROR(__xludf.DUMMYFUNCTION("""COMPUTED_VALUE"""),"M.1395/WAY HALIM PERMAI")</f>
        <v>M.1395/WAY HALIM PERMAI</v>
      </c>
      <c r="D409" s="7"/>
      <c r="E409" s="7"/>
      <c r="F409" s="9" t="str">
        <f>IFERROR(__xludf.DUMMYFUNCTION("""COMPUTED_VALUE"""),"")</f>
        <v/>
      </c>
      <c r="G409" s="7" t="str">
        <f>IFERROR(__xludf.DUMMYFUNCTION("""COMPUTED_VALUE"""),"GANDES")</f>
        <v>GANDES</v>
      </c>
      <c r="H409" s="7">
        <f t="shared" si="1"/>
        <v>202</v>
      </c>
    </row>
    <row r="410" ht="22.5" customHeight="1">
      <c r="B410" s="7" t="str">
        <f>IFERROR(__xludf.DUMMYFUNCTION("""COMPUTED_VALUE"""),"K/47/231024/1")</f>
        <v>K/47/231024/1</v>
      </c>
      <c r="C410" s="7" t="str">
        <f>IFERROR(__xludf.DUMMYFUNCTION("""COMPUTED_VALUE"""),"B. 2082/ Sukabumi")</f>
        <v>B. 2082/ Sukabumi</v>
      </c>
      <c r="D410" s="7" t="str">
        <f>IFERROR(__xludf.DUMMYFUNCTION("""COMPUTED_VALUE"""),"Rahma")</f>
        <v>Rahma</v>
      </c>
      <c r="E410" s="7" t="str">
        <f>IFERROR(__xludf.DUMMYFUNCTION("""COMPUTED_VALUE"""),"DISERAHKAN")</f>
        <v>DISERAHKAN</v>
      </c>
      <c r="F410" s="9">
        <f>IFERROR(__xludf.DUMMYFUNCTION("""COMPUTED_VALUE"""),45588.69616747685)</f>
        <v>45588.69617</v>
      </c>
      <c r="G410" s="7" t="str">
        <f>IFERROR(__xludf.DUMMYFUNCTION("""COMPUTED_VALUE"""),"BN Waris")</f>
        <v>BN Waris</v>
      </c>
      <c r="H410" s="7">
        <f t="shared" si="1"/>
        <v>203</v>
      </c>
    </row>
    <row r="411" ht="22.5" customHeight="1">
      <c r="B411" s="7" t="str">
        <f>IFERROR(__xludf.DUMMYFUNCTION("""COMPUTED_VALUE"""),"K/48/231024/2")</f>
        <v>K/48/231024/2</v>
      </c>
      <c r="C411" s="7" t="str">
        <f>IFERROR(__xludf.DUMMYFUNCTION("""COMPUTED_VALUE"""),"Nibel. M. 2130/ Panjang Selatan")</f>
        <v>Nibel. M. 2130/ Panjang Selatan</v>
      </c>
      <c r="D411" s="7"/>
      <c r="E411" s="7"/>
      <c r="F411" s="9" t="str">
        <f>IFERROR(__xludf.DUMMYFUNCTION("""COMPUTED_VALUE"""),"")</f>
        <v/>
      </c>
      <c r="G411" s="7" t="str">
        <f>IFERROR(__xludf.DUMMYFUNCTION("""COMPUTED_VALUE"""),"BN Jual Beli")</f>
        <v>BN Jual Beli</v>
      </c>
      <c r="H411" s="7">
        <f t="shared" si="1"/>
        <v>203</v>
      </c>
    </row>
    <row r="412" ht="22.5" customHeight="1">
      <c r="B412" s="7" t="str">
        <f>IFERROR(__xludf.DUMMYFUNCTION("""COMPUTED_VALUE"""),"K/49/231024/1")</f>
        <v>K/49/231024/1</v>
      </c>
      <c r="C412" s="7" t="str">
        <f>IFERROR(__xludf.DUMMYFUNCTION("""COMPUTED_VALUE"""),"M. 2278/ Rajabasa Jaya")</f>
        <v>M. 2278/ Rajabasa Jaya</v>
      </c>
      <c r="D412" s="7" t="str">
        <f>IFERROR(__xludf.DUMMYFUNCTION("""COMPUTED_VALUE"""),"Rahma")</f>
        <v>Rahma</v>
      </c>
      <c r="E412" s="7" t="str">
        <f>IFERROR(__xludf.DUMMYFUNCTION("""COMPUTED_VALUE"""),"DISERAHKAN")</f>
        <v>DISERAHKAN</v>
      </c>
      <c r="F412" s="9">
        <f>IFERROR(__xludf.DUMMYFUNCTION("""COMPUTED_VALUE"""),45588.69634729167)</f>
        <v>45588.69635</v>
      </c>
      <c r="G412" s="7" t="str">
        <f>IFERROR(__xludf.DUMMYFUNCTION("""COMPUTED_VALUE"""),"BN JUAL BELI")</f>
        <v>BN JUAL BELI</v>
      </c>
      <c r="H412" s="7">
        <f t="shared" si="1"/>
        <v>204</v>
      </c>
    </row>
    <row r="413" ht="22.5" customHeight="1">
      <c r="B413" s="7" t="str">
        <f>IFERROR(__xludf.DUMMYFUNCTION("""COMPUTED_VALUE"""),"K/50/231024/1")</f>
        <v>K/50/231024/1</v>
      </c>
      <c r="C413" s="7" t="str">
        <f>IFERROR(__xludf.DUMMYFUNCTION("""COMPUTED_VALUE"""),"M.4449/SUKADANAHAM")</f>
        <v>M.4449/SUKADANAHAM</v>
      </c>
      <c r="D413" s="7" t="str">
        <f>IFERROR(__xludf.DUMMYFUNCTION("""COMPUTED_VALUE"""),"Rahma")</f>
        <v>Rahma</v>
      </c>
      <c r="E413" s="7" t="str">
        <f>IFERROR(__xludf.DUMMYFUNCTION("""COMPUTED_VALUE"""),"DISERAHKAN")</f>
        <v>DISERAHKAN</v>
      </c>
      <c r="F413" s="9">
        <f>IFERROR(__xludf.DUMMYFUNCTION("""COMPUTED_VALUE"""),45588.69646252315)</f>
        <v>45588.69646</v>
      </c>
      <c r="G413" s="7" t="str">
        <f>IFERROR(__xludf.DUMMYFUNCTION("""COMPUTED_VALUE"""),"BN JUAL BELI")</f>
        <v>BN JUAL BELI</v>
      </c>
      <c r="H413" s="7">
        <f t="shared" si="1"/>
        <v>205</v>
      </c>
    </row>
    <row r="414" ht="22.5" customHeight="1">
      <c r="B414" s="7" t="str">
        <f>IFERROR(__xludf.DUMMYFUNCTION("""COMPUTED_VALUE"""),"K/51/231024/1")</f>
        <v>K/51/231024/1</v>
      </c>
      <c r="C414" s="7" t="str">
        <f>IFERROR(__xludf.DUMMYFUNCTION("""COMPUTED_VALUE"""),"M.2040/SUSUNAN BARU")</f>
        <v>M.2040/SUSUNAN BARU</v>
      </c>
      <c r="D414" s="7"/>
      <c r="E414" s="7"/>
      <c r="F414" s="9" t="str">
        <f>IFERROR(__xludf.DUMMYFUNCTION("""COMPUTED_VALUE"""),"")</f>
        <v/>
      </c>
      <c r="G414" s="7" t="str">
        <f>IFERROR(__xludf.DUMMYFUNCTION("""COMPUTED_VALUE"""),"PLOT")</f>
        <v>PLOT</v>
      </c>
      <c r="H414" s="7">
        <f t="shared" si="1"/>
        <v>205</v>
      </c>
    </row>
    <row r="415" ht="22.5" customHeight="1">
      <c r="B415" s="7" t="str">
        <f>IFERROR(__xludf.DUMMYFUNCTION("""COMPUTED_VALUE"""),"K/52/231024/2")</f>
        <v>K/52/231024/2</v>
      </c>
      <c r="C415" s="7" t="str">
        <f>IFERROR(__xludf.DUMMYFUNCTION("""COMPUTED_VALUE"""),"B.288/KELAPA TIGA")</f>
        <v>B.288/KELAPA TIGA</v>
      </c>
      <c r="D415" s="7"/>
      <c r="E415" s="7"/>
      <c r="F415" s="9" t="str">
        <f>IFERROR(__xludf.DUMMYFUNCTION("""COMPUTED_VALUE"""),"")</f>
        <v/>
      </c>
      <c r="G415" s="7" t="str">
        <f>IFERROR(__xludf.DUMMYFUNCTION("""COMPUTED_VALUE"""),"PLOT")</f>
        <v>PLOT</v>
      </c>
      <c r="H415" s="7">
        <f t="shared" si="1"/>
        <v>205</v>
      </c>
    </row>
    <row r="416" ht="22.5" customHeight="1">
      <c r="B416" s="7" t="str">
        <f>IFERROR(__xludf.DUMMYFUNCTION("""COMPUTED_VALUE"""),"K/1/241024/1")</f>
        <v>K/1/241024/1</v>
      </c>
      <c r="C416" s="7" t="str">
        <f>IFERROR(__xludf.DUMMYFUNCTION("""COMPUTED_VALUE"""),"M.2632/SUMBER AGUNG")</f>
        <v>M.2632/SUMBER AGUNG</v>
      </c>
      <c r="D416" s="7" t="str">
        <f>IFERROR(__xludf.DUMMYFUNCTION("""COMPUTED_VALUE"""),"Sahelia")</f>
        <v>Sahelia</v>
      </c>
      <c r="E416" s="7" t="str">
        <f>IFERROR(__xludf.DUMMYFUNCTION("""COMPUTED_VALUE"""),"DISERAHKAN")</f>
        <v>DISERAHKAN</v>
      </c>
      <c r="F416" s="9">
        <f>IFERROR(__xludf.DUMMYFUNCTION("""COMPUTED_VALUE"""),45603.592031423614)</f>
        <v>45603.59203</v>
      </c>
      <c r="G416" s="7" t="str">
        <f>IFERROR(__xludf.DUMMYFUNCTION("""COMPUTED_VALUE"""),"BN JUAL BELI")</f>
        <v>BN JUAL BELI</v>
      </c>
      <c r="H416" s="7">
        <f t="shared" si="1"/>
        <v>206</v>
      </c>
    </row>
    <row r="417" ht="22.5" customHeight="1">
      <c r="B417" s="7" t="str">
        <f>IFERROR(__xludf.DUMMYFUNCTION("""COMPUTED_VALUE"""),"K/2/241024/1")</f>
        <v>K/2/241024/1</v>
      </c>
      <c r="C417" s="7" t="str">
        <f>IFERROR(__xludf.DUMMYFUNCTION("""COMPUTED_VALUE"""),"M. 3219/ Way Kandis")</f>
        <v>M. 3219/ Way Kandis</v>
      </c>
      <c r="D417" s="7" t="str">
        <f>IFERROR(__xludf.DUMMYFUNCTION("""COMPUTED_VALUE"""),"Berry")</f>
        <v>Berry</v>
      </c>
      <c r="E417" s="7" t="str">
        <f>IFERROR(__xludf.DUMMYFUNCTION("""COMPUTED_VALUE"""),"DISERAHKAN SU")</f>
        <v>DISERAHKAN SU</v>
      </c>
      <c r="F417" s="9">
        <f>IFERROR(__xludf.DUMMYFUNCTION("""COMPUTED_VALUE"""),45589.660165671296)</f>
        <v>45589.66017</v>
      </c>
      <c r="G417" s="7" t="str">
        <f>IFERROR(__xludf.DUMMYFUNCTION("""COMPUTED_VALUE"""),"roya")</f>
        <v>roya</v>
      </c>
      <c r="H417" s="7">
        <f t="shared" si="1"/>
        <v>206</v>
      </c>
    </row>
    <row r="418" ht="22.5" customHeight="1">
      <c r="B418" s="7" t="str">
        <f>IFERROR(__xludf.DUMMYFUNCTION("""COMPUTED_VALUE"""),"K/3/241024/2")</f>
        <v>K/3/241024/2</v>
      </c>
      <c r="C418" s="7" t="str">
        <f>IFERROR(__xludf.DUMMYFUNCTION("""COMPUTED_VALUE"""),"M. 379/ Kali Balau Kencana")</f>
        <v>M. 379/ Kali Balau Kencana</v>
      </c>
      <c r="D418" s="7" t="str">
        <f>IFERROR(__xludf.DUMMYFUNCTION("""COMPUTED_VALUE"""),"Berry")</f>
        <v>Berry</v>
      </c>
      <c r="E418" s="7" t="str">
        <f>IFERROR(__xludf.DUMMYFUNCTION("""COMPUTED_VALUE"""),"DISERAHKAN")</f>
        <v>DISERAHKAN</v>
      </c>
      <c r="F418" s="9">
        <f>IFERROR(__xludf.DUMMYFUNCTION("""COMPUTED_VALUE"""),45589.660305625)</f>
        <v>45589.66031</v>
      </c>
      <c r="G418" s="7" t="str">
        <f>IFERROR(__xludf.DUMMYFUNCTION("""COMPUTED_VALUE"""),"BN Jual Beli")</f>
        <v>BN Jual Beli</v>
      </c>
      <c r="H418" s="7">
        <f t="shared" si="1"/>
        <v>207</v>
      </c>
    </row>
    <row r="419" ht="22.5" customHeight="1">
      <c r="B419" s="7" t="str">
        <f>IFERROR(__xludf.DUMMYFUNCTION("""COMPUTED_VALUE"""),"K/4/241024/1")</f>
        <v>K/4/241024/1</v>
      </c>
      <c r="C419" s="7" t="str">
        <f>IFERROR(__xludf.DUMMYFUNCTION("""COMPUTED_VALUE"""),"M. 2271/ Rajabasa Jaya")</f>
        <v>M. 2271/ Rajabasa Jaya</v>
      </c>
      <c r="D419" s="7" t="str">
        <f>IFERROR(__xludf.DUMMYFUNCTION("""COMPUTED_VALUE"""),"Berry")</f>
        <v>Berry</v>
      </c>
      <c r="E419" s="7" t="str">
        <f>IFERROR(__xludf.DUMMYFUNCTION("""COMPUTED_VALUE"""),"DISERAHKAN")</f>
        <v>DISERAHKAN</v>
      </c>
      <c r="F419" s="9">
        <f>IFERROR(__xludf.DUMMYFUNCTION("""COMPUTED_VALUE"""),45589.66042594907)</f>
        <v>45589.66043</v>
      </c>
      <c r="G419" s="7" t="str">
        <f>IFERROR(__xludf.DUMMYFUNCTION("""COMPUTED_VALUE"""),"BN Jual Beli")</f>
        <v>BN Jual Beli</v>
      </c>
      <c r="H419" s="7">
        <f t="shared" si="1"/>
        <v>208</v>
      </c>
    </row>
    <row r="420" ht="22.5" customHeight="1">
      <c r="B420" s="7" t="str">
        <f>IFERROR(__xludf.DUMMYFUNCTION("""COMPUTED_VALUE"""),"K/5/241024/2")</f>
        <v>K/5/241024/2</v>
      </c>
      <c r="C420" s="7" t="str">
        <f>IFERROR(__xludf.DUMMYFUNCTION("""COMPUTED_VALUE"""),"M. 2955/ Sukarame Baru; M. 16806/ Sukarame-dahulu; B. 2357/ Sukarame-dahulu;")</f>
        <v>M. 2955/ Sukarame Baru; M. 16806/ Sukarame-dahulu; B. 2357/ Sukarame-dahulu;</v>
      </c>
      <c r="D420" s="7" t="str">
        <f>IFERROR(__xludf.DUMMYFUNCTION("""COMPUTED_VALUE"""),"Berry")</f>
        <v>Berry</v>
      </c>
      <c r="E420" s="7" t="str">
        <f>IFERROR(__xludf.DUMMYFUNCTION("""COMPUTED_VALUE"""),"DISERAHKAN")</f>
        <v>DISERAHKAN</v>
      </c>
      <c r="F420" s="9">
        <f>IFERROR(__xludf.DUMMYFUNCTION("""COMPUTED_VALUE"""),45589.66056239583)</f>
        <v>45589.66056</v>
      </c>
      <c r="G420" s="7" t="str">
        <f>IFERROR(__xludf.DUMMYFUNCTION("""COMPUTED_VALUE"""),"BN Waris")</f>
        <v>BN Waris</v>
      </c>
      <c r="H420" s="7">
        <f t="shared" si="1"/>
        <v>209</v>
      </c>
    </row>
    <row r="421" ht="22.5" customHeight="1">
      <c r="B421" s="7" t="str">
        <f>IFERROR(__xludf.DUMMYFUNCTION("""COMPUTED_VALUE"""),"K/6/241024/3")</f>
        <v>K/6/241024/3</v>
      </c>
      <c r="C421" s="7" t="str">
        <f>IFERROR(__xludf.DUMMYFUNCTION("""COMPUTED_VALUE"""),"M. 1498/ Kali Balau Kencana-sekarang; M. 11808/ Tanjung Baru-dahulu")</f>
        <v>M. 1498/ Kali Balau Kencana-sekarang; M. 11808/ Tanjung Baru-dahulu</v>
      </c>
      <c r="D421" s="7" t="str">
        <f>IFERROR(__xludf.DUMMYFUNCTION("""COMPUTED_VALUE"""),"Berry")</f>
        <v>Berry</v>
      </c>
      <c r="E421" s="7" t="str">
        <f>IFERROR(__xludf.DUMMYFUNCTION("""COMPUTED_VALUE"""),"DISERAHKAN")</f>
        <v>DISERAHKAN</v>
      </c>
      <c r="F421" s="9">
        <f>IFERROR(__xludf.DUMMYFUNCTION("""COMPUTED_VALUE"""),45589.66066836806)</f>
        <v>45589.66067</v>
      </c>
      <c r="G421" s="7" t="str">
        <f>IFERROR(__xludf.DUMMYFUNCTION("""COMPUTED_VALUE"""),"BN Jual Beli")</f>
        <v>BN Jual Beli</v>
      </c>
      <c r="H421" s="7">
        <f t="shared" si="1"/>
        <v>210</v>
      </c>
    </row>
    <row r="422" ht="22.5" customHeight="1">
      <c r="B422" s="7" t="str">
        <f>IFERROR(__xludf.DUMMYFUNCTION("""COMPUTED_VALUE"""),"K/7/241024/1")</f>
        <v>K/7/241024/1</v>
      </c>
      <c r="C422" s="7" t="str">
        <f>IFERROR(__xludf.DUMMYFUNCTION("""COMPUTED_VALUE"""),"M.1116/LABUHAN RATU RAYA")</f>
        <v>M.1116/LABUHAN RATU RAYA</v>
      </c>
      <c r="D422" s="7" t="str">
        <f>IFERROR(__xludf.DUMMYFUNCTION("""COMPUTED_VALUE"""),"Berry")</f>
        <v>Berry</v>
      </c>
      <c r="E422" s="7" t="str">
        <f>IFERROR(__xludf.DUMMYFUNCTION("""COMPUTED_VALUE"""),"DISERAHKAN")</f>
        <v>DISERAHKAN</v>
      </c>
      <c r="F422" s="9">
        <f>IFERROR(__xludf.DUMMYFUNCTION("""COMPUTED_VALUE"""),45589.66077621528)</f>
        <v>45589.66078</v>
      </c>
      <c r="G422" s="7" t="str">
        <f>IFERROR(__xludf.DUMMYFUNCTION("""COMPUTED_VALUE"""),"ROYA")</f>
        <v>ROYA</v>
      </c>
      <c r="H422" s="7">
        <f t="shared" si="1"/>
        <v>211</v>
      </c>
    </row>
    <row r="423" ht="22.5" customHeight="1">
      <c r="B423" s="7" t="str">
        <f>IFERROR(__xludf.DUMMYFUNCTION("""COMPUTED_VALUE"""),"K/8/241024/4")</f>
        <v>K/8/241024/4</v>
      </c>
      <c r="C423" s="7" t="str">
        <f>IFERROR(__xludf.DUMMYFUNCTION("""COMPUTED_VALUE"""),"M. 369/ Kali Balau Kencana")</f>
        <v>M. 369/ Kali Balau Kencana</v>
      </c>
      <c r="D423" s="7" t="str">
        <f>IFERROR(__xludf.DUMMYFUNCTION("""COMPUTED_VALUE"""),"Berry")</f>
        <v>Berry</v>
      </c>
      <c r="E423" s="7" t="str">
        <f>IFERROR(__xludf.DUMMYFUNCTION("""COMPUTED_VALUE"""),"DISERAHKAN")</f>
        <v>DISERAHKAN</v>
      </c>
      <c r="F423" s="9">
        <f>IFERROR(__xludf.DUMMYFUNCTION("""COMPUTED_VALUE"""),45589.660896574074)</f>
        <v>45589.6609</v>
      </c>
      <c r="G423" s="7" t="str">
        <f>IFERROR(__xludf.DUMMYFUNCTION("""COMPUTED_VALUE"""),"BN Jual Beli")</f>
        <v>BN Jual Beli</v>
      </c>
      <c r="H423" s="7">
        <f t="shared" si="1"/>
        <v>212</v>
      </c>
    </row>
    <row r="424" ht="22.5" customHeight="1">
      <c r="B424" s="7" t="str">
        <f>IFERROR(__xludf.DUMMYFUNCTION("""COMPUTED_VALUE"""),"K/9/241024/1")</f>
        <v>K/9/241024/1</v>
      </c>
      <c r="C424" s="7" t="str">
        <f>IFERROR(__xludf.DUMMYFUNCTION("""COMPUTED_VALUE"""),"M. 9800/ Kedamaian; SHT 2878/2017 dan SHT 1059/20211")</f>
        <v>M. 9800/ Kedamaian; SHT 2878/2017 dan SHT 1059/20211</v>
      </c>
      <c r="D424" s="7" t="str">
        <f>IFERROR(__xludf.DUMMYFUNCTION("""COMPUTED_VALUE"""),"Berry")</f>
        <v>Berry</v>
      </c>
      <c r="E424" s="7" t="str">
        <f>IFERROR(__xludf.DUMMYFUNCTION("""COMPUTED_VALUE"""),"DISERAHKAN")</f>
        <v>DISERAHKAN</v>
      </c>
      <c r="F424" s="9">
        <f>IFERROR(__xludf.DUMMYFUNCTION("""COMPUTED_VALUE"""),45589.66101055556)</f>
        <v>45589.66101</v>
      </c>
      <c r="G424" s="7" t="str">
        <f>IFERROR(__xludf.DUMMYFUNCTION("""COMPUTED_VALUE"""),"Roya")</f>
        <v>Roya</v>
      </c>
      <c r="H424" s="7">
        <f t="shared" si="1"/>
        <v>213</v>
      </c>
    </row>
    <row r="425" ht="22.5" customHeight="1">
      <c r="B425" s="7" t="str">
        <f>IFERROR(__xludf.DUMMYFUNCTION("""COMPUTED_VALUE"""),"K/10/241024/1")</f>
        <v>K/10/241024/1</v>
      </c>
      <c r="C425" s="7" t="str">
        <f>IFERROR(__xludf.DUMMYFUNCTION("""COMPUTED_VALUE"""),"NIBEL M. 2525/WAY HALIM PERMAI")</f>
        <v>NIBEL M. 2525/WAY HALIM PERMAI</v>
      </c>
      <c r="D425" s="7"/>
      <c r="E425" s="7"/>
      <c r="F425" s="9" t="str">
        <f>IFERROR(__xludf.DUMMYFUNCTION("""COMPUTED_VALUE"""),"")</f>
        <v/>
      </c>
      <c r="G425" s="7" t="str">
        <f>IFERROR(__xludf.DUMMYFUNCTION("""COMPUTED_VALUE"""),"BN JUAL BELI")</f>
        <v>BN JUAL BELI</v>
      </c>
      <c r="H425" s="7">
        <f t="shared" si="1"/>
        <v>213</v>
      </c>
    </row>
    <row r="426" ht="22.5" customHeight="1">
      <c r="B426" s="7" t="str">
        <f>IFERROR(__xludf.DUMMYFUNCTION("""COMPUTED_VALUE"""),"K/12/241024/1")</f>
        <v>K/12/241024/1</v>
      </c>
      <c r="C426" s="7" t="str">
        <f>IFERROR(__xludf.DUMMYFUNCTION("""COMPUTED_VALUE"""),"M. 1651/ Sukarame II")</f>
        <v>M. 1651/ Sukarame II</v>
      </c>
      <c r="D426" s="7" t="str">
        <f>IFERROR(__xludf.DUMMYFUNCTION("""COMPUTED_VALUE"""),"Berry")</f>
        <v>Berry</v>
      </c>
      <c r="E426" s="7" t="str">
        <f>IFERROR(__xludf.DUMMYFUNCTION("""COMPUTED_VALUE"""),"DISERAHKAN")</f>
        <v>DISERAHKAN</v>
      </c>
      <c r="F426" s="9">
        <f>IFERROR(__xludf.DUMMYFUNCTION("""COMPUTED_VALUE"""),45589.66113769676)</f>
        <v>45589.66114</v>
      </c>
      <c r="G426" s="7" t="str">
        <f>IFERROR(__xludf.DUMMYFUNCTION("""COMPUTED_VALUE"""),"BN Jual Beli")</f>
        <v>BN Jual Beli</v>
      </c>
      <c r="H426" s="7">
        <f t="shared" si="1"/>
        <v>214</v>
      </c>
    </row>
    <row r="427" ht="22.5" customHeight="1">
      <c r="B427" s="7" t="str">
        <f>IFERROR(__xludf.DUMMYFUNCTION("""COMPUTED_VALUE"""),"K/11/241024/1")</f>
        <v>K/11/241024/1</v>
      </c>
      <c r="C427" s="7" t="str">
        <f>IFERROR(__xludf.DUMMYFUNCTION("""COMPUTED_VALUE"""),"M. 2231/ Durian Payung")</f>
        <v>M. 2231/ Durian Payung</v>
      </c>
      <c r="D427" s="7"/>
      <c r="E427" s="7" t="str">
        <f>IFERROR(__xludf.DUMMYFUNCTION("""COMPUTED_VALUE"""),"PROSES")</f>
        <v>PROSES</v>
      </c>
      <c r="F427" s="9" t="str">
        <f>IFERROR(__xludf.DUMMYFUNCTION("""COMPUTED_VALUE"""),"")</f>
        <v/>
      </c>
      <c r="G427" s="7" t="str">
        <f>IFERROR(__xludf.DUMMYFUNCTION("""COMPUTED_VALUE"""),"BN Waris")</f>
        <v>BN Waris</v>
      </c>
      <c r="H427" s="7">
        <f t="shared" si="1"/>
        <v>214</v>
      </c>
    </row>
    <row r="428" ht="22.5" customHeight="1">
      <c r="B428" s="7" t="str">
        <f>IFERROR(__xludf.DUMMYFUNCTION("""COMPUTED_VALUE"""),"K/13/241024/2")</f>
        <v>K/13/241024/2</v>
      </c>
      <c r="C428" s="7" t="str">
        <f>IFERROR(__xludf.DUMMYFUNCTION("""COMPUTED_VALUE"""),"M. 1832/ Sumberrejo sejahtera-sekarang; M.1090/ Sumberrejo Dahulu")</f>
        <v>M. 1832/ Sumberrejo sejahtera-sekarang; M.1090/ Sumberrejo Dahulu</v>
      </c>
      <c r="D428" s="7" t="str">
        <f>IFERROR(__xludf.DUMMYFUNCTION("""COMPUTED_VALUE"""),"David")</f>
        <v>David</v>
      </c>
      <c r="E428" s="7" t="str">
        <f>IFERROR(__xludf.DUMMYFUNCTION("""COMPUTED_VALUE"""),"DISERAHKAN")</f>
        <v>DISERAHKAN</v>
      </c>
      <c r="F428" s="9">
        <f>IFERROR(__xludf.DUMMYFUNCTION("""COMPUTED_VALUE"""),45589.67209068287)</f>
        <v>45589.67209</v>
      </c>
      <c r="G428" s="7" t="str">
        <f>IFERROR(__xludf.DUMMYFUNCTION("""COMPUTED_VALUE"""),"BN Jual Beli")</f>
        <v>BN Jual Beli</v>
      </c>
      <c r="H428" s="7">
        <f t="shared" si="1"/>
        <v>215</v>
      </c>
    </row>
    <row r="429" ht="22.5" customHeight="1">
      <c r="B429" s="7" t="str">
        <f>IFERROR(__xludf.DUMMYFUNCTION("""COMPUTED_VALUE"""),"L/14/241024/1")</f>
        <v>L/14/241024/1</v>
      </c>
      <c r="C429" s="7" t="str">
        <f>IFERROR(__xludf.DUMMYFUNCTION("""COMPUTED_VALUE"""),"M.16877/SUKARAME I")</f>
        <v>M.16877/SUKARAME I</v>
      </c>
      <c r="D429" s="7" t="str">
        <f>IFERROR(__xludf.DUMMYFUNCTION("""COMPUTED_VALUE"""),"David")</f>
        <v>David</v>
      </c>
      <c r="E429" s="7" t="str">
        <f>IFERROR(__xludf.DUMMYFUNCTION("""COMPUTED_VALUE"""),"DISERAHKAN")</f>
        <v>DISERAHKAN</v>
      </c>
      <c r="F429" s="9">
        <f>IFERROR(__xludf.DUMMYFUNCTION("""COMPUTED_VALUE"""),45589.67256037037)</f>
        <v>45589.67256</v>
      </c>
      <c r="G429" s="7" t="str">
        <f>IFERROR(__xludf.DUMMYFUNCTION("""COMPUTED_VALUE"""),"ROYA")</f>
        <v>ROYA</v>
      </c>
      <c r="H429" s="7">
        <f t="shared" si="1"/>
        <v>216</v>
      </c>
    </row>
    <row r="430" ht="22.5" customHeight="1">
      <c r="B430" s="7" t="str">
        <f>IFERROR(__xludf.DUMMYFUNCTION("""COMPUTED_VALUE"""),"L/15/241024/1")</f>
        <v>L/15/241024/1</v>
      </c>
      <c r="C430" s="7" t="str">
        <f>IFERROR(__xludf.DUMMYFUNCTION("""COMPUTED_VALUE"""),"HM 5933/WAY KANDIS")</f>
        <v>HM 5933/WAY KANDIS</v>
      </c>
      <c r="D430" s="7"/>
      <c r="E430" s="7"/>
      <c r="F430" s="9" t="str">
        <f>IFERROR(__xludf.DUMMYFUNCTION("""COMPUTED_VALUE"""),"")</f>
        <v/>
      </c>
      <c r="G430" s="7" t="str">
        <f>IFERROR(__xludf.DUMMYFUNCTION("""COMPUTED_VALUE"""),"PTPGT")</f>
        <v>PTPGT</v>
      </c>
      <c r="H430" s="7">
        <f t="shared" si="1"/>
        <v>216</v>
      </c>
    </row>
    <row r="431" ht="22.5" customHeight="1">
      <c r="B431" s="7" t="str">
        <f>IFERROR(__xludf.DUMMYFUNCTION("""COMPUTED_VALUE"""),"K/16/241024/1")</f>
        <v>K/16/241024/1</v>
      </c>
      <c r="C431" s="7" t="str">
        <f>IFERROR(__xludf.DUMMYFUNCTION("""COMPUTED_VALUE"""),"Nibel 1410/ Kemiling Permai")</f>
        <v>Nibel 1410/ Kemiling Permai</v>
      </c>
      <c r="D431" s="7"/>
      <c r="E431" s="7"/>
      <c r="F431" s="9" t="str">
        <f>IFERROR(__xludf.DUMMYFUNCTION("""COMPUTED_VALUE"""),"")</f>
        <v/>
      </c>
      <c r="G431" s="7" t="str">
        <f>IFERROR(__xludf.DUMMYFUNCTION("""COMPUTED_VALUE"""),"BN Jual beli")</f>
        <v>BN Jual beli</v>
      </c>
      <c r="H431" s="7">
        <f t="shared" si="1"/>
        <v>216</v>
      </c>
    </row>
    <row r="432" ht="22.5" customHeight="1">
      <c r="B432" s="7" t="str">
        <f>IFERROR(__xludf.DUMMYFUNCTION("""COMPUTED_VALUE"""),"K/17/241024/1")</f>
        <v>K/17/241024/1</v>
      </c>
      <c r="C432" s="7" t="str">
        <f>IFERROR(__xludf.DUMMYFUNCTION("""COMPUTED_VALUE"""),"M. 2476/ Sukadana Ham")</f>
        <v>M. 2476/ Sukadana Ham</v>
      </c>
      <c r="D432" s="7"/>
      <c r="E432" s="7"/>
      <c r="F432" s="9" t="str">
        <f>IFERROR(__xludf.DUMMYFUNCTION("""COMPUTED_VALUE"""),"")</f>
        <v/>
      </c>
      <c r="G432" s="7" t="str">
        <f>IFERROR(__xludf.DUMMYFUNCTION("""COMPUTED_VALUE"""),"Pengecekan")</f>
        <v>Pengecekan</v>
      </c>
      <c r="H432" s="7">
        <f t="shared" si="1"/>
        <v>216</v>
      </c>
    </row>
    <row r="433" ht="22.5" customHeight="1">
      <c r="B433" s="7" t="str">
        <f>IFERROR(__xludf.DUMMYFUNCTION("""COMPUTED_VALUE"""),"L/20/241024/1")</f>
        <v>L/20/241024/1</v>
      </c>
      <c r="C433" s="7" t="str">
        <f>IFERROR(__xludf.DUMMYFUNCTION("""COMPUTED_VALUE"""),"NIB 16050/CAMPANG RAYA")</f>
        <v>NIB 16050/CAMPANG RAYA</v>
      </c>
      <c r="D433" s="7"/>
      <c r="E433" s="7"/>
      <c r="F433" s="9" t="str">
        <f>IFERROR(__xludf.DUMMYFUNCTION("""COMPUTED_VALUE"""),"")</f>
        <v/>
      </c>
      <c r="G433" s="7" t="str">
        <f>IFERROR(__xludf.DUMMYFUNCTION("""COMPUTED_VALUE"""),"GANDES")</f>
        <v>GANDES</v>
      </c>
      <c r="H433" s="7">
        <f t="shared" si="1"/>
        <v>216</v>
      </c>
    </row>
    <row r="434" ht="22.5" customHeight="1">
      <c r="B434" s="7" t="str">
        <f>IFERROR(__xludf.DUMMYFUNCTION("""COMPUTED_VALUE"""),"L/18/241024/1")</f>
        <v>L/18/241024/1</v>
      </c>
      <c r="C434" s="7" t="str">
        <f>IFERROR(__xludf.DUMMYFUNCTION("""COMPUTED_VALUE"""),"M.1248/SUKARAME BARU")</f>
        <v>M.1248/SUKARAME BARU</v>
      </c>
      <c r="D434" s="7"/>
      <c r="E434" s="7"/>
      <c r="F434" s="9" t="str">
        <f>IFERROR(__xludf.DUMMYFUNCTION("""COMPUTED_VALUE"""),"")</f>
        <v/>
      </c>
      <c r="G434" s="7" t="str">
        <f>IFERROR(__xludf.DUMMYFUNCTION("""COMPUTED_VALUE"""),"SITA")</f>
        <v>SITA</v>
      </c>
      <c r="H434" s="7">
        <f t="shared" si="1"/>
        <v>216</v>
      </c>
    </row>
    <row r="435" ht="22.5" customHeight="1">
      <c r="B435" s="7" t="str">
        <f>IFERROR(__xludf.DUMMYFUNCTION("""COMPUTED_VALUE"""),"L/19/241024/2")</f>
        <v>L/19/241024/2</v>
      </c>
      <c r="C435" s="7" t="str">
        <f>IFERROR(__xludf.DUMMYFUNCTION("""COMPUTED_VALUE"""),"M.1249/SUKARAME BARU")</f>
        <v>M.1249/SUKARAME BARU</v>
      </c>
      <c r="D435" s="7"/>
      <c r="E435" s="7"/>
      <c r="F435" s="9" t="str">
        <f>IFERROR(__xludf.DUMMYFUNCTION("""COMPUTED_VALUE"""),"")</f>
        <v/>
      </c>
      <c r="G435" s="7" t="str">
        <f>IFERROR(__xludf.DUMMYFUNCTION("""COMPUTED_VALUE"""),"SITA")</f>
        <v>SITA</v>
      </c>
      <c r="H435" s="7">
        <f t="shared" si="1"/>
        <v>216</v>
      </c>
    </row>
    <row r="436" ht="22.5" customHeight="1">
      <c r="B436" s="7" t="str">
        <f>IFERROR(__xludf.DUMMYFUNCTION("""COMPUTED_VALUE"""),"K/21/241024/1")</f>
        <v>K/21/241024/1</v>
      </c>
      <c r="C436" s="7" t="str">
        <f>IFERROR(__xludf.DUMMYFUNCTION("""COMPUTED_VALUE"""),"M. 217/ Bilabong Jaya-sekarang; M.880/ susunan Baru-dahulu")</f>
        <v>M. 217/ Bilabong Jaya-sekarang; M.880/ susunan Baru-dahulu</v>
      </c>
      <c r="D436" s="7" t="str">
        <f>IFERROR(__xludf.DUMMYFUNCTION("""COMPUTED_VALUE"""),"David")</f>
        <v>David</v>
      </c>
      <c r="E436" s="7" t="str">
        <f>IFERROR(__xludf.DUMMYFUNCTION("""COMPUTED_VALUE"""),"DISERAHKAN BT")</f>
        <v>DISERAHKAN BT</v>
      </c>
      <c r="F436" s="9">
        <f>IFERROR(__xludf.DUMMYFUNCTION("""COMPUTED_VALUE"""),45589.67316258102)</f>
        <v>45589.67316</v>
      </c>
      <c r="G436" s="7" t="str">
        <f>IFERROR(__xludf.DUMMYFUNCTION("""COMPUTED_VALUE"""),"BN Jual Beli")</f>
        <v>BN Jual Beli</v>
      </c>
      <c r="H436" s="7">
        <f t="shared" si="1"/>
        <v>216</v>
      </c>
    </row>
    <row r="437" ht="22.5" customHeight="1">
      <c r="B437" s="7" t="str">
        <f>IFERROR(__xludf.DUMMYFUNCTION("""COMPUTED_VALUE"""),"L/22/241024/1")</f>
        <v>L/22/241024/1</v>
      </c>
      <c r="C437" s="7" t="str">
        <f>IFERROR(__xludf.DUMMYFUNCTION("""COMPUTED_VALUE"""),"HM 1366/KALIAWI")</f>
        <v>HM 1366/KALIAWI</v>
      </c>
      <c r="D437" s="7" t="str">
        <f>IFERROR(__xludf.DUMMYFUNCTION("""COMPUTED_VALUE"""),"David")</f>
        <v>David</v>
      </c>
      <c r="E437" s="7" t="str">
        <f>IFERROR(__xludf.DUMMYFUNCTION("""COMPUTED_VALUE"""),"DISERAHKAN")</f>
        <v>DISERAHKAN</v>
      </c>
      <c r="F437" s="9">
        <f>IFERROR(__xludf.DUMMYFUNCTION("""COMPUTED_VALUE"""),45589.6733893287)</f>
        <v>45589.67339</v>
      </c>
      <c r="G437" s="7" t="str">
        <f>IFERROR(__xludf.DUMMYFUNCTION("""COMPUTED_VALUE"""),"ROYA")</f>
        <v>ROYA</v>
      </c>
      <c r="H437" s="7">
        <f t="shared" si="1"/>
        <v>217</v>
      </c>
    </row>
    <row r="438" ht="22.5" customHeight="1">
      <c r="B438" s="7" t="str">
        <f>IFERROR(__xludf.DUMMYFUNCTION("""COMPUTED_VALUE"""),"K/23/241024/1")</f>
        <v>K/23/241024/1</v>
      </c>
      <c r="C438" s="7" t="str">
        <f>IFERROR(__xludf.DUMMYFUNCTION("""COMPUTED_VALUE"""),"M. 16697/ Sukabumi")</f>
        <v>M. 16697/ Sukabumi</v>
      </c>
      <c r="D438" s="7" t="str">
        <f>IFERROR(__xludf.DUMMYFUNCTION("""COMPUTED_VALUE"""),"Sahelia")</f>
        <v>Sahelia</v>
      </c>
      <c r="E438" s="7" t="str">
        <f>IFERROR(__xludf.DUMMYFUNCTION("""COMPUTED_VALUE"""),"DISERAHKAN")</f>
        <v>DISERAHKAN</v>
      </c>
      <c r="F438" s="9">
        <f>IFERROR(__xludf.DUMMYFUNCTION("""COMPUTED_VALUE"""),45601.42349583333)</f>
        <v>45601.4235</v>
      </c>
      <c r="G438" s="7" t="str">
        <f>IFERROR(__xludf.DUMMYFUNCTION("""COMPUTED_VALUE"""),"BN Jual Beli")</f>
        <v>BN Jual Beli</v>
      </c>
      <c r="H438" s="7">
        <f t="shared" si="1"/>
        <v>218</v>
      </c>
    </row>
    <row r="439" ht="22.5" customHeight="1">
      <c r="B439" s="7" t="str">
        <f>IFERROR(__xludf.DUMMYFUNCTION("""COMPUTED_VALUE"""),"K/24/241024/1")</f>
        <v>K/24/241024/1</v>
      </c>
      <c r="C439" s="7" t="str">
        <f>IFERROR(__xludf.DUMMYFUNCTION("""COMPUTED_VALUE"""),"NIBEL B.2466/SUKABUMI")</f>
        <v>NIBEL B.2466/SUKABUMI</v>
      </c>
      <c r="D439" s="7"/>
      <c r="E439" s="7"/>
      <c r="F439" s="9" t="str">
        <f>IFERROR(__xludf.DUMMYFUNCTION("""COMPUTED_VALUE"""),"")</f>
        <v/>
      </c>
      <c r="G439" s="7" t="str">
        <f>IFERROR(__xludf.DUMMYFUNCTION("""COMPUTED_VALUE"""),"PENINGKATAN")</f>
        <v>PENINGKATAN</v>
      </c>
      <c r="H439" s="7">
        <f t="shared" si="1"/>
        <v>218</v>
      </c>
    </row>
    <row r="440" ht="22.5" customHeight="1">
      <c r="B440" s="7" t="str">
        <f>IFERROR(__xludf.DUMMYFUNCTION("""COMPUTED_VALUE"""),"K/25/241024/2")</f>
        <v>K/25/241024/2</v>
      </c>
      <c r="C440" s="7" t="str">
        <f>IFERROR(__xludf.DUMMYFUNCTION("""COMPUTED_VALUE"""),"B.627/KEMILING PERMAI")</f>
        <v>B.627/KEMILING PERMAI</v>
      </c>
      <c r="D440" s="7" t="str">
        <f>IFERROR(__xludf.DUMMYFUNCTION("""COMPUTED_VALUE"""),"David")</f>
        <v>David</v>
      </c>
      <c r="E440" s="7" t="str">
        <f>IFERROR(__xludf.DUMMYFUNCTION("""COMPUTED_VALUE"""),"DISERAHKAN")</f>
        <v>DISERAHKAN</v>
      </c>
      <c r="F440" s="9">
        <f>IFERROR(__xludf.DUMMYFUNCTION("""COMPUTED_VALUE"""),45589.67439107639)</f>
        <v>45589.67439</v>
      </c>
      <c r="G440" s="7" t="str">
        <f>IFERROR(__xludf.DUMMYFUNCTION("""COMPUTED_VALUE"""),"BN JUAL BELI")</f>
        <v>BN JUAL BELI</v>
      </c>
      <c r="H440" s="7">
        <f t="shared" si="1"/>
        <v>219</v>
      </c>
    </row>
    <row r="441" ht="22.5" customHeight="1">
      <c r="B441" s="7" t="str">
        <f>IFERROR(__xludf.DUMMYFUNCTION("""COMPUTED_VALUE"""),"K/26/241024/3")</f>
        <v>K/26/241024/3</v>
      </c>
      <c r="C441" s="7" t="str">
        <f>IFERROR(__xludf.DUMMYFUNCTION("""COMPUTED_VALUE"""),"B.657/KEMILING PERMAI")</f>
        <v>B.657/KEMILING PERMAI</v>
      </c>
      <c r="D441" s="7" t="str">
        <f>IFERROR(__xludf.DUMMYFUNCTION("""COMPUTED_VALUE"""),"David")</f>
        <v>David</v>
      </c>
      <c r="E441" s="7" t="str">
        <f>IFERROR(__xludf.DUMMYFUNCTION("""COMPUTED_VALUE"""),"DISERAHKAN")</f>
        <v>DISERAHKAN</v>
      </c>
      <c r="F441" s="9">
        <f>IFERROR(__xludf.DUMMYFUNCTION("""COMPUTED_VALUE"""),45589.67463987268)</f>
        <v>45589.67464</v>
      </c>
      <c r="G441" s="7" t="str">
        <f>IFERROR(__xludf.DUMMYFUNCTION("""COMPUTED_VALUE"""),"BN JUAL BELI")</f>
        <v>BN JUAL BELI</v>
      </c>
      <c r="H441" s="7">
        <f t="shared" si="1"/>
        <v>220</v>
      </c>
    </row>
    <row r="442" ht="22.5" customHeight="1">
      <c r="B442" s="7" t="str">
        <f>IFERROR(__xludf.DUMMYFUNCTION("""COMPUTED_VALUE"""),"L/27/241024/1")</f>
        <v>L/27/241024/1</v>
      </c>
      <c r="C442" s="7" t="str">
        <f>IFERROR(__xludf.DUMMYFUNCTION("""COMPUTED_VALUE"""),"HM 1540/SUKARAME BARU")</f>
        <v>HM 1540/SUKARAME BARU</v>
      </c>
      <c r="D442" s="7"/>
      <c r="E442" s="7"/>
      <c r="F442" s="9" t="str">
        <f>IFERROR(__xludf.DUMMYFUNCTION("""COMPUTED_VALUE"""),"")</f>
        <v/>
      </c>
      <c r="G442" s="7" t="str">
        <f>IFERROR(__xludf.DUMMYFUNCTION("""COMPUTED_VALUE"""),"SKPT INFORMASI")</f>
        <v>SKPT INFORMASI</v>
      </c>
      <c r="H442" s="7">
        <f t="shared" si="1"/>
        <v>220</v>
      </c>
    </row>
    <row r="443" ht="22.5" customHeight="1">
      <c r="B443" s="7" t="str">
        <f>IFERROR(__xludf.DUMMYFUNCTION("""COMPUTED_VALUE"""),"K/28/241024/1")</f>
        <v>K/28/241024/1</v>
      </c>
      <c r="C443" s="7" t="str">
        <f>IFERROR(__xludf.DUMMYFUNCTION("""COMPUTED_VALUE"""),"Nibel. M. 2140/ Kupang Raya")</f>
        <v>Nibel. M. 2140/ Kupang Raya</v>
      </c>
      <c r="D443" s="7"/>
      <c r="E443" s="7"/>
      <c r="F443" s="9" t="str">
        <f>IFERROR(__xludf.DUMMYFUNCTION("""COMPUTED_VALUE"""),"")</f>
        <v/>
      </c>
      <c r="G443" s="7" t="str">
        <f>IFERROR(__xludf.DUMMYFUNCTION("""COMPUTED_VALUE"""),"Pemecahan")</f>
        <v>Pemecahan</v>
      </c>
      <c r="H443" s="7">
        <f t="shared" si="1"/>
        <v>220</v>
      </c>
    </row>
    <row r="444" ht="22.5" customHeight="1">
      <c r="B444" s="7" t="str">
        <f>IFERROR(__xludf.DUMMYFUNCTION("""COMPUTED_VALUE"""),"K/29/241024/1")</f>
        <v>K/29/241024/1</v>
      </c>
      <c r="C444" s="7" t="str">
        <f>IFERROR(__xludf.DUMMYFUNCTION("""COMPUTED_VALUE"""),"m. 2395/ CAMPANG JAYA-SEKARANG; M. 1702/ CAMPANG RAYA-DAHULU")</f>
        <v>m. 2395/ CAMPANG JAYA-SEKARANG; M. 1702/ CAMPANG RAYA-DAHULU</v>
      </c>
      <c r="D444" s="7"/>
      <c r="E444" s="7"/>
      <c r="F444" s="9" t="str">
        <f>IFERROR(__xludf.DUMMYFUNCTION("""COMPUTED_VALUE"""),"")</f>
        <v/>
      </c>
      <c r="G444" s="7" t="str">
        <f>IFERROR(__xludf.DUMMYFUNCTION("""COMPUTED_VALUE"""),"PLOTTING")</f>
        <v>PLOTTING</v>
      </c>
      <c r="H444" s="7">
        <f t="shared" si="1"/>
        <v>220</v>
      </c>
    </row>
    <row r="445" ht="22.5" customHeight="1">
      <c r="B445" s="7" t="str">
        <f>IFERROR(__xludf.DUMMYFUNCTION("""COMPUTED_VALUE"""),"L/31/241024/1")</f>
        <v>L/31/241024/1</v>
      </c>
      <c r="C445" s="7" t="str">
        <f>IFERROR(__xludf.DUMMYFUNCTION("""COMPUTED_VALUE"""),"B.311/PEMATANG WANGI;B.546/TJ SENANG-DAHULU")</f>
        <v>B.311/PEMATANG WANGI;B.546/TJ SENANG-DAHULU</v>
      </c>
      <c r="D445" s="7" t="str">
        <f>IFERROR(__xludf.DUMMYFUNCTION("""COMPUTED_VALUE"""),"David")</f>
        <v>David</v>
      </c>
      <c r="E445" s="7" t="str">
        <f>IFERROR(__xludf.DUMMYFUNCTION("""COMPUTED_VALUE"""),"DISERAHKAN")</f>
        <v>DISERAHKAN</v>
      </c>
      <c r="F445" s="9">
        <f>IFERROR(__xludf.DUMMYFUNCTION("""COMPUTED_VALUE"""),45589.67491891204)</f>
        <v>45589.67492</v>
      </c>
      <c r="G445" s="7" t="str">
        <f>IFERROR(__xludf.DUMMYFUNCTION("""COMPUTED_VALUE"""),"PERUBAHAN HAK")</f>
        <v>PERUBAHAN HAK</v>
      </c>
      <c r="H445" s="7">
        <f t="shared" si="1"/>
        <v>221</v>
      </c>
    </row>
    <row r="446" ht="22.5" customHeight="1">
      <c r="B446" s="7" t="str">
        <f>IFERROR(__xludf.DUMMYFUNCTION("""COMPUTED_VALUE"""),"K/30/241024/2")</f>
        <v>K/30/241024/2</v>
      </c>
      <c r="C446" s="7" t="str">
        <f>IFERROR(__xludf.DUMMYFUNCTION("""COMPUTED_VALUE"""),"M. 5834/ Way kandis")</f>
        <v>M. 5834/ Way kandis</v>
      </c>
      <c r="D446" s="7"/>
      <c r="E446" s="7"/>
      <c r="F446" s="9" t="str">
        <f>IFERROR(__xludf.DUMMYFUNCTION("""COMPUTED_VALUE"""),"")</f>
        <v/>
      </c>
      <c r="G446" s="7" t="str">
        <f>IFERROR(__xludf.DUMMYFUNCTION("""COMPUTED_VALUE"""),"plotting")</f>
        <v>plotting</v>
      </c>
      <c r="H446" s="7">
        <f t="shared" si="1"/>
        <v>221</v>
      </c>
    </row>
    <row r="447" ht="22.5" customHeight="1">
      <c r="B447" s="7" t="str">
        <f>IFERROR(__xludf.DUMMYFUNCTION("""COMPUTED_VALUE"""),"K/32/241024/1")</f>
        <v>K/32/241024/1</v>
      </c>
      <c r="C447" s="7" t="str">
        <f>IFERROR(__xludf.DUMMYFUNCTION("""COMPUTED_VALUE"""),"M. 1120/ Sukajawa")</f>
        <v>M. 1120/ Sukajawa</v>
      </c>
      <c r="D447" s="7" t="str">
        <f>IFERROR(__xludf.DUMMYFUNCTION("""COMPUTED_VALUE"""),"David")</f>
        <v>David</v>
      </c>
      <c r="E447" s="7" t="str">
        <f>IFERROR(__xludf.DUMMYFUNCTION("""COMPUTED_VALUE"""),"DISERAHKAN")</f>
        <v>DISERAHKAN</v>
      </c>
      <c r="F447" s="9">
        <f>IFERROR(__xludf.DUMMYFUNCTION("""COMPUTED_VALUE"""),45589.67534430556)</f>
        <v>45589.67534</v>
      </c>
      <c r="G447" s="7" t="str">
        <f>IFERROR(__xludf.DUMMYFUNCTION("""COMPUTED_VALUE"""),"roya")</f>
        <v>roya</v>
      </c>
      <c r="H447" s="7">
        <f t="shared" si="1"/>
        <v>222</v>
      </c>
    </row>
    <row r="448" ht="22.5" customHeight="1">
      <c r="B448" s="7" t="str">
        <f>IFERROR(__xludf.DUMMYFUNCTION("""COMPUTED_VALUE"""),"K/33/241024/2")</f>
        <v>K/33/241024/2</v>
      </c>
      <c r="C448" s="7" t="str">
        <f>IFERROR(__xludf.DUMMYFUNCTION("""COMPUTED_VALUE"""),"M. 16698/ Sukabumi")</f>
        <v>M. 16698/ Sukabumi</v>
      </c>
      <c r="D448" s="7" t="str">
        <f>IFERROR(__xludf.DUMMYFUNCTION("""COMPUTED_VALUE"""),"Sahelia")</f>
        <v>Sahelia</v>
      </c>
      <c r="E448" s="7" t="str">
        <f>IFERROR(__xludf.DUMMYFUNCTION("""COMPUTED_VALUE"""),"DISERAHKAN")</f>
        <v>DISERAHKAN</v>
      </c>
      <c r="F448" s="9">
        <f>IFERROR(__xludf.DUMMYFUNCTION("""COMPUTED_VALUE"""),45600.47382789352)</f>
        <v>45600.47383</v>
      </c>
      <c r="G448" s="7" t="str">
        <f>IFERROR(__xludf.DUMMYFUNCTION("""COMPUTED_VALUE"""),"BN Jual Beli")</f>
        <v>BN Jual Beli</v>
      </c>
      <c r="H448" s="7">
        <f t="shared" si="1"/>
        <v>223</v>
      </c>
    </row>
    <row r="449" ht="22.5" customHeight="1">
      <c r="B449" s="7" t="str">
        <f>IFERROR(__xludf.DUMMYFUNCTION("""COMPUTED_VALUE"""),"K/34/241024/1")</f>
        <v>K/34/241024/1</v>
      </c>
      <c r="C449" s="7" t="str">
        <f>IFERROR(__xludf.DUMMYFUNCTION("""COMPUTED_VALUE"""),"M. 709/ Pahoman")</f>
        <v>M. 709/ Pahoman</v>
      </c>
      <c r="D449" s="7"/>
      <c r="E449" s="7"/>
      <c r="F449" s="9" t="str">
        <f>IFERROR(__xludf.DUMMYFUNCTION("""COMPUTED_VALUE"""),"")</f>
        <v/>
      </c>
      <c r="G449" s="7" t="str">
        <f>IFERROR(__xludf.DUMMYFUNCTION("""COMPUTED_VALUE"""),"Ploting")</f>
        <v>Ploting</v>
      </c>
      <c r="H449" s="7">
        <f t="shared" si="1"/>
        <v>223</v>
      </c>
    </row>
    <row r="450" ht="22.5" customHeight="1">
      <c r="B450" s="7" t="str">
        <f>IFERROR(__xludf.DUMMYFUNCTION("""COMPUTED_VALUE"""),"K/38/241024/1")</f>
        <v>K/38/241024/1</v>
      </c>
      <c r="C450" s="7" t="str">
        <f>IFERROR(__xludf.DUMMYFUNCTION("""COMPUTED_VALUE"""),"M.5925/TANJUNG SENENG")</f>
        <v>M.5925/TANJUNG SENENG</v>
      </c>
      <c r="D450" s="7"/>
      <c r="E450" s="7"/>
      <c r="F450" s="9" t="str">
        <f>IFERROR(__xludf.DUMMYFUNCTION("""COMPUTED_VALUE"""),"")</f>
        <v/>
      </c>
      <c r="G450" s="7" t="str">
        <f>IFERROR(__xludf.DUMMYFUNCTION("""COMPUTED_VALUE"""),"PENGECEKAN")</f>
        <v>PENGECEKAN</v>
      </c>
      <c r="H450" s="7">
        <f t="shared" si="1"/>
        <v>223</v>
      </c>
    </row>
    <row r="451" ht="22.5" customHeight="1">
      <c r="B451" s="7" t="str">
        <f>IFERROR(__xludf.DUMMYFUNCTION("""COMPUTED_VALUE"""),"K/36/241024/1")</f>
        <v>K/36/241024/1</v>
      </c>
      <c r="C451" s="7" t="str">
        <f>IFERROR(__xludf.DUMMYFUNCTION("""COMPUTED_VALUE"""),"Tanah mentah")</f>
        <v>Tanah mentah</v>
      </c>
      <c r="D451" s="7"/>
      <c r="E451" s="7"/>
      <c r="F451" s="9" t="str">
        <f>IFERROR(__xludf.DUMMYFUNCTION("""COMPUTED_VALUE"""),"")</f>
        <v/>
      </c>
      <c r="G451" s="7" t="str">
        <f>IFERROR(__xludf.DUMMYFUNCTION("""COMPUTED_VALUE"""),"Pengukuran Pertama Kali")</f>
        <v>Pengukuran Pertama Kali</v>
      </c>
      <c r="H451" s="7">
        <f t="shared" si="1"/>
        <v>223</v>
      </c>
    </row>
    <row r="452" ht="22.5" customHeight="1">
      <c r="B452" s="7" t="str">
        <f>IFERROR(__xludf.DUMMYFUNCTION("""COMPUTED_VALUE"""),"K/37/241024/2")</f>
        <v>K/37/241024/2</v>
      </c>
      <c r="C452" s="7" t="str">
        <f>IFERROR(__xludf.DUMMYFUNCTION("""COMPUTED_VALUE"""),"Tanah Mentah")</f>
        <v>Tanah Mentah</v>
      </c>
      <c r="D452" s="7"/>
      <c r="E452" s="7"/>
      <c r="F452" s="9" t="str">
        <f>IFERROR(__xludf.DUMMYFUNCTION("""COMPUTED_VALUE"""),"")</f>
        <v/>
      </c>
      <c r="G452" s="7" t="str">
        <f>IFERROR(__xludf.DUMMYFUNCTION("""COMPUTED_VALUE"""),"Pengukuran Pertama Kali")</f>
        <v>Pengukuran Pertama Kali</v>
      </c>
      <c r="H452" s="7">
        <f t="shared" si="1"/>
        <v>223</v>
      </c>
    </row>
    <row r="453" ht="22.5" customHeight="1">
      <c r="B453" s="7" t="str">
        <f>IFERROR(__xludf.DUMMYFUNCTION("""COMPUTED_VALUE"""),"K/40/241024/1")</f>
        <v>K/40/241024/1</v>
      </c>
      <c r="C453" s="7" t="str">
        <f>IFERROR(__xludf.DUMMYFUNCTION("""COMPUTED_VALUE"""),"M.852/KEMILING RAYA")</f>
        <v>M.852/KEMILING RAYA</v>
      </c>
      <c r="D453" s="7"/>
      <c r="E453" s="7"/>
      <c r="F453" s="9" t="str">
        <f>IFERROR(__xludf.DUMMYFUNCTION("""COMPUTED_VALUE"""),"")</f>
        <v/>
      </c>
      <c r="G453" s="7" t="str">
        <f>IFERROR(__xludf.DUMMYFUNCTION("""COMPUTED_VALUE"""),"HAPUS BPHTB")</f>
        <v>HAPUS BPHTB</v>
      </c>
      <c r="H453" s="7">
        <f t="shared" si="1"/>
        <v>223</v>
      </c>
    </row>
    <row r="454" ht="22.5" customHeight="1">
      <c r="B454" s="7" t="str">
        <f>IFERROR(__xludf.DUMMYFUNCTION("""COMPUTED_VALUE"""),"K/39/241024/1")</f>
        <v>K/39/241024/1</v>
      </c>
      <c r="C454" s="7" t="str">
        <f>IFERROR(__xludf.DUMMYFUNCTION("""COMPUTED_VALUE"""),"M. 2583/ Rajabasa Jaya")</f>
        <v>M. 2583/ Rajabasa Jaya</v>
      </c>
      <c r="D454" s="7" t="str">
        <f>IFERROR(__xludf.DUMMYFUNCTION("""COMPUTED_VALUE"""),"Berry")</f>
        <v>Berry</v>
      </c>
      <c r="E454" s="7" t="str">
        <f>IFERROR(__xludf.DUMMYFUNCTION("""COMPUTED_VALUE"""),"DISERAHKAN")</f>
        <v>DISERAHKAN</v>
      </c>
      <c r="F454" s="9">
        <f>IFERROR(__xludf.DUMMYFUNCTION("""COMPUTED_VALUE"""),45589.68001383102)</f>
        <v>45589.68001</v>
      </c>
      <c r="G454" s="7" t="str">
        <f>IFERROR(__xludf.DUMMYFUNCTION("""COMPUTED_VALUE"""),"BN Jual Beli")</f>
        <v>BN Jual Beli</v>
      </c>
      <c r="H454" s="7">
        <f t="shared" si="1"/>
        <v>224</v>
      </c>
    </row>
    <row r="455" ht="22.5" customHeight="1">
      <c r="B455" s="7" t="str">
        <f>IFERROR(__xludf.DUMMYFUNCTION("""COMPUTED_VALUE"""),"K/41/241024/1")</f>
        <v>K/41/241024/1</v>
      </c>
      <c r="C455" s="7" t="str">
        <f>IFERROR(__xludf.DUMMYFUNCTION("""COMPUTED_VALUE"""),"HMASRS/64/I/MASRS/Tanjung karang")</f>
        <v>HMASRS/64/I/MASRS/Tanjung karang</v>
      </c>
      <c r="D455" s="7" t="str">
        <f>IFERROR(__xludf.DUMMYFUNCTION("""COMPUTED_VALUE"""),"Berry")</f>
        <v>Berry</v>
      </c>
      <c r="E455" s="7" t="str">
        <f>IFERROR(__xludf.DUMMYFUNCTION("""COMPUTED_VALUE"""),"DISERAHKAN")</f>
        <v>DISERAHKAN</v>
      </c>
      <c r="F455" s="9">
        <f>IFERROR(__xludf.DUMMYFUNCTION("""COMPUTED_VALUE"""),45589.68307594907)</f>
        <v>45589.68308</v>
      </c>
      <c r="G455" s="7" t="str">
        <f>IFERROR(__xludf.DUMMYFUNCTION("""COMPUTED_VALUE"""),"BN Waris")</f>
        <v>BN Waris</v>
      </c>
      <c r="H455" s="7">
        <f t="shared" si="1"/>
        <v>225</v>
      </c>
    </row>
    <row r="456" ht="22.5" customHeight="1">
      <c r="B456" s="7" t="str">
        <f>IFERROR(__xludf.DUMMYFUNCTION("""COMPUTED_VALUE"""),"K/42/241024/2")</f>
        <v>K/42/241024/2</v>
      </c>
      <c r="C456" s="7" t="str">
        <f>IFERROR(__xludf.DUMMYFUNCTION("""COMPUTED_VALUE"""),"HMASRS/ 178/ I/MASRS/Tanjungkarang")</f>
        <v>HMASRS/ 178/ I/MASRS/Tanjungkarang</v>
      </c>
      <c r="D456" s="7" t="str">
        <f>IFERROR(__xludf.DUMMYFUNCTION("""COMPUTED_VALUE"""),"Berry")</f>
        <v>Berry</v>
      </c>
      <c r="E456" s="7" t="str">
        <f>IFERROR(__xludf.DUMMYFUNCTION("""COMPUTED_VALUE"""),"DISERAHKAN")</f>
        <v>DISERAHKAN</v>
      </c>
      <c r="F456" s="9">
        <f>IFERROR(__xludf.DUMMYFUNCTION("""COMPUTED_VALUE"""),45589.68312094908)</f>
        <v>45589.68312</v>
      </c>
      <c r="G456" s="7" t="str">
        <f>IFERROR(__xludf.DUMMYFUNCTION("""COMPUTED_VALUE"""),"BN Waris")</f>
        <v>BN Waris</v>
      </c>
      <c r="H456" s="7">
        <f t="shared" si="1"/>
        <v>226</v>
      </c>
    </row>
    <row r="457" ht="22.5" customHeight="1">
      <c r="B457" s="7" t="str">
        <f>IFERROR(__xludf.DUMMYFUNCTION("""COMPUTED_VALUE"""),"K/43/241024/1")</f>
        <v>K/43/241024/1</v>
      </c>
      <c r="C457" s="7" t="str">
        <f>IFERROR(__xludf.DUMMYFUNCTION("""COMPUTED_VALUE"""),"M.2065/GUNUNG TERANG")</f>
        <v>M.2065/GUNUNG TERANG</v>
      </c>
      <c r="D457" s="7" t="str">
        <f>IFERROR(__xludf.DUMMYFUNCTION("""COMPUTED_VALUE"""),"Berry")</f>
        <v>Berry</v>
      </c>
      <c r="E457" s="7" t="str">
        <f>IFERROR(__xludf.DUMMYFUNCTION("""COMPUTED_VALUE"""),"DISERAHKAN")</f>
        <v>DISERAHKAN</v>
      </c>
      <c r="F457" s="9">
        <f>IFERROR(__xludf.DUMMYFUNCTION("""COMPUTED_VALUE"""),45589.68050671296)</f>
        <v>45589.68051</v>
      </c>
      <c r="G457" s="7" t="str">
        <f>IFERROR(__xludf.DUMMYFUNCTION("""COMPUTED_VALUE"""),"ROYA")</f>
        <v>ROYA</v>
      </c>
      <c r="H457" s="7">
        <f t="shared" si="1"/>
        <v>227</v>
      </c>
    </row>
    <row r="458" ht="22.5" customHeight="1">
      <c r="B458" s="7" t="str">
        <f>IFERROR(__xludf.DUMMYFUNCTION("""COMPUTED_VALUE"""),"K/44/241024/1")</f>
        <v>K/44/241024/1</v>
      </c>
      <c r="C458" s="7" t="str">
        <f>IFERROR(__xludf.DUMMYFUNCTION("""COMPUTED_VALUE"""),"M.6404/WAY KANDIS")</f>
        <v>M.6404/WAY KANDIS</v>
      </c>
      <c r="D458" s="7" t="str">
        <f>IFERROR(__xludf.DUMMYFUNCTION("""COMPUTED_VALUE"""),"Berry")</f>
        <v>Berry</v>
      </c>
      <c r="E458" s="7" t="str">
        <f>IFERROR(__xludf.DUMMYFUNCTION("""COMPUTED_VALUE"""),"DISERAHKAN")</f>
        <v>DISERAHKAN</v>
      </c>
      <c r="F458" s="9">
        <f>IFERROR(__xludf.DUMMYFUNCTION("""COMPUTED_VALUE"""),45589.6807755787)</f>
        <v>45589.68078</v>
      </c>
      <c r="G458" s="7" t="str">
        <f>IFERROR(__xludf.DUMMYFUNCTION("""COMPUTED_VALUE"""),"BN JUAL BELI")</f>
        <v>BN JUAL BELI</v>
      </c>
      <c r="H458" s="7">
        <f t="shared" si="1"/>
        <v>228</v>
      </c>
    </row>
    <row r="459" ht="22.5" customHeight="1">
      <c r="B459" s="7" t="str">
        <f>IFERROR(__xludf.DUMMYFUNCTION("""COMPUTED_VALUE"""),"K/45/241024/2")</f>
        <v>K/45/241024/2</v>
      </c>
      <c r="C459" s="7" t="str">
        <f>IFERROR(__xludf.DUMMYFUNCTION("""COMPUTED_VALUE"""),"M. 6618/TANJUNG SENENG")</f>
        <v>M. 6618/TANJUNG SENENG</v>
      </c>
      <c r="D459" s="7" t="str">
        <f>IFERROR(__xludf.DUMMYFUNCTION("""COMPUTED_VALUE"""),"David")</f>
        <v>David</v>
      </c>
      <c r="E459" s="7" t="str">
        <f>IFERROR(__xludf.DUMMYFUNCTION("""COMPUTED_VALUE"""),"DISERAHKAN")</f>
        <v>DISERAHKAN</v>
      </c>
      <c r="F459" s="9">
        <f>IFERROR(__xludf.DUMMYFUNCTION("""COMPUTED_VALUE"""),45589.68089295139)</f>
        <v>45589.68089</v>
      </c>
      <c r="G459" s="7" t="str">
        <f>IFERROR(__xludf.DUMMYFUNCTION("""COMPUTED_VALUE"""),"BN JUAL BELI")</f>
        <v>BN JUAL BELI</v>
      </c>
      <c r="H459" s="7">
        <f t="shared" si="1"/>
        <v>229</v>
      </c>
    </row>
    <row r="460" ht="22.5" customHeight="1">
      <c r="B460" s="7" t="str">
        <f>IFERROR(__xludf.DUMMYFUNCTION("""COMPUTED_VALUE"""),"K/46/241024/1")</f>
        <v>K/46/241024/1</v>
      </c>
      <c r="C460" s="7" t="str">
        <f>IFERROR(__xludf.DUMMYFUNCTION("""COMPUTED_VALUE"""),"M. 105/ Penengahan")</f>
        <v>M. 105/ Penengahan</v>
      </c>
      <c r="D460" s="7"/>
      <c r="E460" s="7"/>
      <c r="F460" s="9" t="str">
        <f>IFERROR(__xludf.DUMMYFUNCTION("""COMPUTED_VALUE"""),"")</f>
        <v/>
      </c>
      <c r="G460" s="7" t="str">
        <f>IFERROR(__xludf.DUMMYFUNCTION("""COMPUTED_VALUE"""),"Plotting")</f>
        <v>Plotting</v>
      </c>
      <c r="H460" s="7">
        <f t="shared" si="1"/>
        <v>229</v>
      </c>
    </row>
    <row r="461" ht="22.5" customHeight="1">
      <c r="B461" s="7" t="str">
        <f>IFERROR(__xludf.DUMMYFUNCTION("""COMPUTED_VALUE"""),"K/47/241024/1")</f>
        <v>K/47/241024/1</v>
      </c>
      <c r="C461" s="7" t="str">
        <f>IFERROR(__xludf.DUMMYFUNCTION("""COMPUTED_VALUE"""),"M. 308/ Kupang Kota")</f>
        <v>M. 308/ Kupang Kota</v>
      </c>
      <c r="D461" s="7" t="str">
        <f>IFERROR(__xludf.DUMMYFUNCTION("""COMPUTED_VALUE"""),"David")</f>
        <v>David</v>
      </c>
      <c r="E461" s="7" t="str">
        <f>IFERROR(__xludf.DUMMYFUNCTION("""COMPUTED_VALUE"""),"DISERAHKAN")</f>
        <v>DISERAHKAN</v>
      </c>
      <c r="F461" s="9">
        <f>IFERROR(__xludf.DUMMYFUNCTION("""COMPUTED_VALUE"""),45589.68113927083)</f>
        <v>45589.68114</v>
      </c>
      <c r="G461" s="7" t="str">
        <f>IFERROR(__xludf.DUMMYFUNCTION("""COMPUTED_VALUE"""),"BN Jual Beli")</f>
        <v>BN Jual Beli</v>
      </c>
      <c r="H461" s="7">
        <f t="shared" si="1"/>
        <v>230</v>
      </c>
    </row>
    <row r="462" ht="22.5" customHeight="1">
      <c r="B462" s="7" t="str">
        <f>IFERROR(__xludf.DUMMYFUNCTION("""COMPUTED_VALUE"""),"K/48/241024/1")</f>
        <v>K/48/241024/1</v>
      </c>
      <c r="C462" s="7" t="str">
        <f>IFERROR(__xludf.DUMMYFUNCTION("""COMPUTED_VALUE"""),"M. 1348/ Kaliawi")</f>
        <v>M. 1348/ Kaliawi</v>
      </c>
      <c r="D462" s="7"/>
      <c r="E462" s="7"/>
      <c r="F462" s="9" t="str">
        <f>IFERROR(__xludf.DUMMYFUNCTION("""COMPUTED_VALUE"""),"")</f>
        <v/>
      </c>
      <c r="G462" s="7" t="str">
        <f>IFERROR(__xludf.DUMMYFUNCTION("""COMPUTED_VALUE"""),"Cekplot S. Hilang")</f>
        <v>Cekplot S. Hilang</v>
      </c>
      <c r="H462" s="7">
        <f t="shared" si="1"/>
        <v>230</v>
      </c>
    </row>
    <row r="463" ht="22.5" customHeight="1">
      <c r="B463" s="7" t="str">
        <f>IFERROR(__xludf.DUMMYFUNCTION("""COMPUTED_VALUE"""),"K/49/241024/2")</f>
        <v>K/49/241024/2</v>
      </c>
      <c r="C463" s="7" t="str">
        <f>IFERROR(__xludf.DUMMYFUNCTION("""COMPUTED_VALUE"""),"M. 16581/ Sukabumi")</f>
        <v>M. 16581/ Sukabumi</v>
      </c>
      <c r="D463" s="7" t="str">
        <f>IFERROR(__xludf.DUMMYFUNCTION("""COMPUTED_VALUE"""),"David")</f>
        <v>David</v>
      </c>
      <c r="E463" s="7" t="str">
        <f>IFERROR(__xludf.DUMMYFUNCTION("""COMPUTED_VALUE"""),"DISERAHKAN")</f>
        <v>DISERAHKAN</v>
      </c>
      <c r="F463" s="9">
        <f>IFERROR(__xludf.DUMMYFUNCTION("""COMPUTED_VALUE"""),45589.6812997338)</f>
        <v>45589.6813</v>
      </c>
      <c r="G463" s="7" t="str">
        <f>IFERROR(__xludf.DUMMYFUNCTION("""COMPUTED_VALUE"""),"BN Jual Beli")</f>
        <v>BN Jual Beli</v>
      </c>
      <c r="H463" s="7">
        <f t="shared" si="1"/>
        <v>231</v>
      </c>
    </row>
    <row r="464" ht="22.5" customHeight="1">
      <c r="B464" s="7" t="str">
        <f>IFERROR(__xludf.DUMMYFUNCTION("""COMPUTED_VALUE"""),"K/50/241024/3")</f>
        <v>K/50/241024/3</v>
      </c>
      <c r="C464" s="7" t="str">
        <f>IFERROR(__xludf.DUMMYFUNCTION("""COMPUTED_VALUE"""),"Nibel 923/ Rajabasa Raya")</f>
        <v>Nibel 923/ Rajabasa Raya</v>
      </c>
      <c r="D464" s="7"/>
      <c r="E464" s="7"/>
      <c r="F464" s="9" t="str">
        <f>IFERROR(__xludf.DUMMYFUNCTION("""COMPUTED_VALUE"""),"")</f>
        <v/>
      </c>
      <c r="G464" s="7" t="str">
        <f>IFERROR(__xludf.DUMMYFUNCTION("""COMPUTED_VALUE"""),"Bn Jual Beli")</f>
        <v>Bn Jual Beli</v>
      </c>
      <c r="H464" s="7">
        <f t="shared" si="1"/>
        <v>231</v>
      </c>
    </row>
    <row r="465" ht="22.5" customHeight="1">
      <c r="B465" s="7" t="str">
        <f>IFERROR(__xludf.DUMMYFUNCTION("""COMPUTED_VALUE"""),"K/51/241024/4")</f>
        <v>K/51/241024/4</v>
      </c>
      <c r="C465" s="7" t="str">
        <f>IFERROR(__xludf.DUMMYFUNCTION("""COMPUTED_VALUE"""),"Nibel 1674/ Sumur Putri")</f>
        <v>Nibel 1674/ Sumur Putri</v>
      </c>
      <c r="D465" s="7"/>
      <c r="E465" s="7"/>
      <c r="F465" s="9" t="str">
        <f>IFERROR(__xludf.DUMMYFUNCTION("""COMPUTED_VALUE"""),"")</f>
        <v/>
      </c>
      <c r="G465" s="7" t="str">
        <f>IFERROR(__xludf.DUMMYFUNCTION("""COMPUTED_VALUE"""),"Perubahan Hak")</f>
        <v>Perubahan Hak</v>
      </c>
      <c r="H465" s="7">
        <f t="shared" si="1"/>
        <v>231</v>
      </c>
    </row>
    <row r="466" ht="22.5" customHeight="1">
      <c r="B466" s="7" t="str">
        <f>IFERROR(__xludf.DUMMYFUNCTION("""COMPUTED_VALUE"""),"K/52/241024/1")</f>
        <v>K/52/241024/1</v>
      </c>
      <c r="C466" s="7" t="str">
        <f>IFERROR(__xludf.DUMMYFUNCTION("""COMPUTED_VALUE"""),"M.221/BILABONG JAYA")</f>
        <v>M.221/BILABONG JAYA</v>
      </c>
      <c r="D466" s="7" t="str">
        <f>IFERROR(__xludf.DUMMYFUNCTION("""COMPUTED_VALUE"""),"Sahelia")</f>
        <v>Sahelia</v>
      </c>
      <c r="E466" s="7" t="str">
        <f>IFERROR(__xludf.DUMMYFUNCTION("""COMPUTED_VALUE"""),"DISERAHKAN")</f>
        <v>DISERAHKAN</v>
      </c>
      <c r="F466" s="9">
        <f>IFERROR(__xludf.DUMMYFUNCTION("""COMPUTED_VALUE"""),45603.592536006945)</f>
        <v>45603.59254</v>
      </c>
      <c r="G466" s="7" t="str">
        <f>IFERROR(__xludf.DUMMYFUNCTION("""COMPUTED_VALUE"""),"BN JUAL BELI")</f>
        <v>BN JUAL BELI</v>
      </c>
      <c r="H466" s="7">
        <f t="shared" si="1"/>
        <v>232</v>
      </c>
    </row>
    <row r="467" ht="22.5" customHeight="1">
      <c r="B467" s="7" t="str">
        <f>IFERROR(__xludf.DUMMYFUNCTION("""COMPUTED_VALUE"""),"K/53/241024/1")</f>
        <v>K/53/241024/1</v>
      </c>
      <c r="C467" s="7" t="str">
        <f>IFERROR(__xludf.DUMMYFUNCTION("""COMPUTED_VALUE"""),"M. 561/ Tanjung Senang")</f>
        <v>M. 561/ Tanjung Senang</v>
      </c>
      <c r="D467" s="7" t="str">
        <f>IFERROR(__xludf.DUMMYFUNCTION("""COMPUTED_VALUE"""),"David")</f>
        <v>David</v>
      </c>
      <c r="E467" s="7" t="str">
        <f>IFERROR(__xludf.DUMMYFUNCTION("""COMPUTED_VALUE"""),"DISERAHKAN")</f>
        <v>DISERAHKAN</v>
      </c>
      <c r="F467" s="9">
        <f>IFERROR(__xludf.DUMMYFUNCTION("""COMPUTED_VALUE"""),45589.68147715278)</f>
        <v>45589.68148</v>
      </c>
      <c r="G467" s="7" t="str">
        <f>IFERROR(__xludf.DUMMYFUNCTION("""COMPUTED_VALUE"""),"BN Jual Beli")</f>
        <v>BN Jual Beli</v>
      </c>
      <c r="H467" s="7">
        <f t="shared" si="1"/>
        <v>233</v>
      </c>
    </row>
    <row r="468" ht="22.5" customHeight="1">
      <c r="B468" s="7" t="str">
        <f>IFERROR(__xludf.DUMMYFUNCTION("""COMPUTED_VALUE"""),"K/54/241024/2")</f>
        <v>K/54/241024/2</v>
      </c>
      <c r="C468" s="7" t="str">
        <f>IFERROR(__xludf.DUMMYFUNCTION("""COMPUTED_VALUE"""),"M. 4838/ Tanjung Senang")</f>
        <v>M. 4838/ Tanjung Senang</v>
      </c>
      <c r="D468" s="7" t="str">
        <f>IFERROR(__xludf.DUMMYFUNCTION("""COMPUTED_VALUE"""),"Alfiansyah")</f>
        <v>Alfiansyah</v>
      </c>
      <c r="E468" s="7" t="str">
        <f>IFERROR(__xludf.DUMMYFUNCTION("""COMPUTED_VALUE"""),"DISERAHKAN BT")</f>
        <v>DISERAHKAN BT</v>
      </c>
      <c r="F468" s="9">
        <f>IFERROR(__xludf.DUMMYFUNCTION("""COMPUTED_VALUE"""),45610.35979859954)</f>
        <v>45610.3598</v>
      </c>
      <c r="G468" s="7" t="str">
        <f>IFERROR(__xludf.DUMMYFUNCTION("""COMPUTED_VALUE"""),"BN Jual Beli")</f>
        <v>BN Jual Beli</v>
      </c>
      <c r="H468" s="7">
        <f t="shared" si="1"/>
        <v>233</v>
      </c>
    </row>
    <row r="469" ht="22.5" customHeight="1">
      <c r="B469" s="7" t="str">
        <f>IFERROR(__xludf.DUMMYFUNCTION("""COMPUTED_VALUE"""),"K/1/251024/1")</f>
        <v>K/1/251024/1</v>
      </c>
      <c r="C469" s="7" t="str">
        <f>IFERROR(__xludf.DUMMYFUNCTION("""COMPUTED_VALUE"""),"M. 2799/ Sumberrejo")</f>
        <v>M. 2799/ Sumberrejo</v>
      </c>
      <c r="D469" s="7"/>
      <c r="E469" s="7"/>
      <c r="F469" s="9" t="str">
        <f>IFERROR(__xludf.DUMMYFUNCTION("""COMPUTED_VALUE"""),"")</f>
        <v/>
      </c>
      <c r="G469" s="7" t="str">
        <f>IFERROR(__xludf.DUMMYFUNCTION("""COMPUTED_VALUE"""),"PTPGT Pemecahan")</f>
        <v>PTPGT Pemecahan</v>
      </c>
      <c r="H469" s="7">
        <f t="shared" si="1"/>
        <v>233</v>
      </c>
    </row>
    <row r="470" ht="22.5" customHeight="1">
      <c r="B470" s="7" t="str">
        <f>IFERROR(__xludf.DUMMYFUNCTION("""COMPUTED_VALUE"""),"K/2/251024/2")</f>
        <v>K/2/251024/2</v>
      </c>
      <c r="C470" s="7" t="str">
        <f>IFERROR(__xludf.DUMMYFUNCTION("""COMPUTED_VALUE"""),"M. 2798/ Sumberrejo")</f>
        <v>M. 2798/ Sumberrejo</v>
      </c>
      <c r="D470" s="7"/>
      <c r="E470" s="7"/>
      <c r="F470" s="9" t="str">
        <f>IFERROR(__xludf.DUMMYFUNCTION("""COMPUTED_VALUE"""),"")</f>
        <v/>
      </c>
      <c r="G470" s="7" t="str">
        <f>IFERROR(__xludf.DUMMYFUNCTION("""COMPUTED_VALUE"""),"PTPGT Pemecahan")</f>
        <v>PTPGT Pemecahan</v>
      </c>
      <c r="H470" s="7">
        <f t="shared" si="1"/>
        <v>233</v>
      </c>
    </row>
    <row r="471" ht="22.5" customHeight="1">
      <c r="B471" s="7" t="str">
        <f>IFERROR(__xludf.DUMMYFUNCTION("""COMPUTED_VALUE"""),"K/3/251024/1")</f>
        <v>K/3/251024/1</v>
      </c>
      <c r="C471" s="7" t="str">
        <f>IFERROR(__xludf.DUMMYFUNCTION("""COMPUTED_VALUE"""),"M.2066/RAJABASA RAYA")</f>
        <v>M.2066/RAJABASA RAYA</v>
      </c>
      <c r="D471" s="7" t="str">
        <f>IFERROR(__xludf.DUMMYFUNCTION("""COMPUTED_VALUE"""),"Berry")</f>
        <v>Berry</v>
      </c>
      <c r="E471" s="7" t="str">
        <f>IFERROR(__xludf.DUMMYFUNCTION("""COMPUTED_VALUE"""),"DISERAHKAN")</f>
        <v>DISERAHKAN</v>
      </c>
      <c r="F471" s="9">
        <f>IFERROR(__xludf.DUMMYFUNCTION("""COMPUTED_VALUE"""),45603.5917200463)</f>
        <v>45603.59172</v>
      </c>
      <c r="G471" s="7" t="str">
        <f>IFERROR(__xludf.DUMMYFUNCTION("""COMPUTED_VALUE"""),"BN JUAL BELI")</f>
        <v>BN JUAL BELI</v>
      </c>
      <c r="H471" s="7">
        <f t="shared" si="1"/>
        <v>234</v>
      </c>
    </row>
    <row r="472" ht="22.5" customHeight="1">
      <c r="B472" s="7" t="str">
        <f>IFERROR(__xludf.DUMMYFUNCTION("""COMPUTED_VALUE"""),"L/4/251024/1")</f>
        <v>L/4/251024/1</v>
      </c>
      <c r="C472" s="7" t="str">
        <f>IFERROR(__xludf.DUMMYFUNCTION("""COMPUTED_VALUE"""),"NIB 2765/PWH")</f>
        <v>NIB 2765/PWH</v>
      </c>
      <c r="D472" s="7"/>
      <c r="E472" s="7"/>
      <c r="F472" s="9" t="str">
        <f>IFERROR(__xludf.DUMMYFUNCTION("""COMPUTED_VALUE"""),"")</f>
        <v/>
      </c>
      <c r="G472" s="7" t="str">
        <f>IFERROR(__xludf.DUMMYFUNCTION("""COMPUTED_VALUE"""),"BN WARIS")</f>
        <v>BN WARIS</v>
      </c>
      <c r="H472" s="7">
        <f t="shared" si="1"/>
        <v>234</v>
      </c>
    </row>
    <row r="473" ht="22.5" customHeight="1">
      <c r="B473" s="7" t="str">
        <f>IFERROR(__xludf.DUMMYFUNCTION("""COMPUTED_VALUE"""),"K/5/251024/1")</f>
        <v>K/5/251024/1</v>
      </c>
      <c r="C473" s="7" t="str">
        <f>IFERROR(__xludf.DUMMYFUNCTION("""COMPUTED_VALUE"""),"Nibel. M. 1272/ Rajabasa Jaya")</f>
        <v>Nibel. M. 1272/ Rajabasa Jaya</v>
      </c>
      <c r="D473" s="7"/>
      <c r="E473" s="7"/>
      <c r="F473" s="9" t="str">
        <f>IFERROR(__xludf.DUMMYFUNCTION("""COMPUTED_VALUE"""),"")</f>
        <v/>
      </c>
      <c r="G473" s="7" t="str">
        <f>IFERROR(__xludf.DUMMYFUNCTION("""COMPUTED_VALUE"""),"Pemecahan")</f>
        <v>Pemecahan</v>
      </c>
      <c r="H473" s="7">
        <f t="shared" si="1"/>
        <v>234</v>
      </c>
    </row>
    <row r="474" ht="22.5" customHeight="1">
      <c r="B474" s="7" t="str">
        <f>IFERROR(__xludf.DUMMYFUNCTION("""COMPUTED_VALUE"""),"K/6/251024/1")</f>
        <v>K/6/251024/1</v>
      </c>
      <c r="C474" s="7" t="str">
        <f>IFERROR(__xludf.DUMMYFUNCTION("""COMPUTED_VALUE"""),"NIBEL B.748/KANGKUNG")</f>
        <v>NIBEL B.748/KANGKUNG</v>
      </c>
      <c r="D474" s="7"/>
      <c r="E474" s="7"/>
      <c r="F474" s="9" t="str">
        <f>IFERROR(__xludf.DUMMYFUNCTION("""COMPUTED_VALUE"""),"")</f>
        <v/>
      </c>
      <c r="G474" s="7" t="str">
        <f>IFERROR(__xludf.DUMMYFUNCTION("""COMPUTED_VALUE"""),"BN JUAL BELI")</f>
        <v>BN JUAL BELI</v>
      </c>
      <c r="H474" s="7">
        <f t="shared" si="1"/>
        <v>234</v>
      </c>
    </row>
    <row r="475" ht="22.5" customHeight="1">
      <c r="B475" s="7" t="str">
        <f>IFERROR(__xludf.DUMMYFUNCTION("""COMPUTED_VALUE"""),"L/9/251024/1")</f>
        <v>L/9/251024/1</v>
      </c>
      <c r="C475" s="7" t="str">
        <f>IFERROR(__xludf.DUMMYFUNCTION("""COMPUTED_VALUE"""),"HM 12867/TANJUNG BARU")</f>
        <v>HM 12867/TANJUNG BARU</v>
      </c>
      <c r="D475" s="7" t="str">
        <f>IFERROR(__xludf.DUMMYFUNCTION("""COMPUTED_VALUE"""),"Berry")</f>
        <v>Berry</v>
      </c>
      <c r="E475" s="7" t="str">
        <f>IFERROR(__xludf.DUMMYFUNCTION("""COMPUTED_VALUE"""),"DISERAHKAN")</f>
        <v>DISERAHKAN</v>
      </c>
      <c r="F475" s="9">
        <f>IFERROR(__xludf.DUMMYFUNCTION("""COMPUTED_VALUE"""),45593.422027465276)</f>
        <v>45593.42203</v>
      </c>
      <c r="G475" s="7" t="str">
        <f>IFERROR(__xludf.DUMMYFUNCTION("""COMPUTED_VALUE"""),"ROYA")</f>
        <v>ROYA</v>
      </c>
      <c r="H475" s="7">
        <f t="shared" si="1"/>
        <v>235</v>
      </c>
    </row>
    <row r="476" ht="22.5" customHeight="1">
      <c r="B476" s="7" t="str">
        <f>IFERROR(__xludf.DUMMYFUNCTION("""COMPUTED_VALUE"""),"K/8/251024/1")</f>
        <v>K/8/251024/1</v>
      </c>
      <c r="C476" s="7" t="str">
        <f>IFERROR(__xludf.DUMMYFUNCTION("""COMPUTED_VALUE"""),"M. 13993/ SukarameI, M. 13992/ Sukarame I-sekarang; B. 443/ Way Halim Permai, B. 984/ Way Halim Permai-dahulu")</f>
        <v>M. 13993/ SukarameI, M. 13992/ Sukarame I-sekarang; B. 443/ Way Halim Permai, B. 984/ Way Halim Permai-dahulu</v>
      </c>
      <c r="D476" s="7" t="str">
        <f>IFERROR(__xludf.DUMMYFUNCTION("""COMPUTED_VALUE"""),"Berry")</f>
        <v>Berry</v>
      </c>
      <c r="E476" s="7" t="str">
        <f>IFERROR(__xludf.DUMMYFUNCTION("""COMPUTED_VALUE"""),"DISERAHKAN")</f>
        <v>DISERAHKAN</v>
      </c>
      <c r="F476" s="9">
        <f>IFERROR(__xludf.DUMMYFUNCTION("""COMPUTED_VALUE"""),45593.42265763889)</f>
        <v>45593.42266</v>
      </c>
      <c r="G476" s="7" t="str">
        <f>IFERROR(__xludf.DUMMYFUNCTION("""COMPUTED_VALUE"""),"Roya")</f>
        <v>Roya</v>
      </c>
      <c r="H476" s="7">
        <f t="shared" si="1"/>
        <v>236</v>
      </c>
    </row>
    <row r="477" ht="22.5" customHeight="1">
      <c r="B477" s="7" t="str">
        <f>IFERROR(__xludf.DUMMYFUNCTION("""COMPUTED_VALUE"""),"K/7/251024/2")</f>
        <v>K/7/251024/2</v>
      </c>
      <c r="C477" s="7" t="str">
        <f>IFERROR(__xludf.DUMMYFUNCTION("""COMPUTED_VALUE"""),"NIBEL B.2134/KAMPUNG BARU RAYA")</f>
        <v>NIBEL B.2134/KAMPUNG BARU RAYA</v>
      </c>
      <c r="D477" s="7"/>
      <c r="E477" s="7"/>
      <c r="F477" s="9" t="str">
        <f>IFERROR(__xludf.DUMMYFUNCTION("""COMPUTED_VALUE"""),"")</f>
        <v/>
      </c>
      <c r="G477" s="7" t="str">
        <f>IFERROR(__xludf.DUMMYFUNCTION("""COMPUTED_VALUE"""),"BN HIBAH")</f>
        <v>BN HIBAH</v>
      </c>
      <c r="H477" s="7">
        <f t="shared" si="1"/>
        <v>236</v>
      </c>
    </row>
    <row r="478" ht="22.5" customHeight="1">
      <c r="B478" s="7" t="str">
        <f>IFERROR(__xludf.DUMMYFUNCTION("""COMPUTED_VALUE"""),"K/11/251024/1")</f>
        <v>K/11/251024/1</v>
      </c>
      <c r="C478" s="7" t="str">
        <f>IFERROR(__xludf.DUMMYFUNCTION("""COMPUTED_VALUE"""),"M. 13693/ Korpri Raya; M. 13693/ Sukarame-dahulu")</f>
        <v>M. 13693/ Korpri Raya; M. 13693/ Sukarame-dahulu</v>
      </c>
      <c r="D478" s="7" t="str">
        <f>IFERROR(__xludf.DUMMYFUNCTION("""COMPUTED_VALUE"""),"Berry")</f>
        <v>Berry</v>
      </c>
      <c r="E478" s="7" t="str">
        <f>IFERROR(__xludf.DUMMYFUNCTION("""COMPUTED_VALUE"""),"DISERAHKAN")</f>
        <v>DISERAHKAN</v>
      </c>
      <c r="F478" s="9">
        <f>IFERROR(__xludf.DUMMYFUNCTION("""COMPUTED_VALUE"""),45593.42318842592)</f>
        <v>45593.42319</v>
      </c>
      <c r="G478" s="7" t="str">
        <f>IFERROR(__xludf.DUMMYFUNCTION("""COMPUTED_VALUE"""),"BN Hibah")</f>
        <v>BN Hibah</v>
      </c>
      <c r="H478" s="7">
        <f t="shared" si="1"/>
        <v>237</v>
      </c>
    </row>
    <row r="479" ht="22.5" customHeight="1">
      <c r="B479" s="7" t="str">
        <f>IFERROR(__xludf.DUMMYFUNCTION("""COMPUTED_VALUE"""),"L/10/251024/1")</f>
        <v>L/10/251024/1</v>
      </c>
      <c r="C479" s="7" t="str">
        <f>IFERROR(__xludf.DUMMYFUNCTION("""COMPUTED_VALUE"""),"M.14233/SEGALA MIDER")</f>
        <v>M.14233/SEGALA MIDER</v>
      </c>
      <c r="D479" s="7" t="str">
        <f>IFERROR(__xludf.DUMMYFUNCTION("""COMPUTED_VALUE"""),"Berry")</f>
        <v>Berry</v>
      </c>
      <c r="E479" s="7" t="str">
        <f>IFERROR(__xludf.DUMMYFUNCTION("""COMPUTED_VALUE"""),"DISERAHKAN")</f>
        <v>DISERAHKAN</v>
      </c>
      <c r="F479" s="9">
        <f>IFERROR(__xludf.DUMMYFUNCTION("""COMPUTED_VALUE"""),45593.423422708336)</f>
        <v>45593.42342</v>
      </c>
      <c r="G479" s="7" t="str">
        <f>IFERROR(__xludf.DUMMYFUNCTION("""COMPUTED_VALUE"""),"PEMECAHAN")</f>
        <v>PEMECAHAN</v>
      </c>
      <c r="H479" s="7">
        <f t="shared" si="1"/>
        <v>238</v>
      </c>
    </row>
    <row r="480" ht="22.5" customHeight="1">
      <c r="B480" s="7" t="str">
        <f>IFERROR(__xludf.DUMMYFUNCTION("""COMPUTED_VALUE"""),"K/12/251024/1")</f>
        <v>K/12/251024/1</v>
      </c>
      <c r="C480" s="7" t="str">
        <f>IFERROR(__xludf.DUMMYFUNCTION("""COMPUTED_VALUE"""),"Nibel. M. 1424/ Jagabaya II")</f>
        <v>Nibel. M. 1424/ Jagabaya II</v>
      </c>
      <c r="D480" s="7"/>
      <c r="E480" s="7"/>
      <c r="F480" s="9" t="str">
        <f>IFERROR(__xludf.DUMMYFUNCTION("""COMPUTED_VALUE"""),"")</f>
        <v/>
      </c>
      <c r="G480" s="7" t="str">
        <f>IFERROR(__xludf.DUMMYFUNCTION("""COMPUTED_VALUE"""),"BN Hibah")</f>
        <v>BN Hibah</v>
      </c>
      <c r="H480" s="7">
        <f t="shared" si="1"/>
        <v>238</v>
      </c>
    </row>
    <row r="481" ht="22.5" customHeight="1">
      <c r="B481" s="7" t="str">
        <f>IFERROR(__xludf.DUMMYFUNCTION("""COMPUTED_VALUE"""),"K/13/251024/1")</f>
        <v>K/13/251024/1</v>
      </c>
      <c r="C481" s="7" t="str">
        <f>IFERROR(__xludf.DUMMYFUNCTION("""COMPUTED_VALUE"""),"M.990/DURIAN PAYUNG")</f>
        <v>M.990/DURIAN PAYUNG</v>
      </c>
      <c r="D481" s="7" t="str">
        <f>IFERROR(__xludf.DUMMYFUNCTION("""COMPUTED_VALUE"""),"Berry")</f>
        <v>Berry</v>
      </c>
      <c r="E481" s="7" t="str">
        <f>IFERROR(__xludf.DUMMYFUNCTION("""COMPUTED_VALUE"""),"DISERAHKAN")</f>
        <v>DISERAHKAN</v>
      </c>
      <c r="F481" s="9">
        <f>IFERROR(__xludf.DUMMYFUNCTION("""COMPUTED_VALUE"""),45593.42373688657)</f>
        <v>45593.42374</v>
      </c>
      <c r="G481" s="7" t="str">
        <f>IFERROR(__xludf.DUMMYFUNCTION("""COMPUTED_VALUE"""),"ROYA")</f>
        <v>ROYA</v>
      </c>
      <c r="H481" s="7">
        <f t="shared" si="1"/>
        <v>239</v>
      </c>
    </row>
    <row r="482" ht="22.5" customHeight="1">
      <c r="B482" s="7" t="str">
        <f>IFERROR(__xludf.DUMMYFUNCTION("""COMPUTED_VALUE"""),"K/14/251024/1")</f>
        <v>K/14/251024/1</v>
      </c>
      <c r="C482" s="7" t="str">
        <f>IFERROR(__xludf.DUMMYFUNCTION("""COMPUTED_VALUE"""),"M.37/LABUHAN DALAM")</f>
        <v>M.37/LABUHAN DALAM</v>
      </c>
      <c r="D482" s="7"/>
      <c r="E482" s="7"/>
      <c r="F482" s="9" t="str">
        <f>IFERROR(__xludf.DUMMYFUNCTION("""COMPUTED_VALUE"""),"")</f>
        <v/>
      </c>
      <c r="G482" s="7" t="str">
        <f>IFERROR(__xludf.DUMMYFUNCTION("""COMPUTED_VALUE"""),"GANDES")</f>
        <v>GANDES</v>
      </c>
      <c r="H482" s="7">
        <f t="shared" si="1"/>
        <v>239</v>
      </c>
    </row>
    <row r="483" ht="22.5" customHeight="1">
      <c r="B483" s="7" t="str">
        <f>IFERROR(__xludf.DUMMYFUNCTION("""COMPUTED_VALUE"""),"L/15/251024/1")</f>
        <v>L/15/251024/1</v>
      </c>
      <c r="C483" s="7" t="str">
        <f>IFERROR(__xludf.DUMMYFUNCTION("""COMPUTED_VALUE"""),"SIDODADI")</f>
        <v>SIDODADI</v>
      </c>
      <c r="D483" s="7"/>
      <c r="E483" s="7"/>
      <c r="F483" s="9" t="str">
        <f>IFERROR(__xludf.DUMMYFUNCTION("""COMPUTED_VALUE"""),"")</f>
        <v/>
      </c>
      <c r="G483" s="7" t="str">
        <f>IFERROR(__xludf.DUMMYFUNCTION("""COMPUTED_VALUE"""),"ASPEK")</f>
        <v>ASPEK</v>
      </c>
      <c r="H483" s="7">
        <f t="shared" si="1"/>
        <v>239</v>
      </c>
    </row>
    <row r="484" ht="22.5" customHeight="1">
      <c r="B484" s="7" t="str">
        <f>IFERROR(__xludf.DUMMYFUNCTION("""COMPUTED_VALUE"""),"K/16/251024/1")</f>
        <v>K/16/251024/1</v>
      </c>
      <c r="C484" s="7" t="str">
        <f>IFERROR(__xludf.DUMMYFUNCTION("""COMPUTED_VALUE"""),"M. 2543/ Pinang Jaya")</f>
        <v>M. 2543/ Pinang Jaya</v>
      </c>
      <c r="D484" s="7" t="str">
        <f>IFERROR(__xludf.DUMMYFUNCTION("""COMPUTED_VALUE"""),"Berry")</f>
        <v>Berry</v>
      </c>
      <c r="E484" s="7" t="str">
        <f>IFERROR(__xludf.DUMMYFUNCTION("""COMPUTED_VALUE"""),"DISERAHKAN")</f>
        <v>DISERAHKAN</v>
      </c>
      <c r="F484" s="9">
        <f>IFERROR(__xludf.DUMMYFUNCTION("""COMPUTED_VALUE"""),45593.42396136574)</f>
        <v>45593.42396</v>
      </c>
      <c r="G484" s="7" t="str">
        <f>IFERROR(__xludf.DUMMYFUNCTION("""COMPUTED_VALUE"""),"BN Jual Beli")</f>
        <v>BN Jual Beli</v>
      </c>
      <c r="H484" s="7">
        <f t="shared" si="1"/>
        <v>240</v>
      </c>
    </row>
    <row r="485" ht="22.5" customHeight="1">
      <c r="B485" s="7" t="str">
        <f>IFERROR(__xludf.DUMMYFUNCTION("""COMPUTED_VALUE"""),"K/19/251024/1")</f>
        <v>K/19/251024/1</v>
      </c>
      <c r="C485" s="7" t="str">
        <f>IFERROR(__xludf.DUMMYFUNCTION("""COMPUTED_VALUE"""),"M.1833/RAJABASA JAYA")</f>
        <v>M.1833/RAJABASA JAYA</v>
      </c>
      <c r="D485" s="7"/>
      <c r="E485" s="7"/>
      <c r="F485" s="9" t="str">
        <f>IFERROR(__xludf.DUMMYFUNCTION("""COMPUTED_VALUE"""),"")</f>
        <v/>
      </c>
      <c r="G485" s="7" t="str">
        <f>IFERROR(__xludf.DUMMYFUNCTION("""COMPUTED_VALUE"""),"HAPUS BPHTB")</f>
        <v>HAPUS BPHTB</v>
      </c>
      <c r="H485" s="7">
        <f t="shared" si="1"/>
        <v>240</v>
      </c>
    </row>
    <row r="486" ht="22.5" customHeight="1">
      <c r="B486" s="7" t="str">
        <f>IFERROR(__xludf.DUMMYFUNCTION("""COMPUTED_VALUE"""),"K/17/251024/2")</f>
        <v>K/17/251024/2</v>
      </c>
      <c r="C486" s="7" t="str">
        <f>IFERROR(__xludf.DUMMYFUNCTION("""COMPUTED_VALUE"""),"M. 2394/ Pinang Jaya")</f>
        <v>M. 2394/ Pinang Jaya</v>
      </c>
      <c r="D486" s="7" t="str">
        <f>IFERROR(__xludf.DUMMYFUNCTION("""COMPUTED_VALUE"""),"Berry")</f>
        <v>Berry</v>
      </c>
      <c r="E486" s="7" t="str">
        <f>IFERROR(__xludf.DUMMYFUNCTION("""COMPUTED_VALUE"""),"DISERAHKAN")</f>
        <v>DISERAHKAN</v>
      </c>
      <c r="F486" s="9">
        <f>IFERROR(__xludf.DUMMYFUNCTION("""COMPUTED_VALUE"""),45593.424075752315)</f>
        <v>45593.42408</v>
      </c>
      <c r="G486" s="7" t="str">
        <f>IFERROR(__xludf.DUMMYFUNCTION("""COMPUTED_VALUE"""),"BN Jual Beli")</f>
        <v>BN Jual Beli</v>
      </c>
      <c r="H486" s="7">
        <f t="shared" si="1"/>
        <v>241</v>
      </c>
    </row>
    <row r="487" ht="22.5" customHeight="1">
      <c r="B487" s="7" t="str">
        <f>IFERROR(__xludf.DUMMYFUNCTION("""COMPUTED_VALUE"""),"K/18/251024/3")</f>
        <v>K/18/251024/3</v>
      </c>
      <c r="C487" s="7" t="str">
        <f>IFERROR(__xludf.DUMMYFUNCTION("""COMPUTED_VALUE"""),"M. 2528/ Pinang Jaya")</f>
        <v>M. 2528/ Pinang Jaya</v>
      </c>
      <c r="D487" s="7" t="str">
        <f>IFERROR(__xludf.DUMMYFUNCTION("""COMPUTED_VALUE"""),"Berry")</f>
        <v>Berry</v>
      </c>
      <c r="E487" s="7" t="str">
        <f>IFERROR(__xludf.DUMMYFUNCTION("""COMPUTED_VALUE"""),"DISERAHKAN")</f>
        <v>DISERAHKAN</v>
      </c>
      <c r="F487" s="9">
        <f>IFERROR(__xludf.DUMMYFUNCTION("""COMPUTED_VALUE"""),45593.424197071756)</f>
        <v>45593.4242</v>
      </c>
      <c r="G487" s="7" t="str">
        <f>IFERROR(__xludf.DUMMYFUNCTION("""COMPUTED_VALUE"""),"BN Jual Beli")</f>
        <v>BN Jual Beli</v>
      </c>
      <c r="H487" s="7">
        <f t="shared" si="1"/>
        <v>242</v>
      </c>
    </row>
    <row r="488" ht="22.5" customHeight="1">
      <c r="B488" s="7" t="str">
        <f>IFERROR(__xludf.DUMMYFUNCTION("""COMPUTED_VALUE"""),"K/20/251024/1")</f>
        <v>K/20/251024/1</v>
      </c>
      <c r="C488" s="7" t="str">
        <f>IFERROR(__xludf.DUMMYFUNCTION("""COMPUTED_VALUE"""),"M. 2051/ L R R; M. 11392/ L R")</f>
        <v>M. 2051/ L R R; M. 11392/ L R</v>
      </c>
      <c r="D488" s="7" t="str">
        <f>IFERROR(__xludf.DUMMYFUNCTION("""COMPUTED_VALUE"""),"Berry")</f>
        <v>Berry</v>
      </c>
      <c r="E488" s="7" t="str">
        <f>IFERROR(__xludf.DUMMYFUNCTION("""COMPUTED_VALUE"""),"DISERAHKAN")</f>
        <v>DISERAHKAN</v>
      </c>
      <c r="F488" s="9">
        <f>IFERROR(__xludf.DUMMYFUNCTION("""COMPUTED_VALUE"""),45593.45546805556)</f>
        <v>45593.45547</v>
      </c>
      <c r="G488" s="7" t="str">
        <f>IFERROR(__xludf.DUMMYFUNCTION("""COMPUTED_VALUE"""),"BN Jual Beli")</f>
        <v>BN Jual Beli</v>
      </c>
      <c r="H488" s="7">
        <f t="shared" si="1"/>
        <v>243</v>
      </c>
    </row>
    <row r="489" ht="22.5" customHeight="1">
      <c r="B489" s="7" t="str">
        <f>IFERROR(__xludf.DUMMYFUNCTION("""COMPUTED_VALUE"""),"K/21/251024/1")</f>
        <v>K/21/251024/1</v>
      </c>
      <c r="C489" s="7" t="str">
        <f>IFERROR(__xludf.DUMMYFUNCTION("""COMPUTED_VALUE"""),"M. 1360/ Tanjungkarang")</f>
        <v>M. 1360/ Tanjungkarang</v>
      </c>
      <c r="D489" s="7"/>
      <c r="E489" s="7"/>
      <c r="F489" s="9" t="str">
        <f>IFERROR(__xludf.DUMMYFUNCTION("""COMPUTED_VALUE"""),"")</f>
        <v/>
      </c>
      <c r="G489" s="7" t="str">
        <f>IFERROR(__xludf.DUMMYFUNCTION("""COMPUTED_VALUE"""),"SKPT LELANG")</f>
        <v>SKPT LELANG</v>
      </c>
      <c r="H489" s="7">
        <f t="shared" si="1"/>
        <v>243</v>
      </c>
    </row>
    <row r="490" ht="22.5" customHeight="1">
      <c r="B490" s="7" t="str">
        <f>IFERROR(__xludf.DUMMYFUNCTION("""COMPUTED_VALUE"""),"K/22/251024/2")</f>
        <v>K/22/251024/2</v>
      </c>
      <c r="C490" s="7" t="str">
        <f>IFERROR(__xludf.DUMMYFUNCTION("""COMPUTED_VALUE"""),"M. 63/ Labuhan Dalam")</f>
        <v>M. 63/ Labuhan Dalam</v>
      </c>
      <c r="D490" s="7"/>
      <c r="E490" s="7"/>
      <c r="F490" s="9" t="str">
        <f>IFERROR(__xludf.DUMMYFUNCTION("""COMPUTED_VALUE"""),"")</f>
        <v/>
      </c>
      <c r="G490" s="7" t="str">
        <f>IFERROR(__xludf.DUMMYFUNCTION("""COMPUTED_VALUE"""),"SKPT LELANG")</f>
        <v>SKPT LELANG</v>
      </c>
      <c r="H490" s="7">
        <f t="shared" si="1"/>
        <v>243</v>
      </c>
    </row>
    <row r="491" ht="22.5" customHeight="1">
      <c r="B491" s="7" t="str">
        <f>IFERROR(__xludf.DUMMYFUNCTION("""COMPUTED_VALUE"""),"K/23/251024/3")</f>
        <v>K/23/251024/3</v>
      </c>
      <c r="C491" s="7" t="str">
        <f>IFERROR(__xludf.DUMMYFUNCTION("""COMPUTED_VALUE"""),"M. 1255/ Gunung Terang")</f>
        <v>M. 1255/ Gunung Terang</v>
      </c>
      <c r="D491" s="7"/>
      <c r="E491" s="7"/>
      <c r="F491" s="9" t="str">
        <f>IFERROR(__xludf.DUMMYFUNCTION("""COMPUTED_VALUE"""),"")</f>
        <v/>
      </c>
      <c r="G491" s="7" t="str">
        <f>IFERROR(__xludf.DUMMYFUNCTION("""COMPUTED_VALUE"""),"skpt lelang")</f>
        <v>skpt lelang</v>
      </c>
      <c r="H491" s="7">
        <f t="shared" si="1"/>
        <v>243</v>
      </c>
    </row>
    <row r="492" ht="22.5" customHeight="1">
      <c r="B492" s="7" t="str">
        <f>IFERROR(__xludf.DUMMYFUNCTION("""COMPUTED_VALUE"""),"K/24/251024/4")</f>
        <v>K/24/251024/4</v>
      </c>
      <c r="C492" s="7" t="str">
        <f>IFERROR(__xludf.DUMMYFUNCTION("""COMPUTED_VALUE"""),"M. 1255/ Gunung Terang")</f>
        <v>M. 1255/ Gunung Terang</v>
      </c>
      <c r="D492" s="7"/>
      <c r="E492" s="7"/>
      <c r="F492" s="9" t="str">
        <f>IFERROR(__xludf.DUMMYFUNCTION("""COMPUTED_VALUE"""),"")</f>
        <v/>
      </c>
      <c r="G492" s="7" t="str">
        <f>IFERROR(__xludf.DUMMYFUNCTION("""COMPUTED_VALUE"""),"SKPT LELANG")</f>
        <v>SKPT LELANG</v>
      </c>
      <c r="H492" s="7">
        <f t="shared" si="1"/>
        <v>243</v>
      </c>
    </row>
    <row r="493" ht="22.5" customHeight="1">
      <c r="B493" s="7" t="str">
        <f>IFERROR(__xludf.DUMMYFUNCTION("""COMPUTED_VALUE"""),"K/25/251024/5")</f>
        <v>K/25/251024/5</v>
      </c>
      <c r="C493" s="7" t="str">
        <f>IFERROR(__xludf.DUMMYFUNCTION("""COMPUTED_VALUE"""),"M. 9350/ Segala mider")</f>
        <v>M. 9350/ Segala mider</v>
      </c>
      <c r="D493" s="7"/>
      <c r="E493" s="7"/>
      <c r="F493" s="9" t="str">
        <f>IFERROR(__xludf.DUMMYFUNCTION("""COMPUTED_VALUE"""),"")</f>
        <v/>
      </c>
      <c r="G493" s="7" t="str">
        <f>IFERROR(__xludf.DUMMYFUNCTION("""COMPUTED_VALUE"""),"SKPT LELANG")</f>
        <v>SKPT LELANG</v>
      </c>
      <c r="H493" s="7">
        <f t="shared" si="1"/>
        <v>243</v>
      </c>
    </row>
    <row r="494" ht="22.5" customHeight="1">
      <c r="B494" s="7" t="str">
        <f>IFERROR(__xludf.DUMMYFUNCTION("""COMPUTED_VALUE"""),"K/1/211024/1")</f>
        <v>K/1/211024/1</v>
      </c>
      <c r="C494" s="7" t="str">
        <f>IFERROR(__xludf.DUMMYFUNCTION("""COMPUTED_VALUE"""),"B. 1370/ Kemiling Permai; B. 1441/ Su K-dahulu")</f>
        <v>B. 1370/ Kemiling Permai; B. 1441/ Su K-dahulu</v>
      </c>
      <c r="D494" s="7" t="str">
        <f>IFERROR(__xludf.DUMMYFUNCTION("""COMPUTED_VALUE"""),"Berry")</f>
        <v>Berry</v>
      </c>
      <c r="E494" s="7" t="str">
        <f>IFERROR(__xludf.DUMMYFUNCTION("""COMPUTED_VALUE"""),"PROSES")</f>
        <v>PROSES</v>
      </c>
      <c r="F494" s="9" t="str">
        <f>IFERROR(__xludf.DUMMYFUNCTION("""COMPUTED_VALUE"""),"")</f>
        <v/>
      </c>
      <c r="G494" s="7" t="str">
        <f>IFERROR(__xludf.DUMMYFUNCTION("""COMPUTED_VALUE"""),"Perubahan Hak")</f>
        <v>Perubahan Hak</v>
      </c>
      <c r="H494" s="7">
        <f t="shared" si="1"/>
        <v>243</v>
      </c>
    </row>
    <row r="495" ht="22.5" customHeight="1">
      <c r="B495" s="7" t="str">
        <f>IFERROR(__xludf.DUMMYFUNCTION("""COMPUTED_VALUE"""),"K/27/251024/1")</f>
        <v>K/27/251024/1</v>
      </c>
      <c r="C495" s="7" t="str">
        <f>IFERROR(__xludf.DUMMYFUNCTION("""COMPUTED_VALUE"""),"M. 2572/ Gedong Air")</f>
        <v>M. 2572/ Gedong Air</v>
      </c>
      <c r="D495" s="7" t="str">
        <f>IFERROR(__xludf.DUMMYFUNCTION("""COMPUTED_VALUE"""),"Alfiansyah")</f>
        <v>Alfiansyah</v>
      </c>
      <c r="E495" s="7" t="str">
        <f>IFERROR(__xludf.DUMMYFUNCTION("""COMPUTED_VALUE"""),"DISERAHKAN BT")</f>
        <v>DISERAHKAN BT</v>
      </c>
      <c r="F495" s="9">
        <f>IFERROR(__xludf.DUMMYFUNCTION("""COMPUTED_VALUE"""),45610.363431516205)</f>
        <v>45610.36343</v>
      </c>
      <c r="G495" s="7" t="str">
        <f>IFERROR(__xludf.DUMMYFUNCTION("""COMPUTED_VALUE"""),"BN JUAL BELI")</f>
        <v>BN JUAL BELI</v>
      </c>
      <c r="H495" s="7">
        <f t="shared" si="1"/>
        <v>243</v>
      </c>
    </row>
    <row r="496" ht="22.5" customHeight="1">
      <c r="B496" s="7" t="str">
        <f>IFERROR(__xludf.DUMMYFUNCTION("""COMPUTED_VALUE"""),"K/28/251024/2")</f>
        <v>K/28/251024/2</v>
      </c>
      <c r="C496" s="7" t="str">
        <f>IFERROR(__xludf.DUMMYFUNCTION("""COMPUTED_VALUE"""),"M. 2585/ Gedong Air")</f>
        <v>M. 2585/ Gedong Air</v>
      </c>
      <c r="D496" s="7" t="str">
        <f>IFERROR(__xludf.DUMMYFUNCTION("""COMPUTED_VALUE"""),"Berry")</f>
        <v>Berry</v>
      </c>
      <c r="E496" s="7" t="str">
        <f>IFERROR(__xludf.DUMMYFUNCTION("""COMPUTED_VALUE"""),"PROSES")</f>
        <v>PROSES</v>
      </c>
      <c r="F496" s="9" t="str">
        <f>IFERROR(__xludf.DUMMYFUNCTION("""COMPUTED_VALUE"""),"")</f>
        <v/>
      </c>
      <c r="G496" s="7" t="str">
        <f>IFERROR(__xludf.DUMMYFUNCTION("""COMPUTED_VALUE"""),"BN JUAL BELI")</f>
        <v>BN JUAL BELI</v>
      </c>
      <c r="H496" s="7">
        <f t="shared" si="1"/>
        <v>243</v>
      </c>
    </row>
    <row r="497" ht="22.5" customHeight="1">
      <c r="B497" s="7" t="str">
        <f>IFERROR(__xludf.DUMMYFUNCTION("""COMPUTED_VALUE"""),"K/29/251024/3")</f>
        <v>K/29/251024/3</v>
      </c>
      <c r="C497" s="7" t="str">
        <f>IFERROR(__xludf.DUMMYFUNCTION("""COMPUTED_VALUE"""),"m. 2586/ Gedong AIr")</f>
        <v>m. 2586/ Gedong AIr</v>
      </c>
      <c r="D497" s="7" t="str">
        <f>IFERROR(__xludf.DUMMYFUNCTION("""COMPUTED_VALUE"""),"David")</f>
        <v>David</v>
      </c>
      <c r="E497" s="7" t="str">
        <f>IFERROR(__xludf.DUMMYFUNCTION("""COMPUTED_VALUE"""),"PROSES")</f>
        <v>PROSES</v>
      </c>
      <c r="F497" s="9" t="str">
        <f>IFERROR(__xludf.DUMMYFUNCTION("""COMPUTED_VALUE"""),"")</f>
        <v/>
      </c>
      <c r="G497" s="7" t="str">
        <f>IFERROR(__xludf.DUMMYFUNCTION("""COMPUTED_VALUE"""),"bn jual beli")</f>
        <v>bn jual beli</v>
      </c>
      <c r="H497" s="7">
        <f t="shared" si="1"/>
        <v>243</v>
      </c>
    </row>
    <row r="498" ht="22.5" customHeight="1">
      <c r="B498" s="7" t="str">
        <f>IFERROR(__xludf.DUMMYFUNCTION("""COMPUTED_VALUE"""),"L/32/251024/1")</f>
        <v>L/32/251024/1</v>
      </c>
      <c r="C498" s="7" t="str">
        <f>IFERROR(__xludf.DUMMYFUNCTION("""COMPUTED_VALUE"""),"PBT243/2023")</f>
        <v>PBT243/2023</v>
      </c>
      <c r="D498" s="7"/>
      <c r="E498" s="7"/>
      <c r="F498" s="9" t="str">
        <f>IFERROR(__xludf.DUMMYFUNCTION("""COMPUTED_VALUE"""),"")</f>
        <v/>
      </c>
      <c r="G498" s="7" t="str">
        <f>IFERROR(__xludf.DUMMYFUNCTION("""COMPUTED_VALUE"""),"PENDAFTARAN SK HAK")</f>
        <v>PENDAFTARAN SK HAK</v>
      </c>
      <c r="H498" s="7">
        <f t="shared" si="1"/>
        <v>243</v>
      </c>
    </row>
    <row r="499" ht="22.5" customHeight="1">
      <c r="B499" s="7" t="str">
        <f>IFERROR(__xludf.DUMMYFUNCTION("""COMPUTED_VALUE"""),"K/30/251024/1")</f>
        <v>K/30/251024/1</v>
      </c>
      <c r="C499" s="7" t="str">
        <f>IFERROR(__xludf.DUMMYFUNCTION("""COMPUTED_VALUE"""),"M. 18118/ Sukarame")</f>
        <v>M. 18118/ Sukarame</v>
      </c>
      <c r="D499" s="7" t="str">
        <f>IFERROR(__xludf.DUMMYFUNCTION("""COMPUTED_VALUE"""),"David")</f>
        <v>David</v>
      </c>
      <c r="E499" s="7" t="str">
        <f>IFERROR(__xludf.DUMMYFUNCTION("""COMPUTED_VALUE"""),"DISERAHKAN")</f>
        <v>DISERAHKAN</v>
      </c>
      <c r="F499" s="9">
        <f>IFERROR(__xludf.DUMMYFUNCTION("""COMPUTED_VALUE"""),45593.42526778935)</f>
        <v>45593.42527</v>
      </c>
      <c r="G499" s="7" t="str">
        <f>IFERROR(__xludf.DUMMYFUNCTION("""COMPUTED_VALUE"""),"BN Jual Beli")</f>
        <v>BN Jual Beli</v>
      </c>
      <c r="H499" s="7">
        <f t="shared" si="1"/>
        <v>244</v>
      </c>
    </row>
    <row r="500" ht="22.5" customHeight="1">
      <c r="B500" s="7" t="str">
        <f>IFERROR(__xludf.DUMMYFUNCTION("""COMPUTED_VALUE"""),"K/31/251024/2")</f>
        <v>K/31/251024/2</v>
      </c>
      <c r="C500" s="7" t="str">
        <f>IFERROR(__xludf.DUMMYFUNCTION("""COMPUTED_VALUE"""),"B. 503/ Gunung Sulah")</f>
        <v>B. 503/ Gunung Sulah</v>
      </c>
      <c r="D500" s="7" t="str">
        <f>IFERROR(__xludf.DUMMYFUNCTION("""COMPUTED_VALUE"""),"David")</f>
        <v>David</v>
      </c>
      <c r="E500" s="7" t="str">
        <f>IFERROR(__xludf.DUMMYFUNCTION("""COMPUTED_VALUE"""),"DISERAHKAN BT")</f>
        <v>DISERAHKAN BT</v>
      </c>
      <c r="F500" s="9">
        <f>IFERROR(__xludf.DUMMYFUNCTION("""COMPUTED_VALUE"""),45593.54554255787)</f>
        <v>45593.54554</v>
      </c>
      <c r="G500" s="7" t="str">
        <f>IFERROR(__xludf.DUMMYFUNCTION("""COMPUTED_VALUE"""),"Perubahan Hak")</f>
        <v>Perubahan Hak</v>
      </c>
      <c r="H500" s="7">
        <f t="shared" si="1"/>
        <v>244</v>
      </c>
    </row>
    <row r="501" ht="22.5" customHeight="1">
      <c r="B501" s="7" t="str">
        <f>IFERROR(__xludf.DUMMYFUNCTION("""COMPUTED_VALUE"""),"K/33/251024/1")</f>
        <v>K/33/251024/1</v>
      </c>
      <c r="C501" s="7" t="str">
        <f>IFERROR(__xludf.DUMMYFUNCTION("""COMPUTED_VALUE"""),"NIBEL M.2482/KOTA BARU")</f>
        <v>NIBEL M.2482/KOTA BARU</v>
      </c>
      <c r="D501" s="7"/>
      <c r="E501" s="7"/>
      <c r="F501" s="9" t="str">
        <f>IFERROR(__xludf.DUMMYFUNCTION("""COMPUTED_VALUE"""),"")</f>
        <v/>
      </c>
      <c r="G501" s="7" t="str">
        <f>IFERROR(__xludf.DUMMYFUNCTION("""COMPUTED_VALUE"""),"PTPGT PEMECAHAN")</f>
        <v>PTPGT PEMECAHAN</v>
      </c>
      <c r="H501" s="7">
        <f t="shared" si="1"/>
        <v>244</v>
      </c>
    </row>
    <row r="502" ht="22.5" customHeight="1">
      <c r="B502" s="7" t="str">
        <f>IFERROR(__xludf.DUMMYFUNCTION("""COMPUTED_VALUE"""),"L/34/251024/1")</f>
        <v>L/34/251024/1</v>
      </c>
      <c r="C502" s="7" t="str">
        <f>IFERROR(__xludf.DUMMYFUNCTION("""COMPUTED_VALUE"""),"HGB 254/CAMPANG RAYA")</f>
        <v>HGB 254/CAMPANG RAYA</v>
      </c>
      <c r="D502" s="7" t="str">
        <f>IFERROR(__xludf.DUMMYFUNCTION("""COMPUTED_VALUE"""),"David")</f>
        <v>David</v>
      </c>
      <c r="E502" s="7" t="str">
        <f>IFERROR(__xludf.DUMMYFUNCTION("""COMPUTED_VALUE"""),"DISERAHKAN")</f>
        <v>DISERAHKAN</v>
      </c>
      <c r="F502" s="9">
        <f>IFERROR(__xludf.DUMMYFUNCTION("""COMPUTED_VALUE"""),45593.425647129625)</f>
        <v>45593.42565</v>
      </c>
      <c r="G502" s="7" t="str">
        <f>IFERROR(__xludf.DUMMYFUNCTION("""COMPUTED_VALUE"""),"ROYA")</f>
        <v>ROYA</v>
      </c>
      <c r="H502" s="7">
        <f t="shared" si="1"/>
        <v>245</v>
      </c>
    </row>
    <row r="503" ht="22.5" customHeight="1">
      <c r="B503" s="7" t="str">
        <f>IFERROR(__xludf.DUMMYFUNCTION("""COMPUTED_VALUE"""),"K/35/251024/1")</f>
        <v>K/35/251024/1</v>
      </c>
      <c r="C503" s="7" t="str">
        <f>IFERROR(__xludf.DUMMYFUNCTION("""COMPUTED_VALUE"""),"M.11312/KEDAMAIAN")</f>
        <v>M.11312/KEDAMAIAN</v>
      </c>
      <c r="D503" s="7"/>
      <c r="E503" s="7"/>
      <c r="F503" s="9" t="str">
        <f>IFERROR(__xludf.DUMMYFUNCTION("""COMPUTED_VALUE"""),"")</f>
        <v/>
      </c>
      <c r="G503" s="7" t="str">
        <f>IFERROR(__xludf.DUMMYFUNCTION("""COMPUTED_VALUE"""),"SKPT")</f>
        <v>SKPT</v>
      </c>
      <c r="H503" s="7">
        <f t="shared" si="1"/>
        <v>245</v>
      </c>
    </row>
    <row r="504" ht="22.5" customHeight="1">
      <c r="B504" s="7" t="str">
        <f>IFERROR(__xludf.DUMMYFUNCTION("""COMPUTED_VALUE"""),"K/36/251024/2")</f>
        <v>K/36/251024/2</v>
      </c>
      <c r="C504" s="7" t="str">
        <f>IFERROR(__xludf.DUMMYFUNCTION("""COMPUTED_VALUE"""),"M.1268/BUMI WARAS")</f>
        <v>M.1268/BUMI WARAS</v>
      </c>
      <c r="D504" s="7"/>
      <c r="E504" s="7"/>
      <c r="F504" s="9" t="str">
        <f>IFERROR(__xludf.DUMMYFUNCTION("""COMPUTED_VALUE"""),"")</f>
        <v/>
      </c>
      <c r="G504" s="7" t="str">
        <f>IFERROR(__xludf.DUMMYFUNCTION("""COMPUTED_VALUE"""),"SKPT")</f>
        <v>SKPT</v>
      </c>
      <c r="H504" s="7">
        <f t="shared" si="1"/>
        <v>245</v>
      </c>
    </row>
    <row r="505" ht="22.5" customHeight="1">
      <c r="B505" s="7" t="str">
        <f>IFERROR(__xludf.DUMMYFUNCTION("""COMPUTED_VALUE"""),"K/37/251024/1")</f>
        <v>K/37/251024/1</v>
      </c>
      <c r="C505" s="7" t="str">
        <f>IFERROR(__xludf.DUMMYFUNCTION("""COMPUTED_VALUE"""),"M. 3227/Gunung Terang")</f>
        <v>M. 3227/Gunung Terang</v>
      </c>
      <c r="D505" s="7" t="str">
        <f>IFERROR(__xludf.DUMMYFUNCTION("""COMPUTED_VALUE"""),"David")</f>
        <v>David</v>
      </c>
      <c r="E505" s="7" t="str">
        <f>IFERROR(__xludf.DUMMYFUNCTION("""COMPUTED_VALUE"""),"DISERAHKAN")</f>
        <v>DISERAHKAN</v>
      </c>
      <c r="F505" s="9">
        <f>IFERROR(__xludf.DUMMYFUNCTION("""COMPUTED_VALUE"""),45594.41844325232)</f>
        <v>45594.41844</v>
      </c>
      <c r="G505" s="7" t="str">
        <f>IFERROR(__xludf.DUMMYFUNCTION("""COMPUTED_VALUE"""),"BN Jual Beli")</f>
        <v>BN Jual Beli</v>
      </c>
      <c r="H505" s="7">
        <f t="shared" si="1"/>
        <v>246</v>
      </c>
    </row>
    <row r="506" ht="22.5" customHeight="1">
      <c r="B506" s="7" t="str">
        <f>IFERROR(__xludf.DUMMYFUNCTION("""COMPUTED_VALUE"""),"K/39/251024/1")</f>
        <v>K/39/251024/1</v>
      </c>
      <c r="C506" s="7" t="str">
        <f>IFERROR(__xludf.DUMMYFUNCTION("""COMPUTED_VALUE"""),"NIBEL M 1086/KOTA KARANG")</f>
        <v>NIBEL M 1086/KOTA KARANG</v>
      </c>
      <c r="D506" s="7"/>
      <c r="E506" s="7"/>
      <c r="F506" s="9" t="str">
        <f>IFERROR(__xludf.DUMMYFUNCTION("""COMPUTED_VALUE"""),"")</f>
        <v/>
      </c>
      <c r="G506" s="7" t="str">
        <f>IFERROR(__xludf.DUMMYFUNCTION("""COMPUTED_VALUE"""),"BN JUAL BELI")</f>
        <v>BN JUAL BELI</v>
      </c>
      <c r="H506" s="7">
        <f t="shared" si="1"/>
        <v>246</v>
      </c>
    </row>
    <row r="507" ht="22.5" customHeight="1">
      <c r="B507" s="7" t="str">
        <f>IFERROR(__xludf.DUMMYFUNCTION("""COMPUTED_VALUE"""),"K/38/251024/2")</f>
        <v>K/38/251024/2</v>
      </c>
      <c r="C507" s="7" t="str">
        <f>IFERROR(__xludf.DUMMYFUNCTION("""COMPUTED_VALUE"""),"Nibel. M. 2592/ Beringin Raya")</f>
        <v>Nibel. M. 2592/ Beringin Raya</v>
      </c>
      <c r="D507" s="7"/>
      <c r="E507" s="7"/>
      <c r="F507" s="9" t="str">
        <f>IFERROR(__xludf.DUMMYFUNCTION("""COMPUTED_VALUE"""),"")</f>
        <v/>
      </c>
      <c r="G507" s="7" t="str">
        <f>IFERROR(__xludf.DUMMYFUNCTION("""COMPUTED_VALUE"""),"BN Waris")</f>
        <v>BN Waris</v>
      </c>
      <c r="H507" s="7">
        <f t="shared" si="1"/>
        <v>246</v>
      </c>
    </row>
    <row r="508" ht="22.5" customHeight="1">
      <c r="B508" s="7" t="str">
        <f>IFERROR(__xludf.DUMMYFUNCTION("""COMPUTED_VALUE"""),"L/40/251024/1")</f>
        <v>L/40/251024/1</v>
      </c>
      <c r="C508" s="7" t="str">
        <f>IFERROR(__xludf.DUMMYFUNCTION("""COMPUTED_VALUE"""),"HM 3757/RAJABASA JAYA")</f>
        <v>HM 3757/RAJABASA JAYA</v>
      </c>
      <c r="D508" s="7"/>
      <c r="E508" s="7"/>
      <c r="F508" s="9" t="str">
        <f>IFERROR(__xludf.DUMMYFUNCTION("""COMPUTED_VALUE"""),"")</f>
        <v/>
      </c>
      <c r="G508" s="7" t="str">
        <f>IFERROR(__xludf.DUMMYFUNCTION("""COMPUTED_VALUE"""),"PENGHAPUSAN BPHTB")</f>
        <v>PENGHAPUSAN BPHTB</v>
      </c>
      <c r="H508" s="7">
        <f t="shared" si="1"/>
        <v>246</v>
      </c>
    </row>
    <row r="509" ht="22.5" customHeight="1">
      <c r="B509" s="7" t="str">
        <f>IFERROR(__xludf.DUMMYFUNCTION("""COMPUTED_VALUE"""),"K/41/251024/1")</f>
        <v>K/41/251024/1</v>
      </c>
      <c r="C509" s="7" t="str">
        <f>IFERROR(__xludf.DUMMYFUNCTION("""COMPUTED_VALUE"""),"M. 1824/ Beringin Jaya ; M. 944/ Beringin Raya-dahulu; B. 718/ Beringin Raya-dahulu")</f>
        <v>M. 1824/ Beringin Jaya ; M. 944/ Beringin Raya-dahulu; B. 718/ Beringin Raya-dahulu</v>
      </c>
      <c r="D509" s="7" t="str">
        <f>IFERROR(__xludf.DUMMYFUNCTION("""COMPUTED_VALUE"""),"David")</f>
        <v>David</v>
      </c>
      <c r="E509" s="7" t="str">
        <f>IFERROR(__xludf.DUMMYFUNCTION("""COMPUTED_VALUE"""),"DISERAHKAN")</f>
        <v>DISERAHKAN</v>
      </c>
      <c r="F509" s="9">
        <f>IFERROR(__xludf.DUMMYFUNCTION("""COMPUTED_VALUE"""),45593.42609936342)</f>
        <v>45593.4261</v>
      </c>
      <c r="G509" s="7" t="str">
        <f>IFERROR(__xludf.DUMMYFUNCTION("""COMPUTED_VALUE"""),"BN Jual Beli")</f>
        <v>BN Jual Beli</v>
      </c>
      <c r="H509" s="7">
        <f t="shared" si="1"/>
        <v>247</v>
      </c>
    </row>
    <row r="510" ht="22.5" customHeight="1">
      <c r="B510" s="7" t="str">
        <f>IFERROR(__xludf.DUMMYFUNCTION("""COMPUTED_VALUE"""),"K/42/251024/1")</f>
        <v>K/42/251024/1</v>
      </c>
      <c r="C510" s="7" t="str">
        <f>IFERROR(__xludf.DUMMYFUNCTION("""COMPUTED_VALUE"""),"M. 11524/ Kedamaian")</f>
        <v>M. 11524/ Kedamaian</v>
      </c>
      <c r="D510" s="7" t="str">
        <f>IFERROR(__xludf.DUMMYFUNCTION("""COMPUTED_VALUE"""),"David")</f>
        <v>David</v>
      </c>
      <c r="E510" s="7" t="str">
        <f>IFERROR(__xludf.DUMMYFUNCTION("""COMPUTED_VALUE"""),"DISERAHKAN")</f>
        <v>DISERAHKAN</v>
      </c>
      <c r="F510" s="9">
        <f>IFERROR(__xludf.DUMMYFUNCTION("""COMPUTED_VALUE"""),45594.4178592824)</f>
        <v>45594.41786</v>
      </c>
      <c r="G510" s="7" t="str">
        <f>IFERROR(__xludf.DUMMYFUNCTION("""COMPUTED_VALUE"""),"BN JUAL BELI")</f>
        <v>BN JUAL BELI</v>
      </c>
      <c r="H510" s="7">
        <f t="shared" si="1"/>
        <v>248</v>
      </c>
    </row>
    <row r="511" ht="22.5" customHeight="1">
      <c r="B511" s="7" t="str">
        <f>IFERROR(__xludf.DUMMYFUNCTION("""COMPUTED_VALUE"""),"K/43/251024/2")</f>
        <v>K/43/251024/2</v>
      </c>
      <c r="C511" s="7" t="str">
        <f>IFERROR(__xludf.DUMMYFUNCTION("""COMPUTED_VALUE"""),"M. 3289/ kota baru")</f>
        <v>M. 3289/ kota baru</v>
      </c>
      <c r="D511" s="7" t="str">
        <f>IFERROR(__xludf.DUMMYFUNCTION("""COMPUTED_VALUE"""),"David")</f>
        <v>David</v>
      </c>
      <c r="E511" s="7" t="str">
        <f>IFERROR(__xludf.DUMMYFUNCTION("""COMPUTED_VALUE"""),"DISERAHKAN")</f>
        <v>DISERAHKAN</v>
      </c>
      <c r="F511" s="9">
        <f>IFERROR(__xludf.DUMMYFUNCTION("""COMPUTED_VALUE"""),45593.42644603009)</f>
        <v>45593.42645</v>
      </c>
      <c r="G511" s="7" t="str">
        <f>IFERROR(__xludf.DUMMYFUNCTION("""COMPUTED_VALUE"""),"ROYA")</f>
        <v>ROYA</v>
      </c>
      <c r="H511" s="7">
        <f t="shared" si="1"/>
        <v>249</v>
      </c>
    </row>
    <row r="512" ht="22.5" customHeight="1">
      <c r="B512" s="7" t="str">
        <f>IFERROR(__xludf.DUMMYFUNCTION("""COMPUTED_VALUE"""),"L//251024/1")</f>
        <v>L//251024/1</v>
      </c>
      <c r="C512" s="7" t="str">
        <f>IFERROR(__xludf.DUMMYFUNCTION("""COMPUTED_VALUE"""),"NIB 3303/WAY LAGA")</f>
        <v>NIB 3303/WAY LAGA</v>
      </c>
      <c r="D512" s="7"/>
      <c r="E512" s="7"/>
      <c r="F512" s="9" t="str">
        <f>IFERROR(__xludf.DUMMYFUNCTION("""COMPUTED_VALUE"""),"")</f>
        <v/>
      </c>
      <c r="G512" s="7" t="str">
        <f>IFERROR(__xludf.DUMMYFUNCTION("""COMPUTED_VALUE"""),"BN LELANG")</f>
        <v>BN LELANG</v>
      </c>
      <c r="H512" s="7">
        <f t="shared" si="1"/>
        <v>249</v>
      </c>
    </row>
    <row r="513" ht="22.5" customHeight="1">
      <c r="B513" s="7" t="str">
        <f>IFERROR(__xludf.DUMMYFUNCTION("""COMPUTED_VALUE"""),"K/44/251024/3")</f>
        <v>K/44/251024/3</v>
      </c>
      <c r="C513" s="7" t="str">
        <f>IFERROR(__xludf.DUMMYFUNCTION("""COMPUTED_VALUE"""),"M. 13663/ Segala Mider")</f>
        <v>M. 13663/ Segala Mider</v>
      </c>
      <c r="D513" s="7" t="str">
        <f>IFERROR(__xludf.DUMMYFUNCTION("""COMPUTED_VALUE"""),"David")</f>
        <v>David</v>
      </c>
      <c r="E513" s="7" t="str">
        <f>IFERROR(__xludf.DUMMYFUNCTION("""COMPUTED_VALUE"""),"DISERAHKAN")</f>
        <v>DISERAHKAN</v>
      </c>
      <c r="F513" s="9">
        <f>IFERROR(__xludf.DUMMYFUNCTION("""COMPUTED_VALUE"""),45593.426607037036)</f>
        <v>45593.42661</v>
      </c>
      <c r="G513" s="7" t="str">
        <f>IFERROR(__xludf.DUMMYFUNCTION("""COMPUTED_VALUE"""),"ROYA")</f>
        <v>ROYA</v>
      </c>
      <c r="H513" s="7">
        <f t="shared" si="1"/>
        <v>250</v>
      </c>
    </row>
    <row r="514" ht="22.5" customHeight="1">
      <c r="B514" s="7" t="str">
        <f>IFERROR(__xludf.DUMMYFUNCTION("""COMPUTED_VALUE"""),"L/48/251024/1")</f>
        <v>L/48/251024/1</v>
      </c>
      <c r="C514" s="7" t="str">
        <f>IFERROR(__xludf.DUMMYFUNCTION("""COMPUTED_VALUE"""),"HGB 1368/KEMILING PERMAI")</f>
        <v>HGB 1368/KEMILING PERMAI</v>
      </c>
      <c r="D514" s="7" t="str">
        <f>IFERROR(__xludf.DUMMYFUNCTION("""COMPUTED_VALUE"""),"David")</f>
        <v>David</v>
      </c>
      <c r="E514" s="7" t="str">
        <f>IFERROR(__xludf.DUMMYFUNCTION("""COMPUTED_VALUE"""),"DISERAHKAN")</f>
        <v>DISERAHKAN</v>
      </c>
      <c r="F514" s="9">
        <f>IFERROR(__xludf.DUMMYFUNCTION("""COMPUTED_VALUE"""),45609.44750371527)</f>
        <v>45609.4475</v>
      </c>
      <c r="G514" s="7" t="str">
        <f>IFERROR(__xludf.DUMMYFUNCTION("""COMPUTED_VALUE"""),"GANTI TAHUN LAHIR")</f>
        <v>GANTI TAHUN LAHIR</v>
      </c>
      <c r="H514" s="7">
        <f t="shared" si="1"/>
        <v>251</v>
      </c>
    </row>
    <row r="515" ht="22.5" customHeight="1">
      <c r="B515" s="7" t="str">
        <f>IFERROR(__xludf.DUMMYFUNCTION("""COMPUTED_VALUE"""),"K/46/251024/1")</f>
        <v>K/46/251024/1</v>
      </c>
      <c r="C515" s="7" t="str">
        <f>IFERROR(__xludf.DUMMYFUNCTION("""COMPUTED_VALUE"""),"M. 4231/ Rajabasa Jaya; 10134/ Rajabasa-dahulu")</f>
        <v>M. 4231/ Rajabasa Jaya; 10134/ Rajabasa-dahulu</v>
      </c>
      <c r="D515" s="7"/>
      <c r="E515" s="7"/>
      <c r="F515" s="9" t="str">
        <f>IFERROR(__xludf.DUMMYFUNCTION("""COMPUTED_VALUE"""),"")</f>
        <v/>
      </c>
      <c r="G515" s="7" t="str">
        <f>IFERROR(__xludf.DUMMYFUNCTION("""COMPUTED_VALUE"""),"SKPT Lelang")</f>
        <v>SKPT Lelang</v>
      </c>
      <c r="H515" s="7">
        <f t="shared" si="1"/>
        <v>251</v>
      </c>
    </row>
    <row r="516" ht="22.5" customHeight="1">
      <c r="B516" s="7" t="str">
        <f>IFERROR(__xludf.DUMMYFUNCTION("""COMPUTED_VALUE"""),"L/49/251024/1")</f>
        <v>L/49/251024/1</v>
      </c>
      <c r="C516" s="7" t="str">
        <f>IFERROR(__xludf.DUMMYFUNCTION("""COMPUTED_VALUE"""),"B.355 DAN B.356/LABUHAN RATU")</f>
        <v>B.355 DAN B.356/LABUHAN RATU</v>
      </c>
      <c r="D516" s="7" t="str">
        <f>IFERROR(__xludf.DUMMYFUNCTION("""COMPUTED_VALUE"""),"David")</f>
        <v>David</v>
      </c>
      <c r="E516" s="7" t="str">
        <f>IFERROR(__xludf.DUMMYFUNCTION("""COMPUTED_VALUE"""),"DISERAHKAN")</f>
        <v>DISERAHKAN</v>
      </c>
      <c r="F516" s="9">
        <f>IFERROR(__xludf.DUMMYFUNCTION("""COMPUTED_VALUE"""),45593.426924513886)</f>
        <v>45593.42692</v>
      </c>
      <c r="G516" s="7" t="str">
        <f>IFERROR(__xludf.DUMMYFUNCTION("""COMPUTED_VALUE"""),"ROYA")</f>
        <v>ROYA</v>
      </c>
      <c r="H516" s="7">
        <f t="shared" si="1"/>
        <v>252</v>
      </c>
    </row>
    <row r="517" ht="22.5" customHeight="1">
      <c r="B517" s="7" t="str">
        <f>IFERROR(__xludf.DUMMYFUNCTION("""COMPUTED_VALUE"""),"K/47/251024/2")</f>
        <v>K/47/251024/2</v>
      </c>
      <c r="C517" s="7" t="str">
        <f>IFERROR(__xludf.DUMMYFUNCTION("""COMPUTED_VALUE"""),"M. 3605/ Rajabasa Jaya; M. 10913/ Rajabasa")</f>
        <v>M. 3605/ Rajabasa Jaya; M. 10913/ Rajabasa</v>
      </c>
      <c r="D517" s="7"/>
      <c r="E517" s="7"/>
      <c r="F517" s="9" t="str">
        <f>IFERROR(__xludf.DUMMYFUNCTION("""COMPUTED_VALUE"""),"")</f>
        <v/>
      </c>
      <c r="G517" s="7" t="str">
        <f>IFERROR(__xludf.DUMMYFUNCTION("""COMPUTED_VALUE"""),"SKPT Lelang")</f>
        <v>SKPT Lelang</v>
      </c>
      <c r="H517" s="7">
        <f t="shared" si="1"/>
        <v>252</v>
      </c>
    </row>
    <row r="518" ht="22.5" customHeight="1">
      <c r="B518" s="7" t="str">
        <f>IFERROR(__xludf.DUMMYFUNCTION("""COMPUTED_VALUE"""),"K/50/251024/1")</f>
        <v>K/50/251024/1</v>
      </c>
      <c r="C518" s="7" t="str">
        <f>IFERROR(__xludf.DUMMYFUNCTION("""COMPUTED_VALUE"""),"Nibel. M. 2897/ Kota Baru")</f>
        <v>Nibel. M. 2897/ Kota Baru</v>
      </c>
      <c r="D518" s="7"/>
      <c r="E518" s="7"/>
      <c r="F518" s="9" t="str">
        <f>IFERROR(__xludf.DUMMYFUNCTION("""COMPUTED_VALUE"""),"")</f>
        <v/>
      </c>
      <c r="G518" s="7" t="str">
        <f>IFERROR(__xludf.DUMMYFUNCTION("""COMPUTED_VALUE"""),"BN Jual Beli")</f>
        <v>BN Jual Beli</v>
      </c>
      <c r="H518" s="7">
        <f t="shared" si="1"/>
        <v>252</v>
      </c>
    </row>
    <row r="519" ht="22.5" customHeight="1">
      <c r="B519" s="7" t="str">
        <f>IFERROR(__xludf.DUMMYFUNCTION("""COMPUTED_VALUE"""),"K/51/251024/1")</f>
        <v>K/51/251024/1</v>
      </c>
      <c r="C519" s="7" t="str">
        <f>IFERROR(__xludf.DUMMYFUNCTION("""COMPUTED_VALUE"""),"M. 1543/ Kupang Kota")</f>
        <v>M. 1543/ Kupang Kota</v>
      </c>
      <c r="D519" s="7" t="str">
        <f>IFERROR(__xludf.DUMMYFUNCTION("""COMPUTED_VALUE"""),"David")</f>
        <v>David</v>
      </c>
      <c r="E519" s="7" t="str">
        <f>IFERROR(__xludf.DUMMYFUNCTION("""COMPUTED_VALUE"""),"DISERAHKAN")</f>
        <v>DISERAHKAN</v>
      </c>
      <c r="F519" s="9">
        <f>IFERROR(__xludf.DUMMYFUNCTION("""COMPUTED_VALUE"""),45593.427126215276)</f>
        <v>45593.42713</v>
      </c>
      <c r="G519" s="7" t="str">
        <f>IFERROR(__xludf.DUMMYFUNCTION("""COMPUTED_VALUE"""),"BN Jual Beli")</f>
        <v>BN Jual Beli</v>
      </c>
      <c r="H519" s="7">
        <f t="shared" si="1"/>
        <v>253</v>
      </c>
    </row>
    <row r="520" ht="22.5" customHeight="1">
      <c r="B520" s="7" t="str">
        <f>IFERROR(__xludf.DUMMYFUNCTION("""COMPUTED_VALUE"""),"K/52/251024/2")</f>
        <v>K/52/251024/2</v>
      </c>
      <c r="C520" s="7" t="str">
        <f>IFERROR(__xludf.DUMMYFUNCTION("""COMPUTED_VALUE"""),"M/ 1544/ Kupang Kota")</f>
        <v>M/ 1544/ Kupang Kota</v>
      </c>
      <c r="D520" s="7" t="str">
        <f>IFERROR(__xludf.DUMMYFUNCTION("""COMPUTED_VALUE"""),"David")</f>
        <v>David</v>
      </c>
      <c r="E520" s="7" t="str">
        <f>IFERROR(__xludf.DUMMYFUNCTION("""COMPUTED_VALUE"""),"DISERAHKAN")</f>
        <v>DISERAHKAN</v>
      </c>
      <c r="F520" s="9">
        <f>IFERROR(__xludf.DUMMYFUNCTION("""COMPUTED_VALUE"""),45593.42731251157)</f>
        <v>45593.42731</v>
      </c>
      <c r="G520" s="7" t="str">
        <f>IFERROR(__xludf.DUMMYFUNCTION("""COMPUTED_VALUE"""),"BN Jual Beli")</f>
        <v>BN Jual Beli</v>
      </c>
      <c r="H520" s="7">
        <f t="shared" si="1"/>
        <v>254</v>
      </c>
    </row>
    <row r="521" ht="22.5" customHeight="1">
      <c r="B521" s="7" t="str">
        <f>IFERROR(__xludf.DUMMYFUNCTION("""COMPUTED_VALUE"""),"K/53/251024/1")</f>
        <v>K/53/251024/1</v>
      </c>
      <c r="C521" s="7" t="str">
        <f>IFERROR(__xludf.DUMMYFUNCTION("""COMPUTED_VALUE"""),"M. 22/ Perwata dan SHT 7366/2013")</f>
        <v>M. 22/ Perwata dan SHT 7366/2013</v>
      </c>
      <c r="D521" s="7" t="str">
        <f>IFERROR(__xludf.DUMMYFUNCTION("""COMPUTED_VALUE"""),"David")</f>
        <v>David</v>
      </c>
      <c r="E521" s="7" t="str">
        <f>IFERROR(__xludf.DUMMYFUNCTION("""COMPUTED_VALUE"""),"PROSES")</f>
        <v>PROSES</v>
      </c>
      <c r="F521" s="9" t="str">
        <f>IFERROR(__xludf.DUMMYFUNCTION("""COMPUTED_VALUE"""),"")</f>
        <v/>
      </c>
      <c r="G521" s="7" t="str">
        <f>IFERROR(__xludf.DUMMYFUNCTION("""COMPUTED_VALUE"""),"Roya")</f>
        <v>Roya</v>
      </c>
      <c r="H521" s="7">
        <f t="shared" si="1"/>
        <v>254</v>
      </c>
    </row>
    <row r="522" ht="22.5" customHeight="1">
      <c r="B522" s="7" t="str">
        <f>IFERROR(__xludf.DUMMYFUNCTION("""COMPUTED_VALUE"""),"K/54/251024/1")</f>
        <v>K/54/251024/1</v>
      </c>
      <c r="C522" s="7" t="str">
        <f>IFERROR(__xludf.DUMMYFUNCTION("""COMPUTED_VALUE"""),"M.1393/SUKAJAWA")</f>
        <v>M.1393/SUKAJAWA</v>
      </c>
      <c r="D522" s="7"/>
      <c r="E522" s="7"/>
      <c r="F522" s="9" t="str">
        <f>IFERROR(__xludf.DUMMYFUNCTION("""COMPUTED_VALUE"""),"")</f>
        <v/>
      </c>
      <c r="G522" s="7" t="str">
        <f>IFERROR(__xludf.DUMMYFUNCTION("""COMPUTED_VALUE"""),"SITA")</f>
        <v>SITA</v>
      </c>
      <c r="H522" s="7">
        <f t="shared" si="1"/>
        <v>254</v>
      </c>
    </row>
    <row r="523" ht="22.5" customHeight="1">
      <c r="B523" s="7" t="str">
        <f>IFERROR(__xludf.DUMMYFUNCTION("""COMPUTED_VALUE"""),"K/55/251024/2")</f>
        <v>K/55/251024/2</v>
      </c>
      <c r="C523" s="7" t="str">
        <f>IFERROR(__xludf.DUMMYFUNCTION("""COMPUTED_VALUE"""),"M.1741/SUKAJAWA")</f>
        <v>M.1741/SUKAJAWA</v>
      </c>
      <c r="D523" s="7"/>
      <c r="E523" s="7"/>
      <c r="F523" s="9" t="str">
        <f>IFERROR(__xludf.DUMMYFUNCTION("""COMPUTED_VALUE"""),"")</f>
        <v/>
      </c>
      <c r="G523" s="7" t="str">
        <f>IFERROR(__xludf.DUMMYFUNCTION("""COMPUTED_VALUE"""),"SITA")</f>
        <v>SITA</v>
      </c>
      <c r="H523" s="7">
        <f t="shared" si="1"/>
        <v>254</v>
      </c>
    </row>
    <row r="524" ht="22.5" customHeight="1">
      <c r="B524" s="7" t="str">
        <f>IFERROR(__xludf.DUMMYFUNCTION("""COMPUTED_VALUE"""),"L/26/251024/1")</f>
        <v>L/26/251024/1</v>
      </c>
      <c r="C524" s="7" t="str">
        <f>IFERROR(__xludf.DUMMYFUNCTION("""COMPUTED_VALUE"""),"M.15567/S I")</f>
        <v>M.15567/S I</v>
      </c>
      <c r="D524" s="7" t="str">
        <f>IFERROR(__xludf.DUMMYFUNCTION("""COMPUTED_VALUE"""),"David")</f>
        <v>David</v>
      </c>
      <c r="E524" s="7" t="str">
        <f>IFERROR(__xludf.DUMMYFUNCTION("""COMPUTED_VALUE"""),"DISERAHKAN")</f>
        <v>DISERAHKAN</v>
      </c>
      <c r="F524" s="9">
        <f>IFERROR(__xludf.DUMMYFUNCTION("""COMPUTED_VALUE"""),45594.40788591435)</f>
        <v>45594.40789</v>
      </c>
      <c r="G524" s="7" t="str">
        <f>IFERROR(__xludf.DUMMYFUNCTION("""COMPUTED_VALUE"""),"ROYA")</f>
        <v>ROYA</v>
      </c>
      <c r="H524" s="7">
        <f t="shared" si="1"/>
        <v>255</v>
      </c>
    </row>
    <row r="525" ht="22.5" customHeight="1">
      <c r="B525" s="7" t="str">
        <f>IFERROR(__xludf.DUMMYFUNCTION("""COMPUTED_VALUE"""),"L/1/261024/1")</f>
        <v>L/1/261024/1</v>
      </c>
      <c r="C525" s="7" t="str">
        <f>IFERROR(__xludf.DUMMYFUNCTION("""COMPUTED_VALUE"""),"HGB 208/PWK")</f>
        <v>HGB 208/PWK</v>
      </c>
      <c r="D525" s="7" t="str">
        <f>IFERROR(__xludf.DUMMYFUNCTION("""COMPUTED_VALUE"""),"David")</f>
        <v>David</v>
      </c>
      <c r="E525" s="7" t="str">
        <f>IFERROR(__xludf.DUMMYFUNCTION("""COMPUTED_VALUE"""),"DISERAHKAN")</f>
        <v>DISERAHKAN</v>
      </c>
      <c r="F525" s="9">
        <f>IFERROR(__xludf.DUMMYFUNCTION("""COMPUTED_VALUE"""),45594.40800358796)</f>
        <v>45594.408</v>
      </c>
      <c r="G525" s="7" t="str">
        <f>IFERROR(__xludf.DUMMYFUNCTION("""COMPUTED_VALUE"""),"ROYA")</f>
        <v>ROYA</v>
      </c>
      <c r="H525" s="7">
        <f t="shared" si="1"/>
        <v>256</v>
      </c>
    </row>
    <row r="526" ht="22.5" customHeight="1">
      <c r="B526" s="7" t="str">
        <f>IFERROR(__xludf.DUMMYFUNCTION("""COMPUTED_VALUE"""),"K/1/281024/1")</f>
        <v>K/1/281024/1</v>
      </c>
      <c r="C526" s="7" t="str">
        <f>IFERROR(__xludf.DUMMYFUNCTION("""COMPUTED_VALUE"""),"B. 770/ SUMUR PUTRI")</f>
        <v>B. 770/ SUMUR PUTRI</v>
      </c>
      <c r="D526" s="7" t="str">
        <f>IFERROR(__xludf.DUMMYFUNCTION("""COMPUTED_VALUE"""),"David")</f>
        <v>David</v>
      </c>
      <c r="E526" s="7" t="str">
        <f>IFERROR(__xludf.DUMMYFUNCTION("""COMPUTED_VALUE"""),"PROSES")</f>
        <v>PROSES</v>
      </c>
      <c r="F526" s="9" t="str">
        <f>IFERROR(__xludf.DUMMYFUNCTION("""COMPUTED_VALUE"""),"")</f>
        <v/>
      </c>
      <c r="G526" s="7" t="str">
        <f>IFERROR(__xludf.DUMMYFUNCTION("""COMPUTED_VALUE"""),"BN JUAL BELI")</f>
        <v>BN JUAL BELI</v>
      </c>
      <c r="H526" s="7">
        <f t="shared" si="1"/>
        <v>256</v>
      </c>
    </row>
    <row r="527" ht="22.5" customHeight="1">
      <c r="B527" s="7" t="str">
        <f>IFERROR(__xludf.DUMMYFUNCTION("""COMPUTED_VALUE"""),"L/2/281024/1")</f>
        <v>L/2/281024/1</v>
      </c>
      <c r="C527" s="7" t="str">
        <f>IFERROR(__xludf.DUMMYFUNCTION("""COMPUTED_VALUE"""),"TANJUNG AGUNG")</f>
        <v>TANJUNG AGUNG</v>
      </c>
      <c r="D527" s="7"/>
      <c r="E527" s="7"/>
      <c r="F527" s="9" t="str">
        <f>IFERROR(__xludf.DUMMYFUNCTION("""COMPUTED_VALUE"""),"")</f>
        <v/>
      </c>
      <c r="G527" s="7" t="str">
        <f>IFERROR(__xludf.DUMMYFUNCTION("""COMPUTED_VALUE"""),"PERTAMA KALI")</f>
        <v>PERTAMA KALI</v>
      </c>
      <c r="H527" s="7">
        <f t="shared" si="1"/>
        <v>256</v>
      </c>
    </row>
    <row r="528" ht="22.5" customHeight="1">
      <c r="B528" s="7" t="str">
        <f>IFERROR(__xludf.DUMMYFUNCTION("""COMPUTED_VALUE"""),"K/3/281024/1")</f>
        <v>K/3/281024/1</v>
      </c>
      <c r="C528" s="7" t="str">
        <f>IFERROR(__xludf.DUMMYFUNCTION("""COMPUTED_VALUE"""),"M. 139/ rajabasa Jaya")</f>
        <v>M. 139/ rajabasa Jaya</v>
      </c>
      <c r="D528" s="7"/>
      <c r="E528" s="7"/>
      <c r="F528" s="9" t="str">
        <f>IFERROR(__xludf.DUMMYFUNCTION("""COMPUTED_VALUE"""),"")</f>
        <v/>
      </c>
      <c r="G528" s="7" t="str">
        <f>IFERROR(__xludf.DUMMYFUNCTION("""COMPUTED_VALUE"""),"SKPT Lelang")</f>
        <v>SKPT Lelang</v>
      </c>
      <c r="H528" s="7">
        <f t="shared" si="1"/>
        <v>256</v>
      </c>
    </row>
    <row r="529" ht="22.5" customHeight="1">
      <c r="B529" s="7" t="str">
        <f>IFERROR(__xludf.DUMMYFUNCTION("""COMPUTED_VALUE"""),"K/4/281024/2")</f>
        <v>K/4/281024/2</v>
      </c>
      <c r="C529" s="7" t="str">
        <f>IFERROR(__xludf.DUMMYFUNCTION("""COMPUTED_VALUE"""),"M. 660/ Tanjung Gading")</f>
        <v>M. 660/ Tanjung Gading</v>
      </c>
      <c r="D529" s="7"/>
      <c r="E529" s="7"/>
      <c r="F529" s="9" t="str">
        <f>IFERROR(__xludf.DUMMYFUNCTION("""COMPUTED_VALUE"""),"")</f>
        <v/>
      </c>
      <c r="G529" s="7" t="str">
        <f>IFERROR(__xludf.DUMMYFUNCTION("""COMPUTED_VALUE"""),"SKPT lelang")</f>
        <v>SKPT lelang</v>
      </c>
      <c r="H529" s="7">
        <f t="shared" si="1"/>
        <v>256</v>
      </c>
    </row>
    <row r="530" ht="22.5" customHeight="1">
      <c r="B530" s="7" t="str">
        <f>IFERROR(__xludf.DUMMYFUNCTION("""COMPUTED_VALUE"""),"K/5/281024/1")</f>
        <v>K/5/281024/1</v>
      </c>
      <c r="C530" s="7" t="str">
        <f>IFERROR(__xludf.DUMMYFUNCTION("""COMPUTED_VALUE"""),"M. 1409/ Panjang Utara")</f>
        <v>M. 1409/ Panjang Utara</v>
      </c>
      <c r="D530" s="7" t="str">
        <f>IFERROR(__xludf.DUMMYFUNCTION("""COMPUTED_VALUE"""),"Sahelia")</f>
        <v>Sahelia</v>
      </c>
      <c r="E530" s="7" t="str">
        <f>IFERROR(__xludf.DUMMYFUNCTION("""COMPUTED_VALUE"""),"DISERAHKAN")</f>
        <v>DISERAHKAN</v>
      </c>
      <c r="F530" s="9">
        <f>IFERROR(__xludf.DUMMYFUNCTION("""COMPUTED_VALUE"""),45608.58370991898)</f>
        <v>45608.58371</v>
      </c>
      <c r="G530" s="7" t="str">
        <f>IFERROR(__xludf.DUMMYFUNCTION("""COMPUTED_VALUE"""),"Ganti Nama")</f>
        <v>Ganti Nama</v>
      </c>
      <c r="H530" s="7">
        <f t="shared" si="1"/>
        <v>257</v>
      </c>
    </row>
    <row r="531" ht="22.5" customHeight="1">
      <c r="B531" s="7" t="str">
        <f>IFERROR(__xludf.DUMMYFUNCTION("""COMPUTED_VALUE"""),"L/6/281024/1")</f>
        <v>L/6/281024/1</v>
      </c>
      <c r="C531" s="7" t="str">
        <f>IFERROR(__xludf.DUMMYFUNCTION("""COMPUTED_VALUE"""),"HM 8198/SUKABUMI")</f>
        <v>HM 8198/SUKABUMI</v>
      </c>
      <c r="D531" s="7" t="str">
        <f>IFERROR(__xludf.DUMMYFUNCTION("""COMPUTED_VALUE"""),"David")</f>
        <v>David</v>
      </c>
      <c r="E531" s="7" t="str">
        <f>IFERROR(__xludf.DUMMYFUNCTION("""COMPUTED_VALUE"""),"DISERAHKAN BT")</f>
        <v>DISERAHKAN BT</v>
      </c>
      <c r="F531" s="9">
        <f>IFERROR(__xludf.DUMMYFUNCTION("""COMPUTED_VALUE"""),45594.40950591435)</f>
        <v>45594.40951</v>
      </c>
      <c r="G531" s="7" t="str">
        <f>IFERROR(__xludf.DUMMYFUNCTION("""COMPUTED_VALUE"""),"BN LELANG")</f>
        <v>BN LELANG</v>
      </c>
      <c r="H531" s="7">
        <f t="shared" si="1"/>
        <v>257</v>
      </c>
    </row>
    <row r="532" ht="22.5" customHeight="1">
      <c r="B532" s="7" t="str">
        <f>IFERROR(__xludf.DUMMYFUNCTION("""COMPUTED_VALUE"""),"K/7/281024/1")</f>
        <v>K/7/281024/1</v>
      </c>
      <c r="C532" s="7" t="str">
        <f>IFERROR(__xludf.DUMMYFUNCTION("""COMPUTED_VALUE"""),"Nibel. M. 1226/ Gulak Galik")</f>
        <v>Nibel. M. 1226/ Gulak Galik</v>
      </c>
      <c r="D532" s="7"/>
      <c r="E532" s="7"/>
      <c r="F532" s="9" t="str">
        <f>IFERROR(__xludf.DUMMYFUNCTION("""COMPUTED_VALUE"""),"")</f>
        <v/>
      </c>
      <c r="G532" s="7" t="str">
        <f>IFERROR(__xludf.DUMMYFUNCTION("""COMPUTED_VALUE"""),"BN Hibah")</f>
        <v>BN Hibah</v>
      </c>
      <c r="H532" s="7">
        <f t="shared" si="1"/>
        <v>257</v>
      </c>
    </row>
    <row r="533" ht="22.5" customHeight="1">
      <c r="B533" s="7" t="str">
        <f>IFERROR(__xludf.DUMMYFUNCTION("""COMPUTED_VALUE"""),"K/9/281024/1")</f>
        <v>K/9/281024/1</v>
      </c>
      <c r="C533" s="7" t="str">
        <f>IFERROR(__xludf.DUMMYFUNCTION("""COMPUTED_VALUE"""),"M.1591/RAJABASA NUNYAI-SEKARANG;B.347/RAJABASA NUNYAI-DAHULU")</f>
        <v>M.1591/RAJABASA NUNYAI-SEKARANG;B.347/RAJABASA NUNYAI-DAHULU</v>
      </c>
      <c r="D533" s="7" t="str">
        <f>IFERROR(__xludf.DUMMYFUNCTION("""COMPUTED_VALUE"""),"David")</f>
        <v>David</v>
      </c>
      <c r="E533" s="7" t="str">
        <f>IFERROR(__xludf.DUMMYFUNCTION("""COMPUTED_VALUE"""),"DISERAHKAN BT")</f>
        <v>DISERAHKAN BT</v>
      </c>
      <c r="F533" s="9">
        <f>IFERROR(__xludf.DUMMYFUNCTION("""COMPUTED_VALUE"""),45594.41016377315)</f>
        <v>45594.41016</v>
      </c>
      <c r="G533" s="7" t="str">
        <f>IFERROR(__xludf.DUMMYFUNCTION("""COMPUTED_VALUE"""),"BN JUAL BELI")</f>
        <v>BN JUAL BELI</v>
      </c>
      <c r="H533" s="7">
        <f t="shared" si="1"/>
        <v>257</v>
      </c>
    </row>
    <row r="534" ht="22.5" customHeight="1">
      <c r="B534" s="7" t="str">
        <f>IFERROR(__xludf.DUMMYFUNCTION("""COMPUTED_VALUE"""),"K/8/281024/1")</f>
        <v>K/8/281024/1</v>
      </c>
      <c r="C534" s="7" t="str">
        <f>IFERROR(__xludf.DUMMYFUNCTION("""COMPUTED_VALUE"""),"M. 3464/ Gunung Terang")</f>
        <v>M. 3464/ Gunung Terang</v>
      </c>
      <c r="D534" s="7"/>
      <c r="E534" s="7"/>
      <c r="F534" s="9" t="str">
        <f>IFERROR(__xludf.DUMMYFUNCTION("""COMPUTED_VALUE"""),"")</f>
        <v/>
      </c>
      <c r="G534" s="7" t="str">
        <f>IFERROR(__xludf.DUMMYFUNCTION("""COMPUTED_VALUE"""),"PTPGT Pemecahan")</f>
        <v>PTPGT Pemecahan</v>
      </c>
      <c r="H534" s="7">
        <f t="shared" si="1"/>
        <v>257</v>
      </c>
    </row>
    <row r="535" ht="22.5" customHeight="1">
      <c r="B535" s="7" t="str">
        <f>IFERROR(__xludf.DUMMYFUNCTION("""COMPUTED_VALUE"""),"L/10/281024/1")</f>
        <v>L/10/281024/1</v>
      </c>
      <c r="C535" s="7" t="str">
        <f>IFERROR(__xludf.DUMMYFUNCTION("""COMPUTED_VALUE"""),"M.1465/KEDAMAIAN")</f>
        <v>M.1465/KEDAMAIAN</v>
      </c>
      <c r="D535" s="7"/>
      <c r="E535" s="7"/>
      <c r="F535" s="9" t="str">
        <f>IFERROR(__xludf.DUMMYFUNCTION("""COMPUTED_VALUE"""),"")</f>
        <v/>
      </c>
      <c r="G535" s="7" t="str">
        <f>IFERROR(__xludf.DUMMYFUNCTION("""COMPUTED_VALUE"""),"CEKPLOT HILANG")</f>
        <v>CEKPLOT HILANG</v>
      </c>
      <c r="H535" s="7">
        <f t="shared" si="1"/>
        <v>257</v>
      </c>
    </row>
    <row r="536" ht="22.5" customHeight="1">
      <c r="B536" s="7" t="str">
        <f>IFERROR(__xludf.DUMMYFUNCTION("""COMPUTED_VALUE"""),"L/11/281024/2")</f>
        <v>L/11/281024/2</v>
      </c>
      <c r="C536" s="7" t="str">
        <f>IFERROR(__xludf.DUMMYFUNCTION("""COMPUTED_VALUE"""),"M.11474/KEDAMAIAN-SERTIPIKAT TETANGGA")</f>
        <v>M.11474/KEDAMAIAN-SERTIPIKAT TETANGGA</v>
      </c>
      <c r="D536" s="7"/>
      <c r="E536" s="7"/>
      <c r="F536" s="9" t="str">
        <f>IFERROR(__xludf.DUMMYFUNCTION("""COMPUTED_VALUE"""),"")</f>
        <v/>
      </c>
      <c r="G536" s="7" t="str">
        <f>IFERROR(__xludf.DUMMYFUNCTION("""COMPUTED_VALUE"""),"CEKPLOT HILANG")</f>
        <v>CEKPLOT HILANG</v>
      </c>
      <c r="H536" s="7">
        <f t="shared" si="1"/>
        <v>257</v>
      </c>
    </row>
    <row r="537" ht="22.5" customHeight="1">
      <c r="B537" s="7" t="str">
        <f>IFERROR(__xludf.DUMMYFUNCTION("""COMPUTED_VALUE"""),"K/12/281024/1")</f>
        <v>K/12/281024/1</v>
      </c>
      <c r="C537" s="7" t="str">
        <f>IFERROR(__xludf.DUMMYFUNCTION("""COMPUTED_VALUE"""),"M.2877/SUKARAME II")</f>
        <v>M.2877/SUKARAME II</v>
      </c>
      <c r="D537" s="7" t="str">
        <f>IFERROR(__xludf.DUMMYFUNCTION("""COMPUTED_VALUE"""),"David")</f>
        <v>David</v>
      </c>
      <c r="E537" s="7" t="str">
        <f>IFERROR(__xludf.DUMMYFUNCTION("""COMPUTED_VALUE"""),"DISERAHKAN")</f>
        <v>DISERAHKAN</v>
      </c>
      <c r="F537" s="9">
        <f>IFERROR(__xludf.DUMMYFUNCTION("""COMPUTED_VALUE"""),45594.4106431713)</f>
        <v>45594.41064</v>
      </c>
      <c r="G537" s="7" t="str">
        <f>IFERROR(__xludf.DUMMYFUNCTION("""COMPUTED_VALUE"""),"BN JUAL BELI")</f>
        <v>BN JUAL BELI</v>
      </c>
      <c r="H537" s="7">
        <f t="shared" si="1"/>
        <v>258</v>
      </c>
    </row>
    <row r="538" ht="22.5" customHeight="1">
      <c r="B538" s="7" t="str">
        <f>IFERROR(__xludf.DUMMYFUNCTION("""COMPUTED_VALUE"""),"K/13/281024/1")</f>
        <v>K/13/281024/1</v>
      </c>
      <c r="C538" s="7" t="str">
        <f>IFERROR(__xludf.DUMMYFUNCTION("""COMPUTED_VALUE"""),"M. 1317/ Kupang Teba")</f>
        <v>M. 1317/ Kupang Teba</v>
      </c>
      <c r="D538" s="7" t="str">
        <f>IFERROR(__xludf.DUMMYFUNCTION("""COMPUTED_VALUE"""),"David")</f>
        <v>David</v>
      </c>
      <c r="E538" s="7" t="str">
        <f>IFERROR(__xludf.DUMMYFUNCTION("""COMPUTED_VALUE"""),"DISERAHKAN")</f>
        <v>DISERAHKAN</v>
      </c>
      <c r="F538" s="9">
        <f>IFERROR(__xludf.DUMMYFUNCTION("""COMPUTED_VALUE"""),45594.41129739583)</f>
        <v>45594.4113</v>
      </c>
      <c r="G538" s="7" t="str">
        <f>IFERROR(__xludf.DUMMYFUNCTION("""COMPUTED_VALUE"""),"Roya")</f>
        <v>Roya</v>
      </c>
      <c r="H538" s="7">
        <f t="shared" si="1"/>
        <v>259</v>
      </c>
    </row>
    <row r="539" ht="22.5" customHeight="1">
      <c r="B539" s="7" t="str">
        <f>IFERROR(__xludf.DUMMYFUNCTION("""COMPUTED_VALUE"""),"K/14/281024/2")</f>
        <v>K/14/281024/2</v>
      </c>
      <c r="C539" s="7" t="str">
        <f>IFERROR(__xludf.DUMMYFUNCTION("""COMPUTED_VALUE"""),"M. 45/ Kupang Teba")</f>
        <v>M. 45/ Kupang Teba</v>
      </c>
      <c r="D539" s="7" t="str">
        <f>IFERROR(__xludf.DUMMYFUNCTION("""COMPUTED_VALUE"""),"David")</f>
        <v>David</v>
      </c>
      <c r="E539" s="7" t="str">
        <f>IFERROR(__xludf.DUMMYFUNCTION("""COMPUTED_VALUE"""),"DISERAHKAN BT")</f>
        <v>DISERAHKAN BT</v>
      </c>
      <c r="F539" s="9">
        <f>IFERROR(__xludf.DUMMYFUNCTION("""COMPUTED_VALUE"""),45594.411353055555)</f>
        <v>45594.41135</v>
      </c>
      <c r="G539" s="7" t="str">
        <f>IFERROR(__xludf.DUMMYFUNCTION("""COMPUTED_VALUE"""),"Roya")</f>
        <v>Roya</v>
      </c>
      <c r="H539" s="7">
        <f t="shared" si="1"/>
        <v>259</v>
      </c>
    </row>
    <row r="540" ht="22.5" customHeight="1">
      <c r="B540" s="7" t="str">
        <f>IFERROR(__xludf.DUMMYFUNCTION("""COMPUTED_VALUE"""),"K/13/281024/2")</f>
        <v>K/13/281024/2</v>
      </c>
      <c r="C540" s="7" t="str">
        <f>IFERROR(__xludf.DUMMYFUNCTION("""COMPUTED_VALUE"""),"Nibel 2342/ Sumur Putri")</f>
        <v>Nibel 2342/ Sumur Putri</v>
      </c>
      <c r="D540" s="7"/>
      <c r="E540" s="7"/>
      <c r="F540" s="9" t="str">
        <f>IFERROR(__xludf.DUMMYFUNCTION("""COMPUTED_VALUE"""),"")</f>
        <v/>
      </c>
      <c r="G540" s="7" t="str">
        <f>IFERROR(__xludf.DUMMYFUNCTION("""COMPUTED_VALUE"""),"Perubahan Hak")</f>
        <v>Perubahan Hak</v>
      </c>
      <c r="H540" s="7">
        <f t="shared" si="1"/>
        <v>259</v>
      </c>
    </row>
    <row r="541" ht="22.5" customHeight="1">
      <c r="B541" s="7" t="str">
        <f>IFERROR(__xludf.DUMMYFUNCTION("""COMPUTED_VALUE"""),"L/16/281024/1")</f>
        <v>L/16/281024/1</v>
      </c>
      <c r="C541" s="7" t="str">
        <f>IFERROR(__xludf.DUMMYFUNCTION("""COMPUTED_VALUE"""),"M.739/NOG")</f>
        <v>M.739/NOG</v>
      </c>
      <c r="D541" s="7" t="str">
        <f>IFERROR(__xludf.DUMMYFUNCTION("""COMPUTED_VALUE"""),"David")</f>
        <v>David</v>
      </c>
      <c r="E541" s="7" t="str">
        <f>IFERROR(__xludf.DUMMYFUNCTION("""COMPUTED_VALUE"""),"DISERAHKAN")</f>
        <v>DISERAHKAN</v>
      </c>
      <c r="F541" s="9">
        <f>IFERROR(__xludf.DUMMYFUNCTION("""COMPUTED_VALUE"""),45594.41162210648)</f>
        <v>45594.41162</v>
      </c>
      <c r="G541" s="7" t="str">
        <f>IFERROR(__xludf.DUMMYFUNCTION("""COMPUTED_VALUE"""),"ROYA")</f>
        <v>ROYA</v>
      </c>
      <c r="H541" s="7">
        <f t="shared" si="1"/>
        <v>260</v>
      </c>
    </row>
    <row r="542" ht="22.5" customHeight="1">
      <c r="B542" s="7" t="str">
        <f>IFERROR(__xludf.DUMMYFUNCTION("""COMPUTED_VALUE"""),"K/17/281024/1")</f>
        <v>K/17/281024/1</v>
      </c>
      <c r="C542" s="7" t="str">
        <f>IFERROR(__xludf.DUMMYFUNCTION("""COMPUTED_VALUE"""),"M. 1597/ Gedong Air")</f>
        <v>M. 1597/ Gedong Air</v>
      </c>
      <c r="D542" s="7"/>
      <c r="E542" s="7"/>
      <c r="F542" s="9" t="str">
        <f>IFERROR(__xludf.DUMMYFUNCTION("""COMPUTED_VALUE"""),"")</f>
        <v/>
      </c>
      <c r="G542" s="7" t="str">
        <f>IFERROR(__xludf.DUMMYFUNCTION("""COMPUTED_VALUE"""),"S. Hilang")</f>
        <v>S. Hilang</v>
      </c>
      <c r="H542" s="7">
        <f t="shared" si="1"/>
        <v>260</v>
      </c>
    </row>
    <row r="543" ht="22.5" customHeight="1">
      <c r="B543" s="7" t="str">
        <f>IFERROR(__xludf.DUMMYFUNCTION("""COMPUTED_VALUE"""),"K/15/281024/1")</f>
        <v>K/15/281024/1</v>
      </c>
      <c r="C543" s="7" t="str">
        <f>IFERROR(__xludf.DUMMYFUNCTION("""COMPUTED_VALUE"""),"M. 9417/ Sidodadi")</f>
        <v>M. 9417/ Sidodadi</v>
      </c>
      <c r="D543" s="7" t="str">
        <f>IFERROR(__xludf.DUMMYFUNCTION("""COMPUTED_VALUE"""),"David")</f>
        <v>David</v>
      </c>
      <c r="E543" s="7" t="str">
        <f>IFERROR(__xludf.DUMMYFUNCTION("""COMPUTED_VALUE"""),"DISERAHKAN")</f>
        <v>DISERAHKAN</v>
      </c>
      <c r="F543" s="9">
        <f>IFERROR(__xludf.DUMMYFUNCTION("""COMPUTED_VALUE"""),45594.411951331014)</f>
        <v>45594.41195</v>
      </c>
      <c r="G543" s="7" t="str">
        <f>IFERROR(__xludf.DUMMYFUNCTION("""COMPUTED_VALUE"""),"BN WARIS")</f>
        <v>BN WARIS</v>
      </c>
      <c r="H543" s="7">
        <f t="shared" si="1"/>
        <v>261</v>
      </c>
    </row>
    <row r="544" ht="22.5" customHeight="1">
      <c r="B544" s="7" t="str">
        <f>IFERROR(__xludf.DUMMYFUNCTION("""COMPUTED_VALUE"""),"K/19/281024/1")</f>
        <v>K/19/281024/1</v>
      </c>
      <c r="C544" s="7" t="str">
        <f>IFERROR(__xludf.DUMMYFUNCTION("""COMPUTED_VALUE"""),"M.231/CAMPANG JAYA-SEKARANG;M.231/NUSANTARA PERMAI-DAHULU")</f>
        <v>M.231/CAMPANG JAYA-SEKARANG;M.231/NUSANTARA PERMAI-DAHULU</v>
      </c>
      <c r="D544" s="7" t="str">
        <f>IFERROR(__xludf.DUMMYFUNCTION("""COMPUTED_VALUE"""),"David")</f>
        <v>David</v>
      </c>
      <c r="E544" s="7" t="str">
        <f>IFERROR(__xludf.DUMMYFUNCTION("""COMPUTED_VALUE"""),"DISERAHKAN")</f>
        <v>DISERAHKAN</v>
      </c>
      <c r="F544" s="9">
        <f>IFERROR(__xludf.DUMMYFUNCTION("""COMPUTED_VALUE"""),45594.41214350694)</f>
        <v>45594.41214</v>
      </c>
      <c r="G544" s="7" t="str">
        <f>IFERROR(__xludf.DUMMYFUNCTION("""COMPUTED_VALUE"""),"BN JUAL BELI")</f>
        <v>BN JUAL BELI</v>
      </c>
      <c r="H544" s="7">
        <f t="shared" si="1"/>
        <v>262</v>
      </c>
    </row>
    <row r="545" ht="22.5" customHeight="1">
      <c r="B545" s="7" t="str">
        <f>IFERROR(__xludf.DUMMYFUNCTION("""COMPUTED_VALUE"""),"K/20/281024/2")</f>
        <v>K/20/281024/2</v>
      </c>
      <c r="C545" s="7" t="str">
        <f>IFERROR(__xludf.DUMMYFUNCTION("""COMPUTED_VALUE"""),"M.2072/CAMPANG JAYA-SEKARANG;M 247/NUSANTARA PERMAI-DAHULU")</f>
        <v>M.2072/CAMPANG JAYA-SEKARANG;M 247/NUSANTARA PERMAI-DAHULU</v>
      </c>
      <c r="D545" s="7" t="str">
        <f>IFERROR(__xludf.DUMMYFUNCTION("""COMPUTED_VALUE"""),"David")</f>
        <v>David</v>
      </c>
      <c r="E545" s="7" t="str">
        <f>IFERROR(__xludf.DUMMYFUNCTION("""COMPUTED_VALUE"""),"PROSES")</f>
        <v>PROSES</v>
      </c>
      <c r="F545" s="9" t="str">
        <f>IFERROR(__xludf.DUMMYFUNCTION("""COMPUTED_VALUE"""),"")</f>
        <v/>
      </c>
      <c r="G545" s="7" t="str">
        <f>IFERROR(__xludf.DUMMYFUNCTION("""COMPUTED_VALUE"""),"BN JUAL BELI")</f>
        <v>BN JUAL BELI</v>
      </c>
      <c r="H545" s="7">
        <f t="shared" si="1"/>
        <v>262</v>
      </c>
    </row>
    <row r="546" ht="22.5" customHeight="1">
      <c r="B546" s="7" t="str">
        <f>IFERROR(__xludf.DUMMYFUNCTION("""COMPUTED_VALUE"""),"K/18/281024/1")</f>
        <v>K/18/281024/1</v>
      </c>
      <c r="C546" s="7" t="str">
        <f>IFERROR(__xludf.DUMMYFUNCTION("""COMPUTED_VALUE"""),"M. 811/ Way Dadi")</f>
        <v>M. 811/ Way Dadi</v>
      </c>
      <c r="D546" s="7" t="str">
        <f>IFERROR(__xludf.DUMMYFUNCTION("""COMPUTED_VALUE"""),"Berry")</f>
        <v>Berry</v>
      </c>
      <c r="E546" s="7" t="str">
        <f>IFERROR(__xludf.DUMMYFUNCTION("""COMPUTED_VALUE"""),"DISERAHKAN")</f>
        <v>DISERAHKAN</v>
      </c>
      <c r="F546" s="9">
        <f>IFERROR(__xludf.DUMMYFUNCTION("""COMPUTED_VALUE"""),45594.42627646991)</f>
        <v>45594.42628</v>
      </c>
      <c r="G546" s="7" t="str">
        <f>IFERROR(__xludf.DUMMYFUNCTION("""COMPUTED_VALUE"""),"BN Jual Beli")</f>
        <v>BN Jual Beli</v>
      </c>
      <c r="H546" s="7">
        <f t="shared" si="1"/>
        <v>263</v>
      </c>
    </row>
    <row r="547" ht="22.5" customHeight="1">
      <c r="B547" s="7" t="str">
        <f>IFERROR(__xludf.DUMMYFUNCTION("""COMPUTED_VALUE"""),"L/22/281024/1")</f>
        <v>L/22/281024/1</v>
      </c>
      <c r="C547" s="7" t="str">
        <f>IFERROR(__xludf.DUMMYFUNCTION("""COMPUTED_VALUE"""),"HGB 3734/BERINGIN RAYA")</f>
        <v>HGB 3734/BERINGIN RAYA</v>
      </c>
      <c r="D547" s="7" t="str">
        <f>IFERROR(__xludf.DUMMYFUNCTION("""COMPUTED_VALUE"""),"Berry")</f>
        <v>Berry</v>
      </c>
      <c r="E547" s="7" t="str">
        <f>IFERROR(__xludf.DUMMYFUNCTION("""COMPUTED_VALUE"""),"DISERAHKAN")</f>
        <v>DISERAHKAN</v>
      </c>
      <c r="F547" s="9">
        <f>IFERROR(__xludf.DUMMYFUNCTION("""COMPUTED_VALUE"""),45594.413463171295)</f>
        <v>45594.41346</v>
      </c>
      <c r="G547" s="7" t="str">
        <f>IFERROR(__xludf.DUMMYFUNCTION("""COMPUTED_VALUE"""),"PH")</f>
        <v>PH</v>
      </c>
      <c r="H547" s="7">
        <f t="shared" si="1"/>
        <v>264</v>
      </c>
    </row>
    <row r="548" ht="22.5" customHeight="1">
      <c r="B548" s="7" t="str">
        <f>IFERROR(__xludf.DUMMYFUNCTION("""COMPUTED_VALUE"""),"K/21/281024/1")</f>
        <v>K/21/281024/1</v>
      </c>
      <c r="C548" s="7" t="str">
        <f>IFERROR(__xludf.DUMMYFUNCTION("""COMPUTED_VALUE"""),"M.466/WAY TATAAN")</f>
        <v>M.466/WAY TATAAN</v>
      </c>
      <c r="D548" s="7" t="str">
        <f>IFERROR(__xludf.DUMMYFUNCTION("""COMPUTED_VALUE"""),"Berry")</f>
        <v>Berry</v>
      </c>
      <c r="E548" s="7" t="str">
        <f>IFERROR(__xludf.DUMMYFUNCTION("""COMPUTED_VALUE"""),"DISERAHKAN")</f>
        <v>DISERAHKAN</v>
      </c>
      <c r="F548" s="9">
        <f>IFERROR(__xludf.DUMMYFUNCTION("""COMPUTED_VALUE"""),45594.414565416664)</f>
        <v>45594.41457</v>
      </c>
      <c r="G548" s="7" t="str">
        <f>IFERROR(__xludf.DUMMYFUNCTION("""COMPUTED_VALUE"""),"BN JUAL BELI")</f>
        <v>BN JUAL BELI</v>
      </c>
      <c r="H548" s="7">
        <f t="shared" si="1"/>
        <v>265</v>
      </c>
    </row>
    <row r="549" ht="22.5" customHeight="1">
      <c r="B549" s="7" t="str">
        <f>IFERROR(__xludf.DUMMYFUNCTION("""COMPUTED_VALUE"""),"K/23/281024/1")</f>
        <v>K/23/281024/1</v>
      </c>
      <c r="C549" s="7" t="str">
        <f>IFERROR(__xludf.DUMMYFUNCTION("""COMPUTED_VALUE"""),"Nibel. M. 1929/ Beringin Raya")</f>
        <v>Nibel. M. 1929/ Beringin Raya</v>
      </c>
      <c r="D549" s="7"/>
      <c r="E549" s="7"/>
      <c r="F549" s="9" t="str">
        <f>IFERROR(__xludf.DUMMYFUNCTION("""COMPUTED_VALUE"""),"")</f>
        <v/>
      </c>
      <c r="G549" s="7" t="str">
        <f>IFERROR(__xludf.DUMMYFUNCTION("""COMPUTED_VALUE"""),"BN Jual Beli")</f>
        <v>BN Jual Beli</v>
      </c>
      <c r="H549" s="7">
        <f t="shared" si="1"/>
        <v>265</v>
      </c>
    </row>
    <row r="550" ht="22.5" customHeight="1">
      <c r="B550" s="7" t="str">
        <f>IFERROR(__xludf.DUMMYFUNCTION("""COMPUTED_VALUE"""),"K/24/281024/1")</f>
        <v>K/24/281024/1</v>
      </c>
      <c r="C550" s="7" t="str">
        <f>IFERROR(__xludf.DUMMYFUNCTION("""COMPUTED_VALUE"""),"M. 709/ Pahoman")</f>
        <v>M. 709/ Pahoman</v>
      </c>
      <c r="D550" s="7"/>
      <c r="E550" s="7"/>
      <c r="F550" s="9" t="str">
        <f>IFERROR(__xludf.DUMMYFUNCTION("""COMPUTED_VALUE"""),"")</f>
        <v/>
      </c>
      <c r="G550" s="7" t="str">
        <f>IFERROR(__xludf.DUMMYFUNCTION("""COMPUTED_VALUE"""),"Ganti Kelurahan")</f>
        <v>Ganti Kelurahan</v>
      </c>
      <c r="H550" s="7">
        <f t="shared" si="1"/>
        <v>265</v>
      </c>
    </row>
    <row r="551" ht="22.5" customHeight="1">
      <c r="B551" s="7" t="str">
        <f>IFERROR(__xludf.DUMMYFUNCTION("""COMPUTED_VALUE"""),"K/25/281024/2")</f>
        <v>K/25/281024/2</v>
      </c>
      <c r="C551" s="7" t="str">
        <f>IFERROR(__xludf.DUMMYFUNCTION("""COMPUTED_VALUE"""),"M. 466/ Gunung Mas")</f>
        <v>M. 466/ Gunung Mas</v>
      </c>
      <c r="D551" s="7"/>
      <c r="E551" s="7"/>
      <c r="F551" s="9" t="str">
        <f>IFERROR(__xludf.DUMMYFUNCTION("""COMPUTED_VALUE"""),"")</f>
        <v/>
      </c>
      <c r="G551" s="7" t="str">
        <f>IFERROR(__xludf.DUMMYFUNCTION("""COMPUTED_VALUE"""),"Ganti Kecamatan")</f>
        <v>Ganti Kecamatan</v>
      </c>
      <c r="H551" s="7">
        <f t="shared" si="1"/>
        <v>265</v>
      </c>
    </row>
    <row r="552" ht="22.5" customHeight="1">
      <c r="B552" s="7" t="str">
        <f>IFERROR(__xludf.DUMMYFUNCTION("""COMPUTED_VALUE"""),"K/27/281024/1")</f>
        <v>K/27/281024/1</v>
      </c>
      <c r="C552" s="7" t="str">
        <f>IFERROR(__xludf.DUMMYFUNCTION("""COMPUTED_VALUE"""),"B. 835/ Perumnas Way Kandis; B. 309/ Way Kandis")</f>
        <v>B. 835/ Perumnas Way Kandis; B. 309/ Way Kandis</v>
      </c>
      <c r="D552" s="7" t="str">
        <f>IFERROR(__xludf.DUMMYFUNCTION("""COMPUTED_VALUE"""),"Berry")</f>
        <v>Berry</v>
      </c>
      <c r="E552" s="7" t="str">
        <f>IFERROR(__xludf.DUMMYFUNCTION("""COMPUTED_VALUE"""),"DISERAHKAN")</f>
        <v>DISERAHKAN</v>
      </c>
      <c r="F552" s="9">
        <f>IFERROR(__xludf.DUMMYFUNCTION("""COMPUTED_VALUE"""),45594.414012395835)</f>
        <v>45594.41401</v>
      </c>
      <c r="G552" s="7" t="str">
        <f>IFERROR(__xludf.DUMMYFUNCTION("""COMPUTED_VALUE"""),"Perubahan Hak")</f>
        <v>Perubahan Hak</v>
      </c>
      <c r="H552" s="7">
        <f t="shared" si="1"/>
        <v>266</v>
      </c>
    </row>
    <row r="553" ht="22.5" customHeight="1">
      <c r="B553" s="7" t="str">
        <f>IFERROR(__xludf.DUMMYFUNCTION("""COMPUTED_VALUE"""),"K/30/281024/1")</f>
        <v>K/30/281024/1</v>
      </c>
      <c r="C553" s="7" t="str">
        <f>IFERROR(__xludf.DUMMYFUNCTION("""COMPUTED_VALUE"""),"M.3414/SUMBEREJO/KEMILING")</f>
        <v>M.3414/SUMBEREJO/KEMILING</v>
      </c>
      <c r="D553" s="7"/>
      <c r="E553" s="7"/>
      <c r="F553" s="9" t="str">
        <f>IFERROR(__xludf.DUMMYFUNCTION("""COMPUTED_VALUE"""),"")</f>
        <v/>
      </c>
      <c r="G553" s="7" t="str">
        <f>IFERROR(__xludf.DUMMYFUNCTION("""COMPUTED_VALUE"""),"GANDES")</f>
        <v>GANDES</v>
      </c>
      <c r="H553" s="7">
        <f t="shared" si="1"/>
        <v>266</v>
      </c>
    </row>
    <row r="554" ht="22.5" customHeight="1">
      <c r="B554" s="7" t="str">
        <f>IFERROR(__xludf.DUMMYFUNCTION("""COMPUTED_VALUE"""),"L/31/281024/1")</f>
        <v>L/31/281024/1</v>
      </c>
      <c r="C554" s="7" t="str">
        <f>IFERROR(__xludf.DUMMYFUNCTION("""COMPUTED_VALUE"""),"M.2112 SUMBEREJO/KEMILING")</f>
        <v>M.2112 SUMBEREJO/KEMILING</v>
      </c>
      <c r="D554" s="7" t="str">
        <f>IFERROR(__xludf.DUMMYFUNCTION("""COMPUTED_VALUE"""),"Berry")</f>
        <v>Berry</v>
      </c>
      <c r="E554" s="7" t="str">
        <f>IFERROR(__xludf.DUMMYFUNCTION("""COMPUTED_VALUE"""),"DISERAHKAN")</f>
        <v>DISERAHKAN</v>
      </c>
      <c r="F554" s="9">
        <f>IFERROR(__xludf.DUMMYFUNCTION("""COMPUTED_VALUE"""),45594.41439452546)</f>
        <v>45594.41439</v>
      </c>
      <c r="G554" s="7" t="str">
        <f>IFERROR(__xludf.DUMMYFUNCTION("""COMPUTED_VALUE"""),"ROYA")</f>
        <v>ROYA</v>
      </c>
      <c r="H554" s="7">
        <f t="shared" si="1"/>
        <v>267</v>
      </c>
    </row>
    <row r="555" ht="22.5" customHeight="1">
      <c r="B555" s="7" t="str">
        <f>IFERROR(__xludf.DUMMYFUNCTION("""COMPUTED_VALUE"""),"K/28/281024/1")</f>
        <v>K/28/281024/1</v>
      </c>
      <c r="C555" s="7" t="str">
        <f>IFERROR(__xludf.DUMMYFUNCTION("""COMPUTED_VALUE"""),"M. 2095/ Campang Jaya")</f>
        <v>M. 2095/ Campang Jaya</v>
      </c>
      <c r="D555" s="7" t="str">
        <f>IFERROR(__xludf.DUMMYFUNCTION("""COMPUTED_VALUE"""),"Berry")</f>
        <v>Berry</v>
      </c>
      <c r="E555" s="7" t="str">
        <f>IFERROR(__xludf.DUMMYFUNCTION("""COMPUTED_VALUE"""),"DISERAHKAN")</f>
        <v>DISERAHKAN</v>
      </c>
      <c r="F555" s="9">
        <f>IFERROR(__xludf.DUMMYFUNCTION("""COMPUTED_VALUE"""),45608.66063333333)</f>
        <v>45608.66063</v>
      </c>
      <c r="G555" s="7" t="str">
        <f>IFERROR(__xludf.DUMMYFUNCTION("""COMPUTED_VALUE"""),"BN JUAL BELI")</f>
        <v>BN JUAL BELI</v>
      </c>
      <c r="H555" s="7">
        <f t="shared" si="1"/>
        <v>268</v>
      </c>
    </row>
    <row r="556" ht="22.5" customHeight="1">
      <c r="B556" s="7" t="str">
        <f>IFERROR(__xludf.DUMMYFUNCTION("""COMPUTED_VALUE"""),"L/32/281024/1")</f>
        <v>L/32/281024/1</v>
      </c>
      <c r="C556" s="7" t="str">
        <f>IFERROR(__xludf.DUMMYFUNCTION("""COMPUTED_VALUE"""),"B.244/LRR;B.28/LR-DAHULU")</f>
        <v>B.244/LRR;B.28/LR-DAHULU</v>
      </c>
      <c r="D556" s="7" t="str">
        <f>IFERROR(__xludf.DUMMYFUNCTION("""COMPUTED_VALUE"""),"Berry")</f>
        <v>Berry</v>
      </c>
      <c r="E556" s="7" t="str">
        <f>IFERROR(__xludf.DUMMYFUNCTION("""COMPUTED_VALUE"""),"DISERAHKAN BT")</f>
        <v>DISERAHKAN BT</v>
      </c>
      <c r="F556" s="9">
        <f>IFERROR(__xludf.DUMMYFUNCTION("""COMPUTED_VALUE"""),45594.415148078704)</f>
        <v>45594.41515</v>
      </c>
      <c r="G556" s="7" t="str">
        <f>IFERROR(__xludf.DUMMYFUNCTION("""COMPUTED_VALUE"""),"PERUBAHAN HAK")</f>
        <v>PERUBAHAN HAK</v>
      </c>
      <c r="H556" s="7">
        <f t="shared" si="1"/>
        <v>268</v>
      </c>
    </row>
    <row r="557" ht="22.5" customHeight="1">
      <c r="B557" s="7" t="str">
        <f>IFERROR(__xludf.DUMMYFUNCTION("""COMPUTED_VALUE"""),"L/33/281024/2")</f>
        <v>L/33/281024/2</v>
      </c>
      <c r="C557" s="7" t="str">
        <f>IFERROR(__xludf.DUMMYFUNCTION("""COMPUTED_VALUE"""),"B.161/LRR;B.161/LR-DAHULU")</f>
        <v>B.161/LRR;B.161/LR-DAHULU</v>
      </c>
      <c r="D557" s="7" t="str">
        <f>IFERROR(__xludf.DUMMYFUNCTION("""COMPUTED_VALUE"""),"Berry")</f>
        <v>Berry</v>
      </c>
      <c r="E557" s="7" t="str">
        <f>IFERROR(__xludf.DUMMYFUNCTION("""COMPUTED_VALUE"""),"DISERAHKAN")</f>
        <v>DISERAHKAN</v>
      </c>
      <c r="F557" s="9">
        <f>IFERROR(__xludf.DUMMYFUNCTION("""COMPUTED_VALUE"""),45594.41557788194)</f>
        <v>45594.41558</v>
      </c>
      <c r="G557" s="7" t="str">
        <f>IFERROR(__xludf.DUMMYFUNCTION("""COMPUTED_VALUE"""),"PERUBAHAN HAK")</f>
        <v>PERUBAHAN HAK</v>
      </c>
      <c r="H557" s="7">
        <f t="shared" si="1"/>
        <v>269</v>
      </c>
    </row>
    <row r="558" ht="22.5" customHeight="1">
      <c r="B558" s="7" t="str">
        <f>IFERROR(__xludf.DUMMYFUNCTION("""COMPUTED_VALUE"""),"K/34/281024/1")</f>
        <v>K/34/281024/1</v>
      </c>
      <c r="C558" s="7" t="str">
        <f>IFERROR(__xludf.DUMMYFUNCTION("""COMPUTED_VALUE"""),"NIBEL M.2194/GUNUNG TERANG")</f>
        <v>NIBEL M.2194/GUNUNG TERANG</v>
      </c>
      <c r="D558" s="7"/>
      <c r="E558" s="7"/>
      <c r="F558" s="9" t="str">
        <f>IFERROR(__xludf.DUMMYFUNCTION("""COMPUTED_VALUE"""),"")</f>
        <v/>
      </c>
      <c r="G558" s="7" t="str">
        <f>IFERROR(__xludf.DUMMYFUNCTION("""COMPUTED_VALUE"""),"BN JUAL BELI")</f>
        <v>BN JUAL BELI</v>
      </c>
      <c r="H558" s="7">
        <f t="shared" si="1"/>
        <v>269</v>
      </c>
    </row>
    <row r="559" ht="22.5" customHeight="1">
      <c r="B559" s="7" t="str">
        <f>IFERROR(__xludf.DUMMYFUNCTION("""COMPUTED_VALUE"""),"K/29/281024/1")</f>
        <v>K/29/281024/1</v>
      </c>
      <c r="C559" s="7" t="str">
        <f>IFERROR(__xludf.DUMMYFUNCTION("""COMPUTED_VALUE"""),"B, 570/ Nusantara Permai")</f>
        <v>B, 570/ Nusantara Permai</v>
      </c>
      <c r="D559" s="7" t="str">
        <f>IFERROR(__xludf.DUMMYFUNCTION("""COMPUTED_VALUE"""),"Berry")</f>
        <v>Berry</v>
      </c>
      <c r="E559" s="7" t="str">
        <f>IFERROR(__xludf.DUMMYFUNCTION("""COMPUTED_VALUE"""),"DISERAHKAN")</f>
        <v>DISERAHKAN</v>
      </c>
      <c r="F559" s="9">
        <f>IFERROR(__xludf.DUMMYFUNCTION("""COMPUTED_VALUE"""),45610.359705069444)</f>
        <v>45610.35971</v>
      </c>
      <c r="G559" s="7" t="str">
        <f>IFERROR(__xludf.DUMMYFUNCTION("""COMPUTED_VALUE"""),"Perubahan Hak")</f>
        <v>Perubahan Hak</v>
      </c>
      <c r="H559" s="7">
        <f t="shared" si="1"/>
        <v>270</v>
      </c>
    </row>
    <row r="560" ht="22.5" customHeight="1">
      <c r="B560" s="7" t="str">
        <f>IFERROR(__xludf.DUMMYFUNCTION("""COMPUTED_VALUE"""),"K/35/281024/1")</f>
        <v>K/35/281024/1</v>
      </c>
      <c r="C560" s="7" t="str">
        <f>IFERROR(__xludf.DUMMYFUNCTION("""COMPUTED_VALUE"""),"Nibel. M. 2665/ Beringin Raya")</f>
        <v>Nibel. M. 2665/ Beringin Raya</v>
      </c>
      <c r="D560" s="7"/>
      <c r="E560" s="7"/>
      <c r="F560" s="9" t="str">
        <f>IFERROR(__xludf.DUMMYFUNCTION("""COMPUTED_VALUE"""),"")</f>
        <v/>
      </c>
      <c r="G560" s="7" t="str">
        <f>IFERROR(__xludf.DUMMYFUNCTION("""COMPUTED_VALUE"""),"BN Jual Beli")</f>
        <v>BN Jual Beli</v>
      </c>
      <c r="H560" s="7">
        <f t="shared" si="1"/>
        <v>270</v>
      </c>
    </row>
    <row r="561" ht="22.5" customHeight="1">
      <c r="B561" s="7" t="str">
        <f>IFERROR(__xludf.DUMMYFUNCTION("""COMPUTED_VALUE"""),"K/36/281024/1")</f>
        <v>K/36/281024/1</v>
      </c>
      <c r="C561" s="7" t="str">
        <f>IFERROR(__xludf.DUMMYFUNCTION("""COMPUTED_VALUE"""),"M. 1142/ Kemiling Raya")</f>
        <v>M. 1142/ Kemiling Raya</v>
      </c>
      <c r="D561" s="7"/>
      <c r="E561" s="7"/>
      <c r="F561" s="9" t="str">
        <f>IFERROR(__xludf.DUMMYFUNCTION("""COMPUTED_VALUE"""),"")</f>
        <v/>
      </c>
      <c r="G561" s="7" t="str">
        <f>IFERROR(__xludf.DUMMYFUNCTION("""COMPUTED_VALUE"""),"HAPUS BPHTB")</f>
        <v>HAPUS BPHTB</v>
      </c>
      <c r="H561" s="7">
        <f t="shared" si="1"/>
        <v>270</v>
      </c>
    </row>
    <row r="562" ht="22.5" customHeight="1">
      <c r="B562" s="7" t="str">
        <f>IFERROR(__xludf.DUMMYFUNCTION("""COMPUTED_VALUE"""),"K/37/281024/1")</f>
        <v>K/37/281024/1</v>
      </c>
      <c r="C562" s="7" t="str">
        <f>IFERROR(__xludf.DUMMYFUNCTION("""COMPUTED_VALUE"""),"M.1602/BUMI KEDAMAIAN")</f>
        <v>M.1602/BUMI KEDAMAIAN</v>
      </c>
      <c r="D562" s="7" t="str">
        <f>IFERROR(__xludf.DUMMYFUNCTION("""COMPUTED_VALUE"""),"Berry")</f>
        <v>Berry</v>
      </c>
      <c r="E562" s="7" t="str">
        <f>IFERROR(__xludf.DUMMYFUNCTION("""COMPUTED_VALUE"""),"PROSES")</f>
        <v>PROSES</v>
      </c>
      <c r="F562" s="9" t="str">
        <f>IFERROR(__xludf.DUMMYFUNCTION("""COMPUTED_VALUE"""),"")</f>
        <v/>
      </c>
      <c r="G562" s="7" t="str">
        <f>IFERROR(__xludf.DUMMYFUNCTION("""COMPUTED_VALUE"""),"BN JUAL BELI")</f>
        <v>BN JUAL BELI</v>
      </c>
      <c r="H562" s="7">
        <f t="shared" si="1"/>
        <v>270</v>
      </c>
    </row>
    <row r="563" ht="22.5" customHeight="1">
      <c r="B563" s="7" t="str">
        <f>IFERROR(__xludf.DUMMYFUNCTION("""COMPUTED_VALUE"""),"K/38/281024/2")</f>
        <v>K/38/281024/2</v>
      </c>
      <c r="C563" s="7" t="str">
        <f>IFERROR(__xludf.DUMMYFUNCTION("""COMPUTED_VALUE"""),"M.9123/TANJUNG BARU")</f>
        <v>M.9123/TANJUNG BARU</v>
      </c>
      <c r="D563" s="7"/>
      <c r="E563" s="7"/>
      <c r="F563" s="9" t="str">
        <f>IFERROR(__xludf.DUMMYFUNCTION("""COMPUTED_VALUE"""),"")</f>
        <v/>
      </c>
      <c r="G563" s="7" t="str">
        <f>IFERROR(__xludf.DUMMYFUNCTION("""COMPUTED_VALUE"""),"GANDES")</f>
        <v>GANDES</v>
      </c>
      <c r="H563" s="7">
        <f t="shared" si="1"/>
        <v>270</v>
      </c>
    </row>
    <row r="564" ht="22.5" customHeight="1">
      <c r="B564" s="7" t="str">
        <f>IFERROR(__xludf.DUMMYFUNCTION("""COMPUTED_VALUE"""),"K/39/281024/3")</f>
        <v>K/39/281024/3</v>
      </c>
      <c r="C564" s="7" t="str">
        <f>IFERROR(__xludf.DUMMYFUNCTION("""COMPUTED_VALUE"""),"M.10097/TANJUNG BARU")</f>
        <v>M.10097/TANJUNG BARU</v>
      </c>
      <c r="D564" s="7"/>
      <c r="E564" s="7"/>
      <c r="F564" s="9" t="str">
        <f>IFERROR(__xludf.DUMMYFUNCTION("""COMPUTED_VALUE"""),"")</f>
        <v/>
      </c>
      <c r="G564" s="7" t="str">
        <f>IFERROR(__xludf.DUMMYFUNCTION("""COMPUTED_VALUE"""),"GANDES")</f>
        <v>GANDES</v>
      </c>
      <c r="H564" s="7">
        <f t="shared" si="1"/>
        <v>270</v>
      </c>
    </row>
    <row r="565" ht="22.5" customHeight="1">
      <c r="B565" s="7" t="str">
        <f>IFERROR(__xludf.DUMMYFUNCTION("""COMPUTED_VALUE"""),"K/40/281024/1")</f>
        <v>K/40/281024/1</v>
      </c>
      <c r="C565" s="7" t="str">
        <f>IFERROR(__xludf.DUMMYFUNCTION("""COMPUTED_VALUE"""),"B. 903/ Kemiling Permai")</f>
        <v>B. 903/ Kemiling Permai</v>
      </c>
      <c r="D565" s="7" t="str">
        <f>IFERROR(__xludf.DUMMYFUNCTION("""COMPUTED_VALUE"""),"Berry")</f>
        <v>Berry</v>
      </c>
      <c r="E565" s="7" t="str">
        <f>IFERROR(__xludf.DUMMYFUNCTION("""COMPUTED_VALUE"""),"DISERAHKAN")</f>
        <v>DISERAHKAN</v>
      </c>
      <c r="F565" s="9">
        <f>IFERROR(__xludf.DUMMYFUNCTION("""COMPUTED_VALUE"""),45594.41597862268)</f>
        <v>45594.41598</v>
      </c>
      <c r="G565" s="7" t="str">
        <f>IFERROR(__xludf.DUMMYFUNCTION("""COMPUTED_VALUE"""),"BN JUAL BELI")</f>
        <v>BN JUAL BELI</v>
      </c>
      <c r="H565" s="7">
        <f t="shared" si="1"/>
        <v>271</v>
      </c>
    </row>
    <row r="566" ht="22.5" customHeight="1">
      <c r="B566" s="7" t="str">
        <f>IFERROR(__xludf.DUMMYFUNCTION("""COMPUTED_VALUE"""),"K/41/281024/2")</f>
        <v>K/41/281024/2</v>
      </c>
      <c r="C566" s="7" t="str">
        <f>IFERROR(__xludf.DUMMYFUNCTION("""COMPUTED_VALUE"""),"M. 9110/ Kedaton")</f>
        <v>M. 9110/ Kedaton</v>
      </c>
      <c r="D566" s="7"/>
      <c r="E566" s="7"/>
      <c r="F566" s="9" t="str">
        <f>IFERROR(__xludf.DUMMYFUNCTION("""COMPUTED_VALUE"""),"")</f>
        <v/>
      </c>
      <c r="G566" s="7" t="str">
        <f>IFERROR(__xludf.DUMMYFUNCTION("""COMPUTED_VALUE"""),"ganti kelurahan")</f>
        <v>ganti kelurahan</v>
      </c>
      <c r="H566" s="7">
        <f t="shared" si="1"/>
        <v>271</v>
      </c>
    </row>
    <row r="567" ht="22.5" customHeight="1">
      <c r="B567" s="7" t="str">
        <f>IFERROR(__xludf.DUMMYFUNCTION("""COMPUTED_VALUE"""),"K/42/281024/1")</f>
        <v>K/42/281024/1</v>
      </c>
      <c r="C567" s="7" t="str">
        <f>IFERROR(__xludf.DUMMYFUNCTION("""COMPUTED_VALUE"""),"Nibel. 3488/ Tanjungkarang")</f>
        <v>Nibel. 3488/ Tanjungkarang</v>
      </c>
      <c r="D567" s="7"/>
      <c r="E567" s="7"/>
      <c r="F567" s="9" t="str">
        <f>IFERROR(__xludf.DUMMYFUNCTION("""COMPUTED_VALUE"""),"")</f>
        <v/>
      </c>
      <c r="G567" s="7" t="str">
        <f>IFERROR(__xludf.DUMMYFUNCTION("""COMPUTED_VALUE"""),"Pembaharuan R Susun")</f>
        <v>Pembaharuan R Susun</v>
      </c>
      <c r="H567" s="7">
        <f t="shared" si="1"/>
        <v>271</v>
      </c>
    </row>
    <row r="568" ht="22.5" customHeight="1">
      <c r="B568" s="7" t="str">
        <f>IFERROR(__xludf.DUMMYFUNCTION("""COMPUTED_VALUE"""),"K/43/281024/1")</f>
        <v>K/43/281024/1</v>
      </c>
      <c r="C568" s="7" t="str">
        <f>IFERROR(__xludf.DUMMYFUNCTION("""COMPUTED_VALUE"""),"B.605/SUMUR PUTRI")</f>
        <v>B.605/SUMUR PUTRI</v>
      </c>
      <c r="D568" s="7" t="str">
        <f>IFERROR(__xludf.DUMMYFUNCTION("""COMPUTED_VALUE"""),"Berry")</f>
        <v>Berry</v>
      </c>
      <c r="E568" s="7" t="str">
        <f>IFERROR(__xludf.DUMMYFUNCTION("""COMPUTED_VALUE"""),"DISERAHKAN")</f>
        <v>DISERAHKAN</v>
      </c>
      <c r="F568" s="9">
        <f>IFERROR(__xludf.DUMMYFUNCTION("""COMPUTED_VALUE"""),45594.416342349534)</f>
        <v>45594.41634</v>
      </c>
      <c r="G568" s="7" t="str">
        <f>IFERROR(__xludf.DUMMYFUNCTION("""COMPUTED_VALUE"""),"BN JUAL BELI")</f>
        <v>BN JUAL BELI</v>
      </c>
      <c r="H568" s="7">
        <f t="shared" si="1"/>
        <v>272</v>
      </c>
    </row>
    <row r="569" ht="22.5" customHeight="1">
      <c r="B569" s="7" t="str">
        <f>IFERROR(__xludf.DUMMYFUNCTION("""COMPUTED_VALUE"""),"K/44/281024/2")</f>
        <v>K/44/281024/2</v>
      </c>
      <c r="C569" s="7" t="str">
        <f>IFERROR(__xludf.DUMMYFUNCTION("""COMPUTED_VALUE"""),"B.721/SUMUR PUTRI")</f>
        <v>B.721/SUMUR PUTRI</v>
      </c>
      <c r="D569" s="7" t="str">
        <f>IFERROR(__xludf.DUMMYFUNCTION("""COMPUTED_VALUE"""),"David")</f>
        <v>David</v>
      </c>
      <c r="E569" s="7" t="str">
        <f>IFERROR(__xludf.DUMMYFUNCTION("""COMPUTED_VALUE"""),"DISERAHKAN")</f>
        <v>DISERAHKAN</v>
      </c>
      <c r="F569" s="9">
        <f>IFERROR(__xludf.DUMMYFUNCTION("""COMPUTED_VALUE"""),45595.45381440972)</f>
        <v>45595.45381</v>
      </c>
      <c r="G569" s="7" t="str">
        <f>IFERROR(__xludf.DUMMYFUNCTION("""COMPUTED_VALUE"""),"BN JUAL BELI")</f>
        <v>BN JUAL BELI</v>
      </c>
      <c r="H569" s="7">
        <f t="shared" si="1"/>
        <v>273</v>
      </c>
    </row>
    <row r="570" ht="22.5" customHeight="1">
      <c r="B570" s="7" t="str">
        <f>IFERROR(__xludf.DUMMYFUNCTION("""COMPUTED_VALUE"""),"L/1/291024/1")</f>
        <v>L/1/291024/1</v>
      </c>
      <c r="C570" s="7" t="str">
        <f>IFERROR(__xludf.DUMMYFUNCTION("""COMPUTED_VALUE"""),"HM 12271/LABUHAN RATU (SHM TETANGGA)")</f>
        <v>HM 12271/LABUHAN RATU (SHM TETANGGA)</v>
      </c>
      <c r="D570" s="7"/>
      <c r="E570" s="7"/>
      <c r="F570" s="9" t="str">
        <f>IFERROR(__xludf.DUMMYFUNCTION("""COMPUTED_VALUE"""),"")</f>
        <v/>
      </c>
      <c r="G570" s="7" t="str">
        <f>IFERROR(__xludf.DUMMYFUNCTION("""COMPUTED_VALUE"""),"CEK PLOT SERTIPIKAT HILANG")</f>
        <v>CEK PLOT SERTIPIKAT HILANG</v>
      </c>
      <c r="H570" s="7">
        <f t="shared" si="1"/>
        <v>273</v>
      </c>
    </row>
    <row r="571" ht="22.5" customHeight="1">
      <c r="B571" s="7" t="str">
        <f>IFERROR(__xludf.DUMMYFUNCTION("""COMPUTED_VALUE"""),"L/2/291024/1")</f>
        <v>L/2/291024/1</v>
      </c>
      <c r="C571" s="7" t="str">
        <f>IFERROR(__xludf.DUMMYFUNCTION("""COMPUTED_VALUE"""),"HM 208/KUPANG RAYA")</f>
        <v>HM 208/KUPANG RAYA</v>
      </c>
      <c r="D571" s="7" t="str">
        <f>IFERROR(__xludf.DUMMYFUNCTION("""COMPUTED_VALUE"""),"David")</f>
        <v>David</v>
      </c>
      <c r="E571" s="7" t="str">
        <f>IFERROR(__xludf.DUMMYFUNCTION("""COMPUTED_VALUE"""),"DISERAHKAN")</f>
        <v>DISERAHKAN</v>
      </c>
      <c r="F571" s="9">
        <f>IFERROR(__xludf.DUMMYFUNCTION("""COMPUTED_VALUE"""),45595.454342997684)</f>
        <v>45595.45434</v>
      </c>
      <c r="G571" s="7" t="str">
        <f>IFERROR(__xludf.DUMMYFUNCTION("""COMPUTED_VALUE"""),"ROYA")</f>
        <v>ROYA</v>
      </c>
      <c r="H571" s="7">
        <f t="shared" si="1"/>
        <v>274</v>
      </c>
    </row>
    <row r="572" ht="22.5" customHeight="1">
      <c r="B572" s="7" t="str">
        <f>IFERROR(__xludf.DUMMYFUNCTION("""COMPUTED_VALUE"""),"K/3/291024/1")</f>
        <v>K/3/291024/1</v>
      </c>
      <c r="C572" s="7" t="str">
        <f>IFERROR(__xludf.DUMMYFUNCTION("""COMPUTED_VALUE"""),"M. 711/ Penengahan")</f>
        <v>M. 711/ Penengahan</v>
      </c>
      <c r="D572" s="7"/>
      <c r="E572" s="7"/>
      <c r="F572" s="9" t="str">
        <f>IFERROR(__xludf.DUMMYFUNCTION("""COMPUTED_VALUE"""),"")</f>
        <v/>
      </c>
      <c r="G572" s="7" t="str">
        <f>IFERROR(__xludf.DUMMYFUNCTION("""COMPUTED_VALUE"""),"Gandes")</f>
        <v>Gandes</v>
      </c>
      <c r="H572" s="7">
        <f t="shared" si="1"/>
        <v>274</v>
      </c>
    </row>
    <row r="573" ht="22.5" customHeight="1">
      <c r="B573" s="7" t="str">
        <f>IFERROR(__xludf.DUMMYFUNCTION("""COMPUTED_VALUE"""),"K/4/291024/1")</f>
        <v>K/4/291024/1</v>
      </c>
      <c r="C573" s="7" t="str">
        <f>IFERROR(__xludf.DUMMYFUNCTION("""COMPUTED_VALUE"""),"M. 3413/ Kota Baru")</f>
        <v>M. 3413/ Kota Baru</v>
      </c>
      <c r="D573" s="7" t="str">
        <f>IFERROR(__xludf.DUMMYFUNCTION("""COMPUTED_VALUE"""),"David")</f>
        <v>David</v>
      </c>
      <c r="E573" s="7" t="str">
        <f>IFERROR(__xludf.DUMMYFUNCTION("""COMPUTED_VALUE"""),"DISERAHKAN")</f>
        <v>DISERAHKAN</v>
      </c>
      <c r="F573" s="9">
        <f>IFERROR(__xludf.DUMMYFUNCTION("""COMPUTED_VALUE"""),45595.4546921875)</f>
        <v>45595.45469</v>
      </c>
      <c r="G573" s="7" t="str">
        <f>IFERROR(__xludf.DUMMYFUNCTION("""COMPUTED_VALUE"""),"BN Jual Beli")</f>
        <v>BN Jual Beli</v>
      </c>
      <c r="H573" s="7">
        <f t="shared" si="1"/>
        <v>275</v>
      </c>
    </row>
    <row r="574" ht="22.5" customHeight="1">
      <c r="B574" s="7" t="str">
        <f>IFERROR(__xludf.DUMMYFUNCTION("""COMPUTED_VALUE"""),"K/5/291024/1")</f>
        <v>K/5/291024/1</v>
      </c>
      <c r="C574" s="7" t="str">
        <f>IFERROR(__xludf.DUMMYFUNCTION("""COMPUTED_VALUE"""),"M.1397/RAJABASA NUNYAI-SEKARANG;B.346/RAJABASA NUNYAI-DAHULU")</f>
        <v>M.1397/RAJABASA NUNYAI-SEKARANG;B.346/RAJABASA NUNYAI-DAHULU</v>
      </c>
      <c r="D574" s="7" t="str">
        <f>IFERROR(__xludf.DUMMYFUNCTION("""COMPUTED_VALUE"""),"David")</f>
        <v>David</v>
      </c>
      <c r="E574" s="7" t="str">
        <f>IFERROR(__xludf.DUMMYFUNCTION("""COMPUTED_VALUE"""),"DISERAHKAN")</f>
        <v>DISERAHKAN</v>
      </c>
      <c r="F574" s="9">
        <f>IFERROR(__xludf.DUMMYFUNCTION("""COMPUTED_VALUE"""),45595.45513994213)</f>
        <v>45595.45514</v>
      </c>
      <c r="G574" s="7" t="str">
        <f>IFERROR(__xludf.DUMMYFUNCTION("""COMPUTED_VALUE"""),"BN JUAL BELI")</f>
        <v>BN JUAL BELI</v>
      </c>
      <c r="H574" s="7">
        <f t="shared" si="1"/>
        <v>276</v>
      </c>
    </row>
    <row r="575" ht="22.5" customHeight="1">
      <c r="B575" s="7" t="str">
        <f>IFERROR(__xludf.DUMMYFUNCTION("""COMPUTED_VALUE"""),"K/6/291024/1")</f>
        <v>K/6/291024/1</v>
      </c>
      <c r="C575" s="7" t="str">
        <f>IFERROR(__xludf.DUMMYFUNCTION("""COMPUTED_VALUE"""),"M. 1350/ Perumnas Way Halim")</f>
        <v>M. 1350/ Perumnas Way Halim</v>
      </c>
      <c r="D575" s="7" t="str">
        <f>IFERROR(__xludf.DUMMYFUNCTION("""COMPUTED_VALUE"""),"David")</f>
        <v>David</v>
      </c>
      <c r="E575" s="7" t="str">
        <f>IFERROR(__xludf.DUMMYFUNCTION("""COMPUTED_VALUE"""),"DISERAHKAN")</f>
        <v>DISERAHKAN</v>
      </c>
      <c r="F575" s="9">
        <f>IFERROR(__xludf.DUMMYFUNCTION("""COMPUTED_VALUE"""),45595.45535134259)</f>
        <v>45595.45535</v>
      </c>
      <c r="G575" s="7" t="str">
        <f>IFERROR(__xludf.DUMMYFUNCTION("""COMPUTED_VALUE"""),"roya")</f>
        <v>roya</v>
      </c>
      <c r="H575" s="7">
        <f t="shared" si="1"/>
        <v>277</v>
      </c>
    </row>
    <row r="576" ht="22.5" customHeight="1">
      <c r="B576" s="7" t="str">
        <f>IFERROR(__xludf.DUMMYFUNCTION("""COMPUTED_VALUE"""),"K/1/291024/1")</f>
        <v>K/1/291024/1</v>
      </c>
      <c r="C576" s="7" t="str">
        <f>IFERROR(__xludf.DUMMYFUNCTION("""COMPUTED_VALUE"""),"NIBEL B.2359/PERUMNAS WAY KANDIS")</f>
        <v>NIBEL B.2359/PERUMNAS WAY KANDIS</v>
      </c>
      <c r="D576" s="7"/>
      <c r="E576" s="7"/>
      <c r="F576" s="9" t="str">
        <f>IFERROR(__xludf.DUMMYFUNCTION("""COMPUTED_VALUE"""),"")</f>
        <v/>
      </c>
      <c r="G576" s="7" t="str">
        <f>IFERROR(__xludf.DUMMYFUNCTION("""COMPUTED_VALUE"""),"PENINGKATAN")</f>
        <v>PENINGKATAN</v>
      </c>
      <c r="H576" s="7">
        <f t="shared" si="1"/>
        <v>277</v>
      </c>
    </row>
    <row r="577" ht="22.5" customHeight="1">
      <c r="B577" s="7" t="str">
        <f>IFERROR(__xludf.DUMMYFUNCTION("""COMPUTED_VALUE"""),"K/8/291024/1")</f>
        <v>K/8/291024/1</v>
      </c>
      <c r="C577" s="7" t="str">
        <f>IFERROR(__xludf.DUMMYFUNCTION("""COMPUTED_VALUE"""),"M.12840/SEGALA MIDER-SEKARANG;B.114/SEGALA MIDER-DAHULU")</f>
        <v>M.12840/SEGALA MIDER-SEKARANG;B.114/SEGALA MIDER-DAHULU</v>
      </c>
      <c r="D577" s="7"/>
      <c r="E577" s="7"/>
      <c r="F577" s="9" t="str">
        <f>IFERROR(__xludf.DUMMYFUNCTION("""COMPUTED_VALUE"""),"")</f>
        <v/>
      </c>
      <c r="G577" s="7" t="str">
        <f>IFERROR(__xludf.DUMMYFUNCTION("""COMPUTED_VALUE"""),"PENGECEKAN")</f>
        <v>PENGECEKAN</v>
      </c>
      <c r="H577" s="7">
        <f t="shared" si="1"/>
        <v>277</v>
      </c>
    </row>
    <row r="578" ht="22.5" customHeight="1">
      <c r="B578" s="7" t="str">
        <f>IFERROR(__xludf.DUMMYFUNCTION("""COMPUTED_VALUE"""),"K/7/291024/2")</f>
        <v>K/7/291024/2</v>
      </c>
      <c r="C578" s="7" t="str">
        <f>IFERROR(__xludf.DUMMYFUNCTION("""COMPUTED_VALUE"""),"M. 2590/ Beringin Raya - sekarang; B. 2536/ Beringin raya-dahulu")</f>
        <v>M. 2590/ Beringin Raya - sekarang; B. 2536/ Beringin raya-dahulu</v>
      </c>
      <c r="D578" s="7" t="str">
        <f>IFERROR(__xludf.DUMMYFUNCTION("""COMPUTED_VALUE"""),"David")</f>
        <v>David</v>
      </c>
      <c r="E578" s="7" t="str">
        <f>IFERROR(__xludf.DUMMYFUNCTION("""COMPUTED_VALUE"""),"DISERAHKAN")</f>
        <v>DISERAHKAN</v>
      </c>
      <c r="F578" s="9">
        <f>IFERROR(__xludf.DUMMYFUNCTION("""COMPUTED_VALUE"""),45595.455729293986)</f>
        <v>45595.45573</v>
      </c>
      <c r="G578" s="7" t="str">
        <f>IFERROR(__xludf.DUMMYFUNCTION("""COMPUTED_VALUE"""),"bn waris")</f>
        <v>bn waris</v>
      </c>
      <c r="H578" s="7">
        <f t="shared" si="1"/>
        <v>278</v>
      </c>
    </row>
    <row r="579" ht="22.5" customHeight="1">
      <c r="B579" s="7" t="str">
        <f>IFERROR(__xludf.DUMMYFUNCTION("""COMPUTED_VALUE"""),"K/9/291024/2")</f>
        <v>K/9/291024/2</v>
      </c>
      <c r="C579" s="7" t="str">
        <f>IFERROR(__xludf.DUMMYFUNCTION("""COMPUTED_VALUE"""),"M.1586/SUMUR BATU;SHT. 5389/2018")</f>
        <v>M.1586/SUMUR BATU;SHT. 5389/2018</v>
      </c>
      <c r="D579" s="7" t="str">
        <f>IFERROR(__xludf.DUMMYFUNCTION("""COMPUTED_VALUE"""),"David")</f>
        <v>David</v>
      </c>
      <c r="E579" s="7" t="str">
        <f>IFERROR(__xludf.DUMMYFUNCTION("""COMPUTED_VALUE"""),"DISERAHKAN")</f>
        <v>DISERAHKAN</v>
      </c>
      <c r="F579" s="9">
        <f>IFERROR(__xludf.DUMMYFUNCTION("""COMPUTED_VALUE"""),45595.45628363426)</f>
        <v>45595.45628</v>
      </c>
      <c r="G579" s="7" t="str">
        <f>IFERROR(__xludf.DUMMYFUNCTION("""COMPUTED_VALUE"""),"ROYA")</f>
        <v>ROYA</v>
      </c>
      <c r="H579" s="7">
        <f t="shared" si="1"/>
        <v>279</v>
      </c>
    </row>
    <row r="580" ht="22.5" customHeight="1">
      <c r="B580" s="7" t="str">
        <f>IFERROR(__xludf.DUMMYFUNCTION("""COMPUTED_VALUE"""),"K/11/291024/1")</f>
        <v>K/11/291024/1</v>
      </c>
      <c r="C580" s="7" t="str">
        <f>IFERROR(__xludf.DUMMYFUNCTION("""COMPUTED_VALUE"""),"B. 1045/ Negeri olok gading")</f>
        <v>B. 1045/ Negeri olok gading</v>
      </c>
      <c r="D580" s="7"/>
      <c r="E580" s="7"/>
      <c r="F580" s="9" t="str">
        <f>IFERROR(__xludf.DUMMYFUNCTION("""COMPUTED_VALUE"""),"")</f>
        <v/>
      </c>
      <c r="G580" s="7" t="str">
        <f>IFERROR(__xludf.DUMMYFUNCTION("""COMPUTED_VALUE"""),"Pendaftaran SK Perpanjangan")</f>
        <v>Pendaftaran SK Perpanjangan</v>
      </c>
      <c r="H580" s="7">
        <f t="shared" si="1"/>
        <v>279</v>
      </c>
    </row>
    <row r="581" ht="22.5" customHeight="1">
      <c r="B581" s="7" t="str">
        <f>IFERROR(__xludf.DUMMYFUNCTION("""COMPUTED_VALUE"""),"K/12/291024/1")</f>
        <v>K/12/291024/1</v>
      </c>
      <c r="C581" s="7" t="str">
        <f>IFERROR(__xludf.DUMMYFUNCTION("""COMPUTED_VALUE"""),"Nibel 1193/ Jagabaya III")</f>
        <v>Nibel 1193/ Jagabaya III</v>
      </c>
      <c r="D581" s="7"/>
      <c r="E581" s="7"/>
      <c r="F581" s="9" t="str">
        <f>IFERROR(__xludf.DUMMYFUNCTION("""COMPUTED_VALUE"""),"")</f>
        <v/>
      </c>
      <c r="G581" s="7" t="str">
        <f>IFERROR(__xludf.DUMMYFUNCTION("""COMPUTED_VALUE"""),"PERUBAHAN HAK")</f>
        <v>PERUBAHAN HAK</v>
      </c>
      <c r="H581" s="7">
        <f t="shared" si="1"/>
        <v>279</v>
      </c>
    </row>
    <row r="582" ht="22.5" customHeight="1">
      <c r="B582" s="7" t="str">
        <f>IFERROR(__xludf.DUMMYFUNCTION("""COMPUTED_VALUE"""),"K/13/291024/1")</f>
        <v>K/13/291024/1</v>
      </c>
      <c r="C582" s="7" t="str">
        <f>IFERROR(__xludf.DUMMYFUNCTION("""COMPUTED_VALUE"""),"M.14139/KEDAMAIAN")</f>
        <v>M.14139/KEDAMAIAN</v>
      </c>
      <c r="D582" s="7" t="str">
        <f>IFERROR(__xludf.DUMMYFUNCTION("""COMPUTED_VALUE"""),"David")</f>
        <v>David</v>
      </c>
      <c r="E582" s="7" t="str">
        <f>IFERROR(__xludf.DUMMYFUNCTION("""COMPUTED_VALUE"""),"DISERAHKAN")</f>
        <v>DISERAHKAN</v>
      </c>
      <c r="F582" s="9">
        <f>IFERROR(__xludf.DUMMYFUNCTION("""COMPUTED_VALUE"""),45595.456936435185)</f>
        <v>45595.45694</v>
      </c>
      <c r="G582" s="7" t="str">
        <f>IFERROR(__xludf.DUMMYFUNCTION("""COMPUTED_VALUE"""),"BN JUAL BELI")</f>
        <v>BN JUAL BELI</v>
      </c>
      <c r="H582" s="7">
        <f t="shared" si="1"/>
        <v>280</v>
      </c>
    </row>
    <row r="583" ht="22.5" customHeight="1">
      <c r="B583" s="7" t="str">
        <f>IFERROR(__xludf.DUMMYFUNCTION("""COMPUTED_VALUE"""),"K/14/291024/2")</f>
        <v>K/14/291024/2</v>
      </c>
      <c r="C583" s="7" t="str">
        <f>IFERROR(__xludf.DUMMYFUNCTION("""COMPUTED_VALUE"""),"M.60/RAJABASA JAYA")</f>
        <v>M.60/RAJABASA JAYA</v>
      </c>
      <c r="D583" s="7"/>
      <c r="E583" s="7"/>
      <c r="F583" s="9" t="str">
        <f>IFERROR(__xludf.DUMMYFUNCTION("""COMPUTED_VALUE"""),"")</f>
        <v/>
      </c>
      <c r="G583" s="7" t="str">
        <f>IFERROR(__xludf.DUMMYFUNCTION("""COMPUTED_VALUE"""),"PLOTING")</f>
        <v>PLOTING</v>
      </c>
      <c r="H583" s="7">
        <f t="shared" si="1"/>
        <v>280</v>
      </c>
    </row>
    <row r="584" ht="22.5" customHeight="1">
      <c r="B584" s="7" t="str">
        <f>IFERROR(__xludf.DUMMYFUNCTION("""COMPUTED_VALUE"""),"K/15/291024/1")</f>
        <v>K/15/291024/1</v>
      </c>
      <c r="C584" s="7" t="str">
        <f>IFERROR(__xludf.DUMMYFUNCTION("""COMPUTED_VALUE"""),"M. 534/ Sumur Batu")</f>
        <v>M. 534/ Sumur Batu</v>
      </c>
      <c r="D584" s="7" t="str">
        <f>IFERROR(__xludf.DUMMYFUNCTION("""COMPUTED_VALUE"""),"David")</f>
        <v>David</v>
      </c>
      <c r="E584" s="7" t="str">
        <f>IFERROR(__xludf.DUMMYFUNCTION("""COMPUTED_VALUE"""),"DISERAHKAN")</f>
        <v>DISERAHKAN</v>
      </c>
      <c r="F584" s="9">
        <f>IFERROR(__xludf.DUMMYFUNCTION("""COMPUTED_VALUE"""),45595.45724575232)</f>
        <v>45595.45725</v>
      </c>
      <c r="G584" s="7" t="str">
        <f>IFERROR(__xludf.DUMMYFUNCTION("""COMPUTED_VALUE"""),"BN Jual Beli")</f>
        <v>BN Jual Beli</v>
      </c>
      <c r="H584" s="7">
        <f t="shared" si="1"/>
        <v>281</v>
      </c>
    </row>
    <row r="585" ht="22.5" customHeight="1">
      <c r="B585" s="7" t="str">
        <f>IFERROR(__xludf.DUMMYFUNCTION("""COMPUTED_VALUE"""),"L/16/291024/1")</f>
        <v>L/16/291024/1</v>
      </c>
      <c r="C585" s="7" t="str">
        <f>IFERROR(__xludf.DUMMYFUNCTION("""COMPUTED_VALUE"""),"M.715/PINANG JAYA")</f>
        <v>M.715/PINANG JAYA</v>
      </c>
      <c r="D585" s="7" t="str">
        <f>IFERROR(__xludf.DUMMYFUNCTION("""COMPUTED_VALUE"""),"David")</f>
        <v>David</v>
      </c>
      <c r="E585" s="7" t="str">
        <f>IFERROR(__xludf.DUMMYFUNCTION("""COMPUTED_VALUE"""),"DISERAHKAN SU")</f>
        <v>DISERAHKAN SU</v>
      </c>
      <c r="F585" s="9">
        <f>IFERROR(__xludf.DUMMYFUNCTION("""COMPUTED_VALUE"""),45595.459011597224)</f>
        <v>45595.45901</v>
      </c>
      <c r="G585" s="7" t="str">
        <f>IFERROR(__xludf.DUMMYFUNCTION("""COMPUTED_VALUE"""),"ROYA")</f>
        <v>ROYA</v>
      </c>
      <c r="H585" s="7">
        <f t="shared" si="1"/>
        <v>281</v>
      </c>
    </row>
    <row r="586" ht="22.5" customHeight="1">
      <c r="B586" s="7" t="str">
        <f>IFERROR(__xludf.DUMMYFUNCTION("""COMPUTED_VALUE"""),"K/18/291024/1")</f>
        <v>K/18/291024/1</v>
      </c>
      <c r="C586" s="7" t="str">
        <f>IFERROR(__xludf.DUMMYFUNCTION("""COMPUTED_VALUE"""),"M. 1304/ Sumur Putri")</f>
        <v>M. 1304/ Sumur Putri</v>
      </c>
      <c r="D586" s="7" t="str">
        <f>IFERROR(__xludf.DUMMYFUNCTION("""COMPUTED_VALUE"""),"David")</f>
        <v>David</v>
      </c>
      <c r="E586" s="7" t="str">
        <f>IFERROR(__xludf.DUMMYFUNCTION("""COMPUTED_VALUE"""),"DISERAHKAN")</f>
        <v>DISERAHKAN</v>
      </c>
      <c r="F586" s="9">
        <f>IFERROR(__xludf.DUMMYFUNCTION("""COMPUTED_VALUE"""),45595.45794288194)</f>
        <v>45595.45794</v>
      </c>
      <c r="G586" s="7" t="str">
        <f>IFERROR(__xludf.DUMMYFUNCTION("""COMPUTED_VALUE"""),"BN JUAL BELI")</f>
        <v>BN JUAL BELI</v>
      </c>
      <c r="H586" s="7">
        <f t="shared" si="1"/>
        <v>282</v>
      </c>
    </row>
    <row r="587" ht="22.5" customHeight="1">
      <c r="B587" s="7" t="str">
        <f>IFERROR(__xludf.DUMMYFUNCTION("""COMPUTED_VALUE"""),"K/17/291024/1")</f>
        <v>K/17/291024/1</v>
      </c>
      <c r="C587" s="7" t="str">
        <f>IFERROR(__xludf.DUMMYFUNCTION("""COMPUTED_VALUE"""),"NIbel. B. 133/ Kelapa Tiga")</f>
        <v>NIbel. B. 133/ Kelapa Tiga</v>
      </c>
      <c r="D587" s="7"/>
      <c r="E587" s="7"/>
      <c r="F587" s="9" t="str">
        <f>IFERROR(__xludf.DUMMYFUNCTION("""COMPUTED_VALUE"""),"")</f>
        <v/>
      </c>
      <c r="G587" s="7" t="str">
        <f>IFERROR(__xludf.DUMMYFUNCTION("""COMPUTED_VALUE"""),"SKPT Informasi")</f>
        <v>SKPT Informasi</v>
      </c>
      <c r="H587" s="7">
        <f t="shared" si="1"/>
        <v>282</v>
      </c>
    </row>
    <row r="588" ht="22.5" customHeight="1">
      <c r="B588" s="7" t="str">
        <f>IFERROR(__xludf.DUMMYFUNCTION("""COMPUTED_VALUE"""),"K/19/291024/1")</f>
        <v>K/19/291024/1</v>
      </c>
      <c r="C588" s="7" t="str">
        <f>IFERROR(__xludf.DUMMYFUNCTION("""COMPUTED_VALUE"""),"M. 910/ Jagabaya III")</f>
        <v>M. 910/ Jagabaya III</v>
      </c>
      <c r="D588" s="7"/>
      <c r="E588" s="7"/>
      <c r="F588" s="9" t="str">
        <f>IFERROR(__xludf.DUMMYFUNCTION("""COMPUTED_VALUE"""),"")</f>
        <v/>
      </c>
      <c r="G588" s="7" t="str">
        <f>IFERROR(__xludf.DUMMYFUNCTION("""COMPUTED_VALUE"""),"Gandes")</f>
        <v>Gandes</v>
      </c>
      <c r="H588" s="7">
        <f t="shared" si="1"/>
        <v>282</v>
      </c>
    </row>
    <row r="589" ht="22.5" customHeight="1">
      <c r="B589" s="7" t="str">
        <f>IFERROR(__xludf.DUMMYFUNCTION("""COMPUTED_VALUE"""),"K/20/291024/1")</f>
        <v>K/20/291024/1</v>
      </c>
      <c r="C589" s="7" t="str">
        <f>IFERROR(__xludf.DUMMYFUNCTION("""COMPUTED_VALUE"""),"M. 3225/ Kupang Teba")</f>
        <v>M. 3225/ Kupang Teba</v>
      </c>
      <c r="D589" s="7"/>
      <c r="E589" s="7"/>
      <c r="F589" s="9" t="str">
        <f>IFERROR(__xludf.DUMMYFUNCTION("""COMPUTED_VALUE"""),"")</f>
        <v/>
      </c>
      <c r="G589" s="7" t="str">
        <f>IFERROR(__xludf.DUMMYFUNCTION("""COMPUTED_VALUE"""),"plotting")</f>
        <v>plotting</v>
      </c>
      <c r="H589" s="7">
        <f t="shared" si="1"/>
        <v>282</v>
      </c>
    </row>
    <row r="590" ht="22.5" customHeight="1">
      <c r="B590" s="7" t="str">
        <f>IFERROR(__xludf.DUMMYFUNCTION("""COMPUTED_VALUE"""),"L/23/291024/1")</f>
        <v>L/23/291024/1</v>
      </c>
      <c r="C590" s="7" t="str">
        <f>IFERROR(__xludf.DUMMYFUNCTION("""COMPUTED_VALUE"""),"M.2281/SU HAM")</f>
        <v>M.2281/SU HAM</v>
      </c>
      <c r="D590" s="7" t="str">
        <f>IFERROR(__xludf.DUMMYFUNCTION("""COMPUTED_VALUE"""),"David")</f>
        <v>David</v>
      </c>
      <c r="E590" s="7" t="str">
        <f>IFERROR(__xludf.DUMMYFUNCTION("""COMPUTED_VALUE"""),"DISERAHKAN")</f>
        <v>DISERAHKAN</v>
      </c>
      <c r="F590" s="9">
        <f>IFERROR(__xludf.DUMMYFUNCTION("""COMPUTED_VALUE"""),45595.45843378472)</f>
        <v>45595.45843</v>
      </c>
      <c r="G590" s="7" t="str">
        <f>IFERROR(__xludf.DUMMYFUNCTION("""COMPUTED_VALUE"""),"ROYA")</f>
        <v>ROYA</v>
      </c>
      <c r="H590" s="7">
        <f t="shared" si="1"/>
        <v>283</v>
      </c>
    </row>
    <row r="591" ht="22.5" customHeight="1">
      <c r="B591" s="7" t="str">
        <f>IFERROR(__xludf.DUMMYFUNCTION("""COMPUTED_VALUE"""),"K/21/291024/1")</f>
        <v>K/21/291024/1</v>
      </c>
      <c r="C591" s="7" t="str">
        <f>IFERROR(__xludf.DUMMYFUNCTION("""COMPUTED_VALUE"""),"Nibel. B. 1478/ Kemiling Permai")</f>
        <v>Nibel. B. 1478/ Kemiling Permai</v>
      </c>
      <c r="D591" s="7"/>
      <c r="E591" s="7"/>
      <c r="F591" s="9" t="str">
        <f>IFERROR(__xludf.DUMMYFUNCTION("""COMPUTED_VALUE"""),"")</f>
        <v/>
      </c>
      <c r="G591" s="7" t="str">
        <f>IFERROR(__xludf.DUMMYFUNCTION("""COMPUTED_VALUE"""),"Perubahan Hak")</f>
        <v>Perubahan Hak</v>
      </c>
      <c r="H591" s="7">
        <f t="shared" si="1"/>
        <v>283</v>
      </c>
    </row>
    <row r="592" ht="22.5" customHeight="1">
      <c r="B592" s="7" t="str">
        <f>IFERROR(__xludf.DUMMYFUNCTION("""COMPUTED_VALUE"""),"K/22/291024/2")</f>
        <v>K/22/291024/2</v>
      </c>
      <c r="C592" s="7" t="str">
        <f>IFERROR(__xludf.DUMMYFUNCTION("""COMPUTED_VALUE"""),"Nibel. B. 2603/ Kemiling Permai")</f>
        <v>Nibel. B. 2603/ Kemiling Permai</v>
      </c>
      <c r="D592" s="7"/>
      <c r="E592" s="7"/>
      <c r="F592" s="9" t="str">
        <f>IFERROR(__xludf.DUMMYFUNCTION("""COMPUTED_VALUE"""),"")</f>
        <v/>
      </c>
      <c r="G592" s="7" t="str">
        <f>IFERROR(__xludf.DUMMYFUNCTION("""COMPUTED_VALUE"""),"Perubahan Hak")</f>
        <v>Perubahan Hak</v>
      </c>
      <c r="H592" s="7">
        <f t="shared" si="1"/>
        <v>283</v>
      </c>
    </row>
    <row r="593" ht="22.5" customHeight="1">
      <c r="B593" s="7" t="str">
        <f>IFERROR(__xludf.DUMMYFUNCTION("""COMPUTED_VALUE"""),"K/24/291024/1")</f>
        <v>K/24/291024/1</v>
      </c>
      <c r="C593" s="7" t="str">
        <f>IFERROR(__xludf.DUMMYFUNCTION("""COMPUTED_VALUE"""),"B.1138/KEMILING PERMAI")</f>
        <v>B.1138/KEMILING PERMAI</v>
      </c>
      <c r="D593" s="7" t="str">
        <f>IFERROR(__xludf.DUMMYFUNCTION("""COMPUTED_VALUE"""),"David")</f>
        <v>David</v>
      </c>
      <c r="E593" s="7" t="str">
        <f>IFERROR(__xludf.DUMMYFUNCTION("""COMPUTED_VALUE"""),"DISERAHKAN")</f>
        <v>DISERAHKAN</v>
      </c>
      <c r="F593" s="9">
        <f>IFERROR(__xludf.DUMMYFUNCTION("""COMPUTED_VALUE"""),45595.45918421296)</f>
        <v>45595.45918</v>
      </c>
      <c r="G593" s="7" t="str">
        <f>IFERROR(__xludf.DUMMYFUNCTION("""COMPUTED_VALUE"""),"BN JUAL BELI")</f>
        <v>BN JUAL BELI</v>
      </c>
      <c r="H593" s="7">
        <f t="shared" si="1"/>
        <v>284</v>
      </c>
    </row>
    <row r="594" ht="22.5" customHeight="1">
      <c r="B594" s="7" t="str">
        <f>IFERROR(__xludf.DUMMYFUNCTION("""COMPUTED_VALUE"""),"K/26/291024/1")</f>
        <v>K/26/291024/1</v>
      </c>
      <c r="C594" s="7" t="str">
        <f>IFERROR(__xludf.DUMMYFUNCTION("""COMPUTED_VALUE"""),"M. 3082/ Labuhan Dalam")</f>
        <v>M. 3082/ Labuhan Dalam</v>
      </c>
      <c r="D594" s="7" t="str">
        <f>IFERROR(__xludf.DUMMYFUNCTION("""COMPUTED_VALUE"""),"Berry")</f>
        <v>Berry</v>
      </c>
      <c r="E594" s="7" t="str">
        <f>IFERROR(__xludf.DUMMYFUNCTION("""COMPUTED_VALUE"""),"DISERAHKAN")</f>
        <v>DISERAHKAN</v>
      </c>
      <c r="F594" s="9">
        <f>IFERROR(__xludf.DUMMYFUNCTION("""COMPUTED_VALUE"""),45595.46015668982)</f>
        <v>45595.46016</v>
      </c>
      <c r="G594" s="7" t="str">
        <f>IFERROR(__xludf.DUMMYFUNCTION("""COMPUTED_VALUE"""),"BN Jual Beli")</f>
        <v>BN Jual Beli</v>
      </c>
      <c r="H594" s="7">
        <f t="shared" si="1"/>
        <v>285</v>
      </c>
    </row>
    <row r="595" ht="22.5" customHeight="1">
      <c r="B595" s="7" t="str">
        <f>IFERROR(__xludf.DUMMYFUNCTION("""COMPUTED_VALUE"""),"L/27/291024/1")</f>
        <v>L/27/291024/1</v>
      </c>
      <c r="C595" s="7" t="str">
        <f>IFERROR(__xludf.DUMMYFUNCTION("""COMPUTED_VALUE"""),"HM 1472/DURIAN PAYUNG")</f>
        <v>HM 1472/DURIAN PAYUNG</v>
      </c>
      <c r="D595" s="7" t="str">
        <f>IFERROR(__xludf.DUMMYFUNCTION("""COMPUTED_VALUE"""),"Berry")</f>
        <v>Berry</v>
      </c>
      <c r="E595" s="7" t="str">
        <f>IFERROR(__xludf.DUMMYFUNCTION("""COMPUTED_VALUE"""),"DISERAHKAN")</f>
        <v>DISERAHKAN</v>
      </c>
      <c r="F595" s="9">
        <f>IFERROR(__xludf.DUMMYFUNCTION("""COMPUTED_VALUE"""),45595.4604569213)</f>
        <v>45595.46046</v>
      </c>
      <c r="G595" s="7" t="str">
        <f>IFERROR(__xludf.DUMMYFUNCTION("""COMPUTED_VALUE"""),"ROYA")</f>
        <v>ROYA</v>
      </c>
      <c r="H595" s="7">
        <f t="shared" si="1"/>
        <v>286</v>
      </c>
    </row>
    <row r="596" ht="22.5" customHeight="1">
      <c r="B596" s="7" t="str">
        <f>IFERROR(__xludf.DUMMYFUNCTION("""COMPUTED_VALUE"""),"L/28/291024/1")</f>
        <v>L/28/291024/1</v>
      </c>
      <c r="C596" s="7" t="str">
        <f>IFERROR(__xludf.DUMMYFUNCTION("""COMPUTED_VALUE"""),"M.13498/SUKABUMI;B.2732/SUKABUMI-DAHULU")</f>
        <v>M.13498/SUKABUMI;B.2732/SUKABUMI-DAHULU</v>
      </c>
      <c r="D596" s="7" t="str">
        <f>IFERROR(__xludf.DUMMYFUNCTION("""COMPUTED_VALUE"""),"Berry")</f>
        <v>Berry</v>
      </c>
      <c r="E596" s="7" t="str">
        <f>IFERROR(__xludf.DUMMYFUNCTION("""COMPUTED_VALUE"""),"PROSES")</f>
        <v>PROSES</v>
      </c>
      <c r="F596" s="9" t="str">
        <f>IFERROR(__xludf.DUMMYFUNCTION("""COMPUTED_VALUE"""),"")</f>
        <v/>
      </c>
      <c r="G596" s="7" t="str">
        <f>IFERROR(__xludf.DUMMYFUNCTION("""COMPUTED_VALUE"""),"ROYA")</f>
        <v>ROYA</v>
      </c>
      <c r="H596" s="7">
        <f t="shared" si="1"/>
        <v>286</v>
      </c>
    </row>
    <row r="597" ht="22.5" customHeight="1">
      <c r="B597" s="7" t="str">
        <f>IFERROR(__xludf.DUMMYFUNCTION("""COMPUTED_VALUE"""),"K/29/291024/1")</f>
        <v>K/29/291024/1</v>
      </c>
      <c r="C597" s="7" t="str">
        <f>IFERROR(__xludf.DUMMYFUNCTION("""COMPUTED_VALUE"""),"M. 9298/ Rajabasa")</f>
        <v>M. 9298/ Rajabasa</v>
      </c>
      <c r="D597" s="7" t="str">
        <f>IFERROR(__xludf.DUMMYFUNCTION("""COMPUTED_VALUE"""),"Berry")</f>
        <v>Berry</v>
      </c>
      <c r="E597" s="7" t="str">
        <f>IFERROR(__xludf.DUMMYFUNCTION("""COMPUTED_VALUE"""),"DISERAHKAN")</f>
        <v>DISERAHKAN</v>
      </c>
      <c r="F597" s="9">
        <f>IFERROR(__xludf.DUMMYFUNCTION("""COMPUTED_VALUE"""),45595.460979317126)</f>
        <v>45595.46098</v>
      </c>
      <c r="G597" s="7" t="str">
        <f>IFERROR(__xludf.DUMMYFUNCTION("""COMPUTED_VALUE"""),"Roya")</f>
        <v>Roya</v>
      </c>
      <c r="H597" s="7">
        <f t="shared" si="1"/>
        <v>287</v>
      </c>
    </row>
    <row r="598" ht="22.5" customHeight="1">
      <c r="B598" s="7" t="str">
        <f>IFERROR(__xludf.DUMMYFUNCTION("""COMPUTED_VALUE"""),"K/30/291024/1")</f>
        <v>K/30/291024/1</v>
      </c>
      <c r="C598" s="7" t="str">
        <f>IFERROR(__xludf.DUMMYFUNCTION("""COMPUTED_VALUE"""),"M. 1891/ Beringin Jaya; M. 1233/ Beringin Jaya-dahulu")</f>
        <v>M. 1891/ Beringin Jaya; M. 1233/ Beringin Jaya-dahulu</v>
      </c>
      <c r="D598" s="7"/>
      <c r="E598" s="7"/>
      <c r="F598" s="9" t="str">
        <f>IFERROR(__xludf.DUMMYFUNCTION("""COMPUTED_VALUE"""),"")</f>
        <v/>
      </c>
      <c r="G598" s="7" t="str">
        <f>IFERROR(__xludf.DUMMYFUNCTION("""COMPUTED_VALUE"""),"PTPGT (Pemecahan)")</f>
        <v>PTPGT (Pemecahan)</v>
      </c>
      <c r="H598" s="7">
        <f t="shared" si="1"/>
        <v>287</v>
      </c>
    </row>
    <row r="599" ht="22.5" customHeight="1">
      <c r="B599" s="7" t="str">
        <f>IFERROR(__xludf.DUMMYFUNCTION("""COMPUTED_VALUE"""),"K/31/291024/1")</f>
        <v>K/31/291024/1</v>
      </c>
      <c r="C599" s="7" t="str">
        <f>IFERROR(__xludf.DUMMYFUNCTION("""COMPUTED_VALUE"""),"SARUSUN 54/I/MASRS/TANJUNG KARANG")</f>
        <v>SARUSUN 54/I/MASRS/TANJUNG KARANG</v>
      </c>
      <c r="D599" s="7"/>
      <c r="E599" s="7"/>
      <c r="F599" s="9" t="str">
        <f>IFERROR(__xludf.DUMMYFUNCTION("""COMPUTED_VALUE"""),"")</f>
        <v/>
      </c>
      <c r="G599" s="7" t="str">
        <f>IFERROR(__xludf.DUMMYFUNCTION("""COMPUTED_VALUE"""),"GANDES")</f>
        <v>GANDES</v>
      </c>
      <c r="H599" s="7">
        <f t="shared" si="1"/>
        <v>287</v>
      </c>
    </row>
    <row r="600" ht="22.5" customHeight="1">
      <c r="B600" s="7" t="str">
        <f>IFERROR(__xludf.DUMMYFUNCTION("""COMPUTED_VALUE"""),"K/32/291024/2")</f>
        <v>K/32/291024/2</v>
      </c>
      <c r="C600" s="7" t="str">
        <f>IFERROR(__xludf.DUMMYFUNCTION("""COMPUTED_VALUE"""),"SARUSUN 53/I/MASRS/TANJUNG KARANG")</f>
        <v>SARUSUN 53/I/MASRS/TANJUNG KARANG</v>
      </c>
      <c r="D600" s="7"/>
      <c r="E600" s="7"/>
      <c r="F600" s="9" t="str">
        <f>IFERROR(__xludf.DUMMYFUNCTION("""COMPUTED_VALUE"""),"")</f>
        <v/>
      </c>
      <c r="G600" s="7" t="str">
        <f>IFERROR(__xludf.DUMMYFUNCTION("""COMPUTED_VALUE"""),"GANDES")</f>
        <v>GANDES</v>
      </c>
      <c r="H600" s="7">
        <f t="shared" si="1"/>
        <v>287</v>
      </c>
    </row>
    <row r="601" ht="22.5" customHeight="1">
      <c r="B601" s="7" t="str">
        <f>IFERROR(__xludf.DUMMYFUNCTION("""COMPUTED_VALUE"""),"K/33/291024/1")</f>
        <v>K/33/291024/1</v>
      </c>
      <c r="C601" s="7" t="str">
        <f>IFERROR(__xludf.DUMMYFUNCTION("""COMPUTED_VALUE"""),"M. 1126/ Gotong Royong")</f>
        <v>M. 1126/ Gotong Royong</v>
      </c>
      <c r="D601" s="7" t="str">
        <f>IFERROR(__xludf.DUMMYFUNCTION("""COMPUTED_VALUE"""),"Berry")</f>
        <v>Berry</v>
      </c>
      <c r="E601" s="7" t="str">
        <f>IFERROR(__xludf.DUMMYFUNCTION("""COMPUTED_VALUE"""),"DISERAHKAN")</f>
        <v>DISERAHKAN</v>
      </c>
      <c r="F601" s="9">
        <f>IFERROR(__xludf.DUMMYFUNCTION("""COMPUTED_VALUE"""),45595.461344571755)</f>
        <v>45595.46134</v>
      </c>
      <c r="G601" s="7" t="str">
        <f>IFERROR(__xludf.DUMMYFUNCTION("""COMPUTED_VALUE"""),"BN Waris")</f>
        <v>BN Waris</v>
      </c>
      <c r="H601" s="7">
        <f t="shared" si="1"/>
        <v>288</v>
      </c>
    </row>
    <row r="602" ht="22.5" customHeight="1">
      <c r="B602" s="7" t="str">
        <f>IFERROR(__xludf.DUMMYFUNCTION("""COMPUTED_VALUE"""),"K/34/291024/1")</f>
        <v>K/34/291024/1</v>
      </c>
      <c r="C602" s="7" t="str">
        <f>IFERROR(__xludf.DUMMYFUNCTION("""COMPUTED_VALUE"""),"M. 1279/ SUKAJAWA")</f>
        <v>M. 1279/ SUKAJAWA</v>
      </c>
      <c r="D602" s="7" t="str">
        <f>IFERROR(__xludf.DUMMYFUNCTION("""COMPUTED_VALUE"""),"Berry")</f>
        <v>Berry</v>
      </c>
      <c r="E602" s="7" t="str">
        <f>IFERROR(__xludf.DUMMYFUNCTION("""COMPUTED_VALUE"""),"DISERAHKAN")</f>
        <v>DISERAHKAN</v>
      </c>
      <c r="F602" s="9">
        <f>IFERROR(__xludf.DUMMYFUNCTION("""COMPUTED_VALUE"""),45595.46154333334)</f>
        <v>45595.46154</v>
      </c>
      <c r="G602" s="7" t="str">
        <f>IFERROR(__xludf.DUMMYFUNCTION("""COMPUTED_VALUE"""),"ROYA")</f>
        <v>ROYA</v>
      </c>
      <c r="H602" s="7">
        <f t="shared" si="1"/>
        <v>289</v>
      </c>
    </row>
    <row r="603" ht="22.5" customHeight="1">
      <c r="B603" s="7" t="str">
        <f>IFERROR(__xludf.DUMMYFUNCTION("""COMPUTED_VALUE"""),"K/35/291024/1")</f>
        <v>K/35/291024/1</v>
      </c>
      <c r="C603" s="7" t="str">
        <f>IFERROR(__xludf.DUMMYFUNCTION("""COMPUTED_VALUE"""),"M. 1647/ Rajabasa Pemuka")</f>
        <v>M. 1647/ Rajabasa Pemuka</v>
      </c>
      <c r="D603" s="7" t="str">
        <f>IFERROR(__xludf.DUMMYFUNCTION("""COMPUTED_VALUE"""),"Berry")</f>
        <v>Berry</v>
      </c>
      <c r="E603" s="7" t="str">
        <f>IFERROR(__xludf.DUMMYFUNCTION("""COMPUTED_VALUE"""),"DISERAHKAN")</f>
        <v>DISERAHKAN</v>
      </c>
      <c r="F603" s="9">
        <f>IFERROR(__xludf.DUMMYFUNCTION("""COMPUTED_VALUE"""),45595.46181576389)</f>
        <v>45595.46182</v>
      </c>
      <c r="G603" s="7" t="str">
        <f>IFERROR(__xludf.DUMMYFUNCTION("""COMPUTED_VALUE"""),"BN Jual Beli")</f>
        <v>BN Jual Beli</v>
      </c>
      <c r="H603" s="7">
        <f t="shared" si="1"/>
        <v>290</v>
      </c>
    </row>
    <row r="604" ht="22.5" customHeight="1">
      <c r="B604" s="7" t="str">
        <f>IFERROR(__xludf.DUMMYFUNCTION("""COMPUTED_VALUE"""),"L/37/291024/1")</f>
        <v>L/37/291024/1</v>
      </c>
      <c r="C604" s="7" t="str">
        <f>IFERROR(__xludf.DUMMYFUNCTION("""COMPUTED_VALUE"""),"HM 12538/JAGABAYA II (SHM TETANGGA)")</f>
        <v>HM 12538/JAGABAYA II (SHM TETANGGA)</v>
      </c>
      <c r="D604" s="7"/>
      <c r="E604" s="7"/>
      <c r="F604" s="9" t="str">
        <f>IFERROR(__xludf.DUMMYFUNCTION("""COMPUTED_VALUE"""),"")</f>
        <v/>
      </c>
      <c r="G604" s="7" t="str">
        <f>IFERROR(__xludf.DUMMYFUNCTION("""COMPUTED_VALUE"""),"PLOT SHM HILANG")</f>
        <v>PLOT SHM HILANG</v>
      </c>
      <c r="H604" s="7">
        <f t="shared" si="1"/>
        <v>290</v>
      </c>
    </row>
    <row r="605" ht="22.5" customHeight="1">
      <c r="B605" s="7" t="str">
        <f>IFERROR(__xludf.DUMMYFUNCTION("""COMPUTED_VALUE"""),"K/36/291024/1")</f>
        <v>K/36/291024/1</v>
      </c>
      <c r="C605" s="7" t="str">
        <f>IFERROR(__xludf.DUMMYFUNCTION("""COMPUTED_VALUE"""),"SARUSUN 180/SUMUR PUTRI")</f>
        <v>SARUSUN 180/SUMUR PUTRI</v>
      </c>
      <c r="D605" s="7" t="str">
        <f>IFERROR(__xludf.DUMMYFUNCTION("""COMPUTED_VALUE"""),"Berry")</f>
        <v>Berry</v>
      </c>
      <c r="E605" s="7" t="str">
        <f>IFERROR(__xludf.DUMMYFUNCTION("""COMPUTED_VALUE"""),"DISERAHKAN")</f>
        <v>DISERAHKAN</v>
      </c>
      <c r="F605" s="9">
        <f>IFERROR(__xludf.DUMMYFUNCTION("""COMPUTED_VALUE"""),45595.46195864583)</f>
        <v>45595.46196</v>
      </c>
      <c r="G605" s="7" t="str">
        <f>IFERROR(__xludf.DUMMYFUNCTION("""COMPUTED_VALUE"""),"BN JUAL BELI")</f>
        <v>BN JUAL BELI</v>
      </c>
      <c r="H605" s="7">
        <f t="shared" si="1"/>
        <v>291</v>
      </c>
    </row>
    <row r="606" ht="22.5" customHeight="1">
      <c r="B606" s="7" t="str">
        <f>IFERROR(__xludf.DUMMYFUNCTION("""COMPUTED_VALUE"""),"L/38/291024/1")</f>
        <v>L/38/291024/1</v>
      </c>
      <c r="C606" s="7" t="str">
        <f>IFERROR(__xludf.DUMMYFUNCTION("""COMPUTED_VALUE"""),"HM 29/RAJABASA NUNYAI")</f>
        <v>HM 29/RAJABASA NUNYAI</v>
      </c>
      <c r="D606" s="7" t="str">
        <f>IFERROR(__xludf.DUMMYFUNCTION("""COMPUTED_VALUE"""),"Berry")</f>
        <v>Berry</v>
      </c>
      <c r="E606" s="7" t="str">
        <f>IFERROR(__xludf.DUMMYFUNCTION("""COMPUTED_VALUE"""),"DISERAHKAN")</f>
        <v>DISERAHKAN</v>
      </c>
      <c r="F606" s="9">
        <f>IFERROR(__xludf.DUMMYFUNCTION("""COMPUTED_VALUE"""),45595.46215315972)</f>
        <v>45595.46215</v>
      </c>
      <c r="G606" s="7" t="str">
        <f>IFERROR(__xludf.DUMMYFUNCTION("""COMPUTED_VALUE"""),"ROYA")</f>
        <v>ROYA</v>
      </c>
      <c r="H606" s="7">
        <f t="shared" si="1"/>
        <v>292</v>
      </c>
    </row>
    <row r="607" ht="22.5" customHeight="1">
      <c r="B607" s="7" t="str">
        <f>IFERROR(__xludf.DUMMYFUNCTION("""COMPUTED_VALUE"""),"K/39/291024/1")</f>
        <v>K/39/291024/1</v>
      </c>
      <c r="C607" s="7" t="str">
        <f>IFERROR(__xludf.DUMMYFUNCTION("""COMPUTED_VALUE"""),"B.1431/PEMATANG WANGI-SEKARANG;B.805/TANJUNG SENENG")</f>
        <v>B.1431/PEMATANG WANGI-SEKARANG;B.805/TANJUNG SENENG</v>
      </c>
      <c r="D607" s="7"/>
      <c r="E607" s="7"/>
      <c r="F607" s="9" t="str">
        <f>IFERROR(__xludf.DUMMYFUNCTION("""COMPUTED_VALUE"""),"")</f>
        <v/>
      </c>
      <c r="G607" s="7" t="str">
        <f>IFERROR(__xludf.DUMMYFUNCTION("""COMPUTED_VALUE"""),"PENGECEKAN")</f>
        <v>PENGECEKAN</v>
      </c>
      <c r="H607" s="7">
        <f t="shared" si="1"/>
        <v>292</v>
      </c>
    </row>
    <row r="608" ht="22.5" customHeight="1">
      <c r="B608" s="7" t="str">
        <f>IFERROR(__xludf.DUMMYFUNCTION("""COMPUTED_VALUE"""),"K/40/291024/2")</f>
        <v>K/40/291024/2</v>
      </c>
      <c r="C608" s="7" t="str">
        <f>IFERROR(__xludf.DUMMYFUNCTION("""COMPUTED_VALUE"""),"M.11470/KEDATON")</f>
        <v>M.11470/KEDATON</v>
      </c>
      <c r="D608" s="7"/>
      <c r="E608" s="7"/>
      <c r="F608" s="9" t="str">
        <f>IFERROR(__xludf.DUMMYFUNCTION("""COMPUTED_VALUE"""),"")</f>
        <v/>
      </c>
      <c r="G608" s="7" t="str">
        <f>IFERROR(__xludf.DUMMYFUNCTION("""COMPUTED_VALUE"""),"PENGECEKAN")</f>
        <v>PENGECEKAN</v>
      </c>
      <c r="H608" s="7">
        <f t="shared" si="1"/>
        <v>292</v>
      </c>
    </row>
    <row r="609" ht="22.5" customHeight="1">
      <c r="B609" s="7" t="str">
        <f>IFERROR(__xludf.DUMMYFUNCTION("""COMPUTED_VALUE"""),"K/41/291024/3")</f>
        <v>K/41/291024/3</v>
      </c>
      <c r="C609" s="7" t="str">
        <f>IFERROR(__xludf.DUMMYFUNCTION("""COMPUTED_VALUE"""),"M.1321/SUSUNAN BARU")</f>
        <v>M.1321/SUSUNAN BARU</v>
      </c>
      <c r="D609" s="7"/>
      <c r="E609" s="7"/>
      <c r="F609" s="9" t="str">
        <f>IFERROR(__xludf.DUMMYFUNCTION("""COMPUTED_VALUE"""),"")</f>
        <v/>
      </c>
      <c r="G609" s="7" t="str">
        <f>IFERROR(__xludf.DUMMYFUNCTION("""COMPUTED_VALUE"""),"PLOTING")</f>
        <v>PLOTING</v>
      </c>
      <c r="H609" s="7">
        <f t="shared" si="1"/>
        <v>292</v>
      </c>
    </row>
    <row r="610" ht="22.5" customHeight="1">
      <c r="B610" s="7" t="str">
        <f>IFERROR(__xludf.DUMMYFUNCTION("""COMPUTED_VALUE"""),"K/43/291024/1")</f>
        <v>K/43/291024/1</v>
      </c>
      <c r="C610" s="7" t="str">
        <f>IFERROR(__xludf.DUMMYFUNCTION("""COMPUTED_VALUE"""),"M. 6486/ Way Kandis")</f>
        <v>M. 6486/ Way Kandis</v>
      </c>
      <c r="D610" s="7" t="str">
        <f>IFERROR(__xludf.DUMMYFUNCTION("""COMPUTED_VALUE"""),"Berry")</f>
        <v>Berry</v>
      </c>
      <c r="E610" s="7" t="str">
        <f>IFERROR(__xludf.DUMMYFUNCTION("""COMPUTED_VALUE"""),"PROSES")</f>
        <v>PROSES</v>
      </c>
      <c r="F610" s="9" t="str">
        <f>IFERROR(__xludf.DUMMYFUNCTION("""COMPUTED_VALUE"""),"")</f>
        <v/>
      </c>
      <c r="G610" s="7" t="str">
        <f>IFERROR(__xludf.DUMMYFUNCTION("""COMPUTED_VALUE"""),"BN Jual Beli")</f>
        <v>BN Jual Beli</v>
      </c>
      <c r="H610" s="7">
        <f t="shared" si="1"/>
        <v>292</v>
      </c>
    </row>
    <row r="611" ht="22.5" customHeight="1">
      <c r="B611" s="7" t="str">
        <f>IFERROR(__xludf.DUMMYFUNCTION("""COMPUTED_VALUE"""),"K/42/291024/4")</f>
        <v>K/42/291024/4</v>
      </c>
      <c r="C611" s="7" t="str">
        <f>IFERROR(__xludf.DUMMYFUNCTION("""COMPUTED_VALUE"""),"M.600/RAJABASA NUNYAI")</f>
        <v>M.600/RAJABASA NUNYAI</v>
      </c>
      <c r="D611" s="7" t="str">
        <f>IFERROR(__xludf.DUMMYFUNCTION("""COMPUTED_VALUE"""),"Berry")</f>
        <v>Berry</v>
      </c>
      <c r="E611" s="7" t="str">
        <f>IFERROR(__xludf.DUMMYFUNCTION("""COMPUTED_VALUE"""),"DISERAHKAN")</f>
        <v>DISERAHKAN</v>
      </c>
      <c r="F611" s="9">
        <f>IFERROR(__xludf.DUMMYFUNCTION("""COMPUTED_VALUE"""),45595.46249822917)</f>
        <v>45595.4625</v>
      </c>
      <c r="G611" s="7" t="str">
        <f>IFERROR(__xludf.DUMMYFUNCTION("""COMPUTED_VALUE"""),"BN LELANG")</f>
        <v>BN LELANG</v>
      </c>
      <c r="H611" s="7">
        <f t="shared" si="1"/>
        <v>293</v>
      </c>
    </row>
    <row r="612" ht="22.5" customHeight="1">
      <c r="B612" s="7" t="str">
        <f>IFERROR(__xludf.DUMMYFUNCTION("""COMPUTED_VALUE"""),"K/44/291024/1")</f>
        <v>K/44/291024/1</v>
      </c>
      <c r="C612" s="7" t="str">
        <f>IFERROR(__xludf.DUMMYFUNCTION("""COMPUTED_VALUE"""),"M.3081/BERINGIN RAYA-SEKARANG;B.139/SUMBER REJO-DAHULU")</f>
        <v>M.3081/BERINGIN RAYA-SEKARANG;B.139/SUMBER REJO-DAHULU</v>
      </c>
      <c r="D612" s="7"/>
      <c r="E612" s="7"/>
      <c r="F612" s="9" t="str">
        <f>IFERROR(__xludf.DUMMYFUNCTION("""COMPUTED_VALUE"""),"")</f>
        <v/>
      </c>
      <c r="G612" s="7" t="str">
        <f>IFERROR(__xludf.DUMMYFUNCTION("""COMPUTED_VALUE"""),"PLOTING")</f>
        <v>PLOTING</v>
      </c>
      <c r="H612" s="7">
        <f t="shared" si="1"/>
        <v>293</v>
      </c>
    </row>
    <row r="613" ht="22.5" customHeight="1">
      <c r="B613" s="7" t="str">
        <f>IFERROR(__xludf.DUMMYFUNCTION("""COMPUTED_VALUE"""),"K/46/291024/1")</f>
        <v>K/46/291024/1</v>
      </c>
      <c r="C613" s="7" t="str">
        <f>IFERROR(__xludf.DUMMYFUNCTION("""COMPUTED_VALUE"""),"M. 1894/ Sukaraja")</f>
        <v>M. 1894/ Sukaraja</v>
      </c>
      <c r="D613" s="7" t="str">
        <f>IFERROR(__xludf.DUMMYFUNCTION("""COMPUTED_VALUE"""),"Berry")</f>
        <v>Berry</v>
      </c>
      <c r="E613" s="7" t="str">
        <f>IFERROR(__xludf.DUMMYFUNCTION("""COMPUTED_VALUE"""),"DISERAHKAN")</f>
        <v>DISERAHKAN</v>
      </c>
      <c r="F613" s="9">
        <f>IFERROR(__xludf.DUMMYFUNCTION("""COMPUTED_VALUE"""),45604.60469719907)</f>
        <v>45604.6047</v>
      </c>
      <c r="G613" s="7" t="str">
        <f>IFERROR(__xludf.DUMMYFUNCTION("""COMPUTED_VALUE"""),"BN JUAL BELI")</f>
        <v>BN JUAL BELI</v>
      </c>
      <c r="H613" s="7">
        <f t="shared" si="1"/>
        <v>294</v>
      </c>
    </row>
    <row r="614" ht="22.5" customHeight="1">
      <c r="B614" s="7" t="str">
        <f>IFERROR(__xludf.DUMMYFUNCTION("""COMPUTED_VALUE"""),"K/47/291024/2")</f>
        <v>K/47/291024/2</v>
      </c>
      <c r="C614" s="7" t="str">
        <f>IFERROR(__xludf.DUMMYFUNCTION("""COMPUTED_VALUE"""),"Nibel 2137/ Telukbetung")</f>
        <v>Nibel 2137/ Telukbetung</v>
      </c>
      <c r="D614" s="7"/>
      <c r="E614" s="7"/>
      <c r="F614" s="9" t="str">
        <f>IFERROR(__xludf.DUMMYFUNCTION("""COMPUTED_VALUE"""),"")</f>
        <v/>
      </c>
      <c r="G614" s="7" t="str">
        <f>IFERROR(__xludf.DUMMYFUNCTION("""COMPUTED_VALUE"""),"BN JUAL BELI")</f>
        <v>BN JUAL BELI</v>
      </c>
      <c r="H614" s="7">
        <f t="shared" si="1"/>
        <v>294</v>
      </c>
    </row>
    <row r="615" ht="22.5" customHeight="1">
      <c r="B615" s="7" t="str">
        <f>IFERROR(__xludf.DUMMYFUNCTION("""COMPUTED_VALUE"""),"L/48/291024/1")</f>
        <v>L/48/291024/1</v>
      </c>
      <c r="C615" s="7" t="str">
        <f>IFERROR(__xludf.DUMMYFUNCTION("""COMPUTED_VALUE"""),"HM 2643/GUNUNG TERANG")</f>
        <v>HM 2643/GUNUNG TERANG</v>
      </c>
      <c r="D615" s="7" t="str">
        <f>IFERROR(__xludf.DUMMYFUNCTION("""COMPUTED_VALUE"""),"Berry")</f>
        <v>Berry</v>
      </c>
      <c r="E615" s="7" t="str">
        <f>IFERROR(__xludf.DUMMYFUNCTION("""COMPUTED_VALUE"""),"DISERAHKAN")</f>
        <v>DISERAHKAN</v>
      </c>
      <c r="F615" s="9">
        <f>IFERROR(__xludf.DUMMYFUNCTION("""COMPUTED_VALUE"""),45595.4629016088)</f>
        <v>45595.4629</v>
      </c>
      <c r="G615" s="7" t="str">
        <f>IFERROR(__xludf.DUMMYFUNCTION("""COMPUTED_VALUE"""),"ROYA")</f>
        <v>ROYA</v>
      </c>
      <c r="H615" s="7">
        <f t="shared" si="1"/>
        <v>295</v>
      </c>
    </row>
    <row r="616" ht="22.5" customHeight="1">
      <c r="B616" s="7" t="str">
        <f>IFERROR(__xludf.DUMMYFUNCTION("""COMPUTED_VALUE"""),"L/1/301024/1")</f>
        <v>L/1/301024/1</v>
      </c>
      <c r="C616" s="7" t="str">
        <f>IFERROR(__xludf.DUMMYFUNCTION("""COMPUTED_VALUE"""),"HM 2509/WAY KANDIS")</f>
        <v>HM 2509/WAY KANDIS</v>
      </c>
      <c r="D616" s="7" t="str">
        <f>IFERROR(__xludf.DUMMYFUNCTION("""COMPUTED_VALUE"""),"David")</f>
        <v>David</v>
      </c>
      <c r="E616" s="7" t="str">
        <f>IFERROR(__xludf.DUMMYFUNCTION("""COMPUTED_VALUE"""),"DISERAHKAN")</f>
        <v>DISERAHKAN</v>
      </c>
      <c r="F616" s="9">
        <f>IFERROR(__xludf.DUMMYFUNCTION("""COMPUTED_VALUE"""),45596.40108001158)</f>
        <v>45596.40108</v>
      </c>
      <c r="G616" s="7" t="str">
        <f>IFERROR(__xludf.DUMMYFUNCTION("""COMPUTED_VALUE"""),"ROYA")</f>
        <v>ROYA</v>
      </c>
      <c r="H616" s="7">
        <f t="shared" si="1"/>
        <v>296</v>
      </c>
    </row>
    <row r="617" ht="22.5" customHeight="1">
      <c r="B617" s="7" t="str">
        <f>IFERROR(__xludf.DUMMYFUNCTION("""COMPUTED_VALUE"""),"L/1/301024/2")</f>
        <v>L/1/301024/2</v>
      </c>
      <c r="C617" s="7" t="str">
        <f>IFERROR(__xludf.DUMMYFUNCTION("""COMPUTED_VALUE"""),"HM 2000/WAY KANDIS")</f>
        <v>HM 2000/WAY KANDIS</v>
      </c>
      <c r="D617" s="7" t="str">
        <f>IFERROR(__xludf.DUMMYFUNCTION("""COMPUTED_VALUE"""),"David")</f>
        <v>David</v>
      </c>
      <c r="E617" s="7" t="str">
        <f>IFERROR(__xludf.DUMMYFUNCTION("""COMPUTED_VALUE"""),"DISERAHKAN")</f>
        <v>DISERAHKAN</v>
      </c>
      <c r="F617" s="9">
        <f>IFERROR(__xludf.DUMMYFUNCTION("""COMPUTED_VALUE"""),45596.40111737269)</f>
        <v>45596.40112</v>
      </c>
      <c r="G617" s="7" t="str">
        <f>IFERROR(__xludf.DUMMYFUNCTION("""COMPUTED_VALUE"""),"ROYA")</f>
        <v>ROYA</v>
      </c>
      <c r="H617" s="7">
        <f t="shared" si="1"/>
        <v>297</v>
      </c>
    </row>
    <row r="618" ht="22.5" customHeight="1">
      <c r="B618" s="7" t="str">
        <f>IFERROR(__xludf.DUMMYFUNCTION("""COMPUTED_VALUE"""),"K/50/241024/3")</f>
        <v>K/50/241024/3</v>
      </c>
      <c r="C618" s="7" t="str">
        <f>IFERROR(__xludf.DUMMYFUNCTION("""COMPUTED_VALUE"""),"Nibel 923/ Rajabasa Raya")</f>
        <v>Nibel 923/ Rajabasa Raya</v>
      </c>
      <c r="D618" s="7"/>
      <c r="E618" s="7"/>
      <c r="F618" s="9" t="str">
        <f>IFERROR(__xludf.DUMMYFUNCTION("""COMPUTED_VALUE"""),"")</f>
        <v/>
      </c>
      <c r="G618" s="7" t="str">
        <f>IFERROR(__xludf.DUMMYFUNCTION("""COMPUTED_VALUE"""),"BN JUAL BELI")</f>
        <v>BN JUAL BELI</v>
      </c>
      <c r="H618" s="7">
        <f t="shared" si="1"/>
        <v>297</v>
      </c>
    </row>
    <row r="619" ht="22.5" customHeight="1">
      <c r="B619" s="7" t="str">
        <f>IFERROR(__xludf.DUMMYFUNCTION("""COMPUTED_VALUE"""),"K/2/301024/1")</f>
        <v>K/2/301024/1</v>
      </c>
      <c r="C619" s="7" t="str">
        <f>IFERROR(__xludf.DUMMYFUNCTION("""COMPUTED_VALUE"""),"M. 2375/ Kedaung")</f>
        <v>M. 2375/ Kedaung</v>
      </c>
      <c r="D619" s="7" t="str">
        <f>IFERROR(__xludf.DUMMYFUNCTION("""COMPUTED_VALUE"""),"David")</f>
        <v>David</v>
      </c>
      <c r="E619" s="7" t="str">
        <f>IFERROR(__xludf.DUMMYFUNCTION("""COMPUTED_VALUE"""),"DISERAHKAN")</f>
        <v>DISERAHKAN</v>
      </c>
      <c r="F619" s="9">
        <f>IFERROR(__xludf.DUMMYFUNCTION("""COMPUTED_VALUE"""),45596.40178346065)</f>
        <v>45596.40178</v>
      </c>
      <c r="G619" s="7" t="str">
        <f>IFERROR(__xludf.DUMMYFUNCTION("""COMPUTED_VALUE"""),"BN JUAL BELI")</f>
        <v>BN JUAL BELI</v>
      </c>
      <c r="H619" s="7">
        <f t="shared" si="1"/>
        <v>298</v>
      </c>
    </row>
    <row r="620" ht="22.5" customHeight="1">
      <c r="B620" s="7" t="str">
        <f>IFERROR(__xludf.DUMMYFUNCTION("""COMPUTED_VALUE"""),"K/3/301024/2")</f>
        <v>K/3/301024/2</v>
      </c>
      <c r="C620" s="7" t="str">
        <f>IFERROR(__xludf.DUMMYFUNCTION("""COMPUTED_VALUE"""),"M. 2398/ Kedaung")</f>
        <v>M. 2398/ Kedaung</v>
      </c>
      <c r="D620" s="7" t="str">
        <f>IFERROR(__xludf.DUMMYFUNCTION("""COMPUTED_VALUE"""),"David")</f>
        <v>David</v>
      </c>
      <c r="E620" s="7" t="str">
        <f>IFERROR(__xludf.DUMMYFUNCTION("""COMPUTED_VALUE"""),"DISERAHKAN")</f>
        <v>DISERAHKAN</v>
      </c>
      <c r="F620" s="9">
        <f>IFERROR(__xludf.DUMMYFUNCTION("""COMPUTED_VALUE"""),45596.40180695602)</f>
        <v>45596.40181</v>
      </c>
      <c r="G620" s="7" t="str">
        <f>IFERROR(__xludf.DUMMYFUNCTION("""COMPUTED_VALUE"""),"bn jual beli")</f>
        <v>bn jual beli</v>
      </c>
      <c r="H620" s="7">
        <f t="shared" si="1"/>
        <v>299</v>
      </c>
    </row>
    <row r="621" ht="22.5" customHeight="1">
      <c r="B621" s="7" t="str">
        <f>IFERROR(__xludf.DUMMYFUNCTION("""COMPUTED_VALUE"""),"K/4/301024/3")</f>
        <v>K/4/301024/3</v>
      </c>
      <c r="C621" s="7" t="str">
        <f>IFERROR(__xludf.DUMMYFUNCTION("""COMPUTED_VALUE"""),"M. 2390/ Kedaung")</f>
        <v>M. 2390/ Kedaung</v>
      </c>
      <c r="D621" s="7" t="str">
        <f>IFERROR(__xludf.DUMMYFUNCTION("""COMPUTED_VALUE"""),"David")</f>
        <v>David</v>
      </c>
      <c r="E621" s="7" t="str">
        <f>IFERROR(__xludf.DUMMYFUNCTION("""COMPUTED_VALUE"""),"DISERAHKAN")</f>
        <v>DISERAHKAN</v>
      </c>
      <c r="F621" s="9">
        <f>IFERROR(__xludf.DUMMYFUNCTION("""COMPUTED_VALUE"""),45596.40183643519)</f>
        <v>45596.40184</v>
      </c>
      <c r="G621" s="7" t="str">
        <f>IFERROR(__xludf.DUMMYFUNCTION("""COMPUTED_VALUE"""),"BN JUAL BELI")</f>
        <v>BN JUAL BELI</v>
      </c>
      <c r="H621" s="7">
        <f t="shared" si="1"/>
        <v>300</v>
      </c>
    </row>
    <row r="622" ht="22.5" customHeight="1">
      <c r="B622" s="7" t="str">
        <f>IFERROR(__xludf.DUMMYFUNCTION("""COMPUTED_VALUE"""),"K/5/301024/4")</f>
        <v>K/5/301024/4</v>
      </c>
      <c r="C622" s="7" t="str">
        <f>IFERROR(__xludf.DUMMYFUNCTION("""COMPUTED_VALUE"""),"M. 17942/ Sukarame")</f>
        <v>M. 17942/ Sukarame</v>
      </c>
      <c r="D622" s="7" t="str">
        <f>IFERROR(__xludf.DUMMYFUNCTION("""COMPUTED_VALUE"""),"David")</f>
        <v>David</v>
      </c>
      <c r="E622" s="7" t="str">
        <f>IFERROR(__xludf.DUMMYFUNCTION("""COMPUTED_VALUE"""),"DISERAHKAN")</f>
        <v>DISERAHKAN</v>
      </c>
      <c r="F622" s="9">
        <f>IFERROR(__xludf.DUMMYFUNCTION("""COMPUTED_VALUE"""),45596.402196574076)</f>
        <v>45596.4022</v>
      </c>
      <c r="G622" s="7" t="str">
        <f>IFERROR(__xludf.DUMMYFUNCTION("""COMPUTED_VALUE"""),"BN JUAL BELI")</f>
        <v>BN JUAL BELI</v>
      </c>
      <c r="H622" s="7">
        <f t="shared" si="1"/>
        <v>301</v>
      </c>
    </row>
    <row r="623" ht="22.5" customHeight="1">
      <c r="B623" s="7" t="str">
        <f>IFERROR(__xludf.DUMMYFUNCTION("""COMPUTED_VALUE"""),"L/6/301024/1")</f>
        <v>L/6/301024/1</v>
      </c>
      <c r="C623" s="7" t="str">
        <f>IFERROR(__xludf.DUMMYFUNCTION("""COMPUTED_VALUE"""),"M.217/TJ RAYA")</f>
        <v>M.217/TJ RAYA</v>
      </c>
      <c r="D623" s="7" t="str">
        <f>IFERROR(__xludf.DUMMYFUNCTION("""COMPUTED_VALUE"""),"David")</f>
        <v>David</v>
      </c>
      <c r="E623" s="7" t="str">
        <f>IFERROR(__xludf.DUMMYFUNCTION("""COMPUTED_VALUE"""),"DISERAHKAN")</f>
        <v>DISERAHKAN</v>
      </c>
      <c r="F623" s="9">
        <f>IFERROR(__xludf.DUMMYFUNCTION("""COMPUTED_VALUE"""),45596.40234606482)</f>
        <v>45596.40235</v>
      </c>
      <c r="G623" s="7" t="str">
        <f>IFERROR(__xludf.DUMMYFUNCTION("""COMPUTED_VALUE"""),"ROYA")</f>
        <v>ROYA</v>
      </c>
      <c r="H623" s="7">
        <f t="shared" si="1"/>
        <v>302</v>
      </c>
    </row>
    <row r="624" ht="22.5" customHeight="1">
      <c r="B624" s="7" t="str">
        <f>IFERROR(__xludf.DUMMYFUNCTION("""COMPUTED_VALUE"""),"K/7/301024/1")</f>
        <v>K/7/301024/1</v>
      </c>
      <c r="C624" s="7" t="str">
        <f>IFERROR(__xludf.DUMMYFUNCTION("""COMPUTED_VALUE"""),"M. 17182/ Sukarame; B. 1230/ Sukarame-dahulu")</f>
        <v>M. 17182/ Sukarame; B. 1230/ Sukarame-dahulu</v>
      </c>
      <c r="D624" s="7"/>
      <c r="E624" s="7"/>
      <c r="F624" s="9" t="str">
        <f>IFERROR(__xludf.DUMMYFUNCTION("""COMPUTED_VALUE"""),"")</f>
        <v/>
      </c>
      <c r="G624" s="7" t="str">
        <f>IFERROR(__xludf.DUMMYFUNCTION("""COMPUTED_VALUE"""),"Gandes")</f>
        <v>Gandes</v>
      </c>
      <c r="H624" s="7">
        <f t="shared" si="1"/>
        <v>302</v>
      </c>
    </row>
    <row r="625" ht="22.5" customHeight="1">
      <c r="B625" s="7" t="str">
        <f>IFERROR(__xludf.DUMMYFUNCTION("""COMPUTED_VALUE"""),"K/9/301024/1")</f>
        <v>K/9/301024/1</v>
      </c>
      <c r="C625" s="7" t="str">
        <f>IFERROR(__xludf.DUMMYFUNCTION("""COMPUTED_VALUE"""),"M. 18827/ Sukarame")</f>
        <v>M. 18827/ Sukarame</v>
      </c>
      <c r="D625" s="7" t="str">
        <f>IFERROR(__xludf.DUMMYFUNCTION("""COMPUTED_VALUE"""),"David")</f>
        <v>David</v>
      </c>
      <c r="E625" s="7" t="str">
        <f>IFERROR(__xludf.DUMMYFUNCTION("""COMPUTED_VALUE"""),"DISERAHKAN")</f>
        <v>DISERAHKAN</v>
      </c>
      <c r="F625" s="9">
        <f>IFERROR(__xludf.DUMMYFUNCTION("""COMPUTED_VALUE"""),45596.40265480324)</f>
        <v>45596.40265</v>
      </c>
      <c r="G625" s="7" t="str">
        <f>IFERROR(__xludf.DUMMYFUNCTION("""COMPUTED_VALUE"""),"BN Jual Beli")</f>
        <v>BN Jual Beli</v>
      </c>
      <c r="H625" s="7">
        <f t="shared" si="1"/>
        <v>303</v>
      </c>
    </row>
    <row r="626" ht="22.5" customHeight="1">
      <c r="B626" s="7" t="str">
        <f>IFERROR(__xludf.DUMMYFUNCTION("""COMPUTED_VALUE"""),"K/8/301024/1")</f>
        <v>K/8/301024/1</v>
      </c>
      <c r="C626" s="7" t="str">
        <f>IFERROR(__xludf.DUMMYFUNCTION("""COMPUTED_VALUE"""),"M.1814/RAJABASA NUNYAI")</f>
        <v>M.1814/RAJABASA NUNYAI</v>
      </c>
      <c r="D626" s="7" t="str">
        <f>IFERROR(__xludf.DUMMYFUNCTION("""COMPUTED_VALUE"""),"David")</f>
        <v>David</v>
      </c>
      <c r="E626" s="7" t="str">
        <f>IFERROR(__xludf.DUMMYFUNCTION("""COMPUTED_VALUE"""),"DISERAHKAN")</f>
        <v>DISERAHKAN</v>
      </c>
      <c r="F626" s="9">
        <f>IFERROR(__xludf.DUMMYFUNCTION("""COMPUTED_VALUE"""),45603.59322710648)</f>
        <v>45603.59323</v>
      </c>
      <c r="G626" s="7" t="str">
        <f>IFERROR(__xludf.DUMMYFUNCTION("""COMPUTED_VALUE"""),"BN JUAL BELI")</f>
        <v>BN JUAL BELI</v>
      </c>
      <c r="H626" s="7">
        <f t="shared" si="1"/>
        <v>304</v>
      </c>
    </row>
    <row r="627" ht="22.5" customHeight="1">
      <c r="B627" s="7" t="str">
        <f>IFERROR(__xludf.DUMMYFUNCTION("""COMPUTED_VALUE"""),"K/10/301024/1")</f>
        <v>K/10/301024/1</v>
      </c>
      <c r="C627" s="7" t="str">
        <f>IFERROR(__xludf.DUMMYFUNCTION("""COMPUTED_VALUE"""),"M.220/BATU PUTU")</f>
        <v>M.220/BATU PUTU</v>
      </c>
      <c r="D627" s="7"/>
      <c r="E627" s="7"/>
      <c r="F627" s="9" t="str">
        <f>IFERROR(__xludf.DUMMYFUNCTION("""COMPUTED_VALUE"""),"")</f>
        <v/>
      </c>
      <c r="G627" s="7" t="str">
        <f>IFERROR(__xludf.DUMMYFUNCTION("""COMPUTED_VALUE"""),"PLOTING")</f>
        <v>PLOTING</v>
      </c>
      <c r="H627" s="7">
        <f t="shared" si="1"/>
        <v>304</v>
      </c>
    </row>
    <row r="628" ht="22.5" customHeight="1">
      <c r="B628" s="7" t="str">
        <f>IFERROR(__xludf.DUMMYFUNCTION("""COMPUTED_VALUE"""),"L/11/301024/1")</f>
        <v>L/11/301024/1</v>
      </c>
      <c r="C628" s="7" t="str">
        <f>IFERROR(__xludf.DUMMYFUNCTION("""COMPUTED_VALUE"""),"HGB 1677/SUKARAME I")</f>
        <v>HGB 1677/SUKARAME I</v>
      </c>
      <c r="D628" s="7"/>
      <c r="E628" s="7"/>
      <c r="F628" s="9" t="str">
        <f>IFERROR(__xludf.DUMMYFUNCTION("""COMPUTED_VALUE"""),"")</f>
        <v/>
      </c>
      <c r="G628" s="7" t="str">
        <f>IFERROR(__xludf.DUMMYFUNCTION("""COMPUTED_VALUE"""),"GANDES")</f>
        <v>GANDES</v>
      </c>
      <c r="H628" s="7">
        <f t="shared" si="1"/>
        <v>304</v>
      </c>
    </row>
    <row r="629" ht="22.5" customHeight="1">
      <c r="B629" s="7" t="str">
        <f>IFERROR(__xludf.DUMMYFUNCTION("""COMPUTED_VALUE"""),"K/12/301024/1")</f>
        <v>K/12/301024/1</v>
      </c>
      <c r="C629" s="7" t="str">
        <f>IFERROR(__xludf.DUMMYFUNCTION("""COMPUTED_VALUE"""),"M. 2009/ Tanjung Senang")</f>
        <v>M. 2009/ Tanjung Senang</v>
      </c>
      <c r="D629" s="7" t="str">
        <f>IFERROR(__xludf.DUMMYFUNCTION("""COMPUTED_VALUE"""),"David")</f>
        <v>David</v>
      </c>
      <c r="E629" s="7" t="str">
        <f>IFERROR(__xludf.DUMMYFUNCTION("""COMPUTED_VALUE"""),"DISERAHKAN")</f>
        <v>DISERAHKAN</v>
      </c>
      <c r="F629" s="9">
        <f>IFERROR(__xludf.DUMMYFUNCTION("""COMPUTED_VALUE"""),45596.40292512732)</f>
        <v>45596.40293</v>
      </c>
      <c r="G629" s="7" t="str">
        <f>IFERROR(__xludf.DUMMYFUNCTION("""COMPUTED_VALUE"""),"BN Waris")</f>
        <v>BN Waris</v>
      </c>
      <c r="H629" s="7">
        <f t="shared" si="1"/>
        <v>305</v>
      </c>
    </row>
    <row r="630" ht="22.5" customHeight="1">
      <c r="B630" s="7" t="str">
        <f>IFERROR(__xludf.DUMMYFUNCTION("""COMPUTED_VALUE"""),"K/14/301024/1")</f>
        <v>K/14/301024/1</v>
      </c>
      <c r="C630" s="7" t="str">
        <f>IFERROR(__xludf.DUMMYFUNCTION("""COMPUTED_VALUE"""),"M.422/KUPANG RAYA")</f>
        <v>M.422/KUPANG RAYA</v>
      </c>
      <c r="D630" s="7" t="str">
        <f>IFERROR(__xludf.DUMMYFUNCTION("""COMPUTED_VALUE"""),"David")</f>
        <v>David</v>
      </c>
      <c r="E630" s="7" t="str">
        <f>IFERROR(__xludf.DUMMYFUNCTION("""COMPUTED_VALUE"""),"DISERAHKAN")</f>
        <v>DISERAHKAN</v>
      </c>
      <c r="F630" s="9">
        <f>IFERROR(__xludf.DUMMYFUNCTION("""COMPUTED_VALUE"""),45596.403286574074)</f>
        <v>45596.40329</v>
      </c>
      <c r="G630" s="7" t="str">
        <f>IFERROR(__xludf.DUMMYFUNCTION("""COMPUTED_VALUE"""),"BN JUAL BELI")</f>
        <v>BN JUAL BELI</v>
      </c>
      <c r="H630" s="7">
        <f t="shared" si="1"/>
        <v>306</v>
      </c>
    </row>
    <row r="631" ht="22.5" customHeight="1">
      <c r="B631" s="7" t="str">
        <f>IFERROR(__xludf.DUMMYFUNCTION("""COMPUTED_VALUE"""),"L/15/301024/1")</f>
        <v>L/15/301024/1</v>
      </c>
      <c r="C631" s="7" t="str">
        <f>IFERROR(__xludf.DUMMYFUNCTION("""COMPUTED_VALUE"""),"HM 617/SUKARAJA")</f>
        <v>HM 617/SUKARAJA</v>
      </c>
      <c r="D631" s="7" t="str">
        <f>IFERROR(__xludf.DUMMYFUNCTION("""COMPUTED_VALUE"""),"David")</f>
        <v>David</v>
      </c>
      <c r="E631" s="7" t="str">
        <f>IFERROR(__xludf.DUMMYFUNCTION("""COMPUTED_VALUE"""),"DISERAHKAN")</f>
        <v>DISERAHKAN</v>
      </c>
      <c r="F631" s="9">
        <f>IFERROR(__xludf.DUMMYFUNCTION("""COMPUTED_VALUE"""),45596.40331521991)</f>
        <v>45596.40332</v>
      </c>
      <c r="G631" s="7" t="str">
        <f>IFERROR(__xludf.DUMMYFUNCTION("""COMPUTED_VALUE"""),"ROYA LELANG")</f>
        <v>ROYA LELANG</v>
      </c>
      <c r="H631" s="7">
        <f t="shared" si="1"/>
        <v>307</v>
      </c>
    </row>
    <row r="632" ht="22.5" customHeight="1">
      <c r="B632" s="7" t="str">
        <f>IFERROR(__xludf.DUMMYFUNCTION("""COMPUTED_VALUE"""),"L/16/301024/1")</f>
        <v>L/16/301024/1</v>
      </c>
      <c r="C632" s="7" t="str">
        <f>IFERROR(__xludf.DUMMYFUNCTION("""COMPUTED_VALUE"""),"HM 2070/PWH")</f>
        <v>HM 2070/PWH</v>
      </c>
      <c r="D632" s="7" t="str">
        <f>IFERROR(__xludf.DUMMYFUNCTION("""COMPUTED_VALUE"""),"Berry")</f>
        <v>Berry</v>
      </c>
      <c r="E632" s="7" t="str">
        <f>IFERROR(__xludf.DUMMYFUNCTION("""COMPUTED_VALUE"""),"DISERAHKAN BT")</f>
        <v>DISERAHKAN BT</v>
      </c>
      <c r="F632" s="9">
        <f>IFERROR(__xludf.DUMMYFUNCTION("""COMPUTED_VALUE"""),45596.40374409722)</f>
        <v>45596.40374</v>
      </c>
      <c r="G632" s="7" t="str">
        <f>IFERROR(__xludf.DUMMYFUNCTION("""COMPUTED_VALUE"""),"ROYA")</f>
        <v>ROYA</v>
      </c>
      <c r="H632" s="7">
        <f t="shared" si="1"/>
        <v>307</v>
      </c>
    </row>
    <row r="633" ht="22.5" customHeight="1">
      <c r="B633" s="7" t="str">
        <f>IFERROR(__xludf.DUMMYFUNCTION("""COMPUTED_VALUE"""),"K/17/301024/1")</f>
        <v>K/17/301024/1</v>
      </c>
      <c r="C633" s="7" t="str">
        <f>IFERROR(__xludf.DUMMYFUNCTION("""COMPUTED_VALUE"""),"M. 10866/ SUKARAME I")</f>
        <v>M. 10866/ SUKARAME I</v>
      </c>
      <c r="D633" s="7"/>
      <c r="E633" s="7"/>
      <c r="F633" s="9" t="str">
        <f>IFERROR(__xludf.DUMMYFUNCTION("""COMPUTED_VALUE"""),"")</f>
        <v/>
      </c>
      <c r="G633" s="7" t="str">
        <f>IFERROR(__xludf.DUMMYFUNCTION("""COMPUTED_VALUE"""),"PLOTTING")</f>
        <v>PLOTTING</v>
      </c>
      <c r="H633" s="7">
        <f t="shared" si="1"/>
        <v>307</v>
      </c>
    </row>
    <row r="634" ht="22.5" customHeight="1">
      <c r="B634" s="7" t="str">
        <f>IFERROR(__xludf.DUMMYFUNCTION("""COMPUTED_VALUE"""),"K/18/301024/1")</f>
        <v>K/18/301024/1</v>
      </c>
      <c r="C634" s="7" t="str">
        <f>IFERROR(__xludf.DUMMYFUNCTION("""COMPUTED_VALUE"""),"M.9567/SUKABUMI")</f>
        <v>M.9567/SUKABUMI</v>
      </c>
      <c r="D634" s="7"/>
      <c r="E634" s="7"/>
      <c r="F634" s="9" t="str">
        <f>IFERROR(__xludf.DUMMYFUNCTION("""COMPUTED_VALUE"""),"")</f>
        <v/>
      </c>
      <c r="G634" s="7" t="str">
        <f>IFERROR(__xludf.DUMMYFUNCTION("""COMPUTED_VALUE"""),"TITAWATI CS/HENGKI KURNIAWAN")</f>
        <v>TITAWATI CS/HENGKI KURNIAWAN</v>
      </c>
      <c r="H634" s="7">
        <f t="shared" si="1"/>
        <v>307</v>
      </c>
    </row>
    <row r="635" ht="22.5" customHeight="1">
      <c r="B635" s="7" t="str">
        <f>IFERROR(__xludf.DUMMYFUNCTION("""COMPUTED_VALUE"""),"L/21/301024/1")</f>
        <v>L/21/301024/1</v>
      </c>
      <c r="C635" s="7" t="str">
        <f>IFERROR(__xludf.DUMMYFUNCTION("""COMPUTED_VALUE"""),"M.12717/S I")</f>
        <v>M.12717/S I</v>
      </c>
      <c r="D635" s="7"/>
      <c r="E635" s="7"/>
      <c r="F635" s="9" t="str">
        <f>IFERROR(__xludf.DUMMYFUNCTION("""COMPUTED_VALUE"""),"")</f>
        <v/>
      </c>
      <c r="G635" s="7" t="str">
        <f>IFERROR(__xludf.DUMMYFUNCTION("""COMPUTED_VALUE"""),"SKPT INFORMASI")</f>
        <v>SKPT INFORMASI</v>
      </c>
      <c r="H635" s="7">
        <f t="shared" si="1"/>
        <v>307</v>
      </c>
    </row>
    <row r="636" ht="22.5" customHeight="1">
      <c r="B636" s="7" t="str">
        <f>IFERROR(__xludf.DUMMYFUNCTION("""COMPUTED_VALUE"""),"K/19/301024/2")</f>
        <v>K/19/301024/2</v>
      </c>
      <c r="C636" s="7" t="str">
        <f>IFERROR(__xludf.DUMMYFUNCTION("""COMPUTED_VALUE"""),"M.11025/SUKABUMI")</f>
        <v>M.11025/SUKABUMI</v>
      </c>
      <c r="D636" s="7" t="str">
        <f>IFERROR(__xludf.DUMMYFUNCTION("""COMPUTED_VALUE"""),"Berry")</f>
        <v>Berry</v>
      </c>
      <c r="E636" s="7" t="str">
        <f>IFERROR(__xludf.DUMMYFUNCTION("""COMPUTED_VALUE"""),"DISERAHKAN")</f>
        <v>DISERAHKAN</v>
      </c>
      <c r="F636" s="9">
        <f>IFERROR(__xludf.DUMMYFUNCTION("""COMPUTED_VALUE"""),45596.40460232639)</f>
        <v>45596.4046</v>
      </c>
      <c r="G636" s="7" t="str">
        <f>IFERROR(__xludf.DUMMYFUNCTION("""COMPUTED_VALUE"""),"ROYA")</f>
        <v>ROYA</v>
      </c>
      <c r="H636" s="7">
        <f t="shared" si="1"/>
        <v>308</v>
      </c>
    </row>
    <row r="637" ht="22.5" customHeight="1">
      <c r="B637" s="7" t="str">
        <f>IFERROR(__xludf.DUMMYFUNCTION("""COMPUTED_VALUE"""),"K/20/301024/3")</f>
        <v>K/20/301024/3</v>
      </c>
      <c r="C637" s="7" t="str">
        <f>IFERROR(__xludf.DUMMYFUNCTION("""COMPUTED_VALUE"""),"M.9801/SUKABUMI")</f>
        <v>M.9801/SUKABUMI</v>
      </c>
      <c r="D637" s="7" t="str">
        <f>IFERROR(__xludf.DUMMYFUNCTION("""COMPUTED_VALUE"""),"Berry")</f>
        <v>Berry</v>
      </c>
      <c r="E637" s="7" t="str">
        <f>IFERROR(__xludf.DUMMYFUNCTION("""COMPUTED_VALUE"""),"DISERAHKAN")</f>
        <v>DISERAHKAN</v>
      </c>
      <c r="F637" s="9">
        <f>IFERROR(__xludf.DUMMYFUNCTION("""COMPUTED_VALUE"""),45596.40462273148)</f>
        <v>45596.40462</v>
      </c>
      <c r="G637" s="7" t="str">
        <f>IFERROR(__xludf.DUMMYFUNCTION("""COMPUTED_VALUE"""),"ROYA")</f>
        <v>ROYA</v>
      </c>
      <c r="H637" s="7">
        <f t="shared" si="1"/>
        <v>309</v>
      </c>
    </row>
    <row r="638" ht="22.5" customHeight="1">
      <c r="B638" s="7" t="str">
        <f>IFERROR(__xludf.DUMMYFUNCTION("""COMPUTED_VALUE"""),"L/22/301024/1")</f>
        <v>L/22/301024/1</v>
      </c>
      <c r="C638" s="7" t="str">
        <f>IFERROR(__xludf.DUMMYFUNCTION("""COMPUTED_VALUE"""),"HM 11867/LABUHAN RATU")</f>
        <v>HM 11867/LABUHAN RATU</v>
      </c>
      <c r="D638" s="7" t="str">
        <f>IFERROR(__xludf.DUMMYFUNCTION("""COMPUTED_VALUE"""),"Berry")</f>
        <v>Berry</v>
      </c>
      <c r="E638" s="7" t="str">
        <f>IFERROR(__xludf.DUMMYFUNCTION("""COMPUTED_VALUE"""),"DISERAHKAN")</f>
        <v>DISERAHKAN</v>
      </c>
      <c r="F638" s="9">
        <f>IFERROR(__xludf.DUMMYFUNCTION("""COMPUTED_VALUE"""),45596.40500650463)</f>
        <v>45596.40501</v>
      </c>
      <c r="G638" s="7" t="str">
        <f>IFERROR(__xludf.DUMMYFUNCTION("""COMPUTED_VALUE"""),"ROYA")</f>
        <v>ROYA</v>
      </c>
      <c r="H638" s="7">
        <f t="shared" si="1"/>
        <v>310</v>
      </c>
    </row>
    <row r="639" ht="22.5" customHeight="1">
      <c r="B639" s="7" t="str">
        <f>IFERROR(__xludf.DUMMYFUNCTION("""COMPUTED_VALUE"""),"K/23/301024/1")</f>
        <v>K/23/301024/1</v>
      </c>
      <c r="C639" s="7" t="str">
        <f>IFERROR(__xludf.DUMMYFUNCTION("""COMPUTED_VALUE"""),"M. 10292/ Segala Mider")</f>
        <v>M. 10292/ Segala Mider</v>
      </c>
      <c r="D639" s="7"/>
      <c r="E639" s="7"/>
      <c r="F639" s="9" t="str">
        <f>IFERROR(__xludf.DUMMYFUNCTION("""COMPUTED_VALUE"""),"")</f>
        <v/>
      </c>
      <c r="G639" s="7" t="str">
        <f>IFERROR(__xludf.DUMMYFUNCTION("""COMPUTED_VALUE"""),"Gandes")</f>
        <v>Gandes</v>
      </c>
      <c r="H639" s="7">
        <f t="shared" si="1"/>
        <v>310</v>
      </c>
    </row>
    <row r="640" ht="22.5" customHeight="1">
      <c r="B640" s="7" t="str">
        <f>IFERROR(__xludf.DUMMYFUNCTION("""COMPUTED_VALUE"""),"K/24/301024/2")</f>
        <v>K/24/301024/2</v>
      </c>
      <c r="C640" s="7" t="str">
        <f>IFERROR(__xludf.DUMMYFUNCTION("""COMPUTED_VALUE"""),"M. 2314/ NOG; B. 558/ NOG")</f>
        <v>M. 2314/ NOG; B. 558/ NOG</v>
      </c>
      <c r="D640" s="7" t="str">
        <f>IFERROR(__xludf.DUMMYFUNCTION("""COMPUTED_VALUE"""),"Berry")</f>
        <v>Berry</v>
      </c>
      <c r="E640" s="7" t="str">
        <f>IFERROR(__xludf.DUMMYFUNCTION("""COMPUTED_VALUE"""),"DISERAHKAN")</f>
        <v>DISERAHKAN</v>
      </c>
      <c r="F640" s="9">
        <f>IFERROR(__xludf.DUMMYFUNCTION("""COMPUTED_VALUE"""),45596.40547179398)</f>
        <v>45596.40547</v>
      </c>
      <c r="G640" s="7" t="str">
        <f>IFERROR(__xludf.DUMMYFUNCTION("""COMPUTED_VALUE"""),"BN Jual Beli")</f>
        <v>BN Jual Beli</v>
      </c>
      <c r="H640" s="7">
        <f t="shared" si="1"/>
        <v>311</v>
      </c>
    </row>
    <row r="641" ht="22.5" customHeight="1">
      <c r="B641" s="7" t="str">
        <f>IFERROR(__xludf.DUMMYFUNCTION("""COMPUTED_VALUE"""),"K/25/301024/1")</f>
        <v>K/25/301024/1</v>
      </c>
      <c r="C641" s="7" t="str">
        <f>IFERROR(__xludf.DUMMYFUNCTION("""COMPUTED_VALUE"""),"M.5568/LANGKAPURA")</f>
        <v>M.5568/LANGKAPURA</v>
      </c>
      <c r="D641" s="7" t="str">
        <f>IFERROR(__xludf.DUMMYFUNCTION("""COMPUTED_VALUE"""),"Berry")</f>
        <v>Berry</v>
      </c>
      <c r="E641" s="7" t="str">
        <f>IFERROR(__xludf.DUMMYFUNCTION("""COMPUTED_VALUE"""),"DISERAHKAN")</f>
        <v>DISERAHKAN</v>
      </c>
      <c r="F641" s="9">
        <f>IFERROR(__xludf.DUMMYFUNCTION("""COMPUTED_VALUE"""),45596.405647430554)</f>
        <v>45596.40565</v>
      </c>
      <c r="G641" s="7" t="str">
        <f>IFERROR(__xludf.DUMMYFUNCTION("""COMPUTED_VALUE"""),"BN JUAL BELI")</f>
        <v>BN JUAL BELI</v>
      </c>
      <c r="H641" s="7">
        <f t="shared" si="1"/>
        <v>312</v>
      </c>
    </row>
    <row r="642" ht="22.5" customHeight="1">
      <c r="B642" s="7" t="str">
        <f>IFERROR(__xludf.DUMMYFUNCTION("""COMPUTED_VALUE"""),"K/26/301024/2")</f>
        <v>K/26/301024/2</v>
      </c>
      <c r="C642" s="7" t="str">
        <f>IFERROR(__xludf.DUMMYFUNCTION("""COMPUTED_VALUE"""),"M.11542/LABUHAN RATU")</f>
        <v>M.11542/LABUHAN RATU</v>
      </c>
      <c r="D642" s="7" t="str">
        <f>IFERROR(__xludf.DUMMYFUNCTION("""COMPUTED_VALUE"""),"Berry")</f>
        <v>Berry</v>
      </c>
      <c r="E642" s="7" t="str">
        <f>IFERROR(__xludf.DUMMYFUNCTION("""COMPUTED_VALUE"""),"DISERAHKAN")</f>
        <v>DISERAHKAN</v>
      </c>
      <c r="F642" s="9">
        <f>IFERROR(__xludf.DUMMYFUNCTION("""COMPUTED_VALUE"""),45596.406481921294)</f>
        <v>45596.40648</v>
      </c>
      <c r="G642" s="7" t="str">
        <f>IFERROR(__xludf.DUMMYFUNCTION("""COMPUTED_VALUE"""),"HIBAH")</f>
        <v>HIBAH</v>
      </c>
      <c r="H642" s="7">
        <f t="shared" si="1"/>
        <v>313</v>
      </c>
    </row>
    <row r="643" ht="22.5" customHeight="1">
      <c r="B643" s="7" t="str">
        <f>IFERROR(__xludf.DUMMYFUNCTION("""COMPUTED_VALUE"""),"K/27/301024/3")</f>
        <v>K/27/301024/3</v>
      </c>
      <c r="C643" s="7" t="str">
        <f>IFERROR(__xludf.DUMMYFUNCTION("""COMPUTED_VALUE"""),"M.10426/KAMPUNG BARU")</f>
        <v>M.10426/KAMPUNG BARU</v>
      </c>
      <c r="D643" s="7" t="str">
        <f>IFERROR(__xludf.DUMMYFUNCTION("""COMPUTED_VALUE"""),"Berry")</f>
        <v>Berry</v>
      </c>
      <c r="E643" s="7" t="str">
        <f>IFERROR(__xludf.DUMMYFUNCTION("""COMPUTED_VALUE"""),"DISERAHKAN")</f>
        <v>DISERAHKAN</v>
      </c>
      <c r="F643" s="9">
        <f>IFERROR(__xludf.DUMMYFUNCTION("""COMPUTED_VALUE"""),45596.40659158565)</f>
        <v>45596.40659</v>
      </c>
      <c r="G643" s="7" t="str">
        <f>IFERROR(__xludf.DUMMYFUNCTION("""COMPUTED_VALUE"""),"BN JUAL BELI")</f>
        <v>BN JUAL BELI</v>
      </c>
      <c r="H643" s="7">
        <f t="shared" si="1"/>
        <v>314</v>
      </c>
    </row>
    <row r="644" ht="22.5" customHeight="1">
      <c r="B644" s="7" t="str">
        <f>IFERROR(__xludf.DUMMYFUNCTION("""COMPUTED_VALUE"""),"K/28/301024/1")</f>
        <v>K/28/301024/1</v>
      </c>
      <c r="C644" s="7" t="str">
        <f>IFERROR(__xludf.DUMMYFUNCTION("""COMPUTED_VALUE"""),"M.74/TANJUNG AGUNG")</f>
        <v>M.74/TANJUNG AGUNG</v>
      </c>
      <c r="D644" s="7"/>
      <c r="E644" s="7"/>
      <c r="F644" s="9" t="str">
        <f>IFERROR(__xludf.DUMMYFUNCTION("""COMPUTED_VALUE"""),"")</f>
        <v/>
      </c>
      <c r="G644" s="7" t="str">
        <f>IFERROR(__xludf.DUMMYFUNCTION("""COMPUTED_VALUE"""),"SKPT LELANG")</f>
        <v>SKPT LELANG</v>
      </c>
      <c r="H644" s="7">
        <f t="shared" si="1"/>
        <v>314</v>
      </c>
    </row>
    <row r="645" ht="22.5" customHeight="1">
      <c r="B645" s="7" t="str">
        <f>IFERROR(__xludf.DUMMYFUNCTION("""COMPUTED_VALUE"""),"K/29/301024/1")</f>
        <v>K/29/301024/1</v>
      </c>
      <c r="C645" s="7" t="str">
        <f>IFERROR(__xludf.DUMMYFUNCTION("""COMPUTED_VALUE"""),"M. 1927/ Labuhan Dalam")</f>
        <v>M. 1927/ Labuhan Dalam</v>
      </c>
      <c r="D645" s="7" t="str">
        <f>IFERROR(__xludf.DUMMYFUNCTION("""COMPUTED_VALUE"""),"Berry")</f>
        <v>Berry</v>
      </c>
      <c r="E645" s="7" t="str">
        <f>IFERROR(__xludf.DUMMYFUNCTION("""COMPUTED_VALUE"""),"DISERAHKAN")</f>
        <v>DISERAHKAN</v>
      </c>
      <c r="F645" s="9">
        <f>IFERROR(__xludf.DUMMYFUNCTION("""COMPUTED_VALUE"""),45596.406761990744)</f>
        <v>45596.40676</v>
      </c>
      <c r="G645" s="7" t="str">
        <f>IFERROR(__xludf.DUMMYFUNCTION("""COMPUTED_VALUE"""),"ROYA")</f>
        <v>ROYA</v>
      </c>
      <c r="H645" s="7">
        <f t="shared" si="1"/>
        <v>315</v>
      </c>
    </row>
    <row r="646" ht="22.5" customHeight="1">
      <c r="B646" s="7" t="str">
        <f>IFERROR(__xludf.DUMMYFUNCTION("""COMPUTED_VALUE"""),"K/31/301024/1")</f>
        <v>K/31/301024/1</v>
      </c>
      <c r="C646" s="7" t="str">
        <f>IFERROR(__xludf.DUMMYFUNCTION("""COMPUTED_VALUE"""),"M.12541/TANJUNG BARU")</f>
        <v>M.12541/TANJUNG BARU</v>
      </c>
      <c r="D646" s="7"/>
      <c r="E646" s="7"/>
      <c r="F646" s="9" t="str">
        <f>IFERROR(__xludf.DUMMYFUNCTION("""COMPUTED_VALUE"""),"")</f>
        <v/>
      </c>
      <c r="G646" s="7" t="str">
        <f>IFERROR(__xludf.DUMMYFUNCTION("""COMPUTED_VALUE"""),"SKPT")</f>
        <v>SKPT</v>
      </c>
      <c r="H646" s="7">
        <f t="shared" si="1"/>
        <v>315</v>
      </c>
    </row>
    <row r="647" ht="22.5" customHeight="1">
      <c r="B647" s="7" t="str">
        <f>IFERROR(__xludf.DUMMYFUNCTION("""COMPUTED_VALUE"""),"K/32/301024/2")</f>
        <v>K/32/301024/2</v>
      </c>
      <c r="C647" s="7" t="str">
        <f>IFERROR(__xludf.DUMMYFUNCTION("""COMPUTED_VALUE"""),"M.9564/TANJUNG BARU")</f>
        <v>M.9564/TANJUNG BARU</v>
      </c>
      <c r="D647" s="7"/>
      <c r="E647" s="7"/>
      <c r="F647" s="9" t="str">
        <f>IFERROR(__xludf.DUMMYFUNCTION("""COMPUTED_VALUE"""),"")</f>
        <v/>
      </c>
      <c r="G647" s="7" t="str">
        <f>IFERROR(__xludf.DUMMYFUNCTION("""COMPUTED_VALUE"""),"SKPT")</f>
        <v>SKPT</v>
      </c>
      <c r="H647" s="7">
        <f t="shared" si="1"/>
        <v>315</v>
      </c>
    </row>
    <row r="648" ht="22.5" customHeight="1">
      <c r="B648" s="7" t="str">
        <f>IFERROR(__xludf.DUMMYFUNCTION("""COMPUTED_VALUE"""),"L/30/301024/1")</f>
        <v>L/30/301024/1</v>
      </c>
      <c r="C648" s="7" t="str">
        <f>IFERROR(__xludf.DUMMYFUNCTION("""COMPUTED_VALUE"""),"HM 1525/BERINGIN RAYA")</f>
        <v>HM 1525/BERINGIN RAYA</v>
      </c>
      <c r="D648" s="7"/>
      <c r="E648" s="7"/>
      <c r="F648" s="9" t="str">
        <f>IFERROR(__xludf.DUMMYFUNCTION("""COMPUTED_VALUE"""),"")</f>
        <v/>
      </c>
      <c r="G648" s="7" t="str">
        <f>IFERROR(__xludf.DUMMYFUNCTION("""COMPUTED_VALUE"""),"GANDES")</f>
        <v>GANDES</v>
      </c>
      <c r="H648" s="7">
        <f t="shared" si="1"/>
        <v>315</v>
      </c>
    </row>
    <row r="649" ht="22.5" customHeight="1">
      <c r="B649" s="7" t="str">
        <f>IFERROR(__xludf.DUMMYFUNCTION("""COMPUTED_VALUE"""),"K/33/301024/3")</f>
        <v>K/33/301024/3</v>
      </c>
      <c r="C649" s="7" t="str">
        <f>IFERROR(__xludf.DUMMYFUNCTION("""COMPUTED_VALUE"""),"M.13730/TANJUNG BARU")</f>
        <v>M.13730/TANJUNG BARU</v>
      </c>
      <c r="D649" s="7"/>
      <c r="E649" s="7"/>
      <c r="F649" s="9" t="str">
        <f>IFERROR(__xludf.DUMMYFUNCTION("""COMPUTED_VALUE"""),"")</f>
        <v/>
      </c>
      <c r="G649" s="7" t="str">
        <f>IFERROR(__xludf.DUMMYFUNCTION("""COMPUTED_VALUE"""),"SKPT")</f>
        <v>SKPT</v>
      </c>
      <c r="H649" s="7">
        <f t="shared" si="1"/>
        <v>315</v>
      </c>
    </row>
    <row r="650" ht="22.5" customHeight="1">
      <c r="B650" s="7" t="str">
        <f>IFERROR(__xludf.DUMMYFUNCTION("""COMPUTED_VALUE"""),"K/35/301024/1")</f>
        <v>K/35/301024/1</v>
      </c>
      <c r="C650" s="7" t="str">
        <f>IFERROR(__xludf.DUMMYFUNCTION("""COMPUTED_VALUE"""),"M. 10396/ Labuhan Ratu")</f>
        <v>M. 10396/ Labuhan Ratu</v>
      </c>
      <c r="D650" s="7"/>
      <c r="E650" s="7"/>
      <c r="F650" s="9" t="str">
        <f>IFERROR(__xludf.DUMMYFUNCTION("""COMPUTED_VALUE"""),"")</f>
        <v/>
      </c>
      <c r="G650" s="7" t="str">
        <f>IFERROR(__xludf.DUMMYFUNCTION("""COMPUTED_VALUE"""),"Gandes")</f>
        <v>Gandes</v>
      </c>
      <c r="H650" s="7">
        <f t="shared" si="1"/>
        <v>315</v>
      </c>
    </row>
    <row r="651" ht="22.5" customHeight="1">
      <c r="B651" s="7" t="str">
        <f>IFERROR(__xludf.DUMMYFUNCTION("""COMPUTED_VALUE"""),"L/38/301024/1")</f>
        <v>L/38/301024/1</v>
      </c>
      <c r="C651" s="7" t="str">
        <f>IFERROR(__xludf.DUMMYFUNCTION("""COMPUTED_VALUE"""),"HM 1869/TANJUNG SENANG")</f>
        <v>HM 1869/TANJUNG SENANG</v>
      </c>
      <c r="D651" s="7" t="str">
        <f>IFERROR(__xludf.DUMMYFUNCTION("""COMPUTED_VALUE"""),"Berry")</f>
        <v>Berry</v>
      </c>
      <c r="E651" s="7" t="str">
        <f>IFERROR(__xludf.DUMMYFUNCTION("""COMPUTED_VALUE"""),"DISERAHKAN")</f>
        <v>DISERAHKAN</v>
      </c>
      <c r="F651" s="9">
        <f>IFERROR(__xludf.DUMMYFUNCTION("""COMPUTED_VALUE"""),45596.40709228009)</f>
        <v>45596.40709</v>
      </c>
      <c r="G651" s="7" t="str">
        <f>IFERROR(__xludf.DUMMYFUNCTION("""COMPUTED_VALUE"""),"ROYA")</f>
        <v>ROYA</v>
      </c>
      <c r="H651" s="7">
        <f t="shared" si="1"/>
        <v>316</v>
      </c>
    </row>
    <row r="652" ht="22.5" customHeight="1">
      <c r="B652" s="7" t="str">
        <f>IFERROR(__xludf.DUMMYFUNCTION("""COMPUTED_VALUE"""),"K/36/301024/1")</f>
        <v>K/36/301024/1</v>
      </c>
      <c r="C652" s="7" t="str">
        <f>IFERROR(__xludf.DUMMYFUNCTION("""COMPUTED_VALUE"""),"M. 476/ SUKARAJA")</f>
        <v>M. 476/ SUKARAJA</v>
      </c>
      <c r="D652" s="7"/>
      <c r="E652" s="7"/>
      <c r="F652" s="9" t="str">
        <f>IFERROR(__xludf.DUMMYFUNCTION("""COMPUTED_VALUE"""),"")</f>
        <v/>
      </c>
      <c r="G652" s="7" t="str">
        <f>IFERROR(__xludf.DUMMYFUNCTION("""COMPUTED_VALUE"""),"ganti kelurahan")</f>
        <v>ganti kelurahan</v>
      </c>
      <c r="H652" s="7">
        <f t="shared" si="1"/>
        <v>316</v>
      </c>
    </row>
    <row r="653" ht="22.5" customHeight="1">
      <c r="B653" s="7" t="str">
        <f>IFERROR(__xludf.DUMMYFUNCTION("""COMPUTED_VALUE"""),"K/37/301024/2")</f>
        <v>K/37/301024/2</v>
      </c>
      <c r="C653" s="7" t="str">
        <f>IFERROR(__xludf.DUMMYFUNCTION("""COMPUTED_VALUE"""),"M. 13119/ SUKARAME I")</f>
        <v>M. 13119/ SUKARAME I</v>
      </c>
      <c r="D653" s="7"/>
      <c r="E653" s="7"/>
      <c r="F653" s="9" t="str">
        <f>IFERROR(__xludf.DUMMYFUNCTION("""COMPUTED_VALUE"""),"")</f>
        <v/>
      </c>
      <c r="G653" s="7" t="str">
        <f>IFERROR(__xludf.DUMMYFUNCTION("""COMPUTED_VALUE"""),"PLOTTING")</f>
        <v>PLOTTING</v>
      </c>
      <c r="H653" s="7">
        <f t="shared" si="1"/>
        <v>316</v>
      </c>
    </row>
    <row r="654" ht="22.5" customHeight="1">
      <c r="B654" s="7" t="str">
        <f>IFERROR(__xludf.DUMMYFUNCTION("""COMPUTED_VALUE"""),"L/39/301024/1")</f>
        <v>L/39/301024/1</v>
      </c>
      <c r="C654" s="7" t="str">
        <f>IFERROR(__xludf.DUMMYFUNCTION("""COMPUTED_VALUE"""),"M.11011/KEDAMAIAN- HT 5445/2014")</f>
        <v>M.11011/KEDAMAIAN- HT 5445/2014</v>
      </c>
      <c r="D654" s="7" t="str">
        <f>IFERROR(__xludf.DUMMYFUNCTION("""COMPUTED_VALUE"""),"Berry")</f>
        <v>Berry</v>
      </c>
      <c r="E654" s="7" t="str">
        <f>IFERROR(__xludf.DUMMYFUNCTION("""COMPUTED_VALUE"""),"DISERAHKAN")</f>
        <v>DISERAHKAN</v>
      </c>
      <c r="F654" s="9">
        <f>IFERROR(__xludf.DUMMYFUNCTION("""COMPUTED_VALUE"""),45596.40732528935)</f>
        <v>45596.40733</v>
      </c>
      <c r="G654" s="7" t="str">
        <f>IFERROR(__xludf.DUMMYFUNCTION("""COMPUTED_VALUE"""),"ROYA")</f>
        <v>ROYA</v>
      </c>
      <c r="H654" s="7">
        <f t="shared" si="1"/>
        <v>317</v>
      </c>
    </row>
    <row r="655" ht="22.5" customHeight="1">
      <c r="B655" s="7" t="str">
        <f>IFERROR(__xludf.DUMMYFUNCTION("""COMPUTED_VALUE"""),"K/40/301024/1")</f>
        <v>K/40/301024/1</v>
      </c>
      <c r="C655" s="7" t="str">
        <f>IFERROR(__xludf.DUMMYFUNCTION("""COMPUTED_VALUE"""),"M. 2285/ Bumi Waras")</f>
        <v>M. 2285/ Bumi Waras</v>
      </c>
      <c r="D655" s="7" t="str">
        <f>IFERROR(__xludf.DUMMYFUNCTION("""COMPUTED_VALUE"""),"Berry")</f>
        <v>Berry</v>
      </c>
      <c r="E655" s="7" t="str">
        <f>IFERROR(__xludf.DUMMYFUNCTION("""COMPUTED_VALUE"""),"PROSES")</f>
        <v>PROSES</v>
      </c>
      <c r="F655" s="9" t="str">
        <f>IFERROR(__xludf.DUMMYFUNCTION("""COMPUTED_VALUE"""),"")</f>
        <v/>
      </c>
      <c r="G655" s="7" t="str">
        <f>IFERROR(__xludf.DUMMYFUNCTION("""COMPUTED_VALUE"""),"BN PHB")</f>
        <v>BN PHB</v>
      </c>
      <c r="H655" s="7">
        <f t="shared" si="1"/>
        <v>317</v>
      </c>
    </row>
    <row r="656" ht="22.5" customHeight="1">
      <c r="B656" s="7" t="str">
        <f>IFERROR(__xludf.DUMMYFUNCTION("""COMPUTED_VALUE"""),"K/34/301024/4")</f>
        <v>K/34/301024/4</v>
      </c>
      <c r="C656" s="7" t="str">
        <f>IFERROR(__xludf.DUMMYFUNCTION("""COMPUTED_VALUE"""),"M.11237/TANJUNG BARU")</f>
        <v>M.11237/TANJUNG BARU</v>
      </c>
      <c r="D656" s="7"/>
      <c r="E656" s="7"/>
      <c r="F656" s="9" t="str">
        <f>IFERROR(__xludf.DUMMYFUNCTION("""COMPUTED_VALUE"""),"")</f>
        <v/>
      </c>
      <c r="G656" s="7" t="str">
        <f>IFERROR(__xludf.DUMMYFUNCTION("""COMPUTED_VALUE"""),"SKPT")</f>
        <v>SKPT</v>
      </c>
      <c r="H656" s="7">
        <f t="shared" si="1"/>
        <v>317</v>
      </c>
    </row>
    <row r="657" ht="22.5" customHeight="1">
      <c r="B657" s="7" t="str">
        <f>IFERROR(__xludf.DUMMYFUNCTION("""COMPUTED_VALUE"""),"K/40/301024/1")</f>
        <v>K/40/301024/1</v>
      </c>
      <c r="C657" s="7" t="str">
        <f>IFERROR(__xludf.DUMMYFUNCTION("""COMPUTED_VALUE"""),"M.1704/PERUMNAS WAY HALIM-SEKARANG;B.562/KEDATON-DAHULU")</f>
        <v>M.1704/PERUMNAS WAY HALIM-SEKARANG;B.562/KEDATON-DAHULU</v>
      </c>
      <c r="D657" s="7"/>
      <c r="E657" s="7"/>
      <c r="F657" s="9" t="str">
        <f>IFERROR(__xludf.DUMMYFUNCTION("""COMPUTED_VALUE"""),"")</f>
        <v/>
      </c>
      <c r="G657" s="7" t="str">
        <f>IFERROR(__xludf.DUMMYFUNCTION("""COMPUTED_VALUE"""),"PLOTING")</f>
        <v>PLOTING</v>
      </c>
      <c r="H657" s="7">
        <f t="shared" si="1"/>
        <v>317</v>
      </c>
    </row>
    <row r="658" ht="22.5" customHeight="1">
      <c r="B658" s="7" t="str">
        <f>IFERROR(__xludf.DUMMYFUNCTION("""COMPUTED_VALUE"""),"L/1/311024/1")</f>
        <v>L/1/311024/1</v>
      </c>
      <c r="C658" s="7" t="str">
        <f>IFERROR(__xludf.DUMMYFUNCTION("""COMPUTED_VALUE"""),"B.1037/CAMPANG JAYA;B.1083/CAMPANG RAYA-DAHULU")</f>
        <v>B.1037/CAMPANG JAYA;B.1083/CAMPANG RAYA-DAHULU</v>
      </c>
      <c r="D658" s="7" t="str">
        <f>IFERROR(__xludf.DUMMYFUNCTION("""COMPUTED_VALUE"""),"Berry")</f>
        <v>Berry</v>
      </c>
      <c r="E658" s="7" t="str">
        <f>IFERROR(__xludf.DUMMYFUNCTION("""COMPUTED_VALUE"""),"DISERAHKAN")</f>
        <v>DISERAHKAN</v>
      </c>
      <c r="F658" s="9">
        <f>IFERROR(__xludf.DUMMYFUNCTION("""COMPUTED_VALUE"""),45600.38120959491)</f>
        <v>45600.38121</v>
      </c>
      <c r="G658" s="7" t="str">
        <f>IFERROR(__xludf.DUMMYFUNCTION("""COMPUTED_VALUE"""),"PERUBAHAN HAK")</f>
        <v>PERUBAHAN HAK</v>
      </c>
      <c r="H658" s="7">
        <f t="shared" si="1"/>
        <v>318</v>
      </c>
    </row>
    <row r="659" ht="22.5" customHeight="1">
      <c r="B659" s="7" t="str">
        <f>IFERROR(__xludf.DUMMYFUNCTION("""COMPUTED_VALUE"""),"K/3/311024/1")</f>
        <v>K/3/311024/1</v>
      </c>
      <c r="C659" s="7" t="str">
        <f>IFERROR(__xludf.DUMMYFUNCTION("""COMPUTED_VALUE"""),"M. 5834/ Way Kandis")</f>
        <v>M. 5834/ Way Kandis</v>
      </c>
      <c r="D659" s="7"/>
      <c r="E659" s="7"/>
      <c r="F659" s="9" t="str">
        <f>IFERROR(__xludf.DUMMYFUNCTION("""COMPUTED_VALUE"""),"")</f>
        <v/>
      </c>
      <c r="G659" s="7" t="str">
        <f>IFERROR(__xludf.DUMMYFUNCTION("""COMPUTED_VALUE"""),"HAPUS BPHTB")</f>
        <v>HAPUS BPHTB</v>
      </c>
      <c r="H659" s="7">
        <f t="shared" si="1"/>
        <v>318</v>
      </c>
    </row>
    <row r="660" ht="22.5" customHeight="1">
      <c r="B660" s="7" t="str">
        <f>IFERROR(__xludf.DUMMYFUNCTION("""COMPUTED_VALUE"""),"K/2/311024/1")</f>
        <v>K/2/311024/1</v>
      </c>
      <c r="C660" s="7" t="str">
        <f>IFERROR(__xludf.DUMMYFUNCTION("""COMPUTED_VALUE"""),"M.702/KORPRI JAYA-SEKARANG;M12004/SUKARAME I-DAHULU")</f>
        <v>M.702/KORPRI JAYA-SEKARANG;M12004/SUKARAME I-DAHULU</v>
      </c>
      <c r="D660" s="7" t="str">
        <f>IFERROR(__xludf.DUMMYFUNCTION("""COMPUTED_VALUE"""),"Berry")</f>
        <v>Berry</v>
      </c>
      <c r="E660" s="7" t="str">
        <f>IFERROR(__xludf.DUMMYFUNCTION("""COMPUTED_VALUE"""),"DISERAHKAN")</f>
        <v>DISERAHKAN</v>
      </c>
      <c r="F660" s="9">
        <f>IFERROR(__xludf.DUMMYFUNCTION("""COMPUTED_VALUE"""),45600.38152872685)</f>
        <v>45600.38153</v>
      </c>
      <c r="G660" s="7" t="str">
        <f>IFERROR(__xludf.DUMMYFUNCTION("""COMPUTED_VALUE"""),"PEMECAHAN")</f>
        <v>PEMECAHAN</v>
      </c>
      <c r="H660" s="7">
        <f t="shared" si="1"/>
        <v>319</v>
      </c>
    </row>
    <row r="661" ht="22.5" customHeight="1">
      <c r="B661" s="7" t="str">
        <f>IFERROR(__xludf.DUMMYFUNCTION("""COMPUTED_VALUE"""),"K/5/311024/1")</f>
        <v>K/5/311024/1</v>
      </c>
      <c r="C661" s="7" t="str">
        <f>IFERROR(__xludf.DUMMYFUNCTION("""COMPUTED_VALUE"""),"M. 213/ K B K")</f>
        <v>M. 213/ K B K</v>
      </c>
      <c r="D661" s="7"/>
      <c r="E661" s="7"/>
      <c r="F661" s="9" t="str">
        <f>IFERROR(__xludf.DUMMYFUNCTION("""COMPUTED_VALUE"""),"")</f>
        <v/>
      </c>
      <c r="G661" s="7" t="str">
        <f>IFERROR(__xludf.DUMMYFUNCTION("""COMPUTED_VALUE"""),"Gandes")</f>
        <v>Gandes</v>
      </c>
      <c r="H661" s="7">
        <f t="shared" si="1"/>
        <v>319</v>
      </c>
    </row>
    <row r="662" ht="22.5" customHeight="1">
      <c r="B662" s="7" t="str">
        <f>IFERROR(__xludf.DUMMYFUNCTION("""COMPUTED_VALUE"""),"K/4/311024/2")</f>
        <v>K/4/311024/2</v>
      </c>
      <c r="C662" s="7" t="str">
        <f>IFERROR(__xludf.DUMMYFUNCTION("""COMPUTED_VALUE"""),"M. 228/ Jagabaya I")</f>
        <v>M. 228/ Jagabaya I</v>
      </c>
      <c r="D662" s="7" t="str">
        <f>IFERROR(__xludf.DUMMYFUNCTION("""COMPUTED_VALUE"""),"Bayu")</f>
        <v>Bayu</v>
      </c>
      <c r="E662" s="7" t="str">
        <f>IFERROR(__xludf.DUMMYFUNCTION("""COMPUTED_VALUE"""),"DISERAHKAN SU")</f>
        <v>DISERAHKAN SU</v>
      </c>
      <c r="F662" s="9">
        <f>IFERROR(__xludf.DUMMYFUNCTION("""COMPUTED_VALUE"""),45597.65423621528)</f>
        <v>45597.65424</v>
      </c>
      <c r="G662" s="7" t="str">
        <f>IFERROR(__xludf.DUMMYFUNCTION("""COMPUTED_VALUE"""),"ROYA")</f>
        <v>ROYA</v>
      </c>
      <c r="H662" s="7">
        <f t="shared" si="1"/>
        <v>319</v>
      </c>
    </row>
    <row r="663" ht="22.5" customHeight="1">
      <c r="B663" s="7" t="str">
        <f>IFERROR(__xludf.DUMMYFUNCTION("""COMPUTED_VALUE"""),"K/6/311024/1")</f>
        <v>K/6/311024/1</v>
      </c>
      <c r="C663" s="7" t="str">
        <f>IFERROR(__xludf.DUMMYFUNCTION("""COMPUTED_VALUE"""),"M. 948/ Campang Raya; B. 200/ CR-dahulu")</f>
        <v>M. 948/ Campang Raya; B. 200/ CR-dahulu</v>
      </c>
      <c r="D663" s="7" t="str">
        <f>IFERROR(__xludf.DUMMYFUNCTION("""COMPUTED_VALUE"""),"Berry")</f>
        <v>Berry</v>
      </c>
      <c r="E663" s="7" t="str">
        <f>IFERROR(__xludf.DUMMYFUNCTION("""COMPUTED_VALUE"""),"DISERAHKAN BT")</f>
        <v>DISERAHKAN BT</v>
      </c>
      <c r="F663" s="9">
        <f>IFERROR(__xludf.DUMMYFUNCTION("""COMPUTED_VALUE"""),45600.3861062037)</f>
        <v>45600.38611</v>
      </c>
      <c r="G663" s="7" t="str">
        <f>IFERROR(__xludf.DUMMYFUNCTION("""COMPUTED_VALUE"""),"BN Jual Beli")</f>
        <v>BN Jual Beli</v>
      </c>
      <c r="H663" s="7">
        <f t="shared" si="1"/>
        <v>319</v>
      </c>
    </row>
    <row r="664" ht="22.5" customHeight="1">
      <c r="B664" s="7" t="str">
        <f>IFERROR(__xludf.DUMMYFUNCTION("""COMPUTED_VALUE"""),"L/11/311024/1")</f>
        <v>L/11/311024/1</v>
      </c>
      <c r="C664" s="7" t="str">
        <f>IFERROR(__xludf.DUMMYFUNCTION("""COMPUTED_VALUE"""),"HM 1362/WHP")</f>
        <v>HM 1362/WHP</v>
      </c>
      <c r="D664" s="7" t="str">
        <f>IFERROR(__xludf.DUMMYFUNCTION("""COMPUTED_VALUE"""),"Bayu")</f>
        <v>Bayu</v>
      </c>
      <c r="E664" s="7" t="str">
        <f>IFERROR(__xludf.DUMMYFUNCTION("""COMPUTED_VALUE"""),"PROSES")</f>
        <v>PROSES</v>
      </c>
      <c r="F664" s="9" t="str">
        <f>IFERROR(__xludf.DUMMYFUNCTION("""COMPUTED_VALUE"""),"")</f>
        <v/>
      </c>
      <c r="G664" s="7" t="str">
        <f>IFERROR(__xludf.DUMMYFUNCTION("""COMPUTED_VALUE"""),"ROYA")</f>
        <v>ROYA</v>
      </c>
      <c r="H664" s="7">
        <f t="shared" si="1"/>
        <v>319</v>
      </c>
    </row>
    <row r="665" ht="22.5" customHeight="1">
      <c r="B665" s="7" t="str">
        <f>IFERROR(__xludf.DUMMYFUNCTION("""COMPUTED_VALUE"""),"K/7/311024/1")</f>
        <v>K/7/311024/1</v>
      </c>
      <c r="C665" s="7" t="str">
        <f>IFERROR(__xludf.DUMMYFUNCTION("""COMPUTED_VALUE"""),"B.3378/SUKABUMI")</f>
        <v>B.3378/SUKABUMI</v>
      </c>
      <c r="D665" s="7" t="str">
        <f>IFERROR(__xludf.DUMMYFUNCTION("""COMPUTED_VALUE"""),"Bayu")</f>
        <v>Bayu</v>
      </c>
      <c r="E665" s="7" t="str">
        <f>IFERROR(__xludf.DUMMYFUNCTION("""COMPUTED_VALUE"""),"DISERAHKAN")</f>
        <v>DISERAHKAN</v>
      </c>
      <c r="F665" s="9">
        <f>IFERROR(__xludf.DUMMYFUNCTION("""COMPUTED_VALUE"""),45597.6590253125)</f>
        <v>45597.65903</v>
      </c>
      <c r="G665" s="7" t="str">
        <f>IFERROR(__xludf.DUMMYFUNCTION("""COMPUTED_VALUE"""),"HIBAH")</f>
        <v>HIBAH</v>
      </c>
      <c r="H665" s="7">
        <f t="shared" si="1"/>
        <v>320</v>
      </c>
    </row>
    <row r="666" ht="22.5" customHeight="1">
      <c r="B666" s="7" t="str">
        <f>IFERROR(__xludf.DUMMYFUNCTION("""COMPUTED_VALUE"""),"K/8/311024/2")</f>
        <v>K/8/311024/2</v>
      </c>
      <c r="C666" s="7" t="str">
        <f>IFERROR(__xludf.DUMMYFUNCTION("""COMPUTED_VALUE"""),"M.1565/KEMILING PERMAI")</f>
        <v>M.1565/KEMILING PERMAI</v>
      </c>
      <c r="D666" s="7" t="str">
        <f>IFERROR(__xludf.DUMMYFUNCTION("""COMPUTED_VALUE"""),"Bayu")</f>
        <v>Bayu</v>
      </c>
      <c r="E666" s="7" t="str">
        <f>IFERROR(__xludf.DUMMYFUNCTION("""COMPUTED_VALUE"""),"DISERAHKAN")</f>
        <v>DISERAHKAN</v>
      </c>
      <c r="F666" s="9">
        <f>IFERROR(__xludf.DUMMYFUNCTION("""COMPUTED_VALUE"""),45597.655596655095)</f>
        <v>45597.6556</v>
      </c>
      <c r="G666" s="7" t="str">
        <f>IFERROR(__xludf.DUMMYFUNCTION("""COMPUTED_VALUE"""),"BN JUAL BELI")</f>
        <v>BN JUAL BELI</v>
      </c>
      <c r="H666" s="7">
        <f t="shared" si="1"/>
        <v>321</v>
      </c>
    </row>
    <row r="667" ht="22.5" customHeight="1">
      <c r="B667" s="7" t="str">
        <f>IFERROR(__xludf.DUMMYFUNCTION("""COMPUTED_VALUE"""),"L/12/311024/1")</f>
        <v>L/12/311024/1</v>
      </c>
      <c r="C667" s="7" t="str">
        <f>IFERROR(__xludf.DUMMYFUNCTION("""COMPUTED_VALUE"""),"HM 13738/SUKABUMI")</f>
        <v>HM 13738/SUKABUMI</v>
      </c>
      <c r="D667" s="7" t="str">
        <f>IFERROR(__xludf.DUMMYFUNCTION("""COMPUTED_VALUE"""),"Pras")</f>
        <v>Pras</v>
      </c>
      <c r="E667" s="7" t="str">
        <f>IFERROR(__xludf.DUMMYFUNCTION("""COMPUTED_VALUE"""),"PROSES")</f>
        <v>PROSES</v>
      </c>
      <c r="F667" s="9" t="str">
        <f>IFERROR(__xludf.DUMMYFUNCTION("""COMPUTED_VALUE"""),"")</f>
        <v/>
      </c>
      <c r="G667" s="7" t="str">
        <f>IFERROR(__xludf.DUMMYFUNCTION("""COMPUTED_VALUE"""),"ROYA")</f>
        <v>ROYA</v>
      </c>
      <c r="H667" s="7">
        <f t="shared" si="1"/>
        <v>321</v>
      </c>
    </row>
    <row r="668" ht="22.5" customHeight="1">
      <c r="B668" s="7" t="str">
        <f>IFERROR(__xludf.DUMMYFUNCTION("""COMPUTED_VALUE"""),"K/9/311024/3")</f>
        <v>K/9/311024/3</v>
      </c>
      <c r="C668" s="7" t="str">
        <f>IFERROR(__xludf.DUMMYFUNCTION("""COMPUTED_VALUE"""),"M.9492/SEGALAMIDER")</f>
        <v>M.9492/SEGALAMIDER</v>
      </c>
      <c r="D668" s="7" t="str">
        <f>IFERROR(__xludf.DUMMYFUNCTION("""COMPUTED_VALUE"""),"Bayu")</f>
        <v>Bayu</v>
      </c>
      <c r="E668" s="7" t="str">
        <f>IFERROR(__xludf.DUMMYFUNCTION("""COMPUTED_VALUE"""),"DISERAHKAN")</f>
        <v>DISERAHKAN</v>
      </c>
      <c r="F668" s="9">
        <f>IFERROR(__xludf.DUMMYFUNCTION("""COMPUTED_VALUE"""),45597.6576078588)</f>
        <v>45597.65761</v>
      </c>
      <c r="G668" s="7" t="str">
        <f>IFERROR(__xludf.DUMMYFUNCTION("""COMPUTED_VALUE"""),"BN JUAL BELI")</f>
        <v>BN JUAL BELI</v>
      </c>
      <c r="H668" s="7">
        <f t="shared" si="1"/>
        <v>322</v>
      </c>
    </row>
    <row r="669" ht="22.5" customHeight="1">
      <c r="B669" s="7" t="str">
        <f>IFERROR(__xludf.DUMMYFUNCTION("""COMPUTED_VALUE"""),"K/10/311024/4")</f>
        <v>K/10/311024/4</v>
      </c>
      <c r="C669" s="7" t="str">
        <f>IFERROR(__xludf.DUMMYFUNCTION("""COMPUTED_VALUE"""),"M.1563/KEMILING PERMAI")</f>
        <v>M.1563/KEMILING PERMAI</v>
      </c>
      <c r="D669" s="7" t="str">
        <f>IFERROR(__xludf.DUMMYFUNCTION("""COMPUTED_VALUE"""),"Bayu")</f>
        <v>Bayu</v>
      </c>
      <c r="E669" s="7" t="str">
        <f>IFERROR(__xludf.DUMMYFUNCTION("""COMPUTED_VALUE"""),"DISERAHKAN")</f>
        <v>DISERAHKAN</v>
      </c>
      <c r="F669" s="9">
        <f>IFERROR(__xludf.DUMMYFUNCTION("""COMPUTED_VALUE"""),45597.655692291664)</f>
        <v>45597.65569</v>
      </c>
      <c r="G669" s="7" t="str">
        <f>IFERROR(__xludf.DUMMYFUNCTION("""COMPUTED_VALUE"""),"KEWARISAN")</f>
        <v>KEWARISAN</v>
      </c>
      <c r="H669" s="7">
        <f t="shared" si="1"/>
        <v>323</v>
      </c>
    </row>
    <row r="670" ht="22.5" customHeight="1">
      <c r="B670" s="7" t="str">
        <f>IFERROR(__xludf.DUMMYFUNCTION("""COMPUTED_VALUE"""),"L/13/311024/1")</f>
        <v>L/13/311024/1</v>
      </c>
      <c r="C670" s="7" t="str">
        <f>IFERROR(__xludf.DUMMYFUNCTION("""COMPUTED_VALUE"""),"B.1043/RJB")</f>
        <v>B.1043/RJB</v>
      </c>
      <c r="D670" s="7"/>
      <c r="E670" s="7" t="str">
        <f>IFERROR(__xludf.DUMMYFUNCTION("""COMPUTED_VALUE"""),"DISERAHKAN")</f>
        <v>DISERAHKAN</v>
      </c>
      <c r="F670" s="9">
        <f>IFERROR(__xludf.DUMMYFUNCTION("""COMPUTED_VALUE"""),45642.667555844906)</f>
        <v>45642.66756</v>
      </c>
      <c r="G670" s="7" t="str">
        <f>IFERROR(__xludf.DUMMYFUNCTION("""COMPUTED_VALUE"""),"GANDES")</f>
        <v>GANDES</v>
      </c>
      <c r="H670" s="7">
        <f t="shared" si="1"/>
        <v>324</v>
      </c>
    </row>
    <row r="671" ht="22.5" customHeight="1">
      <c r="B671" s="7" t="str">
        <f>IFERROR(__xludf.DUMMYFUNCTION("""COMPUTED_VALUE"""),"K/15/311024/1")</f>
        <v>K/15/311024/1</v>
      </c>
      <c r="C671" s="7" t="str">
        <f>IFERROR(__xludf.DUMMYFUNCTION("""COMPUTED_VALUE"""),"M. 15125/ Sukabumi")</f>
        <v>M. 15125/ Sukabumi</v>
      </c>
      <c r="D671" s="7" t="str">
        <f>IFERROR(__xludf.DUMMYFUNCTION("""COMPUTED_VALUE"""),"Bayu")</f>
        <v>Bayu</v>
      </c>
      <c r="E671" s="7" t="str">
        <f>IFERROR(__xludf.DUMMYFUNCTION("""COMPUTED_VALUE"""),"DISERAHKAN")</f>
        <v>DISERAHKAN</v>
      </c>
      <c r="F671" s="9">
        <f>IFERROR(__xludf.DUMMYFUNCTION("""COMPUTED_VALUE"""),45597.655736319444)</f>
        <v>45597.65574</v>
      </c>
      <c r="G671" s="7" t="str">
        <f>IFERROR(__xludf.DUMMYFUNCTION("""COMPUTED_VALUE"""),"BN JUAL BELI")</f>
        <v>BN JUAL BELI</v>
      </c>
      <c r="H671" s="7">
        <f t="shared" si="1"/>
        <v>325</v>
      </c>
    </row>
    <row r="672" ht="22.5" customHeight="1">
      <c r="B672" s="7" t="str">
        <f>IFERROR(__xludf.DUMMYFUNCTION("""COMPUTED_VALUE"""),"K/14/311024/1")</f>
        <v>K/14/311024/1</v>
      </c>
      <c r="C672" s="7" t="str">
        <f>IFERROR(__xludf.DUMMYFUNCTION("""COMPUTED_VALUE"""),"Nibel. M. 642/ Jagabaya II")</f>
        <v>Nibel. M. 642/ Jagabaya II</v>
      </c>
      <c r="D672" s="7"/>
      <c r="E672" s="7"/>
      <c r="F672" s="9" t="str">
        <f>IFERROR(__xludf.DUMMYFUNCTION("""COMPUTED_VALUE"""),"")</f>
        <v/>
      </c>
      <c r="G672" s="7" t="str">
        <f>IFERROR(__xludf.DUMMYFUNCTION("""COMPUTED_VALUE"""),"BN Jual Beli")</f>
        <v>BN Jual Beli</v>
      </c>
      <c r="H672" s="7">
        <f t="shared" si="1"/>
        <v>325</v>
      </c>
    </row>
    <row r="673" ht="22.5" customHeight="1">
      <c r="B673" s="7" t="str">
        <f>IFERROR(__xludf.DUMMYFUNCTION("""COMPUTED_VALUE"""),"K/16/311024/1")</f>
        <v>K/16/311024/1</v>
      </c>
      <c r="C673" s="7" t="str">
        <f>IFERROR(__xludf.DUMMYFUNCTION("""COMPUTED_VALUE"""),"M. 11645/ Sukarame")</f>
        <v>M. 11645/ Sukarame</v>
      </c>
      <c r="D673" s="7"/>
      <c r="E673" s="7"/>
      <c r="F673" s="9" t="str">
        <f>IFERROR(__xludf.DUMMYFUNCTION("""COMPUTED_VALUE"""),"")</f>
        <v/>
      </c>
      <c r="G673" s="7" t="str">
        <f>IFERROR(__xludf.DUMMYFUNCTION("""COMPUTED_VALUE"""),"Pengecekan")</f>
        <v>Pengecekan</v>
      </c>
      <c r="H673" s="7">
        <f t="shared" si="1"/>
        <v>325</v>
      </c>
    </row>
    <row r="674" ht="22.5" customHeight="1">
      <c r="B674" s="7" t="str">
        <f>IFERROR(__xludf.DUMMYFUNCTION("""COMPUTED_VALUE"""),"K/17/311024/1")</f>
        <v>K/17/311024/1</v>
      </c>
      <c r="C674" s="7" t="str">
        <f>IFERROR(__xludf.DUMMYFUNCTION("""COMPUTED_VALUE"""),"M. 13031/ Sukarame")</f>
        <v>M. 13031/ Sukarame</v>
      </c>
      <c r="D674" s="7"/>
      <c r="E674" s="7"/>
      <c r="F674" s="9" t="str">
        <f>IFERROR(__xludf.DUMMYFUNCTION("""COMPUTED_VALUE"""),"")</f>
        <v/>
      </c>
      <c r="G674" s="7" t="str">
        <f>IFERROR(__xludf.DUMMYFUNCTION("""COMPUTED_VALUE"""),"plottting")</f>
        <v>plottting</v>
      </c>
      <c r="H674" s="7">
        <f t="shared" si="1"/>
        <v>325</v>
      </c>
    </row>
    <row r="675" ht="22.5" customHeight="1">
      <c r="B675" s="7" t="str">
        <f>IFERROR(__xludf.DUMMYFUNCTION("""COMPUTED_VALUE"""),"L/18/311024/1")</f>
        <v>L/18/311024/1</v>
      </c>
      <c r="C675" s="7" t="str">
        <f>IFERROR(__xludf.DUMMYFUNCTION("""COMPUTED_VALUE"""),"HM 1915/GUNUNG TERANG")</f>
        <v>HM 1915/GUNUNG TERANG</v>
      </c>
      <c r="D675" s="7" t="str">
        <f>IFERROR(__xludf.DUMMYFUNCTION("""COMPUTED_VALUE"""),"Berry")</f>
        <v>Berry</v>
      </c>
      <c r="E675" s="7" t="str">
        <f>IFERROR(__xludf.DUMMYFUNCTION("""COMPUTED_VALUE"""),"DISERAHKAN")</f>
        <v>DISERAHKAN</v>
      </c>
      <c r="F675" s="9">
        <f>IFERROR(__xludf.DUMMYFUNCTION("""COMPUTED_VALUE"""),45600.38253991898)</f>
        <v>45600.38254</v>
      </c>
      <c r="G675" s="7" t="str">
        <f>IFERROR(__xludf.DUMMYFUNCTION("""COMPUTED_VALUE"""),"ROYA")</f>
        <v>ROYA</v>
      </c>
      <c r="H675" s="7">
        <f t="shared" si="1"/>
        <v>326</v>
      </c>
    </row>
    <row r="676" ht="22.5" customHeight="1">
      <c r="B676" s="7" t="str">
        <f>IFERROR(__xludf.DUMMYFUNCTION("""COMPUTED_VALUE"""),"L/19/311024/1")</f>
        <v>L/19/311024/1</v>
      </c>
      <c r="C676" s="7" t="str">
        <f>IFERROR(__xludf.DUMMYFUNCTION("""COMPUTED_VALUE"""),"M.2510/KP;B.175/KP-DAHULU")</f>
        <v>M.2510/KP;B.175/KP-DAHULU</v>
      </c>
      <c r="D676" s="7" t="str">
        <f>IFERROR(__xludf.DUMMYFUNCTION("""COMPUTED_VALUE"""),"Berry")</f>
        <v>Berry</v>
      </c>
      <c r="E676" s="7" t="str">
        <f>IFERROR(__xludf.DUMMYFUNCTION("""COMPUTED_VALUE"""),"PROSES")</f>
        <v>PROSES</v>
      </c>
      <c r="F676" s="9" t="str">
        <f>IFERROR(__xludf.DUMMYFUNCTION("""COMPUTED_VALUE"""),"")</f>
        <v/>
      </c>
      <c r="G676" s="7" t="str">
        <f>IFERROR(__xludf.DUMMYFUNCTION("""COMPUTED_VALUE"""),"ROYA")</f>
        <v>ROYA</v>
      </c>
      <c r="H676" s="7">
        <f t="shared" si="1"/>
        <v>326</v>
      </c>
    </row>
    <row r="677" ht="22.5" customHeight="1">
      <c r="B677" s="7" t="str">
        <f>IFERROR(__xludf.DUMMYFUNCTION("""COMPUTED_VALUE"""),"K/20/311024/1")</f>
        <v>K/20/311024/1</v>
      </c>
      <c r="C677" s="7" t="str">
        <f>IFERROR(__xludf.DUMMYFUNCTION("""COMPUTED_VALUE"""),"M. 101/ P W K")</f>
        <v>M. 101/ P W K</v>
      </c>
      <c r="D677" s="7"/>
      <c r="E677" s="7"/>
      <c r="F677" s="9" t="str">
        <f>IFERROR(__xludf.DUMMYFUNCTION("""COMPUTED_VALUE"""),"")</f>
        <v/>
      </c>
      <c r="G677" s="7" t="str">
        <f>IFERROR(__xludf.DUMMYFUNCTION("""COMPUTED_VALUE"""),"PTPGT (Pemecahan)")</f>
        <v>PTPGT (Pemecahan)</v>
      </c>
      <c r="H677" s="7">
        <f t="shared" si="1"/>
        <v>326</v>
      </c>
    </row>
    <row r="678" ht="22.5" customHeight="1">
      <c r="B678" s="7" t="str">
        <f>IFERROR(__xludf.DUMMYFUNCTION("""COMPUTED_VALUE"""),"K/21/311024/1")</f>
        <v>K/21/311024/1</v>
      </c>
      <c r="C678" s="7" t="str">
        <f>IFERROR(__xludf.DUMMYFUNCTION("""COMPUTED_VALUE"""),"M. 815/ PASIR GINTUNG")</f>
        <v>M. 815/ PASIR GINTUNG</v>
      </c>
      <c r="D678" s="7"/>
      <c r="E678" s="7"/>
      <c r="F678" s="9" t="str">
        <f>IFERROR(__xludf.DUMMYFUNCTION("""COMPUTED_VALUE"""),"")</f>
        <v/>
      </c>
      <c r="G678" s="7" t="str">
        <f>IFERROR(__xludf.DUMMYFUNCTION("""COMPUTED_VALUE"""),"GANTI KECAMATAN")</f>
        <v>GANTI KECAMATAN</v>
      </c>
      <c r="H678" s="7">
        <f t="shared" si="1"/>
        <v>326</v>
      </c>
    </row>
    <row r="679" ht="22.5" customHeight="1">
      <c r="B679" s="7" t="str">
        <f>IFERROR(__xludf.DUMMYFUNCTION("""COMPUTED_VALUE"""),"K/22/311024/1")</f>
        <v>K/22/311024/1</v>
      </c>
      <c r="C679" s="7" t="str">
        <f>IFERROR(__xludf.DUMMYFUNCTION("""COMPUTED_VALUE"""),"B.698/NEGERI OLOK GADING")</f>
        <v>B.698/NEGERI OLOK GADING</v>
      </c>
      <c r="D679" s="7" t="str">
        <f>IFERROR(__xludf.DUMMYFUNCTION("""COMPUTED_VALUE"""),"Berry")</f>
        <v>Berry</v>
      </c>
      <c r="E679" s="7" t="str">
        <f>IFERROR(__xludf.DUMMYFUNCTION("""COMPUTED_VALUE"""),"DISERAHKAN")</f>
        <v>DISERAHKAN</v>
      </c>
      <c r="F679" s="9">
        <f>IFERROR(__xludf.DUMMYFUNCTION("""COMPUTED_VALUE"""),45600.38321555556)</f>
        <v>45600.38322</v>
      </c>
      <c r="G679" s="7" t="str">
        <f>IFERROR(__xludf.DUMMYFUNCTION("""COMPUTED_VALUE"""),"PENINGKATAN")</f>
        <v>PENINGKATAN</v>
      </c>
      <c r="H679" s="7">
        <f t="shared" si="1"/>
        <v>327</v>
      </c>
    </row>
    <row r="680" ht="22.5" customHeight="1">
      <c r="B680" s="7" t="str">
        <f>IFERROR(__xludf.DUMMYFUNCTION("""COMPUTED_VALUE"""),"K/23/311024/1")</f>
        <v>K/23/311024/1</v>
      </c>
      <c r="C680" s="7" t="str">
        <f>IFERROR(__xludf.DUMMYFUNCTION("""COMPUTED_VALUE"""),"M.3135/TANJUNG SENENG")</f>
        <v>M.3135/TANJUNG SENENG</v>
      </c>
      <c r="D680" s="7" t="str">
        <f>IFERROR(__xludf.DUMMYFUNCTION("""COMPUTED_VALUE"""),"Bayu")</f>
        <v>Bayu</v>
      </c>
      <c r="E680" s="7" t="str">
        <f>IFERROR(__xludf.DUMMYFUNCTION("""COMPUTED_VALUE"""),"DISERAHKAN")</f>
        <v>DISERAHKAN</v>
      </c>
      <c r="F680" s="9">
        <f>IFERROR(__xludf.DUMMYFUNCTION("""COMPUTED_VALUE"""),45597.65434178241)</f>
        <v>45597.65434</v>
      </c>
      <c r="G680" s="7" t="str">
        <f>IFERROR(__xludf.DUMMYFUNCTION("""COMPUTED_VALUE"""),"ROYA")</f>
        <v>ROYA</v>
      </c>
      <c r="H680" s="7">
        <f t="shared" si="1"/>
        <v>328</v>
      </c>
    </row>
    <row r="681" ht="22.5" customHeight="1">
      <c r="B681" s="7" t="str">
        <f>IFERROR(__xludf.DUMMYFUNCTION("""COMPUTED_VALUE"""),"K/24/311024/2")</f>
        <v>K/24/311024/2</v>
      </c>
      <c r="C681" s="7" t="str">
        <f>IFERROR(__xludf.DUMMYFUNCTION("""COMPUTED_VALUE"""),"M.11853/LABUHAN RATU")</f>
        <v>M.11853/LABUHAN RATU</v>
      </c>
      <c r="D681" s="7"/>
      <c r="E681" s="7"/>
      <c r="F681" s="9" t="str">
        <f>IFERROR(__xludf.DUMMYFUNCTION("""COMPUTED_VALUE"""),"")</f>
        <v/>
      </c>
      <c r="G681" s="7" t="str">
        <f>IFERROR(__xludf.DUMMYFUNCTION("""COMPUTED_VALUE"""),"PLOTING")</f>
        <v>PLOTING</v>
      </c>
      <c r="H681" s="7">
        <f t="shared" si="1"/>
        <v>328</v>
      </c>
    </row>
    <row r="682" ht="22.5" customHeight="1">
      <c r="B682" s="7" t="str">
        <f>IFERROR(__xludf.DUMMYFUNCTION("""COMPUTED_VALUE"""),"L/25/311024/1")</f>
        <v>L/25/311024/1</v>
      </c>
      <c r="C682" s="7" t="str">
        <f>IFERROR(__xludf.DUMMYFUNCTION("""COMPUTED_VALUE"""),"M.10385/KEDAMAIAN")</f>
        <v>M.10385/KEDAMAIAN</v>
      </c>
      <c r="D682" s="7"/>
      <c r="E682" s="7"/>
      <c r="F682" s="9" t="str">
        <f>IFERROR(__xludf.DUMMYFUNCTION("""COMPUTED_VALUE"""),"")</f>
        <v/>
      </c>
      <c r="G682" s="7" t="str">
        <f>IFERROR(__xludf.DUMMYFUNCTION("""COMPUTED_VALUE"""),"CEKPLOT HILANG")</f>
        <v>CEKPLOT HILANG</v>
      </c>
      <c r="H682" s="7">
        <f t="shared" si="1"/>
        <v>328</v>
      </c>
    </row>
    <row r="683" ht="22.5" customHeight="1">
      <c r="B683" s="7" t="str">
        <f>IFERROR(__xludf.DUMMYFUNCTION("""COMPUTED_VALUE"""),"L/26/311024/1")</f>
        <v>L/26/311024/1</v>
      </c>
      <c r="C683" s="7" t="str">
        <f>IFERROR(__xludf.DUMMYFUNCTION("""COMPUTED_VALUE"""),"HGB 138/KEMILING PERMAI")</f>
        <v>HGB 138/KEMILING PERMAI</v>
      </c>
      <c r="D683" s="7" t="str">
        <f>IFERROR(__xludf.DUMMYFUNCTION("""COMPUTED_VALUE"""),"Berry")</f>
        <v>Berry</v>
      </c>
      <c r="E683" s="7" t="str">
        <f>IFERROR(__xludf.DUMMYFUNCTION("""COMPUTED_VALUE"""),"PROSES")</f>
        <v>PROSES</v>
      </c>
      <c r="F683" s="9" t="str">
        <f>IFERROR(__xludf.DUMMYFUNCTION("""COMPUTED_VALUE"""),"")</f>
        <v/>
      </c>
      <c r="G683" s="7" t="str">
        <f>IFERROR(__xludf.DUMMYFUNCTION("""COMPUTED_VALUE"""),"ROYA")</f>
        <v>ROYA</v>
      </c>
      <c r="H683" s="7">
        <f t="shared" si="1"/>
        <v>328</v>
      </c>
    </row>
    <row r="684" ht="22.5" customHeight="1">
      <c r="B684" s="7" t="str">
        <f>IFERROR(__xludf.DUMMYFUNCTION("""COMPUTED_VALUE"""),"L/27/311024/1")</f>
        <v>L/27/311024/1</v>
      </c>
      <c r="C684" s="7" t="str">
        <f>IFERROR(__xludf.DUMMYFUNCTION("""COMPUTED_VALUE"""),"M.2818/GU.T;B.92/GU.T-DAHULU")</f>
        <v>M.2818/GU.T;B.92/GU.T-DAHULU</v>
      </c>
      <c r="D684" s="7" t="str">
        <f>IFERROR(__xludf.DUMMYFUNCTION("""COMPUTED_VALUE"""),"Berry")</f>
        <v>Berry</v>
      </c>
      <c r="E684" s="7" t="str">
        <f>IFERROR(__xludf.DUMMYFUNCTION("""COMPUTED_VALUE"""),"DISERAHKAN BT")</f>
        <v>DISERAHKAN BT</v>
      </c>
      <c r="F684" s="9">
        <f>IFERROR(__xludf.DUMMYFUNCTION("""COMPUTED_VALUE"""),45600.3837899537)</f>
        <v>45600.38379</v>
      </c>
      <c r="G684" s="7" t="str">
        <f>IFERROR(__xludf.DUMMYFUNCTION("""COMPUTED_VALUE"""),"ROYA")</f>
        <v>ROYA</v>
      </c>
      <c r="H684" s="7">
        <f t="shared" si="1"/>
        <v>328</v>
      </c>
    </row>
    <row r="685" ht="22.5" customHeight="1">
      <c r="B685" s="7" t="str">
        <f>IFERROR(__xludf.DUMMYFUNCTION("""COMPUTED_VALUE"""),"K/28/311024/1")</f>
        <v>K/28/311024/1</v>
      </c>
      <c r="C685" s="7" t="str">
        <f>IFERROR(__xludf.DUMMYFUNCTION("""COMPUTED_VALUE"""),"B. 1546/ Sukabumi")</f>
        <v>B. 1546/ Sukabumi</v>
      </c>
      <c r="D685" s="7" t="str">
        <f>IFERROR(__xludf.DUMMYFUNCTION("""COMPUTED_VALUE"""),"Berry")</f>
        <v>Berry</v>
      </c>
      <c r="E685" s="7" t="str">
        <f>IFERROR(__xludf.DUMMYFUNCTION("""COMPUTED_VALUE"""),"DISERAHKAN BT")</f>
        <v>DISERAHKAN BT</v>
      </c>
      <c r="F685" s="9">
        <f>IFERROR(__xludf.DUMMYFUNCTION("""COMPUTED_VALUE"""),45600.38454636574)</f>
        <v>45600.38455</v>
      </c>
      <c r="G685" s="7" t="str">
        <f>IFERROR(__xludf.DUMMYFUNCTION("""COMPUTED_VALUE"""),"Perubahan Hak")</f>
        <v>Perubahan Hak</v>
      </c>
      <c r="H685" s="7">
        <f t="shared" si="1"/>
        <v>328</v>
      </c>
    </row>
    <row r="686" ht="22.5" customHeight="1">
      <c r="B686" s="7" t="str">
        <f>IFERROR(__xludf.DUMMYFUNCTION("""COMPUTED_VALUE"""),"K/29/311024/1")</f>
        <v>K/29/311024/1</v>
      </c>
      <c r="C686" s="7" t="str">
        <f>IFERROR(__xludf.DUMMYFUNCTION("""COMPUTED_VALUE"""),"B. 1655/ KANGKUNG")</f>
        <v>B. 1655/ KANGKUNG</v>
      </c>
      <c r="D686" s="7" t="str">
        <f>IFERROR(__xludf.DUMMYFUNCTION("""COMPUTED_VALUE"""),"Sahelia")</f>
        <v>Sahelia</v>
      </c>
      <c r="E686" s="7" t="str">
        <f>IFERROR(__xludf.DUMMYFUNCTION("""COMPUTED_VALUE"""),"DISERAHKAN")</f>
        <v>DISERAHKAN</v>
      </c>
      <c r="F686" s="9">
        <f>IFERROR(__xludf.DUMMYFUNCTION("""COMPUTED_VALUE"""),45604.613238969905)</f>
        <v>45604.61324</v>
      </c>
      <c r="G686" s="7" t="str">
        <f>IFERROR(__xludf.DUMMYFUNCTION("""COMPUTED_VALUE"""),"BN PHB")</f>
        <v>BN PHB</v>
      </c>
      <c r="H686" s="7">
        <f t="shared" si="1"/>
        <v>329</v>
      </c>
    </row>
    <row r="687" ht="22.5" customHeight="1">
      <c r="B687" s="7" t="str">
        <f>IFERROR(__xludf.DUMMYFUNCTION("""COMPUTED_VALUE"""),"K/32/311024/1")</f>
        <v>K/32/311024/1</v>
      </c>
      <c r="C687" s="7" t="str">
        <f>IFERROR(__xludf.DUMMYFUNCTION("""COMPUTED_VALUE"""),"M.11880/SEGALA MIDER")</f>
        <v>M.11880/SEGALA MIDER</v>
      </c>
      <c r="D687" s="7"/>
      <c r="E687" s="7"/>
      <c r="F687" s="9" t="str">
        <f>IFERROR(__xludf.DUMMYFUNCTION("""COMPUTED_VALUE"""),"")</f>
        <v/>
      </c>
      <c r="G687" s="7" t="str">
        <f>IFERROR(__xludf.DUMMYFUNCTION("""COMPUTED_VALUE"""),"PLOTING")</f>
        <v>PLOTING</v>
      </c>
      <c r="H687" s="7">
        <f t="shared" si="1"/>
        <v>329</v>
      </c>
    </row>
    <row r="688" ht="22.5" customHeight="1">
      <c r="B688" s="7" t="str">
        <f>IFERROR(__xludf.DUMMYFUNCTION("""COMPUTED_VALUE"""),"K/33/311024/2")</f>
        <v>K/33/311024/2</v>
      </c>
      <c r="C688" s="7" t="str">
        <f>IFERROR(__xludf.DUMMYFUNCTION("""COMPUTED_VALUE"""),"M.9885/KEDATON")</f>
        <v>M.9885/KEDATON</v>
      </c>
      <c r="D688" s="7"/>
      <c r="E688" s="7"/>
      <c r="F688" s="9" t="str">
        <f>IFERROR(__xludf.DUMMYFUNCTION("""COMPUTED_VALUE"""),"")</f>
        <v/>
      </c>
      <c r="G688" s="7" t="str">
        <f>IFERROR(__xludf.DUMMYFUNCTION("""COMPUTED_VALUE"""),"PLOTING")</f>
        <v>PLOTING</v>
      </c>
      <c r="H688" s="7">
        <f t="shared" si="1"/>
        <v>329</v>
      </c>
    </row>
    <row r="689" ht="22.5" customHeight="1">
      <c r="B689" s="7" t="str">
        <f>IFERROR(__xludf.DUMMYFUNCTION("""COMPUTED_VALUE"""),"K/34/311024/3")</f>
        <v>K/34/311024/3</v>
      </c>
      <c r="C689" s="7" t="str">
        <f>IFERROR(__xludf.DUMMYFUNCTION("""COMPUTED_VALUE"""),"B.535/BAKUNG")</f>
        <v>B.535/BAKUNG</v>
      </c>
      <c r="D689" s="7"/>
      <c r="E689" s="7"/>
      <c r="F689" s="9" t="str">
        <f>IFERROR(__xludf.DUMMYFUNCTION("""COMPUTED_VALUE"""),"")</f>
        <v/>
      </c>
      <c r="G689" s="7" t="str">
        <f>IFERROR(__xludf.DUMMYFUNCTION("""COMPUTED_VALUE"""),"PLOTING")</f>
        <v>PLOTING</v>
      </c>
      <c r="H689" s="7">
        <f t="shared" si="1"/>
        <v>329</v>
      </c>
    </row>
    <row r="690" ht="22.5" customHeight="1">
      <c r="B690" s="7" t="str">
        <f>IFERROR(__xludf.DUMMYFUNCTION("""COMPUTED_VALUE"""),"K/30/311024/2")</f>
        <v>K/30/311024/2</v>
      </c>
      <c r="C690" s="7" t="str">
        <f>IFERROR(__xludf.DUMMYFUNCTION("""COMPUTED_VALUE"""),"M. 520/ Gunung Agung")</f>
        <v>M. 520/ Gunung Agung</v>
      </c>
      <c r="D690" s="7" t="str">
        <f>IFERROR(__xludf.DUMMYFUNCTION("""COMPUTED_VALUE"""),"Berry")</f>
        <v>Berry</v>
      </c>
      <c r="E690" s="7" t="str">
        <f>IFERROR(__xludf.DUMMYFUNCTION("""COMPUTED_VALUE"""),"DISERAHKAN")</f>
        <v>DISERAHKAN</v>
      </c>
      <c r="F690" s="9">
        <f>IFERROR(__xludf.DUMMYFUNCTION("""COMPUTED_VALUE"""),45600.38514640046)</f>
        <v>45600.38515</v>
      </c>
      <c r="G690" s="7" t="str">
        <f>IFERROR(__xludf.DUMMYFUNCTION("""COMPUTED_VALUE"""),"BN JUAL BELI")</f>
        <v>BN JUAL BELI</v>
      </c>
      <c r="H690" s="7">
        <f t="shared" si="1"/>
        <v>330</v>
      </c>
    </row>
    <row r="691" ht="22.5" customHeight="1">
      <c r="B691" s="7" t="str">
        <f>IFERROR(__xludf.DUMMYFUNCTION("""COMPUTED_VALUE"""),"K/35/311024/1")</f>
        <v>K/35/311024/1</v>
      </c>
      <c r="C691" s="7" t="str">
        <f>IFERROR(__xludf.DUMMYFUNCTION("""COMPUTED_VALUE"""),"M. 16570/ Sukabumi")</f>
        <v>M. 16570/ Sukabumi</v>
      </c>
      <c r="D691" s="7" t="str">
        <f>IFERROR(__xludf.DUMMYFUNCTION("""COMPUTED_VALUE"""),"Berry")</f>
        <v>Berry</v>
      </c>
      <c r="E691" s="7" t="str">
        <f>IFERROR(__xludf.DUMMYFUNCTION("""COMPUTED_VALUE"""),"DISERAHKAN")</f>
        <v>DISERAHKAN</v>
      </c>
      <c r="F691" s="9">
        <f>IFERROR(__xludf.DUMMYFUNCTION("""COMPUTED_VALUE"""),45600.385427870366)</f>
        <v>45600.38543</v>
      </c>
      <c r="G691" s="7" t="str">
        <f>IFERROR(__xludf.DUMMYFUNCTION("""COMPUTED_VALUE"""),"BN Jual Beli")</f>
        <v>BN Jual Beli</v>
      </c>
      <c r="H691" s="7">
        <f t="shared" si="1"/>
        <v>331</v>
      </c>
    </row>
    <row r="692" ht="22.5" customHeight="1">
      <c r="B692" s="7" t="str">
        <f>IFERROR(__xludf.DUMMYFUNCTION("""COMPUTED_VALUE"""),"K/31/311024/3")</f>
        <v>K/31/311024/3</v>
      </c>
      <c r="C692" s="7" t="str">
        <f>IFERROR(__xludf.DUMMYFUNCTION("""COMPUTED_VALUE"""),"M. 3998/ Rajabasa Jaya")</f>
        <v>M. 3998/ Rajabasa Jaya</v>
      </c>
      <c r="D692" s="7" t="str">
        <f>IFERROR(__xludf.DUMMYFUNCTION("""COMPUTED_VALUE"""),"Berry")</f>
        <v>Berry</v>
      </c>
      <c r="E692" s="7" t="str">
        <f>IFERROR(__xludf.DUMMYFUNCTION("""COMPUTED_VALUE"""),"DISERAHKAN")</f>
        <v>DISERAHKAN</v>
      </c>
      <c r="F692" s="9">
        <f>IFERROR(__xludf.DUMMYFUNCTION("""COMPUTED_VALUE"""),45600.38564746528)</f>
        <v>45600.38565</v>
      </c>
      <c r="G692" s="7" t="str">
        <f>IFERROR(__xludf.DUMMYFUNCTION("""COMPUTED_VALUE"""),"bn jual beli")</f>
        <v>bn jual beli</v>
      </c>
      <c r="H692" s="7">
        <f t="shared" si="1"/>
        <v>332</v>
      </c>
    </row>
    <row r="693" ht="22.5" customHeight="1">
      <c r="B693" s="7" t="str">
        <f>IFERROR(__xludf.DUMMYFUNCTION("""COMPUTED_VALUE"""),"K/36/311024/1")</f>
        <v>K/36/311024/1</v>
      </c>
      <c r="C693" s="7" t="str">
        <f>IFERROR(__xludf.DUMMYFUNCTION("""COMPUTED_VALUE"""),"B.571/NUSANTARA PERMAI-SEKARANG;B.616/CAMPANG RAYA-DAHULU")</f>
        <v>B.571/NUSANTARA PERMAI-SEKARANG;B.616/CAMPANG RAYA-DAHULU</v>
      </c>
      <c r="D693" s="7" t="str">
        <f>IFERROR(__xludf.DUMMYFUNCTION("""COMPUTED_VALUE"""),"David")</f>
        <v>David</v>
      </c>
      <c r="E693" s="7" t="str">
        <f>IFERROR(__xludf.DUMMYFUNCTION("""COMPUTED_VALUE"""),"DISERAHKAN")</f>
        <v>DISERAHKAN</v>
      </c>
      <c r="F693" s="9">
        <f>IFERROR(__xludf.DUMMYFUNCTION("""COMPUTED_VALUE"""),45600.387171875)</f>
        <v>45600.38717</v>
      </c>
      <c r="G693" s="7" t="str">
        <f>IFERROR(__xludf.DUMMYFUNCTION("""COMPUTED_VALUE"""),"PENINGKATAN")</f>
        <v>PENINGKATAN</v>
      </c>
      <c r="H693" s="7">
        <f t="shared" si="1"/>
        <v>333</v>
      </c>
    </row>
    <row r="694" ht="22.5" customHeight="1">
      <c r="B694" s="7" t="str">
        <f>IFERROR(__xludf.DUMMYFUNCTION("""COMPUTED_VALUE"""),"K/37/311024/1")</f>
        <v>K/37/311024/1</v>
      </c>
      <c r="C694" s="7" t="str">
        <f>IFERROR(__xludf.DUMMYFUNCTION("""COMPUTED_VALUE"""),"M.9511/SIDODADI")</f>
        <v>M.9511/SIDODADI</v>
      </c>
      <c r="D694" s="7" t="str">
        <f>IFERROR(__xludf.DUMMYFUNCTION("""COMPUTED_VALUE"""),"David")</f>
        <v>David</v>
      </c>
      <c r="E694" s="7" t="str">
        <f>IFERROR(__xludf.DUMMYFUNCTION("""COMPUTED_VALUE"""),"DISERAHKAN")</f>
        <v>DISERAHKAN</v>
      </c>
      <c r="F694" s="9">
        <f>IFERROR(__xludf.DUMMYFUNCTION("""COMPUTED_VALUE"""),45600.38793222222)</f>
        <v>45600.38793</v>
      </c>
      <c r="G694" s="7" t="str">
        <f>IFERROR(__xludf.DUMMYFUNCTION("""COMPUTED_VALUE"""),"HIBAH")</f>
        <v>HIBAH</v>
      </c>
      <c r="H694" s="7">
        <f t="shared" si="1"/>
        <v>334</v>
      </c>
    </row>
    <row r="695" ht="22.5" customHeight="1">
      <c r="B695" s="7" t="str">
        <f>IFERROR(__xludf.DUMMYFUNCTION("""COMPUTED_VALUE"""),"K/38/311024/1")</f>
        <v>K/38/311024/1</v>
      </c>
      <c r="C695" s="7" t="str">
        <f>IFERROR(__xludf.DUMMYFUNCTION("""COMPUTED_VALUE"""),"M. 2181/ Kemiling Permai; SHT 1853/2019")</f>
        <v>M. 2181/ Kemiling Permai; SHT 1853/2019</v>
      </c>
      <c r="D695" s="7" t="str">
        <f>IFERROR(__xludf.DUMMYFUNCTION("""COMPUTED_VALUE"""),"David")</f>
        <v>David</v>
      </c>
      <c r="E695" s="7" t="str">
        <f>IFERROR(__xludf.DUMMYFUNCTION("""COMPUTED_VALUE"""),"DISERAHKAN")</f>
        <v>DISERAHKAN</v>
      </c>
      <c r="F695" s="9">
        <f>IFERROR(__xludf.DUMMYFUNCTION("""COMPUTED_VALUE"""),45609.59345270833)</f>
        <v>45609.59345</v>
      </c>
      <c r="G695" s="7" t="str">
        <f>IFERROR(__xludf.DUMMYFUNCTION("""COMPUTED_VALUE"""),"Ganti Nama Kreditur")</f>
        <v>Ganti Nama Kreditur</v>
      </c>
      <c r="H695" s="7">
        <f t="shared" si="1"/>
        <v>335</v>
      </c>
    </row>
    <row r="696" ht="22.5" customHeight="1">
      <c r="B696" s="7" t="str">
        <f>IFERROR(__xludf.DUMMYFUNCTION("""COMPUTED_VALUE"""),"K/39/311024/1")</f>
        <v>K/39/311024/1</v>
      </c>
      <c r="C696" s="7" t="str">
        <f>IFERROR(__xludf.DUMMYFUNCTION("""COMPUTED_VALUE"""),"M.183/LABUHAN RATU RAYA")</f>
        <v>M.183/LABUHAN RATU RAYA</v>
      </c>
      <c r="D696" s="7" t="str">
        <f>IFERROR(__xludf.DUMMYFUNCTION("""COMPUTED_VALUE"""),"David")</f>
        <v>David</v>
      </c>
      <c r="E696" s="7" t="str">
        <f>IFERROR(__xludf.DUMMYFUNCTION("""COMPUTED_VALUE"""),"DISERAHKAN")</f>
        <v>DISERAHKAN</v>
      </c>
      <c r="F696" s="9">
        <f>IFERROR(__xludf.DUMMYFUNCTION("""COMPUTED_VALUE"""),45600.38936819445)</f>
        <v>45600.38937</v>
      </c>
      <c r="G696" s="7" t="str">
        <f>IFERROR(__xludf.DUMMYFUNCTION("""COMPUTED_VALUE"""),"BN JUAL BELI")</f>
        <v>BN JUAL BELI</v>
      </c>
      <c r="H696" s="7">
        <f t="shared" si="1"/>
        <v>336</v>
      </c>
    </row>
    <row r="697" ht="22.5" customHeight="1">
      <c r="B697" s="7" t="str">
        <f>IFERROR(__xludf.DUMMYFUNCTION("""COMPUTED_VALUE"""),"K/40/311024/2")</f>
        <v>K/40/311024/2</v>
      </c>
      <c r="C697" s="7" t="str">
        <f>IFERROR(__xludf.DUMMYFUNCTION("""COMPUTED_VALUE"""),"M.1183/PERUMNAS WAY KANDIS")</f>
        <v>M.1183/PERUMNAS WAY KANDIS</v>
      </c>
      <c r="D697" s="7" t="str">
        <f>IFERROR(__xludf.DUMMYFUNCTION("""COMPUTED_VALUE"""),"David")</f>
        <v>David</v>
      </c>
      <c r="E697" s="7" t="str">
        <f>IFERROR(__xludf.DUMMYFUNCTION("""COMPUTED_VALUE"""),"DISERAHKAN")</f>
        <v>DISERAHKAN</v>
      </c>
      <c r="F697" s="9">
        <f>IFERROR(__xludf.DUMMYFUNCTION("""COMPUTED_VALUE"""),45600.39043381944)</f>
        <v>45600.39043</v>
      </c>
      <c r="G697" s="7" t="str">
        <f>IFERROR(__xludf.DUMMYFUNCTION("""COMPUTED_VALUE"""),"BN JUAL BELI")</f>
        <v>BN JUAL BELI</v>
      </c>
      <c r="H697" s="7">
        <f t="shared" si="1"/>
        <v>337</v>
      </c>
    </row>
    <row r="698" ht="22.5" customHeight="1">
      <c r="B698" s="7" t="str">
        <f>IFERROR(__xludf.DUMMYFUNCTION("""COMPUTED_VALUE"""),"K/41/311024/1")</f>
        <v>K/41/311024/1</v>
      </c>
      <c r="C698" s="7" t="str">
        <f>IFERROR(__xludf.DUMMYFUNCTION("""COMPUTED_VALUE"""),"M. 3912/ Sukadana Ham")</f>
        <v>M. 3912/ Sukadana Ham</v>
      </c>
      <c r="D698" s="7" t="str">
        <f>IFERROR(__xludf.DUMMYFUNCTION("""COMPUTED_VALUE"""),"David")</f>
        <v>David</v>
      </c>
      <c r="E698" s="7" t="str">
        <f>IFERROR(__xludf.DUMMYFUNCTION("""COMPUTED_VALUE"""),"DISERAHKAN")</f>
        <v>DISERAHKAN</v>
      </c>
      <c r="F698" s="9">
        <f>IFERROR(__xludf.DUMMYFUNCTION("""COMPUTED_VALUE"""),45600.39096034723)</f>
        <v>45600.39096</v>
      </c>
      <c r="G698" s="7" t="str">
        <f>IFERROR(__xludf.DUMMYFUNCTION("""COMPUTED_VALUE"""),"BN Jual Beli")</f>
        <v>BN Jual Beli</v>
      </c>
      <c r="H698" s="7">
        <f t="shared" si="1"/>
        <v>338</v>
      </c>
    </row>
    <row r="699" ht="22.5" customHeight="1">
      <c r="B699" s="7" t="str">
        <f>IFERROR(__xludf.DUMMYFUNCTION("""COMPUTED_VALUE"""),"K/42/311024/1")</f>
        <v>K/42/311024/1</v>
      </c>
      <c r="C699" s="7" t="str">
        <f>IFERROR(__xludf.DUMMYFUNCTION("""COMPUTED_VALUE"""),"M. 1333/ SEPANG JAYA")</f>
        <v>M. 1333/ SEPANG JAYA</v>
      </c>
      <c r="D699" s="7" t="str">
        <f>IFERROR(__xludf.DUMMYFUNCTION("""COMPUTED_VALUE"""),"David")</f>
        <v>David</v>
      </c>
      <c r="E699" s="7" t="str">
        <f>IFERROR(__xludf.DUMMYFUNCTION("""COMPUTED_VALUE"""),"DISERAHKAN")</f>
        <v>DISERAHKAN</v>
      </c>
      <c r="F699" s="9">
        <f>IFERROR(__xludf.DUMMYFUNCTION("""COMPUTED_VALUE"""),45600.39117699074)</f>
        <v>45600.39118</v>
      </c>
      <c r="G699" s="7" t="str">
        <f>IFERROR(__xludf.DUMMYFUNCTION("""COMPUTED_VALUE"""),"ROYA")</f>
        <v>ROYA</v>
      </c>
      <c r="H699" s="7">
        <f t="shared" si="1"/>
        <v>339</v>
      </c>
    </row>
    <row r="700" ht="22.5" customHeight="1">
      <c r="B700" s="7" t="str">
        <f>IFERROR(__xludf.DUMMYFUNCTION("""COMPUTED_VALUE"""),"K/43/311024/1")</f>
        <v>K/43/311024/1</v>
      </c>
      <c r="C700" s="7" t="str">
        <f>IFERROR(__xludf.DUMMYFUNCTION("""COMPUTED_VALUE"""),"M. 860/ Tanjung Gading")</f>
        <v>M. 860/ Tanjung Gading</v>
      </c>
      <c r="D700" s="7" t="str">
        <f>IFERROR(__xludf.DUMMYFUNCTION("""COMPUTED_VALUE"""),"David")</f>
        <v>David</v>
      </c>
      <c r="E700" s="7" t="str">
        <f>IFERROR(__xludf.DUMMYFUNCTION("""COMPUTED_VALUE"""),"DISERAHKAN")</f>
        <v>DISERAHKAN</v>
      </c>
      <c r="F700" s="9">
        <f>IFERROR(__xludf.DUMMYFUNCTION("""COMPUTED_VALUE"""),45600.39167064815)</f>
        <v>45600.39167</v>
      </c>
      <c r="G700" s="7" t="str">
        <f>IFERROR(__xludf.DUMMYFUNCTION("""COMPUTED_VALUE"""),"BN Hibah")</f>
        <v>BN Hibah</v>
      </c>
      <c r="H700" s="7">
        <f t="shared" si="1"/>
        <v>340</v>
      </c>
    </row>
    <row r="701" ht="22.5" customHeight="1">
      <c r="B701" s="7" t="str">
        <f>IFERROR(__xludf.DUMMYFUNCTION("""COMPUTED_VALUE"""),"K/44/311024/2")</f>
        <v>K/44/311024/2</v>
      </c>
      <c r="C701" s="7" t="str">
        <f>IFERROR(__xludf.DUMMYFUNCTION("""COMPUTED_VALUE"""),"M. 858/ Tanjung Gading")</f>
        <v>M. 858/ Tanjung Gading</v>
      </c>
      <c r="D701" s="7" t="str">
        <f>IFERROR(__xludf.DUMMYFUNCTION("""COMPUTED_VALUE"""),"David")</f>
        <v>David</v>
      </c>
      <c r="E701" s="7" t="str">
        <f>IFERROR(__xludf.DUMMYFUNCTION("""COMPUTED_VALUE"""),"DISERAHKAN")</f>
        <v>DISERAHKAN</v>
      </c>
      <c r="F701" s="9">
        <f>IFERROR(__xludf.DUMMYFUNCTION("""COMPUTED_VALUE"""),45600.39194731481)</f>
        <v>45600.39195</v>
      </c>
      <c r="G701" s="7" t="str">
        <f>IFERROR(__xludf.DUMMYFUNCTION("""COMPUTED_VALUE"""),"BN Hibah")</f>
        <v>BN Hibah</v>
      </c>
      <c r="H701" s="7">
        <f t="shared" si="1"/>
        <v>341</v>
      </c>
    </row>
    <row r="702" ht="22.5" customHeight="1">
      <c r="B702" s="7" t="str">
        <f>IFERROR(__xludf.DUMMYFUNCTION("""COMPUTED_VALUE"""),"L/46/311024/1")</f>
        <v>L/46/311024/1</v>
      </c>
      <c r="C702" s="7" t="str">
        <f>IFERROR(__xludf.DUMMYFUNCTION("""COMPUTED_VALUE"""),"M.1462/SS.B")</f>
        <v>M.1462/SS.B</v>
      </c>
      <c r="D702" s="7" t="str">
        <f>IFERROR(__xludf.DUMMYFUNCTION("""COMPUTED_VALUE"""),"David")</f>
        <v>David</v>
      </c>
      <c r="E702" s="7" t="str">
        <f>IFERROR(__xludf.DUMMYFUNCTION("""COMPUTED_VALUE"""),"DISERAHKAN")</f>
        <v>DISERAHKAN</v>
      </c>
      <c r="F702" s="9">
        <f>IFERROR(__xludf.DUMMYFUNCTION("""COMPUTED_VALUE"""),45600.39229153935)</f>
        <v>45600.39229</v>
      </c>
      <c r="G702" s="7" t="str">
        <f>IFERROR(__xludf.DUMMYFUNCTION("""COMPUTED_VALUE"""),"ROYA")</f>
        <v>ROYA</v>
      </c>
      <c r="H702" s="7">
        <f t="shared" si="1"/>
        <v>342</v>
      </c>
    </row>
    <row r="703" ht="22.5" customHeight="1">
      <c r="B703" s="7" t="str">
        <f>IFERROR(__xludf.DUMMYFUNCTION("""COMPUTED_VALUE"""),"K/45/311024/3")</f>
        <v>K/45/311024/3</v>
      </c>
      <c r="C703" s="7" t="str">
        <f>IFERROR(__xludf.DUMMYFUNCTION("""COMPUTED_VALUE"""),"M. 859/ Tanjung Gading")</f>
        <v>M. 859/ Tanjung Gading</v>
      </c>
      <c r="D703" s="7" t="str">
        <f>IFERROR(__xludf.DUMMYFUNCTION("""COMPUTED_VALUE"""),"David")</f>
        <v>David</v>
      </c>
      <c r="E703" s="7" t="str">
        <f>IFERROR(__xludf.DUMMYFUNCTION("""COMPUTED_VALUE"""),"DISERAHKAN")</f>
        <v>DISERAHKAN</v>
      </c>
      <c r="F703" s="9">
        <f>IFERROR(__xludf.DUMMYFUNCTION("""COMPUTED_VALUE"""),45600.40052793981)</f>
        <v>45600.40053</v>
      </c>
      <c r="G703" s="7" t="str">
        <f>IFERROR(__xludf.DUMMYFUNCTION("""COMPUTED_VALUE"""),"BN Hibah")</f>
        <v>BN Hibah</v>
      </c>
      <c r="H703" s="7">
        <f t="shared" si="1"/>
        <v>343</v>
      </c>
    </row>
    <row r="704" ht="22.5" customHeight="1">
      <c r="B704" s="7" t="str">
        <f>IFERROR(__xludf.DUMMYFUNCTION("""COMPUTED_VALUE"""),"K/47/311024/1")</f>
        <v>K/47/311024/1</v>
      </c>
      <c r="C704" s="7" t="str">
        <f>IFERROR(__xludf.DUMMYFUNCTION("""COMPUTED_VALUE"""),"M. 1057/ BERINGIN RAYA")</f>
        <v>M. 1057/ BERINGIN RAYA</v>
      </c>
      <c r="D704" s="7"/>
      <c r="E704" s="7"/>
      <c r="F704" s="9" t="str">
        <f>IFERROR(__xludf.DUMMYFUNCTION("""COMPUTED_VALUE"""),"")</f>
        <v/>
      </c>
      <c r="G704" s="7" t="str">
        <f>IFERROR(__xludf.DUMMYFUNCTION("""COMPUTED_VALUE"""),"GANTI KELURAHAN")</f>
        <v>GANTI KELURAHAN</v>
      </c>
      <c r="H704" s="7">
        <f t="shared" si="1"/>
        <v>343</v>
      </c>
    </row>
    <row r="705" ht="22.5" customHeight="1">
      <c r="B705" s="7" t="str">
        <f>IFERROR(__xludf.DUMMYFUNCTION("""COMPUTED_VALUE"""),"K/48/311024/1")</f>
        <v>K/48/311024/1</v>
      </c>
      <c r="C705" s="7" t="str">
        <f>IFERROR(__xludf.DUMMYFUNCTION("""COMPUTED_VALUE"""),"M.233/PERUMNAS WAY KANDIS-SEKARANG;B.233/KEDATON-DAHULU")</f>
        <v>M.233/PERUMNAS WAY KANDIS-SEKARANG;B.233/KEDATON-DAHULU</v>
      </c>
      <c r="D705" s="7"/>
      <c r="E705" s="7"/>
      <c r="F705" s="9" t="str">
        <f>IFERROR(__xludf.DUMMYFUNCTION("""COMPUTED_VALUE"""),"")</f>
        <v/>
      </c>
      <c r="G705" s="7" t="str">
        <f>IFERROR(__xludf.DUMMYFUNCTION("""COMPUTED_VALUE"""),"Ploting")</f>
        <v>Ploting</v>
      </c>
      <c r="H705" s="7">
        <f t="shared" si="1"/>
        <v>343</v>
      </c>
    </row>
    <row r="706" ht="22.5" customHeight="1">
      <c r="B706" s="7" t="str">
        <f>IFERROR(__xludf.DUMMYFUNCTION("""COMPUTED_VALUE"""),"K/49/311024/2")</f>
        <v>K/49/311024/2</v>
      </c>
      <c r="C706" s="7" t="str">
        <f>IFERROR(__xludf.DUMMYFUNCTION("""COMPUTED_VALUE"""),"M.1351/WAY HALIM PERMAI-SEKARANG;B.437/JAGABAYA II-DAHULU")</f>
        <v>M.1351/WAY HALIM PERMAI-SEKARANG;B.437/JAGABAYA II-DAHULU</v>
      </c>
      <c r="D706" s="7"/>
      <c r="E706" s="7"/>
      <c r="F706" s="9" t="str">
        <f>IFERROR(__xludf.DUMMYFUNCTION("""COMPUTED_VALUE"""),"")</f>
        <v/>
      </c>
      <c r="G706" s="7" t="str">
        <f>IFERROR(__xludf.DUMMYFUNCTION("""COMPUTED_VALUE"""),"PLOTING")</f>
        <v>PLOTING</v>
      </c>
      <c r="H706" s="7">
        <f t="shared" si="1"/>
        <v>343</v>
      </c>
    </row>
    <row r="707" ht="22.5" customHeight="1">
      <c r="B707" s="7" t="str">
        <f>IFERROR(__xludf.DUMMYFUNCTION("""COMPUTED_VALUE"""),"L/54/311024/1")</f>
        <v>L/54/311024/1</v>
      </c>
      <c r="C707" s="7" t="str">
        <f>IFERROR(__xludf.DUMMYFUNCTION("""COMPUTED_VALUE"""),"NIB 1772/SUKARAME")</f>
        <v>NIB 1772/SUKARAME</v>
      </c>
      <c r="D707" s="7"/>
      <c r="E707" s="7"/>
      <c r="F707" s="9" t="str">
        <f>IFERROR(__xludf.DUMMYFUNCTION("""COMPUTED_VALUE"""),"")</f>
        <v/>
      </c>
      <c r="G707" s="7" t="str">
        <f>IFERROR(__xludf.DUMMYFUNCTION("""COMPUTED_VALUE"""),"BN LELANG")</f>
        <v>BN LELANG</v>
      </c>
      <c r="H707" s="7">
        <f t="shared" si="1"/>
        <v>343</v>
      </c>
    </row>
    <row r="708" ht="22.5" customHeight="1">
      <c r="B708" s="7" t="str">
        <f>IFERROR(__xludf.DUMMYFUNCTION("""COMPUTED_VALUE"""),"K/50/311024/3")</f>
        <v>K/50/311024/3</v>
      </c>
      <c r="C708" s="7" t="str">
        <f>IFERROR(__xludf.DUMMYFUNCTION("""COMPUTED_VALUE"""),"M.5980/WAY KANDIS")</f>
        <v>M.5980/WAY KANDIS</v>
      </c>
      <c r="D708" s="7" t="str">
        <f>IFERROR(__xludf.DUMMYFUNCTION("""COMPUTED_VALUE"""),"David")</f>
        <v>David</v>
      </c>
      <c r="E708" s="7" t="str">
        <f>IFERROR(__xludf.DUMMYFUNCTION("""COMPUTED_VALUE"""),"DISERAHKAN")</f>
        <v>DISERAHKAN</v>
      </c>
      <c r="F708" s="9">
        <f>IFERROR(__xludf.DUMMYFUNCTION("""COMPUTED_VALUE"""),45600.39326195602)</f>
        <v>45600.39326</v>
      </c>
      <c r="G708" s="7" t="str">
        <f>IFERROR(__xludf.DUMMYFUNCTION("""COMPUTED_VALUE"""),"KEWARISAN")</f>
        <v>KEWARISAN</v>
      </c>
      <c r="H708" s="7">
        <f t="shared" si="1"/>
        <v>344</v>
      </c>
    </row>
    <row r="709" ht="22.5" customHeight="1">
      <c r="B709" s="7" t="str">
        <f>IFERROR(__xludf.DUMMYFUNCTION("""COMPUTED_VALUE"""),"K/51/311024/4")</f>
        <v>K/51/311024/4</v>
      </c>
      <c r="C709" s="7" t="str">
        <f>IFERROR(__xludf.DUMMYFUNCTION("""COMPUTED_VALUE"""),"M.5979/WAY KANDIS")</f>
        <v>M.5979/WAY KANDIS</v>
      </c>
      <c r="D709" s="7" t="str">
        <f>IFERROR(__xludf.DUMMYFUNCTION("""COMPUTED_VALUE"""),"David")</f>
        <v>David</v>
      </c>
      <c r="E709" s="7" t="str">
        <f>IFERROR(__xludf.DUMMYFUNCTION("""COMPUTED_VALUE"""),"DISERAHKAN")</f>
        <v>DISERAHKAN</v>
      </c>
      <c r="F709" s="9">
        <f>IFERROR(__xludf.DUMMYFUNCTION("""COMPUTED_VALUE"""),45600.39366440973)</f>
        <v>45600.39366</v>
      </c>
      <c r="G709" s="7" t="str">
        <f>IFERROR(__xludf.DUMMYFUNCTION("""COMPUTED_VALUE"""),"KEWARISAN")</f>
        <v>KEWARISAN</v>
      </c>
      <c r="H709" s="7">
        <f t="shared" si="1"/>
        <v>345</v>
      </c>
    </row>
    <row r="710" ht="22.5" customHeight="1">
      <c r="B710" s="7" t="str">
        <f>IFERROR(__xludf.DUMMYFUNCTION("""COMPUTED_VALUE"""),"K/52/311024/1")</f>
        <v>K/52/311024/1</v>
      </c>
      <c r="C710" s="7" t="str">
        <f>IFERROR(__xludf.DUMMYFUNCTION("""COMPUTED_VALUE"""),"NIBEL 2355/ SUKABUMI")</f>
        <v>NIBEL 2355/ SUKABUMI</v>
      </c>
      <c r="D710" s="7"/>
      <c r="E710" s="7"/>
      <c r="F710" s="9" t="str">
        <f>IFERROR(__xludf.DUMMYFUNCTION("""COMPUTED_VALUE"""),"")</f>
        <v/>
      </c>
      <c r="G710" s="7" t="str">
        <f>IFERROR(__xludf.DUMMYFUNCTION("""COMPUTED_VALUE"""),"PERUBAHAN HAK")</f>
        <v>PERUBAHAN HAK</v>
      </c>
      <c r="H710" s="7">
        <f t="shared" si="1"/>
        <v>345</v>
      </c>
    </row>
    <row r="711" ht="22.5" customHeight="1">
      <c r="B711" s="7" t="str">
        <f>IFERROR(__xludf.DUMMYFUNCTION("""COMPUTED_VALUE"""),"K/53/311024/2")</f>
        <v>K/53/311024/2</v>
      </c>
      <c r="C711" s="7" t="str">
        <f>IFERROR(__xludf.DUMMYFUNCTION("""COMPUTED_VALUE"""),"Nibel 2354/ Sukabumi")</f>
        <v>Nibel 2354/ Sukabumi</v>
      </c>
      <c r="D711" s="7"/>
      <c r="E711" s="7"/>
      <c r="F711" s="9" t="str">
        <f>IFERROR(__xludf.DUMMYFUNCTION("""COMPUTED_VALUE"""),"")</f>
        <v/>
      </c>
      <c r="G711" s="7" t="str">
        <f>IFERROR(__xludf.DUMMYFUNCTION("""COMPUTED_VALUE"""),"perubahan hak")</f>
        <v>perubahan hak</v>
      </c>
      <c r="H711" s="7">
        <f t="shared" si="1"/>
        <v>345</v>
      </c>
    </row>
    <row r="712" ht="22.5" customHeight="1">
      <c r="B712" s="7" t="str">
        <f>IFERROR(__xludf.DUMMYFUNCTION("""COMPUTED_VALUE"""),"K/55/311024/2")</f>
        <v>K/55/311024/2</v>
      </c>
      <c r="C712" s="7" t="str">
        <f>IFERROR(__xludf.DUMMYFUNCTION("""COMPUTED_VALUE"""),"Nibel.M. 2744/ Sukarame Baru")</f>
        <v>Nibel.M. 2744/ Sukarame Baru</v>
      </c>
      <c r="D712" s="7"/>
      <c r="E712" s="7"/>
      <c r="F712" s="9" t="str">
        <f>IFERROR(__xludf.DUMMYFUNCTION("""COMPUTED_VALUE"""),"")</f>
        <v/>
      </c>
      <c r="G712" s="7" t="str">
        <f>IFERROR(__xludf.DUMMYFUNCTION("""COMPUTED_VALUE"""),"PTPGT (Pemecahan)")</f>
        <v>PTPGT (Pemecahan)</v>
      </c>
      <c r="H712" s="7">
        <f t="shared" si="1"/>
        <v>345</v>
      </c>
    </row>
    <row r="713" ht="22.5" customHeight="1">
      <c r="B713" s="7" t="str">
        <f>IFERROR(__xludf.DUMMYFUNCTION("""COMPUTED_VALUE"""),"K/56/311024/3")</f>
        <v>K/56/311024/3</v>
      </c>
      <c r="C713" s="7" t="str">
        <f>IFERROR(__xludf.DUMMYFUNCTION("""COMPUTED_VALUE"""),"Nibel. M. 2743/ Sukarame Baru")</f>
        <v>Nibel. M. 2743/ Sukarame Baru</v>
      </c>
      <c r="D713" s="7"/>
      <c r="E713" s="7"/>
      <c r="F713" s="9" t="str">
        <f>IFERROR(__xludf.DUMMYFUNCTION("""COMPUTED_VALUE"""),"")</f>
        <v/>
      </c>
      <c r="G713" s="7" t="str">
        <f>IFERROR(__xludf.DUMMYFUNCTION("""COMPUTED_VALUE"""),"PTPGT (Pemecahan)")</f>
        <v>PTPGT (Pemecahan)</v>
      </c>
      <c r="H713" s="7">
        <f t="shared" si="1"/>
        <v>345</v>
      </c>
    </row>
    <row r="714" ht="22.5" customHeight="1">
      <c r="B714" s="7" t="str">
        <f>IFERROR(__xludf.DUMMYFUNCTION("""COMPUTED_VALUE"""),"K/57/311024/1")</f>
        <v>K/57/311024/1</v>
      </c>
      <c r="C714" s="7" t="str">
        <f>IFERROR(__xludf.DUMMYFUNCTION("""COMPUTED_VALUE"""),"B. 581/ Sumber Agung")</f>
        <v>B. 581/ Sumber Agung</v>
      </c>
      <c r="D714" s="7" t="str">
        <f>IFERROR(__xludf.DUMMYFUNCTION("""COMPUTED_VALUE"""),"David")</f>
        <v>David</v>
      </c>
      <c r="E714" s="7" t="str">
        <f>IFERROR(__xludf.DUMMYFUNCTION("""COMPUTED_VALUE"""),"DISERAHKAN")</f>
        <v>DISERAHKAN</v>
      </c>
      <c r="F714" s="9">
        <f>IFERROR(__xludf.DUMMYFUNCTION("""COMPUTED_VALUE"""),45600.39438938657)</f>
        <v>45600.39439</v>
      </c>
      <c r="G714" s="7" t="str">
        <f>IFERROR(__xludf.DUMMYFUNCTION("""COMPUTED_VALUE"""),"BN JUAL BELI")</f>
        <v>BN JUAL BELI</v>
      </c>
      <c r="H714" s="7">
        <f t="shared" si="1"/>
        <v>346</v>
      </c>
    </row>
    <row r="715" ht="22.5" customHeight="1">
      <c r="B715" s="7" t="str">
        <f>IFERROR(__xludf.DUMMYFUNCTION("""COMPUTED_VALUE"""),"K/59/311024/1")</f>
        <v>K/59/311024/1</v>
      </c>
      <c r="C715" s="7" t="str">
        <f>IFERROR(__xludf.DUMMYFUNCTION("""COMPUTED_VALUE"""),"M.9662/KEDAMAIAN")</f>
        <v>M.9662/KEDAMAIAN</v>
      </c>
      <c r="D715" s="7"/>
      <c r="E715" s="7"/>
      <c r="F715" s="9" t="str">
        <f>IFERROR(__xludf.DUMMYFUNCTION("""COMPUTED_VALUE"""),"")</f>
        <v/>
      </c>
      <c r="G715" s="7" t="str">
        <f>IFERROR(__xludf.DUMMYFUNCTION("""COMPUTED_VALUE"""),"PLOTING")</f>
        <v>PLOTING</v>
      </c>
      <c r="H715" s="7">
        <f t="shared" si="1"/>
        <v>346</v>
      </c>
    </row>
    <row r="716" ht="22.5" customHeight="1">
      <c r="B716" s="7" t="str">
        <f>IFERROR(__xludf.DUMMYFUNCTION("""COMPUTED_VALUE"""),"K/60/311024/1")</f>
        <v>K/60/311024/1</v>
      </c>
      <c r="C716" s="7" t="str">
        <f>IFERROR(__xludf.DUMMYFUNCTION("""COMPUTED_VALUE"""),"M. 12416/ Sukabumi; B. 4544/ Sukabumi")</f>
        <v>M. 12416/ Sukabumi; B. 4544/ Sukabumi</v>
      </c>
      <c r="D716" s="7" t="str">
        <f>IFERROR(__xludf.DUMMYFUNCTION("""COMPUTED_VALUE"""),"David")</f>
        <v>David</v>
      </c>
      <c r="E716" s="7" t="str">
        <f>IFERROR(__xludf.DUMMYFUNCTION("""COMPUTED_VALUE"""),"DISERAHKAN SU")</f>
        <v>DISERAHKAN SU</v>
      </c>
      <c r="F716" s="9">
        <f>IFERROR(__xludf.DUMMYFUNCTION("""COMPUTED_VALUE"""),45600.39538826389)</f>
        <v>45600.39539</v>
      </c>
      <c r="G716" s="7" t="str">
        <f>IFERROR(__xludf.DUMMYFUNCTION("""COMPUTED_VALUE"""),"BN Jual Beli")</f>
        <v>BN Jual Beli</v>
      </c>
      <c r="H716" s="7">
        <f t="shared" si="1"/>
        <v>346</v>
      </c>
    </row>
    <row r="717" ht="22.5" customHeight="1">
      <c r="B717" s="7" t="str">
        <f>IFERROR(__xludf.DUMMYFUNCTION("""COMPUTED_VALUE"""),"K/58/311024/2")</f>
        <v>K/58/311024/2</v>
      </c>
      <c r="C717" s="7" t="str">
        <f>IFERROR(__xludf.DUMMYFUNCTION("""COMPUTED_VALUE"""),"M. 6488/ Way Kandis")</f>
        <v>M. 6488/ Way Kandis</v>
      </c>
      <c r="D717" s="7" t="str">
        <f>IFERROR(__xludf.DUMMYFUNCTION("""COMPUTED_VALUE"""),"David")</f>
        <v>David</v>
      </c>
      <c r="E717" s="7" t="str">
        <f>IFERROR(__xludf.DUMMYFUNCTION("""COMPUTED_VALUE"""),"PROSES")</f>
        <v>PROSES</v>
      </c>
      <c r="F717" s="9" t="str">
        <f>IFERROR(__xludf.DUMMYFUNCTION("""COMPUTED_VALUE"""),"")</f>
        <v/>
      </c>
      <c r="G717" s="7" t="str">
        <f>IFERROR(__xludf.DUMMYFUNCTION("""COMPUTED_VALUE"""),"BN JUAL BELI")</f>
        <v>BN JUAL BELI</v>
      </c>
      <c r="H717" s="7">
        <f t="shared" si="1"/>
        <v>346</v>
      </c>
    </row>
    <row r="718" ht="22.5" customHeight="1">
      <c r="B718" s="7" t="str">
        <f>IFERROR(__xludf.DUMMYFUNCTION("""COMPUTED_VALUE"""),"K/61/311024/2")</f>
        <v>K/61/311024/2</v>
      </c>
      <c r="C718" s="7" t="str">
        <f>IFERROR(__xludf.DUMMYFUNCTION("""COMPUTED_VALUE"""),"B. 944/ Kedaton")</f>
        <v>B. 944/ Kedaton</v>
      </c>
      <c r="D718" s="7"/>
      <c r="E718" s="7"/>
      <c r="F718" s="9" t="str">
        <f>IFERROR(__xludf.DUMMYFUNCTION("""COMPUTED_VALUE"""),"")</f>
        <v/>
      </c>
      <c r="G718" s="7" t="str">
        <f>IFERROR(__xludf.DUMMYFUNCTION("""COMPUTED_VALUE"""),"Pengukuran HGB Berakhir")</f>
        <v>Pengukuran HGB Berakhir</v>
      </c>
      <c r="H718" s="7">
        <f t="shared" si="1"/>
        <v>346</v>
      </c>
    </row>
    <row r="719" ht="22.5" customHeight="1">
      <c r="B719" s="7" t="str">
        <f>IFERROR(__xludf.DUMMYFUNCTION("""COMPUTED_VALUE"""),"K/62/311024/3")</f>
        <v>K/62/311024/3</v>
      </c>
      <c r="C719" s="7" t="str">
        <f>IFERROR(__xludf.DUMMYFUNCTION("""COMPUTED_VALUE"""),"B. 578/ Sumber Agung")</f>
        <v>B. 578/ Sumber Agung</v>
      </c>
      <c r="D719" s="7" t="str">
        <f>IFERROR(__xludf.DUMMYFUNCTION("""COMPUTED_VALUE"""),"David")</f>
        <v>David</v>
      </c>
      <c r="E719" s="7" t="str">
        <f>IFERROR(__xludf.DUMMYFUNCTION("""COMPUTED_VALUE"""),"DISERAHKAN")</f>
        <v>DISERAHKAN</v>
      </c>
      <c r="F719" s="9">
        <f>IFERROR(__xludf.DUMMYFUNCTION("""COMPUTED_VALUE"""),45600.39568570602)</f>
        <v>45600.39569</v>
      </c>
      <c r="G719" s="7" t="str">
        <f>IFERROR(__xludf.DUMMYFUNCTION("""COMPUTED_VALUE"""),"bn jual beli")</f>
        <v>bn jual beli</v>
      </c>
      <c r="H719" s="7">
        <f t="shared" si="1"/>
        <v>347</v>
      </c>
    </row>
    <row r="720" ht="22.5" customHeight="1">
      <c r="B720" s="7" t="str">
        <f>IFERROR(__xludf.DUMMYFUNCTION("""COMPUTED_VALUE"""),"K/65/311024/2")</f>
        <v>K/65/311024/2</v>
      </c>
      <c r="C720" s="7" t="str">
        <f>IFERROR(__xludf.DUMMYFUNCTION("""COMPUTED_VALUE"""),"B. 103/ Nusantara Permai")</f>
        <v>B. 103/ Nusantara Permai</v>
      </c>
      <c r="D720" s="7" t="str">
        <f>IFERROR(__xludf.DUMMYFUNCTION("""COMPUTED_VALUE"""),"David")</f>
        <v>David</v>
      </c>
      <c r="E720" s="7" t="str">
        <f>IFERROR(__xludf.DUMMYFUNCTION("""COMPUTED_VALUE"""),"DISERAHKAN")</f>
        <v>DISERAHKAN</v>
      </c>
      <c r="F720" s="9">
        <f>IFERROR(__xludf.DUMMYFUNCTION("""COMPUTED_VALUE"""),45600.39590666667)</f>
        <v>45600.39591</v>
      </c>
      <c r="G720" s="7" t="str">
        <f>IFERROR(__xludf.DUMMYFUNCTION("""COMPUTED_VALUE"""),"BN Jual Beli")</f>
        <v>BN Jual Beli</v>
      </c>
      <c r="H720" s="7">
        <f t="shared" si="1"/>
        <v>348</v>
      </c>
    </row>
    <row r="721" ht="22.5" customHeight="1">
      <c r="B721" s="7" t="str">
        <f>IFERROR(__xludf.DUMMYFUNCTION("""COMPUTED_VALUE"""),"K/66/311024/1")</f>
        <v>K/66/311024/1</v>
      </c>
      <c r="C721" s="7" t="str">
        <f>IFERROR(__xludf.DUMMYFUNCTION("""COMPUTED_VALUE"""),"M. 1871/ Tanjung Seneng")</f>
        <v>M. 1871/ Tanjung Seneng</v>
      </c>
      <c r="D721" s="7" t="str">
        <f>IFERROR(__xludf.DUMMYFUNCTION("""COMPUTED_VALUE"""),"David")</f>
        <v>David</v>
      </c>
      <c r="E721" s="7" t="str">
        <f>IFERROR(__xludf.DUMMYFUNCTION("""COMPUTED_VALUE"""),"PROSES")</f>
        <v>PROSES</v>
      </c>
      <c r="F721" s="9" t="str">
        <f>IFERROR(__xludf.DUMMYFUNCTION("""COMPUTED_VALUE"""),"")</f>
        <v/>
      </c>
      <c r="G721" s="7" t="str">
        <f>IFERROR(__xludf.DUMMYFUNCTION("""COMPUTED_VALUE"""),"BN LELANG")</f>
        <v>BN LELANG</v>
      </c>
      <c r="H721" s="7">
        <f t="shared" si="1"/>
        <v>348</v>
      </c>
    </row>
    <row r="722" ht="22.5" customHeight="1">
      <c r="B722" s="7" t="str">
        <f>IFERROR(__xludf.DUMMYFUNCTION("""COMPUTED_VALUE"""),"K/64/311024/1")</f>
        <v>K/64/311024/1</v>
      </c>
      <c r="C722" s="7" t="str">
        <f>IFERROR(__xludf.DUMMYFUNCTION("""COMPUTED_VALUE"""),"B. 256/ Nusantara Permai")</f>
        <v>B. 256/ Nusantara Permai</v>
      </c>
      <c r="D722" s="7" t="str">
        <f>IFERROR(__xludf.DUMMYFUNCTION("""COMPUTED_VALUE"""),"David")</f>
        <v>David</v>
      </c>
      <c r="E722" s="7" t="str">
        <f>IFERROR(__xludf.DUMMYFUNCTION("""COMPUTED_VALUE"""),"DISERAHKAN")</f>
        <v>DISERAHKAN</v>
      </c>
      <c r="F722" s="9">
        <f>IFERROR(__xludf.DUMMYFUNCTION("""COMPUTED_VALUE"""),45600.39676758102)</f>
        <v>45600.39677</v>
      </c>
      <c r="G722" s="7" t="str">
        <f>IFERROR(__xludf.DUMMYFUNCTION("""COMPUTED_VALUE"""),"BN Jual Beli")</f>
        <v>BN Jual Beli</v>
      </c>
      <c r="H722" s="7">
        <f t="shared" si="1"/>
        <v>349</v>
      </c>
    </row>
    <row r="723" ht="22.5" customHeight="1">
      <c r="B723" s="7" t="str">
        <f>IFERROR(__xludf.DUMMYFUNCTION("""COMPUTED_VALUE"""),"K/67/311024/1")</f>
        <v>K/67/311024/1</v>
      </c>
      <c r="C723" s="7" t="str">
        <f>IFERROR(__xludf.DUMMYFUNCTION("""COMPUTED_VALUE"""),"M.2446/RAJABASA JAYA")</f>
        <v>M.2446/RAJABASA JAYA</v>
      </c>
      <c r="D723" s="7" t="str">
        <f>IFERROR(__xludf.DUMMYFUNCTION("""COMPUTED_VALUE"""),"David")</f>
        <v>David</v>
      </c>
      <c r="E723" s="7" t="str">
        <f>IFERROR(__xludf.DUMMYFUNCTION("""COMPUTED_VALUE"""),"DISERAHKAN")</f>
        <v>DISERAHKAN</v>
      </c>
      <c r="F723" s="9">
        <f>IFERROR(__xludf.DUMMYFUNCTION("""COMPUTED_VALUE"""),45600.39681997686)</f>
        <v>45600.39682</v>
      </c>
      <c r="G723" s="7" t="str">
        <f>IFERROR(__xludf.DUMMYFUNCTION("""COMPUTED_VALUE"""),"BN JUAL BELI")</f>
        <v>BN JUAL BELI</v>
      </c>
      <c r="H723" s="7">
        <f t="shared" si="1"/>
        <v>350</v>
      </c>
    </row>
    <row r="724" ht="22.5" customHeight="1">
      <c r="B724" s="7" t="str">
        <f>IFERROR(__xludf.DUMMYFUNCTION("""COMPUTED_VALUE"""),"K/68/311024/2")</f>
        <v>K/68/311024/2</v>
      </c>
      <c r="C724" s="7" t="str">
        <f>IFERROR(__xludf.DUMMYFUNCTION("""COMPUTED_VALUE"""),"M.11378/SEGALA MIDER")</f>
        <v>M.11378/SEGALA MIDER</v>
      </c>
      <c r="D724" s="7" t="str">
        <f>IFERROR(__xludf.DUMMYFUNCTION("""COMPUTED_VALUE"""),"David")</f>
        <v>David</v>
      </c>
      <c r="E724" s="7" t="str">
        <f>IFERROR(__xludf.DUMMYFUNCTION("""COMPUTED_VALUE"""),"DISERAHKAN")</f>
        <v>DISERAHKAN</v>
      </c>
      <c r="F724" s="9">
        <f>IFERROR(__xludf.DUMMYFUNCTION("""COMPUTED_VALUE"""),45600.3969578588)</f>
        <v>45600.39696</v>
      </c>
      <c r="G724" s="7" t="str">
        <f>IFERROR(__xludf.DUMMYFUNCTION("""COMPUTED_VALUE"""),"BN JUAL BELI")</f>
        <v>BN JUAL BELI</v>
      </c>
      <c r="H724" s="7">
        <f t="shared" si="1"/>
        <v>351</v>
      </c>
    </row>
    <row r="725" ht="22.5" customHeight="1">
      <c r="B725" s="7" t="str">
        <f>IFERROR(__xludf.DUMMYFUNCTION("""COMPUTED_VALUE"""),"K/69/311024/3")</f>
        <v>K/69/311024/3</v>
      </c>
      <c r="C725" s="7" t="str">
        <f>IFERROR(__xludf.DUMMYFUNCTION("""COMPUTED_VALUE"""),"M.10150/SUKAMENANTI")</f>
        <v>M.10150/SUKAMENANTI</v>
      </c>
      <c r="D725" s="7" t="str">
        <f>IFERROR(__xludf.DUMMYFUNCTION("""COMPUTED_VALUE"""),"David")</f>
        <v>David</v>
      </c>
      <c r="E725" s="7" t="str">
        <f>IFERROR(__xludf.DUMMYFUNCTION("""COMPUTED_VALUE"""),"PROSES")</f>
        <v>PROSES</v>
      </c>
      <c r="F725" s="9" t="str">
        <f>IFERROR(__xludf.DUMMYFUNCTION("""COMPUTED_VALUE"""),"")</f>
        <v/>
      </c>
      <c r="G725" s="7" t="str">
        <f>IFERROR(__xludf.DUMMYFUNCTION("""COMPUTED_VALUE"""),"BN JUAL BELI")</f>
        <v>BN JUAL BELI</v>
      </c>
      <c r="H725" s="7">
        <f t="shared" si="1"/>
        <v>351</v>
      </c>
    </row>
    <row r="726" ht="22.5" customHeight="1">
      <c r="B726" s="7" t="str">
        <f>IFERROR(__xludf.DUMMYFUNCTION("""COMPUTED_VALUE"""),"K/1/45597/1")</f>
        <v>K/1/45597/1</v>
      </c>
      <c r="C726" s="7" t="str">
        <f>IFERROR(__xludf.DUMMYFUNCTION("""COMPUTED_VALUE"""),"M.4660/LANGKAPURA")</f>
        <v>M.4660/LANGKAPURA</v>
      </c>
      <c r="D726" s="7"/>
      <c r="E726" s="7"/>
      <c r="F726" s="9" t="str">
        <f>IFERROR(__xludf.DUMMYFUNCTION("""COMPUTED_VALUE"""),"")</f>
        <v/>
      </c>
      <c r="G726" s="7" t="str">
        <f>IFERROR(__xludf.DUMMYFUNCTION("""COMPUTED_VALUE"""),"HAPUS BPHTB")</f>
        <v>HAPUS BPHTB</v>
      </c>
      <c r="H726" s="7">
        <f t="shared" si="1"/>
        <v>351</v>
      </c>
    </row>
    <row r="727" ht="22.5" customHeight="1">
      <c r="B727" s="7" t="str">
        <f>IFERROR(__xludf.DUMMYFUNCTION("""COMPUTED_VALUE"""),"L/2/11124/1")</f>
        <v>L/2/11124/1</v>
      </c>
      <c r="C727" s="7" t="str">
        <f>IFERROR(__xludf.DUMMYFUNCTION("""COMPUTED_VALUE"""),"HGB 403/SUKARAME BARU")</f>
        <v>HGB 403/SUKARAME BARU</v>
      </c>
      <c r="D727" s="7" t="str">
        <f>IFERROR(__xludf.DUMMYFUNCTION("""COMPUTED_VALUE"""),"Berry")</f>
        <v>Berry</v>
      </c>
      <c r="E727" s="7" t="str">
        <f>IFERROR(__xludf.DUMMYFUNCTION("""COMPUTED_VALUE"""),"DISERAHKAN")</f>
        <v>DISERAHKAN</v>
      </c>
      <c r="F727" s="9">
        <f>IFERROR(__xludf.DUMMYFUNCTION("""COMPUTED_VALUE"""),45600.46422771991)</f>
        <v>45600.46423</v>
      </c>
      <c r="G727" s="7" t="str">
        <f>IFERROR(__xludf.DUMMYFUNCTION("""COMPUTED_VALUE"""),"PERUBAHAN HAK")</f>
        <v>PERUBAHAN HAK</v>
      </c>
      <c r="H727" s="7">
        <f t="shared" si="1"/>
        <v>352</v>
      </c>
    </row>
    <row r="728" ht="22.5" customHeight="1">
      <c r="B728" s="7" t="str">
        <f>IFERROR(__xludf.DUMMYFUNCTION("""COMPUTED_VALUE"""),"K/3/11124/1")</f>
        <v>K/3/11124/1</v>
      </c>
      <c r="C728" s="7" t="str">
        <f>IFERROR(__xludf.DUMMYFUNCTION("""COMPUTED_VALUE"""),"M. 11571/ TANJUNG BARU")</f>
        <v>M. 11571/ TANJUNG BARU</v>
      </c>
      <c r="D728" s="7"/>
      <c r="E728" s="7"/>
      <c r="F728" s="9" t="str">
        <f>IFERROR(__xludf.DUMMYFUNCTION("""COMPUTED_VALUE"""),"")</f>
        <v/>
      </c>
      <c r="G728" s="7" t="str">
        <f>IFERROR(__xludf.DUMMYFUNCTION("""COMPUTED_VALUE"""),"GANTI KELURAHAN")</f>
        <v>GANTI KELURAHAN</v>
      </c>
      <c r="H728" s="7">
        <f t="shared" si="1"/>
        <v>352</v>
      </c>
    </row>
    <row r="729" ht="22.5" customHeight="1">
      <c r="B729" s="7" t="str">
        <f>IFERROR(__xludf.DUMMYFUNCTION("""COMPUTED_VALUE"""),"K/4/11124/2")</f>
        <v>K/4/11124/2</v>
      </c>
      <c r="C729" s="7" t="str">
        <f>IFERROR(__xludf.DUMMYFUNCTION("""COMPUTED_VALUE"""),"M. 599/ KALI BALAU KENCANA")</f>
        <v>M. 599/ KALI BALAU KENCANA</v>
      </c>
      <c r="D729" s="7"/>
      <c r="E729" s="7"/>
      <c r="F729" s="9" t="str">
        <f>IFERROR(__xludf.DUMMYFUNCTION("""COMPUTED_VALUE"""),"")</f>
        <v/>
      </c>
      <c r="G729" s="7" t="str">
        <f>IFERROR(__xludf.DUMMYFUNCTION("""COMPUTED_VALUE"""),"GANTI KELURAHAN")</f>
        <v>GANTI KELURAHAN</v>
      </c>
      <c r="H729" s="7">
        <f t="shared" si="1"/>
        <v>352</v>
      </c>
    </row>
    <row r="730" ht="22.5" customHeight="1">
      <c r="B730" s="7" t="str">
        <f>IFERROR(__xludf.DUMMYFUNCTION("""COMPUTED_VALUE"""),"K/5/11124/1")</f>
        <v>K/5/11124/1</v>
      </c>
      <c r="C730" s="7" t="str">
        <f>IFERROR(__xludf.DUMMYFUNCTION("""COMPUTED_VALUE"""),"M. 6050/ Way Kandis")</f>
        <v>M. 6050/ Way Kandis</v>
      </c>
      <c r="D730" s="7"/>
      <c r="E730" s="7"/>
      <c r="F730" s="9" t="str">
        <f>IFERROR(__xludf.DUMMYFUNCTION("""COMPUTED_VALUE"""),"")</f>
        <v/>
      </c>
      <c r="G730" s="7" t="str">
        <f>IFERROR(__xludf.DUMMYFUNCTION("""COMPUTED_VALUE"""),"pengecekkan")</f>
        <v>pengecekkan</v>
      </c>
      <c r="H730" s="7">
        <f t="shared" si="1"/>
        <v>352</v>
      </c>
    </row>
    <row r="731" ht="22.5" customHeight="1">
      <c r="B731" s="7" t="str">
        <f>IFERROR(__xludf.DUMMYFUNCTION("""COMPUTED_VALUE"""),"K/6/11124/1")</f>
        <v>K/6/11124/1</v>
      </c>
      <c r="C731" s="7" t="str">
        <f>IFERROR(__xludf.DUMMYFUNCTION("""COMPUTED_VALUE"""),"M. 6570/ TANJUNG SENANG")</f>
        <v>M. 6570/ TANJUNG SENANG</v>
      </c>
      <c r="D731" s="7" t="str">
        <f>IFERROR(__xludf.DUMMYFUNCTION("""COMPUTED_VALUE"""),"Berry")</f>
        <v>Berry</v>
      </c>
      <c r="E731" s="7" t="str">
        <f>IFERROR(__xludf.DUMMYFUNCTION("""COMPUTED_VALUE"""),"DISERAHKAN")</f>
        <v>DISERAHKAN</v>
      </c>
      <c r="F731" s="9">
        <f>IFERROR(__xludf.DUMMYFUNCTION("""COMPUTED_VALUE"""),45600.46482681713)</f>
        <v>45600.46483</v>
      </c>
      <c r="G731" s="7" t="str">
        <f>IFERROR(__xludf.DUMMYFUNCTION("""COMPUTED_VALUE"""),"BN JUAL BELI")</f>
        <v>BN JUAL BELI</v>
      </c>
      <c r="H731" s="7">
        <f t="shared" si="1"/>
        <v>353</v>
      </c>
    </row>
    <row r="732" ht="22.5" customHeight="1">
      <c r="B732" s="7" t="str">
        <f>IFERROR(__xludf.DUMMYFUNCTION("""COMPUTED_VALUE"""),"K/8/011124/1")</f>
        <v>K/8/011124/1</v>
      </c>
      <c r="C732" s="7" t="str">
        <f>IFERROR(__xludf.DUMMYFUNCTION("""COMPUTED_VALUE"""),"B. 65/ Labuhan Dalam")</f>
        <v>B. 65/ Labuhan Dalam</v>
      </c>
      <c r="D732" s="7"/>
      <c r="E732" s="7" t="str">
        <f>IFERROR(__xludf.DUMMYFUNCTION("""COMPUTED_VALUE"""),"DISERAHKAN")</f>
        <v>DISERAHKAN</v>
      </c>
      <c r="F732" s="9">
        <f>IFERROR(__xludf.DUMMYFUNCTION("""COMPUTED_VALUE"""),45628.37116246528)</f>
        <v>45628.37116</v>
      </c>
      <c r="G732" s="7" t="str">
        <f>IFERROR(__xludf.DUMMYFUNCTION("""COMPUTED_VALUE"""),"Ploting")</f>
        <v>Ploting</v>
      </c>
      <c r="H732" s="7">
        <f t="shared" si="1"/>
        <v>354</v>
      </c>
    </row>
    <row r="733" ht="22.5" customHeight="1">
      <c r="B733" s="7" t="str">
        <f>IFERROR(__xludf.DUMMYFUNCTION("""COMPUTED_VALUE"""),"K/9/011124/2")</f>
        <v>K/9/011124/2</v>
      </c>
      <c r="C733" s="7" t="str">
        <f>IFERROR(__xludf.DUMMYFUNCTION("""COMPUTED_VALUE"""),"M. 1322/ Labuhan Dalam")</f>
        <v>M. 1322/ Labuhan Dalam</v>
      </c>
      <c r="D733" s="7"/>
      <c r="E733" s="7"/>
      <c r="F733" s="9" t="str">
        <f>IFERROR(__xludf.DUMMYFUNCTION("""COMPUTED_VALUE"""),"")</f>
        <v/>
      </c>
      <c r="G733" s="7" t="str">
        <f>IFERROR(__xludf.DUMMYFUNCTION("""COMPUTED_VALUE"""),"Ploting")</f>
        <v>Ploting</v>
      </c>
      <c r="H733" s="7">
        <f t="shared" si="1"/>
        <v>354</v>
      </c>
    </row>
    <row r="734" ht="22.5" customHeight="1">
      <c r="B734" s="7" t="str">
        <f>IFERROR(__xludf.DUMMYFUNCTION("""COMPUTED_VALUE"""),"K/10/011124/1")</f>
        <v>K/10/011124/1</v>
      </c>
      <c r="C734" s="7" t="str">
        <f>IFERROR(__xludf.DUMMYFUNCTION("""COMPUTED_VALUE"""),"M.1915/SUKARAME BARU")</f>
        <v>M.1915/SUKARAME BARU</v>
      </c>
      <c r="D734" s="7" t="str">
        <f>IFERROR(__xludf.DUMMYFUNCTION("""COMPUTED_VALUE"""),"Berry")</f>
        <v>Berry</v>
      </c>
      <c r="E734" s="7" t="str">
        <f>IFERROR(__xludf.DUMMYFUNCTION("""COMPUTED_VALUE"""),"DISERAHKAN")</f>
        <v>DISERAHKAN</v>
      </c>
      <c r="F734" s="9">
        <f>IFERROR(__xludf.DUMMYFUNCTION("""COMPUTED_VALUE"""),45600.46505762731)</f>
        <v>45600.46506</v>
      </c>
      <c r="G734" s="7" t="str">
        <f>IFERROR(__xludf.DUMMYFUNCTION("""COMPUTED_VALUE"""),"BN JUAL BELI")</f>
        <v>BN JUAL BELI</v>
      </c>
      <c r="H734" s="7">
        <f t="shared" si="1"/>
        <v>355</v>
      </c>
    </row>
    <row r="735" ht="22.5" customHeight="1">
      <c r="B735" s="7" t="str">
        <f>IFERROR(__xludf.DUMMYFUNCTION("""COMPUTED_VALUE"""),"K/7/011124/1")</f>
        <v>K/7/011124/1</v>
      </c>
      <c r="C735" s="7" t="str">
        <f>IFERROR(__xludf.DUMMYFUNCTION("""COMPUTED_VALUE"""),"M. 2869/ Sukarame Baru")</f>
        <v>M. 2869/ Sukarame Baru</v>
      </c>
      <c r="D735" s="7" t="str">
        <f>IFERROR(__xludf.DUMMYFUNCTION("""COMPUTED_VALUE"""),"Berry")</f>
        <v>Berry</v>
      </c>
      <c r="E735" s="7" t="str">
        <f>IFERROR(__xludf.DUMMYFUNCTION("""COMPUTED_VALUE"""),"PROSES")</f>
        <v>PROSES</v>
      </c>
      <c r="F735" s="9" t="str">
        <f>IFERROR(__xludf.DUMMYFUNCTION("""COMPUTED_VALUE"""),"")</f>
        <v/>
      </c>
      <c r="G735" s="7" t="str">
        <f>IFERROR(__xludf.DUMMYFUNCTION("""COMPUTED_VALUE"""),"BN Jual Beli")</f>
        <v>BN Jual Beli</v>
      </c>
      <c r="H735" s="7">
        <f t="shared" si="1"/>
        <v>355</v>
      </c>
    </row>
    <row r="736" ht="22.5" customHeight="1">
      <c r="B736" s="7" t="str">
        <f>IFERROR(__xludf.DUMMYFUNCTION("""COMPUTED_VALUE"""),"K/11/011124/2")</f>
        <v>K/11/011124/2</v>
      </c>
      <c r="C736" s="7" t="str">
        <f>IFERROR(__xludf.DUMMYFUNCTION("""COMPUTED_VALUE"""),"M.505/SUKABUMI INDAH")</f>
        <v>M.505/SUKABUMI INDAH</v>
      </c>
      <c r="D736" s="7" t="str">
        <f>IFERROR(__xludf.DUMMYFUNCTION("""COMPUTED_VALUE"""),"Berry")</f>
        <v>Berry</v>
      </c>
      <c r="E736" s="7" t="str">
        <f>IFERROR(__xludf.DUMMYFUNCTION("""COMPUTED_VALUE"""),"DISERAHKAN")</f>
        <v>DISERAHKAN</v>
      </c>
      <c r="F736" s="9">
        <f>IFERROR(__xludf.DUMMYFUNCTION("""COMPUTED_VALUE"""),45600.46549015046)</f>
        <v>45600.46549</v>
      </c>
      <c r="G736" s="7" t="str">
        <f>IFERROR(__xludf.DUMMYFUNCTION("""COMPUTED_VALUE"""),"KEWARISAN")</f>
        <v>KEWARISAN</v>
      </c>
      <c r="H736" s="7">
        <f t="shared" si="1"/>
        <v>356</v>
      </c>
    </row>
    <row r="737" ht="22.5" customHeight="1">
      <c r="B737" s="7" t="str">
        <f>IFERROR(__xludf.DUMMYFUNCTION("""COMPUTED_VALUE"""),"K/7/011124/1")</f>
        <v>K/7/011124/1</v>
      </c>
      <c r="C737" s="7" t="str">
        <f>IFERROR(__xludf.DUMMYFUNCTION("""COMPUTED_VALUE"""),"M. 2869/ Sukarame Baru")</f>
        <v>M. 2869/ Sukarame Baru</v>
      </c>
      <c r="D737" s="7" t="str">
        <f>IFERROR(__xludf.DUMMYFUNCTION("""COMPUTED_VALUE"""),"Berry")</f>
        <v>Berry</v>
      </c>
      <c r="E737" s="7" t="str">
        <f>IFERROR(__xludf.DUMMYFUNCTION("""COMPUTED_VALUE"""),"PROSES")</f>
        <v>PROSES</v>
      </c>
      <c r="F737" s="9" t="str">
        <f>IFERROR(__xludf.DUMMYFUNCTION("""COMPUTED_VALUE"""),"")</f>
        <v/>
      </c>
      <c r="G737" s="7" t="str">
        <f>IFERROR(__xludf.DUMMYFUNCTION("""COMPUTED_VALUE"""),"BN Jual Beli")</f>
        <v>BN Jual Beli</v>
      </c>
      <c r="H737" s="7">
        <f t="shared" si="1"/>
        <v>356</v>
      </c>
    </row>
    <row r="738" ht="22.5" customHeight="1">
      <c r="B738" s="7" t="str">
        <f>IFERROR(__xludf.DUMMYFUNCTION("""COMPUTED_VALUE"""),"L/12/011124/1")</f>
        <v>L/12/011124/1</v>
      </c>
      <c r="C738" s="7" t="str">
        <f>IFERROR(__xludf.DUMMYFUNCTION("""COMPUTED_VALUE"""),"SUMBER AGUNG, KEMILING")</f>
        <v>SUMBER AGUNG, KEMILING</v>
      </c>
      <c r="D738" s="7"/>
      <c r="E738" s="7"/>
      <c r="F738" s="9" t="str">
        <f>IFERROR(__xludf.DUMMYFUNCTION("""COMPUTED_VALUE"""),"")</f>
        <v/>
      </c>
      <c r="G738" s="7" t="str">
        <f>IFERROR(__xludf.DUMMYFUNCTION("""COMPUTED_VALUE"""),"TANAH MENTAH")</f>
        <v>TANAH MENTAH</v>
      </c>
      <c r="H738" s="7">
        <f t="shared" si="1"/>
        <v>356</v>
      </c>
    </row>
    <row r="739" ht="22.5" customHeight="1">
      <c r="B739" s="7" t="str">
        <f>IFERROR(__xludf.DUMMYFUNCTION("""COMPUTED_VALUE"""),"K/13/011124/1")</f>
        <v>K/13/011124/1</v>
      </c>
      <c r="C739" s="7" t="str">
        <f>IFERROR(__xludf.DUMMYFUNCTION("""COMPUTED_VALUE"""),"PBT 131/2024")</f>
        <v>PBT 131/2024</v>
      </c>
      <c r="D739" s="7"/>
      <c r="E739" s="7"/>
      <c r="F739" s="9" t="str">
        <f>IFERROR(__xludf.DUMMYFUNCTION("""COMPUTED_VALUE"""),"")</f>
        <v/>
      </c>
      <c r="G739" s="7" t="str">
        <f>IFERROR(__xludf.DUMMYFUNCTION("""COMPUTED_VALUE"""),"PTPGT HGB BERAKHIR")</f>
        <v>PTPGT HGB BERAKHIR</v>
      </c>
      <c r="H739" s="7">
        <f t="shared" si="1"/>
        <v>356</v>
      </c>
    </row>
    <row r="740" ht="22.5" customHeight="1">
      <c r="B740" s="7" t="str">
        <f>IFERROR(__xludf.DUMMYFUNCTION("""COMPUTED_VALUE"""),"K/14/011124/1")</f>
        <v>K/14/011124/1</v>
      </c>
      <c r="C740" s="7" t="str">
        <f>IFERROR(__xludf.DUMMYFUNCTION("""COMPUTED_VALUE"""),"M. 3651/ Surabaya")</f>
        <v>M. 3651/ Surabaya</v>
      </c>
      <c r="D740" s="7"/>
      <c r="E740" s="7"/>
      <c r="F740" s="9" t="str">
        <f>IFERROR(__xludf.DUMMYFUNCTION("""COMPUTED_VALUE"""),"")</f>
        <v/>
      </c>
      <c r="G740" s="7" t="str">
        <f>IFERROR(__xludf.DUMMYFUNCTION("""COMPUTED_VALUE"""),"Gandes")</f>
        <v>Gandes</v>
      </c>
      <c r="H740" s="7">
        <f t="shared" si="1"/>
        <v>356</v>
      </c>
    </row>
    <row r="741" ht="22.5" customHeight="1">
      <c r="B741" s="7" t="str">
        <f>IFERROR(__xludf.DUMMYFUNCTION("""COMPUTED_VALUE"""),"K/17/011124/1")</f>
        <v>K/17/011124/1</v>
      </c>
      <c r="C741" s="7" t="str">
        <f>IFERROR(__xludf.DUMMYFUNCTION("""COMPUTED_VALUE"""),"M.1014/BUMI KEDAMAIAN-SEKARANG;M.12108/KEDAMAIAN-DAHULU")</f>
        <v>M.1014/BUMI KEDAMAIAN-SEKARANG;M.12108/KEDAMAIAN-DAHULU</v>
      </c>
      <c r="D741" s="7" t="str">
        <f>IFERROR(__xludf.DUMMYFUNCTION("""COMPUTED_VALUE"""),"Berry")</f>
        <v>Berry</v>
      </c>
      <c r="E741" s="7" t="str">
        <f>IFERROR(__xludf.DUMMYFUNCTION("""COMPUTED_VALUE"""),"DISERAHKAN")</f>
        <v>DISERAHKAN</v>
      </c>
      <c r="F741" s="9">
        <f>IFERROR(__xludf.DUMMYFUNCTION("""COMPUTED_VALUE"""),45600.46600868055)</f>
        <v>45600.46601</v>
      </c>
      <c r="G741" s="7" t="str">
        <f>IFERROR(__xludf.DUMMYFUNCTION("""COMPUTED_VALUE"""),"BN JUAL BELI")</f>
        <v>BN JUAL BELI</v>
      </c>
      <c r="H741" s="7">
        <f t="shared" si="1"/>
        <v>357</v>
      </c>
    </row>
    <row r="742" ht="22.5" customHeight="1">
      <c r="B742" s="7" t="str">
        <f>IFERROR(__xludf.DUMMYFUNCTION("""COMPUTED_VALUE"""),"K/15/011124/2")</f>
        <v>K/15/011124/2</v>
      </c>
      <c r="C742" s="7" t="str">
        <f>IFERROR(__xludf.DUMMYFUNCTION("""COMPUTED_VALUE"""),"B. 127/ Nusantara Permai")</f>
        <v>B. 127/ Nusantara Permai</v>
      </c>
      <c r="D742" s="7" t="str">
        <f>IFERROR(__xludf.DUMMYFUNCTION("""COMPUTED_VALUE"""),"Berry")</f>
        <v>Berry</v>
      </c>
      <c r="E742" s="7" t="str">
        <f>IFERROR(__xludf.DUMMYFUNCTION("""COMPUTED_VALUE"""),"DISERAHKAN")</f>
        <v>DISERAHKAN</v>
      </c>
      <c r="F742" s="9">
        <f>IFERROR(__xludf.DUMMYFUNCTION("""COMPUTED_VALUE"""),45600.4662503125)</f>
        <v>45600.46625</v>
      </c>
      <c r="G742" s="7" t="str">
        <f>IFERROR(__xludf.DUMMYFUNCTION("""COMPUTED_VALUE"""),"BN Jual Beli")</f>
        <v>BN Jual Beli</v>
      </c>
      <c r="H742" s="7">
        <f t="shared" si="1"/>
        <v>358</v>
      </c>
    </row>
    <row r="743" ht="22.5" customHeight="1">
      <c r="B743" s="7" t="str">
        <f>IFERROR(__xludf.DUMMYFUNCTION("""COMPUTED_VALUE"""),"K/16/011124/3")</f>
        <v>K/16/011124/3</v>
      </c>
      <c r="C743" s="7" t="str">
        <f>IFERROR(__xludf.DUMMYFUNCTION("""COMPUTED_VALUE"""),"B. 128/ Nusantara Permai")</f>
        <v>B. 128/ Nusantara Permai</v>
      </c>
      <c r="D743" s="7" t="str">
        <f>IFERROR(__xludf.DUMMYFUNCTION("""COMPUTED_VALUE"""),"Berry")</f>
        <v>Berry</v>
      </c>
      <c r="E743" s="7" t="str">
        <f>IFERROR(__xludf.DUMMYFUNCTION("""COMPUTED_VALUE"""),"DISERAHKAN")</f>
        <v>DISERAHKAN</v>
      </c>
      <c r="F743" s="9">
        <f>IFERROR(__xludf.DUMMYFUNCTION("""COMPUTED_VALUE"""),45600.46627225695)</f>
        <v>45600.46627</v>
      </c>
      <c r="G743" s="7" t="str">
        <f>IFERROR(__xludf.DUMMYFUNCTION("""COMPUTED_VALUE"""),"BN Jual Beli")</f>
        <v>BN Jual Beli</v>
      </c>
      <c r="H743" s="7">
        <f t="shared" si="1"/>
        <v>359</v>
      </c>
    </row>
    <row r="744" ht="22.5" customHeight="1">
      <c r="B744" s="7" t="str">
        <f>IFERROR(__xludf.DUMMYFUNCTION("""COMPUTED_VALUE"""),"L/18/011124/1")</f>
        <v>L/18/011124/1</v>
      </c>
      <c r="C744" s="7" t="str">
        <f>IFERROR(__xludf.DUMMYFUNCTION("""COMPUTED_VALUE"""),"HM 1095/GEDONG AIR")</f>
        <v>HM 1095/GEDONG AIR</v>
      </c>
      <c r="D744" s="7" t="str">
        <f>IFERROR(__xludf.DUMMYFUNCTION("""COMPUTED_VALUE"""),"Berry")</f>
        <v>Berry</v>
      </c>
      <c r="E744" s="7" t="str">
        <f>IFERROR(__xludf.DUMMYFUNCTION("""COMPUTED_VALUE"""),"DISERAHKAN")</f>
        <v>DISERAHKAN</v>
      </c>
      <c r="F744" s="9">
        <f>IFERROR(__xludf.DUMMYFUNCTION("""COMPUTED_VALUE"""),45600.46664570602)</f>
        <v>45600.46665</v>
      </c>
      <c r="G744" s="7" t="str">
        <f>IFERROR(__xludf.DUMMYFUNCTION("""COMPUTED_VALUE"""),"ROYA")</f>
        <v>ROYA</v>
      </c>
      <c r="H744" s="7">
        <f t="shared" si="1"/>
        <v>360</v>
      </c>
    </row>
    <row r="745" ht="22.5" customHeight="1">
      <c r="B745" s="7" t="str">
        <f>IFERROR(__xludf.DUMMYFUNCTION("""COMPUTED_VALUE"""),"L/13/301024/1")</f>
        <v>L/13/301024/1</v>
      </c>
      <c r="C745" s="7" t="str">
        <f>IFERROR(__xludf.DUMMYFUNCTION("""COMPUTED_VALUE"""),"M.15228/S I")</f>
        <v>M.15228/S I</v>
      </c>
      <c r="D745" s="7" t="str">
        <f>IFERROR(__xludf.DUMMYFUNCTION("""COMPUTED_VALUE"""),"Berry")</f>
        <v>Berry</v>
      </c>
      <c r="E745" s="7" t="str">
        <f>IFERROR(__xludf.DUMMYFUNCTION("""COMPUTED_VALUE"""),"DISERAHKAN")</f>
        <v>DISERAHKAN</v>
      </c>
      <c r="F745" s="9">
        <f>IFERROR(__xludf.DUMMYFUNCTION("""COMPUTED_VALUE"""),45600.46671065972)</f>
        <v>45600.46671</v>
      </c>
      <c r="G745" s="7" t="str">
        <f>IFERROR(__xludf.DUMMYFUNCTION("""COMPUTED_VALUE"""),"ROYA")</f>
        <v>ROYA</v>
      </c>
      <c r="H745" s="7">
        <f t="shared" si="1"/>
        <v>361</v>
      </c>
    </row>
    <row r="746" ht="22.5" customHeight="1">
      <c r="B746" s="7" t="str">
        <f>IFERROR(__xludf.DUMMYFUNCTION("""COMPUTED_VALUE"""),"K/19/011124/2")</f>
        <v>K/19/011124/2</v>
      </c>
      <c r="C746" s="7" t="str">
        <f>IFERROR(__xludf.DUMMYFUNCTION("""COMPUTED_VALUE"""),"B.752/SUMUR PUTRI")</f>
        <v>B.752/SUMUR PUTRI</v>
      </c>
      <c r="D746" s="7" t="str">
        <f>IFERROR(__xludf.DUMMYFUNCTION("""COMPUTED_VALUE"""),"Berry")</f>
        <v>Berry</v>
      </c>
      <c r="E746" s="7" t="str">
        <f>IFERROR(__xludf.DUMMYFUNCTION("""COMPUTED_VALUE"""),"PROSES")</f>
        <v>PROSES</v>
      </c>
      <c r="F746" s="9" t="str">
        <f>IFERROR(__xludf.DUMMYFUNCTION("""COMPUTED_VALUE"""),"")</f>
        <v/>
      </c>
      <c r="G746" s="7" t="str">
        <f>IFERROR(__xludf.DUMMYFUNCTION("""COMPUTED_VALUE"""),"BN JUAL BELI")</f>
        <v>BN JUAL BELI</v>
      </c>
      <c r="H746" s="7">
        <f t="shared" si="1"/>
        <v>361</v>
      </c>
    </row>
    <row r="747" ht="22.5" customHeight="1">
      <c r="B747" s="7" t="str">
        <f>IFERROR(__xludf.DUMMYFUNCTION("""COMPUTED_VALUE"""),"K/20/011124/1")</f>
        <v>K/20/011124/1</v>
      </c>
      <c r="C747" s="7" t="str">
        <f>IFERROR(__xludf.DUMMYFUNCTION("""COMPUTED_VALUE"""),"Nibel 2191/ Gunung Terang")</f>
        <v>Nibel 2191/ Gunung Terang</v>
      </c>
      <c r="D747" s="7"/>
      <c r="E747" s="7"/>
      <c r="F747" s="9" t="str">
        <f>IFERROR(__xludf.DUMMYFUNCTION("""COMPUTED_VALUE"""),"")</f>
        <v/>
      </c>
      <c r="G747" s="7" t="str">
        <f>IFERROR(__xludf.DUMMYFUNCTION("""COMPUTED_VALUE"""),"BN JUAL BELI")</f>
        <v>BN JUAL BELI</v>
      </c>
      <c r="H747" s="7">
        <f t="shared" si="1"/>
        <v>361</v>
      </c>
    </row>
    <row r="748" ht="22.5" customHeight="1">
      <c r="B748" s="7" t="str">
        <f>IFERROR(__xludf.DUMMYFUNCTION("""COMPUTED_VALUE"""),"K/21/011124/1")</f>
        <v>K/21/011124/1</v>
      </c>
      <c r="C748" s="7" t="str">
        <f>IFERROR(__xludf.DUMMYFUNCTION("""COMPUTED_VALUE"""),"B.4381/SUKARAME I")</f>
        <v>B.4381/SUKARAME I</v>
      </c>
      <c r="D748" s="7"/>
      <c r="E748" s="7"/>
      <c r="F748" s="9" t="str">
        <f>IFERROR(__xludf.DUMMYFUNCTION("""COMPUTED_VALUE"""),"")</f>
        <v/>
      </c>
      <c r="G748" s="7" t="str">
        <f>IFERROR(__xludf.DUMMYFUNCTION("""COMPUTED_VALUE"""),"GANDES")</f>
        <v>GANDES</v>
      </c>
      <c r="H748" s="7">
        <f t="shared" si="1"/>
        <v>361</v>
      </c>
    </row>
    <row r="749" ht="22.5" customHeight="1">
      <c r="B749" s="7" t="str">
        <f>IFERROR(__xludf.DUMMYFUNCTION("""COMPUTED_VALUE"""),"K/22/011124/2")</f>
        <v>K/22/011124/2</v>
      </c>
      <c r="C749" s="7" t="str">
        <f>IFERROR(__xludf.DUMMYFUNCTION("""COMPUTED_VALUE"""),"M.17182/SUKARAME-SEKARANG'B.1230/SUKARAME I")</f>
        <v>M.17182/SUKARAME-SEKARANG'B.1230/SUKARAME I</v>
      </c>
      <c r="D749" s="7" t="str">
        <f>IFERROR(__xludf.DUMMYFUNCTION("""COMPUTED_VALUE"""),"David")</f>
        <v>David</v>
      </c>
      <c r="E749" s="7" t="str">
        <f>IFERROR(__xludf.DUMMYFUNCTION("""COMPUTED_VALUE"""),"PROSES")</f>
        <v>PROSES</v>
      </c>
      <c r="F749" s="9" t="str">
        <f>IFERROR(__xludf.DUMMYFUNCTION("""COMPUTED_VALUE"""),"")</f>
        <v/>
      </c>
      <c r="G749" s="7" t="str">
        <f>IFERROR(__xludf.DUMMYFUNCTION("""COMPUTED_VALUE"""),"ROYA")</f>
        <v>ROYA</v>
      </c>
      <c r="H749" s="7">
        <f t="shared" si="1"/>
        <v>361</v>
      </c>
    </row>
    <row r="750" ht="22.5" customHeight="1">
      <c r="B750" s="7" t="str">
        <f>IFERROR(__xludf.DUMMYFUNCTION("""COMPUTED_VALUE"""),"K/23/011124/1")</f>
        <v>K/23/011124/1</v>
      </c>
      <c r="C750" s="7" t="str">
        <f>IFERROR(__xludf.DUMMYFUNCTION("""COMPUTED_VALUE"""),"NIBEL 2563/ BERINGIN RAYA")</f>
        <v>NIBEL 2563/ BERINGIN RAYA</v>
      </c>
      <c r="D750" s="7"/>
      <c r="E750" s="7"/>
      <c r="F750" s="9" t="str">
        <f>IFERROR(__xludf.DUMMYFUNCTION("""COMPUTED_VALUE"""),"")</f>
        <v/>
      </c>
      <c r="G750" s="7" t="str">
        <f>IFERROR(__xludf.DUMMYFUNCTION("""COMPUTED_VALUE"""),"GANTI KELURAHAN")</f>
        <v>GANTI KELURAHAN</v>
      </c>
      <c r="H750" s="7">
        <f t="shared" si="1"/>
        <v>361</v>
      </c>
    </row>
    <row r="751" ht="22.5" customHeight="1">
      <c r="B751" s="7" t="str">
        <f>IFERROR(__xludf.DUMMYFUNCTION("""COMPUTED_VALUE"""),"K/24/011124/1")</f>
        <v>K/24/011124/1</v>
      </c>
      <c r="C751" s="7" t="str">
        <f>IFERROR(__xludf.DUMMYFUNCTION("""COMPUTED_VALUE"""),"M NIEBL 1952/LABUHAN DALAM")</f>
        <v>M NIEBL 1952/LABUHAN DALAM</v>
      </c>
      <c r="D751" s="7"/>
      <c r="E751" s="7"/>
      <c r="F751" s="9" t="str">
        <f>IFERROR(__xludf.DUMMYFUNCTION("""COMPUTED_VALUE"""),"")</f>
        <v/>
      </c>
      <c r="G751" s="7" t="str">
        <f>IFERROR(__xludf.DUMMYFUNCTION("""COMPUTED_VALUE"""),"PTPGT")</f>
        <v>PTPGT</v>
      </c>
      <c r="H751" s="7">
        <f t="shared" si="1"/>
        <v>361</v>
      </c>
    </row>
    <row r="752" ht="22.5" customHeight="1">
      <c r="B752" s="7" t="str">
        <f>IFERROR(__xludf.DUMMYFUNCTION("""COMPUTED_VALUE"""),"K/25/011124/2")</f>
        <v>K/25/011124/2</v>
      </c>
      <c r="C752" s="7" t="str">
        <f>IFERROR(__xludf.DUMMYFUNCTION("""COMPUTED_VALUE"""),"NIBEL M 1953/LABUHAN DALAM")</f>
        <v>NIBEL M 1953/LABUHAN DALAM</v>
      </c>
      <c r="D752" s="7"/>
      <c r="E752" s="7"/>
      <c r="F752" s="9" t="str">
        <f>IFERROR(__xludf.DUMMYFUNCTION("""COMPUTED_VALUE"""),"")</f>
        <v/>
      </c>
      <c r="G752" s="7" t="str">
        <f>IFERROR(__xludf.DUMMYFUNCTION("""COMPUTED_VALUE"""),"PTPGT")</f>
        <v>PTPGT</v>
      </c>
      <c r="H752" s="7">
        <f t="shared" si="1"/>
        <v>361</v>
      </c>
    </row>
    <row r="753" ht="22.5" customHeight="1">
      <c r="B753" s="7" t="str">
        <f>IFERROR(__xludf.DUMMYFUNCTION("""COMPUTED_VALUE"""),"K/26/011124/1")</f>
        <v>K/26/011124/1</v>
      </c>
      <c r="C753" s="7" t="str">
        <f>IFERROR(__xludf.DUMMYFUNCTION("""COMPUTED_VALUE"""),"M.5014/RAJABASA JAYA-SEKARANG;M.9263/RAJABASA-DAHULU")</f>
        <v>M.5014/RAJABASA JAYA-SEKARANG;M.9263/RAJABASA-DAHULU</v>
      </c>
      <c r="D753" s="7" t="str">
        <f>IFERROR(__xludf.DUMMYFUNCTION("""COMPUTED_VALUE"""),"David")</f>
        <v>David</v>
      </c>
      <c r="E753" s="7" t="str">
        <f>IFERROR(__xludf.DUMMYFUNCTION("""COMPUTED_VALUE"""),"DISERAHKAN")</f>
        <v>DISERAHKAN</v>
      </c>
      <c r="F753" s="9">
        <f>IFERROR(__xludf.DUMMYFUNCTION("""COMPUTED_VALUE"""),45600.46752481481)</f>
        <v>45600.46752</v>
      </c>
      <c r="G753" s="7" t="str">
        <f>IFERROR(__xludf.DUMMYFUNCTION("""COMPUTED_VALUE"""),"BN JUAL BELI")</f>
        <v>BN JUAL BELI</v>
      </c>
      <c r="H753" s="7">
        <f t="shared" si="1"/>
        <v>362</v>
      </c>
    </row>
    <row r="754" ht="22.5" customHeight="1">
      <c r="B754" s="7" t="str">
        <f>IFERROR(__xludf.DUMMYFUNCTION("""COMPUTED_VALUE"""),"K/27/011124/1")</f>
        <v>K/27/011124/1</v>
      </c>
      <c r="C754" s="7" t="str">
        <f>IFERROR(__xludf.DUMMYFUNCTION("""COMPUTED_VALUE"""),"M. 639/ PEMATANG WANGI")</f>
        <v>M. 639/ PEMATANG WANGI</v>
      </c>
      <c r="D754" s="7" t="str">
        <f>IFERROR(__xludf.DUMMYFUNCTION("""COMPUTED_VALUE"""),"David")</f>
        <v>David</v>
      </c>
      <c r="E754" s="7" t="str">
        <f>IFERROR(__xludf.DUMMYFUNCTION("""COMPUTED_VALUE"""),"DISERAHKAN")</f>
        <v>DISERAHKAN</v>
      </c>
      <c r="F754" s="9">
        <f>IFERROR(__xludf.DUMMYFUNCTION("""COMPUTED_VALUE"""),45600.46784814815)</f>
        <v>45600.46785</v>
      </c>
      <c r="G754" s="7" t="str">
        <f>IFERROR(__xludf.DUMMYFUNCTION("""COMPUTED_VALUE"""),"BN JUAL BELI")</f>
        <v>BN JUAL BELI</v>
      </c>
      <c r="H754" s="7">
        <f t="shared" si="1"/>
        <v>363</v>
      </c>
    </row>
    <row r="755" ht="22.5" customHeight="1">
      <c r="B755" s="7" t="str">
        <f>IFERROR(__xludf.DUMMYFUNCTION("""COMPUTED_VALUE"""),"K/28/011124/2")</f>
        <v>K/28/011124/2</v>
      </c>
      <c r="C755" s="7" t="str">
        <f>IFERROR(__xludf.DUMMYFUNCTION("""COMPUTED_VALUE"""),"nibel 1096/ kemiling permai")</f>
        <v>nibel 1096/ kemiling permai</v>
      </c>
      <c r="D755" s="7"/>
      <c r="E755" s="7"/>
      <c r="F755" s="9" t="str">
        <f>IFERROR(__xludf.DUMMYFUNCTION("""COMPUTED_VALUE"""),"")</f>
        <v/>
      </c>
      <c r="G755" s="7" t="str">
        <f>IFERROR(__xludf.DUMMYFUNCTION("""COMPUTED_VALUE"""),"plotting")</f>
        <v>plotting</v>
      </c>
      <c r="H755" s="7">
        <f t="shared" si="1"/>
        <v>363</v>
      </c>
    </row>
    <row r="756" ht="22.5" customHeight="1">
      <c r="B756" s="7" t="str">
        <f>IFERROR(__xludf.DUMMYFUNCTION("""COMPUTED_VALUE"""),"K/29/011124/3")</f>
        <v>K/29/011124/3</v>
      </c>
      <c r="C756" s="7" t="str">
        <f>IFERROR(__xludf.DUMMYFUNCTION("""COMPUTED_VALUE"""),"Nibel 2430/ kemiling permai")</f>
        <v>Nibel 2430/ kemiling permai</v>
      </c>
      <c r="D756" s="7"/>
      <c r="E756" s="7"/>
      <c r="F756" s="9" t="str">
        <f>IFERROR(__xludf.DUMMYFUNCTION("""COMPUTED_VALUE"""),"")</f>
        <v/>
      </c>
      <c r="G756" s="7" t="str">
        <f>IFERROR(__xludf.DUMMYFUNCTION("""COMPUTED_VALUE"""),"plotting")</f>
        <v>plotting</v>
      </c>
      <c r="H756" s="7">
        <f t="shared" si="1"/>
        <v>363</v>
      </c>
    </row>
    <row r="757" ht="22.5" customHeight="1">
      <c r="B757" s="7" t="str">
        <f>IFERROR(__xludf.DUMMYFUNCTION("""COMPUTED_VALUE"""),"K/30/011124/1")</f>
        <v>K/30/011124/1</v>
      </c>
      <c r="C757" s="7" t="str">
        <f>IFERROR(__xludf.DUMMYFUNCTION("""COMPUTED_VALUE"""),"PBT. 87/2024")</f>
        <v>PBT. 87/2024</v>
      </c>
      <c r="D757" s="7"/>
      <c r="E757" s="7"/>
      <c r="F757" s="9" t="str">
        <f>IFERROR(__xludf.DUMMYFUNCTION("""COMPUTED_VALUE"""),"")</f>
        <v/>
      </c>
      <c r="G757" s="7" t="str">
        <f>IFERROR(__xludf.DUMMYFUNCTION("""COMPUTED_VALUE"""),"PTPGT (Pertama Kali)")</f>
        <v>PTPGT (Pertama Kali)</v>
      </c>
      <c r="H757" s="7">
        <f t="shared" si="1"/>
        <v>363</v>
      </c>
    </row>
    <row r="758" ht="22.5" customHeight="1">
      <c r="B758" s="7" t="str">
        <f>IFERROR(__xludf.DUMMYFUNCTION("""COMPUTED_VALUE"""),"K/31/011124/2")</f>
        <v>K/31/011124/2</v>
      </c>
      <c r="C758" s="7" t="str">
        <f>IFERROR(__xludf.DUMMYFUNCTION("""COMPUTED_VALUE"""),"M. 2996/ Sukadana Ham")</f>
        <v>M. 2996/ Sukadana Ham</v>
      </c>
      <c r="D758" s="7" t="str">
        <f>IFERROR(__xludf.DUMMYFUNCTION("""COMPUTED_VALUE"""),"David")</f>
        <v>David</v>
      </c>
      <c r="E758" s="7" t="str">
        <f>IFERROR(__xludf.DUMMYFUNCTION("""COMPUTED_VALUE"""),"DISERAHKAN")</f>
        <v>DISERAHKAN</v>
      </c>
      <c r="F758" s="9">
        <f>IFERROR(__xludf.DUMMYFUNCTION("""COMPUTED_VALUE"""),45600.46804388889)</f>
        <v>45600.46804</v>
      </c>
      <c r="G758" s="7" t="str">
        <f>IFERROR(__xludf.DUMMYFUNCTION("""COMPUTED_VALUE"""),"BN Jual Beli")</f>
        <v>BN Jual Beli</v>
      </c>
      <c r="H758" s="7">
        <f t="shared" si="1"/>
        <v>364</v>
      </c>
    </row>
    <row r="759" ht="22.5" customHeight="1">
      <c r="B759" s="7" t="str">
        <f>IFERROR(__xludf.DUMMYFUNCTION("""COMPUTED_VALUE"""),"K/32/011124/1")</f>
        <v>K/32/011124/1</v>
      </c>
      <c r="C759" s="7" t="str">
        <f>IFERROR(__xludf.DUMMYFUNCTION("""COMPUTED_VALUE"""),"B.1127/KEMILING PERMAI")</f>
        <v>B.1127/KEMILING PERMAI</v>
      </c>
      <c r="D759" s="7" t="str">
        <f>IFERROR(__xludf.DUMMYFUNCTION("""COMPUTED_VALUE"""),"David")</f>
        <v>David</v>
      </c>
      <c r="E759" s="7" t="str">
        <f>IFERROR(__xludf.DUMMYFUNCTION("""COMPUTED_VALUE"""),"DISERAHKAN")</f>
        <v>DISERAHKAN</v>
      </c>
      <c r="F759" s="9">
        <f>IFERROR(__xludf.DUMMYFUNCTION("""COMPUTED_VALUE"""),45600.46831736111)</f>
        <v>45600.46832</v>
      </c>
      <c r="G759" s="7" t="str">
        <f>IFERROR(__xludf.DUMMYFUNCTION("""COMPUTED_VALUE"""),"BN JUAL BELI")</f>
        <v>BN JUAL BELI</v>
      </c>
      <c r="H759" s="7">
        <f t="shared" si="1"/>
        <v>365</v>
      </c>
    </row>
    <row r="760" ht="22.5" customHeight="1">
      <c r="B760" s="7" t="str">
        <f>IFERROR(__xludf.DUMMYFUNCTION("""COMPUTED_VALUE"""),"K/33/011124/1")</f>
        <v>K/33/011124/1</v>
      </c>
      <c r="C760" s="7" t="str">
        <f>IFERROR(__xludf.DUMMYFUNCTION("""COMPUTED_VALUE"""),"M.16627/SUKABUMI")</f>
        <v>M.16627/SUKABUMI</v>
      </c>
      <c r="D760" s="7" t="str">
        <f>IFERROR(__xludf.DUMMYFUNCTION("""COMPUTED_VALUE"""),"David")</f>
        <v>David</v>
      </c>
      <c r="E760" s="7" t="str">
        <f>IFERROR(__xludf.DUMMYFUNCTION("""COMPUTED_VALUE"""),"DISERAHKAN")</f>
        <v>DISERAHKAN</v>
      </c>
      <c r="F760" s="9">
        <f>IFERROR(__xludf.DUMMYFUNCTION("""COMPUTED_VALUE"""),45600.46844708333)</f>
        <v>45600.46845</v>
      </c>
      <c r="G760" s="7" t="str">
        <f>IFERROR(__xludf.DUMMYFUNCTION("""COMPUTED_VALUE"""),"BN JUAL BELI")</f>
        <v>BN JUAL BELI</v>
      </c>
      <c r="H760" s="7">
        <f t="shared" si="1"/>
        <v>366</v>
      </c>
    </row>
    <row r="761" ht="22.5" customHeight="1">
      <c r="B761" s="7" t="str">
        <f>IFERROR(__xludf.DUMMYFUNCTION("""COMPUTED_VALUE"""),"K/34/011124/1")</f>
        <v>K/34/011124/1</v>
      </c>
      <c r="C761" s="7" t="str">
        <f>IFERROR(__xludf.DUMMYFUNCTION("""COMPUTED_VALUE"""),"M.1342/SUMUR PUTRI-SEKARANG;B.1342/SUMUR PUTRI-DAHULU")</f>
        <v>M.1342/SUMUR PUTRI-SEKARANG;B.1342/SUMUR PUTRI-DAHULU</v>
      </c>
      <c r="D761" s="7"/>
      <c r="E761" s="7"/>
      <c r="F761" s="9" t="str">
        <f>IFERROR(__xludf.DUMMYFUNCTION("""COMPUTED_VALUE"""),"")</f>
        <v/>
      </c>
      <c r="G761" s="7" t="str">
        <f>IFERROR(__xludf.DUMMYFUNCTION("""COMPUTED_VALUE"""),"ploting")</f>
        <v>ploting</v>
      </c>
      <c r="H761" s="7">
        <f t="shared" si="1"/>
        <v>366</v>
      </c>
    </row>
    <row r="762" ht="22.5" customHeight="1">
      <c r="B762" s="7" t="str">
        <f>IFERROR(__xludf.DUMMYFUNCTION("""COMPUTED_VALUE"""),"K/35/011124/1")</f>
        <v>K/35/011124/1</v>
      </c>
      <c r="C762" s="7" t="str">
        <f>IFERROR(__xludf.DUMMYFUNCTION("""COMPUTED_VALUE"""),"B. 946/ Beringin Jaya")</f>
        <v>B. 946/ Beringin Jaya</v>
      </c>
      <c r="D762" s="7" t="str">
        <f>IFERROR(__xludf.DUMMYFUNCTION("""COMPUTED_VALUE"""),"David")</f>
        <v>David</v>
      </c>
      <c r="E762" s="7" t="str">
        <f>IFERROR(__xludf.DUMMYFUNCTION("""COMPUTED_VALUE"""),"DISERAHKAN")</f>
        <v>DISERAHKAN</v>
      </c>
      <c r="F762" s="9">
        <f>IFERROR(__xludf.DUMMYFUNCTION("""COMPUTED_VALUE"""),45600.468735208335)</f>
        <v>45600.46874</v>
      </c>
      <c r="G762" s="7" t="str">
        <f>IFERROR(__xludf.DUMMYFUNCTION("""COMPUTED_VALUE"""),"BN Jual Beli")</f>
        <v>BN Jual Beli</v>
      </c>
      <c r="H762" s="7">
        <f t="shared" si="1"/>
        <v>367</v>
      </c>
    </row>
    <row r="763" ht="22.5" customHeight="1">
      <c r="B763" s="7" t="str">
        <f>IFERROR(__xludf.DUMMYFUNCTION("""COMPUTED_VALUE"""),"K/37/011124/1")</f>
        <v>K/37/011124/1</v>
      </c>
      <c r="C763" s="7" t="str">
        <f>IFERROR(__xludf.DUMMYFUNCTION("""COMPUTED_VALUE"""),"M. 429/ Gedong Pakuon")</f>
        <v>M. 429/ Gedong Pakuon</v>
      </c>
      <c r="D763" s="7" t="str">
        <f>IFERROR(__xludf.DUMMYFUNCTION("""COMPUTED_VALUE"""),"David")</f>
        <v>David</v>
      </c>
      <c r="E763" s="7" t="str">
        <f>IFERROR(__xludf.DUMMYFUNCTION("""COMPUTED_VALUE"""),"DISERAHKAN")</f>
        <v>DISERAHKAN</v>
      </c>
      <c r="F763" s="9">
        <f>IFERROR(__xludf.DUMMYFUNCTION("""COMPUTED_VALUE"""),45600.658793043985)</f>
        <v>45600.65879</v>
      </c>
      <c r="G763" s="7" t="str">
        <f>IFERROR(__xludf.DUMMYFUNCTION("""COMPUTED_VALUE"""),"BN PHB")</f>
        <v>BN PHB</v>
      </c>
      <c r="H763" s="7">
        <f t="shared" si="1"/>
        <v>368</v>
      </c>
    </row>
    <row r="764" ht="22.5" customHeight="1">
      <c r="B764" s="7" t="str">
        <f>IFERROR(__xludf.DUMMYFUNCTION("""COMPUTED_VALUE"""),"K/36/011124/2")</f>
        <v>K/36/011124/2</v>
      </c>
      <c r="C764" s="7" t="str">
        <f>IFERROR(__xludf.DUMMYFUNCTION("""COMPUTED_VALUE"""),"Nibel 626/ Campang Raya")</f>
        <v>Nibel 626/ Campang Raya</v>
      </c>
      <c r="D764" s="7"/>
      <c r="E764" s="7"/>
      <c r="F764" s="9" t="str">
        <f>IFERROR(__xludf.DUMMYFUNCTION("""COMPUTED_VALUE"""),"")</f>
        <v/>
      </c>
      <c r="G764" s="7" t="str">
        <f>IFERROR(__xludf.DUMMYFUNCTION("""COMPUTED_VALUE"""),"BN JUAL BELI")</f>
        <v>BN JUAL BELI</v>
      </c>
      <c r="H764" s="7">
        <f t="shared" si="1"/>
        <v>368</v>
      </c>
    </row>
    <row r="765" ht="22.5" customHeight="1">
      <c r="B765" s="7" t="str">
        <f>IFERROR(__xludf.DUMMYFUNCTION("""COMPUTED_VALUE"""),"K/38/011124/2")</f>
        <v>K/38/011124/2</v>
      </c>
      <c r="C765" s="7" t="str">
        <f>IFERROR(__xludf.DUMMYFUNCTION("""COMPUTED_VALUE"""),"M. 141/ Talang (gedung pakuon Talang)")</f>
        <v>M. 141/ Talang (gedung pakuon Talang)</v>
      </c>
      <c r="D765" s="7" t="str">
        <f>IFERROR(__xludf.DUMMYFUNCTION("""COMPUTED_VALUE"""),"David")</f>
        <v>David</v>
      </c>
      <c r="E765" s="7" t="str">
        <f>IFERROR(__xludf.DUMMYFUNCTION("""COMPUTED_VALUE"""),"DISERAHKAN")</f>
        <v>DISERAHKAN</v>
      </c>
      <c r="F765" s="9">
        <f>IFERROR(__xludf.DUMMYFUNCTION("""COMPUTED_VALUE"""),45600.65874291667)</f>
        <v>45600.65874</v>
      </c>
      <c r="G765" s="7" t="str">
        <f>IFERROR(__xludf.DUMMYFUNCTION("""COMPUTED_VALUE"""),"BN Jual Beli")</f>
        <v>BN Jual Beli</v>
      </c>
      <c r="H765" s="7">
        <f t="shared" si="1"/>
        <v>369</v>
      </c>
    </row>
    <row r="766" ht="22.5" customHeight="1">
      <c r="B766" s="7" t="str">
        <f>IFERROR(__xludf.DUMMYFUNCTION("""COMPUTED_VALUE"""),"K/39/011124/3")</f>
        <v>K/39/011124/3</v>
      </c>
      <c r="C766" s="7" t="str">
        <f>IFERROR(__xludf.DUMMYFUNCTION("""COMPUTED_VALUE"""),"M. 963; 932/ Pengajaran; SHT2637/2017 dan SHT 2144/2017")</f>
        <v>M. 963; 932/ Pengajaran; SHT2637/2017 dan SHT 2144/2017</v>
      </c>
      <c r="D766" s="7" t="str">
        <f>IFERROR(__xludf.DUMMYFUNCTION("""COMPUTED_VALUE"""),"David")</f>
        <v>David</v>
      </c>
      <c r="E766" s="7" t="str">
        <f>IFERROR(__xludf.DUMMYFUNCTION("""COMPUTED_VALUE"""),"DISERAHKAN")</f>
        <v>DISERAHKAN</v>
      </c>
      <c r="F766" s="9">
        <f>IFERROR(__xludf.DUMMYFUNCTION("""COMPUTED_VALUE"""),45600.46940295139)</f>
        <v>45600.4694</v>
      </c>
      <c r="G766" s="7" t="str">
        <f>IFERROR(__xludf.DUMMYFUNCTION("""COMPUTED_VALUE"""),"Roya")</f>
        <v>Roya</v>
      </c>
      <c r="H766" s="7">
        <f t="shared" si="1"/>
        <v>370</v>
      </c>
    </row>
    <row r="767" ht="22.5" customHeight="1">
      <c r="B767" s="7" t="str">
        <f>IFERROR(__xludf.DUMMYFUNCTION("""COMPUTED_VALUE"""),"K/40/011124/1")</f>
        <v>K/40/011124/1</v>
      </c>
      <c r="C767" s="7" t="str">
        <f>IFERROR(__xludf.DUMMYFUNCTION("""COMPUTED_VALUE"""),"M. 551/ Way Halim Permai")</f>
        <v>M. 551/ Way Halim Permai</v>
      </c>
      <c r="D767" s="7" t="str">
        <f>IFERROR(__xludf.DUMMYFUNCTION("""COMPUTED_VALUE"""),"David")</f>
        <v>David</v>
      </c>
      <c r="E767" s="7" t="str">
        <f>IFERROR(__xludf.DUMMYFUNCTION("""COMPUTED_VALUE"""),"DISERAHKAN")</f>
        <v>DISERAHKAN</v>
      </c>
      <c r="F767" s="9">
        <f>IFERROR(__xludf.DUMMYFUNCTION("""COMPUTED_VALUE"""),45600.46965304398)</f>
        <v>45600.46965</v>
      </c>
      <c r="G767" s="7" t="str">
        <f>IFERROR(__xludf.DUMMYFUNCTION("""COMPUTED_VALUE"""),"BN Hibah")</f>
        <v>BN Hibah</v>
      </c>
      <c r="H767" s="7">
        <f t="shared" si="1"/>
        <v>371</v>
      </c>
    </row>
    <row r="768" ht="22.5" customHeight="1">
      <c r="B768" s="7" t="str">
        <f>IFERROR(__xludf.DUMMYFUNCTION("""COMPUTED_VALUE"""),"K/41/011124/1")</f>
        <v>K/41/011124/1</v>
      </c>
      <c r="C768" s="7" t="str">
        <f>IFERROR(__xludf.DUMMYFUNCTION("""COMPUTED_VALUE"""),"M. 624/ Sukarame")</f>
        <v>M. 624/ Sukarame</v>
      </c>
      <c r="D768" s="7"/>
      <c r="E768" s="7"/>
      <c r="F768" s="9" t="str">
        <f>IFERROR(__xludf.DUMMYFUNCTION("""COMPUTED_VALUE"""),"")</f>
        <v/>
      </c>
      <c r="G768" s="7" t="str">
        <f>IFERROR(__xludf.DUMMYFUNCTION("""COMPUTED_VALUE"""),"Pengecekan")</f>
        <v>Pengecekan</v>
      </c>
      <c r="H768" s="7">
        <f t="shared" si="1"/>
        <v>371</v>
      </c>
    </row>
    <row r="769" ht="22.5" customHeight="1">
      <c r="B769" s="7" t="str">
        <f>IFERROR(__xludf.DUMMYFUNCTION("""COMPUTED_VALUE"""),"K/42/011124/2")</f>
        <v>K/42/011124/2</v>
      </c>
      <c r="C769" s="7" t="str">
        <f>IFERROR(__xludf.DUMMYFUNCTION("""COMPUTED_VALUE"""),"M. 379/ Kemiling Permai")</f>
        <v>M. 379/ Kemiling Permai</v>
      </c>
      <c r="D769" s="7"/>
      <c r="E769" s="7"/>
      <c r="F769" s="9" t="str">
        <f>IFERROR(__xludf.DUMMYFUNCTION("""COMPUTED_VALUE"""),"")</f>
        <v/>
      </c>
      <c r="G769" s="7" t="str">
        <f>IFERROR(__xludf.DUMMYFUNCTION("""COMPUTED_VALUE"""),"Ploting")</f>
        <v>Ploting</v>
      </c>
      <c r="H769" s="7">
        <f t="shared" si="1"/>
        <v>371</v>
      </c>
    </row>
    <row r="770" ht="22.5" customHeight="1">
      <c r="B770" s="7" t="str">
        <f>IFERROR(__xludf.DUMMYFUNCTION("""COMPUTED_VALUE"""),"K/1/041124/1")</f>
        <v>K/1/041124/1</v>
      </c>
      <c r="C770" s="7" t="str">
        <f>IFERROR(__xludf.DUMMYFUNCTION("""COMPUTED_VALUE"""),"M. 2498/ Way Laga")</f>
        <v>M. 2498/ Way Laga</v>
      </c>
      <c r="D770" s="7"/>
      <c r="E770" s="7"/>
      <c r="F770" s="9" t="str">
        <f>IFERROR(__xludf.DUMMYFUNCTION("""COMPUTED_VALUE"""),"")</f>
        <v/>
      </c>
      <c r="G770" s="7" t="str">
        <f>IFERROR(__xludf.DUMMYFUNCTION("""COMPUTED_VALUE"""),"Hapus BPHTB")</f>
        <v>Hapus BPHTB</v>
      </c>
      <c r="H770" s="7">
        <f t="shared" si="1"/>
        <v>371</v>
      </c>
    </row>
    <row r="771" ht="22.5" customHeight="1">
      <c r="B771" s="7" t="str">
        <f>IFERROR(__xludf.DUMMYFUNCTION("""COMPUTED_VALUE"""),"K/2/041125/1")</f>
        <v>K/2/041125/1</v>
      </c>
      <c r="C771" s="7" t="str">
        <f>IFERROR(__xludf.DUMMYFUNCTION("""COMPUTED_VALUE"""),"M. 1233/ Talang")</f>
        <v>M. 1233/ Talang</v>
      </c>
      <c r="D771" s="7" t="str">
        <f>IFERROR(__xludf.DUMMYFUNCTION("""COMPUTED_VALUE"""),"David")</f>
        <v>David</v>
      </c>
      <c r="E771" s="7" t="str">
        <f>IFERROR(__xludf.DUMMYFUNCTION("""COMPUTED_VALUE"""),"DISERAHKAN")</f>
        <v>DISERAHKAN</v>
      </c>
      <c r="F771" s="9">
        <f>IFERROR(__xludf.DUMMYFUNCTION("""COMPUTED_VALUE"""),45600.46985113426)</f>
        <v>45600.46985</v>
      </c>
      <c r="G771" s="7" t="str">
        <f>IFERROR(__xludf.DUMMYFUNCTION("""COMPUTED_VALUE"""),"ROYA")</f>
        <v>ROYA</v>
      </c>
      <c r="H771" s="7">
        <f t="shared" si="1"/>
        <v>372</v>
      </c>
    </row>
    <row r="772" ht="22.5" customHeight="1">
      <c r="B772" s="7" t="str">
        <f>IFERROR(__xludf.DUMMYFUNCTION("""COMPUTED_VALUE"""),"K/3/041124/1")</f>
        <v>K/3/041124/1</v>
      </c>
      <c r="C772" s="7" t="str">
        <f>IFERROR(__xludf.DUMMYFUNCTION("""COMPUTED_VALUE"""),"M. 1357/ KETEGUHAN")</f>
        <v>M. 1357/ KETEGUHAN</v>
      </c>
      <c r="D772" s="7"/>
      <c r="E772" s="7"/>
      <c r="F772" s="9" t="str">
        <f>IFERROR(__xludf.DUMMYFUNCTION("""COMPUTED_VALUE"""),"")</f>
        <v/>
      </c>
      <c r="G772" s="7" t="str">
        <f>IFERROR(__xludf.DUMMYFUNCTION("""COMPUTED_VALUE"""),"GANTI KELURAHAN")</f>
        <v>GANTI KELURAHAN</v>
      </c>
      <c r="H772" s="7">
        <f t="shared" si="1"/>
        <v>372</v>
      </c>
    </row>
    <row r="773" ht="22.5" customHeight="1">
      <c r="B773" s="7" t="str">
        <f>IFERROR(__xludf.DUMMYFUNCTION("""COMPUTED_VALUE"""),"K/4/041124/1")</f>
        <v>K/4/041124/1</v>
      </c>
      <c r="C773" s="7" t="str">
        <f>IFERROR(__xludf.DUMMYFUNCTION("""COMPUTED_VALUE"""),"M. 6423/ Gunung Sulah")</f>
        <v>M. 6423/ Gunung Sulah</v>
      </c>
      <c r="D773" s="7" t="str">
        <f>IFERROR(__xludf.DUMMYFUNCTION("""COMPUTED_VALUE"""),"David")</f>
        <v>David</v>
      </c>
      <c r="E773" s="7" t="str">
        <f>IFERROR(__xludf.DUMMYFUNCTION("""COMPUTED_VALUE"""),"DISERAHKAN")</f>
        <v>DISERAHKAN</v>
      </c>
      <c r="F773" s="9">
        <f>IFERROR(__xludf.DUMMYFUNCTION("""COMPUTED_VALUE"""),45615.57032983797)</f>
        <v>45615.57033</v>
      </c>
      <c r="G773" s="7" t="str">
        <f>IFERROR(__xludf.DUMMYFUNCTION("""COMPUTED_VALUE"""),"BN Hibah")</f>
        <v>BN Hibah</v>
      </c>
      <c r="H773" s="7">
        <f t="shared" si="1"/>
        <v>373</v>
      </c>
    </row>
    <row r="774" ht="22.5" customHeight="1">
      <c r="B774" s="7" t="str">
        <f>IFERROR(__xludf.DUMMYFUNCTION("""COMPUTED_VALUE"""),"K/5/041124/1")</f>
        <v>K/5/041124/1</v>
      </c>
      <c r="C774" s="7" t="str">
        <f>IFERROR(__xludf.DUMMYFUNCTION("""COMPUTED_VALUE"""),"M. 2126/ Kangkung")</f>
        <v>M. 2126/ Kangkung</v>
      </c>
      <c r="D774" s="7" t="str">
        <f>IFERROR(__xludf.DUMMYFUNCTION("""COMPUTED_VALUE"""),"Berry")</f>
        <v>Berry</v>
      </c>
      <c r="E774" s="7" t="str">
        <f>IFERROR(__xludf.DUMMYFUNCTION("""COMPUTED_VALUE"""),"PROSES")</f>
        <v>PROSES</v>
      </c>
      <c r="F774" s="9" t="str">
        <f>IFERROR(__xludf.DUMMYFUNCTION("""COMPUTED_VALUE"""),"")</f>
        <v/>
      </c>
      <c r="G774" s="7" t="str">
        <f>IFERROR(__xludf.DUMMYFUNCTION("""COMPUTED_VALUE"""),"BN Waris")</f>
        <v>BN Waris</v>
      </c>
      <c r="H774" s="7">
        <f t="shared" si="1"/>
        <v>373</v>
      </c>
    </row>
    <row r="775" ht="22.5" customHeight="1">
      <c r="B775" s="7" t="str">
        <f>IFERROR(__xludf.DUMMYFUNCTION("""COMPUTED_VALUE"""),"K/6/041124/1")</f>
        <v>K/6/041124/1</v>
      </c>
      <c r="C775" s="7" t="str">
        <f>IFERROR(__xludf.DUMMYFUNCTION("""COMPUTED_VALUE"""),"M. 746/ JAGABAYA III")</f>
        <v>M. 746/ JAGABAYA III</v>
      </c>
      <c r="D775" s="7"/>
      <c r="E775" s="7"/>
      <c r="F775" s="9" t="str">
        <f>IFERROR(__xludf.DUMMYFUNCTION("""COMPUTED_VALUE"""),"")</f>
        <v/>
      </c>
      <c r="G775" s="7" t="str">
        <f>IFERROR(__xludf.DUMMYFUNCTION("""COMPUTED_VALUE"""),"PLOTTING")</f>
        <v>PLOTTING</v>
      </c>
      <c r="H775" s="7">
        <f t="shared" si="1"/>
        <v>373</v>
      </c>
    </row>
    <row r="776" ht="22.5" customHeight="1">
      <c r="B776" s="7" t="str">
        <f>IFERROR(__xludf.DUMMYFUNCTION("""COMPUTED_VALUE"""),"K/7/041124/2")</f>
        <v>K/7/041124/2</v>
      </c>
      <c r="C776" s="7" t="str">
        <f>IFERROR(__xludf.DUMMYFUNCTION("""COMPUTED_VALUE"""),"M. 4993/ TANJUNG SENENG")</f>
        <v>M. 4993/ TANJUNG SENENG</v>
      </c>
      <c r="D776" s="7"/>
      <c r="E776" s="7"/>
      <c r="F776" s="9" t="str">
        <f>IFERROR(__xludf.DUMMYFUNCTION("""COMPUTED_VALUE"""),"")</f>
        <v/>
      </c>
      <c r="G776" s="7" t="str">
        <f>IFERROR(__xludf.DUMMYFUNCTION("""COMPUTED_VALUE"""),"GANTI KECAMATAN")</f>
        <v>GANTI KECAMATAN</v>
      </c>
      <c r="H776" s="7">
        <f t="shared" si="1"/>
        <v>373</v>
      </c>
    </row>
    <row r="777" ht="22.5" customHeight="1">
      <c r="B777" s="7" t="str">
        <f>IFERROR(__xludf.DUMMYFUNCTION("""COMPUTED_VALUE"""),"L/63/311024/1")</f>
        <v>L/63/311024/1</v>
      </c>
      <c r="C777" s="7" t="str">
        <f>IFERROR(__xludf.DUMMYFUNCTION("""COMPUTED_VALUE"""),"B.764/WAY KANDIS")</f>
        <v>B.764/WAY KANDIS</v>
      </c>
      <c r="D777" s="7" t="str">
        <f>IFERROR(__xludf.DUMMYFUNCTION("""COMPUTED_VALUE"""),"Berry")</f>
        <v>Berry</v>
      </c>
      <c r="E777" s="7" t="str">
        <f>IFERROR(__xludf.DUMMYFUNCTION("""COMPUTED_VALUE"""),"DISERAHKAN")</f>
        <v>DISERAHKAN</v>
      </c>
      <c r="F777" s="9">
        <f>IFERROR(__xludf.DUMMYFUNCTION("""COMPUTED_VALUE"""),45601.68141804398)</f>
        <v>45601.68142</v>
      </c>
      <c r="G777" s="7" t="str">
        <f>IFERROR(__xludf.DUMMYFUNCTION("""COMPUTED_VALUE"""),"ROYA")</f>
        <v>ROYA</v>
      </c>
      <c r="H777" s="7">
        <f t="shared" si="1"/>
        <v>374</v>
      </c>
    </row>
    <row r="778" ht="22.5" customHeight="1">
      <c r="B778" s="7" t="str">
        <f>IFERROR(__xludf.DUMMYFUNCTION("""COMPUTED_VALUE"""),"K/9/041124/1")</f>
        <v>K/9/041124/1</v>
      </c>
      <c r="C778" s="7" t="str">
        <f>IFERROR(__xludf.DUMMYFUNCTION("""COMPUTED_VALUE"""),"IBEL B.640/CAMPANG RAYA")</f>
        <v>IBEL B.640/CAMPANG RAYA</v>
      </c>
      <c r="D778" s="7"/>
      <c r="E778" s="7"/>
      <c r="F778" s="9" t="str">
        <f>IFERROR(__xludf.DUMMYFUNCTION("""COMPUTED_VALUE"""),"")</f>
        <v/>
      </c>
      <c r="G778" s="7" t="str">
        <f>IFERROR(__xludf.DUMMYFUNCTION("""COMPUTED_VALUE"""),"BN JUAL BELI")</f>
        <v>BN JUAL BELI</v>
      </c>
      <c r="H778" s="7">
        <f t="shared" si="1"/>
        <v>374</v>
      </c>
    </row>
    <row r="779" ht="22.5" customHeight="1">
      <c r="B779" s="7" t="str">
        <f>IFERROR(__xludf.DUMMYFUNCTION("""COMPUTED_VALUE"""),"K/10/041124/2")</f>
        <v>K/10/041124/2</v>
      </c>
      <c r="C779" s="7" t="str">
        <f>IFERROR(__xludf.DUMMYFUNCTION("""COMPUTED_VALUE"""),"NIBEL B.506/GUNUNG SULAH")</f>
        <v>NIBEL B.506/GUNUNG SULAH</v>
      </c>
      <c r="D779" s="7"/>
      <c r="E779" s="7"/>
      <c r="F779" s="9" t="str">
        <f>IFERROR(__xludf.DUMMYFUNCTION("""COMPUTED_VALUE"""),"")</f>
        <v/>
      </c>
      <c r="G779" s="7" t="str">
        <f>IFERROR(__xludf.DUMMYFUNCTION("""COMPUTED_VALUE"""),"BN JUAL BELI")</f>
        <v>BN JUAL BELI</v>
      </c>
      <c r="H779" s="7">
        <f t="shared" si="1"/>
        <v>374</v>
      </c>
    </row>
    <row r="780" ht="22.5" customHeight="1">
      <c r="B780" s="7" t="str">
        <f>IFERROR(__xludf.DUMMYFUNCTION("""COMPUTED_VALUE"""),"K/12/041124/3")</f>
        <v>K/12/041124/3</v>
      </c>
      <c r="C780" s="7" t="str">
        <f>IFERROR(__xludf.DUMMYFUNCTION("""COMPUTED_VALUE"""),"NIBEL B.508/GUNUNG SULAH")</f>
        <v>NIBEL B.508/GUNUNG SULAH</v>
      </c>
      <c r="D780" s="7"/>
      <c r="E780" s="7"/>
      <c r="F780" s="9" t="str">
        <f>IFERROR(__xludf.DUMMYFUNCTION("""COMPUTED_VALUE"""),"")</f>
        <v/>
      </c>
      <c r="G780" s="7" t="str">
        <f>IFERROR(__xludf.DUMMYFUNCTION("""COMPUTED_VALUE"""),"BN JUAL BELI")</f>
        <v>BN JUAL BELI</v>
      </c>
      <c r="H780" s="7">
        <f t="shared" si="1"/>
        <v>374</v>
      </c>
    </row>
    <row r="781" ht="22.5" customHeight="1">
      <c r="B781" s="7" t="str">
        <f>IFERROR(__xludf.DUMMYFUNCTION("""COMPUTED_VALUE"""),"K/13/041124/4")</f>
        <v>K/13/041124/4</v>
      </c>
      <c r="C781" s="7" t="str">
        <f>IFERROR(__xludf.DUMMYFUNCTION("""COMPUTED_VALUE"""),"NIBEL B.507/GUNUNG SULAH")</f>
        <v>NIBEL B.507/GUNUNG SULAH</v>
      </c>
      <c r="D781" s="7"/>
      <c r="E781" s="7"/>
      <c r="F781" s="9" t="str">
        <f>IFERROR(__xludf.DUMMYFUNCTION("""COMPUTED_VALUE"""),"")</f>
        <v/>
      </c>
      <c r="G781" s="7" t="str">
        <f>IFERROR(__xludf.DUMMYFUNCTION("""COMPUTED_VALUE"""),"BN JUAL BELI")</f>
        <v>BN JUAL BELI</v>
      </c>
      <c r="H781" s="7">
        <f t="shared" si="1"/>
        <v>374</v>
      </c>
    </row>
    <row r="782" ht="22.5" customHeight="1">
      <c r="B782" s="7" t="str">
        <f>IFERROR(__xludf.DUMMYFUNCTION("""COMPUTED_VALUE"""),"K/8/041124/1")</f>
        <v>K/8/041124/1</v>
      </c>
      <c r="C782" s="7" t="str">
        <f>IFERROR(__xludf.DUMMYFUNCTION("""COMPUTED_VALUE"""),"M. 3227/ TANJUNG SENENG")</f>
        <v>M. 3227/ TANJUNG SENENG</v>
      </c>
      <c r="D782" s="7" t="str">
        <f>IFERROR(__xludf.DUMMYFUNCTION("""COMPUTED_VALUE"""),"Berry")</f>
        <v>Berry</v>
      </c>
      <c r="E782" s="7" t="str">
        <f>IFERROR(__xludf.DUMMYFUNCTION("""COMPUTED_VALUE"""),"DISERAHKAN")</f>
        <v>DISERAHKAN</v>
      </c>
      <c r="F782" s="9">
        <f>IFERROR(__xludf.DUMMYFUNCTION("""COMPUTED_VALUE"""),45601.681810486116)</f>
        <v>45601.68181</v>
      </c>
      <c r="G782" s="7" t="str">
        <f>IFERROR(__xludf.DUMMYFUNCTION("""COMPUTED_VALUE"""),"BN WARIS")</f>
        <v>BN WARIS</v>
      </c>
      <c r="H782" s="7">
        <f t="shared" si="1"/>
        <v>375</v>
      </c>
    </row>
    <row r="783" ht="22.5" customHeight="1">
      <c r="B783" s="7" t="str">
        <f>IFERROR(__xludf.DUMMYFUNCTION("""COMPUTED_VALUE"""),"L/15/041131/1")</f>
        <v>L/15/041131/1</v>
      </c>
      <c r="C783" s="7" t="str">
        <f>IFERROR(__xludf.DUMMYFUNCTION("""COMPUTED_VALUE"""),"M.24/NUSANTARA PERMAI-SEKARANG; M.32/CAMPANG RAYA -DAHULU")</f>
        <v>M.24/NUSANTARA PERMAI-SEKARANG; M.32/CAMPANG RAYA -DAHULU</v>
      </c>
      <c r="D783" s="7" t="str">
        <f>IFERROR(__xludf.DUMMYFUNCTION("""COMPUTED_VALUE"""),"Berry")</f>
        <v>Berry</v>
      </c>
      <c r="E783" s="7" t="str">
        <f>IFERROR(__xludf.DUMMYFUNCTION("""COMPUTED_VALUE"""),"DISERAHKAN")</f>
        <v>DISERAHKAN</v>
      </c>
      <c r="F783" s="9">
        <f>IFERROR(__xludf.DUMMYFUNCTION("""COMPUTED_VALUE"""),45601.68219743056)</f>
        <v>45601.6822</v>
      </c>
      <c r="G783" s="7" t="str">
        <f>IFERROR(__xludf.DUMMYFUNCTION("""COMPUTED_VALUE"""),"ROYA")</f>
        <v>ROYA</v>
      </c>
      <c r="H783" s="7">
        <f t="shared" si="1"/>
        <v>376</v>
      </c>
    </row>
    <row r="784" ht="22.5" customHeight="1">
      <c r="B784" s="7" t="str">
        <f>IFERROR(__xludf.DUMMYFUNCTION("""COMPUTED_VALUE"""),"L/16/041132/1")</f>
        <v>L/16/041132/1</v>
      </c>
      <c r="C784" s="7" t="str">
        <f>IFERROR(__xludf.DUMMYFUNCTION("""COMPUTED_VALUE"""),"B.4891 / BERINGIN RAYA")</f>
        <v>B.4891 / BERINGIN RAYA</v>
      </c>
      <c r="D784" s="7" t="str">
        <f>IFERROR(__xludf.DUMMYFUNCTION("""COMPUTED_VALUE"""),"Berry")</f>
        <v>Berry</v>
      </c>
      <c r="E784" s="7" t="str">
        <f>IFERROR(__xludf.DUMMYFUNCTION("""COMPUTED_VALUE"""),"DISERAHKAN")</f>
        <v>DISERAHKAN</v>
      </c>
      <c r="F784" s="9">
        <f>IFERROR(__xludf.DUMMYFUNCTION("""COMPUTED_VALUE"""),45601.6825527662)</f>
        <v>45601.68255</v>
      </c>
      <c r="G784" s="7" t="str">
        <f>IFERROR(__xludf.DUMMYFUNCTION("""COMPUTED_VALUE"""),"PERUBAHAN HAK")</f>
        <v>PERUBAHAN HAK</v>
      </c>
      <c r="H784" s="7">
        <f t="shared" si="1"/>
        <v>377</v>
      </c>
    </row>
    <row r="785" ht="22.5" customHeight="1">
      <c r="B785" s="7" t="str">
        <f>IFERROR(__xludf.DUMMYFUNCTION("""COMPUTED_VALUE"""),"K/18/041124/1")</f>
        <v>K/18/041124/1</v>
      </c>
      <c r="C785" s="7" t="str">
        <f>IFERROR(__xludf.DUMMYFUNCTION("""COMPUTED_VALUE"""),"M. 2289/ Perumnas Way Halim")</f>
        <v>M. 2289/ Perumnas Way Halim</v>
      </c>
      <c r="D785" s="7" t="str">
        <f>IFERROR(__xludf.DUMMYFUNCTION("""COMPUTED_VALUE"""),"Berry")</f>
        <v>Berry</v>
      </c>
      <c r="E785" s="7" t="str">
        <f>IFERROR(__xludf.DUMMYFUNCTION("""COMPUTED_VALUE"""),"PROSES")</f>
        <v>PROSES</v>
      </c>
      <c r="F785" s="9" t="str">
        <f>IFERROR(__xludf.DUMMYFUNCTION("""COMPUTED_VALUE"""),"")</f>
        <v/>
      </c>
      <c r="G785" s="7" t="str">
        <f>IFERROR(__xludf.DUMMYFUNCTION("""COMPUTED_VALUE"""),"BN Jual Beli")</f>
        <v>BN Jual Beli</v>
      </c>
      <c r="H785" s="7">
        <f t="shared" si="1"/>
        <v>377</v>
      </c>
    </row>
    <row r="786" ht="22.5" customHeight="1">
      <c r="B786" s="7" t="str">
        <f>IFERROR(__xludf.DUMMYFUNCTION("""COMPUTED_VALUE"""),"K/11/041124/1")</f>
        <v>K/11/041124/1</v>
      </c>
      <c r="C786" s="7" t="str">
        <f>IFERROR(__xludf.DUMMYFUNCTION("""COMPUTED_VALUE"""),"M. 1346/ Sumberrejo")</f>
        <v>M. 1346/ Sumberrejo</v>
      </c>
      <c r="D786" s="7" t="str">
        <f>IFERROR(__xludf.DUMMYFUNCTION("""COMPUTED_VALUE"""),"Berry")</f>
        <v>Berry</v>
      </c>
      <c r="E786" s="7" t="str">
        <f>IFERROR(__xludf.DUMMYFUNCTION("""COMPUTED_VALUE"""),"PROSES")</f>
        <v>PROSES</v>
      </c>
      <c r="F786" s="9" t="str">
        <f>IFERROR(__xludf.DUMMYFUNCTION("""COMPUTED_VALUE"""),"")</f>
        <v/>
      </c>
      <c r="G786" s="7" t="str">
        <f>IFERROR(__xludf.DUMMYFUNCTION("""COMPUTED_VALUE"""),"BN Jual Beli")</f>
        <v>BN Jual Beli</v>
      </c>
      <c r="H786" s="7">
        <f t="shared" si="1"/>
        <v>377</v>
      </c>
    </row>
    <row r="787" ht="22.5" customHeight="1">
      <c r="B787" s="7" t="str">
        <f>IFERROR(__xludf.DUMMYFUNCTION("""COMPUTED_VALUE"""),"K/21/041124/1")</f>
        <v>K/21/041124/1</v>
      </c>
      <c r="C787" s="7" t="str">
        <f>IFERROR(__xludf.DUMMYFUNCTION("""COMPUTED_VALUE"""),"M.1031/NEGERI OLOK GADING-SEKARANG;B.975/NEGERI OLOK GADING-DAHULU")</f>
        <v>M.1031/NEGERI OLOK GADING-SEKARANG;B.975/NEGERI OLOK GADING-DAHULU</v>
      </c>
      <c r="D787" s="7" t="str">
        <f>IFERROR(__xludf.DUMMYFUNCTION("""COMPUTED_VALUE"""),"Berry")</f>
        <v>Berry</v>
      </c>
      <c r="E787" s="7" t="str">
        <f>IFERROR(__xludf.DUMMYFUNCTION("""COMPUTED_VALUE"""),"DISERAHKAN")</f>
        <v>DISERAHKAN</v>
      </c>
      <c r="F787" s="9">
        <f>IFERROR(__xludf.DUMMYFUNCTION("""COMPUTED_VALUE"""),45601.68313233796)</f>
        <v>45601.68313</v>
      </c>
      <c r="G787" s="7" t="str">
        <f>IFERROR(__xludf.DUMMYFUNCTION("""COMPUTED_VALUE"""),"BN JUAL BELI")</f>
        <v>BN JUAL BELI</v>
      </c>
      <c r="H787" s="7">
        <f t="shared" si="1"/>
        <v>378</v>
      </c>
    </row>
    <row r="788" ht="22.5" customHeight="1">
      <c r="B788" s="7" t="str">
        <f>IFERROR(__xludf.DUMMYFUNCTION("""COMPUTED_VALUE"""),"L/24/041124/1")</f>
        <v>L/24/041124/1</v>
      </c>
      <c r="C788" s="7" t="str">
        <f>IFERROR(__xludf.DUMMYFUNCTION("""COMPUTED_VALUE"""),"M.11580/SEGALA MIDER")</f>
        <v>M.11580/SEGALA MIDER</v>
      </c>
      <c r="D788" s="7" t="str">
        <f>IFERROR(__xludf.DUMMYFUNCTION("""COMPUTED_VALUE"""),"Berry")</f>
        <v>Berry</v>
      </c>
      <c r="E788" s="7" t="str">
        <f>IFERROR(__xludf.DUMMYFUNCTION("""COMPUTED_VALUE"""),"DISERAHKAN")</f>
        <v>DISERAHKAN</v>
      </c>
      <c r="F788" s="9">
        <f>IFERROR(__xludf.DUMMYFUNCTION("""COMPUTED_VALUE"""),45601.68347870371)</f>
        <v>45601.68348</v>
      </c>
      <c r="G788" s="7" t="str">
        <f>IFERROR(__xludf.DUMMYFUNCTION("""COMPUTED_VALUE"""),"ROYA")</f>
        <v>ROYA</v>
      </c>
      <c r="H788" s="7">
        <f t="shared" si="1"/>
        <v>379</v>
      </c>
    </row>
    <row r="789" ht="22.5" customHeight="1">
      <c r="B789" s="7" t="str">
        <f>IFERROR(__xludf.DUMMYFUNCTION("""COMPUTED_VALUE"""),"K/22/041124/2")</f>
        <v>K/22/041124/2</v>
      </c>
      <c r="C789" s="7" t="str">
        <f>IFERROR(__xludf.DUMMYFUNCTION("""COMPUTED_VALUE"""),"M.2660/SUMBER AGUNG-SEKARANG;M.90/BERINGIN RAYA-DAHULU")</f>
        <v>M.2660/SUMBER AGUNG-SEKARANG;M.90/BERINGIN RAYA-DAHULU</v>
      </c>
      <c r="D789" s="7" t="str">
        <f>IFERROR(__xludf.DUMMYFUNCTION("""COMPUTED_VALUE"""),"Berry")</f>
        <v>Berry</v>
      </c>
      <c r="E789" s="7" t="str">
        <f>IFERROR(__xludf.DUMMYFUNCTION("""COMPUTED_VALUE"""),"DISERAHKAN")</f>
        <v>DISERAHKAN</v>
      </c>
      <c r="F789" s="9">
        <f>IFERROR(__xludf.DUMMYFUNCTION("""COMPUTED_VALUE"""),45604.609618912036)</f>
        <v>45604.60962</v>
      </c>
      <c r="G789" s="7" t="str">
        <f>IFERROR(__xludf.DUMMYFUNCTION("""COMPUTED_VALUE"""),"BN JUAL BELI")</f>
        <v>BN JUAL BELI</v>
      </c>
      <c r="H789" s="7">
        <f t="shared" si="1"/>
        <v>380</v>
      </c>
    </row>
    <row r="790" ht="22.5" customHeight="1">
      <c r="B790" s="7" t="str">
        <f>IFERROR(__xludf.DUMMYFUNCTION("""COMPUTED_VALUE"""),"K/23/041124/3")</f>
        <v>K/23/041124/3</v>
      </c>
      <c r="C790" s="7" t="str">
        <f>IFERROR(__xludf.DUMMYFUNCTION("""COMPUTED_VALUE"""),"NIBEL B.3071.1/KETEGUHAN")</f>
        <v>NIBEL B.3071.1/KETEGUHAN</v>
      </c>
      <c r="D790" s="7"/>
      <c r="E790" s="7"/>
      <c r="F790" s="9" t="str">
        <f>IFERROR(__xludf.DUMMYFUNCTION("""COMPUTED_VALUE"""),"")</f>
        <v/>
      </c>
      <c r="G790" s="7" t="str">
        <f>IFERROR(__xludf.DUMMYFUNCTION("""COMPUTED_VALUE"""),"BN JUAL BELI")</f>
        <v>BN JUAL BELI</v>
      </c>
      <c r="H790" s="7">
        <f t="shared" si="1"/>
        <v>380</v>
      </c>
    </row>
    <row r="791" ht="22.5" customHeight="1">
      <c r="B791" s="7" t="str">
        <f>IFERROR(__xludf.DUMMYFUNCTION("""COMPUTED_VALUE"""),"K/25/041124/1")</f>
        <v>K/25/041124/1</v>
      </c>
      <c r="C791" s="7" t="str">
        <f>IFERROR(__xludf.DUMMYFUNCTION("""COMPUTED_VALUE"""),"M. 3488/ Kota Baru")</f>
        <v>M. 3488/ Kota Baru</v>
      </c>
      <c r="D791" s="7" t="str">
        <f>IFERROR(__xludf.DUMMYFUNCTION("""COMPUTED_VALUE"""),"Berry")</f>
        <v>Berry</v>
      </c>
      <c r="E791" s="7" t="str">
        <f>IFERROR(__xludf.DUMMYFUNCTION("""COMPUTED_VALUE"""),"DISERAHKAN")</f>
        <v>DISERAHKAN</v>
      </c>
      <c r="F791" s="9">
        <f>IFERROR(__xludf.DUMMYFUNCTION("""COMPUTED_VALUE"""),45601.68390877315)</f>
        <v>45601.68391</v>
      </c>
      <c r="G791" s="7" t="str">
        <f>IFERROR(__xludf.DUMMYFUNCTION("""COMPUTED_VALUE"""),"BN JUAL BELI")</f>
        <v>BN JUAL BELI</v>
      </c>
      <c r="H791" s="7">
        <f t="shared" si="1"/>
        <v>381</v>
      </c>
    </row>
    <row r="792" ht="22.5" customHeight="1">
      <c r="B792" s="7" t="str">
        <f>IFERROR(__xludf.DUMMYFUNCTION("""COMPUTED_VALUE"""),"L/30/041124/1")</f>
        <v>L/30/041124/1</v>
      </c>
      <c r="C792" s="7" t="str">
        <f>IFERROR(__xludf.DUMMYFUNCTION("""COMPUTED_VALUE"""),"M.13763/RAJABASA")</f>
        <v>M.13763/RAJABASA</v>
      </c>
      <c r="D792" s="7" t="str">
        <f>IFERROR(__xludf.DUMMYFUNCTION("""COMPUTED_VALUE"""),"Berry")</f>
        <v>Berry</v>
      </c>
      <c r="E792" s="7" t="str">
        <f>IFERROR(__xludf.DUMMYFUNCTION("""COMPUTED_VALUE"""),"DISERAHKAN")</f>
        <v>DISERAHKAN</v>
      </c>
      <c r="F792" s="9">
        <f>IFERROR(__xludf.DUMMYFUNCTION("""COMPUTED_VALUE"""),45601.68418827547)</f>
        <v>45601.68419</v>
      </c>
      <c r="G792" s="7" t="str">
        <f>IFERROR(__xludf.DUMMYFUNCTION("""COMPUTED_VALUE"""),"ROYA")</f>
        <v>ROYA</v>
      </c>
      <c r="H792" s="7">
        <f t="shared" si="1"/>
        <v>382</v>
      </c>
    </row>
    <row r="793" ht="22.5" customHeight="1">
      <c r="B793" s="7" t="str">
        <f>IFERROR(__xludf.DUMMYFUNCTION("""COMPUTED_VALUE"""),"K/26/041124/2")</f>
        <v>K/26/041124/2</v>
      </c>
      <c r="C793" s="7" t="str">
        <f>IFERROR(__xludf.DUMMYFUNCTION("""COMPUTED_VALUE"""),"Nibel 2271/ Way Halim Permai")</f>
        <v>Nibel 2271/ Way Halim Permai</v>
      </c>
      <c r="D793" s="7"/>
      <c r="E793" s="7"/>
      <c r="F793" s="9" t="str">
        <f>IFERROR(__xludf.DUMMYFUNCTION("""COMPUTED_VALUE"""),"")</f>
        <v/>
      </c>
      <c r="G793" s="7" t="str">
        <f>IFERROR(__xludf.DUMMYFUNCTION("""COMPUTED_VALUE"""),"BN JUAL BELI")</f>
        <v>BN JUAL BELI</v>
      </c>
      <c r="H793" s="7">
        <f t="shared" si="1"/>
        <v>382</v>
      </c>
    </row>
    <row r="794" ht="22.5" customHeight="1">
      <c r="B794" s="7" t="str">
        <f>IFERROR(__xludf.DUMMYFUNCTION("""COMPUTED_VALUE"""),"K/27/041124/1")</f>
        <v>K/27/041124/1</v>
      </c>
      <c r="C794" s="7" t="str">
        <f>IFERROR(__xludf.DUMMYFUNCTION("""COMPUTED_VALUE"""),"M. 2800/ Sukarame II")</f>
        <v>M. 2800/ Sukarame II</v>
      </c>
      <c r="D794" s="7" t="str">
        <f>IFERROR(__xludf.DUMMYFUNCTION("""COMPUTED_VALUE"""),"Berry")</f>
        <v>Berry</v>
      </c>
      <c r="E794" s="7" t="str">
        <f>IFERROR(__xludf.DUMMYFUNCTION("""COMPUTED_VALUE"""),"DISERAHKAN")</f>
        <v>DISERAHKAN</v>
      </c>
      <c r="F794" s="9">
        <f>IFERROR(__xludf.DUMMYFUNCTION("""COMPUTED_VALUE"""),45601.684333032405)</f>
        <v>45601.68433</v>
      </c>
      <c r="G794" s="7" t="str">
        <f>IFERROR(__xludf.DUMMYFUNCTION("""COMPUTED_VALUE"""),"BN Jual Beli")</f>
        <v>BN Jual Beli</v>
      </c>
      <c r="H794" s="7">
        <f t="shared" si="1"/>
        <v>383</v>
      </c>
    </row>
    <row r="795" ht="22.5" customHeight="1">
      <c r="B795" s="7" t="str">
        <f>IFERROR(__xludf.DUMMYFUNCTION("""COMPUTED_VALUE"""),"K/28/281024/1")</f>
        <v>K/28/281024/1</v>
      </c>
      <c r="C795" s="7" t="str">
        <f>IFERROR(__xludf.DUMMYFUNCTION("""COMPUTED_VALUE"""),"M. 2095/ Campang Jaya")</f>
        <v>M. 2095/ Campang Jaya</v>
      </c>
      <c r="D795" s="7" t="str">
        <f>IFERROR(__xludf.DUMMYFUNCTION("""COMPUTED_VALUE"""),"Berry")</f>
        <v>Berry</v>
      </c>
      <c r="E795" s="7" t="str">
        <f>IFERROR(__xludf.DUMMYFUNCTION("""COMPUTED_VALUE"""),"DISERAHKAN")</f>
        <v>DISERAHKAN</v>
      </c>
      <c r="F795" s="9">
        <f>IFERROR(__xludf.DUMMYFUNCTION("""COMPUTED_VALUE"""),45601.68456821759)</f>
        <v>45601.68457</v>
      </c>
      <c r="G795" s="7" t="str">
        <f>IFERROR(__xludf.DUMMYFUNCTION("""COMPUTED_VALUE"""),"BN JUAL BELI")</f>
        <v>BN JUAL BELI</v>
      </c>
      <c r="H795" s="7">
        <f t="shared" si="1"/>
        <v>384</v>
      </c>
    </row>
    <row r="796" ht="22.5" customHeight="1">
      <c r="B796" s="7" t="str">
        <f>IFERROR(__xludf.DUMMYFUNCTION("""COMPUTED_VALUE"""),"K/28/041124/2")</f>
        <v>K/28/041124/2</v>
      </c>
      <c r="C796" s="7" t="str">
        <f>IFERROR(__xludf.DUMMYFUNCTION("""COMPUTED_VALUE"""),"M. 2253/ Kedaung")</f>
        <v>M. 2253/ Kedaung</v>
      </c>
      <c r="D796" s="7" t="str">
        <f>IFERROR(__xludf.DUMMYFUNCTION("""COMPUTED_VALUE"""),"Berry")</f>
        <v>Berry</v>
      </c>
      <c r="E796" s="7" t="str">
        <f>IFERROR(__xludf.DUMMYFUNCTION("""COMPUTED_VALUE"""),"DISERAHKAN")</f>
        <v>DISERAHKAN</v>
      </c>
      <c r="F796" s="9">
        <f>IFERROR(__xludf.DUMMYFUNCTION("""COMPUTED_VALUE"""),45601.684663912034)</f>
        <v>45601.68466</v>
      </c>
      <c r="G796" s="7" t="str">
        <f>IFERROR(__xludf.DUMMYFUNCTION("""COMPUTED_VALUE"""),"BN Jual Beli")</f>
        <v>BN Jual Beli</v>
      </c>
      <c r="H796" s="7">
        <f t="shared" si="1"/>
        <v>385</v>
      </c>
    </row>
    <row r="797" ht="22.5" customHeight="1">
      <c r="B797" s="7" t="str">
        <f>IFERROR(__xludf.DUMMYFUNCTION("""COMPUTED_VALUE"""),"K/29/041124/3")</f>
        <v>K/29/041124/3</v>
      </c>
      <c r="C797" s="7" t="str">
        <f>IFERROR(__xludf.DUMMYFUNCTION("""COMPUTED_VALUE"""),"M. 2322/ Kedaung")</f>
        <v>M. 2322/ Kedaung</v>
      </c>
      <c r="D797" s="7" t="str">
        <f>IFERROR(__xludf.DUMMYFUNCTION("""COMPUTED_VALUE"""),"David")</f>
        <v>David</v>
      </c>
      <c r="E797" s="7" t="str">
        <f>IFERROR(__xludf.DUMMYFUNCTION("""COMPUTED_VALUE"""),"DISERAHKAN")</f>
        <v>DISERAHKAN</v>
      </c>
      <c r="F797" s="9">
        <f>IFERROR(__xludf.DUMMYFUNCTION("""COMPUTED_VALUE"""),45601.68513883102)</f>
        <v>45601.68514</v>
      </c>
      <c r="G797" s="7" t="str">
        <f>IFERROR(__xludf.DUMMYFUNCTION("""COMPUTED_VALUE"""),"BN Jual Beli")</f>
        <v>BN Jual Beli</v>
      </c>
      <c r="H797" s="7">
        <f t="shared" si="1"/>
        <v>386</v>
      </c>
    </row>
    <row r="798" ht="22.5" customHeight="1">
      <c r="B798" s="7" t="str">
        <f>IFERROR(__xludf.DUMMYFUNCTION("""COMPUTED_VALUE"""),"L/31/041124/1")</f>
        <v>L/31/041124/1</v>
      </c>
      <c r="C798" s="7" t="str">
        <f>IFERROR(__xludf.DUMMYFUNCTION("""COMPUTED_VALUE"""),"B.1202/SUKABUMI INDAH-SEKARANG; B.1339/SUKABUMI-DAHULU")</f>
        <v>B.1202/SUKABUMI INDAH-SEKARANG; B.1339/SUKABUMI-DAHULU</v>
      </c>
      <c r="D798" s="7" t="str">
        <f>IFERROR(__xludf.DUMMYFUNCTION("""COMPUTED_VALUE"""),"David")</f>
        <v>David</v>
      </c>
      <c r="E798" s="7" t="str">
        <f>IFERROR(__xludf.DUMMYFUNCTION("""COMPUTED_VALUE"""),"DISERAHKAN")</f>
        <v>DISERAHKAN</v>
      </c>
      <c r="F798" s="9">
        <f>IFERROR(__xludf.DUMMYFUNCTION("""COMPUTED_VALUE"""),45602.564689942126)</f>
        <v>45602.56469</v>
      </c>
      <c r="G798" s="7" t="str">
        <f>IFERROR(__xludf.DUMMYFUNCTION("""COMPUTED_VALUE"""),"PERUBAHAN HAK")</f>
        <v>PERUBAHAN HAK</v>
      </c>
      <c r="H798" s="7">
        <f t="shared" si="1"/>
        <v>387</v>
      </c>
    </row>
    <row r="799" ht="22.5" customHeight="1">
      <c r="B799" s="7" t="str">
        <f>IFERROR(__xludf.DUMMYFUNCTION("""COMPUTED_VALUE"""),"K/32/041124/1")</f>
        <v>K/32/041124/1</v>
      </c>
      <c r="C799" s="7" t="str">
        <f>IFERROR(__xludf.DUMMYFUNCTION("""COMPUTED_VALUE"""),"M. 9246/ Kedamaian")</f>
        <v>M. 9246/ Kedamaian</v>
      </c>
      <c r="D799" s="7"/>
      <c r="E799" s="7"/>
      <c r="F799" s="9" t="str">
        <f>IFERROR(__xludf.DUMMYFUNCTION("""COMPUTED_VALUE"""),"")</f>
        <v/>
      </c>
      <c r="G799" s="7" t="str">
        <f>IFERROR(__xludf.DUMMYFUNCTION("""COMPUTED_VALUE"""),"Gandes")</f>
        <v>Gandes</v>
      </c>
      <c r="H799" s="7">
        <f t="shared" si="1"/>
        <v>387</v>
      </c>
    </row>
    <row r="800" ht="22.5" customHeight="1">
      <c r="B800" s="7" t="str">
        <f>IFERROR(__xludf.DUMMYFUNCTION("""COMPUTED_VALUE"""),"K/33/041124/1")</f>
        <v>K/33/041124/1</v>
      </c>
      <c r="C800" s="7" t="str">
        <f>IFERROR(__xludf.DUMMYFUNCTION("""COMPUTED_VALUE"""),"Nibel. M. 2196/ Gunung Terang")</f>
        <v>Nibel. M. 2196/ Gunung Terang</v>
      </c>
      <c r="D800" s="7"/>
      <c r="E800" s="7"/>
      <c r="F800" s="9" t="str">
        <f>IFERROR(__xludf.DUMMYFUNCTION("""COMPUTED_VALUE"""),"")</f>
        <v/>
      </c>
      <c r="G800" s="7" t="str">
        <f>IFERROR(__xludf.DUMMYFUNCTION("""COMPUTED_VALUE"""),"BN Jual Beli")</f>
        <v>BN Jual Beli</v>
      </c>
      <c r="H800" s="7">
        <f t="shared" si="1"/>
        <v>387</v>
      </c>
    </row>
    <row r="801" ht="22.5" customHeight="1">
      <c r="B801" s="7" t="str">
        <f>IFERROR(__xludf.DUMMYFUNCTION("""COMPUTED_VALUE"""),"K/34/041124/1")</f>
        <v>K/34/041124/1</v>
      </c>
      <c r="C801" s="7" t="str">
        <f>IFERROR(__xludf.DUMMYFUNCTION("""COMPUTED_VALUE"""),"M. 2958/ Kota Baru")</f>
        <v>M. 2958/ Kota Baru</v>
      </c>
      <c r="D801" s="7"/>
      <c r="E801" s="7"/>
      <c r="F801" s="9" t="str">
        <f>IFERROR(__xludf.DUMMYFUNCTION("""COMPUTED_VALUE"""),"")</f>
        <v/>
      </c>
      <c r="G801" s="7" t="str">
        <f>IFERROR(__xludf.DUMMYFUNCTION("""COMPUTED_VALUE"""),"PTPGT (Pemecahan)")</f>
        <v>PTPGT (Pemecahan)</v>
      </c>
      <c r="H801" s="7">
        <f t="shared" si="1"/>
        <v>387</v>
      </c>
    </row>
    <row r="802" ht="22.5" customHeight="1">
      <c r="B802" s="7" t="str">
        <f>IFERROR(__xludf.DUMMYFUNCTION("""COMPUTED_VALUE"""),"K/35/041124/1")</f>
        <v>K/35/041124/1</v>
      </c>
      <c r="C802" s="7" t="str">
        <f>IFERROR(__xludf.DUMMYFUNCTION("""COMPUTED_VALUE"""),"M. 9268/ Sidodadi")</f>
        <v>M. 9268/ Sidodadi</v>
      </c>
      <c r="D802" s="7" t="str">
        <f>IFERROR(__xludf.DUMMYFUNCTION("""COMPUTED_VALUE"""),"David")</f>
        <v>David</v>
      </c>
      <c r="E802" s="7" t="str">
        <f>IFERROR(__xludf.DUMMYFUNCTION("""COMPUTED_VALUE"""),"DISERAHKAN")</f>
        <v>DISERAHKAN</v>
      </c>
      <c r="F802" s="9">
        <f>IFERROR(__xludf.DUMMYFUNCTION("""COMPUTED_VALUE"""),45601.68599358796)</f>
        <v>45601.68599</v>
      </c>
      <c r="G802" s="7" t="str">
        <f>IFERROR(__xludf.DUMMYFUNCTION("""COMPUTED_VALUE"""),"roya")</f>
        <v>roya</v>
      </c>
      <c r="H802" s="7">
        <f t="shared" si="1"/>
        <v>388</v>
      </c>
    </row>
    <row r="803" ht="22.5" customHeight="1">
      <c r="B803" s="7" t="str">
        <f>IFERROR(__xludf.DUMMYFUNCTION("""COMPUTED_VALUE"""),"K/36/041124/2")</f>
        <v>K/36/041124/2</v>
      </c>
      <c r="C803" s="7" t="str">
        <f>IFERROR(__xludf.DUMMYFUNCTION("""COMPUTED_VALUE"""),"M. 10227/ Segala Mider")</f>
        <v>M. 10227/ Segala Mider</v>
      </c>
      <c r="D803" s="7" t="str">
        <f>IFERROR(__xludf.DUMMYFUNCTION("""COMPUTED_VALUE"""),"David")</f>
        <v>David</v>
      </c>
      <c r="E803" s="7" t="str">
        <f>IFERROR(__xludf.DUMMYFUNCTION("""COMPUTED_VALUE"""),"DISERAHKAN")</f>
        <v>DISERAHKAN</v>
      </c>
      <c r="F803" s="9">
        <f>IFERROR(__xludf.DUMMYFUNCTION("""COMPUTED_VALUE"""),45601.686438819444)</f>
        <v>45601.68644</v>
      </c>
      <c r="G803" s="7" t="str">
        <f>IFERROR(__xludf.DUMMYFUNCTION("""COMPUTED_VALUE"""),"roya")</f>
        <v>roya</v>
      </c>
      <c r="H803" s="7">
        <f t="shared" si="1"/>
        <v>389</v>
      </c>
    </row>
    <row r="804" ht="22.5" customHeight="1">
      <c r="B804" s="7" t="str">
        <f>IFERROR(__xludf.DUMMYFUNCTION("""COMPUTED_VALUE"""),"K/37/041124/3")</f>
        <v>K/37/041124/3</v>
      </c>
      <c r="C804" s="7" t="str">
        <f>IFERROR(__xludf.DUMMYFUNCTION("""COMPUTED_VALUE"""),"M. 12471/ Kedamaian")</f>
        <v>M. 12471/ Kedamaian</v>
      </c>
      <c r="D804" s="7" t="str">
        <f>IFERROR(__xludf.DUMMYFUNCTION("""COMPUTED_VALUE"""),"Pras")</f>
        <v>Pras</v>
      </c>
      <c r="E804" s="7" t="str">
        <f>IFERROR(__xludf.DUMMYFUNCTION("""COMPUTED_VALUE"""),"DISERAHKAN")</f>
        <v>DISERAHKAN</v>
      </c>
      <c r="F804" s="9">
        <f>IFERROR(__xludf.DUMMYFUNCTION("""COMPUTED_VALUE"""),45602.573955300926)</f>
        <v>45602.57396</v>
      </c>
      <c r="G804" s="7" t="str">
        <f>IFERROR(__xludf.DUMMYFUNCTION("""COMPUTED_VALUE"""),"PENATAAN BATAS")</f>
        <v>PENATAAN BATAS</v>
      </c>
      <c r="H804" s="7">
        <f t="shared" si="1"/>
        <v>390</v>
      </c>
    </row>
    <row r="805" ht="22.5" customHeight="1">
      <c r="B805" s="7" t="str">
        <f>IFERROR(__xludf.DUMMYFUNCTION("""COMPUTED_VALUE"""),"K/38/041124/4")</f>
        <v>K/38/041124/4</v>
      </c>
      <c r="C805" s="7" t="str">
        <f>IFERROR(__xludf.DUMMYFUNCTION("""COMPUTED_VALUE"""),"B. 1406/ Jagabaya II")</f>
        <v>B. 1406/ Jagabaya II</v>
      </c>
      <c r="D805" s="7" t="str">
        <f>IFERROR(__xludf.DUMMYFUNCTION("""COMPUTED_VALUE"""),"David")</f>
        <v>David</v>
      </c>
      <c r="E805" s="7" t="str">
        <f>IFERROR(__xludf.DUMMYFUNCTION("""COMPUTED_VALUE"""),"DISERAHKAN")</f>
        <v>DISERAHKAN</v>
      </c>
      <c r="F805" s="9">
        <f>IFERROR(__xludf.DUMMYFUNCTION("""COMPUTED_VALUE"""),45601.686627731484)</f>
        <v>45601.68663</v>
      </c>
      <c r="G805" s="7" t="str">
        <f>IFERROR(__xludf.DUMMYFUNCTION("""COMPUTED_VALUE"""),"ROYA")</f>
        <v>ROYA</v>
      </c>
      <c r="H805" s="7">
        <f t="shared" si="1"/>
        <v>391</v>
      </c>
    </row>
    <row r="806" ht="22.5" customHeight="1">
      <c r="B806" s="7" t="str">
        <f>IFERROR(__xludf.DUMMYFUNCTION("""COMPUTED_VALUE"""),"K/39/041124/1")</f>
        <v>K/39/041124/1</v>
      </c>
      <c r="C806" s="7" t="str">
        <f>IFERROR(__xludf.DUMMYFUNCTION("""COMPUTED_VALUE"""),"M.1773/SUKAJAWA")</f>
        <v>M.1773/SUKAJAWA</v>
      </c>
      <c r="D806" s="7" t="str">
        <f>IFERROR(__xludf.DUMMYFUNCTION("""COMPUTED_VALUE"""),"David")</f>
        <v>David</v>
      </c>
      <c r="E806" s="7" t="str">
        <f>IFERROR(__xludf.DUMMYFUNCTION("""COMPUTED_VALUE"""),"DISERAHKAN")</f>
        <v>DISERAHKAN</v>
      </c>
      <c r="F806" s="9">
        <f>IFERROR(__xludf.DUMMYFUNCTION("""COMPUTED_VALUE"""),45601.687015497686)</f>
        <v>45601.68702</v>
      </c>
      <c r="G806" s="7" t="str">
        <f>IFERROR(__xludf.DUMMYFUNCTION("""COMPUTED_VALUE"""),"BN JUAL BELI")</f>
        <v>BN JUAL BELI</v>
      </c>
      <c r="H806" s="7">
        <f t="shared" si="1"/>
        <v>392</v>
      </c>
    </row>
    <row r="807" ht="22.5" customHeight="1">
      <c r="B807" s="7" t="str">
        <f>IFERROR(__xludf.DUMMYFUNCTION("""COMPUTED_VALUE"""),"L/40/041124/1")</f>
        <v>L/40/041124/1</v>
      </c>
      <c r="C807" s="7" t="str">
        <f>IFERROR(__xludf.DUMMYFUNCTION("""COMPUTED_VALUE"""),"M.1706/PERUMNAS WAY HALIM")</f>
        <v>M.1706/PERUMNAS WAY HALIM</v>
      </c>
      <c r="D807" s="7" t="str">
        <f>IFERROR(__xludf.DUMMYFUNCTION("""COMPUTED_VALUE"""),"David")</f>
        <v>David</v>
      </c>
      <c r="E807" s="7" t="str">
        <f>IFERROR(__xludf.DUMMYFUNCTION("""COMPUTED_VALUE"""),"PROSES")</f>
        <v>PROSES</v>
      </c>
      <c r="F807" s="9" t="str">
        <f>IFERROR(__xludf.DUMMYFUNCTION("""COMPUTED_VALUE"""),"")</f>
        <v/>
      </c>
      <c r="G807" s="7" t="str">
        <f>IFERROR(__xludf.DUMMYFUNCTION("""COMPUTED_VALUE"""),"ROYA")</f>
        <v>ROYA</v>
      </c>
      <c r="H807" s="7">
        <f t="shared" si="1"/>
        <v>392</v>
      </c>
    </row>
    <row r="808" ht="22.5" customHeight="1">
      <c r="B808" s="7" t="str">
        <f>IFERROR(__xludf.DUMMYFUNCTION("""COMPUTED_VALUE"""),"K/41/041124/1")</f>
        <v>K/41/041124/1</v>
      </c>
      <c r="C808" s="7" t="str">
        <f>IFERROR(__xludf.DUMMYFUNCTION("""COMPUTED_VALUE"""),"B. 1481/ Tanjung Senang")</f>
        <v>B. 1481/ Tanjung Senang</v>
      </c>
      <c r="D808" s="7"/>
      <c r="E808" s="7"/>
      <c r="F808" s="9" t="str">
        <f>IFERROR(__xludf.DUMMYFUNCTION("""COMPUTED_VALUE"""),"")</f>
        <v/>
      </c>
      <c r="G808" s="7" t="str">
        <f>IFERROR(__xludf.DUMMYFUNCTION("""COMPUTED_VALUE"""),"Gandes")</f>
        <v>Gandes</v>
      </c>
      <c r="H808" s="7">
        <f t="shared" si="1"/>
        <v>392</v>
      </c>
    </row>
    <row r="809" ht="22.5" customHeight="1">
      <c r="B809" s="7" t="str">
        <f>IFERROR(__xludf.DUMMYFUNCTION("""COMPUTED_VALUE"""),"L/42/041124/1")</f>
        <v>L/42/041124/1</v>
      </c>
      <c r="C809" s="7" t="str">
        <f>IFERROR(__xludf.DUMMYFUNCTION("""COMPUTED_VALUE"""),"B.661/SUKABUMI INDAH")</f>
        <v>B.661/SUKABUMI INDAH</v>
      </c>
      <c r="D809" s="7" t="str">
        <f>IFERROR(__xludf.DUMMYFUNCTION("""COMPUTED_VALUE"""),"David")</f>
        <v>David</v>
      </c>
      <c r="E809" s="7" t="str">
        <f>IFERROR(__xludf.DUMMYFUNCTION("""COMPUTED_VALUE"""),"DISERAHKAN")</f>
        <v>DISERAHKAN</v>
      </c>
      <c r="F809" s="9">
        <f>IFERROR(__xludf.DUMMYFUNCTION("""COMPUTED_VALUE"""),45601.68726936342)</f>
        <v>45601.68727</v>
      </c>
      <c r="G809" s="7" t="str">
        <f>IFERROR(__xludf.DUMMYFUNCTION("""COMPUTED_VALUE"""),"ROYA")</f>
        <v>ROYA</v>
      </c>
      <c r="H809" s="7">
        <f t="shared" si="1"/>
        <v>393</v>
      </c>
    </row>
    <row r="810" ht="22.5" customHeight="1">
      <c r="B810" s="7" t="str">
        <f>IFERROR(__xludf.DUMMYFUNCTION("""COMPUTED_VALUE"""),"K/43/041124/1")</f>
        <v>K/43/041124/1</v>
      </c>
      <c r="C810" s="7" t="str">
        <f>IFERROR(__xludf.DUMMYFUNCTION("""COMPUTED_VALUE"""),"M. 2684/ Pinang Jaya-sekarang; B. 12782/ Pinang Jaya")</f>
        <v>M. 2684/ Pinang Jaya-sekarang; B. 12782/ Pinang Jaya</v>
      </c>
      <c r="D810" s="7" t="str">
        <f>IFERROR(__xludf.DUMMYFUNCTION("""COMPUTED_VALUE"""),"David")</f>
        <v>David</v>
      </c>
      <c r="E810" s="7" t="str">
        <f>IFERROR(__xludf.DUMMYFUNCTION("""COMPUTED_VALUE"""),"DISERAHKAN")</f>
        <v>DISERAHKAN</v>
      </c>
      <c r="F810" s="9">
        <f>IFERROR(__xludf.DUMMYFUNCTION("""COMPUTED_VALUE"""),45609.448318229166)</f>
        <v>45609.44832</v>
      </c>
      <c r="G810" s="7" t="str">
        <f>IFERROR(__xludf.DUMMYFUNCTION("""COMPUTED_VALUE"""),"BN Lelang")</f>
        <v>BN Lelang</v>
      </c>
      <c r="H810" s="7">
        <f t="shared" si="1"/>
        <v>394</v>
      </c>
    </row>
    <row r="811" ht="22.5" customHeight="1">
      <c r="B811" s="7" t="str">
        <f>IFERROR(__xludf.DUMMYFUNCTION("""COMPUTED_VALUE"""),"K/44/041124/1")</f>
        <v>K/44/041124/1</v>
      </c>
      <c r="C811" s="7" t="str">
        <f>IFERROR(__xludf.DUMMYFUNCTION("""COMPUTED_VALUE"""),"HMASRS/ 152/ SUMUR PUTRI")</f>
        <v>HMASRS/ 152/ SUMUR PUTRI</v>
      </c>
      <c r="D811" s="7"/>
      <c r="E811" s="7"/>
      <c r="F811" s="9" t="str">
        <f>IFERROR(__xludf.DUMMYFUNCTION("""COMPUTED_VALUE"""),"")</f>
        <v/>
      </c>
      <c r="G811" s="7" t="str">
        <f>IFERROR(__xludf.DUMMYFUNCTION("""COMPUTED_VALUE"""),"PENGECEKKAN")</f>
        <v>PENGECEKKAN</v>
      </c>
      <c r="H811" s="7">
        <f t="shared" si="1"/>
        <v>394</v>
      </c>
    </row>
    <row r="812" ht="22.5" customHeight="1">
      <c r="B812" s="7" t="str">
        <f>IFERROR(__xludf.DUMMYFUNCTION("""COMPUTED_VALUE"""),"K/45/041124/1")</f>
        <v>K/45/041124/1</v>
      </c>
      <c r="C812" s="7" t="str">
        <f>IFERROR(__xludf.DUMMYFUNCTION("""COMPUTED_VALUE"""),"B. 756/ Sumur Putri")</f>
        <v>B. 756/ Sumur Putri</v>
      </c>
      <c r="D812" s="7" t="str">
        <f>IFERROR(__xludf.DUMMYFUNCTION("""COMPUTED_VALUE"""),"David")</f>
        <v>David</v>
      </c>
      <c r="E812" s="7" t="str">
        <f>IFERROR(__xludf.DUMMYFUNCTION("""COMPUTED_VALUE"""),"PROSES")</f>
        <v>PROSES</v>
      </c>
      <c r="F812" s="9" t="str">
        <f>IFERROR(__xludf.DUMMYFUNCTION("""COMPUTED_VALUE"""),"")</f>
        <v/>
      </c>
      <c r="G812" s="7" t="str">
        <f>IFERROR(__xludf.DUMMYFUNCTION("""COMPUTED_VALUE"""),"BN JUAL BELI")</f>
        <v>BN JUAL BELI</v>
      </c>
      <c r="H812" s="7">
        <f t="shared" si="1"/>
        <v>394</v>
      </c>
    </row>
    <row r="813" ht="22.5" customHeight="1">
      <c r="B813" s="7" t="str">
        <f>IFERROR(__xludf.DUMMYFUNCTION("""COMPUTED_VALUE"""),"K/46/041124/2")</f>
        <v>K/46/041124/2</v>
      </c>
      <c r="C813" s="7" t="str">
        <f>IFERROR(__xludf.DUMMYFUNCTION("""COMPUTED_VALUE"""),"M. 146/ Kampung Baru Raya")</f>
        <v>M. 146/ Kampung Baru Raya</v>
      </c>
      <c r="D813" s="7" t="str">
        <f>IFERROR(__xludf.DUMMYFUNCTION("""COMPUTED_VALUE"""),"David")</f>
        <v>David</v>
      </c>
      <c r="E813" s="7" t="str">
        <f>IFERROR(__xludf.DUMMYFUNCTION("""COMPUTED_VALUE"""),"DISERAHKAN")</f>
        <v>DISERAHKAN</v>
      </c>
      <c r="F813" s="9">
        <f>IFERROR(__xludf.DUMMYFUNCTION("""COMPUTED_VALUE"""),45602.56924224537)</f>
        <v>45602.56924</v>
      </c>
      <c r="G813" s="7" t="str">
        <f>IFERROR(__xludf.DUMMYFUNCTION("""COMPUTED_VALUE"""),"BN JUAL BELI")</f>
        <v>BN JUAL BELI</v>
      </c>
      <c r="H813" s="7">
        <f t="shared" si="1"/>
        <v>395</v>
      </c>
    </row>
    <row r="814" ht="22.5" customHeight="1">
      <c r="B814" s="7" t="str">
        <f>IFERROR(__xludf.DUMMYFUNCTION("""COMPUTED_VALUE"""),"K/47/041124/1")</f>
        <v>K/47/041124/1</v>
      </c>
      <c r="C814" s="7" t="str">
        <f>IFERROR(__xludf.DUMMYFUNCTION("""COMPUTED_VALUE"""),"Nibel. M. 693/ Segala Mider")</f>
        <v>Nibel. M. 693/ Segala Mider</v>
      </c>
      <c r="D814" s="7" t="str">
        <f>IFERROR(__xludf.DUMMYFUNCTION("""COMPUTED_VALUE"""),"David")</f>
        <v>David</v>
      </c>
      <c r="E814" s="7" t="str">
        <f>IFERROR(__xludf.DUMMYFUNCTION("""COMPUTED_VALUE"""),"PROSES")</f>
        <v>PROSES</v>
      </c>
      <c r="F814" s="9" t="str">
        <f>IFERROR(__xludf.DUMMYFUNCTION("""COMPUTED_VALUE"""),"")</f>
        <v/>
      </c>
      <c r="G814" s="7" t="str">
        <f>IFERROR(__xludf.DUMMYFUNCTION("""COMPUTED_VALUE"""),"BN Jual Beli")</f>
        <v>BN Jual Beli</v>
      </c>
      <c r="H814" s="7">
        <f t="shared" si="1"/>
        <v>395</v>
      </c>
    </row>
    <row r="815" ht="22.5" customHeight="1">
      <c r="B815" s="7" t="str">
        <f>IFERROR(__xludf.DUMMYFUNCTION("""COMPUTED_VALUE"""),"K/48/041124/2")</f>
        <v>K/48/041124/2</v>
      </c>
      <c r="C815" s="7" t="str">
        <f>IFERROR(__xludf.DUMMYFUNCTION("""COMPUTED_VALUE"""),"M. 1113/ Pematang Wangi; M. 3217/ Tanjung Senang-dahulu")</f>
        <v>M. 1113/ Pematang Wangi; M. 3217/ Tanjung Senang-dahulu</v>
      </c>
      <c r="D815" s="7" t="str">
        <f>IFERROR(__xludf.DUMMYFUNCTION("""COMPUTED_VALUE"""),"David")</f>
        <v>David</v>
      </c>
      <c r="E815" s="7" t="str">
        <f>IFERROR(__xludf.DUMMYFUNCTION("""COMPUTED_VALUE"""),"DISERAHKAN")</f>
        <v>DISERAHKAN</v>
      </c>
      <c r="F815" s="9">
        <f>IFERROR(__xludf.DUMMYFUNCTION("""COMPUTED_VALUE"""),45608.582167789355)</f>
        <v>45608.58217</v>
      </c>
      <c r="G815" s="7" t="str">
        <f>IFERROR(__xludf.DUMMYFUNCTION("""COMPUTED_VALUE"""),"BN Jual Beli")</f>
        <v>BN Jual Beli</v>
      </c>
      <c r="H815" s="7">
        <f t="shared" si="1"/>
        <v>396</v>
      </c>
    </row>
    <row r="816" ht="22.5" customHeight="1">
      <c r="B816" s="7" t="str">
        <f>IFERROR(__xludf.DUMMYFUNCTION("""COMPUTED_VALUE"""),"K/49/041124/1")</f>
        <v>K/49/041124/1</v>
      </c>
      <c r="C816" s="7" t="str">
        <f>IFERROR(__xludf.DUMMYFUNCTION("""COMPUTED_VALUE"""),"M.9336/GEDONG MENENG")</f>
        <v>M.9336/GEDONG MENENG</v>
      </c>
      <c r="D816" s="7" t="str">
        <f>IFERROR(__xludf.DUMMYFUNCTION("""COMPUTED_VALUE"""),"David")</f>
        <v>David</v>
      </c>
      <c r="E816" s="7" t="str">
        <f>IFERROR(__xludf.DUMMYFUNCTION("""COMPUTED_VALUE"""),"DISERAHKAN")</f>
        <v>DISERAHKAN</v>
      </c>
      <c r="F816" s="9">
        <f>IFERROR(__xludf.DUMMYFUNCTION("""COMPUTED_VALUE"""),45601.68828163194)</f>
        <v>45601.68828</v>
      </c>
      <c r="G816" s="7" t="str">
        <f>IFERROR(__xludf.DUMMYFUNCTION("""COMPUTED_VALUE"""),"HIBAH")</f>
        <v>HIBAH</v>
      </c>
      <c r="H816" s="7">
        <f t="shared" si="1"/>
        <v>397</v>
      </c>
    </row>
    <row r="817" ht="22.5" customHeight="1">
      <c r="B817" s="7" t="str">
        <f>IFERROR(__xludf.DUMMYFUNCTION("""COMPUTED_VALUE"""),"K/50/041124/1")</f>
        <v>K/50/041124/1</v>
      </c>
      <c r="C817" s="7" t="str">
        <f>IFERROR(__xludf.DUMMYFUNCTION("""COMPUTED_VALUE"""),"M. 884/ SUMBER AGUNG")</f>
        <v>M. 884/ SUMBER AGUNG</v>
      </c>
      <c r="D817" s="7" t="str">
        <f>IFERROR(__xludf.DUMMYFUNCTION("""COMPUTED_VALUE"""),"David")</f>
        <v>David</v>
      </c>
      <c r="E817" s="7" t="str">
        <f>IFERROR(__xludf.DUMMYFUNCTION("""COMPUTED_VALUE"""),"DISERAHKAN")</f>
        <v>DISERAHKAN</v>
      </c>
      <c r="F817" s="9">
        <f>IFERROR(__xludf.DUMMYFUNCTION("""COMPUTED_VALUE"""),45601.68878033565)</f>
        <v>45601.68878</v>
      </c>
      <c r="G817" s="7" t="str">
        <f>IFERROR(__xludf.DUMMYFUNCTION("""COMPUTED_VALUE"""),"BN JUAL BELI")</f>
        <v>BN JUAL BELI</v>
      </c>
      <c r="H817" s="7">
        <f t="shared" si="1"/>
        <v>398</v>
      </c>
    </row>
    <row r="818" ht="22.5" customHeight="1">
      <c r="B818" s="7" t="str">
        <f>IFERROR(__xludf.DUMMYFUNCTION("""COMPUTED_VALUE"""),"K/51/041124/1")</f>
        <v>K/51/041124/1</v>
      </c>
      <c r="C818" s="7" t="str">
        <f>IFERROR(__xludf.DUMMYFUNCTION("""COMPUTED_VALUE"""),"M.4157/LANGKAPURA")</f>
        <v>M.4157/LANGKAPURA</v>
      </c>
      <c r="D818" s="7" t="str">
        <f>IFERROR(__xludf.DUMMYFUNCTION("""COMPUTED_VALUE"""),"David")</f>
        <v>David</v>
      </c>
      <c r="E818" s="7" t="str">
        <f>IFERROR(__xludf.DUMMYFUNCTION("""COMPUTED_VALUE"""),"DISERAHKAN")</f>
        <v>DISERAHKAN</v>
      </c>
      <c r="F818" s="9">
        <f>IFERROR(__xludf.DUMMYFUNCTION("""COMPUTED_VALUE"""),45601.688907222226)</f>
        <v>45601.68891</v>
      </c>
      <c r="G818" s="7" t="str">
        <f>IFERROR(__xludf.DUMMYFUNCTION("""COMPUTED_VALUE"""),"BN JUAL BELI")</f>
        <v>BN JUAL BELI</v>
      </c>
      <c r="H818" s="7">
        <f t="shared" si="1"/>
        <v>399</v>
      </c>
    </row>
    <row r="819" ht="22.5" customHeight="1">
      <c r="B819" s="7" t="str">
        <f>IFERROR(__xludf.DUMMYFUNCTION("""COMPUTED_VALUE"""),"K/52/041124/1")</f>
        <v>K/52/041124/1</v>
      </c>
      <c r="C819" s="7" t="str">
        <f>IFERROR(__xludf.DUMMYFUNCTION("""COMPUTED_VALUE"""),"M.548/RAJABASA PEMUKA")</f>
        <v>M.548/RAJABASA PEMUKA</v>
      </c>
      <c r="D819" s="7" t="str">
        <f>IFERROR(__xludf.DUMMYFUNCTION("""COMPUTED_VALUE"""),"David")</f>
        <v>David</v>
      </c>
      <c r="E819" s="7" t="str">
        <f>IFERROR(__xludf.DUMMYFUNCTION("""COMPUTED_VALUE"""),"DISERAHKAN")</f>
        <v>DISERAHKAN</v>
      </c>
      <c r="F819" s="9">
        <f>IFERROR(__xludf.DUMMYFUNCTION("""COMPUTED_VALUE"""),45602.5651668287)</f>
        <v>45602.56517</v>
      </c>
      <c r="G819" s="7" t="str">
        <f>IFERROR(__xludf.DUMMYFUNCTION("""COMPUTED_VALUE"""),"BN JUAL BELI")</f>
        <v>BN JUAL BELI</v>
      </c>
      <c r="H819" s="7">
        <f t="shared" si="1"/>
        <v>400</v>
      </c>
    </row>
    <row r="820" ht="22.5" customHeight="1">
      <c r="B820" s="7" t="str">
        <f>IFERROR(__xludf.DUMMYFUNCTION("""COMPUTED_VALUE"""),"K/1/051124/1")</f>
        <v>K/1/051124/1</v>
      </c>
      <c r="C820" s="7" t="str">
        <f>IFERROR(__xludf.DUMMYFUNCTION("""COMPUTED_VALUE"""),"M.1892/LANGKAPURA")</f>
        <v>M.1892/LANGKAPURA</v>
      </c>
      <c r="D820" s="7"/>
      <c r="E820" s="7"/>
      <c r="F820" s="9" t="str">
        <f>IFERROR(__xludf.DUMMYFUNCTION("""COMPUTED_VALUE"""),"")</f>
        <v/>
      </c>
      <c r="G820" s="7" t="str">
        <f>IFERROR(__xludf.DUMMYFUNCTION("""COMPUTED_VALUE"""),"PLOTING")</f>
        <v>PLOTING</v>
      </c>
      <c r="H820" s="7">
        <f t="shared" si="1"/>
        <v>400</v>
      </c>
    </row>
    <row r="821" ht="22.5" customHeight="1">
      <c r="B821" s="7" t="str">
        <f>IFERROR(__xludf.DUMMYFUNCTION("""COMPUTED_VALUE"""),"K/2/051124/2")</f>
        <v>K/2/051124/2</v>
      </c>
      <c r="C821" s="7" t="str">
        <f>IFERROR(__xludf.DUMMYFUNCTION("""COMPUTED_VALUE"""),"M.631/LANGKAPURA BARU")</f>
        <v>M.631/LANGKAPURA BARU</v>
      </c>
      <c r="D821" s="7" t="str">
        <f>IFERROR(__xludf.DUMMYFUNCTION("""COMPUTED_VALUE"""),"David")</f>
        <v>David</v>
      </c>
      <c r="E821" s="7" t="str">
        <f>IFERROR(__xludf.DUMMYFUNCTION("""COMPUTED_VALUE"""),"DISERAHKAN")</f>
        <v>DISERAHKAN</v>
      </c>
      <c r="F821" s="9">
        <f>IFERROR(__xludf.DUMMYFUNCTION("""COMPUTED_VALUE"""),45602.56432576389)</f>
        <v>45602.56433</v>
      </c>
      <c r="G821" s="7" t="str">
        <f>IFERROR(__xludf.DUMMYFUNCTION("""COMPUTED_VALUE"""),"BN JUAL BELI")</f>
        <v>BN JUAL BELI</v>
      </c>
      <c r="H821" s="7">
        <f t="shared" si="1"/>
        <v>401</v>
      </c>
    </row>
    <row r="822" ht="22.5" customHeight="1">
      <c r="B822" s="7" t="str">
        <f>IFERROR(__xludf.DUMMYFUNCTION("""COMPUTED_VALUE"""),"K/3/051124/3")</f>
        <v>K/3/051124/3</v>
      </c>
      <c r="C822" s="7" t="str">
        <f>IFERROR(__xludf.DUMMYFUNCTION("""COMPUTED_VALUE"""),"M.1524/RAJABASA JAYA")</f>
        <v>M.1524/RAJABASA JAYA</v>
      </c>
      <c r="D822" s="7" t="str">
        <f>IFERROR(__xludf.DUMMYFUNCTION("""COMPUTED_VALUE"""),"David")</f>
        <v>David</v>
      </c>
      <c r="E822" s="7" t="str">
        <f>IFERROR(__xludf.DUMMYFUNCTION("""COMPUTED_VALUE"""),"DISERAHKAN")</f>
        <v>DISERAHKAN</v>
      </c>
      <c r="F822" s="9">
        <f>IFERROR(__xludf.DUMMYFUNCTION("""COMPUTED_VALUE"""),45602.566446944445)</f>
        <v>45602.56645</v>
      </c>
      <c r="G822" s="7" t="str">
        <f>IFERROR(__xludf.DUMMYFUNCTION("""COMPUTED_VALUE"""),"BN JUAL BELI")</f>
        <v>BN JUAL BELI</v>
      </c>
      <c r="H822" s="7">
        <f t="shared" si="1"/>
        <v>402</v>
      </c>
    </row>
    <row r="823" ht="22.5" customHeight="1">
      <c r="B823" s="7" t="str">
        <f>IFERROR(__xludf.DUMMYFUNCTION("""COMPUTED_VALUE"""),"K/4/051124/1")</f>
        <v>K/4/051124/1</v>
      </c>
      <c r="C823" s="7" t="str">
        <f>IFERROR(__xludf.DUMMYFUNCTION("""COMPUTED_VALUE"""),"M. 11995/ Segala Mider")</f>
        <v>M. 11995/ Segala Mider</v>
      </c>
      <c r="D823" s="7" t="str">
        <f>IFERROR(__xludf.DUMMYFUNCTION("""COMPUTED_VALUE"""),"David")</f>
        <v>David</v>
      </c>
      <c r="E823" s="7" t="str">
        <f>IFERROR(__xludf.DUMMYFUNCTION("""COMPUTED_VALUE"""),"DISERAHKAN")</f>
        <v>DISERAHKAN</v>
      </c>
      <c r="F823" s="9">
        <f>IFERROR(__xludf.DUMMYFUNCTION("""COMPUTED_VALUE"""),45602.5673337037)</f>
        <v>45602.56733</v>
      </c>
      <c r="G823" s="7" t="str">
        <f>IFERROR(__xludf.DUMMYFUNCTION("""COMPUTED_VALUE"""),"BN Hibah")</f>
        <v>BN Hibah</v>
      </c>
      <c r="H823" s="7">
        <f t="shared" si="1"/>
        <v>403</v>
      </c>
    </row>
    <row r="824" ht="22.5" customHeight="1">
      <c r="B824" s="7" t="str">
        <f>IFERROR(__xludf.DUMMYFUNCTION("""COMPUTED_VALUE"""),"K/6/051124/1")</f>
        <v>K/6/051124/1</v>
      </c>
      <c r="C824" s="7" t="str">
        <f>IFERROR(__xludf.DUMMYFUNCTION("""COMPUTED_VALUE"""),"M.1447/KOTA KARANG")</f>
        <v>M.1447/KOTA KARANG</v>
      </c>
      <c r="D824" s="7"/>
      <c r="E824" s="7"/>
      <c r="F824" s="9" t="str">
        <f>IFERROR(__xludf.DUMMYFUNCTION("""COMPUTED_VALUE"""),"")</f>
        <v/>
      </c>
      <c r="G824" s="7" t="str">
        <f>IFERROR(__xludf.DUMMYFUNCTION("""COMPUTED_VALUE"""),"PLOTING")</f>
        <v>PLOTING</v>
      </c>
      <c r="H824" s="7">
        <f t="shared" si="1"/>
        <v>403</v>
      </c>
    </row>
    <row r="825" ht="22.5" customHeight="1">
      <c r="B825" s="7" t="str">
        <f>IFERROR(__xludf.DUMMYFUNCTION("""COMPUTED_VALUE"""),"L/8/051124/1")</f>
        <v>L/8/051124/1</v>
      </c>
      <c r="C825" s="7" t="str">
        <f>IFERROR(__xludf.DUMMYFUNCTION("""COMPUTED_VALUE"""),"M.1311 /GUNUNG SULAH")</f>
        <v>M.1311 /GUNUNG SULAH</v>
      </c>
      <c r="D825" s="7" t="str">
        <f>IFERROR(__xludf.DUMMYFUNCTION("""COMPUTED_VALUE"""),"David")</f>
        <v>David</v>
      </c>
      <c r="E825" s="7" t="str">
        <f>IFERROR(__xludf.DUMMYFUNCTION("""COMPUTED_VALUE"""),"DISERAHKAN BT")</f>
        <v>DISERAHKAN BT</v>
      </c>
      <c r="F825" s="9">
        <f>IFERROR(__xludf.DUMMYFUNCTION("""COMPUTED_VALUE"""),45602.56595015046)</f>
        <v>45602.56595</v>
      </c>
      <c r="G825" s="7" t="str">
        <f>IFERROR(__xludf.DUMMYFUNCTION("""COMPUTED_VALUE"""),"SERTIFIKAT PENGGANTI KARENA HILANG")</f>
        <v>SERTIFIKAT PENGGANTI KARENA HILANG</v>
      </c>
      <c r="H825" s="7">
        <f t="shared" si="1"/>
        <v>403</v>
      </c>
    </row>
    <row r="826" ht="22.5" customHeight="1">
      <c r="B826" s="7" t="str">
        <f>IFERROR(__xludf.DUMMYFUNCTION("""COMPUTED_VALUE"""),"K/7/051124/2")</f>
        <v>K/7/051124/2</v>
      </c>
      <c r="C826" s="7" t="str">
        <f>IFERROR(__xludf.DUMMYFUNCTION("""COMPUTED_VALUE"""),"m.1815/RAJABASA NUNYAI_SEKARANG;b.1210/RAJABASA-DAHULU")</f>
        <v>m.1815/RAJABASA NUNYAI_SEKARANG;b.1210/RAJABASA-DAHULU</v>
      </c>
      <c r="D826" s="7" t="str">
        <f>IFERROR(__xludf.DUMMYFUNCTION("""COMPUTED_VALUE"""),"David")</f>
        <v>David</v>
      </c>
      <c r="E826" s="7" t="str">
        <f>IFERROR(__xludf.DUMMYFUNCTION("""COMPUTED_VALUE"""),"DISERAHKAN")</f>
        <v>DISERAHKAN</v>
      </c>
      <c r="F826" s="9">
        <f>IFERROR(__xludf.DUMMYFUNCTION("""COMPUTED_VALUE"""),45609.447936111115)</f>
        <v>45609.44794</v>
      </c>
      <c r="G826" s="7" t="str">
        <f>IFERROR(__xludf.DUMMYFUNCTION("""COMPUTED_VALUE"""),"BN JUAL BELI")</f>
        <v>BN JUAL BELI</v>
      </c>
      <c r="H826" s="7">
        <f t="shared" si="1"/>
        <v>404</v>
      </c>
    </row>
    <row r="827" ht="22.5" customHeight="1">
      <c r="B827" s="7" t="str">
        <f>IFERROR(__xludf.DUMMYFUNCTION("""COMPUTED_VALUE"""),"K/5/051124/1")</f>
        <v>K/5/051124/1</v>
      </c>
      <c r="C827" s="7" t="str">
        <f>IFERROR(__xludf.DUMMYFUNCTION("""COMPUTED_VALUE"""),"M. 4226/ LANGKAPURA")</f>
        <v>M. 4226/ LANGKAPURA</v>
      </c>
      <c r="D827" s="7" t="str">
        <f>IFERROR(__xludf.DUMMYFUNCTION("""COMPUTED_VALUE"""),"David")</f>
        <v>David</v>
      </c>
      <c r="E827" s="7" t="str">
        <f>IFERROR(__xludf.DUMMYFUNCTION("""COMPUTED_VALUE"""),"PROSES")</f>
        <v>PROSES</v>
      </c>
      <c r="F827" s="9" t="str">
        <f>IFERROR(__xludf.DUMMYFUNCTION("""COMPUTED_VALUE"""),"")</f>
        <v/>
      </c>
      <c r="G827" s="7" t="str">
        <f>IFERROR(__xludf.DUMMYFUNCTION("""COMPUTED_VALUE"""),"SERTIPKAT HILANG")</f>
        <v>SERTIPKAT HILANG</v>
      </c>
      <c r="H827" s="7">
        <f t="shared" si="1"/>
        <v>404</v>
      </c>
    </row>
    <row r="828" ht="22.5" customHeight="1">
      <c r="B828" s="7" t="str">
        <f>IFERROR(__xludf.DUMMYFUNCTION("""COMPUTED_VALUE"""),"K/9/051124/1")</f>
        <v>K/9/051124/1</v>
      </c>
      <c r="C828" s="7" t="str">
        <f>IFERROR(__xludf.DUMMYFUNCTION("""COMPUTED_VALUE"""),"M. 236/ L R R")</f>
        <v>M. 236/ L R R</v>
      </c>
      <c r="D828" s="7"/>
      <c r="E828" s="7"/>
      <c r="F828" s="9" t="str">
        <f>IFERROR(__xludf.DUMMYFUNCTION("""COMPUTED_VALUE"""),"")</f>
        <v/>
      </c>
      <c r="G828" s="7" t="str">
        <f>IFERROR(__xludf.DUMMYFUNCTION("""COMPUTED_VALUE"""),"PTPGT (Pemecahan)")</f>
        <v>PTPGT (Pemecahan)</v>
      </c>
      <c r="H828" s="7">
        <f t="shared" si="1"/>
        <v>404</v>
      </c>
    </row>
    <row r="829" ht="22.5" customHeight="1">
      <c r="B829" s="7" t="str">
        <f>IFERROR(__xludf.DUMMYFUNCTION("""COMPUTED_VALUE"""),"K/10/051124/1")</f>
        <v>K/10/051124/1</v>
      </c>
      <c r="C829" s="7" t="str">
        <f>IFERROR(__xludf.DUMMYFUNCTION("""COMPUTED_VALUE"""),"M. 253/ Tanjung Raya")</f>
        <v>M. 253/ Tanjung Raya</v>
      </c>
      <c r="D829" s="7"/>
      <c r="E829" s="7"/>
      <c r="F829" s="9" t="str">
        <f>IFERROR(__xludf.DUMMYFUNCTION("""COMPUTED_VALUE"""),"")</f>
        <v/>
      </c>
      <c r="G829" s="7" t="str">
        <f>IFERROR(__xludf.DUMMYFUNCTION("""COMPUTED_VALUE"""),"Gandes")</f>
        <v>Gandes</v>
      </c>
      <c r="H829" s="7">
        <f t="shared" si="1"/>
        <v>404</v>
      </c>
    </row>
    <row r="830" ht="22.5" customHeight="1">
      <c r="B830" s="7" t="str">
        <f>IFERROR(__xludf.DUMMYFUNCTION("""COMPUTED_VALUE"""),"K/12/051124/3")</f>
        <v>K/12/051124/3</v>
      </c>
      <c r="C830" s="7" t="str">
        <f>IFERROR(__xludf.DUMMYFUNCTION("""COMPUTED_VALUE"""),"M.417/NUSANTARA PERMAI-SEKARANG;B.381/CAMPANG RAYA-DAHULU")</f>
        <v>M.417/NUSANTARA PERMAI-SEKARANG;B.381/CAMPANG RAYA-DAHULU</v>
      </c>
      <c r="D830" s="7" t="str">
        <f>IFERROR(__xludf.DUMMYFUNCTION("""COMPUTED_VALUE"""),"David")</f>
        <v>David</v>
      </c>
      <c r="E830" s="7" t="str">
        <f>IFERROR(__xludf.DUMMYFUNCTION("""COMPUTED_VALUE"""),"DISERAHKAN")</f>
        <v>DISERAHKAN</v>
      </c>
      <c r="F830" s="9">
        <f>IFERROR(__xludf.DUMMYFUNCTION("""COMPUTED_VALUE"""),45602.566594895834)</f>
        <v>45602.56659</v>
      </c>
      <c r="G830" s="7" t="str">
        <f>IFERROR(__xludf.DUMMYFUNCTION("""COMPUTED_VALUE"""),"BN JUAL BELI")</f>
        <v>BN JUAL BELI</v>
      </c>
      <c r="H830" s="7">
        <f t="shared" si="1"/>
        <v>405</v>
      </c>
    </row>
    <row r="831" ht="22.5" customHeight="1">
      <c r="B831" s="7" t="str">
        <f>IFERROR(__xludf.DUMMYFUNCTION("""COMPUTED_VALUE"""),"K/11/051124/2")</f>
        <v>K/11/051124/2</v>
      </c>
      <c r="C831" s="7" t="str">
        <f>IFERROR(__xludf.DUMMYFUNCTION("""COMPUTED_VALUE"""),"M. 184/ Gunung Terang")</f>
        <v>M. 184/ Gunung Terang</v>
      </c>
      <c r="D831" s="7"/>
      <c r="E831" s="7"/>
      <c r="F831" s="9" t="str">
        <f>IFERROR(__xludf.DUMMYFUNCTION("""COMPUTED_VALUE"""),"")</f>
        <v/>
      </c>
      <c r="G831" s="7" t="str">
        <f>IFERROR(__xludf.DUMMYFUNCTION("""COMPUTED_VALUE"""),"Gandes")</f>
        <v>Gandes</v>
      </c>
      <c r="H831" s="7">
        <f t="shared" si="1"/>
        <v>405</v>
      </c>
    </row>
    <row r="832" ht="22.5" customHeight="1">
      <c r="B832" s="7" t="str">
        <f>IFERROR(__xludf.DUMMYFUNCTION("""COMPUTED_VALUE"""),"K/13/051124/1")</f>
        <v>K/13/051124/1</v>
      </c>
      <c r="C832" s="7" t="str">
        <f>IFERROR(__xludf.DUMMYFUNCTION("""COMPUTED_VALUE"""),"M. 471/ Harapan Jaya")</f>
        <v>M. 471/ Harapan Jaya</v>
      </c>
      <c r="D832" s="7"/>
      <c r="E832" s="7"/>
      <c r="F832" s="9" t="str">
        <f>IFERROR(__xludf.DUMMYFUNCTION("""COMPUTED_VALUE"""),"")</f>
        <v/>
      </c>
      <c r="G832" s="7" t="str">
        <f>IFERROR(__xludf.DUMMYFUNCTION("""COMPUTED_VALUE"""),"Gandes")</f>
        <v>Gandes</v>
      </c>
      <c r="H832" s="7">
        <f t="shared" si="1"/>
        <v>405</v>
      </c>
    </row>
    <row r="833" ht="22.5" customHeight="1">
      <c r="B833" s="7" t="str">
        <f>IFERROR(__xludf.DUMMYFUNCTION("""COMPUTED_VALUE"""),"K/14/051124/2")</f>
        <v>K/14/051124/2</v>
      </c>
      <c r="C833" s="7" t="str">
        <f>IFERROR(__xludf.DUMMYFUNCTION("""COMPUTED_VALUE"""),"M. 1110/ Sumur Putri")</f>
        <v>M. 1110/ Sumur Putri</v>
      </c>
      <c r="D833" s="7"/>
      <c r="E833" s="7"/>
      <c r="F833" s="9" t="str">
        <f>IFERROR(__xludf.DUMMYFUNCTION("""COMPUTED_VALUE"""),"")</f>
        <v/>
      </c>
      <c r="G833" s="7" t="str">
        <f>IFERROR(__xludf.DUMMYFUNCTION("""COMPUTED_VALUE"""),"Ploting")</f>
        <v>Ploting</v>
      </c>
      <c r="H833" s="7">
        <f t="shared" si="1"/>
        <v>405</v>
      </c>
    </row>
    <row r="834" ht="22.5" customHeight="1">
      <c r="B834" s="7" t="str">
        <f>IFERROR(__xludf.DUMMYFUNCTION("""COMPUTED_VALUE"""),"K/15/051124/3")</f>
        <v>K/15/051124/3</v>
      </c>
      <c r="C834" s="7" t="str">
        <f>IFERROR(__xludf.DUMMYFUNCTION("""COMPUTED_VALUE"""),"M. 937/ Gunung Terang")</f>
        <v>M. 937/ Gunung Terang</v>
      </c>
      <c r="D834" s="7" t="str">
        <f>IFERROR(__xludf.DUMMYFUNCTION("""COMPUTED_VALUE"""),"David")</f>
        <v>David</v>
      </c>
      <c r="E834" s="7" t="str">
        <f>IFERROR(__xludf.DUMMYFUNCTION("""COMPUTED_VALUE"""),"DISERAHKAN")</f>
        <v>DISERAHKAN</v>
      </c>
      <c r="F834" s="9">
        <f>IFERROR(__xludf.DUMMYFUNCTION("""COMPUTED_VALUE"""),45602.56623380787)</f>
        <v>45602.56623</v>
      </c>
      <c r="G834" s="7" t="str">
        <f>IFERROR(__xludf.DUMMYFUNCTION("""COMPUTED_VALUE"""),"BN PHB")</f>
        <v>BN PHB</v>
      </c>
      <c r="H834" s="7">
        <f t="shared" si="1"/>
        <v>406</v>
      </c>
    </row>
    <row r="835" ht="22.5" customHeight="1">
      <c r="B835" s="7" t="str">
        <f>IFERROR(__xludf.DUMMYFUNCTION("""COMPUTED_VALUE"""),"K/16/051124/1")</f>
        <v>K/16/051124/1</v>
      </c>
      <c r="C835" s="7" t="str">
        <f>IFERROR(__xludf.DUMMYFUNCTION("""COMPUTED_VALUE"""),"M.6050/WAY KANDIS")</f>
        <v>M.6050/WAY KANDIS</v>
      </c>
      <c r="D835" s="7" t="str">
        <f>IFERROR(__xludf.DUMMYFUNCTION("""COMPUTED_VALUE"""),"David")</f>
        <v>David</v>
      </c>
      <c r="E835" s="7" t="str">
        <f>IFERROR(__xludf.DUMMYFUNCTION("""COMPUTED_VALUE"""),"DISERAHKAN")</f>
        <v>DISERAHKAN</v>
      </c>
      <c r="F835" s="9">
        <f>IFERROR(__xludf.DUMMYFUNCTION("""COMPUTED_VALUE"""),45602.564906377316)</f>
        <v>45602.56491</v>
      </c>
      <c r="G835" s="7" t="str">
        <f>IFERROR(__xludf.DUMMYFUNCTION("""COMPUTED_VALUE"""),"BN JUAL BELI")</f>
        <v>BN JUAL BELI</v>
      </c>
      <c r="H835" s="7">
        <f t="shared" si="1"/>
        <v>407</v>
      </c>
    </row>
    <row r="836" ht="22.5" customHeight="1">
      <c r="B836" s="7" t="str">
        <f>IFERROR(__xludf.DUMMYFUNCTION("""COMPUTED_VALUE"""),"K/17/051124/1")</f>
        <v>K/17/051124/1</v>
      </c>
      <c r="C836" s="7" t="str">
        <f>IFERROR(__xludf.DUMMYFUNCTION("""COMPUTED_VALUE"""),"M. 776/ NOG; B. 809/ N O G-dahulu")</f>
        <v>M. 776/ NOG; B. 809/ N O G-dahulu</v>
      </c>
      <c r="D836" s="7" t="str">
        <f>IFERROR(__xludf.DUMMYFUNCTION("""COMPUTED_VALUE"""),"David")</f>
        <v>David</v>
      </c>
      <c r="E836" s="7" t="str">
        <f>IFERROR(__xludf.DUMMYFUNCTION("""COMPUTED_VALUE"""),"DISERAHKAN")</f>
        <v>DISERAHKAN</v>
      </c>
      <c r="F836" s="9">
        <f>IFERROR(__xludf.DUMMYFUNCTION("""COMPUTED_VALUE"""),45602.567101423614)</f>
        <v>45602.5671</v>
      </c>
      <c r="G836" s="7" t="str">
        <f>IFERROR(__xludf.DUMMYFUNCTION("""COMPUTED_VALUE"""),"Roya")</f>
        <v>Roya</v>
      </c>
      <c r="H836" s="7">
        <f t="shared" si="1"/>
        <v>408</v>
      </c>
    </row>
    <row r="837" ht="22.5" customHeight="1">
      <c r="B837" s="7" t="str">
        <f>IFERROR(__xludf.DUMMYFUNCTION("""COMPUTED_VALUE"""),"L/18/051124/1")</f>
        <v>L/18/051124/1</v>
      </c>
      <c r="C837" s="7" t="str">
        <f>IFERROR(__xludf.DUMMYFUNCTION("""COMPUTED_VALUE"""),"M.4410/BERINGIN RAYA")</f>
        <v>M.4410/BERINGIN RAYA</v>
      </c>
      <c r="D837" s="7" t="str">
        <f>IFERROR(__xludf.DUMMYFUNCTION("""COMPUTED_VALUE"""),"David")</f>
        <v>David</v>
      </c>
      <c r="E837" s="7" t="str">
        <f>IFERROR(__xludf.DUMMYFUNCTION("""COMPUTED_VALUE"""),"DISERAHKAN")</f>
        <v>DISERAHKAN</v>
      </c>
      <c r="F837" s="9">
        <f>IFERROR(__xludf.DUMMYFUNCTION("""COMPUTED_VALUE"""),45602.56857876157)</f>
        <v>45602.56858</v>
      </c>
      <c r="G837" s="7" t="str">
        <f>IFERROR(__xludf.DUMMYFUNCTION("""COMPUTED_VALUE"""),"ROYA")</f>
        <v>ROYA</v>
      </c>
      <c r="H837" s="7">
        <f t="shared" si="1"/>
        <v>409</v>
      </c>
    </row>
    <row r="838" ht="22.5" customHeight="1">
      <c r="B838" s="7" t="str">
        <f>IFERROR(__xludf.DUMMYFUNCTION("""COMPUTED_VALUE"""),"K/19/051124/1")</f>
        <v>K/19/051124/1</v>
      </c>
      <c r="C838" s="7" t="str">
        <f>IFERROR(__xludf.DUMMYFUNCTION("""COMPUTED_VALUE"""),"M.2429/KEDAUNG")</f>
        <v>M.2429/KEDAUNG</v>
      </c>
      <c r="D838" s="7" t="str">
        <f>IFERROR(__xludf.DUMMYFUNCTION("""COMPUTED_VALUE"""),"David")</f>
        <v>David</v>
      </c>
      <c r="E838" s="7" t="str">
        <f>IFERROR(__xludf.DUMMYFUNCTION("""COMPUTED_VALUE"""),"DISERAHKAN")</f>
        <v>DISERAHKAN</v>
      </c>
      <c r="F838" s="9">
        <f>IFERROR(__xludf.DUMMYFUNCTION("""COMPUTED_VALUE"""),45602.5631186574)</f>
        <v>45602.56312</v>
      </c>
      <c r="G838" s="7" t="str">
        <f>IFERROR(__xludf.DUMMYFUNCTION("""COMPUTED_VALUE"""),"BN JUAL BELI")</f>
        <v>BN JUAL BELI</v>
      </c>
      <c r="H838" s="7">
        <f t="shared" si="1"/>
        <v>410</v>
      </c>
    </row>
    <row r="839" ht="22.5" customHeight="1">
      <c r="B839" s="7" t="str">
        <f>IFERROR(__xludf.DUMMYFUNCTION("""COMPUTED_VALUE"""),"K/20/051124/1")</f>
        <v>K/20/051124/1</v>
      </c>
      <c r="C839" s="7" t="str">
        <f>IFERROR(__xludf.DUMMYFUNCTION("""COMPUTED_VALUE"""),"Nibel. B. 3021/ Kemiling Permai")</f>
        <v>Nibel. B. 3021/ Kemiling Permai</v>
      </c>
      <c r="D839" s="7"/>
      <c r="E839" s="7"/>
      <c r="F839" s="9" t="str">
        <f>IFERROR(__xludf.DUMMYFUNCTION("""COMPUTED_VALUE"""),"")</f>
        <v/>
      </c>
      <c r="G839" s="7" t="str">
        <f>IFERROR(__xludf.DUMMYFUNCTION("""COMPUTED_VALUE"""),"Perubahan Hak")</f>
        <v>Perubahan Hak</v>
      </c>
      <c r="H839" s="7">
        <f t="shared" si="1"/>
        <v>410</v>
      </c>
    </row>
    <row r="840" ht="22.5" customHeight="1">
      <c r="B840" s="7" t="str">
        <f>IFERROR(__xludf.DUMMYFUNCTION("""COMPUTED_VALUE"""),"K/21/051124/2")</f>
        <v>K/21/051124/2</v>
      </c>
      <c r="C840" s="7" t="str">
        <f>IFERROR(__xludf.DUMMYFUNCTION("""COMPUTED_VALUE"""),"B. 208/ Gunung Sari")</f>
        <v>B. 208/ Gunung Sari</v>
      </c>
      <c r="D840" s="7"/>
      <c r="E840" s="7"/>
      <c r="F840" s="9" t="str">
        <f>IFERROR(__xludf.DUMMYFUNCTION("""COMPUTED_VALUE"""),"")</f>
        <v/>
      </c>
      <c r="G840" s="7" t="str">
        <f>IFERROR(__xludf.DUMMYFUNCTION("""COMPUTED_VALUE"""),"Pengecekan")</f>
        <v>Pengecekan</v>
      </c>
      <c r="H840" s="7">
        <f t="shared" si="1"/>
        <v>410</v>
      </c>
    </row>
    <row r="841" ht="22.5" customHeight="1">
      <c r="B841" s="7" t="str">
        <f>IFERROR(__xludf.DUMMYFUNCTION("""COMPUTED_VALUE"""),"K/22/051124/2")</f>
        <v>K/22/051124/2</v>
      </c>
      <c r="C841" s="7" t="str">
        <f>IFERROR(__xludf.DUMMYFUNCTION("""COMPUTED_VALUE"""),"M.2425/KEDAUNG")</f>
        <v>M.2425/KEDAUNG</v>
      </c>
      <c r="D841" s="7" t="str">
        <f>IFERROR(__xludf.DUMMYFUNCTION("""COMPUTED_VALUE"""),"David")</f>
        <v>David</v>
      </c>
      <c r="E841" s="7" t="str">
        <f>IFERROR(__xludf.DUMMYFUNCTION("""COMPUTED_VALUE"""),"DISERAHKAN")</f>
        <v>DISERAHKAN</v>
      </c>
      <c r="F841" s="9">
        <f>IFERROR(__xludf.DUMMYFUNCTION("""COMPUTED_VALUE"""),45602.56403388889)</f>
        <v>45602.56403</v>
      </c>
      <c r="G841" s="7" t="str">
        <f>IFERROR(__xludf.DUMMYFUNCTION("""COMPUTED_VALUE"""),"BN JUAL BELI")</f>
        <v>BN JUAL BELI</v>
      </c>
      <c r="H841" s="7">
        <f t="shared" si="1"/>
        <v>411</v>
      </c>
    </row>
    <row r="842" ht="22.5" customHeight="1">
      <c r="B842" s="7" t="str">
        <f>IFERROR(__xludf.DUMMYFUNCTION("""COMPUTED_VALUE"""),"K/23/051124/1")</f>
        <v>K/23/051124/1</v>
      </c>
      <c r="C842" s="7" t="str">
        <f>IFERROR(__xludf.DUMMYFUNCTION("""COMPUTED_VALUE"""),"Nibel 641/ Gunung Sulah")</f>
        <v>Nibel 641/ Gunung Sulah</v>
      </c>
      <c r="D842" s="7"/>
      <c r="E842" s="7"/>
      <c r="F842" s="9" t="str">
        <f>IFERROR(__xludf.DUMMYFUNCTION("""COMPUTED_VALUE"""),"")</f>
        <v/>
      </c>
      <c r="G842" s="7" t="str">
        <f>IFERROR(__xludf.DUMMYFUNCTION("""COMPUTED_VALUE"""),"BN JUAL BELI")</f>
        <v>BN JUAL BELI</v>
      </c>
      <c r="H842" s="7">
        <f t="shared" si="1"/>
        <v>411</v>
      </c>
    </row>
    <row r="843" ht="22.5" customHeight="1">
      <c r="B843" s="7" t="str">
        <f>IFERROR(__xludf.DUMMYFUNCTION("""COMPUTED_VALUE"""),"K/24/051124/2")</f>
        <v>K/24/051124/2</v>
      </c>
      <c r="C843" s="7" t="str">
        <f>IFERROR(__xludf.DUMMYFUNCTION("""COMPUTED_VALUE"""),"Nibel 504/ Gunung Sulah")</f>
        <v>Nibel 504/ Gunung Sulah</v>
      </c>
      <c r="D843" s="7"/>
      <c r="E843" s="7"/>
      <c r="F843" s="9" t="str">
        <f>IFERROR(__xludf.DUMMYFUNCTION("""COMPUTED_VALUE"""),"")</f>
        <v/>
      </c>
      <c r="G843" s="7" t="str">
        <f>IFERROR(__xludf.DUMMYFUNCTION("""COMPUTED_VALUE"""),"BN JUAL BELI")</f>
        <v>BN JUAL BELI</v>
      </c>
      <c r="H843" s="7">
        <f t="shared" si="1"/>
        <v>411</v>
      </c>
    </row>
    <row r="844" ht="22.5" customHeight="1">
      <c r="B844" s="7" t="str">
        <f>IFERROR(__xludf.DUMMYFUNCTION("""COMPUTED_VALUE"""),"K/26/051124/1")</f>
        <v>K/26/051124/1</v>
      </c>
      <c r="C844" s="7" t="str">
        <f>IFERROR(__xludf.DUMMYFUNCTION("""COMPUTED_VALUE"""),"M. 14387/ Rajabasa; SHT 2838/ 2018")</f>
        <v>M. 14387/ Rajabasa; SHT 2838/ 2018</v>
      </c>
      <c r="D844" s="7" t="str">
        <f>IFERROR(__xludf.DUMMYFUNCTION("""COMPUTED_VALUE"""),"David")</f>
        <v>David</v>
      </c>
      <c r="E844" s="7" t="str">
        <f>IFERROR(__xludf.DUMMYFUNCTION("""COMPUTED_VALUE"""),"PROSES")</f>
        <v>PROSES</v>
      </c>
      <c r="F844" s="9" t="str">
        <f>IFERROR(__xludf.DUMMYFUNCTION("""COMPUTED_VALUE"""),"")</f>
        <v/>
      </c>
      <c r="G844" s="7" t="str">
        <f>IFERROR(__xludf.DUMMYFUNCTION("""COMPUTED_VALUE"""),"Roya")</f>
        <v>Roya</v>
      </c>
      <c r="H844" s="7">
        <f t="shared" si="1"/>
        <v>411</v>
      </c>
    </row>
    <row r="845" ht="22.5" customHeight="1">
      <c r="B845" s="7" t="str">
        <f>IFERROR(__xludf.DUMMYFUNCTION("""COMPUTED_VALUE"""),"K/27/051124/2")</f>
        <v>K/27/051124/2</v>
      </c>
      <c r="C845" s="7" t="str">
        <f>IFERROR(__xludf.DUMMYFUNCTION("""COMPUTED_VALUE"""),"M. 2693/ Sukadana Ham")</f>
        <v>M. 2693/ Sukadana Ham</v>
      </c>
      <c r="D845" s="7" t="str">
        <f>IFERROR(__xludf.DUMMYFUNCTION("""COMPUTED_VALUE"""),"David")</f>
        <v>David</v>
      </c>
      <c r="E845" s="7" t="str">
        <f>IFERROR(__xludf.DUMMYFUNCTION("""COMPUTED_VALUE"""),"DISERAHKAN")</f>
        <v>DISERAHKAN</v>
      </c>
      <c r="F845" s="9">
        <f>IFERROR(__xludf.DUMMYFUNCTION("""COMPUTED_VALUE"""),45602.56685768519)</f>
        <v>45602.56686</v>
      </c>
      <c r="G845" s="7" t="str">
        <f>IFERROR(__xludf.DUMMYFUNCTION("""COMPUTED_VALUE"""),"BN Waris")</f>
        <v>BN Waris</v>
      </c>
      <c r="H845" s="7">
        <f t="shared" si="1"/>
        <v>412</v>
      </c>
    </row>
    <row r="846" ht="22.5" customHeight="1">
      <c r="B846" s="7" t="str">
        <f>IFERROR(__xludf.DUMMYFUNCTION("""COMPUTED_VALUE"""),"K/25/051124/3")</f>
        <v>K/25/051124/3</v>
      </c>
      <c r="C846" s="7" t="str">
        <f>IFERROR(__xludf.DUMMYFUNCTION("""COMPUTED_VALUE"""),"Nibel 505/ Gunung Sulah")</f>
        <v>Nibel 505/ Gunung Sulah</v>
      </c>
      <c r="D846" s="7"/>
      <c r="E846" s="7"/>
      <c r="F846" s="9" t="str">
        <f>IFERROR(__xludf.DUMMYFUNCTION("""COMPUTED_VALUE"""),"")</f>
        <v/>
      </c>
      <c r="G846" s="7" t="str">
        <f>IFERROR(__xludf.DUMMYFUNCTION("""COMPUTED_VALUE"""),"BN JUAL BELI")</f>
        <v>BN JUAL BELI</v>
      </c>
      <c r="H846" s="7">
        <f t="shared" si="1"/>
        <v>412</v>
      </c>
    </row>
    <row r="847" ht="22.5" customHeight="1">
      <c r="B847" s="7" t="str">
        <f>IFERROR(__xludf.DUMMYFUNCTION("""COMPUTED_VALUE"""),"K/29/051124/4")</f>
        <v>K/29/051124/4</v>
      </c>
      <c r="C847" s="7" t="str">
        <f>IFERROR(__xludf.DUMMYFUNCTION("""COMPUTED_VALUE"""),"M. 168/ Bumi Raya")</f>
        <v>M. 168/ Bumi Raya</v>
      </c>
      <c r="D847" s="7" t="str">
        <f>IFERROR(__xludf.DUMMYFUNCTION("""COMPUTED_VALUE"""),"Berry")</f>
        <v>Berry</v>
      </c>
      <c r="E847" s="7" t="str">
        <f>IFERROR(__xludf.DUMMYFUNCTION("""COMPUTED_VALUE"""),"DISERAHKAN")</f>
        <v>DISERAHKAN</v>
      </c>
      <c r="F847" s="9">
        <f>IFERROR(__xludf.DUMMYFUNCTION("""COMPUTED_VALUE"""),45602.56959064815)</f>
        <v>45602.56959</v>
      </c>
      <c r="G847" s="7" t="str">
        <f>IFERROR(__xludf.DUMMYFUNCTION("""COMPUTED_VALUE"""),"BN JUAL BELI")</f>
        <v>BN JUAL BELI</v>
      </c>
      <c r="H847" s="7">
        <f t="shared" si="1"/>
        <v>413</v>
      </c>
    </row>
    <row r="848" ht="22.5" customHeight="1">
      <c r="B848" s="7" t="str">
        <f>IFERROR(__xludf.DUMMYFUNCTION("""COMPUTED_VALUE"""),"K/30/051124/5")</f>
        <v>K/30/051124/5</v>
      </c>
      <c r="C848" s="7" t="str">
        <f>IFERROR(__xludf.DUMMYFUNCTION("""COMPUTED_VALUE"""),"M. 1055/ PemaTang Wangi")</f>
        <v>M. 1055/ PemaTang Wangi</v>
      </c>
      <c r="D848" s="7" t="str">
        <f>IFERROR(__xludf.DUMMYFUNCTION("""COMPUTED_VALUE"""),"Berry")</f>
        <v>Berry</v>
      </c>
      <c r="E848" s="7" t="str">
        <f>IFERROR(__xludf.DUMMYFUNCTION("""COMPUTED_VALUE"""),"DISERAHKAN")</f>
        <v>DISERAHKAN</v>
      </c>
      <c r="F848" s="9">
        <f>IFERROR(__xludf.DUMMYFUNCTION("""COMPUTED_VALUE"""),45602.571490856484)</f>
        <v>45602.57149</v>
      </c>
      <c r="G848" s="7" t="str">
        <f>IFERROR(__xludf.DUMMYFUNCTION("""COMPUTED_VALUE"""),"BN JUAL BELI")</f>
        <v>BN JUAL BELI</v>
      </c>
      <c r="H848" s="7">
        <f t="shared" si="1"/>
        <v>414</v>
      </c>
    </row>
    <row r="849" ht="22.5" customHeight="1">
      <c r="B849" s="7" t="str">
        <f>IFERROR(__xludf.DUMMYFUNCTION("""COMPUTED_VALUE"""),"L/31/051124/1")</f>
        <v>L/31/051124/1</v>
      </c>
      <c r="C849" s="7" t="str">
        <f>IFERROR(__xludf.DUMMYFUNCTION("""COMPUTED_VALUE"""),"M.286/LABUHAN RATU RAYA")</f>
        <v>M.286/LABUHAN RATU RAYA</v>
      </c>
      <c r="D849" s="7" t="str">
        <f>IFERROR(__xludf.DUMMYFUNCTION("""COMPUTED_VALUE"""),"Berry")</f>
        <v>Berry</v>
      </c>
      <c r="E849" s="7" t="str">
        <f>IFERROR(__xludf.DUMMYFUNCTION("""COMPUTED_VALUE"""),"DISERAHKAN")</f>
        <v>DISERAHKAN</v>
      </c>
      <c r="F849" s="9">
        <f>IFERROR(__xludf.DUMMYFUNCTION("""COMPUTED_VALUE"""),45602.571153287034)</f>
        <v>45602.57115</v>
      </c>
      <c r="G849" s="7" t="str">
        <f>IFERROR(__xludf.DUMMYFUNCTION("""COMPUTED_VALUE"""),"ROYA")</f>
        <v>ROYA</v>
      </c>
      <c r="H849" s="7">
        <f t="shared" si="1"/>
        <v>415</v>
      </c>
    </row>
    <row r="850" ht="22.5" customHeight="1">
      <c r="B850" s="7" t="str">
        <f>IFERROR(__xludf.DUMMYFUNCTION("""COMPUTED_VALUE"""),"K/32/051124/1")</f>
        <v>K/32/051124/1</v>
      </c>
      <c r="C850" s="7" t="str">
        <f>IFERROR(__xludf.DUMMYFUNCTION("""COMPUTED_VALUE"""),"M. 11712/ Sukarame")</f>
        <v>M. 11712/ Sukarame</v>
      </c>
      <c r="D850" s="7"/>
      <c r="E850" s="7"/>
      <c r="F850" s="9" t="str">
        <f>IFERROR(__xludf.DUMMYFUNCTION("""COMPUTED_VALUE"""),"")</f>
        <v/>
      </c>
      <c r="G850" s="7" t="str">
        <f>IFERROR(__xludf.DUMMYFUNCTION("""COMPUTED_VALUE"""),"Gandes")</f>
        <v>Gandes</v>
      </c>
      <c r="H850" s="7">
        <f t="shared" si="1"/>
        <v>415</v>
      </c>
    </row>
    <row r="851" ht="22.5" customHeight="1">
      <c r="B851" s="7" t="str">
        <f>IFERROR(__xludf.DUMMYFUNCTION("""COMPUTED_VALUE"""),"L/33/051124/1")</f>
        <v>L/33/051124/1</v>
      </c>
      <c r="C851" s="7" t="str">
        <f>IFERROR(__xludf.DUMMYFUNCTION("""COMPUTED_VALUE"""),"M.154/SUSUNAN BARU")</f>
        <v>M.154/SUSUNAN BARU</v>
      </c>
      <c r="D851" s="7" t="str">
        <f>IFERROR(__xludf.DUMMYFUNCTION("""COMPUTED_VALUE"""),"Berry")</f>
        <v>Berry</v>
      </c>
      <c r="E851" s="7" t="str">
        <f>IFERROR(__xludf.DUMMYFUNCTION("""COMPUTED_VALUE"""),"PROSES")</f>
        <v>PROSES</v>
      </c>
      <c r="F851" s="9" t="str">
        <f>IFERROR(__xludf.DUMMYFUNCTION("""COMPUTED_VALUE"""),"")</f>
        <v/>
      </c>
      <c r="G851" s="7" t="str">
        <f>IFERROR(__xludf.DUMMYFUNCTION("""COMPUTED_VALUE"""),"SERTIPIKAT PENGGANTI KARENA HILANG")</f>
        <v>SERTIPIKAT PENGGANTI KARENA HILANG</v>
      </c>
      <c r="H851" s="7">
        <f t="shared" si="1"/>
        <v>415</v>
      </c>
    </row>
    <row r="852" ht="22.5" customHeight="1">
      <c r="B852" s="7" t="str">
        <f>IFERROR(__xludf.DUMMYFUNCTION("""COMPUTED_VALUE"""),"K/34/051124/1")</f>
        <v>K/34/051124/1</v>
      </c>
      <c r="C852" s="7" t="str">
        <f>IFERROR(__xludf.DUMMYFUNCTION("""COMPUTED_VALUE"""),"B.818/SUMUR PUTRI")</f>
        <v>B.818/SUMUR PUTRI</v>
      </c>
      <c r="D852" s="7" t="str">
        <f>IFERROR(__xludf.DUMMYFUNCTION("""COMPUTED_VALUE"""),"Berry")</f>
        <v>Berry</v>
      </c>
      <c r="E852" s="7" t="str">
        <f>IFERROR(__xludf.DUMMYFUNCTION("""COMPUTED_VALUE"""),"PROSES")</f>
        <v>PROSES</v>
      </c>
      <c r="F852" s="9" t="str">
        <f>IFERROR(__xludf.DUMMYFUNCTION("""COMPUTED_VALUE"""),"")</f>
        <v/>
      </c>
      <c r="G852" s="7" t="str">
        <f>IFERROR(__xludf.DUMMYFUNCTION("""COMPUTED_VALUE"""),"BN JUAL BELI")</f>
        <v>BN JUAL BELI</v>
      </c>
      <c r="H852" s="7">
        <f t="shared" si="1"/>
        <v>415</v>
      </c>
    </row>
    <row r="853" ht="22.5" customHeight="1">
      <c r="B853" s="7" t="str">
        <f>IFERROR(__xludf.DUMMYFUNCTION("""COMPUTED_VALUE"""),"K/35/051124/1")</f>
        <v>K/35/051124/1</v>
      </c>
      <c r="C853" s="7" t="str">
        <f>IFERROR(__xludf.DUMMYFUNCTION("""COMPUTED_VALUE"""),"M. 12144/ SUKARAME I")</f>
        <v>M. 12144/ SUKARAME I</v>
      </c>
      <c r="D853" s="7"/>
      <c r="E853" s="7"/>
      <c r="F853" s="9" t="str">
        <f>IFERROR(__xludf.DUMMYFUNCTION("""COMPUTED_VALUE"""),"")</f>
        <v/>
      </c>
      <c r="G853" s="7" t="str">
        <f>IFERROR(__xludf.DUMMYFUNCTION("""COMPUTED_VALUE"""),"PLOTTING")</f>
        <v>PLOTTING</v>
      </c>
      <c r="H853" s="7">
        <f t="shared" si="1"/>
        <v>415</v>
      </c>
    </row>
    <row r="854" ht="22.5" customHeight="1">
      <c r="B854" s="7" t="str">
        <f>IFERROR(__xludf.DUMMYFUNCTION("""COMPUTED_VALUE"""),"K/38/051124/1")</f>
        <v>K/38/051124/1</v>
      </c>
      <c r="C854" s="7" t="str">
        <f>IFERROR(__xludf.DUMMYFUNCTION("""COMPUTED_VALUE"""),"M.573/PERUMNAS WAY KANDIS-SEKARANG;B.419/WAY KANDIS")</f>
        <v>M.573/PERUMNAS WAY KANDIS-SEKARANG;B.419/WAY KANDIS</v>
      </c>
      <c r="D854" s="7" t="str">
        <f>IFERROR(__xludf.DUMMYFUNCTION("""COMPUTED_VALUE"""),"Berry")</f>
        <v>Berry</v>
      </c>
      <c r="E854" s="7" t="str">
        <f>IFERROR(__xludf.DUMMYFUNCTION("""COMPUTED_VALUE"""),"DISERAHKAN")</f>
        <v>DISERAHKAN</v>
      </c>
      <c r="F854" s="9">
        <f>IFERROR(__xludf.DUMMYFUNCTION("""COMPUTED_VALUE"""),45602.57045834491)</f>
        <v>45602.57046</v>
      </c>
      <c r="G854" s="7" t="str">
        <f>IFERROR(__xludf.DUMMYFUNCTION("""COMPUTED_VALUE"""),"BN JUAL BELI")</f>
        <v>BN JUAL BELI</v>
      </c>
      <c r="H854" s="7">
        <f t="shared" si="1"/>
        <v>416</v>
      </c>
    </row>
    <row r="855" ht="22.5" customHeight="1">
      <c r="B855" s="7" t="str">
        <f>IFERROR(__xludf.DUMMYFUNCTION("""COMPUTED_VALUE"""),"K/36/051124/2")</f>
        <v>K/36/051124/2</v>
      </c>
      <c r="C855" s="7" t="str">
        <f>IFERROR(__xludf.DUMMYFUNCTION("""COMPUTED_VALUE"""),"M. 2167/ Labuhan Dalam")</f>
        <v>M. 2167/ Labuhan Dalam</v>
      </c>
      <c r="D855" s="7"/>
      <c r="E855" s="7"/>
      <c r="F855" s="9" t="str">
        <f>IFERROR(__xludf.DUMMYFUNCTION("""COMPUTED_VALUE"""),"")</f>
        <v/>
      </c>
      <c r="G855" s="7" t="str">
        <f>IFERROR(__xludf.DUMMYFUNCTION("""COMPUTED_VALUE"""),"HAPUS BPHTB")</f>
        <v>HAPUS BPHTB</v>
      </c>
      <c r="H855" s="7">
        <f t="shared" si="1"/>
        <v>416</v>
      </c>
    </row>
    <row r="856" ht="22.5" customHeight="1">
      <c r="B856" s="7" t="str">
        <f>IFERROR(__xludf.DUMMYFUNCTION("""COMPUTED_VALUE"""),"K/39/051124/1")</f>
        <v>K/39/051124/1</v>
      </c>
      <c r="C856" s="7" t="str">
        <f>IFERROR(__xludf.DUMMYFUNCTION("""COMPUTED_VALUE"""),"M. 876/ Korpri Jaya")</f>
        <v>M. 876/ Korpri Jaya</v>
      </c>
      <c r="D856" s="7" t="str">
        <f>IFERROR(__xludf.DUMMYFUNCTION("""COMPUTED_VALUE"""),"Berry")</f>
        <v>Berry</v>
      </c>
      <c r="E856" s="7" t="str">
        <f>IFERROR(__xludf.DUMMYFUNCTION("""COMPUTED_VALUE"""),"DISERAHKAN")</f>
        <v>DISERAHKAN</v>
      </c>
      <c r="F856" s="9">
        <f>IFERROR(__xludf.DUMMYFUNCTION("""COMPUTED_VALUE"""),45602.57169842593)</f>
        <v>45602.5717</v>
      </c>
      <c r="G856" s="7" t="str">
        <f>IFERROR(__xludf.DUMMYFUNCTION("""COMPUTED_VALUE"""),"BN Jual Beli")</f>
        <v>BN Jual Beli</v>
      </c>
      <c r="H856" s="7">
        <f t="shared" si="1"/>
        <v>417</v>
      </c>
    </row>
    <row r="857" ht="22.5" customHeight="1">
      <c r="B857" s="7" t="str">
        <f>IFERROR(__xludf.DUMMYFUNCTION("""COMPUTED_VALUE"""),"K/37/051124/3")</f>
        <v>K/37/051124/3</v>
      </c>
      <c r="C857" s="7" t="str">
        <f>IFERROR(__xludf.DUMMYFUNCTION("""COMPUTED_VALUE"""),"M. 1790/ Bakung")</f>
        <v>M. 1790/ Bakung</v>
      </c>
      <c r="D857" s="7"/>
      <c r="E857" s="7"/>
      <c r="F857" s="9" t="str">
        <f>IFERROR(__xludf.DUMMYFUNCTION("""COMPUTED_VALUE"""),"")</f>
        <v/>
      </c>
      <c r="G857" s="7" t="str">
        <f>IFERROR(__xludf.DUMMYFUNCTION("""COMPUTED_VALUE"""),"HAPUS BPHTB")</f>
        <v>HAPUS BPHTB</v>
      </c>
      <c r="H857" s="7">
        <f t="shared" si="1"/>
        <v>417</v>
      </c>
    </row>
    <row r="858" ht="22.5" customHeight="1">
      <c r="B858" s="7" t="str">
        <f>IFERROR(__xludf.DUMMYFUNCTION("""COMPUTED_VALUE"""),"K/41/051124/1")</f>
        <v>K/41/051124/1</v>
      </c>
      <c r="C858" s="7" t="str">
        <f>IFERROR(__xludf.DUMMYFUNCTION("""COMPUTED_VALUE"""),"M.2303/CAMPANG JAYA-SEKARANG;M.1537/CAMPANG RAYA-DAHULU")</f>
        <v>M.2303/CAMPANG JAYA-SEKARANG;M.1537/CAMPANG RAYA-DAHULU</v>
      </c>
      <c r="D858" s="7" t="str">
        <f>IFERROR(__xludf.DUMMYFUNCTION("""COMPUTED_VALUE"""),"Berry")</f>
        <v>Berry</v>
      </c>
      <c r="E858" s="7" t="str">
        <f>IFERROR(__xludf.DUMMYFUNCTION("""COMPUTED_VALUE"""),"DISERAHKAN")</f>
        <v>DISERAHKAN</v>
      </c>
      <c r="F858" s="9">
        <f>IFERROR(__xludf.DUMMYFUNCTION("""COMPUTED_VALUE"""),45602.569758576385)</f>
        <v>45602.56976</v>
      </c>
      <c r="G858" s="7" t="str">
        <f>IFERROR(__xludf.DUMMYFUNCTION("""COMPUTED_VALUE"""),"BN JUAL BELI")</f>
        <v>BN JUAL BELI</v>
      </c>
      <c r="H858" s="7">
        <f t="shared" si="1"/>
        <v>418</v>
      </c>
    </row>
    <row r="859" ht="22.5" customHeight="1">
      <c r="B859" s="7" t="str">
        <f>IFERROR(__xludf.DUMMYFUNCTION("""COMPUTED_VALUE"""),"K/40/051124/4")</f>
        <v>K/40/051124/4</v>
      </c>
      <c r="C859" s="7" t="str">
        <f>IFERROR(__xludf.DUMMYFUNCTION("""COMPUTED_VALUE"""),"M. 1372/ RAJABASA RAYA")</f>
        <v>M. 1372/ RAJABASA RAYA</v>
      </c>
      <c r="D859" s="7"/>
      <c r="E859" s="7"/>
      <c r="F859" s="9" t="str">
        <f>IFERROR(__xludf.DUMMYFUNCTION("""COMPUTED_VALUE"""),"")</f>
        <v/>
      </c>
      <c r="G859" s="7" t="str">
        <f>IFERROR(__xludf.DUMMYFUNCTION("""COMPUTED_VALUE"""),"HAPUS BPHTB")</f>
        <v>HAPUS BPHTB</v>
      </c>
      <c r="H859" s="7">
        <f t="shared" si="1"/>
        <v>418</v>
      </c>
    </row>
    <row r="860" ht="22.5" customHeight="1">
      <c r="B860" s="7" t="str">
        <f>IFERROR(__xludf.DUMMYFUNCTION("""COMPUTED_VALUE"""),"K/42/051124/1")</f>
        <v>K/42/051124/1</v>
      </c>
      <c r="C860" s="7" t="str">
        <f>IFERROR(__xludf.DUMMYFUNCTION("""COMPUTED_VALUE"""),"M. 1979/ Way Halim Permai")</f>
        <v>M. 1979/ Way Halim Permai</v>
      </c>
      <c r="D860" s="7" t="str">
        <f>IFERROR(__xludf.DUMMYFUNCTION("""COMPUTED_VALUE"""),"David")</f>
        <v>David</v>
      </c>
      <c r="E860" s="7" t="str">
        <f>IFERROR(__xludf.DUMMYFUNCTION("""COMPUTED_VALUE"""),"DISERAHKAN")</f>
        <v>DISERAHKAN</v>
      </c>
      <c r="F860" s="9">
        <f>IFERROR(__xludf.DUMMYFUNCTION("""COMPUTED_VALUE"""),45602.58638180555)</f>
        <v>45602.58638</v>
      </c>
      <c r="G860" s="7" t="str">
        <f>IFERROR(__xludf.DUMMYFUNCTION("""COMPUTED_VALUE"""),"BN JUAL BELI")</f>
        <v>BN JUAL BELI</v>
      </c>
      <c r="H860" s="7">
        <f t="shared" si="1"/>
        <v>419</v>
      </c>
    </row>
    <row r="861" ht="22.5" customHeight="1">
      <c r="B861" s="7" t="str">
        <f>IFERROR(__xludf.DUMMYFUNCTION("""COMPUTED_VALUE"""),"K/43/051124/2")</f>
        <v>K/43/051124/2</v>
      </c>
      <c r="C861" s="7" t="str">
        <f>IFERROR(__xludf.DUMMYFUNCTION("""COMPUTED_VALUE"""),"M. 2660/ Sukarame Baru")</f>
        <v>M. 2660/ Sukarame Baru</v>
      </c>
      <c r="D861" s="7"/>
      <c r="E861" s="7"/>
      <c r="F861" s="9" t="str">
        <f>IFERROR(__xludf.DUMMYFUNCTION("""COMPUTED_VALUE"""),"")</f>
        <v/>
      </c>
      <c r="G861" s="7" t="str">
        <f>IFERROR(__xludf.DUMMYFUNCTION("""COMPUTED_VALUE"""),"BN Jual Beli")</f>
        <v>BN Jual Beli</v>
      </c>
      <c r="H861" s="7">
        <f t="shared" si="1"/>
        <v>419</v>
      </c>
    </row>
    <row r="862" ht="22.5" customHeight="1">
      <c r="B862" s="7" t="str">
        <f>IFERROR(__xludf.DUMMYFUNCTION("""COMPUTED_VALUE"""),"K/44/051124/1")</f>
        <v>K/44/051124/1</v>
      </c>
      <c r="C862" s="7" t="str">
        <f>IFERROR(__xludf.DUMMYFUNCTION("""COMPUTED_VALUE"""),"M.3994/WAY KANDIS")</f>
        <v>M.3994/WAY KANDIS</v>
      </c>
      <c r="D862" s="7" t="str">
        <f>IFERROR(__xludf.DUMMYFUNCTION("""COMPUTED_VALUE"""),"Berry")</f>
        <v>Berry</v>
      </c>
      <c r="E862" s="7" t="str">
        <f>IFERROR(__xludf.DUMMYFUNCTION("""COMPUTED_VALUE"""),"DISERAHKAN")</f>
        <v>DISERAHKAN</v>
      </c>
      <c r="F862" s="9">
        <f>IFERROR(__xludf.DUMMYFUNCTION("""COMPUTED_VALUE"""),45602.570114270835)</f>
        <v>45602.57011</v>
      </c>
      <c r="G862" s="7" t="str">
        <f>IFERROR(__xludf.DUMMYFUNCTION("""COMPUTED_VALUE"""),"KEWARISAN")</f>
        <v>KEWARISAN</v>
      </c>
      <c r="H862" s="7">
        <f t="shared" si="1"/>
        <v>420</v>
      </c>
    </row>
    <row r="863" ht="22.5" customHeight="1">
      <c r="B863" s="7" t="str">
        <f>IFERROR(__xludf.DUMMYFUNCTION("""COMPUTED_VALUE"""),"L/45/051124/1")</f>
        <v>L/45/051124/1</v>
      </c>
      <c r="C863" s="7" t="str">
        <f>IFERROR(__xludf.DUMMYFUNCTION("""COMPUTED_VALUE"""),"SURABAYA")</f>
        <v>SURABAYA</v>
      </c>
      <c r="D863" s="7"/>
      <c r="E863" s="7"/>
      <c r="F863" s="9" t="str">
        <f>IFERROR(__xludf.DUMMYFUNCTION("""COMPUTED_VALUE"""),"")</f>
        <v/>
      </c>
      <c r="G863" s="7" t="str">
        <f>IFERROR(__xludf.DUMMYFUNCTION("""COMPUTED_VALUE"""),"ASPEK")</f>
        <v>ASPEK</v>
      </c>
      <c r="H863" s="7">
        <f t="shared" si="1"/>
        <v>420</v>
      </c>
    </row>
    <row r="864" ht="22.5" customHeight="1">
      <c r="B864" s="7" t="str">
        <f>IFERROR(__xludf.DUMMYFUNCTION("""COMPUTED_VALUE"""),"K/47/051124/1")</f>
        <v>K/47/051124/1</v>
      </c>
      <c r="C864" s="7" t="str">
        <f>IFERROR(__xludf.DUMMYFUNCTION("""COMPUTED_VALUE"""),"M. 1825/ Panjang Utara")</f>
        <v>M. 1825/ Panjang Utara</v>
      </c>
      <c r="D864" s="7" t="str">
        <f>IFERROR(__xludf.DUMMYFUNCTION("""COMPUTED_VALUE"""),"Berry")</f>
        <v>Berry</v>
      </c>
      <c r="E864" s="7" t="str">
        <f>IFERROR(__xludf.DUMMYFUNCTION("""COMPUTED_VALUE"""),"DISERAHKAN")</f>
        <v>DISERAHKAN</v>
      </c>
      <c r="F864" s="9">
        <f>IFERROR(__xludf.DUMMYFUNCTION("""COMPUTED_VALUE"""),45602.57020431713)</f>
        <v>45602.5702</v>
      </c>
      <c r="G864" s="7" t="str">
        <f>IFERROR(__xludf.DUMMYFUNCTION("""COMPUTED_VALUE"""),"BN WARIS")</f>
        <v>BN WARIS</v>
      </c>
      <c r="H864" s="7">
        <f t="shared" si="1"/>
        <v>421</v>
      </c>
    </row>
    <row r="865" ht="22.5" customHeight="1">
      <c r="B865" s="7" t="str">
        <f>IFERROR(__xludf.DUMMYFUNCTION("""COMPUTED_VALUE"""),"K/46/051124/4")</f>
        <v>K/46/051124/4</v>
      </c>
      <c r="C865" s="7" t="str">
        <f>IFERROR(__xludf.DUMMYFUNCTION("""COMPUTED_VALUE"""),"M.12226/SUKABUMI-SEKARANG;B.2222/SUKABUMI-DAHULU")</f>
        <v>M.12226/SUKABUMI-SEKARANG;B.2222/SUKABUMI-DAHULU</v>
      </c>
      <c r="D865" s="7"/>
      <c r="E865" s="7" t="str">
        <f>IFERROR(__xludf.DUMMYFUNCTION("""COMPUTED_VALUE"""),"PROSES")</f>
        <v>PROSES</v>
      </c>
      <c r="F865" s="9" t="str">
        <f>IFERROR(__xludf.DUMMYFUNCTION("""COMPUTED_VALUE"""),"")</f>
        <v/>
      </c>
      <c r="G865" s="7" t="str">
        <f>IFERROR(__xludf.DUMMYFUNCTION("""COMPUTED_VALUE"""),"GANTI NAMA KREDITUR")</f>
        <v>GANTI NAMA KREDITUR</v>
      </c>
      <c r="H865" s="7">
        <f t="shared" si="1"/>
        <v>421</v>
      </c>
    </row>
    <row r="866" ht="22.5" customHeight="1">
      <c r="B866" s="7" t="str">
        <f>IFERROR(__xludf.DUMMYFUNCTION("""COMPUTED_VALUE"""),"L/49/051124/1")</f>
        <v>L/49/051124/1</v>
      </c>
      <c r="C866" s="7" t="str">
        <f>IFERROR(__xludf.DUMMYFUNCTION("""COMPUTED_VALUE"""),"M.1669/KALIAWI")</f>
        <v>M.1669/KALIAWI</v>
      </c>
      <c r="D866" s="7" t="str">
        <f>IFERROR(__xludf.DUMMYFUNCTION("""COMPUTED_VALUE"""),"Berry")</f>
        <v>Berry</v>
      </c>
      <c r="E866" s="7" t="str">
        <f>IFERROR(__xludf.DUMMYFUNCTION("""COMPUTED_VALUE"""),"DISERAHKAN")</f>
        <v>DISERAHKAN</v>
      </c>
      <c r="F866" s="9">
        <f>IFERROR(__xludf.DUMMYFUNCTION("""COMPUTED_VALUE"""),45602.571853263886)</f>
        <v>45602.57185</v>
      </c>
      <c r="G866" s="7" t="str">
        <f>IFERROR(__xludf.DUMMYFUNCTION("""COMPUTED_VALUE"""),"ROYA")</f>
        <v>ROYA</v>
      </c>
      <c r="H866" s="7">
        <f t="shared" si="1"/>
        <v>422</v>
      </c>
    </row>
    <row r="867" ht="22.5" customHeight="1">
      <c r="B867" s="7" t="str">
        <f>IFERROR(__xludf.DUMMYFUNCTION("""COMPUTED_VALUE"""),"K/50/051124/1")</f>
        <v>K/50/051124/1</v>
      </c>
      <c r="C867" s="7" t="str">
        <f>IFERROR(__xludf.DUMMYFUNCTION("""COMPUTED_VALUE"""),"M.1898/BUMI WARAS")</f>
        <v>M.1898/BUMI WARAS</v>
      </c>
      <c r="D867" s="7"/>
      <c r="E867" s="7"/>
      <c r="F867" s="9" t="str">
        <f>IFERROR(__xludf.DUMMYFUNCTION("""COMPUTED_VALUE"""),"")</f>
        <v/>
      </c>
      <c r="G867" s="7" t="str">
        <f>IFERROR(__xludf.DUMMYFUNCTION("""COMPUTED_VALUE"""),"GANDES")</f>
        <v>GANDES</v>
      </c>
      <c r="H867" s="7">
        <f t="shared" si="1"/>
        <v>422</v>
      </c>
    </row>
    <row r="868" ht="22.5" customHeight="1">
      <c r="B868" s="7" t="str">
        <f>IFERROR(__xludf.DUMMYFUNCTION("""COMPUTED_VALUE"""),"K/48/051124/1")</f>
        <v>K/48/051124/1</v>
      </c>
      <c r="C868" s="7" t="str">
        <f>IFERROR(__xludf.DUMMYFUNCTION("""COMPUTED_VALUE"""),"M. 2268/ Pinang Jaya")</f>
        <v>M. 2268/ Pinang Jaya</v>
      </c>
      <c r="D868" s="7" t="str">
        <f>IFERROR(__xludf.DUMMYFUNCTION("""COMPUTED_VALUE"""),"Berry")</f>
        <v>Berry</v>
      </c>
      <c r="E868" s="7" t="str">
        <f>IFERROR(__xludf.DUMMYFUNCTION("""COMPUTED_VALUE"""),"DISERAHKAN")</f>
        <v>DISERAHKAN</v>
      </c>
      <c r="F868" s="9">
        <f>IFERROR(__xludf.DUMMYFUNCTION("""COMPUTED_VALUE"""),45602.57199994213)</f>
        <v>45602.572</v>
      </c>
      <c r="G868" s="7" t="str">
        <f>IFERROR(__xludf.DUMMYFUNCTION("""COMPUTED_VALUE"""),"BN Jual Beli")</f>
        <v>BN Jual Beli</v>
      </c>
      <c r="H868" s="7">
        <f t="shared" si="1"/>
        <v>423</v>
      </c>
    </row>
    <row r="869" ht="22.5" customHeight="1">
      <c r="B869" s="7" t="str">
        <f>IFERROR(__xludf.DUMMYFUNCTION("""COMPUTED_VALUE"""),"K/52/051124/2")</f>
        <v>K/52/051124/2</v>
      </c>
      <c r="C869" s="7" t="str">
        <f>IFERROR(__xludf.DUMMYFUNCTION("""COMPUTED_VALUE"""),"M.2421/WAY KANDIS")</f>
        <v>M.2421/WAY KANDIS</v>
      </c>
      <c r="D869" s="7"/>
      <c r="E869" s="7"/>
      <c r="F869" s="9" t="str">
        <f>IFERROR(__xludf.DUMMYFUNCTION("""COMPUTED_VALUE"""),"")</f>
        <v/>
      </c>
      <c r="G869" s="7" t="str">
        <f>IFERROR(__xludf.DUMMYFUNCTION("""COMPUTED_VALUE"""),"PLOTTING")</f>
        <v>PLOTTING</v>
      </c>
      <c r="H869" s="7">
        <f t="shared" si="1"/>
        <v>423</v>
      </c>
    </row>
    <row r="870" ht="22.5" customHeight="1">
      <c r="B870" s="7" t="str">
        <f>IFERROR(__xludf.DUMMYFUNCTION("""COMPUTED_VALUE"""),"K/53/051124/1")</f>
        <v>K/53/051124/1</v>
      </c>
      <c r="C870" s="7" t="str">
        <f>IFERROR(__xludf.DUMMYFUNCTION("""COMPUTED_VALUE"""),"M.344/BAKUNG")</f>
        <v>M.344/BAKUNG</v>
      </c>
      <c r="D870" s="7"/>
      <c r="E870" s="7"/>
      <c r="F870" s="9" t="str">
        <f>IFERROR(__xludf.DUMMYFUNCTION("""COMPUTED_VALUE"""),"")</f>
        <v/>
      </c>
      <c r="G870" s="7" t="str">
        <f>IFERROR(__xludf.DUMMYFUNCTION("""COMPUTED_VALUE"""),"PTPGT")</f>
        <v>PTPGT</v>
      </c>
      <c r="H870" s="7">
        <f t="shared" si="1"/>
        <v>423</v>
      </c>
    </row>
    <row r="871" ht="22.5" customHeight="1">
      <c r="B871" s="7" t="str">
        <f>IFERROR(__xludf.DUMMYFUNCTION("""COMPUTED_VALUE"""),"K/51/051124/1")</f>
        <v>K/51/051124/1</v>
      </c>
      <c r="C871" s="7" t="str">
        <f>IFERROR(__xludf.DUMMYFUNCTION("""COMPUTED_VALUE"""),"M. 2122/ Way Kandis")</f>
        <v>M. 2122/ Way Kandis</v>
      </c>
      <c r="D871" s="7" t="str">
        <f>IFERROR(__xludf.DUMMYFUNCTION("""COMPUTED_VALUE"""),"David")</f>
        <v>David</v>
      </c>
      <c r="E871" s="7" t="str">
        <f>IFERROR(__xludf.DUMMYFUNCTION("""COMPUTED_VALUE"""),"DISERAHKAN")</f>
        <v>DISERAHKAN</v>
      </c>
      <c r="F871" s="9">
        <f>IFERROR(__xludf.DUMMYFUNCTION("""COMPUTED_VALUE"""),45609.44950747685)</f>
        <v>45609.44951</v>
      </c>
      <c r="G871" s="7" t="str">
        <f>IFERROR(__xludf.DUMMYFUNCTION("""COMPUTED_VALUE"""),"Ganti Nama")</f>
        <v>Ganti Nama</v>
      </c>
      <c r="H871" s="7">
        <f t="shared" si="1"/>
        <v>424</v>
      </c>
    </row>
    <row r="872" ht="22.5" customHeight="1">
      <c r="B872" s="7" t="str">
        <f>IFERROR(__xludf.DUMMYFUNCTION("""COMPUTED_VALUE"""),"K/54/051124/1")</f>
        <v>K/54/051124/1</v>
      </c>
      <c r="C872" s="7" t="str">
        <f>IFERROR(__xludf.DUMMYFUNCTION("""COMPUTED_VALUE"""),"M. 591/ Rajabasa Jaya")</f>
        <v>M. 591/ Rajabasa Jaya</v>
      </c>
      <c r="D872" s="7" t="str">
        <f>IFERROR(__xludf.DUMMYFUNCTION("""COMPUTED_VALUE"""),"Berry")</f>
        <v>Berry</v>
      </c>
      <c r="E872" s="7" t="str">
        <f>IFERROR(__xludf.DUMMYFUNCTION("""COMPUTED_VALUE"""),"DISERAHKAN")</f>
        <v>DISERAHKAN</v>
      </c>
      <c r="F872" s="9">
        <f>IFERROR(__xludf.DUMMYFUNCTION("""COMPUTED_VALUE"""),45602.569877256945)</f>
        <v>45602.56988</v>
      </c>
      <c r="G872" s="7" t="str">
        <f>IFERROR(__xludf.DUMMYFUNCTION("""COMPUTED_VALUE"""),"BN Jual Beli")</f>
        <v>BN Jual Beli</v>
      </c>
      <c r="H872" s="7">
        <f t="shared" si="1"/>
        <v>425</v>
      </c>
    </row>
    <row r="873" ht="22.5" customHeight="1">
      <c r="B873" s="7" t="str">
        <f>IFERROR(__xludf.DUMMYFUNCTION("""COMPUTED_VALUE"""),"K/55/051124/1")</f>
        <v>K/55/051124/1</v>
      </c>
      <c r="C873" s="7" t="str">
        <f>IFERROR(__xludf.DUMMYFUNCTION("""COMPUTED_VALUE"""),"M. 3237/ Labuhan Dalam")</f>
        <v>M. 3237/ Labuhan Dalam</v>
      </c>
      <c r="D873" s="7" t="str">
        <f>IFERROR(__xludf.DUMMYFUNCTION("""COMPUTED_VALUE"""),"Berry")</f>
        <v>Berry</v>
      </c>
      <c r="E873" s="7" t="str">
        <f>IFERROR(__xludf.DUMMYFUNCTION("""COMPUTED_VALUE"""),"PROSES")</f>
        <v>PROSES</v>
      </c>
      <c r="F873" s="9" t="str">
        <f>IFERROR(__xludf.DUMMYFUNCTION("""COMPUTED_VALUE"""),"")</f>
        <v/>
      </c>
      <c r="G873" s="7" t="str">
        <f>IFERROR(__xludf.DUMMYFUNCTION("""COMPUTED_VALUE"""),"BN JUAL BELI")</f>
        <v>BN JUAL BELI</v>
      </c>
      <c r="H873" s="7">
        <f t="shared" si="1"/>
        <v>425</v>
      </c>
    </row>
    <row r="874" ht="22.5" customHeight="1">
      <c r="B874" s="7" t="str">
        <f>IFERROR(__xludf.DUMMYFUNCTION("""COMPUTED_VALUE"""),"K/56/051124/1")</f>
        <v>K/56/051124/1</v>
      </c>
      <c r="C874" s="7" t="str">
        <f>IFERROR(__xludf.DUMMYFUNCTION("""COMPUTED_VALUE"""),"Nibel. M. 1926/ Keteguhan")</f>
        <v>Nibel. M. 1926/ Keteguhan</v>
      </c>
      <c r="D874" s="7"/>
      <c r="E874" s="7"/>
      <c r="F874" s="9" t="str">
        <f>IFERROR(__xludf.DUMMYFUNCTION("""COMPUTED_VALUE"""),"")</f>
        <v/>
      </c>
      <c r="G874" s="7" t="str">
        <f>IFERROR(__xludf.DUMMYFUNCTION("""COMPUTED_VALUE"""),"BN Jual Beli")</f>
        <v>BN Jual Beli</v>
      </c>
      <c r="H874" s="7">
        <f t="shared" si="1"/>
        <v>425</v>
      </c>
    </row>
    <row r="875" ht="22.5" customHeight="1">
      <c r="B875" s="7" t="str">
        <f>IFERROR(__xludf.DUMMYFUNCTION("""COMPUTED_VALUE"""),"K/58/051124/1")</f>
        <v>K/58/051124/1</v>
      </c>
      <c r="C875" s="7" t="str">
        <f>IFERROR(__xludf.DUMMYFUNCTION("""COMPUTED_VALUE"""),"M.13163/KEDAMAIAN")</f>
        <v>M.13163/KEDAMAIAN</v>
      </c>
      <c r="D875" s="7"/>
      <c r="E875" s="7"/>
      <c r="F875" s="9" t="str">
        <f>IFERROR(__xludf.DUMMYFUNCTION("""COMPUTED_VALUE"""),"")</f>
        <v/>
      </c>
      <c r="G875" s="7" t="str">
        <f>IFERROR(__xludf.DUMMYFUNCTION("""COMPUTED_VALUE"""),"GANTI KECAMATAN")</f>
        <v>GANTI KECAMATAN</v>
      </c>
      <c r="H875" s="7">
        <f t="shared" si="1"/>
        <v>425</v>
      </c>
    </row>
    <row r="876" ht="22.5" customHeight="1">
      <c r="B876" s="7" t="str">
        <f>IFERROR(__xludf.DUMMYFUNCTION("""COMPUTED_VALUE"""),"K/59/051124/1")</f>
        <v>K/59/051124/1</v>
      </c>
      <c r="C876" s="7" t="str">
        <f>IFERROR(__xludf.DUMMYFUNCTION("""COMPUTED_VALUE"""),"Nibel 435/ Kemiling Permai")</f>
        <v>Nibel 435/ Kemiling Permai</v>
      </c>
      <c r="D876" s="7"/>
      <c r="E876" s="7"/>
      <c r="F876" s="9" t="str">
        <f>IFERROR(__xludf.DUMMYFUNCTION("""COMPUTED_VALUE"""),"")</f>
        <v/>
      </c>
      <c r="G876" s="7" t="str">
        <f>IFERROR(__xludf.DUMMYFUNCTION("""COMPUTED_VALUE"""),"BN JUAL BELI")</f>
        <v>BN JUAL BELI</v>
      </c>
      <c r="H876" s="7">
        <f t="shared" si="1"/>
        <v>425</v>
      </c>
    </row>
    <row r="877" ht="22.5" customHeight="1">
      <c r="B877" s="7" t="str">
        <f>IFERROR(__xludf.DUMMYFUNCTION("""COMPUTED_VALUE"""),"K/57/051124/1")</f>
        <v>K/57/051124/1</v>
      </c>
      <c r="C877" s="7" t="str">
        <f>IFERROR(__xludf.DUMMYFUNCTION("""COMPUTED_VALUE"""),"M.1132/SEPANG JAYA")</f>
        <v>M.1132/SEPANG JAYA</v>
      </c>
      <c r="D877" s="7"/>
      <c r="E877" s="7"/>
      <c r="F877" s="9" t="str">
        <f>IFERROR(__xludf.DUMMYFUNCTION("""COMPUTED_VALUE"""),"")</f>
        <v/>
      </c>
      <c r="G877" s="7" t="str">
        <f>IFERROR(__xludf.DUMMYFUNCTION("""COMPUTED_VALUE"""),"PLOTING")</f>
        <v>PLOTING</v>
      </c>
      <c r="H877" s="7">
        <f t="shared" si="1"/>
        <v>425</v>
      </c>
    </row>
    <row r="878" ht="22.5" customHeight="1">
      <c r="B878" s="7" t="str">
        <f>IFERROR(__xludf.DUMMYFUNCTION("""COMPUTED_VALUE"""),"K/60/051124/2")</f>
        <v>K/60/051124/2</v>
      </c>
      <c r="C878" s="7" t="str">
        <f>IFERROR(__xludf.DUMMYFUNCTION("""COMPUTED_VALUE"""),"Nibel 448/ Kemiling Permai")</f>
        <v>Nibel 448/ Kemiling Permai</v>
      </c>
      <c r="D878" s="7"/>
      <c r="E878" s="7"/>
      <c r="F878" s="9" t="str">
        <f>IFERROR(__xludf.DUMMYFUNCTION("""COMPUTED_VALUE"""),"")</f>
        <v/>
      </c>
      <c r="G878" s="7" t="str">
        <f>IFERROR(__xludf.DUMMYFUNCTION("""COMPUTED_VALUE"""),"BN JUAL BELI")</f>
        <v>BN JUAL BELI</v>
      </c>
      <c r="H878" s="7">
        <f t="shared" si="1"/>
        <v>425</v>
      </c>
    </row>
    <row r="879" ht="22.5" customHeight="1">
      <c r="B879" s="7" t="str">
        <f>IFERROR(__xludf.DUMMYFUNCTION("""COMPUTED_VALUE"""),"K/61/051124/3")</f>
        <v>K/61/051124/3</v>
      </c>
      <c r="C879" s="7" t="str">
        <f>IFERROR(__xludf.DUMMYFUNCTION("""COMPUTED_VALUE"""),"Nibel 394/ Kemiling Permai")</f>
        <v>Nibel 394/ Kemiling Permai</v>
      </c>
      <c r="D879" s="7"/>
      <c r="E879" s="7"/>
      <c r="F879" s="9" t="str">
        <f>IFERROR(__xludf.DUMMYFUNCTION("""COMPUTED_VALUE"""),"")</f>
        <v/>
      </c>
      <c r="G879" s="7" t="str">
        <f>IFERROR(__xludf.DUMMYFUNCTION("""COMPUTED_VALUE"""),"BN JUAL BELI")</f>
        <v>BN JUAL BELI</v>
      </c>
      <c r="H879" s="7">
        <f t="shared" si="1"/>
        <v>425</v>
      </c>
    </row>
    <row r="880" ht="22.5" customHeight="1">
      <c r="B880" s="7" t="str">
        <f>IFERROR(__xludf.DUMMYFUNCTION("""COMPUTED_VALUE"""),"K/63/051124/1")</f>
        <v>K/63/051124/1</v>
      </c>
      <c r="C880" s="7" t="str">
        <f>IFERROR(__xludf.DUMMYFUNCTION("""COMPUTED_VALUE"""),"M.2297/TANJUNG SENENG")</f>
        <v>M.2297/TANJUNG SENENG</v>
      </c>
      <c r="D880" s="7"/>
      <c r="E880" s="7"/>
      <c r="F880" s="9" t="str">
        <f>IFERROR(__xludf.DUMMYFUNCTION("""COMPUTED_VALUE"""),"")</f>
        <v/>
      </c>
      <c r="G880" s="7" t="str">
        <f>IFERROR(__xludf.DUMMYFUNCTION("""COMPUTED_VALUE"""),"GANDES")</f>
        <v>GANDES</v>
      </c>
      <c r="H880" s="7">
        <f t="shared" si="1"/>
        <v>425</v>
      </c>
    </row>
    <row r="881" ht="22.5" customHeight="1">
      <c r="B881" s="7" t="str">
        <f>IFERROR(__xludf.DUMMYFUNCTION("""COMPUTED_VALUE"""),"K/62/051124/4")</f>
        <v>K/62/051124/4</v>
      </c>
      <c r="C881" s="7" t="str">
        <f>IFERROR(__xludf.DUMMYFUNCTION("""COMPUTED_VALUE"""),"M. 12720/ Kedaton")</f>
        <v>M. 12720/ Kedaton</v>
      </c>
      <c r="D881" s="7" t="str">
        <f>IFERROR(__xludf.DUMMYFUNCTION("""COMPUTED_VALUE"""),"Berry")</f>
        <v>Berry</v>
      </c>
      <c r="E881" s="7" t="str">
        <f>IFERROR(__xludf.DUMMYFUNCTION("""COMPUTED_VALUE"""),"DISERAHKAN")</f>
        <v>DISERAHKAN</v>
      </c>
      <c r="F881" s="9">
        <f>IFERROR(__xludf.DUMMYFUNCTION("""COMPUTED_VALUE"""),45604.476928055556)</f>
        <v>45604.47693</v>
      </c>
      <c r="G881" s="7" t="str">
        <f>IFERROR(__xludf.DUMMYFUNCTION("""COMPUTED_VALUE"""),"BN JUAL BELI")</f>
        <v>BN JUAL BELI</v>
      </c>
      <c r="H881" s="7">
        <f t="shared" si="1"/>
        <v>426</v>
      </c>
    </row>
    <row r="882" ht="22.5" customHeight="1">
      <c r="B882" s="7" t="str">
        <f>IFERROR(__xludf.DUMMYFUNCTION("""COMPUTED_VALUE"""),"K/64/051124/1")</f>
        <v>K/64/051124/1</v>
      </c>
      <c r="C882" s="7" t="str">
        <f>IFERROR(__xludf.DUMMYFUNCTION("""COMPUTED_VALUE"""),"M. 11579/ Rajabasa")</f>
        <v>M. 11579/ Rajabasa</v>
      </c>
      <c r="D882" s="7"/>
      <c r="E882" s="7"/>
      <c r="F882" s="9" t="str">
        <f>IFERROR(__xludf.DUMMYFUNCTION("""COMPUTED_VALUE"""),"")</f>
        <v/>
      </c>
      <c r="G882" s="7" t="str">
        <f>IFERROR(__xludf.DUMMYFUNCTION("""COMPUTED_VALUE"""),"SKPT INFORMASI")</f>
        <v>SKPT INFORMASI</v>
      </c>
      <c r="H882" s="7">
        <f t="shared" si="1"/>
        <v>426</v>
      </c>
    </row>
    <row r="883" ht="22.5" customHeight="1">
      <c r="B883" s="7" t="str">
        <f>IFERROR(__xludf.DUMMYFUNCTION("""COMPUTED_VALUE"""),"K/65/051124/2")</f>
        <v>K/65/051124/2</v>
      </c>
      <c r="C883" s="7" t="str">
        <f>IFERROR(__xludf.DUMMYFUNCTION("""COMPUTED_VALUE"""),"M. 3787/ rajabasa jaya")</f>
        <v>M. 3787/ rajabasa jaya</v>
      </c>
      <c r="D883" s="7"/>
      <c r="E883" s="7"/>
      <c r="F883" s="9" t="str">
        <f>IFERROR(__xludf.DUMMYFUNCTION("""COMPUTED_VALUE"""),"")</f>
        <v/>
      </c>
      <c r="G883" s="7" t="str">
        <f>IFERROR(__xludf.DUMMYFUNCTION("""COMPUTED_VALUE"""),"PTPGT PEMECHAN")</f>
        <v>PTPGT PEMECHAN</v>
      </c>
      <c r="H883" s="7">
        <f t="shared" si="1"/>
        <v>426</v>
      </c>
    </row>
    <row r="884" ht="22.5" customHeight="1">
      <c r="B884" s="7" t="str">
        <f>IFERROR(__xludf.DUMMYFUNCTION("""COMPUTED_VALUE"""),"K/1/061124/1")</f>
        <v>K/1/061124/1</v>
      </c>
      <c r="C884" s="7" t="str">
        <f>IFERROR(__xludf.DUMMYFUNCTION("""COMPUTED_VALUE"""),"M.12840/SEGALA MIDER-SEKARANG;B.114/SEGALA MIDER-DAHULU")</f>
        <v>M.12840/SEGALA MIDER-SEKARANG;B.114/SEGALA MIDER-DAHULU</v>
      </c>
      <c r="D884" s="7" t="str">
        <f>IFERROR(__xludf.DUMMYFUNCTION("""COMPUTED_VALUE"""),"Berry")</f>
        <v>Berry</v>
      </c>
      <c r="E884" s="7" t="str">
        <f>IFERROR(__xludf.DUMMYFUNCTION("""COMPUTED_VALUE"""),"DISERAHKAN")</f>
        <v>DISERAHKAN</v>
      </c>
      <c r="F884" s="9">
        <f>IFERROR(__xludf.DUMMYFUNCTION("""COMPUTED_VALUE"""),45604.616701886574)</f>
        <v>45604.6167</v>
      </c>
      <c r="G884" s="7" t="str">
        <f>IFERROR(__xludf.DUMMYFUNCTION("""COMPUTED_VALUE"""),"BN JUAL BELI")</f>
        <v>BN JUAL BELI</v>
      </c>
      <c r="H884" s="7">
        <f t="shared" si="1"/>
        <v>427</v>
      </c>
    </row>
    <row r="885" ht="22.5" customHeight="1">
      <c r="B885" s="7" t="str">
        <f>IFERROR(__xludf.DUMMYFUNCTION("""COMPUTED_VALUE"""),"K/2/061124/1")</f>
        <v>K/2/061124/1</v>
      </c>
      <c r="C885" s="7" t="str">
        <f>IFERROR(__xludf.DUMMYFUNCTION("""COMPUTED_VALUE"""),"NIBEL M.5648/ENGGAL")</f>
        <v>NIBEL M.5648/ENGGAL</v>
      </c>
      <c r="D885" s="7"/>
      <c r="E885" s="7"/>
      <c r="F885" s="9" t="str">
        <f>IFERROR(__xludf.DUMMYFUNCTION("""COMPUTED_VALUE"""),"")</f>
        <v/>
      </c>
      <c r="G885" s="7" t="str">
        <f>IFERROR(__xludf.DUMMYFUNCTION("""COMPUTED_VALUE"""),"BN JUAL BELI")</f>
        <v>BN JUAL BELI</v>
      </c>
      <c r="H885" s="7">
        <f t="shared" si="1"/>
        <v>427</v>
      </c>
    </row>
    <row r="886" ht="22.5" customHeight="1">
      <c r="B886" s="7" t="str">
        <f>IFERROR(__xludf.DUMMYFUNCTION("""COMPUTED_VALUE"""),"K/3/061124/2")</f>
        <v>K/3/061124/2</v>
      </c>
      <c r="C886" s="7" t="str">
        <f>IFERROR(__xludf.DUMMYFUNCTION("""COMPUTED_VALUE"""),"M.1588/SUMUR BATU")</f>
        <v>M.1588/SUMUR BATU</v>
      </c>
      <c r="D886" s="7"/>
      <c r="E886" s="7"/>
      <c r="F886" s="9" t="str">
        <f>IFERROR(__xludf.DUMMYFUNCTION("""COMPUTED_VALUE"""),"")</f>
        <v/>
      </c>
      <c r="G886" s="7" t="str">
        <f>IFERROR(__xludf.DUMMYFUNCTION("""COMPUTED_VALUE"""),"PENGUKURAN ULANG")</f>
        <v>PENGUKURAN ULANG</v>
      </c>
      <c r="H886" s="7">
        <f t="shared" si="1"/>
        <v>427</v>
      </c>
    </row>
    <row r="887" ht="22.5" customHeight="1">
      <c r="B887" s="7" t="str">
        <f>IFERROR(__xludf.DUMMYFUNCTION("""COMPUTED_VALUE"""),"L/4/061124/1")</f>
        <v>L/4/061124/1</v>
      </c>
      <c r="C887" s="7" t="str">
        <f>IFERROR(__xludf.DUMMYFUNCTION("""COMPUTED_VALUE"""),"NIB 1770/PINANG JAYA")</f>
        <v>NIB 1770/PINANG JAYA</v>
      </c>
      <c r="D887" s="7"/>
      <c r="E887" s="7"/>
      <c r="F887" s="9" t="str">
        <f>IFERROR(__xludf.DUMMYFUNCTION("""COMPUTED_VALUE"""),"")</f>
        <v/>
      </c>
      <c r="G887" s="7" t="str">
        <f>IFERROR(__xludf.DUMMYFUNCTION("""COMPUTED_VALUE"""),"PH")</f>
        <v>PH</v>
      </c>
      <c r="H887" s="7">
        <f t="shared" si="1"/>
        <v>427</v>
      </c>
    </row>
    <row r="888" ht="22.5" customHeight="1">
      <c r="B888" s="7" t="str">
        <f>IFERROR(__xludf.DUMMYFUNCTION("""COMPUTED_VALUE"""),"K/5/061124/1")</f>
        <v>K/5/061124/1</v>
      </c>
      <c r="C888" s="7" t="str">
        <f>IFERROR(__xludf.DUMMYFUNCTION("""COMPUTED_VALUE"""),"M. 534/ Sumberrejo Sejahtera")</f>
        <v>M. 534/ Sumberrejo Sejahtera</v>
      </c>
      <c r="D888" s="7" t="str">
        <f>IFERROR(__xludf.DUMMYFUNCTION("""COMPUTED_VALUE"""),"Berry")</f>
        <v>Berry</v>
      </c>
      <c r="E888" s="7" t="str">
        <f>IFERROR(__xludf.DUMMYFUNCTION("""COMPUTED_VALUE"""),"DISERAHKAN")</f>
        <v>DISERAHKAN</v>
      </c>
      <c r="F888" s="9">
        <f>IFERROR(__xludf.DUMMYFUNCTION("""COMPUTED_VALUE"""),45604.61735616898)</f>
        <v>45604.61736</v>
      </c>
      <c r="G888" s="7" t="str">
        <f>IFERROR(__xludf.DUMMYFUNCTION("""COMPUTED_VALUE"""),"Pemecahan")</f>
        <v>Pemecahan</v>
      </c>
      <c r="H888" s="7">
        <f t="shared" si="1"/>
        <v>428</v>
      </c>
    </row>
    <row r="889" ht="22.5" customHeight="1">
      <c r="B889" s="7" t="str">
        <f>IFERROR(__xludf.DUMMYFUNCTION("""COMPUTED_VALUE"""),"K/6/061124/1")</f>
        <v>K/6/061124/1</v>
      </c>
      <c r="C889" s="7" t="str">
        <f>IFERROR(__xludf.DUMMYFUNCTION("""COMPUTED_VALUE"""),"M.3348/KEMILING PERMAI-SEKARANG;M.1620-SUMBEREJO/KEMILING-DAHULU")</f>
        <v>M.3348/KEMILING PERMAI-SEKARANG;M.1620-SUMBEREJO/KEMILING-DAHULU</v>
      </c>
      <c r="D889" s="7" t="str">
        <f>IFERROR(__xludf.DUMMYFUNCTION("""COMPUTED_VALUE"""),"Berry")</f>
        <v>Berry</v>
      </c>
      <c r="E889" s="7" t="str">
        <f>IFERROR(__xludf.DUMMYFUNCTION("""COMPUTED_VALUE"""),"DISERAHKAN")</f>
        <v>DISERAHKAN</v>
      </c>
      <c r="F889" s="9">
        <f>IFERROR(__xludf.DUMMYFUNCTION("""COMPUTED_VALUE"""),45604.617661157405)</f>
        <v>45604.61766</v>
      </c>
      <c r="G889" s="7" t="str">
        <f>IFERROR(__xludf.DUMMYFUNCTION("""COMPUTED_VALUE"""),"BN JUAL BELI")</f>
        <v>BN JUAL BELI</v>
      </c>
      <c r="H889" s="7">
        <f t="shared" si="1"/>
        <v>429</v>
      </c>
    </row>
    <row r="890" ht="22.5" customHeight="1">
      <c r="B890" s="7" t="str">
        <f>IFERROR(__xludf.DUMMYFUNCTION("""COMPUTED_VALUE"""),"L/7/061124/1")</f>
        <v>L/7/061124/1</v>
      </c>
      <c r="C890" s="7" t="str">
        <f>IFERROR(__xludf.DUMMYFUNCTION("""COMPUTED_VALUE"""),"HM 1120/BUMI KEDAMAIAN")</f>
        <v>HM 1120/BUMI KEDAMAIAN</v>
      </c>
      <c r="D890" s="7"/>
      <c r="E890" s="7"/>
      <c r="F890" s="9" t="str">
        <f>IFERROR(__xludf.DUMMYFUNCTION("""COMPUTED_VALUE"""),"")</f>
        <v/>
      </c>
      <c r="G890" s="7" t="str">
        <f>IFERROR(__xludf.DUMMYFUNCTION("""COMPUTED_VALUE"""),"BLOKIR")</f>
        <v>BLOKIR</v>
      </c>
      <c r="H890" s="7">
        <f t="shared" si="1"/>
        <v>429</v>
      </c>
    </row>
    <row r="891" ht="22.5" customHeight="1">
      <c r="B891" s="7" t="str">
        <f>IFERROR(__xludf.DUMMYFUNCTION("""COMPUTED_VALUE"""),"K/9/061124/1")</f>
        <v>K/9/061124/1</v>
      </c>
      <c r="C891" s="7" t="str">
        <f>IFERROR(__xludf.DUMMYFUNCTION("""COMPUTED_VALUE"""),"Nibel 7188/ Gunung Sulah")</f>
        <v>Nibel 7188/ Gunung Sulah</v>
      </c>
      <c r="D891" s="7"/>
      <c r="E891" s="7"/>
      <c r="F891" s="9" t="str">
        <f>IFERROR(__xludf.DUMMYFUNCTION("""COMPUTED_VALUE"""),"")</f>
        <v/>
      </c>
      <c r="G891" s="7" t="str">
        <f>IFERROR(__xludf.DUMMYFUNCTION("""COMPUTED_VALUE"""),"BN LELANG")</f>
        <v>BN LELANG</v>
      </c>
      <c r="H891" s="7">
        <f t="shared" si="1"/>
        <v>429</v>
      </c>
    </row>
    <row r="892" ht="22.5" customHeight="1">
      <c r="B892" s="7" t="str">
        <f>IFERROR(__xludf.DUMMYFUNCTION("""COMPUTED_VALUE"""),"K/11/061124/1")</f>
        <v>K/11/061124/1</v>
      </c>
      <c r="C892" s="7" t="str">
        <f>IFERROR(__xludf.DUMMYFUNCTION("""COMPUTED_VALUE"""),"M. 927/ Pelita; SHT 2384/2014 dan SHT 4033/2018")</f>
        <v>M. 927/ Pelita; SHT 2384/2014 dan SHT 4033/2018</v>
      </c>
      <c r="D892" s="7" t="str">
        <f>IFERROR(__xludf.DUMMYFUNCTION("""COMPUTED_VALUE"""),"Berry")</f>
        <v>Berry</v>
      </c>
      <c r="E892" s="7" t="str">
        <f>IFERROR(__xludf.DUMMYFUNCTION("""COMPUTED_VALUE"""),"DISERAHKAN")</f>
        <v>DISERAHKAN</v>
      </c>
      <c r="F892" s="9">
        <f>IFERROR(__xludf.DUMMYFUNCTION("""COMPUTED_VALUE"""),45604.61992993056)</f>
        <v>45604.61993</v>
      </c>
      <c r="G892" s="7" t="str">
        <f>IFERROR(__xludf.DUMMYFUNCTION("""COMPUTED_VALUE"""),"Roya")</f>
        <v>Roya</v>
      </c>
      <c r="H892" s="7">
        <f t="shared" si="1"/>
        <v>430</v>
      </c>
    </row>
    <row r="893" ht="22.5" customHeight="1">
      <c r="B893" s="7" t="str">
        <f>IFERROR(__xludf.DUMMYFUNCTION("""COMPUTED_VALUE"""),"K/12/061124/1")</f>
        <v>K/12/061124/1</v>
      </c>
      <c r="C893" s="7" t="str">
        <f>IFERROR(__xludf.DUMMYFUNCTION("""COMPUTED_VALUE"""),"M. 4132/ Keteguhan")</f>
        <v>M. 4132/ Keteguhan</v>
      </c>
      <c r="D893" s="7" t="str">
        <f>IFERROR(__xludf.DUMMYFUNCTION("""COMPUTED_VALUE"""),"Berry")</f>
        <v>Berry</v>
      </c>
      <c r="E893" s="7" t="str">
        <f>IFERROR(__xludf.DUMMYFUNCTION("""COMPUTED_VALUE"""),"DISERAHKAN")</f>
        <v>DISERAHKAN</v>
      </c>
      <c r="F893" s="9">
        <f>IFERROR(__xludf.DUMMYFUNCTION("""COMPUTED_VALUE"""),45604.62013957176)</f>
        <v>45604.62014</v>
      </c>
      <c r="G893" s="7" t="str">
        <f>IFERROR(__xludf.DUMMYFUNCTION("""COMPUTED_VALUE"""),"BN Jual Beli")</f>
        <v>BN Jual Beli</v>
      </c>
      <c r="H893" s="7">
        <f t="shared" si="1"/>
        <v>431</v>
      </c>
    </row>
    <row r="894" ht="22.5" customHeight="1">
      <c r="B894" s="7" t="str">
        <f>IFERROR(__xludf.DUMMYFUNCTION("""COMPUTED_VALUE"""),"L/13/061124/1")</f>
        <v>L/13/061124/1</v>
      </c>
      <c r="C894" s="7" t="str">
        <f>IFERROR(__xludf.DUMMYFUNCTION("""COMPUTED_VALUE"""),"RAJABASA JAYA")</f>
        <v>RAJABASA JAYA</v>
      </c>
      <c r="D894" s="7"/>
      <c r="E894" s="7"/>
      <c r="F894" s="9" t="str">
        <f>IFERROR(__xludf.DUMMYFUNCTION("""COMPUTED_VALUE"""),"")</f>
        <v/>
      </c>
      <c r="G894" s="7" t="str">
        <f>IFERROR(__xludf.DUMMYFUNCTION("""COMPUTED_VALUE"""),"PERTAMA KALI")</f>
        <v>PERTAMA KALI</v>
      </c>
      <c r="H894" s="7">
        <f t="shared" si="1"/>
        <v>431</v>
      </c>
    </row>
    <row r="895" ht="22.5" customHeight="1">
      <c r="B895" s="7" t="str">
        <f>IFERROR(__xludf.DUMMYFUNCTION("""COMPUTED_VALUE"""),"K/14/061124/1")</f>
        <v>K/14/061124/1</v>
      </c>
      <c r="C895" s="7" t="str">
        <f>IFERROR(__xludf.DUMMYFUNCTION("""COMPUTED_VALUE"""),"M.1511/BUMI WARAS")</f>
        <v>M.1511/BUMI WARAS</v>
      </c>
      <c r="D895" s="7" t="str">
        <f>IFERROR(__xludf.DUMMYFUNCTION("""COMPUTED_VALUE"""),"Berry")</f>
        <v>Berry</v>
      </c>
      <c r="E895" s="7" t="str">
        <f>IFERROR(__xludf.DUMMYFUNCTION("""COMPUTED_VALUE"""),"DISERAHKAN")</f>
        <v>DISERAHKAN</v>
      </c>
      <c r="F895" s="9">
        <f>IFERROR(__xludf.DUMMYFUNCTION("""COMPUTED_VALUE"""),45604.62074745371)</f>
        <v>45604.62075</v>
      </c>
      <c r="G895" s="7" t="str">
        <f>IFERROR(__xludf.DUMMYFUNCTION("""COMPUTED_VALUE"""),"BN JUAL BELI")</f>
        <v>BN JUAL BELI</v>
      </c>
      <c r="H895" s="7">
        <f t="shared" si="1"/>
        <v>432</v>
      </c>
    </row>
    <row r="896" ht="22.5" customHeight="1">
      <c r="B896" s="7" t="str">
        <f>IFERROR(__xludf.DUMMYFUNCTION("""COMPUTED_VALUE"""),"K/10/061124/2")</f>
        <v>K/10/061124/2</v>
      </c>
      <c r="C896" s="7" t="str">
        <f>IFERROR(__xludf.DUMMYFUNCTION("""COMPUTED_VALUE"""),"M. 2147/ WAY HALIM PERMAI")</f>
        <v>M. 2147/ WAY HALIM PERMAI</v>
      </c>
      <c r="D896" s="7" t="str">
        <f>IFERROR(__xludf.DUMMYFUNCTION("""COMPUTED_VALUE"""),"Berry")</f>
        <v>Berry</v>
      </c>
      <c r="E896" s="7" t="str">
        <f>IFERROR(__xludf.DUMMYFUNCTION("""COMPUTED_VALUE"""),"DISERAHKAN")</f>
        <v>DISERAHKAN</v>
      </c>
      <c r="F896" s="9">
        <f>IFERROR(__xludf.DUMMYFUNCTION("""COMPUTED_VALUE"""),45604.62099094907)</f>
        <v>45604.62099</v>
      </c>
      <c r="G896" s="7" t="str">
        <f>IFERROR(__xludf.DUMMYFUNCTION("""COMPUTED_VALUE"""),"BN WARIS")</f>
        <v>BN WARIS</v>
      </c>
      <c r="H896" s="7">
        <f t="shared" si="1"/>
        <v>433</v>
      </c>
    </row>
    <row r="897" ht="22.5" customHeight="1">
      <c r="B897" s="7" t="str">
        <f>IFERROR(__xludf.DUMMYFUNCTION("""COMPUTED_VALUE"""),"K/16/061124/1")</f>
        <v>K/16/061124/1</v>
      </c>
      <c r="C897" s="7" t="str">
        <f>IFERROR(__xludf.DUMMYFUNCTION("""COMPUTED_VALUE"""),"B. 105/ Nusantara Permai")</f>
        <v>B. 105/ Nusantara Permai</v>
      </c>
      <c r="D897" s="7" t="str">
        <f>IFERROR(__xludf.DUMMYFUNCTION("""COMPUTED_VALUE"""),"Berry")</f>
        <v>Berry</v>
      </c>
      <c r="E897" s="7" t="str">
        <f>IFERROR(__xludf.DUMMYFUNCTION("""COMPUTED_VALUE"""),"DISERAHKAN")</f>
        <v>DISERAHKAN</v>
      </c>
      <c r="F897" s="9">
        <f>IFERROR(__xludf.DUMMYFUNCTION("""COMPUTED_VALUE"""),45604.62129018518)</f>
        <v>45604.62129</v>
      </c>
      <c r="G897" s="7" t="str">
        <f>IFERROR(__xludf.DUMMYFUNCTION("""COMPUTED_VALUE"""),"BN Jual Beli")</f>
        <v>BN Jual Beli</v>
      </c>
      <c r="H897" s="7">
        <f t="shared" si="1"/>
        <v>434</v>
      </c>
    </row>
    <row r="898" ht="22.5" customHeight="1">
      <c r="B898" s="7" t="str">
        <f>IFERROR(__xludf.DUMMYFUNCTION("""COMPUTED_VALUE"""),"K/15/061124/2")</f>
        <v>K/15/061124/2</v>
      </c>
      <c r="C898" s="7" t="str">
        <f>IFERROR(__xludf.DUMMYFUNCTION("""COMPUTED_VALUE"""),"M.05/GUNUNG SARI")</f>
        <v>M.05/GUNUNG SARI</v>
      </c>
      <c r="D898" s="7" t="str">
        <f>IFERROR(__xludf.DUMMYFUNCTION("""COMPUTED_VALUE"""),"Berry")</f>
        <v>Berry</v>
      </c>
      <c r="E898" s="7" t="str">
        <f>IFERROR(__xludf.DUMMYFUNCTION("""COMPUTED_VALUE"""),"DISERAHKAN")</f>
        <v>DISERAHKAN</v>
      </c>
      <c r="F898" s="9">
        <f>IFERROR(__xludf.DUMMYFUNCTION("""COMPUTED_VALUE"""),45604.62172152778)</f>
        <v>45604.62172</v>
      </c>
      <c r="G898" s="7" t="str">
        <f>IFERROR(__xludf.DUMMYFUNCTION("""COMPUTED_VALUE"""),"BN HIBAH")</f>
        <v>BN HIBAH</v>
      </c>
      <c r="H898" s="7">
        <f t="shared" si="1"/>
        <v>435</v>
      </c>
    </row>
    <row r="899" ht="22.5" customHeight="1">
      <c r="B899" s="7" t="str">
        <f>IFERROR(__xludf.DUMMYFUNCTION("""COMPUTED_VALUE"""),"K/17/061124/1")</f>
        <v>K/17/061124/1</v>
      </c>
      <c r="C899" s="7" t="str">
        <f>IFERROR(__xludf.DUMMYFUNCTION("""COMPUTED_VALUE"""),"M.1375/BERINGIN JAYA-SEKARANG;B.2740/BERINGIN RAYA-DAHULU")</f>
        <v>M.1375/BERINGIN JAYA-SEKARANG;B.2740/BERINGIN RAYA-DAHULU</v>
      </c>
      <c r="D899" s="7" t="str">
        <f>IFERROR(__xludf.DUMMYFUNCTION("""COMPUTED_VALUE"""),"Berry")</f>
        <v>Berry</v>
      </c>
      <c r="E899" s="7" t="str">
        <f>IFERROR(__xludf.DUMMYFUNCTION("""COMPUTED_VALUE"""),"DISERAHKAN")</f>
        <v>DISERAHKAN</v>
      </c>
      <c r="F899" s="9">
        <f>IFERROR(__xludf.DUMMYFUNCTION("""COMPUTED_VALUE"""),45616.44468800926)</f>
        <v>45616.44469</v>
      </c>
      <c r="G899" s="7" t="str">
        <f>IFERROR(__xludf.DUMMYFUNCTION("""COMPUTED_VALUE"""),"BN JUAL BELI")</f>
        <v>BN JUAL BELI</v>
      </c>
      <c r="H899" s="7">
        <f t="shared" si="1"/>
        <v>436</v>
      </c>
    </row>
    <row r="900" ht="22.5" customHeight="1">
      <c r="B900" s="7" t="str">
        <f>IFERROR(__xludf.DUMMYFUNCTION("""COMPUTED_VALUE"""),"L/18/061124/1")</f>
        <v>L/18/061124/1</v>
      </c>
      <c r="C900" s="7" t="str">
        <f>IFERROR(__xludf.DUMMYFUNCTION("""COMPUTED_VALUE"""),"HM 13595/SUKABUMI")</f>
        <v>HM 13595/SUKABUMI</v>
      </c>
      <c r="D900" s="7" t="str">
        <f>IFERROR(__xludf.DUMMYFUNCTION("""COMPUTED_VALUE"""),"Berry")</f>
        <v>Berry</v>
      </c>
      <c r="E900" s="7" t="str">
        <f>IFERROR(__xludf.DUMMYFUNCTION("""COMPUTED_VALUE"""),"DISERAHKAN")</f>
        <v>DISERAHKAN</v>
      </c>
      <c r="F900" s="9">
        <f>IFERROR(__xludf.DUMMYFUNCTION("""COMPUTED_VALUE"""),45604.622627916666)</f>
        <v>45604.62263</v>
      </c>
      <c r="G900" s="7" t="str">
        <f>IFERROR(__xludf.DUMMYFUNCTION("""COMPUTED_VALUE"""),"ROYA")</f>
        <v>ROYA</v>
      </c>
      <c r="H900" s="7">
        <f t="shared" si="1"/>
        <v>437</v>
      </c>
    </row>
    <row r="901" ht="22.5" customHeight="1">
      <c r="B901" s="7" t="str">
        <f>IFERROR(__xludf.DUMMYFUNCTION("""COMPUTED_VALUE"""),"K/19/061124/1")</f>
        <v>K/19/061124/1</v>
      </c>
      <c r="C901" s="7" t="str">
        <f>IFERROR(__xludf.DUMMYFUNCTION("""COMPUTED_VALUE"""),"M. 1704/ Way Kandis")</f>
        <v>M. 1704/ Way Kandis</v>
      </c>
      <c r="D901" s="7" t="str">
        <f>IFERROR(__xludf.DUMMYFUNCTION("""COMPUTED_VALUE"""),"Berry")</f>
        <v>Berry</v>
      </c>
      <c r="E901" s="7" t="str">
        <f>IFERROR(__xludf.DUMMYFUNCTION("""COMPUTED_VALUE"""),"DISERAHKAN")</f>
        <v>DISERAHKAN</v>
      </c>
      <c r="F901" s="9">
        <f>IFERROR(__xludf.DUMMYFUNCTION("""COMPUTED_VALUE"""),45604.623013344906)</f>
        <v>45604.62301</v>
      </c>
      <c r="G901" s="7" t="str">
        <f>IFERROR(__xludf.DUMMYFUNCTION("""COMPUTED_VALUE"""),"ROYA")</f>
        <v>ROYA</v>
      </c>
      <c r="H901" s="7">
        <f t="shared" si="1"/>
        <v>438</v>
      </c>
    </row>
    <row r="902" ht="22.5" customHeight="1">
      <c r="B902" s="7" t="str">
        <f>IFERROR(__xludf.DUMMYFUNCTION("""COMPUTED_VALUE"""),"L/20/061124/1")</f>
        <v>L/20/061124/1</v>
      </c>
      <c r="C902" s="7" t="str">
        <f>IFERROR(__xludf.DUMMYFUNCTION("""COMPUTED_VALUE"""),"HM 2606/WAY KANDIS")</f>
        <v>HM 2606/WAY KANDIS</v>
      </c>
      <c r="D902" s="7"/>
      <c r="E902" s="7"/>
      <c r="F902" s="9" t="str">
        <f>IFERROR(__xludf.DUMMYFUNCTION("""COMPUTED_VALUE"""),"")</f>
        <v/>
      </c>
      <c r="G902" s="7" t="str">
        <f>IFERROR(__xludf.DUMMYFUNCTION("""COMPUTED_VALUE"""),"PTPGT")</f>
        <v>PTPGT</v>
      </c>
      <c r="H902" s="7">
        <f t="shared" si="1"/>
        <v>438</v>
      </c>
    </row>
    <row r="903" ht="22.5" customHeight="1">
      <c r="B903" s="7" t="str">
        <f>IFERROR(__xludf.DUMMYFUNCTION("""COMPUTED_VALUE"""),"K/21/061124/1")</f>
        <v>K/21/061124/1</v>
      </c>
      <c r="C903" s="7" t="str">
        <f>IFERROR(__xludf.DUMMYFUNCTION("""COMPUTED_VALUE"""),"M. 1538/ Keteguhan")</f>
        <v>M. 1538/ Keteguhan</v>
      </c>
      <c r="D903" s="7" t="str">
        <f>IFERROR(__xludf.DUMMYFUNCTION("""COMPUTED_VALUE"""),"Berry")</f>
        <v>Berry</v>
      </c>
      <c r="E903" s="7" t="str">
        <f>IFERROR(__xludf.DUMMYFUNCTION("""COMPUTED_VALUE"""),"DISERAHKAN")</f>
        <v>DISERAHKAN</v>
      </c>
      <c r="F903" s="9">
        <f>IFERROR(__xludf.DUMMYFUNCTION("""COMPUTED_VALUE"""),45604.623230937505)</f>
        <v>45604.62323</v>
      </c>
      <c r="G903" s="7" t="str">
        <f>IFERROR(__xludf.DUMMYFUNCTION("""COMPUTED_VALUE"""),"BN Jual Beli")</f>
        <v>BN Jual Beli</v>
      </c>
      <c r="H903" s="7">
        <f t="shared" si="1"/>
        <v>439</v>
      </c>
    </row>
    <row r="904" ht="22.5" customHeight="1">
      <c r="B904" s="7" t="str">
        <f>IFERROR(__xludf.DUMMYFUNCTION("""COMPUTED_VALUE"""),"L/22/061124/1")</f>
        <v>L/22/061124/1</v>
      </c>
      <c r="C904" s="7" t="str">
        <f>IFERROR(__xludf.DUMMYFUNCTION("""COMPUTED_VALUE"""),"HGB 216/RAJABASA PEMUKA")</f>
        <v>HGB 216/RAJABASA PEMUKA</v>
      </c>
      <c r="D904" s="7" t="str">
        <f>IFERROR(__xludf.DUMMYFUNCTION("""COMPUTED_VALUE"""),"Berry")</f>
        <v>Berry</v>
      </c>
      <c r="E904" s="7" t="str">
        <f>IFERROR(__xludf.DUMMYFUNCTION("""COMPUTED_VALUE"""),"PROSES")</f>
        <v>PROSES</v>
      </c>
      <c r="F904" s="9" t="str">
        <f>IFERROR(__xludf.DUMMYFUNCTION("""COMPUTED_VALUE"""),"")</f>
        <v/>
      </c>
      <c r="G904" s="7" t="str">
        <f>IFERROR(__xludf.DUMMYFUNCTION("""COMPUTED_VALUE"""),"PERUBAHAN HAK")</f>
        <v>PERUBAHAN HAK</v>
      </c>
      <c r="H904" s="7">
        <f t="shared" si="1"/>
        <v>439</v>
      </c>
    </row>
    <row r="905" ht="22.5" customHeight="1">
      <c r="B905" s="7" t="str">
        <f>IFERROR(__xludf.DUMMYFUNCTION("""COMPUTED_VALUE"""),"K/24/061124/1")</f>
        <v>K/24/061124/1</v>
      </c>
      <c r="C905" s="7" t="str">
        <f>IFERROR(__xludf.DUMMYFUNCTION("""COMPUTED_VALUE"""),"B. 388/ Panjang Utara")</f>
        <v>B. 388/ Panjang Utara</v>
      </c>
      <c r="D905" s="7" t="str">
        <f>IFERROR(__xludf.DUMMYFUNCTION("""COMPUTED_VALUE"""),"Berry")</f>
        <v>Berry</v>
      </c>
      <c r="E905" s="7" t="str">
        <f>IFERROR(__xludf.DUMMYFUNCTION("""COMPUTED_VALUE"""),"DISERAHKAN")</f>
        <v>DISERAHKAN</v>
      </c>
      <c r="F905" s="9">
        <f>IFERROR(__xludf.DUMMYFUNCTION("""COMPUTED_VALUE"""),45604.62393052083)</f>
        <v>45604.62393</v>
      </c>
      <c r="G905" s="7" t="str">
        <f>IFERROR(__xludf.DUMMYFUNCTION("""COMPUTED_VALUE"""),"PERUBAHAN HAK")</f>
        <v>PERUBAHAN HAK</v>
      </c>
      <c r="H905" s="7">
        <f t="shared" si="1"/>
        <v>440</v>
      </c>
    </row>
    <row r="906" ht="22.5" customHeight="1">
      <c r="B906" s="7" t="str">
        <f>IFERROR(__xludf.DUMMYFUNCTION("""COMPUTED_VALUE"""),"K/23/061124/1")</f>
        <v>K/23/061124/1</v>
      </c>
      <c r="C906" s="7" t="str">
        <f>IFERROR(__xludf.DUMMYFUNCTION("""COMPUTED_VALUE"""),"M. 11169/ Tanjung Baru")</f>
        <v>M. 11169/ Tanjung Baru</v>
      </c>
      <c r="D906" s="7" t="str">
        <f>IFERROR(__xludf.DUMMYFUNCTION("""COMPUTED_VALUE"""),"Berry")</f>
        <v>Berry</v>
      </c>
      <c r="E906" s="7" t="str">
        <f>IFERROR(__xludf.DUMMYFUNCTION("""COMPUTED_VALUE"""),"DISERAHKAN")</f>
        <v>DISERAHKAN</v>
      </c>
      <c r="F906" s="9">
        <f>IFERROR(__xludf.DUMMYFUNCTION("""COMPUTED_VALUE"""),45604.624152592594)</f>
        <v>45604.62415</v>
      </c>
      <c r="G906" s="7" t="str">
        <f>IFERROR(__xludf.DUMMYFUNCTION("""COMPUTED_VALUE"""),"BN Lelang")</f>
        <v>BN Lelang</v>
      </c>
      <c r="H906" s="7">
        <f t="shared" si="1"/>
        <v>441</v>
      </c>
    </row>
    <row r="907" ht="22.5" customHeight="1">
      <c r="B907" s="7" t="str">
        <f>IFERROR(__xludf.DUMMYFUNCTION("""COMPUTED_VALUE"""),"K/25/061124/1")</f>
        <v>K/25/061124/1</v>
      </c>
      <c r="C907" s="7" t="str">
        <f>IFERROR(__xludf.DUMMYFUNCTION("""COMPUTED_VALUE"""),"Nibel 1278/ Gunung terang")</f>
        <v>Nibel 1278/ Gunung terang</v>
      </c>
      <c r="D907" s="7"/>
      <c r="E907" s="7"/>
      <c r="F907" s="9" t="str">
        <f>IFERROR(__xludf.DUMMYFUNCTION("""COMPUTED_VALUE"""),"")</f>
        <v/>
      </c>
      <c r="G907" s="7" t="str">
        <f>IFERROR(__xludf.DUMMYFUNCTION("""COMPUTED_VALUE"""),"PERUBAHAN HAK")</f>
        <v>PERUBAHAN HAK</v>
      </c>
      <c r="H907" s="7">
        <f t="shared" si="1"/>
        <v>441</v>
      </c>
    </row>
    <row r="908" ht="22.5" customHeight="1">
      <c r="B908" s="7" t="str">
        <f>IFERROR(__xludf.DUMMYFUNCTION("""COMPUTED_VALUE"""),"L//061124/1")</f>
        <v>L//061124/1</v>
      </c>
      <c r="C908" s="7" t="str">
        <f>IFERROR(__xludf.DUMMYFUNCTION("""COMPUTED_VALUE"""),"BATU PUTUK")</f>
        <v>BATU PUTUK</v>
      </c>
      <c r="D908" s="7"/>
      <c r="E908" s="7"/>
      <c r="F908" s="9" t="str">
        <f>IFERROR(__xludf.DUMMYFUNCTION("""COMPUTED_VALUE"""),"")</f>
        <v/>
      </c>
      <c r="G908" s="7" t="str">
        <f>IFERROR(__xludf.DUMMYFUNCTION("""COMPUTED_VALUE"""),"TANAH MENTAH")</f>
        <v>TANAH MENTAH</v>
      </c>
      <c r="H908" s="7">
        <f t="shared" si="1"/>
        <v>441</v>
      </c>
    </row>
    <row r="909" ht="22.5" customHeight="1">
      <c r="B909" s="7" t="str">
        <f>IFERROR(__xludf.DUMMYFUNCTION("""COMPUTED_VALUE"""),"L//061124/2")</f>
        <v>L//061124/2</v>
      </c>
      <c r="C909" s="7" t="str">
        <f>IFERROR(__xludf.DUMMYFUNCTION("""COMPUTED_VALUE"""),"BATU PUTUK")</f>
        <v>BATU PUTUK</v>
      </c>
      <c r="D909" s="7"/>
      <c r="E909" s="7"/>
      <c r="F909" s="9" t="str">
        <f>IFERROR(__xludf.DUMMYFUNCTION("""COMPUTED_VALUE"""),"")</f>
        <v/>
      </c>
      <c r="G909" s="7" t="str">
        <f>IFERROR(__xludf.DUMMYFUNCTION("""COMPUTED_VALUE"""),"TANAH MENTAH")</f>
        <v>TANAH MENTAH</v>
      </c>
      <c r="H909" s="7">
        <f t="shared" si="1"/>
        <v>441</v>
      </c>
    </row>
    <row r="910" ht="22.5" customHeight="1">
      <c r="B910" s="7" t="str">
        <f>IFERROR(__xludf.DUMMYFUNCTION("""COMPUTED_VALUE"""),"K/29/061124/1")</f>
        <v>K/29/061124/1</v>
      </c>
      <c r="C910" s="7" t="str">
        <f>IFERROR(__xludf.DUMMYFUNCTION("""COMPUTED_VALUE"""),"M. 711/ Penengahan")</f>
        <v>M. 711/ Penengahan</v>
      </c>
      <c r="D910" s="7"/>
      <c r="E910" s="7"/>
      <c r="F910" s="9" t="str">
        <f>IFERROR(__xludf.DUMMYFUNCTION("""COMPUTED_VALUE"""),"")</f>
        <v/>
      </c>
      <c r="G910" s="7" t="str">
        <f>IFERROR(__xludf.DUMMYFUNCTION("""COMPUTED_VALUE"""),"Ploting")</f>
        <v>Ploting</v>
      </c>
      <c r="H910" s="7">
        <f t="shared" si="1"/>
        <v>441</v>
      </c>
    </row>
    <row r="911" ht="22.5" customHeight="1">
      <c r="B911" s="7" t="str">
        <f>IFERROR(__xludf.DUMMYFUNCTION("""COMPUTED_VALUE"""),"K/30/061124/2")</f>
        <v>K/30/061124/2</v>
      </c>
      <c r="C911" s="7" t="str">
        <f>IFERROR(__xludf.DUMMYFUNCTION("""COMPUTED_VALUE"""),"M. 725/ Kupang Teba")</f>
        <v>M. 725/ Kupang Teba</v>
      </c>
      <c r="D911" s="7"/>
      <c r="E911" s="7"/>
      <c r="F911" s="9" t="str">
        <f>IFERROR(__xludf.DUMMYFUNCTION("""COMPUTED_VALUE"""),"")</f>
        <v/>
      </c>
      <c r="G911" s="7" t="str">
        <f>IFERROR(__xludf.DUMMYFUNCTION("""COMPUTED_VALUE"""),"Gandes")</f>
        <v>Gandes</v>
      </c>
      <c r="H911" s="7">
        <f t="shared" si="1"/>
        <v>441</v>
      </c>
    </row>
    <row r="912" ht="22.5" customHeight="1">
      <c r="B912" s="7" t="str">
        <f>IFERROR(__xludf.DUMMYFUNCTION("""COMPUTED_VALUE"""),"L/28/061124/3")</f>
        <v>L/28/061124/3</v>
      </c>
      <c r="C912" s="7" t="str">
        <f>IFERROR(__xludf.DUMMYFUNCTION("""COMPUTED_VALUE"""),"BATU PUTU")</f>
        <v>BATU PUTU</v>
      </c>
      <c r="D912" s="7"/>
      <c r="E912" s="7"/>
      <c r="F912" s="9" t="str">
        <f>IFERROR(__xludf.DUMMYFUNCTION("""COMPUTED_VALUE"""),"")</f>
        <v/>
      </c>
      <c r="G912" s="7" t="str">
        <f>IFERROR(__xludf.DUMMYFUNCTION("""COMPUTED_VALUE"""),"TANAH MENTAH")</f>
        <v>TANAH MENTAH</v>
      </c>
      <c r="H912" s="7">
        <f t="shared" si="1"/>
        <v>441</v>
      </c>
    </row>
    <row r="913" ht="22.5" customHeight="1">
      <c r="B913" s="7" t="str">
        <f>IFERROR(__xludf.DUMMYFUNCTION("""COMPUTED_VALUE"""),"K/31/061124/1")</f>
        <v>K/31/061124/1</v>
      </c>
      <c r="C913" s="7" t="str">
        <f>IFERROR(__xludf.DUMMYFUNCTION("""COMPUTED_VALUE"""),"B. 254/ Nusantara Permai")</f>
        <v>B. 254/ Nusantara Permai</v>
      </c>
      <c r="D913" s="7" t="str">
        <f>IFERROR(__xludf.DUMMYFUNCTION("""COMPUTED_VALUE"""),"Berry")</f>
        <v>Berry</v>
      </c>
      <c r="E913" s="7" t="str">
        <f>IFERROR(__xludf.DUMMYFUNCTION("""COMPUTED_VALUE"""),"DISERAHKAN")</f>
        <v>DISERAHKAN</v>
      </c>
      <c r="F913" s="9">
        <f>IFERROR(__xludf.DUMMYFUNCTION("""COMPUTED_VALUE"""),45604.62461222222)</f>
        <v>45604.62461</v>
      </c>
      <c r="G913" s="7" t="str">
        <f>IFERROR(__xludf.DUMMYFUNCTION("""COMPUTED_VALUE"""),"Bn Jual Beli")</f>
        <v>Bn Jual Beli</v>
      </c>
      <c r="H913" s="7">
        <f t="shared" si="1"/>
        <v>442</v>
      </c>
    </row>
    <row r="914" ht="22.5" customHeight="1">
      <c r="B914" s="7" t="str">
        <f>IFERROR(__xludf.DUMMYFUNCTION("""COMPUTED_VALUE"""),"K/32/061124/2")</f>
        <v>K/32/061124/2</v>
      </c>
      <c r="C914" s="7" t="str">
        <f>IFERROR(__xludf.DUMMYFUNCTION("""COMPUTED_VALUE"""),"M. 901/ Sumberrejo Sehatera")</f>
        <v>M. 901/ Sumberrejo Sehatera</v>
      </c>
      <c r="D914" s="7" t="str">
        <f>IFERROR(__xludf.DUMMYFUNCTION("""COMPUTED_VALUE"""),"Berry")</f>
        <v>Berry</v>
      </c>
      <c r="E914" s="7" t="str">
        <f>IFERROR(__xludf.DUMMYFUNCTION("""COMPUTED_VALUE"""),"DISERAHKAN")</f>
        <v>DISERAHKAN</v>
      </c>
      <c r="F914" s="9">
        <f>IFERROR(__xludf.DUMMYFUNCTION("""COMPUTED_VALUE"""),45604.62471642361)</f>
        <v>45604.62472</v>
      </c>
      <c r="G914" s="7" t="str">
        <f>IFERROR(__xludf.DUMMYFUNCTION("""COMPUTED_VALUE"""),"BN Jual Beli")</f>
        <v>BN Jual Beli</v>
      </c>
      <c r="H914" s="7">
        <f t="shared" si="1"/>
        <v>443</v>
      </c>
    </row>
    <row r="915" ht="22.5" customHeight="1">
      <c r="B915" s="7" t="str">
        <f>IFERROR(__xludf.DUMMYFUNCTION("""COMPUTED_VALUE"""),"K/33/061124/3")</f>
        <v>K/33/061124/3</v>
      </c>
      <c r="C915" s="7" t="str">
        <f>IFERROR(__xludf.DUMMYFUNCTION("""COMPUTED_VALUE"""),"B. 1017/ Keteguhan")</f>
        <v>B. 1017/ Keteguhan</v>
      </c>
      <c r="D915" s="7" t="str">
        <f>IFERROR(__xludf.DUMMYFUNCTION("""COMPUTED_VALUE"""),"Berry")</f>
        <v>Berry</v>
      </c>
      <c r="E915" s="7" t="str">
        <f>IFERROR(__xludf.DUMMYFUNCTION("""COMPUTED_VALUE"""),"DISERAHKAN")</f>
        <v>DISERAHKAN</v>
      </c>
      <c r="F915" s="9">
        <f>IFERROR(__xludf.DUMMYFUNCTION("""COMPUTED_VALUE"""),45604.625010324075)</f>
        <v>45604.62501</v>
      </c>
      <c r="G915" s="7" t="str">
        <f>IFERROR(__xludf.DUMMYFUNCTION("""COMPUTED_VALUE"""),"BN Jual Beli")</f>
        <v>BN Jual Beli</v>
      </c>
      <c r="H915" s="7">
        <f t="shared" si="1"/>
        <v>444</v>
      </c>
    </row>
    <row r="916" ht="22.5" customHeight="1">
      <c r="B916" s="7" t="str">
        <f>IFERROR(__xludf.DUMMYFUNCTION("""COMPUTED_VALUE"""),"K/34/061124/1")</f>
        <v>K/34/061124/1</v>
      </c>
      <c r="C916" s="7" t="str">
        <f>IFERROR(__xludf.DUMMYFUNCTION("""COMPUTED_VALUE"""),"M.1929/KALI BALAU KENCANA")</f>
        <v>M.1929/KALI BALAU KENCANA</v>
      </c>
      <c r="D916" s="7" t="str">
        <f>IFERROR(__xludf.DUMMYFUNCTION("""COMPUTED_VALUE"""),"Berry")</f>
        <v>Berry</v>
      </c>
      <c r="E916" s="7" t="str">
        <f>IFERROR(__xludf.DUMMYFUNCTION("""COMPUTED_VALUE"""),"DISERAHKAN")</f>
        <v>DISERAHKAN</v>
      </c>
      <c r="F916" s="9">
        <f>IFERROR(__xludf.DUMMYFUNCTION("""COMPUTED_VALUE"""),45604.62516491898)</f>
        <v>45604.62516</v>
      </c>
      <c r="G916" s="7" t="str">
        <f>IFERROR(__xludf.DUMMYFUNCTION("""COMPUTED_VALUE"""),"BN JUAL BELI")</f>
        <v>BN JUAL BELI</v>
      </c>
      <c r="H916" s="7">
        <f t="shared" si="1"/>
        <v>445</v>
      </c>
    </row>
    <row r="917" ht="22.5" customHeight="1">
      <c r="B917" s="7" t="str">
        <f>IFERROR(__xludf.DUMMYFUNCTION("""COMPUTED_VALUE"""),"K/36/061124/1")</f>
        <v>K/36/061124/1</v>
      </c>
      <c r="C917" s="7" t="str">
        <f>IFERROR(__xludf.DUMMYFUNCTION("""COMPUTED_VALUE"""),"NIBEL M.1005/TANJUNGKARANG")</f>
        <v>NIBEL M.1005/TANJUNGKARANG</v>
      </c>
      <c r="D917" s="7"/>
      <c r="E917" s="7"/>
      <c r="F917" s="9" t="str">
        <f>IFERROR(__xludf.DUMMYFUNCTION("""COMPUTED_VALUE"""),"")</f>
        <v/>
      </c>
      <c r="G917" s="7" t="str">
        <f>IFERROR(__xludf.DUMMYFUNCTION("""COMPUTED_VALUE"""),"BN JUAL BELI")</f>
        <v>BN JUAL BELI</v>
      </c>
      <c r="H917" s="7">
        <f t="shared" si="1"/>
        <v>445</v>
      </c>
    </row>
    <row r="918" ht="22.5" customHeight="1">
      <c r="B918" s="7" t="str">
        <f>IFERROR(__xludf.DUMMYFUNCTION("""COMPUTED_VALUE"""),"K/35/061124/1")</f>
        <v>K/35/061124/1</v>
      </c>
      <c r="C918" s="7" t="str">
        <f>IFERROR(__xludf.DUMMYFUNCTION("""COMPUTED_VALUE"""),"M. 1440/ Pesawahan")</f>
        <v>M. 1440/ Pesawahan</v>
      </c>
      <c r="D918" s="7" t="str">
        <f>IFERROR(__xludf.DUMMYFUNCTION("""COMPUTED_VALUE"""),"Berry")</f>
        <v>Berry</v>
      </c>
      <c r="E918" s="7" t="str">
        <f>IFERROR(__xludf.DUMMYFUNCTION("""COMPUTED_VALUE"""),"DISERAHKAN")</f>
        <v>DISERAHKAN</v>
      </c>
      <c r="F918" s="9">
        <f>IFERROR(__xludf.DUMMYFUNCTION("""COMPUTED_VALUE"""),45604.62545710648)</f>
        <v>45604.62546</v>
      </c>
      <c r="G918" s="7" t="str">
        <f>IFERROR(__xludf.DUMMYFUNCTION("""COMPUTED_VALUE"""),"BN Jual Beli")</f>
        <v>BN Jual Beli</v>
      </c>
      <c r="H918" s="7">
        <f t="shared" si="1"/>
        <v>446</v>
      </c>
    </row>
    <row r="919" ht="22.5" customHeight="1">
      <c r="B919" s="7" t="str">
        <f>IFERROR(__xludf.DUMMYFUNCTION("""COMPUTED_VALUE"""),"L/37/061124/1")</f>
        <v>L/37/061124/1</v>
      </c>
      <c r="C919" s="7" t="str">
        <f>IFERROR(__xludf.DUMMYFUNCTION("""COMPUTED_VALUE"""),"HGB 811/KETEGUHAN")</f>
        <v>HGB 811/KETEGUHAN</v>
      </c>
      <c r="D919" s="7" t="str">
        <f>IFERROR(__xludf.DUMMYFUNCTION("""COMPUTED_VALUE"""),"Berry")</f>
        <v>Berry</v>
      </c>
      <c r="E919" s="7" t="str">
        <f>IFERROR(__xludf.DUMMYFUNCTION("""COMPUTED_VALUE"""),"DISERAHKAN")</f>
        <v>DISERAHKAN</v>
      </c>
      <c r="F919" s="9">
        <f>IFERROR(__xludf.DUMMYFUNCTION("""COMPUTED_VALUE"""),45604.6256504051)</f>
        <v>45604.62565</v>
      </c>
      <c r="G919" s="7" t="str">
        <f>IFERROR(__xludf.DUMMYFUNCTION("""COMPUTED_VALUE"""),"PH")</f>
        <v>PH</v>
      </c>
      <c r="H919" s="7">
        <f t="shared" si="1"/>
        <v>447</v>
      </c>
    </row>
    <row r="920" ht="22.5" customHeight="1">
      <c r="B920" s="7" t="str">
        <f>IFERROR(__xludf.DUMMYFUNCTION("""COMPUTED_VALUE"""),"K/39/061124/1")</f>
        <v>K/39/061124/1</v>
      </c>
      <c r="C920" s="7" t="str">
        <f>IFERROR(__xludf.DUMMYFUNCTION("""COMPUTED_VALUE"""),"PBT. 148/2024")</f>
        <v>PBT. 148/2024</v>
      </c>
      <c r="D920" s="7"/>
      <c r="E920" s="7"/>
      <c r="F920" s="9" t="str">
        <f>IFERROR(__xludf.DUMMYFUNCTION("""COMPUTED_VALUE"""),"")</f>
        <v/>
      </c>
      <c r="G920" s="7" t="str">
        <f>IFERROR(__xludf.DUMMYFUNCTION("""COMPUTED_VALUE"""),"PTPGT (Pertama Kali)")</f>
        <v>PTPGT (Pertama Kali)</v>
      </c>
      <c r="H920" s="7">
        <f t="shared" si="1"/>
        <v>447</v>
      </c>
    </row>
    <row r="921" ht="22.5" customHeight="1">
      <c r="B921" s="7" t="str">
        <f>IFERROR(__xludf.DUMMYFUNCTION("""COMPUTED_VALUE"""),"K/38/061124/1")</f>
        <v>K/38/061124/1</v>
      </c>
      <c r="C921" s="7" t="str">
        <f>IFERROR(__xludf.DUMMYFUNCTION("""COMPUTED_VALUE"""),"NIBEL M. 3311/LABUHAN RATU RAYA")</f>
        <v>NIBEL M. 3311/LABUHAN RATU RAYA</v>
      </c>
      <c r="D921" s="7"/>
      <c r="E921" s="7"/>
      <c r="F921" s="9" t="str">
        <f>IFERROR(__xludf.DUMMYFUNCTION("""COMPUTED_VALUE"""),"")</f>
        <v/>
      </c>
      <c r="G921" s="7" t="str">
        <f>IFERROR(__xludf.DUMMYFUNCTION("""COMPUTED_VALUE"""),"PTPGT")</f>
        <v>PTPGT</v>
      </c>
      <c r="H921" s="7">
        <f t="shared" si="1"/>
        <v>447</v>
      </c>
    </row>
    <row r="922" ht="22.5" customHeight="1">
      <c r="B922" s="7" t="str">
        <f>IFERROR(__xludf.DUMMYFUNCTION("""COMPUTED_VALUE"""),"L/41/061124/1")</f>
        <v>L/41/061124/1</v>
      </c>
      <c r="C922" s="7" t="str">
        <f>IFERROR(__xludf.DUMMYFUNCTION("""COMPUTED_VALUE"""),"HM 13950/SUKABUMI")</f>
        <v>HM 13950/SUKABUMI</v>
      </c>
      <c r="D922" s="7"/>
      <c r="E922" s="7"/>
      <c r="F922" s="9" t="str">
        <f>IFERROR(__xludf.DUMMYFUNCTION("""COMPUTED_VALUE"""),"")</f>
        <v/>
      </c>
      <c r="G922" s="7" t="str">
        <f>IFERROR(__xludf.DUMMYFUNCTION("""COMPUTED_VALUE"""),"PTPGT")</f>
        <v>PTPGT</v>
      </c>
      <c r="H922" s="7">
        <f t="shared" si="1"/>
        <v>447</v>
      </c>
    </row>
    <row r="923" ht="22.5" customHeight="1">
      <c r="B923" s="7" t="str">
        <f>IFERROR(__xludf.DUMMYFUNCTION("""COMPUTED_VALUE"""),"K/40/061124/1")</f>
        <v>K/40/061124/1</v>
      </c>
      <c r="C923" s="7" t="str">
        <f>IFERROR(__xludf.DUMMYFUNCTION("""COMPUTED_VALUE"""),"M.541/SAWAH LAMA")</f>
        <v>M.541/SAWAH LAMA</v>
      </c>
      <c r="D923" s="7"/>
      <c r="E923" s="7"/>
      <c r="F923" s="9" t="str">
        <f>IFERROR(__xludf.DUMMYFUNCTION("""COMPUTED_VALUE"""),"")</f>
        <v/>
      </c>
      <c r="G923" s="7" t="str">
        <f>IFERROR(__xludf.DUMMYFUNCTION("""COMPUTED_VALUE"""),"PENGECEKAN")</f>
        <v>PENGECEKAN</v>
      </c>
      <c r="H923" s="7">
        <f t="shared" si="1"/>
        <v>447</v>
      </c>
    </row>
    <row r="924" ht="22.5" customHeight="1">
      <c r="B924" s="7" t="str">
        <f>IFERROR(__xludf.DUMMYFUNCTION("""COMPUTED_VALUE"""),"K/42/061124/1")</f>
        <v>K/42/061124/1</v>
      </c>
      <c r="C924" s="7" t="str">
        <f>IFERROR(__xludf.DUMMYFUNCTION("""COMPUTED_VALUE"""),"M. 2206/ Perumnas Way Halim")</f>
        <v>M. 2206/ Perumnas Way Halim</v>
      </c>
      <c r="D924" s="7" t="str">
        <f>IFERROR(__xludf.DUMMYFUNCTION("""COMPUTED_VALUE"""),"Berry")</f>
        <v>Berry</v>
      </c>
      <c r="E924" s="7" t="str">
        <f>IFERROR(__xludf.DUMMYFUNCTION("""COMPUTED_VALUE"""),"DISERAHKAN")</f>
        <v>DISERAHKAN</v>
      </c>
      <c r="F924" s="9">
        <f>IFERROR(__xludf.DUMMYFUNCTION("""COMPUTED_VALUE"""),45604.62580530092)</f>
        <v>45604.62581</v>
      </c>
      <c r="G924" s="7" t="str">
        <f>IFERROR(__xludf.DUMMYFUNCTION("""COMPUTED_VALUE"""),"BN JUAL BELI")</f>
        <v>BN JUAL BELI</v>
      </c>
      <c r="H924" s="7">
        <f t="shared" si="1"/>
        <v>448</v>
      </c>
    </row>
    <row r="925" ht="22.5" customHeight="1">
      <c r="B925" s="7" t="str">
        <f>IFERROR(__xludf.DUMMYFUNCTION("""COMPUTED_VALUE"""),"K/43/061124/1")</f>
        <v>K/43/061124/1</v>
      </c>
      <c r="C925" s="7" t="str">
        <f>IFERROR(__xludf.DUMMYFUNCTION("""COMPUTED_VALUE"""),"M. 11916/ tanjung baru")</f>
        <v>M. 11916/ tanjung baru</v>
      </c>
      <c r="D925" s="7"/>
      <c r="E925" s="7"/>
      <c r="F925" s="9" t="str">
        <f>IFERROR(__xludf.DUMMYFUNCTION("""COMPUTED_VALUE"""),"")</f>
        <v/>
      </c>
      <c r="G925" s="7" t="str">
        <f>IFERROR(__xludf.DUMMYFUNCTION("""COMPUTED_VALUE"""),"SKPT LELANG")</f>
        <v>SKPT LELANG</v>
      </c>
      <c r="H925" s="7">
        <f t="shared" si="1"/>
        <v>448</v>
      </c>
    </row>
    <row r="926" ht="22.5" customHeight="1">
      <c r="B926" s="7" t="str">
        <f>IFERROR(__xludf.DUMMYFUNCTION("""COMPUTED_VALUE"""),"K/40/311024/2")</f>
        <v>K/40/311024/2</v>
      </c>
      <c r="C926" s="7" t="str">
        <f>IFERROR(__xludf.DUMMYFUNCTION("""COMPUTED_VALUE"""),"M.1183/PERUMNAS WAY KANDIS")</f>
        <v>M.1183/PERUMNAS WAY KANDIS</v>
      </c>
      <c r="D926" s="7" t="str">
        <f>IFERROR(__xludf.DUMMYFUNCTION("""COMPUTED_VALUE"""),"Berry")</f>
        <v>Berry</v>
      </c>
      <c r="E926" s="7" t="str">
        <f>IFERROR(__xludf.DUMMYFUNCTION("""COMPUTED_VALUE"""),"PROSES")</f>
        <v>PROSES</v>
      </c>
      <c r="F926" s="9" t="str">
        <f>IFERROR(__xludf.DUMMYFUNCTION("""COMPUTED_VALUE"""),"")</f>
        <v/>
      </c>
      <c r="G926" s="7" t="str">
        <f>IFERROR(__xludf.DUMMYFUNCTION("""COMPUTED_VALUE"""),"BN JUAL BELI")</f>
        <v>BN JUAL BELI</v>
      </c>
      <c r="H926" s="7">
        <f t="shared" si="1"/>
        <v>448</v>
      </c>
    </row>
    <row r="927" ht="22.5" customHeight="1">
      <c r="B927" s="7" t="str">
        <f>IFERROR(__xludf.DUMMYFUNCTION("""COMPUTED_VALUE"""),"K/44/061124/2")</f>
        <v>K/44/061124/2</v>
      </c>
      <c r="C927" s="7" t="str">
        <f>IFERROR(__xludf.DUMMYFUNCTION("""COMPUTED_VALUE"""),"M. 1126/ Jagabaya III")</f>
        <v>M. 1126/ Jagabaya III</v>
      </c>
      <c r="D927" s="7"/>
      <c r="E927" s="7"/>
      <c r="F927" s="9" t="str">
        <f>IFERROR(__xludf.DUMMYFUNCTION("""COMPUTED_VALUE"""),"")</f>
        <v/>
      </c>
      <c r="G927" s="7" t="str">
        <f>IFERROR(__xludf.DUMMYFUNCTION("""COMPUTED_VALUE"""),"SKPT LELANG")</f>
        <v>SKPT LELANG</v>
      </c>
      <c r="H927" s="7">
        <f t="shared" si="1"/>
        <v>448</v>
      </c>
    </row>
    <row r="928" ht="22.5" customHeight="1">
      <c r="B928" s="7" t="str">
        <f>IFERROR(__xludf.DUMMYFUNCTION("""COMPUTED_VALUE"""),"K/45/061124/3")</f>
        <v>K/45/061124/3</v>
      </c>
      <c r="C928" s="7" t="str">
        <f>IFERROR(__xludf.DUMMYFUNCTION("""COMPUTED_VALUE"""),"M. 11414/ Jagabaya II")</f>
        <v>M. 11414/ Jagabaya II</v>
      </c>
      <c r="D928" s="7"/>
      <c r="E928" s="7"/>
      <c r="F928" s="9" t="str">
        <f>IFERROR(__xludf.DUMMYFUNCTION("""COMPUTED_VALUE"""),"")</f>
        <v/>
      </c>
      <c r="G928" s="7" t="str">
        <f>IFERROR(__xludf.DUMMYFUNCTION("""COMPUTED_VALUE"""),"SKPT LELANG")</f>
        <v>SKPT LELANG</v>
      </c>
      <c r="H928" s="7">
        <f t="shared" si="1"/>
        <v>448</v>
      </c>
    </row>
    <row r="929" ht="22.5" customHeight="1">
      <c r="B929" s="7" t="str">
        <f>IFERROR(__xludf.DUMMYFUNCTION("""COMPUTED_VALUE"""),"L/46/061124/1")</f>
        <v>L/46/061124/1</v>
      </c>
      <c r="C929" s="7" t="str">
        <f>IFERROR(__xludf.DUMMYFUNCTION("""COMPUTED_VALUE"""),"HM 1570/JAGABAYA III")</f>
        <v>HM 1570/JAGABAYA III</v>
      </c>
      <c r="D929" s="7"/>
      <c r="E929" s="7"/>
      <c r="F929" s="9" t="str">
        <f>IFERROR(__xludf.DUMMYFUNCTION("""COMPUTED_VALUE"""),"")</f>
        <v/>
      </c>
      <c r="G929" s="7" t="str">
        <f>IFERROR(__xludf.DUMMYFUNCTION("""COMPUTED_VALUE"""),"PLOT SERTIPIKAT HILANG")</f>
        <v>PLOT SERTIPIKAT HILANG</v>
      </c>
      <c r="H929" s="7">
        <f t="shared" si="1"/>
        <v>448</v>
      </c>
    </row>
    <row r="930" ht="22.5" customHeight="1">
      <c r="B930" s="7" t="str">
        <f>IFERROR(__xludf.DUMMYFUNCTION("""COMPUTED_VALUE"""),"K/47/061124/1")</f>
        <v>K/47/061124/1</v>
      </c>
      <c r="C930" s="7" t="str">
        <f>IFERROR(__xludf.DUMMYFUNCTION("""COMPUTED_VALUE"""),"M.16239/SUKABUMI")</f>
        <v>M.16239/SUKABUMI</v>
      </c>
      <c r="D930" s="7" t="str">
        <f>IFERROR(__xludf.DUMMYFUNCTION("""COMPUTED_VALUE"""),"Berry")</f>
        <v>Berry</v>
      </c>
      <c r="E930" s="7" t="str">
        <f>IFERROR(__xludf.DUMMYFUNCTION("""COMPUTED_VALUE"""),"PROSES")</f>
        <v>PROSES</v>
      </c>
      <c r="F930" s="9" t="str">
        <f>IFERROR(__xludf.DUMMYFUNCTION("""COMPUTED_VALUE"""),"")</f>
        <v/>
      </c>
      <c r="G930" s="7" t="str">
        <f>IFERROR(__xludf.DUMMYFUNCTION("""COMPUTED_VALUE"""),"BN JUAL BELI")</f>
        <v>BN JUAL BELI</v>
      </c>
      <c r="H930" s="7">
        <f t="shared" si="1"/>
        <v>448</v>
      </c>
    </row>
    <row r="931" ht="22.5" customHeight="1">
      <c r="B931" s="7" t="str">
        <f>IFERROR(__xludf.DUMMYFUNCTION("""COMPUTED_VALUE"""),"K/50/061124/1")</f>
        <v>K/50/061124/1</v>
      </c>
      <c r="C931" s="7" t="str">
        <f>IFERROR(__xludf.DUMMYFUNCTION("""COMPUTED_VALUE"""),"M. 2096/ Kangkung")</f>
        <v>M. 2096/ Kangkung</v>
      </c>
      <c r="D931" s="7" t="str">
        <f>IFERROR(__xludf.DUMMYFUNCTION("""COMPUTED_VALUE"""),"Berry")</f>
        <v>Berry</v>
      </c>
      <c r="E931" s="7" t="str">
        <f>IFERROR(__xludf.DUMMYFUNCTION("""COMPUTED_VALUE"""),"DISERAHKAN")</f>
        <v>DISERAHKAN</v>
      </c>
      <c r="F931" s="9">
        <f>IFERROR(__xludf.DUMMYFUNCTION("""COMPUTED_VALUE"""),45604.62630924769)</f>
        <v>45604.62631</v>
      </c>
      <c r="G931" s="7" t="str">
        <f>IFERROR(__xludf.DUMMYFUNCTION("""COMPUTED_VALUE"""),"ROYA")</f>
        <v>ROYA</v>
      </c>
      <c r="H931" s="7">
        <f t="shared" si="1"/>
        <v>449</v>
      </c>
    </row>
    <row r="932" ht="22.5" customHeight="1">
      <c r="B932" s="7" t="str">
        <f>IFERROR(__xludf.DUMMYFUNCTION("""COMPUTED_VALUE"""),"K/48/061124/2")</f>
        <v>K/48/061124/2</v>
      </c>
      <c r="C932" s="7" t="str">
        <f>IFERROR(__xludf.DUMMYFUNCTION("""COMPUTED_VALUE"""),"M.3451/KOTABARU-SEKARANG;B.211/KOTA BARU-DAHULU")</f>
        <v>M.3451/KOTABARU-SEKARANG;B.211/KOTA BARU-DAHULU</v>
      </c>
      <c r="D932" s="7" t="str">
        <f>IFERROR(__xludf.DUMMYFUNCTION("""COMPUTED_VALUE"""),"Berry")</f>
        <v>Berry</v>
      </c>
      <c r="E932" s="7" t="str">
        <f>IFERROR(__xludf.DUMMYFUNCTION("""COMPUTED_VALUE"""),"DISERAHKAN")</f>
        <v>DISERAHKAN</v>
      </c>
      <c r="F932" s="9">
        <f>IFERROR(__xludf.DUMMYFUNCTION("""COMPUTED_VALUE"""),45604.62639210648)</f>
        <v>45604.62639</v>
      </c>
      <c r="G932" s="7" t="str">
        <f>IFERROR(__xludf.DUMMYFUNCTION("""COMPUTED_VALUE"""),"BN JUAL BELI")</f>
        <v>BN JUAL BELI</v>
      </c>
      <c r="H932" s="7">
        <f t="shared" si="1"/>
        <v>450</v>
      </c>
    </row>
    <row r="933" ht="22.5" customHeight="1">
      <c r="B933" s="7" t="str">
        <f>IFERROR(__xludf.DUMMYFUNCTION("""COMPUTED_VALUE"""),"K/51/061124/1")</f>
        <v>K/51/061124/1</v>
      </c>
      <c r="C933" s="7" t="str">
        <f>IFERROR(__xludf.DUMMYFUNCTION("""COMPUTED_VALUE"""),"M.2019/LABUHAN DALAM")</f>
        <v>M.2019/LABUHAN DALAM</v>
      </c>
      <c r="D933" s="7" t="str">
        <f>IFERROR(__xludf.DUMMYFUNCTION("""COMPUTED_VALUE"""),"David")</f>
        <v>David</v>
      </c>
      <c r="E933" s="7" t="str">
        <f>IFERROR(__xludf.DUMMYFUNCTION("""COMPUTED_VALUE"""),"DISERAHKAN")</f>
        <v>DISERAHKAN</v>
      </c>
      <c r="F933" s="9">
        <f>IFERROR(__xludf.DUMMYFUNCTION("""COMPUTED_VALUE"""),45604.628621076394)</f>
        <v>45604.62862</v>
      </c>
      <c r="G933" s="7" t="str">
        <f>IFERROR(__xludf.DUMMYFUNCTION("""COMPUTED_VALUE"""),"BN JUAL BELI")</f>
        <v>BN JUAL BELI</v>
      </c>
      <c r="H933" s="7">
        <f t="shared" si="1"/>
        <v>451</v>
      </c>
    </row>
    <row r="934" ht="22.5" customHeight="1">
      <c r="B934" s="7" t="str">
        <f>IFERROR(__xludf.DUMMYFUNCTION("""COMPUTED_VALUE"""),"K/53/061124/1")</f>
        <v>K/53/061124/1</v>
      </c>
      <c r="C934" s="7" t="str">
        <f>IFERROR(__xludf.DUMMYFUNCTION("""COMPUTED_VALUE"""),"M.11612/SEGALA MIDER")</f>
        <v>M.11612/SEGALA MIDER</v>
      </c>
      <c r="D934" s="7" t="str">
        <f>IFERROR(__xludf.DUMMYFUNCTION("""COMPUTED_VALUE"""),"David")</f>
        <v>David</v>
      </c>
      <c r="E934" s="7" t="str">
        <f>IFERROR(__xludf.DUMMYFUNCTION("""COMPUTED_VALUE"""),"DISERAHKAN")</f>
        <v>DISERAHKAN</v>
      </c>
      <c r="F934" s="9">
        <f>IFERROR(__xludf.DUMMYFUNCTION("""COMPUTED_VALUE"""),45604.62922461805)</f>
        <v>45604.62922</v>
      </c>
      <c r="G934" s="7" t="str">
        <f>IFERROR(__xludf.DUMMYFUNCTION("""COMPUTED_VALUE"""),"ROYA")</f>
        <v>ROYA</v>
      </c>
      <c r="H934" s="7">
        <f t="shared" si="1"/>
        <v>452</v>
      </c>
    </row>
    <row r="935" ht="22.5" customHeight="1">
      <c r="B935" s="7" t="str">
        <f>IFERROR(__xludf.DUMMYFUNCTION("""COMPUTED_VALUE"""),"K/52/061124/1")</f>
        <v>K/52/061124/1</v>
      </c>
      <c r="C935" s="7" t="str">
        <f>IFERROR(__xludf.DUMMYFUNCTION("""COMPUTED_VALUE"""),"Nibel. B. 2254/ Kedamaian")</f>
        <v>Nibel. B. 2254/ Kedamaian</v>
      </c>
      <c r="D935" s="7"/>
      <c r="E935" s="7"/>
      <c r="F935" s="9" t="str">
        <f>IFERROR(__xludf.DUMMYFUNCTION("""COMPUTED_VALUE"""),"")</f>
        <v/>
      </c>
      <c r="G935" s="7" t="str">
        <f>IFERROR(__xludf.DUMMYFUNCTION("""COMPUTED_VALUE"""),"SKPT Informasi")</f>
        <v>SKPT Informasi</v>
      </c>
      <c r="H935" s="7">
        <f t="shared" si="1"/>
        <v>452</v>
      </c>
    </row>
    <row r="936" ht="22.5" customHeight="1">
      <c r="B936" s="7" t="str">
        <f>IFERROR(__xludf.DUMMYFUNCTION("""COMPUTED_VALUE"""),"K/54/061124/1")</f>
        <v>K/54/061124/1</v>
      </c>
      <c r="C936" s="7" t="str">
        <f>IFERROR(__xludf.DUMMYFUNCTION("""COMPUTED_VALUE"""),"B. 121/ Kupang Kota")</f>
        <v>B. 121/ Kupang Kota</v>
      </c>
      <c r="D936" s="7"/>
      <c r="E936" s="7"/>
      <c r="F936" s="9" t="str">
        <f>IFERROR(__xludf.DUMMYFUNCTION("""COMPUTED_VALUE"""),"")</f>
        <v/>
      </c>
      <c r="G936" s="7" t="str">
        <f>IFERROR(__xludf.DUMMYFUNCTION("""COMPUTED_VALUE"""),"PTPGT (Perpanjangan)")</f>
        <v>PTPGT (Perpanjangan)</v>
      </c>
      <c r="H936" s="7">
        <f t="shared" si="1"/>
        <v>452</v>
      </c>
    </row>
    <row r="937" ht="22.5" customHeight="1">
      <c r="B937" s="7" t="str">
        <f>IFERROR(__xludf.DUMMYFUNCTION("""COMPUTED_VALUE"""),"K/55/061124/2")</f>
        <v>K/55/061124/2</v>
      </c>
      <c r="C937" s="7" t="str">
        <f>IFERROR(__xludf.DUMMYFUNCTION("""COMPUTED_VALUE"""),"B. 120/ Kupang Kota	")</f>
        <v>B. 120/ Kupang Kota	</v>
      </c>
      <c r="D937" s="7"/>
      <c r="E937" s="7"/>
      <c r="F937" s="9" t="str">
        <f>IFERROR(__xludf.DUMMYFUNCTION("""COMPUTED_VALUE"""),"")</f>
        <v/>
      </c>
      <c r="G937" s="7" t="str">
        <f>IFERROR(__xludf.DUMMYFUNCTION("""COMPUTED_VALUE"""),"PTPGT (Perpanjangan)")</f>
        <v>PTPGT (Perpanjangan)</v>
      </c>
      <c r="H937" s="7">
        <f t="shared" si="1"/>
        <v>452</v>
      </c>
    </row>
    <row r="938" ht="22.5" customHeight="1">
      <c r="B938" s="7" t="str">
        <f>IFERROR(__xludf.DUMMYFUNCTION("""COMPUTED_VALUE"""),"K/49/061124/3")</f>
        <v>K/49/061124/3</v>
      </c>
      <c r="C938" s="7" t="str">
        <f>IFERROR(__xludf.DUMMYFUNCTION("""COMPUTED_VALUE"""),"B.1777/JAGABAYA II-SEKARANG;B.354/JAGABAYA III-DAHULU")</f>
        <v>B.1777/JAGABAYA II-SEKARANG;B.354/JAGABAYA III-DAHULU</v>
      </c>
      <c r="D938" s="7" t="str">
        <f>IFERROR(__xludf.DUMMYFUNCTION("""COMPUTED_VALUE"""),"David")</f>
        <v>David</v>
      </c>
      <c r="E938" s="7" t="str">
        <f>IFERROR(__xludf.DUMMYFUNCTION("""COMPUTED_VALUE"""),"DISERAHKAN BT")</f>
        <v>DISERAHKAN BT</v>
      </c>
      <c r="F938" s="9">
        <f>IFERROR(__xludf.DUMMYFUNCTION("""COMPUTED_VALUE"""),45604.62949393519)</f>
        <v>45604.62949</v>
      </c>
      <c r="G938" s="7" t="str">
        <f>IFERROR(__xludf.DUMMYFUNCTION("""COMPUTED_VALUE"""),"PH")</f>
        <v>PH</v>
      </c>
      <c r="H938" s="7">
        <f t="shared" si="1"/>
        <v>452</v>
      </c>
    </row>
    <row r="939" ht="22.5" customHeight="1">
      <c r="B939" s="7" t="str">
        <f>IFERROR(__xludf.DUMMYFUNCTION("""COMPUTED_VALUE"""),"K/1/071124/1")</f>
        <v>K/1/071124/1</v>
      </c>
      <c r="C939" s="7" t="str">
        <f>IFERROR(__xludf.DUMMYFUNCTION("""COMPUTED_VALUE"""),"M. 5102/ Rajabasa Jaya")</f>
        <v>M. 5102/ Rajabasa Jaya</v>
      </c>
      <c r="D939" s="7" t="str">
        <f>IFERROR(__xludf.DUMMYFUNCTION("""COMPUTED_VALUE"""),"David")</f>
        <v>David</v>
      </c>
      <c r="E939" s="7" t="str">
        <f>IFERROR(__xludf.DUMMYFUNCTION("""COMPUTED_VALUE"""),"DISERAHKAN")</f>
        <v>DISERAHKAN</v>
      </c>
      <c r="F939" s="9">
        <f>IFERROR(__xludf.DUMMYFUNCTION("""COMPUTED_VALUE"""),45609.448919594906)</f>
        <v>45609.44892</v>
      </c>
      <c r="G939" s="7" t="str">
        <f>IFERROR(__xludf.DUMMYFUNCTION("""COMPUTED_VALUE"""),"BN Jul Beli")</f>
        <v>BN Jul Beli</v>
      </c>
      <c r="H939" s="7">
        <f t="shared" si="1"/>
        <v>453</v>
      </c>
    </row>
    <row r="940" ht="22.5" customHeight="1">
      <c r="B940" s="7" t="str">
        <f>IFERROR(__xludf.DUMMYFUNCTION("""COMPUTED_VALUE"""),"K/2/071124/1")</f>
        <v>K/2/071124/1</v>
      </c>
      <c r="C940" s="7" t="str">
        <f>IFERROR(__xludf.DUMMYFUNCTION("""COMPUTED_VALUE"""),"M. 4107/ Tanjung Seneng")</f>
        <v>M. 4107/ Tanjung Seneng</v>
      </c>
      <c r="D940" s="7" t="str">
        <f>IFERROR(__xludf.DUMMYFUNCTION("""COMPUTED_VALUE"""),"David")</f>
        <v>David</v>
      </c>
      <c r="E940" s="7" t="str">
        <f>IFERROR(__xludf.DUMMYFUNCTION("""COMPUTED_VALUE"""),"DISERAHKAN")</f>
        <v>DISERAHKAN</v>
      </c>
      <c r="F940" s="9">
        <f>IFERROR(__xludf.DUMMYFUNCTION("""COMPUTED_VALUE"""),45604.63036148148)</f>
        <v>45604.63036</v>
      </c>
      <c r="G940" s="7" t="str">
        <f>IFERROR(__xludf.DUMMYFUNCTION("""COMPUTED_VALUE"""),"BN WARIS")</f>
        <v>BN WARIS</v>
      </c>
      <c r="H940" s="7">
        <f t="shared" si="1"/>
        <v>454</v>
      </c>
    </row>
    <row r="941" ht="22.5" customHeight="1">
      <c r="B941" s="7" t="str">
        <f>IFERROR(__xludf.DUMMYFUNCTION("""COMPUTED_VALUE"""),"K/3/071124/1")</f>
        <v>K/3/071124/1</v>
      </c>
      <c r="C941" s="7" t="str">
        <f>IFERROR(__xludf.DUMMYFUNCTION("""COMPUTED_VALUE"""),"M.1615/SUKABUMI INDAH")</f>
        <v>M.1615/SUKABUMI INDAH</v>
      </c>
      <c r="D941" s="7" t="str">
        <f>IFERROR(__xludf.DUMMYFUNCTION("""COMPUTED_VALUE"""),"David")</f>
        <v>David</v>
      </c>
      <c r="E941" s="7" t="str">
        <f>IFERROR(__xludf.DUMMYFUNCTION("""COMPUTED_VALUE"""),"DISERAHKAN")</f>
        <v>DISERAHKAN</v>
      </c>
      <c r="F941" s="9">
        <f>IFERROR(__xludf.DUMMYFUNCTION("""COMPUTED_VALUE"""),45635.58956100694)</f>
        <v>45635.58956</v>
      </c>
      <c r="G941" s="7" t="str">
        <f>IFERROR(__xludf.DUMMYFUNCTION("""COMPUTED_VALUE"""),"BN AKTA JUAL BELI")</f>
        <v>BN AKTA JUAL BELI</v>
      </c>
      <c r="H941" s="7">
        <f t="shared" si="1"/>
        <v>455</v>
      </c>
    </row>
    <row r="942" ht="22.5" customHeight="1">
      <c r="B942" s="7" t="str">
        <f>IFERROR(__xludf.DUMMYFUNCTION("""COMPUTED_VALUE"""),"K/4/071124/1")</f>
        <v>K/4/071124/1</v>
      </c>
      <c r="C942" s="7" t="str">
        <f>IFERROR(__xludf.DUMMYFUNCTION("""COMPUTED_VALUE"""),"M.1758/KUPANG KOTA")</f>
        <v>M.1758/KUPANG KOTA</v>
      </c>
      <c r="D942" s="7"/>
      <c r="E942" s="7"/>
      <c r="F942" s="9" t="str">
        <f>IFERROR(__xludf.DUMMYFUNCTION("""COMPUTED_VALUE"""),"")</f>
        <v/>
      </c>
      <c r="G942" s="7" t="str">
        <f>IFERROR(__xludf.DUMMYFUNCTION("""COMPUTED_VALUE"""),"PLOTING")</f>
        <v>PLOTING</v>
      </c>
      <c r="H942" s="7">
        <f t="shared" si="1"/>
        <v>455</v>
      </c>
    </row>
    <row r="943" ht="22.5" customHeight="1">
      <c r="B943" s="7" t="str">
        <f>IFERROR(__xludf.DUMMYFUNCTION("""COMPUTED_VALUE"""),"K/5/071124/1")</f>
        <v>K/5/071124/1</v>
      </c>
      <c r="C943" s="7" t="str">
        <f>IFERROR(__xludf.DUMMYFUNCTION("""COMPUTED_VALUE"""),"M. 71/ Sawah Lama")</f>
        <v>M. 71/ Sawah Lama</v>
      </c>
      <c r="D943" s="7"/>
      <c r="E943" s="7"/>
      <c r="F943" s="9" t="str">
        <f>IFERROR(__xludf.DUMMYFUNCTION("""COMPUTED_VALUE"""),"")</f>
        <v/>
      </c>
      <c r="G943" s="7" t="str">
        <f>IFERROR(__xludf.DUMMYFUNCTION("""COMPUTED_VALUE"""),"Gandes")</f>
        <v>Gandes</v>
      </c>
      <c r="H943" s="7">
        <f t="shared" si="1"/>
        <v>455</v>
      </c>
    </row>
    <row r="944" ht="22.5" customHeight="1">
      <c r="B944" s="7" t="str">
        <f>IFERROR(__xludf.DUMMYFUNCTION("""COMPUTED_VALUE"""),"K/6/071124/1")</f>
        <v>K/6/071124/1</v>
      </c>
      <c r="C944" s="7" t="str">
        <f>IFERROR(__xludf.DUMMYFUNCTION("""COMPUTED_VALUE"""),"B.798/SUMUR PUTRI")</f>
        <v>B.798/SUMUR PUTRI</v>
      </c>
      <c r="D944" s="7" t="str">
        <f>IFERROR(__xludf.DUMMYFUNCTION("""COMPUTED_VALUE"""),"David")</f>
        <v>David</v>
      </c>
      <c r="E944" s="7" t="str">
        <f>IFERROR(__xludf.DUMMYFUNCTION("""COMPUTED_VALUE"""),"DISERAHKAN")</f>
        <v>DISERAHKAN</v>
      </c>
      <c r="F944" s="9">
        <f>IFERROR(__xludf.DUMMYFUNCTION("""COMPUTED_VALUE"""),45604.6315431713)</f>
        <v>45604.63154</v>
      </c>
      <c r="G944" s="7" t="str">
        <f>IFERROR(__xludf.DUMMYFUNCTION("""COMPUTED_VALUE"""),"BN JUAL BELI")</f>
        <v>BN JUAL BELI</v>
      </c>
      <c r="H944" s="7">
        <f t="shared" si="1"/>
        <v>456</v>
      </c>
    </row>
    <row r="945" ht="22.5" customHeight="1">
      <c r="B945" s="7" t="str">
        <f>IFERROR(__xludf.DUMMYFUNCTION("""COMPUTED_VALUE"""),"K/7/071124/1")</f>
        <v>K/7/071124/1</v>
      </c>
      <c r="C945" s="7" t="str">
        <f>IFERROR(__xludf.DUMMYFUNCTION("""COMPUTED_VALUE"""),"M.1636/SUMBEREJO/KEMILING")</f>
        <v>M.1636/SUMBEREJO/KEMILING</v>
      </c>
      <c r="D945" s="7"/>
      <c r="E945" s="7"/>
      <c r="F945" s="9" t="str">
        <f>IFERROR(__xludf.DUMMYFUNCTION("""COMPUTED_VALUE"""),"")</f>
        <v/>
      </c>
      <c r="G945" s="7" t="str">
        <f>IFERROR(__xludf.DUMMYFUNCTION("""COMPUTED_VALUE"""),"GANDES")</f>
        <v>GANDES</v>
      </c>
      <c r="H945" s="7">
        <f t="shared" si="1"/>
        <v>456</v>
      </c>
    </row>
    <row r="946" ht="22.5" customHeight="1">
      <c r="B946" s="7" t="str">
        <f>IFERROR(__xludf.DUMMYFUNCTION("""COMPUTED_VALUE"""),"K/9/071124/2")</f>
        <v>K/9/071124/2</v>
      </c>
      <c r="C946" s="7" t="str">
        <f>IFERROR(__xludf.DUMMYFUNCTION("""COMPUTED_VALUE"""),"M.2428/ Kedaung")</f>
        <v>M.2428/ Kedaung</v>
      </c>
      <c r="D946" s="7" t="str">
        <f>IFERROR(__xludf.DUMMYFUNCTION("""COMPUTED_VALUE"""),"David")</f>
        <v>David</v>
      </c>
      <c r="E946" s="7" t="str">
        <f>IFERROR(__xludf.DUMMYFUNCTION("""COMPUTED_VALUE"""),"DISERAHKAN")</f>
        <v>DISERAHKAN</v>
      </c>
      <c r="F946" s="9">
        <f>IFERROR(__xludf.DUMMYFUNCTION("""COMPUTED_VALUE"""),45604.631978460646)</f>
        <v>45604.63198</v>
      </c>
      <c r="G946" s="7" t="str">
        <f>IFERROR(__xludf.DUMMYFUNCTION("""COMPUTED_VALUE"""),"BN Jual Beli")</f>
        <v>BN Jual Beli</v>
      </c>
      <c r="H946" s="7">
        <f t="shared" si="1"/>
        <v>457</v>
      </c>
    </row>
    <row r="947" ht="22.5" customHeight="1">
      <c r="B947" s="7" t="str">
        <f>IFERROR(__xludf.DUMMYFUNCTION("""COMPUTED_VALUE"""),"K/12/071124/1")</f>
        <v>K/12/071124/1</v>
      </c>
      <c r="C947" s="7" t="str">
        <f>IFERROR(__xludf.DUMMYFUNCTION("""COMPUTED_VALUE"""),"M.12905/RAJABASA")</f>
        <v>M.12905/RAJABASA</v>
      </c>
      <c r="D947" s="7"/>
      <c r="E947" s="7"/>
      <c r="F947" s="9" t="str">
        <f>IFERROR(__xludf.DUMMYFUNCTION("""COMPUTED_VALUE"""),"")</f>
        <v/>
      </c>
      <c r="G947" s="7" t="str">
        <f>IFERROR(__xludf.DUMMYFUNCTION("""COMPUTED_VALUE"""),"GANDES")</f>
        <v>GANDES</v>
      </c>
      <c r="H947" s="7">
        <f t="shared" si="1"/>
        <v>457</v>
      </c>
    </row>
    <row r="948" ht="22.5" customHeight="1">
      <c r="B948" s="7" t="str">
        <f>IFERROR(__xludf.DUMMYFUNCTION("""COMPUTED_VALUE"""),"K/8/071124/1")</f>
        <v>K/8/071124/1</v>
      </c>
      <c r="C948" s="7" t="str">
        <f>IFERROR(__xludf.DUMMYFUNCTION("""COMPUTED_VALUE"""),"Nibel. B. 2237/ Sukarame")</f>
        <v>Nibel. B. 2237/ Sukarame</v>
      </c>
      <c r="D948" s="7"/>
      <c r="E948" s="7"/>
      <c r="F948" s="9" t="str">
        <f>IFERROR(__xludf.DUMMYFUNCTION("""COMPUTED_VALUE"""),"")</f>
        <v/>
      </c>
      <c r="G948" s="7" t="str">
        <f>IFERROR(__xludf.DUMMYFUNCTION("""COMPUTED_VALUE"""),"BN Lelang")</f>
        <v>BN Lelang</v>
      </c>
      <c r="H948" s="7">
        <f t="shared" si="1"/>
        <v>457</v>
      </c>
    </row>
    <row r="949" ht="22.5" customHeight="1">
      <c r="B949" s="7" t="str">
        <f>IFERROR(__xludf.DUMMYFUNCTION("""COMPUTED_VALUE"""),"K/14/071124/1")</f>
        <v>K/14/071124/1</v>
      </c>
      <c r="C949" s="7" t="str">
        <f>IFERROR(__xludf.DUMMYFUNCTION("""COMPUTED_VALUE"""),"M. 2226/ Gunung Terang")</f>
        <v>M. 2226/ Gunung Terang</v>
      </c>
      <c r="D949" s="7"/>
      <c r="E949" s="7"/>
      <c r="F949" s="9" t="str">
        <f>IFERROR(__xludf.DUMMYFUNCTION("""COMPUTED_VALUE"""),"")</f>
        <v/>
      </c>
      <c r="G949" s="7" t="str">
        <f>IFERROR(__xludf.DUMMYFUNCTION("""COMPUTED_VALUE"""),"GANTI KECAMATAN")</f>
        <v>GANTI KECAMATAN</v>
      </c>
      <c r="H949" s="7">
        <f t="shared" si="1"/>
        <v>457</v>
      </c>
    </row>
    <row r="950" ht="22.5" customHeight="1">
      <c r="B950" s="7" t="str">
        <f>IFERROR(__xludf.DUMMYFUNCTION("""COMPUTED_VALUE"""),"K/10/071124/3")</f>
        <v>K/10/071124/3</v>
      </c>
      <c r="C950" s="7" t="str">
        <f>IFERROR(__xludf.DUMMYFUNCTION("""COMPUTED_VALUE"""),"M. 2430/ Kedaung")</f>
        <v>M. 2430/ Kedaung</v>
      </c>
      <c r="D950" s="7" t="str">
        <f>IFERROR(__xludf.DUMMYFUNCTION("""COMPUTED_VALUE"""),"David")</f>
        <v>David</v>
      </c>
      <c r="E950" s="7" t="str">
        <f>IFERROR(__xludf.DUMMYFUNCTION("""COMPUTED_VALUE"""),"DISERAHKAN")</f>
        <v>DISERAHKAN</v>
      </c>
      <c r="F950" s="9">
        <f>IFERROR(__xludf.DUMMYFUNCTION("""COMPUTED_VALUE"""),45604.63210599537)</f>
        <v>45604.63211</v>
      </c>
      <c r="G950" s="7" t="str">
        <f>IFERROR(__xludf.DUMMYFUNCTION("""COMPUTED_VALUE"""),"BN Jual Beli")</f>
        <v>BN Jual Beli</v>
      </c>
      <c r="H950" s="7">
        <f t="shared" si="1"/>
        <v>458</v>
      </c>
    </row>
    <row r="951" ht="22.5" customHeight="1">
      <c r="B951" s="7" t="str">
        <f>IFERROR(__xludf.DUMMYFUNCTION("""COMPUTED_VALUE"""),"K/11/071124/4")</f>
        <v>K/11/071124/4</v>
      </c>
      <c r="C951" s="7" t="str">
        <f>IFERROR(__xludf.DUMMYFUNCTION("""COMPUTED_VALUE"""),"M. 2426/ Kedaung")</f>
        <v>M. 2426/ Kedaung</v>
      </c>
      <c r="D951" s="7" t="str">
        <f>IFERROR(__xludf.DUMMYFUNCTION("""COMPUTED_VALUE"""),"David")</f>
        <v>David</v>
      </c>
      <c r="E951" s="7" t="str">
        <f>IFERROR(__xludf.DUMMYFUNCTION("""COMPUTED_VALUE"""),"DISERAHKAN")</f>
        <v>DISERAHKAN</v>
      </c>
      <c r="F951" s="9">
        <f>IFERROR(__xludf.DUMMYFUNCTION("""COMPUTED_VALUE"""),45604.63212336806)</f>
        <v>45604.63212</v>
      </c>
      <c r="G951" s="7" t="str">
        <f>IFERROR(__xludf.DUMMYFUNCTION("""COMPUTED_VALUE"""),"BN Jual Beli")</f>
        <v>BN Jual Beli</v>
      </c>
      <c r="H951" s="7">
        <f t="shared" si="1"/>
        <v>459</v>
      </c>
    </row>
    <row r="952" ht="22.5" customHeight="1">
      <c r="B952" s="7" t="str">
        <f>IFERROR(__xludf.DUMMYFUNCTION("""COMPUTED_VALUE"""),"K/13/071124/2")</f>
        <v>K/13/071124/2</v>
      </c>
      <c r="C952" s="7" t="str">
        <f>IFERROR(__xludf.DUMMYFUNCTION("""COMPUTED_VALUE"""),"M. 2150/SUKARAME BARU-SEKARANG;B. 2323/SUKARAME-DAHULU")</f>
        <v>M. 2150/SUKARAME BARU-SEKARANG;B. 2323/SUKARAME-DAHULU</v>
      </c>
      <c r="D952" s="7" t="str">
        <f>IFERROR(__xludf.DUMMYFUNCTION("""COMPUTED_VALUE"""),"David")</f>
        <v>David</v>
      </c>
      <c r="E952" s="7" t="str">
        <f>IFERROR(__xludf.DUMMYFUNCTION("""COMPUTED_VALUE"""),"DISERAHKAN")</f>
        <v>DISERAHKAN</v>
      </c>
      <c r="F952" s="9">
        <f>IFERROR(__xludf.DUMMYFUNCTION("""COMPUTED_VALUE"""),45625.49551482638)</f>
        <v>45625.49551</v>
      </c>
      <c r="G952" s="7" t="str">
        <f>IFERROR(__xludf.DUMMYFUNCTION("""COMPUTED_VALUE"""),"ROYA")</f>
        <v>ROYA</v>
      </c>
      <c r="H952" s="7">
        <f t="shared" si="1"/>
        <v>460</v>
      </c>
    </row>
    <row r="953" ht="22.5" customHeight="1">
      <c r="B953" s="7" t="str">
        <f>IFERROR(__xludf.DUMMYFUNCTION("""COMPUTED_VALUE"""),"K/15/071124/1")</f>
        <v>K/15/071124/1</v>
      </c>
      <c r="C953" s="7" t="str">
        <f>IFERROR(__xludf.DUMMYFUNCTION("""COMPUTED_VALUE"""),"M.2555/PINANG JAYA")</f>
        <v>M.2555/PINANG JAYA</v>
      </c>
      <c r="D953" s="7" t="str">
        <f>IFERROR(__xludf.DUMMYFUNCTION("""COMPUTED_VALUE"""),"David")</f>
        <v>David</v>
      </c>
      <c r="E953" s="7" t="str">
        <f>IFERROR(__xludf.DUMMYFUNCTION("""COMPUTED_VALUE"""),"DISERAHKAN")</f>
        <v>DISERAHKAN</v>
      </c>
      <c r="F953" s="9">
        <f>IFERROR(__xludf.DUMMYFUNCTION("""COMPUTED_VALUE"""),45604.63325465278)</f>
        <v>45604.63325</v>
      </c>
      <c r="G953" s="7" t="str">
        <f>IFERROR(__xludf.DUMMYFUNCTION("""COMPUTED_VALUE"""),"BN JUAL BELI")</f>
        <v>BN JUAL BELI</v>
      </c>
      <c r="H953" s="7">
        <f t="shared" si="1"/>
        <v>461</v>
      </c>
    </row>
    <row r="954" ht="22.5" customHeight="1">
      <c r="B954" s="7" t="str">
        <f>IFERROR(__xludf.DUMMYFUNCTION("""COMPUTED_VALUE"""),"K/19/071124/2")</f>
        <v>K/19/071124/2</v>
      </c>
      <c r="C954" s="7" t="str">
        <f>IFERROR(__xludf.DUMMYFUNCTION("""COMPUTED_VALUE"""),"Nibel 3070/ keteguhan")</f>
        <v>Nibel 3070/ keteguhan</v>
      </c>
      <c r="D954" s="7"/>
      <c r="E954" s="7"/>
      <c r="F954" s="9" t="str">
        <f>IFERROR(__xludf.DUMMYFUNCTION("""COMPUTED_VALUE"""),"")</f>
        <v/>
      </c>
      <c r="G954" s="7" t="str">
        <f>IFERROR(__xludf.DUMMYFUNCTION("""COMPUTED_VALUE"""),"BN JUAL BELI")</f>
        <v>BN JUAL BELI</v>
      </c>
      <c r="H954" s="7">
        <f t="shared" si="1"/>
        <v>461</v>
      </c>
    </row>
    <row r="955" ht="22.5" customHeight="1">
      <c r="B955" s="7" t="str">
        <f>IFERROR(__xludf.DUMMYFUNCTION("""COMPUTED_VALUE"""),"K/16/071124/2")</f>
        <v>K/16/071124/2</v>
      </c>
      <c r="C955" s="7" t="str">
        <f>IFERROR(__xludf.DUMMYFUNCTION("""COMPUTED_VALUE"""),"M.4696/SUKADANAHAM")</f>
        <v>M.4696/SUKADANAHAM</v>
      </c>
      <c r="D955" s="7" t="str">
        <f>IFERROR(__xludf.DUMMYFUNCTION("""COMPUTED_VALUE"""),"David")</f>
        <v>David</v>
      </c>
      <c r="E955" s="7" t="str">
        <f>IFERROR(__xludf.DUMMYFUNCTION("""COMPUTED_VALUE"""),"DISERAHKAN")</f>
        <v>DISERAHKAN</v>
      </c>
      <c r="F955" s="9">
        <f>IFERROR(__xludf.DUMMYFUNCTION("""COMPUTED_VALUE"""),45604.63355056713)</f>
        <v>45604.63355</v>
      </c>
      <c r="G955" s="7" t="str">
        <f>IFERROR(__xludf.DUMMYFUNCTION("""COMPUTED_VALUE"""),"BN JUAL BELI")</f>
        <v>BN JUAL BELI</v>
      </c>
      <c r="H955" s="7">
        <f t="shared" si="1"/>
        <v>462</v>
      </c>
    </row>
    <row r="956" ht="22.5" customHeight="1">
      <c r="B956" s="7" t="str">
        <f>IFERROR(__xludf.DUMMYFUNCTION("""COMPUTED_VALUE"""),"K/17/071124/3")</f>
        <v>K/17/071124/3</v>
      </c>
      <c r="C956" s="7" t="str">
        <f>IFERROR(__xludf.DUMMYFUNCTION("""COMPUTED_VALUE"""),"M.4706/SUKADANAHAM")</f>
        <v>M.4706/SUKADANAHAM</v>
      </c>
      <c r="D956" s="7" t="str">
        <f>IFERROR(__xludf.DUMMYFUNCTION("""COMPUTED_VALUE"""),"David")</f>
        <v>David</v>
      </c>
      <c r="E956" s="7" t="str">
        <f>IFERROR(__xludf.DUMMYFUNCTION("""COMPUTED_VALUE"""),"DISERAHKAN")</f>
        <v>DISERAHKAN</v>
      </c>
      <c r="F956" s="9">
        <f>IFERROR(__xludf.DUMMYFUNCTION("""COMPUTED_VALUE"""),45604.63447509259)</f>
        <v>45604.63448</v>
      </c>
      <c r="G956" s="7" t="str">
        <f>IFERROR(__xludf.DUMMYFUNCTION("""COMPUTED_VALUE"""),"BN JUAL BELI")</f>
        <v>BN JUAL BELI</v>
      </c>
      <c r="H956" s="7">
        <f t="shared" si="1"/>
        <v>463</v>
      </c>
    </row>
    <row r="957" ht="22.5" customHeight="1">
      <c r="B957" s="7" t="str">
        <f>IFERROR(__xludf.DUMMYFUNCTION("""COMPUTED_VALUE"""),"K/18/071124/4")</f>
        <v>K/18/071124/4</v>
      </c>
      <c r="C957" s="7" t="str">
        <f>IFERROR(__xludf.DUMMYFUNCTION("""COMPUTED_VALUE"""),"M.2475/PINANG JAYA")</f>
        <v>M.2475/PINANG JAYA</v>
      </c>
      <c r="D957" s="7" t="str">
        <f>IFERROR(__xludf.DUMMYFUNCTION("""COMPUTED_VALUE"""),"David")</f>
        <v>David</v>
      </c>
      <c r="E957" s="7" t="str">
        <f>IFERROR(__xludf.DUMMYFUNCTION("""COMPUTED_VALUE"""),"DISERAHKAN")</f>
        <v>DISERAHKAN</v>
      </c>
      <c r="F957" s="9">
        <f>IFERROR(__xludf.DUMMYFUNCTION("""COMPUTED_VALUE"""),45604.634699525464)</f>
        <v>45604.6347</v>
      </c>
      <c r="G957" s="7" t="str">
        <f>IFERROR(__xludf.DUMMYFUNCTION("""COMPUTED_VALUE"""),"BN JUAL BELI")</f>
        <v>BN JUAL BELI</v>
      </c>
      <c r="H957" s="7">
        <f t="shared" si="1"/>
        <v>464</v>
      </c>
    </row>
    <row r="958" ht="22.5" customHeight="1">
      <c r="B958" s="7" t="str">
        <f>IFERROR(__xludf.DUMMYFUNCTION("""COMPUTED_VALUE"""),"K/20/071124/1")</f>
        <v>K/20/071124/1</v>
      </c>
      <c r="C958" s="7" t="str">
        <f>IFERROR(__xludf.DUMMYFUNCTION("""COMPUTED_VALUE"""),"M. 141/ PERUMNAS WAY KANDIS-SEKARANG; B. 250/ WAY KANDIS-DAHULU")</f>
        <v>M. 141/ PERUMNAS WAY KANDIS-SEKARANG; B. 250/ WAY KANDIS-DAHULU</v>
      </c>
      <c r="D958" s="7" t="str">
        <f>IFERROR(__xludf.DUMMYFUNCTION("""COMPUTED_VALUE"""),"David")</f>
        <v>David</v>
      </c>
      <c r="E958" s="7" t="str">
        <f>IFERROR(__xludf.DUMMYFUNCTION("""COMPUTED_VALUE"""),"PROSES")</f>
        <v>PROSES</v>
      </c>
      <c r="F958" s="9" t="str">
        <f>IFERROR(__xludf.DUMMYFUNCTION("""COMPUTED_VALUE"""),"")</f>
        <v/>
      </c>
      <c r="G958" s="7" t="str">
        <f>IFERROR(__xludf.DUMMYFUNCTION("""COMPUTED_VALUE"""),"BN JUAL BELI")</f>
        <v>BN JUAL BELI</v>
      </c>
      <c r="H958" s="7">
        <f t="shared" si="1"/>
        <v>464</v>
      </c>
    </row>
    <row r="959" ht="22.5" customHeight="1">
      <c r="B959" s="7" t="str">
        <f>IFERROR(__xludf.DUMMYFUNCTION("""COMPUTED_VALUE"""),"K/21/071124/1")</f>
        <v>K/21/071124/1</v>
      </c>
      <c r="C959" s="7" t="str">
        <f>IFERROR(__xludf.DUMMYFUNCTION("""COMPUTED_VALUE"""),"M. 4901/ Langkapura")</f>
        <v>M. 4901/ Langkapura</v>
      </c>
      <c r="D959" s="7"/>
      <c r="E959" s="7"/>
      <c r="F959" s="9" t="str">
        <f>IFERROR(__xludf.DUMMYFUNCTION("""COMPUTED_VALUE"""),"")</f>
        <v/>
      </c>
      <c r="G959" s="7" t="str">
        <f>IFERROR(__xludf.DUMMYFUNCTION("""COMPUTED_VALUE"""),"Hapus BPHTB")</f>
        <v>Hapus BPHTB</v>
      </c>
      <c r="H959" s="7">
        <f t="shared" si="1"/>
        <v>464</v>
      </c>
    </row>
    <row r="960" ht="22.5" customHeight="1">
      <c r="B960" s="7" t="str">
        <f>IFERROR(__xludf.DUMMYFUNCTION("""COMPUTED_VALUE"""),"L/22/071124/1")</f>
        <v>L/22/071124/1</v>
      </c>
      <c r="C960" s="7" t="str">
        <f>IFERROR(__xludf.DUMMYFUNCTION("""COMPUTED_VALUE"""),"HM 2435/PANJANG UTARA")</f>
        <v>HM 2435/PANJANG UTARA</v>
      </c>
      <c r="D960" s="7" t="str">
        <f>IFERROR(__xludf.DUMMYFUNCTION("""COMPUTED_VALUE"""),"David")</f>
        <v>David</v>
      </c>
      <c r="E960" s="7" t="str">
        <f>IFERROR(__xludf.DUMMYFUNCTION("""COMPUTED_VALUE"""),"DISERAHKAN")</f>
        <v>DISERAHKAN</v>
      </c>
      <c r="F960" s="9">
        <f>IFERROR(__xludf.DUMMYFUNCTION("""COMPUTED_VALUE"""),45604.63518965278)</f>
        <v>45604.63519</v>
      </c>
      <c r="G960" s="7" t="str">
        <f>IFERROR(__xludf.DUMMYFUNCTION("""COMPUTED_VALUE"""),"BN HIBAH")</f>
        <v>BN HIBAH</v>
      </c>
      <c r="H960" s="7">
        <f t="shared" si="1"/>
        <v>465</v>
      </c>
    </row>
    <row r="961" ht="22.5" customHeight="1">
      <c r="B961" s="7" t="str">
        <f>IFERROR(__xludf.DUMMYFUNCTION("""COMPUTED_VALUE"""),"K/23/071124/1")</f>
        <v>K/23/071124/1</v>
      </c>
      <c r="C961" s="7" t="str">
        <f>IFERROR(__xludf.DUMMYFUNCTION("""COMPUTED_VALUE"""),"M. 16717/ Sukarame I")</f>
        <v>M. 16717/ Sukarame I</v>
      </c>
      <c r="D961" s="7" t="str">
        <f>IFERROR(__xludf.DUMMYFUNCTION("""COMPUTED_VALUE"""),"David")</f>
        <v>David</v>
      </c>
      <c r="E961" s="7" t="str">
        <f>IFERROR(__xludf.DUMMYFUNCTION("""COMPUTED_VALUE"""),"DISERAHKAN")</f>
        <v>DISERAHKAN</v>
      </c>
      <c r="F961" s="9">
        <f>IFERROR(__xludf.DUMMYFUNCTION("""COMPUTED_VALUE"""),45604.63534732639)</f>
        <v>45604.63535</v>
      </c>
      <c r="G961" s="7" t="str">
        <f>IFERROR(__xludf.DUMMYFUNCTION("""COMPUTED_VALUE"""),"ROYA")</f>
        <v>ROYA</v>
      </c>
      <c r="H961" s="7">
        <f t="shared" si="1"/>
        <v>466</v>
      </c>
    </row>
    <row r="962" ht="22.5" customHeight="1">
      <c r="B962" s="7" t="str">
        <f>IFERROR(__xludf.DUMMYFUNCTION("""COMPUTED_VALUE"""),"K/24/071124/1")</f>
        <v>K/24/071124/1</v>
      </c>
      <c r="C962" s="7" t="str">
        <f>IFERROR(__xludf.DUMMYFUNCTION("""COMPUTED_VALUE"""),"M. 658/ Gunung Terang")</f>
        <v>M. 658/ Gunung Terang</v>
      </c>
      <c r="D962" s="7"/>
      <c r="E962" s="7"/>
      <c r="F962" s="9" t="str">
        <f>IFERROR(__xludf.DUMMYFUNCTION("""COMPUTED_VALUE"""),"")</f>
        <v/>
      </c>
      <c r="G962" s="7" t="str">
        <f>IFERROR(__xludf.DUMMYFUNCTION("""COMPUTED_VALUE"""),"GANTI KECAMATAN")</f>
        <v>GANTI KECAMATAN</v>
      </c>
      <c r="H962" s="7">
        <f t="shared" si="1"/>
        <v>466</v>
      </c>
    </row>
    <row r="963" ht="22.5" customHeight="1">
      <c r="B963" s="7" t="str">
        <f>IFERROR(__xludf.DUMMYFUNCTION("""COMPUTED_VALUE"""),"L/25/071124/1")</f>
        <v>L/25/071124/1</v>
      </c>
      <c r="C963" s="7" t="str">
        <f>IFERROR(__xludf.DUMMYFUNCTION("""COMPUTED_VALUE"""),"TANJUNG AGUNG")</f>
        <v>TANJUNG AGUNG</v>
      </c>
      <c r="D963" s="7"/>
      <c r="E963" s="7"/>
      <c r="F963" s="9" t="str">
        <f>IFERROR(__xludf.DUMMYFUNCTION("""COMPUTED_VALUE"""),"")</f>
        <v/>
      </c>
      <c r="G963" s="7" t="str">
        <f>IFERROR(__xludf.DUMMYFUNCTION("""COMPUTED_VALUE"""),"PERTAMA KALI")</f>
        <v>PERTAMA KALI</v>
      </c>
      <c r="H963" s="7">
        <f t="shared" si="1"/>
        <v>466</v>
      </c>
    </row>
    <row r="964" ht="22.5" customHeight="1">
      <c r="B964" s="7" t="str">
        <f>IFERROR(__xludf.DUMMYFUNCTION("""COMPUTED_VALUE"""),"K/29/071124/1")</f>
        <v>K/29/071124/1</v>
      </c>
      <c r="C964" s="7" t="str">
        <f>IFERROR(__xludf.DUMMYFUNCTION("""COMPUTED_VALUE"""),"M. 439/KALIAWI PERSADA-SEKARANG;B.41/SUKADANA HAM-DAHULU")</f>
        <v>M. 439/KALIAWI PERSADA-SEKARANG;B.41/SUKADANA HAM-DAHULU</v>
      </c>
      <c r="D964" s="7" t="str">
        <f>IFERROR(__xludf.DUMMYFUNCTION("""COMPUTED_VALUE"""),"David")</f>
        <v>David</v>
      </c>
      <c r="E964" s="7" t="str">
        <f>IFERROR(__xludf.DUMMYFUNCTION("""COMPUTED_VALUE"""),"PROSES")</f>
        <v>PROSES</v>
      </c>
      <c r="F964" s="9" t="str">
        <f>IFERROR(__xludf.DUMMYFUNCTION("""COMPUTED_VALUE"""),"")</f>
        <v/>
      </c>
      <c r="G964" s="7" t="str">
        <f>IFERROR(__xludf.DUMMYFUNCTION("""COMPUTED_VALUE"""),"BN JUAL BELI")</f>
        <v>BN JUAL BELI</v>
      </c>
      <c r="H964" s="7">
        <f t="shared" si="1"/>
        <v>466</v>
      </c>
    </row>
    <row r="965" ht="22.5" customHeight="1">
      <c r="B965" s="7" t="str">
        <f>IFERROR(__xludf.DUMMYFUNCTION("""COMPUTED_VALUE"""),"K/26/071124/1")</f>
        <v>K/26/071124/1</v>
      </c>
      <c r="C965" s="7" t="str">
        <f>IFERROR(__xludf.DUMMYFUNCTION("""COMPUTED_VALUE"""),"M. 445/ Kota Sepang")</f>
        <v>M. 445/ Kota Sepang</v>
      </c>
      <c r="D965" s="7" t="str">
        <f>IFERROR(__xludf.DUMMYFUNCTION("""COMPUTED_VALUE"""),"David")</f>
        <v>David</v>
      </c>
      <c r="E965" s="7" t="str">
        <f>IFERROR(__xludf.DUMMYFUNCTION("""COMPUTED_VALUE"""),"DISERAHKAN")</f>
        <v>DISERAHKAN</v>
      </c>
      <c r="F965" s="9">
        <f>IFERROR(__xludf.DUMMYFUNCTION("""COMPUTED_VALUE"""),45609.44628326389)</f>
        <v>45609.44628</v>
      </c>
      <c r="G965" s="7" t="str">
        <f>IFERROR(__xludf.DUMMYFUNCTION("""COMPUTED_VALUE"""),"BN Jual Beli")</f>
        <v>BN Jual Beli</v>
      </c>
      <c r="H965" s="7">
        <f t="shared" si="1"/>
        <v>467</v>
      </c>
    </row>
    <row r="966" ht="22.5" customHeight="1">
      <c r="B966" s="7" t="str">
        <f>IFERROR(__xludf.DUMMYFUNCTION("""COMPUTED_VALUE"""),"K/27/071124/2")</f>
        <v>K/27/071124/2</v>
      </c>
      <c r="C966" s="7" t="str">
        <f>IFERROR(__xludf.DUMMYFUNCTION("""COMPUTED_VALUE"""),"M. 87/ L R R")</f>
        <v>M. 87/ L R R</v>
      </c>
      <c r="D966" s="7" t="str">
        <f>IFERROR(__xludf.DUMMYFUNCTION("""COMPUTED_VALUE"""),"David")</f>
        <v>David</v>
      </c>
      <c r="E966" s="7" t="str">
        <f>IFERROR(__xludf.DUMMYFUNCTION("""COMPUTED_VALUE"""),"DISERAHKAN")</f>
        <v>DISERAHKAN</v>
      </c>
      <c r="F966" s="9">
        <f>IFERROR(__xludf.DUMMYFUNCTION("""COMPUTED_VALUE"""),45604.63609775463)</f>
        <v>45604.6361</v>
      </c>
      <c r="G966" s="7" t="str">
        <f>IFERROR(__xludf.DUMMYFUNCTION("""COMPUTED_VALUE"""),"BN Jual Beli")</f>
        <v>BN Jual Beli</v>
      </c>
      <c r="H966" s="7">
        <f t="shared" si="1"/>
        <v>468</v>
      </c>
    </row>
    <row r="967" ht="22.5" customHeight="1">
      <c r="B967" s="7" t="str">
        <f>IFERROR(__xludf.DUMMYFUNCTION("""COMPUTED_VALUE"""),"K/28/071124/3")</f>
        <v>K/28/071124/3</v>
      </c>
      <c r="C967" s="7" t="str">
        <f>IFERROR(__xludf.DUMMYFUNCTION("""COMPUTED_VALUE"""),"Nibel. M. 699/ Kota Sepang")</f>
        <v>Nibel. M. 699/ Kota Sepang</v>
      </c>
      <c r="D967" s="7"/>
      <c r="E967" s="7"/>
      <c r="F967" s="9" t="str">
        <f>IFERROR(__xludf.DUMMYFUNCTION("""COMPUTED_VALUE"""),"")</f>
        <v/>
      </c>
      <c r="G967" s="7" t="str">
        <f>IFERROR(__xludf.DUMMYFUNCTION("""COMPUTED_VALUE"""),"BN Jual Beli")</f>
        <v>BN Jual Beli</v>
      </c>
      <c r="H967" s="7">
        <f t="shared" si="1"/>
        <v>468</v>
      </c>
    </row>
    <row r="968" ht="22.5" customHeight="1">
      <c r="B968" s="7" t="str">
        <f>IFERROR(__xludf.DUMMYFUNCTION("""COMPUTED_VALUE"""),"K/30/071124/1")</f>
        <v>K/30/071124/1</v>
      </c>
      <c r="C968" s="7" t="str">
        <f>IFERROR(__xludf.DUMMYFUNCTION("""COMPUTED_VALUE"""),"Nibel 3504/ Bumi Kedamaian")</f>
        <v>Nibel 3504/ Bumi Kedamaian</v>
      </c>
      <c r="D968" s="7"/>
      <c r="E968" s="7"/>
      <c r="F968" s="9" t="str">
        <f>IFERROR(__xludf.DUMMYFUNCTION("""COMPUTED_VALUE"""),"")</f>
        <v/>
      </c>
      <c r="G968" s="7" t="str">
        <f>IFERROR(__xludf.DUMMYFUNCTION("""COMPUTED_VALUE"""),"BN JUAL BELI")</f>
        <v>BN JUAL BELI</v>
      </c>
      <c r="H968" s="7">
        <f t="shared" si="1"/>
        <v>468</v>
      </c>
    </row>
    <row r="969" ht="22.5" customHeight="1">
      <c r="B969" s="7" t="str">
        <f>IFERROR(__xludf.DUMMYFUNCTION("""COMPUTED_VALUE"""),"K/31/071124/1")</f>
        <v>K/31/071124/1</v>
      </c>
      <c r="C969" s="7" t="str">
        <f>IFERROR(__xludf.DUMMYFUNCTION("""COMPUTED_VALUE"""),"Nibel. M. 2217/ Sukabumi")</f>
        <v>Nibel. M. 2217/ Sukabumi</v>
      </c>
      <c r="D969" s="7"/>
      <c r="E969" s="7"/>
      <c r="F969" s="9" t="str">
        <f>IFERROR(__xludf.DUMMYFUNCTION("""COMPUTED_VALUE"""),"")</f>
        <v/>
      </c>
      <c r="G969" s="7" t="str">
        <f>IFERROR(__xludf.DUMMYFUNCTION("""COMPUTED_VALUE"""),"PTPGT (Pemecahan)")</f>
        <v>PTPGT (Pemecahan)</v>
      </c>
      <c r="H969" s="7">
        <f t="shared" si="1"/>
        <v>468</v>
      </c>
    </row>
    <row r="970" ht="22.5" customHeight="1">
      <c r="B970" s="7" t="str">
        <f>IFERROR(__xludf.DUMMYFUNCTION("""COMPUTED_VALUE"""),"K/32/071124/1")</f>
        <v>K/32/071124/1</v>
      </c>
      <c r="C970" s="7" t="str">
        <f>IFERROR(__xludf.DUMMYFUNCTION("""COMPUTED_VALUE"""),"M. 12112/TANJUNG BARU")</f>
        <v>M. 12112/TANJUNG BARU</v>
      </c>
      <c r="D970" s="7" t="str">
        <f>IFERROR(__xludf.DUMMYFUNCTION("""COMPUTED_VALUE"""),"David")</f>
        <v>David</v>
      </c>
      <c r="E970" s="7" t="str">
        <f>IFERROR(__xludf.DUMMYFUNCTION("""COMPUTED_VALUE"""),"DISERAHKAN")</f>
        <v>DISERAHKAN</v>
      </c>
      <c r="F970" s="9">
        <f>IFERROR(__xludf.DUMMYFUNCTION("""COMPUTED_VALUE"""),45604.63946802083)</f>
        <v>45604.63947</v>
      </c>
      <c r="G970" s="7" t="str">
        <f>IFERROR(__xludf.DUMMYFUNCTION("""COMPUTED_VALUE"""),"ROYA")</f>
        <v>ROYA</v>
      </c>
      <c r="H970" s="7">
        <f t="shared" si="1"/>
        <v>469</v>
      </c>
    </row>
    <row r="971" ht="22.5" customHeight="1">
      <c r="B971" s="7" t="str">
        <f>IFERROR(__xludf.DUMMYFUNCTION("""COMPUTED_VALUE"""),"L/34/071124/1")</f>
        <v>L/34/071124/1</v>
      </c>
      <c r="C971" s="7" t="str">
        <f>IFERROR(__xludf.DUMMYFUNCTION("""COMPUTED_VALUE"""),"HM 15030/SUKARAME I (SHM TETANGGA)")</f>
        <v>HM 15030/SUKARAME I (SHM TETANGGA)</v>
      </c>
      <c r="D971" s="7" t="str">
        <f>IFERROR(__xludf.DUMMYFUNCTION("""COMPUTED_VALUE"""),"David")</f>
        <v>David</v>
      </c>
      <c r="E971" s="7" t="str">
        <f>IFERROR(__xludf.DUMMYFUNCTION("""COMPUTED_VALUE"""),"PROSES")</f>
        <v>PROSES</v>
      </c>
      <c r="F971" s="9" t="str">
        <f>IFERROR(__xludf.DUMMYFUNCTION("""COMPUTED_VALUE"""),"")</f>
        <v/>
      </c>
      <c r="G971" s="7" t="str">
        <f>IFERROR(__xludf.DUMMYFUNCTION("""COMPUTED_VALUE"""),"SERTIPIKAT HILANG")</f>
        <v>SERTIPIKAT HILANG</v>
      </c>
      <c r="H971" s="7">
        <f t="shared" si="1"/>
        <v>469</v>
      </c>
    </row>
    <row r="972" ht="22.5" customHeight="1">
      <c r="B972" s="7" t="str">
        <f>IFERROR(__xludf.DUMMYFUNCTION("""COMPUTED_VALUE"""),"K/35/071124/1")</f>
        <v>K/35/071124/1</v>
      </c>
      <c r="C972" s="7" t="str">
        <f>IFERROR(__xludf.DUMMYFUNCTION("""COMPUTED_VALUE"""),"M. 10980/ Segala Mider")</f>
        <v>M. 10980/ Segala Mider</v>
      </c>
      <c r="D972" s="7" t="str">
        <f>IFERROR(__xludf.DUMMYFUNCTION("""COMPUTED_VALUE"""),"David")</f>
        <v>David</v>
      </c>
      <c r="E972" s="7" t="str">
        <f>IFERROR(__xludf.DUMMYFUNCTION("""COMPUTED_VALUE"""),"DISERAHKAN")</f>
        <v>DISERAHKAN</v>
      </c>
      <c r="F972" s="9">
        <f>IFERROR(__xludf.DUMMYFUNCTION("""COMPUTED_VALUE"""),45604.637413819444)</f>
        <v>45604.63741</v>
      </c>
      <c r="G972" s="7" t="str">
        <f>IFERROR(__xludf.DUMMYFUNCTION("""COMPUTED_VALUE"""),"BN Jual Beli")</f>
        <v>BN Jual Beli</v>
      </c>
      <c r="H972" s="7">
        <f t="shared" si="1"/>
        <v>470</v>
      </c>
    </row>
    <row r="973" ht="22.5" customHeight="1">
      <c r="B973" s="7" t="str">
        <f>IFERROR(__xludf.DUMMYFUNCTION("""COMPUTED_VALUE"""),"K/38/071124/3")</f>
        <v>K/38/071124/3</v>
      </c>
      <c r="C973" s="7" t="str">
        <f>IFERROR(__xludf.DUMMYFUNCTION("""COMPUTED_VALUE"""),"B. 716/ Kemiling Permai")</f>
        <v>B. 716/ Kemiling Permai</v>
      </c>
      <c r="D973" s="7" t="str">
        <f>IFERROR(__xludf.DUMMYFUNCTION("""COMPUTED_VALUE"""),"David")</f>
        <v>David</v>
      </c>
      <c r="E973" s="7" t="str">
        <f>IFERROR(__xludf.DUMMYFUNCTION("""COMPUTED_VALUE"""),"DISERAHKAN")</f>
        <v>DISERAHKAN</v>
      </c>
      <c r="F973" s="9">
        <f>IFERROR(__xludf.DUMMYFUNCTION("""COMPUTED_VALUE"""),45604.63759266204)</f>
        <v>45604.63759</v>
      </c>
      <c r="G973" s="7" t="str">
        <f>IFERROR(__xludf.DUMMYFUNCTION("""COMPUTED_VALUE"""),"BN Jual Beli")</f>
        <v>BN Jual Beli</v>
      </c>
      <c r="H973" s="7">
        <f t="shared" si="1"/>
        <v>471</v>
      </c>
    </row>
    <row r="974" ht="22.5" customHeight="1">
      <c r="B974" s="7" t="str">
        <f>IFERROR(__xludf.DUMMYFUNCTION("""COMPUTED_VALUE"""),"K/39/071124/1")</f>
        <v>K/39/071124/1</v>
      </c>
      <c r="C974" s="7" t="str">
        <f>IFERROR(__xludf.DUMMYFUNCTION("""COMPUTED_VALUE"""),"M.105/PENENGAHAN")</f>
        <v>M.105/PENENGAHAN</v>
      </c>
      <c r="D974" s="7"/>
      <c r="E974" s="7"/>
      <c r="F974" s="9" t="str">
        <f>IFERROR(__xludf.DUMMYFUNCTION("""COMPUTED_VALUE"""),"")</f>
        <v/>
      </c>
      <c r="G974" s="7" t="str">
        <f>IFERROR(__xludf.DUMMYFUNCTION("""COMPUTED_VALUE"""),"GANDES")</f>
        <v>GANDES</v>
      </c>
      <c r="H974" s="7">
        <f t="shared" si="1"/>
        <v>471</v>
      </c>
    </row>
    <row r="975" ht="22.5" customHeight="1">
      <c r="B975" s="7" t="str">
        <f>IFERROR(__xludf.DUMMYFUNCTION("""COMPUTED_VALUE"""),"K/36/071124/1")</f>
        <v>K/36/071124/1</v>
      </c>
      <c r="C975" s="7" t="str">
        <f>IFERROR(__xludf.DUMMYFUNCTION("""COMPUTED_VALUE"""),"B. 919/ Beringin Jaya")</f>
        <v>B. 919/ Beringin Jaya</v>
      </c>
      <c r="D975" s="7" t="str">
        <f>IFERROR(__xludf.DUMMYFUNCTION("""COMPUTED_VALUE"""),"David")</f>
        <v>David</v>
      </c>
      <c r="E975" s="7" t="str">
        <f>IFERROR(__xludf.DUMMYFUNCTION("""COMPUTED_VALUE"""),"PROSES")</f>
        <v>PROSES</v>
      </c>
      <c r="F975" s="9" t="str">
        <f>IFERROR(__xludf.DUMMYFUNCTION("""COMPUTED_VALUE"""),"")</f>
        <v/>
      </c>
      <c r="G975" s="7" t="str">
        <f>IFERROR(__xludf.DUMMYFUNCTION("""COMPUTED_VALUE"""),"BN Jual Beli")</f>
        <v>BN Jual Beli</v>
      </c>
      <c r="H975" s="7">
        <f t="shared" si="1"/>
        <v>471</v>
      </c>
    </row>
    <row r="976" ht="22.5" customHeight="1">
      <c r="B976" s="7" t="str">
        <f>IFERROR(__xludf.DUMMYFUNCTION("""COMPUTED_VALUE"""),"K/37/071124/2")</f>
        <v>K/37/071124/2</v>
      </c>
      <c r="C976" s="7" t="str">
        <f>IFERROR(__xludf.DUMMYFUNCTION("""COMPUTED_VALUE"""),"B. 621/ Kemiling Permai")</f>
        <v>B. 621/ Kemiling Permai</v>
      </c>
      <c r="D976" s="7" t="str">
        <f>IFERROR(__xludf.DUMMYFUNCTION("""COMPUTED_VALUE"""),"David")</f>
        <v>David</v>
      </c>
      <c r="E976" s="7" t="str">
        <f>IFERROR(__xludf.DUMMYFUNCTION("""COMPUTED_VALUE"""),"DISERAHKAN")</f>
        <v>DISERAHKAN</v>
      </c>
      <c r="F976" s="9">
        <f>IFERROR(__xludf.DUMMYFUNCTION("""COMPUTED_VALUE"""),45604.63793113426)</f>
        <v>45604.63793</v>
      </c>
      <c r="G976" s="7" t="str">
        <f>IFERROR(__xludf.DUMMYFUNCTION("""COMPUTED_VALUE"""),"BN Jual Beli")</f>
        <v>BN Jual Beli</v>
      </c>
      <c r="H976" s="7">
        <f t="shared" si="1"/>
        <v>472</v>
      </c>
    </row>
    <row r="977" ht="22.5" customHeight="1">
      <c r="B977" s="7" t="str">
        <f>IFERROR(__xludf.DUMMYFUNCTION("""COMPUTED_VALUE"""),"K/40/071124/1")</f>
        <v>K/40/071124/1</v>
      </c>
      <c r="C977" s="7" t="str">
        <f>IFERROR(__xludf.DUMMYFUNCTION("""COMPUTED_VALUE"""),"B. 1118/ Keteguhan")</f>
        <v>B. 1118/ Keteguhan</v>
      </c>
      <c r="D977" s="7" t="str">
        <f>IFERROR(__xludf.DUMMYFUNCTION("""COMPUTED_VALUE"""),"David")</f>
        <v>David</v>
      </c>
      <c r="E977" s="7" t="str">
        <f>IFERROR(__xludf.DUMMYFUNCTION("""COMPUTED_VALUE"""),"DISERAHKAN")</f>
        <v>DISERAHKAN</v>
      </c>
      <c r="F977" s="9">
        <f>IFERROR(__xludf.DUMMYFUNCTION("""COMPUTED_VALUE"""),45604.63808497685)</f>
        <v>45604.63808</v>
      </c>
      <c r="G977" s="7" t="str">
        <f>IFERROR(__xludf.DUMMYFUNCTION("""COMPUTED_VALUE"""),"BN Jual Beli")</f>
        <v>BN Jual Beli</v>
      </c>
      <c r="H977" s="7">
        <f t="shared" si="1"/>
        <v>473</v>
      </c>
    </row>
    <row r="978" ht="22.5" customHeight="1">
      <c r="B978" s="7" t="str">
        <f>IFERROR(__xludf.DUMMYFUNCTION("""COMPUTED_VALUE"""),"K/41/071124/1")</f>
        <v>K/41/071124/1</v>
      </c>
      <c r="C978" s="7" t="str">
        <f>IFERROR(__xludf.DUMMYFUNCTION("""COMPUTED_VALUE"""),"M. 1254/ Langkapura Baru")</f>
        <v>M. 1254/ Langkapura Baru</v>
      </c>
      <c r="D978" s="7" t="str">
        <f>IFERROR(__xludf.DUMMYFUNCTION("""COMPUTED_VALUE"""),"David")</f>
        <v>David</v>
      </c>
      <c r="E978" s="7" t="str">
        <f>IFERROR(__xludf.DUMMYFUNCTION("""COMPUTED_VALUE"""),"PROSES")</f>
        <v>PROSES</v>
      </c>
      <c r="F978" s="9" t="str">
        <f>IFERROR(__xludf.DUMMYFUNCTION("""COMPUTED_VALUE"""),"")</f>
        <v/>
      </c>
      <c r="G978" s="7" t="str">
        <f>IFERROR(__xludf.DUMMYFUNCTION("""COMPUTED_VALUE"""),"BN JUAL BELI")</f>
        <v>BN JUAL BELI</v>
      </c>
      <c r="H978" s="7">
        <f t="shared" si="1"/>
        <v>473</v>
      </c>
    </row>
    <row r="979" ht="22.5" customHeight="1">
      <c r="B979" s="7" t="str">
        <f>IFERROR(__xludf.DUMMYFUNCTION("""COMPUTED_VALUE"""),"K/25/291024/1")</f>
        <v>K/25/291024/1</v>
      </c>
      <c r="C979" s="7" t="str">
        <f>IFERROR(__xludf.DUMMYFUNCTION("""COMPUTED_VALUE"""),"M.697/GUNUNG AGUNG")</f>
        <v>M.697/GUNUNG AGUNG</v>
      </c>
      <c r="D979" s="7" t="str">
        <f>IFERROR(__xludf.DUMMYFUNCTION("""COMPUTED_VALUE"""),"David")</f>
        <v>David</v>
      </c>
      <c r="E979" s="7" t="str">
        <f>IFERROR(__xludf.DUMMYFUNCTION("""COMPUTED_VALUE"""),"PROSES")</f>
        <v>PROSES</v>
      </c>
      <c r="F979" s="9" t="str">
        <f>IFERROR(__xludf.DUMMYFUNCTION("""COMPUTED_VALUE"""),"")</f>
        <v/>
      </c>
      <c r="G979" s="7" t="str">
        <f>IFERROR(__xludf.DUMMYFUNCTION("""COMPUTED_VALUE"""),"BN JUAL BELI")</f>
        <v>BN JUAL BELI</v>
      </c>
      <c r="H979" s="7">
        <f t="shared" si="1"/>
        <v>473</v>
      </c>
    </row>
    <row r="980" ht="22.5" customHeight="1">
      <c r="B980" s="7" t="str">
        <f>IFERROR(__xludf.DUMMYFUNCTION("""COMPUTED_VALUE"""),"K/33/071124/2")</f>
        <v>K/33/071124/2</v>
      </c>
      <c r="C980" s="7" t="str">
        <f>IFERROR(__xludf.DUMMYFUNCTION("""COMPUTED_VALUE"""),"M. 676/BUMI KEDAMAIAN")</f>
        <v>M. 676/BUMI KEDAMAIAN</v>
      </c>
      <c r="D980" s="7" t="str">
        <f>IFERROR(__xludf.DUMMYFUNCTION("""COMPUTED_VALUE"""),"David")</f>
        <v>David</v>
      </c>
      <c r="E980" s="7" t="str">
        <f>IFERROR(__xludf.DUMMYFUNCTION("""COMPUTED_VALUE"""),"DISERAHKAN")</f>
        <v>DISERAHKAN</v>
      </c>
      <c r="F980" s="9">
        <f>IFERROR(__xludf.DUMMYFUNCTION("""COMPUTED_VALUE"""),45644.45489916667)</f>
        <v>45644.4549</v>
      </c>
      <c r="G980" s="7" t="str">
        <f>IFERROR(__xludf.DUMMYFUNCTION("""COMPUTED_VALUE"""),"BN WARIS")</f>
        <v>BN WARIS</v>
      </c>
      <c r="H980" s="7">
        <f t="shared" si="1"/>
        <v>474</v>
      </c>
    </row>
    <row r="981" ht="22.5" customHeight="1">
      <c r="B981" s="7" t="str">
        <f>IFERROR(__xludf.DUMMYFUNCTION("""COMPUTED_VALUE"""),"K/1/081124/1")</f>
        <v>K/1/081124/1</v>
      </c>
      <c r="C981" s="7" t="str">
        <f>IFERROR(__xludf.DUMMYFUNCTION("""COMPUTED_VALUE"""),"M.1419/SUSUNAN BARU")</f>
        <v>M.1419/SUSUNAN BARU</v>
      </c>
      <c r="D981" s="7" t="str">
        <f>IFERROR(__xludf.DUMMYFUNCTION("""COMPUTED_VALUE"""),"David")</f>
        <v>David</v>
      </c>
      <c r="E981" s="7" t="str">
        <f>IFERROR(__xludf.DUMMYFUNCTION("""COMPUTED_VALUE"""),"PROSES")</f>
        <v>PROSES</v>
      </c>
      <c r="F981" s="9" t="str">
        <f>IFERROR(__xludf.DUMMYFUNCTION("""COMPUTED_VALUE"""),"")</f>
        <v/>
      </c>
      <c r="G981" s="7" t="str">
        <f>IFERROR(__xludf.DUMMYFUNCTION("""COMPUTED_VALUE"""),"BN JUAL BELI")</f>
        <v>BN JUAL BELI</v>
      </c>
      <c r="H981" s="7">
        <f t="shared" si="1"/>
        <v>474</v>
      </c>
    </row>
    <row r="982" ht="22.5" customHeight="1">
      <c r="B982" s="7" t="str">
        <f>IFERROR(__xludf.DUMMYFUNCTION("""COMPUTED_VALUE"""),"L/3/081124/1")</f>
        <v>L/3/081124/1</v>
      </c>
      <c r="C982" s="7" t="str">
        <f>IFERROR(__xludf.DUMMYFUNCTION("""COMPUTED_VALUE"""),"HM 10617/KEDAMAIAN (SHM TETANGGA)")</f>
        <v>HM 10617/KEDAMAIAN (SHM TETANGGA)</v>
      </c>
      <c r="D982" s="7" t="str">
        <f>IFERROR(__xludf.DUMMYFUNCTION("""COMPUTED_VALUE"""),"David")</f>
        <v>David</v>
      </c>
      <c r="E982" s="7" t="str">
        <f>IFERROR(__xludf.DUMMYFUNCTION("""COMPUTED_VALUE"""),"DISERAHKAN")</f>
        <v>DISERAHKAN</v>
      </c>
      <c r="F982" s="9">
        <f>IFERROR(__xludf.DUMMYFUNCTION("""COMPUTED_VALUE"""),45607.63206592592)</f>
        <v>45607.63207</v>
      </c>
      <c r="G982" s="7" t="str">
        <f>IFERROR(__xludf.DUMMYFUNCTION("""COMPUTED_VALUE"""),"SERTIPIKAT HILANG")</f>
        <v>SERTIPIKAT HILANG</v>
      </c>
      <c r="H982" s="7">
        <f t="shared" si="1"/>
        <v>475</v>
      </c>
    </row>
    <row r="983" ht="22.5" customHeight="1">
      <c r="B983" s="7" t="str">
        <f>IFERROR(__xludf.DUMMYFUNCTION("""COMPUTED_VALUE"""),"K/2/081124/2")</f>
        <v>K/2/081124/2</v>
      </c>
      <c r="C983" s="7" t="str">
        <f>IFERROR(__xludf.DUMMYFUNCTION("""COMPUTED_VALUE"""),"M. 1892/BERINGIN JAYA-SEKARANG;M.1538/BERINGIN RAYA-DAHULU")</f>
        <v>M. 1892/BERINGIN JAYA-SEKARANG;M.1538/BERINGIN RAYA-DAHULU</v>
      </c>
      <c r="D983" s="7" t="str">
        <f>IFERROR(__xludf.DUMMYFUNCTION("""COMPUTED_VALUE"""),"David")</f>
        <v>David</v>
      </c>
      <c r="E983" s="7" t="str">
        <f>IFERROR(__xludf.DUMMYFUNCTION("""COMPUTED_VALUE"""),"PROSES")</f>
        <v>PROSES</v>
      </c>
      <c r="F983" s="9" t="str">
        <f>IFERROR(__xludf.DUMMYFUNCTION("""COMPUTED_VALUE"""),"")</f>
        <v/>
      </c>
      <c r="G983" s="7" t="str">
        <f>IFERROR(__xludf.DUMMYFUNCTION("""COMPUTED_VALUE"""),"HIBAH")</f>
        <v>HIBAH</v>
      </c>
      <c r="H983" s="7">
        <f t="shared" si="1"/>
        <v>475</v>
      </c>
    </row>
    <row r="984" ht="22.5" customHeight="1">
      <c r="B984" s="7" t="str">
        <f>IFERROR(__xludf.DUMMYFUNCTION("""COMPUTED_VALUE"""),"L/5/081124/1")</f>
        <v>L/5/081124/1</v>
      </c>
      <c r="C984" s="7" t="str">
        <f>IFERROR(__xludf.DUMMYFUNCTION("""COMPUTED_VALUE"""),"HM 12327/LABUHAN RATU")</f>
        <v>HM 12327/LABUHAN RATU</v>
      </c>
      <c r="D984" s="7" t="str">
        <f>IFERROR(__xludf.DUMMYFUNCTION("""COMPUTED_VALUE"""),"David")</f>
        <v>David</v>
      </c>
      <c r="E984" s="7" t="str">
        <f>IFERROR(__xludf.DUMMYFUNCTION("""COMPUTED_VALUE"""),"PROSES")</f>
        <v>PROSES</v>
      </c>
      <c r="F984" s="9" t="str">
        <f>IFERROR(__xludf.DUMMYFUNCTION("""COMPUTED_VALUE"""),"")</f>
        <v/>
      </c>
      <c r="G984" s="7" t="str">
        <f>IFERROR(__xludf.DUMMYFUNCTION("""COMPUTED_VALUE"""),"ROYA")</f>
        <v>ROYA</v>
      </c>
      <c r="H984" s="7">
        <f t="shared" si="1"/>
        <v>475</v>
      </c>
    </row>
    <row r="985" ht="22.5" customHeight="1">
      <c r="B985" s="7" t="str">
        <f>IFERROR(__xludf.DUMMYFUNCTION("""COMPUTED_VALUE"""),"K/6/081124/1")</f>
        <v>K/6/081124/1</v>
      </c>
      <c r="C985" s="7" t="str">
        <f>IFERROR(__xludf.DUMMYFUNCTION("""COMPUTED_VALUE"""),"M.12571/BERINGIN RAYA-SEKARANG;B.2268/BERINGIN RAYA")</f>
        <v>M.12571/BERINGIN RAYA-SEKARANG;B.2268/BERINGIN RAYA</v>
      </c>
      <c r="D985" s="7"/>
      <c r="E985" s="7"/>
      <c r="F985" s="9" t="str">
        <f>IFERROR(__xludf.DUMMYFUNCTION("""COMPUTED_VALUE"""),"")</f>
        <v/>
      </c>
      <c r="G985" s="7" t="str">
        <f>IFERROR(__xludf.DUMMYFUNCTION("""COMPUTED_VALUE"""),"PLOTING")</f>
        <v>PLOTING</v>
      </c>
      <c r="H985" s="7">
        <f t="shared" si="1"/>
        <v>475</v>
      </c>
    </row>
    <row r="986" ht="22.5" customHeight="1">
      <c r="B986" s="7" t="str">
        <f>IFERROR(__xludf.DUMMYFUNCTION("""COMPUTED_VALUE"""),"K/8/081124/1")</f>
        <v>K/8/081124/1</v>
      </c>
      <c r="C986" s="7" t="str">
        <f>IFERROR(__xludf.DUMMYFUNCTION("""COMPUTED_VALUE"""),"M.5182/RAJABASA JAYA")</f>
        <v>M.5182/RAJABASA JAYA</v>
      </c>
      <c r="D986" s="7" t="str">
        <f>IFERROR(__xludf.DUMMYFUNCTION("""COMPUTED_VALUE"""),"David")</f>
        <v>David</v>
      </c>
      <c r="E986" s="7" t="str">
        <f>IFERROR(__xludf.DUMMYFUNCTION("""COMPUTED_VALUE"""),"PROSES")</f>
        <v>PROSES</v>
      </c>
      <c r="F986" s="9" t="str">
        <f>IFERROR(__xludf.DUMMYFUNCTION("""COMPUTED_VALUE"""),"")</f>
        <v/>
      </c>
      <c r="G986" s="7" t="str">
        <f>IFERROR(__xludf.DUMMYFUNCTION("""COMPUTED_VALUE"""),"BN JUAL BELI")</f>
        <v>BN JUAL BELI</v>
      </c>
      <c r="H986" s="7">
        <f t="shared" si="1"/>
        <v>475</v>
      </c>
    </row>
    <row r="987" ht="22.5" customHeight="1">
      <c r="B987" s="7" t="str">
        <f>IFERROR(__xludf.DUMMYFUNCTION("""COMPUTED_VALUE"""),"K/7/081124/1")</f>
        <v>K/7/081124/1</v>
      </c>
      <c r="C987" s="7" t="str">
        <f>IFERROR(__xludf.DUMMYFUNCTION("""COMPUTED_VALUE"""),"M. 10329/ Segala Mider")</f>
        <v>M. 10329/ Segala Mider</v>
      </c>
      <c r="D987" s="7" t="str">
        <f>IFERROR(__xludf.DUMMYFUNCTION("""COMPUTED_VALUE"""),"David")</f>
        <v>David</v>
      </c>
      <c r="E987" s="7" t="str">
        <f>IFERROR(__xludf.DUMMYFUNCTION("""COMPUTED_VALUE"""),"DISERAHKAN")</f>
        <v>DISERAHKAN</v>
      </c>
      <c r="F987" s="9">
        <f>IFERROR(__xludf.DUMMYFUNCTION("""COMPUTED_VALUE"""),45607.6333525)</f>
        <v>45607.63335</v>
      </c>
      <c r="G987" s="7" t="str">
        <f>IFERROR(__xludf.DUMMYFUNCTION("""COMPUTED_VALUE"""),"BN JUAL BELI")</f>
        <v>BN JUAL BELI</v>
      </c>
      <c r="H987" s="7">
        <f t="shared" si="1"/>
        <v>476</v>
      </c>
    </row>
    <row r="988" ht="22.5" customHeight="1">
      <c r="B988" s="7" t="str">
        <f>IFERROR(__xludf.DUMMYFUNCTION("""COMPUTED_VALUE"""),"L/9/081124/1")</f>
        <v>L/9/081124/1</v>
      </c>
      <c r="C988" s="7" t="str">
        <f>IFERROR(__xludf.DUMMYFUNCTION("""COMPUTED_VALUE"""),"GM 613/PEMATANG WANGI")</f>
        <v>GM 613/PEMATANG WANGI</v>
      </c>
      <c r="D988" s="7" t="str">
        <f>IFERROR(__xludf.DUMMYFUNCTION("""COMPUTED_VALUE"""),"David")</f>
        <v>David</v>
      </c>
      <c r="E988" s="7" t="str">
        <f>IFERROR(__xludf.DUMMYFUNCTION("""COMPUTED_VALUE"""),"DISERAHKAN BT")</f>
        <v>DISERAHKAN BT</v>
      </c>
      <c r="F988" s="9">
        <f>IFERROR(__xludf.DUMMYFUNCTION("""COMPUTED_VALUE"""),45607.634163298615)</f>
        <v>45607.63416</v>
      </c>
      <c r="G988" s="7" t="str">
        <f>IFERROR(__xludf.DUMMYFUNCTION("""COMPUTED_VALUE"""),"SULYA YENTY")</f>
        <v>SULYA YENTY</v>
      </c>
      <c r="H988" s="7">
        <f t="shared" si="1"/>
        <v>476</v>
      </c>
    </row>
    <row r="989" ht="22.5" customHeight="1">
      <c r="B989" s="7" t="str">
        <f>IFERROR(__xludf.DUMMYFUNCTION("""COMPUTED_VALUE"""),"K/10/081124/1")</f>
        <v>K/10/081124/1</v>
      </c>
      <c r="C989" s="7" t="str">
        <f>IFERROR(__xludf.DUMMYFUNCTION("""COMPUTED_VALUE"""),"B. 4954, 4958/ Kali Balau Kencana")</f>
        <v>B. 4954, 4958/ Kali Balau Kencana</v>
      </c>
      <c r="D989" s="7" t="str">
        <f>IFERROR(__xludf.DUMMYFUNCTION("""COMPUTED_VALUE"""),"David")</f>
        <v>David</v>
      </c>
      <c r="E989" s="7" t="str">
        <f>IFERROR(__xludf.DUMMYFUNCTION("""COMPUTED_VALUE"""),"DISERAHKAN")</f>
        <v>DISERAHKAN</v>
      </c>
      <c r="F989" s="9">
        <f>IFERROR(__xludf.DUMMYFUNCTION("""COMPUTED_VALUE"""),45607.63482099537)</f>
        <v>45607.63482</v>
      </c>
      <c r="G989" s="7" t="str">
        <f>IFERROR(__xludf.DUMMYFUNCTION("""COMPUTED_VALUE"""),"ROYA")</f>
        <v>ROYA</v>
      </c>
      <c r="H989" s="7">
        <f t="shared" si="1"/>
        <v>477</v>
      </c>
    </row>
    <row r="990" ht="22.5" customHeight="1">
      <c r="B990" s="7" t="str">
        <f>IFERROR(__xludf.DUMMYFUNCTION("""COMPUTED_VALUE"""),"L/11/081124/1")</f>
        <v>L/11/081124/1</v>
      </c>
      <c r="C990" s="7" t="str">
        <f>IFERROR(__xludf.DUMMYFUNCTION("""COMPUTED_VALUE"""),"HM 837/SUKARAME BARU")</f>
        <v>HM 837/SUKARAME BARU</v>
      </c>
      <c r="D990" s="7" t="str">
        <f>IFERROR(__xludf.DUMMYFUNCTION("""COMPUTED_VALUE"""),"David")</f>
        <v>David</v>
      </c>
      <c r="E990" s="7" t="str">
        <f>IFERROR(__xludf.DUMMYFUNCTION("""COMPUTED_VALUE"""),"PROSES")</f>
        <v>PROSES</v>
      </c>
      <c r="F990" s="9" t="str">
        <f>IFERROR(__xludf.DUMMYFUNCTION("""COMPUTED_VALUE"""),"")</f>
        <v/>
      </c>
      <c r="G990" s="7" t="str">
        <f>IFERROR(__xludf.DUMMYFUNCTION("""COMPUTED_VALUE"""),"ROYA LELANG")</f>
        <v>ROYA LELANG</v>
      </c>
      <c r="H990" s="7">
        <f t="shared" si="1"/>
        <v>477</v>
      </c>
    </row>
    <row r="991" ht="22.5" customHeight="1">
      <c r="B991" s="7" t="str">
        <f>IFERROR(__xludf.DUMMYFUNCTION("""COMPUTED_VALUE"""),"K/4/081124/1")</f>
        <v>K/4/081124/1</v>
      </c>
      <c r="C991" s="7" t="str">
        <f>IFERROR(__xludf.DUMMYFUNCTION("""COMPUTED_VALUE"""),"M. 1242/SUKABUMI INDAH")</f>
        <v>M. 1242/SUKABUMI INDAH</v>
      </c>
      <c r="D991" s="7" t="str">
        <f>IFERROR(__xludf.DUMMYFUNCTION("""COMPUTED_VALUE"""),"David")</f>
        <v>David</v>
      </c>
      <c r="E991" s="7" t="str">
        <f>IFERROR(__xludf.DUMMYFUNCTION("""COMPUTED_VALUE"""),"DISERAHKAN")</f>
        <v>DISERAHKAN</v>
      </c>
      <c r="F991" s="9">
        <f>IFERROR(__xludf.DUMMYFUNCTION("""COMPUTED_VALUE"""),45607.636328865745)</f>
        <v>45607.63633</v>
      </c>
      <c r="G991" s="7" t="str">
        <f>IFERROR(__xludf.DUMMYFUNCTION("""COMPUTED_VALUE"""),"BN JUAL BELI")</f>
        <v>BN JUAL BELI</v>
      </c>
      <c r="H991" s="7">
        <f t="shared" si="1"/>
        <v>478</v>
      </c>
    </row>
    <row r="992" ht="22.5" customHeight="1">
      <c r="B992" s="7" t="str">
        <f>IFERROR(__xludf.DUMMYFUNCTION("""COMPUTED_VALUE"""),"K/12/081124/1")</f>
        <v>K/12/081124/1</v>
      </c>
      <c r="C992" s="7" t="str">
        <f>IFERROR(__xludf.DUMMYFUNCTION("""COMPUTED_VALUE"""),"M. 2353/SUKARAME BARU-SEKARANG;M.17754/SUKARAME-DAHULU")</f>
        <v>M. 2353/SUKARAME BARU-SEKARANG;M.17754/SUKARAME-DAHULU</v>
      </c>
      <c r="D992" s="7" t="str">
        <f>IFERROR(__xludf.DUMMYFUNCTION("""COMPUTED_VALUE"""),"David")</f>
        <v>David</v>
      </c>
      <c r="E992" s="7" t="str">
        <f>IFERROR(__xludf.DUMMYFUNCTION("""COMPUTED_VALUE"""),"DISERAHKAN")</f>
        <v>DISERAHKAN</v>
      </c>
      <c r="F992" s="9">
        <f>IFERROR(__xludf.DUMMYFUNCTION("""COMPUTED_VALUE"""),45607.63645261574)</f>
        <v>45607.63645</v>
      </c>
      <c r="G992" s="7" t="str">
        <f>IFERROR(__xludf.DUMMYFUNCTION("""COMPUTED_VALUE"""),"BN JUAL BELI")</f>
        <v>BN JUAL BELI</v>
      </c>
      <c r="H992" s="7">
        <f t="shared" si="1"/>
        <v>479</v>
      </c>
    </row>
    <row r="993" ht="22.5" customHeight="1">
      <c r="B993" s="7" t="str">
        <f>IFERROR(__xludf.DUMMYFUNCTION("""COMPUTED_VALUE"""),"L/13/081124/1")</f>
        <v>L/13/081124/1</v>
      </c>
      <c r="C993" s="7" t="str">
        <f>IFERROR(__xludf.DUMMYFUNCTION("""COMPUTED_VALUE"""),"HM 271/RAJABSA NUNYAI")</f>
        <v>HM 271/RAJABSA NUNYAI</v>
      </c>
      <c r="D993" s="7" t="str">
        <f>IFERROR(__xludf.DUMMYFUNCTION("""COMPUTED_VALUE"""),"David")</f>
        <v>David</v>
      </c>
      <c r="E993" s="7" t="str">
        <f>IFERROR(__xludf.DUMMYFUNCTION("""COMPUTED_VALUE"""),"DISERAHKAN")</f>
        <v>DISERAHKAN</v>
      </c>
      <c r="F993" s="9">
        <f>IFERROR(__xludf.DUMMYFUNCTION("""COMPUTED_VALUE"""),45607.63688719907)</f>
        <v>45607.63689</v>
      </c>
      <c r="G993" s="7" t="str">
        <f>IFERROR(__xludf.DUMMYFUNCTION("""COMPUTED_VALUE"""),"ROYA")</f>
        <v>ROYA</v>
      </c>
      <c r="H993" s="7">
        <f t="shared" si="1"/>
        <v>480</v>
      </c>
    </row>
    <row r="994" ht="22.5" customHeight="1">
      <c r="B994" s="7" t="str">
        <f>IFERROR(__xludf.DUMMYFUNCTION("""COMPUTED_VALUE"""),"K/14/081124/1")</f>
        <v>K/14/081124/1</v>
      </c>
      <c r="C994" s="7" t="str">
        <f>IFERROR(__xludf.DUMMYFUNCTION("""COMPUTED_VALUE"""),"B.223/NEGERI OLOK GADING")</f>
        <v>B.223/NEGERI OLOK GADING</v>
      </c>
      <c r="D994" s="7" t="str">
        <f>IFERROR(__xludf.DUMMYFUNCTION("""COMPUTED_VALUE"""),"David")</f>
        <v>David</v>
      </c>
      <c r="E994" s="7" t="str">
        <f>IFERROR(__xludf.DUMMYFUNCTION("""COMPUTED_VALUE"""),"DISERAHKAN")</f>
        <v>DISERAHKAN</v>
      </c>
      <c r="F994" s="9">
        <f>IFERROR(__xludf.DUMMYFUNCTION("""COMPUTED_VALUE"""),45607.63701225695)</f>
        <v>45607.63701</v>
      </c>
      <c r="G994" s="7" t="str">
        <f>IFERROR(__xludf.DUMMYFUNCTION("""COMPUTED_VALUE"""),"PENDAFTARAN SK PERPANJANGAN")</f>
        <v>PENDAFTARAN SK PERPANJANGAN</v>
      </c>
      <c r="H994" s="7">
        <f t="shared" si="1"/>
        <v>481</v>
      </c>
    </row>
    <row r="995" ht="22.5" customHeight="1">
      <c r="B995" s="7" t="str">
        <f>IFERROR(__xludf.DUMMYFUNCTION("""COMPUTED_VALUE"""),"K/15/081124/1")</f>
        <v>K/15/081124/1</v>
      </c>
      <c r="C995" s="7" t="str">
        <f>IFERROR(__xludf.DUMMYFUNCTION("""COMPUTED_VALUE"""),"NIBEL M. 2040/HARAPAN JAYA")</f>
        <v>NIBEL M. 2040/HARAPAN JAYA</v>
      </c>
      <c r="D995" s="7"/>
      <c r="E995" s="7"/>
      <c r="F995" s="9" t="str">
        <f>IFERROR(__xludf.DUMMYFUNCTION("""COMPUTED_VALUE"""),"")</f>
        <v/>
      </c>
      <c r="G995" s="7" t="str">
        <f>IFERROR(__xludf.DUMMYFUNCTION("""COMPUTED_VALUE"""),"GANDES")</f>
        <v>GANDES</v>
      </c>
      <c r="H995" s="7">
        <f t="shared" si="1"/>
        <v>481</v>
      </c>
    </row>
    <row r="996" ht="22.5" customHeight="1">
      <c r="B996" s="7" t="str">
        <f>IFERROR(__xludf.DUMMYFUNCTION("""COMPUTED_VALUE"""),"K/16/081124/2")</f>
        <v>K/16/081124/2</v>
      </c>
      <c r="C996" s="7" t="str">
        <f>IFERROR(__xludf.DUMMYFUNCTION("""COMPUTED_VALUE"""),"NIBEL. M 2976/KORPRI RAYA")</f>
        <v>NIBEL. M 2976/KORPRI RAYA</v>
      </c>
      <c r="D996" s="7"/>
      <c r="E996" s="7"/>
      <c r="F996" s="9" t="str">
        <f>IFERROR(__xludf.DUMMYFUNCTION("""COMPUTED_VALUE"""),"")</f>
        <v/>
      </c>
      <c r="G996" s="7" t="str">
        <f>IFERROR(__xludf.DUMMYFUNCTION("""COMPUTED_VALUE"""),"GANDES")</f>
        <v>GANDES</v>
      </c>
      <c r="H996" s="7">
        <f t="shared" si="1"/>
        <v>481</v>
      </c>
    </row>
    <row r="997" ht="22.5" customHeight="1">
      <c r="B997" s="7" t="str">
        <f>IFERROR(__xludf.DUMMYFUNCTION("""COMPUTED_VALUE"""),"L/17/081124/1")</f>
        <v>L/17/081124/1</v>
      </c>
      <c r="C997" s="7" t="str">
        <f>IFERROR(__xludf.DUMMYFUNCTION("""COMPUTED_VALUE"""),"HM 1134/GULAK GALIK")</f>
        <v>HM 1134/GULAK GALIK</v>
      </c>
      <c r="D997" s="7" t="str">
        <f>IFERROR(__xludf.DUMMYFUNCTION("""COMPUTED_VALUE"""),"David")</f>
        <v>David</v>
      </c>
      <c r="E997" s="7" t="str">
        <f>IFERROR(__xludf.DUMMYFUNCTION("""COMPUTED_VALUE"""),"DISERAHKAN")</f>
        <v>DISERAHKAN</v>
      </c>
      <c r="F997" s="9">
        <f>IFERROR(__xludf.DUMMYFUNCTION("""COMPUTED_VALUE"""),45608.447417627314)</f>
        <v>45608.44742</v>
      </c>
      <c r="G997" s="7" t="str">
        <f>IFERROR(__xludf.DUMMYFUNCTION("""COMPUTED_VALUE"""),"PENATAAN BATAS")</f>
        <v>PENATAAN BATAS</v>
      </c>
      <c r="H997" s="7">
        <f t="shared" si="1"/>
        <v>482</v>
      </c>
    </row>
    <row r="998" ht="22.5" customHeight="1">
      <c r="B998" s="7" t="str">
        <f>IFERROR(__xludf.DUMMYFUNCTION("""COMPUTED_VALUE"""),"K/18/081124/1")</f>
        <v>K/18/081124/1</v>
      </c>
      <c r="C998" s="7" t="str">
        <f>IFERROR(__xludf.DUMMYFUNCTION("""COMPUTED_VALUE"""),"M. 1479/ Serengsem")</f>
        <v>M. 1479/ Serengsem</v>
      </c>
      <c r="D998" s="7"/>
      <c r="E998" s="7"/>
      <c r="F998" s="9" t="str">
        <f>IFERROR(__xludf.DUMMYFUNCTION("""COMPUTED_VALUE"""),"")</f>
        <v/>
      </c>
      <c r="G998" s="7" t="str">
        <f>IFERROR(__xludf.DUMMYFUNCTION("""COMPUTED_VALUE"""),"SKPT Lelang")</f>
        <v>SKPT Lelang</v>
      </c>
      <c r="H998" s="7">
        <f t="shared" si="1"/>
        <v>482</v>
      </c>
    </row>
    <row r="999" ht="22.5" customHeight="1">
      <c r="B999" s="7" t="str">
        <f>IFERROR(__xludf.DUMMYFUNCTION("""COMPUTED_VALUE"""),"K/19/081124/1")</f>
        <v>K/19/081124/1</v>
      </c>
      <c r="C999" s="7" t="str">
        <f>IFERROR(__xludf.DUMMYFUNCTION("""COMPUTED_VALUE"""),"Nibel 8260/ Negeri Olok gading")</f>
        <v>Nibel 8260/ Negeri Olok gading</v>
      </c>
      <c r="D999" s="7"/>
      <c r="E999" s="7"/>
      <c r="F999" s="9" t="str">
        <f>IFERROR(__xludf.DUMMYFUNCTION("""COMPUTED_VALUE"""),"")</f>
        <v/>
      </c>
      <c r="G999" s="7" t="str">
        <f>IFERROR(__xludf.DUMMYFUNCTION("""COMPUTED_VALUE"""),"BN LELANG")</f>
        <v>BN LELANG</v>
      </c>
      <c r="H999" s="7">
        <f t="shared" si="1"/>
        <v>482</v>
      </c>
    </row>
    <row r="1000" ht="22.5" customHeight="1">
      <c r="B1000" s="7" t="str">
        <f>IFERROR(__xludf.DUMMYFUNCTION("""COMPUTED_VALUE"""),"K/20/081124/1")</f>
        <v>K/20/081124/1</v>
      </c>
      <c r="C1000" s="7" t="str">
        <f>IFERROR(__xludf.DUMMYFUNCTION("""COMPUTED_VALUE"""),"M.1712/RAJABASA NUNYAI")</f>
        <v>M.1712/RAJABASA NUNYAI</v>
      </c>
      <c r="D1000" s="7" t="str">
        <f>IFERROR(__xludf.DUMMYFUNCTION("""COMPUTED_VALUE"""),"David")</f>
        <v>David</v>
      </c>
      <c r="E1000" s="7" t="str">
        <f>IFERROR(__xludf.DUMMYFUNCTION("""COMPUTED_VALUE"""),"DISERAHKAN")</f>
        <v>DISERAHKAN</v>
      </c>
      <c r="F1000" s="9">
        <f>IFERROR(__xludf.DUMMYFUNCTION("""COMPUTED_VALUE"""),45607.63736707176)</f>
        <v>45607.63737</v>
      </c>
      <c r="G1000" s="7" t="str">
        <f>IFERROR(__xludf.DUMMYFUNCTION("""COMPUTED_VALUE"""),"HAR NELI DEWI/ISMARINA")</f>
        <v>HAR NELI DEWI/ISMARINA</v>
      </c>
      <c r="H1000" s="7">
        <f t="shared" si="1"/>
        <v>483</v>
      </c>
    </row>
    <row r="1001" ht="22.5" customHeight="1">
      <c r="B1001" s="7" t="str">
        <f>IFERROR(__xludf.DUMMYFUNCTION("""COMPUTED_VALUE"""),"K/21/081124/1")</f>
        <v>K/21/081124/1</v>
      </c>
      <c r="C1001" s="7" t="str">
        <f>IFERROR(__xludf.DUMMYFUNCTION("""COMPUTED_VALUE"""),"M. N12856/ RAJABASA")</f>
        <v>M. N12856/ RAJABASA</v>
      </c>
      <c r="D1001" s="7"/>
      <c r="E1001" s="7"/>
      <c r="F1001" s="9" t="str">
        <f>IFERROR(__xludf.DUMMYFUNCTION("""COMPUTED_VALUE"""),"")</f>
        <v/>
      </c>
      <c r="G1001" s="7" t="str">
        <f>IFERROR(__xludf.DUMMYFUNCTION("""COMPUTED_VALUE"""),"GANTI KELURAHAN")</f>
        <v>GANTI KELURAHAN</v>
      </c>
      <c r="H1001" s="7">
        <f t="shared" si="1"/>
        <v>483</v>
      </c>
    </row>
    <row r="1002" ht="22.5" customHeight="1">
      <c r="B1002" s="7" t="str">
        <f>IFERROR(__xludf.DUMMYFUNCTION("""COMPUTED_VALUE"""),"K/22/081124/2")</f>
        <v>K/22/081124/2</v>
      </c>
      <c r="C1002" s="7" t="str">
        <f>IFERROR(__xludf.DUMMYFUNCTION("""COMPUTED_VALUE"""),"M. 12543/ Tanjung Baru")</f>
        <v>M. 12543/ Tanjung Baru</v>
      </c>
      <c r="D1002" s="7"/>
      <c r="E1002" s="7"/>
      <c r="F1002" s="9" t="str">
        <f>IFERROR(__xludf.DUMMYFUNCTION("""COMPUTED_VALUE"""),"")</f>
        <v/>
      </c>
      <c r="G1002" s="7" t="str">
        <f>IFERROR(__xludf.DUMMYFUNCTION("""COMPUTED_VALUE"""),"GANTI KELURAHAN")</f>
        <v>GANTI KELURAHAN</v>
      </c>
      <c r="H1002" s="7">
        <f t="shared" si="1"/>
        <v>483</v>
      </c>
    </row>
    <row r="1003" ht="22.5" customHeight="1">
      <c r="B1003" s="7" t="str">
        <f>IFERROR(__xludf.DUMMYFUNCTION("""COMPUTED_VALUE"""),"K/23/081124/1")</f>
        <v>K/23/081124/1</v>
      </c>
      <c r="C1003" s="7" t="str">
        <f>IFERROR(__xludf.DUMMYFUNCTION("""COMPUTED_VALUE"""),"Nibel 1229/ Labuhan Dalam")</f>
        <v>Nibel 1229/ Labuhan Dalam</v>
      </c>
      <c r="D1003" s="7"/>
      <c r="E1003" s="7"/>
      <c r="F1003" s="9" t="str">
        <f>IFERROR(__xludf.DUMMYFUNCTION("""COMPUTED_VALUE"""),"")</f>
        <v/>
      </c>
      <c r="G1003" s="7" t="str">
        <f>IFERROR(__xludf.DUMMYFUNCTION("""COMPUTED_VALUE"""),"BN JUAL BELI")</f>
        <v>BN JUAL BELI</v>
      </c>
      <c r="H1003" s="7">
        <f t="shared" si="1"/>
        <v>483</v>
      </c>
    </row>
    <row r="1004" ht="22.5" customHeight="1">
      <c r="B1004" s="7" t="str">
        <f>IFERROR(__xludf.DUMMYFUNCTION("""COMPUTED_VALUE"""),"K/24/081124/2")</f>
        <v>K/24/081124/2</v>
      </c>
      <c r="C1004" s="7" t="str">
        <f>IFERROR(__xludf.DUMMYFUNCTION("""COMPUTED_VALUE"""),"M. 813/WAY DADI- SEKARANG; M. 13188/SUKARAME I")</f>
        <v>M. 813/WAY DADI- SEKARANG; M. 13188/SUKARAME I</v>
      </c>
      <c r="D1004" s="7" t="str">
        <f>IFERROR(__xludf.DUMMYFUNCTION("""COMPUTED_VALUE"""),"Berry")</f>
        <v>Berry</v>
      </c>
      <c r="E1004" s="7" t="str">
        <f>IFERROR(__xludf.DUMMYFUNCTION("""COMPUTED_VALUE"""),"PROSES")</f>
        <v>PROSES</v>
      </c>
      <c r="F1004" s="9" t="str">
        <f>IFERROR(__xludf.DUMMYFUNCTION("""COMPUTED_VALUE"""),"")</f>
        <v/>
      </c>
      <c r="G1004" s="7" t="str">
        <f>IFERROR(__xludf.DUMMYFUNCTION("""COMPUTED_VALUE"""),"BN JUAL BELI")</f>
        <v>BN JUAL BELI</v>
      </c>
      <c r="H1004" s="7">
        <f t="shared" si="1"/>
        <v>483</v>
      </c>
    </row>
    <row r="1005" ht="22.5" customHeight="1">
      <c r="B1005" s="7" t="str">
        <f>IFERROR(__xludf.DUMMYFUNCTION("""COMPUTED_VALUE"""),"K/25/081124/1")</f>
        <v>K/25/081124/1</v>
      </c>
      <c r="C1005" s="7" t="str">
        <f>IFERROR(__xludf.DUMMYFUNCTION("""COMPUTED_VALUE"""),"M. 2076/ Kota Baru")</f>
        <v>M. 2076/ Kota Baru</v>
      </c>
      <c r="D1005" s="7" t="str">
        <f>IFERROR(__xludf.DUMMYFUNCTION("""COMPUTED_VALUE"""),"Berry")</f>
        <v>Berry</v>
      </c>
      <c r="E1005" s="7" t="str">
        <f>IFERROR(__xludf.DUMMYFUNCTION("""COMPUTED_VALUE"""),"DISERAHKAN")</f>
        <v>DISERAHKAN</v>
      </c>
      <c r="F1005" s="9">
        <f>IFERROR(__xludf.DUMMYFUNCTION("""COMPUTED_VALUE"""),45607.638330856484)</f>
        <v>45607.63833</v>
      </c>
      <c r="G1005" s="7" t="str">
        <f>IFERROR(__xludf.DUMMYFUNCTION("""COMPUTED_VALUE"""),"BN JUAL BELI")</f>
        <v>BN JUAL BELI</v>
      </c>
      <c r="H1005" s="7">
        <f t="shared" si="1"/>
        <v>484</v>
      </c>
    </row>
    <row r="1006" ht="22.5" customHeight="1">
      <c r="B1006" s="7" t="str">
        <f>IFERROR(__xludf.DUMMYFUNCTION("""COMPUTED_VALUE"""),"K/26/081124/2")</f>
        <v>K/26/081124/2</v>
      </c>
      <c r="C1006" s="7" t="str">
        <f>IFERROR(__xludf.DUMMYFUNCTION("""COMPUTED_VALUE"""),"M.1711/RAJABASA NUNYAI")</f>
        <v>M.1711/RAJABASA NUNYAI</v>
      </c>
      <c r="D1006" s="7" t="str">
        <f>IFERROR(__xludf.DUMMYFUNCTION("""COMPUTED_VALUE"""),"Berry")</f>
        <v>Berry</v>
      </c>
      <c r="E1006" s="7" t="str">
        <f>IFERROR(__xludf.DUMMYFUNCTION("""COMPUTED_VALUE"""),"DISERAHKAN")</f>
        <v>DISERAHKAN</v>
      </c>
      <c r="F1006" s="9">
        <f>IFERROR(__xludf.DUMMYFUNCTION("""COMPUTED_VALUE"""),45607.63878335648)</f>
        <v>45607.63878</v>
      </c>
      <c r="G1006" s="7" t="str">
        <f>IFERROR(__xludf.DUMMYFUNCTION("""COMPUTED_VALUE"""),"BN JUAL BELI")</f>
        <v>BN JUAL BELI</v>
      </c>
      <c r="H1006" s="7">
        <f t="shared" si="1"/>
        <v>485</v>
      </c>
    </row>
    <row r="1007" ht="22.5" customHeight="1">
      <c r="B1007" s="7" t="str">
        <f>IFERROR(__xludf.DUMMYFUNCTION("""COMPUTED_VALUE"""),"L/27/081124/1")</f>
        <v>L/27/081124/1</v>
      </c>
      <c r="C1007" s="7" t="str">
        <f>IFERROR(__xludf.DUMMYFUNCTION("""COMPUTED_VALUE"""),"HM 683/JAGABAYA III")</f>
        <v>HM 683/JAGABAYA III</v>
      </c>
      <c r="D1007" s="7" t="str">
        <f>IFERROR(__xludf.DUMMYFUNCTION("""COMPUTED_VALUE"""),"Berry")</f>
        <v>Berry</v>
      </c>
      <c r="E1007" s="7" t="str">
        <f>IFERROR(__xludf.DUMMYFUNCTION("""COMPUTED_VALUE"""),"DISERAHKAN BT")</f>
        <v>DISERAHKAN BT</v>
      </c>
      <c r="F1007" s="9">
        <f>IFERROR(__xludf.DUMMYFUNCTION("""COMPUTED_VALUE"""),45607.63896804398)</f>
        <v>45607.63897</v>
      </c>
      <c r="G1007" s="7" t="str">
        <f>IFERROR(__xludf.DUMMYFUNCTION("""COMPUTED_VALUE"""),"ROYA")</f>
        <v>ROYA</v>
      </c>
      <c r="H1007" s="7">
        <f t="shared" si="1"/>
        <v>485</v>
      </c>
    </row>
    <row r="1008" ht="22.5" customHeight="1">
      <c r="B1008" s="7" t="str">
        <f>IFERROR(__xludf.DUMMYFUNCTION("""COMPUTED_VALUE"""),"K/28/081124/1")</f>
        <v>K/28/081124/1</v>
      </c>
      <c r="C1008" s="7" t="str">
        <f>IFERROR(__xludf.DUMMYFUNCTION("""COMPUTED_VALUE"""),"M. 1079/ JAGABAYA III")</f>
        <v>M. 1079/ JAGABAYA III</v>
      </c>
      <c r="D1008" s="7"/>
      <c r="E1008" s="7"/>
      <c r="F1008" s="9" t="str">
        <f>IFERROR(__xludf.DUMMYFUNCTION("""COMPUTED_VALUE"""),"")</f>
        <v/>
      </c>
      <c r="G1008" s="7" t="str">
        <f>IFERROR(__xludf.DUMMYFUNCTION("""COMPUTED_VALUE"""),"GANTI KECAMATAN")</f>
        <v>GANTI KECAMATAN</v>
      </c>
      <c r="H1008" s="7">
        <f t="shared" si="1"/>
        <v>485</v>
      </c>
    </row>
    <row r="1009" ht="22.5" customHeight="1">
      <c r="B1009" s="7" t="str">
        <f>IFERROR(__xludf.DUMMYFUNCTION("""COMPUTED_VALUE"""),"K/29/081124/2")</f>
        <v>K/29/081124/2</v>
      </c>
      <c r="C1009" s="7" t="str">
        <f>IFERROR(__xludf.DUMMYFUNCTION("""COMPUTED_VALUE"""),"M. 2329/ SEPANG JAYA")</f>
        <v>M. 2329/ SEPANG JAYA</v>
      </c>
      <c r="D1009" s="7"/>
      <c r="E1009" s="7"/>
      <c r="F1009" s="9" t="str">
        <f>IFERROR(__xludf.DUMMYFUNCTION("""COMPUTED_VALUE"""),"")</f>
        <v/>
      </c>
      <c r="G1009" s="7" t="str">
        <f>IFERROR(__xludf.DUMMYFUNCTION("""COMPUTED_VALUE"""),"PENGECEKKAN")</f>
        <v>PENGECEKKAN</v>
      </c>
      <c r="H1009" s="7">
        <f t="shared" si="1"/>
        <v>485</v>
      </c>
    </row>
    <row r="1010" ht="22.5" customHeight="1">
      <c r="B1010" s="7" t="str">
        <f>IFERROR(__xludf.DUMMYFUNCTION("""COMPUTED_VALUE"""),"K/30/081124/3")</f>
        <v>K/30/081124/3</v>
      </c>
      <c r="C1010" s="7" t="str">
        <f>IFERROR(__xludf.DUMMYFUNCTION("""COMPUTED_VALUE"""),"M. 695/ RAJABASA NUNYAI")</f>
        <v>M. 695/ RAJABASA NUNYAI</v>
      </c>
      <c r="D1010" s="7"/>
      <c r="E1010" s="7"/>
      <c r="F1010" s="9" t="str">
        <f>IFERROR(__xludf.DUMMYFUNCTION("""COMPUTED_VALUE"""),"")</f>
        <v/>
      </c>
      <c r="G1010" s="7" t="str">
        <f>IFERROR(__xludf.DUMMYFUNCTION("""COMPUTED_VALUE"""),"PENGECEKKAN")</f>
        <v>PENGECEKKAN</v>
      </c>
      <c r="H1010" s="7">
        <f t="shared" si="1"/>
        <v>485</v>
      </c>
    </row>
    <row r="1011" ht="22.5" customHeight="1">
      <c r="B1011" s="7" t="str">
        <f>IFERROR(__xludf.DUMMYFUNCTION("""COMPUTED_VALUE"""),"K/31/081124/1")</f>
        <v>K/31/081124/1</v>
      </c>
      <c r="C1011" s="7" t="str">
        <f>IFERROR(__xludf.DUMMYFUNCTION("""COMPUTED_VALUE"""),"M.301/PERUMNAS WAY KANDIS-SEKARANG;B.695/WAY KANDIS")</f>
        <v>M.301/PERUMNAS WAY KANDIS-SEKARANG;B.695/WAY KANDIS</v>
      </c>
      <c r="D1011" s="7"/>
      <c r="E1011" s="7"/>
      <c r="F1011" s="9" t="str">
        <f>IFERROR(__xludf.DUMMYFUNCTION("""COMPUTED_VALUE"""),"")</f>
        <v/>
      </c>
      <c r="G1011" s="7" t="str">
        <f>IFERROR(__xludf.DUMMYFUNCTION("""COMPUTED_VALUE"""),"PLOTING")</f>
        <v>PLOTING</v>
      </c>
      <c r="H1011" s="7">
        <f t="shared" si="1"/>
        <v>485</v>
      </c>
    </row>
    <row r="1012" ht="22.5" customHeight="1">
      <c r="B1012" s="7" t="str">
        <f>IFERROR(__xludf.DUMMYFUNCTION("""COMPUTED_VALUE"""),"K/32/081124/2")</f>
        <v>K/32/081124/2</v>
      </c>
      <c r="C1012" s="7" t="str">
        <f>IFERROR(__xludf.DUMMYFUNCTION("""COMPUTED_VALUE"""),"M.970/KUPANG KOTA")</f>
        <v>M.970/KUPANG KOTA</v>
      </c>
      <c r="D1012" s="7"/>
      <c r="E1012" s="7"/>
      <c r="F1012" s="9" t="str">
        <f>IFERROR(__xludf.DUMMYFUNCTION("""COMPUTED_VALUE"""),"")</f>
        <v/>
      </c>
      <c r="G1012" s="7" t="str">
        <f>IFERROR(__xludf.DUMMYFUNCTION("""COMPUTED_VALUE"""),"PLOTING")</f>
        <v>PLOTING</v>
      </c>
      <c r="H1012" s="7">
        <f t="shared" si="1"/>
        <v>485</v>
      </c>
    </row>
    <row r="1013" ht="22.5" customHeight="1">
      <c r="B1013" s="7" t="str">
        <f>IFERROR(__xludf.DUMMYFUNCTION("""COMPUTED_VALUE"""),"K/33/081124/3")</f>
        <v>K/33/081124/3</v>
      </c>
      <c r="C1013" s="7" t="str">
        <f>IFERROR(__xludf.DUMMYFUNCTION("""COMPUTED_VALUE"""),"M.6974/TANJUNG SENENG")</f>
        <v>M.6974/TANJUNG SENENG</v>
      </c>
      <c r="D1013" s="7"/>
      <c r="E1013" s="7"/>
      <c r="F1013" s="9" t="str">
        <f>IFERROR(__xludf.DUMMYFUNCTION("""COMPUTED_VALUE"""),"")</f>
        <v/>
      </c>
      <c r="G1013" s="7" t="str">
        <f>IFERROR(__xludf.DUMMYFUNCTION("""COMPUTED_VALUE"""),"PENGECEKAN")</f>
        <v>PENGECEKAN</v>
      </c>
      <c r="H1013" s="7">
        <f t="shared" si="1"/>
        <v>485</v>
      </c>
    </row>
    <row r="1014" ht="22.5" customHeight="1">
      <c r="B1014" s="7" t="str">
        <f>IFERROR(__xludf.DUMMYFUNCTION("""COMPUTED_VALUE"""),"K/34/081124/4")</f>
        <v>K/34/081124/4</v>
      </c>
      <c r="C1014" s="7" t="str">
        <f>IFERROR(__xludf.DUMMYFUNCTION("""COMPUTED_VALUE"""),"M.6814/TANJUNG SENENG")</f>
        <v>M.6814/TANJUNG SENENG</v>
      </c>
      <c r="D1014" s="7"/>
      <c r="E1014" s="7"/>
      <c r="F1014" s="9" t="str">
        <f>IFERROR(__xludf.DUMMYFUNCTION("""COMPUTED_VALUE"""),"")</f>
        <v/>
      </c>
      <c r="G1014" s="7" t="str">
        <f>IFERROR(__xludf.DUMMYFUNCTION("""COMPUTED_VALUE"""),"PENGECEKAN")</f>
        <v>PENGECEKAN</v>
      </c>
      <c r="H1014" s="7">
        <f t="shared" si="1"/>
        <v>485</v>
      </c>
    </row>
    <row r="1015" ht="22.5" customHeight="1">
      <c r="B1015" s="7" t="str">
        <f>IFERROR(__xludf.DUMMYFUNCTION("""COMPUTED_VALUE"""),"K/35/081124/5")</f>
        <v>K/35/081124/5</v>
      </c>
      <c r="C1015" s="7" t="str">
        <f>IFERROR(__xludf.DUMMYFUNCTION("""COMPUTED_VALUE"""),"M.6867/TANJUNG SENENG")</f>
        <v>M.6867/TANJUNG SENENG</v>
      </c>
      <c r="D1015" s="7" t="str">
        <f>IFERROR(__xludf.DUMMYFUNCTION("""COMPUTED_VALUE"""),"Berry")</f>
        <v>Berry</v>
      </c>
      <c r="E1015" s="7" t="str">
        <f>IFERROR(__xludf.DUMMYFUNCTION("""COMPUTED_VALUE"""),"DISERAHKAN")</f>
        <v>DISERAHKAN</v>
      </c>
      <c r="F1015" s="9">
        <f>IFERROR(__xludf.DUMMYFUNCTION("""COMPUTED_VALUE"""),45607.63952266204)</f>
        <v>45607.63952</v>
      </c>
      <c r="G1015" s="7" t="str">
        <f>IFERROR(__xludf.DUMMYFUNCTION("""COMPUTED_VALUE"""),"BN JUAL BELI")</f>
        <v>BN JUAL BELI</v>
      </c>
      <c r="H1015" s="7">
        <f t="shared" si="1"/>
        <v>486</v>
      </c>
    </row>
    <row r="1016" ht="22.5" customHeight="1">
      <c r="B1016" s="7" t="str">
        <f>IFERROR(__xludf.DUMMYFUNCTION("""COMPUTED_VALUE"""),"K/36/081124/1")</f>
        <v>K/36/081124/1</v>
      </c>
      <c r="C1016" s="7" t="str">
        <f>IFERROR(__xludf.DUMMYFUNCTION("""COMPUTED_VALUE"""),"M. 6416/WAY KANDIS")</f>
        <v>M. 6416/WAY KANDIS</v>
      </c>
      <c r="D1016" s="7" t="str">
        <f>IFERROR(__xludf.DUMMYFUNCTION("""COMPUTED_VALUE"""),"Berry")</f>
        <v>Berry</v>
      </c>
      <c r="E1016" s="7" t="str">
        <f>IFERROR(__xludf.DUMMYFUNCTION("""COMPUTED_VALUE"""),"DISERAHKAN")</f>
        <v>DISERAHKAN</v>
      </c>
      <c r="F1016" s="9">
        <f>IFERROR(__xludf.DUMMYFUNCTION("""COMPUTED_VALUE"""),45607.64260979167)</f>
        <v>45607.64261</v>
      </c>
      <c r="G1016" s="7" t="str">
        <f>IFERROR(__xludf.DUMMYFUNCTION("""COMPUTED_VALUE"""),"BN JUAL BELI")</f>
        <v>BN JUAL BELI</v>
      </c>
      <c r="H1016" s="7">
        <f t="shared" si="1"/>
        <v>487</v>
      </c>
    </row>
    <row r="1017" ht="22.5" customHeight="1">
      <c r="B1017" s="7" t="str">
        <f>IFERROR(__xludf.DUMMYFUNCTION("""COMPUTED_VALUE"""),"K/39/081124/1")</f>
        <v>K/39/081124/1</v>
      </c>
      <c r="C1017" s="7" t="str">
        <f>IFERROR(__xludf.DUMMYFUNCTION("""COMPUTED_VALUE"""),"Nibel. M.3301/ Tanjung Senang")</f>
        <v>Nibel. M.3301/ Tanjung Senang</v>
      </c>
      <c r="D1017" s="7"/>
      <c r="E1017" s="7"/>
      <c r="F1017" s="9" t="str">
        <f>IFERROR(__xludf.DUMMYFUNCTION("""COMPUTED_VALUE"""),"")</f>
        <v/>
      </c>
      <c r="G1017" s="7" t="str">
        <f>IFERROR(__xludf.DUMMYFUNCTION("""COMPUTED_VALUE"""),"BN Lelang")</f>
        <v>BN Lelang</v>
      </c>
      <c r="H1017" s="7">
        <f t="shared" si="1"/>
        <v>487</v>
      </c>
    </row>
    <row r="1018" ht="22.5" customHeight="1">
      <c r="B1018" s="7" t="str">
        <f>IFERROR(__xludf.DUMMYFUNCTION("""COMPUTED_VALUE"""),"K/37/081124/2")</f>
        <v>K/37/081124/2</v>
      </c>
      <c r="C1018" s="7" t="str">
        <f>IFERROR(__xludf.DUMMYFUNCTION("""COMPUTED_VALUE"""),"NIBEL M. 6180/PELITA")</f>
        <v>NIBEL M. 6180/PELITA</v>
      </c>
      <c r="D1018" s="7"/>
      <c r="E1018" s="7"/>
      <c r="F1018" s="9" t="str">
        <f>IFERROR(__xludf.DUMMYFUNCTION("""COMPUTED_VALUE"""),"")</f>
        <v/>
      </c>
      <c r="G1018" s="7" t="str">
        <f>IFERROR(__xludf.DUMMYFUNCTION("""COMPUTED_VALUE"""),"BN JUAL BELI")</f>
        <v>BN JUAL BELI</v>
      </c>
      <c r="H1018" s="7">
        <f t="shared" si="1"/>
        <v>487</v>
      </c>
    </row>
    <row r="1019" ht="22.5" customHeight="1">
      <c r="B1019" s="7" t="str">
        <f>IFERROR(__xludf.DUMMYFUNCTION("""COMPUTED_VALUE"""),"K/38/081124/3")</f>
        <v>K/38/081124/3</v>
      </c>
      <c r="C1019" s="7" t="str">
        <f>IFERROR(__xludf.DUMMYFUNCTION("""COMPUTED_VALUE"""),"NIBEL M. 6138/PELITA")</f>
        <v>NIBEL M. 6138/PELITA</v>
      </c>
      <c r="D1019" s="7"/>
      <c r="E1019" s="7"/>
      <c r="F1019" s="9" t="str">
        <f>IFERROR(__xludf.DUMMYFUNCTION("""COMPUTED_VALUE"""),"")</f>
        <v/>
      </c>
      <c r="G1019" s="7" t="str">
        <f>IFERROR(__xludf.DUMMYFUNCTION("""COMPUTED_VALUE"""),"BN JUAL BELI")</f>
        <v>BN JUAL BELI</v>
      </c>
      <c r="H1019" s="7">
        <f t="shared" si="1"/>
        <v>487</v>
      </c>
    </row>
    <row r="1020" ht="22.5" customHeight="1">
      <c r="B1020" s="7" t="str">
        <f>IFERROR(__xludf.DUMMYFUNCTION("""COMPUTED_VALUE"""),"K/40/081124/1")</f>
        <v>K/40/081124/1</v>
      </c>
      <c r="C1020" s="7" t="str">
        <f>IFERROR(__xludf.DUMMYFUNCTION("""COMPUTED_VALUE"""),"M. 70/ Garuntang")</f>
        <v>M. 70/ Garuntang</v>
      </c>
      <c r="D1020" s="7" t="str">
        <f>IFERROR(__xludf.DUMMYFUNCTION("""COMPUTED_VALUE"""),"Berry")</f>
        <v>Berry</v>
      </c>
      <c r="E1020" s="7" t="str">
        <f>IFERROR(__xludf.DUMMYFUNCTION("""COMPUTED_VALUE"""),"PROSES")</f>
        <v>PROSES</v>
      </c>
      <c r="F1020" s="9" t="str">
        <f>IFERROR(__xludf.DUMMYFUNCTION("""COMPUTED_VALUE"""),"")</f>
        <v/>
      </c>
      <c r="G1020" s="7" t="str">
        <f>IFERROR(__xludf.DUMMYFUNCTION("""COMPUTED_VALUE"""),"BN Waris")</f>
        <v>BN Waris</v>
      </c>
      <c r="H1020" s="7">
        <f t="shared" si="1"/>
        <v>487</v>
      </c>
    </row>
    <row r="1021" ht="22.5" customHeight="1">
      <c r="B1021" s="7" t="str">
        <f>IFERROR(__xludf.DUMMYFUNCTION("""COMPUTED_VALUE"""),"K/41/081124/1")</f>
        <v>K/41/081124/1</v>
      </c>
      <c r="C1021" s="7" t="str">
        <f>IFERROR(__xludf.DUMMYFUNCTION("""COMPUTED_VALUE"""),"M. 72/ LANGKAPURA BARU")</f>
        <v>M. 72/ LANGKAPURA BARU</v>
      </c>
      <c r="D1021" s="7"/>
      <c r="E1021" s="7"/>
      <c r="F1021" s="9" t="str">
        <f>IFERROR(__xludf.DUMMYFUNCTION("""COMPUTED_VALUE"""),"")</f>
        <v/>
      </c>
      <c r="G1021" s="7" t="str">
        <f>IFERROR(__xludf.DUMMYFUNCTION("""COMPUTED_VALUE"""),"PLOTTING")</f>
        <v>PLOTTING</v>
      </c>
      <c r="H1021" s="7">
        <f t="shared" si="1"/>
        <v>487</v>
      </c>
    </row>
    <row r="1022" ht="22.5" customHeight="1">
      <c r="B1022" s="7" t="str">
        <f>IFERROR(__xludf.DUMMYFUNCTION("""COMPUTED_VALUE"""),"K/42/081124/1")</f>
        <v>K/42/081124/1</v>
      </c>
      <c r="C1022" s="7" t="str">
        <f>IFERROR(__xludf.DUMMYFUNCTION("""COMPUTED_VALUE"""),"M.4432/GUNUNG TERANG")</f>
        <v>M.4432/GUNUNG TERANG</v>
      </c>
      <c r="D1022" s="7" t="str">
        <f>IFERROR(__xludf.DUMMYFUNCTION("""COMPUTED_VALUE"""),"Berry")</f>
        <v>Berry</v>
      </c>
      <c r="E1022" s="7" t="str">
        <f>IFERROR(__xludf.DUMMYFUNCTION("""COMPUTED_VALUE"""),"DISERAHKAN")</f>
        <v>DISERAHKAN</v>
      </c>
      <c r="F1022" s="9">
        <f>IFERROR(__xludf.DUMMYFUNCTION("""COMPUTED_VALUE"""),45607.64323743056)</f>
        <v>45607.64324</v>
      </c>
      <c r="G1022" s="7" t="str">
        <f>IFERROR(__xludf.DUMMYFUNCTION("""COMPUTED_VALUE"""),"KEWARISAN")</f>
        <v>KEWARISAN</v>
      </c>
      <c r="H1022" s="7">
        <f t="shared" si="1"/>
        <v>488</v>
      </c>
    </row>
    <row r="1023" ht="22.5" customHeight="1">
      <c r="B1023" s="7" t="str">
        <f>IFERROR(__xludf.DUMMYFUNCTION("""COMPUTED_VALUE"""),"K/43/081124/1")</f>
        <v>K/43/081124/1</v>
      </c>
      <c r="C1023" s="7" t="str">
        <f>IFERROR(__xludf.DUMMYFUNCTION("""COMPUTED_VALUE"""),"M. 1322/ Labuhan Dalam")</f>
        <v>M. 1322/ Labuhan Dalam</v>
      </c>
      <c r="D1023" s="7" t="str">
        <f>IFERROR(__xludf.DUMMYFUNCTION("""COMPUTED_VALUE"""),"Berry")</f>
        <v>Berry</v>
      </c>
      <c r="E1023" s="7" t="str">
        <f>IFERROR(__xludf.DUMMYFUNCTION("""COMPUTED_VALUE"""),"DISERAHKAN BT")</f>
        <v>DISERAHKAN BT</v>
      </c>
      <c r="F1023" s="9">
        <f>IFERROR(__xludf.DUMMYFUNCTION("""COMPUTED_VALUE"""),45607.64374388889)</f>
        <v>45607.64374</v>
      </c>
      <c r="G1023" s="7" t="str">
        <f>IFERROR(__xludf.DUMMYFUNCTION("""COMPUTED_VALUE"""),"ROYA")</f>
        <v>ROYA</v>
      </c>
      <c r="H1023" s="7">
        <f t="shared" si="1"/>
        <v>488</v>
      </c>
    </row>
    <row r="1024" ht="22.5" customHeight="1">
      <c r="B1024" s="7" t="str">
        <f>IFERROR(__xludf.DUMMYFUNCTION("""COMPUTED_VALUE"""),"K/44/081124/2")</f>
        <v>K/44/081124/2</v>
      </c>
      <c r="C1024" s="7" t="str">
        <f>IFERROR(__xludf.DUMMYFUNCTION("""COMPUTED_VALUE"""),"M. 9662/ KEDAMAIAN")</f>
        <v>M. 9662/ KEDAMAIAN</v>
      </c>
      <c r="D1024" s="7"/>
      <c r="E1024" s="7"/>
      <c r="F1024" s="9" t="str">
        <f>IFERROR(__xludf.DUMMYFUNCTION("""COMPUTED_VALUE"""),"")</f>
        <v/>
      </c>
      <c r="G1024" s="7" t="str">
        <f>IFERROR(__xludf.DUMMYFUNCTION("""COMPUTED_VALUE"""),"GANTI KECAMATAN")</f>
        <v>GANTI KECAMATAN</v>
      </c>
      <c r="H1024" s="7">
        <f t="shared" si="1"/>
        <v>488</v>
      </c>
    </row>
    <row r="1025" ht="22.5" customHeight="1">
      <c r="B1025" s="7" t="str">
        <f>IFERROR(__xludf.DUMMYFUNCTION("""COMPUTED_VALUE"""),"L/45/081124/1")</f>
        <v>L/45/081124/1</v>
      </c>
      <c r="C1025" s="7" t="str">
        <f>IFERROR(__xludf.DUMMYFUNCTION("""COMPUTED_VALUE"""),"HGB 4249/BERINGIN RAYA")</f>
        <v>HGB 4249/BERINGIN RAYA</v>
      </c>
      <c r="D1025" s="7"/>
      <c r="E1025" s="7"/>
      <c r="F1025" s="9" t="str">
        <f>IFERROR(__xludf.DUMMYFUNCTION("""COMPUTED_VALUE"""),"")</f>
        <v/>
      </c>
      <c r="G1025" s="7" t="str">
        <f>IFERROR(__xludf.DUMMYFUNCTION("""COMPUTED_VALUE"""),"GANDES")</f>
        <v>GANDES</v>
      </c>
      <c r="H1025" s="7">
        <f t="shared" si="1"/>
        <v>488</v>
      </c>
    </row>
    <row r="1026" ht="22.5" customHeight="1">
      <c r="B1026" s="7" t="str">
        <f>IFERROR(__xludf.DUMMYFUNCTION("""COMPUTED_VALUE"""),"K/47/081124/1")</f>
        <v>K/47/081124/1</v>
      </c>
      <c r="C1026" s="7" t="str">
        <f>IFERROR(__xludf.DUMMYFUNCTION("""COMPUTED_VALUE"""),"M.2593/CAMPANG RAYA-SEKARANG;B.2035/CAMPANG RAYA-DAHULU")</f>
        <v>M.2593/CAMPANG RAYA-SEKARANG;B.2035/CAMPANG RAYA-DAHULU</v>
      </c>
      <c r="D1026" s="7" t="str">
        <f>IFERROR(__xludf.DUMMYFUNCTION("""COMPUTED_VALUE"""),"Berry")</f>
        <v>Berry</v>
      </c>
      <c r="E1026" s="7" t="str">
        <f>IFERROR(__xludf.DUMMYFUNCTION("""COMPUTED_VALUE"""),"DISERAHKAN")</f>
        <v>DISERAHKAN</v>
      </c>
      <c r="F1026" s="9">
        <f>IFERROR(__xludf.DUMMYFUNCTION("""COMPUTED_VALUE"""),45607.64396295139)</f>
        <v>45607.64396</v>
      </c>
      <c r="G1026" s="7" t="str">
        <f>IFERROR(__xludf.DUMMYFUNCTION("""COMPUTED_VALUE"""),"ROYA")</f>
        <v>ROYA</v>
      </c>
      <c r="H1026" s="7">
        <f t="shared" si="1"/>
        <v>489</v>
      </c>
    </row>
    <row r="1027" ht="22.5" customHeight="1">
      <c r="B1027" s="7" t="str">
        <f>IFERROR(__xludf.DUMMYFUNCTION("""COMPUTED_VALUE"""),"K/46/081124/1")</f>
        <v>K/46/081124/1</v>
      </c>
      <c r="C1027" s="7" t="str">
        <f>IFERROR(__xludf.DUMMYFUNCTION("""COMPUTED_VALUE"""),"M. 1450/ Kupang Teba")</f>
        <v>M. 1450/ Kupang Teba</v>
      </c>
      <c r="D1027" s="7" t="str">
        <f>IFERROR(__xludf.DUMMYFUNCTION("""COMPUTED_VALUE"""),"Berry")</f>
        <v>Berry</v>
      </c>
      <c r="E1027" s="7" t="str">
        <f>IFERROR(__xludf.DUMMYFUNCTION("""COMPUTED_VALUE"""),"DISERAHKAN")</f>
        <v>DISERAHKAN</v>
      </c>
      <c r="F1027" s="9">
        <f>IFERROR(__xludf.DUMMYFUNCTION("""COMPUTED_VALUE"""),45607.64424469907)</f>
        <v>45607.64424</v>
      </c>
      <c r="G1027" s="7" t="str">
        <f>IFERROR(__xludf.DUMMYFUNCTION("""COMPUTED_VALUE"""),"BN Jual Beli")</f>
        <v>BN Jual Beli</v>
      </c>
      <c r="H1027" s="7">
        <f t="shared" si="1"/>
        <v>490</v>
      </c>
    </row>
    <row r="1028" ht="22.5" customHeight="1">
      <c r="B1028" s="7" t="str">
        <f>IFERROR(__xludf.DUMMYFUNCTION("""COMPUTED_VALUE"""),"K/48/081124/1")</f>
        <v>K/48/081124/1</v>
      </c>
      <c r="C1028" s="7" t="str">
        <f>IFERROR(__xludf.DUMMYFUNCTION("""COMPUTED_VALUE"""),"M.1114/PEMATANG WANGI")</f>
        <v>M.1114/PEMATANG WANGI</v>
      </c>
      <c r="D1028" s="7"/>
      <c r="E1028" s="7"/>
      <c r="F1028" s="9" t="str">
        <f>IFERROR(__xludf.DUMMYFUNCTION("""COMPUTED_VALUE"""),"")</f>
        <v/>
      </c>
      <c r="G1028" s="7" t="str">
        <f>IFERROR(__xludf.DUMMYFUNCTION("""COMPUTED_VALUE"""),"PENGECEKAN")</f>
        <v>PENGECEKAN</v>
      </c>
      <c r="H1028" s="7">
        <f t="shared" si="1"/>
        <v>490</v>
      </c>
    </row>
    <row r="1029" ht="22.5" customHeight="1">
      <c r="B1029" s="7" t="str">
        <f>IFERROR(__xludf.DUMMYFUNCTION("""COMPUTED_VALUE"""),"K/49/081124/1")</f>
        <v>K/49/081124/1</v>
      </c>
      <c r="C1029" s="7" t="str">
        <f>IFERROR(__xludf.DUMMYFUNCTION("""COMPUTED_VALUE"""),"M. 3493/ Kota Baru")</f>
        <v>M. 3493/ Kota Baru</v>
      </c>
      <c r="D1029" s="7" t="str">
        <f>IFERROR(__xludf.DUMMYFUNCTION("""COMPUTED_VALUE"""),"Berry")</f>
        <v>Berry</v>
      </c>
      <c r="E1029" s="7" t="str">
        <f>IFERROR(__xludf.DUMMYFUNCTION("""COMPUTED_VALUE"""),"DISERAHKAN")</f>
        <v>DISERAHKAN</v>
      </c>
      <c r="F1029" s="9">
        <f>IFERROR(__xludf.DUMMYFUNCTION("""COMPUTED_VALUE"""),45607.64445234954)</f>
        <v>45607.64445</v>
      </c>
      <c r="G1029" s="7" t="str">
        <f>IFERROR(__xludf.DUMMYFUNCTION("""COMPUTED_VALUE"""),"BN JUAL BELI")</f>
        <v>BN JUAL BELI</v>
      </c>
      <c r="H1029" s="7">
        <f t="shared" si="1"/>
        <v>491</v>
      </c>
    </row>
    <row r="1030" ht="22.5" customHeight="1">
      <c r="B1030" s="7" t="str">
        <f>IFERROR(__xludf.DUMMYFUNCTION("""COMPUTED_VALUE"""),"K/50/081124/1")</f>
        <v>K/50/081124/1</v>
      </c>
      <c r="C1030" s="7" t="str">
        <f>IFERROR(__xludf.DUMMYFUNCTION("""COMPUTED_VALUE"""),"B. 1183/ Sukabumi Indah")</f>
        <v>B. 1183/ Sukabumi Indah</v>
      </c>
      <c r="D1030" s="7"/>
      <c r="E1030" s="7"/>
      <c r="F1030" s="9" t="str">
        <f>IFERROR(__xludf.DUMMYFUNCTION("""COMPUTED_VALUE"""),"")</f>
        <v/>
      </c>
      <c r="G1030" s="7" t="str">
        <f>IFERROR(__xludf.DUMMYFUNCTION("""COMPUTED_VALUE"""),"Pengukuran HGB Berakhir")</f>
        <v>Pengukuran HGB Berakhir</v>
      </c>
      <c r="H1030" s="7">
        <f t="shared" si="1"/>
        <v>491</v>
      </c>
    </row>
    <row r="1031" ht="22.5" customHeight="1">
      <c r="B1031" s="7" t="str">
        <f>IFERROR(__xludf.DUMMYFUNCTION("""COMPUTED_VALUE"""),"K/51/081124/1")</f>
        <v>K/51/081124/1</v>
      </c>
      <c r="C1031" s="7" t="str">
        <f>IFERROR(__xludf.DUMMYFUNCTION("""COMPUTED_VALUE"""),"M. 541/ SAWAH LAMA")</f>
        <v>M. 541/ SAWAH LAMA</v>
      </c>
      <c r="D1031" s="7" t="str">
        <f>IFERROR(__xludf.DUMMYFUNCTION("""COMPUTED_VALUE"""),"Berry")</f>
        <v>Berry</v>
      </c>
      <c r="E1031" s="7" t="str">
        <f>IFERROR(__xludf.DUMMYFUNCTION("""COMPUTED_VALUE"""),"DISERAHKAN")</f>
        <v>DISERAHKAN</v>
      </c>
      <c r="F1031" s="9">
        <f>IFERROR(__xludf.DUMMYFUNCTION("""COMPUTED_VALUE"""),45607.64483900463)</f>
        <v>45607.64484</v>
      </c>
      <c r="G1031" s="7" t="str">
        <f>IFERROR(__xludf.DUMMYFUNCTION("""COMPUTED_VALUE"""),"BN HIBAH")</f>
        <v>BN HIBAH</v>
      </c>
      <c r="H1031" s="7">
        <f t="shared" si="1"/>
        <v>492</v>
      </c>
    </row>
    <row r="1032" ht="22.5" customHeight="1">
      <c r="B1032" s="7" t="str">
        <f>IFERROR(__xludf.DUMMYFUNCTION("""COMPUTED_VALUE"""),"K/52/081124/2")</f>
        <v>K/52/081124/2</v>
      </c>
      <c r="C1032" s="7" t="str">
        <f>IFERROR(__xludf.DUMMYFUNCTION("""COMPUTED_VALUE"""),"M. 19649/ Sukarame")</f>
        <v>M. 19649/ Sukarame</v>
      </c>
      <c r="D1032" s="7" t="str">
        <f>IFERROR(__xludf.DUMMYFUNCTION("""COMPUTED_VALUE"""),"Berry")</f>
        <v>Berry</v>
      </c>
      <c r="E1032" s="7" t="str">
        <f>IFERROR(__xludf.DUMMYFUNCTION("""COMPUTED_VALUE"""),"DISERAHKAN")</f>
        <v>DISERAHKAN</v>
      </c>
      <c r="F1032" s="9">
        <f>IFERROR(__xludf.DUMMYFUNCTION("""COMPUTED_VALUE"""),45607.645025868056)</f>
        <v>45607.64503</v>
      </c>
      <c r="G1032" s="7" t="str">
        <f>IFERROR(__xludf.DUMMYFUNCTION("""COMPUTED_VALUE"""),"BN Jual Beli")</f>
        <v>BN Jual Beli</v>
      </c>
      <c r="H1032" s="7">
        <f t="shared" si="1"/>
        <v>493</v>
      </c>
    </row>
    <row r="1033" ht="22.5" customHeight="1">
      <c r="B1033" s="7" t="str">
        <f>IFERROR(__xludf.DUMMYFUNCTION("""COMPUTED_VALUE"""),"K/53/081124/1")</f>
        <v>K/53/081124/1</v>
      </c>
      <c r="C1033" s="7" t="str">
        <f>IFERROR(__xludf.DUMMYFUNCTION("""COMPUTED_VALUE"""),"M. 324/ Korpri Raya")</f>
        <v>M. 324/ Korpri Raya</v>
      </c>
      <c r="D1033" s="7" t="str">
        <f>IFERROR(__xludf.DUMMYFUNCTION("""COMPUTED_VALUE"""),"Berry")</f>
        <v>Berry</v>
      </c>
      <c r="E1033" s="7" t="str">
        <f>IFERROR(__xludf.DUMMYFUNCTION("""COMPUTED_VALUE"""),"DISERAHKAN")</f>
        <v>DISERAHKAN</v>
      </c>
      <c r="F1033" s="9">
        <f>IFERROR(__xludf.DUMMYFUNCTION("""COMPUTED_VALUE"""),45607.64521569444)</f>
        <v>45607.64522</v>
      </c>
      <c r="G1033" s="7" t="str">
        <f>IFERROR(__xludf.DUMMYFUNCTION("""COMPUTED_VALUE"""),"BN Hibah")</f>
        <v>BN Hibah</v>
      </c>
      <c r="H1033" s="7">
        <f t="shared" si="1"/>
        <v>494</v>
      </c>
    </row>
    <row r="1034" ht="22.5" customHeight="1">
      <c r="B1034" s="7" t="str">
        <f>IFERROR(__xludf.DUMMYFUNCTION("""COMPUTED_VALUE"""),"K/1/091124/1")</f>
        <v>K/1/091124/1</v>
      </c>
      <c r="C1034" s="7" t="str">
        <f>IFERROR(__xludf.DUMMYFUNCTION("""COMPUTED_VALUE"""),"M. 9754/KEDAMAIAN")</f>
        <v>M. 9754/KEDAMAIAN</v>
      </c>
      <c r="D1034" s="7"/>
      <c r="E1034" s="7"/>
      <c r="F1034" s="9" t="str">
        <f>IFERROR(__xludf.DUMMYFUNCTION("""COMPUTED_VALUE"""),"")</f>
        <v/>
      </c>
      <c r="G1034" s="7" t="str">
        <f>IFERROR(__xludf.DUMMYFUNCTION("""COMPUTED_VALUE"""),"PLOTTING")</f>
        <v>PLOTTING</v>
      </c>
      <c r="H1034" s="7">
        <f t="shared" si="1"/>
        <v>494</v>
      </c>
    </row>
    <row r="1035" ht="22.5" customHeight="1">
      <c r="B1035" s="7" t="str">
        <f>IFERROR(__xludf.DUMMYFUNCTION("""COMPUTED_VALUE"""),"K/2/111124/1")</f>
        <v>K/2/111124/1</v>
      </c>
      <c r="C1035" s="7" t="str">
        <f>IFERROR(__xludf.DUMMYFUNCTION("""COMPUTED_VALUE"""),"Nibel 3185/ Beringin Raya")</f>
        <v>Nibel 3185/ Beringin Raya</v>
      </c>
      <c r="D1035" s="7"/>
      <c r="E1035" s="7"/>
      <c r="F1035" s="9" t="str">
        <f>IFERROR(__xludf.DUMMYFUNCTION("""COMPUTED_VALUE"""),"")</f>
        <v/>
      </c>
      <c r="G1035" s="7" t="str">
        <f>IFERROR(__xludf.DUMMYFUNCTION("""COMPUTED_VALUE"""),"BN JUAL BELI")</f>
        <v>BN JUAL BELI</v>
      </c>
      <c r="H1035" s="7">
        <f t="shared" si="1"/>
        <v>494</v>
      </c>
    </row>
    <row r="1036" ht="22.5" customHeight="1">
      <c r="B1036" s="7" t="str">
        <f>IFERROR(__xludf.DUMMYFUNCTION("""COMPUTED_VALUE"""),"L/3/111124/1")</f>
        <v>L/3/111124/1</v>
      </c>
      <c r="C1036" s="7" t="str">
        <f>IFERROR(__xludf.DUMMYFUNCTION("""COMPUTED_VALUE"""),"HM 11988/LABUHAN RATU")</f>
        <v>HM 11988/LABUHAN RATU</v>
      </c>
      <c r="D1036" s="7" t="str">
        <f>IFERROR(__xludf.DUMMYFUNCTION("""COMPUTED_VALUE"""),"Berry")</f>
        <v>Berry</v>
      </c>
      <c r="E1036" s="7" t="str">
        <f>IFERROR(__xludf.DUMMYFUNCTION("""COMPUTED_VALUE"""),"DISERAHKAN")</f>
        <v>DISERAHKAN</v>
      </c>
      <c r="F1036" s="9">
        <f>IFERROR(__xludf.DUMMYFUNCTION("""COMPUTED_VALUE"""),45616.47038950231)</f>
        <v>45616.47039</v>
      </c>
      <c r="G1036" s="7" t="str">
        <f>IFERROR(__xludf.DUMMYFUNCTION("""COMPUTED_VALUE"""),"ROYA")</f>
        <v>ROYA</v>
      </c>
      <c r="H1036" s="7">
        <f t="shared" si="1"/>
        <v>495</v>
      </c>
    </row>
    <row r="1037" ht="22.5" customHeight="1">
      <c r="B1037" s="7" t="str">
        <f>IFERROR(__xludf.DUMMYFUNCTION("""COMPUTED_VALUE"""),"K/4/111124/1")</f>
        <v>K/4/111124/1</v>
      </c>
      <c r="C1037" s="7" t="str">
        <f>IFERROR(__xludf.DUMMYFUNCTION("""COMPUTED_VALUE"""),"M.103/PINANG JAYA")</f>
        <v>M.103/PINANG JAYA</v>
      </c>
      <c r="D1037" s="7"/>
      <c r="E1037" s="7"/>
      <c r="F1037" s="9" t="str">
        <f>IFERROR(__xludf.DUMMYFUNCTION("""COMPUTED_VALUE"""),"")</f>
        <v/>
      </c>
      <c r="G1037" s="7" t="str">
        <f>IFERROR(__xludf.DUMMYFUNCTION("""COMPUTED_VALUE"""),"PLOTING")</f>
        <v>PLOTING</v>
      </c>
      <c r="H1037" s="7">
        <f t="shared" si="1"/>
        <v>495</v>
      </c>
    </row>
    <row r="1038" ht="22.5" customHeight="1">
      <c r="B1038" s="7" t="str">
        <f>IFERROR(__xludf.DUMMYFUNCTION("""COMPUTED_VALUE"""),"K/7/111124/1")</f>
        <v>K/7/111124/1</v>
      </c>
      <c r="C1038" s="7" t="str">
        <f>IFERROR(__xludf.DUMMYFUNCTION("""COMPUTED_VALUE"""),"M.1550/BUMI KEDAMAIAN-SEKARANG;M.6824/KEDAMAIAN-DAHULU")</f>
        <v>M.1550/BUMI KEDAMAIAN-SEKARANG;M.6824/KEDAMAIAN-DAHULU</v>
      </c>
      <c r="D1038" s="7"/>
      <c r="E1038" s="7"/>
      <c r="F1038" s="9" t="str">
        <f>IFERROR(__xludf.DUMMYFUNCTION("""COMPUTED_VALUE"""),"")</f>
        <v/>
      </c>
      <c r="G1038" s="7" t="str">
        <f>IFERROR(__xludf.DUMMYFUNCTION("""COMPUTED_VALUE"""),"PLOTING")</f>
        <v>PLOTING</v>
      </c>
      <c r="H1038" s="7">
        <f t="shared" si="1"/>
        <v>495</v>
      </c>
    </row>
    <row r="1039" ht="22.5" customHeight="1">
      <c r="B1039" s="7" t="str">
        <f>IFERROR(__xludf.DUMMYFUNCTION("""COMPUTED_VALUE"""),"K/5/111124/1")</f>
        <v>K/5/111124/1</v>
      </c>
      <c r="C1039" s="7" t="str">
        <f>IFERROR(__xludf.DUMMYFUNCTION("""COMPUTED_VALUE"""),"M. 1638/ Bumi Kedamaian")</f>
        <v>M. 1638/ Bumi Kedamaian</v>
      </c>
      <c r="D1039" s="7" t="str">
        <f>IFERROR(__xludf.DUMMYFUNCTION("""COMPUTED_VALUE"""),"Berry")</f>
        <v>Berry</v>
      </c>
      <c r="E1039" s="7" t="str">
        <f>IFERROR(__xludf.DUMMYFUNCTION("""COMPUTED_VALUE"""),"PROSES")</f>
        <v>PROSES</v>
      </c>
      <c r="F1039" s="9" t="str">
        <f>IFERROR(__xludf.DUMMYFUNCTION("""COMPUTED_VALUE"""),"")</f>
        <v/>
      </c>
      <c r="G1039" s="7" t="str">
        <f>IFERROR(__xludf.DUMMYFUNCTION("""COMPUTED_VALUE"""),"BN Waris")</f>
        <v>BN Waris</v>
      </c>
      <c r="H1039" s="7">
        <f t="shared" si="1"/>
        <v>495</v>
      </c>
    </row>
    <row r="1040" ht="22.5" customHeight="1">
      <c r="B1040" s="7" t="str">
        <f>IFERROR(__xludf.DUMMYFUNCTION("""COMPUTED_VALUE"""),"K/6/111124/2")</f>
        <v>K/6/111124/2</v>
      </c>
      <c r="C1040" s="7" t="str">
        <f>IFERROR(__xludf.DUMMYFUNCTION("""COMPUTED_VALUE"""),"M. 9657/ Labuhan Ratu")</f>
        <v>M. 9657/ Labuhan Ratu</v>
      </c>
      <c r="D1040" s="7" t="str">
        <f>IFERROR(__xludf.DUMMYFUNCTION("""COMPUTED_VALUE"""),"Berry")</f>
        <v>Berry</v>
      </c>
      <c r="E1040" s="7" t="str">
        <f>IFERROR(__xludf.DUMMYFUNCTION("""COMPUTED_VALUE"""),"DISERAHKAN")</f>
        <v>DISERAHKAN</v>
      </c>
      <c r="F1040" s="9">
        <f>IFERROR(__xludf.DUMMYFUNCTION("""COMPUTED_VALUE"""),45608.4388193287)</f>
        <v>45608.43882</v>
      </c>
      <c r="G1040" s="7" t="str">
        <f>IFERROR(__xludf.DUMMYFUNCTION("""COMPUTED_VALUE"""),"BN Waris")</f>
        <v>BN Waris</v>
      </c>
      <c r="H1040" s="7">
        <f t="shared" si="1"/>
        <v>496</v>
      </c>
    </row>
    <row r="1041" ht="22.5" customHeight="1">
      <c r="B1041" s="7" t="str">
        <f>IFERROR(__xludf.DUMMYFUNCTION("""COMPUTED_VALUE"""),"K/8/111124/1")</f>
        <v>K/8/111124/1</v>
      </c>
      <c r="C1041" s="7" t="str">
        <f>IFERROR(__xludf.DUMMYFUNCTION("""COMPUTED_VALUE"""),"M. 3347/ Kemiling Raya")</f>
        <v>M. 3347/ Kemiling Raya</v>
      </c>
      <c r="D1041" s="7" t="str">
        <f>IFERROR(__xludf.DUMMYFUNCTION("""COMPUTED_VALUE"""),"Berry")</f>
        <v>Berry</v>
      </c>
      <c r="E1041" s="7" t="str">
        <f>IFERROR(__xludf.DUMMYFUNCTION("""COMPUTED_VALUE"""),"PROSES")</f>
        <v>PROSES</v>
      </c>
      <c r="F1041" s="9" t="str">
        <f>IFERROR(__xludf.DUMMYFUNCTION("""COMPUTED_VALUE"""),"")</f>
        <v/>
      </c>
      <c r="G1041" s="7" t="str">
        <f>IFERROR(__xludf.DUMMYFUNCTION("""COMPUTED_VALUE"""),"BN Jual Beli")</f>
        <v>BN Jual Beli</v>
      </c>
      <c r="H1041" s="7">
        <f t="shared" si="1"/>
        <v>496</v>
      </c>
    </row>
    <row r="1042" ht="22.5" customHeight="1">
      <c r="B1042" s="7" t="str">
        <f>IFERROR(__xludf.DUMMYFUNCTION("""COMPUTED_VALUE"""),"K/9/111124/1")</f>
        <v>K/9/111124/1</v>
      </c>
      <c r="C1042" s="7" t="str">
        <f>IFERROR(__xludf.DUMMYFUNCTION("""COMPUTED_VALUE"""),"M. 815/ Rajabasa Pemuka")</f>
        <v>M. 815/ Rajabasa Pemuka</v>
      </c>
      <c r="D1042" s="7" t="str">
        <f>IFERROR(__xludf.DUMMYFUNCTION("""COMPUTED_VALUE"""),"Berry")</f>
        <v>Berry</v>
      </c>
      <c r="E1042" s="7" t="str">
        <f>IFERROR(__xludf.DUMMYFUNCTION("""COMPUTED_VALUE"""),"DISERAHKAN")</f>
        <v>DISERAHKAN</v>
      </c>
      <c r="F1042" s="9">
        <f>IFERROR(__xludf.DUMMYFUNCTION("""COMPUTED_VALUE"""),45608.44109331019)</f>
        <v>45608.44109</v>
      </c>
      <c r="G1042" s="7" t="str">
        <f>IFERROR(__xludf.DUMMYFUNCTION("""COMPUTED_VALUE"""),"BN LELANG")</f>
        <v>BN LELANG</v>
      </c>
      <c r="H1042" s="7">
        <f t="shared" si="1"/>
        <v>497</v>
      </c>
    </row>
    <row r="1043" ht="22.5" customHeight="1">
      <c r="B1043" s="7" t="str">
        <f>IFERROR(__xludf.DUMMYFUNCTION("""COMPUTED_VALUE"""),"K/10/111124/1")</f>
        <v>K/10/111124/1</v>
      </c>
      <c r="C1043" s="7" t="str">
        <f>IFERROR(__xludf.DUMMYFUNCTION("""COMPUTED_VALUE"""),"M. 10853/ Jagabaya II")</f>
        <v>M. 10853/ Jagabaya II</v>
      </c>
      <c r="D1043" s="7" t="str">
        <f>IFERROR(__xludf.DUMMYFUNCTION("""COMPUTED_VALUE"""),"Berry")</f>
        <v>Berry</v>
      </c>
      <c r="E1043" s="7" t="str">
        <f>IFERROR(__xludf.DUMMYFUNCTION("""COMPUTED_VALUE"""),"DISERAHKAN")</f>
        <v>DISERAHKAN</v>
      </c>
      <c r="F1043" s="9">
        <f>IFERROR(__xludf.DUMMYFUNCTION("""COMPUTED_VALUE"""),45608.441319861115)</f>
        <v>45608.44132</v>
      </c>
      <c r="G1043" s="7" t="str">
        <f>IFERROR(__xludf.DUMMYFUNCTION("""COMPUTED_VALUE"""),"ROYA")</f>
        <v>ROYA</v>
      </c>
      <c r="H1043" s="7">
        <f t="shared" si="1"/>
        <v>498</v>
      </c>
    </row>
    <row r="1044" ht="22.5" customHeight="1">
      <c r="B1044" s="7" t="str">
        <f>IFERROR(__xludf.DUMMYFUNCTION("""COMPUTED_VALUE"""),"K/11/111124/1")</f>
        <v>K/11/111124/1</v>
      </c>
      <c r="C1044" s="7" t="str">
        <f>IFERROR(__xludf.DUMMYFUNCTION("""COMPUTED_VALUE"""),"M. 11329/TANJUNG BARU")</f>
        <v>M. 11329/TANJUNG BARU</v>
      </c>
      <c r="D1044" s="7" t="str">
        <f>IFERROR(__xludf.DUMMYFUNCTION("""COMPUTED_VALUE"""),"Berry")</f>
        <v>Berry</v>
      </c>
      <c r="E1044" s="7" t="str">
        <f>IFERROR(__xludf.DUMMYFUNCTION("""COMPUTED_VALUE"""),"DISERAHKAN")</f>
        <v>DISERAHKAN</v>
      </c>
      <c r="F1044" s="9">
        <f>IFERROR(__xludf.DUMMYFUNCTION("""COMPUTED_VALUE"""),45608.4415825926)</f>
        <v>45608.44158</v>
      </c>
      <c r="G1044" s="7" t="str">
        <f>IFERROR(__xludf.DUMMYFUNCTION("""COMPUTED_VALUE"""),"ROYA")</f>
        <v>ROYA</v>
      </c>
      <c r="H1044" s="7">
        <f t="shared" si="1"/>
        <v>499</v>
      </c>
    </row>
    <row r="1045" ht="22.5" customHeight="1">
      <c r="B1045" s="7" t="str">
        <f>IFERROR(__xludf.DUMMYFUNCTION("""COMPUTED_VALUE"""),"K/12/111124/1")</f>
        <v>K/12/111124/1</v>
      </c>
      <c r="C1045" s="7" t="str">
        <f>IFERROR(__xludf.DUMMYFUNCTION("""COMPUTED_VALUE"""),"Nibel. M. 1113/ Bumi Raya")</f>
        <v>Nibel. M. 1113/ Bumi Raya</v>
      </c>
      <c r="D1045" s="7"/>
      <c r="E1045" s="7"/>
      <c r="F1045" s="9" t="str">
        <f>IFERROR(__xludf.DUMMYFUNCTION("""COMPUTED_VALUE"""),"")</f>
        <v/>
      </c>
      <c r="G1045" s="7" t="str">
        <f>IFERROR(__xludf.DUMMYFUNCTION("""COMPUTED_VALUE"""),"BN Lelang")</f>
        <v>BN Lelang</v>
      </c>
      <c r="H1045" s="7">
        <f t="shared" si="1"/>
        <v>499</v>
      </c>
    </row>
    <row r="1046" ht="22.5" customHeight="1">
      <c r="B1046" s="7" t="str">
        <f>IFERROR(__xludf.DUMMYFUNCTION("""COMPUTED_VALUE"""),"K/13/111124/1")</f>
        <v>K/13/111124/1</v>
      </c>
      <c r="C1046" s="7" t="str">
        <f>IFERROR(__xludf.DUMMYFUNCTION("""COMPUTED_VALUE"""),"M.8738/SUKABUMI")</f>
        <v>M.8738/SUKABUMI</v>
      </c>
      <c r="D1046" s="7" t="str">
        <f>IFERROR(__xludf.DUMMYFUNCTION("""COMPUTED_VALUE"""),"Berry")</f>
        <v>Berry</v>
      </c>
      <c r="E1046" s="7" t="str">
        <f>IFERROR(__xludf.DUMMYFUNCTION("""COMPUTED_VALUE"""),"PROSES")</f>
        <v>PROSES</v>
      </c>
      <c r="F1046" s="9" t="str">
        <f>IFERROR(__xludf.DUMMYFUNCTION("""COMPUTED_VALUE"""),"")</f>
        <v/>
      </c>
      <c r="G1046" s="7" t="str">
        <f>IFERROR(__xludf.DUMMYFUNCTION("""COMPUTED_VALUE"""),"BN JUAL BELI")</f>
        <v>BN JUAL BELI</v>
      </c>
      <c r="H1046" s="7">
        <f t="shared" si="1"/>
        <v>499</v>
      </c>
    </row>
    <row r="1047" ht="22.5" customHeight="1">
      <c r="B1047" s="7" t="str">
        <f>IFERROR(__xludf.DUMMYFUNCTION("""COMPUTED_VALUE"""),"K/14/111124/2")</f>
        <v>K/14/111124/2</v>
      </c>
      <c r="C1047" s="7" t="str">
        <f>IFERROR(__xludf.DUMMYFUNCTION("""COMPUTED_VALUE"""),"M. 428/SAWAH BREBES")</f>
        <v>M. 428/SAWAH BREBES</v>
      </c>
      <c r="D1047" s="7" t="str">
        <f>IFERROR(__xludf.DUMMYFUNCTION("""COMPUTED_VALUE"""),"Berry")</f>
        <v>Berry</v>
      </c>
      <c r="E1047" s="7" t="str">
        <f>IFERROR(__xludf.DUMMYFUNCTION("""COMPUTED_VALUE"""),"DISERAHKAN")</f>
        <v>DISERAHKAN</v>
      </c>
      <c r="F1047" s="9">
        <f>IFERROR(__xludf.DUMMYFUNCTION("""COMPUTED_VALUE"""),45608.44253255787)</f>
        <v>45608.44253</v>
      </c>
      <c r="G1047" s="7" t="str">
        <f>IFERROR(__xludf.DUMMYFUNCTION("""COMPUTED_VALUE"""),"BN JUAL BELI")</f>
        <v>BN JUAL BELI</v>
      </c>
      <c r="H1047" s="7">
        <f t="shared" si="1"/>
        <v>500</v>
      </c>
    </row>
    <row r="1048" ht="22.5" customHeight="1">
      <c r="B1048" s="7" t="str">
        <f>IFERROR(__xludf.DUMMYFUNCTION("""COMPUTED_VALUE"""),"K/15/111124/1")</f>
        <v>K/15/111124/1</v>
      </c>
      <c r="C1048" s="7" t="str">
        <f>IFERROR(__xludf.DUMMYFUNCTION("""COMPUTED_VALUE"""),"M. 16629/ Sukabumi")</f>
        <v>M. 16629/ Sukabumi</v>
      </c>
      <c r="D1048" s="7" t="str">
        <f>IFERROR(__xludf.DUMMYFUNCTION("""COMPUTED_VALUE"""),"Berry")</f>
        <v>Berry</v>
      </c>
      <c r="E1048" s="7" t="str">
        <f>IFERROR(__xludf.DUMMYFUNCTION("""COMPUTED_VALUE"""),"DISERAHKAN")</f>
        <v>DISERAHKAN</v>
      </c>
      <c r="F1048" s="9">
        <f>IFERROR(__xludf.DUMMYFUNCTION("""COMPUTED_VALUE"""),45608.4427050463)</f>
        <v>45608.44271</v>
      </c>
      <c r="G1048" s="7" t="str">
        <f>IFERROR(__xludf.DUMMYFUNCTION("""COMPUTED_VALUE"""),"BN Jual Beli")</f>
        <v>BN Jual Beli</v>
      </c>
      <c r="H1048" s="7">
        <f t="shared" si="1"/>
        <v>501</v>
      </c>
    </row>
    <row r="1049" ht="22.5" customHeight="1">
      <c r="B1049" s="7" t="str">
        <f>IFERROR(__xludf.DUMMYFUNCTION("""COMPUTED_VALUE"""),"K/16/111124/1")</f>
        <v>K/16/111124/1</v>
      </c>
      <c r="C1049" s="7" t="str">
        <f>IFERROR(__xludf.DUMMYFUNCTION("""COMPUTED_VALUE"""),"M.10866/SUKARAME I")</f>
        <v>M.10866/SUKARAME I</v>
      </c>
      <c r="D1049" s="7"/>
      <c r="E1049" s="7"/>
      <c r="F1049" s="9" t="str">
        <f>IFERROR(__xludf.DUMMYFUNCTION("""COMPUTED_VALUE"""),"")</f>
        <v/>
      </c>
      <c r="G1049" s="7" t="str">
        <f>IFERROR(__xludf.DUMMYFUNCTION("""COMPUTED_VALUE"""),"GANDES")</f>
        <v>GANDES</v>
      </c>
      <c r="H1049" s="7">
        <f t="shared" si="1"/>
        <v>501</v>
      </c>
    </row>
    <row r="1050" ht="22.5" customHeight="1">
      <c r="B1050" s="7" t="str">
        <f>IFERROR(__xludf.DUMMYFUNCTION("""COMPUTED_VALUE"""),"K/17/111124/1")</f>
        <v>K/17/111124/1</v>
      </c>
      <c r="C1050" s="7" t="str">
        <f>IFERROR(__xludf.DUMMYFUNCTION("""COMPUTED_VALUE"""),"M. 657/ Kangkung")</f>
        <v>M. 657/ Kangkung</v>
      </c>
      <c r="D1050" s="7" t="str">
        <f>IFERROR(__xludf.DUMMYFUNCTION("""COMPUTED_VALUE"""),"Berry")</f>
        <v>Berry</v>
      </c>
      <c r="E1050" s="7" t="str">
        <f>IFERROR(__xludf.DUMMYFUNCTION("""COMPUTED_VALUE"""),"PROSES")</f>
        <v>PROSES</v>
      </c>
      <c r="F1050" s="9" t="str">
        <f>IFERROR(__xludf.DUMMYFUNCTION("""COMPUTED_VALUE"""),"")</f>
        <v/>
      </c>
      <c r="G1050" s="7" t="str">
        <f>IFERROR(__xludf.DUMMYFUNCTION("""COMPUTED_VALUE"""),"BN Jual Beli")</f>
        <v>BN Jual Beli</v>
      </c>
      <c r="H1050" s="7">
        <f t="shared" si="1"/>
        <v>501</v>
      </c>
    </row>
    <row r="1051" ht="22.5" customHeight="1">
      <c r="B1051" s="7" t="str">
        <f>IFERROR(__xludf.DUMMYFUNCTION("""COMPUTED_VALUE"""),"K/18/111124/1")</f>
        <v>K/18/111124/1</v>
      </c>
      <c r="C1051" s="7" t="str">
        <f>IFERROR(__xludf.DUMMYFUNCTION("""COMPUTED_VALUE"""),"M. 6354/ Gunung Sulah")</f>
        <v>M. 6354/ Gunung Sulah</v>
      </c>
      <c r="D1051" s="7" t="str">
        <f>IFERROR(__xludf.DUMMYFUNCTION("""COMPUTED_VALUE"""),"Berry")</f>
        <v>Berry</v>
      </c>
      <c r="E1051" s="7" t="str">
        <f>IFERROR(__xludf.DUMMYFUNCTION("""COMPUTED_VALUE"""),"DISERAHKAN")</f>
        <v>DISERAHKAN</v>
      </c>
      <c r="F1051" s="9">
        <f>IFERROR(__xludf.DUMMYFUNCTION("""COMPUTED_VALUE"""),45608.44309722222)</f>
        <v>45608.4431</v>
      </c>
      <c r="G1051" s="7" t="str">
        <f>IFERROR(__xludf.DUMMYFUNCTION("""COMPUTED_VALUE"""),"BN HIBAH")</f>
        <v>BN HIBAH</v>
      </c>
      <c r="H1051" s="7">
        <f t="shared" si="1"/>
        <v>502</v>
      </c>
    </row>
    <row r="1052" ht="22.5" customHeight="1">
      <c r="B1052" s="7" t="str">
        <f>IFERROR(__xludf.DUMMYFUNCTION("""COMPUTED_VALUE"""),"K/19/111124/1")</f>
        <v>K/19/111124/1</v>
      </c>
      <c r="C1052" s="7" t="str">
        <f>IFERROR(__xludf.DUMMYFUNCTION("""COMPUTED_VALUE"""),"M. 3209/ Labuhan Dalam")</f>
        <v>M. 3209/ Labuhan Dalam</v>
      </c>
      <c r="D1052" s="7" t="str">
        <f>IFERROR(__xludf.DUMMYFUNCTION("""COMPUTED_VALUE"""),"Berry")</f>
        <v>Berry</v>
      </c>
      <c r="E1052" s="7" t="str">
        <f>IFERROR(__xludf.DUMMYFUNCTION("""COMPUTED_VALUE"""),"DISERAHKAN")</f>
        <v>DISERAHKAN</v>
      </c>
      <c r="F1052" s="9">
        <f>IFERROR(__xludf.DUMMYFUNCTION("""COMPUTED_VALUE"""),45608.44331989583)</f>
        <v>45608.44332</v>
      </c>
      <c r="G1052" s="7" t="str">
        <f>IFERROR(__xludf.DUMMYFUNCTION("""COMPUTED_VALUE"""),"BN Jual Beli")</f>
        <v>BN Jual Beli</v>
      </c>
      <c r="H1052" s="7">
        <f t="shared" si="1"/>
        <v>503</v>
      </c>
    </row>
    <row r="1053" ht="22.5" customHeight="1">
      <c r="B1053" s="7" t="str">
        <f>IFERROR(__xludf.DUMMYFUNCTION("""COMPUTED_VALUE"""),"K/20/111124/2")</f>
        <v>K/20/111124/2</v>
      </c>
      <c r="C1053" s="7" t="str">
        <f>IFERROR(__xludf.DUMMYFUNCTION("""COMPUTED_VALUE"""),"Nibel. M. 3511/ Gedong Meneng")</f>
        <v>Nibel. M. 3511/ Gedong Meneng</v>
      </c>
      <c r="D1053" s="7"/>
      <c r="E1053" s="7"/>
      <c r="F1053" s="9" t="str">
        <f>IFERROR(__xludf.DUMMYFUNCTION("""COMPUTED_VALUE"""),"")</f>
        <v/>
      </c>
      <c r="G1053" s="7" t="str">
        <f>IFERROR(__xludf.DUMMYFUNCTION("""COMPUTED_VALUE"""),"BN Jual Beli")</f>
        <v>BN Jual Beli</v>
      </c>
      <c r="H1053" s="7">
        <f t="shared" si="1"/>
        <v>503</v>
      </c>
    </row>
    <row r="1054" ht="22.5" customHeight="1">
      <c r="B1054" s="7" t="str">
        <f>IFERROR(__xludf.DUMMYFUNCTION("""COMPUTED_VALUE"""),"K/22/111124/2")</f>
        <v>K/22/111124/2</v>
      </c>
      <c r="C1054" s="7" t="str">
        <f>IFERROR(__xludf.DUMMYFUNCTION("""COMPUTED_VALUE"""),"Nibel 1517/ Sawah Brebes")</f>
        <v>Nibel 1517/ Sawah Brebes</v>
      </c>
      <c r="D1054" s="7"/>
      <c r="E1054" s="7"/>
      <c r="F1054" s="9" t="str">
        <f>IFERROR(__xludf.DUMMYFUNCTION("""COMPUTED_VALUE"""),"")</f>
        <v/>
      </c>
      <c r="G1054" s="7" t="str">
        <f>IFERROR(__xludf.DUMMYFUNCTION("""COMPUTED_VALUE"""),"BN JUAL BELI")</f>
        <v>BN JUAL BELI</v>
      </c>
      <c r="H1054" s="7">
        <f t="shared" si="1"/>
        <v>503</v>
      </c>
    </row>
    <row r="1055" ht="22.5" customHeight="1">
      <c r="B1055" s="7" t="str">
        <f>IFERROR(__xludf.DUMMYFUNCTION("""COMPUTED_VALUE"""),"K/23/111124/1")</f>
        <v>K/23/111124/1</v>
      </c>
      <c r="C1055" s="7" t="str">
        <f>IFERROR(__xludf.DUMMYFUNCTION("""COMPUTED_VALUE"""),"HMASRS. 152/SUMUR PUTRI")</f>
        <v>HMASRS. 152/SUMUR PUTRI</v>
      </c>
      <c r="D1055" s="7" t="str">
        <f>IFERROR(__xludf.DUMMYFUNCTION("""COMPUTED_VALUE"""),"David")</f>
        <v>David</v>
      </c>
      <c r="E1055" s="7" t="str">
        <f>IFERROR(__xludf.DUMMYFUNCTION("""COMPUTED_VALUE"""),"DISERAHKAN")</f>
        <v>DISERAHKAN</v>
      </c>
      <c r="F1055" s="9">
        <f>IFERROR(__xludf.DUMMYFUNCTION("""COMPUTED_VALUE"""),45608.44780916667)</f>
        <v>45608.44781</v>
      </c>
      <c r="G1055" s="7" t="str">
        <f>IFERROR(__xludf.DUMMYFUNCTION("""COMPUTED_VALUE"""),"BN JUAL BELI")</f>
        <v>BN JUAL BELI</v>
      </c>
      <c r="H1055" s="7">
        <f t="shared" si="1"/>
        <v>504</v>
      </c>
    </row>
    <row r="1056" ht="22.5" customHeight="1">
      <c r="B1056" s="7" t="str">
        <f>IFERROR(__xludf.DUMMYFUNCTION("""COMPUTED_VALUE"""),"K/21/111124/1")</f>
        <v>K/21/111124/1</v>
      </c>
      <c r="C1056" s="7" t="str">
        <f>IFERROR(__xludf.DUMMYFUNCTION("""COMPUTED_VALUE"""),"B.65/LABUHAN DALAM")</f>
        <v>B.65/LABUHAN DALAM</v>
      </c>
      <c r="D1056" s="7" t="str">
        <f>IFERROR(__xludf.DUMMYFUNCTION("""COMPUTED_VALUE"""),"David")</f>
        <v>David</v>
      </c>
      <c r="E1056" s="7" t="str">
        <f>IFERROR(__xludf.DUMMYFUNCTION("""COMPUTED_VALUE"""),"DISERAHKAN")</f>
        <v>DISERAHKAN</v>
      </c>
      <c r="F1056" s="9">
        <f>IFERROR(__xludf.DUMMYFUNCTION("""COMPUTED_VALUE"""),45608.4437555787)</f>
        <v>45608.44376</v>
      </c>
      <c r="G1056" s="7" t="str">
        <f>IFERROR(__xludf.DUMMYFUNCTION("""COMPUTED_VALUE"""),"ROYA")</f>
        <v>ROYA</v>
      </c>
      <c r="H1056" s="7">
        <f t="shared" si="1"/>
        <v>505</v>
      </c>
    </row>
    <row r="1057" ht="22.5" customHeight="1">
      <c r="B1057" s="7" t="str">
        <f>IFERROR(__xludf.DUMMYFUNCTION("""COMPUTED_VALUE"""),"K/25/111124/1")</f>
        <v>K/25/111124/1</v>
      </c>
      <c r="C1057" s="7" t="str">
        <f>IFERROR(__xludf.DUMMYFUNCTION("""COMPUTED_VALUE"""),"Nibel 3510/ Rajabasa Pemuka")</f>
        <v>Nibel 3510/ Rajabasa Pemuka</v>
      </c>
      <c r="D1057" s="7"/>
      <c r="E1057" s="7"/>
      <c r="F1057" s="9" t="str">
        <f>IFERROR(__xludf.DUMMYFUNCTION("""COMPUTED_VALUE"""),"")</f>
        <v/>
      </c>
      <c r="G1057" s="7" t="str">
        <f>IFERROR(__xludf.DUMMYFUNCTION("""COMPUTED_VALUE"""),"BN JUAL BELI")</f>
        <v>BN JUAL BELI</v>
      </c>
      <c r="H1057" s="7">
        <f t="shared" si="1"/>
        <v>505</v>
      </c>
    </row>
    <row r="1058" ht="22.5" customHeight="1">
      <c r="B1058" s="7" t="str">
        <f>IFERROR(__xludf.DUMMYFUNCTION("""COMPUTED_VALUE"""),"K/26/111124/1")</f>
        <v>K/26/111124/1</v>
      </c>
      <c r="C1058" s="7" t="str">
        <f>IFERROR(__xludf.DUMMYFUNCTION("""COMPUTED_VALUE"""),"B. 1677/ SUKARAME")</f>
        <v>B. 1677/ SUKARAME</v>
      </c>
      <c r="D1058" s="7"/>
      <c r="E1058" s="7"/>
      <c r="F1058" s="9" t="str">
        <f>IFERROR(__xludf.DUMMYFUNCTION("""COMPUTED_VALUE"""),"")</f>
        <v/>
      </c>
      <c r="G1058" s="7" t="str">
        <f>IFERROR(__xludf.DUMMYFUNCTION("""COMPUTED_VALUE"""),"PENGECEKAN")</f>
        <v>PENGECEKAN</v>
      </c>
      <c r="H1058" s="7">
        <f t="shared" si="1"/>
        <v>505</v>
      </c>
    </row>
    <row r="1059" ht="22.5" customHeight="1">
      <c r="B1059" s="7" t="str">
        <f>IFERROR(__xludf.DUMMYFUNCTION("""COMPUTED_VALUE"""),"K/28/111124/1")</f>
        <v>K/28/111124/1</v>
      </c>
      <c r="C1059" s="7" t="str">
        <f>IFERROR(__xludf.DUMMYFUNCTION("""COMPUTED_VALUE"""),"M.1280/KELAPA TIGA")</f>
        <v>M.1280/KELAPA TIGA</v>
      </c>
      <c r="D1059" s="7" t="str">
        <f>IFERROR(__xludf.DUMMYFUNCTION("""COMPUTED_VALUE"""),"David")</f>
        <v>David</v>
      </c>
      <c r="E1059" s="7" t="str">
        <f>IFERROR(__xludf.DUMMYFUNCTION("""COMPUTED_VALUE"""),"DISERAHKAN")</f>
        <v>DISERAHKAN</v>
      </c>
      <c r="F1059" s="9">
        <f>IFERROR(__xludf.DUMMYFUNCTION("""COMPUTED_VALUE"""),45608.4441334375)</f>
        <v>45608.44413</v>
      </c>
      <c r="G1059" s="7" t="str">
        <f>IFERROR(__xludf.DUMMYFUNCTION("""COMPUTED_VALUE"""),"KEWARISAN")</f>
        <v>KEWARISAN</v>
      </c>
      <c r="H1059" s="7">
        <f t="shared" si="1"/>
        <v>506</v>
      </c>
    </row>
    <row r="1060" ht="22.5" customHeight="1">
      <c r="B1060" s="7" t="str">
        <f>IFERROR(__xludf.DUMMYFUNCTION("""COMPUTED_VALUE"""),"K/27/111124/1")</f>
        <v>K/27/111124/1</v>
      </c>
      <c r="C1060" s="7" t="str">
        <f>IFERROR(__xludf.DUMMYFUNCTION("""COMPUTED_VALUE"""),"M. 1467; 1474/ Tanjung Karang; SHT 5221/2017 dan 2980/2017 dan 3713/2017 dan 3715/2017 dan 2985/2017")</f>
        <v>M. 1467; 1474/ Tanjung Karang; SHT 5221/2017 dan 2980/2017 dan 3713/2017 dan 3715/2017 dan 2985/2017</v>
      </c>
      <c r="D1060" s="7"/>
      <c r="E1060" s="7" t="str">
        <f>IFERROR(__xludf.DUMMYFUNCTION("""COMPUTED_VALUE"""),"PROSES")</f>
        <v>PROSES</v>
      </c>
      <c r="F1060" s="9" t="str">
        <f>IFERROR(__xludf.DUMMYFUNCTION("""COMPUTED_VALUE"""),"")</f>
        <v/>
      </c>
      <c r="G1060" s="7" t="str">
        <f>IFERROR(__xludf.DUMMYFUNCTION("""COMPUTED_VALUE"""),"Ganti Nama Kreditur")</f>
        <v>Ganti Nama Kreditur</v>
      </c>
      <c r="H1060" s="7">
        <f t="shared" si="1"/>
        <v>506</v>
      </c>
    </row>
    <row r="1061" ht="22.5" customHeight="1">
      <c r="B1061" s="7" t="str">
        <f>IFERROR(__xludf.DUMMYFUNCTION("""COMPUTED_VALUE"""),"K/31/111124/1")</f>
        <v>K/31/111124/1</v>
      </c>
      <c r="C1061" s="7" t="str">
        <f>IFERROR(__xludf.DUMMYFUNCTION("""COMPUTED_VALUE"""),"B. 256/ Kota Baru")</f>
        <v>B. 256/ Kota Baru</v>
      </c>
      <c r="D1061" s="7" t="str">
        <f>IFERROR(__xludf.DUMMYFUNCTION("""COMPUTED_VALUE"""),"David")</f>
        <v>David</v>
      </c>
      <c r="E1061" s="7" t="str">
        <f>IFERROR(__xludf.DUMMYFUNCTION("""COMPUTED_VALUE"""),"DISERAHKAN")</f>
        <v>DISERAHKAN</v>
      </c>
      <c r="F1061" s="9">
        <f>IFERROR(__xludf.DUMMYFUNCTION("""COMPUTED_VALUE"""),45608.444382939815)</f>
        <v>45608.44438</v>
      </c>
      <c r="G1061" s="7" t="str">
        <f>IFERROR(__xludf.DUMMYFUNCTION("""COMPUTED_VALUE"""),"BN JUAL BELI")</f>
        <v>BN JUAL BELI</v>
      </c>
      <c r="H1061" s="7">
        <f t="shared" si="1"/>
        <v>507</v>
      </c>
    </row>
    <row r="1062" ht="22.5" customHeight="1">
      <c r="B1062" s="7" t="str">
        <f>IFERROR(__xludf.DUMMYFUNCTION("""COMPUTED_VALUE"""),"K/24/111124/1")</f>
        <v>K/24/111124/1</v>
      </c>
      <c r="C1062" s="7" t="str">
        <f>IFERROR(__xludf.DUMMYFUNCTION("""COMPUTED_VALUE"""),"Nibel. M. 2723/ Kedaton")</f>
        <v>Nibel. M. 2723/ Kedaton</v>
      </c>
      <c r="D1062" s="7"/>
      <c r="E1062" s="7"/>
      <c r="F1062" s="9" t="str">
        <f>IFERROR(__xludf.DUMMYFUNCTION("""COMPUTED_VALUE"""),"")</f>
        <v/>
      </c>
      <c r="G1062" s="7" t="str">
        <f>IFERROR(__xludf.DUMMYFUNCTION("""COMPUTED_VALUE"""),"BN Jual Beli")</f>
        <v>BN Jual Beli</v>
      </c>
      <c r="H1062" s="7">
        <f t="shared" si="1"/>
        <v>507</v>
      </c>
    </row>
    <row r="1063" ht="22.5" customHeight="1">
      <c r="B1063" s="7" t="str">
        <f>IFERROR(__xludf.DUMMYFUNCTION("""COMPUTED_VALUE"""),"K/29/111124/3")</f>
        <v>K/29/111124/3</v>
      </c>
      <c r="C1063" s="7" t="str">
        <f>IFERROR(__xludf.DUMMYFUNCTION("""COMPUTED_VALUE"""),"M. 867/ Kupang Teba")</f>
        <v>M. 867/ Kupang Teba</v>
      </c>
      <c r="D1063" s="7" t="str">
        <f>IFERROR(__xludf.DUMMYFUNCTION("""COMPUTED_VALUE"""),"David")</f>
        <v>David</v>
      </c>
      <c r="E1063" s="7" t="str">
        <f>IFERROR(__xludf.DUMMYFUNCTION("""COMPUTED_VALUE"""),"DISERAHKAN")</f>
        <v>DISERAHKAN</v>
      </c>
      <c r="F1063" s="9">
        <f>IFERROR(__xludf.DUMMYFUNCTION("""COMPUTED_VALUE"""),45608.44488820602)</f>
        <v>45608.44489</v>
      </c>
      <c r="G1063" s="7" t="str">
        <f>IFERROR(__xludf.DUMMYFUNCTION("""COMPUTED_VALUE"""),"BN Jual Beli")</f>
        <v>BN Jual Beli</v>
      </c>
      <c r="H1063" s="7">
        <f t="shared" si="1"/>
        <v>508</v>
      </c>
    </row>
    <row r="1064" ht="22.5" customHeight="1">
      <c r="B1064" s="7" t="str">
        <f>IFERROR(__xludf.DUMMYFUNCTION("""COMPUTED_VALUE"""),"K/30/111124/4")</f>
        <v>K/30/111124/4</v>
      </c>
      <c r="C1064" s="7" t="str">
        <f>IFERROR(__xludf.DUMMYFUNCTION("""COMPUTED_VALUE"""),"M. 12739/ Kedaton")</f>
        <v>M. 12739/ Kedaton</v>
      </c>
      <c r="D1064" s="7" t="str">
        <f>IFERROR(__xludf.DUMMYFUNCTION("""COMPUTED_VALUE"""),"David")</f>
        <v>David</v>
      </c>
      <c r="E1064" s="7" t="str">
        <f>IFERROR(__xludf.DUMMYFUNCTION("""COMPUTED_VALUE"""),"PROSES")</f>
        <v>PROSES</v>
      </c>
      <c r="F1064" s="9" t="str">
        <f>IFERROR(__xludf.DUMMYFUNCTION("""COMPUTED_VALUE"""),"")</f>
        <v/>
      </c>
      <c r="G1064" s="7" t="str">
        <f>IFERROR(__xludf.DUMMYFUNCTION("""COMPUTED_VALUE"""),"BN Waris")</f>
        <v>BN Waris</v>
      </c>
      <c r="H1064" s="7">
        <f t="shared" si="1"/>
        <v>508</v>
      </c>
    </row>
    <row r="1065" ht="22.5" customHeight="1">
      <c r="B1065" s="7" t="str">
        <f>IFERROR(__xludf.DUMMYFUNCTION("""COMPUTED_VALUE"""),"K/32/111124/2")</f>
        <v>K/32/111124/2</v>
      </c>
      <c r="C1065" s="7" t="str">
        <f>IFERROR(__xludf.DUMMYFUNCTION("""COMPUTED_VALUE"""),"M.9663/SEGALA MIDER")</f>
        <v>M.9663/SEGALA MIDER</v>
      </c>
      <c r="D1065" s="7"/>
      <c r="E1065" s="7"/>
      <c r="F1065" s="9" t="str">
        <f>IFERROR(__xludf.DUMMYFUNCTION("""COMPUTED_VALUE"""),"")</f>
        <v/>
      </c>
      <c r="G1065" s="7" t="str">
        <f>IFERROR(__xludf.DUMMYFUNCTION("""COMPUTED_VALUE"""),"PLOTTING")</f>
        <v>PLOTTING</v>
      </c>
      <c r="H1065" s="7">
        <f t="shared" si="1"/>
        <v>508</v>
      </c>
    </row>
    <row r="1066" ht="22.5" customHeight="1">
      <c r="B1066" s="7" t="str">
        <f>IFERROR(__xludf.DUMMYFUNCTION("""COMPUTED_VALUE"""),"K/33/111124/1")</f>
        <v>K/33/111124/1</v>
      </c>
      <c r="C1066" s="7" t="str">
        <f>IFERROR(__xludf.DUMMYFUNCTION("""COMPUTED_VALUE"""),"M.2945/SUKARAME II")</f>
        <v>M.2945/SUKARAME II</v>
      </c>
      <c r="D1066" s="7" t="str">
        <f>IFERROR(__xludf.DUMMYFUNCTION("""COMPUTED_VALUE"""),"David")</f>
        <v>David</v>
      </c>
      <c r="E1066" s="7" t="str">
        <f>IFERROR(__xludf.DUMMYFUNCTION("""COMPUTED_VALUE"""),"DISERAHKAN")</f>
        <v>DISERAHKAN</v>
      </c>
      <c r="F1066" s="9">
        <f>IFERROR(__xludf.DUMMYFUNCTION("""COMPUTED_VALUE"""),45608.445190115744)</f>
        <v>45608.44519</v>
      </c>
      <c r="G1066" s="7" t="str">
        <f>IFERROR(__xludf.DUMMYFUNCTION("""COMPUTED_VALUE"""),"BN JUAL BELI")</f>
        <v>BN JUAL BELI</v>
      </c>
      <c r="H1066" s="7">
        <f t="shared" si="1"/>
        <v>509</v>
      </c>
    </row>
    <row r="1067" ht="22.5" customHeight="1">
      <c r="B1067" s="7" t="str">
        <f>IFERROR(__xludf.DUMMYFUNCTION("""COMPUTED_VALUE"""),"K/35/111124/1")</f>
        <v>K/35/111124/1</v>
      </c>
      <c r="C1067" s="7" t="str">
        <f>IFERROR(__xludf.DUMMYFUNCTION("""COMPUTED_VALUE"""),"NIBEL M. 2683/ PENENGAHAN RAYA")</f>
        <v>NIBEL M. 2683/ PENENGAHAN RAYA</v>
      </c>
      <c r="D1067" s="7"/>
      <c r="E1067" s="7"/>
      <c r="F1067" s="9" t="str">
        <f>IFERROR(__xludf.DUMMYFUNCTION("""COMPUTED_VALUE"""),"")</f>
        <v/>
      </c>
      <c r="G1067" s="7" t="str">
        <f>IFERROR(__xludf.DUMMYFUNCTION("""COMPUTED_VALUE"""),"BN APHB")</f>
        <v>BN APHB</v>
      </c>
      <c r="H1067" s="7">
        <f t="shared" si="1"/>
        <v>509</v>
      </c>
    </row>
    <row r="1068" ht="22.5" customHeight="1">
      <c r="B1068" s="7" t="str">
        <f>IFERROR(__xludf.DUMMYFUNCTION("""COMPUTED_VALUE"""),"L/36/111124/1")</f>
        <v>L/36/111124/1</v>
      </c>
      <c r="C1068" s="7" t="str">
        <f>IFERROR(__xludf.DUMMYFUNCTION("""COMPUTED_VALUE"""),"HM 1934/PENGAJARAN")</f>
        <v>HM 1934/PENGAJARAN</v>
      </c>
      <c r="D1068" s="7" t="str">
        <f>IFERROR(__xludf.DUMMYFUNCTION("""COMPUTED_VALUE"""),"David")</f>
        <v>David</v>
      </c>
      <c r="E1068" s="7" t="str">
        <f>IFERROR(__xludf.DUMMYFUNCTION("""COMPUTED_VALUE"""),"DISERAHKAN")</f>
        <v>DISERAHKAN</v>
      </c>
      <c r="F1068" s="9">
        <f>IFERROR(__xludf.DUMMYFUNCTION("""COMPUTED_VALUE"""),45608.44554418982)</f>
        <v>45608.44554</v>
      </c>
      <c r="G1068" s="7" t="str">
        <f>IFERROR(__xludf.DUMMYFUNCTION("""COMPUTED_VALUE"""),"BN WARIS")</f>
        <v>BN WARIS</v>
      </c>
      <c r="H1068" s="7">
        <f t="shared" si="1"/>
        <v>510</v>
      </c>
    </row>
    <row r="1069" ht="22.5" customHeight="1">
      <c r="B1069" s="7" t="str">
        <f>IFERROR(__xludf.DUMMYFUNCTION("""COMPUTED_VALUE"""),"L/37/111124/1")</f>
        <v>L/37/111124/1</v>
      </c>
      <c r="C1069" s="7" t="str">
        <f>IFERROR(__xludf.DUMMYFUNCTION("""COMPUTED_VALUE"""),"HM 17234/SUKARAME")</f>
        <v>HM 17234/SUKARAME</v>
      </c>
      <c r="D1069" s="7" t="str">
        <f>IFERROR(__xludf.DUMMYFUNCTION("""COMPUTED_VALUE"""),"David")</f>
        <v>David</v>
      </c>
      <c r="E1069" s="7" t="str">
        <f>IFERROR(__xludf.DUMMYFUNCTION("""COMPUTED_VALUE"""),"DISERAHKAN")</f>
        <v>DISERAHKAN</v>
      </c>
      <c r="F1069" s="9">
        <f>IFERROR(__xludf.DUMMYFUNCTION("""COMPUTED_VALUE"""),45616.47029802084)</f>
        <v>45616.4703</v>
      </c>
      <c r="G1069" s="7" t="str">
        <f>IFERROR(__xludf.DUMMYFUNCTION("""COMPUTED_VALUE"""),"ROYA")</f>
        <v>ROYA</v>
      </c>
      <c r="H1069" s="7">
        <f t="shared" si="1"/>
        <v>511</v>
      </c>
    </row>
    <row r="1070" ht="22.5" customHeight="1">
      <c r="B1070" s="7" t="str">
        <f>IFERROR(__xludf.DUMMYFUNCTION("""COMPUTED_VALUE"""),"K/38/111124/2")</f>
        <v>K/38/111124/2</v>
      </c>
      <c r="C1070" s="7" t="str">
        <f>IFERROR(__xludf.DUMMYFUNCTION("""COMPUTED_VALUE"""),"M. 5933/ Way Kandis")</f>
        <v>M. 5933/ Way Kandis</v>
      </c>
      <c r="D1070" s="7" t="str">
        <f>IFERROR(__xludf.DUMMYFUNCTION("""COMPUTED_VALUE"""),"David")</f>
        <v>David</v>
      </c>
      <c r="E1070" s="7" t="str">
        <f>IFERROR(__xludf.DUMMYFUNCTION("""COMPUTED_VALUE"""),"PROSES")</f>
        <v>PROSES</v>
      </c>
      <c r="F1070" s="9" t="str">
        <f>IFERROR(__xludf.DUMMYFUNCTION("""COMPUTED_VALUE"""),"")</f>
        <v/>
      </c>
      <c r="G1070" s="7" t="str">
        <f>IFERROR(__xludf.DUMMYFUNCTION("""COMPUTED_VALUE"""),"Pemecahan")</f>
        <v>Pemecahan</v>
      </c>
      <c r="H1070" s="7">
        <f t="shared" si="1"/>
        <v>511</v>
      </c>
    </row>
    <row r="1071" ht="22.5" customHeight="1">
      <c r="B1071" s="7" t="str">
        <f>IFERROR(__xludf.DUMMYFUNCTION("""COMPUTED_VALUE"""),"K/39/111124/1")</f>
        <v>K/39/111124/1</v>
      </c>
      <c r="C1071" s="7" t="str">
        <f>IFERROR(__xludf.DUMMYFUNCTION("""COMPUTED_VALUE"""),"M. 1775/ Rajabasa Pemuka")</f>
        <v>M. 1775/ Rajabasa Pemuka</v>
      </c>
      <c r="D1071" s="7" t="str">
        <f>IFERROR(__xludf.DUMMYFUNCTION("""COMPUTED_VALUE"""),"David")</f>
        <v>David</v>
      </c>
      <c r="E1071" s="7" t="str">
        <f>IFERROR(__xludf.DUMMYFUNCTION("""COMPUTED_VALUE"""),"DISERAHKAN")</f>
        <v>DISERAHKAN</v>
      </c>
      <c r="F1071" s="9">
        <f>IFERROR(__xludf.DUMMYFUNCTION("""COMPUTED_VALUE"""),45624.57701125)</f>
        <v>45624.57701</v>
      </c>
      <c r="G1071" s="7" t="str">
        <f>IFERROR(__xludf.DUMMYFUNCTION("""COMPUTED_VALUE"""),"BN JUAL BELI")</f>
        <v>BN JUAL BELI</v>
      </c>
      <c r="H1071" s="7">
        <f t="shared" si="1"/>
        <v>512</v>
      </c>
    </row>
    <row r="1072" ht="22.5" customHeight="1">
      <c r="B1072" s="7" t="str">
        <f>IFERROR(__xludf.DUMMYFUNCTION("""COMPUTED_VALUE"""),"K/40/111124/1")</f>
        <v>K/40/111124/1</v>
      </c>
      <c r="C1072" s="7" t="str">
        <f>IFERROR(__xludf.DUMMYFUNCTION("""COMPUTED_VALUE"""),"M.868/BAKUNG")</f>
        <v>M.868/BAKUNG</v>
      </c>
      <c r="D1072" s="7" t="str">
        <f>IFERROR(__xludf.DUMMYFUNCTION("""COMPUTED_VALUE"""),"David")</f>
        <v>David</v>
      </c>
      <c r="E1072" s="7" t="str">
        <f>IFERROR(__xludf.DUMMYFUNCTION("""COMPUTED_VALUE"""),"DISERAHKAN")</f>
        <v>DISERAHKAN</v>
      </c>
      <c r="F1072" s="9">
        <f>IFERROR(__xludf.DUMMYFUNCTION("""COMPUTED_VALUE"""),45608.446101747686)</f>
        <v>45608.4461</v>
      </c>
      <c r="G1072" s="7" t="str">
        <f>IFERROR(__xludf.DUMMYFUNCTION("""COMPUTED_VALUE"""),"KEWARISAN")</f>
        <v>KEWARISAN</v>
      </c>
      <c r="H1072" s="7">
        <f t="shared" si="1"/>
        <v>513</v>
      </c>
    </row>
    <row r="1073" ht="22.5" customHeight="1">
      <c r="B1073" s="7" t="str">
        <f>IFERROR(__xludf.DUMMYFUNCTION("""COMPUTED_VALUE"""),"L/41/111124/1")</f>
        <v>L/41/111124/1</v>
      </c>
      <c r="C1073" s="7" t="str">
        <f>IFERROR(__xludf.DUMMYFUNCTION("""COMPUTED_VALUE"""),"HM 4762/TANJUNG SENANG")</f>
        <v>HM 4762/TANJUNG SENANG</v>
      </c>
      <c r="D1073" s="7" t="str">
        <f>IFERROR(__xludf.DUMMYFUNCTION("""COMPUTED_VALUE"""),"David")</f>
        <v>David</v>
      </c>
      <c r="E1073" s="7" t="str">
        <f>IFERROR(__xludf.DUMMYFUNCTION("""COMPUTED_VALUE"""),"PROSES")</f>
        <v>PROSES</v>
      </c>
      <c r="F1073" s="9" t="str">
        <f>IFERROR(__xludf.DUMMYFUNCTION("""COMPUTED_VALUE"""),"")</f>
        <v/>
      </c>
      <c r="G1073" s="7" t="str">
        <f>IFERROR(__xludf.DUMMYFUNCTION("""COMPUTED_VALUE"""),"ROYA")</f>
        <v>ROYA</v>
      </c>
      <c r="H1073" s="7">
        <f t="shared" si="1"/>
        <v>513</v>
      </c>
    </row>
    <row r="1074" ht="22.5" customHeight="1">
      <c r="B1074" s="7" t="str">
        <f>IFERROR(__xludf.DUMMYFUNCTION("""COMPUTED_VALUE"""),"K/42/111124/1")</f>
        <v>K/42/111124/1</v>
      </c>
      <c r="C1074" s="7" t="str">
        <f>IFERROR(__xludf.DUMMYFUNCTION("""COMPUTED_VALUE"""),"M. 2213/ Labuhan Dalam")</f>
        <v>M. 2213/ Labuhan Dalam</v>
      </c>
      <c r="D1074" s="7" t="str">
        <f>IFERROR(__xludf.DUMMYFUNCTION("""COMPUTED_VALUE"""),"David")</f>
        <v>David</v>
      </c>
      <c r="E1074" s="7" t="str">
        <f>IFERROR(__xludf.DUMMYFUNCTION("""COMPUTED_VALUE"""),"PROSES")</f>
        <v>PROSES</v>
      </c>
      <c r="F1074" s="9" t="str">
        <f>IFERROR(__xludf.DUMMYFUNCTION("""COMPUTED_VALUE"""),"")</f>
        <v/>
      </c>
      <c r="G1074" s="7" t="str">
        <f>IFERROR(__xludf.DUMMYFUNCTION("""COMPUTED_VALUE"""),"Pemecahan")</f>
        <v>Pemecahan</v>
      </c>
      <c r="H1074" s="7">
        <f t="shared" si="1"/>
        <v>513</v>
      </c>
    </row>
    <row r="1075" ht="22.5" customHeight="1">
      <c r="B1075" s="7" t="str">
        <f>IFERROR(__xludf.DUMMYFUNCTION("""COMPUTED_VALUE"""),"K/43/111124/1")</f>
        <v>K/43/111124/1</v>
      </c>
      <c r="C1075" s="7" t="str">
        <f>IFERROR(__xludf.DUMMYFUNCTION("""COMPUTED_VALUE"""),"M. 8979/ JAGABAYA II")</f>
        <v>M. 8979/ JAGABAYA II</v>
      </c>
      <c r="D1075" s="7"/>
      <c r="E1075" s="7"/>
      <c r="F1075" s="9" t="str">
        <f>IFERROR(__xludf.DUMMYFUNCTION("""COMPUTED_VALUE"""),"")</f>
        <v/>
      </c>
      <c r="G1075" s="7" t="str">
        <f>IFERROR(__xludf.DUMMYFUNCTION("""COMPUTED_VALUE"""),"GANTI KECAMATAN")</f>
        <v>GANTI KECAMATAN</v>
      </c>
      <c r="H1075" s="7">
        <f t="shared" si="1"/>
        <v>513</v>
      </c>
    </row>
    <row r="1076" ht="22.5" customHeight="1">
      <c r="B1076" s="7" t="str">
        <f>IFERROR(__xludf.DUMMYFUNCTION("""COMPUTED_VALUE"""),"K/44/111124/1")</f>
        <v>K/44/111124/1</v>
      </c>
      <c r="C1076" s="7" t="str">
        <f>IFERROR(__xludf.DUMMYFUNCTION("""COMPUTED_VALUE"""),"M.18234/SUKARAME")</f>
        <v>M.18234/SUKARAME</v>
      </c>
      <c r="D1076" s="7"/>
      <c r="E1076" s="7"/>
      <c r="F1076" s="9" t="str">
        <f>IFERROR(__xludf.DUMMYFUNCTION("""COMPUTED_VALUE"""),"")</f>
        <v/>
      </c>
      <c r="G1076" s="7" t="str">
        <f>IFERROR(__xludf.DUMMYFUNCTION("""COMPUTED_VALUE"""),"GANDES")</f>
        <v>GANDES</v>
      </c>
      <c r="H1076" s="7">
        <f t="shared" si="1"/>
        <v>513</v>
      </c>
    </row>
    <row r="1077" ht="22.5" customHeight="1">
      <c r="B1077" s="7" t="str">
        <f>IFERROR(__xludf.DUMMYFUNCTION("""COMPUTED_VALUE"""),"K/45/111124/2")</f>
        <v>K/45/111124/2</v>
      </c>
      <c r="C1077" s="7" t="str">
        <f>IFERROR(__xludf.DUMMYFUNCTION("""COMPUTED_VALUE"""),"B.277/ BAKUNG")</f>
        <v>B.277/ BAKUNG</v>
      </c>
      <c r="D1077" s="7"/>
      <c r="E1077" s="7" t="str">
        <f>IFERROR(__xludf.DUMMYFUNCTION("""COMPUTED_VALUE"""),"PROSES")</f>
        <v>PROSES</v>
      </c>
      <c r="F1077" s="9" t="str">
        <f>IFERROR(__xludf.DUMMYFUNCTION("""COMPUTED_VALUE"""),"")</f>
        <v/>
      </c>
      <c r="G1077" s="7" t="str">
        <f>IFERROR(__xludf.DUMMYFUNCTION("""COMPUTED_VALUE"""),"ROYA")</f>
        <v>ROYA</v>
      </c>
      <c r="H1077" s="7">
        <f t="shared" si="1"/>
        <v>513</v>
      </c>
    </row>
    <row r="1078" ht="22.5" customHeight="1">
      <c r="B1078" s="7" t="str">
        <f>IFERROR(__xludf.DUMMYFUNCTION("""COMPUTED_VALUE"""),"K/34/111124/1")</f>
        <v>K/34/111124/1</v>
      </c>
      <c r="C1078" s="7" t="str">
        <f>IFERROR(__xludf.DUMMYFUNCTION("""COMPUTED_VALUE"""),"M. 1320/ Gedong Air")</f>
        <v>M. 1320/ Gedong Air</v>
      </c>
      <c r="D1078" s="7" t="str">
        <f>IFERROR(__xludf.DUMMYFUNCTION("""COMPUTED_VALUE"""),"David")</f>
        <v>David</v>
      </c>
      <c r="E1078" s="7" t="str">
        <f>IFERROR(__xludf.DUMMYFUNCTION("""COMPUTED_VALUE"""),"DISERAHKAN")</f>
        <v>DISERAHKAN</v>
      </c>
      <c r="F1078" s="9">
        <f>IFERROR(__xludf.DUMMYFUNCTION("""COMPUTED_VALUE"""),45609.664662662035)</f>
        <v>45609.66466</v>
      </c>
      <c r="G1078" s="7" t="str">
        <f>IFERROR(__xludf.DUMMYFUNCTION("""COMPUTED_VALUE"""),"BN Jual Beli")</f>
        <v>BN Jual Beli</v>
      </c>
      <c r="H1078" s="7">
        <f t="shared" si="1"/>
        <v>514</v>
      </c>
    </row>
    <row r="1079" ht="22.5" customHeight="1">
      <c r="B1079" s="7" t="str">
        <f>IFERROR(__xludf.DUMMYFUNCTION("""COMPUTED_VALUE"""),"K/2/121124/1")</f>
        <v>K/2/121124/1</v>
      </c>
      <c r="C1079" s="7" t="str">
        <f>IFERROR(__xludf.DUMMYFUNCTION("""COMPUTED_VALUE"""),"M. 7935/ Kedamaian")</f>
        <v>M. 7935/ Kedamaian</v>
      </c>
      <c r="D1079" s="7"/>
      <c r="E1079" s="7"/>
      <c r="F1079" s="9" t="str">
        <f>IFERROR(__xludf.DUMMYFUNCTION("""COMPUTED_VALUE"""),"")</f>
        <v/>
      </c>
      <c r="G1079" s="7" t="str">
        <f>IFERROR(__xludf.DUMMYFUNCTION("""COMPUTED_VALUE"""),"GANTI KELURAHAN")</f>
        <v>GANTI KELURAHAN</v>
      </c>
      <c r="H1079" s="7">
        <f t="shared" si="1"/>
        <v>514</v>
      </c>
    </row>
    <row r="1080" ht="22.5" customHeight="1">
      <c r="B1080" s="7" t="str">
        <f>IFERROR(__xludf.DUMMYFUNCTION("""COMPUTED_VALUE"""),"K/1/121124/1")</f>
        <v>K/1/121124/1</v>
      </c>
      <c r="C1080" s="7" t="str">
        <f>IFERROR(__xludf.DUMMYFUNCTION("""COMPUTED_VALUE"""),"B. 215/ Kota Baru")</f>
        <v>B. 215/ Kota Baru</v>
      </c>
      <c r="D1080" s="7" t="str">
        <f>IFERROR(__xludf.DUMMYFUNCTION("""COMPUTED_VALUE"""),"David")</f>
        <v>David</v>
      </c>
      <c r="E1080" s="7" t="str">
        <f>IFERROR(__xludf.DUMMYFUNCTION("""COMPUTED_VALUE"""),"DISERAHKAN")</f>
        <v>DISERAHKAN</v>
      </c>
      <c r="F1080" s="9">
        <f>IFERROR(__xludf.DUMMYFUNCTION("""COMPUTED_VALUE"""),45609.6648245949)</f>
        <v>45609.66482</v>
      </c>
      <c r="G1080" s="7" t="str">
        <f>IFERROR(__xludf.DUMMYFUNCTION("""COMPUTED_VALUE"""),"Perubahan Hak")</f>
        <v>Perubahan Hak</v>
      </c>
      <c r="H1080" s="7">
        <f t="shared" si="1"/>
        <v>515</v>
      </c>
    </row>
    <row r="1081" ht="22.5" customHeight="1">
      <c r="B1081" s="7" t="str">
        <f>IFERROR(__xludf.DUMMYFUNCTION("""COMPUTED_VALUE"""),"K/3/121124/2")</f>
        <v>K/3/121124/2</v>
      </c>
      <c r="C1081" s="7" t="str">
        <f>IFERROR(__xludf.DUMMYFUNCTION("""COMPUTED_VALUE"""),"M. 181/ Bumi Kedamaian; SHT 05715/2018")</f>
        <v>M. 181/ Bumi Kedamaian; SHT 05715/2018</v>
      </c>
      <c r="D1081" s="7" t="str">
        <f>IFERROR(__xludf.DUMMYFUNCTION("""COMPUTED_VALUE"""),"David")</f>
        <v>David</v>
      </c>
      <c r="E1081" s="7" t="str">
        <f>IFERROR(__xludf.DUMMYFUNCTION("""COMPUTED_VALUE"""),"DISERAHKAN BT")</f>
        <v>DISERAHKAN BT</v>
      </c>
      <c r="F1081" s="9">
        <f>IFERROR(__xludf.DUMMYFUNCTION("""COMPUTED_VALUE"""),45625.66738828704)</f>
        <v>45625.66739</v>
      </c>
      <c r="G1081" s="7" t="str">
        <f>IFERROR(__xludf.DUMMYFUNCTION("""COMPUTED_VALUE"""),"ROYA")</f>
        <v>ROYA</v>
      </c>
      <c r="H1081" s="7">
        <f t="shared" si="1"/>
        <v>515</v>
      </c>
    </row>
    <row r="1082" ht="22.5" customHeight="1">
      <c r="B1082" s="7" t="str">
        <f>IFERROR(__xludf.DUMMYFUNCTION("""COMPUTED_VALUE"""),"K/4/121124/1")</f>
        <v>K/4/121124/1</v>
      </c>
      <c r="C1082" s="7" t="str">
        <f>IFERROR(__xludf.DUMMYFUNCTION("""COMPUTED_VALUE"""),"M. 1541/ Keteguhan")</f>
        <v>M. 1541/ Keteguhan</v>
      </c>
      <c r="D1082" s="7" t="str">
        <f>IFERROR(__xludf.DUMMYFUNCTION("""COMPUTED_VALUE"""),"David")</f>
        <v>David</v>
      </c>
      <c r="E1082" s="7" t="str">
        <f>IFERROR(__xludf.DUMMYFUNCTION("""COMPUTED_VALUE"""),"DISERAHKAN")</f>
        <v>DISERAHKAN</v>
      </c>
      <c r="F1082" s="9">
        <f>IFERROR(__xludf.DUMMYFUNCTION("""COMPUTED_VALUE"""),45609.66597787037)</f>
        <v>45609.66598</v>
      </c>
      <c r="G1082" s="7" t="str">
        <f>IFERROR(__xludf.DUMMYFUNCTION("""COMPUTED_VALUE"""),"BN PHB")</f>
        <v>BN PHB</v>
      </c>
      <c r="H1082" s="7">
        <f t="shared" si="1"/>
        <v>516</v>
      </c>
    </row>
    <row r="1083" ht="22.5" customHeight="1">
      <c r="B1083" s="7" t="str">
        <f>IFERROR(__xludf.DUMMYFUNCTION("""COMPUTED_VALUE"""),"K/5/121124/1")</f>
        <v>K/5/121124/1</v>
      </c>
      <c r="C1083" s="7" t="str">
        <f>IFERROR(__xludf.DUMMYFUNCTION("""COMPUTED_VALUE"""),"M.67/SUMBEREJO SEJAHTERA")</f>
        <v>M.67/SUMBEREJO SEJAHTERA</v>
      </c>
      <c r="D1083" s="7"/>
      <c r="E1083" s="7"/>
      <c r="F1083" s="9" t="str">
        <f>IFERROR(__xludf.DUMMYFUNCTION("""COMPUTED_VALUE"""),"")</f>
        <v/>
      </c>
      <c r="G1083" s="7" t="str">
        <f>IFERROR(__xludf.DUMMYFUNCTION("""COMPUTED_VALUE"""),"SKPT LELANG")</f>
        <v>SKPT LELANG</v>
      </c>
      <c r="H1083" s="7">
        <f t="shared" si="1"/>
        <v>516</v>
      </c>
    </row>
    <row r="1084" ht="22.5" customHeight="1">
      <c r="B1084" s="7" t="str">
        <f>IFERROR(__xludf.DUMMYFUNCTION("""COMPUTED_VALUE"""),"K/6/121124/2")</f>
        <v>K/6/121124/2</v>
      </c>
      <c r="C1084" s="7" t="str">
        <f>IFERROR(__xludf.DUMMYFUNCTION("""COMPUTED_VALUE"""),"B.865/KETEGUHAN")</f>
        <v>B.865/KETEGUHAN</v>
      </c>
      <c r="D1084" s="7"/>
      <c r="E1084" s="7"/>
      <c r="F1084" s="9" t="str">
        <f>IFERROR(__xludf.DUMMYFUNCTION("""COMPUTED_VALUE"""),"")</f>
        <v/>
      </c>
      <c r="G1084" s="7" t="str">
        <f>IFERROR(__xludf.DUMMYFUNCTION("""COMPUTED_VALUE"""),"SKPT LELANG")</f>
        <v>SKPT LELANG</v>
      </c>
      <c r="H1084" s="7">
        <f t="shared" si="1"/>
        <v>516</v>
      </c>
    </row>
    <row r="1085" ht="22.5" customHeight="1">
      <c r="B1085" s="7" t="str">
        <f>IFERROR(__xludf.DUMMYFUNCTION("""COMPUTED_VALUE"""),"K/7/121124/1")</f>
        <v>K/7/121124/1</v>
      </c>
      <c r="C1085" s="7" t="str">
        <f>IFERROR(__xludf.DUMMYFUNCTION("""COMPUTED_VALUE"""),"M. 1103/ Sukamaju")</f>
        <v>M. 1103/ Sukamaju</v>
      </c>
      <c r="D1085" s="7" t="str">
        <f>IFERROR(__xludf.DUMMYFUNCTION("""COMPUTED_VALUE"""),"David")</f>
        <v>David</v>
      </c>
      <c r="E1085" s="7" t="str">
        <f>IFERROR(__xludf.DUMMYFUNCTION("""COMPUTED_VALUE"""),"PROSES")</f>
        <v>PROSES</v>
      </c>
      <c r="F1085" s="9" t="str">
        <f>IFERROR(__xludf.DUMMYFUNCTION("""COMPUTED_VALUE"""),"")</f>
        <v/>
      </c>
      <c r="G1085" s="7" t="str">
        <f>IFERROR(__xludf.DUMMYFUNCTION("""COMPUTED_VALUE"""),"BN Waris")</f>
        <v>BN Waris</v>
      </c>
      <c r="H1085" s="7">
        <f t="shared" si="1"/>
        <v>516</v>
      </c>
    </row>
    <row r="1086" ht="22.5" customHeight="1">
      <c r="B1086" s="7" t="str">
        <f>IFERROR(__xludf.DUMMYFUNCTION("""COMPUTED_VALUE"""),"K/8/121124/1")</f>
        <v>K/8/121124/1</v>
      </c>
      <c r="C1086" s="7" t="str">
        <f>IFERROR(__xludf.DUMMYFUNCTION("""COMPUTED_VALUE"""),"M. 467/ Kota Sepang")</f>
        <v>M. 467/ Kota Sepang</v>
      </c>
      <c r="D1086" s="7" t="str">
        <f>IFERROR(__xludf.DUMMYFUNCTION("""COMPUTED_VALUE"""),"David")</f>
        <v>David</v>
      </c>
      <c r="E1086" s="7" t="str">
        <f>IFERROR(__xludf.DUMMYFUNCTION("""COMPUTED_VALUE"""),"PROSES")</f>
        <v>PROSES</v>
      </c>
      <c r="F1086" s="9" t="str">
        <f>IFERROR(__xludf.DUMMYFUNCTION("""COMPUTED_VALUE"""),"")</f>
        <v/>
      </c>
      <c r="G1086" s="7" t="str">
        <f>IFERROR(__xludf.DUMMYFUNCTION("""COMPUTED_VALUE"""),"BN JUAL BELI")</f>
        <v>BN JUAL BELI</v>
      </c>
      <c r="H1086" s="7">
        <f t="shared" si="1"/>
        <v>516</v>
      </c>
    </row>
    <row r="1087" ht="22.5" customHeight="1">
      <c r="B1087" s="7" t="str">
        <f>IFERROR(__xludf.DUMMYFUNCTION("""COMPUTED_VALUE"""),"K/9/121124/2")</f>
        <v>K/9/121124/2</v>
      </c>
      <c r="C1087" s="7" t="str">
        <f>IFERROR(__xludf.DUMMYFUNCTION("""COMPUTED_VALUE"""),"Nibel 2551/ Bumi raya")</f>
        <v>Nibel 2551/ Bumi raya</v>
      </c>
      <c r="D1087" s="7"/>
      <c r="E1087" s="7"/>
      <c r="F1087" s="9" t="str">
        <f>IFERROR(__xludf.DUMMYFUNCTION("""COMPUTED_VALUE"""),"")</f>
        <v/>
      </c>
      <c r="G1087" s="7" t="str">
        <f>IFERROR(__xludf.DUMMYFUNCTION("""COMPUTED_VALUE"""),"BN PHB")</f>
        <v>BN PHB</v>
      </c>
      <c r="H1087" s="7">
        <f t="shared" si="1"/>
        <v>516</v>
      </c>
    </row>
    <row r="1088" ht="22.5" customHeight="1">
      <c r="B1088" s="7" t="str">
        <f>IFERROR(__xludf.DUMMYFUNCTION("""COMPUTED_VALUE"""),"K/14/171024/5")</f>
        <v>K/14/171024/5</v>
      </c>
      <c r="C1088" s="7" t="str">
        <f>IFERROR(__xludf.DUMMYFUNCTION("""COMPUTED_VALUE"""),"M. 2465/ Pinang Jaya")</f>
        <v>M. 2465/ Pinang Jaya</v>
      </c>
      <c r="D1088" s="7" t="str">
        <f>IFERROR(__xludf.DUMMYFUNCTION("""COMPUTED_VALUE"""),"David")</f>
        <v>David</v>
      </c>
      <c r="E1088" s="7" t="str">
        <f>IFERROR(__xludf.DUMMYFUNCTION("""COMPUTED_VALUE"""),"PROSES")</f>
        <v>PROSES</v>
      </c>
      <c r="F1088" s="9" t="str">
        <f>IFERROR(__xludf.DUMMYFUNCTION("""COMPUTED_VALUE"""),"")</f>
        <v/>
      </c>
      <c r="G1088" s="7" t="str">
        <f>IFERROR(__xludf.DUMMYFUNCTION("""COMPUTED_VALUE"""),"BN JUAL BELI")</f>
        <v>BN JUAL BELI</v>
      </c>
      <c r="H1088" s="7">
        <f t="shared" si="1"/>
        <v>516</v>
      </c>
    </row>
    <row r="1089" ht="22.5" customHeight="1">
      <c r="B1089" s="7" t="str">
        <f>IFERROR(__xludf.DUMMYFUNCTION("""COMPUTED_VALUE"""),"K/10/121124/1")</f>
        <v>K/10/121124/1</v>
      </c>
      <c r="C1089" s="7" t="str">
        <f>IFERROR(__xludf.DUMMYFUNCTION("""COMPUTED_VALUE"""),"M. 370/ Campang Raya")</f>
        <v>M. 370/ Campang Raya</v>
      </c>
      <c r="D1089" s="7" t="str">
        <f>IFERROR(__xludf.DUMMYFUNCTION("""COMPUTED_VALUE"""),"David")</f>
        <v>David</v>
      </c>
      <c r="E1089" s="7" t="str">
        <f>IFERROR(__xludf.DUMMYFUNCTION("""COMPUTED_VALUE"""),"DISERAHKAN")</f>
        <v>DISERAHKAN</v>
      </c>
      <c r="F1089" s="9">
        <f>IFERROR(__xludf.DUMMYFUNCTION("""COMPUTED_VALUE"""),45609.667783680554)</f>
        <v>45609.66778</v>
      </c>
      <c r="G1089" s="7" t="str">
        <f>IFERROR(__xludf.DUMMYFUNCTION("""COMPUTED_VALUE"""),"ROYA")</f>
        <v>ROYA</v>
      </c>
      <c r="H1089" s="7">
        <f t="shared" si="1"/>
        <v>517</v>
      </c>
    </row>
    <row r="1090" ht="22.5" customHeight="1">
      <c r="B1090" s="7" t="str">
        <f>IFERROR(__xludf.DUMMYFUNCTION("""COMPUTED_VALUE"""),"K/11/121124/1")</f>
        <v>K/11/121124/1</v>
      </c>
      <c r="C1090" s="7" t="str">
        <f>IFERROR(__xludf.DUMMYFUNCTION("""COMPUTED_VALUE"""),"M.5073/RAJABASA JAYA")</f>
        <v>M.5073/RAJABASA JAYA</v>
      </c>
      <c r="D1090" s="7" t="str">
        <f>IFERROR(__xludf.DUMMYFUNCTION("""COMPUTED_VALUE"""),"David")</f>
        <v>David</v>
      </c>
      <c r="E1090" s="7" t="str">
        <f>IFERROR(__xludf.DUMMYFUNCTION("""COMPUTED_VALUE"""),"DISERAHKAN")</f>
        <v>DISERAHKAN</v>
      </c>
      <c r="F1090" s="9">
        <f>IFERROR(__xludf.DUMMYFUNCTION("""COMPUTED_VALUE"""),45609.66853278935)</f>
        <v>45609.66853</v>
      </c>
      <c r="G1090" s="7" t="str">
        <f>IFERROR(__xludf.DUMMYFUNCTION("""COMPUTED_VALUE"""),"BN JUAL BELI")</f>
        <v>BN JUAL BELI</v>
      </c>
      <c r="H1090" s="7">
        <f t="shared" si="1"/>
        <v>518</v>
      </c>
    </row>
    <row r="1091" ht="22.5" customHeight="1">
      <c r="B1091" s="7" t="str">
        <f>IFERROR(__xludf.DUMMYFUNCTION("""COMPUTED_VALUE"""),"K/12/121124/2")</f>
        <v>K/12/121124/2</v>
      </c>
      <c r="C1091" s="7" t="str">
        <f>IFERROR(__xludf.DUMMYFUNCTION("""COMPUTED_VALUE"""),"M.2462/PINANG JAYA")</f>
        <v>M.2462/PINANG JAYA</v>
      </c>
      <c r="D1091" s="7" t="str">
        <f>IFERROR(__xludf.DUMMYFUNCTION("""COMPUTED_VALUE"""),"David")</f>
        <v>David</v>
      </c>
      <c r="E1091" s="7" t="str">
        <f>IFERROR(__xludf.DUMMYFUNCTION("""COMPUTED_VALUE"""),"DISERAHKAN")</f>
        <v>DISERAHKAN</v>
      </c>
      <c r="F1091" s="9">
        <f>IFERROR(__xludf.DUMMYFUNCTION("""COMPUTED_VALUE"""),45609.66864447917)</f>
        <v>45609.66864</v>
      </c>
      <c r="G1091" s="7" t="str">
        <f>IFERROR(__xludf.DUMMYFUNCTION("""COMPUTED_VALUE"""),"BN JUAL BELI")</f>
        <v>BN JUAL BELI</v>
      </c>
      <c r="H1091" s="7">
        <f t="shared" si="1"/>
        <v>519</v>
      </c>
    </row>
    <row r="1092" ht="22.5" customHeight="1">
      <c r="B1092" s="7" t="str">
        <f>IFERROR(__xludf.DUMMYFUNCTION("""COMPUTED_VALUE"""),"L/13/121124/1")</f>
        <v>L/13/121124/1</v>
      </c>
      <c r="C1092" s="7" t="str">
        <f>IFERROR(__xludf.DUMMYFUNCTION("""COMPUTED_VALUE"""),"NIB 7691/SUKARAME")</f>
        <v>NIB 7691/SUKARAME</v>
      </c>
      <c r="D1092" s="7"/>
      <c r="E1092" s="7"/>
      <c r="F1092" s="9" t="str">
        <f>IFERROR(__xludf.DUMMYFUNCTION("""COMPUTED_VALUE"""),"")</f>
        <v/>
      </c>
      <c r="G1092" s="7" t="str">
        <f>IFERROR(__xludf.DUMMYFUNCTION("""COMPUTED_VALUE"""),"GANDES")</f>
        <v>GANDES</v>
      </c>
      <c r="H1092" s="7">
        <f t="shared" si="1"/>
        <v>519</v>
      </c>
    </row>
    <row r="1093" ht="22.5" customHeight="1">
      <c r="B1093" s="7" t="str">
        <f>IFERROR(__xludf.DUMMYFUNCTION("""COMPUTED_VALUE"""),"K/14/121124/1")</f>
        <v>K/14/121124/1</v>
      </c>
      <c r="C1093" s="7" t="str">
        <f>IFERROR(__xludf.DUMMYFUNCTION("""COMPUTED_VALUE"""),"M. 1004/ Gunung Agung-SEKARANG; M. 9784/ SEGALA MIDER-DAHULU")</f>
        <v>M. 1004/ Gunung Agung-SEKARANG; M. 9784/ SEGALA MIDER-DAHULU</v>
      </c>
      <c r="D1093" s="7" t="str">
        <f>IFERROR(__xludf.DUMMYFUNCTION("""COMPUTED_VALUE"""),"David")</f>
        <v>David</v>
      </c>
      <c r="E1093" s="7" t="str">
        <f>IFERROR(__xludf.DUMMYFUNCTION("""COMPUTED_VALUE"""),"PROSES")</f>
        <v>PROSES</v>
      </c>
      <c r="F1093" s="9" t="str">
        <f>IFERROR(__xludf.DUMMYFUNCTION("""COMPUTED_VALUE"""),"")</f>
        <v/>
      </c>
      <c r="G1093" s="7" t="str">
        <f>IFERROR(__xludf.DUMMYFUNCTION("""COMPUTED_VALUE"""),"BN HIBAH")</f>
        <v>BN HIBAH</v>
      </c>
      <c r="H1093" s="7">
        <f t="shared" si="1"/>
        <v>519</v>
      </c>
    </row>
    <row r="1094" ht="22.5" customHeight="1">
      <c r="B1094" s="7" t="str">
        <f>IFERROR(__xludf.DUMMYFUNCTION("""COMPUTED_VALUE"""),"K/16/121124/1")</f>
        <v>K/16/121124/1</v>
      </c>
      <c r="C1094" s="7" t="str">
        <f>IFERROR(__xludf.DUMMYFUNCTION("""COMPUTED_VALUE"""),"M. 253/ Kemiling Permai")</f>
        <v>M. 253/ Kemiling Permai</v>
      </c>
      <c r="D1094" s="7" t="str">
        <f>IFERROR(__xludf.DUMMYFUNCTION("""COMPUTED_VALUE"""),"David")</f>
        <v>David</v>
      </c>
      <c r="E1094" s="7" t="str">
        <f>IFERROR(__xludf.DUMMYFUNCTION("""COMPUTED_VALUE"""),"DISERAHKAN")</f>
        <v>DISERAHKAN</v>
      </c>
      <c r="F1094" s="9">
        <f>IFERROR(__xludf.DUMMYFUNCTION("""COMPUTED_VALUE"""),45609.66950741898)</f>
        <v>45609.66951</v>
      </c>
      <c r="G1094" s="7" t="str">
        <f>IFERROR(__xludf.DUMMYFUNCTION("""COMPUTED_VALUE"""),"Penurunan Hak")</f>
        <v>Penurunan Hak</v>
      </c>
      <c r="H1094" s="7">
        <f t="shared" si="1"/>
        <v>520</v>
      </c>
    </row>
    <row r="1095" ht="22.5" customHeight="1">
      <c r="B1095" s="7" t="str">
        <f>IFERROR(__xludf.DUMMYFUNCTION("""COMPUTED_VALUE"""),"K/15/121124/2")</f>
        <v>K/15/121124/2</v>
      </c>
      <c r="C1095" s="7" t="str">
        <f>IFERROR(__xludf.DUMMYFUNCTION("""COMPUTED_VALUE"""),"M. 787, 786, 773/ Rajabasa Jaya")</f>
        <v>M. 787, 786, 773/ Rajabasa Jaya</v>
      </c>
      <c r="D1095" s="7" t="str">
        <f>IFERROR(__xludf.DUMMYFUNCTION("""COMPUTED_VALUE"""),"David")</f>
        <v>David</v>
      </c>
      <c r="E1095" s="7" t="str">
        <f>IFERROR(__xludf.DUMMYFUNCTION("""COMPUTED_VALUE"""),"DISERAHKAN")</f>
        <v>DISERAHKAN</v>
      </c>
      <c r="F1095" s="9">
        <f>IFERROR(__xludf.DUMMYFUNCTION("""COMPUTED_VALUE"""),45609.66960865741)</f>
        <v>45609.66961</v>
      </c>
      <c r="G1095" s="7" t="str">
        <f>IFERROR(__xludf.DUMMYFUNCTION("""COMPUTED_VALUE"""),"ROYA")</f>
        <v>ROYA</v>
      </c>
      <c r="H1095" s="7">
        <f t="shared" si="1"/>
        <v>521</v>
      </c>
    </row>
    <row r="1096" ht="22.5" customHeight="1">
      <c r="B1096" s="7" t="str">
        <f>IFERROR(__xludf.DUMMYFUNCTION("""COMPUTED_VALUE"""),"K/17/121124/3")</f>
        <v>K/17/121124/3</v>
      </c>
      <c r="C1096" s="7" t="str">
        <f>IFERROR(__xludf.DUMMYFUNCTION("""COMPUTED_VALUE"""),"M.15/RAJABASA JAYA")</f>
        <v>M.15/RAJABASA JAYA</v>
      </c>
      <c r="D1096" s="7" t="str">
        <f>IFERROR(__xludf.DUMMYFUNCTION("""COMPUTED_VALUE"""),"David")</f>
        <v>David</v>
      </c>
      <c r="E1096" s="7" t="str">
        <f>IFERROR(__xludf.DUMMYFUNCTION("""COMPUTED_VALUE"""),"DISERAHKAN")</f>
        <v>DISERAHKAN</v>
      </c>
      <c r="F1096" s="9">
        <f>IFERROR(__xludf.DUMMYFUNCTION("""COMPUTED_VALUE"""),45609.6705694213)</f>
        <v>45609.67057</v>
      </c>
      <c r="G1096" s="7" t="str">
        <f>IFERROR(__xludf.DUMMYFUNCTION("""COMPUTED_VALUE"""),"ROYA")</f>
        <v>ROYA</v>
      </c>
      <c r="H1096" s="7">
        <f t="shared" si="1"/>
        <v>522</v>
      </c>
    </row>
    <row r="1097" ht="22.5" customHeight="1">
      <c r="B1097" s="7" t="str">
        <f>IFERROR(__xludf.DUMMYFUNCTION("""COMPUTED_VALUE"""),"K/18/121124/1")</f>
        <v>K/18/121124/1</v>
      </c>
      <c r="C1097" s="7" t="str">
        <f>IFERROR(__xludf.DUMMYFUNCTION("""COMPUTED_VALUE"""),"Nibel 5278/ kemiling raya")</f>
        <v>Nibel 5278/ kemiling raya</v>
      </c>
      <c r="D1097" s="7"/>
      <c r="E1097" s="7"/>
      <c r="F1097" s="9" t="str">
        <f>IFERROR(__xludf.DUMMYFUNCTION("""COMPUTED_VALUE"""),"")</f>
        <v/>
      </c>
      <c r="G1097" s="7" t="str">
        <f>IFERROR(__xludf.DUMMYFUNCTION("""COMPUTED_VALUE"""),"BN LELANG")</f>
        <v>BN LELANG</v>
      </c>
      <c r="H1097" s="7">
        <f t="shared" si="1"/>
        <v>522</v>
      </c>
    </row>
    <row r="1098" ht="22.5" customHeight="1">
      <c r="B1098" s="7" t="str">
        <f>IFERROR(__xludf.DUMMYFUNCTION("""COMPUTED_VALUE"""),"K/19/121124/1")</f>
        <v>K/19/121124/1</v>
      </c>
      <c r="C1098" s="7" t="str">
        <f>IFERROR(__xludf.DUMMYFUNCTION("""COMPUTED_VALUE"""),"B. 225/ LABUHAN RATU RAYA")</f>
        <v>B. 225/ LABUHAN RATU RAYA</v>
      </c>
      <c r="D1098" s="7" t="str">
        <f>IFERROR(__xludf.DUMMYFUNCTION("""COMPUTED_VALUE"""),"David")</f>
        <v>David</v>
      </c>
      <c r="E1098" s="7" t="str">
        <f>IFERROR(__xludf.DUMMYFUNCTION("""COMPUTED_VALUE"""),"PROSES")</f>
        <v>PROSES</v>
      </c>
      <c r="F1098" s="9" t="str">
        <f>IFERROR(__xludf.DUMMYFUNCTION("""COMPUTED_VALUE"""),"")</f>
        <v/>
      </c>
      <c r="G1098" s="7" t="str">
        <f>IFERROR(__xludf.DUMMYFUNCTION("""COMPUTED_VALUE"""),"PH")</f>
        <v>PH</v>
      </c>
      <c r="H1098" s="7">
        <f t="shared" si="1"/>
        <v>522</v>
      </c>
    </row>
    <row r="1099" ht="22.5" customHeight="1">
      <c r="B1099" s="7" t="str">
        <f>IFERROR(__xludf.DUMMYFUNCTION("""COMPUTED_VALUE"""),"K/20/121124/1")</f>
        <v>K/20/121124/1</v>
      </c>
      <c r="C1099" s="7" t="str">
        <f>IFERROR(__xludf.DUMMYFUNCTION("""COMPUTED_VALUE"""),"M.18944/SUKARAME I-SEKARANG;B.5019/SUKARAME I-DAHULU")</f>
        <v>M.18944/SUKARAME I-SEKARANG;B.5019/SUKARAME I-DAHULU</v>
      </c>
      <c r="D1099" s="7"/>
      <c r="E1099" s="7"/>
      <c r="F1099" s="9" t="str">
        <f>IFERROR(__xludf.DUMMYFUNCTION("""COMPUTED_VALUE"""),"")</f>
        <v/>
      </c>
      <c r="G1099" s="7" t="str">
        <f>IFERROR(__xludf.DUMMYFUNCTION("""COMPUTED_VALUE"""),"PLOTING")</f>
        <v>PLOTING</v>
      </c>
      <c r="H1099" s="7">
        <f t="shared" si="1"/>
        <v>522</v>
      </c>
    </row>
    <row r="1100" ht="22.5" customHeight="1">
      <c r="B1100" s="7" t="str">
        <f>IFERROR(__xludf.DUMMYFUNCTION("""COMPUTED_VALUE"""),"K/21/121124/1")</f>
        <v>K/21/121124/1</v>
      </c>
      <c r="C1100" s="7" t="str">
        <f>IFERROR(__xludf.DUMMYFUNCTION("""COMPUTED_VALUE"""),"M. 12302/ Jagabaya II")</f>
        <v>M. 12302/ Jagabaya II</v>
      </c>
      <c r="D1100" s="7" t="str">
        <f>IFERROR(__xludf.DUMMYFUNCTION("""COMPUTED_VALUE"""),"David")</f>
        <v>David</v>
      </c>
      <c r="E1100" s="7" t="str">
        <f>IFERROR(__xludf.DUMMYFUNCTION("""COMPUTED_VALUE"""),"DISERAHKAN")</f>
        <v>DISERAHKAN</v>
      </c>
      <c r="F1100" s="9">
        <f>IFERROR(__xludf.DUMMYFUNCTION("""COMPUTED_VALUE"""),45609.671351412035)</f>
        <v>45609.67135</v>
      </c>
      <c r="G1100" s="7" t="str">
        <f>IFERROR(__xludf.DUMMYFUNCTION("""COMPUTED_VALUE"""),"PTPGT (Pemecahan)")</f>
        <v>PTPGT (Pemecahan)</v>
      </c>
      <c r="H1100" s="7">
        <f t="shared" si="1"/>
        <v>523</v>
      </c>
    </row>
    <row r="1101" ht="22.5" customHeight="1">
      <c r="B1101" s="7" t="str">
        <f>IFERROR(__xludf.DUMMYFUNCTION("""COMPUTED_VALUE"""),"L/22/121124/1")</f>
        <v>L/22/121124/1</v>
      </c>
      <c r="C1101" s="7" t="str">
        <f>IFERROR(__xludf.DUMMYFUNCTION("""COMPUTED_VALUE"""),"KEMILING PERMAI")</f>
        <v>KEMILING PERMAI</v>
      </c>
      <c r="D1101" s="7"/>
      <c r="E1101" s="7"/>
      <c r="F1101" s="9" t="str">
        <f>IFERROR(__xludf.DUMMYFUNCTION("""COMPUTED_VALUE"""),"")</f>
        <v/>
      </c>
      <c r="G1101" s="7" t="str">
        <f>IFERROR(__xludf.DUMMYFUNCTION("""COMPUTED_VALUE"""),"PERMOHONAN SK")</f>
        <v>PERMOHONAN SK</v>
      </c>
      <c r="H1101" s="7">
        <f t="shared" si="1"/>
        <v>523</v>
      </c>
    </row>
    <row r="1102" ht="22.5" customHeight="1">
      <c r="B1102" s="7" t="str">
        <f>IFERROR(__xludf.DUMMYFUNCTION("""COMPUTED_VALUE"""),"K/23/121124/1")</f>
        <v>K/23/121124/1</v>
      </c>
      <c r="C1102" s="7" t="str">
        <f>IFERROR(__xludf.DUMMYFUNCTION("""COMPUTED_VALUE"""),"Nibel 1221/ Durian Payung")</f>
        <v>Nibel 1221/ Durian Payung</v>
      </c>
      <c r="D1102" s="7"/>
      <c r="E1102" s="7"/>
      <c r="F1102" s="9" t="str">
        <f>IFERROR(__xludf.DUMMYFUNCTION("""COMPUTED_VALUE"""),"")</f>
        <v/>
      </c>
      <c r="G1102" s="7" t="str">
        <f>IFERROR(__xludf.DUMMYFUNCTION("""COMPUTED_VALUE"""),"PERUBAHAN HAK")</f>
        <v>PERUBAHAN HAK</v>
      </c>
      <c r="H1102" s="7">
        <f t="shared" si="1"/>
        <v>523</v>
      </c>
    </row>
    <row r="1103" ht="22.5" customHeight="1">
      <c r="B1103" s="7" t="str">
        <f>IFERROR(__xludf.DUMMYFUNCTION("""COMPUTED_VALUE"""),"K/25/121124/1")</f>
        <v>K/25/121124/1</v>
      </c>
      <c r="C1103" s="7" t="str">
        <f>IFERROR(__xludf.DUMMYFUNCTION("""COMPUTED_VALUE"""),"M. 2237/LANGKAPURA")</f>
        <v>M. 2237/LANGKAPURA</v>
      </c>
      <c r="D1103" s="7" t="str">
        <f>IFERROR(__xludf.DUMMYFUNCTION("""COMPUTED_VALUE"""),"David")</f>
        <v>David</v>
      </c>
      <c r="E1103" s="7" t="str">
        <f>IFERROR(__xludf.DUMMYFUNCTION("""COMPUTED_VALUE"""),"DISERAHKAN")</f>
        <v>DISERAHKAN</v>
      </c>
      <c r="F1103" s="9">
        <f>IFERROR(__xludf.DUMMYFUNCTION("""COMPUTED_VALUE"""),45610.35970511574)</f>
        <v>45610.35971</v>
      </c>
      <c r="G1103" s="7" t="str">
        <f>IFERROR(__xludf.DUMMYFUNCTION("""COMPUTED_VALUE"""),"ROYA")</f>
        <v>ROYA</v>
      </c>
      <c r="H1103" s="7">
        <f t="shared" si="1"/>
        <v>524</v>
      </c>
    </row>
    <row r="1104" ht="22.5" customHeight="1">
      <c r="B1104" s="7" t="str">
        <f>IFERROR(__xludf.DUMMYFUNCTION("""COMPUTED_VALUE"""),"K/24/121124/2")</f>
        <v>K/24/121124/2</v>
      </c>
      <c r="C1104" s="7" t="str">
        <f>IFERROR(__xludf.DUMMYFUNCTION("""COMPUTED_VALUE"""),"B. 668/ Sukabumi Indah")</f>
        <v>B. 668/ Sukabumi Indah</v>
      </c>
      <c r="D1104" s="7" t="str">
        <f>IFERROR(__xludf.DUMMYFUNCTION("""COMPUTED_VALUE"""),"Berry")</f>
        <v>Berry</v>
      </c>
      <c r="E1104" s="7" t="str">
        <f>IFERROR(__xludf.DUMMYFUNCTION("""COMPUTED_VALUE"""),"DISERAHKAN")</f>
        <v>DISERAHKAN</v>
      </c>
      <c r="F1104" s="9">
        <f>IFERROR(__xludf.DUMMYFUNCTION("""COMPUTED_VALUE"""),45609.67198601852)</f>
        <v>45609.67199</v>
      </c>
      <c r="G1104" s="7" t="str">
        <f>IFERROR(__xludf.DUMMYFUNCTION("""COMPUTED_VALUE"""),"BN JUAL BELI")</f>
        <v>BN JUAL BELI</v>
      </c>
      <c r="H1104" s="7">
        <f t="shared" si="1"/>
        <v>525</v>
      </c>
    </row>
    <row r="1105" ht="22.5" customHeight="1">
      <c r="B1105" s="7" t="str">
        <f>IFERROR(__xludf.DUMMYFUNCTION("""COMPUTED_VALUE"""),"K/26/121124/3")</f>
        <v>K/26/121124/3</v>
      </c>
      <c r="C1105" s="7" t="str">
        <f>IFERROR(__xludf.DUMMYFUNCTION("""COMPUTED_VALUE"""),"M. 16695/ Sukabumi")</f>
        <v>M. 16695/ Sukabumi</v>
      </c>
      <c r="D1105" s="7" t="str">
        <f>IFERROR(__xludf.DUMMYFUNCTION("""COMPUTED_VALUE"""),"Berry")</f>
        <v>Berry</v>
      </c>
      <c r="E1105" s="7" t="str">
        <f>IFERROR(__xludf.DUMMYFUNCTION("""COMPUTED_VALUE"""),"PROSES")</f>
        <v>PROSES</v>
      </c>
      <c r="F1105" s="9" t="str">
        <f>IFERROR(__xludf.DUMMYFUNCTION("""COMPUTED_VALUE"""),"")</f>
        <v/>
      </c>
      <c r="G1105" s="7" t="str">
        <f>IFERROR(__xludf.DUMMYFUNCTION("""COMPUTED_VALUE"""),"BN JUAL BELI")</f>
        <v>BN JUAL BELI</v>
      </c>
      <c r="H1105" s="7">
        <f t="shared" si="1"/>
        <v>525</v>
      </c>
    </row>
    <row r="1106" ht="22.5" customHeight="1">
      <c r="B1106" s="7" t="str">
        <f>IFERROR(__xludf.DUMMYFUNCTION("""COMPUTED_VALUE"""),"L/27/121124/1")</f>
        <v>L/27/121124/1</v>
      </c>
      <c r="C1106" s="7" t="str">
        <f>IFERROR(__xludf.DUMMYFUNCTION("""COMPUTED_VALUE"""),"HM 10312/SUKABUMI")</f>
        <v>HM 10312/SUKABUMI</v>
      </c>
      <c r="D1106" s="7"/>
      <c r="E1106" s="7"/>
      <c r="F1106" s="9" t="str">
        <f>IFERROR(__xludf.DUMMYFUNCTION("""COMPUTED_VALUE"""),"")</f>
        <v/>
      </c>
      <c r="G1106" s="7" t="str">
        <f>IFERROR(__xludf.DUMMYFUNCTION("""COMPUTED_VALUE"""),"PTPGT")</f>
        <v>PTPGT</v>
      </c>
      <c r="H1106" s="7">
        <f t="shared" si="1"/>
        <v>525</v>
      </c>
    </row>
    <row r="1107" ht="22.5" customHeight="1">
      <c r="B1107" s="7" t="str">
        <f>IFERROR(__xludf.DUMMYFUNCTION("""COMPUTED_VALUE"""),"K/28/121124/1")</f>
        <v>K/28/121124/1</v>
      </c>
      <c r="C1107" s="7" t="str">
        <f>IFERROR(__xludf.DUMMYFUNCTION("""COMPUTED_VALUE"""),"Nibel. M. 8263/ Pesawahan")</f>
        <v>Nibel. M. 8263/ Pesawahan</v>
      </c>
      <c r="D1107" s="7"/>
      <c r="E1107" s="7"/>
      <c r="F1107" s="9" t="str">
        <f>IFERROR(__xludf.DUMMYFUNCTION("""COMPUTED_VALUE"""),"")</f>
        <v/>
      </c>
      <c r="G1107" s="7" t="str">
        <f>IFERROR(__xludf.DUMMYFUNCTION("""COMPUTED_VALUE"""),"BN Waris")</f>
        <v>BN Waris</v>
      </c>
      <c r="H1107" s="7">
        <f t="shared" si="1"/>
        <v>525</v>
      </c>
    </row>
    <row r="1108" ht="22.5" customHeight="1">
      <c r="B1108" s="7" t="str">
        <f>IFERROR(__xludf.DUMMYFUNCTION("""COMPUTED_VALUE"""),"L/29/121124/1")</f>
        <v>L/29/121124/1</v>
      </c>
      <c r="C1108" s="7" t="str">
        <f>IFERROR(__xludf.DUMMYFUNCTION("""COMPUTED_VALUE"""),"HM 358/WHP")</f>
        <v>HM 358/WHP</v>
      </c>
      <c r="D1108" s="7" t="str">
        <f>IFERROR(__xludf.DUMMYFUNCTION("""COMPUTED_VALUE"""),"Berry")</f>
        <v>Berry</v>
      </c>
      <c r="E1108" s="7" t="str">
        <f>IFERROR(__xludf.DUMMYFUNCTION("""COMPUTED_VALUE"""),"DISERAHKAN BT")</f>
        <v>DISERAHKAN BT</v>
      </c>
      <c r="F1108" s="9">
        <f>IFERROR(__xludf.DUMMYFUNCTION("""COMPUTED_VALUE"""),45616.63360954861)</f>
        <v>45616.63361</v>
      </c>
      <c r="G1108" s="7" t="str">
        <f>IFERROR(__xludf.DUMMYFUNCTION("""COMPUTED_VALUE"""),"ROYA")</f>
        <v>ROYA</v>
      </c>
      <c r="H1108" s="7">
        <f t="shared" si="1"/>
        <v>525</v>
      </c>
    </row>
    <row r="1109" ht="22.5" customHeight="1">
      <c r="B1109" s="7" t="str">
        <f>IFERROR(__xludf.DUMMYFUNCTION("""COMPUTED_VALUE"""),"K/30/121124/1")</f>
        <v>K/30/121124/1</v>
      </c>
      <c r="C1109" s="7" t="str">
        <f>IFERROR(__xludf.DUMMYFUNCTION("""COMPUTED_VALUE"""),"M.1142/BUMI KEDAMAIAN")</f>
        <v>M.1142/BUMI KEDAMAIAN</v>
      </c>
      <c r="D1109" s="7" t="str">
        <f>IFERROR(__xludf.DUMMYFUNCTION("""COMPUTED_VALUE"""),"Berry")</f>
        <v>Berry</v>
      </c>
      <c r="E1109" s="7" t="str">
        <f>IFERROR(__xludf.DUMMYFUNCTION("""COMPUTED_VALUE"""),"DISERAHKAN")</f>
        <v>DISERAHKAN</v>
      </c>
      <c r="F1109" s="9">
        <f>IFERROR(__xludf.DUMMYFUNCTION("""COMPUTED_VALUE"""),45609.67300284722)</f>
        <v>45609.673</v>
      </c>
      <c r="G1109" s="7" t="str">
        <f>IFERROR(__xludf.DUMMYFUNCTION("""COMPUTED_VALUE"""),"BN JUAL BELI")</f>
        <v>BN JUAL BELI</v>
      </c>
      <c r="H1109" s="7">
        <f t="shared" si="1"/>
        <v>526</v>
      </c>
    </row>
    <row r="1110" ht="22.5" customHeight="1">
      <c r="B1110" s="7" t="str">
        <f>IFERROR(__xludf.DUMMYFUNCTION("""COMPUTED_VALUE"""),"K/31/121124/2")</f>
        <v>K/31/121124/2</v>
      </c>
      <c r="C1110" s="7" t="str">
        <f>IFERROR(__xludf.DUMMYFUNCTION("""COMPUTED_VALUE"""),"M.14216/RAJABASA")</f>
        <v>M.14216/RAJABASA</v>
      </c>
      <c r="D1110" s="7" t="str">
        <f>IFERROR(__xludf.DUMMYFUNCTION("""COMPUTED_VALUE"""),"Berry")</f>
        <v>Berry</v>
      </c>
      <c r="E1110" s="7" t="str">
        <f>IFERROR(__xludf.DUMMYFUNCTION("""COMPUTED_VALUE"""),"PROSES")</f>
        <v>PROSES</v>
      </c>
      <c r="F1110" s="9" t="str">
        <f>IFERROR(__xludf.DUMMYFUNCTION("""COMPUTED_VALUE"""),"")</f>
        <v/>
      </c>
      <c r="G1110" s="7" t="str">
        <f>IFERROR(__xludf.DUMMYFUNCTION("""COMPUTED_VALUE"""),"ROYA")</f>
        <v>ROYA</v>
      </c>
      <c r="H1110" s="7">
        <f t="shared" si="1"/>
        <v>526</v>
      </c>
    </row>
    <row r="1111" ht="22.5" customHeight="1">
      <c r="B1111" s="7" t="str">
        <f>IFERROR(__xludf.DUMMYFUNCTION("""COMPUTED_VALUE"""),"K/32/121124/3")</f>
        <v>K/32/121124/3</v>
      </c>
      <c r="C1111" s="7" t="str">
        <f>IFERROR(__xludf.DUMMYFUNCTION("""COMPUTED_VALUE"""),"B.1269/SUMBERREJO")</f>
        <v>B.1269/SUMBERREJO</v>
      </c>
      <c r="D1111" s="7"/>
      <c r="E1111" s="7"/>
      <c r="F1111" s="9" t="str">
        <f>IFERROR(__xludf.DUMMYFUNCTION("""COMPUTED_VALUE"""),"")</f>
        <v/>
      </c>
      <c r="G1111" s="7" t="str">
        <f>IFERROR(__xludf.DUMMYFUNCTION("""COMPUTED_VALUE"""),"PLOTING")</f>
        <v>PLOTING</v>
      </c>
      <c r="H1111" s="7">
        <f t="shared" si="1"/>
        <v>526</v>
      </c>
    </row>
    <row r="1112" ht="22.5" customHeight="1">
      <c r="B1112" s="7" t="str">
        <f>IFERROR(__xludf.DUMMYFUNCTION("""COMPUTED_VALUE"""),"L/33/121124/1")</f>
        <v>L/33/121124/1</v>
      </c>
      <c r="C1112" s="7" t="str">
        <f>IFERROR(__xludf.DUMMYFUNCTION("""COMPUTED_VALUE"""),"HM 838/PINANG JAYA")</f>
        <v>HM 838/PINANG JAYA</v>
      </c>
      <c r="D1112" s="7" t="str">
        <f>IFERROR(__xludf.DUMMYFUNCTION("""COMPUTED_VALUE"""),"Berry")</f>
        <v>Berry</v>
      </c>
      <c r="E1112" s="7" t="str">
        <f>IFERROR(__xludf.DUMMYFUNCTION("""COMPUTED_VALUE"""),"DISERAHKAN")</f>
        <v>DISERAHKAN</v>
      </c>
      <c r="F1112" s="9">
        <f>IFERROR(__xludf.DUMMYFUNCTION("""COMPUTED_VALUE"""),45609.67356802084)</f>
        <v>45609.67357</v>
      </c>
      <c r="G1112" s="7" t="str">
        <f>IFERROR(__xludf.DUMMYFUNCTION("""COMPUTED_VALUE"""),"ROYA")</f>
        <v>ROYA</v>
      </c>
      <c r="H1112" s="7">
        <f t="shared" si="1"/>
        <v>527</v>
      </c>
    </row>
    <row r="1113" ht="22.5" customHeight="1">
      <c r="B1113" s="7" t="str">
        <f>IFERROR(__xludf.DUMMYFUNCTION("""COMPUTED_VALUE"""),"K/34/121124/1")</f>
        <v>K/34/121124/1</v>
      </c>
      <c r="C1113" s="7" t="str">
        <f>IFERROR(__xludf.DUMMYFUNCTION("""COMPUTED_VALUE"""),"M. 121/ Enggal")</f>
        <v>M. 121/ Enggal</v>
      </c>
      <c r="D1113" s="7" t="str">
        <f>IFERROR(__xludf.DUMMYFUNCTION("""COMPUTED_VALUE"""),"Berry")</f>
        <v>Berry</v>
      </c>
      <c r="E1113" s="7" t="str">
        <f>IFERROR(__xludf.DUMMYFUNCTION("""COMPUTED_VALUE"""),"PROSES")</f>
        <v>PROSES</v>
      </c>
      <c r="F1113" s="9" t="str">
        <f>IFERROR(__xludf.DUMMYFUNCTION("""COMPUTED_VALUE"""),"")</f>
        <v/>
      </c>
      <c r="G1113" s="7" t="str">
        <f>IFERROR(__xludf.DUMMYFUNCTION("""COMPUTED_VALUE"""),"BN Waris")</f>
        <v>BN Waris</v>
      </c>
      <c r="H1113" s="7">
        <f t="shared" si="1"/>
        <v>527</v>
      </c>
    </row>
    <row r="1114" ht="22.5" customHeight="1">
      <c r="B1114" s="7" t="str">
        <f>IFERROR(__xludf.DUMMYFUNCTION("""COMPUTED_VALUE"""),"K/36/121124/1")</f>
        <v>K/36/121124/1</v>
      </c>
      <c r="C1114" s="7" t="str">
        <f>IFERROR(__xludf.DUMMYFUNCTION("""COMPUTED_VALUE"""),"M.1599/WAY KANDIS")</f>
        <v>M.1599/WAY KANDIS</v>
      </c>
      <c r="D1114" s="7"/>
      <c r="E1114" s="7"/>
      <c r="F1114" s="9" t="str">
        <f>IFERROR(__xludf.DUMMYFUNCTION("""COMPUTED_VALUE"""),"")</f>
        <v/>
      </c>
      <c r="G1114" s="7" t="str">
        <f>IFERROR(__xludf.DUMMYFUNCTION("""COMPUTED_VALUE"""),"GANDES")</f>
        <v>GANDES</v>
      </c>
      <c r="H1114" s="7">
        <f t="shared" si="1"/>
        <v>527</v>
      </c>
    </row>
    <row r="1115" ht="22.5" customHeight="1">
      <c r="B1115" s="7" t="str">
        <f>IFERROR(__xludf.DUMMYFUNCTION("""COMPUTED_VALUE"""),"L/37/121124/1")</f>
        <v>L/37/121124/1</v>
      </c>
      <c r="C1115" s="7" t="str">
        <f>IFERROR(__xludf.DUMMYFUNCTION("""COMPUTED_VALUE"""),"NIB7348/TANJUNG BARU")</f>
        <v>NIB7348/TANJUNG BARU</v>
      </c>
      <c r="D1115" s="7"/>
      <c r="E1115" s="7"/>
      <c r="F1115" s="9" t="str">
        <f>IFERROR(__xludf.DUMMYFUNCTION("""COMPUTED_VALUE"""),"")</f>
        <v/>
      </c>
      <c r="G1115" s="7" t="str">
        <f>IFERROR(__xludf.DUMMYFUNCTION("""COMPUTED_VALUE"""),"PH")</f>
        <v>PH</v>
      </c>
      <c r="H1115" s="7">
        <f t="shared" si="1"/>
        <v>527</v>
      </c>
    </row>
    <row r="1116" ht="22.5" customHeight="1">
      <c r="B1116" s="7" t="str">
        <f>IFERROR(__xludf.DUMMYFUNCTION("""COMPUTED_VALUE"""),"K/35/121124/1")</f>
        <v>K/35/121124/1</v>
      </c>
      <c r="C1116" s="7" t="str">
        <f>IFERROR(__xludf.DUMMYFUNCTION("""COMPUTED_VALUE"""),"M. 1892/LANGKAPURA")</f>
        <v>M. 1892/LANGKAPURA</v>
      </c>
      <c r="D1116" s="7"/>
      <c r="E1116" s="7"/>
      <c r="F1116" s="9" t="str">
        <f>IFERROR(__xludf.DUMMYFUNCTION("""COMPUTED_VALUE"""),"")</f>
        <v/>
      </c>
      <c r="G1116" s="7" t="str">
        <f>IFERROR(__xludf.DUMMYFUNCTION("""COMPUTED_VALUE"""),"GANDES")</f>
        <v>GANDES</v>
      </c>
      <c r="H1116" s="7">
        <f t="shared" si="1"/>
        <v>527</v>
      </c>
    </row>
    <row r="1117" ht="22.5" customHeight="1">
      <c r="B1117" s="7" t="str">
        <f>IFERROR(__xludf.DUMMYFUNCTION("""COMPUTED_VALUE"""),"K/38/121124/1")</f>
        <v>K/38/121124/1</v>
      </c>
      <c r="C1117" s="7" t="str">
        <f>IFERROR(__xludf.DUMMYFUNCTION("""COMPUTED_VALUE"""),"M. 1833/ Rajabasa Jaya")</f>
        <v>M. 1833/ Rajabasa Jaya</v>
      </c>
      <c r="D1117" s="7" t="str">
        <f>IFERROR(__xludf.DUMMYFUNCTION("""COMPUTED_VALUE"""),"Berry")</f>
        <v>Berry</v>
      </c>
      <c r="E1117" s="7" t="str">
        <f>IFERROR(__xludf.DUMMYFUNCTION("""COMPUTED_VALUE"""),"PROSES")</f>
        <v>PROSES</v>
      </c>
      <c r="F1117" s="9" t="str">
        <f>IFERROR(__xludf.DUMMYFUNCTION("""COMPUTED_VALUE"""),"")</f>
        <v/>
      </c>
      <c r="G1117" s="7" t="str">
        <f>IFERROR(__xludf.DUMMYFUNCTION("""COMPUTED_VALUE"""),"Penataan Batas")</f>
        <v>Penataan Batas</v>
      </c>
      <c r="H1117" s="7">
        <f t="shared" si="1"/>
        <v>527</v>
      </c>
    </row>
    <row r="1118" ht="22.5" customHeight="1">
      <c r="B1118" s="7" t="str">
        <f>IFERROR(__xludf.DUMMYFUNCTION("""COMPUTED_VALUE"""),"L/39/121124/1")</f>
        <v>L/39/121124/1</v>
      </c>
      <c r="C1118" s="7" t="str">
        <f>IFERROR(__xludf.DUMMYFUNCTION("""COMPUTED_VALUE"""),"HM 614/RAJABASA PEMUKA")</f>
        <v>HM 614/RAJABASA PEMUKA</v>
      </c>
      <c r="D1118" s="7" t="str">
        <f>IFERROR(__xludf.DUMMYFUNCTION("""COMPUTED_VALUE"""),"Berry")</f>
        <v>Berry</v>
      </c>
      <c r="E1118" s="7" t="str">
        <f>IFERROR(__xludf.DUMMYFUNCTION("""COMPUTED_VALUE"""),"DISERAHKAN")</f>
        <v>DISERAHKAN</v>
      </c>
      <c r="F1118" s="9">
        <f>IFERROR(__xludf.DUMMYFUNCTION("""COMPUTED_VALUE"""),45609.674286875)</f>
        <v>45609.67429</v>
      </c>
      <c r="G1118" s="7" t="str">
        <f>IFERROR(__xludf.DUMMYFUNCTION("""COMPUTED_VALUE"""),"ROYA")</f>
        <v>ROYA</v>
      </c>
      <c r="H1118" s="7">
        <f t="shared" si="1"/>
        <v>528</v>
      </c>
    </row>
    <row r="1119" ht="22.5" customHeight="1">
      <c r="B1119" s="7" t="str">
        <f>IFERROR(__xludf.DUMMYFUNCTION("""COMPUTED_VALUE"""),"K/40/121124/1")</f>
        <v>K/40/121124/1</v>
      </c>
      <c r="C1119" s="7" t="str">
        <f>IFERROR(__xludf.DUMMYFUNCTION("""COMPUTED_VALUE"""),"M. 9364/ Kampung Baru")</f>
        <v>M. 9364/ Kampung Baru</v>
      </c>
      <c r="D1119" s="7" t="str">
        <f>IFERROR(__xludf.DUMMYFUNCTION("""COMPUTED_VALUE"""),"Berry")</f>
        <v>Berry</v>
      </c>
      <c r="E1119" s="7" t="str">
        <f>IFERROR(__xludf.DUMMYFUNCTION("""COMPUTED_VALUE"""),"DISERAHKAN")</f>
        <v>DISERAHKAN</v>
      </c>
      <c r="F1119" s="9">
        <f>IFERROR(__xludf.DUMMYFUNCTION("""COMPUTED_VALUE"""),45610.35970511574)</f>
        <v>45610.35971</v>
      </c>
      <c r="G1119" s="7" t="str">
        <f>IFERROR(__xludf.DUMMYFUNCTION("""COMPUTED_VALUE"""),"BN JUAL BELI")</f>
        <v>BN JUAL BELI</v>
      </c>
      <c r="H1119" s="7">
        <f t="shared" si="1"/>
        <v>529</v>
      </c>
    </row>
    <row r="1120" ht="22.5" customHeight="1">
      <c r="B1120" s="7" t="str">
        <f>IFERROR(__xludf.DUMMYFUNCTION("""COMPUTED_VALUE"""),"K/41/121124/2")</f>
        <v>K/41/121124/2</v>
      </c>
      <c r="C1120" s="7" t="str">
        <f>IFERROR(__xludf.DUMMYFUNCTION("""COMPUTED_VALUE"""),"M. 306/ Kota Sepang")</f>
        <v>M. 306/ Kota Sepang</v>
      </c>
      <c r="D1120" s="7" t="str">
        <f>IFERROR(__xludf.DUMMYFUNCTION("""COMPUTED_VALUE"""),"Berry")</f>
        <v>Berry</v>
      </c>
      <c r="E1120" s="7" t="str">
        <f>IFERROR(__xludf.DUMMYFUNCTION("""COMPUTED_VALUE"""),"PROSES")</f>
        <v>PROSES</v>
      </c>
      <c r="F1120" s="9" t="str">
        <f>IFERROR(__xludf.DUMMYFUNCTION("""COMPUTED_VALUE"""),"")</f>
        <v/>
      </c>
      <c r="G1120" s="7" t="str">
        <f>IFERROR(__xludf.DUMMYFUNCTION("""COMPUTED_VALUE"""),"BN JUAL BELI")</f>
        <v>BN JUAL BELI</v>
      </c>
      <c r="H1120" s="7">
        <f t="shared" si="1"/>
        <v>529</v>
      </c>
    </row>
    <row r="1121" ht="22.5" customHeight="1">
      <c r="B1121" s="7" t="str">
        <f>IFERROR(__xludf.DUMMYFUNCTION("""COMPUTED_VALUE"""),"K/42/121124/3")</f>
        <v>K/42/121124/3</v>
      </c>
      <c r="C1121" s="7" t="str">
        <f>IFERROR(__xludf.DUMMYFUNCTION("""COMPUTED_VALUE"""),"M. 914/ Kemiling Permai")</f>
        <v>M. 914/ Kemiling Permai</v>
      </c>
      <c r="D1121" s="7" t="str">
        <f>IFERROR(__xludf.DUMMYFUNCTION("""COMPUTED_VALUE"""),"Berry")</f>
        <v>Berry</v>
      </c>
      <c r="E1121" s="7" t="str">
        <f>IFERROR(__xludf.DUMMYFUNCTION("""COMPUTED_VALUE"""),"DISERAHKAN")</f>
        <v>DISERAHKAN</v>
      </c>
      <c r="F1121" s="9">
        <f>IFERROR(__xludf.DUMMYFUNCTION("""COMPUTED_VALUE"""),45610.35970511574)</f>
        <v>45610.35971</v>
      </c>
      <c r="G1121" s="7" t="str">
        <f>IFERROR(__xludf.DUMMYFUNCTION("""COMPUTED_VALUE"""),"BN JUAL BELI")</f>
        <v>BN JUAL BELI</v>
      </c>
      <c r="H1121" s="7">
        <f t="shared" si="1"/>
        <v>530</v>
      </c>
    </row>
    <row r="1122" ht="22.5" customHeight="1">
      <c r="B1122" s="7" t="str">
        <f>IFERROR(__xludf.DUMMYFUNCTION("""COMPUTED_VALUE"""),"K/45/121124/1")</f>
        <v>K/45/121124/1</v>
      </c>
      <c r="C1122" s="7" t="str">
        <f>IFERROR(__xludf.DUMMYFUNCTION("""COMPUTED_VALUE"""),"M.3994/WAY KANDIS")</f>
        <v>M.3994/WAY KANDIS</v>
      </c>
      <c r="D1122" s="7"/>
      <c r="E1122" s="7"/>
      <c r="F1122" s="9" t="str">
        <f>IFERROR(__xludf.DUMMYFUNCTION("""COMPUTED_VALUE"""),"")</f>
        <v/>
      </c>
      <c r="G1122" s="7" t="str">
        <f>IFERROR(__xludf.DUMMYFUNCTION("""COMPUTED_VALUE"""),"PLOTING")</f>
        <v>PLOTING</v>
      </c>
      <c r="H1122" s="7">
        <f t="shared" si="1"/>
        <v>530</v>
      </c>
    </row>
    <row r="1123" ht="22.5" customHeight="1">
      <c r="B1123" s="7" t="str">
        <f>IFERROR(__xludf.DUMMYFUNCTION("""COMPUTED_VALUE"""),"K/43/121124/4")</f>
        <v>K/43/121124/4</v>
      </c>
      <c r="C1123" s="7" t="str">
        <f>IFERROR(__xludf.DUMMYFUNCTION("""COMPUTED_VALUE"""),"Nibel 367/ Gunung Sulah")</f>
        <v>Nibel 367/ Gunung Sulah</v>
      </c>
      <c r="D1123" s="7"/>
      <c r="E1123" s="7"/>
      <c r="F1123" s="9" t="str">
        <f>IFERROR(__xludf.DUMMYFUNCTION("""COMPUTED_VALUE"""),"")</f>
        <v/>
      </c>
      <c r="G1123" s="7" t="str">
        <f>IFERROR(__xludf.DUMMYFUNCTION("""COMPUTED_VALUE"""),"BN JUAL BELI")</f>
        <v>BN JUAL BELI</v>
      </c>
      <c r="H1123" s="7">
        <f t="shared" si="1"/>
        <v>530</v>
      </c>
    </row>
    <row r="1124" ht="22.5" customHeight="1">
      <c r="B1124" s="7" t="str">
        <f>IFERROR(__xludf.DUMMYFUNCTION("""COMPUTED_VALUE"""),"K/44/121124/5")</f>
        <v>K/44/121124/5</v>
      </c>
      <c r="C1124" s="7" t="str">
        <f>IFERROR(__xludf.DUMMYFUNCTION("""COMPUTED_VALUE"""),"Nibel 371/ Gunung Sulah")</f>
        <v>Nibel 371/ Gunung Sulah</v>
      </c>
      <c r="D1124" s="7"/>
      <c r="E1124" s="7"/>
      <c r="F1124" s="9" t="str">
        <f>IFERROR(__xludf.DUMMYFUNCTION("""COMPUTED_VALUE"""),"")</f>
        <v/>
      </c>
      <c r="G1124" s="7" t="str">
        <f>IFERROR(__xludf.DUMMYFUNCTION("""COMPUTED_VALUE"""),"BN JUAL BELI")</f>
        <v>BN JUAL BELI</v>
      </c>
      <c r="H1124" s="7">
        <f t="shared" si="1"/>
        <v>530</v>
      </c>
    </row>
    <row r="1125" ht="22.5" customHeight="1">
      <c r="B1125" s="7" t="str">
        <f>IFERROR(__xludf.DUMMYFUNCTION("""COMPUTED_VALUE"""),"L/46/121124/1")</f>
        <v>L/46/121124/1</v>
      </c>
      <c r="C1125" s="7" t="str">
        <f>IFERROR(__xludf.DUMMYFUNCTION("""COMPUTED_VALUE"""),"HM 755/RAJABASA RAYA")</f>
        <v>HM 755/RAJABASA RAYA</v>
      </c>
      <c r="D1125" s="7" t="str">
        <f>IFERROR(__xludf.DUMMYFUNCTION("""COMPUTED_VALUE"""),"Berry")</f>
        <v>Berry</v>
      </c>
      <c r="E1125" s="7" t="str">
        <f>IFERROR(__xludf.DUMMYFUNCTION("""COMPUTED_VALUE"""),"DISERAHKAN SU")</f>
        <v>DISERAHKAN SU</v>
      </c>
      <c r="F1125" s="9">
        <f>IFERROR(__xludf.DUMMYFUNCTION("""COMPUTED_VALUE"""),45610.35970511574)</f>
        <v>45610.35971</v>
      </c>
      <c r="G1125" s="7" t="str">
        <f>IFERROR(__xludf.DUMMYFUNCTION("""COMPUTED_VALUE"""),"ROYA")</f>
        <v>ROYA</v>
      </c>
      <c r="H1125" s="7">
        <f t="shared" si="1"/>
        <v>530</v>
      </c>
    </row>
    <row r="1126" ht="22.5" customHeight="1">
      <c r="B1126" s="7" t="str">
        <f>IFERROR(__xludf.DUMMYFUNCTION("""COMPUTED_VALUE"""),"K/47/121124/1")</f>
        <v>K/47/121124/1</v>
      </c>
      <c r="C1126" s="7" t="str">
        <f>IFERROR(__xludf.DUMMYFUNCTION("""COMPUTED_VALUE"""),"M. 4936/ SUKADANA HAM")</f>
        <v>M. 4936/ SUKADANA HAM</v>
      </c>
      <c r="D1126" s="7" t="str">
        <f>IFERROR(__xludf.DUMMYFUNCTION("""COMPUTED_VALUE"""),"Berry")</f>
        <v>Berry</v>
      </c>
      <c r="E1126" s="7" t="str">
        <f>IFERROR(__xludf.DUMMYFUNCTION("""COMPUTED_VALUE"""),"DISERAHKAN")</f>
        <v>DISERAHKAN</v>
      </c>
      <c r="F1126" s="9">
        <f>IFERROR(__xludf.DUMMYFUNCTION("""COMPUTED_VALUE"""),45610.35970511574)</f>
        <v>45610.35971</v>
      </c>
      <c r="G1126" s="7" t="str">
        <f>IFERROR(__xludf.DUMMYFUNCTION("""COMPUTED_VALUE"""),"BN JUAL BELI")</f>
        <v>BN JUAL BELI</v>
      </c>
      <c r="H1126" s="7">
        <f t="shared" si="1"/>
        <v>531</v>
      </c>
    </row>
    <row r="1127" ht="22.5" customHeight="1">
      <c r="B1127" s="7" t="str">
        <f>IFERROR(__xludf.DUMMYFUNCTION("""COMPUTED_VALUE"""),"L/48/121124/1")</f>
        <v>L/48/121124/1</v>
      </c>
      <c r="C1127" s="7" t="str">
        <f>IFERROR(__xludf.DUMMYFUNCTION("""COMPUTED_VALUE"""),"HGB 836/PWK")</f>
        <v>HGB 836/PWK</v>
      </c>
      <c r="D1127" s="7" t="str">
        <f>IFERROR(__xludf.DUMMYFUNCTION("""COMPUTED_VALUE"""),"Berry")</f>
        <v>Berry</v>
      </c>
      <c r="E1127" s="7" t="str">
        <f>IFERROR(__xludf.DUMMYFUNCTION("""COMPUTED_VALUE"""),"PROSES")</f>
        <v>PROSES</v>
      </c>
      <c r="F1127" s="9" t="str">
        <f>IFERROR(__xludf.DUMMYFUNCTION("""COMPUTED_VALUE"""),"")</f>
        <v/>
      </c>
      <c r="G1127" s="7" t="str">
        <f>IFERROR(__xludf.DUMMYFUNCTION("""COMPUTED_VALUE"""),"PERUBAHAN HAK")</f>
        <v>PERUBAHAN HAK</v>
      </c>
      <c r="H1127" s="7">
        <f t="shared" si="1"/>
        <v>531</v>
      </c>
    </row>
    <row r="1128" ht="22.5" customHeight="1">
      <c r="B1128" s="7" t="str">
        <f>IFERROR(__xludf.DUMMYFUNCTION("""COMPUTED_VALUE"""),"K/49/121124/1")</f>
        <v>K/49/121124/1</v>
      </c>
      <c r="C1128" s="7" t="str">
        <f>IFERROR(__xludf.DUMMYFUNCTION("""COMPUTED_VALUE"""),"M. 1756/ Rajabasa Nunyai")</f>
        <v>M. 1756/ Rajabasa Nunyai</v>
      </c>
      <c r="D1128" s="7" t="str">
        <f>IFERROR(__xludf.DUMMYFUNCTION("""COMPUTED_VALUE"""),"Berry")</f>
        <v>Berry</v>
      </c>
      <c r="E1128" s="7" t="str">
        <f>IFERROR(__xludf.DUMMYFUNCTION("""COMPUTED_VALUE"""),"DISERAHKAN")</f>
        <v>DISERAHKAN</v>
      </c>
      <c r="F1128" s="9">
        <f>IFERROR(__xludf.DUMMYFUNCTION("""COMPUTED_VALUE"""),45610.35970511574)</f>
        <v>45610.35971</v>
      </c>
      <c r="G1128" s="7" t="str">
        <f>IFERROR(__xludf.DUMMYFUNCTION("""COMPUTED_VALUE"""),"BN JUAL BELI")</f>
        <v>BN JUAL BELI</v>
      </c>
      <c r="H1128" s="7">
        <f t="shared" si="1"/>
        <v>532</v>
      </c>
    </row>
    <row r="1129" ht="22.5" customHeight="1">
      <c r="B1129" s="7" t="str">
        <f>IFERROR(__xludf.DUMMYFUNCTION("""COMPUTED_VALUE"""),"K/50/121124/1")</f>
        <v>K/50/121124/1</v>
      </c>
      <c r="C1129" s="7" t="str">
        <f>IFERROR(__xludf.DUMMYFUNCTION("""COMPUTED_VALUE"""),"NIBEL M.1785/SUMUR PUTRI")</f>
        <v>NIBEL M.1785/SUMUR PUTRI</v>
      </c>
      <c r="D1129" s="7"/>
      <c r="E1129" s="7"/>
      <c r="F1129" s="9" t="str">
        <f>IFERROR(__xludf.DUMMYFUNCTION("""COMPUTED_VALUE"""),"")</f>
        <v/>
      </c>
      <c r="G1129" s="7" t="str">
        <f>IFERROR(__xludf.DUMMYFUNCTION("""COMPUTED_VALUE"""),"BN JUAL BELI")</f>
        <v>BN JUAL BELI</v>
      </c>
      <c r="H1129" s="7">
        <f t="shared" si="1"/>
        <v>532</v>
      </c>
    </row>
    <row r="1130" ht="22.5" customHeight="1">
      <c r="B1130" s="7" t="str">
        <f>IFERROR(__xludf.DUMMYFUNCTION("""COMPUTED_VALUE"""),"K/1/131124/1")</f>
        <v>K/1/131124/1</v>
      </c>
      <c r="C1130" s="7" t="str">
        <f>IFERROR(__xludf.DUMMYFUNCTION("""COMPUTED_VALUE"""),"M. 10732/ Rajabasa")</f>
        <v>M. 10732/ Rajabasa</v>
      </c>
      <c r="D1130" s="7"/>
      <c r="E1130" s="7"/>
      <c r="F1130" s="9" t="str">
        <f>IFERROR(__xludf.DUMMYFUNCTION("""COMPUTED_VALUE"""),"")</f>
        <v/>
      </c>
      <c r="G1130" s="7" t="str">
        <f>IFERROR(__xludf.DUMMYFUNCTION("""COMPUTED_VALUE"""),"SKPT Lelang")</f>
        <v>SKPT Lelang</v>
      </c>
      <c r="H1130" s="7">
        <f t="shared" si="1"/>
        <v>532</v>
      </c>
    </row>
    <row r="1131" ht="22.5" customHeight="1">
      <c r="B1131" s="7" t="str">
        <f>IFERROR(__xludf.DUMMYFUNCTION("""COMPUTED_VALUE"""),"K/2/131124/2")</f>
        <v>K/2/131124/2</v>
      </c>
      <c r="C1131" s="7" t="str">
        <f>IFERROR(__xludf.DUMMYFUNCTION("""COMPUTED_VALUE"""),"M. 1713/ Sukamaju")</f>
        <v>M. 1713/ Sukamaju</v>
      </c>
      <c r="D1131" s="7"/>
      <c r="E1131" s="7"/>
      <c r="F1131" s="9" t="str">
        <f>IFERROR(__xludf.DUMMYFUNCTION("""COMPUTED_VALUE"""),"")</f>
        <v/>
      </c>
      <c r="G1131" s="7" t="str">
        <f>IFERROR(__xludf.DUMMYFUNCTION("""COMPUTED_VALUE"""),"SKPT Lelang")</f>
        <v>SKPT Lelang</v>
      </c>
      <c r="H1131" s="7">
        <f t="shared" si="1"/>
        <v>532</v>
      </c>
    </row>
    <row r="1132" ht="22.5" customHeight="1">
      <c r="B1132" s="7" t="str">
        <f>IFERROR(__xludf.DUMMYFUNCTION("""COMPUTED_VALUE"""),"K/3/131124/3")</f>
        <v>K/3/131124/3</v>
      </c>
      <c r="C1132" s="7" t="str">
        <f>IFERROR(__xludf.DUMMYFUNCTION("""COMPUTED_VALUE"""),"M. 1714/ Sukamaju")</f>
        <v>M. 1714/ Sukamaju</v>
      </c>
      <c r="D1132" s="7"/>
      <c r="E1132" s="7"/>
      <c r="F1132" s="9" t="str">
        <f>IFERROR(__xludf.DUMMYFUNCTION("""COMPUTED_VALUE"""),"")</f>
        <v/>
      </c>
      <c r="G1132" s="7" t="str">
        <f>IFERROR(__xludf.DUMMYFUNCTION("""COMPUTED_VALUE"""),"SKPT Lelang")</f>
        <v>SKPT Lelang</v>
      </c>
      <c r="H1132" s="7">
        <f t="shared" si="1"/>
        <v>532</v>
      </c>
    </row>
    <row r="1133" ht="22.5" customHeight="1">
      <c r="B1133" s="7" t="str">
        <f>IFERROR(__xludf.DUMMYFUNCTION("""COMPUTED_VALUE"""),"K/4/131124/1")</f>
        <v>K/4/131124/1</v>
      </c>
      <c r="C1133" s="7" t="str">
        <f>IFERROR(__xludf.DUMMYFUNCTION("""COMPUTED_VALUE"""),"M. 4605/ Rajabasa Jaya")</f>
        <v>M. 4605/ Rajabasa Jaya</v>
      </c>
      <c r="D1133" s="7" t="str">
        <f>IFERROR(__xludf.DUMMYFUNCTION("""COMPUTED_VALUE"""),"David")</f>
        <v>David</v>
      </c>
      <c r="E1133" s="7" t="str">
        <f>IFERROR(__xludf.DUMMYFUNCTION("""COMPUTED_VALUE"""),"DISERAHKAN")</f>
        <v>DISERAHKAN</v>
      </c>
      <c r="F1133" s="9">
        <f>IFERROR(__xludf.DUMMYFUNCTION("""COMPUTED_VALUE"""),45614.437625289356)</f>
        <v>45614.43763</v>
      </c>
      <c r="G1133" s="7" t="str">
        <f>IFERROR(__xludf.DUMMYFUNCTION("""COMPUTED_VALUE"""),"BN JUAL BELI")</f>
        <v>BN JUAL BELI</v>
      </c>
      <c r="H1133" s="7">
        <f t="shared" si="1"/>
        <v>533</v>
      </c>
    </row>
    <row r="1134" ht="22.5" customHeight="1">
      <c r="B1134" s="7" t="str">
        <f>IFERROR(__xludf.DUMMYFUNCTION("""COMPUTED_VALUE"""),"K/5/131124/2")</f>
        <v>K/5/131124/2</v>
      </c>
      <c r="C1134" s="7" t="str">
        <f>IFERROR(__xludf.DUMMYFUNCTION("""COMPUTED_VALUE"""),"m. 542/ beringin jaya")</f>
        <v>m. 542/ beringin jaya</v>
      </c>
      <c r="D1134" s="7"/>
      <c r="E1134" s="7"/>
      <c r="F1134" s="9" t="str">
        <f>IFERROR(__xludf.DUMMYFUNCTION("""COMPUTED_VALUE"""),"")</f>
        <v/>
      </c>
      <c r="G1134" s="7" t="str">
        <f>IFERROR(__xludf.DUMMYFUNCTION("""COMPUTED_VALUE"""),"gandes")</f>
        <v>gandes</v>
      </c>
      <c r="H1134" s="7">
        <f t="shared" si="1"/>
        <v>533</v>
      </c>
    </row>
    <row r="1135" ht="22.5" customHeight="1">
      <c r="B1135" s="7" t="str">
        <f>IFERROR(__xludf.DUMMYFUNCTION("""COMPUTED_VALUE"""),"L/6/131124/1")</f>
        <v>L/6/131124/1</v>
      </c>
      <c r="C1135" s="7" t="str">
        <f>IFERROR(__xludf.DUMMYFUNCTION("""COMPUTED_VALUE"""),"SUKARAME")</f>
        <v>SUKARAME</v>
      </c>
      <c r="D1135" s="7"/>
      <c r="E1135" s="7"/>
      <c r="F1135" s="9" t="str">
        <f>IFERROR(__xludf.DUMMYFUNCTION("""COMPUTED_VALUE"""),"")</f>
        <v/>
      </c>
      <c r="G1135" s="7" t="str">
        <f>IFERROR(__xludf.DUMMYFUNCTION("""COMPUTED_VALUE"""),"TANAH MENTAH")</f>
        <v>TANAH MENTAH</v>
      </c>
      <c r="H1135" s="7">
        <f t="shared" si="1"/>
        <v>533</v>
      </c>
    </row>
    <row r="1136" ht="22.5" customHeight="1">
      <c r="B1136" s="7" t="str">
        <f>IFERROR(__xludf.DUMMYFUNCTION("""COMPUTED_VALUE"""),"K/7/131124/1")</f>
        <v>K/7/131124/1</v>
      </c>
      <c r="C1136" s="7" t="str">
        <f>IFERROR(__xludf.DUMMYFUNCTION("""COMPUTED_VALUE"""),"M.342/RAJABASA JAYA")</f>
        <v>M.342/RAJABASA JAYA</v>
      </c>
      <c r="D1136" s="7" t="str">
        <f>IFERROR(__xludf.DUMMYFUNCTION("""COMPUTED_VALUE"""),"David")</f>
        <v>David</v>
      </c>
      <c r="E1136" s="7" t="str">
        <f>IFERROR(__xludf.DUMMYFUNCTION("""COMPUTED_VALUE"""),"DISERAHKAN")</f>
        <v>DISERAHKAN</v>
      </c>
      <c r="F1136" s="9">
        <f>IFERROR(__xludf.DUMMYFUNCTION("""COMPUTED_VALUE"""),45614.43788146991)</f>
        <v>45614.43788</v>
      </c>
      <c r="G1136" s="7" t="str">
        <f>IFERROR(__xludf.DUMMYFUNCTION("""COMPUTED_VALUE"""),"ROYA")</f>
        <v>ROYA</v>
      </c>
      <c r="H1136" s="7">
        <f t="shared" si="1"/>
        <v>534</v>
      </c>
    </row>
    <row r="1137" ht="22.5" customHeight="1">
      <c r="B1137" s="7" t="str">
        <f>IFERROR(__xludf.DUMMYFUNCTION("""COMPUTED_VALUE"""),"L/8/131124/1")</f>
        <v>L/8/131124/1</v>
      </c>
      <c r="C1137" s="7" t="str">
        <f>IFERROR(__xludf.DUMMYFUNCTION("""COMPUTED_VALUE"""),"HGB 836/PWK")</f>
        <v>HGB 836/PWK</v>
      </c>
      <c r="D1137" s="7" t="str">
        <f>IFERROR(__xludf.DUMMYFUNCTION("""COMPUTED_VALUE"""),"David")</f>
        <v>David</v>
      </c>
      <c r="E1137" s="7" t="str">
        <f>IFERROR(__xludf.DUMMYFUNCTION("""COMPUTED_VALUE"""),"PROSES")</f>
        <v>PROSES</v>
      </c>
      <c r="F1137" s="9" t="str">
        <f>IFERROR(__xludf.DUMMYFUNCTION("""COMPUTED_VALUE"""),"")</f>
        <v/>
      </c>
      <c r="G1137" s="7" t="str">
        <f>IFERROR(__xludf.DUMMYFUNCTION("""COMPUTED_VALUE"""),"PH")</f>
        <v>PH</v>
      </c>
      <c r="H1137" s="7">
        <f t="shared" si="1"/>
        <v>534</v>
      </c>
    </row>
    <row r="1138" ht="22.5" customHeight="1">
      <c r="B1138" s="7" t="str">
        <f>IFERROR(__xludf.DUMMYFUNCTION("""COMPUTED_VALUE"""),"L/9/131124/1")</f>
        <v>L/9/131124/1</v>
      </c>
      <c r="C1138" s="7" t="str">
        <f>IFERROR(__xludf.DUMMYFUNCTION("""COMPUTED_VALUE"""),"HM 11474/KEDAMAIAN (SHM TETANGGA)")</f>
        <v>HM 11474/KEDAMAIAN (SHM TETANGGA)</v>
      </c>
      <c r="D1138" s="7"/>
      <c r="E1138" s="7"/>
      <c r="F1138" s="9" t="str">
        <f>IFERROR(__xludf.DUMMYFUNCTION("""COMPUTED_VALUE"""),"")</f>
        <v/>
      </c>
      <c r="G1138" s="7" t="str">
        <f>IFERROR(__xludf.DUMMYFUNCTION("""COMPUTED_VALUE"""),"SERTIPIKAT HILANG")</f>
        <v>SERTIPIKAT HILANG</v>
      </c>
      <c r="H1138" s="7">
        <f t="shared" si="1"/>
        <v>534</v>
      </c>
    </row>
    <row r="1139" ht="22.5" customHeight="1">
      <c r="B1139" s="7" t="str">
        <f>IFERROR(__xludf.DUMMYFUNCTION("""COMPUTED_VALUE"""),"K/10/131124/1")</f>
        <v>K/10/131124/1</v>
      </c>
      <c r="C1139" s="7" t="str">
        <f>IFERROR(__xludf.DUMMYFUNCTION("""COMPUTED_VALUE"""),"M. 1193/ Sukadana Ham")</f>
        <v>M. 1193/ Sukadana Ham</v>
      </c>
      <c r="D1139" s="7" t="str">
        <f>IFERROR(__xludf.DUMMYFUNCTION("""COMPUTED_VALUE"""),"David")</f>
        <v>David</v>
      </c>
      <c r="E1139" s="7" t="str">
        <f>IFERROR(__xludf.DUMMYFUNCTION("""COMPUTED_VALUE"""),"DISERAHKAN")</f>
        <v>DISERAHKAN</v>
      </c>
      <c r="F1139" s="9">
        <f>IFERROR(__xludf.DUMMYFUNCTION("""COMPUTED_VALUE"""),45614.43866829861)</f>
        <v>45614.43867</v>
      </c>
      <c r="G1139" s="7" t="str">
        <f>IFERROR(__xludf.DUMMYFUNCTION("""COMPUTED_VALUE"""),"BN Jual Beli")</f>
        <v>BN Jual Beli</v>
      </c>
      <c r="H1139" s="7">
        <f t="shared" si="1"/>
        <v>535</v>
      </c>
    </row>
    <row r="1140" ht="22.5" customHeight="1">
      <c r="B1140" s="7" t="str">
        <f>IFERROR(__xludf.DUMMYFUNCTION("""COMPUTED_VALUE"""),"L/12/131124/1")</f>
        <v>L/12/131124/1</v>
      </c>
      <c r="C1140" s="7" t="str">
        <f>IFERROR(__xludf.DUMMYFUNCTION("""COMPUTED_VALUE"""),"HM 1424/BAKUNG &amp; HM 1423/BAKUNG")</f>
        <v>HM 1424/BAKUNG &amp; HM 1423/BAKUNG</v>
      </c>
      <c r="D1140" s="7" t="str">
        <f>IFERROR(__xludf.DUMMYFUNCTION("""COMPUTED_VALUE"""),"David")</f>
        <v>David</v>
      </c>
      <c r="E1140" s="7" t="str">
        <f>IFERROR(__xludf.DUMMYFUNCTION("""COMPUTED_VALUE"""),"DISERAHKAN BT")</f>
        <v>DISERAHKAN BT</v>
      </c>
      <c r="F1140" s="9">
        <f>IFERROR(__xludf.DUMMYFUNCTION("""COMPUTED_VALUE"""),45614.440775995376)</f>
        <v>45614.44078</v>
      </c>
      <c r="G1140" s="7" t="str">
        <f>IFERROR(__xludf.DUMMYFUNCTION("""COMPUTED_VALUE"""),"ROYA")</f>
        <v>ROYA</v>
      </c>
      <c r="H1140" s="7">
        <f t="shared" si="1"/>
        <v>535</v>
      </c>
    </row>
    <row r="1141" ht="22.5" customHeight="1">
      <c r="B1141" s="7" t="str">
        <f>IFERROR(__xludf.DUMMYFUNCTION("""COMPUTED_VALUE"""),"K/11/131124/1")</f>
        <v>K/11/131124/1</v>
      </c>
      <c r="C1141" s="7" t="str">
        <f>IFERROR(__xludf.DUMMYFUNCTION("""COMPUTED_VALUE"""),"Nibel 133/ Kelapa Tiga")</f>
        <v>Nibel 133/ Kelapa Tiga</v>
      </c>
      <c r="D1141" s="7"/>
      <c r="E1141" s="7"/>
      <c r="F1141" s="9" t="str">
        <f>IFERROR(__xludf.DUMMYFUNCTION("""COMPUTED_VALUE"""),"")</f>
        <v/>
      </c>
      <c r="G1141" s="7" t="str">
        <f>IFERROR(__xludf.DUMMYFUNCTION("""COMPUTED_VALUE"""),"PERMOHONAN SK PERPANJANGAN")</f>
        <v>PERMOHONAN SK PERPANJANGAN</v>
      </c>
      <c r="H1141" s="7">
        <f t="shared" si="1"/>
        <v>535</v>
      </c>
    </row>
    <row r="1142" ht="22.5" customHeight="1">
      <c r="B1142" s="7" t="str">
        <f>IFERROR(__xludf.DUMMYFUNCTION("""COMPUTED_VALUE"""),"K/13/131124/1")</f>
        <v>K/13/131124/1</v>
      </c>
      <c r="C1142" s="7" t="str">
        <f>IFERROR(__xludf.DUMMYFUNCTION("""COMPUTED_VALUE"""),"M. 2268/ Campang Jaya-SEKARANG; m. 1520/ CAMPANG RAYA-DULU")</f>
        <v>M. 2268/ Campang Jaya-SEKARANG; m. 1520/ CAMPANG RAYA-DULU</v>
      </c>
      <c r="D1142" s="7" t="str">
        <f>IFERROR(__xludf.DUMMYFUNCTION("""COMPUTED_VALUE"""),"David")</f>
        <v>David</v>
      </c>
      <c r="E1142" s="7" t="str">
        <f>IFERROR(__xludf.DUMMYFUNCTION("""COMPUTED_VALUE"""),"DISERAHKAN")</f>
        <v>DISERAHKAN</v>
      </c>
      <c r="F1142" s="9">
        <f>IFERROR(__xludf.DUMMYFUNCTION("""COMPUTED_VALUE"""),45614.44168423611)</f>
        <v>45614.44168</v>
      </c>
      <c r="G1142" s="7" t="str">
        <f>IFERROR(__xludf.DUMMYFUNCTION("""COMPUTED_VALUE"""),"BN JUAL BELI")</f>
        <v>BN JUAL BELI</v>
      </c>
      <c r="H1142" s="7">
        <f t="shared" si="1"/>
        <v>536</v>
      </c>
    </row>
    <row r="1143" ht="22.5" customHeight="1">
      <c r="B1143" s="7" t="str">
        <f>IFERROR(__xludf.DUMMYFUNCTION("""COMPUTED_VALUE"""),"K/14/131124/2")</f>
        <v>K/14/131124/2</v>
      </c>
      <c r="C1143" s="7" t="str">
        <f>IFERROR(__xludf.DUMMYFUNCTION("""COMPUTED_VALUE"""),"M. 346/ Sawah Lama")</f>
        <v>M. 346/ Sawah Lama</v>
      </c>
      <c r="D1143" s="7" t="str">
        <f>IFERROR(__xludf.DUMMYFUNCTION("""COMPUTED_VALUE"""),"David")</f>
        <v>David</v>
      </c>
      <c r="E1143" s="7" t="str">
        <f>IFERROR(__xludf.DUMMYFUNCTION("""COMPUTED_VALUE"""),"DISERAHKAN")</f>
        <v>DISERAHKAN</v>
      </c>
      <c r="F1143" s="9">
        <f>IFERROR(__xludf.DUMMYFUNCTION("""COMPUTED_VALUE"""),45614.44260199074)</f>
        <v>45614.4426</v>
      </c>
      <c r="G1143" s="7" t="str">
        <f>IFERROR(__xludf.DUMMYFUNCTION("""COMPUTED_VALUE"""),"BN JUAL JUAL BELI")</f>
        <v>BN JUAL JUAL BELI</v>
      </c>
      <c r="H1143" s="7">
        <f t="shared" si="1"/>
        <v>537</v>
      </c>
    </row>
    <row r="1144" ht="22.5" customHeight="1">
      <c r="B1144" s="7" t="str">
        <f>IFERROR(__xludf.DUMMYFUNCTION("""COMPUTED_VALUE"""),"K/15/131124/3")</f>
        <v>K/15/131124/3</v>
      </c>
      <c r="C1144" s="7" t="str">
        <f>IFERROR(__xludf.DUMMYFUNCTION("""COMPUTED_VALUE"""),"M. 86/ Sawah Brebes")</f>
        <v>M. 86/ Sawah Brebes</v>
      </c>
      <c r="D1144" s="7" t="str">
        <f>IFERROR(__xludf.DUMMYFUNCTION("""COMPUTED_VALUE"""),"David")</f>
        <v>David</v>
      </c>
      <c r="E1144" s="7" t="str">
        <f>IFERROR(__xludf.DUMMYFUNCTION("""COMPUTED_VALUE"""),"DISERAHKAN")</f>
        <v>DISERAHKAN</v>
      </c>
      <c r="F1144" s="9">
        <f>IFERROR(__xludf.DUMMYFUNCTION("""COMPUTED_VALUE"""),45614.44296111111)</f>
        <v>45614.44296</v>
      </c>
      <c r="G1144" s="7" t="str">
        <f>IFERROR(__xludf.DUMMYFUNCTION("""COMPUTED_VALUE"""),"BN JUAL BELI")</f>
        <v>BN JUAL BELI</v>
      </c>
      <c r="H1144" s="7">
        <f t="shared" si="1"/>
        <v>538</v>
      </c>
    </row>
    <row r="1145" ht="22.5" customHeight="1">
      <c r="B1145" s="7" t="str">
        <f>IFERROR(__xludf.DUMMYFUNCTION("""COMPUTED_VALUE"""),"K/16/131124/1")</f>
        <v>K/16/131124/1</v>
      </c>
      <c r="C1145" s="7" t="str">
        <f>IFERROR(__xludf.DUMMYFUNCTION("""COMPUTED_VALUE"""),"M. 561/ Bumi Kedamaian")</f>
        <v>M. 561/ Bumi Kedamaian</v>
      </c>
      <c r="D1145" s="7"/>
      <c r="E1145" s="7"/>
      <c r="F1145" s="9" t="str">
        <f>IFERROR(__xludf.DUMMYFUNCTION("""COMPUTED_VALUE"""),"")</f>
        <v/>
      </c>
      <c r="G1145" s="7" t="str">
        <f>IFERROR(__xludf.DUMMYFUNCTION("""COMPUTED_VALUE"""),"Hapus BPHTB")</f>
        <v>Hapus BPHTB</v>
      </c>
      <c r="H1145" s="7">
        <f t="shared" si="1"/>
        <v>538</v>
      </c>
    </row>
    <row r="1146" ht="22.5" customHeight="1">
      <c r="B1146" s="7" t="str">
        <f>IFERROR(__xludf.DUMMYFUNCTION("""COMPUTED_VALUE"""),"K/17/131124/1")</f>
        <v>K/17/131124/1</v>
      </c>
      <c r="C1146" s="7" t="str">
        <f>IFERROR(__xludf.DUMMYFUNCTION("""COMPUTED_VALUE"""),"M. 468/SUMUR PUTRI")</f>
        <v>M. 468/SUMUR PUTRI</v>
      </c>
      <c r="D1146" s="7" t="str">
        <f>IFERROR(__xludf.DUMMYFUNCTION("""COMPUTED_VALUE"""),"David")</f>
        <v>David</v>
      </c>
      <c r="E1146" s="7" t="str">
        <f>IFERROR(__xludf.DUMMYFUNCTION("""COMPUTED_VALUE"""),"PROSES")</f>
        <v>PROSES</v>
      </c>
      <c r="F1146" s="9" t="str">
        <f>IFERROR(__xludf.DUMMYFUNCTION("""COMPUTED_VALUE"""),"")</f>
        <v/>
      </c>
      <c r="G1146" s="7" t="str">
        <f>IFERROR(__xludf.DUMMYFUNCTION("""COMPUTED_VALUE"""),"BN JUAL BELI")</f>
        <v>BN JUAL BELI</v>
      </c>
      <c r="H1146" s="7">
        <f t="shared" si="1"/>
        <v>538</v>
      </c>
    </row>
    <row r="1147" ht="22.5" customHeight="1">
      <c r="B1147" s="7" t="str">
        <f>IFERROR(__xludf.DUMMYFUNCTION("""COMPUTED_VALUE"""),"L/18/131124/1")</f>
        <v>L/18/131124/1</v>
      </c>
      <c r="C1147" s="7" t="str">
        <f>IFERROR(__xludf.DUMMYFUNCTION("""COMPUTED_VALUE"""),"HGB 706/CAMPANG RAYA")</f>
        <v>HGB 706/CAMPANG RAYA</v>
      </c>
      <c r="D1147" s="7"/>
      <c r="E1147" s="7"/>
      <c r="F1147" s="9" t="str">
        <f>IFERROR(__xludf.DUMMYFUNCTION("""COMPUTED_VALUE"""),"")</f>
        <v/>
      </c>
      <c r="G1147" s="7" t="str">
        <f>IFERROR(__xludf.DUMMYFUNCTION("""COMPUTED_VALUE"""),"SKPT INFORMASI")</f>
        <v>SKPT INFORMASI</v>
      </c>
      <c r="H1147" s="7">
        <f t="shared" si="1"/>
        <v>538</v>
      </c>
    </row>
    <row r="1148" ht="22.5" customHeight="1">
      <c r="B1148" s="7" t="str">
        <f>IFERROR(__xludf.DUMMYFUNCTION("""COMPUTED_VALUE"""),"K/19/131124/1")</f>
        <v>K/19/131124/1</v>
      </c>
      <c r="C1148" s="7" t="str">
        <f>IFERROR(__xludf.DUMMYFUNCTION("""COMPUTED_VALUE"""),"M. 1845/ Kaliawi")</f>
        <v>M. 1845/ Kaliawi</v>
      </c>
      <c r="D1148" s="7" t="str">
        <f>IFERROR(__xludf.DUMMYFUNCTION("""COMPUTED_VALUE"""),"David")</f>
        <v>David</v>
      </c>
      <c r="E1148" s="7" t="str">
        <f>IFERROR(__xludf.DUMMYFUNCTION("""COMPUTED_VALUE"""),"DISERAHKAN")</f>
        <v>DISERAHKAN</v>
      </c>
      <c r="F1148" s="9">
        <f>IFERROR(__xludf.DUMMYFUNCTION("""COMPUTED_VALUE"""),45614.41139366898)</f>
        <v>45614.41139</v>
      </c>
      <c r="G1148" s="7" t="str">
        <f>IFERROR(__xludf.DUMMYFUNCTION("""COMPUTED_VALUE"""),"BN Waris")</f>
        <v>BN Waris</v>
      </c>
      <c r="H1148" s="7">
        <f t="shared" si="1"/>
        <v>539</v>
      </c>
    </row>
    <row r="1149" ht="22.5" customHeight="1">
      <c r="B1149" s="7" t="str">
        <f>IFERROR(__xludf.DUMMYFUNCTION("""COMPUTED_VALUE"""),"K/20/131124/1")</f>
        <v>K/20/131124/1</v>
      </c>
      <c r="C1149" s="7" t="str">
        <f>IFERROR(__xludf.DUMMYFUNCTION("""COMPUTED_VALUE"""),"M. 942/ Sumur Putri")</f>
        <v>M. 942/ Sumur Putri</v>
      </c>
      <c r="D1149" s="7" t="str">
        <f>IFERROR(__xludf.DUMMYFUNCTION("""COMPUTED_VALUE"""),"David")</f>
        <v>David</v>
      </c>
      <c r="E1149" s="7" t="str">
        <f>IFERROR(__xludf.DUMMYFUNCTION("""COMPUTED_VALUE"""),"DISERAHKAN")</f>
        <v>DISERAHKAN</v>
      </c>
      <c r="F1149" s="9">
        <f>IFERROR(__xludf.DUMMYFUNCTION("""COMPUTED_VALUE"""),45614.44478814815)</f>
        <v>45614.44479</v>
      </c>
      <c r="G1149" s="7" t="str">
        <f>IFERROR(__xludf.DUMMYFUNCTION("""COMPUTED_VALUE"""),"BN JUAL BELI")</f>
        <v>BN JUAL BELI</v>
      </c>
      <c r="H1149" s="7">
        <f t="shared" si="1"/>
        <v>540</v>
      </c>
    </row>
    <row r="1150" ht="22.5" customHeight="1">
      <c r="B1150" s="7" t="str">
        <f>IFERROR(__xludf.DUMMYFUNCTION("""COMPUTED_VALUE"""),"K/21/131124/1")</f>
        <v>K/21/131124/1</v>
      </c>
      <c r="C1150" s="7" t="str">
        <f>IFERROR(__xludf.DUMMYFUNCTION("""COMPUTED_VALUE"""),"M.10630/SIDODADI")</f>
        <v>M.10630/SIDODADI</v>
      </c>
      <c r="D1150" s="7" t="str">
        <f>IFERROR(__xludf.DUMMYFUNCTION("""COMPUTED_VALUE"""),"David")</f>
        <v>David</v>
      </c>
      <c r="E1150" s="7" t="str">
        <f>IFERROR(__xludf.DUMMYFUNCTION("""COMPUTED_VALUE"""),"PROSES")</f>
        <v>PROSES</v>
      </c>
      <c r="F1150" s="9" t="str">
        <f>IFERROR(__xludf.DUMMYFUNCTION("""COMPUTED_VALUE"""),"")</f>
        <v/>
      </c>
      <c r="G1150" s="7" t="str">
        <f>IFERROR(__xludf.DUMMYFUNCTION("""COMPUTED_VALUE"""),"KEWARISAN")</f>
        <v>KEWARISAN</v>
      </c>
      <c r="H1150" s="7">
        <f t="shared" si="1"/>
        <v>540</v>
      </c>
    </row>
    <row r="1151" ht="22.5" customHeight="1">
      <c r="B1151" s="7" t="str">
        <f>IFERROR(__xludf.DUMMYFUNCTION("""COMPUTED_VALUE"""),"K/22/131124/1")</f>
        <v>K/22/131124/1</v>
      </c>
      <c r="C1151" s="7" t="str">
        <f>IFERROR(__xludf.DUMMYFUNCTION("""COMPUTED_VALUE"""),"B. 326/ Negeri Olok Gading")</f>
        <v>B. 326/ Negeri Olok Gading</v>
      </c>
      <c r="D1151" s="7" t="str">
        <f>IFERROR(__xludf.DUMMYFUNCTION("""COMPUTED_VALUE"""),"David")</f>
        <v>David</v>
      </c>
      <c r="E1151" s="7" t="str">
        <f>IFERROR(__xludf.DUMMYFUNCTION("""COMPUTED_VALUE"""),"PROSES")</f>
        <v>PROSES</v>
      </c>
      <c r="F1151" s="9" t="str">
        <f>IFERROR(__xludf.DUMMYFUNCTION("""COMPUTED_VALUE"""),"")</f>
        <v/>
      </c>
      <c r="G1151" s="7" t="str">
        <f>IFERROR(__xludf.DUMMYFUNCTION("""COMPUTED_VALUE"""),"ROYA")</f>
        <v>ROYA</v>
      </c>
      <c r="H1151" s="7">
        <f t="shared" si="1"/>
        <v>540</v>
      </c>
    </row>
    <row r="1152" ht="22.5" customHeight="1">
      <c r="B1152" s="7" t="str">
        <f>IFERROR(__xludf.DUMMYFUNCTION("""COMPUTED_VALUE"""),"K/23/131124/1")</f>
        <v>K/23/131124/1</v>
      </c>
      <c r="C1152" s="7" t="str">
        <f>IFERROR(__xludf.DUMMYFUNCTION("""COMPUTED_VALUE"""),"M. 4937/ Sukadana Ham")</f>
        <v>M. 4937/ Sukadana Ham</v>
      </c>
      <c r="D1152" s="7" t="str">
        <f>IFERROR(__xludf.DUMMYFUNCTION("""COMPUTED_VALUE"""),"David")</f>
        <v>David</v>
      </c>
      <c r="E1152" s="7" t="str">
        <f>IFERROR(__xludf.DUMMYFUNCTION("""COMPUTED_VALUE"""),"DISERAHKAN")</f>
        <v>DISERAHKAN</v>
      </c>
      <c r="F1152" s="9">
        <f>IFERROR(__xludf.DUMMYFUNCTION("""COMPUTED_VALUE"""),45614.44708056713)</f>
        <v>45614.44708</v>
      </c>
      <c r="G1152" s="7" t="str">
        <f>IFERROR(__xludf.DUMMYFUNCTION("""COMPUTED_VALUE"""),"BN Jual Beli")</f>
        <v>BN Jual Beli</v>
      </c>
      <c r="H1152" s="7">
        <f t="shared" si="1"/>
        <v>541</v>
      </c>
    </row>
    <row r="1153" ht="22.5" customHeight="1">
      <c r="B1153" s="7" t="str">
        <f>IFERROR(__xludf.DUMMYFUNCTION("""COMPUTED_VALUE"""),"K/24/131124/2")</f>
        <v>K/24/131124/2</v>
      </c>
      <c r="C1153" s="7" t="str">
        <f>IFERROR(__xludf.DUMMYFUNCTION("""COMPUTED_VALUE"""),"M. 4977/ Sukadana Ham")</f>
        <v>M. 4977/ Sukadana Ham</v>
      </c>
      <c r="D1153" s="7" t="str">
        <f>IFERROR(__xludf.DUMMYFUNCTION("""COMPUTED_VALUE"""),"David")</f>
        <v>David</v>
      </c>
      <c r="E1153" s="7" t="str">
        <f>IFERROR(__xludf.DUMMYFUNCTION("""COMPUTED_VALUE"""),"PROSES")</f>
        <v>PROSES</v>
      </c>
      <c r="F1153" s="9" t="str">
        <f>IFERROR(__xludf.DUMMYFUNCTION("""COMPUTED_VALUE"""),"")</f>
        <v/>
      </c>
      <c r="G1153" s="7" t="str">
        <f>IFERROR(__xludf.DUMMYFUNCTION("""COMPUTED_VALUE"""),"BN Jual Beli")</f>
        <v>BN Jual Beli</v>
      </c>
      <c r="H1153" s="7">
        <f t="shared" si="1"/>
        <v>541</v>
      </c>
    </row>
    <row r="1154" ht="22.5" customHeight="1">
      <c r="B1154" s="7" t="str">
        <f>IFERROR(__xludf.DUMMYFUNCTION("""COMPUTED_VALUE"""),"L/25/131124/1")</f>
        <v>L/25/131124/1</v>
      </c>
      <c r="C1154" s="7" t="str">
        <f>IFERROR(__xludf.DUMMYFUNCTION("""COMPUTED_VALUE"""),"HM 1075/RAJABASA RAYA")</f>
        <v>HM 1075/RAJABASA RAYA</v>
      </c>
      <c r="D1154" s="7" t="str">
        <f>IFERROR(__xludf.DUMMYFUNCTION("""COMPUTED_VALUE"""),"David")</f>
        <v>David</v>
      </c>
      <c r="E1154" s="7" t="str">
        <f>IFERROR(__xludf.DUMMYFUNCTION("""COMPUTED_VALUE"""),"PROSES")</f>
        <v>PROSES</v>
      </c>
      <c r="F1154" s="9" t="str">
        <f>IFERROR(__xludf.DUMMYFUNCTION("""COMPUTED_VALUE"""),"")</f>
        <v/>
      </c>
      <c r="G1154" s="7" t="str">
        <f>IFERROR(__xludf.DUMMYFUNCTION("""COMPUTED_VALUE"""),"ROYA")</f>
        <v>ROYA</v>
      </c>
      <c r="H1154" s="7">
        <f t="shared" si="1"/>
        <v>541</v>
      </c>
    </row>
    <row r="1155" ht="22.5" customHeight="1">
      <c r="B1155" s="7" t="str">
        <f>IFERROR(__xludf.DUMMYFUNCTION("""COMPUTED_VALUE"""),"K/26/131124/1")</f>
        <v>K/26/131124/1</v>
      </c>
      <c r="C1155" s="7" t="str">
        <f>IFERROR(__xludf.DUMMYFUNCTION("""COMPUTED_VALUE"""),"B. 385/ Campang Raya")</f>
        <v>B. 385/ Campang Raya</v>
      </c>
      <c r="D1155" s="7"/>
      <c r="E1155" s="7"/>
      <c r="F1155" s="9" t="str">
        <f>IFERROR(__xludf.DUMMYFUNCTION("""COMPUTED_VALUE"""),"")</f>
        <v/>
      </c>
      <c r="G1155" s="7" t="str">
        <f>IFERROR(__xludf.DUMMYFUNCTION("""COMPUTED_VALUE"""),"Gandes")</f>
        <v>Gandes</v>
      </c>
      <c r="H1155" s="7">
        <f t="shared" si="1"/>
        <v>541</v>
      </c>
    </row>
    <row r="1156" ht="22.5" customHeight="1">
      <c r="B1156" s="7" t="str">
        <f>IFERROR(__xludf.DUMMYFUNCTION("""COMPUTED_VALUE"""),"K/27/131124/1")</f>
        <v>K/27/131124/1</v>
      </c>
      <c r="C1156" s="7" t="str">
        <f>IFERROR(__xludf.DUMMYFUNCTION("""COMPUTED_VALUE"""),"M.1877/ BUMI WARAS")</f>
        <v>M.1877/ BUMI WARAS</v>
      </c>
      <c r="D1156" s="7"/>
      <c r="E1156" s="7"/>
      <c r="F1156" s="9" t="str">
        <f>IFERROR(__xludf.DUMMYFUNCTION("""COMPUTED_VALUE"""),"")</f>
        <v/>
      </c>
      <c r="G1156" s="7" t="str">
        <f>IFERROR(__xludf.DUMMYFUNCTION("""COMPUTED_VALUE"""),"PLOTTING")</f>
        <v>PLOTTING</v>
      </c>
      <c r="H1156" s="7">
        <f t="shared" si="1"/>
        <v>541</v>
      </c>
    </row>
    <row r="1157" ht="22.5" customHeight="1">
      <c r="B1157" s="7" t="str">
        <f>IFERROR(__xludf.DUMMYFUNCTION("""COMPUTED_VALUE"""),"K/28/131124/2")</f>
        <v>K/28/131124/2</v>
      </c>
      <c r="C1157" s="7" t="str">
        <f>IFERROR(__xludf.DUMMYFUNCTION("""COMPUTED_VALUE"""),"M. 1635 / PANJANG SELATAN")</f>
        <v>M. 1635 / PANJANG SELATAN</v>
      </c>
      <c r="D1157" s="7" t="str">
        <f>IFERROR(__xludf.DUMMYFUNCTION("""COMPUTED_VALUE"""),"David")</f>
        <v>David</v>
      </c>
      <c r="E1157" s="7" t="str">
        <f>IFERROR(__xludf.DUMMYFUNCTION("""COMPUTED_VALUE"""),"PROSES")</f>
        <v>PROSES</v>
      </c>
      <c r="F1157" s="9" t="str">
        <f>IFERROR(__xludf.DUMMYFUNCTION("""COMPUTED_VALUE"""),"")</f>
        <v/>
      </c>
      <c r="G1157" s="7" t="str">
        <f>IFERROR(__xludf.DUMMYFUNCTION("""COMPUTED_VALUE"""),"ROYA")</f>
        <v>ROYA</v>
      </c>
      <c r="H1157" s="7">
        <f t="shared" si="1"/>
        <v>541</v>
      </c>
    </row>
    <row r="1158" ht="22.5" customHeight="1">
      <c r="B1158" s="7" t="str">
        <f>IFERROR(__xludf.DUMMYFUNCTION("""COMPUTED_VALUE"""),"K/29/131124/1")</f>
        <v>K/29/131124/1</v>
      </c>
      <c r="C1158" s="7" t="str">
        <f>IFERROR(__xludf.DUMMYFUNCTION("""COMPUTED_VALUE"""),"M. 1200 / GULAK GALIK-SEKARANG;M. 66/SUMUR BATU-DAHULU")</f>
        <v>M. 1200 / GULAK GALIK-SEKARANG;M. 66/SUMUR BATU-DAHULU</v>
      </c>
      <c r="D1158" s="7" t="str">
        <f>IFERROR(__xludf.DUMMYFUNCTION("""COMPUTED_VALUE"""),"David")</f>
        <v>David</v>
      </c>
      <c r="E1158" s="7" t="str">
        <f>IFERROR(__xludf.DUMMYFUNCTION("""COMPUTED_VALUE"""),"PROSES")</f>
        <v>PROSES</v>
      </c>
      <c r="F1158" s="9" t="str">
        <f>IFERROR(__xludf.DUMMYFUNCTION("""COMPUTED_VALUE"""),"")</f>
        <v/>
      </c>
      <c r="G1158" s="7" t="str">
        <f>IFERROR(__xludf.DUMMYFUNCTION("""COMPUTED_VALUE"""),"BN JUAL BELI")</f>
        <v>BN JUAL BELI</v>
      </c>
      <c r="H1158" s="7">
        <f t="shared" si="1"/>
        <v>541</v>
      </c>
    </row>
    <row r="1159" ht="22.5" customHeight="1">
      <c r="B1159" s="7" t="str">
        <f>IFERROR(__xludf.DUMMYFUNCTION("""COMPUTED_VALUE"""),"K/30/131124/1")</f>
        <v>K/30/131124/1</v>
      </c>
      <c r="C1159" s="7" t="str">
        <f>IFERROR(__xludf.DUMMYFUNCTION("""COMPUTED_VALUE"""),"M. 9210/ Kedamaian")</f>
        <v>M. 9210/ Kedamaian</v>
      </c>
      <c r="D1159" s="7" t="str">
        <f>IFERROR(__xludf.DUMMYFUNCTION("""COMPUTED_VALUE"""),"David")</f>
        <v>David</v>
      </c>
      <c r="E1159" s="7" t="str">
        <f>IFERROR(__xludf.DUMMYFUNCTION("""COMPUTED_VALUE"""),"DISERAHKAN")</f>
        <v>DISERAHKAN</v>
      </c>
      <c r="F1159" s="9">
        <f>IFERROR(__xludf.DUMMYFUNCTION("""COMPUTED_VALUE"""),45614.44871221065)</f>
        <v>45614.44871</v>
      </c>
      <c r="G1159" s="7" t="str">
        <f>IFERROR(__xludf.DUMMYFUNCTION("""COMPUTED_VALUE"""),"BN Waris")</f>
        <v>BN Waris</v>
      </c>
      <c r="H1159" s="7">
        <f t="shared" si="1"/>
        <v>542</v>
      </c>
    </row>
    <row r="1160" ht="22.5" customHeight="1">
      <c r="B1160" s="7" t="str">
        <f>IFERROR(__xludf.DUMMYFUNCTION("""COMPUTED_VALUE"""),"K/31/131124/2")</f>
        <v>K/31/131124/2</v>
      </c>
      <c r="C1160" s="7" t="str">
        <f>IFERROR(__xludf.DUMMYFUNCTION("""COMPUTED_VALUE"""),"M. 1114/ Pematang Wangi")</f>
        <v>M. 1114/ Pematang Wangi</v>
      </c>
      <c r="D1160" s="7" t="str">
        <f>IFERROR(__xludf.DUMMYFUNCTION("""COMPUTED_VALUE"""),"David")</f>
        <v>David</v>
      </c>
      <c r="E1160" s="7" t="str">
        <f>IFERROR(__xludf.DUMMYFUNCTION("""COMPUTED_VALUE"""),"PROSES")</f>
        <v>PROSES</v>
      </c>
      <c r="F1160" s="9" t="str">
        <f>IFERROR(__xludf.DUMMYFUNCTION("""COMPUTED_VALUE"""),"")</f>
        <v/>
      </c>
      <c r="G1160" s="7" t="str">
        <f>IFERROR(__xludf.DUMMYFUNCTION("""COMPUTED_VALUE"""),"BN Jual Beli")</f>
        <v>BN Jual Beli</v>
      </c>
      <c r="H1160" s="7">
        <f t="shared" si="1"/>
        <v>542</v>
      </c>
    </row>
    <row r="1161" ht="22.5" customHeight="1">
      <c r="B1161" s="7" t="str">
        <f>IFERROR(__xludf.DUMMYFUNCTION("""COMPUTED_VALUE"""),"L/32/131124/1")</f>
        <v>L/32/131124/1</v>
      </c>
      <c r="C1161" s="7" t="str">
        <f>IFERROR(__xludf.DUMMYFUNCTION("""COMPUTED_VALUE"""),"HM 380/SUKARAJA")</f>
        <v>HM 380/SUKARAJA</v>
      </c>
      <c r="D1161" s="7"/>
      <c r="E1161" s="7"/>
      <c r="F1161" s="9" t="str">
        <f>IFERROR(__xludf.DUMMYFUNCTION("""COMPUTED_VALUE"""),"")</f>
        <v/>
      </c>
      <c r="G1161" s="7" t="str">
        <f>IFERROR(__xludf.DUMMYFUNCTION("""COMPUTED_VALUE"""),"BLOKIR")</f>
        <v>BLOKIR</v>
      </c>
      <c r="H1161" s="7">
        <f t="shared" si="1"/>
        <v>542</v>
      </c>
    </row>
    <row r="1162" ht="22.5" customHeight="1">
      <c r="B1162" s="7" t="str">
        <f>IFERROR(__xludf.DUMMYFUNCTION("""COMPUTED_VALUE"""),"K/34/131124/1")</f>
        <v>K/34/131124/1</v>
      </c>
      <c r="C1162" s="7" t="str">
        <f>IFERROR(__xludf.DUMMYFUNCTION("""COMPUTED_VALUE"""),"M. 4728/ Langkapura")</f>
        <v>M. 4728/ Langkapura</v>
      </c>
      <c r="D1162" s="7" t="str">
        <f>IFERROR(__xludf.DUMMYFUNCTION("""COMPUTED_VALUE"""),"David")</f>
        <v>David</v>
      </c>
      <c r="E1162" s="7" t="str">
        <f>IFERROR(__xludf.DUMMYFUNCTION("""COMPUTED_VALUE"""),"DISERAHKAN")</f>
        <v>DISERAHKAN</v>
      </c>
      <c r="F1162" s="9">
        <f>IFERROR(__xludf.DUMMYFUNCTION("""COMPUTED_VALUE"""),45614.45042645834)</f>
        <v>45614.45043</v>
      </c>
      <c r="G1162" s="7" t="str">
        <f>IFERROR(__xludf.DUMMYFUNCTION("""COMPUTED_VALUE"""),"BN JUAL BELI")</f>
        <v>BN JUAL BELI</v>
      </c>
      <c r="H1162" s="7">
        <f t="shared" si="1"/>
        <v>543</v>
      </c>
    </row>
    <row r="1163" ht="22.5" customHeight="1">
      <c r="B1163" s="7" t="str">
        <f>IFERROR(__xludf.DUMMYFUNCTION("""COMPUTED_VALUE"""),"K/35/131124/2")</f>
        <v>K/35/131124/2</v>
      </c>
      <c r="C1163" s="7" t="str">
        <f>IFERROR(__xludf.DUMMYFUNCTION("""COMPUTED_VALUE"""),"M. 10668/ Kedaton")</f>
        <v>M. 10668/ Kedaton</v>
      </c>
      <c r="D1163" s="7" t="str">
        <f>IFERROR(__xludf.DUMMYFUNCTION("""COMPUTED_VALUE"""),"David")</f>
        <v>David</v>
      </c>
      <c r="E1163" s="7" t="str">
        <f>IFERROR(__xludf.DUMMYFUNCTION("""COMPUTED_VALUE"""),"PROSES")</f>
        <v>PROSES</v>
      </c>
      <c r="F1163" s="9" t="str">
        <f>IFERROR(__xludf.DUMMYFUNCTION("""COMPUTED_VALUE"""),"")</f>
        <v/>
      </c>
      <c r="G1163" s="7" t="str">
        <f>IFERROR(__xludf.DUMMYFUNCTION("""COMPUTED_VALUE"""),"BN HIBAH")</f>
        <v>BN HIBAH</v>
      </c>
      <c r="H1163" s="7">
        <f t="shared" si="1"/>
        <v>543</v>
      </c>
    </row>
    <row r="1164" ht="22.5" customHeight="1">
      <c r="B1164" s="7" t="str">
        <f>IFERROR(__xludf.DUMMYFUNCTION("""COMPUTED_VALUE"""),"K/36/131124/1")</f>
        <v>K/36/131124/1</v>
      </c>
      <c r="C1164" s="7" t="str">
        <f>IFERROR(__xludf.DUMMYFUNCTION("""COMPUTED_VALUE"""),"M. 1816/ Rajabasa Nunyai")</f>
        <v>M. 1816/ Rajabasa Nunyai</v>
      </c>
      <c r="D1164" s="7" t="str">
        <f>IFERROR(__xludf.DUMMYFUNCTION("""COMPUTED_VALUE"""),"David")</f>
        <v>David</v>
      </c>
      <c r="E1164" s="7" t="str">
        <f>IFERROR(__xludf.DUMMYFUNCTION("""COMPUTED_VALUE"""),"PROSES")</f>
        <v>PROSES</v>
      </c>
      <c r="F1164" s="9" t="str">
        <f>IFERROR(__xludf.DUMMYFUNCTION("""COMPUTED_VALUE"""),"")</f>
        <v/>
      </c>
      <c r="G1164" s="7" t="str">
        <f>IFERROR(__xludf.DUMMYFUNCTION("""COMPUTED_VALUE"""),"BN Jual Beli")</f>
        <v>BN Jual Beli</v>
      </c>
      <c r="H1164" s="7">
        <f t="shared" si="1"/>
        <v>543</v>
      </c>
    </row>
    <row r="1165" ht="22.5" customHeight="1">
      <c r="B1165" s="7" t="str">
        <f>IFERROR(__xludf.DUMMYFUNCTION("""COMPUTED_VALUE"""),"L/33/131124/2")</f>
        <v>L/33/131124/2</v>
      </c>
      <c r="C1165" s="7" t="str">
        <f>IFERROR(__xludf.DUMMYFUNCTION("""COMPUTED_VALUE"""),"HM 381/SUKARAJA")</f>
        <v>HM 381/SUKARAJA</v>
      </c>
      <c r="D1165" s="7"/>
      <c r="E1165" s="7"/>
      <c r="F1165" s="9" t="str">
        <f>IFERROR(__xludf.DUMMYFUNCTION("""COMPUTED_VALUE"""),"")</f>
        <v/>
      </c>
      <c r="G1165" s="7" t="str">
        <f>IFERROR(__xludf.DUMMYFUNCTION("""COMPUTED_VALUE"""),"BLOKIR")</f>
        <v>BLOKIR</v>
      </c>
      <c r="H1165" s="7">
        <f t="shared" si="1"/>
        <v>543</v>
      </c>
    </row>
    <row r="1166" ht="22.5" customHeight="1">
      <c r="B1166" s="7" t="str">
        <f>IFERROR(__xludf.DUMMYFUNCTION("""COMPUTED_VALUE"""),"K/37/131124/1")</f>
        <v>K/37/131124/1</v>
      </c>
      <c r="C1166" s="7" t="str">
        <f>IFERROR(__xludf.DUMMYFUNCTION("""COMPUTED_VALUE"""),"M. 9123 / TANJUNG BARU")</f>
        <v>M. 9123 / TANJUNG BARU</v>
      </c>
      <c r="D1166" s="7" t="str">
        <f>IFERROR(__xludf.DUMMYFUNCTION("""COMPUTED_VALUE"""),"David")</f>
        <v>David</v>
      </c>
      <c r="E1166" s="7" t="str">
        <f>IFERROR(__xludf.DUMMYFUNCTION("""COMPUTED_VALUE"""),"PROSES")</f>
        <v>PROSES</v>
      </c>
      <c r="F1166" s="9" t="str">
        <f>IFERROR(__xludf.DUMMYFUNCTION("""COMPUTED_VALUE"""),"")</f>
        <v/>
      </c>
      <c r="G1166" s="7" t="str">
        <f>IFERROR(__xludf.DUMMYFUNCTION("""COMPUTED_VALUE"""),"BN JUAL BELI")</f>
        <v>BN JUAL BELI</v>
      </c>
      <c r="H1166" s="7">
        <f t="shared" si="1"/>
        <v>543</v>
      </c>
    </row>
    <row r="1167" ht="22.5" customHeight="1">
      <c r="B1167" s="7" t="str">
        <f>IFERROR(__xludf.DUMMYFUNCTION("""COMPUTED_VALUE"""),"K/38/131124/1")</f>
        <v>K/38/131124/1</v>
      </c>
      <c r="C1167" s="7" t="str">
        <f>IFERROR(__xludf.DUMMYFUNCTION("""COMPUTED_VALUE"""),"M. 624 / SUKARAME II")</f>
        <v>M. 624 / SUKARAME II</v>
      </c>
      <c r="D1167" s="7"/>
      <c r="E1167" s="7"/>
      <c r="F1167" s="9" t="str">
        <f>IFERROR(__xludf.DUMMYFUNCTION("""COMPUTED_VALUE"""),"")</f>
        <v/>
      </c>
      <c r="G1167" s="7" t="str">
        <f>IFERROR(__xludf.DUMMYFUNCTION("""COMPUTED_VALUE"""),"PLOTTING")</f>
        <v>PLOTTING</v>
      </c>
      <c r="H1167" s="7">
        <f t="shared" si="1"/>
        <v>543</v>
      </c>
    </row>
    <row r="1168" ht="22.5" customHeight="1">
      <c r="B1168" s="7" t="str">
        <f>IFERROR(__xludf.DUMMYFUNCTION("""COMPUTED_VALUE"""),"L/1/141124/1")</f>
        <v>L/1/141124/1</v>
      </c>
      <c r="C1168" s="7" t="str">
        <f>IFERROR(__xludf.DUMMYFUNCTION("""COMPUTED_VALUE"""),"NIB 9499/SUKARAME BARU")</f>
        <v>NIB 9499/SUKARAME BARU</v>
      </c>
      <c r="D1168" s="7"/>
      <c r="E1168" s="7"/>
      <c r="F1168" s="9" t="str">
        <f>IFERROR(__xludf.DUMMYFUNCTION("""COMPUTED_VALUE"""),"")</f>
        <v/>
      </c>
      <c r="G1168" s="7" t="str">
        <f>IFERROR(__xludf.DUMMYFUNCTION("""COMPUTED_VALUE"""),"BN LELANG")</f>
        <v>BN LELANG</v>
      </c>
      <c r="H1168" s="7">
        <f t="shared" si="1"/>
        <v>543</v>
      </c>
    </row>
    <row r="1169" ht="22.5" customHeight="1">
      <c r="B1169" s="7" t="str">
        <f>IFERROR(__xludf.DUMMYFUNCTION("""COMPUTED_VALUE"""),"L/5/141124/1")</f>
        <v>L/5/141124/1</v>
      </c>
      <c r="C1169" s="7" t="str">
        <f>IFERROR(__xludf.DUMMYFUNCTION("""COMPUTED_VALUE"""),"HM 9337/SEGALA MIDER")</f>
        <v>HM 9337/SEGALA MIDER</v>
      </c>
      <c r="D1169" s="7" t="str">
        <f>IFERROR(__xludf.DUMMYFUNCTION("""COMPUTED_VALUE"""),"David")</f>
        <v>David</v>
      </c>
      <c r="E1169" s="7" t="str">
        <f>IFERROR(__xludf.DUMMYFUNCTION("""COMPUTED_VALUE"""),"DISERAHKAN")</f>
        <v>DISERAHKAN</v>
      </c>
      <c r="F1169" s="9">
        <f>IFERROR(__xludf.DUMMYFUNCTION("""COMPUTED_VALUE"""),45614.451411064816)</f>
        <v>45614.45141</v>
      </c>
      <c r="G1169" s="7" t="str">
        <f>IFERROR(__xludf.DUMMYFUNCTION("""COMPUTED_VALUE"""),"ROYA WARIS")</f>
        <v>ROYA WARIS</v>
      </c>
      <c r="H1169" s="7">
        <f t="shared" si="1"/>
        <v>544</v>
      </c>
    </row>
    <row r="1170" ht="22.5" customHeight="1">
      <c r="B1170" s="7" t="str">
        <f>IFERROR(__xludf.DUMMYFUNCTION("""COMPUTED_VALUE"""),"K/2/141124/1")</f>
        <v>K/2/141124/1</v>
      </c>
      <c r="C1170" s="7" t="str">
        <f>IFERROR(__xludf.DUMMYFUNCTION("""COMPUTED_VALUE"""),"B. 799/ Sumur Putri")</f>
        <v>B. 799/ Sumur Putri</v>
      </c>
      <c r="D1170" s="7" t="str">
        <f>IFERROR(__xludf.DUMMYFUNCTION("""COMPUTED_VALUE"""),"David")</f>
        <v>David</v>
      </c>
      <c r="E1170" s="7" t="str">
        <f>IFERROR(__xludf.DUMMYFUNCTION("""COMPUTED_VALUE"""),"DISERAHKAN")</f>
        <v>DISERAHKAN</v>
      </c>
      <c r="F1170" s="9">
        <f>IFERROR(__xludf.DUMMYFUNCTION("""COMPUTED_VALUE"""),45614.45180570602)</f>
        <v>45614.45181</v>
      </c>
      <c r="G1170" s="7" t="str">
        <f>IFERROR(__xludf.DUMMYFUNCTION("""COMPUTED_VALUE"""),"BN JUAL BELI")</f>
        <v>BN JUAL BELI</v>
      </c>
      <c r="H1170" s="7">
        <f t="shared" si="1"/>
        <v>545</v>
      </c>
    </row>
    <row r="1171" ht="22.5" customHeight="1">
      <c r="B1171" s="7" t="str">
        <f>IFERROR(__xludf.DUMMYFUNCTION("""COMPUTED_VALUE"""),"K/3/141124/2")</f>
        <v>K/3/141124/2</v>
      </c>
      <c r="C1171" s="7" t="str">
        <f>IFERROR(__xludf.DUMMYFUNCTION("""COMPUTED_VALUE"""),"M. 10144/ Kampung Baru")</f>
        <v>M. 10144/ Kampung Baru</v>
      </c>
      <c r="D1171" s="7" t="str">
        <f>IFERROR(__xludf.DUMMYFUNCTION("""COMPUTED_VALUE"""),"David")</f>
        <v>David</v>
      </c>
      <c r="E1171" s="7" t="str">
        <f>IFERROR(__xludf.DUMMYFUNCTION("""COMPUTED_VALUE"""),"DISERAHKAN")</f>
        <v>DISERAHKAN</v>
      </c>
      <c r="F1171" s="9">
        <f>IFERROR(__xludf.DUMMYFUNCTION("""COMPUTED_VALUE"""),45616.63360956019)</f>
        <v>45616.63361</v>
      </c>
      <c r="G1171" s="7" t="str">
        <f>IFERROR(__xludf.DUMMYFUNCTION("""COMPUTED_VALUE"""),"ROYA")</f>
        <v>ROYA</v>
      </c>
      <c r="H1171" s="7">
        <f t="shared" si="1"/>
        <v>546</v>
      </c>
    </row>
    <row r="1172" ht="22.5" customHeight="1">
      <c r="B1172" s="7" t="str">
        <f>IFERROR(__xludf.DUMMYFUNCTION("""COMPUTED_VALUE"""),"K/4/141124/3")</f>
        <v>K/4/141124/3</v>
      </c>
      <c r="C1172" s="7" t="str">
        <f>IFERROR(__xludf.DUMMYFUNCTION("""COMPUTED_VALUE"""),"B. 335/ Kampung Baru")</f>
        <v>B. 335/ Kampung Baru</v>
      </c>
      <c r="D1172" s="7" t="str">
        <f>IFERROR(__xludf.DUMMYFUNCTION("""COMPUTED_VALUE"""),"David")</f>
        <v>David</v>
      </c>
      <c r="E1172" s="7" t="str">
        <f>IFERROR(__xludf.DUMMYFUNCTION("""COMPUTED_VALUE"""),"DISERAHKAN")</f>
        <v>DISERAHKAN</v>
      </c>
      <c r="F1172" s="9">
        <f>IFERROR(__xludf.DUMMYFUNCTION("""COMPUTED_VALUE"""),45614.4526471875)</f>
        <v>45614.45265</v>
      </c>
      <c r="G1172" s="7" t="str">
        <f>IFERROR(__xludf.DUMMYFUNCTION("""COMPUTED_VALUE"""),"PERUBAHAN HAK")</f>
        <v>PERUBAHAN HAK</v>
      </c>
      <c r="H1172" s="7">
        <f t="shared" si="1"/>
        <v>547</v>
      </c>
    </row>
    <row r="1173" ht="22.5" customHeight="1">
      <c r="B1173" s="7" t="str">
        <f>IFERROR(__xludf.DUMMYFUNCTION("""COMPUTED_VALUE"""),"K/6/141124/1")</f>
        <v>K/6/141124/1</v>
      </c>
      <c r="C1173" s="7" t="str">
        <f>IFERROR(__xludf.DUMMYFUNCTION("""COMPUTED_VALUE"""),"M. 6925/TANJUNG SENANG")</f>
        <v>M. 6925/TANJUNG SENANG</v>
      </c>
      <c r="D1173" s="7" t="str">
        <f>IFERROR(__xludf.DUMMYFUNCTION("""COMPUTED_VALUE"""),"David")</f>
        <v>David</v>
      </c>
      <c r="E1173" s="7" t="str">
        <f>IFERROR(__xludf.DUMMYFUNCTION("""COMPUTED_VALUE"""),"DISERAHKAN")</f>
        <v>DISERAHKAN</v>
      </c>
      <c r="F1173" s="9">
        <f>IFERROR(__xludf.DUMMYFUNCTION("""COMPUTED_VALUE"""),45614.45290870371)</f>
        <v>45614.45291</v>
      </c>
      <c r="G1173" s="7" t="str">
        <f>IFERROR(__xludf.DUMMYFUNCTION("""COMPUTED_VALUE"""),"BN JUAL BELI")</f>
        <v>BN JUAL BELI</v>
      </c>
      <c r="H1173" s="7">
        <f t="shared" si="1"/>
        <v>548</v>
      </c>
    </row>
    <row r="1174" ht="22.5" customHeight="1">
      <c r="B1174" s="7" t="str">
        <f>IFERROR(__xludf.DUMMYFUNCTION("""COMPUTED_VALUE"""),"K/7/141124/1")</f>
        <v>K/7/141124/1</v>
      </c>
      <c r="C1174" s="7" t="str">
        <f>IFERROR(__xludf.DUMMYFUNCTION("""COMPUTED_VALUE"""),"NIBEL M. 1762/PEMATANG WANGI")</f>
        <v>NIBEL M. 1762/PEMATANG WANGI</v>
      </c>
      <c r="D1174" s="7"/>
      <c r="E1174" s="7"/>
      <c r="F1174" s="9" t="str">
        <f>IFERROR(__xludf.DUMMYFUNCTION("""COMPUTED_VALUE"""),"")</f>
        <v/>
      </c>
      <c r="G1174" s="7" t="str">
        <f>IFERROR(__xludf.DUMMYFUNCTION("""COMPUTED_VALUE"""),"BN JUAL BELI")</f>
        <v>BN JUAL BELI</v>
      </c>
      <c r="H1174" s="7">
        <f t="shared" si="1"/>
        <v>548</v>
      </c>
    </row>
    <row r="1175" ht="22.5" customHeight="1">
      <c r="B1175" s="7" t="str">
        <f>IFERROR(__xludf.DUMMYFUNCTION("""COMPUTED_VALUE"""),"L/10/141124/1")</f>
        <v>L/10/141124/1</v>
      </c>
      <c r="C1175" s="7" t="str">
        <f>IFERROR(__xludf.DUMMYFUNCTION("""COMPUTED_VALUE"""),"HM 17408/SUKARAME")</f>
        <v>HM 17408/SUKARAME</v>
      </c>
      <c r="D1175" s="7" t="str">
        <f>IFERROR(__xludf.DUMMYFUNCTION("""COMPUTED_VALUE"""),"David")</f>
        <v>David</v>
      </c>
      <c r="E1175" s="7" t="str">
        <f>IFERROR(__xludf.DUMMYFUNCTION("""COMPUTED_VALUE"""),"DISERAHKAN")</f>
        <v>DISERAHKAN</v>
      </c>
      <c r="F1175" s="9">
        <f>IFERROR(__xludf.DUMMYFUNCTION("""COMPUTED_VALUE"""),45614.4532479051)</f>
        <v>45614.45325</v>
      </c>
      <c r="G1175" s="7" t="str">
        <f>IFERROR(__xludf.DUMMYFUNCTION("""COMPUTED_VALUE"""),"ROYA")</f>
        <v>ROYA</v>
      </c>
      <c r="H1175" s="7">
        <f t="shared" si="1"/>
        <v>549</v>
      </c>
    </row>
    <row r="1176" ht="22.5" customHeight="1">
      <c r="B1176" s="7" t="str">
        <f>IFERROR(__xludf.DUMMYFUNCTION("""COMPUTED_VALUE"""),"K/9/141124/1")</f>
        <v>K/9/141124/1</v>
      </c>
      <c r="C1176" s="7" t="str">
        <f>IFERROR(__xludf.DUMMYFUNCTION("""COMPUTED_VALUE"""),"M. 740/ Perwata")</f>
        <v>M. 740/ Perwata</v>
      </c>
      <c r="D1176" s="7" t="str">
        <f>IFERROR(__xludf.DUMMYFUNCTION("""COMPUTED_VALUE"""),"David")</f>
        <v>David</v>
      </c>
      <c r="E1176" s="7" t="str">
        <f>IFERROR(__xludf.DUMMYFUNCTION("""COMPUTED_VALUE"""),"PROSES")</f>
        <v>PROSES</v>
      </c>
      <c r="F1176" s="9" t="str">
        <f>IFERROR(__xludf.DUMMYFUNCTION("""COMPUTED_VALUE"""),"")</f>
        <v/>
      </c>
      <c r="G1176" s="7" t="str">
        <f>IFERROR(__xludf.DUMMYFUNCTION("""COMPUTED_VALUE"""),"BN JUAL BELI")</f>
        <v>BN JUAL BELI</v>
      </c>
      <c r="H1176" s="7">
        <f t="shared" si="1"/>
        <v>549</v>
      </c>
    </row>
    <row r="1177" ht="22.5" customHeight="1">
      <c r="B1177" s="7" t="str">
        <f>IFERROR(__xludf.DUMMYFUNCTION("""COMPUTED_VALUE"""),"K/11/141124/1")</f>
        <v>K/11/141124/1</v>
      </c>
      <c r="C1177" s="7" t="str">
        <f>IFERROR(__xludf.DUMMYFUNCTION("""COMPUTED_VALUE"""),"M. 13164/ Tanjung Baru")</f>
        <v>M. 13164/ Tanjung Baru</v>
      </c>
      <c r="D1177" s="7" t="str">
        <f>IFERROR(__xludf.DUMMYFUNCTION("""COMPUTED_VALUE"""),"Berry")</f>
        <v>Berry</v>
      </c>
      <c r="E1177" s="7" t="str">
        <f>IFERROR(__xludf.DUMMYFUNCTION("""COMPUTED_VALUE"""),"DISERAHKAN")</f>
        <v>DISERAHKAN</v>
      </c>
      <c r="F1177" s="9">
        <f>IFERROR(__xludf.DUMMYFUNCTION("""COMPUTED_VALUE"""),45614.45458398148)</f>
        <v>45614.45458</v>
      </c>
      <c r="G1177" s="7" t="str">
        <f>IFERROR(__xludf.DUMMYFUNCTION("""COMPUTED_VALUE"""),"ROYA")</f>
        <v>ROYA</v>
      </c>
      <c r="H1177" s="7">
        <f t="shared" si="1"/>
        <v>550</v>
      </c>
    </row>
    <row r="1178" ht="22.5" customHeight="1">
      <c r="B1178" s="7" t="str">
        <f>IFERROR(__xludf.DUMMYFUNCTION("""COMPUTED_VALUE"""),"K/12/141124/1")</f>
        <v>K/12/141124/1</v>
      </c>
      <c r="C1178" s="7" t="str">
        <f>IFERROR(__xludf.DUMMYFUNCTION("""COMPUTED_VALUE"""),"M.2944/SUKARAME II")</f>
        <v>M.2944/SUKARAME II</v>
      </c>
      <c r="D1178" s="7" t="str">
        <f>IFERROR(__xludf.DUMMYFUNCTION("""COMPUTED_VALUE"""),"Berry")</f>
        <v>Berry</v>
      </c>
      <c r="E1178" s="7" t="str">
        <f>IFERROR(__xludf.DUMMYFUNCTION("""COMPUTED_VALUE"""),"DISERAHKAN")</f>
        <v>DISERAHKAN</v>
      </c>
      <c r="F1178" s="9">
        <f>IFERROR(__xludf.DUMMYFUNCTION("""COMPUTED_VALUE"""),45614.4555316551)</f>
        <v>45614.45553</v>
      </c>
      <c r="G1178" s="7" t="str">
        <f>IFERROR(__xludf.DUMMYFUNCTION("""COMPUTED_VALUE"""),"BN JUAL BELI")</f>
        <v>BN JUAL BELI</v>
      </c>
      <c r="H1178" s="7">
        <f t="shared" si="1"/>
        <v>551</v>
      </c>
    </row>
    <row r="1179" ht="22.5" customHeight="1">
      <c r="B1179" s="7" t="str">
        <f>IFERROR(__xludf.DUMMYFUNCTION("""COMPUTED_VALUE"""),"K/13/141124/1")</f>
        <v>K/13/141124/1</v>
      </c>
      <c r="C1179" s="7" t="str">
        <f>IFERROR(__xludf.DUMMYFUNCTION("""COMPUTED_VALUE"""),"Nibel 2718/ Perumnas Way Kandis")</f>
        <v>Nibel 2718/ Perumnas Way Kandis</v>
      </c>
      <c r="D1179" s="7"/>
      <c r="E1179" s="7"/>
      <c r="F1179" s="9" t="str">
        <f>IFERROR(__xludf.DUMMYFUNCTION("""COMPUTED_VALUE"""),"")</f>
        <v/>
      </c>
      <c r="G1179" s="7" t="str">
        <f>IFERROR(__xludf.DUMMYFUNCTION("""COMPUTED_VALUE"""),"PERUBAHAN HAK")</f>
        <v>PERUBAHAN HAK</v>
      </c>
      <c r="H1179" s="7">
        <f t="shared" si="1"/>
        <v>551</v>
      </c>
    </row>
    <row r="1180" ht="22.5" customHeight="1">
      <c r="B1180" s="7" t="str">
        <f>IFERROR(__xludf.DUMMYFUNCTION("""COMPUTED_VALUE"""),"K/14/141124/2")</f>
        <v>K/14/141124/2</v>
      </c>
      <c r="C1180" s="7" t="str">
        <f>IFERROR(__xludf.DUMMYFUNCTION("""COMPUTED_VALUE"""),"Nibel 2441/ Perumnas Way Kandis")</f>
        <v>Nibel 2441/ Perumnas Way Kandis</v>
      </c>
      <c r="D1180" s="7"/>
      <c r="E1180" s="7"/>
      <c r="F1180" s="9" t="str">
        <f>IFERROR(__xludf.DUMMYFUNCTION("""COMPUTED_VALUE"""),"")</f>
        <v/>
      </c>
      <c r="G1180" s="7" t="str">
        <f>IFERROR(__xludf.DUMMYFUNCTION("""COMPUTED_VALUE"""),"PERUBAHAN HAK")</f>
        <v>PERUBAHAN HAK</v>
      </c>
      <c r="H1180" s="7">
        <f t="shared" si="1"/>
        <v>551</v>
      </c>
    </row>
    <row r="1181" ht="22.5" customHeight="1">
      <c r="B1181" s="7" t="str">
        <f>IFERROR(__xludf.DUMMYFUNCTION("""COMPUTED_VALUE"""),"K/15/141124/3")</f>
        <v>K/15/141124/3</v>
      </c>
      <c r="C1181" s="7" t="str">
        <f>IFERROR(__xludf.DUMMYFUNCTION("""COMPUTED_VALUE"""),"M. 693/ Gedong Air")</f>
        <v>M. 693/ Gedong Air</v>
      </c>
      <c r="D1181" s="7" t="str">
        <f>IFERROR(__xludf.DUMMYFUNCTION("""COMPUTED_VALUE"""),"Berry")</f>
        <v>Berry</v>
      </c>
      <c r="E1181" s="7" t="str">
        <f>IFERROR(__xludf.DUMMYFUNCTION("""COMPUTED_VALUE"""),"DISERAHKAN")</f>
        <v>DISERAHKAN</v>
      </c>
      <c r="F1181" s="9">
        <f>IFERROR(__xludf.DUMMYFUNCTION("""COMPUTED_VALUE"""),45614.45628179398)</f>
        <v>45614.45628</v>
      </c>
      <c r="G1181" s="7" t="str">
        <f>IFERROR(__xludf.DUMMYFUNCTION("""COMPUTED_VALUE"""),"BN HIBAH")</f>
        <v>BN HIBAH</v>
      </c>
      <c r="H1181" s="7">
        <f t="shared" si="1"/>
        <v>552</v>
      </c>
    </row>
    <row r="1182" ht="22.5" customHeight="1">
      <c r="B1182" s="7" t="str">
        <f>IFERROR(__xludf.DUMMYFUNCTION("""COMPUTED_VALUE"""),"L/17/141124/1")</f>
        <v>L/17/141124/1</v>
      </c>
      <c r="C1182" s="7" t="str">
        <f>IFERROR(__xludf.DUMMYFUNCTION("""COMPUTED_VALUE"""),"HM 13818/SUKABUMI")</f>
        <v>HM 13818/SUKABUMI</v>
      </c>
      <c r="D1182" s="7" t="str">
        <f>IFERROR(__xludf.DUMMYFUNCTION("""COMPUTED_VALUE"""),"Berry")</f>
        <v>Berry</v>
      </c>
      <c r="E1182" s="7" t="str">
        <f>IFERROR(__xludf.DUMMYFUNCTION("""COMPUTED_VALUE"""),"PROSES")</f>
        <v>PROSES</v>
      </c>
      <c r="F1182" s="9" t="str">
        <f>IFERROR(__xludf.DUMMYFUNCTION("""COMPUTED_VALUE"""),"")</f>
        <v/>
      </c>
      <c r="G1182" s="7" t="str">
        <f>IFERROR(__xludf.DUMMYFUNCTION("""COMPUTED_VALUE"""),"ROYA")</f>
        <v>ROYA</v>
      </c>
      <c r="H1182" s="7">
        <f t="shared" si="1"/>
        <v>552</v>
      </c>
    </row>
    <row r="1183" ht="22.5" customHeight="1">
      <c r="B1183" s="7" t="str">
        <f>IFERROR(__xludf.DUMMYFUNCTION("""COMPUTED_VALUE"""),"K/16/141124/1")</f>
        <v>K/16/141124/1</v>
      </c>
      <c r="C1183" s="7" t="str">
        <f>IFERROR(__xludf.DUMMYFUNCTION("""COMPUTED_VALUE"""),"NIBEL B 2726")</f>
        <v>NIBEL B 2726</v>
      </c>
      <c r="D1183" s="7"/>
      <c r="E1183" s="7"/>
      <c r="F1183" s="9" t="str">
        <f>IFERROR(__xludf.DUMMYFUNCTION("""COMPUTED_VALUE"""),"")</f>
        <v/>
      </c>
      <c r="G1183" s="7" t="str">
        <f>IFERROR(__xludf.DUMMYFUNCTION("""COMPUTED_VALUE"""),"PERUBAHAN HAK")</f>
        <v>PERUBAHAN HAK</v>
      </c>
      <c r="H1183" s="7">
        <f t="shared" si="1"/>
        <v>552</v>
      </c>
    </row>
    <row r="1184" ht="22.5" customHeight="1">
      <c r="B1184" s="7" t="str">
        <f>IFERROR(__xludf.DUMMYFUNCTION("""COMPUTED_VALUE"""),"K/19/141124/2")</f>
        <v>K/19/141124/2</v>
      </c>
      <c r="C1184" s="7" t="str">
        <f>IFERROR(__xludf.DUMMYFUNCTION("""COMPUTED_VALUE"""),"NIBEL B 2208/BERINGIN JAYA")</f>
        <v>NIBEL B 2208/BERINGIN JAYA</v>
      </c>
      <c r="D1184" s="7"/>
      <c r="E1184" s="7"/>
      <c r="F1184" s="9" t="str">
        <f>IFERROR(__xludf.DUMMYFUNCTION("""COMPUTED_VALUE"""),"")</f>
        <v/>
      </c>
      <c r="G1184" s="7" t="str">
        <f>IFERROR(__xludf.DUMMYFUNCTION("""COMPUTED_VALUE"""),"PERUBAHAN HAK")</f>
        <v>PERUBAHAN HAK</v>
      </c>
      <c r="H1184" s="7">
        <f t="shared" si="1"/>
        <v>552</v>
      </c>
    </row>
    <row r="1185" ht="22.5" customHeight="1">
      <c r="B1185" s="7" t="str">
        <f>IFERROR(__xludf.DUMMYFUNCTION("""COMPUTED_VALUE"""),"K/20/141124/3")</f>
        <v>K/20/141124/3</v>
      </c>
      <c r="C1185" s="7" t="str">
        <f>IFERROR(__xludf.DUMMYFUNCTION("""COMPUTED_VALUE"""),"NIBEL B. 2343/BERINGIN JAYA")</f>
        <v>NIBEL B. 2343/BERINGIN JAYA</v>
      </c>
      <c r="D1185" s="7"/>
      <c r="E1185" s="7"/>
      <c r="F1185" s="9" t="str">
        <f>IFERROR(__xludf.DUMMYFUNCTION("""COMPUTED_VALUE"""),"")</f>
        <v/>
      </c>
      <c r="G1185" s="7" t="str">
        <f>IFERROR(__xludf.DUMMYFUNCTION("""COMPUTED_VALUE"""),"PERUBAHAN HAK")</f>
        <v>PERUBAHAN HAK</v>
      </c>
      <c r="H1185" s="7">
        <f t="shared" si="1"/>
        <v>552</v>
      </c>
    </row>
    <row r="1186" ht="22.5" customHeight="1">
      <c r="B1186" s="7" t="str">
        <f>IFERROR(__xludf.DUMMYFUNCTION("""COMPUTED_VALUE"""),"L/18/141124/1")</f>
        <v>L/18/141124/1</v>
      </c>
      <c r="C1186" s="7" t="str">
        <f>IFERROR(__xludf.DUMMYFUNCTION("""COMPUTED_VALUE"""),"HM 17028/SUKARAME")</f>
        <v>HM 17028/SUKARAME</v>
      </c>
      <c r="D1186" s="7" t="str">
        <f>IFERROR(__xludf.DUMMYFUNCTION("""COMPUTED_VALUE"""),"Berry")</f>
        <v>Berry</v>
      </c>
      <c r="E1186" s="7" t="str">
        <f>IFERROR(__xludf.DUMMYFUNCTION("""COMPUTED_VALUE"""),"DISERAHKAN")</f>
        <v>DISERAHKAN</v>
      </c>
      <c r="F1186" s="9">
        <f>IFERROR(__xludf.DUMMYFUNCTION("""COMPUTED_VALUE"""),45614.45677710648)</f>
        <v>45614.45678</v>
      </c>
      <c r="G1186" s="7" t="str">
        <f>IFERROR(__xludf.DUMMYFUNCTION("""COMPUTED_VALUE"""),"ROYA")</f>
        <v>ROYA</v>
      </c>
      <c r="H1186" s="7">
        <f t="shared" si="1"/>
        <v>553</v>
      </c>
    </row>
    <row r="1187" ht="22.5" customHeight="1">
      <c r="B1187" s="7" t="str">
        <f>IFERROR(__xludf.DUMMYFUNCTION("""COMPUTED_VALUE"""),"K/21/141124/1")</f>
        <v>K/21/141124/1</v>
      </c>
      <c r="C1187" s="7" t="str">
        <f>IFERROR(__xludf.DUMMYFUNCTION("""COMPUTED_VALUE"""),"B. 773/ Sumur Putri")</f>
        <v>B. 773/ Sumur Putri</v>
      </c>
      <c r="D1187" s="7" t="str">
        <f>IFERROR(__xludf.DUMMYFUNCTION("""COMPUTED_VALUE"""),"Berry")</f>
        <v>Berry</v>
      </c>
      <c r="E1187" s="7" t="str">
        <f>IFERROR(__xludf.DUMMYFUNCTION("""COMPUTED_VALUE"""),"PROSES")</f>
        <v>PROSES</v>
      </c>
      <c r="F1187" s="9" t="str">
        <f>IFERROR(__xludf.DUMMYFUNCTION("""COMPUTED_VALUE"""),"")</f>
        <v/>
      </c>
      <c r="G1187" s="7" t="str">
        <f>IFERROR(__xludf.DUMMYFUNCTION("""COMPUTED_VALUE"""),"BN JUAL BELI")</f>
        <v>BN JUAL BELI</v>
      </c>
      <c r="H1187" s="7">
        <f t="shared" si="1"/>
        <v>553</v>
      </c>
    </row>
    <row r="1188" ht="22.5" customHeight="1">
      <c r="B1188" s="7" t="str">
        <f>IFERROR(__xludf.DUMMYFUNCTION("""COMPUTED_VALUE"""),"K/22/141124/1")</f>
        <v>K/22/141124/1</v>
      </c>
      <c r="C1188" s="7" t="str">
        <f>IFERROR(__xludf.DUMMYFUNCTION("""COMPUTED_VALUE"""),"B.815/SUKABUMI INDAH")</f>
        <v>B.815/SUKABUMI INDAH</v>
      </c>
      <c r="D1188" s="7" t="str">
        <f>IFERROR(__xludf.DUMMYFUNCTION("""COMPUTED_VALUE"""),"Berry")</f>
        <v>Berry</v>
      </c>
      <c r="E1188" s="7" t="str">
        <f>IFERROR(__xludf.DUMMYFUNCTION("""COMPUTED_VALUE"""),"DISERAHKAN")</f>
        <v>DISERAHKAN</v>
      </c>
      <c r="F1188" s="9">
        <f>IFERROR(__xludf.DUMMYFUNCTION("""COMPUTED_VALUE"""),45614.45737724537)</f>
        <v>45614.45738</v>
      </c>
      <c r="G1188" s="7" t="str">
        <f>IFERROR(__xludf.DUMMYFUNCTION("""COMPUTED_VALUE"""),"BN JUAL BELI")</f>
        <v>BN JUAL BELI</v>
      </c>
      <c r="H1188" s="7">
        <f t="shared" si="1"/>
        <v>554</v>
      </c>
    </row>
    <row r="1189" ht="22.5" customHeight="1">
      <c r="B1189" s="7" t="str">
        <f>IFERROR(__xludf.DUMMYFUNCTION("""COMPUTED_VALUE"""),"K/23/141124/1")</f>
        <v>K/23/141124/1</v>
      </c>
      <c r="C1189" s="7" t="str">
        <f>IFERROR(__xludf.DUMMYFUNCTION("""COMPUTED_VALUE"""),"NIBEL M.3412/LABUHAN RATU")</f>
        <v>NIBEL M.3412/LABUHAN RATU</v>
      </c>
      <c r="D1189" s="7"/>
      <c r="E1189" s="7"/>
      <c r="F1189" s="9" t="str">
        <f>IFERROR(__xludf.DUMMYFUNCTION("""COMPUTED_VALUE"""),"")</f>
        <v/>
      </c>
      <c r="G1189" s="7" t="str">
        <f>IFERROR(__xludf.DUMMYFUNCTION("""COMPUTED_VALUE"""),"GANDES")</f>
        <v>GANDES</v>
      </c>
      <c r="H1189" s="7">
        <f t="shared" si="1"/>
        <v>554</v>
      </c>
    </row>
    <row r="1190" ht="22.5" customHeight="1">
      <c r="B1190" s="7" t="str">
        <f>IFERROR(__xludf.DUMMYFUNCTION("""COMPUTED_VALUE"""),"K/24/141124/1")</f>
        <v>K/24/141124/1</v>
      </c>
      <c r="C1190" s="7" t="str">
        <f>IFERROR(__xludf.DUMMYFUNCTION("""COMPUTED_VALUE"""),"M. 2871/ Sukarame Baru")</f>
        <v>M. 2871/ Sukarame Baru</v>
      </c>
      <c r="D1190" s="7" t="str">
        <f>IFERROR(__xludf.DUMMYFUNCTION("""COMPUTED_VALUE"""),"Berry")</f>
        <v>Berry</v>
      </c>
      <c r="E1190" s="7" t="str">
        <f>IFERROR(__xludf.DUMMYFUNCTION("""COMPUTED_VALUE"""),"PROSES")</f>
        <v>PROSES</v>
      </c>
      <c r="F1190" s="9" t="str">
        <f>IFERROR(__xludf.DUMMYFUNCTION("""COMPUTED_VALUE"""),"")</f>
        <v/>
      </c>
      <c r="G1190" s="7" t="str">
        <f>IFERROR(__xludf.DUMMYFUNCTION("""COMPUTED_VALUE"""),"BN Jual Beli")</f>
        <v>BN Jual Beli</v>
      </c>
      <c r="H1190" s="7">
        <f t="shared" si="1"/>
        <v>554</v>
      </c>
    </row>
    <row r="1191" ht="22.5" customHeight="1">
      <c r="B1191" s="7" t="str">
        <f>IFERROR(__xludf.DUMMYFUNCTION("""COMPUTED_VALUE"""),"K/25/141124/1")</f>
        <v>K/25/141124/1</v>
      </c>
      <c r="C1191" s="7" t="str">
        <f>IFERROR(__xludf.DUMMYFUNCTION("""COMPUTED_VALUE"""),"M. 6036/WAY KANDIS")</f>
        <v>M. 6036/WAY KANDIS</v>
      </c>
      <c r="D1191" s="7" t="str">
        <f>IFERROR(__xludf.DUMMYFUNCTION("""COMPUTED_VALUE"""),"Berry")</f>
        <v>Berry</v>
      </c>
      <c r="E1191" s="7" t="str">
        <f>IFERROR(__xludf.DUMMYFUNCTION("""COMPUTED_VALUE"""),"DISERAHKAN")</f>
        <v>DISERAHKAN</v>
      </c>
      <c r="F1191" s="9">
        <f>IFERROR(__xludf.DUMMYFUNCTION("""COMPUTED_VALUE"""),45614.45810643518)</f>
        <v>45614.45811</v>
      </c>
      <c r="G1191" s="7" t="str">
        <f>IFERROR(__xludf.DUMMYFUNCTION("""COMPUTED_VALUE"""),"BN JUAL BELI")</f>
        <v>BN JUAL BELI</v>
      </c>
      <c r="H1191" s="7">
        <f t="shared" si="1"/>
        <v>555</v>
      </c>
    </row>
    <row r="1192" ht="22.5" customHeight="1">
      <c r="B1192" s="7" t="str">
        <f>IFERROR(__xludf.DUMMYFUNCTION("""COMPUTED_VALUE"""),"K/28/141124/1")</f>
        <v>K/28/141124/1</v>
      </c>
      <c r="C1192" s="7" t="str">
        <f>IFERROR(__xludf.DUMMYFUNCTION("""COMPUTED_VALUE"""),"NIBEL B.1608/CAMPANG RAYA")</f>
        <v>NIBEL B.1608/CAMPANG RAYA</v>
      </c>
      <c r="D1192" s="7"/>
      <c r="E1192" s="7"/>
      <c r="F1192" s="9" t="str">
        <f>IFERROR(__xludf.DUMMYFUNCTION("""COMPUTED_VALUE"""),"")</f>
        <v/>
      </c>
      <c r="G1192" s="7" t="str">
        <f>IFERROR(__xludf.DUMMYFUNCTION("""COMPUTED_VALUE"""),"BN JUAL BELI")</f>
        <v>BN JUAL BELI</v>
      </c>
      <c r="H1192" s="7">
        <f t="shared" si="1"/>
        <v>555</v>
      </c>
    </row>
    <row r="1193" ht="22.5" customHeight="1">
      <c r="B1193" s="7" t="str">
        <f>IFERROR(__xludf.DUMMYFUNCTION("""COMPUTED_VALUE"""),"K/29/141124/2")</f>
        <v>K/29/141124/2</v>
      </c>
      <c r="C1193" s="7" t="str">
        <f>IFERROR(__xludf.DUMMYFUNCTION("""COMPUTED_VALUE"""),"NIBEL B.2258/CAMPANG RAYA")</f>
        <v>NIBEL B.2258/CAMPANG RAYA</v>
      </c>
      <c r="D1193" s="7"/>
      <c r="E1193" s="7"/>
      <c r="F1193" s="9" t="str">
        <f>IFERROR(__xludf.DUMMYFUNCTION("""COMPUTED_VALUE"""),"")</f>
        <v/>
      </c>
      <c r="G1193" s="7" t="str">
        <f>IFERROR(__xludf.DUMMYFUNCTION("""COMPUTED_VALUE"""),"BN JUAL BELI")</f>
        <v>BN JUAL BELI</v>
      </c>
      <c r="H1193" s="7">
        <f t="shared" si="1"/>
        <v>555</v>
      </c>
    </row>
    <row r="1194" ht="22.5" customHeight="1">
      <c r="B1194" s="7" t="str">
        <f>IFERROR(__xludf.DUMMYFUNCTION("""COMPUTED_VALUE"""),"L/26/141124/1")</f>
        <v>L/26/141124/1</v>
      </c>
      <c r="C1194" s="7" t="str">
        <f>IFERROR(__xludf.DUMMYFUNCTION("""COMPUTED_VALUE"""),"HM 2548/WAY KANDIS")</f>
        <v>HM 2548/WAY KANDIS</v>
      </c>
      <c r="D1194" s="7" t="str">
        <f>IFERROR(__xludf.DUMMYFUNCTION("""COMPUTED_VALUE"""),"Berry")</f>
        <v>Berry</v>
      </c>
      <c r="E1194" s="7" t="str">
        <f>IFERROR(__xludf.DUMMYFUNCTION("""COMPUTED_VALUE"""),"DISERAHKAN")</f>
        <v>DISERAHKAN</v>
      </c>
      <c r="F1194" s="9">
        <f>IFERROR(__xludf.DUMMYFUNCTION("""COMPUTED_VALUE"""),45614.45836128472)</f>
        <v>45614.45836</v>
      </c>
      <c r="G1194" s="7" t="str">
        <f>IFERROR(__xludf.DUMMYFUNCTION("""COMPUTED_VALUE"""),"ROYA")</f>
        <v>ROYA</v>
      </c>
      <c r="H1194" s="7">
        <f t="shared" si="1"/>
        <v>556</v>
      </c>
    </row>
    <row r="1195" ht="22.5" customHeight="1">
      <c r="B1195" s="7" t="str">
        <f>IFERROR(__xludf.DUMMYFUNCTION("""COMPUTED_VALUE"""),"K/27/141124/1")</f>
        <v>K/27/141124/1</v>
      </c>
      <c r="C1195" s="7" t="str">
        <f>IFERROR(__xludf.DUMMYFUNCTION("""COMPUTED_VALUE"""),"M. 1432/ SUMUR PUTRI")</f>
        <v>M. 1432/ SUMUR PUTRI</v>
      </c>
      <c r="D1195" s="7"/>
      <c r="E1195" s="7"/>
      <c r="F1195" s="9" t="str">
        <f>IFERROR(__xludf.DUMMYFUNCTION("""COMPUTED_VALUE"""),"")</f>
        <v/>
      </c>
      <c r="G1195" s="7" t="str">
        <f>IFERROR(__xludf.DUMMYFUNCTION("""COMPUTED_VALUE"""),"PENGECEKKAN")</f>
        <v>PENGECEKKAN</v>
      </c>
      <c r="H1195" s="7">
        <f t="shared" si="1"/>
        <v>556</v>
      </c>
    </row>
    <row r="1196" ht="22.5" customHeight="1">
      <c r="B1196" s="7" t="str">
        <f>IFERROR(__xludf.DUMMYFUNCTION("""COMPUTED_VALUE"""),"K/30/141124/1")</f>
        <v>K/30/141124/1</v>
      </c>
      <c r="C1196" s="7" t="str">
        <f>IFERROR(__xludf.DUMMYFUNCTION("""COMPUTED_VALUE"""),"PBT. NO 24/2024/KEMILING PERMAI")</f>
        <v>PBT. NO 24/2024/KEMILING PERMAI</v>
      </c>
      <c r="D1196" s="7"/>
      <c r="E1196" s="7"/>
      <c r="F1196" s="9" t="str">
        <f>IFERROR(__xludf.DUMMYFUNCTION("""COMPUTED_VALUE"""),"")</f>
        <v/>
      </c>
      <c r="G1196" s="7" t="str">
        <f>IFERROR(__xludf.DUMMYFUNCTION("""COMPUTED_VALUE"""),"PTPGT")</f>
        <v>PTPGT</v>
      </c>
      <c r="H1196" s="7">
        <f t="shared" si="1"/>
        <v>556</v>
      </c>
    </row>
    <row r="1197" ht="22.5" customHeight="1">
      <c r="B1197" s="7" t="str">
        <f>IFERROR(__xludf.DUMMYFUNCTION("""COMPUTED_VALUE"""),"L/31/141124/1")</f>
        <v>L/31/141124/1</v>
      </c>
      <c r="C1197" s="7" t="str">
        <f>IFERROR(__xludf.DUMMYFUNCTION("""COMPUTED_VALUE"""),"HM 2692/KOTA BARU")</f>
        <v>HM 2692/KOTA BARU</v>
      </c>
      <c r="D1197" s="7"/>
      <c r="E1197" s="7"/>
      <c r="F1197" s="9" t="str">
        <f>IFERROR(__xludf.DUMMYFUNCTION("""COMPUTED_VALUE"""),"")</f>
        <v/>
      </c>
      <c r="G1197" s="7" t="str">
        <f>IFERROR(__xludf.DUMMYFUNCTION("""COMPUTED_VALUE"""),"PTPGT")</f>
        <v>PTPGT</v>
      </c>
      <c r="H1197" s="7">
        <f t="shared" si="1"/>
        <v>556</v>
      </c>
    </row>
    <row r="1198" ht="22.5" customHeight="1">
      <c r="B1198" s="7" t="str">
        <f>IFERROR(__xludf.DUMMYFUNCTION("""COMPUTED_VALUE"""),"K/32/141124/1")</f>
        <v>K/32/141124/1</v>
      </c>
      <c r="C1198" s="7" t="str">
        <f>IFERROR(__xludf.DUMMYFUNCTION("""COMPUTED_VALUE"""),"NIBEL B.3054/KEMILING PERMAI")</f>
        <v>NIBEL B.3054/KEMILING PERMAI</v>
      </c>
      <c r="D1198" s="7"/>
      <c r="E1198" s="7"/>
      <c r="F1198" s="9" t="str">
        <f>IFERROR(__xludf.DUMMYFUNCTION("""COMPUTED_VALUE"""),"")</f>
        <v/>
      </c>
      <c r="G1198" s="7" t="str">
        <f>IFERROR(__xludf.DUMMYFUNCTION("""COMPUTED_VALUE"""),"PENINGKATAN")</f>
        <v>PENINGKATAN</v>
      </c>
      <c r="H1198" s="7">
        <f t="shared" si="1"/>
        <v>556</v>
      </c>
    </row>
    <row r="1199" ht="22.5" customHeight="1">
      <c r="B1199" s="7" t="str">
        <f>IFERROR(__xludf.DUMMYFUNCTION("""COMPUTED_VALUE"""),"K/33/141124/2")</f>
        <v>K/33/141124/2</v>
      </c>
      <c r="C1199" s="7" t="str">
        <f>IFERROR(__xludf.DUMMYFUNCTION("""COMPUTED_VALUE"""),"NIBEL B.2993/KEMILING PERMAI")</f>
        <v>NIBEL B.2993/KEMILING PERMAI</v>
      </c>
      <c r="D1199" s="7"/>
      <c r="E1199" s="7"/>
      <c r="F1199" s="9" t="str">
        <f>IFERROR(__xludf.DUMMYFUNCTION("""COMPUTED_VALUE"""),"")</f>
        <v/>
      </c>
      <c r="G1199" s="7" t="str">
        <f>IFERROR(__xludf.DUMMYFUNCTION("""COMPUTED_VALUE"""),"PENINGKATAN HAK")</f>
        <v>PENINGKATAN HAK</v>
      </c>
      <c r="H1199" s="7">
        <f t="shared" si="1"/>
        <v>556</v>
      </c>
    </row>
    <row r="1200" ht="22.5" customHeight="1">
      <c r="B1200" s="7" t="str">
        <f>IFERROR(__xludf.DUMMYFUNCTION("""COMPUTED_VALUE"""),"K/36/141124/1")</f>
        <v>K/36/141124/1</v>
      </c>
      <c r="C1200" s="7" t="str">
        <f>IFERROR(__xludf.DUMMYFUNCTION("""COMPUTED_VALUE"""),"B. 387/ Telukbetung")</f>
        <v>B. 387/ Telukbetung</v>
      </c>
      <c r="D1200" s="7"/>
      <c r="E1200" s="7"/>
      <c r="F1200" s="9" t="str">
        <f>IFERROR(__xludf.DUMMYFUNCTION("""COMPUTED_VALUE"""),"")</f>
        <v/>
      </c>
      <c r="G1200" s="7" t="str">
        <f>IFERROR(__xludf.DUMMYFUNCTION("""COMPUTED_VALUE"""),"SKPT Lelang")</f>
        <v>SKPT Lelang</v>
      </c>
      <c r="H1200" s="7">
        <f t="shared" si="1"/>
        <v>556</v>
      </c>
    </row>
    <row r="1201" ht="22.5" customHeight="1">
      <c r="B1201" s="7" t="str">
        <f>IFERROR(__xludf.DUMMYFUNCTION("""COMPUTED_VALUE"""),"K/34/141124/1")</f>
        <v>K/34/141124/1</v>
      </c>
      <c r="C1201" s="7" t="str">
        <f>IFERROR(__xludf.DUMMYFUNCTION("""COMPUTED_VALUE"""),"M.14031/ Tanjung Baru")</f>
        <v>M.14031/ Tanjung Baru</v>
      </c>
      <c r="D1201" s="7" t="str">
        <f>IFERROR(__xludf.DUMMYFUNCTION("""COMPUTED_VALUE"""),"Berry")</f>
        <v>Berry</v>
      </c>
      <c r="E1201" s="7" t="str">
        <f>IFERROR(__xludf.DUMMYFUNCTION("""COMPUTED_VALUE"""),"PROSES")</f>
        <v>PROSES</v>
      </c>
      <c r="F1201" s="9" t="str">
        <f>IFERROR(__xludf.DUMMYFUNCTION("""COMPUTED_VALUE"""),"")</f>
        <v/>
      </c>
      <c r="G1201" s="7" t="str">
        <f>IFERROR(__xludf.DUMMYFUNCTION("""COMPUTED_VALUE"""),"BN Jual Beli")</f>
        <v>BN Jual Beli</v>
      </c>
      <c r="H1201" s="7">
        <f t="shared" si="1"/>
        <v>556</v>
      </c>
    </row>
    <row r="1202" ht="22.5" customHeight="1">
      <c r="B1202" s="7" t="str">
        <f>IFERROR(__xludf.DUMMYFUNCTION("""COMPUTED_VALUE"""),"K/37/141124/2")</f>
        <v>K/37/141124/2</v>
      </c>
      <c r="C1202" s="7" t="str">
        <f>IFERROR(__xludf.DUMMYFUNCTION("""COMPUTED_VALUE"""),"B. 384/ Telukbetung")</f>
        <v>B. 384/ Telukbetung</v>
      </c>
      <c r="D1202" s="7"/>
      <c r="E1202" s="7"/>
      <c r="F1202" s="9" t="str">
        <f>IFERROR(__xludf.DUMMYFUNCTION("""COMPUTED_VALUE"""),"")</f>
        <v/>
      </c>
      <c r="G1202" s="7" t="str">
        <f>IFERROR(__xludf.DUMMYFUNCTION("""COMPUTED_VALUE"""),"SKPT LELANG")</f>
        <v>SKPT LELANG</v>
      </c>
      <c r="H1202" s="7">
        <f t="shared" si="1"/>
        <v>556</v>
      </c>
    </row>
    <row r="1203" ht="22.5" customHeight="1">
      <c r="B1203" s="7" t="str">
        <f>IFERROR(__xludf.DUMMYFUNCTION("""COMPUTED_VALUE"""),"K/41/141124/1")</f>
        <v>K/41/141124/1</v>
      </c>
      <c r="C1203" s="7" t="str">
        <f>IFERROR(__xludf.DUMMYFUNCTION("""COMPUTED_VALUE"""),"M.14809/RAJABASA")</f>
        <v>M.14809/RAJABASA</v>
      </c>
      <c r="D1203" s="7" t="str">
        <f>IFERROR(__xludf.DUMMYFUNCTION("""COMPUTED_VALUE"""),"Berry")</f>
        <v>Berry</v>
      </c>
      <c r="E1203" s="7" t="str">
        <f>IFERROR(__xludf.DUMMYFUNCTION("""COMPUTED_VALUE"""),"DISERAHKAN")</f>
        <v>DISERAHKAN</v>
      </c>
      <c r="F1203" s="9">
        <f>IFERROR(__xludf.DUMMYFUNCTION("""COMPUTED_VALUE"""),45614.4590206713)</f>
        <v>45614.45902</v>
      </c>
      <c r="G1203" s="7" t="str">
        <f>IFERROR(__xludf.DUMMYFUNCTION("""COMPUTED_VALUE"""),"BN JUAL BELI")</f>
        <v>BN JUAL BELI</v>
      </c>
      <c r="H1203" s="7">
        <f t="shared" si="1"/>
        <v>557</v>
      </c>
    </row>
    <row r="1204" ht="22.5" customHeight="1">
      <c r="B1204" s="7" t="str">
        <f>IFERROR(__xludf.DUMMYFUNCTION("""COMPUTED_VALUE"""),"K/42/141124/2")</f>
        <v>K/42/141124/2</v>
      </c>
      <c r="C1204" s="7" t="str">
        <f>IFERROR(__xludf.DUMMYFUNCTION("""COMPUTED_VALUE"""),"M.3233/GEDONG AIR")</f>
        <v>M.3233/GEDONG AIR</v>
      </c>
      <c r="D1204" s="7" t="str">
        <f>IFERROR(__xludf.DUMMYFUNCTION("""COMPUTED_VALUE"""),"Berry")</f>
        <v>Berry</v>
      </c>
      <c r="E1204" s="7" t="str">
        <f>IFERROR(__xludf.DUMMYFUNCTION("""COMPUTED_VALUE"""),"DISERAHKAN")</f>
        <v>DISERAHKAN</v>
      </c>
      <c r="F1204" s="9">
        <f>IFERROR(__xludf.DUMMYFUNCTION("""COMPUTED_VALUE"""),45614.46004748842)</f>
        <v>45614.46005</v>
      </c>
      <c r="G1204" s="7" t="str">
        <f>IFERROR(__xludf.DUMMYFUNCTION("""COMPUTED_VALUE"""),"BN JUAL BELI")</f>
        <v>BN JUAL BELI</v>
      </c>
      <c r="H1204" s="7">
        <f t="shared" si="1"/>
        <v>558</v>
      </c>
    </row>
    <row r="1205" ht="22.5" customHeight="1">
      <c r="B1205" s="7" t="str">
        <f>IFERROR(__xludf.DUMMYFUNCTION("""COMPUTED_VALUE"""),"K/35/141124/2")</f>
        <v>K/35/141124/2</v>
      </c>
      <c r="C1205" s="7" t="str">
        <f>IFERROR(__xludf.DUMMYFUNCTION("""COMPUTED_VALUE"""),"M. 789/ Pelita")</f>
        <v>M. 789/ Pelita</v>
      </c>
      <c r="D1205" s="7" t="str">
        <f>IFERROR(__xludf.DUMMYFUNCTION("""COMPUTED_VALUE"""),"Berry")</f>
        <v>Berry</v>
      </c>
      <c r="E1205" s="7" t="str">
        <f>IFERROR(__xludf.DUMMYFUNCTION("""COMPUTED_VALUE"""),"DISERAHKAN")</f>
        <v>DISERAHKAN</v>
      </c>
      <c r="F1205" s="9">
        <f>IFERROR(__xludf.DUMMYFUNCTION("""COMPUTED_VALUE"""),45615.45872326389)</f>
        <v>45615.45872</v>
      </c>
      <c r="G1205" s="7" t="str">
        <f>IFERROR(__xludf.DUMMYFUNCTION("""COMPUTED_VALUE"""),"BN Jual Beli")</f>
        <v>BN Jual Beli</v>
      </c>
      <c r="H1205" s="7">
        <f t="shared" si="1"/>
        <v>559</v>
      </c>
    </row>
    <row r="1206" ht="22.5" customHeight="1">
      <c r="B1206" s="7" t="str">
        <f>IFERROR(__xludf.DUMMYFUNCTION("""COMPUTED_VALUE"""),"K/43/141124/3")</f>
        <v>K/43/141124/3</v>
      </c>
      <c r="C1206" s="7" t="str">
        <f>IFERROR(__xludf.DUMMYFUNCTION("""COMPUTED_VALUE"""),"M.14810/RAJABASA")</f>
        <v>M.14810/RAJABASA</v>
      </c>
      <c r="D1206" s="7" t="str">
        <f>IFERROR(__xludf.DUMMYFUNCTION("""COMPUTED_VALUE"""),"Berry")</f>
        <v>Berry</v>
      </c>
      <c r="E1206" s="7" t="str">
        <f>IFERROR(__xludf.DUMMYFUNCTION("""COMPUTED_VALUE"""),"DISERAHKAN")</f>
        <v>DISERAHKAN</v>
      </c>
      <c r="F1206" s="9">
        <f>IFERROR(__xludf.DUMMYFUNCTION("""COMPUTED_VALUE"""),45614.460924363426)</f>
        <v>45614.46092</v>
      </c>
      <c r="G1206" s="7" t="str">
        <f>IFERROR(__xludf.DUMMYFUNCTION("""COMPUTED_VALUE"""),"BN JUAL BELI")</f>
        <v>BN JUAL BELI</v>
      </c>
      <c r="H1206" s="7">
        <f t="shared" si="1"/>
        <v>560</v>
      </c>
    </row>
    <row r="1207" ht="22.5" customHeight="1">
      <c r="B1207" s="7" t="str">
        <f>IFERROR(__xludf.DUMMYFUNCTION("""COMPUTED_VALUE"""),"K/38/141124/3")</f>
        <v>K/38/141124/3</v>
      </c>
      <c r="C1207" s="7" t="str">
        <f>IFERROR(__xludf.DUMMYFUNCTION("""COMPUTED_VALUE"""),"M. 1252/ Kangkung")</f>
        <v>M. 1252/ Kangkung</v>
      </c>
      <c r="D1207" s="7"/>
      <c r="E1207" s="7"/>
      <c r="F1207" s="9" t="str">
        <f>IFERROR(__xludf.DUMMYFUNCTION("""COMPUTED_VALUE"""),"")</f>
        <v/>
      </c>
      <c r="G1207" s="7" t="str">
        <f>IFERROR(__xludf.DUMMYFUNCTION("""COMPUTED_VALUE"""),"SKPT LELANG")</f>
        <v>SKPT LELANG</v>
      </c>
      <c r="H1207" s="7">
        <f t="shared" si="1"/>
        <v>560</v>
      </c>
    </row>
    <row r="1208" ht="22.5" customHeight="1">
      <c r="B1208" s="7" t="str">
        <f>IFERROR(__xludf.DUMMYFUNCTION("""COMPUTED_VALUE"""),"K/39/141124/4")</f>
        <v>K/39/141124/4</v>
      </c>
      <c r="C1208" s="7" t="str">
        <f>IFERROR(__xludf.DUMMYFUNCTION("""COMPUTED_VALUE"""),"M. 385/ Sukaraja")</f>
        <v>M. 385/ Sukaraja</v>
      </c>
      <c r="D1208" s="7"/>
      <c r="E1208" s="7"/>
      <c r="F1208" s="9" t="str">
        <f>IFERROR(__xludf.DUMMYFUNCTION("""COMPUTED_VALUE"""),"")</f>
        <v/>
      </c>
      <c r="G1208" s="7" t="str">
        <f>IFERROR(__xludf.DUMMYFUNCTION("""COMPUTED_VALUE"""),"SKPT LELANG")</f>
        <v>SKPT LELANG</v>
      </c>
      <c r="H1208" s="7">
        <f t="shared" si="1"/>
        <v>560</v>
      </c>
    </row>
    <row r="1209" ht="22.5" customHeight="1">
      <c r="B1209" s="7" t="str">
        <f>IFERROR(__xludf.DUMMYFUNCTION("""COMPUTED_VALUE"""),"K/40/141124/5")</f>
        <v>K/40/141124/5</v>
      </c>
      <c r="C1209" s="7" t="str">
        <f>IFERROR(__xludf.DUMMYFUNCTION("""COMPUTED_VALUE"""),"M. 2806/ Beringin Raya")</f>
        <v>M. 2806/ Beringin Raya</v>
      </c>
      <c r="D1209" s="7"/>
      <c r="E1209" s="7"/>
      <c r="F1209" s="9" t="str">
        <f>IFERROR(__xludf.DUMMYFUNCTION("""COMPUTED_VALUE"""),"")</f>
        <v/>
      </c>
      <c r="G1209" s="7" t="str">
        <f>IFERROR(__xludf.DUMMYFUNCTION("""COMPUTED_VALUE"""),"SKPT LELANG")</f>
        <v>SKPT LELANG</v>
      </c>
      <c r="H1209" s="7">
        <f t="shared" si="1"/>
        <v>560</v>
      </c>
    </row>
    <row r="1210" ht="22.5" customHeight="1">
      <c r="B1210" s="7" t="str">
        <f>IFERROR(__xludf.DUMMYFUNCTION("""COMPUTED_VALUE"""),"K/44/141124/1")</f>
        <v>K/44/141124/1</v>
      </c>
      <c r="C1210" s="7" t="str">
        <f>IFERROR(__xludf.DUMMYFUNCTION("""COMPUTED_VALUE"""),"M. 26/ Kampung Baru Raya")</f>
        <v>M. 26/ Kampung Baru Raya</v>
      </c>
      <c r="D1210" s="7" t="str">
        <f>IFERROR(__xludf.DUMMYFUNCTION("""COMPUTED_VALUE"""),"Berry")</f>
        <v>Berry</v>
      </c>
      <c r="E1210" s="7" t="str">
        <f>IFERROR(__xludf.DUMMYFUNCTION("""COMPUTED_VALUE"""),"DISERAHKAN")</f>
        <v>DISERAHKAN</v>
      </c>
      <c r="F1210" s="9">
        <f>IFERROR(__xludf.DUMMYFUNCTION("""COMPUTED_VALUE"""),45614.46181126157)</f>
        <v>45614.46181</v>
      </c>
      <c r="G1210" s="7" t="str">
        <f>IFERROR(__xludf.DUMMYFUNCTION("""COMPUTED_VALUE"""),"ROYA")</f>
        <v>ROYA</v>
      </c>
      <c r="H1210" s="7">
        <f t="shared" si="1"/>
        <v>561</v>
      </c>
    </row>
    <row r="1211" ht="22.5" customHeight="1">
      <c r="B1211" s="7" t="str">
        <f>IFERROR(__xludf.DUMMYFUNCTION("""COMPUTED_VALUE"""),"K/45/141124/2")</f>
        <v>K/45/141124/2</v>
      </c>
      <c r="C1211" s="7" t="str">
        <f>IFERROR(__xludf.DUMMYFUNCTION("""COMPUTED_VALUE"""),"M. 88/ Kampung Baru Raya")</f>
        <v>M. 88/ Kampung Baru Raya</v>
      </c>
      <c r="D1211" s="7" t="str">
        <f>IFERROR(__xludf.DUMMYFUNCTION("""COMPUTED_VALUE"""),"Berry")</f>
        <v>Berry</v>
      </c>
      <c r="E1211" s="7" t="str">
        <f>IFERROR(__xludf.DUMMYFUNCTION("""COMPUTED_VALUE"""),"DISERAHKAN BT")</f>
        <v>DISERAHKAN BT</v>
      </c>
      <c r="F1211" s="9">
        <f>IFERROR(__xludf.DUMMYFUNCTION("""COMPUTED_VALUE"""),45614.46220336806)</f>
        <v>45614.4622</v>
      </c>
      <c r="G1211" s="7" t="str">
        <f>IFERROR(__xludf.DUMMYFUNCTION("""COMPUTED_VALUE"""),"ROYA")</f>
        <v>ROYA</v>
      </c>
      <c r="H1211" s="7">
        <f t="shared" si="1"/>
        <v>561</v>
      </c>
    </row>
    <row r="1212" ht="22.5" customHeight="1">
      <c r="B1212" s="7" t="str">
        <f>IFERROR(__xludf.DUMMYFUNCTION("""COMPUTED_VALUE"""),"K/47/141124/1")</f>
        <v>K/47/141124/1</v>
      </c>
      <c r="C1212" s="7" t="str">
        <f>IFERROR(__xludf.DUMMYFUNCTION("""COMPUTED_VALUE"""),"M. 1721/ Labuhan Dalam")</f>
        <v>M. 1721/ Labuhan Dalam</v>
      </c>
      <c r="D1212" s="7" t="str">
        <f>IFERROR(__xludf.DUMMYFUNCTION("""COMPUTED_VALUE"""),"Berry")</f>
        <v>Berry</v>
      </c>
      <c r="E1212" s="7" t="str">
        <f>IFERROR(__xludf.DUMMYFUNCTION("""COMPUTED_VALUE"""),"DISERAHKAN")</f>
        <v>DISERAHKAN</v>
      </c>
      <c r="F1212" s="9">
        <f>IFERROR(__xludf.DUMMYFUNCTION("""COMPUTED_VALUE"""),45614.46255855324)</f>
        <v>45614.46256</v>
      </c>
      <c r="G1212" s="7" t="str">
        <f>IFERROR(__xludf.DUMMYFUNCTION("""COMPUTED_VALUE"""),"Roya")</f>
        <v>Roya</v>
      </c>
      <c r="H1212" s="7">
        <f t="shared" si="1"/>
        <v>562</v>
      </c>
    </row>
    <row r="1213" ht="22.5" customHeight="1">
      <c r="B1213" s="7" t="str">
        <f>IFERROR(__xludf.DUMMYFUNCTION("""COMPUTED_VALUE"""),"K/46/141124/3")</f>
        <v>K/46/141124/3</v>
      </c>
      <c r="C1213" s="7" t="str">
        <f>IFERROR(__xludf.DUMMYFUNCTION("""COMPUTED_VALUE"""),"M. 12/ Kampung Baru raya")</f>
        <v>M. 12/ Kampung Baru raya</v>
      </c>
      <c r="D1213" s="7" t="str">
        <f>IFERROR(__xludf.DUMMYFUNCTION("""COMPUTED_VALUE"""),"Berry")</f>
        <v>Berry</v>
      </c>
      <c r="E1213" s="7" t="str">
        <f>IFERROR(__xludf.DUMMYFUNCTION("""COMPUTED_VALUE"""),"DISERAHKAN")</f>
        <v>DISERAHKAN</v>
      </c>
      <c r="F1213" s="9">
        <f>IFERROR(__xludf.DUMMYFUNCTION("""COMPUTED_VALUE"""),45614.462735625)</f>
        <v>45614.46274</v>
      </c>
      <c r="G1213" s="7" t="str">
        <f>IFERROR(__xludf.DUMMYFUNCTION("""COMPUTED_VALUE"""),"ROYA")</f>
        <v>ROYA</v>
      </c>
      <c r="H1213" s="7">
        <f t="shared" si="1"/>
        <v>563</v>
      </c>
    </row>
    <row r="1214" ht="22.5" customHeight="1">
      <c r="B1214" s="7" t="str">
        <f>IFERROR(__xludf.DUMMYFUNCTION("""COMPUTED_VALUE"""),"K/49/141124/1")</f>
        <v>K/49/141124/1</v>
      </c>
      <c r="C1214" s="7" t="str">
        <f>IFERROR(__xludf.DUMMYFUNCTION("""COMPUTED_VALUE"""),"WAY GUBAK")</f>
        <v>WAY GUBAK</v>
      </c>
      <c r="D1214" s="7"/>
      <c r="E1214" s="7"/>
      <c r="F1214" s="9" t="str">
        <f>IFERROR(__xludf.DUMMYFUNCTION("""COMPUTED_VALUE"""),"")</f>
        <v/>
      </c>
      <c r="G1214" s="7" t="str">
        <f>IFERROR(__xludf.DUMMYFUNCTION("""COMPUTED_VALUE"""),"TANAH MENTAH")</f>
        <v>TANAH MENTAH</v>
      </c>
      <c r="H1214" s="7">
        <f t="shared" si="1"/>
        <v>563</v>
      </c>
    </row>
    <row r="1215" ht="22.5" customHeight="1">
      <c r="B1215" s="7" t="str">
        <f>IFERROR(__xludf.DUMMYFUNCTION("""COMPUTED_VALUE"""),"K/48/141124/1")</f>
        <v>K/48/141124/1</v>
      </c>
      <c r="C1215" s="7" t="str">
        <f>IFERROR(__xludf.DUMMYFUNCTION("""COMPUTED_VALUE"""),"Nibel. B. 5029/ Batu Putuk")</f>
        <v>Nibel. B. 5029/ Batu Putuk</v>
      </c>
      <c r="D1215" s="7"/>
      <c r="E1215" s="7"/>
      <c r="F1215" s="9" t="str">
        <f>IFERROR(__xludf.DUMMYFUNCTION("""COMPUTED_VALUE"""),"")</f>
        <v/>
      </c>
      <c r="G1215" s="7" t="str">
        <f>IFERROR(__xludf.DUMMYFUNCTION("""COMPUTED_VALUE"""),"BN Hibah")</f>
        <v>BN Hibah</v>
      </c>
      <c r="H1215" s="7">
        <f t="shared" si="1"/>
        <v>563</v>
      </c>
    </row>
    <row r="1216" ht="22.5" customHeight="1">
      <c r="B1216" s="7" t="str">
        <f>IFERROR(__xludf.DUMMYFUNCTION("""COMPUTED_VALUE"""),"K/50/141124/1")</f>
        <v>K/50/141124/1</v>
      </c>
      <c r="C1216" s="7" t="str">
        <f>IFERROR(__xludf.DUMMYFUNCTION("""COMPUTED_VALUE"""),"M. 3242/ Labuhan Dalam")</f>
        <v>M. 3242/ Labuhan Dalam</v>
      </c>
      <c r="D1216" s="7" t="str">
        <f>IFERROR(__xludf.DUMMYFUNCTION("""COMPUTED_VALUE"""),"Berry")</f>
        <v>Berry</v>
      </c>
      <c r="E1216" s="7" t="str">
        <f>IFERROR(__xludf.DUMMYFUNCTION("""COMPUTED_VALUE"""),"PROSES")</f>
        <v>PROSES</v>
      </c>
      <c r="F1216" s="9" t="str">
        <f>IFERROR(__xludf.DUMMYFUNCTION("""COMPUTED_VALUE"""),"")</f>
        <v/>
      </c>
      <c r="G1216" s="7" t="str">
        <f>IFERROR(__xludf.DUMMYFUNCTION("""COMPUTED_VALUE"""),"BN Jual Beli")</f>
        <v>BN Jual Beli</v>
      </c>
      <c r="H1216" s="7">
        <f t="shared" si="1"/>
        <v>563</v>
      </c>
    </row>
    <row r="1217" ht="22.5" customHeight="1">
      <c r="B1217" s="7" t="str">
        <f>IFERROR(__xludf.DUMMYFUNCTION("""COMPUTED_VALUE"""),"K/51/141124/1")</f>
        <v>K/51/141124/1</v>
      </c>
      <c r="C1217" s="7" t="str">
        <f>IFERROR(__xludf.DUMMYFUNCTION("""COMPUTED_VALUE"""),"TANAH MENTAH")</f>
        <v>TANAH MENTAH</v>
      </c>
      <c r="D1217" s="7"/>
      <c r="E1217" s="7"/>
      <c r="F1217" s="9" t="str">
        <f>IFERROR(__xludf.DUMMYFUNCTION("""COMPUTED_VALUE"""),"")</f>
        <v/>
      </c>
      <c r="G1217" s="7" t="str">
        <f>IFERROR(__xludf.DUMMYFUNCTION("""COMPUTED_VALUE"""),"PENGUKURAN PERTAMA KALI")</f>
        <v>PENGUKURAN PERTAMA KALI</v>
      </c>
      <c r="H1217" s="7">
        <f t="shared" si="1"/>
        <v>563</v>
      </c>
    </row>
    <row r="1218" ht="22.5" customHeight="1">
      <c r="B1218" s="7" t="str">
        <f>IFERROR(__xludf.DUMMYFUNCTION("""COMPUTED_VALUE"""),"K/1/151124/1")</f>
        <v>K/1/151124/1</v>
      </c>
      <c r="C1218" s="7" t="str">
        <f>IFERROR(__xludf.DUMMYFUNCTION("""COMPUTED_VALUE"""),"Nibel 3493/ Kemiling Permai")</f>
        <v>Nibel 3493/ Kemiling Permai</v>
      </c>
      <c r="D1218" s="7"/>
      <c r="E1218" s="7"/>
      <c r="F1218" s="9" t="str">
        <f>IFERROR(__xludf.DUMMYFUNCTION("""COMPUTED_VALUE"""),"")</f>
        <v/>
      </c>
      <c r="G1218" s="7" t="str">
        <f>IFERROR(__xludf.DUMMYFUNCTION("""COMPUTED_VALUE"""),"GANTI KELURAHAN")</f>
        <v>GANTI KELURAHAN</v>
      </c>
      <c r="H1218" s="7">
        <f t="shared" si="1"/>
        <v>563</v>
      </c>
    </row>
    <row r="1219" ht="22.5" customHeight="1">
      <c r="B1219" s="7" t="str">
        <f>IFERROR(__xludf.DUMMYFUNCTION("""COMPUTED_VALUE"""),"K/2/151124/1")</f>
        <v>K/2/151124/1</v>
      </c>
      <c r="C1219" s="7" t="str">
        <f>IFERROR(__xludf.DUMMYFUNCTION("""COMPUTED_VALUE"""),"M. 576/ JAGABAYA III")</f>
        <v>M. 576/ JAGABAYA III</v>
      </c>
      <c r="D1219" s="7"/>
      <c r="E1219" s="7"/>
      <c r="F1219" s="9" t="str">
        <f>IFERROR(__xludf.DUMMYFUNCTION("""COMPUTED_VALUE"""),"")</f>
        <v/>
      </c>
      <c r="G1219" s="7" t="str">
        <f>IFERROR(__xludf.DUMMYFUNCTION("""COMPUTED_VALUE"""),"PENGECEKKAN")</f>
        <v>PENGECEKKAN</v>
      </c>
      <c r="H1219" s="7">
        <f t="shared" si="1"/>
        <v>563</v>
      </c>
    </row>
    <row r="1220" ht="22.5" customHeight="1">
      <c r="B1220" s="7" t="str">
        <f>IFERROR(__xludf.DUMMYFUNCTION("""COMPUTED_VALUE"""),"L/3/151124/1")</f>
        <v>L/3/151124/1</v>
      </c>
      <c r="C1220" s="7" t="str">
        <f>IFERROR(__xludf.DUMMYFUNCTION("""COMPUTED_VALUE"""),"HGB 4020/SUKABUMI")</f>
        <v>HGB 4020/SUKABUMI</v>
      </c>
      <c r="D1220" s="7" t="str">
        <f>IFERROR(__xludf.DUMMYFUNCTION("""COMPUTED_VALUE"""),"Berry")</f>
        <v>Berry</v>
      </c>
      <c r="E1220" s="7" t="str">
        <f>IFERROR(__xludf.DUMMYFUNCTION("""COMPUTED_VALUE"""),"DISERAHKAN")</f>
        <v>DISERAHKAN</v>
      </c>
      <c r="F1220" s="9">
        <f>IFERROR(__xludf.DUMMYFUNCTION("""COMPUTED_VALUE"""),45614.46350894676)</f>
        <v>45614.46351</v>
      </c>
      <c r="G1220" s="7" t="str">
        <f>IFERROR(__xludf.DUMMYFUNCTION("""COMPUTED_VALUE"""),"ROYA")</f>
        <v>ROYA</v>
      </c>
      <c r="H1220" s="7">
        <f t="shared" si="1"/>
        <v>564</v>
      </c>
    </row>
    <row r="1221" ht="22.5" customHeight="1">
      <c r="B1221" s="7" t="str">
        <f>IFERROR(__xludf.DUMMYFUNCTION("""COMPUTED_VALUE"""),"K/4/151124/1")</f>
        <v>K/4/151124/1</v>
      </c>
      <c r="C1221" s="7" t="str">
        <f>IFERROR(__xludf.DUMMYFUNCTION("""COMPUTED_VALUE"""),"M.4148/LANGKAPURA")</f>
        <v>M.4148/LANGKAPURA</v>
      </c>
      <c r="D1221" s="7" t="str">
        <f>IFERROR(__xludf.DUMMYFUNCTION("""COMPUTED_VALUE"""),"Berry")</f>
        <v>Berry</v>
      </c>
      <c r="E1221" s="7" t="str">
        <f>IFERROR(__xludf.DUMMYFUNCTION("""COMPUTED_VALUE"""),"DISERAHKAN")</f>
        <v>DISERAHKAN</v>
      </c>
      <c r="F1221" s="9">
        <f>IFERROR(__xludf.DUMMYFUNCTION("""COMPUTED_VALUE"""),45614.46383438657)</f>
        <v>45614.46383</v>
      </c>
      <c r="G1221" s="7" t="str">
        <f>IFERROR(__xludf.DUMMYFUNCTION("""COMPUTED_VALUE"""),"ROYA")</f>
        <v>ROYA</v>
      </c>
      <c r="H1221" s="7">
        <f t="shared" si="1"/>
        <v>565</v>
      </c>
    </row>
    <row r="1222" ht="22.5" customHeight="1">
      <c r="B1222" s="7" t="str">
        <f>IFERROR(__xludf.DUMMYFUNCTION("""COMPUTED_VALUE"""),"L/5/151124/1")</f>
        <v>L/5/151124/1</v>
      </c>
      <c r="C1222" s="7" t="str">
        <f>IFERROR(__xludf.DUMMYFUNCTION("""COMPUTED_VALUE"""),"3960/KEMILING PERMAI")</f>
        <v>3960/KEMILING PERMAI</v>
      </c>
      <c r="D1222" s="7"/>
      <c r="E1222" s="7"/>
      <c r="F1222" s="9" t="str">
        <f>IFERROR(__xludf.DUMMYFUNCTION("""COMPUTED_VALUE"""),"")</f>
        <v/>
      </c>
      <c r="G1222" s="7" t="str">
        <f>IFERROR(__xludf.DUMMYFUNCTION("""COMPUTED_VALUE"""),"PTPGT")</f>
        <v>PTPGT</v>
      </c>
      <c r="H1222" s="7">
        <f t="shared" si="1"/>
        <v>565</v>
      </c>
    </row>
    <row r="1223" ht="22.5" customHeight="1">
      <c r="B1223" s="7" t="str">
        <f>IFERROR(__xludf.DUMMYFUNCTION("""COMPUTED_VALUE"""),"L/6/151124/1")</f>
        <v>L/6/151124/1</v>
      </c>
      <c r="C1223" s="7" t="str">
        <f>IFERROR(__xludf.DUMMYFUNCTION("""COMPUTED_VALUE"""),"HM 605/SUMBER REJO")</f>
        <v>HM 605/SUMBER REJO</v>
      </c>
      <c r="D1223" s="7" t="str">
        <f>IFERROR(__xludf.DUMMYFUNCTION("""COMPUTED_VALUE"""),"Berry")</f>
        <v>Berry</v>
      </c>
      <c r="E1223" s="7" t="str">
        <f>IFERROR(__xludf.DUMMYFUNCTION("""COMPUTED_VALUE"""),"DISERAHKAN")</f>
        <v>DISERAHKAN</v>
      </c>
      <c r="F1223" s="9">
        <f>IFERROR(__xludf.DUMMYFUNCTION("""COMPUTED_VALUE"""),45614.46417277778)</f>
        <v>45614.46417</v>
      </c>
      <c r="G1223" s="7" t="str">
        <f>IFERROR(__xludf.DUMMYFUNCTION("""COMPUTED_VALUE"""),"ROYA")</f>
        <v>ROYA</v>
      </c>
      <c r="H1223" s="7">
        <f t="shared" si="1"/>
        <v>566</v>
      </c>
    </row>
    <row r="1224" ht="22.5" customHeight="1">
      <c r="B1224" s="7" t="str">
        <f>IFERROR(__xludf.DUMMYFUNCTION("""COMPUTED_VALUE"""),"K/7/151124/1")</f>
        <v>K/7/151124/1</v>
      </c>
      <c r="C1224" s="7" t="str">
        <f>IFERROR(__xludf.DUMMYFUNCTION("""COMPUTED_VALUE"""),"B. 1290/ Campang Raya")</f>
        <v>B. 1290/ Campang Raya</v>
      </c>
      <c r="D1224" s="7"/>
      <c r="E1224" s="7"/>
      <c r="F1224" s="9" t="str">
        <f>IFERROR(__xludf.DUMMYFUNCTION("""COMPUTED_VALUE"""),"")</f>
        <v/>
      </c>
      <c r="G1224" s="7" t="str">
        <f>IFERROR(__xludf.DUMMYFUNCTION("""COMPUTED_VALUE"""),"SKPT LELANG")</f>
        <v>SKPT LELANG</v>
      </c>
      <c r="H1224" s="7">
        <f t="shared" si="1"/>
        <v>566</v>
      </c>
    </row>
    <row r="1225" ht="22.5" customHeight="1">
      <c r="B1225" s="7" t="str">
        <f>IFERROR(__xludf.DUMMYFUNCTION("""COMPUTED_VALUE"""),"K/8/151124/2")</f>
        <v>K/8/151124/2</v>
      </c>
      <c r="C1225" s="7" t="str">
        <f>IFERROR(__xludf.DUMMYFUNCTION("""COMPUTED_VALUE"""),"M. 2001/ Tanjung Seneng")</f>
        <v>M. 2001/ Tanjung Seneng</v>
      </c>
      <c r="D1225" s="7" t="str">
        <f>IFERROR(__xludf.DUMMYFUNCTION("""COMPUTED_VALUE"""),"Berry")</f>
        <v>Berry</v>
      </c>
      <c r="E1225" s="7" t="str">
        <f>IFERROR(__xludf.DUMMYFUNCTION("""COMPUTED_VALUE"""),"PROSES")</f>
        <v>PROSES</v>
      </c>
      <c r="F1225" s="9" t="str">
        <f>IFERROR(__xludf.DUMMYFUNCTION("""COMPUTED_VALUE"""),"")</f>
        <v/>
      </c>
      <c r="G1225" s="7" t="str">
        <f>IFERROR(__xludf.DUMMYFUNCTION("""COMPUTED_VALUE"""),"PENATAAN BATAS")</f>
        <v>PENATAAN BATAS</v>
      </c>
      <c r="H1225" s="7">
        <f t="shared" si="1"/>
        <v>566</v>
      </c>
    </row>
    <row r="1226" ht="22.5" customHeight="1">
      <c r="B1226" s="7" t="str">
        <f>IFERROR(__xludf.DUMMYFUNCTION("""COMPUTED_VALUE"""),"L/9/151124/1")</f>
        <v>L/9/151124/1</v>
      </c>
      <c r="C1226" s="7" t="str">
        <f>IFERROR(__xludf.DUMMYFUNCTION("""COMPUTED_VALUE"""),"HM 3174/GUNUNG TERANG")</f>
        <v>HM 3174/GUNUNG TERANG</v>
      </c>
      <c r="D1226" s="7"/>
      <c r="E1226" s="7"/>
      <c r="F1226" s="9" t="str">
        <f>IFERROR(__xludf.DUMMYFUNCTION("""COMPUTED_VALUE"""),"")</f>
        <v/>
      </c>
      <c r="G1226" s="7" t="str">
        <f>IFERROR(__xludf.DUMMYFUNCTION("""COMPUTED_VALUE"""),"HAPUS BPHTB")</f>
        <v>HAPUS BPHTB</v>
      </c>
      <c r="H1226" s="7">
        <f t="shared" si="1"/>
        <v>566</v>
      </c>
    </row>
    <row r="1227" ht="22.5" customHeight="1">
      <c r="B1227" s="7" t="str">
        <f>IFERROR(__xludf.DUMMYFUNCTION("""COMPUTED_VALUE"""),"K/10/151124/1")</f>
        <v>K/10/151124/1</v>
      </c>
      <c r="C1227" s="7" t="str">
        <f>IFERROR(__xludf.DUMMYFUNCTION("""COMPUTED_VALUE"""),"M. 1447/ Kota Karang")</f>
        <v>M. 1447/ Kota Karang</v>
      </c>
      <c r="D1227" s="7"/>
      <c r="E1227" s="7"/>
      <c r="F1227" s="9" t="str">
        <f>IFERROR(__xludf.DUMMYFUNCTION("""COMPUTED_VALUE"""),"")</f>
        <v/>
      </c>
      <c r="G1227" s="7" t="str">
        <f>IFERROR(__xludf.DUMMYFUNCTION("""COMPUTED_VALUE"""),"Gandes")</f>
        <v>Gandes</v>
      </c>
      <c r="H1227" s="7">
        <f t="shared" si="1"/>
        <v>566</v>
      </c>
    </row>
    <row r="1228" ht="22.5" customHeight="1">
      <c r="B1228" s="7" t="str">
        <f>IFERROR(__xludf.DUMMYFUNCTION("""COMPUTED_VALUE"""),"K/11/151124/2")</f>
        <v>K/11/151124/2</v>
      </c>
      <c r="C1228" s="7" t="str">
        <f>IFERROR(__xludf.DUMMYFUNCTION("""COMPUTED_VALUE"""),"M. 1884/ Sukabumi Indah")</f>
        <v>M. 1884/ Sukabumi Indah</v>
      </c>
      <c r="D1228" s="7"/>
      <c r="E1228" s="7"/>
      <c r="F1228" s="9" t="str">
        <f>IFERROR(__xludf.DUMMYFUNCTION("""COMPUTED_VALUE"""),"")</f>
        <v/>
      </c>
      <c r="G1228" s="7" t="str">
        <f>IFERROR(__xludf.DUMMYFUNCTION("""COMPUTED_VALUE"""),"Plotting")</f>
        <v>Plotting</v>
      </c>
      <c r="H1228" s="7">
        <f t="shared" si="1"/>
        <v>566</v>
      </c>
    </row>
    <row r="1229" ht="22.5" customHeight="1">
      <c r="B1229" s="7" t="str">
        <f>IFERROR(__xludf.DUMMYFUNCTION("""COMPUTED_VALUE"""),"K/12/151124/1")</f>
        <v>K/12/151124/1</v>
      </c>
      <c r="C1229" s="7" t="str">
        <f>IFERROR(__xludf.DUMMYFUNCTION("""COMPUTED_VALUE"""),"M. 1436/ Kuripan")</f>
        <v>M. 1436/ Kuripan</v>
      </c>
      <c r="D1229" s="7"/>
      <c r="E1229" s="7"/>
      <c r="F1229" s="9" t="str">
        <f>IFERROR(__xludf.DUMMYFUNCTION("""COMPUTED_VALUE"""),"")</f>
        <v/>
      </c>
      <c r="G1229" s="7" t="str">
        <f>IFERROR(__xludf.DUMMYFUNCTION("""COMPUTED_VALUE"""),"SKPT LELANG")</f>
        <v>SKPT LELANG</v>
      </c>
      <c r="H1229" s="7">
        <f t="shared" si="1"/>
        <v>566</v>
      </c>
    </row>
    <row r="1230" ht="22.5" customHeight="1">
      <c r="B1230" s="7" t="str">
        <f>IFERROR(__xludf.DUMMYFUNCTION("""COMPUTED_VALUE"""),"K/13/151124/2")</f>
        <v>K/13/151124/2</v>
      </c>
      <c r="C1230" s="7" t="str">
        <f>IFERROR(__xludf.DUMMYFUNCTION("""COMPUTED_VALUE"""),"M. 1185/ Kuripan")</f>
        <v>M. 1185/ Kuripan</v>
      </c>
      <c r="D1230" s="7"/>
      <c r="E1230" s="7"/>
      <c r="F1230" s="9" t="str">
        <f>IFERROR(__xludf.DUMMYFUNCTION("""COMPUTED_VALUE"""),"")</f>
        <v/>
      </c>
      <c r="G1230" s="7" t="str">
        <f>IFERROR(__xludf.DUMMYFUNCTION("""COMPUTED_VALUE"""),"SKPT LELANG")</f>
        <v>SKPT LELANG</v>
      </c>
      <c r="H1230" s="7">
        <f t="shared" si="1"/>
        <v>566</v>
      </c>
    </row>
    <row r="1231" ht="22.5" customHeight="1">
      <c r="B1231" s="7" t="str">
        <f>IFERROR(__xludf.DUMMYFUNCTION("""COMPUTED_VALUE"""),"K/14/151124/3")</f>
        <v>K/14/151124/3</v>
      </c>
      <c r="C1231" s="7" t="str">
        <f>IFERROR(__xludf.DUMMYFUNCTION("""COMPUTED_VALUE"""),"M. 295/ Tanjung Raya")</f>
        <v>M. 295/ Tanjung Raya</v>
      </c>
      <c r="D1231" s="7"/>
      <c r="E1231" s="7"/>
      <c r="F1231" s="9" t="str">
        <f>IFERROR(__xludf.DUMMYFUNCTION("""COMPUTED_VALUE"""),"")</f>
        <v/>
      </c>
      <c r="G1231" s="7" t="str">
        <f>IFERROR(__xludf.DUMMYFUNCTION("""COMPUTED_VALUE"""),"SKPT LELANG")</f>
        <v>SKPT LELANG</v>
      </c>
      <c r="H1231" s="7">
        <f t="shared" si="1"/>
        <v>566</v>
      </c>
    </row>
    <row r="1232" ht="22.5" customHeight="1">
      <c r="B1232" s="7" t="str">
        <f>IFERROR(__xludf.DUMMYFUNCTION("""COMPUTED_VALUE"""),"K/16/151124/1")</f>
        <v>K/16/151124/1</v>
      </c>
      <c r="C1232" s="7" t="str">
        <f>IFERROR(__xludf.DUMMYFUNCTION("""COMPUTED_VALUE"""),"M.10613/KEDAMAIAN")</f>
        <v>M.10613/KEDAMAIAN</v>
      </c>
      <c r="D1232" s="7" t="str">
        <f>IFERROR(__xludf.DUMMYFUNCTION("""COMPUTED_VALUE"""),"Berry")</f>
        <v>Berry</v>
      </c>
      <c r="E1232" s="7" t="str">
        <f>IFERROR(__xludf.DUMMYFUNCTION("""COMPUTED_VALUE"""),"PROSES")</f>
        <v>PROSES</v>
      </c>
      <c r="F1232" s="9" t="str">
        <f>IFERROR(__xludf.DUMMYFUNCTION("""COMPUTED_VALUE"""),"")</f>
        <v/>
      </c>
      <c r="G1232" s="7" t="str">
        <f>IFERROR(__xludf.DUMMYFUNCTION("""COMPUTED_VALUE"""),"BN WARIS")</f>
        <v>BN WARIS</v>
      </c>
      <c r="H1232" s="7">
        <f t="shared" si="1"/>
        <v>566</v>
      </c>
    </row>
    <row r="1233" ht="22.5" customHeight="1">
      <c r="B1233" s="7" t="str">
        <f>IFERROR(__xludf.DUMMYFUNCTION("""COMPUTED_VALUE"""),"L/18/151124/1")</f>
        <v>L/18/151124/1</v>
      </c>
      <c r="C1233" s="7" t="str">
        <f>IFERROR(__xludf.DUMMYFUNCTION("""COMPUTED_VALUE"""),"HGB 584/WAY KANDIS")</f>
        <v>HGB 584/WAY KANDIS</v>
      </c>
      <c r="D1233" s="7"/>
      <c r="E1233" s="7"/>
      <c r="F1233" s="9" t="str">
        <f>IFERROR(__xludf.DUMMYFUNCTION("""COMPUTED_VALUE"""),"")</f>
        <v/>
      </c>
      <c r="G1233" s="7" t="str">
        <f>IFERROR(__xludf.DUMMYFUNCTION("""COMPUTED_VALUE"""),"GANDES")</f>
        <v>GANDES</v>
      </c>
      <c r="H1233" s="7">
        <f t="shared" si="1"/>
        <v>566</v>
      </c>
    </row>
    <row r="1234" ht="22.5" customHeight="1">
      <c r="B1234" s="7" t="str">
        <f>IFERROR(__xludf.DUMMYFUNCTION("""COMPUTED_VALUE"""),"K/15/151124/1")</f>
        <v>K/15/151124/1</v>
      </c>
      <c r="C1234" s="7" t="str">
        <f>IFERROR(__xludf.DUMMYFUNCTION("""COMPUTED_VALUE"""),"M. 769/ Sukaraja")</f>
        <v>M. 769/ Sukaraja</v>
      </c>
      <c r="D1234" s="7"/>
      <c r="E1234" s="7"/>
      <c r="F1234" s="9" t="str">
        <f>IFERROR(__xludf.DUMMYFUNCTION("""COMPUTED_VALUE"""),"")</f>
        <v/>
      </c>
      <c r="G1234" s="7" t="str">
        <f>IFERROR(__xludf.DUMMYFUNCTION("""COMPUTED_VALUE"""),"SKPT LELANG")</f>
        <v>SKPT LELANG</v>
      </c>
      <c r="H1234" s="7">
        <f t="shared" si="1"/>
        <v>566</v>
      </c>
    </row>
    <row r="1235" ht="22.5" customHeight="1">
      <c r="B1235" s="7" t="str">
        <f>IFERROR(__xludf.DUMMYFUNCTION("""COMPUTED_VALUE"""),"K/17/151124/1")</f>
        <v>K/17/151124/1</v>
      </c>
      <c r="C1235" s="7" t="str">
        <f>IFERROR(__xludf.DUMMYFUNCTION("""COMPUTED_VALUE"""),"M.944/SUKAMAJU")</f>
        <v>M.944/SUKAMAJU</v>
      </c>
      <c r="D1235" s="7"/>
      <c r="E1235" s="7"/>
      <c r="F1235" s="9" t="str">
        <f>IFERROR(__xludf.DUMMYFUNCTION("""COMPUTED_VALUE"""),"")</f>
        <v/>
      </c>
      <c r="G1235" s="7" t="str">
        <f>IFERROR(__xludf.DUMMYFUNCTION("""COMPUTED_VALUE"""),"BUKA BLOKIR")</f>
        <v>BUKA BLOKIR</v>
      </c>
      <c r="H1235" s="7">
        <f t="shared" si="1"/>
        <v>566</v>
      </c>
    </row>
    <row r="1236" ht="22.5" customHeight="1">
      <c r="B1236" s="7" t="str">
        <f>IFERROR(__xludf.DUMMYFUNCTION("""COMPUTED_VALUE"""),"K/19/151124/1")</f>
        <v>K/19/151124/1</v>
      </c>
      <c r="C1236" s="7" t="str">
        <f>IFERROR(__xludf.DUMMYFUNCTION("""COMPUTED_VALUE"""),"M. 2517/ Pinang Jaya")</f>
        <v>M. 2517/ Pinang Jaya</v>
      </c>
      <c r="D1236" s="7" t="str">
        <f>IFERROR(__xludf.DUMMYFUNCTION("""COMPUTED_VALUE"""),"Berry")</f>
        <v>Berry</v>
      </c>
      <c r="E1236" s="7" t="str">
        <f>IFERROR(__xludf.DUMMYFUNCTION("""COMPUTED_VALUE"""),"DISERAHKAN")</f>
        <v>DISERAHKAN</v>
      </c>
      <c r="F1236" s="9">
        <f>IFERROR(__xludf.DUMMYFUNCTION("""COMPUTED_VALUE"""),45614.464661261576)</f>
        <v>45614.46466</v>
      </c>
      <c r="G1236" s="7" t="str">
        <f>IFERROR(__xludf.DUMMYFUNCTION("""COMPUTED_VALUE"""),"BN JUAL BE;I")</f>
        <v>BN JUAL BE;I</v>
      </c>
      <c r="H1236" s="7">
        <f t="shared" si="1"/>
        <v>567</v>
      </c>
    </row>
    <row r="1237" ht="22.5" customHeight="1">
      <c r="B1237" s="7" t="str">
        <f>IFERROR(__xludf.DUMMYFUNCTION("""COMPUTED_VALUE"""),"K/20/151124/1")</f>
        <v>K/20/151124/1</v>
      </c>
      <c r="C1237" s="7" t="str">
        <f>IFERROR(__xludf.DUMMYFUNCTION("""COMPUTED_VALUE"""),"M.10108/LABUHAN RATU")</f>
        <v>M.10108/LABUHAN RATU</v>
      </c>
      <c r="D1237" s="7" t="str">
        <f>IFERROR(__xludf.DUMMYFUNCTION("""COMPUTED_VALUE"""),"Berry")</f>
        <v>Berry</v>
      </c>
      <c r="E1237" s="7" t="str">
        <f>IFERROR(__xludf.DUMMYFUNCTION("""COMPUTED_VALUE"""),"DISERAHKAN")</f>
        <v>DISERAHKAN</v>
      </c>
      <c r="F1237" s="9">
        <f>IFERROR(__xludf.DUMMYFUNCTION("""COMPUTED_VALUE"""),45615.45938252315)</f>
        <v>45615.45938</v>
      </c>
      <c r="G1237" s="7" t="str">
        <f>IFERROR(__xludf.DUMMYFUNCTION("""COMPUTED_VALUE"""),"KEWARISAN")</f>
        <v>KEWARISAN</v>
      </c>
      <c r="H1237" s="7">
        <f t="shared" si="1"/>
        <v>568</v>
      </c>
    </row>
    <row r="1238" ht="22.5" customHeight="1">
      <c r="B1238" s="7" t="str">
        <f>IFERROR(__xludf.DUMMYFUNCTION("""COMPUTED_VALUE"""),"K/21/151124/2")</f>
        <v>K/21/151124/2</v>
      </c>
      <c r="C1238" s="7" t="str">
        <f>IFERROR(__xludf.DUMMYFUNCTION("""COMPUTED_VALUE"""),"B.535/BAKUNG")</f>
        <v>B.535/BAKUNG</v>
      </c>
      <c r="D1238" s="7" t="str">
        <f>IFERROR(__xludf.DUMMYFUNCTION("""COMPUTED_VALUE"""),"Berry")</f>
        <v>Berry</v>
      </c>
      <c r="E1238" s="7" t="str">
        <f>IFERROR(__xludf.DUMMYFUNCTION("""COMPUTED_VALUE"""),"DISERAHKAN")</f>
        <v>DISERAHKAN</v>
      </c>
      <c r="F1238" s="9">
        <f>IFERROR(__xludf.DUMMYFUNCTION("""COMPUTED_VALUE"""),45614.465198101854)</f>
        <v>45614.4652</v>
      </c>
      <c r="G1238" s="7" t="str">
        <f>IFERROR(__xludf.DUMMYFUNCTION("""COMPUTED_VALUE"""),"ROYA LELANG")</f>
        <v>ROYA LELANG</v>
      </c>
      <c r="H1238" s="7">
        <f t="shared" si="1"/>
        <v>569</v>
      </c>
    </row>
    <row r="1239" ht="22.5" customHeight="1">
      <c r="B1239" s="7" t="str">
        <f>IFERROR(__xludf.DUMMYFUNCTION("""COMPUTED_VALUE"""),"K/22/151124/3")</f>
        <v>K/22/151124/3</v>
      </c>
      <c r="C1239" s="7" t="str">
        <f>IFERROR(__xludf.DUMMYFUNCTION("""COMPUTED_VALUE"""),"M.2500/SUMBEREJO/KEMILING")</f>
        <v>M.2500/SUMBEREJO/KEMILING</v>
      </c>
      <c r="D1239" s="7"/>
      <c r="E1239" s="7"/>
      <c r="F1239" s="9" t="str">
        <f>IFERROR(__xludf.DUMMYFUNCTION("""COMPUTED_VALUE"""),"")</f>
        <v/>
      </c>
      <c r="G1239" s="7" t="str">
        <f>IFERROR(__xludf.DUMMYFUNCTION("""COMPUTED_VALUE"""),"GANDES")</f>
        <v>GANDES</v>
      </c>
      <c r="H1239" s="7">
        <f t="shared" si="1"/>
        <v>569</v>
      </c>
    </row>
    <row r="1240" ht="22.5" customHeight="1">
      <c r="B1240" s="7" t="str">
        <f>IFERROR(__xludf.DUMMYFUNCTION("""COMPUTED_VALUE"""),"K/23/151124/2")</f>
        <v>K/23/151124/2</v>
      </c>
      <c r="C1240" s="7" t="str">
        <f>IFERROR(__xludf.DUMMYFUNCTION("""COMPUTED_VALUE"""),"M. 2483/ Pinang Jaya")</f>
        <v>M. 2483/ Pinang Jaya</v>
      </c>
      <c r="D1240" s="7" t="str">
        <f>IFERROR(__xludf.DUMMYFUNCTION("""COMPUTED_VALUE"""),"Berry")</f>
        <v>Berry</v>
      </c>
      <c r="E1240" s="7" t="str">
        <f>IFERROR(__xludf.DUMMYFUNCTION("""COMPUTED_VALUE"""),"DISERAHKAN")</f>
        <v>DISERAHKAN</v>
      </c>
      <c r="F1240" s="9">
        <f>IFERROR(__xludf.DUMMYFUNCTION("""COMPUTED_VALUE"""),45614.46564988426)</f>
        <v>45614.46565</v>
      </c>
      <c r="G1240" s="7" t="str">
        <f>IFERROR(__xludf.DUMMYFUNCTION("""COMPUTED_VALUE"""),"BN JUAL BELI")</f>
        <v>BN JUAL BELI</v>
      </c>
      <c r="H1240" s="7">
        <f t="shared" si="1"/>
        <v>570</v>
      </c>
    </row>
    <row r="1241" ht="22.5" customHeight="1">
      <c r="B1241" s="7" t="str">
        <f>IFERROR(__xludf.DUMMYFUNCTION("""COMPUTED_VALUE"""),"L/25/151124/1")</f>
        <v>L/25/151124/1</v>
      </c>
      <c r="C1241" s="7" t="str">
        <f>IFERROR(__xludf.DUMMYFUNCTION("""COMPUTED_VALUE"""),"HGB 560/WAY KANDIS")</f>
        <v>HGB 560/WAY KANDIS</v>
      </c>
      <c r="D1241" s="7"/>
      <c r="E1241" s="7"/>
      <c r="F1241" s="9" t="str">
        <f>IFERROR(__xludf.DUMMYFUNCTION("""COMPUTED_VALUE"""),"")</f>
        <v/>
      </c>
      <c r="G1241" s="7" t="str">
        <f>IFERROR(__xludf.DUMMYFUNCTION("""COMPUTED_VALUE"""),"GANDES")</f>
        <v>GANDES</v>
      </c>
      <c r="H1241" s="7">
        <f t="shared" si="1"/>
        <v>570</v>
      </c>
    </row>
    <row r="1242" ht="22.5" customHeight="1">
      <c r="B1242" s="7" t="str">
        <f>IFERROR(__xludf.DUMMYFUNCTION("""COMPUTED_VALUE"""),"K/26/151124/1")</f>
        <v>K/26/151124/1</v>
      </c>
      <c r="C1242" s="7" t="str">
        <f>IFERROR(__xludf.DUMMYFUNCTION("""COMPUTED_VALUE"""),"M. 2553/ Pinang Jaya")</f>
        <v>M. 2553/ Pinang Jaya</v>
      </c>
      <c r="D1242" s="7" t="str">
        <f>IFERROR(__xludf.DUMMYFUNCTION("""COMPUTED_VALUE"""),"Berry")</f>
        <v>Berry</v>
      </c>
      <c r="E1242" s="7" t="str">
        <f>IFERROR(__xludf.DUMMYFUNCTION("""COMPUTED_VALUE"""),"DISERAHKAN")</f>
        <v>DISERAHKAN</v>
      </c>
      <c r="F1242" s="9">
        <f>IFERROR(__xludf.DUMMYFUNCTION("""COMPUTED_VALUE"""),45614.46574506944)</f>
        <v>45614.46575</v>
      </c>
      <c r="G1242" s="7" t="str">
        <f>IFERROR(__xludf.DUMMYFUNCTION("""COMPUTED_VALUE"""),"BN JUAL BELI")</f>
        <v>BN JUAL BELI</v>
      </c>
      <c r="H1242" s="7">
        <f t="shared" si="1"/>
        <v>571</v>
      </c>
    </row>
    <row r="1243" ht="22.5" customHeight="1">
      <c r="B1243" s="7" t="str">
        <f>IFERROR(__xludf.DUMMYFUNCTION("""COMPUTED_VALUE"""),"L/27/151124/1")</f>
        <v>L/27/151124/1</v>
      </c>
      <c r="C1243" s="7" t="str">
        <f>IFERROR(__xludf.DUMMYFUNCTION("""COMPUTED_VALUE"""),"HGB 569/WAY KANDIS")</f>
        <v>HGB 569/WAY KANDIS</v>
      </c>
      <c r="D1243" s="7"/>
      <c r="E1243" s="7"/>
      <c r="F1243" s="9" t="str">
        <f>IFERROR(__xludf.DUMMYFUNCTION("""COMPUTED_VALUE"""),"")</f>
        <v/>
      </c>
      <c r="G1243" s="7" t="str">
        <f>IFERROR(__xludf.DUMMYFUNCTION("""COMPUTED_VALUE"""),"GANDES")</f>
        <v>GANDES</v>
      </c>
      <c r="H1243" s="7">
        <f t="shared" si="1"/>
        <v>571</v>
      </c>
    </row>
    <row r="1244" ht="22.5" customHeight="1">
      <c r="B1244" s="7" t="str">
        <f>IFERROR(__xludf.DUMMYFUNCTION("""COMPUTED_VALUE"""),"K/28/151124/1")</f>
        <v>K/28/151124/1</v>
      </c>
      <c r="C1244" s="7" t="str">
        <f>IFERROR(__xludf.DUMMYFUNCTION("""COMPUTED_VALUE"""),"B.1746/SUKARAME I")</f>
        <v>B.1746/SUKARAME I</v>
      </c>
      <c r="D1244" s="7"/>
      <c r="E1244" s="7"/>
      <c r="F1244" s="9" t="str">
        <f>IFERROR(__xludf.DUMMYFUNCTION("""COMPUTED_VALUE"""),"")</f>
        <v/>
      </c>
      <c r="G1244" s="7" t="str">
        <f>IFERROR(__xludf.DUMMYFUNCTION("""COMPUTED_VALUE"""),"PLOTING")</f>
        <v>PLOTING</v>
      </c>
      <c r="H1244" s="7">
        <f t="shared" si="1"/>
        <v>571</v>
      </c>
    </row>
    <row r="1245" ht="22.5" customHeight="1">
      <c r="B1245" s="7" t="str">
        <f>IFERROR(__xludf.DUMMYFUNCTION("""COMPUTED_VALUE"""),"K/24/151124/1")</f>
        <v>K/24/151124/1</v>
      </c>
      <c r="C1245" s="7" t="str">
        <f>IFERROR(__xludf.DUMMYFUNCTION("""COMPUTED_VALUE"""),"M. 1717/SUMBERREJO SEJAHTERA")</f>
        <v>M. 1717/SUMBERREJO SEJAHTERA</v>
      </c>
      <c r="D1245" s="7" t="str">
        <f>IFERROR(__xludf.DUMMYFUNCTION("""COMPUTED_VALUE"""),"Berry")</f>
        <v>Berry</v>
      </c>
      <c r="E1245" s="7" t="str">
        <f>IFERROR(__xludf.DUMMYFUNCTION("""COMPUTED_VALUE"""),"DISERAHKAN")</f>
        <v>DISERAHKAN</v>
      </c>
      <c r="F1245" s="9">
        <f>IFERROR(__xludf.DUMMYFUNCTION("""COMPUTED_VALUE"""),45614.46590704861)</f>
        <v>45614.46591</v>
      </c>
      <c r="G1245" s="7" t="str">
        <f>IFERROR(__xludf.DUMMYFUNCTION("""COMPUTED_VALUE"""),"BN JUAL BELI")</f>
        <v>BN JUAL BELI</v>
      </c>
      <c r="H1245" s="7">
        <f t="shared" si="1"/>
        <v>572</v>
      </c>
    </row>
    <row r="1246" ht="22.5" customHeight="1">
      <c r="B1246" s="7" t="str">
        <f>IFERROR(__xludf.DUMMYFUNCTION("""COMPUTED_VALUE"""),"K/29/151124/1")</f>
        <v>K/29/151124/1</v>
      </c>
      <c r="C1246" s="7" t="str">
        <f>IFERROR(__xludf.DUMMYFUNCTION("""COMPUTED_VALUE"""),"M. 168/ Tanjung Senang")</f>
        <v>M. 168/ Tanjung Senang</v>
      </c>
      <c r="D1246" s="7"/>
      <c r="E1246" s="7"/>
      <c r="F1246" s="9" t="str">
        <f>IFERROR(__xludf.DUMMYFUNCTION("""COMPUTED_VALUE"""),"")</f>
        <v/>
      </c>
      <c r="G1246" s="7" t="str">
        <f>IFERROR(__xludf.DUMMYFUNCTION("""COMPUTED_VALUE"""),"Gandes")</f>
        <v>Gandes</v>
      </c>
      <c r="H1246" s="7">
        <f t="shared" si="1"/>
        <v>572</v>
      </c>
    </row>
    <row r="1247" ht="22.5" customHeight="1">
      <c r="B1247" s="7" t="str">
        <f>IFERROR(__xludf.DUMMYFUNCTION("""COMPUTED_VALUE"""),"K/29/151124/1")</f>
        <v>K/29/151124/1</v>
      </c>
      <c r="C1247" s="7" t="str">
        <f>IFERROR(__xludf.DUMMYFUNCTION("""COMPUTED_VALUE"""),"M. 9311/ TANJUNG BARU")</f>
        <v>M. 9311/ TANJUNG BARU</v>
      </c>
      <c r="D1247" s="7"/>
      <c r="E1247" s="7"/>
      <c r="F1247" s="9" t="str">
        <f>IFERROR(__xludf.DUMMYFUNCTION("""COMPUTED_VALUE"""),"")</f>
        <v/>
      </c>
      <c r="G1247" s="7" t="str">
        <f>IFERROR(__xludf.DUMMYFUNCTION("""COMPUTED_VALUE"""),"GANTI KECAMATAN")</f>
        <v>GANTI KECAMATAN</v>
      </c>
      <c r="H1247" s="7">
        <f t="shared" si="1"/>
        <v>572</v>
      </c>
    </row>
    <row r="1248" ht="22.5" customHeight="1">
      <c r="B1248" s="7" t="str">
        <f>IFERROR(__xludf.DUMMYFUNCTION("""COMPUTED_VALUE"""),"K/31/151124/1")</f>
        <v>K/31/151124/1</v>
      </c>
      <c r="C1248" s="7" t="str">
        <f>IFERROR(__xludf.DUMMYFUNCTION("""COMPUTED_VALUE"""),"M. 1050/ Kaliawi")</f>
        <v>M. 1050/ Kaliawi</v>
      </c>
      <c r="D1248" s="7" t="str">
        <f>IFERROR(__xludf.DUMMYFUNCTION("""COMPUTED_VALUE"""),"Bayu")</f>
        <v>Bayu</v>
      </c>
      <c r="E1248" s="7" t="str">
        <f>IFERROR(__xludf.DUMMYFUNCTION("""COMPUTED_VALUE"""),"DISERAHKAN")</f>
        <v>DISERAHKAN</v>
      </c>
      <c r="F1248" s="9">
        <f>IFERROR(__xludf.DUMMYFUNCTION("""COMPUTED_VALUE"""),45614.46632354167)</f>
        <v>45614.46632</v>
      </c>
      <c r="G1248" s="7" t="str">
        <f>IFERROR(__xludf.DUMMYFUNCTION("""COMPUTED_VALUE"""),"BN Waris")</f>
        <v>BN Waris</v>
      </c>
      <c r="H1248" s="7">
        <f t="shared" si="1"/>
        <v>573</v>
      </c>
    </row>
    <row r="1249" ht="22.5" customHeight="1">
      <c r="B1249" s="7" t="str">
        <f>IFERROR(__xludf.DUMMYFUNCTION("""COMPUTED_VALUE"""),"K/32/151124/1")</f>
        <v>K/32/151124/1</v>
      </c>
      <c r="C1249" s="7" t="str">
        <f>IFERROR(__xludf.DUMMYFUNCTION("""COMPUTED_VALUE"""),"Nibel. M. 992/ Way Kandis")</f>
        <v>Nibel. M. 992/ Way Kandis</v>
      </c>
      <c r="D1249" s="7"/>
      <c r="E1249" s="7"/>
      <c r="F1249" s="9" t="str">
        <f>IFERROR(__xludf.DUMMYFUNCTION("""COMPUTED_VALUE"""),"")</f>
        <v/>
      </c>
      <c r="G1249" s="7" t="str">
        <f>IFERROR(__xludf.DUMMYFUNCTION("""COMPUTED_VALUE"""),"BN Jual Beli")</f>
        <v>BN Jual Beli</v>
      </c>
      <c r="H1249" s="7">
        <f t="shared" si="1"/>
        <v>573</v>
      </c>
    </row>
    <row r="1250" ht="22.5" customHeight="1">
      <c r="B1250" s="7" t="str">
        <f>IFERROR(__xludf.DUMMYFUNCTION("""COMPUTED_VALUE"""),"K/33/151124/2")</f>
        <v>K/33/151124/2</v>
      </c>
      <c r="C1250" s="7" t="str">
        <f>IFERROR(__xludf.DUMMYFUNCTION("""COMPUTED_VALUE"""),"M. 2669/ Sumberrejo")</f>
        <v>M. 2669/ Sumberrejo</v>
      </c>
      <c r="D1250" s="7" t="str">
        <f>IFERROR(__xludf.DUMMYFUNCTION("""COMPUTED_VALUE"""),"Berry")</f>
        <v>Berry</v>
      </c>
      <c r="E1250" s="7" t="str">
        <f>IFERROR(__xludf.DUMMYFUNCTION("""COMPUTED_VALUE"""),"DISERAHKAN")</f>
        <v>DISERAHKAN</v>
      </c>
      <c r="F1250" s="9">
        <f>IFERROR(__xludf.DUMMYFUNCTION("""COMPUTED_VALUE"""),45615.44869917824)</f>
        <v>45615.4487</v>
      </c>
      <c r="G1250" s="7" t="str">
        <f>IFERROR(__xludf.DUMMYFUNCTION("""COMPUTED_VALUE"""),"BN Jual Beli")</f>
        <v>BN Jual Beli</v>
      </c>
      <c r="H1250" s="7">
        <f t="shared" si="1"/>
        <v>574</v>
      </c>
    </row>
    <row r="1251" ht="22.5" customHeight="1">
      <c r="B1251" s="7" t="str">
        <f>IFERROR(__xludf.DUMMYFUNCTION("""COMPUTED_VALUE"""),"L/34/151124/1")</f>
        <v>L/34/151124/1</v>
      </c>
      <c r="C1251" s="7" t="str">
        <f>IFERROR(__xludf.DUMMYFUNCTION("""COMPUTED_VALUE"""),"NIB 2708/NUSANTARA PERMAI")</f>
        <v>NIB 2708/NUSANTARA PERMAI</v>
      </c>
      <c r="D1251" s="7"/>
      <c r="E1251" s="7"/>
      <c r="F1251" s="9" t="str">
        <f>IFERROR(__xludf.DUMMYFUNCTION("""COMPUTED_VALUE"""),"")</f>
        <v/>
      </c>
      <c r="G1251" s="7" t="str">
        <f>IFERROR(__xludf.DUMMYFUNCTION("""COMPUTED_VALUE"""),"BN LELANG")</f>
        <v>BN LELANG</v>
      </c>
      <c r="H1251" s="7">
        <f t="shared" si="1"/>
        <v>574</v>
      </c>
    </row>
    <row r="1252" ht="22.5" customHeight="1">
      <c r="B1252" s="7" t="str">
        <f>IFERROR(__xludf.DUMMYFUNCTION("""COMPUTED_VALUE"""),"K/35/151124/1")</f>
        <v>K/35/151124/1</v>
      </c>
      <c r="C1252" s="7" t="str">
        <f>IFERROR(__xludf.DUMMYFUNCTION("""COMPUTED_VALUE"""),"M. 101/ P W K")</f>
        <v>M. 101/ P W K</v>
      </c>
      <c r="D1252" s="7"/>
      <c r="E1252" s="7"/>
      <c r="F1252" s="9" t="str">
        <f>IFERROR(__xludf.DUMMYFUNCTION("""COMPUTED_VALUE"""),"")</f>
        <v/>
      </c>
      <c r="G1252" s="7" t="str">
        <f>IFERROR(__xludf.DUMMYFUNCTION("""COMPUTED_VALUE"""),"Pemecahan")</f>
        <v>Pemecahan</v>
      </c>
      <c r="H1252" s="7">
        <f t="shared" si="1"/>
        <v>574</v>
      </c>
    </row>
    <row r="1253" ht="22.5" customHeight="1">
      <c r="B1253" s="7" t="str">
        <f>IFERROR(__xludf.DUMMYFUNCTION("""COMPUTED_VALUE"""),"L/36/151124/1")</f>
        <v>L/36/151124/1</v>
      </c>
      <c r="C1253" s="7" t="str">
        <f>IFERROR(__xludf.DUMMYFUNCTION("""COMPUTED_VALUE"""),"HGB 1204/SUKABUMI INDAH")</f>
        <v>HGB 1204/SUKABUMI INDAH</v>
      </c>
      <c r="D1253" s="7" t="str">
        <f>IFERROR(__xludf.DUMMYFUNCTION("""COMPUTED_VALUE"""),"Berry")</f>
        <v>Berry</v>
      </c>
      <c r="E1253" s="7" t="str">
        <f>IFERROR(__xludf.DUMMYFUNCTION("""COMPUTED_VALUE"""),"PROSES")</f>
        <v>PROSES</v>
      </c>
      <c r="F1253" s="9" t="str">
        <f>IFERROR(__xludf.DUMMYFUNCTION("""COMPUTED_VALUE"""),"")</f>
        <v/>
      </c>
      <c r="G1253" s="7" t="str">
        <f>IFERROR(__xludf.DUMMYFUNCTION("""COMPUTED_VALUE"""),"PERUBAHAN HAK")</f>
        <v>PERUBAHAN HAK</v>
      </c>
      <c r="H1253" s="7">
        <f t="shared" si="1"/>
        <v>574</v>
      </c>
    </row>
    <row r="1254" ht="22.5" customHeight="1">
      <c r="B1254" s="7" t="str">
        <f>IFERROR(__xludf.DUMMYFUNCTION("""COMPUTED_VALUE"""),"L/38/151124/1")</f>
        <v>L/38/151124/1</v>
      </c>
      <c r="C1254" s="7" t="str">
        <f>IFERROR(__xludf.DUMMYFUNCTION("""COMPUTED_VALUE"""),"HM 2221/SUKABUMI")</f>
        <v>HM 2221/SUKABUMI</v>
      </c>
      <c r="D1254" s="7"/>
      <c r="E1254" s="7"/>
      <c r="F1254" s="9" t="str">
        <f>IFERROR(__xludf.DUMMYFUNCTION("""COMPUTED_VALUE"""),"")</f>
        <v/>
      </c>
      <c r="G1254" s="7" t="str">
        <f>IFERROR(__xludf.DUMMYFUNCTION("""COMPUTED_VALUE"""),"GANDES")</f>
        <v>GANDES</v>
      </c>
      <c r="H1254" s="7">
        <f t="shared" si="1"/>
        <v>574</v>
      </c>
    </row>
    <row r="1255" ht="22.5" customHeight="1">
      <c r="B1255" s="7" t="str">
        <f>IFERROR(__xludf.DUMMYFUNCTION("""COMPUTED_VALUE"""),"K/37/151124/1")</f>
        <v>K/37/151124/1</v>
      </c>
      <c r="C1255" s="7" t="str">
        <f>IFERROR(__xludf.DUMMYFUNCTION("""COMPUTED_VALUE"""),"PBT 47/2024 Sukarame")</f>
        <v>PBT 47/2024 Sukarame</v>
      </c>
      <c r="D1255" s="7"/>
      <c r="E1255" s="7"/>
      <c r="F1255" s="9" t="str">
        <f>IFERROR(__xludf.DUMMYFUNCTION("""COMPUTED_VALUE"""),"")</f>
        <v/>
      </c>
      <c r="G1255" s="7" t="str">
        <f>IFERROR(__xludf.DUMMYFUNCTION("""COMPUTED_VALUE"""),"PTPGT Pertama Kali")</f>
        <v>PTPGT Pertama Kali</v>
      </c>
      <c r="H1255" s="7">
        <f t="shared" si="1"/>
        <v>574</v>
      </c>
    </row>
    <row r="1256" ht="22.5" customHeight="1">
      <c r="B1256" s="7" t="str">
        <f>IFERROR(__xludf.DUMMYFUNCTION("""COMPUTED_VALUE"""),"L/39/151124/1")</f>
        <v>L/39/151124/1</v>
      </c>
      <c r="C1256" s="7" t="str">
        <f>IFERROR(__xludf.DUMMYFUNCTION("""COMPUTED_VALUE"""),"HGB 172/LABUHAN DALAM")</f>
        <v>HGB 172/LABUHAN DALAM</v>
      </c>
      <c r="D1256" s="7" t="str">
        <f>IFERROR(__xludf.DUMMYFUNCTION("""COMPUTED_VALUE"""),"Berry")</f>
        <v>Berry</v>
      </c>
      <c r="E1256" s="7" t="str">
        <f>IFERROR(__xludf.DUMMYFUNCTION("""COMPUTED_VALUE"""),"DISERAHKAN")</f>
        <v>DISERAHKAN</v>
      </c>
      <c r="F1256" s="9">
        <f>IFERROR(__xludf.DUMMYFUNCTION("""COMPUTED_VALUE"""),45615.45030994213)</f>
        <v>45615.45031</v>
      </c>
      <c r="G1256" s="7" t="str">
        <f>IFERROR(__xludf.DUMMYFUNCTION("""COMPUTED_VALUE"""),"ROYA")</f>
        <v>ROYA</v>
      </c>
      <c r="H1256" s="7">
        <f t="shared" si="1"/>
        <v>575</v>
      </c>
    </row>
    <row r="1257" ht="22.5" customHeight="1">
      <c r="B1257" s="7" t="str">
        <f>IFERROR(__xludf.DUMMYFUNCTION("""COMPUTED_VALUE"""),"K/40/151124/1")</f>
        <v>K/40/151124/1</v>
      </c>
      <c r="C1257" s="7" t="str">
        <f>IFERROR(__xludf.DUMMYFUNCTION("""COMPUTED_VALUE"""),"M.1375/KALI BALAU KENCANA")</f>
        <v>M.1375/KALI BALAU KENCANA</v>
      </c>
      <c r="D1257" s="7" t="str">
        <f>IFERROR(__xludf.DUMMYFUNCTION("""COMPUTED_VALUE"""),"Berry")</f>
        <v>Berry</v>
      </c>
      <c r="E1257" s="7" t="str">
        <f>IFERROR(__xludf.DUMMYFUNCTION("""COMPUTED_VALUE"""),"DISERAHKAN BT")</f>
        <v>DISERAHKAN BT</v>
      </c>
      <c r="F1257" s="9">
        <f>IFERROR(__xludf.DUMMYFUNCTION("""COMPUTED_VALUE"""),45615.450756817125)</f>
        <v>45615.45076</v>
      </c>
      <c r="G1257" s="7" t="str">
        <f>IFERROR(__xludf.DUMMYFUNCTION("""COMPUTED_VALUE"""),"BN JUAL BELI")</f>
        <v>BN JUAL BELI</v>
      </c>
      <c r="H1257" s="7">
        <f t="shared" si="1"/>
        <v>575</v>
      </c>
    </row>
    <row r="1258" ht="22.5" customHeight="1">
      <c r="B1258" s="7" t="str">
        <f>IFERROR(__xludf.DUMMYFUNCTION("""COMPUTED_VALUE"""),"K/41/151124/2")</f>
        <v>K/41/151124/2</v>
      </c>
      <c r="C1258" s="7" t="str">
        <f>IFERROR(__xludf.DUMMYFUNCTION("""COMPUTED_VALUE"""),"M.2721/SUMBER REJO")</f>
        <v>M.2721/SUMBER REJO</v>
      </c>
      <c r="D1258" s="7" t="str">
        <f>IFERROR(__xludf.DUMMYFUNCTION("""COMPUTED_VALUE"""),"Berry")</f>
        <v>Berry</v>
      </c>
      <c r="E1258" s="7" t="str">
        <f>IFERROR(__xludf.DUMMYFUNCTION("""COMPUTED_VALUE"""),"PROSES")</f>
        <v>PROSES</v>
      </c>
      <c r="F1258" s="9" t="str">
        <f>IFERROR(__xludf.DUMMYFUNCTION("""COMPUTED_VALUE"""),"")</f>
        <v/>
      </c>
      <c r="G1258" s="7" t="str">
        <f>IFERROR(__xludf.DUMMYFUNCTION("""COMPUTED_VALUE"""),"BN JUAL BELI")</f>
        <v>BN JUAL BELI</v>
      </c>
      <c r="H1258" s="7">
        <f t="shared" si="1"/>
        <v>575</v>
      </c>
    </row>
    <row r="1259" ht="22.5" customHeight="1">
      <c r="B1259" s="7" t="str">
        <f>IFERROR(__xludf.DUMMYFUNCTION("""COMPUTED_VALUE"""),"K/42/151124/1")</f>
        <v>K/42/151124/1</v>
      </c>
      <c r="C1259" s="7" t="str">
        <f>IFERROR(__xludf.DUMMYFUNCTION("""COMPUTED_VALUE"""),"M.42/KORPRI RAYA-SEKARANG;M.9925/SUKARAME I-DAHULU")</f>
        <v>M.42/KORPRI RAYA-SEKARANG;M.9925/SUKARAME I-DAHULU</v>
      </c>
      <c r="D1259" s="7" t="str">
        <f>IFERROR(__xludf.DUMMYFUNCTION("""COMPUTED_VALUE"""),"Berry")</f>
        <v>Berry</v>
      </c>
      <c r="E1259" s="7" t="str">
        <f>IFERROR(__xludf.DUMMYFUNCTION("""COMPUTED_VALUE"""),"DISERAHKAN BT")</f>
        <v>DISERAHKAN BT</v>
      </c>
      <c r="F1259" s="9">
        <f>IFERROR(__xludf.DUMMYFUNCTION("""COMPUTED_VALUE"""),45615.45123395833)</f>
        <v>45615.45123</v>
      </c>
      <c r="G1259" s="7" t="str">
        <f>IFERROR(__xludf.DUMMYFUNCTION("""COMPUTED_VALUE"""),"KEWARISAN")</f>
        <v>KEWARISAN</v>
      </c>
      <c r="H1259" s="7">
        <f t="shared" si="1"/>
        <v>575</v>
      </c>
    </row>
    <row r="1260" ht="22.5" customHeight="1">
      <c r="B1260" s="7" t="str">
        <f>IFERROR(__xludf.DUMMYFUNCTION("""COMPUTED_VALUE"""),"K/43/151124/1")</f>
        <v>K/43/151124/1</v>
      </c>
      <c r="C1260" s="7" t="str">
        <f>IFERROR(__xludf.DUMMYFUNCTION("""COMPUTED_VALUE"""),"Nibel B. 2838/ Kampung Baru Raya")</f>
        <v>Nibel B. 2838/ Kampung Baru Raya</v>
      </c>
      <c r="D1260" s="7"/>
      <c r="E1260" s="7"/>
      <c r="F1260" s="9" t="str">
        <f>IFERROR(__xludf.DUMMYFUNCTION("""COMPUTED_VALUE"""),"")</f>
        <v/>
      </c>
      <c r="G1260" s="7" t="str">
        <f>IFERROR(__xludf.DUMMYFUNCTION("""COMPUTED_VALUE"""),"Perubahan Hak")</f>
        <v>Perubahan Hak</v>
      </c>
      <c r="H1260" s="7">
        <f t="shared" si="1"/>
        <v>575</v>
      </c>
    </row>
    <row r="1261" ht="22.5" customHeight="1">
      <c r="B1261" s="7" t="str">
        <f>IFERROR(__xludf.DUMMYFUNCTION("""COMPUTED_VALUE"""),"L/45/151124/1")</f>
        <v>L/45/151124/1</v>
      </c>
      <c r="C1261" s="7" t="str">
        <f>IFERROR(__xludf.DUMMYFUNCTION("""COMPUTED_VALUE"""),"HGB 1677/SUKARAME")</f>
        <v>HGB 1677/SUKARAME</v>
      </c>
      <c r="D1261" s="7" t="str">
        <f>IFERROR(__xludf.DUMMYFUNCTION("""COMPUTED_VALUE"""),"Berry")</f>
        <v>Berry</v>
      </c>
      <c r="E1261" s="7" t="str">
        <f>IFERROR(__xludf.DUMMYFUNCTION("""COMPUTED_VALUE"""),"DISERAHKAN")</f>
        <v>DISERAHKAN</v>
      </c>
      <c r="F1261" s="9">
        <f>IFERROR(__xludf.DUMMYFUNCTION("""COMPUTED_VALUE"""),45615.45175586805)</f>
        <v>45615.45176</v>
      </c>
      <c r="G1261" s="7" t="str">
        <f>IFERROR(__xludf.DUMMYFUNCTION("""COMPUTED_VALUE"""),"B JUAL - BELI")</f>
        <v>B JUAL - BELI</v>
      </c>
      <c r="H1261" s="7">
        <f t="shared" si="1"/>
        <v>576</v>
      </c>
    </row>
    <row r="1262" ht="22.5" customHeight="1">
      <c r="B1262" s="7" t="str">
        <f>IFERROR(__xludf.DUMMYFUNCTION("""COMPUTED_VALUE"""),"K/44/151124/1")</f>
        <v>K/44/151124/1</v>
      </c>
      <c r="C1262" s="7" t="str">
        <f>IFERROR(__xludf.DUMMYFUNCTION("""COMPUTED_VALUE"""),"M. 344/ Bakung")</f>
        <v>M. 344/ Bakung</v>
      </c>
      <c r="D1262" s="7" t="str">
        <f>IFERROR(__xludf.DUMMYFUNCTION("""COMPUTED_VALUE"""),"Berry")</f>
        <v>Berry</v>
      </c>
      <c r="E1262" s="7" t="str">
        <f>IFERROR(__xludf.DUMMYFUNCTION("""COMPUTED_VALUE"""),"PROSES")</f>
        <v>PROSES</v>
      </c>
      <c r="F1262" s="9" t="str">
        <f>IFERROR(__xludf.DUMMYFUNCTION("""COMPUTED_VALUE"""),"")</f>
        <v/>
      </c>
      <c r="G1262" s="7" t="str">
        <f>IFERROR(__xludf.DUMMYFUNCTION("""COMPUTED_VALUE"""),"Pemecahan")</f>
        <v>Pemecahan</v>
      </c>
      <c r="H1262" s="7">
        <f t="shared" si="1"/>
        <v>576</v>
      </c>
    </row>
    <row r="1263" ht="22.5" customHeight="1">
      <c r="B1263" s="7" t="str">
        <f>IFERROR(__xludf.DUMMYFUNCTION("""COMPUTED_VALUE"""),"K/46/151124/1")</f>
        <v>K/46/151124/1</v>
      </c>
      <c r="C1263" s="7" t="str">
        <f>IFERROR(__xludf.DUMMYFUNCTION("""COMPUTED_VALUE"""),"M.10069/SIDODADI")</f>
        <v>M.10069/SIDODADI</v>
      </c>
      <c r="D1263" s="7"/>
      <c r="E1263" s="7"/>
      <c r="F1263" s="9" t="str">
        <f>IFERROR(__xludf.DUMMYFUNCTION("""COMPUTED_VALUE"""),"")</f>
        <v/>
      </c>
      <c r="G1263" s="7" t="str">
        <f>IFERROR(__xludf.DUMMYFUNCTION("""COMPUTED_VALUE"""),"PLOTING")</f>
        <v>PLOTING</v>
      </c>
      <c r="H1263" s="7">
        <f t="shared" si="1"/>
        <v>576</v>
      </c>
    </row>
    <row r="1264" ht="22.5" customHeight="1">
      <c r="B1264" s="7" t="str">
        <f>IFERROR(__xludf.DUMMYFUNCTION("""COMPUTED_VALUE"""),"L/53/151124/1")</f>
        <v>L/53/151124/1</v>
      </c>
      <c r="C1264" s="7" t="str">
        <f>IFERROR(__xludf.DUMMYFUNCTION("""COMPUTED_VALUE"""),"NIB 8621/SUMBEREJO K")</f>
        <v>NIB 8621/SUMBEREJO K</v>
      </c>
      <c r="D1264" s="7"/>
      <c r="E1264" s="7"/>
      <c r="F1264" s="9" t="str">
        <f>IFERROR(__xludf.DUMMYFUNCTION("""COMPUTED_VALUE"""),"")</f>
        <v/>
      </c>
      <c r="G1264" s="7" t="str">
        <f>IFERROR(__xludf.DUMMYFUNCTION("""COMPUTED_VALUE"""),"GANDES")</f>
        <v>GANDES</v>
      </c>
      <c r="H1264" s="7">
        <f t="shared" si="1"/>
        <v>576</v>
      </c>
    </row>
    <row r="1265" ht="22.5" customHeight="1">
      <c r="B1265" s="7" t="str">
        <f>IFERROR(__xludf.DUMMYFUNCTION("""COMPUTED_VALUE"""),"K/47/151124/1")</f>
        <v>K/47/151124/1</v>
      </c>
      <c r="C1265" s="7" t="str">
        <f>IFERROR(__xludf.DUMMYFUNCTION("""COMPUTED_VALUE"""),"M.2316/GUNUNG TERANG")</f>
        <v>M.2316/GUNUNG TERANG</v>
      </c>
      <c r="D1265" s="7"/>
      <c r="E1265" s="7"/>
      <c r="F1265" s="9" t="str">
        <f>IFERROR(__xludf.DUMMYFUNCTION("""COMPUTED_VALUE"""),"")</f>
        <v/>
      </c>
      <c r="G1265" s="7" t="str">
        <f>IFERROR(__xludf.DUMMYFUNCTION("""COMPUTED_VALUE"""),"GANDES (PERBAIKAN DATA SU)")</f>
        <v>GANDES (PERBAIKAN DATA SU)</v>
      </c>
      <c r="H1265" s="7">
        <f t="shared" si="1"/>
        <v>576</v>
      </c>
    </row>
    <row r="1266" ht="22.5" customHeight="1">
      <c r="B1266" s="7" t="str">
        <f>IFERROR(__xludf.DUMMYFUNCTION("""COMPUTED_VALUE"""),"K/57/151124/1")</f>
        <v>K/57/151124/1</v>
      </c>
      <c r="C1266" s="7" t="str">
        <f>IFERROR(__xludf.DUMMYFUNCTION("""COMPUTED_VALUE"""),"M.1183/SUMBER AGUNG")</f>
        <v>M.1183/SUMBER AGUNG</v>
      </c>
      <c r="D1266" s="7"/>
      <c r="E1266" s="7"/>
      <c r="F1266" s="9" t="str">
        <f>IFERROR(__xludf.DUMMYFUNCTION("""COMPUTED_VALUE"""),"")</f>
        <v/>
      </c>
      <c r="G1266" s="7" t="str">
        <f>IFERROR(__xludf.DUMMYFUNCTION("""COMPUTED_VALUE"""),"PLOTING")</f>
        <v>PLOTING</v>
      </c>
      <c r="H1266" s="7">
        <f t="shared" si="1"/>
        <v>576</v>
      </c>
    </row>
    <row r="1267" ht="22.5" customHeight="1">
      <c r="B1267" s="7" t="str">
        <f>IFERROR(__xludf.DUMMYFUNCTION("""COMPUTED_VALUE"""),"K/60/151124/2")</f>
        <v>K/60/151124/2</v>
      </c>
      <c r="C1267" s="7" t="str">
        <f>IFERROR(__xludf.DUMMYFUNCTION("""COMPUTED_VALUE"""),"M. 6414/ Gunung Sulah")</f>
        <v>M. 6414/ Gunung Sulah</v>
      </c>
      <c r="D1267" s="7" t="str">
        <f>IFERROR(__xludf.DUMMYFUNCTION("""COMPUTED_VALUE"""),"Berry")</f>
        <v>Berry</v>
      </c>
      <c r="E1267" s="7" t="str">
        <f>IFERROR(__xludf.DUMMYFUNCTION("""COMPUTED_VALUE"""),"PROSES")</f>
        <v>PROSES</v>
      </c>
      <c r="F1267" s="9" t="str">
        <f>IFERROR(__xludf.DUMMYFUNCTION("""COMPUTED_VALUE"""),"")</f>
        <v/>
      </c>
      <c r="G1267" s="7" t="str">
        <f>IFERROR(__xludf.DUMMYFUNCTION("""COMPUTED_VALUE"""),"BN Jual Beli")</f>
        <v>BN Jual Beli</v>
      </c>
      <c r="H1267" s="7">
        <f t="shared" si="1"/>
        <v>576</v>
      </c>
    </row>
    <row r="1268" ht="22.5" customHeight="1">
      <c r="B1268" s="7" t="str">
        <f>IFERROR(__xludf.DUMMYFUNCTION("""COMPUTED_VALUE"""),"K/59/151124/1")</f>
        <v>K/59/151124/1</v>
      </c>
      <c r="C1268" s="7" t="str">
        <f>IFERROR(__xludf.DUMMYFUNCTION("""COMPUTED_VALUE"""),"M. 6417/ Gunung Sulah")</f>
        <v>M. 6417/ Gunung Sulah</v>
      </c>
      <c r="D1268" s="7" t="str">
        <f>IFERROR(__xludf.DUMMYFUNCTION("""COMPUTED_VALUE"""),"Berry")</f>
        <v>Berry</v>
      </c>
      <c r="E1268" s="7" t="str">
        <f>IFERROR(__xludf.DUMMYFUNCTION("""COMPUTED_VALUE"""),"DISERAHKAN")</f>
        <v>DISERAHKAN</v>
      </c>
      <c r="F1268" s="9">
        <f>IFERROR(__xludf.DUMMYFUNCTION("""COMPUTED_VALUE"""),45615.452512337964)</f>
        <v>45615.45251</v>
      </c>
      <c r="G1268" s="7" t="str">
        <f>IFERROR(__xludf.DUMMYFUNCTION("""COMPUTED_VALUE"""),"BN Jual Beli")</f>
        <v>BN Jual Beli</v>
      </c>
      <c r="H1268" s="7">
        <f t="shared" si="1"/>
        <v>577</v>
      </c>
    </row>
    <row r="1269" ht="22.5" customHeight="1">
      <c r="B1269" s="7" t="str">
        <f>IFERROR(__xludf.DUMMYFUNCTION("""COMPUTED_VALUE"""),"K/58/151124/1")</f>
        <v>K/58/151124/1</v>
      </c>
      <c r="C1269" s="7" t="str">
        <f>IFERROR(__xludf.DUMMYFUNCTION("""COMPUTED_VALUE"""),"M. 213/ K B K")</f>
        <v>M. 213/ K B K</v>
      </c>
      <c r="D1269" s="7" t="str">
        <f>IFERROR(__xludf.DUMMYFUNCTION("""COMPUTED_VALUE"""),"Berry")</f>
        <v>Berry</v>
      </c>
      <c r="E1269" s="7" t="str">
        <f>IFERROR(__xludf.DUMMYFUNCTION("""COMPUTED_VALUE"""),"DISERAHKAN")</f>
        <v>DISERAHKAN</v>
      </c>
      <c r="F1269" s="9">
        <f>IFERROR(__xludf.DUMMYFUNCTION("""COMPUTED_VALUE"""),45615.453020706016)</f>
        <v>45615.45302</v>
      </c>
      <c r="G1269" s="7" t="str">
        <f>IFERROR(__xludf.DUMMYFUNCTION("""COMPUTED_VALUE"""),"BN Waris")</f>
        <v>BN Waris</v>
      </c>
      <c r="H1269" s="7">
        <f t="shared" si="1"/>
        <v>578</v>
      </c>
    </row>
    <row r="1270" ht="22.5" customHeight="1">
      <c r="B1270" s="7" t="str">
        <f>IFERROR(__xludf.DUMMYFUNCTION("""COMPUTED_VALUE"""),"K/54/151124/1")</f>
        <v>K/54/151124/1</v>
      </c>
      <c r="C1270" s="7" t="str">
        <f>IFERROR(__xludf.DUMMYFUNCTION("""COMPUTED_VALUE"""),"M. 1646/ Negeri Olok Gading")</f>
        <v>M. 1646/ Negeri Olok Gading</v>
      </c>
      <c r="D1270" s="7" t="str">
        <f>IFERROR(__xludf.DUMMYFUNCTION("""COMPUTED_VALUE"""),"Bayu")</f>
        <v>Bayu</v>
      </c>
      <c r="E1270" s="7" t="str">
        <f>IFERROR(__xludf.DUMMYFUNCTION("""COMPUTED_VALUE"""),"DISERAHKAN")</f>
        <v>DISERAHKAN</v>
      </c>
      <c r="F1270" s="9">
        <f>IFERROR(__xludf.DUMMYFUNCTION("""COMPUTED_VALUE"""),45614.409375856485)</f>
        <v>45614.40938</v>
      </c>
      <c r="G1270" s="7" t="str">
        <f>IFERROR(__xludf.DUMMYFUNCTION("""COMPUTED_VALUE"""),"BN Jual Beli")</f>
        <v>BN Jual Beli</v>
      </c>
      <c r="H1270" s="7">
        <f t="shared" si="1"/>
        <v>579</v>
      </c>
    </row>
    <row r="1271" ht="22.5" customHeight="1">
      <c r="B1271" s="7" t="str">
        <f>IFERROR(__xludf.DUMMYFUNCTION("""COMPUTED_VALUE"""),"K/55/151124/2")</f>
        <v>K/55/151124/2</v>
      </c>
      <c r="C1271" s="7" t="str">
        <f>IFERROR(__xludf.DUMMYFUNCTION("""COMPUTED_VALUE"""),"M. 1806/ Way Gubak")</f>
        <v>M. 1806/ Way Gubak</v>
      </c>
      <c r="D1271" s="7" t="str">
        <f>IFERROR(__xludf.DUMMYFUNCTION("""COMPUTED_VALUE"""),"Berry")</f>
        <v>Berry</v>
      </c>
      <c r="E1271" s="7" t="str">
        <f>IFERROR(__xludf.DUMMYFUNCTION("""COMPUTED_VALUE"""),"PROSES")</f>
        <v>PROSES</v>
      </c>
      <c r="F1271" s="9" t="str">
        <f>IFERROR(__xludf.DUMMYFUNCTION("""COMPUTED_VALUE"""),"")</f>
        <v/>
      </c>
      <c r="G1271" s="7" t="str">
        <f>IFERROR(__xludf.DUMMYFUNCTION("""COMPUTED_VALUE"""),"Penataan Batas")</f>
        <v>Penataan Batas</v>
      </c>
      <c r="H1271" s="7">
        <f t="shared" si="1"/>
        <v>579</v>
      </c>
    </row>
    <row r="1272" ht="22.5" customHeight="1">
      <c r="B1272" s="7" t="str">
        <f>IFERROR(__xludf.DUMMYFUNCTION("""COMPUTED_VALUE"""),"K/56/151124/3")</f>
        <v>K/56/151124/3</v>
      </c>
      <c r="C1272" s="7" t="str">
        <f>IFERROR(__xludf.DUMMYFUNCTION("""COMPUTED_VALUE"""),"M. 663/ Way Gubak")</f>
        <v>M. 663/ Way Gubak</v>
      </c>
      <c r="D1272" s="7" t="str">
        <f>IFERROR(__xludf.DUMMYFUNCTION("""COMPUTED_VALUE"""),"Berry")</f>
        <v>Berry</v>
      </c>
      <c r="E1272" s="7" t="str">
        <f>IFERROR(__xludf.DUMMYFUNCTION("""COMPUTED_VALUE"""),"PROSES")</f>
        <v>PROSES</v>
      </c>
      <c r="F1272" s="9" t="str">
        <f>IFERROR(__xludf.DUMMYFUNCTION("""COMPUTED_VALUE"""),"")</f>
        <v/>
      </c>
      <c r="G1272" s="7" t="str">
        <f>IFERROR(__xludf.DUMMYFUNCTION("""COMPUTED_VALUE"""),"Pentaan Batas")</f>
        <v>Pentaan Batas</v>
      </c>
      <c r="H1272" s="7">
        <f t="shared" si="1"/>
        <v>579</v>
      </c>
    </row>
    <row r="1273" ht="22.5" customHeight="1">
      <c r="B1273" s="7" t="str">
        <f>IFERROR(__xludf.DUMMYFUNCTION("""COMPUTED_VALUE"""),"K/49/151124/2")</f>
        <v>K/49/151124/2</v>
      </c>
      <c r="C1273" s="7" t="str">
        <f>IFERROR(__xludf.DUMMYFUNCTION("""COMPUTED_VALUE"""),"M. 6396/ Gunung Sulah")</f>
        <v>M. 6396/ Gunung Sulah</v>
      </c>
      <c r="D1273" s="7" t="str">
        <f>IFERROR(__xludf.DUMMYFUNCTION("""COMPUTED_VALUE"""),"Berry")</f>
        <v>Berry</v>
      </c>
      <c r="E1273" s="7" t="str">
        <f>IFERROR(__xludf.DUMMYFUNCTION("""COMPUTED_VALUE"""),"PROSES")</f>
        <v>PROSES</v>
      </c>
      <c r="F1273" s="9" t="str">
        <f>IFERROR(__xludf.DUMMYFUNCTION("""COMPUTED_VALUE"""),"")</f>
        <v/>
      </c>
      <c r="G1273" s="7" t="str">
        <f>IFERROR(__xludf.DUMMYFUNCTION("""COMPUTED_VALUE"""),"BN Jual Beli")</f>
        <v>BN Jual Beli</v>
      </c>
      <c r="H1273" s="7">
        <f t="shared" si="1"/>
        <v>579</v>
      </c>
    </row>
    <row r="1274" ht="22.5" customHeight="1">
      <c r="B1274" s="7" t="str">
        <f>IFERROR(__xludf.DUMMYFUNCTION("""COMPUTED_VALUE"""),"K/48/151124/1")</f>
        <v>K/48/151124/1</v>
      </c>
      <c r="C1274" s="7" t="str">
        <f>IFERROR(__xludf.DUMMYFUNCTION("""COMPUTED_VALUE"""),"M. 6411/ Gunung Sulah")</f>
        <v>M. 6411/ Gunung Sulah</v>
      </c>
      <c r="D1274" s="7" t="str">
        <f>IFERROR(__xludf.DUMMYFUNCTION("""COMPUTED_VALUE"""),"Berry")</f>
        <v>Berry</v>
      </c>
      <c r="E1274" s="7" t="str">
        <f>IFERROR(__xludf.DUMMYFUNCTION("""COMPUTED_VALUE"""),"DISERAHKAN")</f>
        <v>DISERAHKAN</v>
      </c>
      <c r="F1274" s="9">
        <f>IFERROR(__xludf.DUMMYFUNCTION("""COMPUTED_VALUE"""),45615.45390287037)</f>
        <v>45615.4539</v>
      </c>
      <c r="G1274" s="7" t="str">
        <f>IFERROR(__xludf.DUMMYFUNCTION("""COMPUTED_VALUE"""),"BN Jual Beli")</f>
        <v>BN Jual Beli</v>
      </c>
      <c r="H1274" s="7">
        <f t="shared" si="1"/>
        <v>580</v>
      </c>
    </row>
    <row r="1275" ht="22.5" customHeight="1">
      <c r="B1275" s="7" t="str">
        <f>IFERROR(__xludf.DUMMYFUNCTION("""COMPUTED_VALUE"""),"K/50/151124/3")</f>
        <v>K/50/151124/3</v>
      </c>
      <c r="C1275" s="7" t="str">
        <f>IFERROR(__xludf.DUMMYFUNCTION("""COMPUTED_VALUE"""),"M. 6408/ Gunung Sulah")</f>
        <v>M. 6408/ Gunung Sulah</v>
      </c>
      <c r="D1275" s="7" t="str">
        <f>IFERROR(__xludf.DUMMYFUNCTION("""COMPUTED_VALUE"""),"Berry")</f>
        <v>Berry</v>
      </c>
      <c r="E1275" s="7" t="str">
        <f>IFERROR(__xludf.DUMMYFUNCTION("""COMPUTED_VALUE"""),"DISERAHKAN")</f>
        <v>DISERAHKAN</v>
      </c>
      <c r="F1275" s="9">
        <f>IFERROR(__xludf.DUMMYFUNCTION("""COMPUTED_VALUE"""),45615.45419527778)</f>
        <v>45615.4542</v>
      </c>
      <c r="G1275" s="7" t="str">
        <f>IFERROR(__xludf.DUMMYFUNCTION("""COMPUTED_VALUE"""),"BN Jual Beli")</f>
        <v>BN Jual Beli</v>
      </c>
      <c r="H1275" s="7">
        <f t="shared" si="1"/>
        <v>581</v>
      </c>
    </row>
    <row r="1276" ht="22.5" customHeight="1">
      <c r="B1276" s="7" t="str">
        <f>IFERROR(__xludf.DUMMYFUNCTION("""COMPUTED_VALUE"""),"K/51/151124/4")</f>
        <v>K/51/151124/4</v>
      </c>
      <c r="C1276" s="7" t="str">
        <f>IFERROR(__xludf.DUMMYFUNCTION("""COMPUTED_VALUE"""),"M. 6415/ Gunung Sulah")</f>
        <v>M. 6415/ Gunung Sulah</v>
      </c>
      <c r="D1276" s="7" t="str">
        <f>IFERROR(__xludf.DUMMYFUNCTION("""COMPUTED_VALUE"""),"Berry")</f>
        <v>Berry</v>
      </c>
      <c r="E1276" s="7" t="str">
        <f>IFERROR(__xludf.DUMMYFUNCTION("""COMPUTED_VALUE"""),"DISERAHKAN")</f>
        <v>DISERAHKAN</v>
      </c>
      <c r="F1276" s="9">
        <f>IFERROR(__xludf.DUMMYFUNCTION("""COMPUTED_VALUE"""),45615.45447512731)</f>
        <v>45615.45448</v>
      </c>
      <c r="G1276" s="7" t="str">
        <f>IFERROR(__xludf.DUMMYFUNCTION("""COMPUTED_VALUE"""),"BN Jual Beli")</f>
        <v>BN Jual Beli</v>
      </c>
      <c r="H1276" s="7">
        <f t="shared" si="1"/>
        <v>582</v>
      </c>
    </row>
    <row r="1277" ht="22.5" customHeight="1">
      <c r="B1277" s="7" t="str">
        <f>IFERROR(__xludf.DUMMYFUNCTION("""COMPUTED_VALUE"""),"K/52/151124/5")</f>
        <v>K/52/151124/5</v>
      </c>
      <c r="C1277" s="7" t="str">
        <f>IFERROR(__xludf.DUMMYFUNCTION("""COMPUTED_VALUE"""),"M. 6416/ Gunung Sulah")</f>
        <v>M. 6416/ Gunung Sulah</v>
      </c>
      <c r="D1277" s="7" t="str">
        <f>IFERROR(__xludf.DUMMYFUNCTION("""COMPUTED_VALUE"""),"Berry")</f>
        <v>Berry</v>
      </c>
      <c r="E1277" s="7" t="str">
        <f>IFERROR(__xludf.DUMMYFUNCTION("""COMPUTED_VALUE"""),"DISERAHKAN")</f>
        <v>DISERAHKAN</v>
      </c>
      <c r="F1277" s="9">
        <f>IFERROR(__xludf.DUMMYFUNCTION("""COMPUTED_VALUE"""),45615.4544990162)</f>
        <v>45615.4545</v>
      </c>
      <c r="G1277" s="7" t="str">
        <f>IFERROR(__xludf.DUMMYFUNCTION("""COMPUTED_VALUE"""),"BN Jual Beli")</f>
        <v>BN Jual Beli</v>
      </c>
      <c r="H1277" s="7">
        <f t="shared" si="1"/>
        <v>583</v>
      </c>
    </row>
    <row r="1278" ht="22.5" customHeight="1">
      <c r="B1278" s="7" t="str">
        <f>IFERROR(__xludf.DUMMYFUNCTION("""COMPUTED_VALUE"""),"K/61/151124/2")</f>
        <v>K/61/151124/2</v>
      </c>
      <c r="C1278" s="7" t="str">
        <f>IFERROR(__xludf.DUMMYFUNCTION("""COMPUTED_VALUE"""),"M. 1429/ Tanjung Gading")</f>
        <v>M. 1429/ Tanjung Gading</v>
      </c>
      <c r="D1278" s="7" t="str">
        <f>IFERROR(__xludf.DUMMYFUNCTION("""COMPUTED_VALUE"""),"Berry")</f>
        <v>Berry</v>
      </c>
      <c r="E1278" s="7" t="str">
        <f>IFERROR(__xludf.DUMMYFUNCTION("""COMPUTED_VALUE"""),"PROSES")</f>
        <v>PROSES</v>
      </c>
      <c r="F1278" s="9" t="str">
        <f>IFERROR(__xludf.DUMMYFUNCTION("""COMPUTED_VALUE"""),"")</f>
        <v/>
      </c>
      <c r="G1278" s="7" t="str">
        <f>IFERROR(__xludf.DUMMYFUNCTION("""COMPUTED_VALUE"""),"BN Hibah")</f>
        <v>BN Hibah</v>
      </c>
      <c r="H1278" s="7">
        <f t="shared" si="1"/>
        <v>583</v>
      </c>
    </row>
    <row r="1279" ht="22.5" customHeight="1">
      <c r="B1279" s="7" t="str">
        <f>IFERROR(__xludf.DUMMYFUNCTION("""COMPUTED_VALUE"""),"K/62/151124/3")</f>
        <v>K/62/151124/3</v>
      </c>
      <c r="C1279" s="7" t="str">
        <f>IFERROR(__xludf.DUMMYFUNCTION("""COMPUTED_VALUE"""),"M. 1430/ Tanjung Gading")</f>
        <v>M. 1430/ Tanjung Gading</v>
      </c>
      <c r="D1279" s="7" t="str">
        <f>IFERROR(__xludf.DUMMYFUNCTION("""COMPUTED_VALUE"""),"Berry")</f>
        <v>Berry</v>
      </c>
      <c r="E1279" s="7" t="str">
        <f>IFERROR(__xludf.DUMMYFUNCTION("""COMPUTED_VALUE"""),"PROSES")</f>
        <v>PROSES</v>
      </c>
      <c r="F1279" s="9" t="str">
        <f>IFERROR(__xludf.DUMMYFUNCTION("""COMPUTED_VALUE"""),"")</f>
        <v/>
      </c>
      <c r="G1279" s="7" t="str">
        <f>IFERROR(__xludf.DUMMYFUNCTION("""COMPUTED_VALUE"""),"BN Hibah")</f>
        <v>BN Hibah</v>
      </c>
      <c r="H1279" s="7">
        <f t="shared" si="1"/>
        <v>583</v>
      </c>
    </row>
    <row r="1280" ht="22.5" customHeight="1">
      <c r="B1280" s="7" t="str">
        <f>IFERROR(__xludf.DUMMYFUNCTION("""COMPUTED_VALUE"""),"L/1/161124/1")</f>
        <v>L/1/161124/1</v>
      </c>
      <c r="C1280" s="7" t="str">
        <f>IFERROR(__xludf.DUMMYFUNCTION("""COMPUTED_VALUE"""),"NIB 3420/TANJUNG SENANG")</f>
        <v>NIB 3420/TANJUNG SENANG</v>
      </c>
      <c r="D1280" s="7"/>
      <c r="E1280" s="7"/>
      <c r="F1280" s="9" t="str">
        <f>IFERROR(__xludf.DUMMYFUNCTION("""COMPUTED_VALUE"""),"")</f>
        <v/>
      </c>
      <c r="G1280" s="7" t="str">
        <f>IFERROR(__xludf.DUMMYFUNCTION("""COMPUTED_VALUE"""),"BN LELANG")</f>
        <v>BN LELANG</v>
      </c>
      <c r="H1280" s="7">
        <f t="shared" si="1"/>
        <v>583</v>
      </c>
    </row>
    <row r="1281" ht="22.5" customHeight="1">
      <c r="B1281" s="7" t="str">
        <f>IFERROR(__xludf.DUMMYFUNCTION("""COMPUTED_VALUE"""),"L/2/161124/1")</f>
        <v>L/2/161124/1</v>
      </c>
      <c r="C1281" s="7" t="str">
        <f>IFERROR(__xludf.DUMMYFUNCTION("""COMPUTED_VALUE"""),"HM 10314/SUKABUMI")</f>
        <v>HM 10314/SUKABUMI</v>
      </c>
      <c r="D1281" s="7" t="str">
        <f>IFERROR(__xludf.DUMMYFUNCTION("""COMPUTED_VALUE"""),"Berry")</f>
        <v>Berry</v>
      </c>
      <c r="E1281" s="7" t="str">
        <f>IFERROR(__xludf.DUMMYFUNCTION("""COMPUTED_VALUE"""),"DISERAHKAN")</f>
        <v>DISERAHKAN</v>
      </c>
      <c r="F1281" s="9">
        <f>IFERROR(__xludf.DUMMYFUNCTION("""COMPUTED_VALUE"""),45615.45534849537)</f>
        <v>45615.45535</v>
      </c>
      <c r="G1281" s="7" t="str">
        <f>IFERROR(__xludf.DUMMYFUNCTION("""COMPUTED_VALUE"""),"PEMECAHAN")</f>
        <v>PEMECAHAN</v>
      </c>
      <c r="H1281" s="7">
        <f t="shared" si="1"/>
        <v>584</v>
      </c>
    </row>
    <row r="1282" ht="22.5" customHeight="1">
      <c r="B1282" s="7" t="str">
        <f>IFERROR(__xludf.DUMMYFUNCTION("""COMPUTED_VALUE"""),"L/3/161124/1")</f>
        <v>L/3/161124/1</v>
      </c>
      <c r="C1282" s="7" t="str">
        <f>IFERROR(__xludf.DUMMYFUNCTION("""COMPUTED_VALUE"""),"NIB 2757/GUNTER")</f>
        <v>NIB 2757/GUNTER</v>
      </c>
      <c r="D1282" s="7"/>
      <c r="E1282" s="7"/>
      <c r="F1282" s="9" t="str">
        <f>IFERROR(__xludf.DUMMYFUNCTION("""COMPUTED_VALUE"""),"")</f>
        <v/>
      </c>
      <c r="G1282" s="7" t="str">
        <f>IFERROR(__xludf.DUMMYFUNCTION("""COMPUTED_VALUE"""),"BN LELANG")</f>
        <v>BN LELANG</v>
      </c>
      <c r="H1282" s="7">
        <f t="shared" si="1"/>
        <v>584</v>
      </c>
    </row>
    <row r="1283" ht="22.5" customHeight="1">
      <c r="B1283" s="7" t="str">
        <f>IFERROR(__xludf.DUMMYFUNCTION("""COMPUTED_VALUE"""),"L/4/161124/1")</f>
        <v>L/4/161124/1</v>
      </c>
      <c r="C1283" s="7" t="str">
        <f>IFERROR(__xludf.DUMMYFUNCTION("""COMPUTED_VALUE"""),"HGB 50/DURIAN PAYUNG")</f>
        <v>HGB 50/DURIAN PAYUNG</v>
      </c>
      <c r="D1283" s="7" t="str">
        <f>IFERROR(__xludf.DUMMYFUNCTION("""COMPUTED_VALUE"""),"Berry")</f>
        <v>Berry</v>
      </c>
      <c r="E1283" s="7" t="str">
        <f>IFERROR(__xludf.DUMMYFUNCTION("""COMPUTED_VALUE"""),"DISERAHKAN")</f>
        <v>DISERAHKAN</v>
      </c>
      <c r="F1283" s="9">
        <f>IFERROR(__xludf.DUMMYFUNCTION("""COMPUTED_VALUE"""),45615.45585571759)</f>
        <v>45615.45586</v>
      </c>
      <c r="G1283" s="7" t="str">
        <f>IFERROR(__xludf.DUMMYFUNCTION("""COMPUTED_VALUE"""),"ROYA")</f>
        <v>ROYA</v>
      </c>
      <c r="H1283" s="7">
        <f t="shared" si="1"/>
        <v>585</v>
      </c>
    </row>
    <row r="1284" ht="22.5" customHeight="1">
      <c r="B1284" s="7" t="str">
        <f>IFERROR(__xludf.DUMMYFUNCTION("""COMPUTED_VALUE"""),"L/5/161124/1")</f>
        <v>L/5/161124/1</v>
      </c>
      <c r="C1284" s="7" t="str">
        <f>IFERROR(__xludf.DUMMYFUNCTION("""COMPUTED_VALUE"""),"HM 691/DURIAN PAYUNG")</f>
        <v>HM 691/DURIAN PAYUNG</v>
      </c>
      <c r="D1284" s="7" t="str">
        <f>IFERROR(__xludf.DUMMYFUNCTION("""COMPUTED_VALUE"""),"Berry")</f>
        <v>Berry</v>
      </c>
      <c r="E1284" s="7" t="str">
        <f>IFERROR(__xludf.DUMMYFUNCTION("""COMPUTED_VALUE"""),"PROSES")</f>
        <v>PROSES</v>
      </c>
      <c r="F1284" s="9" t="str">
        <f>IFERROR(__xludf.DUMMYFUNCTION("""COMPUTED_VALUE"""),"")</f>
        <v/>
      </c>
      <c r="G1284" s="7" t="str">
        <f>IFERROR(__xludf.DUMMYFUNCTION("""COMPUTED_VALUE"""),"ROYA")</f>
        <v>ROYA</v>
      </c>
      <c r="H1284" s="7">
        <f t="shared" si="1"/>
        <v>585</v>
      </c>
    </row>
    <row r="1285" ht="22.5" customHeight="1">
      <c r="B1285" s="7" t="str">
        <f>IFERROR(__xludf.DUMMYFUNCTION("""COMPUTED_VALUE"""),"L/1/171125/1")</f>
        <v>L/1/171125/1</v>
      </c>
      <c r="C1285" s="7" t="str">
        <f>IFERROR(__xludf.DUMMYFUNCTION("""COMPUTED_VALUE"""),"B. 1356/TANJUNG SENENG")</f>
        <v>B. 1356/TANJUNG SENENG</v>
      </c>
      <c r="D1285" s="7"/>
      <c r="E1285" s="7"/>
      <c r="F1285" s="9" t="str">
        <f>IFERROR(__xludf.DUMMYFUNCTION("""COMPUTED_VALUE"""),"")</f>
        <v/>
      </c>
      <c r="G1285" s="7" t="str">
        <f>IFERROR(__xludf.DUMMYFUNCTION("""COMPUTED_VALUE"""),"SKPT INFORMASI")</f>
        <v>SKPT INFORMASI</v>
      </c>
      <c r="H1285" s="7">
        <f t="shared" si="1"/>
        <v>585</v>
      </c>
    </row>
    <row r="1286" ht="22.5" customHeight="1">
      <c r="B1286" s="7" t="str">
        <f>IFERROR(__xludf.DUMMYFUNCTION("""COMPUTED_VALUE"""),"L/5/161124/1")</f>
        <v>L/5/161124/1</v>
      </c>
      <c r="C1286" s="7" t="str">
        <f>IFERROR(__xludf.DUMMYFUNCTION("""COMPUTED_VALUE"""),"HM 691/DURIAN PAYUNG")</f>
        <v>HM 691/DURIAN PAYUNG</v>
      </c>
      <c r="D1286" s="7" t="str">
        <f>IFERROR(__xludf.DUMMYFUNCTION("""COMPUTED_VALUE"""),"Berry")</f>
        <v>Berry</v>
      </c>
      <c r="E1286" s="7" t="str">
        <f>IFERROR(__xludf.DUMMYFUNCTION("""COMPUTED_VALUE"""),"PROSES")</f>
        <v>PROSES</v>
      </c>
      <c r="F1286" s="9" t="str">
        <f>IFERROR(__xludf.DUMMYFUNCTION("""COMPUTED_VALUE"""),"")</f>
        <v/>
      </c>
      <c r="G1286" s="7" t="str">
        <f>IFERROR(__xludf.DUMMYFUNCTION("""COMPUTED_VALUE"""),"ROYA")</f>
        <v>ROYA</v>
      </c>
      <c r="H1286" s="7">
        <f t="shared" si="1"/>
        <v>585</v>
      </c>
    </row>
    <row r="1287" ht="22.5" customHeight="1">
      <c r="B1287" s="7" t="str">
        <f>IFERROR(__xludf.DUMMYFUNCTION("""COMPUTED_VALUE"""),"L/1/171125/1")</f>
        <v>L/1/171125/1</v>
      </c>
      <c r="C1287" s="7" t="str">
        <f>IFERROR(__xludf.DUMMYFUNCTION("""COMPUTED_VALUE"""),"B. 1356/TANJUNG SENENG")</f>
        <v>B. 1356/TANJUNG SENENG</v>
      </c>
      <c r="D1287" s="7" t="str">
        <f>IFERROR(__xludf.DUMMYFUNCTION("""COMPUTED_VALUE"""),"Berry")</f>
        <v>Berry</v>
      </c>
      <c r="E1287" s="7" t="str">
        <f>IFERROR(__xludf.DUMMYFUNCTION("""COMPUTED_VALUE"""),"DISERAHKAN BT")</f>
        <v>DISERAHKAN BT</v>
      </c>
      <c r="F1287" s="9">
        <f>IFERROR(__xludf.DUMMYFUNCTION("""COMPUTED_VALUE"""),45615.45645920139)</f>
        <v>45615.45646</v>
      </c>
      <c r="G1287" s="7" t="str">
        <f>IFERROR(__xludf.DUMMYFUNCTION("""COMPUTED_VALUE"""),"SKPT INFORMASI")</f>
        <v>SKPT INFORMASI</v>
      </c>
      <c r="H1287" s="7">
        <f t="shared" si="1"/>
        <v>585</v>
      </c>
    </row>
    <row r="1288" ht="22.5" customHeight="1">
      <c r="B1288" s="7" t="str">
        <f>IFERROR(__xludf.DUMMYFUNCTION("""COMPUTED_VALUE"""),"K/1/181124/1")</f>
        <v>K/1/181124/1</v>
      </c>
      <c r="C1288" s="7" t="str">
        <f>IFERROR(__xludf.DUMMYFUNCTION("""COMPUTED_VALUE"""),"M. 2077/ Campang Jaya")</f>
        <v>M. 2077/ Campang Jaya</v>
      </c>
      <c r="D1288" s="7" t="str">
        <f>IFERROR(__xludf.DUMMYFUNCTION("""COMPUTED_VALUE"""),"Berry")</f>
        <v>Berry</v>
      </c>
      <c r="E1288" s="7" t="str">
        <f>IFERROR(__xludf.DUMMYFUNCTION("""COMPUTED_VALUE"""),"DISERAHKAN")</f>
        <v>DISERAHKAN</v>
      </c>
      <c r="F1288" s="9">
        <f>IFERROR(__xludf.DUMMYFUNCTION("""COMPUTED_VALUE"""),45615.4569018287)</f>
        <v>45615.4569</v>
      </c>
      <c r="G1288" s="7" t="str">
        <f>IFERROR(__xludf.DUMMYFUNCTION("""COMPUTED_VALUE"""),"BN JUAL BELI")</f>
        <v>BN JUAL BELI</v>
      </c>
      <c r="H1288" s="7">
        <f t="shared" si="1"/>
        <v>586</v>
      </c>
    </row>
    <row r="1289" ht="22.5" customHeight="1">
      <c r="B1289" s="7" t="str">
        <f>IFERROR(__xludf.DUMMYFUNCTION("""COMPUTED_VALUE"""),"K/2/181124/2")</f>
        <v>K/2/181124/2</v>
      </c>
      <c r="C1289" s="7" t="str">
        <f>IFERROR(__xludf.DUMMYFUNCTION("""COMPUTED_VALUE"""),"M. 80/ Tanjung Gading")</f>
        <v>M. 80/ Tanjung Gading</v>
      </c>
      <c r="D1289" s="7" t="str">
        <f>IFERROR(__xludf.DUMMYFUNCTION("""COMPUTED_VALUE"""),"Berry")</f>
        <v>Berry</v>
      </c>
      <c r="E1289" s="7" t="str">
        <f>IFERROR(__xludf.DUMMYFUNCTION("""COMPUTED_VALUE"""),"DISERAHKAN BT")</f>
        <v>DISERAHKAN BT</v>
      </c>
      <c r="F1289" s="9">
        <f>IFERROR(__xludf.DUMMYFUNCTION("""COMPUTED_VALUE"""),45615.45701380787)</f>
        <v>45615.45701</v>
      </c>
      <c r="G1289" s="7" t="str">
        <f>IFERROR(__xludf.DUMMYFUNCTION("""COMPUTED_VALUE"""),"ROYA")</f>
        <v>ROYA</v>
      </c>
      <c r="H1289" s="7">
        <f t="shared" si="1"/>
        <v>586</v>
      </c>
    </row>
    <row r="1290" ht="22.5" customHeight="1">
      <c r="B1290" s="7" t="str">
        <f>IFERROR(__xludf.DUMMYFUNCTION("""COMPUTED_VALUE"""),"L/5/181124/1")</f>
        <v>L/5/181124/1</v>
      </c>
      <c r="C1290" s="7" t="str">
        <f>IFERROR(__xludf.DUMMYFUNCTION("""COMPUTED_VALUE"""),"HM 636/SUMUR BATU")</f>
        <v>HM 636/SUMUR BATU</v>
      </c>
      <c r="D1290" s="7" t="str">
        <f>IFERROR(__xludf.DUMMYFUNCTION("""COMPUTED_VALUE"""),"Berry")</f>
        <v>Berry</v>
      </c>
      <c r="E1290" s="7" t="str">
        <f>IFERROR(__xludf.DUMMYFUNCTION("""COMPUTED_VALUE"""),"DISERAHKAN BT")</f>
        <v>DISERAHKAN BT</v>
      </c>
      <c r="F1290" s="9">
        <f>IFERROR(__xludf.DUMMYFUNCTION("""COMPUTED_VALUE"""),45615.46000590277)</f>
        <v>45615.46001</v>
      </c>
      <c r="G1290" s="7" t="str">
        <f>IFERROR(__xludf.DUMMYFUNCTION("""COMPUTED_VALUE"""),"ROYA")</f>
        <v>ROYA</v>
      </c>
      <c r="H1290" s="7">
        <f t="shared" si="1"/>
        <v>586</v>
      </c>
    </row>
    <row r="1291" ht="22.5" customHeight="1">
      <c r="B1291" s="7" t="str">
        <f>IFERROR(__xludf.DUMMYFUNCTION("""COMPUTED_VALUE"""),"K/3/181124/1")</f>
        <v>K/3/181124/1</v>
      </c>
      <c r="C1291" s="7" t="str">
        <f>IFERROR(__xludf.DUMMYFUNCTION("""COMPUTED_VALUE"""),"M. 253/ Bumi Kedmaian")</f>
        <v>M. 253/ Bumi Kedmaian</v>
      </c>
      <c r="D1291" s="7" t="str">
        <f>IFERROR(__xludf.DUMMYFUNCTION("""COMPUTED_VALUE"""),"Berry")</f>
        <v>Berry</v>
      </c>
      <c r="E1291" s="7" t="str">
        <f>IFERROR(__xludf.DUMMYFUNCTION("""COMPUTED_VALUE"""),"PROSES")</f>
        <v>PROSES</v>
      </c>
      <c r="F1291" s="9" t="str">
        <f>IFERROR(__xludf.DUMMYFUNCTION("""COMPUTED_VALUE"""),"")</f>
        <v/>
      </c>
      <c r="G1291" s="7" t="str">
        <f>IFERROR(__xludf.DUMMYFUNCTION("""COMPUTED_VALUE"""),"BN WARIS")</f>
        <v>BN WARIS</v>
      </c>
      <c r="H1291" s="7">
        <f t="shared" si="1"/>
        <v>586</v>
      </c>
    </row>
    <row r="1292" ht="22.5" customHeight="1">
      <c r="B1292" s="7" t="str">
        <f>IFERROR(__xludf.DUMMYFUNCTION("""COMPUTED_VALUE"""),"K/4/181124/2")</f>
        <v>K/4/181124/2</v>
      </c>
      <c r="C1292" s="7" t="str">
        <f>IFERROR(__xludf.DUMMYFUNCTION("""COMPUTED_VALUE"""),"M. 254/ Bumi Kedamaian")</f>
        <v>M. 254/ Bumi Kedamaian</v>
      </c>
      <c r="D1292" s="7"/>
      <c r="E1292" s="7"/>
      <c r="F1292" s="9" t="str">
        <f>IFERROR(__xludf.DUMMYFUNCTION("""COMPUTED_VALUE"""),"")</f>
        <v/>
      </c>
      <c r="G1292" s="7" t="str">
        <f>IFERROR(__xludf.DUMMYFUNCTION("""COMPUTED_VALUE"""),"BN WARIS")</f>
        <v>BN WARIS</v>
      </c>
      <c r="H1292" s="7">
        <f t="shared" si="1"/>
        <v>586</v>
      </c>
    </row>
    <row r="1293" ht="22.5" customHeight="1">
      <c r="B1293" s="7" t="str">
        <f>IFERROR(__xludf.DUMMYFUNCTION("""COMPUTED_VALUE"""),"L/6/181124/1")</f>
        <v>L/6/181124/1</v>
      </c>
      <c r="C1293" s="7" t="str">
        <f>IFERROR(__xludf.DUMMYFUNCTION("""COMPUTED_VALUE"""),"HM 17410/SUKARAME ")</f>
        <v>HM 17410/SUKARAME </v>
      </c>
      <c r="D1293" s="7" t="str">
        <f>IFERROR(__xludf.DUMMYFUNCTION("""COMPUTED_VALUE"""),"David")</f>
        <v>David</v>
      </c>
      <c r="E1293" s="7" t="str">
        <f>IFERROR(__xludf.DUMMYFUNCTION("""COMPUTED_VALUE"""),"DISERAHKAN")</f>
        <v>DISERAHKAN</v>
      </c>
      <c r="F1293" s="9">
        <f>IFERROR(__xludf.DUMMYFUNCTION("""COMPUTED_VALUE"""),45615.46082545139)</f>
        <v>45615.46083</v>
      </c>
      <c r="G1293" s="7" t="str">
        <f>IFERROR(__xludf.DUMMYFUNCTION("""COMPUTED_VALUE"""),"ROYA")</f>
        <v>ROYA</v>
      </c>
      <c r="H1293" s="7">
        <f t="shared" si="1"/>
        <v>587</v>
      </c>
    </row>
    <row r="1294" ht="22.5" customHeight="1">
      <c r="B1294" s="7" t="str">
        <f>IFERROR(__xludf.DUMMYFUNCTION("""COMPUTED_VALUE"""),"K/7/181124/1")</f>
        <v>K/7/181124/1</v>
      </c>
      <c r="C1294" s="7" t="str">
        <f>IFERROR(__xludf.DUMMYFUNCTION("""COMPUTED_VALUE"""),"B.567/WAY KANDIS ")</f>
        <v>B.567/WAY KANDIS </v>
      </c>
      <c r="D1294" s="7"/>
      <c r="E1294" s="7"/>
      <c r="F1294" s="9" t="str">
        <f>IFERROR(__xludf.DUMMYFUNCTION("""COMPUTED_VALUE"""),"")</f>
        <v/>
      </c>
      <c r="G1294" s="7" t="str">
        <f>IFERROR(__xludf.DUMMYFUNCTION("""COMPUTED_VALUE"""),"GANDES")</f>
        <v>GANDES</v>
      </c>
      <c r="H1294" s="7">
        <f t="shared" si="1"/>
        <v>587</v>
      </c>
    </row>
    <row r="1295" ht="22.5" customHeight="1">
      <c r="B1295" s="7" t="str">
        <f>IFERROR(__xludf.DUMMYFUNCTION("""COMPUTED_VALUE"""),"L/8/181124/1")</f>
        <v>L/8/181124/1</v>
      </c>
      <c r="C1295" s="7" t="str">
        <f>IFERROR(__xludf.DUMMYFUNCTION("""COMPUTED_VALUE"""),"HM 12132/KEDAMAIAN")</f>
        <v>HM 12132/KEDAMAIAN</v>
      </c>
      <c r="D1295" s="7" t="str">
        <f>IFERROR(__xludf.DUMMYFUNCTION("""COMPUTED_VALUE"""),"David")</f>
        <v>David</v>
      </c>
      <c r="E1295" s="7" t="str">
        <f>IFERROR(__xludf.DUMMYFUNCTION("""COMPUTED_VALUE"""),"DISERAHKAN")</f>
        <v>DISERAHKAN</v>
      </c>
      <c r="F1295" s="9">
        <f>IFERROR(__xludf.DUMMYFUNCTION("""COMPUTED_VALUE"""),45615.461284212965)</f>
        <v>45615.46128</v>
      </c>
      <c r="G1295" s="7" t="str">
        <f>IFERROR(__xludf.DUMMYFUNCTION("""COMPUTED_VALUE"""),"TONY")</f>
        <v>TONY</v>
      </c>
      <c r="H1295" s="7">
        <f t="shared" si="1"/>
        <v>588</v>
      </c>
    </row>
    <row r="1296" ht="22.5" customHeight="1">
      <c r="B1296" s="7" t="str">
        <f>IFERROR(__xludf.DUMMYFUNCTION("""COMPUTED_VALUE"""),"L/9/181124/1")</f>
        <v>L/9/181124/1</v>
      </c>
      <c r="C1296" s="7" t="str">
        <f>IFERROR(__xludf.DUMMYFUNCTION("""COMPUTED_VALUE"""),"NIB 8407/WAY KANDIS")</f>
        <v>NIB 8407/WAY KANDIS</v>
      </c>
      <c r="D1296" s="7"/>
      <c r="E1296" s="7"/>
      <c r="F1296" s="9" t="str">
        <f>IFERROR(__xludf.DUMMYFUNCTION("""COMPUTED_VALUE"""),"")</f>
        <v/>
      </c>
      <c r="G1296" s="7" t="str">
        <f>IFERROR(__xludf.DUMMYFUNCTION("""COMPUTED_VALUE"""),"GANDES")</f>
        <v>GANDES</v>
      </c>
      <c r="H1296" s="7">
        <f t="shared" si="1"/>
        <v>588</v>
      </c>
    </row>
    <row r="1297" ht="22.5" customHeight="1">
      <c r="B1297" s="7" t="str">
        <f>IFERROR(__xludf.DUMMYFUNCTION("""COMPUTED_VALUE"""),"K/10/181124/1")</f>
        <v>K/10/181124/1</v>
      </c>
      <c r="C1297" s="7" t="str">
        <f>IFERROR(__xludf.DUMMYFUNCTION("""COMPUTED_VALUE"""),"M. 16385/ Sukabumi")</f>
        <v>M. 16385/ Sukabumi</v>
      </c>
      <c r="D1297" s="7" t="str">
        <f>IFERROR(__xludf.DUMMYFUNCTION("""COMPUTED_VALUE"""),"David")</f>
        <v>David</v>
      </c>
      <c r="E1297" s="7" t="str">
        <f>IFERROR(__xludf.DUMMYFUNCTION("""COMPUTED_VALUE"""),"DISERAHKAN")</f>
        <v>DISERAHKAN</v>
      </c>
      <c r="F1297" s="9">
        <f>IFERROR(__xludf.DUMMYFUNCTION("""COMPUTED_VALUE"""),45615.461559247684)</f>
        <v>45615.46156</v>
      </c>
      <c r="G1297" s="7" t="str">
        <f>IFERROR(__xludf.DUMMYFUNCTION("""COMPUTED_VALUE"""),"BN JUAL BELI")</f>
        <v>BN JUAL BELI</v>
      </c>
      <c r="H1297" s="7">
        <f t="shared" si="1"/>
        <v>589</v>
      </c>
    </row>
    <row r="1298" ht="22.5" customHeight="1">
      <c r="B1298" s="7" t="str">
        <f>IFERROR(__xludf.DUMMYFUNCTION("""COMPUTED_VALUE"""),"K/11/181124/1")</f>
        <v>K/11/181124/1</v>
      </c>
      <c r="C1298" s="7" t="str">
        <f>IFERROR(__xludf.DUMMYFUNCTION("""COMPUTED_VALUE"""),"M.1758/KUPANG KOTA")</f>
        <v>M.1758/KUPANG KOTA</v>
      </c>
      <c r="D1298" s="7" t="str">
        <f>IFERROR(__xludf.DUMMYFUNCTION("""COMPUTED_VALUE"""),"David")</f>
        <v>David</v>
      </c>
      <c r="E1298" s="7" t="str">
        <f>IFERROR(__xludf.DUMMYFUNCTION("""COMPUTED_VALUE"""),"DISERAHKAN")</f>
        <v>DISERAHKAN</v>
      </c>
      <c r="F1298" s="9">
        <f>IFERROR(__xludf.DUMMYFUNCTION("""COMPUTED_VALUE"""),45615.46209130787)</f>
        <v>45615.46209</v>
      </c>
      <c r="G1298" s="7" t="str">
        <f>IFERROR(__xludf.DUMMYFUNCTION("""COMPUTED_VALUE"""),"HAPUS BPHTB")</f>
        <v>HAPUS BPHTB</v>
      </c>
      <c r="H1298" s="7">
        <f t="shared" si="1"/>
        <v>590</v>
      </c>
    </row>
    <row r="1299" ht="22.5" customHeight="1">
      <c r="B1299" s="7" t="str">
        <f>IFERROR(__xludf.DUMMYFUNCTION("""COMPUTED_VALUE"""),"K/13/181124/1")</f>
        <v>K/13/181124/1</v>
      </c>
      <c r="C1299" s="7" t="str">
        <f>IFERROR(__xludf.DUMMYFUNCTION("""COMPUTED_VALUE"""),"M. 1048/ Pematang Wangi")</f>
        <v>M. 1048/ Pematang Wangi</v>
      </c>
      <c r="D1299" s="7" t="str">
        <f>IFERROR(__xludf.DUMMYFUNCTION("""COMPUTED_VALUE"""),"David")</f>
        <v>David</v>
      </c>
      <c r="E1299" s="7" t="str">
        <f>IFERROR(__xludf.DUMMYFUNCTION("""COMPUTED_VALUE"""),"DISERAHKAN")</f>
        <v>DISERAHKAN</v>
      </c>
      <c r="F1299" s="9">
        <f>IFERROR(__xludf.DUMMYFUNCTION("""COMPUTED_VALUE"""),45615.46276681713)</f>
        <v>45615.46277</v>
      </c>
      <c r="G1299" s="7" t="str">
        <f>IFERROR(__xludf.DUMMYFUNCTION("""COMPUTED_VALUE"""),"BN Jual Beli")</f>
        <v>BN Jual Beli</v>
      </c>
      <c r="H1299" s="7">
        <f t="shared" si="1"/>
        <v>591</v>
      </c>
    </row>
    <row r="1300" ht="22.5" customHeight="1">
      <c r="B1300" s="7" t="str">
        <f>IFERROR(__xludf.DUMMYFUNCTION("""COMPUTED_VALUE"""),"L/14/181124/1")</f>
        <v>L/14/181124/1</v>
      </c>
      <c r="C1300" s="7" t="str">
        <f>IFERROR(__xludf.DUMMYFUNCTION("""COMPUTED_VALUE"""),"HM 18712/SUKARAME")</f>
        <v>HM 18712/SUKARAME</v>
      </c>
      <c r="D1300" s="7"/>
      <c r="E1300" s="7"/>
      <c r="F1300" s="9" t="str">
        <f>IFERROR(__xludf.DUMMYFUNCTION("""COMPUTED_VALUE"""),"")</f>
        <v/>
      </c>
      <c r="G1300" s="7" t="str">
        <f>IFERROR(__xludf.DUMMYFUNCTION("""COMPUTED_VALUE"""),"ROYA")</f>
        <v>ROYA</v>
      </c>
      <c r="H1300" s="7">
        <f t="shared" si="1"/>
        <v>591</v>
      </c>
    </row>
    <row r="1301" ht="22.5" customHeight="1">
      <c r="B1301" s="7" t="str">
        <f>IFERROR(__xludf.DUMMYFUNCTION("""COMPUTED_VALUE"""),"K/15/181124/1")</f>
        <v>K/15/181124/1</v>
      </c>
      <c r="C1301" s="7" t="str">
        <f>IFERROR(__xludf.DUMMYFUNCTION("""COMPUTED_VALUE"""),"M. 2922/SUKARAME II")</f>
        <v>M. 2922/SUKARAME II</v>
      </c>
      <c r="D1301" s="7"/>
      <c r="E1301" s="7"/>
      <c r="F1301" s="9" t="str">
        <f>IFERROR(__xludf.DUMMYFUNCTION("""COMPUTED_VALUE"""),"")</f>
        <v/>
      </c>
      <c r="G1301" s="7" t="str">
        <f>IFERROR(__xludf.DUMMYFUNCTION("""COMPUTED_VALUE"""),"BN JUAL BELI")</f>
        <v>BN JUAL BELI</v>
      </c>
      <c r="H1301" s="7">
        <f t="shared" si="1"/>
        <v>591</v>
      </c>
    </row>
    <row r="1302" ht="22.5" customHeight="1">
      <c r="B1302" s="7" t="str">
        <f>IFERROR(__xludf.DUMMYFUNCTION("""COMPUTED_VALUE"""),"K/12/181124/1")</f>
        <v>K/12/181124/1</v>
      </c>
      <c r="C1302" s="7" t="str">
        <f>IFERROR(__xludf.DUMMYFUNCTION("""COMPUTED_VALUE"""),"NIBEL M. 608/PESAWAHAN")</f>
        <v>NIBEL M. 608/PESAWAHAN</v>
      </c>
      <c r="D1302" s="7"/>
      <c r="E1302" s="7"/>
      <c r="F1302" s="9" t="str">
        <f>IFERROR(__xludf.DUMMYFUNCTION("""COMPUTED_VALUE"""),"")</f>
        <v/>
      </c>
      <c r="G1302" s="7" t="str">
        <f>IFERROR(__xludf.DUMMYFUNCTION("""COMPUTED_VALUE"""),"BN JUAL BELI")</f>
        <v>BN JUAL BELI</v>
      </c>
      <c r="H1302" s="7">
        <f t="shared" si="1"/>
        <v>591</v>
      </c>
    </row>
    <row r="1303" ht="22.5" customHeight="1">
      <c r="B1303" s="7" t="str">
        <f>IFERROR(__xludf.DUMMYFUNCTION("""COMPUTED_VALUE"""),"K/16/181124/1")</f>
        <v>K/16/181124/1</v>
      </c>
      <c r="C1303" s="7" t="str">
        <f>IFERROR(__xludf.DUMMYFUNCTION("""COMPUTED_VALUE"""),"Nibel. B. 439/ Kemiling Permai")</f>
        <v>Nibel. B. 439/ Kemiling Permai</v>
      </c>
      <c r="D1303" s="7" t="str">
        <f>IFERROR(__xludf.DUMMYFUNCTION("""COMPUTED_VALUE"""),"David")</f>
        <v>David</v>
      </c>
      <c r="E1303" s="7" t="str">
        <f>IFERROR(__xludf.DUMMYFUNCTION("""COMPUTED_VALUE"""),"DISERAHKAN")</f>
        <v>DISERAHKAN</v>
      </c>
      <c r="F1303" s="9">
        <f>IFERROR(__xludf.DUMMYFUNCTION("""COMPUTED_VALUE"""),45615.46316509259)</f>
        <v>45615.46317</v>
      </c>
      <c r="G1303" s="7" t="str">
        <f>IFERROR(__xludf.DUMMYFUNCTION("""COMPUTED_VALUE"""),"BN Jual Beli")</f>
        <v>BN Jual Beli</v>
      </c>
      <c r="H1303" s="7">
        <f t="shared" si="1"/>
        <v>592</v>
      </c>
    </row>
    <row r="1304" ht="22.5" customHeight="1">
      <c r="B1304" s="7" t="str">
        <f>IFERROR(__xludf.DUMMYFUNCTION("""COMPUTED_VALUE"""),"K/17/181124/2")</f>
        <v>K/17/181124/2</v>
      </c>
      <c r="C1304" s="7" t="str">
        <f>IFERROR(__xludf.DUMMYFUNCTION("""COMPUTED_VALUE"""),"Nibel. B. 403/ Kemiling Permai")</f>
        <v>Nibel. B. 403/ Kemiling Permai</v>
      </c>
      <c r="D1304" s="7" t="str">
        <f>IFERROR(__xludf.DUMMYFUNCTION("""COMPUTED_VALUE"""),"David")</f>
        <v>David</v>
      </c>
      <c r="E1304" s="7" t="str">
        <f>IFERROR(__xludf.DUMMYFUNCTION("""COMPUTED_VALUE"""),"DISERAHKAN")</f>
        <v>DISERAHKAN</v>
      </c>
      <c r="F1304" s="9">
        <f>IFERROR(__xludf.DUMMYFUNCTION("""COMPUTED_VALUE"""),45615.46369263889)</f>
        <v>45615.46369</v>
      </c>
      <c r="G1304" s="7" t="str">
        <f>IFERROR(__xludf.DUMMYFUNCTION("""COMPUTED_VALUE"""),"BN Jual Beli")</f>
        <v>BN Jual Beli</v>
      </c>
      <c r="H1304" s="7">
        <f t="shared" si="1"/>
        <v>593</v>
      </c>
    </row>
    <row r="1305" ht="22.5" customHeight="1">
      <c r="B1305" s="7" t="str">
        <f>IFERROR(__xludf.DUMMYFUNCTION("""COMPUTED_VALUE"""),"K/18/181124/1")</f>
        <v>K/18/181124/1</v>
      </c>
      <c r="C1305" s="7" t="str">
        <f>IFERROR(__xludf.DUMMYFUNCTION("""COMPUTED_VALUE"""),"M.937/KORPRI JAYA")</f>
        <v>M.937/KORPRI JAYA</v>
      </c>
      <c r="D1305" s="7" t="str">
        <f>IFERROR(__xludf.DUMMYFUNCTION("""COMPUTED_VALUE"""),"David")</f>
        <v>David</v>
      </c>
      <c r="E1305" s="7" t="str">
        <f>IFERROR(__xludf.DUMMYFUNCTION("""COMPUTED_VALUE"""),"DISERAHKAN")</f>
        <v>DISERAHKAN</v>
      </c>
      <c r="F1305" s="9">
        <f>IFERROR(__xludf.DUMMYFUNCTION("""COMPUTED_VALUE"""),45615.46401516204)</f>
        <v>45615.46402</v>
      </c>
      <c r="G1305" s="7" t="str">
        <f>IFERROR(__xludf.DUMMYFUNCTION("""COMPUTED_VALUE"""),"BN JUAL BELI")</f>
        <v>BN JUAL BELI</v>
      </c>
      <c r="H1305" s="7">
        <f t="shared" si="1"/>
        <v>594</v>
      </c>
    </row>
    <row r="1306" ht="22.5" customHeight="1">
      <c r="B1306" s="7" t="str">
        <f>IFERROR(__xludf.DUMMYFUNCTION("""COMPUTED_VALUE"""),"K/19/181124/2")</f>
        <v>K/19/181124/2</v>
      </c>
      <c r="C1306" s="7" t="str">
        <f>IFERROR(__xludf.DUMMYFUNCTION("""COMPUTED_VALUE"""),"M.913/KORPRI JAYA")</f>
        <v>M.913/KORPRI JAYA</v>
      </c>
      <c r="D1306" s="7"/>
      <c r="E1306" s="7"/>
      <c r="F1306" s="9" t="str">
        <f>IFERROR(__xludf.DUMMYFUNCTION("""COMPUTED_VALUE"""),"")</f>
        <v/>
      </c>
      <c r="G1306" s="7" t="str">
        <f>IFERROR(__xludf.DUMMYFUNCTION("""COMPUTED_VALUE"""),"BN JUAL BELI")</f>
        <v>BN JUAL BELI</v>
      </c>
      <c r="H1306" s="7">
        <f t="shared" si="1"/>
        <v>594</v>
      </c>
    </row>
    <row r="1307" ht="22.5" customHeight="1">
      <c r="B1307" s="7" t="str">
        <f>IFERROR(__xludf.DUMMYFUNCTION("""COMPUTED_VALUE"""),"K/20/181124/3")</f>
        <v>K/20/181124/3</v>
      </c>
      <c r="C1307" s="7" t="str">
        <f>IFERROR(__xludf.DUMMYFUNCTION("""COMPUTED_VALUE"""),"M.931/KORPRI JAYA")</f>
        <v>M.931/KORPRI JAYA</v>
      </c>
      <c r="D1307" s="7"/>
      <c r="E1307" s="7"/>
      <c r="F1307" s="9" t="str">
        <f>IFERROR(__xludf.DUMMYFUNCTION("""COMPUTED_VALUE"""),"")</f>
        <v/>
      </c>
      <c r="G1307" s="7" t="str">
        <f>IFERROR(__xludf.DUMMYFUNCTION("""COMPUTED_VALUE"""),"BN JUAL BELI")</f>
        <v>BN JUAL BELI</v>
      </c>
      <c r="H1307" s="7">
        <f t="shared" si="1"/>
        <v>594</v>
      </c>
    </row>
    <row r="1308" ht="22.5" customHeight="1">
      <c r="B1308" s="7" t="str">
        <f>IFERROR(__xludf.DUMMYFUNCTION("""COMPUTED_VALUE"""),"K/21/181124/1")</f>
        <v>K/21/181124/1</v>
      </c>
      <c r="C1308" s="7" t="str">
        <f>IFERROR(__xludf.DUMMYFUNCTION("""COMPUTED_VALUE"""),"M. 849/ Pahoman")</f>
        <v>M. 849/ Pahoman</v>
      </c>
      <c r="D1308" s="7" t="str">
        <f>IFERROR(__xludf.DUMMYFUNCTION("""COMPUTED_VALUE"""),"David")</f>
        <v>David</v>
      </c>
      <c r="E1308" s="7" t="str">
        <f>IFERROR(__xludf.DUMMYFUNCTION("""COMPUTED_VALUE"""),"DISERAHKAN")</f>
        <v>DISERAHKAN</v>
      </c>
      <c r="F1308" s="9">
        <f>IFERROR(__xludf.DUMMYFUNCTION("""COMPUTED_VALUE"""),45615.46452149306)</f>
        <v>45615.46452</v>
      </c>
      <c r="G1308" s="7" t="str">
        <f>IFERROR(__xludf.DUMMYFUNCTION("""COMPUTED_VALUE"""),"GANTI KECAMATAN")</f>
        <v>GANTI KECAMATAN</v>
      </c>
      <c r="H1308" s="7">
        <f t="shared" si="1"/>
        <v>595</v>
      </c>
    </row>
    <row r="1309" ht="22.5" customHeight="1">
      <c r="B1309" s="7" t="str">
        <f>IFERROR(__xludf.DUMMYFUNCTION("""COMPUTED_VALUE"""),"K/22/181124/2")</f>
        <v>K/22/181124/2</v>
      </c>
      <c r="C1309" s="7" t="str">
        <f>IFERROR(__xludf.DUMMYFUNCTION("""COMPUTED_VALUE"""),"M. 689/ Pahoman")</f>
        <v>M. 689/ Pahoman</v>
      </c>
      <c r="D1309" s="7" t="str">
        <f>IFERROR(__xludf.DUMMYFUNCTION("""COMPUTED_VALUE"""),"David")</f>
        <v>David</v>
      </c>
      <c r="E1309" s="7" t="str">
        <f>IFERROR(__xludf.DUMMYFUNCTION("""COMPUTED_VALUE"""),"DISERAHKAN")</f>
        <v>DISERAHKAN</v>
      </c>
      <c r="F1309" s="9">
        <f>IFERROR(__xludf.DUMMYFUNCTION("""COMPUTED_VALUE"""),45615.46455002315)</f>
        <v>45615.46455</v>
      </c>
      <c r="G1309" s="7" t="str">
        <f>IFERROR(__xludf.DUMMYFUNCTION("""COMPUTED_VALUE"""),"GANTI KECAMATAN")</f>
        <v>GANTI KECAMATAN</v>
      </c>
      <c r="H1309" s="7">
        <f t="shared" si="1"/>
        <v>596</v>
      </c>
    </row>
    <row r="1310" ht="22.5" customHeight="1">
      <c r="B1310" s="7" t="str">
        <f>IFERROR(__xludf.DUMMYFUNCTION("""COMPUTED_VALUE"""),"K/23/181124/1")</f>
        <v>K/23/181124/1</v>
      </c>
      <c r="C1310" s="7" t="str">
        <f>IFERROR(__xludf.DUMMYFUNCTION("""COMPUTED_VALUE"""),"B. 201/LABUHAN DALAM")</f>
        <v>B. 201/LABUHAN DALAM</v>
      </c>
      <c r="D1310" s="7" t="str">
        <f>IFERROR(__xludf.DUMMYFUNCTION("""COMPUTED_VALUE"""),"David")</f>
        <v>David</v>
      </c>
      <c r="E1310" s="7" t="str">
        <f>IFERROR(__xludf.DUMMYFUNCTION("""COMPUTED_VALUE"""),"PROSES")</f>
        <v>PROSES</v>
      </c>
      <c r="F1310" s="9" t="str">
        <f>IFERROR(__xludf.DUMMYFUNCTION("""COMPUTED_VALUE"""),"")</f>
        <v/>
      </c>
      <c r="G1310" s="7" t="str">
        <f>IFERROR(__xludf.DUMMYFUNCTION("""COMPUTED_VALUE"""),"BN JUAL BELI")</f>
        <v>BN JUAL BELI</v>
      </c>
      <c r="H1310" s="7">
        <f t="shared" si="1"/>
        <v>596</v>
      </c>
    </row>
    <row r="1311" ht="22.5" customHeight="1">
      <c r="B1311" s="7" t="str">
        <f>IFERROR(__xludf.DUMMYFUNCTION("""COMPUTED_VALUE"""),"K/24/181124/2")</f>
        <v>K/24/181124/2</v>
      </c>
      <c r="C1311" s="7" t="str">
        <f>IFERROR(__xludf.DUMMYFUNCTION("""COMPUTED_VALUE"""),"B.202/LABUHAN DALAM")</f>
        <v>B.202/LABUHAN DALAM</v>
      </c>
      <c r="D1311" s="7"/>
      <c r="E1311" s="7"/>
      <c r="F1311" s="9" t="str">
        <f>IFERROR(__xludf.DUMMYFUNCTION("""COMPUTED_VALUE"""),"")</f>
        <v/>
      </c>
      <c r="G1311" s="7" t="str">
        <f>IFERROR(__xludf.DUMMYFUNCTION("""COMPUTED_VALUE"""),"BN JUAL BELI")</f>
        <v>BN JUAL BELI</v>
      </c>
      <c r="H1311" s="7">
        <f t="shared" si="1"/>
        <v>596</v>
      </c>
    </row>
    <row r="1312" ht="22.5" customHeight="1">
      <c r="B1312" s="7" t="str">
        <f>IFERROR(__xludf.DUMMYFUNCTION("""COMPUTED_VALUE"""),"K/25/181124/3")</f>
        <v>K/25/181124/3</v>
      </c>
      <c r="C1312" s="7" t="str">
        <f>IFERROR(__xludf.DUMMYFUNCTION("""COMPUTED_VALUE"""),"B.4381/SUKARAME-SEKARANG;B.4381/SUKARAME I-DAHULU")</f>
        <v>B.4381/SUKARAME-SEKARANG;B.4381/SUKARAME I-DAHULU</v>
      </c>
      <c r="D1312" s="7"/>
      <c r="E1312" s="7"/>
      <c r="F1312" s="9" t="str">
        <f>IFERROR(__xludf.DUMMYFUNCTION("""COMPUTED_VALUE"""),"")</f>
        <v/>
      </c>
      <c r="G1312" s="7" t="str">
        <f>IFERROR(__xludf.DUMMYFUNCTION("""COMPUTED_VALUE"""),"BN JUAL BELI")</f>
        <v>BN JUAL BELI</v>
      </c>
      <c r="H1312" s="7">
        <f t="shared" si="1"/>
        <v>596</v>
      </c>
    </row>
    <row r="1313" ht="22.5" customHeight="1">
      <c r="B1313" s="7" t="str">
        <f>IFERROR(__xludf.DUMMYFUNCTION("""COMPUTED_VALUE"""),"L/26/181124/1")</f>
        <v>L/26/181124/1</v>
      </c>
      <c r="C1313" s="7" t="str">
        <f>IFERROR(__xludf.DUMMYFUNCTION("""COMPUTED_VALUE"""),"HM 32/WHP")</f>
        <v>HM 32/WHP</v>
      </c>
      <c r="D1313" s="7" t="str">
        <f>IFERROR(__xludf.DUMMYFUNCTION("""COMPUTED_VALUE"""),"David")</f>
        <v>David</v>
      </c>
      <c r="E1313" s="7" t="str">
        <f>IFERROR(__xludf.DUMMYFUNCTION("""COMPUTED_VALUE"""),"DISERAHKAN")</f>
        <v>DISERAHKAN</v>
      </c>
      <c r="F1313" s="9">
        <f>IFERROR(__xludf.DUMMYFUNCTION("""COMPUTED_VALUE"""),45615.46496976852)</f>
        <v>45615.46497</v>
      </c>
      <c r="G1313" s="7" t="str">
        <f>IFERROR(__xludf.DUMMYFUNCTION("""COMPUTED_VALUE"""),"GANDES")</f>
        <v>GANDES</v>
      </c>
      <c r="H1313" s="7">
        <f t="shared" si="1"/>
        <v>597</v>
      </c>
    </row>
    <row r="1314" ht="22.5" customHeight="1">
      <c r="B1314" s="7" t="str">
        <f>IFERROR(__xludf.DUMMYFUNCTION("""COMPUTED_VALUE"""),"K/27/181124/1")</f>
        <v>K/27/181124/1</v>
      </c>
      <c r="C1314" s="7" t="str">
        <f>IFERROR(__xludf.DUMMYFUNCTION("""COMPUTED_VALUE"""),"M. 9999/ Segala Mider")</f>
        <v>M. 9999/ Segala Mider</v>
      </c>
      <c r="D1314" s="7"/>
      <c r="E1314" s="7"/>
      <c r="F1314" s="9" t="str">
        <f>IFERROR(__xludf.DUMMYFUNCTION("""COMPUTED_VALUE"""),"")</f>
        <v/>
      </c>
      <c r="G1314" s="7" t="str">
        <f>IFERROR(__xludf.DUMMYFUNCTION("""COMPUTED_VALUE"""),"GANTI KELURAHAN")</f>
        <v>GANTI KELURAHAN</v>
      </c>
      <c r="H1314" s="7">
        <f t="shared" si="1"/>
        <v>597</v>
      </c>
    </row>
    <row r="1315" ht="22.5" customHeight="1">
      <c r="B1315" s="7" t="str">
        <f>IFERROR(__xludf.DUMMYFUNCTION("""COMPUTED_VALUE"""),"L/28/181124/1")</f>
        <v>L/28/181124/1</v>
      </c>
      <c r="C1315" s="7" t="str">
        <f>IFERROR(__xludf.DUMMYFUNCTION("""COMPUTED_VALUE"""),"HGB 220/BAKUNG")</f>
        <v>HGB 220/BAKUNG</v>
      </c>
      <c r="D1315" s="7"/>
      <c r="E1315" s="7"/>
      <c r="F1315" s="9" t="str">
        <f>IFERROR(__xludf.DUMMYFUNCTION("""COMPUTED_VALUE"""),"")</f>
        <v/>
      </c>
      <c r="G1315" s="7" t="str">
        <f>IFERROR(__xludf.DUMMYFUNCTION("""COMPUTED_VALUE"""),"PH")</f>
        <v>PH</v>
      </c>
      <c r="H1315" s="7">
        <f t="shared" si="1"/>
        <v>597</v>
      </c>
    </row>
    <row r="1316" ht="22.5" customHeight="1">
      <c r="B1316" s="7" t="str">
        <f>IFERROR(__xludf.DUMMYFUNCTION("""COMPUTED_VALUE"""),"L/29/181124/1")</f>
        <v>L/29/181124/1</v>
      </c>
      <c r="C1316" s="7" t="str">
        <f>IFERROR(__xludf.DUMMYFUNCTION("""COMPUTED_VALUE"""),"HGB 4206/BERINGIN RAYA")</f>
        <v>HGB 4206/BERINGIN RAYA</v>
      </c>
      <c r="D1316" s="7"/>
      <c r="E1316" s="7"/>
      <c r="F1316" s="9" t="str">
        <f>IFERROR(__xludf.DUMMYFUNCTION("""COMPUTED_VALUE"""),"")</f>
        <v/>
      </c>
      <c r="G1316" s="7" t="str">
        <f>IFERROR(__xludf.DUMMYFUNCTION("""COMPUTED_VALUE"""),"GANDES")</f>
        <v>GANDES</v>
      </c>
      <c r="H1316" s="7">
        <f t="shared" si="1"/>
        <v>597</v>
      </c>
    </row>
    <row r="1317" ht="22.5" customHeight="1">
      <c r="B1317" s="7" t="str">
        <f>IFERROR(__xludf.DUMMYFUNCTION("""COMPUTED_VALUE"""),"L/36/181124/1")</f>
        <v>L/36/181124/1</v>
      </c>
      <c r="C1317" s="7" t="str">
        <f>IFERROR(__xludf.DUMMYFUNCTION("""COMPUTED_VALUE"""),"NIB 9365/BUMI WARAS")</f>
        <v>NIB 9365/BUMI WARAS</v>
      </c>
      <c r="D1317" s="7"/>
      <c r="E1317" s="7"/>
      <c r="F1317" s="9" t="str">
        <f>IFERROR(__xludf.DUMMYFUNCTION("""COMPUTED_VALUE"""),"")</f>
        <v/>
      </c>
      <c r="G1317" s="7" t="str">
        <f>IFERROR(__xludf.DUMMYFUNCTION("""COMPUTED_VALUE"""),"BN LELANG")</f>
        <v>BN LELANG</v>
      </c>
      <c r="H1317" s="7">
        <f t="shared" si="1"/>
        <v>597</v>
      </c>
    </row>
    <row r="1318" ht="22.5" customHeight="1">
      <c r="B1318" s="7" t="str">
        <f>IFERROR(__xludf.DUMMYFUNCTION("""COMPUTED_VALUE"""),"K/30/181124/1")</f>
        <v>K/30/181124/1</v>
      </c>
      <c r="C1318" s="7" t="str">
        <f>IFERROR(__xludf.DUMMYFUNCTION("""COMPUTED_VALUE"""),"Nibel 409/ Kemiling Permai")</f>
        <v>Nibel 409/ Kemiling Permai</v>
      </c>
      <c r="D1318" s="7"/>
      <c r="E1318" s="7"/>
      <c r="F1318" s="9" t="str">
        <f>IFERROR(__xludf.DUMMYFUNCTION("""COMPUTED_VALUE"""),"")</f>
        <v/>
      </c>
      <c r="G1318" s="7" t="str">
        <f>IFERROR(__xludf.DUMMYFUNCTION("""COMPUTED_VALUE"""),"BN JUAL BELI")</f>
        <v>BN JUAL BELI</v>
      </c>
      <c r="H1318" s="7">
        <f t="shared" si="1"/>
        <v>597</v>
      </c>
    </row>
    <row r="1319" ht="22.5" customHeight="1">
      <c r="B1319" s="7" t="str">
        <f>IFERROR(__xludf.DUMMYFUNCTION("""COMPUTED_VALUE"""),"K/35/181124/1")</f>
        <v>K/35/181124/1</v>
      </c>
      <c r="C1319" s="7" t="str">
        <f>IFERROR(__xludf.DUMMYFUNCTION("""COMPUTED_VALUE"""),"Nibel. M. 3020/ Sukabumi")</f>
        <v>Nibel. M. 3020/ Sukabumi</v>
      </c>
      <c r="D1319" s="7"/>
      <c r="E1319" s="7"/>
      <c r="F1319" s="9" t="str">
        <f>IFERROR(__xludf.DUMMYFUNCTION("""COMPUTED_VALUE"""),"")</f>
        <v/>
      </c>
      <c r="G1319" s="7" t="str">
        <f>IFERROR(__xludf.DUMMYFUNCTION("""COMPUTED_VALUE"""),"BN Jual Beli")</f>
        <v>BN Jual Beli</v>
      </c>
      <c r="H1319" s="7">
        <f t="shared" si="1"/>
        <v>597</v>
      </c>
    </row>
    <row r="1320" ht="22.5" customHeight="1">
      <c r="B1320" s="7" t="str">
        <f>IFERROR(__xludf.DUMMYFUNCTION("""COMPUTED_VALUE"""),"K/31/181124/2")</f>
        <v>K/31/181124/2</v>
      </c>
      <c r="C1320" s="7" t="str">
        <f>IFERROR(__xludf.DUMMYFUNCTION("""COMPUTED_VALUE"""),"Nibel 390/ Kemiling Permai")</f>
        <v>Nibel 390/ Kemiling Permai</v>
      </c>
      <c r="D1320" s="7"/>
      <c r="E1320" s="7"/>
      <c r="F1320" s="9" t="str">
        <f>IFERROR(__xludf.DUMMYFUNCTION("""COMPUTED_VALUE"""),"")</f>
        <v/>
      </c>
      <c r="G1320" s="7" t="str">
        <f>IFERROR(__xludf.DUMMYFUNCTION("""COMPUTED_VALUE"""),"BN JUAL BELI")</f>
        <v>BN JUAL BELI</v>
      </c>
      <c r="H1320" s="7">
        <f t="shared" si="1"/>
        <v>597</v>
      </c>
    </row>
    <row r="1321" ht="22.5" customHeight="1">
      <c r="B1321" s="7" t="str">
        <f>IFERROR(__xludf.DUMMYFUNCTION("""COMPUTED_VALUE"""),"K/32/181124/3")</f>
        <v>K/32/181124/3</v>
      </c>
      <c r="C1321" s="7" t="str">
        <f>IFERROR(__xludf.DUMMYFUNCTION("""COMPUTED_VALUE"""),"Nibel 399/ Kemiling Permai")</f>
        <v>Nibel 399/ Kemiling Permai</v>
      </c>
      <c r="D1321" s="7"/>
      <c r="E1321" s="7"/>
      <c r="F1321" s="9" t="str">
        <f>IFERROR(__xludf.DUMMYFUNCTION("""COMPUTED_VALUE"""),"")</f>
        <v/>
      </c>
      <c r="G1321" s="7" t="str">
        <f>IFERROR(__xludf.DUMMYFUNCTION("""COMPUTED_VALUE"""),"BN JUAL BELI")</f>
        <v>BN JUAL BELI</v>
      </c>
      <c r="H1321" s="7">
        <f t="shared" si="1"/>
        <v>597</v>
      </c>
    </row>
    <row r="1322" ht="22.5" customHeight="1">
      <c r="B1322" s="7" t="str">
        <f>IFERROR(__xludf.DUMMYFUNCTION("""COMPUTED_VALUE"""),"K/33/181124/4")</f>
        <v>K/33/181124/4</v>
      </c>
      <c r="C1322" s="7" t="str">
        <f>IFERROR(__xludf.DUMMYFUNCTION("""COMPUTED_VALUE"""),"Nibel398/ Kemiling Permai")</f>
        <v>Nibel398/ Kemiling Permai</v>
      </c>
      <c r="D1322" s="7" t="str">
        <f>IFERROR(__xludf.DUMMYFUNCTION("""COMPUTED_VALUE"""),"David")</f>
        <v>David</v>
      </c>
      <c r="E1322" s="7" t="str">
        <f>IFERROR(__xludf.DUMMYFUNCTION("""COMPUTED_VALUE"""),"PROSES")</f>
        <v>PROSES</v>
      </c>
      <c r="F1322" s="9" t="str">
        <f>IFERROR(__xludf.DUMMYFUNCTION("""COMPUTED_VALUE"""),"")</f>
        <v/>
      </c>
      <c r="G1322" s="7" t="str">
        <f>IFERROR(__xludf.DUMMYFUNCTION("""COMPUTED_VALUE"""),"BN JUAL BELI")</f>
        <v>BN JUAL BELI</v>
      </c>
      <c r="H1322" s="7">
        <f t="shared" si="1"/>
        <v>597</v>
      </c>
    </row>
    <row r="1323" ht="22.5" customHeight="1">
      <c r="B1323" s="7" t="str">
        <f>IFERROR(__xludf.DUMMYFUNCTION("""COMPUTED_VALUE"""),"K/34/181124/5")</f>
        <v>K/34/181124/5</v>
      </c>
      <c r="C1323" s="7" t="str">
        <f>IFERROR(__xludf.DUMMYFUNCTION("""COMPUTED_VALUE"""),"Nibel 391/ Kemiling Permai")</f>
        <v>Nibel 391/ Kemiling Permai</v>
      </c>
      <c r="D1323" s="7" t="str">
        <f>IFERROR(__xludf.DUMMYFUNCTION("""COMPUTED_VALUE"""),"David")</f>
        <v>David</v>
      </c>
      <c r="E1323" s="7" t="str">
        <f>IFERROR(__xludf.DUMMYFUNCTION("""COMPUTED_VALUE"""),"DISERAHKAN")</f>
        <v>DISERAHKAN</v>
      </c>
      <c r="F1323" s="9">
        <f>IFERROR(__xludf.DUMMYFUNCTION("""COMPUTED_VALUE"""),45615.46565994213)</f>
        <v>45615.46566</v>
      </c>
      <c r="G1323" s="7" t="str">
        <f>IFERROR(__xludf.DUMMYFUNCTION("""COMPUTED_VALUE"""),"BN JUAL BELI")</f>
        <v>BN JUAL BELI</v>
      </c>
      <c r="H1323" s="7">
        <f t="shared" si="1"/>
        <v>598</v>
      </c>
    </row>
    <row r="1324" ht="22.5" customHeight="1">
      <c r="B1324" s="7" t="str">
        <f>IFERROR(__xludf.DUMMYFUNCTION("""COMPUTED_VALUE"""),"K/37/181124/1")</f>
        <v>K/37/181124/1</v>
      </c>
      <c r="C1324" s="7" t="str">
        <f>IFERROR(__xludf.DUMMYFUNCTION("""COMPUTED_VALUE"""),"M. 1061/ Sukamaju")</f>
        <v>M. 1061/ Sukamaju</v>
      </c>
      <c r="D1324" s="7"/>
      <c r="E1324" s="7"/>
      <c r="F1324" s="9" t="str">
        <f>IFERROR(__xludf.DUMMYFUNCTION("""COMPUTED_VALUE"""),"")</f>
        <v/>
      </c>
      <c r="G1324" s="7" t="str">
        <f>IFERROR(__xludf.DUMMYFUNCTION("""COMPUTED_VALUE"""),"ROYA")</f>
        <v>ROYA</v>
      </c>
      <c r="H1324" s="7">
        <f t="shared" si="1"/>
        <v>598</v>
      </c>
    </row>
    <row r="1325" ht="22.5" customHeight="1">
      <c r="B1325" s="7" t="str">
        <f>IFERROR(__xludf.DUMMYFUNCTION("""COMPUTED_VALUE"""),"L/38/181124/1")</f>
        <v>L/38/181124/1</v>
      </c>
      <c r="C1325" s="7" t="str">
        <f>IFERROR(__xludf.DUMMYFUNCTION("""COMPUTED_VALUE"""),"HM 9634/SURABAYA")</f>
        <v>HM 9634/SURABAYA</v>
      </c>
      <c r="D1325" s="7" t="str">
        <f>IFERROR(__xludf.DUMMYFUNCTION("""COMPUTED_VALUE"""),"David")</f>
        <v>David</v>
      </c>
      <c r="E1325" s="7" t="str">
        <f>IFERROR(__xludf.DUMMYFUNCTION("""COMPUTED_VALUE"""),"DISERAHKAN")</f>
        <v>DISERAHKAN</v>
      </c>
      <c r="F1325" s="9">
        <f>IFERROR(__xludf.DUMMYFUNCTION("""COMPUTED_VALUE"""),45615.465941215276)</f>
        <v>45615.46594</v>
      </c>
      <c r="G1325" s="7" t="str">
        <f>IFERROR(__xludf.DUMMYFUNCTION("""COMPUTED_VALUE"""),"SUPRIYANTO")</f>
        <v>SUPRIYANTO</v>
      </c>
      <c r="H1325" s="7">
        <f t="shared" si="1"/>
        <v>599</v>
      </c>
    </row>
    <row r="1326" ht="22.5" customHeight="1">
      <c r="B1326" s="7" t="str">
        <f>IFERROR(__xludf.DUMMYFUNCTION("""COMPUTED_VALUE"""),"K/39/181124/1")</f>
        <v>K/39/181124/1</v>
      </c>
      <c r="C1326" s="7" t="str">
        <f>IFERROR(__xludf.DUMMYFUNCTION("""COMPUTED_VALUE"""),"Nibel. M. 4753/ Rajabasa")</f>
        <v>Nibel. M. 4753/ Rajabasa</v>
      </c>
      <c r="D1326" s="7"/>
      <c r="E1326" s="7"/>
      <c r="F1326" s="9" t="str">
        <f>IFERROR(__xludf.DUMMYFUNCTION("""COMPUTED_VALUE"""),"")</f>
        <v/>
      </c>
      <c r="G1326" s="7" t="str">
        <f>IFERROR(__xludf.DUMMYFUNCTION("""COMPUTED_VALUE"""),"PTPGT (Pemecahan)")</f>
        <v>PTPGT (Pemecahan)</v>
      </c>
      <c r="H1326" s="7">
        <f t="shared" si="1"/>
        <v>599</v>
      </c>
    </row>
    <row r="1327" ht="22.5" customHeight="1">
      <c r="B1327" s="7" t="str">
        <f>IFERROR(__xludf.DUMMYFUNCTION("""COMPUTED_VALUE"""),"K/40/181124/1")</f>
        <v>K/40/181124/1</v>
      </c>
      <c r="C1327" s="7" t="str">
        <f>IFERROR(__xludf.DUMMYFUNCTION("""COMPUTED_VALUE"""),"M.10479/KAMPUNG BARU")</f>
        <v>M.10479/KAMPUNG BARU</v>
      </c>
      <c r="D1327" s="7"/>
      <c r="E1327" s="7"/>
      <c r="F1327" s="9" t="str">
        <f>IFERROR(__xludf.DUMMYFUNCTION("""COMPUTED_VALUE"""),"")</f>
        <v/>
      </c>
      <c r="G1327" s="7" t="str">
        <f>IFERROR(__xludf.DUMMYFUNCTION("""COMPUTED_VALUE"""),"BN JUAL BELI")</f>
        <v>BN JUAL BELI</v>
      </c>
      <c r="H1327" s="7">
        <f t="shared" si="1"/>
        <v>599</v>
      </c>
    </row>
    <row r="1328" ht="22.5" customHeight="1">
      <c r="B1328" s="7" t="str">
        <f>IFERROR(__xludf.DUMMYFUNCTION("""COMPUTED_VALUE"""),"K/41/181124/2")</f>
        <v>K/41/181124/2</v>
      </c>
      <c r="C1328" s="7" t="str">
        <f>IFERROR(__xludf.DUMMYFUNCTION("""COMPUTED_VALUE"""),"NIBEL M.365/GUNUNG SULAH")</f>
        <v>NIBEL M.365/GUNUNG SULAH</v>
      </c>
      <c r="D1328" s="7"/>
      <c r="E1328" s="7"/>
      <c r="F1328" s="9" t="str">
        <f>IFERROR(__xludf.DUMMYFUNCTION("""COMPUTED_VALUE"""),"")</f>
        <v/>
      </c>
      <c r="G1328" s="7" t="str">
        <f>IFERROR(__xludf.DUMMYFUNCTION("""COMPUTED_VALUE"""),"BN JUAL BELI")</f>
        <v>BN JUAL BELI</v>
      </c>
      <c r="H1328" s="7">
        <f t="shared" si="1"/>
        <v>599</v>
      </c>
    </row>
    <row r="1329" ht="22.5" customHeight="1">
      <c r="B1329" s="7" t="str">
        <f>IFERROR(__xludf.DUMMYFUNCTION("""COMPUTED_VALUE"""),"K/42/181124/1")</f>
        <v>K/42/181124/1</v>
      </c>
      <c r="C1329" s="7" t="str">
        <f>IFERROR(__xludf.DUMMYFUNCTION("""COMPUTED_VALUE"""),"Nibel 3172/ Sumur Putri")</f>
        <v>Nibel 3172/ Sumur Putri</v>
      </c>
      <c r="D1329" s="7" t="str">
        <f>IFERROR(__xludf.DUMMYFUNCTION("""COMPUTED_VALUE"""),"David")</f>
        <v>David</v>
      </c>
      <c r="E1329" s="7" t="str">
        <f>IFERROR(__xludf.DUMMYFUNCTION("""COMPUTED_VALUE"""),"PROSES")</f>
        <v>PROSES</v>
      </c>
      <c r="F1329" s="9" t="str">
        <f>IFERROR(__xludf.DUMMYFUNCTION("""COMPUTED_VALUE"""),"")</f>
        <v/>
      </c>
      <c r="G1329" s="7" t="str">
        <f>IFERROR(__xludf.DUMMYFUNCTION("""COMPUTED_VALUE"""),"PERUBAHAN HAK")</f>
        <v>PERUBAHAN HAK</v>
      </c>
      <c r="H1329" s="7">
        <f t="shared" si="1"/>
        <v>599</v>
      </c>
    </row>
    <row r="1330" ht="22.5" customHeight="1">
      <c r="B1330" s="7" t="str">
        <f>IFERROR(__xludf.DUMMYFUNCTION("""COMPUTED_VALUE"""),"L/43/181124/1")</f>
        <v>L/43/181124/1</v>
      </c>
      <c r="C1330" s="7" t="str">
        <f>IFERROR(__xludf.DUMMYFUNCTION("""COMPUTED_VALUE"""),"HM 873/CAMPANG RAYA")</f>
        <v>HM 873/CAMPANG RAYA</v>
      </c>
      <c r="D1330" s="7" t="str">
        <f>IFERROR(__xludf.DUMMYFUNCTION("""COMPUTED_VALUE"""),"David")</f>
        <v>David</v>
      </c>
      <c r="E1330" s="7" t="str">
        <f>IFERROR(__xludf.DUMMYFUNCTION("""COMPUTED_VALUE"""),"DISERAHKAN")</f>
        <v>DISERAHKAN</v>
      </c>
      <c r="F1330" s="9">
        <f>IFERROR(__xludf.DUMMYFUNCTION("""COMPUTED_VALUE"""),45615.46656483796)</f>
        <v>45615.46656</v>
      </c>
      <c r="G1330" s="7" t="str">
        <f>IFERROR(__xludf.DUMMYFUNCTION("""COMPUTED_VALUE"""),"GANDES")</f>
        <v>GANDES</v>
      </c>
      <c r="H1330" s="7">
        <f t="shared" si="1"/>
        <v>600</v>
      </c>
    </row>
    <row r="1331" ht="22.5" customHeight="1">
      <c r="B1331" s="7" t="str">
        <f>IFERROR(__xludf.DUMMYFUNCTION("""COMPUTED_VALUE"""),"K/48/181124/5")</f>
        <v>K/48/181124/5</v>
      </c>
      <c r="C1331" s="7" t="str">
        <f>IFERROR(__xludf.DUMMYFUNCTION("""COMPUTED_VALUE"""),"M. 4317/ Beringin Jaya")</f>
        <v>M. 4317/ Beringin Jaya</v>
      </c>
      <c r="D1331" s="7" t="str">
        <f>IFERROR(__xludf.DUMMYFUNCTION("""COMPUTED_VALUE"""),"David")</f>
        <v>David</v>
      </c>
      <c r="E1331" s="7" t="str">
        <f>IFERROR(__xludf.DUMMYFUNCTION("""COMPUTED_VALUE"""),"DISERAHKAN")</f>
        <v>DISERAHKAN</v>
      </c>
      <c r="F1331" s="9">
        <f>IFERROR(__xludf.DUMMYFUNCTION("""COMPUTED_VALUE"""),45615.46688680556)</f>
        <v>45615.46689</v>
      </c>
      <c r="G1331" s="7" t="str">
        <f>IFERROR(__xludf.DUMMYFUNCTION("""COMPUTED_VALUE"""),"BN Jual Beli")</f>
        <v>BN Jual Beli</v>
      </c>
      <c r="H1331" s="7">
        <f t="shared" si="1"/>
        <v>601</v>
      </c>
    </row>
    <row r="1332" ht="22.5" customHeight="1">
      <c r="B1332" s="7" t="str">
        <f>IFERROR(__xludf.DUMMYFUNCTION("""COMPUTED_VALUE"""),"K/47/181124/4")</f>
        <v>K/47/181124/4</v>
      </c>
      <c r="C1332" s="7" t="str">
        <f>IFERROR(__xludf.DUMMYFUNCTION("""COMPUTED_VALUE"""),"M. 3175/ Gedong Air")</f>
        <v>M. 3175/ Gedong Air</v>
      </c>
      <c r="D1332" s="7" t="str">
        <f>IFERROR(__xludf.DUMMYFUNCTION("""COMPUTED_VALUE"""),"David")</f>
        <v>David</v>
      </c>
      <c r="E1332" s="7" t="str">
        <f>IFERROR(__xludf.DUMMYFUNCTION("""COMPUTED_VALUE"""),"DISERAHKAN")</f>
        <v>DISERAHKAN</v>
      </c>
      <c r="F1332" s="9">
        <f>IFERROR(__xludf.DUMMYFUNCTION("""COMPUTED_VALUE"""),45615.46721377315)</f>
        <v>45615.46721</v>
      </c>
      <c r="G1332" s="7" t="str">
        <f>IFERROR(__xludf.DUMMYFUNCTION("""COMPUTED_VALUE"""),"BN Jual Beli")</f>
        <v>BN Jual Beli</v>
      </c>
      <c r="H1332" s="7">
        <f t="shared" si="1"/>
        <v>602</v>
      </c>
    </row>
    <row r="1333" ht="22.5" customHeight="1">
      <c r="B1333" s="7" t="str">
        <f>IFERROR(__xludf.DUMMYFUNCTION("""COMPUTED_VALUE"""),"K/49/181124/1")</f>
        <v>K/49/181124/1</v>
      </c>
      <c r="C1333" s="7" t="str">
        <f>IFERROR(__xludf.DUMMYFUNCTION("""COMPUTED_VALUE"""),"B.1319/NEGERI OLOK GADING")</f>
        <v>B.1319/NEGERI OLOK GADING</v>
      </c>
      <c r="D1333" s="7" t="str">
        <f>IFERROR(__xludf.DUMMYFUNCTION("""COMPUTED_VALUE"""),"David")</f>
        <v>David</v>
      </c>
      <c r="E1333" s="7" t="str">
        <f>IFERROR(__xludf.DUMMYFUNCTION("""COMPUTED_VALUE"""),"DISERAHKAN")</f>
        <v>DISERAHKAN</v>
      </c>
      <c r="F1333" s="9">
        <f>IFERROR(__xludf.DUMMYFUNCTION("""COMPUTED_VALUE"""),45615.46724070601)</f>
        <v>45615.46724</v>
      </c>
      <c r="G1333" s="7" t="str">
        <f>IFERROR(__xludf.DUMMYFUNCTION("""COMPUTED_VALUE"""),"BN LELANG")</f>
        <v>BN LELANG</v>
      </c>
      <c r="H1333" s="7">
        <f t="shared" si="1"/>
        <v>603</v>
      </c>
    </row>
    <row r="1334" ht="22.5" customHeight="1">
      <c r="B1334" s="7" t="str">
        <f>IFERROR(__xludf.DUMMYFUNCTION("""COMPUTED_VALUE"""),"K/46/181124/3")</f>
        <v>K/46/181124/3</v>
      </c>
      <c r="C1334" s="7" t="str">
        <f>IFERROR(__xludf.DUMMYFUNCTION("""COMPUTED_VALUE"""),"M. 3173/ Gedong Air")</f>
        <v>M. 3173/ Gedong Air</v>
      </c>
      <c r="D1334" s="7" t="str">
        <f>IFERROR(__xludf.DUMMYFUNCTION("""COMPUTED_VALUE"""),"David")</f>
        <v>David</v>
      </c>
      <c r="E1334" s="7" t="str">
        <f>IFERROR(__xludf.DUMMYFUNCTION("""COMPUTED_VALUE"""),"DISERAHKAN")</f>
        <v>DISERAHKAN</v>
      </c>
      <c r="F1334" s="9">
        <f>IFERROR(__xludf.DUMMYFUNCTION("""COMPUTED_VALUE"""),45615.46726868056)</f>
        <v>45615.46727</v>
      </c>
      <c r="G1334" s="7" t="str">
        <f>IFERROR(__xludf.DUMMYFUNCTION("""COMPUTED_VALUE"""),"BN Jual Beli")</f>
        <v>BN Jual Beli</v>
      </c>
      <c r="H1334" s="7">
        <f t="shared" si="1"/>
        <v>604</v>
      </c>
    </row>
    <row r="1335" ht="22.5" customHeight="1">
      <c r="B1335" s="7" t="str">
        <f>IFERROR(__xludf.DUMMYFUNCTION("""COMPUTED_VALUE"""),"K/45/181124/2")</f>
        <v>K/45/181124/2</v>
      </c>
      <c r="C1335" s="7" t="str">
        <f>IFERROR(__xludf.DUMMYFUNCTION("""COMPUTED_VALUE"""),"M. 3174/ Gedong Air")</f>
        <v>M. 3174/ Gedong Air</v>
      </c>
      <c r="D1335" s="7" t="str">
        <f>IFERROR(__xludf.DUMMYFUNCTION("""COMPUTED_VALUE"""),"David")</f>
        <v>David</v>
      </c>
      <c r="E1335" s="7" t="str">
        <f>IFERROR(__xludf.DUMMYFUNCTION("""COMPUTED_VALUE"""),"PROSES")</f>
        <v>PROSES</v>
      </c>
      <c r="F1335" s="9" t="str">
        <f>IFERROR(__xludf.DUMMYFUNCTION("""COMPUTED_VALUE"""),"")</f>
        <v/>
      </c>
      <c r="G1335" s="7" t="str">
        <f>IFERROR(__xludf.DUMMYFUNCTION("""COMPUTED_VALUE"""),"BN Jual Beli")</f>
        <v>BN Jual Beli</v>
      </c>
      <c r="H1335" s="7">
        <f t="shared" si="1"/>
        <v>604</v>
      </c>
    </row>
    <row r="1336" ht="22.5" customHeight="1">
      <c r="B1336" s="7" t="str">
        <f>IFERROR(__xludf.DUMMYFUNCTION("""COMPUTED_VALUE"""),"K/44/181124/1")</f>
        <v>K/44/181124/1</v>
      </c>
      <c r="C1336" s="7" t="str">
        <f>IFERROR(__xludf.DUMMYFUNCTION("""COMPUTED_VALUE"""),"M. 3172/ Gedong Air")</f>
        <v>M. 3172/ Gedong Air</v>
      </c>
      <c r="D1336" s="7"/>
      <c r="E1336" s="7"/>
      <c r="F1336" s="9" t="str">
        <f>IFERROR(__xludf.DUMMYFUNCTION("""COMPUTED_VALUE"""),"")</f>
        <v/>
      </c>
      <c r="G1336" s="7" t="str">
        <f>IFERROR(__xludf.DUMMYFUNCTION("""COMPUTED_VALUE"""),"BN Jual Beli")</f>
        <v>BN Jual Beli</v>
      </c>
      <c r="H1336" s="7">
        <f t="shared" si="1"/>
        <v>604</v>
      </c>
    </row>
    <row r="1337" ht="22.5" customHeight="1">
      <c r="B1337" s="7" t="str">
        <f>IFERROR(__xludf.DUMMYFUNCTION("""COMPUTED_VALUE"""),"L/50/181124/1")</f>
        <v>L/50/181124/1</v>
      </c>
      <c r="C1337" s="7" t="str">
        <f>IFERROR(__xludf.DUMMYFUNCTION("""COMPUTED_VALUE"""),"HM 802/JAGABAYA III")</f>
        <v>HM 802/JAGABAYA III</v>
      </c>
      <c r="D1337" s="7"/>
      <c r="E1337" s="7"/>
      <c r="F1337" s="9" t="str">
        <f>IFERROR(__xludf.DUMMYFUNCTION("""COMPUTED_VALUE"""),"")</f>
        <v/>
      </c>
      <c r="G1337" s="7" t="str">
        <f>IFERROR(__xludf.DUMMYFUNCTION("""COMPUTED_VALUE"""),"ROYA")</f>
        <v>ROYA</v>
      </c>
      <c r="H1337" s="7">
        <f t="shared" si="1"/>
        <v>604</v>
      </c>
    </row>
    <row r="1338" ht="22.5" customHeight="1">
      <c r="B1338" s="7" t="str">
        <f>IFERROR(__xludf.DUMMYFUNCTION("""COMPUTED_VALUE"""),"K/51/181124/1")</f>
        <v>K/51/181124/1</v>
      </c>
      <c r="C1338" s="7" t="str">
        <f>IFERROR(__xludf.DUMMYFUNCTION("""COMPUTED_VALUE"""),"M. 4838/ Langkapura")</f>
        <v>M. 4838/ Langkapura</v>
      </c>
      <c r="D1338" s="7" t="str">
        <f>IFERROR(__xludf.DUMMYFUNCTION("""COMPUTED_VALUE"""),"David")</f>
        <v>David</v>
      </c>
      <c r="E1338" s="7" t="str">
        <f>IFERROR(__xludf.DUMMYFUNCTION("""COMPUTED_VALUE"""),"DISERAHKAN")</f>
        <v>DISERAHKAN</v>
      </c>
      <c r="F1338" s="9">
        <f>IFERROR(__xludf.DUMMYFUNCTION("""COMPUTED_VALUE"""),45615.467685428244)</f>
        <v>45615.46769</v>
      </c>
      <c r="G1338" s="7" t="str">
        <f>IFERROR(__xludf.DUMMYFUNCTION("""COMPUTED_VALUE"""),"PLOTTING")</f>
        <v>PLOTTING</v>
      </c>
      <c r="H1338" s="7">
        <f t="shared" si="1"/>
        <v>605</v>
      </c>
    </row>
    <row r="1339" ht="22.5" customHeight="1">
      <c r="B1339" s="7" t="str">
        <f>IFERROR(__xludf.DUMMYFUNCTION("""COMPUTED_VALUE"""),"L/54/181124/1")</f>
        <v>L/54/181124/1</v>
      </c>
      <c r="C1339" s="7" t="str">
        <f>IFERROR(__xludf.DUMMYFUNCTION("""COMPUTED_VALUE"""),"HM 13892/SEGALA MIDER")</f>
        <v>HM 13892/SEGALA MIDER</v>
      </c>
      <c r="D1339" s="7" t="str">
        <f>IFERROR(__xludf.DUMMYFUNCTION("""COMPUTED_VALUE"""),"David")</f>
        <v>David</v>
      </c>
      <c r="E1339" s="7" t="str">
        <f>IFERROR(__xludf.DUMMYFUNCTION("""COMPUTED_VALUE"""),"DISERAHKAN")</f>
        <v>DISERAHKAN</v>
      </c>
      <c r="F1339" s="9">
        <f>IFERROR(__xludf.DUMMYFUNCTION("""COMPUTED_VALUE"""),45615.46784574074)</f>
        <v>45615.46785</v>
      </c>
      <c r="G1339" s="7" t="str">
        <f>IFERROR(__xludf.DUMMYFUNCTION("""COMPUTED_VALUE"""),"HAPUS BPHTB")</f>
        <v>HAPUS BPHTB</v>
      </c>
      <c r="H1339" s="7">
        <f t="shared" si="1"/>
        <v>606</v>
      </c>
    </row>
    <row r="1340" ht="22.5" customHeight="1">
      <c r="B1340" s="7" t="str">
        <f>IFERROR(__xludf.DUMMYFUNCTION("""COMPUTED_VALUE"""),"K/55/181124/1")</f>
        <v>K/55/181124/1</v>
      </c>
      <c r="C1340" s="7" t="str">
        <f>IFERROR(__xludf.DUMMYFUNCTION("""COMPUTED_VALUE"""),"M. 2926/ Sukarame II")</f>
        <v>M. 2926/ Sukarame II</v>
      </c>
      <c r="D1340" s="7" t="str">
        <f>IFERROR(__xludf.DUMMYFUNCTION("""COMPUTED_VALUE"""),"David")</f>
        <v>David</v>
      </c>
      <c r="E1340" s="7" t="str">
        <f>IFERROR(__xludf.DUMMYFUNCTION("""COMPUTED_VALUE"""),"DISERAHKAN")</f>
        <v>DISERAHKAN</v>
      </c>
      <c r="F1340" s="9">
        <f>IFERROR(__xludf.DUMMYFUNCTION("""COMPUTED_VALUE"""),45615.46808748842)</f>
        <v>45615.46809</v>
      </c>
      <c r="G1340" s="7" t="str">
        <f>IFERROR(__xludf.DUMMYFUNCTION("""COMPUTED_VALUE"""),"BN Jual Beli")</f>
        <v>BN Jual Beli</v>
      </c>
      <c r="H1340" s="7">
        <f t="shared" si="1"/>
        <v>607</v>
      </c>
    </row>
    <row r="1341" ht="22.5" customHeight="1">
      <c r="B1341" s="7" t="str">
        <f>IFERROR(__xludf.DUMMYFUNCTION("""COMPUTED_VALUE"""),"K/52/181124/2")</f>
        <v>K/52/181124/2</v>
      </c>
      <c r="C1341" s="7" t="str">
        <f>IFERROR(__xludf.DUMMYFUNCTION("""COMPUTED_VALUE"""),"B. 625/ Kemiling Permai")</f>
        <v>B. 625/ Kemiling Permai</v>
      </c>
      <c r="D1341" s="7" t="str">
        <f>IFERROR(__xludf.DUMMYFUNCTION("""COMPUTED_VALUE"""),"David")</f>
        <v>David</v>
      </c>
      <c r="E1341" s="7" t="str">
        <f>IFERROR(__xludf.DUMMYFUNCTION("""COMPUTED_VALUE"""),"DISERAHKAN")</f>
        <v>DISERAHKAN</v>
      </c>
      <c r="F1341" s="9">
        <f>IFERROR(__xludf.DUMMYFUNCTION("""COMPUTED_VALUE"""),45615.46826018518)</f>
        <v>45615.46826</v>
      </c>
      <c r="G1341" s="7" t="str">
        <f>IFERROR(__xludf.DUMMYFUNCTION("""COMPUTED_VALUE"""),"BN JUAL BELI")</f>
        <v>BN JUAL BELI</v>
      </c>
      <c r="H1341" s="7">
        <f t="shared" si="1"/>
        <v>608</v>
      </c>
    </row>
    <row r="1342" ht="22.5" customHeight="1">
      <c r="B1342" s="7" t="str">
        <f>IFERROR(__xludf.DUMMYFUNCTION("""COMPUTED_VALUE"""),"K/56/181124/1")</f>
        <v>K/56/181124/1</v>
      </c>
      <c r="C1342" s="7" t="str">
        <f>IFERROR(__xludf.DUMMYFUNCTION("""COMPUTED_VALUE"""),"M.4198/KETEGUHAN")</f>
        <v>M.4198/KETEGUHAN</v>
      </c>
      <c r="D1342" s="7" t="str">
        <f>IFERROR(__xludf.DUMMYFUNCTION("""COMPUTED_VALUE"""),"David")</f>
        <v>David</v>
      </c>
      <c r="E1342" s="7" t="str">
        <f>IFERROR(__xludf.DUMMYFUNCTION("""COMPUTED_VALUE"""),"PROSES")</f>
        <v>PROSES</v>
      </c>
      <c r="F1342" s="9" t="str">
        <f>IFERROR(__xludf.DUMMYFUNCTION("""COMPUTED_VALUE"""),"")</f>
        <v/>
      </c>
      <c r="G1342" s="7" t="str">
        <f>IFERROR(__xludf.DUMMYFUNCTION("""COMPUTED_VALUE"""),"BN JUAL BELI")</f>
        <v>BN JUAL BELI</v>
      </c>
      <c r="H1342" s="7">
        <f t="shared" si="1"/>
        <v>608</v>
      </c>
    </row>
    <row r="1343" ht="22.5" customHeight="1">
      <c r="B1343" s="7" t="str">
        <f>IFERROR(__xludf.DUMMYFUNCTION("""COMPUTED_VALUE"""),"K/53/181124/3")</f>
        <v>K/53/181124/3</v>
      </c>
      <c r="C1343" s="7" t="str">
        <f>IFERROR(__xludf.DUMMYFUNCTION("""COMPUTED_VALUE"""),"M. 14929/ Rajabasa")</f>
        <v>M. 14929/ Rajabasa</v>
      </c>
      <c r="D1343" s="7"/>
      <c r="E1343" s="7"/>
      <c r="F1343" s="9" t="str">
        <f>IFERROR(__xludf.DUMMYFUNCTION("""COMPUTED_VALUE"""),"")</f>
        <v/>
      </c>
      <c r="G1343" s="7" t="str">
        <f>IFERROR(__xludf.DUMMYFUNCTION("""COMPUTED_VALUE"""),"BN PHB")</f>
        <v>BN PHB</v>
      </c>
      <c r="H1343" s="7">
        <f t="shared" si="1"/>
        <v>608</v>
      </c>
    </row>
    <row r="1344" ht="22.5" customHeight="1">
      <c r="B1344" s="7" t="str">
        <f>IFERROR(__xludf.DUMMYFUNCTION("""COMPUTED_VALUE"""),"K/57/181124/2")</f>
        <v>K/57/181124/2</v>
      </c>
      <c r="C1344" s="7" t="str">
        <f>IFERROR(__xludf.DUMMYFUNCTION("""COMPUTED_VALUE"""),"M.2396/CAMPANG JAYA")</f>
        <v>M.2396/CAMPANG JAYA</v>
      </c>
      <c r="D1344" s="7" t="str">
        <f>IFERROR(__xludf.DUMMYFUNCTION("""COMPUTED_VALUE"""),"David")</f>
        <v>David</v>
      </c>
      <c r="E1344" s="7" t="str">
        <f>IFERROR(__xludf.DUMMYFUNCTION("""COMPUTED_VALUE"""),"DISERAHKAN")</f>
        <v>DISERAHKAN</v>
      </c>
      <c r="F1344" s="9">
        <f>IFERROR(__xludf.DUMMYFUNCTION("""COMPUTED_VALUE"""),45615.46858273148)</f>
        <v>45615.46858</v>
      </c>
      <c r="G1344" s="7" t="str">
        <f>IFERROR(__xludf.DUMMYFUNCTION("""COMPUTED_VALUE"""),"BN JUAL BELI")</f>
        <v>BN JUAL BELI</v>
      </c>
      <c r="H1344" s="7">
        <f t="shared" si="1"/>
        <v>609</v>
      </c>
    </row>
    <row r="1345" ht="22.5" customHeight="1">
      <c r="B1345" s="7" t="str">
        <f>IFERROR(__xludf.DUMMYFUNCTION("""COMPUTED_VALUE"""),"K/58/181124/1")</f>
        <v>K/58/181124/1</v>
      </c>
      <c r="C1345" s="7" t="str">
        <f>IFERROR(__xludf.DUMMYFUNCTION("""COMPUTED_VALUE"""),"M. 9150/ Gedong Meneng; SHT 4769/ 2015")</f>
        <v>M. 9150/ Gedong Meneng; SHT 4769/ 2015</v>
      </c>
      <c r="D1345" s="7"/>
      <c r="E1345" s="7" t="str">
        <f>IFERROR(__xludf.DUMMYFUNCTION("""COMPUTED_VALUE"""),"DISERAHKAN BT")</f>
        <v>DISERAHKAN BT</v>
      </c>
      <c r="F1345" s="9">
        <f>IFERROR(__xludf.DUMMYFUNCTION("""COMPUTED_VALUE"""),45625.66738832176)</f>
        <v>45625.66739</v>
      </c>
      <c r="G1345" s="7" t="str">
        <f>IFERROR(__xludf.DUMMYFUNCTION("""COMPUTED_VALUE"""),"Ganti Nama HT")</f>
        <v>Ganti Nama HT</v>
      </c>
      <c r="H1345" s="7">
        <f t="shared" si="1"/>
        <v>609</v>
      </c>
    </row>
    <row r="1346" ht="22.5" customHeight="1">
      <c r="B1346" s="7" t="str">
        <f>IFERROR(__xludf.DUMMYFUNCTION("""COMPUTED_VALUE"""),"K/60/181124/1")</f>
        <v>K/60/181124/1</v>
      </c>
      <c r="C1346" s="7" t="str">
        <f>IFERROR(__xludf.DUMMYFUNCTION("""COMPUTED_VALUE"""),"M. 413/ Pahoman")</f>
        <v>M. 413/ Pahoman</v>
      </c>
      <c r="D1346" s="7"/>
      <c r="E1346" s="7" t="str">
        <f>IFERROR(__xludf.DUMMYFUNCTION("""COMPUTED_VALUE"""),"DISERAHKAN BT")</f>
        <v>DISERAHKAN BT</v>
      </c>
      <c r="F1346" s="9">
        <f>IFERROR(__xludf.DUMMYFUNCTION("""COMPUTED_VALUE"""),45625.66738832176)</f>
        <v>45625.66739</v>
      </c>
      <c r="G1346" s="7" t="str">
        <f>IFERROR(__xludf.DUMMYFUNCTION("""COMPUTED_VALUE"""),"ROYA")</f>
        <v>ROYA</v>
      </c>
      <c r="H1346" s="7">
        <f t="shared" si="1"/>
        <v>609</v>
      </c>
    </row>
    <row r="1347" ht="22.5" customHeight="1">
      <c r="B1347" s="7" t="str">
        <f>IFERROR(__xludf.DUMMYFUNCTION("""COMPUTED_VALUE"""),"K/59/181124/2")</f>
        <v>K/59/181124/2</v>
      </c>
      <c r="C1347" s="7" t="str">
        <f>IFERROR(__xludf.DUMMYFUNCTION("""COMPUTED_VALUE"""),"B. 30/ Sukarame II; SHT 1776/2016")</f>
        <v>B. 30/ Sukarame II; SHT 1776/2016</v>
      </c>
      <c r="D1347" s="7"/>
      <c r="E1347" s="7"/>
      <c r="F1347" s="9" t="str">
        <f>IFERROR(__xludf.DUMMYFUNCTION("""COMPUTED_VALUE"""),"")</f>
        <v/>
      </c>
      <c r="G1347" s="7" t="str">
        <f>IFERROR(__xludf.DUMMYFUNCTION("""COMPUTED_VALUE"""),"Ganti Nama HT")</f>
        <v>Ganti Nama HT</v>
      </c>
      <c r="H1347" s="7">
        <f t="shared" si="1"/>
        <v>609</v>
      </c>
    </row>
    <row r="1348" ht="22.5" customHeight="1">
      <c r="B1348" s="7" t="str">
        <f>IFERROR(__xludf.DUMMYFUNCTION("""COMPUTED_VALUE"""),"K/60/181124/3")</f>
        <v>K/60/181124/3</v>
      </c>
      <c r="C1348" s="7" t="str">
        <f>IFERROR(__xludf.DUMMYFUNCTION("""COMPUTED_VALUE"""),"B. 31/ Sukarame II; SHT 1775/2016")</f>
        <v>B. 31/ Sukarame II; SHT 1775/2016</v>
      </c>
      <c r="D1348" s="7"/>
      <c r="E1348" s="7"/>
      <c r="F1348" s="9" t="str">
        <f>IFERROR(__xludf.DUMMYFUNCTION("""COMPUTED_VALUE"""),"")</f>
        <v/>
      </c>
      <c r="G1348" s="7" t="str">
        <f>IFERROR(__xludf.DUMMYFUNCTION("""COMPUTED_VALUE"""),"Ganti Nama HT")</f>
        <v>Ganti Nama HT</v>
      </c>
      <c r="H1348" s="7">
        <f t="shared" si="1"/>
        <v>609</v>
      </c>
    </row>
    <row r="1349" ht="22.5" customHeight="1">
      <c r="B1349" s="7" t="str">
        <f>IFERROR(__xludf.DUMMYFUNCTION("""COMPUTED_VALUE"""),"K/64/181124/3")</f>
        <v>K/64/181124/3</v>
      </c>
      <c r="C1349" s="7" t="str">
        <f>IFERROR(__xludf.DUMMYFUNCTION("""COMPUTED_VALUE"""),"Nibel. B. 1720/ Sumber Agung")</f>
        <v>Nibel. B. 1720/ Sumber Agung</v>
      </c>
      <c r="D1349" s="7"/>
      <c r="E1349" s="7"/>
      <c r="F1349" s="9" t="str">
        <f>IFERROR(__xludf.DUMMYFUNCTION("""COMPUTED_VALUE"""),"")</f>
        <v/>
      </c>
      <c r="G1349" s="7" t="str">
        <f>IFERROR(__xludf.DUMMYFUNCTION("""COMPUTED_VALUE"""),"Perubahan Hak")</f>
        <v>Perubahan Hak</v>
      </c>
      <c r="H1349" s="7">
        <f t="shared" si="1"/>
        <v>609</v>
      </c>
    </row>
    <row r="1350" ht="22.5" customHeight="1">
      <c r="B1350" s="7" t="str">
        <f>IFERROR(__xludf.DUMMYFUNCTION("""COMPUTED_VALUE"""),"K/62/181124/1")</f>
        <v>K/62/181124/1</v>
      </c>
      <c r="C1350" s="7" t="str">
        <f>IFERROR(__xludf.DUMMYFUNCTION("""COMPUTED_VALUE"""),"Nibel B. 2716/ Sumber Agung")</f>
        <v>Nibel B. 2716/ Sumber Agung</v>
      </c>
      <c r="D1350" s="7" t="str">
        <f>IFERROR(__xludf.DUMMYFUNCTION("""COMPUTED_VALUE"""),"David")</f>
        <v>David</v>
      </c>
      <c r="E1350" s="7" t="str">
        <f>IFERROR(__xludf.DUMMYFUNCTION("""COMPUTED_VALUE"""),"DISERAHKAN SU")</f>
        <v>DISERAHKAN SU</v>
      </c>
      <c r="F1350" s="9">
        <f>IFERROR(__xludf.DUMMYFUNCTION("""COMPUTED_VALUE"""),45616.633609571756)</f>
        <v>45616.63361</v>
      </c>
      <c r="G1350" s="7" t="str">
        <f>IFERROR(__xludf.DUMMYFUNCTION("""COMPUTED_VALUE"""),"Perubahan Hak")</f>
        <v>Perubahan Hak</v>
      </c>
      <c r="H1350" s="7">
        <f t="shared" si="1"/>
        <v>609</v>
      </c>
    </row>
    <row r="1351" ht="22.5" customHeight="1">
      <c r="B1351" s="7" t="str">
        <f>IFERROR(__xludf.DUMMYFUNCTION("""COMPUTED_VALUE"""),"K/63/181124/2")</f>
        <v>K/63/181124/2</v>
      </c>
      <c r="C1351" s="7" t="str">
        <f>IFERROR(__xludf.DUMMYFUNCTION("""COMPUTED_VALUE"""),"Nibel. B. 2429/ Sumber Agung")</f>
        <v>Nibel. B. 2429/ Sumber Agung</v>
      </c>
      <c r="D1351" s="7" t="str">
        <f>IFERROR(__xludf.DUMMYFUNCTION("""COMPUTED_VALUE"""),"David")</f>
        <v>David</v>
      </c>
      <c r="E1351" s="7" t="str">
        <f>IFERROR(__xludf.DUMMYFUNCTION("""COMPUTED_VALUE"""),"PROSES")</f>
        <v>PROSES</v>
      </c>
      <c r="F1351" s="9" t="str">
        <f>IFERROR(__xludf.DUMMYFUNCTION("""COMPUTED_VALUE"""),"")</f>
        <v/>
      </c>
      <c r="G1351" s="7" t="str">
        <f>IFERROR(__xludf.DUMMYFUNCTION("""COMPUTED_VALUE"""),"Perubahan Hak")</f>
        <v>Perubahan Hak</v>
      </c>
      <c r="H1351" s="7">
        <f t="shared" si="1"/>
        <v>609</v>
      </c>
    </row>
    <row r="1352" ht="22.5" customHeight="1">
      <c r="B1352" s="7" t="str">
        <f>IFERROR(__xludf.DUMMYFUNCTION("""COMPUTED_VALUE"""),"K/2/191124/1")</f>
        <v>K/2/191124/1</v>
      </c>
      <c r="C1352" s="7" t="str">
        <f>IFERROR(__xludf.DUMMYFUNCTION("""COMPUTED_VALUE"""),"M. 1083/ Way Halim Permai")</f>
        <v>M. 1083/ Way Halim Permai</v>
      </c>
      <c r="D1352" s="7"/>
      <c r="E1352" s="7"/>
      <c r="F1352" s="9" t="str">
        <f>IFERROR(__xludf.DUMMYFUNCTION("""COMPUTED_VALUE"""),"")</f>
        <v/>
      </c>
      <c r="G1352" s="7" t="str">
        <f>IFERROR(__xludf.DUMMYFUNCTION("""COMPUTED_VALUE"""),"BN JUAL BELI")</f>
        <v>BN JUAL BELI</v>
      </c>
      <c r="H1352" s="7">
        <f t="shared" si="1"/>
        <v>609</v>
      </c>
    </row>
    <row r="1353" ht="22.5" customHeight="1">
      <c r="B1353" s="7" t="str">
        <f>IFERROR(__xludf.DUMMYFUNCTION("""COMPUTED_VALUE"""),"K/3/191124/2")</f>
        <v>K/3/191124/2</v>
      </c>
      <c r="C1353" s="7" t="str">
        <f>IFERROR(__xludf.DUMMYFUNCTION("""COMPUTED_VALUE"""),"M. 84/ Gunung Sari")</f>
        <v>M. 84/ Gunung Sari</v>
      </c>
      <c r="D1353" s="7"/>
      <c r="E1353" s="7"/>
      <c r="F1353" s="9" t="str">
        <f>IFERROR(__xludf.DUMMYFUNCTION("""COMPUTED_VALUE"""),"")</f>
        <v/>
      </c>
      <c r="G1353" s="7" t="str">
        <f>IFERROR(__xludf.DUMMYFUNCTION("""COMPUTED_VALUE"""),"BN JUAL BELI")</f>
        <v>BN JUAL BELI</v>
      </c>
      <c r="H1353" s="7">
        <f t="shared" si="1"/>
        <v>609</v>
      </c>
    </row>
    <row r="1354" ht="22.5" customHeight="1">
      <c r="B1354" s="7" t="str">
        <f>IFERROR(__xludf.DUMMYFUNCTION("""COMPUTED_VALUE"""),"K/4/191124/1")</f>
        <v>K/4/191124/1</v>
      </c>
      <c r="C1354" s="7" t="str">
        <f>IFERROR(__xludf.DUMMYFUNCTION("""COMPUTED_VALUE"""),"Nibel 389/ kemiling Permai")</f>
        <v>Nibel 389/ kemiling Permai</v>
      </c>
      <c r="D1354" s="7"/>
      <c r="E1354" s="7"/>
      <c r="F1354" s="9" t="str">
        <f>IFERROR(__xludf.DUMMYFUNCTION("""COMPUTED_VALUE"""),"")</f>
        <v/>
      </c>
      <c r="G1354" s="7" t="str">
        <f>IFERROR(__xludf.DUMMYFUNCTION("""COMPUTED_VALUE"""),"BN JUAL BELI")</f>
        <v>BN JUAL BELI</v>
      </c>
      <c r="H1354" s="7">
        <f t="shared" si="1"/>
        <v>609</v>
      </c>
    </row>
    <row r="1355" ht="22.5" customHeight="1">
      <c r="B1355" s="7" t="str">
        <f>IFERROR(__xludf.DUMMYFUNCTION("""COMPUTED_VALUE"""),"K/5/191124/1")</f>
        <v>K/5/191124/1</v>
      </c>
      <c r="C1355" s="7" t="str">
        <f>IFERROR(__xludf.DUMMYFUNCTION("""COMPUTED_VALUE"""),"Nibel. 1705/ Sukajawa")</f>
        <v>Nibel. 1705/ Sukajawa</v>
      </c>
      <c r="D1355" s="7"/>
      <c r="E1355" s="7"/>
      <c r="F1355" s="9" t="str">
        <f>IFERROR(__xludf.DUMMYFUNCTION("""COMPUTED_VALUE"""),"")</f>
        <v/>
      </c>
      <c r="G1355" s="7" t="str">
        <f>IFERROR(__xludf.DUMMYFUNCTION("""COMPUTED_VALUE"""),"BN Jual beli")</f>
        <v>BN Jual beli</v>
      </c>
      <c r="H1355" s="7">
        <f t="shared" si="1"/>
        <v>609</v>
      </c>
    </row>
    <row r="1356" ht="22.5" customHeight="1">
      <c r="B1356" s="7" t="str">
        <f>IFERROR(__xludf.DUMMYFUNCTION("""COMPUTED_VALUE"""),"L/6/191124/1")</f>
        <v>L/6/191124/1</v>
      </c>
      <c r="C1356" s="7" t="str">
        <f>IFERROR(__xludf.DUMMYFUNCTION("""COMPUTED_VALUE"""),"HM 117/SUKAMAJU")</f>
        <v>HM 117/SUKAMAJU</v>
      </c>
      <c r="D1356" s="7" t="str">
        <f>IFERROR(__xludf.DUMMYFUNCTION("""COMPUTED_VALUE"""),"David")</f>
        <v>David</v>
      </c>
      <c r="E1356" s="7" t="str">
        <f>IFERROR(__xludf.DUMMYFUNCTION("""COMPUTED_VALUE"""),"DISERAHKAN")</f>
        <v>DISERAHKAN</v>
      </c>
      <c r="F1356" s="9">
        <f>IFERROR(__xludf.DUMMYFUNCTION("""COMPUTED_VALUE"""),45616.633609571756)</f>
        <v>45616.63361</v>
      </c>
      <c r="G1356" s="7" t="str">
        <f>IFERROR(__xludf.DUMMYFUNCTION("""COMPUTED_VALUE"""),"BLOKIR")</f>
        <v>BLOKIR</v>
      </c>
      <c r="H1356" s="7">
        <f t="shared" si="1"/>
        <v>610</v>
      </c>
    </row>
    <row r="1357" ht="22.5" customHeight="1">
      <c r="B1357" s="7" t="str">
        <f>IFERROR(__xludf.DUMMYFUNCTION("""COMPUTED_VALUE"""),"K/7/191124/1")</f>
        <v>K/7/191124/1</v>
      </c>
      <c r="C1357" s="7" t="str">
        <f>IFERROR(__xludf.DUMMYFUNCTION("""COMPUTED_VALUE"""),"M. 12571/ BERINGIN RAYA")</f>
        <v>M. 12571/ BERINGIN RAYA</v>
      </c>
      <c r="D1357" s="7" t="str">
        <f>IFERROR(__xludf.DUMMYFUNCTION("""COMPUTED_VALUE"""),"David")</f>
        <v>David</v>
      </c>
      <c r="E1357" s="7" t="str">
        <f>IFERROR(__xludf.DUMMYFUNCTION("""COMPUTED_VALUE"""),"DISERAHKAN")</f>
        <v>DISERAHKAN</v>
      </c>
      <c r="F1357" s="9">
        <f>IFERROR(__xludf.DUMMYFUNCTION("""COMPUTED_VALUE"""),45642.66686996528)</f>
        <v>45642.66687</v>
      </c>
      <c r="G1357" s="7" t="str">
        <f>IFERROR(__xludf.DUMMYFUNCTION("""COMPUTED_VALUE"""),"GANTI KELURAHAN")</f>
        <v>GANTI KELURAHAN</v>
      </c>
      <c r="H1357" s="7">
        <f t="shared" si="1"/>
        <v>611</v>
      </c>
    </row>
    <row r="1358" ht="22.5" customHeight="1">
      <c r="B1358" s="7" t="str">
        <f>IFERROR(__xludf.DUMMYFUNCTION("""COMPUTED_VALUE"""),"K/8/191124/1")</f>
        <v>K/8/191124/1</v>
      </c>
      <c r="C1358" s="7" t="str">
        <f>IFERROR(__xludf.DUMMYFUNCTION("""COMPUTED_VALUE"""),"M. 2445/ Sukadana Ham")</f>
        <v>M. 2445/ Sukadana Ham</v>
      </c>
      <c r="D1358" s="7"/>
      <c r="E1358" s="7"/>
      <c r="F1358" s="9" t="str">
        <f>IFERROR(__xludf.DUMMYFUNCTION("""COMPUTED_VALUE"""),"")</f>
        <v/>
      </c>
      <c r="G1358" s="7" t="str">
        <f>IFERROR(__xludf.DUMMYFUNCTION("""COMPUTED_VALUE"""),"Pemecahan")</f>
        <v>Pemecahan</v>
      </c>
      <c r="H1358" s="7">
        <f t="shared" si="1"/>
        <v>611</v>
      </c>
    </row>
    <row r="1359" ht="22.5" customHeight="1">
      <c r="B1359" s="7" t="str">
        <f>IFERROR(__xludf.DUMMYFUNCTION("""COMPUTED_VALUE"""),"L/9/191124/1")</f>
        <v>L/9/191124/1</v>
      </c>
      <c r="C1359" s="7" t="str">
        <f>IFERROR(__xludf.DUMMYFUNCTION("""COMPUTED_VALUE"""),"HGB 1072/SUKABUMI INDAH")</f>
        <v>HGB 1072/SUKABUMI INDAH</v>
      </c>
      <c r="D1359" s="7"/>
      <c r="E1359" s="7"/>
      <c r="F1359" s="9" t="str">
        <f>IFERROR(__xludf.DUMMYFUNCTION("""COMPUTED_VALUE"""),"")</f>
        <v/>
      </c>
      <c r="G1359" s="7" t="str">
        <f>IFERROR(__xludf.DUMMYFUNCTION("""COMPUTED_VALUE"""),"PH")</f>
        <v>PH</v>
      </c>
      <c r="H1359" s="7">
        <f t="shared" si="1"/>
        <v>611</v>
      </c>
    </row>
    <row r="1360" ht="22.5" customHeight="1">
      <c r="B1360" s="7" t="str">
        <f>IFERROR(__xludf.DUMMYFUNCTION("""COMPUTED_VALUE"""),"K/10/191124/1")</f>
        <v>K/10/191124/1</v>
      </c>
      <c r="C1360" s="7" t="str">
        <f>IFERROR(__xludf.DUMMYFUNCTION("""COMPUTED_VALUE"""),"M. 12944/ Rajabasa")</f>
        <v>M. 12944/ Rajabasa</v>
      </c>
      <c r="D1360" s="7"/>
      <c r="E1360" s="7"/>
      <c r="F1360" s="9" t="str">
        <f>IFERROR(__xludf.DUMMYFUNCTION("""COMPUTED_VALUE"""),"")</f>
        <v/>
      </c>
      <c r="G1360" s="7" t="str">
        <f>IFERROR(__xludf.DUMMYFUNCTION("""COMPUTED_VALUE"""),"GANTI KELURAHAN")</f>
        <v>GANTI KELURAHAN</v>
      </c>
      <c r="H1360" s="7">
        <f t="shared" si="1"/>
        <v>611</v>
      </c>
    </row>
    <row r="1361" ht="22.5" customHeight="1">
      <c r="B1361" s="7" t="str">
        <f>IFERROR(__xludf.DUMMYFUNCTION("""COMPUTED_VALUE"""),"K/11/191124/1")</f>
        <v>K/11/191124/1</v>
      </c>
      <c r="C1361" s="7" t="str">
        <f>IFERROR(__xludf.DUMMYFUNCTION("""COMPUTED_VALUE"""),"M. 1416/SUKAMAJU")</f>
        <v>M. 1416/SUKAMAJU</v>
      </c>
      <c r="D1361" s="7"/>
      <c r="E1361" s="7"/>
      <c r="F1361" s="9" t="str">
        <f>IFERROR(__xludf.DUMMYFUNCTION("""COMPUTED_VALUE"""),"")</f>
        <v/>
      </c>
      <c r="G1361" s="7" t="str">
        <f>IFERROR(__xludf.DUMMYFUNCTION("""COMPUTED_VALUE"""),"GANTI KECAMATAN")</f>
        <v>GANTI KECAMATAN</v>
      </c>
      <c r="H1361" s="7">
        <f t="shared" si="1"/>
        <v>611</v>
      </c>
    </row>
    <row r="1362" ht="22.5" customHeight="1">
      <c r="B1362" s="7" t="str">
        <f>IFERROR(__xludf.DUMMYFUNCTION("""COMPUTED_VALUE"""),"K/1/191124/1")</f>
        <v>K/1/191124/1</v>
      </c>
      <c r="C1362" s="7" t="str">
        <f>IFERROR(__xludf.DUMMYFUNCTION("""COMPUTED_VALUE"""),"NIBEL M 6766/SUKAJAWA")</f>
        <v>NIBEL M 6766/SUKAJAWA</v>
      </c>
      <c r="D1362" s="7" t="str">
        <f>IFERROR(__xludf.DUMMYFUNCTION("""COMPUTED_VALUE"""),"David")</f>
        <v>David</v>
      </c>
      <c r="E1362" s="7" t="str">
        <f>IFERROR(__xludf.DUMMYFUNCTION("""COMPUTED_VALUE"""),"DISERAHKAN")</f>
        <v>DISERAHKAN</v>
      </c>
      <c r="F1362" s="9">
        <f>IFERROR(__xludf.DUMMYFUNCTION("""COMPUTED_VALUE"""),45616.633609571756)</f>
        <v>45616.63361</v>
      </c>
      <c r="G1362" s="7" t="str">
        <f>IFERROR(__xludf.DUMMYFUNCTION("""COMPUTED_VALUE"""),"BN JUAL BELI")</f>
        <v>BN JUAL BELI</v>
      </c>
      <c r="H1362" s="7">
        <f t="shared" si="1"/>
        <v>612</v>
      </c>
    </row>
    <row r="1363" ht="22.5" customHeight="1">
      <c r="B1363" s="7" t="str">
        <f>IFERROR(__xludf.DUMMYFUNCTION("""COMPUTED_VALUE"""),"K/12/191124/1")</f>
        <v>K/12/191124/1</v>
      </c>
      <c r="C1363" s="7" t="str">
        <f>IFERROR(__xludf.DUMMYFUNCTION("""COMPUTED_VALUE"""),"NIBEL M 2847/KETAPANG")</f>
        <v>NIBEL M 2847/KETAPANG</v>
      </c>
      <c r="D1363" s="7" t="str">
        <f>IFERROR(__xludf.DUMMYFUNCTION("""COMPUTED_VALUE"""),"David")</f>
        <v>David</v>
      </c>
      <c r="E1363" s="7" t="str">
        <f>IFERROR(__xludf.DUMMYFUNCTION("""COMPUTED_VALUE"""),"DISERAHKAN")</f>
        <v>DISERAHKAN</v>
      </c>
      <c r="F1363" s="9">
        <f>IFERROR(__xludf.DUMMYFUNCTION("""COMPUTED_VALUE"""),45616.633609571756)</f>
        <v>45616.63361</v>
      </c>
      <c r="G1363" s="7" t="str">
        <f>IFERROR(__xludf.DUMMYFUNCTION("""COMPUTED_VALUE"""),"BN JUAL BELI")</f>
        <v>BN JUAL BELI</v>
      </c>
      <c r="H1363" s="7">
        <f t="shared" si="1"/>
        <v>613</v>
      </c>
    </row>
    <row r="1364" ht="22.5" customHeight="1">
      <c r="B1364" s="7" t="str">
        <f>IFERROR(__xludf.DUMMYFUNCTION("""COMPUTED_VALUE"""),"K/13/191124/1")</f>
        <v>K/13/191124/1</v>
      </c>
      <c r="C1364" s="7" t="str">
        <f>IFERROR(__xludf.DUMMYFUNCTION("""COMPUTED_VALUE"""),"M. 1282/ Sukabumi Indah")</f>
        <v>M. 1282/ Sukabumi Indah</v>
      </c>
      <c r="D1364" s="7"/>
      <c r="E1364" s="7"/>
      <c r="F1364" s="9" t="str">
        <f>IFERROR(__xludf.DUMMYFUNCTION("""COMPUTED_VALUE"""),"")</f>
        <v/>
      </c>
      <c r="G1364" s="7" t="str">
        <f>IFERROR(__xludf.DUMMYFUNCTION("""COMPUTED_VALUE"""),"BN Jual Beli")</f>
        <v>BN Jual Beli</v>
      </c>
      <c r="H1364" s="7">
        <f t="shared" si="1"/>
        <v>613</v>
      </c>
    </row>
    <row r="1365" ht="22.5" customHeight="1">
      <c r="B1365" s="7" t="str">
        <f>IFERROR(__xludf.DUMMYFUNCTION("""COMPUTED_VALUE"""),"K/14/191124/2")</f>
        <v>K/14/191124/2</v>
      </c>
      <c r="C1365" s="7" t="str">
        <f>IFERROR(__xludf.DUMMYFUNCTION("""COMPUTED_VALUE"""),"M. 5046/ Langkapura; SHT 3779/2018")</f>
        <v>M. 5046/ Langkapura; SHT 3779/2018</v>
      </c>
      <c r="D1365" s="7" t="str">
        <f>IFERROR(__xludf.DUMMYFUNCTION("""COMPUTED_VALUE"""),"David")</f>
        <v>David</v>
      </c>
      <c r="E1365" s="7" t="str">
        <f>IFERROR(__xludf.DUMMYFUNCTION("""COMPUTED_VALUE"""),"DISERAHKAN")</f>
        <v>DISERAHKAN</v>
      </c>
      <c r="F1365" s="9">
        <f>IFERROR(__xludf.DUMMYFUNCTION("""COMPUTED_VALUE"""),45616.633609571756)</f>
        <v>45616.63361</v>
      </c>
      <c r="G1365" s="7" t="str">
        <f>IFERROR(__xludf.DUMMYFUNCTION("""COMPUTED_VALUE"""),"Roya")</f>
        <v>Roya</v>
      </c>
      <c r="H1365" s="7">
        <f t="shared" si="1"/>
        <v>614</v>
      </c>
    </row>
    <row r="1366" ht="22.5" customHeight="1">
      <c r="B1366" s="7" t="str">
        <f>IFERROR(__xludf.DUMMYFUNCTION("""COMPUTED_VALUE"""),"K/15/191124/1")</f>
        <v>K/15/191124/1</v>
      </c>
      <c r="C1366" s="7" t="str">
        <f>IFERROR(__xludf.DUMMYFUNCTION("""COMPUTED_VALUE"""),"B. 3584/ Sukabumi")</f>
        <v>B. 3584/ Sukabumi</v>
      </c>
      <c r="D1366" s="7" t="str">
        <f>IFERROR(__xludf.DUMMYFUNCTION("""COMPUTED_VALUE"""),"David")</f>
        <v>David</v>
      </c>
      <c r="E1366" s="7" t="str">
        <f>IFERROR(__xludf.DUMMYFUNCTION("""COMPUTED_VALUE"""),"DISERAHKAN SU")</f>
        <v>DISERAHKAN SU</v>
      </c>
      <c r="F1366" s="9">
        <f>IFERROR(__xludf.DUMMYFUNCTION("""COMPUTED_VALUE"""),45616.633609571756)</f>
        <v>45616.63361</v>
      </c>
      <c r="G1366" s="7" t="str">
        <f>IFERROR(__xludf.DUMMYFUNCTION("""COMPUTED_VALUE"""),"SKPT LELANG")</f>
        <v>SKPT LELANG</v>
      </c>
      <c r="H1366" s="7">
        <f t="shared" si="1"/>
        <v>614</v>
      </c>
    </row>
    <row r="1367" ht="22.5" customHeight="1">
      <c r="B1367" s="7" t="str">
        <f>IFERROR(__xludf.DUMMYFUNCTION("""COMPUTED_VALUE"""),"K/16/191124/1")</f>
        <v>K/16/191124/1</v>
      </c>
      <c r="C1367" s="7" t="str">
        <f>IFERROR(__xludf.DUMMYFUNCTION("""COMPUTED_VALUE"""),"M. 1799/ Labuhan Ratu Raya")</f>
        <v>M. 1799/ Labuhan Ratu Raya</v>
      </c>
      <c r="D1367" s="7" t="str">
        <f>IFERROR(__xludf.DUMMYFUNCTION("""COMPUTED_VALUE"""),"David")</f>
        <v>David</v>
      </c>
      <c r="E1367" s="7" t="str">
        <f>IFERROR(__xludf.DUMMYFUNCTION("""COMPUTED_VALUE"""),"PROSES")</f>
        <v>PROSES</v>
      </c>
      <c r="F1367" s="9" t="str">
        <f>IFERROR(__xludf.DUMMYFUNCTION("""COMPUTED_VALUE"""),"")</f>
        <v/>
      </c>
      <c r="G1367" s="7" t="str">
        <f>IFERROR(__xludf.DUMMYFUNCTION("""COMPUTED_VALUE"""),"BN JUAL BELI")</f>
        <v>BN JUAL BELI</v>
      </c>
      <c r="H1367" s="7">
        <f t="shared" si="1"/>
        <v>614</v>
      </c>
    </row>
    <row r="1368" ht="22.5" customHeight="1">
      <c r="B1368" s="7" t="str">
        <f>IFERROR(__xludf.DUMMYFUNCTION("""COMPUTED_VALUE"""),"K/18/191124/1")</f>
        <v>K/18/191124/1</v>
      </c>
      <c r="C1368" s="7" t="str">
        <f>IFERROR(__xludf.DUMMYFUNCTION("""COMPUTED_VALUE"""),"M.1142/WAY HALIM PERMAI")</f>
        <v>M.1142/WAY HALIM PERMAI</v>
      </c>
      <c r="D1368" s="7"/>
      <c r="E1368" s="7" t="str">
        <f>IFERROR(__xludf.DUMMYFUNCTION("""COMPUTED_VALUE"""),"DISERAHKAN")</f>
        <v>DISERAHKAN</v>
      </c>
      <c r="F1368" s="9">
        <f>IFERROR(__xludf.DUMMYFUNCTION("""COMPUTED_VALUE"""),45642.68827925926)</f>
        <v>45642.68828</v>
      </c>
      <c r="G1368" s="7" t="str">
        <f>IFERROR(__xludf.DUMMYFUNCTION("""COMPUTED_VALUE"""),"BN JUAL BELI")</f>
        <v>BN JUAL BELI</v>
      </c>
      <c r="H1368" s="7">
        <f t="shared" si="1"/>
        <v>615</v>
      </c>
    </row>
    <row r="1369" ht="22.5" customHeight="1">
      <c r="B1369" s="7" t="str">
        <f>IFERROR(__xludf.DUMMYFUNCTION("""COMPUTED_VALUE"""),"K/19/191124/1")</f>
        <v>K/19/191124/1</v>
      </c>
      <c r="C1369" s="7" t="str">
        <f>IFERROR(__xludf.DUMMYFUNCTION("""COMPUTED_VALUE"""),"M. 939/WAY LAGA")</f>
        <v>M. 939/WAY LAGA</v>
      </c>
      <c r="D1369" s="7"/>
      <c r="E1369" s="7"/>
      <c r="F1369" s="9" t="str">
        <f>IFERROR(__xludf.DUMMYFUNCTION("""COMPUTED_VALUE"""),"")</f>
        <v/>
      </c>
      <c r="G1369" s="7" t="str">
        <f>IFERROR(__xludf.DUMMYFUNCTION("""COMPUTED_VALUE"""),"ROYA")</f>
        <v>ROYA</v>
      </c>
      <c r="H1369" s="7">
        <f t="shared" si="1"/>
        <v>615</v>
      </c>
    </row>
    <row r="1370" ht="22.5" customHeight="1">
      <c r="B1370" s="7" t="str">
        <f>IFERROR(__xludf.DUMMYFUNCTION("""COMPUTED_VALUE"""),"L/20/191124/1")</f>
        <v>L/20/191124/1</v>
      </c>
      <c r="C1370" s="7" t="str">
        <f>IFERROR(__xludf.DUMMYFUNCTION("""COMPUTED_VALUE"""),"NIB 3714/GUNUNG SULAH")</f>
        <v>NIB 3714/GUNUNG SULAH</v>
      </c>
      <c r="D1370" s="7"/>
      <c r="E1370" s="7"/>
      <c r="F1370" s="9" t="str">
        <f>IFERROR(__xludf.DUMMYFUNCTION("""COMPUTED_VALUE"""),"")</f>
        <v/>
      </c>
      <c r="G1370" s="7" t="str">
        <f>IFERROR(__xludf.DUMMYFUNCTION("""COMPUTED_VALUE"""),"PH")</f>
        <v>PH</v>
      </c>
      <c r="H1370" s="7">
        <f t="shared" si="1"/>
        <v>615</v>
      </c>
    </row>
    <row r="1371" ht="22.5" customHeight="1">
      <c r="B1371" s="7" t="str">
        <f>IFERROR(__xludf.DUMMYFUNCTION("""COMPUTED_VALUE"""),"K/21/191124/1")</f>
        <v>K/21/191124/1</v>
      </c>
      <c r="C1371" s="7" t="str">
        <f>IFERROR(__xludf.DUMMYFUNCTION("""COMPUTED_VALUE"""),"Nibel. M. 2992/ Sukarame")</f>
        <v>Nibel. M. 2992/ Sukarame</v>
      </c>
      <c r="D1371" s="7"/>
      <c r="E1371" s="7"/>
      <c r="F1371" s="9" t="str">
        <f>IFERROR(__xludf.DUMMYFUNCTION("""COMPUTED_VALUE"""),"")</f>
        <v/>
      </c>
      <c r="G1371" s="7" t="str">
        <f>IFERROR(__xludf.DUMMYFUNCTION("""COMPUTED_VALUE"""),"BN Jual Beli")</f>
        <v>BN Jual Beli</v>
      </c>
      <c r="H1371" s="7">
        <f t="shared" si="1"/>
        <v>615</v>
      </c>
    </row>
    <row r="1372" ht="22.5" customHeight="1">
      <c r="B1372" s="7" t="str">
        <f>IFERROR(__xludf.DUMMYFUNCTION("""COMPUTED_VALUE"""),"K/17/191124/1")</f>
        <v>K/17/191124/1</v>
      </c>
      <c r="C1372" s="7" t="str">
        <f>IFERROR(__xludf.DUMMYFUNCTION("""COMPUTED_VALUE"""),"Nibel 1953/ Labuhan Dalam")</f>
        <v>Nibel 1953/ Labuhan Dalam</v>
      </c>
      <c r="D1372" s="7" t="str">
        <f>IFERROR(__xludf.DUMMYFUNCTION("""COMPUTED_VALUE"""),"David")</f>
        <v>David</v>
      </c>
      <c r="E1372" s="7" t="str">
        <f>IFERROR(__xludf.DUMMYFUNCTION("""COMPUTED_VALUE"""),"PROSES")</f>
        <v>PROSES</v>
      </c>
      <c r="F1372" s="9" t="str">
        <f>IFERROR(__xludf.DUMMYFUNCTION("""COMPUTED_VALUE"""),"")</f>
        <v/>
      </c>
      <c r="G1372" s="7" t="str">
        <f>IFERROR(__xludf.DUMMYFUNCTION("""COMPUTED_VALUE"""),"PEMECAHAN BIDANG")</f>
        <v>PEMECAHAN BIDANG</v>
      </c>
      <c r="H1372" s="7">
        <f t="shared" si="1"/>
        <v>615</v>
      </c>
    </row>
    <row r="1373" ht="22.5" customHeight="1">
      <c r="B1373" s="7" t="str">
        <f>IFERROR(__xludf.DUMMYFUNCTION("""COMPUTED_VALUE"""),"K/23/191124/2")</f>
        <v>K/23/191124/2</v>
      </c>
      <c r="C1373" s="7" t="str">
        <f>IFERROR(__xludf.DUMMYFUNCTION("""COMPUTED_VALUE"""),"Nibel 1952/ Labuhan Dalam")</f>
        <v>Nibel 1952/ Labuhan Dalam</v>
      </c>
      <c r="D1373" s="7"/>
      <c r="E1373" s="7" t="str">
        <f>IFERROR(__xludf.DUMMYFUNCTION("""COMPUTED_VALUE"""),"DISERAHKAN")</f>
        <v>DISERAHKAN</v>
      </c>
      <c r="F1373" s="9">
        <f>IFERROR(__xludf.DUMMYFUNCTION("""COMPUTED_VALUE"""),45615.625635335644)</f>
        <v>45615.62564</v>
      </c>
      <c r="G1373" s="7" t="str">
        <f>IFERROR(__xludf.DUMMYFUNCTION("""COMPUTED_VALUE"""),"PEMECAHAN BIDANG")</f>
        <v>PEMECAHAN BIDANG</v>
      </c>
      <c r="H1373" s="7">
        <f t="shared" si="1"/>
        <v>616</v>
      </c>
    </row>
    <row r="1374" ht="22.5" customHeight="1">
      <c r="B1374" s="7" t="str">
        <f>IFERROR(__xludf.DUMMYFUNCTION("""COMPUTED_VALUE"""),"K/24/191124/1")</f>
        <v>K/24/191124/1</v>
      </c>
      <c r="C1374" s="7" t="str">
        <f>IFERROR(__xludf.DUMMYFUNCTION("""COMPUTED_VALUE"""),"M. 1428/ Perumnas Way Halim")</f>
        <v>M. 1428/ Perumnas Way Halim</v>
      </c>
      <c r="D1374" s="7" t="str">
        <f>IFERROR(__xludf.DUMMYFUNCTION("""COMPUTED_VALUE"""),"David")</f>
        <v>David</v>
      </c>
      <c r="E1374" s="7" t="str">
        <f>IFERROR(__xludf.DUMMYFUNCTION("""COMPUTED_VALUE"""),"DISERAHKAN")</f>
        <v>DISERAHKAN</v>
      </c>
      <c r="F1374" s="9">
        <f>IFERROR(__xludf.DUMMYFUNCTION("""COMPUTED_VALUE"""),45616.633609571756)</f>
        <v>45616.63361</v>
      </c>
      <c r="G1374" s="7" t="str">
        <f>IFERROR(__xludf.DUMMYFUNCTION("""COMPUTED_VALUE"""),"BN WARIS")</f>
        <v>BN WARIS</v>
      </c>
      <c r="H1374" s="7">
        <f t="shared" si="1"/>
        <v>617</v>
      </c>
    </row>
    <row r="1375" ht="22.5" customHeight="1">
      <c r="B1375" s="7" t="str">
        <f>IFERROR(__xludf.DUMMYFUNCTION("""COMPUTED_VALUE"""),"K/26/191124/1")</f>
        <v>K/26/191124/1</v>
      </c>
      <c r="C1375" s="7" t="str">
        <f>IFERROR(__xludf.DUMMYFUNCTION("""COMPUTED_VALUE"""),"M.3972/RAJABASA JAYA")</f>
        <v>M.3972/RAJABASA JAYA</v>
      </c>
      <c r="D1375" s="7"/>
      <c r="E1375" s="7"/>
      <c r="F1375" s="9" t="str">
        <f>IFERROR(__xludf.DUMMYFUNCTION("""COMPUTED_VALUE"""),"")</f>
        <v/>
      </c>
      <c r="G1375" s="7" t="str">
        <f>IFERROR(__xludf.DUMMYFUNCTION("""COMPUTED_VALUE"""),"KEWARISAN")</f>
        <v>KEWARISAN</v>
      </c>
      <c r="H1375" s="7">
        <f t="shared" si="1"/>
        <v>617</v>
      </c>
    </row>
    <row r="1376" ht="22.5" customHeight="1">
      <c r="B1376" s="7" t="str">
        <f>IFERROR(__xludf.DUMMYFUNCTION("""COMPUTED_VALUE"""),"K/25/191124/2")</f>
        <v>K/25/191124/2</v>
      </c>
      <c r="C1376" s="7" t="str">
        <f>IFERROR(__xludf.DUMMYFUNCTION("""COMPUTED_VALUE"""),"M. 383/ Rajabasa Nunyai")</f>
        <v>M. 383/ Rajabasa Nunyai</v>
      </c>
      <c r="D1376" s="7" t="str">
        <f>IFERROR(__xludf.DUMMYFUNCTION("""COMPUTED_VALUE"""),"David")</f>
        <v>David</v>
      </c>
      <c r="E1376" s="7" t="str">
        <f>IFERROR(__xludf.DUMMYFUNCTION("""COMPUTED_VALUE"""),"PROSES")</f>
        <v>PROSES</v>
      </c>
      <c r="F1376" s="9" t="str">
        <f>IFERROR(__xludf.DUMMYFUNCTION("""COMPUTED_VALUE"""),"")</f>
        <v/>
      </c>
      <c r="G1376" s="7" t="str">
        <f>IFERROR(__xludf.DUMMYFUNCTION("""COMPUTED_VALUE"""),"BN JUAL BELI")</f>
        <v>BN JUAL BELI</v>
      </c>
      <c r="H1376" s="7">
        <f t="shared" si="1"/>
        <v>617</v>
      </c>
    </row>
    <row r="1377" ht="22.5" customHeight="1">
      <c r="B1377" s="7" t="str">
        <f>IFERROR(__xludf.DUMMYFUNCTION("""COMPUTED_VALUE"""),"K/28/191124/1")</f>
        <v>K/28/191124/1</v>
      </c>
      <c r="C1377" s="7" t="str">
        <f>IFERROR(__xludf.DUMMYFUNCTION("""COMPUTED_VALUE"""),"M. 815/ Pelita")</f>
        <v>M. 815/ Pelita</v>
      </c>
      <c r="D1377" s="7"/>
      <c r="E1377" s="7"/>
      <c r="F1377" s="9" t="str">
        <f>IFERROR(__xludf.DUMMYFUNCTION("""COMPUTED_VALUE"""),"")</f>
        <v/>
      </c>
      <c r="G1377" s="7" t="str">
        <f>IFERROR(__xludf.DUMMYFUNCTION("""COMPUTED_VALUE"""),"Ganti Nama")</f>
        <v>Ganti Nama</v>
      </c>
      <c r="H1377" s="7">
        <f t="shared" si="1"/>
        <v>617</v>
      </c>
    </row>
    <row r="1378" ht="22.5" customHeight="1">
      <c r="B1378" s="7" t="str">
        <f>IFERROR(__xludf.DUMMYFUNCTION("""COMPUTED_VALUE"""),"K/27/191124/2")</f>
        <v>K/27/191124/2</v>
      </c>
      <c r="C1378" s="7" t="str">
        <f>IFERROR(__xludf.DUMMYFUNCTION("""COMPUTED_VALUE"""),"M.1003/GUNUNG AGUNG-SEKARANG;M.1012/SEGALA MIDER-DAHULU")</f>
        <v>M.1003/GUNUNG AGUNG-SEKARANG;M.1012/SEGALA MIDER-DAHULU</v>
      </c>
      <c r="D1378" s="7"/>
      <c r="E1378" s="7"/>
      <c r="F1378" s="9" t="str">
        <f>IFERROR(__xludf.DUMMYFUNCTION("""COMPUTED_VALUE"""),"")</f>
        <v/>
      </c>
      <c r="G1378" s="7" t="str">
        <f>IFERROR(__xludf.DUMMYFUNCTION("""COMPUTED_VALUE"""),"KEWARISAN")</f>
        <v>KEWARISAN</v>
      </c>
      <c r="H1378" s="7">
        <f t="shared" si="1"/>
        <v>617</v>
      </c>
    </row>
    <row r="1379" ht="22.5" customHeight="1">
      <c r="B1379" s="7" t="str">
        <f>IFERROR(__xludf.DUMMYFUNCTION("""COMPUTED_VALUE"""),"K/29/191124/1")</f>
        <v>K/29/191124/1</v>
      </c>
      <c r="C1379" s="7" t="str">
        <f>IFERROR(__xludf.DUMMYFUNCTION("""COMPUTED_VALUE"""),"M. 13031/ Sukarame")</f>
        <v>M. 13031/ Sukarame</v>
      </c>
      <c r="D1379" s="7"/>
      <c r="E1379" s="7"/>
      <c r="F1379" s="9" t="str">
        <f>IFERROR(__xludf.DUMMYFUNCTION("""COMPUTED_VALUE"""),"")</f>
        <v/>
      </c>
      <c r="G1379" s="7" t="str">
        <f>IFERROR(__xludf.DUMMYFUNCTION("""COMPUTED_VALUE"""),"Gandes")</f>
        <v>Gandes</v>
      </c>
      <c r="H1379" s="7">
        <f t="shared" si="1"/>
        <v>617</v>
      </c>
    </row>
    <row r="1380" ht="22.5" customHeight="1">
      <c r="B1380" s="7" t="str">
        <f>IFERROR(__xludf.DUMMYFUNCTION("""COMPUTED_VALUE"""),"K/30/191124/1")</f>
        <v>K/30/191124/1</v>
      </c>
      <c r="C1380" s="7" t="str">
        <f>IFERROR(__xludf.DUMMYFUNCTION("""COMPUTED_VALUE"""),"NIBEL M.1071/NUSANTARA PERMAI")</f>
        <v>NIBEL M.1071/NUSANTARA PERMAI</v>
      </c>
      <c r="D1380" s="7" t="str">
        <f>IFERROR(__xludf.DUMMYFUNCTION("""COMPUTED_VALUE"""),"David")</f>
        <v>David</v>
      </c>
      <c r="E1380" s="7" t="str">
        <f>IFERROR(__xludf.DUMMYFUNCTION("""COMPUTED_VALUE"""),"DISERAHKAN")</f>
        <v>DISERAHKAN</v>
      </c>
      <c r="F1380" s="9">
        <f>IFERROR(__xludf.DUMMYFUNCTION("""COMPUTED_VALUE"""),45616.633609571756)</f>
        <v>45616.63361</v>
      </c>
      <c r="G1380" s="7" t="str">
        <f>IFERROR(__xludf.DUMMYFUNCTION("""COMPUTED_VALUE"""),"BN JUAL BELI")</f>
        <v>BN JUAL BELI</v>
      </c>
      <c r="H1380" s="7">
        <f t="shared" si="1"/>
        <v>618</v>
      </c>
    </row>
    <row r="1381" ht="22.5" customHeight="1">
      <c r="B1381" s="7" t="str">
        <f>IFERROR(__xludf.DUMMYFUNCTION("""COMPUTED_VALUE"""),"K/31/191124/2")</f>
        <v>K/31/191124/2</v>
      </c>
      <c r="C1381" s="7" t="str">
        <f>IFERROR(__xludf.DUMMYFUNCTION("""COMPUTED_VALUE"""),"NIBEL M.3438/SEPANG JAYA")</f>
        <v>NIBEL M.3438/SEPANG JAYA</v>
      </c>
      <c r="D1381" s="7" t="str">
        <f>IFERROR(__xludf.DUMMYFUNCTION("""COMPUTED_VALUE"""),"Berry")</f>
        <v>Berry</v>
      </c>
      <c r="E1381" s="7" t="str">
        <f>IFERROR(__xludf.DUMMYFUNCTION("""COMPUTED_VALUE"""),"DISERAHKAN")</f>
        <v>DISERAHKAN</v>
      </c>
      <c r="F1381" s="9">
        <f>IFERROR(__xludf.DUMMYFUNCTION("""COMPUTED_VALUE"""),45616.633609571756)</f>
        <v>45616.63361</v>
      </c>
      <c r="G1381" s="7" t="str">
        <f>IFERROR(__xludf.DUMMYFUNCTION("""COMPUTED_VALUE"""),"BN JUAL BELI")</f>
        <v>BN JUAL BELI</v>
      </c>
      <c r="H1381" s="7">
        <f t="shared" si="1"/>
        <v>619</v>
      </c>
    </row>
    <row r="1382" ht="22.5" customHeight="1">
      <c r="B1382" s="7" t="str">
        <f>IFERROR(__xludf.DUMMYFUNCTION("""COMPUTED_VALUE"""),"K/32/191124/3")</f>
        <v>K/32/191124/3</v>
      </c>
      <c r="C1382" s="7" t="str">
        <f>IFERROR(__xludf.DUMMYFUNCTION("""COMPUTED_VALUE"""),"M.1005/KOPRI JAYA")</f>
        <v>M.1005/KOPRI JAYA</v>
      </c>
      <c r="D1382" s="7" t="str">
        <f>IFERROR(__xludf.DUMMYFUNCTION("""COMPUTED_VALUE"""),"Berry")</f>
        <v>Berry</v>
      </c>
      <c r="E1382" s="7" t="str">
        <f>IFERROR(__xludf.DUMMYFUNCTION("""COMPUTED_VALUE"""),"DISERAHKAN")</f>
        <v>DISERAHKAN</v>
      </c>
      <c r="F1382" s="9">
        <f>IFERROR(__xludf.DUMMYFUNCTION("""COMPUTED_VALUE"""),45616.633609571756)</f>
        <v>45616.63361</v>
      </c>
      <c r="G1382" s="7" t="str">
        <f>IFERROR(__xludf.DUMMYFUNCTION("""COMPUTED_VALUE"""),"BN JUAL BELI")</f>
        <v>BN JUAL BELI</v>
      </c>
      <c r="H1382" s="7">
        <f t="shared" si="1"/>
        <v>620</v>
      </c>
    </row>
    <row r="1383" ht="22.5" customHeight="1">
      <c r="B1383" s="7" t="str">
        <f>IFERROR(__xludf.DUMMYFUNCTION("""COMPUTED_VALUE"""),"K/33/191124/2")</f>
        <v>K/33/191124/2</v>
      </c>
      <c r="C1383" s="7" t="str">
        <f>IFERROR(__xludf.DUMMYFUNCTION("""COMPUTED_VALUE"""),"M.529/SAWAH LAMA")</f>
        <v>M.529/SAWAH LAMA</v>
      </c>
      <c r="D1383" s="7" t="str">
        <f>IFERROR(__xludf.DUMMYFUNCTION("""COMPUTED_VALUE"""),"Berry")</f>
        <v>Berry</v>
      </c>
      <c r="E1383" s="7" t="str">
        <f>IFERROR(__xludf.DUMMYFUNCTION("""COMPUTED_VALUE"""),"DISERAHKAN")</f>
        <v>DISERAHKAN</v>
      </c>
      <c r="F1383" s="9">
        <f>IFERROR(__xludf.DUMMYFUNCTION("""COMPUTED_VALUE"""),45616.63360958333)</f>
        <v>45616.63361</v>
      </c>
      <c r="G1383" s="7" t="str">
        <f>IFERROR(__xludf.DUMMYFUNCTION("""COMPUTED_VALUE"""),"BN JUAL BELI")</f>
        <v>BN JUAL BELI</v>
      </c>
      <c r="H1383" s="7">
        <f t="shared" si="1"/>
        <v>621</v>
      </c>
    </row>
    <row r="1384" ht="22.5" customHeight="1">
      <c r="B1384" s="7" t="str">
        <f>IFERROR(__xludf.DUMMYFUNCTION("""COMPUTED_VALUE"""),"L/39/191124/1")</f>
        <v>L/39/191124/1</v>
      </c>
      <c r="C1384" s="7" t="str">
        <f>IFERROR(__xludf.DUMMYFUNCTION("""COMPUTED_VALUE"""),"HM 3180/KOTA BARU (BATAL, Menolak Menjadi Elektronik)")</f>
        <v>HM 3180/KOTA BARU (BATAL, Menolak Menjadi Elektronik)</v>
      </c>
      <c r="D1384" s="7" t="str">
        <f>IFERROR(__xludf.DUMMYFUNCTION("""COMPUTED_VALUE"""),"Berry")</f>
        <v>Berry</v>
      </c>
      <c r="E1384" s="7" t="str">
        <f>IFERROR(__xludf.DUMMYFUNCTION("""COMPUTED_VALUE"""),"DISERAHKAN")</f>
        <v>DISERAHKAN</v>
      </c>
      <c r="F1384" s="9">
        <f>IFERROR(__xludf.DUMMYFUNCTION("""COMPUTED_VALUE"""),45616.63360958333)</f>
        <v>45616.63361</v>
      </c>
      <c r="G1384" s="7" t="str">
        <f>IFERROR(__xludf.DUMMYFUNCTION("""COMPUTED_VALUE"""),"ROYA")</f>
        <v>ROYA</v>
      </c>
      <c r="H1384" s="7">
        <f t="shared" si="1"/>
        <v>622</v>
      </c>
    </row>
    <row r="1385" ht="22.5" customHeight="1">
      <c r="B1385" s="7" t="str">
        <f>IFERROR(__xludf.DUMMYFUNCTION("""COMPUTED_VALUE"""),"K/40/191124/1")</f>
        <v>K/40/191124/1</v>
      </c>
      <c r="C1385" s="7" t="str">
        <f>IFERROR(__xludf.DUMMYFUNCTION("""COMPUTED_VALUE"""),"M. 10206/ Segala Mider")</f>
        <v>M. 10206/ Segala Mider</v>
      </c>
      <c r="D1385" s="7"/>
      <c r="E1385" s="7"/>
      <c r="F1385" s="9" t="str">
        <f>IFERROR(__xludf.DUMMYFUNCTION("""COMPUTED_VALUE"""),"")</f>
        <v/>
      </c>
      <c r="G1385" s="7" t="str">
        <f>IFERROR(__xludf.DUMMYFUNCTION("""COMPUTED_VALUE"""),"BN Waris")</f>
        <v>BN Waris</v>
      </c>
      <c r="H1385" s="7">
        <f t="shared" si="1"/>
        <v>622</v>
      </c>
    </row>
    <row r="1386" ht="22.5" customHeight="1">
      <c r="B1386" s="7" t="str">
        <f>IFERROR(__xludf.DUMMYFUNCTION("""COMPUTED_VALUE"""),"K/41/191124/2")</f>
        <v>K/41/191124/2</v>
      </c>
      <c r="C1386" s="7" t="str">
        <f>IFERROR(__xludf.DUMMYFUNCTION("""COMPUTED_VALUE"""),"M. 14241/ Sukarame")</f>
        <v>M. 14241/ Sukarame</v>
      </c>
      <c r="D1386" s="7"/>
      <c r="E1386" s="7"/>
      <c r="F1386" s="9" t="str">
        <f>IFERROR(__xludf.DUMMYFUNCTION("""COMPUTED_VALUE"""),"")</f>
        <v/>
      </c>
      <c r="G1386" s="7" t="str">
        <f>IFERROR(__xludf.DUMMYFUNCTION("""COMPUTED_VALUE"""),"Roya")</f>
        <v>Roya</v>
      </c>
      <c r="H1386" s="7">
        <f t="shared" si="1"/>
        <v>622</v>
      </c>
    </row>
    <row r="1387" ht="22.5" customHeight="1">
      <c r="B1387" s="7" t="str">
        <f>IFERROR(__xludf.DUMMYFUNCTION("""COMPUTED_VALUE"""),"K/42/191124/3")</f>
        <v>K/42/191124/3</v>
      </c>
      <c r="C1387" s="7" t="str">
        <f>IFERROR(__xludf.DUMMYFUNCTION("""COMPUTED_VALUE"""),"Nibel. M. 2881/ W H P")</f>
        <v>Nibel. M. 2881/ W H P</v>
      </c>
      <c r="D1387" s="7"/>
      <c r="E1387" s="7"/>
      <c r="F1387" s="9" t="str">
        <f>IFERROR(__xludf.DUMMYFUNCTION("""COMPUTED_VALUE"""),"")</f>
        <v/>
      </c>
      <c r="G1387" s="7" t="str">
        <f>IFERROR(__xludf.DUMMYFUNCTION("""COMPUTED_VALUE"""),"BN Jual Beli")</f>
        <v>BN Jual Beli</v>
      </c>
      <c r="H1387" s="7">
        <f t="shared" si="1"/>
        <v>622</v>
      </c>
    </row>
    <row r="1388" ht="22.5" customHeight="1">
      <c r="B1388" s="7" t="str">
        <f>IFERROR(__xludf.DUMMYFUNCTION("""COMPUTED_VALUE"""),"K/34/191124/1")</f>
        <v>K/34/191124/1</v>
      </c>
      <c r="C1388" s="7" t="str">
        <f>IFERROR(__xludf.DUMMYFUNCTION("""COMPUTED_VALUE"""),"M. 11038/ Jagabaya II")</f>
        <v>M. 11038/ Jagabaya II</v>
      </c>
      <c r="D1388" s="7"/>
      <c r="E1388" s="7"/>
      <c r="F1388" s="9" t="str">
        <f>IFERROR(__xludf.DUMMYFUNCTION("""COMPUTED_VALUE"""),"")</f>
        <v/>
      </c>
      <c r="G1388" s="7" t="str">
        <f>IFERROR(__xludf.DUMMYFUNCTION("""COMPUTED_VALUE"""),"SKPT LELANG")</f>
        <v>SKPT LELANG</v>
      </c>
      <c r="H1388" s="7">
        <f t="shared" si="1"/>
        <v>622</v>
      </c>
    </row>
    <row r="1389" ht="22.5" customHeight="1">
      <c r="B1389" s="7" t="str">
        <f>IFERROR(__xludf.DUMMYFUNCTION("""COMPUTED_VALUE"""),"K/35/191124/2")</f>
        <v>K/35/191124/2</v>
      </c>
      <c r="C1389" s="7" t="str">
        <f>IFERROR(__xludf.DUMMYFUNCTION("""COMPUTED_VALUE"""),"M. 11470/ Tanjung Baru")</f>
        <v>M. 11470/ Tanjung Baru</v>
      </c>
      <c r="D1389" s="7"/>
      <c r="E1389" s="7"/>
      <c r="F1389" s="9" t="str">
        <f>IFERROR(__xludf.DUMMYFUNCTION("""COMPUTED_VALUE"""),"")</f>
        <v/>
      </c>
      <c r="G1389" s="7" t="str">
        <f>IFERROR(__xludf.DUMMYFUNCTION("""COMPUTED_VALUE"""),"SKPT LELANG")</f>
        <v>SKPT LELANG</v>
      </c>
      <c r="H1389" s="7">
        <f t="shared" si="1"/>
        <v>622</v>
      </c>
    </row>
    <row r="1390" ht="22.5" customHeight="1">
      <c r="B1390" s="7" t="str">
        <f>IFERROR(__xludf.DUMMYFUNCTION("""COMPUTED_VALUE"""),"K/36/191124/3")</f>
        <v>K/36/191124/3</v>
      </c>
      <c r="C1390" s="7" t="str">
        <f>IFERROR(__xludf.DUMMYFUNCTION("""COMPUTED_VALUE"""),"M. 11471/ Tanjung Baru")</f>
        <v>M. 11471/ Tanjung Baru</v>
      </c>
      <c r="D1390" s="7"/>
      <c r="E1390" s="7"/>
      <c r="F1390" s="9" t="str">
        <f>IFERROR(__xludf.DUMMYFUNCTION("""COMPUTED_VALUE"""),"")</f>
        <v/>
      </c>
      <c r="G1390" s="7" t="str">
        <f>IFERROR(__xludf.DUMMYFUNCTION("""COMPUTED_VALUE"""),"SKPT LELANG")</f>
        <v>SKPT LELANG</v>
      </c>
      <c r="H1390" s="7">
        <f t="shared" si="1"/>
        <v>622</v>
      </c>
    </row>
    <row r="1391" ht="22.5" customHeight="1">
      <c r="B1391" s="7" t="str">
        <f>IFERROR(__xludf.DUMMYFUNCTION("""COMPUTED_VALUE"""),"K/37/191124/4")</f>
        <v>K/37/191124/4</v>
      </c>
      <c r="C1391" s="7" t="str">
        <f>IFERROR(__xludf.DUMMYFUNCTION("""COMPUTED_VALUE"""),"M. 281/ Pesawahan")</f>
        <v>M. 281/ Pesawahan</v>
      </c>
      <c r="D1391" s="7"/>
      <c r="E1391" s="7"/>
      <c r="F1391" s="9" t="str">
        <f>IFERROR(__xludf.DUMMYFUNCTION("""COMPUTED_VALUE"""),"")</f>
        <v/>
      </c>
      <c r="G1391" s="7" t="str">
        <f>IFERROR(__xludf.DUMMYFUNCTION("""COMPUTED_VALUE"""),"SKPT LELANG")</f>
        <v>SKPT LELANG</v>
      </c>
      <c r="H1391" s="7">
        <f t="shared" si="1"/>
        <v>622</v>
      </c>
    </row>
    <row r="1392" ht="22.5" customHeight="1">
      <c r="B1392" s="7" t="str">
        <f>IFERROR(__xludf.DUMMYFUNCTION("""COMPUTED_VALUE"""),"K/38/191124/5")</f>
        <v>K/38/191124/5</v>
      </c>
      <c r="C1392" s="7" t="str">
        <f>IFERROR(__xludf.DUMMYFUNCTION("""COMPUTED_VALUE"""),"M. 1101/ Sumur Batu")</f>
        <v>M. 1101/ Sumur Batu</v>
      </c>
      <c r="D1392" s="7" t="str">
        <f>IFERROR(__xludf.DUMMYFUNCTION("""COMPUTED_VALUE"""),"Berry")</f>
        <v>Berry</v>
      </c>
      <c r="E1392" s="7" t="str">
        <f>IFERROR(__xludf.DUMMYFUNCTION("""COMPUTED_VALUE"""),"DISERAHKAN")</f>
        <v>DISERAHKAN</v>
      </c>
      <c r="F1392" s="9">
        <f>IFERROR(__xludf.DUMMYFUNCTION("""COMPUTED_VALUE"""),45616.63360958333)</f>
        <v>45616.63361</v>
      </c>
      <c r="G1392" s="7" t="str">
        <f>IFERROR(__xludf.DUMMYFUNCTION("""COMPUTED_VALUE"""),"SKPT LELANG")</f>
        <v>SKPT LELANG</v>
      </c>
      <c r="H1392" s="7">
        <f t="shared" si="1"/>
        <v>623</v>
      </c>
    </row>
    <row r="1393" ht="22.5" customHeight="1">
      <c r="B1393" s="7" t="str">
        <f>IFERROR(__xludf.DUMMYFUNCTION("""COMPUTED_VALUE"""),"K/43/191124/1")</f>
        <v>K/43/191124/1</v>
      </c>
      <c r="C1393" s="7" t="str">
        <f>IFERROR(__xludf.DUMMYFUNCTION("""COMPUTED_VALUE"""),"M.1855/WAY KANDIS")</f>
        <v>M.1855/WAY KANDIS</v>
      </c>
      <c r="D1393" s="7" t="str">
        <f>IFERROR(__xludf.DUMMYFUNCTION("""COMPUTED_VALUE"""),"Berry")</f>
        <v>Berry</v>
      </c>
      <c r="E1393" s="7" t="str">
        <f>IFERROR(__xludf.DUMMYFUNCTION("""COMPUTED_VALUE"""),"DISERAHKAN")</f>
        <v>DISERAHKAN</v>
      </c>
      <c r="F1393" s="9">
        <f>IFERROR(__xludf.DUMMYFUNCTION("""COMPUTED_VALUE"""),45622.50264391204)</f>
        <v>45622.50264</v>
      </c>
      <c r="G1393" s="7" t="str">
        <f>IFERROR(__xludf.DUMMYFUNCTION("""COMPUTED_VALUE"""),"PLOTING")</f>
        <v>PLOTING</v>
      </c>
      <c r="H1393" s="7">
        <f t="shared" si="1"/>
        <v>624</v>
      </c>
    </row>
    <row r="1394" ht="22.5" customHeight="1">
      <c r="B1394" s="7" t="str">
        <f>IFERROR(__xludf.DUMMYFUNCTION("""COMPUTED_VALUE"""),"K/44/191124/2")</f>
        <v>K/44/191124/2</v>
      </c>
      <c r="C1394" s="7" t="str">
        <f>IFERROR(__xludf.DUMMYFUNCTION("""COMPUTED_VALUE"""),"M.220/BATU PUTU")</f>
        <v>M.220/BATU PUTU</v>
      </c>
      <c r="D1394" s="7"/>
      <c r="E1394" s="7"/>
      <c r="F1394" s="9" t="str">
        <f>IFERROR(__xludf.DUMMYFUNCTION("""COMPUTED_VALUE"""),"")</f>
        <v/>
      </c>
      <c r="G1394" s="7" t="str">
        <f>IFERROR(__xludf.DUMMYFUNCTION("""COMPUTED_VALUE"""),"KEWARISAN")</f>
        <v>KEWARISAN</v>
      </c>
      <c r="H1394" s="7">
        <f t="shared" si="1"/>
        <v>624</v>
      </c>
    </row>
    <row r="1395" ht="22.5" customHeight="1">
      <c r="B1395" s="7" t="str">
        <f>IFERROR(__xludf.DUMMYFUNCTION("""COMPUTED_VALUE"""),"L/45/191124/1")</f>
        <v>L/45/191124/1</v>
      </c>
      <c r="C1395" s="7" t="str">
        <f>IFERROR(__xludf.DUMMYFUNCTION("""COMPUTED_VALUE"""),"HM 13671/KEDAMAIAN")</f>
        <v>HM 13671/KEDAMAIAN</v>
      </c>
      <c r="D1395" s="7"/>
      <c r="E1395" s="7"/>
      <c r="F1395" s="9" t="str">
        <f>IFERROR(__xludf.DUMMYFUNCTION("""COMPUTED_VALUE"""),"")</f>
        <v/>
      </c>
      <c r="G1395" s="7" t="str">
        <f>IFERROR(__xludf.DUMMYFUNCTION("""COMPUTED_VALUE"""),"ROYA")</f>
        <v>ROYA</v>
      </c>
      <c r="H1395" s="7">
        <f t="shared" si="1"/>
        <v>624</v>
      </c>
    </row>
    <row r="1396" ht="22.5" customHeight="1">
      <c r="B1396" s="7" t="str">
        <f>IFERROR(__xludf.DUMMYFUNCTION("""COMPUTED_VALUE"""),"K/47/191124/1")</f>
        <v>K/47/191124/1</v>
      </c>
      <c r="C1396" s="7" t="str">
        <f>IFERROR(__xludf.DUMMYFUNCTION("""COMPUTED_VALUE"""),"M.2129/GEDONG AIR")</f>
        <v>M.2129/GEDONG AIR</v>
      </c>
      <c r="D1396" s="7"/>
      <c r="E1396" s="7"/>
      <c r="F1396" s="9" t="str">
        <f>IFERROR(__xludf.DUMMYFUNCTION("""COMPUTED_VALUE"""),"")</f>
        <v/>
      </c>
      <c r="G1396" s="7" t="str">
        <f>IFERROR(__xludf.DUMMYFUNCTION("""COMPUTED_VALUE"""),"PTPGT")</f>
        <v>PTPGT</v>
      </c>
      <c r="H1396" s="7">
        <f t="shared" si="1"/>
        <v>624</v>
      </c>
    </row>
    <row r="1397" ht="22.5" customHeight="1">
      <c r="B1397" s="7" t="str">
        <f>IFERROR(__xludf.DUMMYFUNCTION("""COMPUTED_VALUE"""),"K/46/191124/1")</f>
        <v>K/46/191124/1</v>
      </c>
      <c r="C1397" s="7" t="str">
        <f>IFERROR(__xludf.DUMMYFUNCTION("""COMPUTED_VALUE"""),"Nibel  3474/ Labuhan Ratu")</f>
        <v>Nibel  3474/ Labuhan Ratu</v>
      </c>
      <c r="D1397" s="7" t="str">
        <f>IFERROR(__xludf.DUMMYFUNCTION("""COMPUTED_VALUE"""),"Berry")</f>
        <v>Berry</v>
      </c>
      <c r="E1397" s="7" t="str">
        <f>IFERROR(__xludf.DUMMYFUNCTION("""COMPUTED_VALUE"""),"DISERAHKAN")</f>
        <v>DISERAHKAN</v>
      </c>
      <c r="F1397" s="9">
        <f>IFERROR(__xludf.DUMMYFUNCTION("""COMPUTED_VALUE"""),45616.63360958333)</f>
        <v>45616.63361</v>
      </c>
      <c r="G1397" s="7" t="str">
        <f>IFERROR(__xludf.DUMMYFUNCTION("""COMPUTED_VALUE"""),"GANTI KELURAHAN")</f>
        <v>GANTI KELURAHAN</v>
      </c>
      <c r="H1397" s="7">
        <f t="shared" si="1"/>
        <v>625</v>
      </c>
    </row>
    <row r="1398" ht="22.5" customHeight="1">
      <c r="B1398" s="7" t="str">
        <f>IFERROR(__xludf.DUMMYFUNCTION("""COMPUTED_VALUE"""),"K/48/191124/1")</f>
        <v>K/48/191124/1</v>
      </c>
      <c r="C1398" s="7" t="str">
        <f>IFERROR(__xludf.DUMMYFUNCTION("""COMPUTED_VALUE"""),"NIBEL M. 3630/SUKADANA HAM")</f>
        <v>NIBEL M. 3630/SUKADANA HAM</v>
      </c>
      <c r="D1398" s="7" t="str">
        <f>IFERROR(__xludf.DUMMYFUNCTION("""COMPUTED_VALUE"""),"Berry")</f>
        <v>Berry</v>
      </c>
      <c r="E1398" s="7" t="str">
        <f>IFERROR(__xludf.DUMMYFUNCTION("""COMPUTED_VALUE"""),"DISERAHKAN BT")</f>
        <v>DISERAHKAN BT</v>
      </c>
      <c r="F1398" s="9">
        <f>IFERROR(__xludf.DUMMYFUNCTION("""COMPUTED_VALUE"""),45616.63360958333)</f>
        <v>45616.63361</v>
      </c>
      <c r="G1398" s="7" t="str">
        <f>IFERROR(__xludf.DUMMYFUNCTION("""COMPUTED_VALUE"""),"PTPGT")</f>
        <v>PTPGT</v>
      </c>
      <c r="H1398" s="7">
        <f t="shared" si="1"/>
        <v>625</v>
      </c>
    </row>
    <row r="1399" ht="22.5" customHeight="1">
      <c r="B1399" s="7" t="str">
        <f>IFERROR(__xludf.DUMMYFUNCTION("""COMPUTED_VALUE"""),"K/49/191124/1")</f>
        <v>K/49/191124/1</v>
      </c>
      <c r="C1399" s="7" t="str">
        <f>IFERROR(__xludf.DUMMYFUNCTION("""COMPUTED_VALUE"""),"M.4493/RAJABASA JAYA")</f>
        <v>M.4493/RAJABASA JAYA</v>
      </c>
      <c r="D1399" s="7" t="str">
        <f>IFERROR(__xludf.DUMMYFUNCTION("""COMPUTED_VALUE"""),"Berry")</f>
        <v>Berry</v>
      </c>
      <c r="E1399" s="7" t="str">
        <f>IFERROR(__xludf.DUMMYFUNCTION("""COMPUTED_VALUE"""),"DISERAHKAN")</f>
        <v>DISERAHKAN</v>
      </c>
      <c r="F1399" s="9">
        <f>IFERROR(__xludf.DUMMYFUNCTION("""COMPUTED_VALUE"""),45616.63360958333)</f>
        <v>45616.63361</v>
      </c>
      <c r="G1399" s="7" t="str">
        <f>IFERROR(__xludf.DUMMYFUNCTION("""COMPUTED_VALUE"""),"BN JUAL BELI")</f>
        <v>BN JUAL BELI</v>
      </c>
      <c r="H1399" s="7">
        <f t="shared" si="1"/>
        <v>626</v>
      </c>
    </row>
    <row r="1400" ht="22.5" customHeight="1">
      <c r="B1400" s="7" t="str">
        <f>IFERROR(__xludf.DUMMYFUNCTION("""COMPUTED_VALUE"""),"L/51/191124/1")</f>
        <v>L/51/191124/1</v>
      </c>
      <c r="C1400" s="7" t="str">
        <f>IFERROR(__xludf.DUMMYFUNCTION("""COMPUTED_VALUE"""),"HM 360/PESAWAHAN")</f>
        <v>HM 360/PESAWAHAN</v>
      </c>
      <c r="D1400" s="7" t="str">
        <f>IFERROR(__xludf.DUMMYFUNCTION("""COMPUTED_VALUE"""),"Berry")</f>
        <v>Berry</v>
      </c>
      <c r="E1400" s="7" t="str">
        <f>IFERROR(__xludf.DUMMYFUNCTION("""COMPUTED_VALUE"""),"DISERAHKAN")</f>
        <v>DISERAHKAN</v>
      </c>
      <c r="F1400" s="9">
        <f>IFERROR(__xludf.DUMMYFUNCTION("""COMPUTED_VALUE"""),45616.63360958333)</f>
        <v>45616.63361</v>
      </c>
      <c r="G1400" s="7" t="str">
        <f>IFERROR(__xludf.DUMMYFUNCTION("""COMPUTED_VALUE"""),"ROYA")</f>
        <v>ROYA</v>
      </c>
      <c r="H1400" s="7">
        <f t="shared" si="1"/>
        <v>627</v>
      </c>
    </row>
    <row r="1401" ht="22.5" customHeight="1">
      <c r="B1401" s="7" t="str">
        <f>IFERROR(__xludf.DUMMYFUNCTION("""COMPUTED_VALUE"""),"K/50/191124/2")</f>
        <v>K/50/191124/2</v>
      </c>
      <c r="C1401" s="7" t="str">
        <f>IFERROR(__xludf.DUMMYFUNCTION("""COMPUTED_VALUE"""),"M.44/BILABONG JAYA")</f>
        <v>M.44/BILABONG JAYA</v>
      </c>
      <c r="D1401" s="7" t="str">
        <f>IFERROR(__xludf.DUMMYFUNCTION("""COMPUTED_VALUE"""),"Berry")</f>
        <v>Berry</v>
      </c>
      <c r="E1401" s="7" t="str">
        <f>IFERROR(__xludf.DUMMYFUNCTION("""COMPUTED_VALUE"""),"PROSES")</f>
        <v>PROSES</v>
      </c>
      <c r="F1401" s="9" t="str">
        <f>IFERROR(__xludf.DUMMYFUNCTION("""COMPUTED_VALUE"""),"")</f>
        <v/>
      </c>
      <c r="G1401" s="7" t="str">
        <f>IFERROR(__xludf.DUMMYFUNCTION("""COMPUTED_VALUE"""),"BN JUAL BELI")</f>
        <v>BN JUAL BELI</v>
      </c>
      <c r="H1401" s="7">
        <f t="shared" si="1"/>
        <v>627</v>
      </c>
    </row>
    <row r="1402" ht="22.5" customHeight="1">
      <c r="B1402" s="7" t="str">
        <f>IFERROR(__xludf.DUMMYFUNCTION("""COMPUTED_VALUE"""),"L/52/191124/1")</f>
        <v>L/52/191124/1</v>
      </c>
      <c r="C1402" s="7" t="str">
        <f>IFERROR(__xludf.DUMMYFUNCTION("""COMPUTED_VALUE"""),"HM 9009/SUKABUMI")</f>
        <v>HM 9009/SUKABUMI</v>
      </c>
      <c r="D1402" s="7" t="str">
        <f>IFERROR(__xludf.DUMMYFUNCTION("""COMPUTED_VALUE"""),"Berry")</f>
        <v>Berry</v>
      </c>
      <c r="E1402" s="7" t="str">
        <f>IFERROR(__xludf.DUMMYFUNCTION("""COMPUTED_VALUE"""),"PROSES")</f>
        <v>PROSES</v>
      </c>
      <c r="F1402" s="9" t="str">
        <f>IFERROR(__xludf.DUMMYFUNCTION("""COMPUTED_VALUE"""),"")</f>
        <v/>
      </c>
      <c r="G1402" s="7" t="str">
        <f>IFERROR(__xludf.DUMMYFUNCTION("""COMPUTED_VALUE"""),"ROYA")</f>
        <v>ROYA</v>
      </c>
      <c r="H1402" s="7">
        <f t="shared" si="1"/>
        <v>627</v>
      </c>
    </row>
    <row r="1403" ht="22.5" customHeight="1">
      <c r="B1403" s="7" t="str">
        <f>IFERROR(__xludf.DUMMYFUNCTION("""COMPUTED_VALUE"""),"K/53/191124/1")</f>
        <v>K/53/191124/1</v>
      </c>
      <c r="C1403" s="7" t="str">
        <f>IFERROR(__xludf.DUMMYFUNCTION("""COMPUTED_VALUE"""),"M. 215/ Bumi Raya")</f>
        <v>M. 215/ Bumi Raya</v>
      </c>
      <c r="D1403" s="7" t="str">
        <f>IFERROR(__xludf.DUMMYFUNCTION("""COMPUTED_VALUE"""),"Berry")</f>
        <v>Berry</v>
      </c>
      <c r="E1403" s="7" t="str">
        <f>IFERROR(__xludf.DUMMYFUNCTION("""COMPUTED_VALUE"""),"DISERAHKAN")</f>
        <v>DISERAHKAN</v>
      </c>
      <c r="F1403" s="9">
        <f>IFERROR(__xludf.DUMMYFUNCTION("""COMPUTED_VALUE"""),45616.63360958333)</f>
        <v>45616.63361</v>
      </c>
      <c r="G1403" s="7" t="str">
        <f>IFERROR(__xludf.DUMMYFUNCTION("""COMPUTED_VALUE"""),"BN WARIS")</f>
        <v>BN WARIS</v>
      </c>
      <c r="H1403" s="7">
        <f t="shared" si="1"/>
        <v>628</v>
      </c>
    </row>
    <row r="1404" ht="22.5" customHeight="1">
      <c r="B1404" s="7" t="str">
        <f>IFERROR(__xludf.DUMMYFUNCTION("""COMPUTED_VALUE"""),"K/54/191124/2")</f>
        <v>K/54/191124/2</v>
      </c>
      <c r="C1404" s="7" t="str">
        <f>IFERROR(__xludf.DUMMYFUNCTION("""COMPUTED_VALUE"""),"M. 1974/ Jagabaya III")</f>
        <v>M. 1974/ Jagabaya III</v>
      </c>
      <c r="D1404" s="7"/>
      <c r="E1404" s="7" t="str">
        <f>IFERROR(__xludf.DUMMYFUNCTION("""COMPUTED_VALUE"""),"DISERAHKAN")</f>
        <v>DISERAHKAN</v>
      </c>
      <c r="F1404" s="9">
        <f>IFERROR(__xludf.DUMMYFUNCTION("""COMPUTED_VALUE"""),45616.67812277778)</f>
        <v>45616.67812</v>
      </c>
      <c r="G1404" s="7" t="str">
        <f>IFERROR(__xludf.DUMMYFUNCTION("""COMPUTED_VALUE"""),"BN WARIS")</f>
        <v>BN WARIS</v>
      </c>
      <c r="H1404" s="7">
        <f t="shared" si="1"/>
        <v>629</v>
      </c>
    </row>
    <row r="1405" ht="22.5" customHeight="1">
      <c r="B1405" s="7" t="str">
        <f>IFERROR(__xludf.DUMMYFUNCTION("""COMPUTED_VALUE"""),"K/55/191124/1")</f>
        <v>K/55/191124/1</v>
      </c>
      <c r="C1405" s="7" t="str">
        <f>IFERROR(__xludf.DUMMYFUNCTION("""COMPUTED_VALUE"""),"B.725/SUMUR PUTRI")</f>
        <v>B.725/SUMUR PUTRI</v>
      </c>
      <c r="D1405" s="7"/>
      <c r="E1405" s="7"/>
      <c r="F1405" s="9" t="str">
        <f>IFERROR(__xludf.DUMMYFUNCTION("""COMPUTED_VALUE"""),"")</f>
        <v/>
      </c>
      <c r="G1405" s="7" t="str">
        <f>IFERROR(__xludf.DUMMYFUNCTION("""COMPUTED_VALUE"""),"BN JUAL BELI")</f>
        <v>BN JUAL BELI</v>
      </c>
      <c r="H1405" s="7">
        <f t="shared" si="1"/>
        <v>629</v>
      </c>
    </row>
    <row r="1406" ht="22.5" customHeight="1">
      <c r="B1406" s="7" t="str">
        <f>IFERROR(__xludf.DUMMYFUNCTION("""COMPUTED_VALUE"""),"K/1/201124/1")</f>
        <v>K/1/201124/1</v>
      </c>
      <c r="C1406" s="7" t="str">
        <f>IFERROR(__xludf.DUMMYFUNCTION("""COMPUTED_VALUE"""),"M. 2529/ Kota Karang; SHT 3781/2019")</f>
        <v>M. 2529/ Kota Karang; SHT 3781/2019</v>
      </c>
      <c r="D1406" s="7"/>
      <c r="E1406" s="7"/>
      <c r="F1406" s="9" t="str">
        <f>IFERROR(__xludf.DUMMYFUNCTION("""COMPUTED_VALUE"""),"")</f>
        <v/>
      </c>
      <c r="G1406" s="7" t="str">
        <f>IFERROR(__xludf.DUMMYFUNCTION("""COMPUTED_VALUE"""),"Roya")</f>
        <v>Roya</v>
      </c>
      <c r="H1406" s="7">
        <f t="shared" si="1"/>
        <v>629</v>
      </c>
    </row>
    <row r="1407" ht="22.5" customHeight="1">
      <c r="B1407" s="7" t="str">
        <f>IFERROR(__xludf.DUMMYFUNCTION("""COMPUTED_VALUE"""),"K/2/201124/1")</f>
        <v>K/2/201124/1</v>
      </c>
      <c r="C1407" s="7" t="str">
        <f>IFERROR(__xludf.DUMMYFUNCTION("""COMPUTED_VALUE"""),"B.445/TANJUNG BARU")</f>
        <v>B.445/TANJUNG BARU</v>
      </c>
      <c r="D1407" s="7" t="str">
        <f>IFERROR(__xludf.DUMMYFUNCTION("""COMPUTED_VALUE"""),"Berry")</f>
        <v>Berry</v>
      </c>
      <c r="E1407" s="7" t="str">
        <f>IFERROR(__xludf.DUMMYFUNCTION("""COMPUTED_VALUE"""),"PROSES")</f>
        <v>PROSES</v>
      </c>
      <c r="F1407" s="9" t="str">
        <f>IFERROR(__xludf.DUMMYFUNCTION("""COMPUTED_VALUE"""),"")</f>
        <v/>
      </c>
      <c r="G1407" s="7" t="str">
        <f>IFERROR(__xludf.DUMMYFUNCTION("""COMPUTED_VALUE"""),"GANTI DESA")</f>
        <v>GANTI DESA</v>
      </c>
      <c r="H1407" s="7">
        <f t="shared" si="1"/>
        <v>629</v>
      </c>
    </row>
    <row r="1408" ht="22.5" customHeight="1">
      <c r="B1408" s="7" t="str">
        <f>IFERROR(__xludf.DUMMYFUNCTION("""COMPUTED_VALUE"""),"K/3/201124/1")</f>
        <v>K/3/201124/1</v>
      </c>
      <c r="C1408" s="7" t="str">
        <f>IFERROR(__xludf.DUMMYFUNCTION("""COMPUTED_VALUE"""),"B. 1276/ Tanjung Seneng")</f>
        <v>B. 1276/ Tanjung Seneng</v>
      </c>
      <c r="D1408" s="7" t="str">
        <f>IFERROR(__xludf.DUMMYFUNCTION("""COMPUTED_VALUE"""),"Berry")</f>
        <v>Berry</v>
      </c>
      <c r="E1408" s="7" t="str">
        <f>IFERROR(__xludf.DUMMYFUNCTION("""COMPUTED_VALUE"""),"PROSES")</f>
        <v>PROSES</v>
      </c>
      <c r="F1408" s="9" t="str">
        <f>IFERROR(__xludf.DUMMYFUNCTION("""COMPUTED_VALUE"""),"")</f>
        <v/>
      </c>
      <c r="G1408" s="7" t="str">
        <f>IFERROR(__xludf.DUMMYFUNCTION("""COMPUTED_VALUE"""),"SKPT Informasi")</f>
        <v>SKPT Informasi</v>
      </c>
      <c r="H1408" s="7">
        <f t="shared" si="1"/>
        <v>629</v>
      </c>
    </row>
    <row r="1409" ht="22.5" customHeight="1">
      <c r="B1409" s="7" t="str">
        <f>IFERROR(__xludf.DUMMYFUNCTION("""COMPUTED_VALUE"""),"K/4/201124/1")</f>
        <v>K/4/201124/1</v>
      </c>
      <c r="C1409" s="7" t="str">
        <f>IFERROR(__xludf.DUMMYFUNCTION("""COMPUTED_VALUE"""),"M.191/BATU PUTU")</f>
        <v>M.191/BATU PUTU</v>
      </c>
      <c r="D1409" s="7" t="str">
        <f>IFERROR(__xludf.DUMMYFUNCTION("""COMPUTED_VALUE"""),"Berry")</f>
        <v>Berry</v>
      </c>
      <c r="E1409" s="7" t="str">
        <f>IFERROR(__xludf.DUMMYFUNCTION("""COMPUTED_VALUE"""),"DISERAHKAN")</f>
        <v>DISERAHKAN</v>
      </c>
      <c r="F1409" s="9">
        <f>IFERROR(__xludf.DUMMYFUNCTION("""COMPUTED_VALUE"""),45617.680161446755)</f>
        <v>45617.68016</v>
      </c>
      <c r="G1409" s="7" t="str">
        <f>IFERROR(__xludf.DUMMYFUNCTION("""COMPUTED_VALUE"""),"BN JUAL BELI")</f>
        <v>BN JUAL BELI</v>
      </c>
      <c r="H1409" s="7">
        <f t="shared" si="1"/>
        <v>630</v>
      </c>
    </row>
    <row r="1410" ht="22.5" customHeight="1">
      <c r="B1410" s="7" t="str">
        <f>IFERROR(__xludf.DUMMYFUNCTION("""COMPUTED_VALUE"""),"L/5/201124/1")</f>
        <v>L/5/201124/1</v>
      </c>
      <c r="C1410" s="7" t="str">
        <f>IFERROR(__xludf.DUMMYFUNCTION("""COMPUTED_VALUE"""),"HM10219/GEDONG MENENG")</f>
        <v>HM10219/GEDONG MENENG</v>
      </c>
      <c r="D1410" s="7" t="str">
        <f>IFERROR(__xludf.DUMMYFUNCTION("""COMPUTED_VALUE"""),"Berry")</f>
        <v>Berry</v>
      </c>
      <c r="E1410" s="7" t="str">
        <f>IFERROR(__xludf.DUMMYFUNCTION("""COMPUTED_VALUE"""),"PROSES")</f>
        <v>PROSES</v>
      </c>
      <c r="F1410" s="9" t="str">
        <f>IFERROR(__xludf.DUMMYFUNCTION("""COMPUTED_VALUE"""),"")</f>
        <v/>
      </c>
      <c r="G1410" s="7" t="str">
        <f>IFERROR(__xludf.DUMMYFUNCTION("""COMPUTED_VALUE"""),"BN WARIS")</f>
        <v>BN WARIS</v>
      </c>
      <c r="H1410" s="7">
        <f t="shared" si="1"/>
        <v>630</v>
      </c>
    </row>
    <row r="1411" ht="22.5" customHeight="1">
      <c r="B1411" s="7" t="str">
        <f>IFERROR(__xludf.DUMMYFUNCTION("""COMPUTED_VALUE"""),"L/6/201124/1")</f>
        <v>L/6/201124/1</v>
      </c>
      <c r="C1411" s="7" t="str">
        <f>IFERROR(__xludf.DUMMYFUNCTION("""COMPUTED_VALUE"""),"HM 2606/WAY KANDIS")</f>
        <v>HM 2606/WAY KANDIS</v>
      </c>
      <c r="D1411" s="7"/>
      <c r="E1411" s="7"/>
      <c r="F1411" s="9" t="str">
        <f>IFERROR(__xludf.DUMMYFUNCTION("""COMPUTED_VALUE"""),"")</f>
        <v/>
      </c>
      <c r="G1411" s="7" t="str">
        <f>IFERROR(__xludf.DUMMYFUNCTION("""COMPUTED_VALUE"""),"HM 2606/WAY KANDIS")</f>
        <v>HM 2606/WAY KANDIS</v>
      </c>
      <c r="H1411" s="7">
        <f t="shared" si="1"/>
        <v>630</v>
      </c>
    </row>
    <row r="1412" ht="22.5" customHeight="1">
      <c r="B1412" s="7" t="str">
        <f>IFERROR(__xludf.DUMMYFUNCTION("""COMPUTED_VALUE"""),"K/7/201124/1")</f>
        <v>K/7/201124/1</v>
      </c>
      <c r="C1412" s="7" t="str">
        <f>IFERROR(__xludf.DUMMYFUNCTION("""COMPUTED_VALUE"""),"M.487/NUSANTARA PERMAI")</f>
        <v>M.487/NUSANTARA PERMAI</v>
      </c>
      <c r="D1412" s="7" t="str">
        <f>IFERROR(__xludf.DUMMYFUNCTION("""COMPUTED_VALUE"""),"Berry")</f>
        <v>Berry</v>
      </c>
      <c r="E1412" s="7" t="str">
        <f>IFERROR(__xludf.DUMMYFUNCTION("""COMPUTED_VALUE"""),"DISERAHKAN")</f>
        <v>DISERAHKAN</v>
      </c>
      <c r="F1412" s="9">
        <f>IFERROR(__xludf.DUMMYFUNCTION("""COMPUTED_VALUE"""),45617.68053884259)</f>
        <v>45617.68054</v>
      </c>
      <c r="G1412" s="7" t="str">
        <f>IFERROR(__xludf.DUMMYFUNCTION("""COMPUTED_VALUE"""),"BN JUAL BELI")</f>
        <v>BN JUAL BELI</v>
      </c>
      <c r="H1412" s="7">
        <f t="shared" si="1"/>
        <v>631</v>
      </c>
    </row>
    <row r="1413" ht="22.5" customHeight="1">
      <c r="B1413" s="7" t="str">
        <f>IFERROR(__xludf.DUMMYFUNCTION("""COMPUTED_VALUE"""),"K/13/201124/1")</f>
        <v>K/13/201124/1</v>
      </c>
      <c r="C1413" s="7" t="str">
        <f>IFERROR(__xludf.DUMMYFUNCTION("""COMPUTED_VALUE"""),"B.1192/SUKABUMI INDAH")</f>
        <v>B.1192/SUKABUMI INDAH</v>
      </c>
      <c r="D1413" s="7" t="str">
        <f>IFERROR(__xludf.DUMMYFUNCTION("""COMPUTED_VALUE"""),"Berry")</f>
        <v>Berry</v>
      </c>
      <c r="E1413" s="7" t="str">
        <f>IFERROR(__xludf.DUMMYFUNCTION("""COMPUTED_VALUE"""),"DISERAHKAN")</f>
        <v>DISERAHKAN</v>
      </c>
      <c r="F1413" s="9">
        <f>IFERROR(__xludf.DUMMYFUNCTION("""COMPUTED_VALUE"""),45617.68080130787)</f>
        <v>45617.6808</v>
      </c>
      <c r="G1413" s="7" t="str">
        <f>IFERROR(__xludf.DUMMYFUNCTION("""COMPUTED_VALUE"""),"PLOTING")</f>
        <v>PLOTING</v>
      </c>
      <c r="H1413" s="7">
        <f t="shared" si="1"/>
        <v>632</v>
      </c>
    </row>
    <row r="1414" ht="22.5" customHeight="1">
      <c r="B1414" s="7" t="str">
        <f>IFERROR(__xludf.DUMMYFUNCTION("""COMPUTED_VALUE"""),"K/8/201124/1")</f>
        <v>K/8/201124/1</v>
      </c>
      <c r="C1414" s="7" t="str">
        <f>IFERROR(__xludf.DUMMYFUNCTION("""COMPUTED_VALUE"""),"B. 2678/ Campang Raya")</f>
        <v>B. 2678/ Campang Raya</v>
      </c>
      <c r="D1414" s="7" t="str">
        <f>IFERROR(__xludf.DUMMYFUNCTION("""COMPUTED_VALUE"""),"Berry")</f>
        <v>Berry</v>
      </c>
      <c r="E1414" s="7" t="str">
        <f>IFERROR(__xludf.DUMMYFUNCTION("""COMPUTED_VALUE"""),"DISERAHKAN")</f>
        <v>DISERAHKAN</v>
      </c>
      <c r="F1414" s="9">
        <f>IFERROR(__xludf.DUMMYFUNCTION("""COMPUTED_VALUE"""),45617.68093644676)</f>
        <v>45617.68094</v>
      </c>
      <c r="G1414" s="7" t="str">
        <f>IFERROR(__xludf.DUMMYFUNCTION("""COMPUTED_VALUE"""),"BN Jual Beli")</f>
        <v>BN Jual Beli</v>
      </c>
      <c r="H1414" s="7">
        <f t="shared" si="1"/>
        <v>633</v>
      </c>
    </row>
    <row r="1415" ht="22.5" customHeight="1">
      <c r="B1415" s="7" t="str">
        <f>IFERROR(__xludf.DUMMYFUNCTION("""COMPUTED_VALUE"""),"K/9/201124/2")</f>
        <v>K/9/201124/2</v>
      </c>
      <c r="C1415" s="7" t="str">
        <f>IFERROR(__xludf.DUMMYFUNCTION("""COMPUTED_VALUE"""),"B. 2679/ Campang Raya")</f>
        <v>B. 2679/ Campang Raya</v>
      </c>
      <c r="D1415" s="7" t="str">
        <f>IFERROR(__xludf.DUMMYFUNCTION("""COMPUTED_VALUE"""),"Berry")</f>
        <v>Berry</v>
      </c>
      <c r="E1415" s="7" t="str">
        <f>IFERROR(__xludf.DUMMYFUNCTION("""COMPUTED_VALUE"""),"PROSES")</f>
        <v>PROSES</v>
      </c>
      <c r="F1415" s="9" t="str">
        <f>IFERROR(__xludf.DUMMYFUNCTION("""COMPUTED_VALUE"""),"")</f>
        <v/>
      </c>
      <c r="G1415" s="7" t="str">
        <f>IFERROR(__xludf.DUMMYFUNCTION("""COMPUTED_VALUE"""),"BN Jual Beli")</f>
        <v>BN Jual Beli</v>
      </c>
      <c r="H1415" s="7">
        <f t="shared" si="1"/>
        <v>633</v>
      </c>
    </row>
    <row r="1416" ht="22.5" customHeight="1">
      <c r="B1416" s="7" t="str">
        <f>IFERROR(__xludf.DUMMYFUNCTION("""COMPUTED_VALUE"""),"K/10/201124/3")</f>
        <v>K/10/201124/3</v>
      </c>
      <c r="C1416" s="7" t="str">
        <f>IFERROR(__xludf.DUMMYFUNCTION("""COMPUTED_VALUE"""),"B. 2677/ Campang Raya")</f>
        <v>B. 2677/ Campang Raya</v>
      </c>
      <c r="D1416" s="7" t="str">
        <f>IFERROR(__xludf.DUMMYFUNCTION("""COMPUTED_VALUE"""),"Berry")</f>
        <v>Berry</v>
      </c>
      <c r="E1416" s="7" t="str">
        <f>IFERROR(__xludf.DUMMYFUNCTION("""COMPUTED_VALUE"""),"DISERAHKAN")</f>
        <v>DISERAHKAN</v>
      </c>
      <c r="F1416" s="9">
        <f>IFERROR(__xludf.DUMMYFUNCTION("""COMPUTED_VALUE"""),45617.681288657404)</f>
        <v>45617.68129</v>
      </c>
      <c r="G1416" s="7" t="str">
        <f>IFERROR(__xludf.DUMMYFUNCTION("""COMPUTED_VALUE"""),"BN Jual Beli")</f>
        <v>BN Jual Beli</v>
      </c>
      <c r="H1416" s="7">
        <f t="shared" si="1"/>
        <v>634</v>
      </c>
    </row>
    <row r="1417" ht="22.5" customHeight="1">
      <c r="B1417" s="7" t="str">
        <f>IFERROR(__xludf.DUMMYFUNCTION("""COMPUTED_VALUE"""),"K/11/201124/1")</f>
        <v>K/11/201124/1</v>
      </c>
      <c r="C1417" s="7" t="str">
        <f>IFERROR(__xludf.DUMMYFUNCTION("""COMPUTED_VALUE"""),"B. 312/ Pematang Wangi-sekarang; B. 201/ Tanjung Seneng")</f>
        <v>B. 312/ Pematang Wangi-sekarang; B. 201/ Tanjung Seneng</v>
      </c>
      <c r="D1417" s="7" t="str">
        <f>IFERROR(__xludf.DUMMYFUNCTION("""COMPUTED_VALUE"""),"Berry")</f>
        <v>Berry</v>
      </c>
      <c r="E1417" s="7" t="str">
        <f>IFERROR(__xludf.DUMMYFUNCTION("""COMPUTED_VALUE"""),"DISERAHKAN")</f>
        <v>DISERAHKAN</v>
      </c>
      <c r="F1417" s="9">
        <f>IFERROR(__xludf.DUMMYFUNCTION("""COMPUTED_VALUE"""),45617.68153956019)</f>
        <v>45617.68154</v>
      </c>
      <c r="G1417" s="7" t="str">
        <f>IFERROR(__xludf.DUMMYFUNCTION("""COMPUTED_VALUE"""),"PERUBAHAN HAK")</f>
        <v>PERUBAHAN HAK</v>
      </c>
      <c r="H1417" s="7">
        <f t="shared" si="1"/>
        <v>635</v>
      </c>
    </row>
    <row r="1418" ht="22.5" customHeight="1">
      <c r="B1418" s="7" t="str">
        <f>IFERROR(__xludf.DUMMYFUNCTION("""COMPUTED_VALUE"""),"K/12/201124/2")</f>
        <v>K/12/201124/2</v>
      </c>
      <c r="C1418" s="7" t="str">
        <f>IFERROR(__xludf.DUMMYFUNCTION("""COMPUTED_VALUE"""),"B. 34/ Korpri Jaya")</f>
        <v>B. 34/ Korpri Jaya</v>
      </c>
      <c r="D1418" s="7" t="str">
        <f>IFERROR(__xludf.DUMMYFUNCTION("""COMPUTED_VALUE"""),"Berry")</f>
        <v>Berry</v>
      </c>
      <c r="E1418" s="7" t="str">
        <f>IFERROR(__xludf.DUMMYFUNCTION("""COMPUTED_VALUE"""),"DISERAHKAN")</f>
        <v>DISERAHKAN</v>
      </c>
      <c r="F1418" s="9">
        <f>IFERROR(__xludf.DUMMYFUNCTION("""COMPUTED_VALUE"""),45617.68164202546)</f>
        <v>45617.68164</v>
      </c>
      <c r="G1418" s="7" t="str">
        <f>IFERROR(__xludf.DUMMYFUNCTION("""COMPUTED_VALUE"""),"BN HIBAH")</f>
        <v>BN HIBAH</v>
      </c>
      <c r="H1418" s="7">
        <f t="shared" si="1"/>
        <v>636</v>
      </c>
    </row>
    <row r="1419" ht="22.5" customHeight="1">
      <c r="B1419" s="7" t="str">
        <f>IFERROR(__xludf.DUMMYFUNCTION("""COMPUTED_VALUE"""),"K/14/201124/1")</f>
        <v>K/14/201124/1</v>
      </c>
      <c r="C1419" s="7" t="str">
        <f>IFERROR(__xludf.DUMMYFUNCTION("""COMPUTED_VALUE"""),"M. 4411/ Rajabasa Jaya")</f>
        <v>M. 4411/ Rajabasa Jaya</v>
      </c>
      <c r="D1419" s="7"/>
      <c r="E1419" s="7"/>
      <c r="F1419" s="9" t="str">
        <f>IFERROR(__xludf.DUMMYFUNCTION("""COMPUTED_VALUE"""),"")</f>
        <v/>
      </c>
      <c r="G1419" s="7" t="str">
        <f>IFERROR(__xludf.DUMMYFUNCTION("""COMPUTED_VALUE"""),"BN JUAL BELI")</f>
        <v>BN JUAL BELI</v>
      </c>
      <c r="H1419" s="7">
        <f t="shared" si="1"/>
        <v>636</v>
      </c>
    </row>
    <row r="1420" ht="22.5" customHeight="1">
      <c r="B1420" s="7" t="str">
        <f>IFERROR(__xludf.DUMMYFUNCTION("""COMPUTED_VALUE"""),"K/15/201124/1")</f>
        <v>K/15/201124/1</v>
      </c>
      <c r="C1420" s="7" t="str">
        <f>IFERROR(__xludf.DUMMYFUNCTION("""COMPUTED_VALUE"""),"M. 2624/ Pinang Jaya")</f>
        <v>M. 2624/ Pinang Jaya</v>
      </c>
      <c r="D1420" s="7"/>
      <c r="E1420" s="7"/>
      <c r="F1420" s="9" t="str">
        <f>IFERROR(__xludf.DUMMYFUNCTION("""COMPUTED_VALUE"""),"")</f>
        <v/>
      </c>
      <c r="G1420" s="7" t="str">
        <f>IFERROR(__xludf.DUMMYFUNCTION("""COMPUTED_VALUE"""),"BN Jual Beli")</f>
        <v>BN Jual Beli</v>
      </c>
      <c r="H1420" s="7">
        <f t="shared" si="1"/>
        <v>636</v>
      </c>
    </row>
    <row r="1421" ht="22.5" customHeight="1">
      <c r="B1421" s="7" t="str">
        <f>IFERROR(__xludf.DUMMYFUNCTION("""COMPUTED_VALUE"""),"K/17/201124/2")</f>
        <v>K/17/201124/2</v>
      </c>
      <c r="C1421" s="7" t="str">
        <f>IFERROR(__xludf.DUMMYFUNCTION("""COMPUTED_VALUE"""),"Nibel. M. 2638/ Kemiling Permai")</f>
        <v>Nibel. M. 2638/ Kemiling Permai</v>
      </c>
      <c r="D1421" s="7"/>
      <c r="E1421" s="7"/>
      <c r="F1421" s="9" t="str">
        <f>IFERROR(__xludf.DUMMYFUNCTION("""COMPUTED_VALUE"""),"")</f>
        <v/>
      </c>
      <c r="G1421" s="7" t="str">
        <f>IFERROR(__xludf.DUMMYFUNCTION("""COMPUTED_VALUE"""),"BN Jul Beli")</f>
        <v>BN Jul Beli</v>
      </c>
      <c r="H1421" s="7">
        <f t="shared" si="1"/>
        <v>636</v>
      </c>
    </row>
    <row r="1422" ht="22.5" customHeight="1">
      <c r="B1422" s="7" t="str">
        <f>IFERROR(__xludf.DUMMYFUNCTION("""COMPUTED_VALUE"""),"K/16/201124/1")</f>
        <v>K/16/201124/1</v>
      </c>
      <c r="C1422" s="7" t="str">
        <f>IFERROR(__xludf.DUMMYFUNCTION("""COMPUTED_VALUE"""),"Nibel. B. 3364/ Pinang Jaya")</f>
        <v>Nibel. B. 3364/ Pinang Jaya</v>
      </c>
      <c r="D1422" s="7" t="str">
        <f>IFERROR(__xludf.DUMMYFUNCTION("""COMPUTED_VALUE"""),"Berry")</f>
        <v>Berry</v>
      </c>
      <c r="E1422" s="7" t="str">
        <f>IFERROR(__xludf.DUMMYFUNCTION("""COMPUTED_VALUE"""),"DISERAHKAN BT")</f>
        <v>DISERAHKAN BT</v>
      </c>
      <c r="F1422" s="9">
        <f>IFERROR(__xludf.DUMMYFUNCTION("""COMPUTED_VALUE"""),45617.68210821759)</f>
        <v>45617.68211</v>
      </c>
      <c r="G1422" s="7" t="str">
        <f>IFERROR(__xludf.DUMMYFUNCTION("""COMPUTED_VALUE"""),"BN Hibah")</f>
        <v>BN Hibah</v>
      </c>
      <c r="H1422" s="7">
        <f t="shared" si="1"/>
        <v>636</v>
      </c>
    </row>
    <row r="1423" ht="22.5" customHeight="1">
      <c r="B1423" s="7" t="str">
        <f>IFERROR(__xludf.DUMMYFUNCTION("""COMPUTED_VALUE"""),"K/18/201124/1")</f>
        <v>K/18/201124/1</v>
      </c>
      <c r="C1423" s="7" t="str">
        <f>IFERROR(__xludf.DUMMYFUNCTION("""COMPUTED_VALUE"""),"NIBEL M. 7655/SURABAYA")</f>
        <v>NIBEL M. 7655/SURABAYA</v>
      </c>
      <c r="D1423" s="7"/>
      <c r="E1423" s="7"/>
      <c r="F1423" s="9" t="str">
        <f>IFERROR(__xludf.DUMMYFUNCTION("""COMPUTED_VALUE"""),"")</f>
        <v/>
      </c>
      <c r="G1423" s="7" t="str">
        <f>IFERROR(__xludf.DUMMYFUNCTION("""COMPUTED_VALUE"""),"BN LELANG")</f>
        <v>BN LELANG</v>
      </c>
      <c r="H1423" s="7">
        <f t="shared" si="1"/>
        <v>636</v>
      </c>
    </row>
    <row r="1424" ht="22.5" customHeight="1">
      <c r="B1424" s="7" t="str">
        <f>IFERROR(__xludf.DUMMYFUNCTION("""COMPUTED_VALUE"""),"K/19/201124/1")</f>
        <v>K/19/201124/1</v>
      </c>
      <c r="C1424" s="7" t="str">
        <f>IFERROR(__xludf.DUMMYFUNCTION("""COMPUTED_VALUE"""),"M. 1668/ Rajabasa Raya")</f>
        <v>M. 1668/ Rajabasa Raya</v>
      </c>
      <c r="D1424" s="7"/>
      <c r="E1424" s="7"/>
      <c r="F1424" s="9" t="str">
        <f>IFERROR(__xludf.DUMMYFUNCTION("""COMPUTED_VALUE"""),"")</f>
        <v/>
      </c>
      <c r="G1424" s="7" t="str">
        <f>IFERROR(__xludf.DUMMYFUNCTION("""COMPUTED_VALUE"""),"BN JUAL BELI")</f>
        <v>BN JUAL BELI</v>
      </c>
      <c r="H1424" s="7">
        <f t="shared" si="1"/>
        <v>636</v>
      </c>
    </row>
    <row r="1425" ht="22.5" customHeight="1">
      <c r="B1425" s="7" t="str">
        <f>IFERROR(__xludf.DUMMYFUNCTION("""COMPUTED_VALUE"""),"K/20/201124/1")</f>
        <v>K/20/201124/1</v>
      </c>
      <c r="C1425" s="7" t="str">
        <f>IFERROR(__xludf.DUMMYFUNCTION("""COMPUTED_VALUE"""),"B. 31/ Sumur Batu")</f>
        <v>B. 31/ Sumur Batu</v>
      </c>
      <c r="D1425" s="7" t="str">
        <f>IFERROR(__xludf.DUMMYFUNCTION("""COMPUTED_VALUE"""),"Berry")</f>
        <v>Berry</v>
      </c>
      <c r="E1425" s="7" t="str">
        <f>IFERROR(__xludf.DUMMYFUNCTION("""COMPUTED_VALUE"""),"DISERAHKAN")</f>
        <v>DISERAHKAN</v>
      </c>
      <c r="F1425" s="9">
        <f>IFERROR(__xludf.DUMMYFUNCTION("""COMPUTED_VALUE"""),45617.68240928241)</f>
        <v>45617.68241</v>
      </c>
      <c r="G1425" s="7" t="str">
        <f>IFERROR(__xludf.DUMMYFUNCTION("""COMPUTED_VALUE"""),"SKPT LELANG")</f>
        <v>SKPT LELANG</v>
      </c>
      <c r="H1425" s="7">
        <f t="shared" si="1"/>
        <v>637</v>
      </c>
    </row>
    <row r="1426" ht="22.5" customHeight="1">
      <c r="B1426" s="7" t="str">
        <f>IFERROR(__xludf.DUMMYFUNCTION("""COMPUTED_VALUE"""),"K/21/201124/2")</f>
        <v>K/21/201124/2</v>
      </c>
      <c r="C1426" s="7" t="str">
        <f>IFERROR(__xludf.DUMMYFUNCTION("""COMPUTED_VALUE"""),"M. 1280/ Kangkung")</f>
        <v>M. 1280/ Kangkung</v>
      </c>
      <c r="D1426" s="7" t="str">
        <f>IFERROR(__xludf.DUMMYFUNCTION("""COMPUTED_VALUE"""),"Berry")</f>
        <v>Berry</v>
      </c>
      <c r="E1426" s="7" t="str">
        <f>IFERROR(__xludf.DUMMYFUNCTION("""COMPUTED_VALUE"""),"DISERAHKAN")</f>
        <v>DISERAHKAN</v>
      </c>
      <c r="F1426" s="9">
        <f>IFERROR(__xludf.DUMMYFUNCTION("""COMPUTED_VALUE"""),45617.682738738426)</f>
        <v>45617.68274</v>
      </c>
      <c r="G1426" s="7" t="str">
        <f>IFERROR(__xludf.DUMMYFUNCTION("""COMPUTED_VALUE"""),"SKPT LELANG")</f>
        <v>SKPT LELANG</v>
      </c>
      <c r="H1426" s="7">
        <f t="shared" si="1"/>
        <v>638</v>
      </c>
    </row>
    <row r="1427" ht="22.5" customHeight="1">
      <c r="B1427" s="7" t="str">
        <f>IFERROR(__xludf.DUMMYFUNCTION("""COMPUTED_VALUE"""),"L/22/201124/1")</f>
        <v>L/22/201124/1</v>
      </c>
      <c r="C1427" s="7" t="str">
        <f>IFERROR(__xludf.DUMMYFUNCTION("""COMPUTED_VALUE"""),"HM 10385/KEDAMAIAN")</f>
        <v>HM 10385/KEDAMAIAN</v>
      </c>
      <c r="D1427" s="7"/>
      <c r="E1427" s="7"/>
      <c r="F1427" s="9" t="str">
        <f>IFERROR(__xludf.DUMMYFUNCTION("""COMPUTED_VALUE"""),"")</f>
        <v/>
      </c>
      <c r="G1427" s="7" t="str">
        <f>IFERROR(__xludf.DUMMYFUNCTION("""COMPUTED_VALUE"""),"SERTIPIKAT HILANG")</f>
        <v>SERTIPIKAT HILANG</v>
      </c>
      <c r="H1427" s="7">
        <f t="shared" si="1"/>
        <v>638</v>
      </c>
    </row>
    <row r="1428" ht="22.5" customHeight="1">
      <c r="B1428" s="7" t="str">
        <f>IFERROR(__xludf.DUMMYFUNCTION("""COMPUTED_VALUE"""),"K/23/201124/1")</f>
        <v>K/23/201124/1</v>
      </c>
      <c r="C1428" s="7" t="str">
        <f>IFERROR(__xludf.DUMMYFUNCTION("""COMPUTED_VALUE"""),"M. 1432/ Sumur Putri")</f>
        <v>M. 1432/ Sumur Putri</v>
      </c>
      <c r="D1428" s="7" t="str">
        <f>IFERROR(__xludf.DUMMYFUNCTION("""COMPUTED_VALUE"""),"David")</f>
        <v>David</v>
      </c>
      <c r="E1428" s="7" t="str">
        <f>IFERROR(__xludf.DUMMYFUNCTION("""COMPUTED_VALUE"""),"DISERAHKAN")</f>
        <v>DISERAHKAN</v>
      </c>
      <c r="F1428" s="9">
        <f>IFERROR(__xludf.DUMMYFUNCTION("""COMPUTED_VALUE"""),45617.68316133102)</f>
        <v>45617.68316</v>
      </c>
      <c r="G1428" s="7" t="str">
        <f>IFERROR(__xludf.DUMMYFUNCTION("""COMPUTED_VALUE"""),"BN Jual Beli")</f>
        <v>BN Jual Beli</v>
      </c>
      <c r="H1428" s="7">
        <f t="shared" si="1"/>
        <v>639</v>
      </c>
    </row>
    <row r="1429" ht="22.5" customHeight="1">
      <c r="B1429" s="7" t="str">
        <f>IFERROR(__xludf.DUMMYFUNCTION("""COMPUTED_VALUE"""),"K/25/201124/1")</f>
        <v>K/25/201124/1</v>
      </c>
      <c r="C1429" s="7" t="str">
        <f>IFERROR(__xludf.DUMMYFUNCTION("""COMPUTED_VALUE"""),"Nibel. M. 6243/ Sumur Putri")</f>
        <v>Nibel. M. 6243/ Sumur Putri</v>
      </c>
      <c r="D1429" s="7"/>
      <c r="E1429" s="7"/>
      <c r="F1429" s="9" t="str">
        <f>IFERROR(__xludf.DUMMYFUNCTION("""COMPUTED_VALUE"""),"")</f>
        <v/>
      </c>
      <c r="G1429" s="7" t="str">
        <f>IFERROR(__xludf.DUMMYFUNCTION("""COMPUTED_VALUE"""),"BN Hibah")</f>
        <v>BN Hibah</v>
      </c>
      <c r="H1429" s="7">
        <f t="shared" si="1"/>
        <v>639</v>
      </c>
    </row>
    <row r="1430" ht="22.5" customHeight="1">
      <c r="B1430" s="7" t="str">
        <f>IFERROR(__xludf.DUMMYFUNCTION("""COMPUTED_VALUE"""),"K/24/201124/1")</f>
        <v>K/24/201124/1</v>
      </c>
      <c r="C1430" s="7" t="str">
        <f>IFERROR(__xludf.DUMMYFUNCTION("""COMPUTED_VALUE"""),"M. 1423/ Kuripan")</f>
        <v>M. 1423/ Kuripan</v>
      </c>
      <c r="D1430" s="7"/>
      <c r="E1430" s="7"/>
      <c r="F1430" s="9" t="str">
        <f>IFERROR(__xludf.DUMMYFUNCTION("""COMPUTED_VALUE"""),"")</f>
        <v/>
      </c>
      <c r="G1430" s="7" t="str">
        <f>IFERROR(__xludf.DUMMYFUNCTION("""COMPUTED_VALUE"""),"BN WARIS")</f>
        <v>BN WARIS</v>
      </c>
      <c r="H1430" s="7">
        <f t="shared" si="1"/>
        <v>639</v>
      </c>
    </row>
    <row r="1431" ht="22.5" customHeight="1">
      <c r="B1431" s="7" t="str">
        <f>IFERROR(__xludf.DUMMYFUNCTION("""COMPUTED_VALUE"""),"K/26/201124/2")</f>
        <v>K/26/201124/2</v>
      </c>
      <c r="C1431" s="7" t="str">
        <f>IFERROR(__xludf.DUMMYFUNCTION("""COMPUTED_VALUE"""),"Nibel. B. 2392/ Sukabumi")</f>
        <v>Nibel. B. 2392/ Sukabumi</v>
      </c>
      <c r="D1431" s="7" t="str">
        <f>IFERROR(__xludf.DUMMYFUNCTION("""COMPUTED_VALUE"""),"David")</f>
        <v>David</v>
      </c>
      <c r="E1431" s="7" t="str">
        <f>IFERROR(__xludf.DUMMYFUNCTION("""COMPUTED_VALUE"""),"DISERAHKAN")</f>
        <v>DISERAHKAN</v>
      </c>
      <c r="F1431" s="9">
        <f>IFERROR(__xludf.DUMMYFUNCTION("""COMPUTED_VALUE"""),45617.68357898148)</f>
        <v>45617.68358</v>
      </c>
      <c r="G1431" s="7" t="str">
        <f>IFERROR(__xludf.DUMMYFUNCTION("""COMPUTED_VALUE"""),"Perubahan Hak")</f>
        <v>Perubahan Hak</v>
      </c>
      <c r="H1431" s="7">
        <f t="shared" si="1"/>
        <v>640</v>
      </c>
    </row>
    <row r="1432" ht="22.5" customHeight="1">
      <c r="B1432" s="7" t="str">
        <f>IFERROR(__xludf.DUMMYFUNCTION("""COMPUTED_VALUE"""),"K/28/201124/1")</f>
        <v>K/28/201124/1</v>
      </c>
      <c r="C1432" s="7" t="str">
        <f>IFERROR(__xludf.DUMMYFUNCTION("""COMPUTED_VALUE"""),"M.96/SUKARAME BARU-SEKARANG; B.4661/SUKARAME I-DAHULU")</f>
        <v>M.96/SUKARAME BARU-SEKARANG; B.4661/SUKARAME I-DAHULU</v>
      </c>
      <c r="D1432" s="7" t="str">
        <f>IFERROR(__xludf.DUMMYFUNCTION("""COMPUTED_VALUE"""),"David")</f>
        <v>David</v>
      </c>
      <c r="E1432" s="7" t="str">
        <f>IFERROR(__xludf.DUMMYFUNCTION("""COMPUTED_VALUE"""),"DISERAHKAN")</f>
        <v>DISERAHKAN</v>
      </c>
      <c r="F1432" s="9">
        <f>IFERROR(__xludf.DUMMYFUNCTION("""COMPUTED_VALUE"""),45622.50264392361)</f>
        <v>45622.50264</v>
      </c>
      <c r="G1432" s="7" t="str">
        <f>IFERROR(__xludf.DUMMYFUNCTION("""COMPUTED_VALUE"""),"PLOTING ")</f>
        <v>PLOTING </v>
      </c>
      <c r="H1432" s="7">
        <f t="shared" si="1"/>
        <v>641</v>
      </c>
    </row>
    <row r="1433" ht="22.5" customHeight="1">
      <c r="B1433" s="7" t="str">
        <f>IFERROR(__xludf.DUMMYFUNCTION("""COMPUTED_VALUE"""),"K/27/201124/1")</f>
        <v>K/27/201124/1</v>
      </c>
      <c r="C1433" s="7" t="str">
        <f>IFERROR(__xludf.DUMMYFUNCTION("""COMPUTED_VALUE"""),"M. 10629, 12588/ Kedamaian")</f>
        <v>M. 10629, 12588/ Kedamaian</v>
      </c>
      <c r="D1433" s="7"/>
      <c r="E1433" s="7"/>
      <c r="F1433" s="9" t="str">
        <f>IFERROR(__xludf.DUMMYFUNCTION("""COMPUTED_VALUE"""),"")</f>
        <v/>
      </c>
      <c r="G1433" s="7" t="str">
        <f>IFERROR(__xludf.DUMMYFUNCTION("""COMPUTED_VALUE"""),"ROYA LELANG")</f>
        <v>ROYA LELANG</v>
      </c>
      <c r="H1433" s="7">
        <f t="shared" si="1"/>
        <v>641</v>
      </c>
    </row>
    <row r="1434" ht="22.5" customHeight="1">
      <c r="B1434" s="7" t="str">
        <f>IFERROR(__xludf.DUMMYFUNCTION("""COMPUTED_VALUE"""),"K/29/201124/2")</f>
        <v>K/29/201124/2</v>
      </c>
      <c r="C1434" s="7" t="str">
        <f>IFERROR(__xludf.DUMMYFUNCTION("""COMPUTED_VALUE"""),"M.150/GEDONG AIR")</f>
        <v>M.150/GEDONG AIR</v>
      </c>
      <c r="D1434" s="7" t="str">
        <f>IFERROR(__xludf.DUMMYFUNCTION("""COMPUTED_VALUE"""),"David")</f>
        <v>David</v>
      </c>
      <c r="E1434" s="7" t="str">
        <f>IFERROR(__xludf.DUMMYFUNCTION("""COMPUTED_VALUE"""),"PROSES")</f>
        <v>PROSES</v>
      </c>
      <c r="F1434" s="9" t="str">
        <f>IFERROR(__xludf.DUMMYFUNCTION("""COMPUTED_VALUE"""),"")</f>
        <v/>
      </c>
      <c r="G1434" s="7" t="str">
        <f>IFERROR(__xludf.DUMMYFUNCTION("""COMPUTED_VALUE"""),"BN JUAL BELI")</f>
        <v>BN JUAL BELI</v>
      </c>
      <c r="H1434" s="7">
        <f t="shared" si="1"/>
        <v>641</v>
      </c>
    </row>
    <row r="1435" ht="22.5" customHeight="1">
      <c r="B1435" s="7" t="str">
        <f>IFERROR(__xludf.DUMMYFUNCTION("""COMPUTED_VALUE"""),"K/30/201124/3")</f>
        <v>K/30/201124/3</v>
      </c>
      <c r="C1435" s="7" t="str">
        <f>IFERROR(__xludf.DUMMYFUNCTION("""COMPUTED_VALUE"""),"NIBEL M.2482/KOTA BARU")</f>
        <v>NIBEL M.2482/KOTA BARU</v>
      </c>
      <c r="D1435" s="7" t="str">
        <f>IFERROR(__xludf.DUMMYFUNCTION("""COMPUTED_VALUE"""),"David")</f>
        <v>David</v>
      </c>
      <c r="E1435" s="7" t="str">
        <f>IFERROR(__xludf.DUMMYFUNCTION("""COMPUTED_VALUE"""),"DISERAHKAN")</f>
        <v>DISERAHKAN</v>
      </c>
      <c r="F1435" s="9">
        <f>IFERROR(__xludf.DUMMYFUNCTION("""COMPUTED_VALUE"""),45617.68416734954)</f>
        <v>45617.68417</v>
      </c>
      <c r="G1435" s="7" t="str">
        <f>IFERROR(__xludf.DUMMYFUNCTION("""COMPUTED_VALUE"""),"PEMECAHAN")</f>
        <v>PEMECAHAN</v>
      </c>
      <c r="H1435" s="7">
        <f t="shared" si="1"/>
        <v>642</v>
      </c>
    </row>
    <row r="1436" ht="22.5" customHeight="1">
      <c r="B1436" s="7" t="str">
        <f>IFERROR(__xludf.DUMMYFUNCTION("""COMPUTED_VALUE"""),"K/31/201124/4")</f>
        <v>K/31/201124/4</v>
      </c>
      <c r="C1436" s="7" t="str">
        <f>IFERROR(__xludf.DUMMYFUNCTION("""COMPUTED_VALUE"""),"B.698/NEGERI OLOK GADING")</f>
        <v>B.698/NEGERI OLOK GADING</v>
      </c>
      <c r="D1436" s="7" t="str">
        <f>IFERROR(__xludf.DUMMYFUNCTION("""COMPUTED_VALUE"""),"David")</f>
        <v>David</v>
      </c>
      <c r="E1436" s="7" t="str">
        <f>IFERROR(__xludf.DUMMYFUNCTION("""COMPUTED_VALUE"""),"DISERAHKAN")</f>
        <v>DISERAHKAN</v>
      </c>
      <c r="F1436" s="9">
        <f>IFERROR(__xludf.DUMMYFUNCTION("""COMPUTED_VALUE"""),45617.684506226855)</f>
        <v>45617.68451</v>
      </c>
      <c r="G1436" s="7" t="str">
        <f>IFERROR(__xludf.DUMMYFUNCTION("""COMPUTED_VALUE"""),"ROYA")</f>
        <v>ROYA</v>
      </c>
      <c r="H1436" s="7">
        <f t="shared" si="1"/>
        <v>643</v>
      </c>
    </row>
    <row r="1437" ht="22.5" customHeight="1">
      <c r="B1437" s="7" t="str">
        <f>IFERROR(__xludf.DUMMYFUNCTION("""COMPUTED_VALUE"""),"K/32/201124/1")</f>
        <v>K/32/201124/1</v>
      </c>
      <c r="C1437" s="7" t="str">
        <f>IFERROR(__xludf.DUMMYFUNCTION("""COMPUTED_VALUE"""),"M. 2455/ Keteguhan")</f>
        <v>M. 2455/ Keteguhan</v>
      </c>
      <c r="D1437" s="7" t="str">
        <f>IFERROR(__xludf.DUMMYFUNCTION("""COMPUTED_VALUE"""),"David")</f>
        <v>David</v>
      </c>
      <c r="E1437" s="7" t="str">
        <f>IFERROR(__xludf.DUMMYFUNCTION("""COMPUTED_VALUE"""),"DISERAHKAN")</f>
        <v>DISERAHKAN</v>
      </c>
      <c r="F1437" s="9">
        <f>IFERROR(__xludf.DUMMYFUNCTION("""COMPUTED_VALUE"""),45617.68453431713)</f>
        <v>45617.68453</v>
      </c>
      <c r="G1437" s="7" t="str">
        <f>IFERROR(__xludf.DUMMYFUNCTION("""COMPUTED_VALUE"""),"ROYA")</f>
        <v>ROYA</v>
      </c>
      <c r="H1437" s="7">
        <f t="shared" si="1"/>
        <v>644</v>
      </c>
    </row>
    <row r="1438" ht="22.5" customHeight="1">
      <c r="B1438" s="7" t="str">
        <f>IFERROR(__xludf.DUMMYFUNCTION("""COMPUTED_VALUE"""),"K/33/201124/1")</f>
        <v>K/33/201124/1</v>
      </c>
      <c r="C1438" s="7" t="str">
        <f>IFERROR(__xludf.DUMMYFUNCTION("""COMPUTED_VALUE"""),"M.6409/GUNUNG SULAH")</f>
        <v>M.6409/GUNUNG SULAH</v>
      </c>
      <c r="D1438" s="7"/>
      <c r="E1438" s="7"/>
      <c r="F1438" s="9" t="str">
        <f>IFERROR(__xludf.DUMMYFUNCTION("""COMPUTED_VALUE"""),"")</f>
        <v/>
      </c>
      <c r="G1438" s="7" t="str">
        <f>IFERROR(__xludf.DUMMYFUNCTION("""COMPUTED_VALUE"""),"BN JUAL BELI")</f>
        <v>BN JUAL BELI</v>
      </c>
      <c r="H1438" s="7">
        <f t="shared" si="1"/>
        <v>644</v>
      </c>
    </row>
    <row r="1439" ht="22.5" customHeight="1">
      <c r="B1439" s="7" t="str">
        <f>IFERROR(__xludf.DUMMYFUNCTION("""COMPUTED_VALUE"""),"K/34/201124/2")</f>
        <v>K/34/201124/2</v>
      </c>
      <c r="C1439" s="7" t="str">
        <f>IFERROR(__xludf.DUMMYFUNCTION("""COMPUTED_VALUE"""),"M.6410/GUNUNG SULAH")</f>
        <v>M.6410/GUNUNG SULAH</v>
      </c>
      <c r="D1439" s="7" t="str">
        <f>IFERROR(__xludf.DUMMYFUNCTION("""COMPUTED_VALUE"""),"David")</f>
        <v>David</v>
      </c>
      <c r="E1439" s="7" t="str">
        <f>IFERROR(__xludf.DUMMYFUNCTION("""COMPUTED_VALUE"""),"DISERAHKAN")</f>
        <v>DISERAHKAN</v>
      </c>
      <c r="F1439" s="9">
        <f>IFERROR(__xludf.DUMMYFUNCTION("""COMPUTED_VALUE"""),45617.68479135417)</f>
        <v>45617.68479</v>
      </c>
      <c r="G1439" s="7" t="str">
        <f>IFERROR(__xludf.DUMMYFUNCTION("""COMPUTED_VALUE"""),"BN JUAL BELI")</f>
        <v>BN JUAL BELI</v>
      </c>
      <c r="H1439" s="7">
        <f t="shared" si="1"/>
        <v>645</v>
      </c>
    </row>
    <row r="1440" ht="22.5" customHeight="1">
      <c r="B1440" s="7" t="str">
        <f>IFERROR(__xludf.DUMMYFUNCTION("""COMPUTED_VALUE"""),"K/35/201124/1")</f>
        <v>K/35/201124/1</v>
      </c>
      <c r="C1440" s="7" t="str">
        <f>IFERROR(__xludf.DUMMYFUNCTION("""COMPUTED_VALUE"""),"M. 878/ Kemiling Permai")</f>
        <v>M. 878/ Kemiling Permai</v>
      </c>
      <c r="D1440" s="7" t="str">
        <f>IFERROR(__xludf.DUMMYFUNCTION("""COMPUTED_VALUE"""),"David")</f>
        <v>David</v>
      </c>
      <c r="E1440" s="7" t="str">
        <f>IFERROR(__xludf.DUMMYFUNCTION("""COMPUTED_VALUE"""),"DISERAHKAN")</f>
        <v>DISERAHKAN</v>
      </c>
      <c r="F1440" s="9">
        <f>IFERROR(__xludf.DUMMYFUNCTION("""COMPUTED_VALUE"""),45617.6848125463)</f>
        <v>45617.68481</v>
      </c>
      <c r="G1440" s="7" t="str">
        <f>IFERROR(__xludf.DUMMYFUNCTION("""COMPUTED_VALUE"""),"GANTI KELURAHAN")</f>
        <v>GANTI KELURAHAN</v>
      </c>
      <c r="H1440" s="7">
        <f t="shared" si="1"/>
        <v>646</v>
      </c>
    </row>
    <row r="1441" ht="22.5" customHeight="1">
      <c r="B1441" s="7" t="str">
        <f>IFERROR(__xludf.DUMMYFUNCTION("""COMPUTED_VALUE"""),"K/36/201124/1")</f>
        <v>K/36/201124/1</v>
      </c>
      <c r="C1441" s="7" t="str">
        <f>IFERROR(__xludf.DUMMYFUNCTION("""COMPUTED_VALUE"""),"B. 590/ Sumber Agung")</f>
        <v>B. 590/ Sumber Agung</v>
      </c>
      <c r="D1441" s="7"/>
      <c r="E1441" s="7"/>
      <c r="F1441" s="9" t="str">
        <f>IFERROR(__xludf.DUMMYFUNCTION("""COMPUTED_VALUE"""),"")</f>
        <v/>
      </c>
      <c r="G1441" s="7" t="str">
        <f>IFERROR(__xludf.DUMMYFUNCTION("""COMPUTED_VALUE"""),"BN Jual Beli")</f>
        <v>BN Jual Beli</v>
      </c>
      <c r="H1441" s="7">
        <f t="shared" si="1"/>
        <v>646</v>
      </c>
    </row>
    <row r="1442" ht="22.5" customHeight="1">
      <c r="B1442" s="7" t="str">
        <f>IFERROR(__xludf.DUMMYFUNCTION("""COMPUTED_VALUE"""),"K/37/201124/2")</f>
        <v>K/37/201124/2</v>
      </c>
      <c r="C1442" s="7" t="str">
        <f>IFERROR(__xludf.DUMMYFUNCTION("""COMPUTED_VALUE"""),"B. 614/ Sumber Agung")</f>
        <v>B. 614/ Sumber Agung</v>
      </c>
      <c r="D1442" s="7" t="str">
        <f>IFERROR(__xludf.DUMMYFUNCTION("""COMPUTED_VALUE"""),"David")</f>
        <v>David</v>
      </c>
      <c r="E1442" s="7" t="str">
        <f>IFERROR(__xludf.DUMMYFUNCTION("""COMPUTED_VALUE"""),"DISERAHKAN")</f>
        <v>DISERAHKAN</v>
      </c>
      <c r="F1442" s="9">
        <f>IFERROR(__xludf.DUMMYFUNCTION("""COMPUTED_VALUE"""),45622.50264392361)</f>
        <v>45622.50264</v>
      </c>
      <c r="G1442" s="7" t="str">
        <f>IFERROR(__xludf.DUMMYFUNCTION("""COMPUTED_VALUE"""),"BN Jual Beli")</f>
        <v>BN Jual Beli</v>
      </c>
      <c r="H1442" s="7">
        <f t="shared" si="1"/>
        <v>647</v>
      </c>
    </row>
    <row r="1443" ht="22.5" customHeight="1">
      <c r="B1443" s="7" t="str">
        <f>IFERROR(__xludf.DUMMYFUNCTION("""COMPUTED_VALUE"""),"K/38/201124/3")</f>
        <v>K/38/201124/3</v>
      </c>
      <c r="C1443" s="7" t="str">
        <f>IFERROR(__xludf.DUMMYFUNCTION("""COMPUTED_VALUE"""),"B. 1327/ Sukabumi")</f>
        <v>B. 1327/ Sukabumi</v>
      </c>
      <c r="D1443" s="7" t="str">
        <f>IFERROR(__xludf.DUMMYFUNCTION("""COMPUTED_VALUE"""),"David")</f>
        <v>David</v>
      </c>
      <c r="E1443" s="7" t="str">
        <f>IFERROR(__xludf.DUMMYFUNCTION("""COMPUTED_VALUE"""),"DISERAHKAN")</f>
        <v>DISERAHKAN</v>
      </c>
      <c r="F1443" s="9">
        <f>IFERROR(__xludf.DUMMYFUNCTION("""COMPUTED_VALUE"""),45617.68510070602)</f>
        <v>45617.6851</v>
      </c>
      <c r="G1443" s="7" t="str">
        <f>IFERROR(__xludf.DUMMYFUNCTION("""COMPUTED_VALUE"""),"Plotting")</f>
        <v>Plotting</v>
      </c>
      <c r="H1443" s="7">
        <f t="shared" si="1"/>
        <v>648</v>
      </c>
    </row>
    <row r="1444" ht="22.5" customHeight="1">
      <c r="B1444" s="7" t="str">
        <f>IFERROR(__xludf.DUMMYFUNCTION("""COMPUTED_VALUE"""),"K/39/201124/1")</f>
        <v>K/39/201124/1</v>
      </c>
      <c r="C1444" s="7" t="str">
        <f>IFERROR(__xludf.DUMMYFUNCTION("""COMPUTED_VALUE"""),"M.352/TANJUNG SENENG")</f>
        <v>M.352/TANJUNG SENENG</v>
      </c>
      <c r="D1444" s="7"/>
      <c r="E1444" s="7"/>
      <c r="F1444" s="9" t="str">
        <f>IFERROR(__xludf.DUMMYFUNCTION("""COMPUTED_VALUE"""),"")</f>
        <v/>
      </c>
      <c r="G1444" s="7" t="str">
        <f>IFERROR(__xludf.DUMMYFUNCTION("""COMPUTED_VALUE"""),"PEMECAHAN")</f>
        <v>PEMECAHAN</v>
      </c>
      <c r="H1444" s="7">
        <f t="shared" si="1"/>
        <v>648</v>
      </c>
    </row>
    <row r="1445" ht="22.5" customHeight="1">
      <c r="B1445" s="7" t="str">
        <f>IFERROR(__xludf.DUMMYFUNCTION("""COMPUTED_VALUE"""),"K/40/201124/2")</f>
        <v>K/40/201124/2</v>
      </c>
      <c r="C1445" s="7" t="str">
        <f>IFERROR(__xludf.DUMMYFUNCTION("""COMPUTED_VALUE"""),"M.2086/LABUHAN DALAM")</f>
        <v>M.2086/LABUHAN DALAM</v>
      </c>
      <c r="D1445" s="7" t="str">
        <f>IFERROR(__xludf.DUMMYFUNCTION("""COMPUTED_VALUE"""),"David")</f>
        <v>David</v>
      </c>
      <c r="E1445" s="7" t="str">
        <f>IFERROR(__xludf.DUMMYFUNCTION("""COMPUTED_VALUE"""),"DISERAHKAN")</f>
        <v>DISERAHKAN</v>
      </c>
      <c r="F1445" s="9">
        <f>IFERROR(__xludf.DUMMYFUNCTION("""COMPUTED_VALUE"""),45617.68554652778)</f>
        <v>45617.68555</v>
      </c>
      <c r="G1445" s="7" t="str">
        <f>IFERROR(__xludf.DUMMYFUNCTION("""COMPUTED_VALUE"""),"BN JUAL BELI")</f>
        <v>BN JUAL BELI</v>
      </c>
      <c r="H1445" s="7">
        <f t="shared" si="1"/>
        <v>649</v>
      </c>
    </row>
    <row r="1446" ht="22.5" customHeight="1">
      <c r="B1446" s="7" t="str">
        <f>IFERROR(__xludf.DUMMYFUNCTION("""COMPUTED_VALUE"""),"K/41/201124/1")</f>
        <v>K/41/201124/1</v>
      </c>
      <c r="C1446" s="7" t="str">
        <f>IFERROR(__xludf.DUMMYFUNCTION("""COMPUTED_VALUE"""),"M. 3483/ LANGKAPURA")</f>
        <v>M. 3483/ LANGKAPURA</v>
      </c>
      <c r="D1446" s="7"/>
      <c r="E1446" s="7"/>
      <c r="F1446" s="9" t="str">
        <f>IFERROR(__xludf.DUMMYFUNCTION("""COMPUTED_VALUE"""),"")</f>
        <v/>
      </c>
      <c r="G1446" s="7" t="str">
        <f>IFERROR(__xludf.DUMMYFUNCTION("""COMPUTED_VALUE"""),"GANTI KELURAHAN")</f>
        <v>GANTI KELURAHAN</v>
      </c>
      <c r="H1446" s="7">
        <f t="shared" si="1"/>
        <v>649</v>
      </c>
    </row>
    <row r="1447" ht="22.5" customHeight="1">
      <c r="B1447" s="7" t="str">
        <f>IFERROR(__xludf.DUMMYFUNCTION("""COMPUTED_VALUE"""),"K/42/201124/1")</f>
        <v>K/42/201124/1</v>
      </c>
      <c r="C1447" s="7" t="str">
        <f>IFERROR(__xludf.DUMMYFUNCTION("""COMPUTED_VALUE"""),"M.1458/PANJANG SELATAN")</f>
        <v>M.1458/PANJANG SELATAN</v>
      </c>
      <c r="D1447" s="7"/>
      <c r="E1447" s="7"/>
      <c r="F1447" s="9" t="str">
        <f>IFERROR(__xludf.DUMMYFUNCTION("""COMPUTED_VALUE"""),"")</f>
        <v/>
      </c>
      <c r="G1447" s="7" t="str">
        <f>IFERROR(__xludf.DUMMYFUNCTION("""COMPUTED_VALUE"""),"KEWARISAN")</f>
        <v>KEWARISAN</v>
      </c>
      <c r="H1447" s="7">
        <f t="shared" si="1"/>
        <v>649</v>
      </c>
    </row>
    <row r="1448" ht="22.5" customHeight="1">
      <c r="B1448" s="7" t="str">
        <f>IFERROR(__xludf.DUMMYFUNCTION("""COMPUTED_VALUE"""),"K/43/201124/1")</f>
        <v>K/43/201124/1</v>
      </c>
      <c r="C1448" s="7" t="str">
        <f>IFERROR(__xludf.DUMMYFUNCTION("""COMPUTED_VALUE"""),"Nibel. B. 392/ Kemiling Permai")</f>
        <v>Nibel. B. 392/ Kemiling Permai</v>
      </c>
      <c r="D1448" s="7"/>
      <c r="E1448" s="7"/>
      <c r="F1448" s="9" t="str">
        <f>IFERROR(__xludf.DUMMYFUNCTION("""COMPUTED_VALUE"""),"")</f>
        <v/>
      </c>
      <c r="G1448" s="7" t="str">
        <f>IFERROR(__xludf.DUMMYFUNCTION("""COMPUTED_VALUE"""),"BN Jual Beli")</f>
        <v>BN Jual Beli</v>
      </c>
      <c r="H1448" s="7">
        <f t="shared" si="1"/>
        <v>649</v>
      </c>
    </row>
    <row r="1449" ht="22.5" customHeight="1">
      <c r="B1449" s="7" t="str">
        <f>IFERROR(__xludf.DUMMYFUNCTION("""COMPUTED_VALUE"""),"K/44/201124/1")</f>
        <v>K/44/201124/1</v>
      </c>
      <c r="C1449" s="7" t="str">
        <f>IFERROR(__xludf.DUMMYFUNCTION("""COMPUTED_VALUE"""),"NIBEL B.2431/SUMBER AGUNG")</f>
        <v>NIBEL B.2431/SUMBER AGUNG</v>
      </c>
      <c r="D1449" s="7"/>
      <c r="E1449" s="7"/>
      <c r="F1449" s="9" t="str">
        <f>IFERROR(__xludf.DUMMYFUNCTION("""COMPUTED_VALUE"""),"")</f>
        <v/>
      </c>
      <c r="G1449" s="7" t="str">
        <f>IFERROR(__xludf.DUMMYFUNCTION("""COMPUTED_VALUE"""),"PENINGKATAN")</f>
        <v>PENINGKATAN</v>
      </c>
      <c r="H1449" s="7">
        <f t="shared" si="1"/>
        <v>649</v>
      </c>
    </row>
    <row r="1450" ht="22.5" customHeight="1">
      <c r="B1450" s="7" t="str">
        <f>IFERROR(__xludf.DUMMYFUNCTION("""COMPUTED_VALUE"""),"K/45/201124/2")</f>
        <v>K/45/201124/2</v>
      </c>
      <c r="C1450" s="7" t="str">
        <f>IFERROR(__xludf.DUMMYFUNCTION("""COMPUTED_VALUE"""),"NIBEL B.1902/SUMBER AGUNG")</f>
        <v>NIBEL B.1902/SUMBER AGUNG</v>
      </c>
      <c r="D1450" s="7" t="str">
        <f>IFERROR(__xludf.DUMMYFUNCTION("""COMPUTED_VALUE"""),"David")</f>
        <v>David</v>
      </c>
      <c r="E1450" s="7" t="str">
        <f>IFERROR(__xludf.DUMMYFUNCTION("""COMPUTED_VALUE"""),"DISERAHKAN")</f>
        <v>DISERAHKAN</v>
      </c>
      <c r="F1450" s="9">
        <f>IFERROR(__xludf.DUMMYFUNCTION("""COMPUTED_VALUE"""),45621.46010473379)</f>
        <v>45621.4601</v>
      </c>
      <c r="G1450" s="7" t="str">
        <f>IFERROR(__xludf.DUMMYFUNCTION("""COMPUTED_VALUE"""),"PENINGKATAN HAK")</f>
        <v>PENINGKATAN HAK</v>
      </c>
      <c r="H1450" s="7">
        <f t="shared" si="1"/>
        <v>650</v>
      </c>
    </row>
    <row r="1451" ht="22.5" customHeight="1">
      <c r="B1451" s="7" t="str">
        <f>IFERROR(__xludf.DUMMYFUNCTION("""COMPUTED_VALUE"""),"K/46/201124/1")</f>
        <v>K/46/201124/1</v>
      </c>
      <c r="C1451" s="7" t="str">
        <f>IFERROR(__xludf.DUMMYFUNCTION("""COMPUTED_VALUE"""),"NIBEL M.2873/SIDODADI")</f>
        <v>NIBEL M.2873/SIDODADI</v>
      </c>
      <c r="D1451" s="7" t="str">
        <f>IFERROR(__xludf.DUMMYFUNCTION("""COMPUTED_VALUE"""),"David")</f>
        <v>David</v>
      </c>
      <c r="E1451" s="7" t="str">
        <f>IFERROR(__xludf.DUMMYFUNCTION("""COMPUTED_VALUE"""),"DISERAHKAN")</f>
        <v>DISERAHKAN</v>
      </c>
      <c r="F1451" s="9">
        <f>IFERROR(__xludf.DUMMYFUNCTION("""COMPUTED_VALUE"""),45617.68598707176)</f>
        <v>45617.68599</v>
      </c>
      <c r="G1451" s="7" t="str">
        <f>IFERROR(__xludf.DUMMYFUNCTION("""COMPUTED_VALUE"""),"APHB")</f>
        <v>APHB</v>
      </c>
      <c r="H1451" s="7">
        <f t="shared" si="1"/>
        <v>651</v>
      </c>
    </row>
    <row r="1452" ht="22.5" customHeight="1">
      <c r="B1452" s="7" t="str">
        <f>IFERROR(__xludf.DUMMYFUNCTION("""COMPUTED_VALUE"""),"L/3/211124/1")</f>
        <v>L/3/211124/1</v>
      </c>
      <c r="C1452" s="7" t="str">
        <f>IFERROR(__xludf.DUMMYFUNCTION("""COMPUTED_VALUE"""),"HM 1926/PENGAJARAN")</f>
        <v>HM 1926/PENGAJARAN</v>
      </c>
      <c r="D1452" s="7"/>
      <c r="E1452" s="7"/>
      <c r="F1452" s="9" t="str">
        <f>IFERROR(__xludf.DUMMYFUNCTION("""COMPUTED_VALUE"""),"")</f>
        <v/>
      </c>
      <c r="G1452" s="7" t="str">
        <f>IFERROR(__xludf.DUMMYFUNCTION("""COMPUTED_VALUE"""),"ROYA")</f>
        <v>ROYA</v>
      </c>
      <c r="H1452" s="7">
        <f t="shared" si="1"/>
        <v>651</v>
      </c>
    </row>
    <row r="1453" ht="22.5" customHeight="1">
      <c r="B1453" s="7" t="str">
        <f>IFERROR(__xludf.DUMMYFUNCTION("""COMPUTED_VALUE"""),"K/1/211124/1")</f>
        <v>K/1/211124/1</v>
      </c>
      <c r="C1453" s="7" t="str">
        <f>IFERROR(__xludf.DUMMYFUNCTION("""COMPUTED_VALUE"""),"M. 807/ Negeri Olok Gading")</f>
        <v>M. 807/ Negeri Olok Gading</v>
      </c>
      <c r="D1453" s="7" t="str">
        <f>IFERROR(__xludf.DUMMYFUNCTION("""COMPUTED_VALUE"""),"David")</f>
        <v>David</v>
      </c>
      <c r="E1453" s="7" t="str">
        <f>IFERROR(__xludf.DUMMYFUNCTION("""COMPUTED_VALUE"""),"DISERAHKAN")</f>
        <v>DISERAHKAN</v>
      </c>
      <c r="F1453" s="9">
        <f>IFERROR(__xludf.DUMMYFUNCTION("""COMPUTED_VALUE"""),45622.50264392361)</f>
        <v>45622.50264</v>
      </c>
      <c r="G1453" s="7" t="str">
        <f>IFERROR(__xludf.DUMMYFUNCTION("""COMPUTED_VALUE"""),"BN JUAL BELI")</f>
        <v>BN JUAL BELI</v>
      </c>
      <c r="H1453" s="7">
        <f t="shared" si="1"/>
        <v>652</v>
      </c>
    </row>
    <row r="1454" ht="22.5" customHeight="1">
      <c r="B1454" s="7" t="str">
        <f>IFERROR(__xludf.DUMMYFUNCTION("""COMPUTED_VALUE"""),"K/4/211124/1")</f>
        <v>K/4/211124/1</v>
      </c>
      <c r="C1454" s="7" t="str">
        <f>IFERROR(__xludf.DUMMYFUNCTION("""COMPUTED_VALUE"""),"Nibel. M. 3476/ Sukabumi Indah")</f>
        <v>Nibel. M. 3476/ Sukabumi Indah</v>
      </c>
      <c r="D1454" s="7" t="str">
        <f>IFERROR(__xludf.DUMMYFUNCTION("""COMPUTED_VALUE"""),"David")</f>
        <v>David</v>
      </c>
      <c r="E1454" s="7" t="str">
        <f>IFERROR(__xludf.DUMMYFUNCTION("""COMPUTED_VALUE"""),"DISERAHKAN")</f>
        <v>DISERAHKAN</v>
      </c>
      <c r="F1454" s="9">
        <f>IFERROR(__xludf.DUMMYFUNCTION("""COMPUTED_VALUE"""),45621.46010474537)</f>
        <v>45621.4601</v>
      </c>
      <c r="G1454" s="7" t="str">
        <f>IFERROR(__xludf.DUMMYFUNCTION("""COMPUTED_VALUE"""),"BN Jual Beli")</f>
        <v>BN Jual Beli</v>
      </c>
      <c r="H1454" s="7">
        <f t="shared" si="1"/>
        <v>653</v>
      </c>
    </row>
    <row r="1455" ht="22.5" customHeight="1">
      <c r="B1455" s="7" t="str">
        <f>IFERROR(__xludf.DUMMYFUNCTION("""COMPUTED_VALUE"""),"K/5/211124/2")</f>
        <v>K/5/211124/2</v>
      </c>
      <c r="C1455" s="7" t="str">
        <f>IFERROR(__xludf.DUMMYFUNCTION("""COMPUTED_VALUE"""),"M. 1010/ Jagabaya III")</f>
        <v>M. 1010/ Jagabaya III</v>
      </c>
      <c r="D1455" s="7" t="str">
        <f>IFERROR(__xludf.DUMMYFUNCTION("""COMPUTED_VALUE"""),"David")</f>
        <v>David</v>
      </c>
      <c r="E1455" s="7" t="str">
        <f>IFERROR(__xludf.DUMMYFUNCTION("""COMPUTED_VALUE"""),"DISERAHKAN")</f>
        <v>DISERAHKAN</v>
      </c>
      <c r="F1455" s="9">
        <f>IFERROR(__xludf.DUMMYFUNCTION("""COMPUTED_VALUE"""),45621.46010474537)</f>
        <v>45621.4601</v>
      </c>
      <c r="G1455" s="7" t="str">
        <f>IFERROR(__xludf.DUMMYFUNCTION("""COMPUTED_VALUE"""),"BN Jual Beli")</f>
        <v>BN Jual Beli</v>
      </c>
      <c r="H1455" s="7">
        <f t="shared" si="1"/>
        <v>654</v>
      </c>
    </row>
    <row r="1456" ht="22.5" customHeight="1">
      <c r="B1456" s="7" t="str">
        <f>IFERROR(__xludf.DUMMYFUNCTION("""COMPUTED_VALUE"""),"K/6/211124/1")</f>
        <v>K/6/211124/1</v>
      </c>
      <c r="C1456" s="7" t="str">
        <f>IFERROR(__xludf.DUMMYFUNCTION("""COMPUTED_VALUE"""),"M.1208/KOTA BARU")</f>
        <v>M.1208/KOTA BARU</v>
      </c>
      <c r="D1456" s="7" t="str">
        <f>IFERROR(__xludf.DUMMYFUNCTION("""COMPUTED_VALUE"""),"David")</f>
        <v>David</v>
      </c>
      <c r="E1456" s="7" t="str">
        <f>IFERROR(__xludf.DUMMYFUNCTION("""COMPUTED_VALUE"""),"DISERAHKAN")</f>
        <v>DISERAHKAN</v>
      </c>
      <c r="F1456" s="9">
        <f>IFERROR(__xludf.DUMMYFUNCTION("""COMPUTED_VALUE"""),45621.46010474537)</f>
        <v>45621.4601</v>
      </c>
      <c r="G1456" s="7" t="str">
        <f>IFERROR(__xludf.DUMMYFUNCTION("""COMPUTED_VALUE"""),"KEWARISAN")</f>
        <v>KEWARISAN</v>
      </c>
      <c r="H1456" s="7">
        <f t="shared" si="1"/>
        <v>655</v>
      </c>
    </row>
    <row r="1457" ht="22.5" customHeight="1">
      <c r="B1457" s="7" t="str">
        <f>IFERROR(__xludf.DUMMYFUNCTION("""COMPUTED_VALUE"""),"K/2/211124/1")</f>
        <v>K/2/211124/1</v>
      </c>
      <c r="C1457" s="7" t="str">
        <f>IFERROR(__xludf.DUMMYFUNCTION("""COMPUTED_VALUE"""),"M. 236/ Labuhan Ratu Raya")</f>
        <v>M. 236/ Labuhan Ratu Raya</v>
      </c>
      <c r="D1457" s="7"/>
      <c r="E1457" s="7"/>
      <c r="F1457" s="9" t="str">
        <f>IFERROR(__xludf.DUMMYFUNCTION("""COMPUTED_VALUE"""),"")</f>
        <v/>
      </c>
      <c r="G1457" s="7" t="str">
        <f>IFERROR(__xludf.DUMMYFUNCTION("""COMPUTED_VALUE"""),"PEMECHAAN BIDANG")</f>
        <v>PEMECHAAN BIDANG</v>
      </c>
      <c r="H1457" s="7">
        <f t="shared" si="1"/>
        <v>655</v>
      </c>
    </row>
    <row r="1458" ht="22.5" customHeight="1">
      <c r="B1458" s="7" t="str">
        <f>IFERROR(__xludf.DUMMYFUNCTION("""COMPUTED_VALUE"""),"K/8/211124/1")</f>
        <v>K/8/211124/1</v>
      </c>
      <c r="C1458" s="7" t="str">
        <f>IFERROR(__xludf.DUMMYFUNCTION("""COMPUTED_VALUE"""),"M. 2831/ Sukarame Baru")</f>
        <v>M. 2831/ Sukarame Baru</v>
      </c>
      <c r="D1458" s="7"/>
      <c r="E1458" s="7"/>
      <c r="F1458" s="9" t="str">
        <f>IFERROR(__xludf.DUMMYFUNCTION("""COMPUTED_VALUE"""),"")</f>
        <v/>
      </c>
      <c r="G1458" s="7" t="str">
        <f>IFERROR(__xludf.DUMMYFUNCTION("""COMPUTED_VALUE"""),"BN Jual Beli")</f>
        <v>BN Jual Beli</v>
      </c>
      <c r="H1458" s="7">
        <f t="shared" si="1"/>
        <v>655</v>
      </c>
    </row>
    <row r="1459" ht="22.5" customHeight="1">
      <c r="B1459" s="7" t="str">
        <f>IFERROR(__xludf.DUMMYFUNCTION("""COMPUTED_VALUE"""),"K/7/211124/1")</f>
        <v>K/7/211124/1</v>
      </c>
      <c r="C1459" s="7" t="str">
        <f>IFERROR(__xludf.DUMMYFUNCTION("""COMPUTED_VALUE"""),"Nibel 6217.3/ TANJUNG KARANG")</f>
        <v>Nibel 6217.3/ TANJUNG KARANG</v>
      </c>
      <c r="D1459" s="7" t="str">
        <f>IFERROR(__xludf.DUMMYFUNCTION("""COMPUTED_VALUE"""),"David")</f>
        <v>David</v>
      </c>
      <c r="E1459" s="7" t="str">
        <f>IFERROR(__xludf.DUMMYFUNCTION("""COMPUTED_VALUE"""),"DISERAHKAN")</f>
        <v>DISERAHKAN</v>
      </c>
      <c r="F1459" s="9">
        <f>IFERROR(__xludf.DUMMYFUNCTION("""COMPUTED_VALUE"""),45621.46010474537)</f>
        <v>45621.4601</v>
      </c>
      <c r="G1459" s="7" t="str">
        <f>IFERROR(__xludf.DUMMYFUNCTION("""COMPUTED_VALUE"""),"PERPANJANGAN RUMAH SUSUN")</f>
        <v>PERPANJANGAN RUMAH SUSUN</v>
      </c>
      <c r="H1459" s="7">
        <f t="shared" si="1"/>
        <v>656</v>
      </c>
    </row>
    <row r="1460" ht="22.5" customHeight="1">
      <c r="B1460" s="7" t="str">
        <f>IFERROR(__xludf.DUMMYFUNCTION("""COMPUTED_VALUE"""),"L/9/211124/1")</f>
        <v>L/9/211124/1</v>
      </c>
      <c r="C1460" s="7" t="str">
        <f>IFERROR(__xludf.DUMMYFUNCTION("""COMPUTED_VALUE"""),"HGB 94/RAJABASA")</f>
        <v>HGB 94/RAJABASA</v>
      </c>
      <c r="D1460" s="7" t="str">
        <f>IFERROR(__xludf.DUMMYFUNCTION("""COMPUTED_VALUE"""),"David")</f>
        <v>David</v>
      </c>
      <c r="E1460" s="7" t="str">
        <f>IFERROR(__xludf.DUMMYFUNCTION("""COMPUTED_VALUE"""),"DISERAHKAN")</f>
        <v>DISERAHKAN</v>
      </c>
      <c r="F1460" s="9">
        <f>IFERROR(__xludf.DUMMYFUNCTION("""COMPUTED_VALUE"""),45631.45031822917)</f>
        <v>45631.45032</v>
      </c>
      <c r="G1460" s="7" t="str">
        <f>IFERROR(__xludf.DUMMYFUNCTION("""COMPUTED_VALUE"""),"SKPT INFORMASI")</f>
        <v>SKPT INFORMASI</v>
      </c>
      <c r="H1460" s="7">
        <f t="shared" si="1"/>
        <v>657</v>
      </c>
    </row>
    <row r="1461" ht="22.5" customHeight="1">
      <c r="B1461" s="7" t="str">
        <f>IFERROR(__xludf.DUMMYFUNCTION("""COMPUTED_VALUE"""),"L/10/211124/1")</f>
        <v>L/10/211124/1</v>
      </c>
      <c r="C1461" s="7" t="str">
        <f>IFERROR(__xludf.DUMMYFUNCTION("""COMPUTED_VALUE"""),"HM 8969/GEDUNG MENENG")</f>
        <v>HM 8969/GEDUNG MENENG</v>
      </c>
      <c r="D1461" s="7" t="str">
        <f>IFERROR(__xludf.DUMMYFUNCTION("""COMPUTED_VALUE"""),"David")</f>
        <v>David</v>
      </c>
      <c r="E1461" s="7" t="str">
        <f>IFERROR(__xludf.DUMMYFUNCTION("""COMPUTED_VALUE"""),"PROSES")</f>
        <v>PROSES</v>
      </c>
      <c r="F1461" s="9" t="str">
        <f>IFERROR(__xludf.DUMMYFUNCTION("""COMPUTED_VALUE"""),"")</f>
        <v/>
      </c>
      <c r="G1461" s="7" t="str">
        <f>IFERROR(__xludf.DUMMYFUNCTION("""COMPUTED_VALUE"""),"ROYA")</f>
        <v>ROYA</v>
      </c>
      <c r="H1461" s="7">
        <f t="shared" si="1"/>
        <v>657</v>
      </c>
    </row>
    <row r="1462" ht="22.5" customHeight="1">
      <c r="B1462" s="7" t="str">
        <f>IFERROR(__xludf.DUMMYFUNCTION("""COMPUTED_VALUE"""),"K/11/211124/1")</f>
        <v>K/11/211124/1</v>
      </c>
      <c r="C1462" s="7" t="str">
        <f>IFERROR(__xludf.DUMMYFUNCTION("""COMPUTED_VALUE"""),"M.1562/TANJUNG SENENG")</f>
        <v>M.1562/TANJUNG SENENG</v>
      </c>
      <c r="D1462" s="7"/>
      <c r="E1462" s="7"/>
      <c r="F1462" s="9" t="str">
        <f>IFERROR(__xludf.DUMMYFUNCTION("""COMPUTED_VALUE"""),"")</f>
        <v/>
      </c>
      <c r="G1462" s="7" t="str">
        <f>IFERROR(__xludf.DUMMYFUNCTION("""COMPUTED_VALUE"""),"BN JUAL BELI")</f>
        <v>BN JUAL BELI</v>
      </c>
      <c r="H1462" s="7">
        <f t="shared" si="1"/>
        <v>657</v>
      </c>
    </row>
    <row r="1463" ht="22.5" customHeight="1">
      <c r="B1463" s="7" t="str">
        <f>IFERROR(__xludf.DUMMYFUNCTION("""COMPUTED_VALUE"""),"K/12/211124/2")</f>
        <v>K/12/211124/2</v>
      </c>
      <c r="C1463" s="7" t="str">
        <f>IFERROR(__xludf.DUMMYFUNCTION("""COMPUTED_VALUE"""),"M.2876/KOTA BARU")</f>
        <v>M.2876/KOTA BARU</v>
      </c>
      <c r="D1463" s="7"/>
      <c r="E1463" s="7"/>
      <c r="F1463" s="9" t="str">
        <f>IFERROR(__xludf.DUMMYFUNCTION("""COMPUTED_VALUE"""),"")</f>
        <v/>
      </c>
      <c r="G1463" s="7" t="str">
        <f>IFERROR(__xludf.DUMMYFUNCTION("""COMPUTED_VALUE"""),"BN JUAL BELI")</f>
        <v>BN JUAL BELI</v>
      </c>
      <c r="H1463" s="7">
        <f t="shared" si="1"/>
        <v>657</v>
      </c>
    </row>
    <row r="1464" ht="22.5" customHeight="1">
      <c r="B1464" s="7" t="str">
        <f>IFERROR(__xludf.DUMMYFUNCTION("""COMPUTED_VALUE"""),"L/13/211124/1")</f>
        <v>L/13/211124/1</v>
      </c>
      <c r="C1464" s="7" t="str">
        <f>IFERROR(__xludf.DUMMYFUNCTION("""COMPUTED_VALUE"""),"HGB 819/WAY KANDIS")</f>
        <v>HGB 819/WAY KANDIS</v>
      </c>
      <c r="D1464" s="7"/>
      <c r="E1464" s="7"/>
      <c r="F1464" s="9" t="str">
        <f>IFERROR(__xludf.DUMMYFUNCTION("""COMPUTED_VALUE"""),"")</f>
        <v/>
      </c>
      <c r="G1464" s="7" t="str">
        <f>IFERROR(__xludf.DUMMYFUNCTION("""COMPUTED_VALUE"""),"GANDES")</f>
        <v>GANDES</v>
      </c>
      <c r="H1464" s="7">
        <f t="shared" si="1"/>
        <v>657</v>
      </c>
    </row>
    <row r="1465" ht="22.5" customHeight="1">
      <c r="B1465" s="7" t="str">
        <f>IFERROR(__xludf.DUMMYFUNCTION("""COMPUTED_VALUE"""),"K/14/211124/1")</f>
        <v>K/14/211124/1</v>
      </c>
      <c r="C1465" s="7" t="str">
        <f>IFERROR(__xludf.DUMMYFUNCTION("""COMPUTED_VALUE"""),"Nibel 1910/ Beringin Raya")</f>
        <v>Nibel 1910/ Beringin Raya</v>
      </c>
      <c r="D1465" s="7"/>
      <c r="E1465" s="7"/>
      <c r="F1465" s="9" t="str">
        <f>IFERROR(__xludf.DUMMYFUNCTION("""COMPUTED_VALUE"""),"")</f>
        <v/>
      </c>
      <c r="G1465" s="7" t="str">
        <f>IFERROR(__xludf.DUMMYFUNCTION("""COMPUTED_VALUE"""),"BN JUAL BELI")</f>
        <v>BN JUAL BELI</v>
      </c>
      <c r="H1465" s="7">
        <f t="shared" si="1"/>
        <v>657</v>
      </c>
    </row>
    <row r="1466" ht="22.5" customHeight="1">
      <c r="B1466" s="7" t="str">
        <f>IFERROR(__xludf.DUMMYFUNCTION("""COMPUTED_VALUE"""),"K/15/211124/1")</f>
        <v>K/15/211124/1</v>
      </c>
      <c r="C1466" s="7" t="str">
        <f>IFERROR(__xludf.DUMMYFUNCTION("""COMPUTED_VALUE"""),"M.1057/PERUMNAS WAY HALIM")</f>
        <v>M.1057/PERUMNAS WAY HALIM</v>
      </c>
      <c r="D1466" s="7"/>
      <c r="E1466" s="7"/>
      <c r="F1466" s="9" t="str">
        <f>IFERROR(__xludf.DUMMYFUNCTION("""COMPUTED_VALUE"""),"")</f>
        <v/>
      </c>
      <c r="G1466" s="7" t="str">
        <f>IFERROR(__xludf.DUMMYFUNCTION("""COMPUTED_VALUE"""),"PLOTING")</f>
        <v>PLOTING</v>
      </c>
      <c r="H1466" s="7">
        <f t="shared" si="1"/>
        <v>657</v>
      </c>
    </row>
    <row r="1467" ht="22.5" customHeight="1">
      <c r="B1467" s="7" t="str">
        <f>IFERROR(__xludf.DUMMYFUNCTION("""COMPUTED_VALUE"""),"K/16/211124/2")</f>
        <v>K/16/211124/2</v>
      </c>
      <c r="C1467" s="7" t="str">
        <f>IFERROR(__xludf.DUMMYFUNCTION("""COMPUTED_VALUE"""),"M.839/PERUMNAS ")</f>
        <v>M.839/PERUMNAS </v>
      </c>
      <c r="D1467" s="7"/>
      <c r="E1467" s="7"/>
      <c r="F1467" s="9" t="str">
        <f>IFERROR(__xludf.DUMMYFUNCTION("""COMPUTED_VALUE"""),"")</f>
        <v/>
      </c>
      <c r="G1467" s="7" t="str">
        <f>IFERROR(__xludf.DUMMYFUNCTION("""COMPUTED_VALUE"""),"PLOTING")</f>
        <v>PLOTING</v>
      </c>
      <c r="H1467" s="7">
        <f t="shared" si="1"/>
        <v>657</v>
      </c>
    </row>
    <row r="1468" ht="22.5" customHeight="1">
      <c r="B1468" s="7" t="str">
        <f>IFERROR(__xludf.DUMMYFUNCTION("""COMPUTED_VALUE"""),"K/17/211124/3")</f>
        <v>K/17/211124/3</v>
      </c>
      <c r="C1468" s="7" t="str">
        <f>IFERROR(__xludf.DUMMYFUNCTION("""COMPUTED_VALUE"""),"M.968/PERUMNAS WAY HALIM")</f>
        <v>M.968/PERUMNAS WAY HALIM</v>
      </c>
      <c r="D1468" s="7"/>
      <c r="E1468" s="7"/>
      <c r="F1468" s="9" t="str">
        <f>IFERROR(__xludf.DUMMYFUNCTION("""COMPUTED_VALUE"""),"")</f>
        <v/>
      </c>
      <c r="G1468" s="7" t="str">
        <f>IFERROR(__xludf.DUMMYFUNCTION("""COMPUTED_VALUE"""),"PLOTING")</f>
        <v>PLOTING</v>
      </c>
      <c r="H1468" s="7">
        <f t="shared" si="1"/>
        <v>657</v>
      </c>
    </row>
    <row r="1469" ht="22.5" customHeight="1">
      <c r="B1469" s="7" t="str">
        <f>IFERROR(__xludf.DUMMYFUNCTION("""COMPUTED_VALUE"""),"K/18/211124/4")</f>
        <v>K/18/211124/4</v>
      </c>
      <c r="C1469" s="7" t="str">
        <f>IFERROR(__xludf.DUMMYFUNCTION("""COMPUTED_VALUE"""),"M.262/KEDATON-SEKARANG;B.1461/KEDATON")</f>
        <v>M.262/KEDATON-SEKARANG;B.1461/KEDATON</v>
      </c>
      <c r="D1469" s="7"/>
      <c r="E1469" s="7"/>
      <c r="F1469" s="9" t="str">
        <f>IFERROR(__xludf.DUMMYFUNCTION("""COMPUTED_VALUE"""),"")</f>
        <v/>
      </c>
      <c r="G1469" s="7" t="str">
        <f>IFERROR(__xludf.DUMMYFUNCTION("""COMPUTED_VALUE"""),"PLOTING")</f>
        <v>PLOTING</v>
      </c>
      <c r="H1469" s="7">
        <f t="shared" si="1"/>
        <v>657</v>
      </c>
    </row>
    <row r="1470" ht="22.5" customHeight="1">
      <c r="B1470" s="7">
        <f>IFERROR(__xludf.DUMMYFUNCTION("""COMPUTED_VALUE"""),211124.0)</f>
        <v>211124</v>
      </c>
      <c r="C1470" s="7" t="str">
        <f>IFERROR(__xludf.DUMMYFUNCTION("""COMPUTED_VALUE"""),"M. 499/ KALIAWI")</f>
        <v>M. 499/ KALIAWI</v>
      </c>
      <c r="D1470" s="7"/>
      <c r="E1470" s="7"/>
      <c r="F1470" s="9" t="str">
        <f>IFERROR(__xludf.DUMMYFUNCTION("""COMPUTED_VALUE"""),"")</f>
        <v/>
      </c>
      <c r="G1470" s="7" t="str">
        <f>IFERROR(__xludf.DUMMYFUNCTION("""COMPUTED_VALUE"""),"GANTI KECAMATAN")</f>
        <v>GANTI KECAMATAN</v>
      </c>
      <c r="H1470" s="7">
        <f t="shared" si="1"/>
        <v>657</v>
      </c>
    </row>
    <row r="1471" ht="22.5" customHeight="1">
      <c r="B1471" s="7" t="str">
        <f>IFERROR(__xludf.DUMMYFUNCTION("""COMPUTED_VALUE"""),"K/20/211124/2")</f>
        <v>K/20/211124/2</v>
      </c>
      <c r="C1471" s="7" t="str">
        <f>IFERROR(__xludf.DUMMYFUNCTION("""COMPUTED_VALUE"""),"M. 13159/ KEDAMAIAN")</f>
        <v>M. 13159/ KEDAMAIAN</v>
      </c>
      <c r="D1471" s="7" t="str">
        <f>IFERROR(__xludf.DUMMYFUNCTION("""COMPUTED_VALUE"""),"David")</f>
        <v>David</v>
      </c>
      <c r="E1471" s="7" t="str">
        <f>IFERROR(__xludf.DUMMYFUNCTION("""COMPUTED_VALUE"""),"PROSES")</f>
        <v>PROSES</v>
      </c>
      <c r="F1471" s="9" t="str">
        <f>IFERROR(__xludf.DUMMYFUNCTION("""COMPUTED_VALUE"""),"")</f>
        <v/>
      </c>
      <c r="G1471" s="7" t="str">
        <f>IFERROR(__xludf.DUMMYFUNCTION("""COMPUTED_VALUE"""),"GANTI KECAMATAN")</f>
        <v>GANTI KECAMATAN</v>
      </c>
      <c r="H1471" s="7">
        <f t="shared" si="1"/>
        <v>657</v>
      </c>
    </row>
    <row r="1472" ht="22.5" customHeight="1">
      <c r="B1472" s="7" t="str">
        <f>IFERROR(__xludf.DUMMYFUNCTION("""COMPUTED_VALUE"""),"K/21/211124/3")</f>
        <v>K/21/211124/3</v>
      </c>
      <c r="C1472" s="7" t="str">
        <f>IFERROR(__xludf.DUMMYFUNCTION("""COMPUTED_VALUE"""),"M. 119/ PASIR GINTUNG/SUKAJAWA")</f>
        <v>M. 119/ PASIR GINTUNG/SUKAJAWA</v>
      </c>
      <c r="D1472" s="7" t="str">
        <f>IFERROR(__xludf.DUMMYFUNCTION("""COMPUTED_VALUE"""),"David")</f>
        <v>David</v>
      </c>
      <c r="E1472" s="7" t="str">
        <f>IFERROR(__xludf.DUMMYFUNCTION("""COMPUTED_VALUE"""),"DISERAHKAN")</f>
        <v>DISERAHKAN</v>
      </c>
      <c r="F1472" s="9">
        <f>IFERROR(__xludf.DUMMYFUNCTION("""COMPUTED_VALUE"""),45621.46010474537)</f>
        <v>45621.4601</v>
      </c>
      <c r="G1472" s="7" t="str">
        <f>IFERROR(__xludf.DUMMYFUNCTION("""COMPUTED_VALUE"""),"GANTI KELURAHAN")</f>
        <v>GANTI KELURAHAN</v>
      </c>
      <c r="H1472" s="7">
        <f t="shared" si="1"/>
        <v>658</v>
      </c>
    </row>
    <row r="1473" ht="22.5" customHeight="1">
      <c r="B1473" s="7" t="str">
        <f>IFERROR(__xludf.DUMMYFUNCTION("""COMPUTED_VALUE"""),"L/22/211124/1")</f>
        <v>L/22/211124/1</v>
      </c>
      <c r="C1473" s="7" t="str">
        <f>IFERROR(__xludf.DUMMYFUNCTION("""COMPUTED_VALUE"""),"HM 10312/SUKABUMI")</f>
        <v>HM 10312/SUKABUMI</v>
      </c>
      <c r="D1473" s="7"/>
      <c r="E1473" s="7"/>
      <c r="F1473" s="9" t="str">
        <f>IFERROR(__xludf.DUMMYFUNCTION("""COMPUTED_VALUE"""),"")</f>
        <v/>
      </c>
      <c r="G1473" s="7" t="str">
        <f>IFERROR(__xludf.DUMMYFUNCTION("""COMPUTED_VALUE"""),"PEMECAHAN")</f>
        <v>PEMECAHAN</v>
      </c>
      <c r="H1473" s="7">
        <f t="shared" si="1"/>
        <v>658</v>
      </c>
    </row>
    <row r="1474" ht="22.5" customHeight="1">
      <c r="B1474" s="7" t="str">
        <f>IFERROR(__xludf.DUMMYFUNCTION("""COMPUTED_VALUE"""),"K/23/211124/1")</f>
        <v>K/23/211124/1</v>
      </c>
      <c r="C1474" s="7" t="str">
        <f>IFERROR(__xludf.DUMMYFUNCTION("""COMPUTED_VALUE"""),"B. 814/ Sukabumi Indah")</f>
        <v>B. 814/ Sukabumi Indah</v>
      </c>
      <c r="D1474" s="7" t="str">
        <f>IFERROR(__xludf.DUMMYFUNCTION("""COMPUTED_VALUE"""),"David")</f>
        <v>David</v>
      </c>
      <c r="E1474" s="7" t="str">
        <f>IFERROR(__xludf.DUMMYFUNCTION("""COMPUTED_VALUE"""),"DISERAHKAN")</f>
        <v>DISERAHKAN</v>
      </c>
      <c r="F1474" s="9">
        <f>IFERROR(__xludf.DUMMYFUNCTION("""COMPUTED_VALUE"""),45622.50264392361)</f>
        <v>45622.50264</v>
      </c>
      <c r="G1474" s="7" t="str">
        <f>IFERROR(__xludf.DUMMYFUNCTION("""COMPUTED_VALUE"""),"BN JUAL BELI")</f>
        <v>BN JUAL BELI</v>
      </c>
      <c r="H1474" s="7">
        <f t="shared" si="1"/>
        <v>659</v>
      </c>
    </row>
    <row r="1475" ht="22.5" customHeight="1">
      <c r="B1475" s="7" t="str">
        <f>IFERROR(__xludf.DUMMYFUNCTION("""COMPUTED_VALUE"""),"K/26/211124/1")</f>
        <v>K/26/211124/1</v>
      </c>
      <c r="C1475" s="7" t="str">
        <f>IFERROR(__xludf.DUMMYFUNCTION("""COMPUTED_VALUE"""),"M.16490/SUKARAME I-SEKARANG;B.4029/SUKARAME I")</f>
        <v>M.16490/SUKARAME I-SEKARANG;B.4029/SUKARAME I</v>
      </c>
      <c r="D1475" s="7" t="str">
        <f>IFERROR(__xludf.DUMMYFUNCTION("""COMPUTED_VALUE"""),"David")</f>
        <v>David</v>
      </c>
      <c r="E1475" s="7" t="str">
        <f>IFERROR(__xludf.DUMMYFUNCTION("""COMPUTED_VALUE"""),"PROSES")</f>
        <v>PROSES</v>
      </c>
      <c r="F1475" s="9" t="str">
        <f>IFERROR(__xludf.DUMMYFUNCTION("""COMPUTED_VALUE"""),"")</f>
        <v/>
      </c>
      <c r="G1475" s="7" t="str">
        <f>IFERROR(__xludf.DUMMYFUNCTION("""COMPUTED_VALUE"""),"PLOTING")</f>
        <v>PLOTING</v>
      </c>
      <c r="H1475" s="7">
        <f t="shared" si="1"/>
        <v>659</v>
      </c>
    </row>
    <row r="1476" ht="22.5" customHeight="1">
      <c r="B1476" s="7" t="str">
        <f>IFERROR(__xludf.DUMMYFUNCTION("""COMPUTED_VALUE"""),"K/24/211124/2")</f>
        <v>K/24/211124/2</v>
      </c>
      <c r="C1476" s="7" t="str">
        <f>IFERROR(__xludf.DUMMYFUNCTION("""COMPUTED_VALUE"""),"M. 2273/ Rajabasa Raya")</f>
        <v>M. 2273/ Rajabasa Raya</v>
      </c>
      <c r="D1476" s="7" t="str">
        <f>IFERROR(__xludf.DUMMYFUNCTION("""COMPUTED_VALUE"""),"David")</f>
        <v>David</v>
      </c>
      <c r="E1476" s="7" t="str">
        <f>IFERROR(__xludf.DUMMYFUNCTION("""COMPUTED_VALUE"""),"DISERAHKAN")</f>
        <v>DISERAHKAN</v>
      </c>
      <c r="F1476" s="9">
        <f>IFERROR(__xludf.DUMMYFUNCTION("""COMPUTED_VALUE"""),45622.50264392361)</f>
        <v>45622.50264</v>
      </c>
      <c r="G1476" s="7" t="str">
        <f>IFERROR(__xludf.DUMMYFUNCTION("""COMPUTED_VALUE"""),"BN JUAL BELI")</f>
        <v>BN JUAL BELI</v>
      </c>
      <c r="H1476" s="7">
        <f t="shared" si="1"/>
        <v>660</v>
      </c>
    </row>
    <row r="1477" ht="22.5" customHeight="1">
      <c r="B1477" s="7" t="str">
        <f>IFERROR(__xludf.DUMMYFUNCTION("""COMPUTED_VALUE"""),"L/27/211124/1")</f>
        <v>L/27/211124/1</v>
      </c>
      <c r="C1477" s="7" t="str">
        <f>IFERROR(__xludf.DUMMYFUNCTION("""COMPUTED_VALUE"""),"HGB 177/PINANG JAYA")</f>
        <v>HGB 177/PINANG JAYA</v>
      </c>
      <c r="D1477" s="7"/>
      <c r="E1477" s="7"/>
      <c r="F1477" s="9" t="str">
        <f>IFERROR(__xludf.DUMMYFUNCTION("""COMPUTED_VALUE"""),"")</f>
        <v/>
      </c>
      <c r="G1477" s="7" t="str">
        <f>IFERROR(__xludf.DUMMYFUNCTION("""COMPUTED_VALUE"""),"PH")</f>
        <v>PH</v>
      </c>
      <c r="H1477" s="7">
        <f t="shared" si="1"/>
        <v>660</v>
      </c>
    </row>
    <row r="1478" ht="22.5" customHeight="1">
      <c r="B1478" s="7" t="str">
        <f>IFERROR(__xludf.DUMMYFUNCTION("""COMPUTED_VALUE"""),"K/25/211124/3")</f>
        <v>K/25/211124/3</v>
      </c>
      <c r="C1478" s="7" t="str">
        <f>IFERROR(__xludf.DUMMYFUNCTION("""COMPUTED_VALUE"""),"B. 2814/ Sukabumi")</f>
        <v>B. 2814/ Sukabumi</v>
      </c>
      <c r="D1478" s="7"/>
      <c r="E1478" s="7"/>
      <c r="F1478" s="9" t="str">
        <f>IFERROR(__xludf.DUMMYFUNCTION("""COMPUTED_VALUE"""),"")</f>
        <v/>
      </c>
      <c r="G1478" s="7" t="str">
        <f>IFERROR(__xludf.DUMMYFUNCTION("""COMPUTED_VALUE"""),"PERUBAHAN HAK")</f>
        <v>PERUBAHAN HAK</v>
      </c>
      <c r="H1478" s="7">
        <f t="shared" si="1"/>
        <v>660</v>
      </c>
    </row>
    <row r="1479" ht="22.5" customHeight="1">
      <c r="B1479" s="7" t="str">
        <f>IFERROR(__xludf.DUMMYFUNCTION("""COMPUTED_VALUE"""),"K/28/211124/1")</f>
        <v>K/28/211124/1</v>
      </c>
      <c r="C1479" s="7" t="str">
        <f>IFERROR(__xludf.DUMMYFUNCTION("""COMPUTED_VALUE"""),"M.2053/LANGKAPURA")</f>
        <v>M.2053/LANGKAPURA</v>
      </c>
      <c r="D1479" s="7" t="str">
        <f>IFERROR(__xludf.DUMMYFUNCTION("""COMPUTED_VALUE"""),"David")</f>
        <v>David</v>
      </c>
      <c r="E1479" s="7" t="str">
        <f>IFERROR(__xludf.DUMMYFUNCTION("""COMPUTED_VALUE"""),"PROSES")</f>
        <v>PROSES</v>
      </c>
      <c r="F1479" s="9" t="str">
        <f>IFERROR(__xludf.DUMMYFUNCTION("""COMPUTED_VALUE"""),"")</f>
        <v/>
      </c>
      <c r="G1479" s="7" t="str">
        <f>IFERROR(__xludf.DUMMYFUNCTION("""COMPUTED_VALUE"""),"GANDES")</f>
        <v>GANDES</v>
      </c>
      <c r="H1479" s="7">
        <f t="shared" si="1"/>
        <v>660</v>
      </c>
    </row>
    <row r="1480" ht="22.5" customHeight="1">
      <c r="B1480" s="7" t="str">
        <f>IFERROR(__xludf.DUMMYFUNCTION("""COMPUTED_VALUE"""),"K/29/211124/2")</f>
        <v>K/29/211124/2</v>
      </c>
      <c r="C1480" s="7" t="str">
        <f>IFERROR(__xludf.DUMMYFUNCTION("""COMPUTED_VALUE"""),"NIBEL M.1966/SUKADANAHAM")</f>
        <v>NIBEL M.1966/SUKADANAHAM</v>
      </c>
      <c r="D1480" s="7" t="str">
        <f>IFERROR(__xludf.DUMMYFUNCTION("""COMPUTED_VALUE"""),"David")</f>
        <v>David</v>
      </c>
      <c r="E1480" s="7" t="str">
        <f>IFERROR(__xludf.DUMMYFUNCTION("""COMPUTED_VALUE"""),"DISERAHKAN")</f>
        <v>DISERAHKAN</v>
      </c>
      <c r="F1480" s="9">
        <f>IFERROR(__xludf.DUMMYFUNCTION("""COMPUTED_VALUE"""),45621.46010474537)</f>
        <v>45621.4601</v>
      </c>
      <c r="G1480" s="7" t="str">
        <f>IFERROR(__xludf.DUMMYFUNCTION("""COMPUTED_VALUE"""),"BN JUAL BELI")</f>
        <v>BN JUAL BELI</v>
      </c>
      <c r="H1480" s="7">
        <f t="shared" si="1"/>
        <v>661</v>
      </c>
    </row>
    <row r="1481" ht="22.5" customHeight="1">
      <c r="B1481" s="7" t="str">
        <f>IFERROR(__xludf.DUMMYFUNCTION("""COMPUTED_VALUE"""),"L/31/211124/1")</f>
        <v>L/31/211124/1</v>
      </c>
      <c r="C1481" s="7" t="str">
        <f>IFERROR(__xludf.DUMMYFUNCTION("""COMPUTED_VALUE"""),"HM 11937/SEGALA MIDER")</f>
        <v>HM 11937/SEGALA MIDER</v>
      </c>
      <c r="D1481" s="7" t="str">
        <f>IFERROR(__xludf.DUMMYFUNCTION("""COMPUTED_VALUE"""),"David")</f>
        <v>David</v>
      </c>
      <c r="E1481" s="7" t="str">
        <f>IFERROR(__xludf.DUMMYFUNCTION("""COMPUTED_VALUE"""),"DISERAHKAN")</f>
        <v>DISERAHKAN</v>
      </c>
      <c r="F1481" s="9">
        <f>IFERROR(__xludf.DUMMYFUNCTION("""COMPUTED_VALUE"""),45622.502643935186)</f>
        <v>45622.50264</v>
      </c>
      <c r="G1481" s="7" t="str">
        <f>IFERROR(__xludf.DUMMYFUNCTION("""COMPUTED_VALUE"""),"ROYA")</f>
        <v>ROYA</v>
      </c>
      <c r="H1481" s="7">
        <f t="shared" si="1"/>
        <v>662</v>
      </c>
    </row>
    <row r="1482" ht="22.5" customHeight="1">
      <c r="B1482" s="7" t="str">
        <f>IFERROR(__xludf.DUMMYFUNCTION("""COMPUTED_VALUE"""),"K/30/211124/1")</f>
        <v>K/30/211124/1</v>
      </c>
      <c r="C1482" s="7" t="str">
        <f>IFERROR(__xludf.DUMMYFUNCTION("""COMPUTED_VALUE"""),"B. 745/ Sumur Putri")</f>
        <v>B. 745/ Sumur Putri</v>
      </c>
      <c r="D1482" s="7"/>
      <c r="E1482" s="7"/>
      <c r="F1482" s="9" t="str">
        <f>IFERROR(__xludf.DUMMYFUNCTION("""COMPUTED_VALUE"""),"")</f>
        <v/>
      </c>
      <c r="G1482" s="7" t="str">
        <f>IFERROR(__xludf.DUMMYFUNCTION("""COMPUTED_VALUE"""),"BN JUAL BELI")</f>
        <v>BN JUAL BELI</v>
      </c>
      <c r="H1482" s="7">
        <f t="shared" si="1"/>
        <v>662</v>
      </c>
    </row>
    <row r="1483" ht="22.5" customHeight="1">
      <c r="B1483" s="7" t="str">
        <f>IFERROR(__xludf.DUMMYFUNCTION("""COMPUTED_VALUE"""),"K/32/211124/1")</f>
        <v>K/32/211124/1</v>
      </c>
      <c r="C1483" s="7" t="str">
        <f>IFERROR(__xludf.DUMMYFUNCTION("""COMPUTED_VALUE"""),"M. 1112/ Pinang Jaya")</f>
        <v>M. 1112/ Pinang Jaya</v>
      </c>
      <c r="D1483" s="7" t="str">
        <f>IFERROR(__xludf.DUMMYFUNCTION("""COMPUTED_VALUE"""),"David")</f>
        <v>David</v>
      </c>
      <c r="E1483" s="7" t="str">
        <f>IFERROR(__xludf.DUMMYFUNCTION("""COMPUTED_VALUE"""),"PROSES")</f>
        <v>PROSES</v>
      </c>
      <c r="F1483" s="9" t="str">
        <f>IFERROR(__xludf.DUMMYFUNCTION("""COMPUTED_VALUE"""),"")</f>
        <v/>
      </c>
      <c r="G1483" s="7" t="str">
        <f>IFERROR(__xludf.DUMMYFUNCTION("""COMPUTED_VALUE"""),"BN Hibah ")</f>
        <v>BN Hibah </v>
      </c>
      <c r="H1483" s="7">
        <f t="shared" si="1"/>
        <v>662</v>
      </c>
    </row>
    <row r="1484" ht="22.5" customHeight="1">
      <c r="B1484" s="7" t="str">
        <f>IFERROR(__xludf.DUMMYFUNCTION("""COMPUTED_VALUE"""),"K/33/211124/1")</f>
        <v>K/33/211124/1</v>
      </c>
      <c r="C1484" s="7" t="str">
        <f>IFERROR(__xludf.DUMMYFUNCTION("""COMPUTED_VALUE"""),"M.60/RAJABASA NUNYAI")</f>
        <v>M.60/RAJABASA NUNYAI</v>
      </c>
      <c r="D1484" s="7"/>
      <c r="E1484" s="7"/>
      <c r="F1484" s="9" t="str">
        <f>IFERROR(__xludf.DUMMYFUNCTION("""COMPUTED_VALUE"""),"")</f>
        <v/>
      </c>
      <c r="G1484" s="7" t="str">
        <f>IFERROR(__xludf.DUMMYFUNCTION("""COMPUTED_VALUE"""),"SKPT LELANG")</f>
        <v>SKPT LELANG</v>
      </c>
      <c r="H1484" s="7">
        <f t="shared" si="1"/>
        <v>662</v>
      </c>
    </row>
    <row r="1485" ht="22.5" customHeight="1">
      <c r="B1485" s="7" t="str">
        <f>IFERROR(__xludf.DUMMYFUNCTION("""COMPUTED_VALUE"""),"L/34/211124/1")</f>
        <v>L/34/211124/1</v>
      </c>
      <c r="C1485" s="7" t="str">
        <f>IFERROR(__xludf.DUMMYFUNCTION("""COMPUTED_VALUE"""),"HM 116/SUMBEREJO")</f>
        <v>HM 116/SUMBEREJO</v>
      </c>
      <c r="D1485" s="7" t="str">
        <f>IFERROR(__xludf.DUMMYFUNCTION("""COMPUTED_VALUE"""),"David")</f>
        <v>David</v>
      </c>
      <c r="E1485" s="7" t="str">
        <f>IFERROR(__xludf.DUMMYFUNCTION("""COMPUTED_VALUE"""),"PROSES")</f>
        <v>PROSES</v>
      </c>
      <c r="F1485" s="9" t="str">
        <f>IFERROR(__xludf.DUMMYFUNCTION("""COMPUTED_VALUE"""),"")</f>
        <v/>
      </c>
      <c r="G1485" s="7" t="str">
        <f>IFERROR(__xludf.DUMMYFUNCTION("""COMPUTED_VALUE"""),"ROYA")</f>
        <v>ROYA</v>
      </c>
      <c r="H1485" s="7">
        <f t="shared" si="1"/>
        <v>662</v>
      </c>
    </row>
    <row r="1486" ht="22.5" customHeight="1">
      <c r="B1486" s="7" t="str">
        <f>IFERROR(__xludf.DUMMYFUNCTION("""COMPUTED_VALUE"""),"K/35/211124/1")</f>
        <v>K/35/211124/1</v>
      </c>
      <c r="C1486" s="7" t="str">
        <f>IFERROR(__xludf.DUMMYFUNCTION("""COMPUTED_VALUE"""),"PBT 94/2024")</f>
        <v>PBT 94/2024</v>
      </c>
      <c r="D1486" s="7" t="str">
        <f>IFERROR(__xludf.DUMMYFUNCTION("""COMPUTED_VALUE"""),"David")</f>
        <v>David</v>
      </c>
      <c r="E1486" s="7" t="str">
        <f>IFERROR(__xludf.DUMMYFUNCTION("""COMPUTED_VALUE"""),"DISERAHKAN")</f>
        <v>DISERAHKAN</v>
      </c>
      <c r="F1486" s="9">
        <f>IFERROR(__xludf.DUMMYFUNCTION("""COMPUTED_VALUE"""),45621.46010474537)</f>
        <v>45621.4601</v>
      </c>
      <c r="G1486" s="7" t="str">
        <f>IFERROR(__xludf.DUMMYFUNCTION("""COMPUTED_VALUE"""),"PTPGT HGB BERAKHIR")</f>
        <v>PTPGT HGB BERAKHIR</v>
      </c>
      <c r="H1486" s="7">
        <f t="shared" si="1"/>
        <v>663</v>
      </c>
    </row>
    <row r="1487" ht="22.5" customHeight="1">
      <c r="B1487" s="7" t="str">
        <f>IFERROR(__xludf.DUMMYFUNCTION("""COMPUTED_VALUE"""),"K/36/211124/1")</f>
        <v>K/36/211124/1</v>
      </c>
      <c r="C1487" s="7" t="str">
        <f>IFERROR(__xludf.DUMMYFUNCTION("""COMPUTED_VALUE"""),"M. 5630/ Langkapura")</f>
        <v>M. 5630/ Langkapura</v>
      </c>
      <c r="D1487" s="7"/>
      <c r="E1487" s="7"/>
      <c r="F1487" s="9" t="str">
        <f>IFERROR(__xludf.DUMMYFUNCTION("""COMPUTED_VALUE"""),"")</f>
        <v/>
      </c>
      <c r="G1487" s="7" t="str">
        <f>IFERROR(__xludf.DUMMYFUNCTION("""COMPUTED_VALUE"""),"BN Jual Beli")</f>
        <v>BN Jual Beli</v>
      </c>
      <c r="H1487" s="7">
        <f t="shared" si="1"/>
        <v>663</v>
      </c>
    </row>
    <row r="1488" ht="22.5" customHeight="1">
      <c r="B1488" s="7" t="str">
        <f>IFERROR(__xludf.DUMMYFUNCTION("""COMPUTED_VALUE"""),"L/37/211124/1")</f>
        <v>L/37/211124/1</v>
      </c>
      <c r="C1488" s="7" t="str">
        <f>IFERROR(__xludf.DUMMYFUNCTION("""COMPUTED_VALUE"""),"HM 16855/SUKARAME")</f>
        <v>HM 16855/SUKARAME</v>
      </c>
      <c r="D1488" s="7" t="str">
        <f>IFERROR(__xludf.DUMMYFUNCTION("""COMPUTED_VALUE"""),"David")</f>
        <v>David</v>
      </c>
      <c r="E1488" s="7" t="str">
        <f>IFERROR(__xludf.DUMMYFUNCTION("""COMPUTED_VALUE"""),"DISERAHKAN")</f>
        <v>DISERAHKAN</v>
      </c>
      <c r="F1488" s="9">
        <f>IFERROR(__xludf.DUMMYFUNCTION("""COMPUTED_VALUE"""),45621.46010474537)</f>
        <v>45621.4601</v>
      </c>
      <c r="G1488" s="7" t="str">
        <f>IFERROR(__xludf.DUMMYFUNCTION("""COMPUTED_VALUE"""),"ROYA")</f>
        <v>ROYA</v>
      </c>
      <c r="H1488" s="7">
        <f t="shared" si="1"/>
        <v>664</v>
      </c>
    </row>
    <row r="1489" ht="22.5" customHeight="1">
      <c r="B1489" s="7" t="str">
        <f>IFERROR(__xludf.DUMMYFUNCTION("""COMPUTED_VALUE"""),"K/38/211124/1")</f>
        <v>K/38/211124/1</v>
      </c>
      <c r="C1489" s="7" t="str">
        <f>IFERROR(__xludf.DUMMYFUNCTION("""COMPUTED_VALUE"""),"M.9885/KEDATON")</f>
        <v>M.9885/KEDATON</v>
      </c>
      <c r="D1489" s="7"/>
      <c r="E1489" s="7"/>
      <c r="F1489" s="9" t="str">
        <f>IFERROR(__xludf.DUMMYFUNCTION("""COMPUTED_VALUE"""),"")</f>
        <v/>
      </c>
      <c r="G1489" s="7" t="str">
        <f>IFERROR(__xludf.DUMMYFUNCTION("""COMPUTED_VALUE"""),"GANDES")</f>
        <v>GANDES</v>
      </c>
      <c r="H1489" s="7">
        <f t="shared" si="1"/>
        <v>664</v>
      </c>
    </row>
    <row r="1490" ht="22.5" customHeight="1">
      <c r="B1490" s="7" t="str">
        <f>IFERROR(__xludf.DUMMYFUNCTION("""COMPUTED_VALUE"""),"K/39/211124/2")</f>
        <v>K/39/211124/2</v>
      </c>
      <c r="C1490" s="7" t="str">
        <f>IFERROR(__xludf.DUMMYFUNCTION("""COMPUTED_VALUE"""),"M.751/KUPANG KOTA")</f>
        <v>M.751/KUPANG KOTA</v>
      </c>
      <c r="D1490" s="7" t="str">
        <f>IFERROR(__xludf.DUMMYFUNCTION("""COMPUTED_VALUE"""),"David")</f>
        <v>David</v>
      </c>
      <c r="E1490" s="7" t="str">
        <f>IFERROR(__xludf.DUMMYFUNCTION("""COMPUTED_VALUE"""),"DISERAHKAN")</f>
        <v>DISERAHKAN</v>
      </c>
      <c r="F1490" s="9">
        <f>IFERROR(__xludf.DUMMYFUNCTION("""COMPUTED_VALUE"""),45621.46010474537)</f>
        <v>45621.4601</v>
      </c>
      <c r="G1490" s="7" t="str">
        <f>IFERROR(__xludf.DUMMYFUNCTION("""COMPUTED_VALUE"""),"KEWARISAN")</f>
        <v>KEWARISAN</v>
      </c>
      <c r="H1490" s="7">
        <f t="shared" si="1"/>
        <v>665</v>
      </c>
    </row>
    <row r="1491" ht="22.5" customHeight="1">
      <c r="B1491" s="7" t="str">
        <f>IFERROR(__xludf.DUMMYFUNCTION("""COMPUTED_VALUE"""),"K/40/211124/1")</f>
        <v>K/40/211124/1</v>
      </c>
      <c r="C1491" s="7" t="str">
        <f>IFERROR(__xludf.DUMMYFUNCTION("""COMPUTED_VALUE"""),"PBT. 196/2024")</f>
        <v>PBT. 196/2024</v>
      </c>
      <c r="D1491" s="7" t="str">
        <f>IFERROR(__xludf.DUMMYFUNCTION("""COMPUTED_VALUE"""),"David")</f>
        <v>David</v>
      </c>
      <c r="E1491" s="7" t="str">
        <f>IFERROR(__xludf.DUMMYFUNCTION("""COMPUTED_VALUE"""),"DISERAHKAN BT")</f>
        <v>DISERAHKAN BT</v>
      </c>
      <c r="F1491" s="9">
        <f>IFERROR(__xludf.DUMMYFUNCTION("""COMPUTED_VALUE"""),45625.667388333335)</f>
        <v>45625.66739</v>
      </c>
      <c r="G1491" s="7" t="str">
        <f>IFERROR(__xludf.DUMMYFUNCTION("""COMPUTED_VALUE"""),"PTPGT (Pertama Kali)")</f>
        <v>PTPGT (Pertama Kali)</v>
      </c>
      <c r="H1491" s="7">
        <f t="shared" si="1"/>
        <v>665</v>
      </c>
    </row>
    <row r="1492" ht="22.5" customHeight="1">
      <c r="B1492" s="7" t="str">
        <f>IFERROR(__xludf.DUMMYFUNCTION("""COMPUTED_VALUE"""),"K/41/211124/1")</f>
        <v>K/41/211124/1</v>
      </c>
      <c r="C1492" s="7" t="str">
        <f>IFERROR(__xludf.DUMMYFUNCTION("""COMPUTED_VALUE"""),"M. 984/ Sukarame Baru")</f>
        <v>M. 984/ Sukarame Baru</v>
      </c>
      <c r="D1492" s="7" t="str">
        <f>IFERROR(__xludf.DUMMYFUNCTION("""COMPUTED_VALUE"""),"David")</f>
        <v>David</v>
      </c>
      <c r="E1492" s="7" t="str">
        <f>IFERROR(__xludf.DUMMYFUNCTION("""COMPUTED_VALUE"""),"DISERAHKAN")</f>
        <v>DISERAHKAN</v>
      </c>
      <c r="F1492" s="9">
        <f>IFERROR(__xludf.DUMMYFUNCTION("""COMPUTED_VALUE"""),45621.46010474537)</f>
        <v>45621.4601</v>
      </c>
      <c r="G1492" s="7" t="str">
        <f>IFERROR(__xludf.DUMMYFUNCTION("""COMPUTED_VALUE"""),"BN Jual Beli")</f>
        <v>BN Jual Beli</v>
      </c>
      <c r="H1492" s="7">
        <f t="shared" si="1"/>
        <v>666</v>
      </c>
    </row>
    <row r="1493" ht="22.5" customHeight="1">
      <c r="B1493" s="7" t="str">
        <f>IFERROR(__xludf.DUMMYFUNCTION("""COMPUTED_VALUE"""),"L/42/211124/1")</f>
        <v>L/42/211124/1</v>
      </c>
      <c r="C1493" s="7" t="str">
        <f>IFERROR(__xludf.DUMMYFUNCTION("""COMPUTED_VALUE"""),"HM 2474/SUKADANA HAM")</f>
        <v>HM 2474/SUKADANA HAM</v>
      </c>
      <c r="D1493" s="7" t="str">
        <f>IFERROR(__xludf.DUMMYFUNCTION("""COMPUTED_VALUE"""),"David")</f>
        <v>David</v>
      </c>
      <c r="E1493" s="7" t="str">
        <f>IFERROR(__xludf.DUMMYFUNCTION("""COMPUTED_VALUE"""),"DISERAHKAN BT")</f>
        <v>DISERAHKAN BT</v>
      </c>
      <c r="F1493" s="9">
        <f>IFERROR(__xludf.DUMMYFUNCTION("""COMPUTED_VALUE"""),45625.667388333335)</f>
        <v>45625.66739</v>
      </c>
      <c r="G1493" s="7" t="str">
        <f>IFERROR(__xludf.DUMMYFUNCTION("""COMPUTED_VALUE"""),"ROYA")</f>
        <v>ROYA</v>
      </c>
      <c r="H1493" s="7">
        <f t="shared" si="1"/>
        <v>666</v>
      </c>
    </row>
    <row r="1494" ht="22.5" customHeight="1">
      <c r="B1494" s="7" t="str">
        <f>IFERROR(__xludf.DUMMYFUNCTION("""COMPUTED_VALUE"""),"K/43/211124/1")</f>
        <v>K/43/211124/1</v>
      </c>
      <c r="C1494" s="7" t="str">
        <f>IFERROR(__xludf.DUMMYFUNCTION("""COMPUTED_VALUE"""),"M.1803/BERINGIN JAYA-SEKARANG;M.110/BERINGIN RAYA-DAHULU")</f>
        <v>M.1803/BERINGIN JAYA-SEKARANG;M.110/BERINGIN RAYA-DAHULU</v>
      </c>
      <c r="D1494" s="7" t="str">
        <f>IFERROR(__xludf.DUMMYFUNCTION("""COMPUTED_VALUE"""),"David")</f>
        <v>David</v>
      </c>
      <c r="E1494" s="7" t="str">
        <f>IFERROR(__xludf.DUMMYFUNCTION("""COMPUTED_VALUE"""),"DISERAHKAN SU")</f>
        <v>DISERAHKAN SU</v>
      </c>
      <c r="F1494" s="9">
        <f>IFERROR(__xludf.DUMMYFUNCTION("""COMPUTED_VALUE"""),45621.46010474537)</f>
        <v>45621.4601</v>
      </c>
      <c r="G1494" s="7" t="str">
        <f>IFERROR(__xludf.DUMMYFUNCTION("""COMPUTED_VALUE"""),"BN JUAL BELI")</f>
        <v>BN JUAL BELI</v>
      </c>
      <c r="H1494" s="7">
        <f t="shared" si="1"/>
        <v>666</v>
      </c>
    </row>
    <row r="1495" ht="22.5" customHeight="1">
      <c r="B1495" s="7" t="str">
        <f>IFERROR(__xludf.DUMMYFUNCTION("""COMPUTED_VALUE"""),"K/45/211124/1")</f>
        <v>K/45/211124/1</v>
      </c>
      <c r="C1495" s="7" t="str">
        <f>IFERROR(__xludf.DUMMYFUNCTION("""COMPUTED_VALUE"""),"M. 17127/ Sukarame I")</f>
        <v>M. 17127/ Sukarame I</v>
      </c>
      <c r="D1495" s="7" t="str">
        <f>IFERROR(__xludf.DUMMYFUNCTION("""COMPUTED_VALUE"""),"David")</f>
        <v>David</v>
      </c>
      <c r="E1495" s="7" t="str">
        <f>IFERROR(__xludf.DUMMYFUNCTION("""COMPUTED_VALUE"""),"DISERAHKAN")</f>
        <v>DISERAHKAN</v>
      </c>
      <c r="F1495" s="9">
        <f>IFERROR(__xludf.DUMMYFUNCTION("""COMPUTED_VALUE"""),45621.46010474537)</f>
        <v>45621.4601</v>
      </c>
      <c r="G1495" s="7" t="str">
        <f>IFERROR(__xludf.DUMMYFUNCTION("""COMPUTED_VALUE"""),"ROYA")</f>
        <v>ROYA</v>
      </c>
      <c r="H1495" s="7">
        <f t="shared" si="1"/>
        <v>667</v>
      </c>
    </row>
    <row r="1496" ht="22.5" customHeight="1">
      <c r="B1496" s="7" t="str">
        <f>IFERROR(__xludf.DUMMYFUNCTION("""COMPUTED_VALUE"""),"K/46/211124/1")</f>
        <v>K/46/211124/1</v>
      </c>
      <c r="C1496" s="7" t="str">
        <f>IFERROR(__xludf.DUMMYFUNCTION("""COMPUTED_VALUE"""),"M. 2199/ Rajabasa Raya")</f>
        <v>M. 2199/ Rajabasa Raya</v>
      </c>
      <c r="D1496" s="7"/>
      <c r="E1496" s="7"/>
      <c r="F1496" s="9" t="str">
        <f>IFERROR(__xludf.DUMMYFUNCTION("""COMPUTED_VALUE"""),"")</f>
        <v/>
      </c>
      <c r="G1496" s="7" t="str">
        <f>IFERROR(__xludf.DUMMYFUNCTION("""COMPUTED_VALUE"""),"BN WARIS")</f>
        <v>BN WARIS</v>
      </c>
      <c r="H1496" s="7">
        <f t="shared" si="1"/>
        <v>667</v>
      </c>
    </row>
    <row r="1497" ht="22.5" customHeight="1">
      <c r="B1497" s="7" t="str">
        <f>IFERROR(__xludf.DUMMYFUNCTION("""COMPUTED_VALUE"""),"K/47/211124/1")</f>
        <v>K/47/211124/1</v>
      </c>
      <c r="C1497" s="7" t="str">
        <f>IFERROR(__xludf.DUMMYFUNCTION("""COMPUTED_VALUE"""),"M. 2395/ Sukarame Baru")</f>
        <v>M. 2395/ Sukarame Baru</v>
      </c>
      <c r="D1497" s="7"/>
      <c r="E1497" s="7"/>
      <c r="F1497" s="9" t="str">
        <f>IFERROR(__xludf.DUMMYFUNCTION("""COMPUTED_VALUE"""),"")</f>
        <v/>
      </c>
      <c r="G1497" s="7" t="str">
        <f>IFERROR(__xludf.DUMMYFUNCTION("""COMPUTED_VALUE"""),"BN Jual Beli")</f>
        <v>BN Jual Beli</v>
      </c>
      <c r="H1497" s="7">
        <f t="shared" si="1"/>
        <v>667</v>
      </c>
    </row>
    <row r="1498" ht="22.5" customHeight="1">
      <c r="B1498" s="7" t="str">
        <f>IFERROR(__xludf.DUMMYFUNCTION("""COMPUTED_VALUE"""),"K/48/211124/1")</f>
        <v>K/48/211124/1</v>
      </c>
      <c r="C1498" s="7" t="str">
        <f>IFERROR(__xludf.DUMMYFUNCTION("""COMPUTED_VALUE"""),"Nibel.2217/ Sukabumi")</f>
        <v>Nibel.2217/ Sukabumi</v>
      </c>
      <c r="D1498" s="7"/>
      <c r="E1498" s="7"/>
      <c r="F1498" s="9" t="str">
        <f>IFERROR(__xludf.DUMMYFUNCTION("""COMPUTED_VALUE"""),"")</f>
        <v/>
      </c>
      <c r="G1498" s="7" t="str">
        <f>IFERROR(__xludf.DUMMYFUNCTION("""COMPUTED_VALUE"""),"Pemecahan")</f>
        <v>Pemecahan</v>
      </c>
      <c r="H1498" s="7">
        <f t="shared" si="1"/>
        <v>667</v>
      </c>
    </row>
    <row r="1499" ht="22.5" customHeight="1">
      <c r="B1499" s="7" t="str">
        <f>IFERROR(__xludf.DUMMYFUNCTION("""COMPUTED_VALUE"""),"K/49/211124/1")</f>
        <v>K/49/211124/1</v>
      </c>
      <c r="C1499" s="7" t="str">
        <f>IFERROR(__xludf.DUMMYFUNCTION("""COMPUTED_VALUE"""),"M. 546/ Campang Raya")</f>
        <v>M. 546/ Campang Raya</v>
      </c>
      <c r="D1499" s="7"/>
      <c r="E1499" s="7"/>
      <c r="F1499" s="9" t="str">
        <f>IFERROR(__xludf.DUMMYFUNCTION("""COMPUTED_VALUE"""),"")</f>
        <v/>
      </c>
      <c r="G1499" s="7" t="str">
        <f>IFERROR(__xludf.DUMMYFUNCTION("""COMPUTED_VALUE"""),"Gandes")</f>
        <v>Gandes</v>
      </c>
      <c r="H1499" s="7">
        <f t="shared" si="1"/>
        <v>667</v>
      </c>
    </row>
    <row r="1500" ht="22.5" customHeight="1">
      <c r="B1500" s="7" t="str">
        <f>IFERROR(__xludf.DUMMYFUNCTION("""COMPUTED_VALUE"""),"K/51/211124/1")</f>
        <v>K/51/211124/1</v>
      </c>
      <c r="C1500" s="7" t="str">
        <f>IFERROR(__xludf.DUMMYFUNCTION("""COMPUTED_VALUE"""),"M.1079/JAGABAYA III-SEKARANG;B.564/JAGABAYA III-DAHULU")</f>
        <v>M.1079/JAGABAYA III-SEKARANG;B.564/JAGABAYA III-DAHULU</v>
      </c>
      <c r="D1500" s="7" t="str">
        <f>IFERROR(__xludf.DUMMYFUNCTION("""COMPUTED_VALUE"""),"David")</f>
        <v>David</v>
      </c>
      <c r="E1500" s="7" t="str">
        <f>IFERROR(__xludf.DUMMYFUNCTION("""COMPUTED_VALUE"""),"DISERAHKAN BT")</f>
        <v>DISERAHKAN BT</v>
      </c>
      <c r="F1500" s="9">
        <f>IFERROR(__xludf.DUMMYFUNCTION("""COMPUTED_VALUE"""),45621.46010474537)</f>
        <v>45621.4601</v>
      </c>
      <c r="G1500" s="7" t="str">
        <f>IFERROR(__xludf.DUMMYFUNCTION("""COMPUTED_VALUE"""),"PENGECEKAN")</f>
        <v>PENGECEKAN</v>
      </c>
      <c r="H1500" s="7">
        <f t="shared" si="1"/>
        <v>667</v>
      </c>
    </row>
    <row r="1501" ht="22.5" customHeight="1">
      <c r="B1501" s="7" t="str">
        <f>IFERROR(__xludf.DUMMYFUNCTION("""COMPUTED_VALUE"""),"K/50/211124/2")</f>
        <v>K/50/211124/2</v>
      </c>
      <c r="C1501" s="7" t="str">
        <f>IFERROR(__xludf.DUMMYFUNCTION("""COMPUTED_VALUE"""),"M. 581/ P W K")</f>
        <v>M. 581/ P W K</v>
      </c>
      <c r="D1501" s="7" t="str">
        <f>IFERROR(__xludf.DUMMYFUNCTION("""COMPUTED_VALUE"""),"David")</f>
        <v>David</v>
      </c>
      <c r="E1501" s="7" t="str">
        <f>IFERROR(__xludf.DUMMYFUNCTION("""COMPUTED_VALUE"""),"DISERAHKAN")</f>
        <v>DISERAHKAN</v>
      </c>
      <c r="F1501" s="9">
        <f>IFERROR(__xludf.DUMMYFUNCTION("""COMPUTED_VALUE"""),45621.460104756945)</f>
        <v>45621.4601</v>
      </c>
      <c r="G1501" s="7" t="str">
        <f>IFERROR(__xludf.DUMMYFUNCTION("""COMPUTED_VALUE"""),"Entry BT")</f>
        <v>Entry BT</v>
      </c>
      <c r="H1501" s="7">
        <f t="shared" si="1"/>
        <v>668</v>
      </c>
    </row>
    <row r="1502" ht="22.5" customHeight="1">
      <c r="B1502" s="7" t="str">
        <f>IFERROR(__xludf.DUMMYFUNCTION("""COMPUTED_VALUE"""),"K/52/211124/1")</f>
        <v>K/52/211124/1</v>
      </c>
      <c r="C1502" s="7" t="str">
        <f>IFERROR(__xludf.DUMMYFUNCTION("""COMPUTED_VALUE"""),"M. 2990/ Way Kandis")</f>
        <v>M. 2990/ Way Kandis</v>
      </c>
      <c r="D1502" s="7" t="str">
        <f>IFERROR(__xludf.DUMMYFUNCTION("""COMPUTED_VALUE"""),"David")</f>
        <v>David</v>
      </c>
      <c r="E1502" s="7" t="str">
        <f>IFERROR(__xludf.DUMMYFUNCTION("""COMPUTED_VALUE"""),"DISERAHKAN")</f>
        <v>DISERAHKAN</v>
      </c>
      <c r="F1502" s="9">
        <f>IFERROR(__xludf.DUMMYFUNCTION("""COMPUTED_VALUE"""),45622.42598946759)</f>
        <v>45622.42599</v>
      </c>
      <c r="G1502" s="7" t="str">
        <f>IFERROR(__xludf.DUMMYFUNCTION("""COMPUTED_VALUE"""),"BN JUAL BELI")</f>
        <v>BN JUAL BELI</v>
      </c>
      <c r="H1502" s="7">
        <f t="shared" si="1"/>
        <v>669</v>
      </c>
    </row>
    <row r="1503" ht="22.5" customHeight="1">
      <c r="B1503" s="7" t="str">
        <f>IFERROR(__xludf.DUMMYFUNCTION("""COMPUTED_VALUE"""),"K/53/211124/2")</f>
        <v>K/53/211124/2</v>
      </c>
      <c r="C1503" s="7" t="str">
        <f>IFERROR(__xludf.DUMMYFUNCTION("""COMPUTED_VALUE"""),"M. 6974/ Tanjung Seneng")</f>
        <v>M. 6974/ Tanjung Seneng</v>
      </c>
      <c r="D1503" s="7"/>
      <c r="E1503" s="7"/>
      <c r="F1503" s="9" t="str">
        <f>IFERROR(__xludf.DUMMYFUNCTION("""COMPUTED_VALUE"""),"")</f>
        <v/>
      </c>
      <c r="G1503" s="7" t="str">
        <f>IFERROR(__xludf.DUMMYFUNCTION("""COMPUTED_VALUE"""),"BN JUAL BELI")</f>
        <v>BN JUAL BELI</v>
      </c>
      <c r="H1503" s="7">
        <f t="shared" si="1"/>
        <v>669</v>
      </c>
    </row>
    <row r="1504" ht="22.5" customHeight="1">
      <c r="B1504" s="7" t="str">
        <f>IFERROR(__xludf.DUMMYFUNCTION("""COMPUTED_VALUE"""),"K/1/221124/1")</f>
        <v>K/1/221124/1</v>
      </c>
      <c r="C1504" s="7" t="str">
        <f>IFERROR(__xludf.DUMMYFUNCTION("""COMPUTED_VALUE"""),"M. 2443/ Sukamaju")</f>
        <v>M. 2443/ Sukamaju</v>
      </c>
      <c r="D1504" s="7" t="str">
        <f>IFERROR(__xludf.DUMMYFUNCTION("""COMPUTED_VALUE"""),"David")</f>
        <v>David</v>
      </c>
      <c r="E1504" s="7" t="str">
        <f>IFERROR(__xludf.DUMMYFUNCTION("""COMPUTED_VALUE"""),"DISERAHKAN")</f>
        <v>DISERAHKAN</v>
      </c>
      <c r="F1504" s="9">
        <f>IFERROR(__xludf.DUMMYFUNCTION("""COMPUTED_VALUE"""),45622.42607619213)</f>
        <v>45622.42608</v>
      </c>
      <c r="G1504" s="7" t="str">
        <f>IFERROR(__xludf.DUMMYFUNCTION("""COMPUTED_VALUE"""),"BN JUAL BELI")</f>
        <v>BN JUAL BELI</v>
      </c>
      <c r="H1504" s="7">
        <f t="shared" si="1"/>
        <v>670</v>
      </c>
    </row>
    <row r="1505" ht="22.5" customHeight="1">
      <c r="B1505" s="7" t="str">
        <f>IFERROR(__xludf.DUMMYFUNCTION("""COMPUTED_VALUE"""),"K/3/221124/1")</f>
        <v>K/3/221124/1</v>
      </c>
      <c r="C1505" s="7" t="str">
        <f>IFERROR(__xludf.DUMMYFUNCTION("""COMPUTED_VALUE"""),"M.649/WAY HALIM PERMAI")</f>
        <v>M.649/WAY HALIM PERMAI</v>
      </c>
      <c r="D1505" s="7" t="str">
        <f>IFERROR(__xludf.DUMMYFUNCTION("""COMPUTED_VALUE"""),"David")</f>
        <v>David</v>
      </c>
      <c r="E1505" s="7" t="str">
        <f>IFERROR(__xludf.DUMMYFUNCTION("""COMPUTED_VALUE"""),"PROSES")</f>
        <v>PROSES</v>
      </c>
      <c r="F1505" s="9" t="str">
        <f>IFERROR(__xludf.DUMMYFUNCTION("""COMPUTED_VALUE"""),"")</f>
        <v/>
      </c>
      <c r="G1505" s="7" t="str">
        <f>IFERROR(__xludf.DUMMYFUNCTION("""COMPUTED_VALUE"""),"GANDES")</f>
        <v>GANDES</v>
      </c>
      <c r="H1505" s="7">
        <f t="shared" si="1"/>
        <v>670</v>
      </c>
    </row>
    <row r="1506" ht="22.5" customHeight="1">
      <c r="B1506" s="7" t="str">
        <f>IFERROR(__xludf.DUMMYFUNCTION("""COMPUTED_VALUE"""),"K/2/221124/2")</f>
        <v>K/2/221124/2</v>
      </c>
      <c r="C1506" s="7" t="str">
        <f>IFERROR(__xludf.DUMMYFUNCTION("""COMPUTED_VALUE"""),"M. 2345/ Sukamaju")</f>
        <v>M. 2345/ Sukamaju</v>
      </c>
      <c r="D1506" s="7" t="str">
        <f>IFERROR(__xludf.DUMMYFUNCTION("""COMPUTED_VALUE"""),"David")</f>
        <v>David</v>
      </c>
      <c r="E1506" s="7" t="str">
        <f>IFERROR(__xludf.DUMMYFUNCTION("""COMPUTED_VALUE"""),"DISERAHKAN")</f>
        <v>DISERAHKAN</v>
      </c>
      <c r="F1506" s="9">
        <f>IFERROR(__xludf.DUMMYFUNCTION("""COMPUTED_VALUE"""),45622.426500960646)</f>
        <v>45622.4265</v>
      </c>
      <c r="G1506" s="7" t="str">
        <f>IFERROR(__xludf.DUMMYFUNCTION("""COMPUTED_VALUE"""),"BN JUAL BELI")</f>
        <v>BN JUAL BELI</v>
      </c>
      <c r="H1506" s="7">
        <f t="shared" si="1"/>
        <v>671</v>
      </c>
    </row>
    <row r="1507" ht="22.5" customHeight="1">
      <c r="B1507" s="7" t="str">
        <f>IFERROR(__xludf.DUMMYFUNCTION("""COMPUTED_VALUE"""),"L/4/221124/1")</f>
        <v>L/4/221124/1</v>
      </c>
      <c r="C1507" s="7" t="str">
        <f>IFERROR(__xludf.DUMMYFUNCTION("""COMPUTED_VALUE"""),"HM 13950/SUKABUMI ")</f>
        <v>HM 13950/SUKABUMI </v>
      </c>
      <c r="D1507" s="7"/>
      <c r="E1507" s="7"/>
      <c r="F1507" s="9" t="str">
        <f>IFERROR(__xludf.DUMMYFUNCTION("""COMPUTED_VALUE"""),"")</f>
        <v/>
      </c>
      <c r="G1507" s="7" t="str">
        <f>IFERROR(__xludf.DUMMYFUNCTION("""COMPUTED_VALUE"""),"PEMECAHAN")</f>
        <v>PEMECAHAN</v>
      </c>
      <c r="H1507" s="7">
        <f t="shared" si="1"/>
        <v>671</v>
      </c>
    </row>
    <row r="1508" ht="22.5" customHeight="1">
      <c r="B1508" s="7" t="str">
        <f>IFERROR(__xludf.DUMMYFUNCTION("""COMPUTED_VALUE"""),"K/5/221124/1")</f>
        <v>K/5/221124/1</v>
      </c>
      <c r="C1508" s="7" t="str">
        <f>IFERROR(__xludf.DUMMYFUNCTION("""COMPUTED_VALUE"""),"M.1217/SRENGSEM")</f>
        <v>M.1217/SRENGSEM</v>
      </c>
      <c r="D1508" s="7" t="str">
        <f>IFERROR(__xludf.DUMMYFUNCTION("""COMPUTED_VALUE"""),"David")</f>
        <v>David</v>
      </c>
      <c r="E1508" s="7" t="str">
        <f>IFERROR(__xludf.DUMMYFUNCTION("""COMPUTED_VALUE"""),"DISERAHKAN")</f>
        <v>DISERAHKAN</v>
      </c>
      <c r="F1508" s="9">
        <f>IFERROR(__xludf.DUMMYFUNCTION("""COMPUTED_VALUE"""),45622.426690810185)</f>
        <v>45622.42669</v>
      </c>
      <c r="G1508" s="7" t="str">
        <f>IFERROR(__xludf.DUMMYFUNCTION("""COMPUTED_VALUE"""),"BN WARIS")</f>
        <v>BN WARIS</v>
      </c>
      <c r="H1508" s="7">
        <f t="shared" si="1"/>
        <v>672</v>
      </c>
    </row>
    <row r="1509" ht="22.5" customHeight="1">
      <c r="B1509" s="7" t="str">
        <f>IFERROR(__xludf.DUMMYFUNCTION("""COMPUTED_VALUE"""),"K/6/221124/1")</f>
        <v>K/6/221124/1</v>
      </c>
      <c r="C1509" s="7" t="str">
        <f>IFERROR(__xludf.DUMMYFUNCTION("""COMPUTED_VALUE"""),"B. 2161/ Sukabumi")</f>
        <v>B. 2161/ Sukabumi</v>
      </c>
      <c r="D1509" s="7"/>
      <c r="E1509" s="7"/>
      <c r="F1509" s="9" t="str">
        <f>IFERROR(__xludf.DUMMYFUNCTION("""COMPUTED_VALUE"""),"")</f>
        <v/>
      </c>
      <c r="G1509" s="7" t="str">
        <f>IFERROR(__xludf.DUMMYFUNCTION("""COMPUTED_VALUE"""),"Gandes")</f>
        <v>Gandes</v>
      </c>
      <c r="H1509" s="7">
        <f t="shared" si="1"/>
        <v>672</v>
      </c>
    </row>
    <row r="1510" ht="22.5" customHeight="1">
      <c r="B1510" s="7" t="str">
        <f>IFERROR(__xludf.DUMMYFUNCTION("""COMPUTED_VALUE"""),"K/7/221124/1")</f>
        <v>K/7/221124/1</v>
      </c>
      <c r="C1510" s="7" t="str">
        <f>IFERROR(__xludf.DUMMYFUNCTION("""COMPUTED_VALUE"""),"M. 897/ Sumber rejo")</f>
        <v>M. 897/ Sumber rejo</v>
      </c>
      <c r="D1510" s="7"/>
      <c r="E1510" s="7"/>
      <c r="F1510" s="9" t="str">
        <f>IFERROR(__xludf.DUMMYFUNCTION("""COMPUTED_VALUE"""),"")</f>
        <v/>
      </c>
      <c r="G1510" s="7" t="str">
        <f>IFERROR(__xludf.DUMMYFUNCTION("""COMPUTED_VALUE"""),"ROYA")</f>
        <v>ROYA</v>
      </c>
      <c r="H1510" s="7">
        <f t="shared" si="1"/>
        <v>672</v>
      </c>
    </row>
    <row r="1511" ht="22.5" customHeight="1">
      <c r="B1511" s="7" t="str">
        <f>IFERROR(__xludf.DUMMYFUNCTION("""COMPUTED_VALUE"""),"K/9/221124/1")</f>
        <v>K/9/221124/1</v>
      </c>
      <c r="C1511" s="7" t="str">
        <f>IFERROR(__xludf.DUMMYFUNCTION("""COMPUTED_VALUE"""),"M.13904/TANJUNG BARU")</f>
        <v>M.13904/TANJUNG BARU</v>
      </c>
      <c r="D1511" s="7"/>
      <c r="E1511" s="7"/>
      <c r="F1511" s="9" t="str">
        <f>IFERROR(__xludf.DUMMYFUNCTION("""COMPUTED_VALUE"""),"")</f>
        <v/>
      </c>
      <c r="G1511" s="7" t="str">
        <f>IFERROR(__xludf.DUMMYFUNCTION("""COMPUTED_VALUE"""),"HAPUS BPHTB")</f>
        <v>HAPUS BPHTB</v>
      </c>
      <c r="H1511" s="7">
        <f t="shared" si="1"/>
        <v>672</v>
      </c>
    </row>
    <row r="1512" ht="22.5" customHeight="1">
      <c r="B1512" s="7" t="str">
        <f>IFERROR(__xludf.DUMMYFUNCTION("""COMPUTED_VALUE"""),"K/8/221124/2")</f>
        <v>K/8/221124/2</v>
      </c>
      <c r="C1512" s="7" t="str">
        <f>IFERROR(__xludf.DUMMYFUNCTION("""COMPUTED_VALUE"""),"NIBEL 2681/ SUKARAME")</f>
        <v>NIBEL 2681/ SUKARAME</v>
      </c>
      <c r="D1512" s="7" t="str">
        <f>IFERROR(__xludf.DUMMYFUNCTION("""COMPUTED_VALUE"""),"David")</f>
        <v>David</v>
      </c>
      <c r="E1512" s="7" t="str">
        <f>IFERROR(__xludf.DUMMYFUNCTION("""COMPUTED_VALUE"""),"DISERAHKAN")</f>
        <v>DISERAHKAN</v>
      </c>
      <c r="F1512" s="9">
        <f>IFERROR(__xludf.DUMMYFUNCTION("""COMPUTED_VALUE"""),45622.42711958333)</f>
        <v>45622.42712</v>
      </c>
      <c r="G1512" s="7" t="str">
        <f>IFERROR(__xludf.DUMMYFUNCTION("""COMPUTED_VALUE"""),"GANTI KELURAHAN")</f>
        <v>GANTI KELURAHAN</v>
      </c>
      <c r="H1512" s="7">
        <f t="shared" si="1"/>
        <v>673</v>
      </c>
    </row>
    <row r="1513" ht="22.5" customHeight="1">
      <c r="B1513" s="7" t="str">
        <f>IFERROR(__xludf.DUMMYFUNCTION("""COMPUTED_VALUE"""),"K/10/221124/1")</f>
        <v>K/10/221124/1</v>
      </c>
      <c r="C1513" s="7" t="str">
        <f>IFERROR(__xludf.DUMMYFUNCTION("""COMPUTED_VALUE"""),"M. 37/ Labuhan Dalam")</f>
        <v>M. 37/ Labuhan Dalam</v>
      </c>
      <c r="D1513" s="7" t="str">
        <f>IFERROR(__xludf.DUMMYFUNCTION("""COMPUTED_VALUE"""),"David")</f>
        <v>David</v>
      </c>
      <c r="E1513" s="7" t="str">
        <f>IFERROR(__xludf.DUMMYFUNCTION("""COMPUTED_VALUE"""),"PROSES")</f>
        <v>PROSES</v>
      </c>
      <c r="F1513" s="9" t="str">
        <f>IFERROR(__xludf.DUMMYFUNCTION("""COMPUTED_VALUE"""),"")</f>
        <v/>
      </c>
      <c r="G1513" s="7" t="str">
        <f>IFERROR(__xludf.DUMMYFUNCTION("""COMPUTED_VALUE"""),"PTPGT (Pemecahan)")</f>
        <v>PTPGT (Pemecahan)</v>
      </c>
      <c r="H1513" s="7">
        <f t="shared" si="1"/>
        <v>673</v>
      </c>
    </row>
    <row r="1514" ht="22.5" customHeight="1">
      <c r="B1514" s="7" t="str">
        <f>IFERROR(__xludf.DUMMYFUNCTION("""COMPUTED_VALUE"""),"K/11/221124/1")</f>
        <v>K/11/221124/1</v>
      </c>
      <c r="C1514" s="7" t="str">
        <f>IFERROR(__xludf.DUMMYFUNCTION("""COMPUTED_VALUE"""),"M. 3265/SUKADANA HAM")</f>
        <v>M. 3265/SUKADANA HAM</v>
      </c>
      <c r="D1514" s="7" t="str">
        <f>IFERROR(__xludf.DUMMYFUNCTION("""COMPUTED_VALUE"""),"David")</f>
        <v>David</v>
      </c>
      <c r="E1514" s="7" t="str">
        <f>IFERROR(__xludf.DUMMYFUNCTION("""COMPUTED_VALUE"""),"DISERAHKAN")</f>
        <v>DISERAHKAN</v>
      </c>
      <c r="F1514" s="9">
        <f>IFERROR(__xludf.DUMMYFUNCTION("""COMPUTED_VALUE"""),45622.427456805555)</f>
        <v>45622.42746</v>
      </c>
      <c r="G1514" s="7" t="str">
        <f>IFERROR(__xludf.DUMMYFUNCTION("""COMPUTED_VALUE"""),"BN JUAL BELI")</f>
        <v>BN JUAL BELI</v>
      </c>
      <c r="H1514" s="7">
        <f t="shared" si="1"/>
        <v>674</v>
      </c>
    </row>
    <row r="1515" ht="22.5" customHeight="1">
      <c r="B1515" s="7" t="str">
        <f>IFERROR(__xludf.DUMMYFUNCTION("""COMPUTED_VALUE"""),"L/13/221124/1")</f>
        <v>L/13/221124/1</v>
      </c>
      <c r="C1515" s="7" t="str">
        <f>IFERROR(__xludf.DUMMYFUNCTION("""COMPUTED_VALUE"""),"HM 3585/GUNUNG TERANG")</f>
        <v>HM 3585/GUNUNG TERANG</v>
      </c>
      <c r="D1515" s="7" t="str">
        <f>IFERROR(__xludf.DUMMYFUNCTION("""COMPUTED_VALUE"""),"David")</f>
        <v>David</v>
      </c>
      <c r="E1515" s="7" t="str">
        <f>IFERROR(__xludf.DUMMYFUNCTION("""COMPUTED_VALUE"""),"PROSES")</f>
        <v>PROSES</v>
      </c>
      <c r="F1515" s="9" t="str">
        <f>IFERROR(__xludf.DUMMYFUNCTION("""COMPUTED_VALUE"""),"")</f>
        <v/>
      </c>
      <c r="G1515" s="7" t="str">
        <f>IFERROR(__xludf.DUMMYFUNCTION("""COMPUTED_VALUE"""),"ROYA")</f>
        <v>ROYA</v>
      </c>
      <c r="H1515" s="7">
        <f t="shared" si="1"/>
        <v>674</v>
      </c>
    </row>
    <row r="1516" ht="22.5" customHeight="1">
      <c r="B1516" s="7" t="str">
        <f>IFERROR(__xludf.DUMMYFUNCTION("""COMPUTED_VALUE"""),"K/12/221124/2")</f>
        <v>K/12/221124/2</v>
      </c>
      <c r="C1516" s="7" t="str">
        <f>IFERROR(__xludf.DUMMYFUNCTION("""COMPUTED_VALUE"""),"M. 1912/SUKABUMI INDAH")</f>
        <v>M. 1912/SUKABUMI INDAH</v>
      </c>
      <c r="D1516" s="7"/>
      <c r="E1516" s="7"/>
      <c r="F1516" s="9" t="str">
        <f>IFERROR(__xludf.DUMMYFUNCTION("""COMPUTED_VALUE"""),"")</f>
        <v/>
      </c>
      <c r="G1516" s="7" t="str">
        <f>IFERROR(__xludf.DUMMYFUNCTION("""COMPUTED_VALUE"""),"BN JUAL BELI")</f>
        <v>BN JUAL BELI</v>
      </c>
      <c r="H1516" s="7">
        <f t="shared" si="1"/>
        <v>674</v>
      </c>
    </row>
    <row r="1517" ht="22.5" customHeight="1">
      <c r="B1517" s="7" t="str">
        <f>IFERROR(__xludf.DUMMYFUNCTION("""COMPUTED_VALUE"""),"K/14/221124/1")</f>
        <v>K/14/221124/1</v>
      </c>
      <c r="C1517" s="7" t="str">
        <f>IFERROR(__xludf.DUMMYFUNCTION("""COMPUTED_VALUE"""),"M. 267/ Korpri Raya")</f>
        <v>M. 267/ Korpri Raya</v>
      </c>
      <c r="D1517" s="7"/>
      <c r="E1517" s="7"/>
      <c r="F1517" s="9" t="str">
        <f>IFERROR(__xludf.DUMMYFUNCTION("""COMPUTED_VALUE"""),"")</f>
        <v/>
      </c>
      <c r="G1517" s="7" t="str">
        <f>IFERROR(__xludf.DUMMYFUNCTION("""COMPUTED_VALUE"""),"BN PHB")</f>
        <v>BN PHB</v>
      </c>
      <c r="H1517" s="7">
        <f t="shared" si="1"/>
        <v>674</v>
      </c>
    </row>
    <row r="1518" ht="22.5" customHeight="1">
      <c r="B1518" s="7" t="str">
        <f>IFERROR(__xludf.DUMMYFUNCTION("""COMPUTED_VALUE"""),"L/16/221124/1")</f>
        <v>L/16/221124/1</v>
      </c>
      <c r="C1518" s="7" t="str">
        <f>IFERROR(__xludf.DUMMYFUNCTION("""COMPUTED_VALUE"""),"HM 3088/WAY KANDIS")</f>
        <v>HM 3088/WAY KANDIS</v>
      </c>
      <c r="D1518" s="7"/>
      <c r="E1518" s="7"/>
      <c r="F1518" s="9" t="str">
        <f>IFERROR(__xludf.DUMMYFUNCTION("""COMPUTED_VALUE"""),"")</f>
        <v/>
      </c>
      <c r="G1518" s="7" t="str">
        <f>IFERROR(__xludf.DUMMYFUNCTION("""COMPUTED_VALUE"""),"SKPT INFORMASI")</f>
        <v>SKPT INFORMASI</v>
      </c>
      <c r="H1518" s="7">
        <f t="shared" si="1"/>
        <v>674</v>
      </c>
    </row>
    <row r="1519" ht="22.5" customHeight="1">
      <c r="B1519" s="7" t="str">
        <f>IFERROR(__xludf.DUMMYFUNCTION("""COMPUTED_VALUE"""),"K/15/221124/1")</f>
        <v>K/15/221124/1</v>
      </c>
      <c r="C1519" s="7" t="str">
        <f>IFERROR(__xludf.DUMMYFUNCTION("""COMPUTED_VALUE"""),"B. 961/ Way Kandis; M. 353/ Way Kandis-dahulu")</f>
        <v>B. 961/ Way Kandis; M. 353/ Way Kandis-dahulu</v>
      </c>
      <c r="D1519" s="7" t="str">
        <f>IFERROR(__xludf.DUMMYFUNCTION("""COMPUTED_VALUE"""),"David")</f>
        <v>David</v>
      </c>
      <c r="E1519" s="7" t="str">
        <f>IFERROR(__xludf.DUMMYFUNCTION("""COMPUTED_VALUE"""),"DISERAHKAN")</f>
        <v>DISERAHKAN</v>
      </c>
      <c r="F1519" s="9">
        <f>IFERROR(__xludf.DUMMYFUNCTION("""COMPUTED_VALUE"""),45622.427932604165)</f>
        <v>45622.42793</v>
      </c>
      <c r="G1519" s="7" t="str">
        <f>IFERROR(__xludf.DUMMYFUNCTION("""COMPUTED_VALUE"""),"Gandes")</f>
        <v>Gandes</v>
      </c>
      <c r="H1519" s="7">
        <f t="shared" si="1"/>
        <v>675</v>
      </c>
    </row>
    <row r="1520" ht="22.5" customHeight="1">
      <c r="B1520" s="7" t="str">
        <f>IFERROR(__xludf.DUMMYFUNCTION("""COMPUTED_VALUE"""),"K/17/221124/1")</f>
        <v>K/17/221124/1</v>
      </c>
      <c r="C1520" s="7" t="str">
        <f>IFERROR(__xludf.DUMMYFUNCTION("""COMPUTED_VALUE"""),"M.9754/KEDAMAIAN")</f>
        <v>M.9754/KEDAMAIAN</v>
      </c>
      <c r="D1520" s="7" t="str">
        <f>IFERROR(__xludf.DUMMYFUNCTION("""COMPUTED_VALUE"""),"David")</f>
        <v>David</v>
      </c>
      <c r="E1520" s="7" t="str">
        <f>IFERROR(__xludf.DUMMYFUNCTION("""COMPUTED_VALUE"""),"PROSES")</f>
        <v>PROSES</v>
      </c>
      <c r="F1520" s="9" t="str">
        <f>IFERROR(__xludf.DUMMYFUNCTION("""COMPUTED_VALUE"""),"")</f>
        <v/>
      </c>
      <c r="G1520" s="7" t="str">
        <f>IFERROR(__xludf.DUMMYFUNCTION("""COMPUTED_VALUE"""),"GANTI DESA")</f>
        <v>GANTI DESA</v>
      </c>
      <c r="H1520" s="7">
        <f t="shared" si="1"/>
        <v>675</v>
      </c>
    </row>
    <row r="1521" ht="22.5" customHeight="1">
      <c r="B1521" s="7" t="str">
        <f>IFERROR(__xludf.DUMMYFUNCTION("""COMPUTED_VALUE"""),"L/20/221124/1")</f>
        <v>L/20/221124/1</v>
      </c>
      <c r="C1521" s="7" t="str">
        <f>IFERROR(__xludf.DUMMYFUNCTION("""COMPUTED_VALUE"""),"HGB 5267/BERINGIN RAYA")</f>
        <v>HGB 5267/BERINGIN RAYA</v>
      </c>
      <c r="D1521" s="7" t="str">
        <f>IFERROR(__xludf.DUMMYFUNCTION("""COMPUTED_VALUE"""),"David")</f>
        <v>David</v>
      </c>
      <c r="E1521" s="7" t="str">
        <f>IFERROR(__xludf.DUMMYFUNCTION("""COMPUTED_VALUE"""),"DISERAHKAN BT")</f>
        <v>DISERAHKAN BT</v>
      </c>
      <c r="F1521" s="9">
        <f>IFERROR(__xludf.DUMMYFUNCTION("""COMPUTED_VALUE"""),45628.41506738426)</f>
        <v>45628.41507</v>
      </c>
      <c r="G1521" s="7" t="str">
        <f>IFERROR(__xludf.DUMMYFUNCTION("""COMPUTED_VALUE"""),"ROYA")</f>
        <v>ROYA</v>
      </c>
      <c r="H1521" s="7">
        <f t="shared" si="1"/>
        <v>675</v>
      </c>
    </row>
    <row r="1522" ht="22.5" customHeight="1">
      <c r="B1522" s="7" t="str">
        <f>IFERROR(__xludf.DUMMYFUNCTION("""COMPUTED_VALUE"""),"K/18/221124/2")</f>
        <v>K/18/221124/2</v>
      </c>
      <c r="C1522" s="7" t="str">
        <f>IFERROR(__xludf.DUMMYFUNCTION("""COMPUTED_VALUE"""),"M. 12400/KEDATON")</f>
        <v>M. 12400/KEDATON</v>
      </c>
      <c r="D1522" s="7" t="str">
        <f>IFERROR(__xludf.DUMMYFUNCTION("""COMPUTED_VALUE"""),"David")</f>
        <v>David</v>
      </c>
      <c r="E1522" s="7" t="str">
        <f>IFERROR(__xludf.DUMMYFUNCTION("""COMPUTED_VALUE"""),"DISERAHKAN")</f>
        <v>DISERAHKAN</v>
      </c>
      <c r="F1522" s="9">
        <f>IFERROR(__xludf.DUMMYFUNCTION("""COMPUTED_VALUE"""),45622.42864209491)</f>
        <v>45622.42864</v>
      </c>
      <c r="G1522" s="7" t="str">
        <f>IFERROR(__xludf.DUMMYFUNCTION("""COMPUTED_VALUE"""),"ROYA")</f>
        <v>ROYA</v>
      </c>
      <c r="H1522" s="7">
        <f t="shared" si="1"/>
        <v>676</v>
      </c>
    </row>
    <row r="1523" ht="22.5" customHeight="1">
      <c r="B1523" s="7" t="str">
        <f>IFERROR(__xludf.DUMMYFUNCTION("""COMPUTED_VALUE"""),"K/21/221124/1")</f>
        <v>K/21/221124/1</v>
      </c>
      <c r="C1523" s="7" t="str">
        <f>IFERROR(__xludf.DUMMYFUNCTION("""COMPUTED_VALUE"""),"M. 551/ Enggal")</f>
        <v>M. 551/ Enggal</v>
      </c>
      <c r="D1523" s="7"/>
      <c r="E1523" s="7"/>
      <c r="F1523" s="9" t="str">
        <f>IFERROR(__xludf.DUMMYFUNCTION("""COMPUTED_VALUE"""),"")</f>
        <v/>
      </c>
      <c r="G1523" s="7" t="str">
        <f>IFERROR(__xludf.DUMMYFUNCTION("""COMPUTED_VALUE"""),"BN Jual Beli")</f>
        <v>BN Jual Beli</v>
      </c>
      <c r="H1523" s="7">
        <f t="shared" si="1"/>
        <v>676</v>
      </c>
    </row>
    <row r="1524" ht="22.5" customHeight="1">
      <c r="B1524" s="7" t="str">
        <f>IFERROR(__xludf.DUMMYFUNCTION("""COMPUTED_VALUE"""),"K/19/221124/1")</f>
        <v>K/19/221124/1</v>
      </c>
      <c r="C1524" s="7" t="str">
        <f>IFERROR(__xludf.DUMMYFUNCTION("""COMPUTED_VALUE"""),"M. 221/ Pahoman")</f>
        <v>M. 221/ Pahoman</v>
      </c>
      <c r="D1524" s="7" t="str">
        <f>IFERROR(__xludf.DUMMYFUNCTION("""COMPUTED_VALUE"""),"David")</f>
        <v>David</v>
      </c>
      <c r="E1524" s="7" t="str">
        <f>IFERROR(__xludf.DUMMYFUNCTION("""COMPUTED_VALUE"""),"DISERAHKAN BT")</f>
        <v>DISERAHKAN BT</v>
      </c>
      <c r="F1524" s="9">
        <f>IFERROR(__xludf.DUMMYFUNCTION("""COMPUTED_VALUE"""),45628.415639189814)</f>
        <v>45628.41564</v>
      </c>
      <c r="G1524" s="7" t="str">
        <f>IFERROR(__xludf.DUMMYFUNCTION("""COMPUTED_VALUE"""),"Roya")</f>
        <v>Roya</v>
      </c>
      <c r="H1524" s="7">
        <f t="shared" si="1"/>
        <v>676</v>
      </c>
    </row>
    <row r="1525" ht="22.5" customHeight="1">
      <c r="B1525" s="7" t="str">
        <f>IFERROR(__xludf.DUMMYFUNCTION("""COMPUTED_VALUE"""),"K/43/221125/1")</f>
        <v>K/43/221125/1</v>
      </c>
      <c r="C1525" s="7" t="str">
        <f>IFERROR(__xludf.DUMMYFUNCTION("""COMPUTED_VALUE"""),"NIBEL B.5850/SUKARAME BARU")</f>
        <v>NIBEL B.5850/SUKARAME BARU</v>
      </c>
      <c r="D1525" s="7"/>
      <c r="E1525" s="7"/>
      <c r="F1525" s="9" t="str">
        <f>IFERROR(__xludf.DUMMYFUNCTION("""COMPUTED_VALUE"""),"")</f>
        <v/>
      </c>
      <c r="G1525" s="7" t="str">
        <f>IFERROR(__xludf.DUMMYFUNCTION("""COMPUTED_VALUE"""),"PENINGKATAN")</f>
        <v>PENINGKATAN</v>
      </c>
      <c r="H1525" s="7">
        <f t="shared" si="1"/>
        <v>676</v>
      </c>
    </row>
    <row r="1526" ht="22.5" customHeight="1">
      <c r="B1526" s="7" t="str">
        <f>IFERROR(__xludf.DUMMYFUNCTION("""COMPUTED_VALUE"""),"K/22/221124/1")</f>
        <v>K/22/221124/1</v>
      </c>
      <c r="C1526" s="7" t="str">
        <f>IFERROR(__xludf.DUMMYFUNCTION("""COMPUTED_VALUE"""),"M.371/WAY HALIM PERMAI-SEKARANG;B.91/JAGABAYA II-DAHULU")</f>
        <v>M.371/WAY HALIM PERMAI-SEKARANG;B.91/JAGABAYA II-DAHULU</v>
      </c>
      <c r="D1526" s="7" t="str">
        <f>IFERROR(__xludf.DUMMYFUNCTION("""COMPUTED_VALUE"""),"David")</f>
        <v>David</v>
      </c>
      <c r="E1526" s="7" t="str">
        <f>IFERROR(__xludf.DUMMYFUNCTION("""COMPUTED_VALUE"""),"DISERAHKAN")</f>
        <v>DISERAHKAN</v>
      </c>
      <c r="F1526" s="9">
        <f>IFERROR(__xludf.DUMMYFUNCTION("""COMPUTED_VALUE"""),45622.42930769676)</f>
        <v>45622.42931</v>
      </c>
      <c r="G1526" s="7" t="str">
        <f>IFERROR(__xludf.DUMMYFUNCTION("""COMPUTED_VALUE"""),"BN HIBAH")</f>
        <v>BN HIBAH</v>
      </c>
      <c r="H1526" s="7">
        <f t="shared" si="1"/>
        <v>677</v>
      </c>
    </row>
    <row r="1527" ht="22.5" customHeight="1">
      <c r="B1527" s="7" t="str">
        <f>IFERROR(__xludf.DUMMYFUNCTION("""COMPUTED_VALUE"""),"K/23/221124/1")</f>
        <v>K/23/221124/1</v>
      </c>
      <c r="C1527" s="7" t="str">
        <f>IFERROR(__xludf.DUMMYFUNCTION("""COMPUTED_VALUE"""),"M. 1238/ sukamaju")</f>
        <v>M. 1238/ sukamaju</v>
      </c>
      <c r="D1527" s="7" t="str">
        <f>IFERROR(__xludf.DUMMYFUNCTION("""COMPUTED_VALUE"""),"David")</f>
        <v>David</v>
      </c>
      <c r="E1527" s="7" t="str">
        <f>IFERROR(__xludf.DUMMYFUNCTION("""COMPUTED_VALUE"""),"DISERAHKAN")</f>
        <v>DISERAHKAN</v>
      </c>
      <c r="F1527" s="9">
        <f>IFERROR(__xludf.DUMMYFUNCTION("""COMPUTED_VALUE"""),45622.42952420139)</f>
        <v>45622.42952</v>
      </c>
      <c r="G1527" s="7" t="str">
        <f>IFERROR(__xludf.DUMMYFUNCTION("""COMPUTED_VALUE"""),"GANTI KELURAHAN")</f>
        <v>GANTI KELURAHAN</v>
      </c>
      <c r="H1527" s="7">
        <f t="shared" si="1"/>
        <v>678</v>
      </c>
    </row>
    <row r="1528" ht="22.5" customHeight="1">
      <c r="B1528" s="7" t="str">
        <f>IFERROR(__xludf.DUMMYFUNCTION("""COMPUTED_VALUE"""),"K/24/221124/1")</f>
        <v>K/24/221124/1</v>
      </c>
      <c r="C1528" s="7" t="str">
        <f>IFERROR(__xludf.DUMMYFUNCTION("""COMPUTED_VALUE"""),"M. 1224/ Way Kandis")</f>
        <v>M. 1224/ Way Kandis</v>
      </c>
      <c r="D1528" s="7" t="str">
        <f>IFERROR(__xludf.DUMMYFUNCTION("""COMPUTED_VALUE"""),"David")</f>
        <v>David</v>
      </c>
      <c r="E1528" s="7" t="str">
        <f>IFERROR(__xludf.DUMMYFUNCTION("""COMPUTED_VALUE"""),"DISERAHKAN")</f>
        <v>DISERAHKAN</v>
      </c>
      <c r="F1528" s="9">
        <f>IFERROR(__xludf.DUMMYFUNCTION("""COMPUTED_VALUE"""),45628.41404674768)</f>
        <v>45628.41405</v>
      </c>
      <c r="G1528" s="7" t="str">
        <f>IFERROR(__xludf.DUMMYFUNCTION("""COMPUTED_VALUE"""),"BN JUAL BELI")</f>
        <v>BN JUAL BELI</v>
      </c>
      <c r="H1528" s="7">
        <f t="shared" si="1"/>
        <v>679</v>
      </c>
    </row>
    <row r="1529" ht="22.5" customHeight="1">
      <c r="B1529" s="7" t="str">
        <f>IFERROR(__xludf.DUMMYFUNCTION("""COMPUTED_VALUE"""),"K/25/221124/2")</f>
        <v>K/25/221124/2</v>
      </c>
      <c r="C1529" s="7" t="str">
        <f>IFERROR(__xludf.DUMMYFUNCTION("""COMPUTED_VALUE"""),"M. 906/ Korpri Jaya")</f>
        <v>M. 906/ Korpri Jaya</v>
      </c>
      <c r="D1529" s="7" t="str">
        <f>IFERROR(__xludf.DUMMYFUNCTION("""COMPUTED_VALUE"""),"David")</f>
        <v>David</v>
      </c>
      <c r="E1529" s="7" t="str">
        <f>IFERROR(__xludf.DUMMYFUNCTION("""COMPUTED_VALUE"""),"PROSES")</f>
        <v>PROSES</v>
      </c>
      <c r="F1529" s="9" t="str">
        <f>IFERROR(__xludf.DUMMYFUNCTION("""COMPUTED_VALUE"""),"")</f>
        <v/>
      </c>
      <c r="G1529" s="7" t="str">
        <f>IFERROR(__xludf.DUMMYFUNCTION("""COMPUTED_VALUE"""),"BN JUAL BELI")</f>
        <v>BN JUAL BELI</v>
      </c>
      <c r="H1529" s="7">
        <f t="shared" si="1"/>
        <v>679</v>
      </c>
    </row>
    <row r="1530" ht="22.5" customHeight="1">
      <c r="B1530" s="7" t="str">
        <f>IFERROR(__xludf.DUMMYFUNCTION("""COMPUTED_VALUE"""),"K/26/221124/1")</f>
        <v>K/26/221124/1</v>
      </c>
      <c r="C1530" s="7" t="str">
        <f>IFERROR(__xludf.DUMMYFUNCTION("""COMPUTED_VALUE"""),"M.2329/SEPANG JAYA-SEKARANG;M.10676/KEDATON-DAHULU")</f>
        <v>M.2329/SEPANG JAYA-SEKARANG;M.10676/KEDATON-DAHULU</v>
      </c>
      <c r="D1530" s="7" t="str">
        <f>IFERROR(__xludf.DUMMYFUNCTION("""COMPUTED_VALUE"""),"David")</f>
        <v>David</v>
      </c>
      <c r="E1530" s="7" t="str">
        <f>IFERROR(__xludf.DUMMYFUNCTION("""COMPUTED_VALUE"""),"DISERAHKAN")</f>
        <v>DISERAHKAN</v>
      </c>
      <c r="F1530" s="9">
        <f>IFERROR(__xludf.DUMMYFUNCTION("""COMPUTED_VALUE"""),45622.43002472223)</f>
        <v>45622.43002</v>
      </c>
      <c r="G1530" s="7" t="str">
        <f>IFERROR(__xludf.DUMMYFUNCTION("""COMPUTED_VALUE"""),"BN JUAL BELI")</f>
        <v>BN JUAL BELI</v>
      </c>
      <c r="H1530" s="7">
        <f t="shared" si="1"/>
        <v>680</v>
      </c>
    </row>
    <row r="1531" ht="22.5" customHeight="1">
      <c r="B1531" s="7" t="str">
        <f>IFERROR(__xludf.DUMMYFUNCTION("""COMPUTED_VALUE"""),"K/27/221124/1")</f>
        <v>K/27/221124/1</v>
      </c>
      <c r="C1531" s="7" t="str">
        <f>IFERROR(__xludf.DUMMYFUNCTION("""COMPUTED_VALUE"""),"M. 16734/ Sukabumi")</f>
        <v>M. 16734/ Sukabumi</v>
      </c>
      <c r="D1531" s="7" t="str">
        <f>IFERROR(__xludf.DUMMYFUNCTION("""COMPUTED_VALUE"""),"David")</f>
        <v>David</v>
      </c>
      <c r="E1531" s="7" t="str">
        <f>IFERROR(__xludf.DUMMYFUNCTION("""COMPUTED_VALUE"""),"DISERAHKAN")</f>
        <v>DISERAHKAN</v>
      </c>
      <c r="F1531" s="9">
        <f>IFERROR(__xludf.DUMMYFUNCTION("""COMPUTED_VALUE"""),45622.43019787037)</f>
        <v>45622.4302</v>
      </c>
      <c r="G1531" s="7" t="str">
        <f>IFERROR(__xludf.DUMMYFUNCTION("""COMPUTED_VALUE"""),"BN Jual Beli")</f>
        <v>BN Jual Beli</v>
      </c>
      <c r="H1531" s="7">
        <f t="shared" si="1"/>
        <v>681</v>
      </c>
    </row>
    <row r="1532" ht="22.5" customHeight="1">
      <c r="B1532" s="7" t="str">
        <f>IFERROR(__xludf.DUMMYFUNCTION("""COMPUTED_VALUE"""),"K/28/221124/2")</f>
        <v>K/28/221124/2</v>
      </c>
      <c r="C1532" s="7" t="str">
        <f>IFERROR(__xludf.DUMMYFUNCTION("""COMPUTED_VALUE"""),"M. 1408/ Sukarame Baru; sht 3424/2019; ")</f>
        <v>M. 1408/ Sukarame Baru; sht 3424/2019; </v>
      </c>
      <c r="D1532" s="7"/>
      <c r="E1532" s="7"/>
      <c r="F1532" s="9" t="str">
        <f>IFERROR(__xludf.DUMMYFUNCTION("""COMPUTED_VALUE"""),"")</f>
        <v/>
      </c>
      <c r="G1532" s="7" t="str">
        <f>IFERROR(__xludf.DUMMYFUNCTION("""COMPUTED_VALUE"""),"Roya")</f>
        <v>Roya</v>
      </c>
      <c r="H1532" s="7">
        <f t="shared" si="1"/>
        <v>681</v>
      </c>
    </row>
    <row r="1533" ht="22.5" customHeight="1">
      <c r="B1533" s="7" t="str">
        <f>IFERROR(__xludf.DUMMYFUNCTION("""COMPUTED_VALUE"""),"K/29/221124/3")</f>
        <v>K/29/221124/3</v>
      </c>
      <c r="C1533" s="7" t="str">
        <f>IFERROR(__xludf.DUMMYFUNCTION("""COMPUTED_VALUE"""),"M. 9272/ Rajabasa; sht5050/2011; sht 5516/2016")</f>
        <v>M. 9272/ Rajabasa; sht5050/2011; sht 5516/2016</v>
      </c>
      <c r="D1533" s="7" t="str">
        <f>IFERROR(__xludf.DUMMYFUNCTION("""COMPUTED_VALUE"""),"David")</f>
        <v>David</v>
      </c>
      <c r="E1533" s="7" t="str">
        <f>IFERROR(__xludf.DUMMYFUNCTION("""COMPUTED_VALUE"""),"PROSES")</f>
        <v>PROSES</v>
      </c>
      <c r="F1533" s="9" t="str">
        <f>IFERROR(__xludf.DUMMYFUNCTION("""COMPUTED_VALUE"""),"")</f>
        <v/>
      </c>
      <c r="G1533" s="7" t="str">
        <f>IFERROR(__xludf.DUMMYFUNCTION("""COMPUTED_VALUE"""),"Roya")</f>
        <v>Roya</v>
      </c>
      <c r="H1533" s="7">
        <f t="shared" si="1"/>
        <v>681</v>
      </c>
    </row>
    <row r="1534" ht="22.5" customHeight="1">
      <c r="B1534" s="7" t="str">
        <f>IFERROR(__xludf.DUMMYFUNCTION("""COMPUTED_VALUE"""),"K/22/221124/1")</f>
        <v>K/22/221124/1</v>
      </c>
      <c r="C1534" s="7" t="str">
        <f>IFERROR(__xludf.DUMMYFUNCTION("""COMPUTED_VALUE"""),"M. 1395/WAY HALIM PERMAI")</f>
        <v>M. 1395/WAY HALIM PERMAI</v>
      </c>
      <c r="D1534" s="7"/>
      <c r="E1534" s="7"/>
      <c r="F1534" s="9" t="str">
        <f>IFERROR(__xludf.DUMMYFUNCTION("""COMPUTED_VALUE"""),"")</f>
        <v/>
      </c>
      <c r="G1534" s="7" t="str">
        <f>IFERROR(__xludf.DUMMYFUNCTION("""COMPUTED_VALUE"""),"PENGECEKAN")</f>
        <v>PENGECEKAN</v>
      </c>
      <c r="H1534" s="7">
        <f t="shared" si="1"/>
        <v>681</v>
      </c>
    </row>
    <row r="1535" ht="22.5" customHeight="1">
      <c r="B1535" s="7" t="str">
        <f>IFERROR(__xludf.DUMMYFUNCTION("""COMPUTED_VALUE"""),"K/31/221124/1")</f>
        <v>K/31/221124/1</v>
      </c>
      <c r="C1535" s="7" t="str">
        <f>IFERROR(__xludf.DUMMYFUNCTION("""COMPUTED_VALUE"""),"M. 3312/ Kota Karang")</f>
        <v>M. 3312/ Kota Karang</v>
      </c>
      <c r="D1535" s="7" t="str">
        <f>IFERROR(__xludf.DUMMYFUNCTION("""COMPUTED_VALUE"""),"David")</f>
        <v>David</v>
      </c>
      <c r="E1535" s="7" t="str">
        <f>IFERROR(__xludf.DUMMYFUNCTION("""COMPUTED_VALUE"""),"DISERAHKAN")</f>
        <v>DISERAHKAN</v>
      </c>
      <c r="F1535" s="9">
        <f>IFERROR(__xludf.DUMMYFUNCTION("""COMPUTED_VALUE"""),45622.430642997686)</f>
        <v>45622.43064</v>
      </c>
      <c r="G1535" s="7" t="str">
        <f>IFERROR(__xludf.DUMMYFUNCTION("""COMPUTED_VALUE"""),"BN JUAL BELI")</f>
        <v>BN JUAL BELI</v>
      </c>
      <c r="H1535" s="7">
        <f t="shared" si="1"/>
        <v>682</v>
      </c>
    </row>
    <row r="1536" ht="22.5" customHeight="1">
      <c r="B1536" s="7" t="str">
        <f>IFERROR(__xludf.DUMMYFUNCTION("""COMPUTED_VALUE"""),"K/35/221124/1")</f>
        <v>K/35/221124/1</v>
      </c>
      <c r="C1536" s="7" t="str">
        <f>IFERROR(__xludf.DUMMYFUNCTION("""COMPUTED_VALUE"""),"M. 3405/ Beringin Raya; B. 3569/BR-dahulu; B. 1338/ Su. K-dahulu")</f>
        <v>M. 3405/ Beringin Raya; B. 3569/BR-dahulu; B. 1338/ Su. K-dahulu</v>
      </c>
      <c r="D1536" s="7" t="str">
        <f>IFERROR(__xludf.DUMMYFUNCTION("""COMPUTED_VALUE"""),"David")</f>
        <v>David</v>
      </c>
      <c r="E1536" s="7" t="str">
        <f>IFERROR(__xludf.DUMMYFUNCTION("""COMPUTED_VALUE"""),"DISERAHKAN")</f>
        <v>DISERAHKAN</v>
      </c>
      <c r="F1536" s="9">
        <f>IFERROR(__xludf.DUMMYFUNCTION("""COMPUTED_VALUE"""),45628.4080290162)</f>
        <v>45628.40803</v>
      </c>
      <c r="G1536" s="7" t="str">
        <f>IFERROR(__xludf.DUMMYFUNCTION("""COMPUTED_VALUE"""),"Gandes")</f>
        <v>Gandes</v>
      </c>
      <c r="H1536" s="7">
        <f t="shared" si="1"/>
        <v>683</v>
      </c>
    </row>
    <row r="1537" ht="22.5" customHeight="1">
      <c r="B1537" s="7" t="str">
        <f>IFERROR(__xludf.DUMMYFUNCTION("""COMPUTED_VALUE"""),"K/34/221124/1")</f>
        <v>K/34/221124/1</v>
      </c>
      <c r="C1537" s="7" t="str">
        <f>IFERROR(__xludf.DUMMYFUNCTION("""COMPUTED_VALUE"""),"B.703/SUMUR PUTRI")</f>
        <v>B.703/SUMUR PUTRI</v>
      </c>
      <c r="D1537" s="7" t="str">
        <f>IFERROR(__xludf.DUMMYFUNCTION("""COMPUTED_VALUE"""),"David")</f>
        <v>David</v>
      </c>
      <c r="E1537" s="7" t="str">
        <f>IFERROR(__xludf.DUMMYFUNCTION("""COMPUTED_VALUE"""),"DISERAHKAN")</f>
        <v>DISERAHKAN</v>
      </c>
      <c r="F1537" s="9">
        <f>IFERROR(__xludf.DUMMYFUNCTION("""COMPUTED_VALUE"""),45622.43171443287)</f>
        <v>45622.43171</v>
      </c>
      <c r="G1537" s="7" t="str">
        <f>IFERROR(__xludf.DUMMYFUNCTION("""COMPUTED_VALUE"""),"BN JUAL BELI")</f>
        <v>BN JUAL BELI</v>
      </c>
      <c r="H1537" s="7">
        <f t="shared" si="1"/>
        <v>684</v>
      </c>
    </row>
    <row r="1538" ht="22.5" customHeight="1">
      <c r="B1538" s="7" t="str">
        <f>IFERROR(__xludf.DUMMYFUNCTION("""COMPUTED_VALUE"""),"K/33/221124/2")</f>
        <v>K/33/221124/2</v>
      </c>
      <c r="C1538" s="7" t="str">
        <f>IFERROR(__xludf.DUMMYFUNCTION("""COMPUTED_VALUE"""),"M. 3390/ Sukadana Ham")</f>
        <v>M. 3390/ Sukadana Ham</v>
      </c>
      <c r="D1538" s="7"/>
      <c r="E1538" s="7"/>
      <c r="F1538" s="9" t="str">
        <f>IFERROR(__xludf.DUMMYFUNCTION("""COMPUTED_VALUE"""),"")</f>
        <v/>
      </c>
      <c r="G1538" s="7" t="str">
        <f>IFERROR(__xludf.DUMMYFUNCTION("""COMPUTED_VALUE"""),"BN Jual Beli")</f>
        <v>BN Jual Beli</v>
      </c>
      <c r="H1538" s="7">
        <f t="shared" si="1"/>
        <v>684</v>
      </c>
    </row>
    <row r="1539" ht="22.5" customHeight="1">
      <c r="B1539" s="7" t="str">
        <f>IFERROR(__xludf.DUMMYFUNCTION("""COMPUTED_VALUE"""),"K/32/221124/1")</f>
        <v>K/32/221124/1</v>
      </c>
      <c r="C1539" s="7" t="str">
        <f>IFERROR(__xludf.DUMMYFUNCTION("""COMPUTED_VALUE"""),"M. 6421/ Gunung Sulah")</f>
        <v>M. 6421/ Gunung Sulah</v>
      </c>
      <c r="D1539" s="7" t="str">
        <f>IFERROR(__xludf.DUMMYFUNCTION("""COMPUTED_VALUE"""),"David")</f>
        <v>David</v>
      </c>
      <c r="E1539" s="7" t="str">
        <f>IFERROR(__xludf.DUMMYFUNCTION("""COMPUTED_VALUE"""),"DISERAHKAN")</f>
        <v>DISERAHKAN</v>
      </c>
      <c r="F1539" s="9">
        <f>IFERROR(__xludf.DUMMYFUNCTION("""COMPUTED_VALUE"""),45622.431061400464)</f>
        <v>45622.43106</v>
      </c>
      <c r="G1539" s="7" t="str">
        <f>IFERROR(__xludf.DUMMYFUNCTION("""COMPUTED_VALUE"""),"BN Jual Beli")</f>
        <v>BN Jual Beli</v>
      </c>
      <c r="H1539" s="7">
        <f t="shared" si="1"/>
        <v>685</v>
      </c>
    </row>
    <row r="1540" ht="22.5" customHeight="1">
      <c r="B1540" s="7" t="str">
        <f>IFERROR(__xludf.DUMMYFUNCTION("""COMPUTED_VALUE"""),"K/36/221124/1")</f>
        <v>K/36/221124/1</v>
      </c>
      <c r="C1540" s="7" t="str">
        <f>IFERROR(__xludf.DUMMYFUNCTION("""COMPUTED_VALUE"""),"M. 9633/ Labuhan Ratu")</f>
        <v>M. 9633/ Labuhan Ratu</v>
      </c>
      <c r="D1540" s="7" t="str">
        <f>IFERROR(__xludf.DUMMYFUNCTION("""COMPUTED_VALUE"""),"David")</f>
        <v>David</v>
      </c>
      <c r="E1540" s="7" t="str">
        <f>IFERROR(__xludf.DUMMYFUNCTION("""COMPUTED_VALUE"""),"DISERAHKAN")</f>
        <v>DISERAHKAN</v>
      </c>
      <c r="F1540" s="9">
        <f>IFERROR(__xludf.DUMMYFUNCTION("""COMPUTED_VALUE"""),45622.43132884259)</f>
        <v>45622.43133</v>
      </c>
      <c r="G1540" s="7" t="str">
        <f>IFERROR(__xludf.DUMMYFUNCTION("""COMPUTED_VALUE"""),"Gandes")</f>
        <v>Gandes</v>
      </c>
      <c r="H1540" s="7">
        <f t="shared" si="1"/>
        <v>686</v>
      </c>
    </row>
    <row r="1541" ht="22.5" customHeight="1">
      <c r="B1541" s="7" t="str">
        <f>IFERROR(__xludf.DUMMYFUNCTION("""COMPUTED_VALUE"""),"K/39/221124/1")</f>
        <v>K/39/221124/1</v>
      </c>
      <c r="C1541" s="7" t="str">
        <f>IFERROR(__xludf.DUMMYFUNCTION("""COMPUTED_VALUE"""),"M. 381/ Batu Putuk; sht 603/2016")</f>
        <v>M. 381/ Batu Putuk; sht 603/2016</v>
      </c>
      <c r="D1541" s="7"/>
      <c r="E1541" s="7"/>
      <c r="F1541" s="9" t="str">
        <f>IFERROR(__xludf.DUMMYFUNCTION("""COMPUTED_VALUE"""),"")</f>
        <v/>
      </c>
      <c r="G1541" s="7" t="str">
        <f>IFERROR(__xludf.DUMMYFUNCTION("""COMPUTED_VALUE"""),"Roya")</f>
        <v>Roya</v>
      </c>
      <c r="H1541" s="7">
        <f t="shared" si="1"/>
        <v>686</v>
      </c>
    </row>
    <row r="1542" ht="22.5" customHeight="1">
      <c r="B1542" s="7" t="str">
        <f>IFERROR(__xludf.DUMMYFUNCTION("""COMPUTED_VALUE"""),"K/37/221124/1")</f>
        <v>K/37/221124/1</v>
      </c>
      <c r="C1542" s="7" t="str">
        <f>IFERROR(__xludf.DUMMYFUNCTION("""COMPUTED_VALUE"""),"M. 1265/ Bumi Kedamaian")</f>
        <v>M. 1265/ Bumi Kedamaian</v>
      </c>
      <c r="D1542" s="7" t="str">
        <f>IFERROR(__xludf.DUMMYFUNCTION("""COMPUTED_VALUE"""),"David")</f>
        <v>David</v>
      </c>
      <c r="E1542" s="7" t="str">
        <f>IFERROR(__xludf.DUMMYFUNCTION("""COMPUTED_VALUE"""),"DISERAHKAN")</f>
        <v>DISERAHKAN</v>
      </c>
      <c r="F1542" s="9">
        <f>IFERROR(__xludf.DUMMYFUNCTION("""COMPUTED_VALUE"""),45622.431486608795)</f>
        <v>45622.43149</v>
      </c>
      <c r="G1542" s="7" t="str">
        <f>IFERROR(__xludf.DUMMYFUNCTION("""COMPUTED_VALUE"""),"BN JUAL BELI")</f>
        <v>BN JUAL BELI</v>
      </c>
      <c r="H1542" s="7">
        <f t="shared" si="1"/>
        <v>687</v>
      </c>
    </row>
    <row r="1543" ht="22.5" customHeight="1">
      <c r="B1543" s="7" t="str">
        <f>IFERROR(__xludf.DUMMYFUNCTION("""COMPUTED_VALUE"""),"K/40/221124/2")</f>
        <v>K/40/221124/2</v>
      </c>
      <c r="C1543" s="7" t="str">
        <f>IFERROR(__xludf.DUMMYFUNCTION("""COMPUTED_VALUE"""),"M. 9370/ Sukabumi")</f>
        <v>M. 9370/ Sukabumi</v>
      </c>
      <c r="D1543" s="7" t="str">
        <f>IFERROR(__xludf.DUMMYFUNCTION("""COMPUTED_VALUE"""),"David")</f>
        <v>David</v>
      </c>
      <c r="E1543" s="7" t="str">
        <f>IFERROR(__xludf.DUMMYFUNCTION("""COMPUTED_VALUE"""),"PROSES")</f>
        <v>PROSES</v>
      </c>
      <c r="F1543" s="9" t="str">
        <f>IFERROR(__xludf.DUMMYFUNCTION("""COMPUTED_VALUE"""),"")</f>
        <v/>
      </c>
      <c r="G1543" s="7" t="str">
        <f>IFERROR(__xludf.DUMMYFUNCTION("""COMPUTED_VALUE"""),"Plotting")</f>
        <v>Plotting</v>
      </c>
      <c r="H1543" s="7">
        <f t="shared" si="1"/>
        <v>687</v>
      </c>
    </row>
    <row r="1544" ht="22.5" customHeight="1">
      <c r="B1544" s="7" t="str">
        <f>IFERROR(__xludf.DUMMYFUNCTION("""COMPUTED_VALUE"""),"K/38/221124/2")</f>
        <v>K/38/221124/2</v>
      </c>
      <c r="C1544" s="7" t="str">
        <f>IFERROR(__xludf.DUMMYFUNCTION("""COMPUTED_VALUE"""),"B. 616/ Sumber Agung")</f>
        <v>B. 616/ Sumber Agung</v>
      </c>
      <c r="D1544" s="7" t="str">
        <f>IFERROR(__xludf.DUMMYFUNCTION("""COMPUTED_VALUE"""),"David")</f>
        <v>David</v>
      </c>
      <c r="E1544" s="7" t="str">
        <f>IFERROR(__xludf.DUMMYFUNCTION("""COMPUTED_VALUE"""),"PROSES")</f>
        <v>PROSES</v>
      </c>
      <c r="F1544" s="9" t="str">
        <f>IFERROR(__xludf.DUMMYFUNCTION("""COMPUTED_VALUE"""),"")</f>
        <v/>
      </c>
      <c r="G1544" s="7" t="str">
        <f>IFERROR(__xludf.DUMMYFUNCTION("""COMPUTED_VALUE"""),"BN JUAL BELI")</f>
        <v>BN JUAL BELI</v>
      </c>
      <c r="H1544" s="7">
        <f t="shared" si="1"/>
        <v>687</v>
      </c>
    </row>
    <row r="1545" ht="22.5" customHeight="1">
      <c r="B1545" s="7" t="str">
        <f>IFERROR(__xludf.DUMMYFUNCTION("""COMPUTED_VALUE"""),"K/41/221124/1")</f>
        <v>K/41/221124/1</v>
      </c>
      <c r="C1545" s="7" t="str">
        <f>IFERROR(__xludf.DUMMYFUNCTION("""COMPUTED_VALUE"""),"M. 2324/ Rawa Laut")</f>
        <v>M. 2324/ Rawa Laut</v>
      </c>
      <c r="D1545" s="7"/>
      <c r="E1545" s="7"/>
      <c r="F1545" s="9" t="str">
        <f>IFERROR(__xludf.DUMMYFUNCTION("""COMPUTED_VALUE"""),"")</f>
        <v/>
      </c>
      <c r="G1545" s="7" t="str">
        <f>IFERROR(__xludf.DUMMYFUNCTION("""COMPUTED_VALUE"""),"BN JUAL BELI")</f>
        <v>BN JUAL BELI</v>
      </c>
      <c r="H1545" s="7">
        <f t="shared" si="1"/>
        <v>687</v>
      </c>
    </row>
    <row r="1546" ht="22.5" customHeight="1">
      <c r="B1546" s="7" t="str">
        <f>IFERROR(__xludf.DUMMYFUNCTION("""COMPUTED_VALUE"""),"K/42/221124/1")</f>
        <v>K/42/221124/1</v>
      </c>
      <c r="C1546" s="7" t="str">
        <f>IFERROR(__xludf.DUMMYFUNCTION("""COMPUTED_VALUE"""),"M.2013/LABUHAN RATU RAYA")</f>
        <v>M.2013/LABUHAN RATU RAYA</v>
      </c>
      <c r="D1546" s="7"/>
      <c r="E1546" s="7"/>
      <c r="F1546" s="9" t="str">
        <f>IFERROR(__xludf.DUMMYFUNCTION("""COMPUTED_VALUE"""),"")</f>
        <v/>
      </c>
      <c r="G1546" s="7" t="str">
        <f>IFERROR(__xludf.DUMMYFUNCTION("""COMPUTED_VALUE"""),"BN JUAL BELI ")</f>
        <v>BN JUAL BELI </v>
      </c>
      <c r="H1546" s="7">
        <f t="shared" si="1"/>
        <v>687</v>
      </c>
    </row>
    <row r="1547" ht="22.5" customHeight="1">
      <c r="B1547" s="7" t="str">
        <f>IFERROR(__xludf.DUMMYFUNCTION("""COMPUTED_VALUE"""),"K/1/251124/1")</f>
        <v>K/1/251124/1</v>
      </c>
      <c r="C1547" s="7" t="str">
        <f>IFERROR(__xludf.DUMMYFUNCTION("""COMPUTED_VALUE"""),"PBT 45/2024")</f>
        <v>PBT 45/2024</v>
      </c>
      <c r="D1547" s="7" t="str">
        <f>IFERROR(__xludf.DUMMYFUNCTION("""COMPUTED_VALUE"""),"David")</f>
        <v>David</v>
      </c>
      <c r="E1547" s="7" t="str">
        <f>IFERROR(__xludf.DUMMYFUNCTION("""COMPUTED_VALUE"""),"PROSES")</f>
        <v>PROSES</v>
      </c>
      <c r="F1547" s="9" t="str">
        <f>IFERROR(__xludf.DUMMYFUNCTION("""COMPUTED_VALUE"""),"")</f>
        <v/>
      </c>
      <c r="G1547" s="7" t="str">
        <f>IFERROR(__xludf.DUMMYFUNCTION("""COMPUTED_VALUE"""),"PERMOHONAN SK ")</f>
        <v>PERMOHONAN SK </v>
      </c>
      <c r="H1547" s="7">
        <f t="shared" si="1"/>
        <v>687</v>
      </c>
    </row>
    <row r="1548" ht="22.5" customHeight="1">
      <c r="B1548" s="7" t="str">
        <f>IFERROR(__xludf.DUMMYFUNCTION("""COMPUTED_VALUE"""),"K/2/251124/2")</f>
        <v>K/2/251124/2</v>
      </c>
      <c r="C1548" s="7" t="str">
        <f>IFERROR(__xludf.DUMMYFUNCTION("""COMPUTED_VALUE"""),"PBT 46/2024")</f>
        <v>PBT 46/2024</v>
      </c>
      <c r="D1548" s="7" t="str">
        <f>IFERROR(__xludf.DUMMYFUNCTION("""COMPUTED_VALUE"""),"David")</f>
        <v>David</v>
      </c>
      <c r="E1548" s="7" t="str">
        <f>IFERROR(__xludf.DUMMYFUNCTION("""COMPUTED_VALUE"""),"PROSES")</f>
        <v>PROSES</v>
      </c>
      <c r="F1548" s="9" t="str">
        <f>IFERROR(__xludf.DUMMYFUNCTION("""COMPUTED_VALUE"""),"")</f>
        <v/>
      </c>
      <c r="G1548" s="7" t="str">
        <f>IFERROR(__xludf.DUMMYFUNCTION("""COMPUTED_VALUE"""),"PERMOHONAN SK")</f>
        <v>PERMOHONAN SK</v>
      </c>
      <c r="H1548" s="7">
        <f t="shared" si="1"/>
        <v>687</v>
      </c>
    </row>
    <row r="1549" ht="22.5" customHeight="1">
      <c r="B1549" s="7" t="str">
        <f>IFERROR(__xludf.DUMMYFUNCTION("""COMPUTED_VALUE"""),"L/4/251124/1")</f>
        <v>L/4/251124/1</v>
      </c>
      <c r="C1549" s="7" t="str">
        <f>IFERROR(__xludf.DUMMYFUNCTION("""COMPUTED_VALUE"""),"HM 4986/BERINGIN RAYA")</f>
        <v>HM 4986/BERINGIN RAYA</v>
      </c>
      <c r="D1549" s="7" t="str">
        <f>IFERROR(__xludf.DUMMYFUNCTION("""COMPUTED_VALUE"""),"Berry")</f>
        <v>Berry</v>
      </c>
      <c r="E1549" s="7" t="str">
        <f>IFERROR(__xludf.DUMMYFUNCTION("""COMPUTED_VALUE"""),"PROSES")</f>
        <v>PROSES</v>
      </c>
      <c r="F1549" s="9" t="str">
        <f>IFERROR(__xludf.DUMMYFUNCTION("""COMPUTED_VALUE"""),"")</f>
        <v/>
      </c>
      <c r="G1549" s="7" t="str">
        <f>IFERROR(__xludf.DUMMYFUNCTION("""COMPUTED_VALUE"""),"GANTI BALNGKO")</f>
        <v>GANTI BALNGKO</v>
      </c>
      <c r="H1549" s="7">
        <f t="shared" si="1"/>
        <v>687</v>
      </c>
    </row>
    <row r="1550" ht="22.5" customHeight="1">
      <c r="B1550" s="7" t="str">
        <f>IFERROR(__xludf.DUMMYFUNCTION("""COMPUTED_VALUE"""),"K/5/251124/1")</f>
        <v>K/5/251124/1</v>
      </c>
      <c r="C1550" s="7" t="str">
        <f>IFERROR(__xludf.DUMMYFUNCTION("""COMPUTED_VALUE"""),"M. 1219/ Beringin Jaya")</f>
        <v>M. 1219/ Beringin Jaya</v>
      </c>
      <c r="D1550" s="7" t="str">
        <f>IFERROR(__xludf.DUMMYFUNCTION("""COMPUTED_VALUE"""),"Berry")</f>
        <v>Berry</v>
      </c>
      <c r="E1550" s="7" t="str">
        <f>IFERROR(__xludf.DUMMYFUNCTION("""COMPUTED_VALUE"""),"DISERAHKAN")</f>
        <v>DISERAHKAN</v>
      </c>
      <c r="F1550" s="9">
        <f>IFERROR(__xludf.DUMMYFUNCTION("""COMPUTED_VALUE"""),45622.502643935186)</f>
        <v>45622.50264</v>
      </c>
      <c r="G1550" s="7" t="str">
        <f>IFERROR(__xludf.DUMMYFUNCTION("""COMPUTED_VALUE"""),"BN JUAL BELI")</f>
        <v>BN JUAL BELI</v>
      </c>
      <c r="H1550" s="7">
        <f t="shared" si="1"/>
        <v>688</v>
      </c>
    </row>
    <row r="1551" ht="22.5" customHeight="1">
      <c r="B1551" s="7" t="str">
        <f>IFERROR(__xludf.DUMMYFUNCTION("""COMPUTED_VALUE"""),"K/6/251124/2")</f>
        <v>K/6/251124/2</v>
      </c>
      <c r="C1551" s="7" t="str">
        <f>IFERROR(__xludf.DUMMYFUNCTION("""COMPUTED_VALUE"""),"M. 1217/ Beringin Jaya")</f>
        <v>M. 1217/ Beringin Jaya</v>
      </c>
      <c r="D1551" s="7"/>
      <c r="E1551" s="7"/>
      <c r="F1551" s="9" t="str">
        <f>IFERROR(__xludf.DUMMYFUNCTION("""COMPUTED_VALUE"""),"")</f>
        <v/>
      </c>
      <c r="G1551" s="7" t="str">
        <f>IFERROR(__xludf.DUMMYFUNCTION("""COMPUTED_VALUE"""),"BN JUAL BELI")</f>
        <v>BN JUAL BELI</v>
      </c>
      <c r="H1551" s="7">
        <f t="shared" si="1"/>
        <v>688</v>
      </c>
    </row>
    <row r="1552" ht="22.5" customHeight="1">
      <c r="B1552" s="7" t="str">
        <f>IFERROR(__xludf.DUMMYFUNCTION("""COMPUTED_VALUE"""),"K/7/251124/1")</f>
        <v>K/7/251124/1</v>
      </c>
      <c r="C1552" s="7" t="str">
        <f>IFERROR(__xludf.DUMMYFUNCTION("""COMPUTED_VALUE"""),"M. 1235/ Susunan Baru; SHT 116/2019; B. 605/ Susunan Baru-dahulu")</f>
        <v>M. 1235/ Susunan Baru; SHT 116/2019; B. 605/ Susunan Baru-dahulu</v>
      </c>
      <c r="D1552" s="7"/>
      <c r="E1552" s="7"/>
      <c r="F1552" s="9" t="str">
        <f>IFERROR(__xludf.DUMMYFUNCTION("""COMPUTED_VALUE"""),"")</f>
        <v/>
      </c>
      <c r="G1552" s="7" t="str">
        <f>IFERROR(__xludf.DUMMYFUNCTION("""COMPUTED_VALUE"""),"Roya")</f>
        <v>Roya</v>
      </c>
      <c r="H1552" s="7">
        <f t="shared" si="1"/>
        <v>688</v>
      </c>
    </row>
    <row r="1553" ht="22.5" customHeight="1">
      <c r="B1553" s="7" t="str">
        <f>IFERROR(__xludf.DUMMYFUNCTION("""COMPUTED_VALUE"""),"K/8/251124/1")</f>
        <v>K/8/251124/1</v>
      </c>
      <c r="C1553" s="7" t="str">
        <f>IFERROR(__xludf.DUMMYFUNCTION("""COMPUTED_VALUE"""),"M.396/WAY GUBAK")</f>
        <v>M.396/WAY GUBAK</v>
      </c>
      <c r="D1553" s="7"/>
      <c r="E1553" s="7"/>
      <c r="F1553" s="9" t="str">
        <f>IFERROR(__xludf.DUMMYFUNCTION("""COMPUTED_VALUE"""),"")</f>
        <v/>
      </c>
      <c r="G1553" s="7" t="str">
        <f>IFERROR(__xludf.DUMMYFUNCTION("""COMPUTED_VALUE"""),"GANDES")</f>
        <v>GANDES</v>
      </c>
      <c r="H1553" s="7">
        <f t="shared" si="1"/>
        <v>688</v>
      </c>
    </row>
    <row r="1554" ht="22.5" customHeight="1">
      <c r="B1554" s="7" t="str">
        <f>IFERROR(__xludf.DUMMYFUNCTION("""COMPUTED_VALUE"""),"L/9/251124/1")</f>
        <v>L/9/251124/1</v>
      </c>
      <c r="C1554" s="7" t="str">
        <f>IFERROR(__xludf.DUMMYFUNCTION("""COMPUTED_VALUE"""),"HGB 565/WAY KANDIS")</f>
        <v>HGB 565/WAY KANDIS</v>
      </c>
      <c r="D1554" s="7" t="str">
        <f>IFERROR(__xludf.DUMMYFUNCTION("""COMPUTED_VALUE"""),"Berry")</f>
        <v>Berry</v>
      </c>
      <c r="E1554" s="7" t="str">
        <f>IFERROR(__xludf.DUMMYFUNCTION("""COMPUTED_VALUE"""),"PROSES")</f>
        <v>PROSES</v>
      </c>
      <c r="F1554" s="9" t="str">
        <f>IFERROR(__xludf.DUMMYFUNCTION("""COMPUTED_VALUE"""),"")</f>
        <v/>
      </c>
      <c r="G1554" s="7" t="str">
        <f>IFERROR(__xludf.DUMMYFUNCTION("""COMPUTED_VALUE"""),"GANDES")</f>
        <v>GANDES</v>
      </c>
      <c r="H1554" s="7">
        <f t="shared" si="1"/>
        <v>688</v>
      </c>
    </row>
    <row r="1555" ht="22.5" customHeight="1">
      <c r="B1555" s="7" t="str">
        <f>IFERROR(__xludf.DUMMYFUNCTION("""COMPUTED_VALUE"""),"K/10/251124/1")</f>
        <v>K/10/251124/1</v>
      </c>
      <c r="C1555" s="7" t="str">
        <f>IFERROR(__xludf.DUMMYFUNCTION("""COMPUTED_VALUE"""),"Nibel 2150/ Segala Mider")</f>
        <v>Nibel 2150/ Segala Mider</v>
      </c>
      <c r="D1555" s="7"/>
      <c r="E1555" s="7"/>
      <c r="F1555" s="9" t="str">
        <f>IFERROR(__xludf.DUMMYFUNCTION("""COMPUTED_VALUE"""),"")</f>
        <v/>
      </c>
      <c r="G1555" s="7" t="str">
        <f>IFERROR(__xludf.DUMMYFUNCTION("""COMPUTED_VALUE"""),"BN JUAL BELI")</f>
        <v>BN JUAL BELI</v>
      </c>
      <c r="H1555" s="7">
        <f t="shared" si="1"/>
        <v>688</v>
      </c>
    </row>
    <row r="1556" ht="22.5" customHeight="1">
      <c r="B1556" s="7" t="str">
        <f>IFERROR(__xludf.DUMMYFUNCTION("""COMPUTED_VALUE"""),"K/11/251124/1")</f>
        <v>K/11/251124/1</v>
      </c>
      <c r="C1556" s="7" t="str">
        <f>IFERROR(__xludf.DUMMYFUNCTION("""COMPUTED_VALUE"""),"M. 6487/ Way Kandis")</f>
        <v>M. 6487/ Way Kandis</v>
      </c>
      <c r="D1556" s="7" t="str">
        <f>IFERROR(__xludf.DUMMYFUNCTION("""COMPUTED_VALUE"""),"Berry")</f>
        <v>Berry</v>
      </c>
      <c r="E1556" s="7" t="str">
        <f>IFERROR(__xludf.DUMMYFUNCTION("""COMPUTED_VALUE"""),"DISERAHKAN")</f>
        <v>DISERAHKAN</v>
      </c>
      <c r="F1556" s="9">
        <f>IFERROR(__xludf.DUMMYFUNCTION("""COMPUTED_VALUE"""),45622.502643935186)</f>
        <v>45622.50264</v>
      </c>
      <c r="G1556" s="7" t="str">
        <f>IFERROR(__xludf.DUMMYFUNCTION("""COMPUTED_VALUE"""),"BN Jual Beli")</f>
        <v>BN Jual Beli</v>
      </c>
      <c r="H1556" s="7">
        <f t="shared" si="1"/>
        <v>689</v>
      </c>
    </row>
    <row r="1557" ht="22.5" customHeight="1">
      <c r="B1557" s="7" t="str">
        <f>IFERROR(__xludf.DUMMYFUNCTION("""COMPUTED_VALUE"""),"K/13/251124/1")</f>
        <v>K/13/251124/1</v>
      </c>
      <c r="C1557" s="7" t="str">
        <f>IFERROR(__xludf.DUMMYFUNCTION("""COMPUTED_VALUE"""),"NIBEL M.8270/ENGGAL ")</f>
        <v>NIBEL M.8270/ENGGAL </v>
      </c>
      <c r="D1557" s="7"/>
      <c r="E1557" s="7" t="str">
        <f>IFERROR(__xludf.DUMMYFUNCTION("""COMPUTED_VALUE"""),"PROSES")</f>
        <v>PROSES</v>
      </c>
      <c r="F1557" s="9" t="str">
        <f>IFERROR(__xludf.DUMMYFUNCTION("""COMPUTED_VALUE"""),"")</f>
        <v/>
      </c>
      <c r="G1557" s="7" t="str">
        <f>IFERROR(__xludf.DUMMYFUNCTION("""COMPUTED_VALUE"""),"BN JUAL BELI")</f>
        <v>BN JUAL BELI</v>
      </c>
      <c r="H1557" s="7">
        <f t="shared" si="1"/>
        <v>689</v>
      </c>
    </row>
    <row r="1558" ht="22.5" customHeight="1">
      <c r="B1558" s="7" t="str">
        <f>IFERROR(__xludf.DUMMYFUNCTION("""COMPUTED_VALUE"""),"K/14/251124/2")</f>
        <v>K/14/251124/2</v>
      </c>
      <c r="C1558" s="7" t="str">
        <f>IFERROR(__xludf.DUMMYFUNCTION("""COMPUTED_VALUE"""),"B.138/SUKARAJA")</f>
        <v>B.138/SUKARAJA</v>
      </c>
      <c r="D1558" s="7"/>
      <c r="E1558" s="7"/>
      <c r="F1558" s="9" t="str">
        <f>IFERROR(__xludf.DUMMYFUNCTION("""COMPUTED_VALUE"""),"")</f>
        <v/>
      </c>
      <c r="G1558" s="7" t="str">
        <f>IFERROR(__xludf.DUMMYFUNCTION("""COMPUTED_VALUE"""),"ROYA ")</f>
        <v>ROYA </v>
      </c>
      <c r="H1558" s="7">
        <f t="shared" si="1"/>
        <v>689</v>
      </c>
    </row>
    <row r="1559" ht="22.5" customHeight="1">
      <c r="B1559" s="7" t="str">
        <f>IFERROR(__xludf.DUMMYFUNCTION("""COMPUTED_VALUE"""),"K/15/251124/3")</f>
        <v>K/15/251124/3</v>
      </c>
      <c r="C1559" s="7" t="str">
        <f>IFERROR(__xludf.DUMMYFUNCTION("""COMPUTED_VALUE"""),"B.345/KANGKUNG")</f>
        <v>B.345/KANGKUNG</v>
      </c>
      <c r="D1559" s="7"/>
      <c r="E1559" s="7" t="str">
        <f>IFERROR(__xludf.DUMMYFUNCTION("""COMPUTED_VALUE"""),"DISERAHKAN BT")</f>
        <v>DISERAHKAN BT</v>
      </c>
      <c r="F1559" s="9">
        <f>IFERROR(__xludf.DUMMYFUNCTION("""COMPUTED_VALUE"""),45625.66738834491)</f>
        <v>45625.66739</v>
      </c>
      <c r="G1559" s="7" t="str">
        <f>IFERROR(__xludf.DUMMYFUNCTION("""COMPUTED_VALUE"""),"GANTI NAMA +ROYA")</f>
        <v>GANTI NAMA +ROYA</v>
      </c>
      <c r="H1559" s="7">
        <f t="shared" si="1"/>
        <v>689</v>
      </c>
    </row>
    <row r="1560" ht="22.5" customHeight="1">
      <c r="B1560" s="7" t="str">
        <f>IFERROR(__xludf.DUMMYFUNCTION("""COMPUTED_VALUE"""),"K/12/251124/1")</f>
        <v>K/12/251124/1</v>
      </c>
      <c r="C1560" s="7" t="str">
        <f>IFERROR(__xludf.DUMMYFUNCTION("""COMPUTED_VALUE"""),"M. 915/ SUSUNAN BARU")</f>
        <v>M. 915/ SUSUNAN BARU</v>
      </c>
      <c r="D1560" s="7"/>
      <c r="E1560" s="7"/>
      <c r="F1560" s="9" t="str">
        <f>IFERROR(__xludf.DUMMYFUNCTION("""COMPUTED_VALUE"""),"")</f>
        <v/>
      </c>
      <c r="G1560" s="7" t="str">
        <f>IFERROR(__xludf.DUMMYFUNCTION("""COMPUTED_VALUE"""),"GANTI KELURAHAN")</f>
        <v>GANTI KELURAHAN</v>
      </c>
      <c r="H1560" s="7">
        <f t="shared" si="1"/>
        <v>689</v>
      </c>
    </row>
    <row r="1561" ht="22.5" customHeight="1">
      <c r="B1561" s="7" t="str">
        <f>IFERROR(__xludf.DUMMYFUNCTION("""COMPUTED_VALUE"""),"L/16/251124/1")</f>
        <v>L/16/251124/1</v>
      </c>
      <c r="C1561" s="7" t="str">
        <f>IFERROR(__xludf.DUMMYFUNCTION("""COMPUTED_VALUE"""),"HM 10000")</f>
        <v>HM 10000</v>
      </c>
      <c r="D1561" s="7"/>
      <c r="E1561" s="7"/>
      <c r="F1561" s="9" t="str">
        <f>IFERROR(__xludf.DUMMYFUNCTION("""COMPUTED_VALUE"""),"")</f>
        <v/>
      </c>
      <c r="G1561" s="7" t="str">
        <f>IFERROR(__xludf.DUMMYFUNCTION("""COMPUTED_VALUE"""),"ROYA")</f>
        <v>ROYA</v>
      </c>
      <c r="H1561" s="7">
        <f t="shared" si="1"/>
        <v>689</v>
      </c>
    </row>
    <row r="1562" ht="22.5" customHeight="1">
      <c r="B1562" s="7" t="str">
        <f>IFERROR(__xludf.DUMMYFUNCTION("""COMPUTED_VALUE"""),"K/17/251124/1")</f>
        <v>K/17/251124/1</v>
      </c>
      <c r="C1562" s="7" t="str">
        <f>IFERROR(__xludf.DUMMYFUNCTION("""COMPUTED_VALUE"""),"Nibel 2672/ Tanjung Senang")</f>
        <v>Nibel 2672/ Tanjung Senang</v>
      </c>
      <c r="D1562" s="7"/>
      <c r="E1562" s="7"/>
      <c r="F1562" s="9" t="str">
        <f>IFERROR(__xludf.DUMMYFUNCTION("""COMPUTED_VALUE"""),"")</f>
        <v/>
      </c>
      <c r="G1562" s="7" t="str">
        <f>IFERROR(__xludf.DUMMYFUNCTION("""COMPUTED_VALUE"""),"PTPGT PEMECAHAN")</f>
        <v>PTPGT PEMECAHAN</v>
      </c>
      <c r="H1562" s="7">
        <f t="shared" si="1"/>
        <v>689</v>
      </c>
    </row>
    <row r="1563" ht="22.5" customHeight="1">
      <c r="B1563" s="7" t="str">
        <f>IFERROR(__xludf.DUMMYFUNCTION("""COMPUTED_VALUE"""),"K/18/251124/1")</f>
        <v>K/18/251124/1</v>
      </c>
      <c r="C1563" s="7" t="str">
        <f>IFERROR(__xludf.DUMMYFUNCTION("""COMPUTED_VALUE"""),"M.935/WAY LAGA")</f>
        <v>M.935/WAY LAGA</v>
      </c>
      <c r="D1563" s="7" t="str">
        <f>IFERROR(__xludf.DUMMYFUNCTION("""COMPUTED_VALUE"""),"Berry")</f>
        <v>Berry</v>
      </c>
      <c r="E1563" s="7" t="str">
        <f>IFERROR(__xludf.DUMMYFUNCTION("""COMPUTED_VALUE"""),"DISERAHKAN")</f>
        <v>DISERAHKAN</v>
      </c>
      <c r="F1563" s="9">
        <f>IFERROR(__xludf.DUMMYFUNCTION("""COMPUTED_VALUE"""),45622.502643935186)</f>
        <v>45622.50264</v>
      </c>
      <c r="G1563" s="7" t="str">
        <f>IFERROR(__xludf.DUMMYFUNCTION("""COMPUTED_VALUE"""),"SKPT")</f>
        <v>SKPT</v>
      </c>
      <c r="H1563" s="7">
        <f t="shared" si="1"/>
        <v>690</v>
      </c>
    </row>
    <row r="1564" ht="22.5" customHeight="1">
      <c r="B1564" s="7" t="str">
        <f>IFERROR(__xludf.DUMMYFUNCTION("""COMPUTED_VALUE"""),"K/21/251124/1")</f>
        <v>K/21/251124/1</v>
      </c>
      <c r="C1564" s="7" t="str">
        <f>IFERROR(__xludf.DUMMYFUNCTION("""COMPUTED_VALUE"""),"NIBEL M.11434/CAMPANG RAYA")</f>
        <v>NIBEL M.11434/CAMPANG RAYA</v>
      </c>
      <c r="D1564" s="7"/>
      <c r="E1564" s="7"/>
      <c r="F1564" s="9" t="str">
        <f>IFERROR(__xludf.DUMMYFUNCTION("""COMPUTED_VALUE"""),"")</f>
        <v/>
      </c>
      <c r="G1564" s="7" t="str">
        <f>IFERROR(__xludf.DUMMYFUNCTION("""COMPUTED_VALUE"""),"GANDES")</f>
        <v>GANDES</v>
      </c>
      <c r="H1564" s="7">
        <f t="shared" si="1"/>
        <v>690</v>
      </c>
    </row>
    <row r="1565" ht="22.5" customHeight="1">
      <c r="B1565" s="7" t="str">
        <f>IFERROR(__xludf.DUMMYFUNCTION("""COMPUTED_VALUE"""),"K/22/251124/2")</f>
        <v>K/22/251124/2</v>
      </c>
      <c r="C1565" s="7" t="str">
        <f>IFERROR(__xludf.DUMMYFUNCTION("""COMPUTED_VALUE"""),"M.1451/LABUHAN DALAM-SEKARANG;B.46/LABUHAN DALAM-DAHULU")</f>
        <v>M.1451/LABUHAN DALAM-SEKARANG;B.46/LABUHAN DALAM-DAHULU</v>
      </c>
      <c r="D1565" s="7"/>
      <c r="E1565" s="7"/>
      <c r="F1565" s="9" t="str">
        <f>IFERROR(__xludf.DUMMYFUNCTION("""COMPUTED_VALUE"""),"")</f>
        <v/>
      </c>
      <c r="G1565" s="7" t="str">
        <f>IFERROR(__xludf.DUMMYFUNCTION("""COMPUTED_VALUE"""),"ROYA")</f>
        <v>ROYA</v>
      </c>
      <c r="H1565" s="7">
        <f t="shared" si="1"/>
        <v>690</v>
      </c>
    </row>
    <row r="1566" ht="22.5" customHeight="1">
      <c r="B1566" s="7" t="str">
        <f>IFERROR(__xludf.DUMMYFUNCTION("""COMPUTED_VALUE"""),"K/19/251124/2")</f>
        <v>K/19/251124/2</v>
      </c>
      <c r="C1566" s="7" t="str">
        <f>IFERROR(__xludf.DUMMYFUNCTION("""COMPUTED_VALUE"""),"M.974/WAY LAGA")</f>
        <v>M.974/WAY LAGA</v>
      </c>
      <c r="D1566" s="7"/>
      <c r="E1566" s="7"/>
      <c r="F1566" s="9" t="str">
        <f>IFERROR(__xludf.DUMMYFUNCTION("""COMPUTED_VALUE"""),"")</f>
        <v/>
      </c>
      <c r="G1566" s="7" t="str">
        <f>IFERROR(__xludf.DUMMYFUNCTION("""COMPUTED_VALUE"""),"SKPT LELANG")</f>
        <v>SKPT LELANG</v>
      </c>
      <c r="H1566" s="7">
        <f t="shared" si="1"/>
        <v>690</v>
      </c>
    </row>
    <row r="1567" ht="22.5" customHeight="1">
      <c r="B1567" s="7" t="str">
        <f>IFERROR(__xludf.DUMMYFUNCTION("""COMPUTED_VALUE"""),"K/20/251124/3")</f>
        <v>K/20/251124/3</v>
      </c>
      <c r="C1567" s="7" t="str">
        <f>IFERROR(__xludf.DUMMYFUNCTION("""COMPUTED_VALUE"""),"M. 2877/KEMILING PERMAI-SEKARANG;B.1098/KEMILING PERMAI DAHULU;")</f>
        <v>M. 2877/KEMILING PERMAI-SEKARANG;B.1098/KEMILING PERMAI DAHULU;</v>
      </c>
      <c r="D1567" s="7" t="str">
        <f>IFERROR(__xludf.DUMMYFUNCTION("""COMPUTED_VALUE"""),"Berry")</f>
        <v>Berry</v>
      </c>
      <c r="E1567" s="7" t="str">
        <f>IFERROR(__xludf.DUMMYFUNCTION("""COMPUTED_VALUE"""),"PROSES")</f>
        <v>PROSES</v>
      </c>
      <c r="F1567" s="9" t="str">
        <f>IFERROR(__xludf.DUMMYFUNCTION("""COMPUTED_VALUE"""),"")</f>
        <v/>
      </c>
      <c r="G1567" s="7" t="str">
        <f>IFERROR(__xludf.DUMMYFUNCTION("""COMPUTED_VALUE"""),"SKPT LELANG")</f>
        <v>SKPT LELANG</v>
      </c>
      <c r="H1567" s="7">
        <f t="shared" si="1"/>
        <v>690</v>
      </c>
    </row>
    <row r="1568" ht="22.5" customHeight="1">
      <c r="B1568" s="7" t="str">
        <f>IFERROR(__xludf.DUMMYFUNCTION("""COMPUTED_VALUE"""),"K/25/251124/1")</f>
        <v>K/25/251124/1</v>
      </c>
      <c r="C1568" s="7" t="str">
        <f>IFERROR(__xludf.DUMMYFUNCTION("""COMPUTED_VALUE"""),"B.1810/SUKARAME")</f>
        <v>B.1810/SUKARAME</v>
      </c>
      <c r="D1568" s="7" t="str">
        <f>IFERROR(__xludf.DUMMYFUNCTION("""COMPUTED_VALUE"""),"Berry")</f>
        <v>Berry</v>
      </c>
      <c r="E1568" s="7" t="str">
        <f>IFERROR(__xludf.DUMMYFUNCTION("""COMPUTED_VALUE"""),"DISERAHKAN")</f>
        <v>DISERAHKAN</v>
      </c>
      <c r="F1568" s="9">
        <f>IFERROR(__xludf.DUMMYFUNCTION("""COMPUTED_VALUE"""),45622.502643935186)</f>
        <v>45622.50264</v>
      </c>
      <c r="G1568" s="7" t="str">
        <f>IFERROR(__xludf.DUMMYFUNCTION("""COMPUTED_VALUE"""),"PLOTING")</f>
        <v>PLOTING</v>
      </c>
      <c r="H1568" s="7">
        <f t="shared" si="1"/>
        <v>691</v>
      </c>
    </row>
    <row r="1569" ht="22.5" customHeight="1">
      <c r="B1569" s="7" t="str">
        <f>IFERROR(__xludf.DUMMYFUNCTION("""COMPUTED_VALUE"""),"K/26/251124/2")</f>
        <v>K/26/251124/2</v>
      </c>
      <c r="C1569" s="7" t="str">
        <f>IFERROR(__xludf.DUMMYFUNCTION("""COMPUTED_VALUE"""),"M.1380/RAJABASA RAYA")</f>
        <v>M.1380/RAJABASA RAYA</v>
      </c>
      <c r="D1569" s="7" t="str">
        <f>IFERROR(__xludf.DUMMYFUNCTION("""COMPUTED_VALUE"""),"Berry")</f>
        <v>Berry</v>
      </c>
      <c r="E1569" s="7" t="str">
        <f>IFERROR(__xludf.DUMMYFUNCTION("""COMPUTED_VALUE"""),"DISERAHKAN")</f>
        <v>DISERAHKAN</v>
      </c>
      <c r="F1569" s="9">
        <f>IFERROR(__xludf.DUMMYFUNCTION("""COMPUTED_VALUE"""),45622.50264394676)</f>
        <v>45622.50264</v>
      </c>
      <c r="G1569" s="7" t="str">
        <f>IFERROR(__xludf.DUMMYFUNCTION("""COMPUTED_VALUE"""),"BN JUAL BELI ")</f>
        <v>BN JUAL BELI </v>
      </c>
      <c r="H1569" s="7">
        <f t="shared" si="1"/>
        <v>692</v>
      </c>
    </row>
    <row r="1570" ht="22.5" customHeight="1">
      <c r="B1570" s="7" t="str">
        <f>IFERROR(__xludf.DUMMYFUNCTION("""COMPUTED_VALUE"""),"L/23/251124/1")</f>
        <v>L/23/251124/1</v>
      </c>
      <c r="C1570" s="7" t="str">
        <f>IFERROR(__xludf.DUMMYFUNCTION("""COMPUTED_VALUE"""),"HM 87/PALAPA")</f>
        <v>HM 87/PALAPA</v>
      </c>
      <c r="D1570" s="7" t="str">
        <f>IFERROR(__xludf.DUMMYFUNCTION("""COMPUTED_VALUE"""),"Berry")</f>
        <v>Berry</v>
      </c>
      <c r="E1570" s="7" t="str">
        <f>IFERROR(__xludf.DUMMYFUNCTION("""COMPUTED_VALUE"""),"DISERAHKAN")</f>
        <v>DISERAHKAN</v>
      </c>
      <c r="F1570" s="9">
        <f>IFERROR(__xludf.DUMMYFUNCTION("""COMPUTED_VALUE"""),45622.50264394676)</f>
        <v>45622.50264</v>
      </c>
      <c r="G1570" s="7" t="str">
        <f>IFERROR(__xludf.DUMMYFUNCTION("""COMPUTED_VALUE"""),"ROYA LELANG")</f>
        <v>ROYA LELANG</v>
      </c>
      <c r="H1570" s="7">
        <f t="shared" si="1"/>
        <v>693</v>
      </c>
    </row>
    <row r="1571" ht="22.5" customHeight="1">
      <c r="B1571" s="7" t="str">
        <f>IFERROR(__xludf.DUMMYFUNCTION("""COMPUTED_VALUE"""),"L/24/251124/2")</f>
        <v>L/24/251124/2</v>
      </c>
      <c r="C1571" s="7" t="str">
        <f>IFERROR(__xludf.DUMMYFUNCTION("""COMPUTED_VALUE"""),"HM 86/PALAPA")</f>
        <v>HM 86/PALAPA</v>
      </c>
      <c r="D1571" s="7"/>
      <c r="E1571" s="7"/>
      <c r="F1571" s="9" t="str">
        <f>IFERROR(__xludf.DUMMYFUNCTION("""COMPUTED_VALUE"""),"")</f>
        <v/>
      </c>
      <c r="G1571" s="7" t="str">
        <f>IFERROR(__xludf.DUMMYFUNCTION("""COMPUTED_VALUE"""),"ROYA LELANG")</f>
        <v>ROYA LELANG</v>
      </c>
      <c r="H1571" s="7">
        <f t="shared" si="1"/>
        <v>693</v>
      </c>
    </row>
    <row r="1572" ht="22.5" customHeight="1">
      <c r="B1572" s="7" t="str">
        <f>IFERROR(__xludf.DUMMYFUNCTION("""COMPUTED_VALUE"""),"L/29/251124/1")</f>
        <v>L/29/251124/1</v>
      </c>
      <c r="C1572" s="7" t="str">
        <f>IFERROR(__xludf.DUMMYFUNCTION("""COMPUTED_VALUE"""),"HM 15181/SUKABUMI")</f>
        <v>HM 15181/SUKABUMI</v>
      </c>
      <c r="D1572" s="7" t="str">
        <f>IFERROR(__xludf.DUMMYFUNCTION("""COMPUTED_VALUE"""),"Berry")</f>
        <v>Berry</v>
      </c>
      <c r="E1572" s="7" t="str">
        <f>IFERROR(__xludf.DUMMYFUNCTION("""COMPUTED_VALUE"""),"PROSES")</f>
        <v>PROSES</v>
      </c>
      <c r="F1572" s="9" t="str">
        <f>IFERROR(__xludf.DUMMYFUNCTION("""COMPUTED_VALUE"""),"")</f>
        <v/>
      </c>
      <c r="G1572" s="7" t="str">
        <f>IFERROR(__xludf.DUMMYFUNCTION("""COMPUTED_VALUE"""),"BN LELANG")</f>
        <v>BN LELANG</v>
      </c>
      <c r="H1572" s="7">
        <f t="shared" si="1"/>
        <v>693</v>
      </c>
    </row>
    <row r="1573" ht="22.5" customHeight="1">
      <c r="B1573" s="7" t="str">
        <f>IFERROR(__xludf.DUMMYFUNCTION("""COMPUTED_VALUE"""),"K/30/251124/1")</f>
        <v>K/30/251124/1</v>
      </c>
      <c r="C1573" s="7" t="str">
        <f>IFERROR(__xludf.DUMMYFUNCTION("""COMPUTED_VALUE"""),"B. 1115/ Jagabaya II")</f>
        <v>B. 1115/ Jagabaya II</v>
      </c>
      <c r="D1573" s="7" t="str">
        <f>IFERROR(__xludf.DUMMYFUNCTION("""COMPUTED_VALUE"""),"Berry")</f>
        <v>Berry</v>
      </c>
      <c r="E1573" s="7" t="str">
        <f>IFERROR(__xludf.DUMMYFUNCTION("""COMPUTED_VALUE"""),"PROSES")</f>
        <v>PROSES</v>
      </c>
      <c r="F1573" s="9" t="str">
        <f>IFERROR(__xludf.DUMMYFUNCTION("""COMPUTED_VALUE"""),"")</f>
        <v/>
      </c>
      <c r="G1573" s="7" t="str">
        <f>IFERROR(__xludf.DUMMYFUNCTION("""COMPUTED_VALUE"""),"Gandes")</f>
        <v>Gandes</v>
      </c>
      <c r="H1573" s="7">
        <f t="shared" si="1"/>
        <v>693</v>
      </c>
    </row>
    <row r="1574" ht="22.5" customHeight="1">
      <c r="B1574" s="7" t="str">
        <f>IFERROR(__xludf.DUMMYFUNCTION("""COMPUTED_VALUE"""),"K/28/251124/1")</f>
        <v>K/28/251124/1</v>
      </c>
      <c r="C1574" s="7" t="str">
        <f>IFERROR(__xludf.DUMMYFUNCTION("""COMPUTED_VALUE"""),"P. 24/ Sukarame")</f>
        <v>P. 24/ Sukarame</v>
      </c>
      <c r="D1574" s="7"/>
      <c r="E1574" s="7"/>
      <c r="F1574" s="9" t="str">
        <f>IFERROR(__xludf.DUMMYFUNCTION("""COMPUTED_VALUE"""),"")</f>
        <v/>
      </c>
      <c r="G1574" s="7" t="str">
        <f>IFERROR(__xludf.DUMMYFUNCTION("""COMPUTED_VALUE"""),"PEMISAHAN BIDANG")</f>
        <v>PEMISAHAN BIDANG</v>
      </c>
      <c r="H1574" s="7">
        <f t="shared" si="1"/>
        <v>693</v>
      </c>
    </row>
    <row r="1575" ht="22.5" customHeight="1">
      <c r="B1575" s="7" t="str">
        <f>IFERROR(__xludf.DUMMYFUNCTION("""COMPUTED_VALUE"""),"K/27/251124/1")</f>
        <v>K/27/251124/1</v>
      </c>
      <c r="C1575" s="7" t="str">
        <f>IFERROR(__xludf.DUMMYFUNCTION("""COMPUTED_VALUE"""),"M.1227/SUKARAME")</f>
        <v>M.1227/SUKARAME</v>
      </c>
      <c r="D1575" s="7" t="str">
        <f>IFERROR(__xludf.DUMMYFUNCTION("""COMPUTED_VALUE"""),"Berry")</f>
        <v>Berry</v>
      </c>
      <c r="E1575" s="7" t="str">
        <f>IFERROR(__xludf.DUMMYFUNCTION("""COMPUTED_VALUE"""),"DISERAHKAN")</f>
        <v>DISERAHKAN</v>
      </c>
      <c r="F1575" s="9">
        <f>IFERROR(__xludf.DUMMYFUNCTION("""COMPUTED_VALUE"""),45622.50264394676)</f>
        <v>45622.50264</v>
      </c>
      <c r="G1575" s="7" t="str">
        <f>IFERROR(__xludf.DUMMYFUNCTION("""COMPUTED_VALUE"""),"BN JUAL BELI")</f>
        <v>BN JUAL BELI</v>
      </c>
      <c r="H1575" s="7">
        <f t="shared" si="1"/>
        <v>694</v>
      </c>
    </row>
    <row r="1576" ht="22.5" customHeight="1">
      <c r="B1576" s="7" t="str">
        <f>IFERROR(__xludf.DUMMYFUNCTION("""COMPUTED_VALUE"""),"K/31/251124/1")</f>
        <v>K/31/251124/1</v>
      </c>
      <c r="C1576" s="7" t="str">
        <f>IFERROR(__xludf.DUMMYFUNCTION("""COMPUTED_VALUE"""),"Nibel. M. 2479/ Kota Baru")</f>
        <v>Nibel. M. 2479/ Kota Baru</v>
      </c>
      <c r="D1576" s="7" t="str">
        <f>IFERROR(__xludf.DUMMYFUNCTION("""COMPUTED_VALUE"""),"Berry")</f>
        <v>Berry</v>
      </c>
      <c r="E1576" s="7" t="str">
        <f>IFERROR(__xludf.DUMMYFUNCTION("""COMPUTED_VALUE"""),"DISERAHKAN")</f>
        <v>DISERAHKAN</v>
      </c>
      <c r="F1576" s="9">
        <f>IFERROR(__xludf.DUMMYFUNCTION("""COMPUTED_VALUE"""),45622.50264394676)</f>
        <v>45622.50264</v>
      </c>
      <c r="G1576" s="7" t="str">
        <f>IFERROR(__xludf.DUMMYFUNCTION("""COMPUTED_VALUE"""),"BN PHB")</f>
        <v>BN PHB</v>
      </c>
      <c r="H1576" s="7">
        <f t="shared" si="1"/>
        <v>695</v>
      </c>
    </row>
    <row r="1577" ht="22.5" customHeight="1">
      <c r="B1577" s="7" t="str">
        <f>IFERROR(__xludf.DUMMYFUNCTION("""COMPUTED_VALUE"""),"K/32/251124/1")</f>
        <v>K/32/251124/1</v>
      </c>
      <c r="C1577" s="7" t="str">
        <f>IFERROR(__xludf.DUMMYFUNCTION("""COMPUTED_VALUE"""),"M. 14890/ Sukabumi")</f>
        <v>M. 14890/ Sukabumi</v>
      </c>
      <c r="D1577" s="7"/>
      <c r="E1577" s="7"/>
      <c r="F1577" s="9" t="str">
        <f>IFERROR(__xludf.DUMMYFUNCTION("""COMPUTED_VALUE"""),"")</f>
        <v/>
      </c>
      <c r="G1577" s="7" t="str">
        <f>IFERROR(__xludf.DUMMYFUNCTION("""COMPUTED_VALUE"""),"BN Jual Beli")</f>
        <v>BN Jual Beli</v>
      </c>
      <c r="H1577" s="7">
        <f t="shared" si="1"/>
        <v>695</v>
      </c>
    </row>
    <row r="1578" ht="22.5" customHeight="1">
      <c r="B1578" s="7" t="str">
        <f>IFERROR(__xludf.DUMMYFUNCTION("""COMPUTED_VALUE"""),"K/33/251124/1")</f>
        <v>K/33/251124/1</v>
      </c>
      <c r="C1578" s="7" t="str">
        <f>IFERROR(__xludf.DUMMYFUNCTION("""COMPUTED_VALUE"""),"M.1499/LABUHAN DALAM-SEKARANG;B.225/LABUHAN DALAM-DAHULU, M.1500/LABUHAN DALAM-SEKARANG;B.226/LABUHAN DALAM-DAHULU")</f>
        <v>M.1499/LABUHAN DALAM-SEKARANG;B.225/LABUHAN DALAM-DAHULU, M.1500/LABUHAN DALAM-SEKARANG;B.226/LABUHAN DALAM-DAHULU</v>
      </c>
      <c r="D1578" s="7"/>
      <c r="E1578" s="7"/>
      <c r="F1578" s="9" t="str">
        <f>IFERROR(__xludf.DUMMYFUNCTION("""COMPUTED_VALUE"""),"")</f>
        <v/>
      </c>
      <c r="G1578" s="7" t="str">
        <f>IFERROR(__xludf.DUMMYFUNCTION("""COMPUTED_VALUE"""),"ROYA")</f>
        <v>ROYA</v>
      </c>
      <c r="H1578" s="7">
        <f t="shared" si="1"/>
        <v>695</v>
      </c>
    </row>
    <row r="1579" ht="22.5" customHeight="1">
      <c r="B1579" s="7" t="str">
        <f>IFERROR(__xludf.DUMMYFUNCTION("""COMPUTED_VALUE"""),"K/34/251124/1")</f>
        <v>K/34/251124/1</v>
      </c>
      <c r="C1579" s="7" t="str">
        <f>IFERROR(__xludf.DUMMYFUNCTION("""COMPUTED_VALUE"""),"WAY KANDIS")</f>
        <v>WAY KANDIS</v>
      </c>
      <c r="D1579" s="7"/>
      <c r="E1579" s="7"/>
      <c r="F1579" s="9" t="str">
        <f>IFERROR(__xludf.DUMMYFUNCTION("""COMPUTED_VALUE"""),"")</f>
        <v/>
      </c>
      <c r="G1579" s="7" t="str">
        <f>IFERROR(__xludf.DUMMYFUNCTION("""COMPUTED_VALUE"""),"PENGUKURAN DAN PEMETAAN KADASTRAL")</f>
        <v>PENGUKURAN DAN PEMETAAN KADASTRAL</v>
      </c>
      <c r="H1579" s="7">
        <f t="shared" si="1"/>
        <v>695</v>
      </c>
    </row>
    <row r="1580" ht="22.5" customHeight="1">
      <c r="B1580" s="7" t="str">
        <f>IFERROR(__xludf.DUMMYFUNCTION("""COMPUTED_VALUE"""),"K/35/251124/2")</f>
        <v>K/35/251124/2</v>
      </c>
      <c r="C1580" s="7" t="str">
        <f>IFERROR(__xludf.DUMMYFUNCTION("""COMPUTED_VALUE"""),"WAY KANDIS ")</f>
        <v>WAY KANDIS </v>
      </c>
      <c r="D1580" s="7"/>
      <c r="E1580" s="7"/>
      <c r="F1580" s="9" t="str">
        <f>IFERROR(__xludf.DUMMYFUNCTION("""COMPUTED_VALUE"""),"")</f>
        <v/>
      </c>
      <c r="G1580" s="7" t="str">
        <f>IFERROR(__xludf.DUMMYFUNCTION("""COMPUTED_VALUE"""),"PENGUKURAN DAN PEMETAAN KADASTRAL")</f>
        <v>PENGUKURAN DAN PEMETAAN KADASTRAL</v>
      </c>
      <c r="H1580" s="7">
        <f t="shared" si="1"/>
        <v>695</v>
      </c>
    </row>
    <row r="1581" ht="22.5" customHeight="1">
      <c r="B1581" s="7" t="str">
        <f>IFERROR(__xludf.DUMMYFUNCTION("""COMPUTED_VALUE"""),"L/36/251124/1")</f>
        <v>L/36/251124/1</v>
      </c>
      <c r="C1581" s="7" t="str">
        <f>IFERROR(__xludf.DUMMYFUNCTION("""COMPUTED_VALUE"""),"HGB 4991/BERINGIN RAYA")</f>
        <v>HGB 4991/BERINGIN RAYA</v>
      </c>
      <c r="D1581" s="7"/>
      <c r="E1581" s="7"/>
      <c r="F1581" s="9" t="str">
        <f>IFERROR(__xludf.DUMMYFUNCTION("""COMPUTED_VALUE"""),"")</f>
        <v/>
      </c>
      <c r="G1581" s="7" t="str">
        <f>IFERROR(__xludf.DUMMYFUNCTION("""COMPUTED_VALUE"""),"GANDES")</f>
        <v>GANDES</v>
      </c>
      <c r="H1581" s="7">
        <f t="shared" si="1"/>
        <v>695</v>
      </c>
    </row>
    <row r="1582" ht="22.5" customHeight="1">
      <c r="B1582" s="7" t="str">
        <f>IFERROR(__xludf.DUMMYFUNCTION("""COMPUTED_VALUE"""),"K/37/251124/1")</f>
        <v>K/37/251124/1</v>
      </c>
      <c r="C1582" s="7" t="str">
        <f>IFERROR(__xludf.DUMMYFUNCTION("""COMPUTED_VALUE"""),"M.837/RAWA LAUT")</f>
        <v>M.837/RAWA LAUT</v>
      </c>
      <c r="D1582" s="7" t="str">
        <f>IFERROR(__xludf.DUMMYFUNCTION("""COMPUTED_VALUE"""),"Berry")</f>
        <v>Berry</v>
      </c>
      <c r="E1582" s="7" t="str">
        <f>IFERROR(__xludf.DUMMYFUNCTION("""COMPUTED_VALUE"""),"DISERAHKAN")</f>
        <v>DISERAHKAN</v>
      </c>
      <c r="F1582" s="9">
        <f>IFERROR(__xludf.DUMMYFUNCTION("""COMPUTED_VALUE"""),45622.50264394676)</f>
        <v>45622.50264</v>
      </c>
      <c r="G1582" s="7" t="str">
        <f>IFERROR(__xludf.DUMMYFUNCTION("""COMPUTED_VALUE"""),"PENGECEKAN")</f>
        <v>PENGECEKAN</v>
      </c>
      <c r="H1582" s="7">
        <f t="shared" si="1"/>
        <v>696</v>
      </c>
    </row>
    <row r="1583" ht="22.5" customHeight="1">
      <c r="B1583" s="7" t="str">
        <f>IFERROR(__xludf.DUMMYFUNCTION("""COMPUTED_VALUE"""),"K/38/251124/2")</f>
        <v>K/38/251124/2</v>
      </c>
      <c r="C1583" s="7" t="str">
        <f>IFERROR(__xludf.DUMMYFUNCTION("""COMPUTED_VALUE"""),"M.125/RAWA LAUT")</f>
        <v>M.125/RAWA LAUT</v>
      </c>
      <c r="D1583" s="7"/>
      <c r="E1583" s="7"/>
      <c r="F1583" s="9" t="str">
        <f>IFERROR(__xludf.DUMMYFUNCTION("""COMPUTED_VALUE"""),"")</f>
        <v/>
      </c>
      <c r="G1583" s="7" t="str">
        <f>IFERROR(__xludf.DUMMYFUNCTION("""COMPUTED_VALUE"""),"PENGECEKAN")</f>
        <v>PENGECEKAN</v>
      </c>
      <c r="H1583" s="7">
        <f t="shared" si="1"/>
        <v>696</v>
      </c>
    </row>
    <row r="1584" ht="22.5" customHeight="1">
      <c r="B1584" s="7" t="str">
        <f>IFERROR(__xludf.DUMMYFUNCTION("""COMPUTED_VALUE"""),"L/39/251124/1")</f>
        <v>L/39/251124/1</v>
      </c>
      <c r="C1584" s="7" t="str">
        <f>IFERROR(__xludf.DUMMYFUNCTION("""COMPUTED_VALUE"""),"HM 1348/KALIAWI")</f>
        <v>HM 1348/KALIAWI</v>
      </c>
      <c r="D1584" s="7" t="str">
        <f>IFERROR(__xludf.DUMMYFUNCTION("""COMPUTED_VALUE"""),"Berry")</f>
        <v>Berry</v>
      </c>
      <c r="E1584" s="7" t="str">
        <f>IFERROR(__xludf.DUMMYFUNCTION("""COMPUTED_VALUE"""),"DISERAHKAN")</f>
        <v>DISERAHKAN</v>
      </c>
      <c r="F1584" s="9">
        <f>IFERROR(__xludf.DUMMYFUNCTION("""COMPUTED_VALUE"""),45622.50264394676)</f>
        <v>45622.50264</v>
      </c>
      <c r="G1584" s="7" t="str">
        <f>IFERROR(__xludf.DUMMYFUNCTION("""COMPUTED_VALUE"""),"SERTIPIKAT HILANG")</f>
        <v>SERTIPIKAT HILANG</v>
      </c>
      <c r="H1584" s="7">
        <f t="shared" si="1"/>
        <v>697</v>
      </c>
    </row>
    <row r="1585" ht="22.5" customHeight="1">
      <c r="B1585" s="7" t="str">
        <f>IFERROR(__xludf.DUMMYFUNCTION("""COMPUTED_VALUE"""),"K/40/251124/1")</f>
        <v>K/40/251124/1</v>
      </c>
      <c r="C1585" s="7" t="str">
        <f>IFERROR(__xludf.DUMMYFUNCTION("""COMPUTED_VALUE"""),"Nibel. M. 1500/ Gunung Terang")</f>
        <v>Nibel. M. 1500/ Gunung Terang</v>
      </c>
      <c r="D1585" s="7" t="str">
        <f>IFERROR(__xludf.DUMMYFUNCTION("""COMPUTED_VALUE"""),"Berry")</f>
        <v>Berry</v>
      </c>
      <c r="E1585" s="7" t="str">
        <f>IFERROR(__xludf.DUMMYFUNCTION("""COMPUTED_VALUE"""),"DISERAHKAN")</f>
        <v>DISERAHKAN</v>
      </c>
      <c r="F1585" s="9">
        <f>IFERROR(__xludf.DUMMYFUNCTION("""COMPUTED_VALUE"""),45622.50264394676)</f>
        <v>45622.50264</v>
      </c>
      <c r="G1585" s="7" t="str">
        <f>IFERROR(__xludf.DUMMYFUNCTION("""COMPUTED_VALUE"""),"BN Hibah")</f>
        <v>BN Hibah</v>
      </c>
      <c r="H1585" s="7">
        <f t="shared" si="1"/>
        <v>698</v>
      </c>
    </row>
    <row r="1586" ht="22.5" customHeight="1">
      <c r="B1586" s="7" t="str">
        <f>IFERROR(__xludf.DUMMYFUNCTION("""COMPUTED_VALUE"""),"K/42/251124/1")</f>
        <v>K/42/251124/1</v>
      </c>
      <c r="C1586" s="7" t="str">
        <f>IFERROR(__xludf.DUMMYFUNCTION("""COMPUTED_VALUE"""),"M. 9702/ Surabaya")</f>
        <v>M. 9702/ Surabaya</v>
      </c>
      <c r="D1586" s="7" t="str">
        <f>IFERROR(__xludf.DUMMYFUNCTION("""COMPUTED_VALUE"""),"Berry")</f>
        <v>Berry</v>
      </c>
      <c r="E1586" s="7" t="str">
        <f>IFERROR(__xludf.DUMMYFUNCTION("""COMPUTED_VALUE"""),"PROSES")</f>
        <v>PROSES</v>
      </c>
      <c r="F1586" s="9" t="str">
        <f>IFERROR(__xludf.DUMMYFUNCTION("""COMPUTED_VALUE"""),"")</f>
        <v/>
      </c>
      <c r="G1586" s="7" t="str">
        <f>IFERROR(__xludf.DUMMYFUNCTION("""COMPUTED_VALUE"""),"BN Jual Beli")</f>
        <v>BN Jual Beli</v>
      </c>
      <c r="H1586" s="7">
        <f t="shared" si="1"/>
        <v>698</v>
      </c>
    </row>
    <row r="1587" ht="22.5" customHeight="1">
      <c r="B1587" s="7" t="str">
        <f>IFERROR(__xludf.DUMMYFUNCTION("""COMPUTED_VALUE""")," K/41/251124/1")</f>
        <v> K/41/251124/1</v>
      </c>
      <c r="C1587" s="7" t="str">
        <f>IFERROR(__xludf.DUMMYFUNCTION("""COMPUTED_VALUE"""),"M. 16684/ Sukabumi")</f>
        <v>M. 16684/ Sukabumi</v>
      </c>
      <c r="D1587" s="7"/>
      <c r="E1587" s="7"/>
      <c r="F1587" s="9" t="str">
        <f>IFERROR(__xludf.DUMMYFUNCTION("""COMPUTED_VALUE"""),"")</f>
        <v/>
      </c>
      <c r="G1587" s="7" t="str">
        <f>IFERROR(__xludf.DUMMYFUNCTION("""COMPUTED_VALUE"""),"BN Jual Beli")</f>
        <v>BN Jual Beli</v>
      </c>
      <c r="H1587" s="7">
        <f t="shared" si="1"/>
        <v>698</v>
      </c>
    </row>
    <row r="1588" ht="22.5" customHeight="1">
      <c r="B1588" s="7" t="str">
        <f>IFERROR(__xludf.DUMMYFUNCTION("""COMPUTED_VALUE"""),"K/43/251124/1")</f>
        <v>K/43/251124/1</v>
      </c>
      <c r="C1588" s="7" t="str">
        <f>IFERROR(__xludf.DUMMYFUNCTION("""COMPUTED_VALUE"""),"M.5177/RAJABASA JAYA")</f>
        <v>M.5177/RAJABASA JAYA</v>
      </c>
      <c r="D1588" s="7"/>
      <c r="E1588" s="7"/>
      <c r="F1588" s="9" t="str">
        <f>IFERROR(__xludf.DUMMYFUNCTION("""COMPUTED_VALUE"""),"")</f>
        <v/>
      </c>
      <c r="G1588" s="7" t="str">
        <f>IFERROR(__xludf.DUMMYFUNCTION("""COMPUTED_VALUE"""),"BN JUAL BELI")</f>
        <v>BN JUAL BELI</v>
      </c>
      <c r="H1588" s="7">
        <f t="shared" si="1"/>
        <v>698</v>
      </c>
    </row>
    <row r="1589" ht="22.5" customHeight="1">
      <c r="B1589" s="7" t="str">
        <f>IFERROR(__xludf.DUMMYFUNCTION("""COMPUTED_VALUE"""),"K/44/251124/1")</f>
        <v>K/44/251124/1</v>
      </c>
      <c r="C1589" s="7" t="str">
        <f>IFERROR(__xludf.DUMMYFUNCTION("""COMPUTED_VALUE"""),"B.213/KOTA KARANG")</f>
        <v>B.213/KOTA KARANG</v>
      </c>
      <c r="D1589" s="7" t="str">
        <f>IFERROR(__xludf.DUMMYFUNCTION("""COMPUTED_VALUE"""),"Berry")</f>
        <v>Berry</v>
      </c>
      <c r="E1589" s="7" t="str">
        <f>IFERROR(__xludf.DUMMYFUNCTION("""COMPUTED_VALUE"""),"DISERAHKAN")</f>
        <v>DISERAHKAN</v>
      </c>
      <c r="F1589" s="9">
        <f>IFERROR(__xludf.DUMMYFUNCTION("""COMPUTED_VALUE"""),45622.50264394676)</f>
        <v>45622.50264</v>
      </c>
      <c r="G1589" s="7" t="str">
        <f>IFERROR(__xludf.DUMMYFUNCTION("""COMPUTED_VALUE"""),"PLOTING")</f>
        <v>PLOTING</v>
      </c>
      <c r="H1589" s="7">
        <f t="shared" si="1"/>
        <v>699</v>
      </c>
    </row>
    <row r="1590" ht="22.5" customHeight="1">
      <c r="B1590" s="7" t="str">
        <f>IFERROR(__xludf.DUMMYFUNCTION("""COMPUTED_VALUE"""),"K/45/251124/1")</f>
        <v>K/45/251124/1</v>
      </c>
      <c r="C1590" s="7" t="str">
        <f>IFERROR(__xludf.DUMMYFUNCTION("""COMPUTED_VALUE"""),"NIBEL M.1741/SUKARAME BARU")</f>
        <v>NIBEL M.1741/SUKARAME BARU</v>
      </c>
      <c r="D1590" s="7" t="str">
        <f>IFERROR(__xludf.DUMMYFUNCTION("""COMPUTED_VALUE"""),"Berry")</f>
        <v>Berry</v>
      </c>
      <c r="E1590" s="7" t="str">
        <f>IFERROR(__xludf.DUMMYFUNCTION("""COMPUTED_VALUE"""),"DISERAHKAN")</f>
        <v>DISERAHKAN</v>
      </c>
      <c r="F1590" s="9">
        <f>IFERROR(__xludf.DUMMYFUNCTION("""COMPUTED_VALUE"""),45622.50264394676)</f>
        <v>45622.50264</v>
      </c>
      <c r="G1590" s="7" t="str">
        <f>IFERROR(__xludf.DUMMYFUNCTION("""COMPUTED_VALUE"""),"BN JUAL BELI")</f>
        <v>BN JUAL BELI</v>
      </c>
      <c r="H1590" s="7">
        <f t="shared" si="1"/>
        <v>700</v>
      </c>
    </row>
    <row r="1591" ht="22.5" customHeight="1">
      <c r="B1591" s="7" t="str">
        <f>IFERROR(__xludf.DUMMYFUNCTION("""COMPUTED_VALUE"""),"K/48/251124/1")</f>
        <v>K/48/251124/1</v>
      </c>
      <c r="C1591" s="7" t="str">
        <f>IFERROR(__xludf.DUMMYFUNCTION("""COMPUTED_VALUE"""),"M.37/PEMATANG WANGI")</f>
        <v>M.37/PEMATANG WANGI</v>
      </c>
      <c r="D1591" s="7"/>
      <c r="E1591" s="7"/>
      <c r="F1591" s="9" t="str">
        <f>IFERROR(__xludf.DUMMYFUNCTION("""COMPUTED_VALUE"""),"")</f>
        <v/>
      </c>
      <c r="G1591" s="7" t="str">
        <f>IFERROR(__xludf.DUMMYFUNCTION("""COMPUTED_VALUE"""),"BN JUAL BELI")</f>
        <v>BN JUAL BELI</v>
      </c>
      <c r="H1591" s="7">
        <f t="shared" si="1"/>
        <v>700</v>
      </c>
    </row>
    <row r="1592" ht="22.5" customHeight="1">
      <c r="B1592" s="7" t="str">
        <f>IFERROR(__xludf.DUMMYFUNCTION("""COMPUTED_VALUE"""),"K/46/251124/1")</f>
        <v>K/46/251124/1</v>
      </c>
      <c r="C1592" s="7" t="str">
        <f>IFERROR(__xludf.DUMMYFUNCTION("""COMPUTED_VALUE"""),"B. 4995/ Sukabumi")</f>
        <v>B. 4995/ Sukabumi</v>
      </c>
      <c r="D1592" s="7"/>
      <c r="E1592" s="7"/>
      <c r="F1592" s="9" t="str">
        <f>IFERROR(__xludf.DUMMYFUNCTION("""COMPUTED_VALUE"""),"")</f>
        <v/>
      </c>
      <c r="G1592" s="7" t="str">
        <f>IFERROR(__xludf.DUMMYFUNCTION("""COMPUTED_VALUE"""),"BN Jual Beli")</f>
        <v>BN Jual Beli</v>
      </c>
      <c r="H1592" s="7">
        <f t="shared" si="1"/>
        <v>700</v>
      </c>
    </row>
    <row r="1593" ht="22.5" customHeight="1">
      <c r="B1593" s="7" t="str">
        <f>IFERROR(__xludf.DUMMYFUNCTION("""COMPUTED_VALUE"""),"K/49/251124/2")</f>
        <v>K/49/251124/2</v>
      </c>
      <c r="C1593" s="7" t="str">
        <f>IFERROR(__xludf.DUMMYFUNCTION("""COMPUTED_VALUE"""),"Nibel 1826/ Kemiling Raya")</f>
        <v>Nibel 1826/ Kemiling Raya</v>
      </c>
      <c r="D1593" s="7" t="str">
        <f>IFERROR(__xludf.DUMMYFUNCTION("""COMPUTED_VALUE"""),"Berry")</f>
        <v>Berry</v>
      </c>
      <c r="E1593" s="7" t="str">
        <f>IFERROR(__xludf.DUMMYFUNCTION("""COMPUTED_VALUE"""),"DISERAHKAN")</f>
        <v>DISERAHKAN</v>
      </c>
      <c r="F1593" s="9">
        <f>IFERROR(__xludf.DUMMYFUNCTION("""COMPUTED_VALUE"""),45622.50264394676)</f>
        <v>45622.50264</v>
      </c>
      <c r="G1593" s="7" t="str">
        <f>IFERROR(__xludf.DUMMYFUNCTION("""COMPUTED_VALUE"""),"BN JUAL BELI")</f>
        <v>BN JUAL BELI</v>
      </c>
      <c r="H1593" s="7">
        <f t="shared" si="1"/>
        <v>701</v>
      </c>
    </row>
    <row r="1594" ht="22.5" customHeight="1">
      <c r="B1594" s="7" t="str">
        <f>IFERROR(__xludf.DUMMYFUNCTION("""COMPUTED_VALUE"""),"K/47/251124/2")</f>
        <v>K/47/251124/2</v>
      </c>
      <c r="C1594" s="7" t="str">
        <f>IFERROR(__xludf.DUMMYFUNCTION("""COMPUTED_VALUE"""),"Nibel. M. 10937/ Sepang Jaya")</f>
        <v>Nibel. M. 10937/ Sepang Jaya</v>
      </c>
      <c r="D1594" s="7" t="str">
        <f>IFERROR(__xludf.DUMMYFUNCTION("""COMPUTED_VALUE"""),"Berry")</f>
        <v>Berry</v>
      </c>
      <c r="E1594" s="7" t="str">
        <f>IFERROR(__xludf.DUMMYFUNCTION("""COMPUTED_VALUE"""),"DISERAHKAN")</f>
        <v>DISERAHKAN</v>
      </c>
      <c r="F1594" s="9">
        <f>IFERROR(__xludf.DUMMYFUNCTION("""COMPUTED_VALUE"""),45622.50264394676)</f>
        <v>45622.50264</v>
      </c>
      <c r="G1594" s="7" t="str">
        <f>IFERROR(__xludf.DUMMYFUNCTION("""COMPUTED_VALUE"""),"BN Jual Beli")</f>
        <v>BN Jual Beli</v>
      </c>
      <c r="H1594" s="7">
        <f t="shared" si="1"/>
        <v>702</v>
      </c>
    </row>
    <row r="1595" ht="22.5" customHeight="1">
      <c r="B1595" s="7" t="str">
        <f>IFERROR(__xludf.DUMMYFUNCTION("""COMPUTED_VALUE"""),"K/53/251124/1")</f>
        <v>K/53/251124/1</v>
      </c>
      <c r="C1595" s="7" t="str">
        <f>IFERROR(__xludf.DUMMYFUNCTION("""COMPUTED_VALUE"""),"M.2695/SUKARAME BARU")</f>
        <v>M.2695/SUKARAME BARU</v>
      </c>
      <c r="D1595" s="7"/>
      <c r="E1595" s="7"/>
      <c r="F1595" s="9" t="str">
        <f>IFERROR(__xludf.DUMMYFUNCTION("""COMPUTED_VALUE"""),"")</f>
        <v/>
      </c>
      <c r="G1595" s="7" t="str">
        <f>IFERROR(__xludf.DUMMYFUNCTION("""COMPUTED_VALUE"""),"BN JUAL BELI")</f>
        <v>BN JUAL BELI</v>
      </c>
      <c r="H1595" s="7">
        <f t="shared" si="1"/>
        <v>702</v>
      </c>
    </row>
    <row r="1596" ht="22.5" customHeight="1">
      <c r="B1596" s="7" t="str">
        <f>IFERROR(__xludf.DUMMYFUNCTION("""COMPUTED_VALUE"""),"K/54/251124/2")</f>
        <v>K/54/251124/2</v>
      </c>
      <c r="C1596" s="7" t="str">
        <f>IFERROR(__xludf.DUMMYFUNCTION("""COMPUTED_VALUE"""),"M.2697/SUKARAME BARU")</f>
        <v>M.2697/SUKARAME BARU</v>
      </c>
      <c r="D1596" s="7"/>
      <c r="E1596" s="7"/>
      <c r="F1596" s="9" t="str">
        <f>IFERROR(__xludf.DUMMYFUNCTION("""COMPUTED_VALUE"""),"")</f>
        <v/>
      </c>
      <c r="G1596" s="7" t="str">
        <f>IFERROR(__xludf.DUMMYFUNCTION("""COMPUTED_VALUE"""),"BN JUAL BELI")</f>
        <v>BN JUAL BELI</v>
      </c>
      <c r="H1596" s="7">
        <f t="shared" si="1"/>
        <v>702</v>
      </c>
    </row>
    <row r="1597" ht="22.5" customHeight="1">
      <c r="B1597" s="7" t="str">
        <f>IFERROR(__xludf.DUMMYFUNCTION("""COMPUTED_VALUE"""),"K/50/251124/2")</f>
        <v>K/50/251124/2</v>
      </c>
      <c r="C1597" s="7" t="str">
        <f>IFERROR(__xludf.DUMMYFUNCTION("""COMPUTED_VALUE"""),"Nibel. M. 2743/ Sukarame Baru")</f>
        <v>Nibel. M. 2743/ Sukarame Baru</v>
      </c>
      <c r="D1597" s="7" t="str">
        <f>IFERROR(__xludf.DUMMYFUNCTION("""COMPUTED_VALUE"""),"Berry")</f>
        <v>Berry</v>
      </c>
      <c r="E1597" s="7" t="str">
        <f>IFERROR(__xludf.DUMMYFUNCTION("""COMPUTED_VALUE"""),"DISERAHKAN")</f>
        <v>DISERAHKAN</v>
      </c>
      <c r="F1597" s="9">
        <f>IFERROR(__xludf.DUMMYFUNCTION("""COMPUTED_VALUE"""),45622.50264394676)</f>
        <v>45622.50264</v>
      </c>
      <c r="G1597" s="7" t="str">
        <f>IFERROR(__xludf.DUMMYFUNCTION("""COMPUTED_VALUE"""),"Pemecahan")</f>
        <v>Pemecahan</v>
      </c>
      <c r="H1597" s="7">
        <f t="shared" si="1"/>
        <v>703</v>
      </c>
    </row>
    <row r="1598" ht="22.5" customHeight="1">
      <c r="B1598" s="7" t="str">
        <f>IFERROR(__xludf.DUMMYFUNCTION("""COMPUTED_VALUE"""),"K/55/251124/1")</f>
        <v>K/55/251124/1</v>
      </c>
      <c r="C1598" s="7" t="str">
        <f>IFERROR(__xludf.DUMMYFUNCTION("""COMPUTED_VALUE"""),"M.1704/PERUMNAS WAY HALIM-SEKARANG;M.1712/PERUMNAS-DAHULU;")</f>
        <v>M.1704/PERUMNAS WAY HALIM-SEKARANG;M.1712/PERUMNAS-DAHULU;</v>
      </c>
      <c r="D1598" s="7"/>
      <c r="E1598" s="7"/>
      <c r="F1598" s="9" t="str">
        <f>IFERROR(__xludf.DUMMYFUNCTION("""COMPUTED_VALUE"""),"")</f>
        <v/>
      </c>
      <c r="G1598" s="7" t="str">
        <f>IFERROR(__xludf.DUMMYFUNCTION("""COMPUTED_VALUE"""),"GANDES")</f>
        <v>GANDES</v>
      </c>
      <c r="H1598" s="7">
        <f t="shared" si="1"/>
        <v>703</v>
      </c>
    </row>
    <row r="1599" ht="22.5" customHeight="1">
      <c r="B1599" s="7" t="str">
        <f>IFERROR(__xludf.DUMMYFUNCTION("""COMPUTED_VALUE"""),"K/56/251124/2")</f>
        <v>K/56/251124/2</v>
      </c>
      <c r="C1599" s="7" t="str">
        <f>IFERROR(__xludf.DUMMYFUNCTION("""COMPUTED_VALUE"""),"M.4941/TANJUNG SENANG")</f>
        <v>M.4941/TANJUNG SENANG</v>
      </c>
      <c r="D1599" s="7" t="str">
        <f>IFERROR(__xludf.DUMMYFUNCTION("""COMPUTED_VALUE"""),"Berry")</f>
        <v>Berry</v>
      </c>
      <c r="E1599" s="7" t="str">
        <f>IFERROR(__xludf.DUMMYFUNCTION("""COMPUTED_VALUE"""),"DISERAHKAN")</f>
        <v>DISERAHKAN</v>
      </c>
      <c r="F1599" s="9">
        <f>IFERROR(__xludf.DUMMYFUNCTION("""COMPUTED_VALUE"""),45622.50264394676)</f>
        <v>45622.50264</v>
      </c>
      <c r="G1599" s="7" t="str">
        <f>IFERROR(__xludf.DUMMYFUNCTION("""COMPUTED_VALUE"""),"BN JUAL BELI")</f>
        <v>BN JUAL BELI</v>
      </c>
      <c r="H1599" s="7">
        <f t="shared" si="1"/>
        <v>704</v>
      </c>
    </row>
    <row r="1600" ht="22.5" customHeight="1">
      <c r="B1600" s="7" t="str">
        <f>IFERROR(__xludf.DUMMYFUNCTION("""COMPUTED_VALUE"""),"K/51/251124/3")</f>
        <v>K/51/251124/3</v>
      </c>
      <c r="C1600" s="7" t="str">
        <f>IFERROR(__xludf.DUMMYFUNCTION("""COMPUTED_VALUE"""),"Nibel. M. 2744/ Sukarame Baru")</f>
        <v>Nibel. M. 2744/ Sukarame Baru</v>
      </c>
      <c r="D1600" s="7" t="str">
        <f>IFERROR(__xludf.DUMMYFUNCTION("""COMPUTED_VALUE"""),"Berry")</f>
        <v>Berry</v>
      </c>
      <c r="E1600" s="7" t="str">
        <f>IFERROR(__xludf.DUMMYFUNCTION("""COMPUTED_VALUE"""),"DISERAHKAN")</f>
        <v>DISERAHKAN</v>
      </c>
      <c r="F1600" s="9">
        <f>IFERROR(__xludf.DUMMYFUNCTION("""COMPUTED_VALUE"""),45622.50264394676)</f>
        <v>45622.50264</v>
      </c>
      <c r="G1600" s="7" t="str">
        <f>IFERROR(__xludf.DUMMYFUNCTION("""COMPUTED_VALUE"""),"Pemecahan")</f>
        <v>Pemecahan</v>
      </c>
      <c r="H1600" s="7">
        <f t="shared" si="1"/>
        <v>705</v>
      </c>
    </row>
    <row r="1601" ht="22.5" customHeight="1">
      <c r="B1601" s="7" t="str">
        <f>IFERROR(__xludf.DUMMYFUNCTION("""COMPUTED_VALUE"""),"K/59/251124/1")</f>
        <v>K/59/251124/1</v>
      </c>
      <c r="C1601" s="7" t="str">
        <f>IFERROR(__xludf.DUMMYFUNCTION("""COMPUTED_VALUE"""),"M.902/NEGERI OLOK GADING-SEKARANG;B.724/NEGERI OLOK GADING-DAHULU")</f>
        <v>M.902/NEGERI OLOK GADING-SEKARANG;B.724/NEGERI OLOK GADING-DAHULU</v>
      </c>
      <c r="D1601" s="7"/>
      <c r="E1601" s="7"/>
      <c r="F1601" s="9" t="str">
        <f>IFERROR(__xludf.DUMMYFUNCTION("""COMPUTED_VALUE"""),"")</f>
        <v/>
      </c>
      <c r="G1601" s="7" t="str">
        <f>IFERROR(__xludf.DUMMYFUNCTION("""COMPUTED_VALUE"""),"BN JUAL BELI")</f>
        <v>BN JUAL BELI</v>
      </c>
      <c r="H1601" s="7">
        <f t="shared" si="1"/>
        <v>705</v>
      </c>
    </row>
    <row r="1602" ht="22.5" customHeight="1">
      <c r="B1602" s="7" t="str">
        <f>IFERROR(__xludf.DUMMYFUNCTION("""COMPUTED_VALUE"""),"K/57/251124/3")</f>
        <v>K/57/251124/3</v>
      </c>
      <c r="C1602" s="7" t="str">
        <f>IFERROR(__xludf.DUMMYFUNCTION("""COMPUTED_VALUE"""),"M. 6814/TANJUNG SENANG")</f>
        <v>M. 6814/TANJUNG SENANG</v>
      </c>
      <c r="D1602" s="7" t="str">
        <f>IFERROR(__xludf.DUMMYFUNCTION("""COMPUTED_VALUE"""),"Berry")</f>
        <v>Berry</v>
      </c>
      <c r="E1602" s="7" t="str">
        <f>IFERROR(__xludf.DUMMYFUNCTION("""COMPUTED_VALUE"""),"PROSES")</f>
        <v>PROSES</v>
      </c>
      <c r="F1602" s="9" t="str">
        <f>IFERROR(__xludf.DUMMYFUNCTION("""COMPUTED_VALUE"""),"")</f>
        <v/>
      </c>
      <c r="G1602" s="7" t="str">
        <f>IFERROR(__xludf.DUMMYFUNCTION("""COMPUTED_VALUE"""),"BN JUAL BELI")</f>
        <v>BN JUAL BELI</v>
      </c>
      <c r="H1602" s="7">
        <f t="shared" si="1"/>
        <v>705</v>
      </c>
    </row>
    <row r="1603" ht="22.5" customHeight="1">
      <c r="B1603" s="7" t="str">
        <f>IFERROR(__xludf.DUMMYFUNCTION("""COMPUTED_VALUE"""),"L/60/251124/1")</f>
        <v>L/60/251124/1</v>
      </c>
      <c r="C1603" s="7" t="str">
        <f>IFERROR(__xludf.DUMMYFUNCTION("""COMPUTED_VALUE"""),"JAGABAYA ")</f>
        <v>JAGABAYA </v>
      </c>
      <c r="D1603" s="7"/>
      <c r="E1603" s="7"/>
      <c r="F1603" s="9" t="str">
        <f>IFERROR(__xludf.DUMMYFUNCTION("""COMPUTED_VALUE"""),"")</f>
        <v/>
      </c>
      <c r="G1603" s="7" t="str">
        <f>IFERROR(__xludf.DUMMYFUNCTION("""COMPUTED_VALUE"""),"SERTIPIKAT HILANG")</f>
        <v>SERTIPIKAT HILANG</v>
      </c>
      <c r="H1603" s="7">
        <f t="shared" si="1"/>
        <v>705</v>
      </c>
    </row>
    <row r="1604" ht="22.5" customHeight="1">
      <c r="B1604" s="7" t="str">
        <f>IFERROR(__xludf.DUMMYFUNCTION("""COMPUTED_VALUE"""),"K/61/251124/1")</f>
        <v>K/61/251124/1</v>
      </c>
      <c r="C1604" s="7" t="str">
        <f>IFERROR(__xludf.DUMMYFUNCTION("""COMPUTED_VALUE"""),"M. 2492/ Kemiling Permai")</f>
        <v>M. 2492/ Kemiling Permai</v>
      </c>
      <c r="D1604" s="7" t="str">
        <f>IFERROR(__xludf.DUMMYFUNCTION("""COMPUTED_VALUE"""),"Berry")</f>
        <v>Berry</v>
      </c>
      <c r="E1604" s="7" t="str">
        <f>IFERROR(__xludf.DUMMYFUNCTION("""COMPUTED_VALUE"""),"PROSES")</f>
        <v>PROSES</v>
      </c>
      <c r="F1604" s="9" t="str">
        <f>IFERROR(__xludf.DUMMYFUNCTION("""COMPUTED_VALUE"""),"")</f>
        <v/>
      </c>
      <c r="G1604" s="7" t="str">
        <f>IFERROR(__xludf.DUMMYFUNCTION("""COMPUTED_VALUE"""),"BN JUAL BELI")</f>
        <v>BN JUAL BELI</v>
      </c>
      <c r="H1604" s="7">
        <f t="shared" si="1"/>
        <v>705</v>
      </c>
    </row>
    <row r="1605" ht="22.5" customHeight="1">
      <c r="B1605" s="7" t="str">
        <f>IFERROR(__xludf.DUMMYFUNCTION("""COMPUTED_VALUE"""),"K/62/251124/2")</f>
        <v>K/62/251124/2</v>
      </c>
      <c r="C1605" s="7" t="str">
        <f>IFERROR(__xludf.DUMMYFUNCTION("""COMPUTED_VALUE"""),"M. 2758/ Gedong Air")</f>
        <v>M. 2758/ Gedong Air</v>
      </c>
      <c r="D1605" s="7" t="str">
        <f>IFERROR(__xludf.DUMMYFUNCTION("""COMPUTED_VALUE"""),"Berry")</f>
        <v>Berry</v>
      </c>
      <c r="E1605" s="7" t="str">
        <f>IFERROR(__xludf.DUMMYFUNCTION("""COMPUTED_VALUE"""),"DISERAHKAN")</f>
        <v>DISERAHKAN</v>
      </c>
      <c r="F1605" s="9">
        <f>IFERROR(__xludf.DUMMYFUNCTION("""COMPUTED_VALUE"""),45622.50264394676)</f>
        <v>45622.50264</v>
      </c>
      <c r="G1605" s="7" t="str">
        <f>IFERROR(__xludf.DUMMYFUNCTION("""COMPUTED_VALUE"""),"HAPUS BPHTB")</f>
        <v>HAPUS BPHTB</v>
      </c>
      <c r="H1605" s="7">
        <f t="shared" si="1"/>
        <v>706</v>
      </c>
    </row>
    <row r="1606" ht="22.5" customHeight="1">
      <c r="B1606" s="7" t="str">
        <f>IFERROR(__xludf.DUMMYFUNCTION("""COMPUTED_VALUE"""),"K/63/251124/1")</f>
        <v>K/63/251124/1</v>
      </c>
      <c r="C1606" s="7" t="str">
        <f>IFERROR(__xludf.DUMMYFUNCTION("""COMPUTED_VALUE"""),"M.1803/RAJABASA NYUNYAI-SEKARANG;M.11924/RAJABASA-DAHULU")</f>
        <v>M.1803/RAJABASA NYUNYAI-SEKARANG;M.11924/RAJABASA-DAHULU</v>
      </c>
      <c r="D1606" s="7"/>
      <c r="E1606" s="7"/>
      <c r="F1606" s="9" t="str">
        <f>IFERROR(__xludf.DUMMYFUNCTION("""COMPUTED_VALUE"""),"")</f>
        <v/>
      </c>
      <c r="G1606" s="7" t="str">
        <f>IFERROR(__xludf.DUMMYFUNCTION("""COMPUTED_VALUE"""),"BN JUAL BELI")</f>
        <v>BN JUAL BELI</v>
      </c>
      <c r="H1606" s="7">
        <f t="shared" si="1"/>
        <v>706</v>
      </c>
    </row>
    <row r="1607" ht="22.5" customHeight="1">
      <c r="B1607" s="7" t="str">
        <f>IFERROR(__xludf.DUMMYFUNCTION("""COMPUTED_VALUE"""),"K/58/251124/4")</f>
        <v>K/58/251124/4</v>
      </c>
      <c r="C1607" s="7" t="str">
        <f>IFERROR(__xludf.DUMMYFUNCTION("""COMPUTED_VALUE"""),"M.5493/WAY KANDIS")</f>
        <v>M.5493/WAY KANDIS</v>
      </c>
      <c r="D1607" s="7" t="str">
        <f>IFERROR(__xludf.DUMMYFUNCTION("""COMPUTED_VALUE"""),"Berry")</f>
        <v>Berry</v>
      </c>
      <c r="E1607" s="7" t="str">
        <f>IFERROR(__xludf.DUMMYFUNCTION("""COMPUTED_VALUE"""),"DISERAHKAN SU")</f>
        <v>DISERAHKAN SU</v>
      </c>
      <c r="F1607" s="9">
        <f>IFERROR(__xludf.DUMMYFUNCTION("""COMPUTED_VALUE"""),45622.50264394676)</f>
        <v>45622.50264</v>
      </c>
      <c r="G1607" s="7" t="str">
        <f>IFERROR(__xludf.DUMMYFUNCTION("""COMPUTED_VALUE"""),"BN JUAL BELI")</f>
        <v>BN JUAL BELI</v>
      </c>
      <c r="H1607" s="7">
        <f t="shared" si="1"/>
        <v>706</v>
      </c>
    </row>
    <row r="1608" ht="22.5" customHeight="1">
      <c r="B1608" s="7" t="str">
        <f>IFERROR(__xludf.DUMMYFUNCTION("""COMPUTED_VALUE"""),"K/64/251124/1")</f>
        <v>K/64/251124/1</v>
      </c>
      <c r="C1608" s="7" t="str">
        <f>IFERROR(__xludf.DUMMYFUNCTION("""COMPUTED_VALUE"""),"M. 3177/ KEMILING PERMAI")</f>
        <v>M. 3177/ KEMILING PERMAI</v>
      </c>
      <c r="D1608" s="7" t="str">
        <f>IFERROR(__xludf.DUMMYFUNCTION("""COMPUTED_VALUE"""),"Berry")</f>
        <v>Berry</v>
      </c>
      <c r="E1608" s="7" t="str">
        <f>IFERROR(__xludf.DUMMYFUNCTION("""COMPUTED_VALUE"""),"PROSES")</f>
        <v>PROSES</v>
      </c>
      <c r="F1608" s="9" t="str">
        <f>IFERROR(__xludf.DUMMYFUNCTION("""COMPUTED_VALUE"""),"")</f>
        <v/>
      </c>
      <c r="G1608" s="7" t="str">
        <f>IFERROR(__xludf.DUMMYFUNCTION("""COMPUTED_VALUE"""),"PLOTTING")</f>
        <v>PLOTTING</v>
      </c>
      <c r="H1608" s="7">
        <f t="shared" si="1"/>
        <v>706</v>
      </c>
    </row>
    <row r="1609" ht="22.5" customHeight="1">
      <c r="B1609" s="7" t="str">
        <f>IFERROR(__xludf.DUMMYFUNCTION("""COMPUTED_VALUE"""),"K/65/251124/1")</f>
        <v>K/65/251124/1</v>
      </c>
      <c r="C1609" s="7" t="str">
        <f>IFERROR(__xludf.DUMMYFUNCTION("""COMPUTED_VALUE"""),"M.111/SUMBERREJO SEJAHTERA")</f>
        <v>M.111/SUMBERREJO SEJAHTERA</v>
      </c>
      <c r="D1609" s="7" t="str">
        <f>IFERROR(__xludf.DUMMYFUNCTION("""COMPUTED_VALUE"""),"Bayu")</f>
        <v>Bayu</v>
      </c>
      <c r="E1609" s="7" t="str">
        <f>IFERROR(__xludf.DUMMYFUNCTION("""COMPUTED_VALUE"""),"DISERAHKAN")</f>
        <v>DISERAHKAN</v>
      </c>
      <c r="F1609" s="9">
        <f>IFERROR(__xludf.DUMMYFUNCTION("""COMPUTED_VALUE"""),45622.39781190972)</f>
        <v>45622.39781</v>
      </c>
      <c r="G1609" s="7" t="str">
        <f>IFERROR(__xludf.DUMMYFUNCTION("""COMPUTED_VALUE"""),"ROYA")</f>
        <v>ROYA</v>
      </c>
      <c r="H1609" s="7">
        <f t="shared" si="1"/>
        <v>707</v>
      </c>
    </row>
    <row r="1610" ht="22.5" customHeight="1">
      <c r="B1610" s="7" t="str">
        <f>IFERROR(__xludf.DUMMYFUNCTION("""COMPUTED_VALUE"""),"K/52/251124/4")</f>
        <v>K/52/251124/4</v>
      </c>
      <c r="C1610" s="7" t="str">
        <f>IFERROR(__xludf.DUMMYFUNCTION("""COMPUTED_VALUE"""),"B. 788/ Keteguhan")</f>
        <v>B. 788/ Keteguhan</v>
      </c>
      <c r="D1610" s="7" t="str">
        <f>IFERROR(__xludf.DUMMYFUNCTION("""COMPUTED_VALUE"""),"David")</f>
        <v>David</v>
      </c>
      <c r="E1610" s="7" t="str">
        <f>IFERROR(__xludf.DUMMYFUNCTION("""COMPUTED_VALUE"""),"DISERAHKAN")</f>
        <v>DISERAHKAN</v>
      </c>
      <c r="F1610" s="9">
        <f>IFERROR(__xludf.DUMMYFUNCTION("""COMPUTED_VALUE"""),45624.587383715276)</f>
        <v>45624.58738</v>
      </c>
      <c r="G1610" s="7" t="str">
        <f>IFERROR(__xludf.DUMMYFUNCTION("""COMPUTED_VALUE"""),"Pemisahan")</f>
        <v>Pemisahan</v>
      </c>
      <c r="H1610" s="7">
        <f t="shared" si="1"/>
        <v>708</v>
      </c>
    </row>
    <row r="1611" ht="22.5" customHeight="1">
      <c r="B1611" s="7" t="str">
        <f>IFERROR(__xludf.DUMMYFUNCTION("""COMPUTED_VALUE"""),"K/1/261124/1")</f>
        <v>K/1/261124/1</v>
      </c>
      <c r="C1611" s="7" t="str">
        <f>IFERROR(__xludf.DUMMYFUNCTION("""COMPUTED_VALUE"""),"M. 3199/ Labuhan Dalam")</f>
        <v>M. 3199/ Labuhan Dalam</v>
      </c>
      <c r="D1611" s="7" t="str">
        <f>IFERROR(__xludf.DUMMYFUNCTION("""COMPUTED_VALUE"""),"David")</f>
        <v>David</v>
      </c>
      <c r="E1611" s="7" t="str">
        <f>IFERROR(__xludf.DUMMYFUNCTION("""COMPUTED_VALUE"""),"PROSES")</f>
        <v>PROSES</v>
      </c>
      <c r="F1611" s="9" t="str">
        <f>IFERROR(__xludf.DUMMYFUNCTION("""COMPUTED_VALUE"""),"")</f>
        <v/>
      </c>
      <c r="G1611" s="7" t="str">
        <f>IFERROR(__xludf.DUMMYFUNCTION("""COMPUTED_VALUE"""),"BN Jual Beli")</f>
        <v>BN Jual Beli</v>
      </c>
      <c r="H1611" s="7">
        <f t="shared" si="1"/>
        <v>708</v>
      </c>
    </row>
    <row r="1612" ht="22.5" customHeight="1">
      <c r="B1612" s="7" t="str">
        <f>IFERROR(__xludf.DUMMYFUNCTION("""COMPUTED_VALUE"""),"K/2/261124/1")</f>
        <v>K/2/261124/1</v>
      </c>
      <c r="C1612" s="7" t="str">
        <f>IFERROR(__xludf.DUMMYFUNCTION("""COMPUTED_VALUE"""),"M.1350/TANJUNG SENENG")</f>
        <v>M.1350/TANJUNG SENENG</v>
      </c>
      <c r="D1612" s="7"/>
      <c r="E1612" s="7"/>
      <c r="F1612" s="9" t="str">
        <f>IFERROR(__xludf.DUMMYFUNCTION("""COMPUTED_VALUE"""),"")</f>
        <v/>
      </c>
      <c r="G1612" s="7" t="str">
        <f>IFERROR(__xludf.DUMMYFUNCTION("""COMPUTED_VALUE"""),"BN JUAL BELI")</f>
        <v>BN JUAL BELI</v>
      </c>
      <c r="H1612" s="7">
        <f t="shared" si="1"/>
        <v>708</v>
      </c>
    </row>
    <row r="1613" ht="22.5" customHeight="1">
      <c r="B1613" s="7" t="str">
        <f>IFERROR(__xludf.DUMMYFUNCTION("""COMPUTED_VALUE"""),"K/3/261124/1")</f>
        <v>K/3/261124/1</v>
      </c>
      <c r="C1613" s="7" t="str">
        <f>IFERROR(__xludf.DUMMYFUNCTION("""COMPUTED_VALUE"""),"M. 16745/ Sukarame; SHT 685/2010")</f>
        <v>M. 16745/ Sukarame; SHT 685/2010</v>
      </c>
      <c r="D1613" s="7"/>
      <c r="E1613" s="7"/>
      <c r="F1613" s="9" t="str">
        <f>IFERROR(__xludf.DUMMYFUNCTION("""COMPUTED_VALUE"""),"")</f>
        <v/>
      </c>
      <c r="G1613" s="7" t="str">
        <f>IFERROR(__xludf.DUMMYFUNCTION("""COMPUTED_VALUE"""),"Roya")</f>
        <v>Roya</v>
      </c>
      <c r="H1613" s="7">
        <f t="shared" si="1"/>
        <v>708</v>
      </c>
    </row>
    <row r="1614" ht="22.5" customHeight="1">
      <c r="B1614" s="7" t="str">
        <f>IFERROR(__xludf.DUMMYFUNCTION("""COMPUTED_VALUE"""),"L/4/261124/1")</f>
        <v>L/4/261124/1</v>
      </c>
      <c r="C1614" s="7" t="str">
        <f>IFERROR(__xludf.DUMMYFUNCTION("""COMPUTED_VALUE"""),"hm 11164/labuhan ratu")</f>
        <v>hm 11164/labuhan ratu</v>
      </c>
      <c r="D1614" s="7"/>
      <c r="E1614" s="7"/>
      <c r="F1614" s="9" t="str">
        <f>IFERROR(__xludf.DUMMYFUNCTION("""COMPUTED_VALUE"""),"")</f>
        <v/>
      </c>
      <c r="G1614" s="7" t="str">
        <f>IFERROR(__xludf.DUMMYFUNCTION("""COMPUTED_VALUE"""),"gandes")</f>
        <v>gandes</v>
      </c>
      <c r="H1614" s="7">
        <f t="shared" si="1"/>
        <v>708</v>
      </c>
    </row>
    <row r="1615" ht="22.5" customHeight="1">
      <c r="B1615" s="7" t="str">
        <f>IFERROR(__xludf.DUMMYFUNCTION("""COMPUTED_VALUE"""),"K/5/261124/1")</f>
        <v>K/5/261124/1</v>
      </c>
      <c r="C1615" s="7" t="str">
        <f>IFERROR(__xludf.DUMMYFUNCTION("""COMPUTED_VALUE"""),"M.1001/LANGKAPURA")</f>
        <v>M.1001/LANGKAPURA</v>
      </c>
      <c r="D1615" s="7" t="str">
        <f>IFERROR(__xludf.DUMMYFUNCTION("""COMPUTED_VALUE"""),"David")</f>
        <v>David</v>
      </c>
      <c r="E1615" s="7" t="str">
        <f>IFERROR(__xludf.DUMMYFUNCTION("""COMPUTED_VALUE"""),"PROSES")</f>
        <v>PROSES</v>
      </c>
      <c r="F1615" s="9" t="str">
        <f>IFERROR(__xludf.DUMMYFUNCTION("""COMPUTED_VALUE"""),"")</f>
        <v/>
      </c>
      <c r="G1615" s="7" t="str">
        <f>IFERROR(__xludf.DUMMYFUNCTION("""COMPUTED_VALUE"""),"GANDES")</f>
        <v>GANDES</v>
      </c>
      <c r="H1615" s="7">
        <f t="shared" si="1"/>
        <v>708</v>
      </c>
    </row>
    <row r="1616" ht="22.5" customHeight="1">
      <c r="B1616" s="7" t="str">
        <f>IFERROR(__xludf.DUMMYFUNCTION("""COMPUTED_VALUE"""),"K/6/261124/2")</f>
        <v>K/6/261124/2</v>
      </c>
      <c r="C1616" s="7" t="str">
        <f>IFERROR(__xludf.DUMMYFUNCTION("""COMPUTED_VALUE"""),"M.1114/LANGKAPURA")</f>
        <v>M.1114/LANGKAPURA</v>
      </c>
      <c r="D1616" s="7"/>
      <c r="E1616" s="7"/>
      <c r="F1616" s="9" t="str">
        <f>IFERROR(__xludf.DUMMYFUNCTION("""COMPUTED_VALUE"""),"")</f>
        <v/>
      </c>
      <c r="G1616" s="7" t="str">
        <f>IFERROR(__xludf.DUMMYFUNCTION("""COMPUTED_VALUE"""),"GANDES")</f>
        <v>GANDES</v>
      </c>
      <c r="H1616" s="7">
        <f t="shared" si="1"/>
        <v>708</v>
      </c>
    </row>
    <row r="1617" ht="22.5" customHeight="1">
      <c r="B1617" s="7" t="str">
        <f>IFERROR(__xludf.DUMMYFUNCTION("""COMPUTED_VALUE"""),"L/7/261124/1")</f>
        <v>L/7/261124/1</v>
      </c>
      <c r="C1617" s="7" t="str">
        <f>IFERROR(__xludf.DUMMYFUNCTION("""COMPUTED_VALUE"""),"HM 1387/SUKABUMI INDAH")</f>
        <v>HM 1387/SUKABUMI INDAH</v>
      </c>
      <c r="D1617" s="7"/>
      <c r="E1617" s="7"/>
      <c r="F1617" s="9" t="str">
        <f>IFERROR(__xludf.DUMMYFUNCTION("""COMPUTED_VALUE"""),"")</f>
        <v/>
      </c>
      <c r="G1617" s="7" t="str">
        <f>IFERROR(__xludf.DUMMYFUNCTION("""COMPUTED_VALUE"""),"ROYA")</f>
        <v>ROYA</v>
      </c>
      <c r="H1617" s="7">
        <f t="shared" si="1"/>
        <v>708</v>
      </c>
    </row>
    <row r="1618" ht="22.5" customHeight="1">
      <c r="B1618" s="7" t="str">
        <f>IFERROR(__xludf.DUMMYFUNCTION("""COMPUTED_VALUE"""),"K/8/261124/1")</f>
        <v>K/8/261124/1</v>
      </c>
      <c r="C1618" s="7" t="str">
        <f>IFERROR(__xludf.DUMMYFUNCTION("""COMPUTED_VALUE"""),"M. 1500/ Susunan Baru")</f>
        <v>M. 1500/ Susunan Baru</v>
      </c>
      <c r="D1618" s="7" t="str">
        <f>IFERROR(__xludf.DUMMYFUNCTION("""COMPUTED_VALUE"""),"David")</f>
        <v>David</v>
      </c>
      <c r="E1618" s="7" t="str">
        <f>IFERROR(__xludf.DUMMYFUNCTION("""COMPUTED_VALUE"""),"PROSES")</f>
        <v>PROSES</v>
      </c>
      <c r="F1618" s="9" t="str">
        <f>IFERROR(__xludf.DUMMYFUNCTION("""COMPUTED_VALUE"""),"")</f>
        <v/>
      </c>
      <c r="G1618" s="7" t="str">
        <f>IFERROR(__xludf.DUMMYFUNCTION("""COMPUTED_VALUE"""),"SKPT LELANG")</f>
        <v>SKPT LELANG</v>
      </c>
      <c r="H1618" s="7">
        <f t="shared" si="1"/>
        <v>708</v>
      </c>
    </row>
    <row r="1619" ht="22.5" customHeight="1">
      <c r="B1619" s="7" t="str">
        <f>IFERROR(__xludf.DUMMYFUNCTION("""COMPUTED_VALUE"""),"K/9/261124/2")</f>
        <v>K/9/261124/2</v>
      </c>
      <c r="C1619" s="7" t="str">
        <f>IFERROR(__xludf.DUMMYFUNCTION("""COMPUTED_VALUE"""),"M. 1501/ Susunan Baru")</f>
        <v>M. 1501/ Susunan Baru</v>
      </c>
      <c r="D1619" s="7"/>
      <c r="E1619" s="7"/>
      <c r="F1619" s="9" t="str">
        <f>IFERROR(__xludf.DUMMYFUNCTION("""COMPUTED_VALUE"""),"")</f>
        <v/>
      </c>
      <c r="G1619" s="7" t="str">
        <f>IFERROR(__xludf.DUMMYFUNCTION("""COMPUTED_VALUE"""),"SKPT LELANG")</f>
        <v>SKPT LELANG</v>
      </c>
      <c r="H1619" s="7">
        <f t="shared" si="1"/>
        <v>708</v>
      </c>
    </row>
    <row r="1620" ht="22.5" customHeight="1">
      <c r="B1620" s="7" t="str">
        <f>IFERROR(__xludf.DUMMYFUNCTION("""COMPUTED_VALUE"""),"L/13/261124/1")</f>
        <v>L/13/261124/1</v>
      </c>
      <c r="C1620" s="7" t="str">
        <f>IFERROR(__xludf.DUMMYFUNCTION("""COMPUTED_VALUE"""),"HGB 555/BAKUNG")</f>
        <v>HGB 555/BAKUNG</v>
      </c>
      <c r="D1620" s="7" t="str">
        <f>IFERROR(__xludf.DUMMYFUNCTION("""COMPUTED_VALUE"""),"David")</f>
        <v>David</v>
      </c>
      <c r="E1620" s="7" t="str">
        <f>IFERROR(__xludf.DUMMYFUNCTION("""COMPUTED_VALUE"""),"DISERAHKAN")</f>
        <v>DISERAHKAN</v>
      </c>
      <c r="F1620" s="9">
        <f>IFERROR(__xludf.DUMMYFUNCTION("""COMPUTED_VALUE"""),45628.407027152774)</f>
        <v>45628.40703</v>
      </c>
      <c r="G1620" s="7" t="str">
        <f>IFERROR(__xludf.DUMMYFUNCTION("""COMPUTED_VALUE"""),"PH")</f>
        <v>PH</v>
      </c>
      <c r="H1620" s="7">
        <f t="shared" si="1"/>
        <v>709</v>
      </c>
    </row>
    <row r="1621" ht="22.5" customHeight="1">
      <c r="B1621" s="7" t="str">
        <f>IFERROR(__xludf.DUMMYFUNCTION("""COMPUTED_VALUE"""),"K/10/261124/3")</f>
        <v>K/10/261124/3</v>
      </c>
      <c r="C1621" s="7" t="str">
        <f>IFERROR(__xludf.DUMMYFUNCTION("""COMPUTED_VALUE"""),"M. 1499/ Susunan Baru")</f>
        <v>M. 1499/ Susunan Baru</v>
      </c>
      <c r="D1621" s="7"/>
      <c r="E1621" s="7"/>
      <c r="F1621" s="9" t="str">
        <f>IFERROR(__xludf.DUMMYFUNCTION("""COMPUTED_VALUE"""),"")</f>
        <v/>
      </c>
      <c r="G1621" s="7" t="str">
        <f>IFERROR(__xludf.DUMMYFUNCTION("""COMPUTED_VALUE"""),"SKPT LELANG")</f>
        <v>SKPT LELANG</v>
      </c>
      <c r="H1621" s="7">
        <f t="shared" si="1"/>
        <v>709</v>
      </c>
    </row>
    <row r="1622" ht="22.5" customHeight="1">
      <c r="B1622" s="7" t="str">
        <f>IFERROR(__xludf.DUMMYFUNCTION("""COMPUTED_VALUE"""),"K/14/261124/1")</f>
        <v>K/14/261124/1</v>
      </c>
      <c r="C1622" s="7" t="str">
        <f>IFERROR(__xludf.DUMMYFUNCTION("""COMPUTED_VALUE"""),"B.4393/SUKARAME-SEKARANG;B.4393/SUKARAME I-DAHULU")</f>
        <v>B.4393/SUKARAME-SEKARANG;B.4393/SUKARAME I-DAHULU</v>
      </c>
      <c r="D1622" s="7"/>
      <c r="E1622" s="7"/>
      <c r="F1622" s="9" t="str">
        <f>IFERROR(__xludf.DUMMYFUNCTION("""COMPUTED_VALUE"""),"")</f>
        <v/>
      </c>
      <c r="G1622" s="7" t="str">
        <f>IFERROR(__xludf.DUMMYFUNCTION("""COMPUTED_VALUE"""),"BN JUAL BELI")</f>
        <v>BN JUAL BELI</v>
      </c>
      <c r="H1622" s="7">
        <f t="shared" si="1"/>
        <v>709</v>
      </c>
    </row>
    <row r="1623" ht="22.5" customHeight="1">
      <c r="B1623" s="7" t="str">
        <f>IFERROR(__xludf.DUMMYFUNCTION("""COMPUTED_VALUE"""),"K/11/261124/4")</f>
        <v>K/11/261124/4</v>
      </c>
      <c r="C1623" s="7" t="str">
        <f>IFERROR(__xludf.DUMMYFUNCTION("""COMPUTED_VALUE"""),"M. 1549/ Susunan Baru")</f>
        <v>M. 1549/ Susunan Baru</v>
      </c>
      <c r="D1623" s="7"/>
      <c r="E1623" s="7"/>
      <c r="F1623" s="9" t="str">
        <f>IFERROR(__xludf.DUMMYFUNCTION("""COMPUTED_VALUE"""),"")</f>
        <v/>
      </c>
      <c r="G1623" s="7" t="str">
        <f>IFERROR(__xludf.DUMMYFUNCTION("""COMPUTED_VALUE"""),"SKPT LELANG")</f>
        <v>SKPT LELANG</v>
      </c>
      <c r="H1623" s="7">
        <f t="shared" si="1"/>
        <v>709</v>
      </c>
    </row>
    <row r="1624" ht="22.5" customHeight="1">
      <c r="B1624" s="7" t="str">
        <f>IFERROR(__xludf.DUMMYFUNCTION("""COMPUTED_VALUE"""),"K/12/261124/5")</f>
        <v>K/12/261124/5</v>
      </c>
      <c r="C1624" s="7" t="str">
        <f>IFERROR(__xludf.DUMMYFUNCTION("""COMPUTED_VALUE"""),"M. 1550/ SUSUNAN BARU")</f>
        <v>M. 1550/ SUSUNAN BARU</v>
      </c>
      <c r="D1624" s="7"/>
      <c r="E1624" s="7"/>
      <c r="F1624" s="9" t="str">
        <f>IFERROR(__xludf.DUMMYFUNCTION("""COMPUTED_VALUE"""),"")</f>
        <v/>
      </c>
      <c r="G1624" s="7" t="str">
        <f>IFERROR(__xludf.DUMMYFUNCTION("""COMPUTED_VALUE"""),"SKPT LELANG")</f>
        <v>SKPT LELANG</v>
      </c>
      <c r="H1624" s="7">
        <f t="shared" si="1"/>
        <v>709</v>
      </c>
    </row>
    <row r="1625" ht="22.5" customHeight="1">
      <c r="B1625" s="7" t="str">
        <f>IFERROR(__xludf.DUMMYFUNCTION("""COMPUTED_VALUE"""),"K/15/261124/1")</f>
        <v>K/15/261124/1</v>
      </c>
      <c r="C1625" s="7" t="str">
        <f>IFERROR(__xludf.DUMMYFUNCTION("""COMPUTED_VALUE"""),"M. 2212/ Susunan Baru")</f>
        <v>M. 2212/ Susunan Baru</v>
      </c>
      <c r="D1625" s="7" t="str">
        <f>IFERROR(__xludf.DUMMYFUNCTION("""COMPUTED_VALUE"""),"David")</f>
        <v>David</v>
      </c>
      <c r="E1625" s="7" t="str">
        <f>IFERROR(__xludf.DUMMYFUNCTION("""COMPUTED_VALUE"""),"DISERAHKAN")</f>
        <v>DISERAHKAN</v>
      </c>
      <c r="F1625" s="9">
        <f>IFERROR(__xludf.DUMMYFUNCTION("""COMPUTED_VALUE"""),45628.409315462966)</f>
        <v>45628.40932</v>
      </c>
      <c r="G1625" s="7" t="str">
        <f>IFERROR(__xludf.DUMMYFUNCTION("""COMPUTED_VALUE"""),"SKPT LELANG")</f>
        <v>SKPT LELANG</v>
      </c>
      <c r="H1625" s="7">
        <f t="shared" si="1"/>
        <v>710</v>
      </c>
    </row>
    <row r="1626" ht="22.5" customHeight="1">
      <c r="B1626" s="7" t="str">
        <f>IFERROR(__xludf.DUMMYFUNCTION("""COMPUTED_VALUE"""),"K/16/261124/2")</f>
        <v>K/16/261124/2</v>
      </c>
      <c r="C1626" s="7" t="str">
        <f>IFERROR(__xludf.DUMMYFUNCTION("""COMPUTED_VALUE"""),"M. 131/ Bilabong Jaya")</f>
        <v>M. 131/ Bilabong Jaya</v>
      </c>
      <c r="D1626" s="7" t="str">
        <f>IFERROR(__xludf.DUMMYFUNCTION("""COMPUTED_VALUE"""),"David")</f>
        <v>David</v>
      </c>
      <c r="E1626" s="7" t="str">
        <f>IFERROR(__xludf.DUMMYFUNCTION("""COMPUTED_VALUE"""),"DISERAHKAN")</f>
        <v>DISERAHKAN</v>
      </c>
      <c r="F1626" s="9">
        <f>IFERROR(__xludf.DUMMYFUNCTION("""COMPUTED_VALUE"""),45624.58874828704)</f>
        <v>45624.58875</v>
      </c>
      <c r="G1626" s="7" t="str">
        <f>IFERROR(__xludf.DUMMYFUNCTION("""COMPUTED_VALUE"""),"SKPT LELANG")</f>
        <v>SKPT LELANG</v>
      </c>
      <c r="H1626" s="7">
        <f t="shared" si="1"/>
        <v>711</v>
      </c>
    </row>
    <row r="1627" ht="22.5" customHeight="1">
      <c r="B1627" s="7" t="str">
        <f>IFERROR(__xludf.DUMMYFUNCTION("""COMPUTED_VALUE"""),"K/17/261124/1")</f>
        <v>K/17/261124/1</v>
      </c>
      <c r="C1627" s="7" t="str">
        <f>IFERROR(__xludf.DUMMYFUNCTION("""COMPUTED_VALUE"""),"M.646/PEMATANG WANGI")</f>
        <v>M.646/PEMATANG WANGI</v>
      </c>
      <c r="D1627" s="7" t="str">
        <f>IFERROR(__xludf.DUMMYFUNCTION("""COMPUTED_VALUE"""),"David")</f>
        <v>David</v>
      </c>
      <c r="E1627" s="7" t="str">
        <f>IFERROR(__xludf.DUMMYFUNCTION("""COMPUTED_VALUE"""),"DISERAHKAN")</f>
        <v>DISERAHKAN</v>
      </c>
      <c r="F1627" s="9">
        <f>IFERROR(__xludf.DUMMYFUNCTION("""COMPUTED_VALUE"""),45649.443931875)</f>
        <v>45649.44393</v>
      </c>
      <c r="G1627" s="7" t="str">
        <f>IFERROR(__xludf.DUMMYFUNCTION("""COMPUTED_VALUE"""),"BN JUAL BELI")</f>
        <v>BN JUAL BELI</v>
      </c>
      <c r="H1627" s="7">
        <f t="shared" si="1"/>
        <v>712</v>
      </c>
    </row>
    <row r="1628" ht="22.5" customHeight="1">
      <c r="B1628" s="7" t="str">
        <f>IFERROR(__xludf.DUMMYFUNCTION("""COMPUTED_VALUE"""),"K/18/261124/1")</f>
        <v>K/18/261124/1</v>
      </c>
      <c r="C1628" s="7" t="str">
        <f>IFERROR(__xludf.DUMMYFUNCTION("""COMPUTED_VALUE"""),"M. 6040/ Way Kandis")</f>
        <v>M. 6040/ Way Kandis</v>
      </c>
      <c r="D1628" s="7"/>
      <c r="E1628" s="7"/>
      <c r="F1628" s="9" t="str">
        <f>IFERROR(__xludf.DUMMYFUNCTION("""COMPUTED_VALUE"""),"")</f>
        <v/>
      </c>
      <c r="G1628" s="7" t="str">
        <f>IFERROR(__xludf.DUMMYFUNCTION("""COMPUTED_VALUE"""),"BN Jual Beli")</f>
        <v>BN Jual Beli</v>
      </c>
      <c r="H1628" s="7">
        <f t="shared" si="1"/>
        <v>712</v>
      </c>
    </row>
    <row r="1629" ht="22.5" customHeight="1">
      <c r="B1629" s="7" t="str">
        <f>IFERROR(__xludf.DUMMYFUNCTION("""COMPUTED_VALUE"""),"K/19/261124/2")</f>
        <v>K/19/261124/2</v>
      </c>
      <c r="C1629" s="7" t="str">
        <f>IFERROR(__xludf.DUMMYFUNCTION("""COMPUTED_VALUE"""),"M. 6403/ Gunung Sulah")</f>
        <v>M. 6403/ Gunung Sulah</v>
      </c>
      <c r="D1629" s="7"/>
      <c r="E1629" s="7"/>
      <c r="F1629" s="9" t="str">
        <f>IFERROR(__xludf.DUMMYFUNCTION("""COMPUTED_VALUE"""),"")</f>
        <v/>
      </c>
      <c r="G1629" s="7" t="str">
        <f>IFERROR(__xludf.DUMMYFUNCTION("""COMPUTED_VALUE"""),"BN PHB")</f>
        <v>BN PHB</v>
      </c>
      <c r="H1629" s="7">
        <f t="shared" si="1"/>
        <v>712</v>
      </c>
    </row>
    <row r="1630" ht="22.5" customHeight="1">
      <c r="B1630" s="7" t="str">
        <f>IFERROR(__xludf.DUMMYFUNCTION("""COMPUTED_VALUE"""),"K/20/261124/1")</f>
        <v>K/20/261124/1</v>
      </c>
      <c r="C1630" s="7" t="str">
        <f>IFERROR(__xludf.DUMMYFUNCTION("""COMPUTED_VALUE"""),"NIBEL B.3948/CAMPANG JAYA")</f>
        <v>NIBEL B.3948/CAMPANG JAYA</v>
      </c>
      <c r="D1630" s="7"/>
      <c r="E1630" s="7"/>
      <c r="F1630" s="9" t="str">
        <f>IFERROR(__xludf.DUMMYFUNCTION("""COMPUTED_VALUE"""),"")</f>
        <v/>
      </c>
      <c r="G1630" s="7" t="str">
        <f>IFERROR(__xludf.DUMMYFUNCTION("""COMPUTED_VALUE"""),"BN LELANG")</f>
        <v>BN LELANG</v>
      </c>
      <c r="H1630" s="7">
        <f t="shared" si="1"/>
        <v>712</v>
      </c>
    </row>
    <row r="1631" ht="22.5" customHeight="1">
      <c r="B1631" s="7" t="str">
        <f>IFERROR(__xludf.DUMMYFUNCTION("""COMPUTED_VALUE"""),"K/21/261124/1")</f>
        <v>K/21/261124/1</v>
      </c>
      <c r="C1631" s="7" t="str">
        <f>IFERROR(__xludf.DUMMYFUNCTION("""COMPUTED_VALUE"""),"Nibel. B. 2587/ Jagabaya II")</f>
        <v>Nibel. B. 2587/ Jagabaya II</v>
      </c>
      <c r="D1631" s="7" t="str">
        <f>IFERROR(__xludf.DUMMYFUNCTION("""COMPUTED_VALUE"""),"David")</f>
        <v>David</v>
      </c>
      <c r="E1631" s="7" t="str">
        <f>IFERROR(__xludf.DUMMYFUNCTION("""COMPUTED_VALUE"""),"DISERAHKAN")</f>
        <v>DISERAHKAN</v>
      </c>
      <c r="F1631" s="9">
        <f>IFERROR(__xludf.DUMMYFUNCTION("""COMPUTED_VALUE"""),45628.411660439815)</f>
        <v>45628.41166</v>
      </c>
      <c r="G1631" s="7" t="str">
        <f>IFERROR(__xludf.DUMMYFUNCTION("""COMPUTED_VALUE"""),"Perubahan Hak")</f>
        <v>Perubahan Hak</v>
      </c>
      <c r="H1631" s="7">
        <f t="shared" si="1"/>
        <v>713</v>
      </c>
    </row>
    <row r="1632" ht="22.5" customHeight="1">
      <c r="B1632" s="7" t="str">
        <f>IFERROR(__xludf.DUMMYFUNCTION("""COMPUTED_VALUE"""),"K/22/261124/1")</f>
        <v>K/22/261124/1</v>
      </c>
      <c r="C1632" s="7" t="str">
        <f>IFERROR(__xludf.DUMMYFUNCTION("""COMPUTED_VALUE"""),"M. 1274/ Pinang Jaya")</f>
        <v>M. 1274/ Pinang Jaya</v>
      </c>
      <c r="D1632" s="7" t="str">
        <f>IFERROR(__xludf.DUMMYFUNCTION("""COMPUTED_VALUE"""),"David")</f>
        <v>David</v>
      </c>
      <c r="E1632" s="7" t="str">
        <f>IFERROR(__xludf.DUMMYFUNCTION("""COMPUTED_VALUE"""),"DISERAHKAN")</f>
        <v>DISERAHKAN</v>
      </c>
      <c r="F1632" s="9">
        <f>IFERROR(__xludf.DUMMYFUNCTION("""COMPUTED_VALUE"""),45624.589510578706)</f>
        <v>45624.58951</v>
      </c>
      <c r="G1632" s="7" t="str">
        <f>IFERROR(__xludf.DUMMYFUNCTION("""COMPUTED_VALUE"""),"HAPUS BPHTB")</f>
        <v>HAPUS BPHTB</v>
      </c>
      <c r="H1632" s="7">
        <f t="shared" si="1"/>
        <v>714</v>
      </c>
    </row>
    <row r="1633" ht="22.5" customHeight="1">
      <c r="B1633" s="7" t="str">
        <f>IFERROR(__xludf.DUMMYFUNCTION("""COMPUTED_VALUE"""),"K/23/261124/1")</f>
        <v>K/23/261124/1</v>
      </c>
      <c r="C1633" s="7" t="str">
        <f>IFERROR(__xludf.DUMMYFUNCTION("""COMPUTED_VALUE"""),"M. 62/ Gunung Sulah")</f>
        <v>M. 62/ Gunung Sulah</v>
      </c>
      <c r="D1633" s="7"/>
      <c r="E1633" s="7"/>
      <c r="F1633" s="9" t="str">
        <f>IFERROR(__xludf.DUMMYFUNCTION("""COMPUTED_VALUE"""),"")</f>
        <v/>
      </c>
      <c r="G1633" s="7" t="str">
        <f>IFERROR(__xludf.DUMMYFUNCTION("""COMPUTED_VALUE"""),"BN JUAL BELI")</f>
        <v>BN JUAL BELI</v>
      </c>
      <c r="H1633" s="7">
        <f t="shared" si="1"/>
        <v>714</v>
      </c>
    </row>
    <row r="1634" ht="22.5" customHeight="1">
      <c r="B1634" s="7" t="str">
        <f>IFERROR(__xludf.DUMMYFUNCTION("""COMPUTED_VALUE"""),"K/24/261124/2")</f>
        <v>K/24/261124/2</v>
      </c>
      <c r="C1634" s="7" t="str">
        <f>IFERROR(__xludf.DUMMYFUNCTION("""COMPUTED_VALUE"""),"M. 995/ Korpri Jaya")</f>
        <v>M. 995/ Korpri Jaya</v>
      </c>
      <c r="D1634" s="7"/>
      <c r="E1634" s="7"/>
      <c r="F1634" s="9" t="str">
        <f>IFERROR(__xludf.DUMMYFUNCTION("""COMPUTED_VALUE"""),"")</f>
        <v/>
      </c>
      <c r="G1634" s="7" t="str">
        <f>IFERROR(__xludf.DUMMYFUNCTION("""COMPUTED_VALUE"""),"BN JUAL BELI")</f>
        <v>BN JUAL BELI</v>
      </c>
      <c r="H1634" s="7">
        <f t="shared" si="1"/>
        <v>714</v>
      </c>
    </row>
    <row r="1635" ht="22.5" customHeight="1">
      <c r="B1635" s="7" t="str">
        <f>IFERROR(__xludf.DUMMYFUNCTION("""COMPUTED_VALUE"""),"K/26/261124/1")</f>
        <v>K/26/261124/1</v>
      </c>
      <c r="C1635" s="7" t="str">
        <f>IFERROR(__xludf.DUMMYFUNCTION("""COMPUTED_VALUE"""),"NIBEL M.5020/SUKABUMI")</f>
        <v>NIBEL M.5020/SUKABUMI</v>
      </c>
      <c r="D1635" s="7"/>
      <c r="E1635" s="7"/>
      <c r="F1635" s="9" t="str">
        <f>IFERROR(__xludf.DUMMYFUNCTION("""COMPUTED_VALUE"""),"")</f>
        <v/>
      </c>
      <c r="G1635" s="7" t="str">
        <f>IFERROR(__xludf.DUMMYFUNCTION("""COMPUTED_VALUE"""),"BN WARIS")</f>
        <v>BN WARIS</v>
      </c>
      <c r="H1635" s="7">
        <f t="shared" si="1"/>
        <v>714</v>
      </c>
    </row>
    <row r="1636" ht="22.5" customHeight="1">
      <c r="B1636" s="7" t="str">
        <f>IFERROR(__xludf.DUMMYFUNCTION("""COMPUTED_VALUE"""),"K/29/261124/1")</f>
        <v>K/29/261124/1</v>
      </c>
      <c r="C1636" s="7" t="str">
        <f>IFERROR(__xludf.DUMMYFUNCTION("""COMPUTED_VALUE"""),"Nibel. M. 2748/ Langkapura")</f>
        <v>Nibel. M. 2748/ Langkapura</v>
      </c>
      <c r="D1636" s="7"/>
      <c r="E1636" s="7"/>
      <c r="F1636" s="9" t="str">
        <f>IFERROR(__xludf.DUMMYFUNCTION("""COMPUTED_VALUE"""),"")</f>
        <v/>
      </c>
      <c r="G1636" s="7" t="str">
        <f>IFERROR(__xludf.DUMMYFUNCTION("""COMPUTED_VALUE"""),"BN Jual Beli")</f>
        <v>BN Jual Beli</v>
      </c>
      <c r="H1636" s="7">
        <f t="shared" si="1"/>
        <v>714</v>
      </c>
    </row>
    <row r="1637" ht="22.5" customHeight="1">
      <c r="B1637" s="7" t="str">
        <f>IFERROR(__xludf.DUMMYFUNCTION("""COMPUTED_VALUE"""),"K/27/261124/2")</f>
        <v>K/27/261124/2</v>
      </c>
      <c r="C1637" s="7" t="str">
        <f>IFERROR(__xludf.DUMMYFUNCTION("""COMPUTED_VALUE"""),"NIBEL. B 3378/KETEGUHAN")</f>
        <v>NIBEL. B 3378/KETEGUHAN</v>
      </c>
      <c r="D1637" s="7" t="str">
        <f>IFERROR(__xludf.DUMMYFUNCTION("""COMPUTED_VALUE"""),"David")</f>
        <v>David</v>
      </c>
      <c r="E1637" s="7" t="str">
        <f>IFERROR(__xludf.DUMMYFUNCTION("""COMPUTED_VALUE"""),"DISERAHKAN")</f>
        <v>DISERAHKAN</v>
      </c>
      <c r="F1637" s="9">
        <f>IFERROR(__xludf.DUMMYFUNCTION("""COMPUTED_VALUE"""),45624.58973199074)</f>
        <v>45624.58973</v>
      </c>
      <c r="G1637" s="7" t="str">
        <f>IFERROR(__xludf.DUMMYFUNCTION("""COMPUTED_VALUE"""),"PENINGKATAN HAK")</f>
        <v>PENINGKATAN HAK</v>
      </c>
      <c r="H1637" s="7">
        <f t="shared" si="1"/>
        <v>715</v>
      </c>
    </row>
    <row r="1638" ht="22.5" customHeight="1">
      <c r="B1638" s="7" t="str">
        <f>IFERROR(__xludf.DUMMYFUNCTION("""COMPUTED_VALUE"""),"K/30/261124/1")</f>
        <v>K/30/261124/1</v>
      </c>
      <c r="C1638" s="7" t="str">
        <f>IFERROR(__xludf.DUMMYFUNCTION("""COMPUTED_VALUE"""),"Nibel. M. 8421/ Kedamaian")</f>
        <v>Nibel. M. 8421/ Kedamaian</v>
      </c>
      <c r="D1638" s="7" t="str">
        <f>IFERROR(__xludf.DUMMYFUNCTION("""COMPUTED_VALUE"""),"David")</f>
        <v>David</v>
      </c>
      <c r="E1638" s="7" t="str">
        <f>IFERROR(__xludf.DUMMYFUNCTION("""COMPUTED_VALUE"""),"DISERAHKAN")</f>
        <v>DISERAHKAN</v>
      </c>
      <c r="F1638" s="9">
        <f>IFERROR(__xludf.DUMMYFUNCTION("""COMPUTED_VALUE"""),45624.590032430555)</f>
        <v>45624.59003</v>
      </c>
      <c r="G1638" s="7" t="str">
        <f>IFERROR(__xludf.DUMMYFUNCTION("""COMPUTED_VALUE"""),"BN Lelang")</f>
        <v>BN Lelang</v>
      </c>
      <c r="H1638" s="7">
        <f t="shared" si="1"/>
        <v>716</v>
      </c>
    </row>
    <row r="1639" ht="22.5" customHeight="1">
      <c r="B1639" s="7" t="str">
        <f>IFERROR(__xludf.DUMMYFUNCTION("""COMPUTED_VALUE"""),"K/25/261124/3")</f>
        <v>K/25/261124/3</v>
      </c>
      <c r="C1639" s="7" t="str">
        <f>IFERROR(__xludf.DUMMYFUNCTION("""COMPUTED_VALUE"""),"B. 74/ korpri Jaya")</f>
        <v>B. 74/ korpri Jaya</v>
      </c>
      <c r="D1639" s="7" t="str">
        <f>IFERROR(__xludf.DUMMYFUNCTION("""COMPUTED_VALUE"""),"David")</f>
        <v>David</v>
      </c>
      <c r="E1639" s="7" t="str">
        <f>IFERROR(__xludf.DUMMYFUNCTION("""COMPUTED_VALUE"""),"DISERAHKAN")</f>
        <v>DISERAHKAN</v>
      </c>
      <c r="F1639" s="9">
        <f>IFERROR(__xludf.DUMMYFUNCTION("""COMPUTED_VALUE"""),45628.412367268524)</f>
        <v>45628.41237</v>
      </c>
      <c r="G1639" s="7" t="str">
        <f>IFERROR(__xludf.DUMMYFUNCTION("""COMPUTED_VALUE"""),"PERUBAHAN HAK")</f>
        <v>PERUBAHAN HAK</v>
      </c>
      <c r="H1639" s="7">
        <f t="shared" si="1"/>
        <v>717</v>
      </c>
    </row>
    <row r="1640" ht="22.5" customHeight="1">
      <c r="B1640" s="7" t="str">
        <f>IFERROR(__xludf.DUMMYFUNCTION("""COMPUTED_VALUE"""),"L/32/261124/1")</f>
        <v>L/32/261124/1</v>
      </c>
      <c r="C1640" s="7" t="str">
        <f>IFERROR(__xludf.DUMMYFUNCTION("""COMPUTED_VALUE"""),"HM 11065/LABUHAN RATU")</f>
        <v>HM 11065/LABUHAN RATU</v>
      </c>
      <c r="D1640" s="7" t="str">
        <f>IFERROR(__xludf.DUMMYFUNCTION("""COMPUTED_VALUE"""),"David")</f>
        <v>David</v>
      </c>
      <c r="E1640" s="7" t="str">
        <f>IFERROR(__xludf.DUMMYFUNCTION("""COMPUTED_VALUE"""),"DISERAHKAN")</f>
        <v>DISERAHKAN</v>
      </c>
      <c r="F1640" s="9">
        <f>IFERROR(__xludf.DUMMYFUNCTION("""COMPUTED_VALUE"""),45628.41461128472)</f>
        <v>45628.41461</v>
      </c>
      <c r="G1640" s="7" t="str">
        <f>IFERROR(__xludf.DUMMYFUNCTION("""COMPUTED_VALUE"""),"ROYA")</f>
        <v>ROYA</v>
      </c>
      <c r="H1640" s="7">
        <f t="shared" si="1"/>
        <v>718</v>
      </c>
    </row>
    <row r="1641" ht="22.5" customHeight="1">
      <c r="B1641" s="7" t="str">
        <f>IFERROR(__xludf.DUMMYFUNCTION("""COMPUTED_VALUE"""),"K/31/261124/1")</f>
        <v>K/31/261124/1</v>
      </c>
      <c r="C1641" s="7" t="str">
        <f>IFERROR(__xludf.DUMMYFUNCTION("""COMPUTED_VALUE"""),"M. 815/ Pasir Gintung")</f>
        <v>M. 815/ Pasir Gintung</v>
      </c>
      <c r="D1641" s="7" t="str">
        <f>IFERROR(__xludf.DUMMYFUNCTION("""COMPUTED_VALUE"""),"David")</f>
        <v>David</v>
      </c>
      <c r="E1641" s="7" t="str">
        <f>IFERROR(__xludf.DUMMYFUNCTION("""COMPUTED_VALUE"""),"DISERAHKAN")</f>
        <v>DISERAHKAN</v>
      </c>
      <c r="F1641" s="9">
        <f>IFERROR(__xludf.DUMMYFUNCTION("""COMPUTED_VALUE"""),45628.41295126158)</f>
        <v>45628.41295</v>
      </c>
      <c r="G1641" s="7" t="str">
        <f>IFERROR(__xludf.DUMMYFUNCTION("""COMPUTED_VALUE"""),"Pemecahana")</f>
        <v>Pemecahana</v>
      </c>
      <c r="H1641" s="7">
        <f t="shared" si="1"/>
        <v>719</v>
      </c>
    </row>
    <row r="1642" ht="22.5" customHeight="1">
      <c r="B1642" s="7" t="str">
        <f>IFERROR(__xludf.DUMMYFUNCTION("""COMPUTED_VALUE"""),"K/28/261124/1")</f>
        <v>K/28/261124/1</v>
      </c>
      <c r="C1642" s="7" t="str">
        <f>IFERROR(__xludf.DUMMYFUNCTION("""COMPUTED_VALUE"""),"B,567/NUSANTARA PERMAI-SEKARANG;B.2095/CAMPANG RAYA-DAHULU")</f>
        <v>B,567/NUSANTARA PERMAI-SEKARANG;B.2095/CAMPANG RAYA-DAHULU</v>
      </c>
      <c r="D1642" s="7"/>
      <c r="E1642" s="7"/>
      <c r="F1642" s="9" t="str">
        <f>IFERROR(__xludf.DUMMYFUNCTION("""COMPUTED_VALUE"""),"")</f>
        <v/>
      </c>
      <c r="G1642" s="7" t="str">
        <f>IFERROR(__xludf.DUMMYFUNCTION("""COMPUTED_VALUE"""),"BN JUAL BELI")</f>
        <v>BN JUAL BELI</v>
      </c>
      <c r="H1642" s="7">
        <f t="shared" si="1"/>
        <v>719</v>
      </c>
    </row>
    <row r="1643" ht="22.5" customHeight="1">
      <c r="B1643" s="7" t="str">
        <f>IFERROR(__xludf.DUMMYFUNCTION("""COMPUTED_VALUE"""),"K/33/261124/1")</f>
        <v>K/33/261124/1</v>
      </c>
      <c r="C1643" s="7" t="str">
        <f>IFERROR(__xludf.DUMMYFUNCTION("""COMPUTED_VALUE"""),"M. 2558/ Sukarame II")</f>
        <v>M. 2558/ Sukarame II</v>
      </c>
      <c r="D1643" s="7"/>
      <c r="E1643" s="7"/>
      <c r="F1643" s="9" t="str">
        <f>IFERROR(__xludf.DUMMYFUNCTION("""COMPUTED_VALUE"""),"")</f>
        <v/>
      </c>
      <c r="G1643" s="7" t="str">
        <f>IFERROR(__xludf.DUMMYFUNCTION("""COMPUTED_VALUE"""),"BN JUAL BELI")</f>
        <v>BN JUAL BELI</v>
      </c>
      <c r="H1643" s="7">
        <f t="shared" si="1"/>
        <v>719</v>
      </c>
    </row>
    <row r="1644" ht="22.5" customHeight="1">
      <c r="B1644" s="7" t="str">
        <f>IFERROR(__xludf.DUMMYFUNCTION("""COMPUTED_VALUE"""),"L/34/261124/1")</f>
        <v>L/34/261124/1</v>
      </c>
      <c r="C1644" s="7" t="str">
        <f>IFERROR(__xludf.DUMMYFUNCTION("""COMPUTED_VALUE"""),"TANJUNG SENANG")</f>
        <v>TANJUNG SENANG</v>
      </c>
      <c r="D1644" s="7" t="str">
        <f>IFERROR(__xludf.DUMMYFUNCTION("""COMPUTED_VALUE"""),"David")</f>
        <v>David</v>
      </c>
      <c r="E1644" s="7" t="str">
        <f>IFERROR(__xludf.DUMMYFUNCTION("""COMPUTED_VALUE"""),"DISERAHKAN")</f>
        <v>DISERAHKAN</v>
      </c>
      <c r="F1644" s="9">
        <f>IFERROR(__xludf.DUMMYFUNCTION("""COMPUTED_VALUE"""),45624.59057248842)</f>
        <v>45624.59057</v>
      </c>
      <c r="G1644" s="7" t="str">
        <f>IFERROR(__xludf.DUMMYFUNCTION("""COMPUTED_VALUE"""),"PERMOHONAN SK")</f>
        <v>PERMOHONAN SK</v>
      </c>
      <c r="H1644" s="7">
        <f t="shared" si="1"/>
        <v>720</v>
      </c>
    </row>
    <row r="1645" ht="22.5" customHeight="1">
      <c r="B1645" s="7" t="str">
        <f>IFERROR(__xludf.DUMMYFUNCTION("""COMPUTED_VALUE"""),"K/35/261124/1")</f>
        <v>K/35/261124/1</v>
      </c>
      <c r="C1645" s="7" t="str">
        <f>IFERROR(__xludf.DUMMYFUNCTION("""COMPUTED_VALUE"""),"NIBEL M.2252/SUKARAME")</f>
        <v>NIBEL M.2252/SUKARAME</v>
      </c>
      <c r="D1645" s="7" t="str">
        <f>IFERROR(__xludf.DUMMYFUNCTION("""COMPUTED_VALUE"""),"David")</f>
        <v>David</v>
      </c>
      <c r="E1645" s="7" t="str">
        <f>IFERROR(__xludf.DUMMYFUNCTION("""COMPUTED_VALUE"""),"DISERAHKAN")</f>
        <v>DISERAHKAN</v>
      </c>
      <c r="F1645" s="9">
        <f>IFERROR(__xludf.DUMMYFUNCTION("""COMPUTED_VALUE"""),45624.59081417824)</f>
        <v>45624.59081</v>
      </c>
      <c r="G1645" s="7" t="str">
        <f>IFERROR(__xludf.DUMMYFUNCTION("""COMPUTED_VALUE"""),"BN JUAL BELI")</f>
        <v>BN JUAL BELI</v>
      </c>
      <c r="H1645" s="7">
        <f t="shared" si="1"/>
        <v>721</v>
      </c>
    </row>
    <row r="1646" ht="22.5" customHeight="1">
      <c r="B1646" s="7" t="str">
        <f>IFERROR(__xludf.DUMMYFUNCTION("""COMPUTED_VALUE"""),"L/36/261124/1")</f>
        <v>L/36/261124/1</v>
      </c>
      <c r="C1646" s="7" t="str">
        <f>IFERROR(__xludf.DUMMYFUNCTION("""COMPUTED_VALUE"""),"HM 1594/LANGKAPURA")</f>
        <v>HM 1594/LANGKAPURA</v>
      </c>
      <c r="D1646" s="7" t="str">
        <f>IFERROR(__xludf.DUMMYFUNCTION("""COMPUTED_VALUE"""),"David")</f>
        <v>David</v>
      </c>
      <c r="E1646" s="7" t="str">
        <f>IFERROR(__xludf.DUMMYFUNCTION("""COMPUTED_VALUE"""),"DISERAHKAN")</f>
        <v>DISERAHKAN</v>
      </c>
      <c r="F1646" s="9">
        <f>IFERROR(__xludf.DUMMYFUNCTION("""COMPUTED_VALUE"""),45628.41053248843)</f>
        <v>45628.41053</v>
      </c>
      <c r="G1646" s="7" t="str">
        <f>IFERROR(__xludf.DUMMYFUNCTION("""COMPUTED_VALUE"""),"ROYA")</f>
        <v>ROYA</v>
      </c>
      <c r="H1646" s="7">
        <f t="shared" si="1"/>
        <v>722</v>
      </c>
    </row>
    <row r="1647" ht="22.5" customHeight="1">
      <c r="B1647" s="7" t="str">
        <f>IFERROR(__xludf.DUMMYFUNCTION("""COMPUTED_VALUE"""),"L/41/261124/1")</f>
        <v>L/41/261124/1</v>
      </c>
      <c r="C1647" s="7" t="str">
        <f>IFERROR(__xludf.DUMMYFUNCTION("""COMPUTED_VALUE"""),"HM 1401/KURIPAN")</f>
        <v>HM 1401/KURIPAN</v>
      </c>
      <c r="D1647" s="7" t="str">
        <f>IFERROR(__xludf.DUMMYFUNCTION("""COMPUTED_VALUE"""),"David")</f>
        <v>David</v>
      </c>
      <c r="E1647" s="7" t="str">
        <f>IFERROR(__xludf.DUMMYFUNCTION("""COMPUTED_VALUE"""),"DISERAHKAN")</f>
        <v>DISERAHKAN</v>
      </c>
      <c r="F1647" s="9">
        <f>IFERROR(__xludf.DUMMYFUNCTION("""COMPUTED_VALUE"""),45628.409748680555)</f>
        <v>45628.40975</v>
      </c>
      <c r="G1647" s="7" t="str">
        <f>IFERROR(__xludf.DUMMYFUNCTION("""COMPUTED_VALUE"""),"BN WARIS")</f>
        <v>BN WARIS</v>
      </c>
      <c r="H1647" s="7">
        <f t="shared" si="1"/>
        <v>723</v>
      </c>
    </row>
    <row r="1648" ht="22.5" customHeight="1">
      <c r="B1648" s="7" t="str">
        <f>IFERROR(__xludf.DUMMYFUNCTION("""COMPUTED_VALUE"""),"K/40/261124/4")</f>
        <v>K/40/261124/4</v>
      </c>
      <c r="C1648" s="7" t="str">
        <f>IFERROR(__xludf.DUMMYFUNCTION("""COMPUTED_VALUE"""),"M. 168/ Tanjung Senang")</f>
        <v>M. 168/ Tanjung Senang</v>
      </c>
      <c r="D1648" s="7"/>
      <c r="E1648" s="7"/>
      <c r="F1648" s="9" t="str">
        <f>IFERROR(__xludf.DUMMYFUNCTION("""COMPUTED_VALUE"""),"")</f>
        <v/>
      </c>
      <c r="G1648" s="7" t="str">
        <f>IFERROR(__xludf.DUMMYFUNCTION("""COMPUTED_VALUE"""),"BN waris")</f>
        <v>BN waris</v>
      </c>
      <c r="H1648" s="7">
        <f t="shared" si="1"/>
        <v>723</v>
      </c>
    </row>
    <row r="1649" ht="22.5" customHeight="1">
      <c r="B1649" s="7" t="str">
        <f>IFERROR(__xludf.DUMMYFUNCTION("""COMPUTED_VALUE"""),"K/39/261124/3")</f>
        <v>K/39/261124/3</v>
      </c>
      <c r="C1649" s="7" t="str">
        <f>IFERROR(__xludf.DUMMYFUNCTION("""COMPUTED_VALUE"""),"M. 4901/ Langkapura")</f>
        <v>M. 4901/ Langkapura</v>
      </c>
      <c r="D1649" s="7"/>
      <c r="E1649" s="7"/>
      <c r="F1649" s="9" t="str">
        <f>IFERROR(__xludf.DUMMYFUNCTION("""COMPUTED_VALUE"""),"")</f>
        <v/>
      </c>
      <c r="G1649" s="7" t="str">
        <f>IFERROR(__xludf.DUMMYFUNCTION("""COMPUTED_VALUE"""),"BN Jual Beli")</f>
        <v>BN Jual Beli</v>
      </c>
      <c r="H1649" s="7">
        <f t="shared" si="1"/>
        <v>723</v>
      </c>
    </row>
    <row r="1650" ht="22.5" customHeight="1">
      <c r="B1650" s="7" t="str">
        <f>IFERROR(__xludf.DUMMYFUNCTION("""COMPUTED_VALUE"""),"K/38/261124/2")</f>
        <v>K/38/261124/2</v>
      </c>
      <c r="C1650" s="7" t="str">
        <f>IFERROR(__xludf.DUMMYFUNCTION("""COMPUTED_VALUE"""),"Nibel. M. 1724/ Sukarame Baru")</f>
        <v>Nibel. M. 1724/ Sukarame Baru</v>
      </c>
      <c r="D1650" s="7"/>
      <c r="E1650" s="7"/>
      <c r="F1650" s="9" t="str">
        <f>IFERROR(__xludf.DUMMYFUNCTION("""COMPUTED_VALUE"""),"")</f>
        <v/>
      </c>
      <c r="G1650" s="7" t="str">
        <f>IFERROR(__xludf.DUMMYFUNCTION("""COMPUTED_VALUE"""),"BN Jual Beli")</f>
        <v>BN Jual Beli</v>
      </c>
      <c r="H1650" s="7">
        <f t="shared" si="1"/>
        <v>723</v>
      </c>
    </row>
    <row r="1651" ht="22.5" customHeight="1">
      <c r="B1651" s="7" t="str">
        <f>IFERROR(__xludf.DUMMYFUNCTION("""COMPUTED_VALUE"""),"K/42/261124/1")</f>
        <v>K/42/261124/1</v>
      </c>
      <c r="C1651" s="7" t="str">
        <f>IFERROR(__xludf.DUMMYFUNCTION("""COMPUTED_VALUE"""),"M.56/TANJUNG GADING")</f>
        <v>M.56/TANJUNG GADING</v>
      </c>
      <c r="D1651" s="7"/>
      <c r="E1651" s="7"/>
      <c r="F1651" s="9" t="str">
        <f>IFERROR(__xludf.DUMMYFUNCTION("""COMPUTED_VALUE"""),"")</f>
        <v/>
      </c>
      <c r="G1651" s="7" t="str">
        <f>IFERROR(__xludf.DUMMYFUNCTION("""COMPUTED_VALUE"""),"PLOTING")</f>
        <v>PLOTING</v>
      </c>
      <c r="H1651" s="7">
        <f t="shared" si="1"/>
        <v>723</v>
      </c>
    </row>
    <row r="1652" ht="22.5" customHeight="1">
      <c r="B1652" s="7" t="str">
        <f>IFERROR(__xludf.DUMMYFUNCTION("""COMPUTED_VALUE"""),"K/37/261124/1")</f>
        <v>K/37/261124/1</v>
      </c>
      <c r="C1652" s="7" t="str">
        <f>IFERROR(__xludf.DUMMYFUNCTION("""COMPUTED_VALUE"""),"Nibel. M. 1723/ Sukarame Baru")</f>
        <v>Nibel. M. 1723/ Sukarame Baru</v>
      </c>
      <c r="D1652" s="7"/>
      <c r="E1652" s="7"/>
      <c r="F1652" s="9" t="str">
        <f>IFERROR(__xludf.DUMMYFUNCTION("""COMPUTED_VALUE"""),"")</f>
        <v/>
      </c>
      <c r="G1652" s="7" t="str">
        <f>IFERROR(__xludf.DUMMYFUNCTION("""COMPUTED_VALUE"""),"BN Jual Beli")</f>
        <v>BN Jual Beli</v>
      </c>
      <c r="H1652" s="7">
        <f t="shared" si="1"/>
        <v>723</v>
      </c>
    </row>
    <row r="1653" ht="22.5" customHeight="1">
      <c r="B1653" s="7" t="str">
        <f>IFERROR(__xludf.DUMMYFUNCTION("""COMPUTED_VALUE"""),"K/44/261124/1")</f>
        <v>K/44/261124/1</v>
      </c>
      <c r="C1653" s="7" t="str">
        <f>IFERROR(__xludf.DUMMYFUNCTION("""COMPUTED_VALUE"""),"M.1514/SRENGSEM")</f>
        <v>M.1514/SRENGSEM</v>
      </c>
      <c r="D1653" s="7"/>
      <c r="E1653" s="7"/>
      <c r="F1653" s="9" t="str">
        <f>IFERROR(__xludf.DUMMYFUNCTION("""COMPUTED_VALUE"""),"")</f>
        <v/>
      </c>
      <c r="G1653" s="7" t="str">
        <f>IFERROR(__xludf.DUMMYFUNCTION("""COMPUTED_VALUE"""),"PTPGT")</f>
        <v>PTPGT</v>
      </c>
      <c r="H1653" s="7">
        <f t="shared" si="1"/>
        <v>723</v>
      </c>
    </row>
    <row r="1654" ht="22.5" customHeight="1">
      <c r="B1654" s="7" t="str">
        <f>IFERROR(__xludf.DUMMYFUNCTION("""COMPUTED_VALUE"""),"K/43/261124/1")</f>
        <v>K/43/261124/1</v>
      </c>
      <c r="C1654" s="7" t="str">
        <f>IFERROR(__xludf.DUMMYFUNCTION("""COMPUTED_VALUE"""),"M. 11831; 11689/ Labuhan Ratu")</f>
        <v>M. 11831; 11689/ Labuhan Ratu</v>
      </c>
      <c r="D1654" s="7" t="str">
        <f>IFERROR(__xludf.DUMMYFUNCTION("""COMPUTED_VALUE"""),"Berry")</f>
        <v>Berry</v>
      </c>
      <c r="E1654" s="7" t="str">
        <f>IFERROR(__xludf.DUMMYFUNCTION("""COMPUTED_VALUE"""),"DISERAHKAN")</f>
        <v>DISERAHKAN</v>
      </c>
      <c r="F1654" s="9">
        <f>IFERROR(__xludf.DUMMYFUNCTION("""COMPUTED_VALUE"""),45624.59133672454)</f>
        <v>45624.59134</v>
      </c>
      <c r="G1654" s="7" t="str">
        <f>IFERROR(__xludf.DUMMYFUNCTION("""COMPUTED_VALUE"""),"Pencabutan Perkara")</f>
        <v>Pencabutan Perkara</v>
      </c>
      <c r="H1654" s="7">
        <f t="shared" si="1"/>
        <v>724</v>
      </c>
    </row>
    <row r="1655" ht="22.5" customHeight="1">
      <c r="B1655" s="7" t="str">
        <f>IFERROR(__xludf.DUMMYFUNCTION("""COMPUTED_VALUE"""),"K/45/261124/1")</f>
        <v>K/45/261124/1</v>
      </c>
      <c r="C1655" s="7" t="str">
        <f>IFERROR(__xludf.DUMMYFUNCTION("""COMPUTED_VALUE"""),"M.14241/SUKARAME I")</f>
        <v>M.14241/SUKARAME I</v>
      </c>
      <c r="D1655" s="7" t="str">
        <f>IFERROR(__xludf.DUMMYFUNCTION("""COMPUTED_VALUE"""),"Berry")</f>
        <v>Berry</v>
      </c>
      <c r="E1655" s="7" t="str">
        <f>IFERROR(__xludf.DUMMYFUNCTION("""COMPUTED_VALUE"""),"DISERAHKAN")</f>
        <v>DISERAHKAN</v>
      </c>
      <c r="F1655" s="9">
        <f>IFERROR(__xludf.DUMMYFUNCTION("""COMPUTED_VALUE"""),45624.59172916667)</f>
        <v>45624.59173</v>
      </c>
      <c r="G1655" s="7" t="str">
        <f>IFERROR(__xludf.DUMMYFUNCTION("""COMPUTED_VALUE"""),"PLOTING")</f>
        <v>PLOTING</v>
      </c>
      <c r="H1655" s="7">
        <f t="shared" si="1"/>
        <v>725</v>
      </c>
    </row>
    <row r="1656" ht="22.5" customHeight="1">
      <c r="B1656" s="7" t="str">
        <f>IFERROR(__xludf.DUMMYFUNCTION("""COMPUTED_VALUE"""),"K/46/261124/2")</f>
        <v>K/46/261124/2</v>
      </c>
      <c r="C1656" s="7" t="str">
        <f>IFERROR(__xludf.DUMMYFUNCTION("""COMPUTED_VALUE"""),"M.2421/WAY KANDIS")</f>
        <v>M.2421/WAY KANDIS</v>
      </c>
      <c r="D1656" s="7" t="str">
        <f>IFERROR(__xludf.DUMMYFUNCTION("""COMPUTED_VALUE"""),"Berry")</f>
        <v>Berry</v>
      </c>
      <c r="E1656" s="7" t="str">
        <f>IFERROR(__xludf.DUMMYFUNCTION("""COMPUTED_VALUE"""),"DISERAHKAN")</f>
        <v>DISERAHKAN</v>
      </c>
      <c r="F1656" s="9">
        <f>IFERROR(__xludf.DUMMYFUNCTION("""COMPUTED_VALUE"""),45624.591785682875)</f>
        <v>45624.59179</v>
      </c>
      <c r="G1656" s="7" t="str">
        <f>IFERROR(__xludf.DUMMYFUNCTION("""COMPUTED_VALUE"""),"ROYA")</f>
        <v>ROYA</v>
      </c>
      <c r="H1656" s="7">
        <f t="shared" si="1"/>
        <v>726</v>
      </c>
    </row>
    <row r="1657" ht="22.5" customHeight="1">
      <c r="B1657" s="7" t="str">
        <f>IFERROR(__xludf.DUMMYFUNCTION("""COMPUTED_VALUE"""),"K/49/261124/2")</f>
        <v>K/49/261124/2</v>
      </c>
      <c r="C1657" s="7" t="str">
        <f>IFERROR(__xludf.DUMMYFUNCTION("""COMPUTED_VALUE"""),"M. 6419/ Gunung Sulah")</f>
        <v>M. 6419/ Gunung Sulah</v>
      </c>
      <c r="D1657" s="7"/>
      <c r="E1657" s="7"/>
      <c r="F1657" s="9" t="str">
        <f>IFERROR(__xludf.DUMMYFUNCTION("""COMPUTED_VALUE"""),"")</f>
        <v/>
      </c>
      <c r="G1657" s="7" t="str">
        <f>IFERROR(__xludf.DUMMYFUNCTION("""COMPUTED_VALUE"""),"BN Jual Beli")</f>
        <v>BN Jual Beli</v>
      </c>
      <c r="H1657" s="7">
        <f t="shared" si="1"/>
        <v>726</v>
      </c>
    </row>
    <row r="1658" ht="22.5" customHeight="1">
      <c r="B1658" s="7" t="str">
        <f>IFERROR(__xludf.DUMMYFUNCTION("""COMPUTED_VALUE"""),"K/48/261124/1")</f>
        <v>K/48/261124/1</v>
      </c>
      <c r="C1658" s="7" t="str">
        <f>IFERROR(__xludf.DUMMYFUNCTION("""COMPUTED_VALUE"""),"M. 6420/ Gunung Sulah")</f>
        <v>M. 6420/ Gunung Sulah</v>
      </c>
      <c r="D1658" s="7"/>
      <c r="E1658" s="7"/>
      <c r="F1658" s="9" t="str">
        <f>IFERROR(__xludf.DUMMYFUNCTION("""COMPUTED_VALUE"""),"")</f>
        <v/>
      </c>
      <c r="G1658" s="7" t="str">
        <f>IFERROR(__xludf.DUMMYFUNCTION("""COMPUTED_VALUE"""),"BN Jual Beli")</f>
        <v>BN Jual Beli</v>
      </c>
      <c r="H1658" s="7">
        <f t="shared" si="1"/>
        <v>726</v>
      </c>
    </row>
    <row r="1659" ht="22.5" customHeight="1">
      <c r="B1659" s="7" t="str">
        <f>IFERROR(__xludf.DUMMYFUNCTION("""COMPUTED_VALUE"""),"K/51/261124/1")</f>
        <v>K/51/261124/1</v>
      </c>
      <c r="C1659" s="7" t="str">
        <f>IFERROR(__xludf.DUMMYFUNCTION("""COMPUTED_VALUE"""),"M.1921/SUMBERREJO")</f>
        <v>M.1921/SUMBERREJO</v>
      </c>
      <c r="D1659" s="7" t="str">
        <f>IFERROR(__xludf.DUMMYFUNCTION("""COMPUTED_VALUE"""),"Berry")</f>
        <v>Berry</v>
      </c>
      <c r="E1659" s="7" t="str">
        <f>IFERROR(__xludf.DUMMYFUNCTION("""COMPUTED_VALUE"""),"DISERAHKAN")</f>
        <v>DISERAHKAN</v>
      </c>
      <c r="F1659" s="9">
        <f>IFERROR(__xludf.DUMMYFUNCTION("""COMPUTED_VALUE"""),45624.59195599537)</f>
        <v>45624.59196</v>
      </c>
      <c r="G1659" s="7" t="str">
        <f>IFERROR(__xludf.DUMMYFUNCTION("""COMPUTED_VALUE"""),"PLOTING")</f>
        <v>PLOTING</v>
      </c>
      <c r="H1659" s="7">
        <f t="shared" si="1"/>
        <v>727</v>
      </c>
    </row>
    <row r="1660" ht="22.5" customHeight="1">
      <c r="B1660" s="7" t="str">
        <f>IFERROR(__xludf.DUMMYFUNCTION("""COMPUTED_VALUE"""),"K/47/261124/1")</f>
        <v>K/47/261124/1</v>
      </c>
      <c r="C1660" s="7" t="str">
        <f>IFERROR(__xludf.DUMMYFUNCTION("""COMPUTED_VALUE"""),"B. 1510/ Sukabumi")</f>
        <v>B. 1510/ Sukabumi</v>
      </c>
      <c r="D1660" s="7" t="str">
        <f>IFERROR(__xludf.DUMMYFUNCTION("""COMPUTED_VALUE"""),"Berry")</f>
        <v>Berry</v>
      </c>
      <c r="E1660" s="7" t="str">
        <f>IFERROR(__xludf.DUMMYFUNCTION("""COMPUTED_VALUE"""),"DISERAHKAN")</f>
        <v>DISERAHKAN</v>
      </c>
      <c r="F1660" s="9">
        <f>IFERROR(__xludf.DUMMYFUNCTION("""COMPUTED_VALUE"""),45624.59221019676)</f>
        <v>45624.59221</v>
      </c>
      <c r="G1660" s="7" t="str">
        <f>IFERROR(__xludf.DUMMYFUNCTION("""COMPUTED_VALUE"""),"Gandes")</f>
        <v>Gandes</v>
      </c>
      <c r="H1660" s="7">
        <f t="shared" si="1"/>
        <v>728</v>
      </c>
    </row>
    <row r="1661" ht="22.5" customHeight="1">
      <c r="B1661" s="7" t="str">
        <f>IFERROR(__xludf.DUMMYFUNCTION("""COMPUTED_VALUE"""),"K/50/261124/1")</f>
        <v>K/50/261124/1</v>
      </c>
      <c r="C1661" s="7" t="str">
        <f>IFERROR(__xludf.DUMMYFUNCTION("""COMPUTED_VALUE"""),"M. 1849/ Tanjung Seneng")</f>
        <v>M. 1849/ Tanjung Seneng</v>
      </c>
      <c r="D1661" s="7" t="str">
        <f>IFERROR(__xludf.DUMMYFUNCTION("""COMPUTED_VALUE"""),"Berry")</f>
        <v>Berry</v>
      </c>
      <c r="E1661" s="7" t="str">
        <f>IFERROR(__xludf.DUMMYFUNCTION("""COMPUTED_VALUE"""),"PROSES")</f>
        <v>PROSES</v>
      </c>
      <c r="F1661" s="9" t="str">
        <f>IFERROR(__xludf.DUMMYFUNCTION("""COMPUTED_VALUE"""),"")</f>
        <v/>
      </c>
      <c r="G1661" s="7" t="str">
        <f>IFERROR(__xludf.DUMMYFUNCTION("""COMPUTED_VALUE"""),"BN JUAL BELI")</f>
        <v>BN JUAL BELI</v>
      </c>
      <c r="H1661" s="7">
        <f t="shared" si="1"/>
        <v>728</v>
      </c>
    </row>
    <row r="1662" ht="22.5" customHeight="1">
      <c r="B1662" s="7" t="str">
        <f>IFERROR(__xludf.DUMMYFUNCTION("""COMPUTED_VALUE"""),"K/52/261124/1")</f>
        <v>K/52/261124/1</v>
      </c>
      <c r="C1662" s="7" t="str">
        <f>IFERROR(__xludf.DUMMYFUNCTION("""COMPUTED_VALUE"""),"M.2992/SUKADANAHAM")</f>
        <v>M.2992/SUKADANAHAM</v>
      </c>
      <c r="D1662" s="7"/>
      <c r="E1662" s="7"/>
      <c r="F1662" s="9" t="str">
        <f>IFERROR(__xludf.DUMMYFUNCTION("""COMPUTED_VALUE"""),"")</f>
        <v/>
      </c>
      <c r="G1662" s="7" t="str">
        <f>IFERROR(__xludf.DUMMYFUNCTION("""COMPUTED_VALUE"""),"BN JUAL BELI")</f>
        <v>BN JUAL BELI</v>
      </c>
      <c r="H1662" s="7">
        <f t="shared" si="1"/>
        <v>728</v>
      </c>
    </row>
    <row r="1663" ht="22.5" customHeight="1">
      <c r="B1663" s="7" t="str">
        <f>IFERROR(__xludf.DUMMYFUNCTION("""COMPUTED_VALUE"""),"L/53/261124/1")</f>
        <v>L/53/261124/1</v>
      </c>
      <c r="C1663" s="7" t="str">
        <f>IFERROR(__xludf.DUMMYFUNCTION("""COMPUTED_VALUE"""),"HM 11096/JAGABAYA II")</f>
        <v>HM 11096/JAGABAYA II</v>
      </c>
      <c r="D1663" s="7"/>
      <c r="E1663" s="7"/>
      <c r="F1663" s="9" t="str">
        <f>IFERROR(__xludf.DUMMYFUNCTION("""COMPUTED_VALUE"""),"")</f>
        <v/>
      </c>
      <c r="G1663" s="7" t="str">
        <f>IFERROR(__xludf.DUMMYFUNCTION("""COMPUTED_VALUE"""),"ROYA")</f>
        <v>ROYA</v>
      </c>
      <c r="H1663" s="7">
        <f t="shared" si="1"/>
        <v>728</v>
      </c>
    </row>
    <row r="1664" ht="22.5" customHeight="1">
      <c r="B1664" s="7" t="str">
        <f>IFERROR(__xludf.DUMMYFUNCTION("""COMPUTED_VALUE"""),"K/55/261124/1")</f>
        <v>K/55/261124/1</v>
      </c>
      <c r="C1664" s="7" t="str">
        <f>IFERROR(__xludf.DUMMYFUNCTION("""COMPUTED_VALUE"""),"M. 612/ PALAPA")</f>
        <v>M. 612/ PALAPA</v>
      </c>
      <c r="D1664" s="7"/>
      <c r="E1664" s="7"/>
      <c r="F1664" s="9" t="str">
        <f>IFERROR(__xludf.DUMMYFUNCTION("""COMPUTED_VALUE"""),"")</f>
        <v/>
      </c>
      <c r="G1664" s="7" t="str">
        <f>IFERROR(__xludf.DUMMYFUNCTION("""COMPUTED_VALUE"""),"GANTI KECAMATAN")</f>
        <v>GANTI KECAMATAN</v>
      </c>
      <c r="H1664" s="7">
        <f t="shared" si="1"/>
        <v>728</v>
      </c>
    </row>
    <row r="1665" ht="22.5" customHeight="1">
      <c r="B1665" s="7" t="str">
        <f>IFERROR(__xludf.DUMMYFUNCTION("""COMPUTED_VALUE"""),"K/56/261124/2")</f>
        <v>K/56/261124/2</v>
      </c>
      <c r="C1665" s="7" t="str">
        <f>IFERROR(__xludf.DUMMYFUNCTION("""COMPUTED_VALUE"""),"Nibel 408/ Kemiling Permai")</f>
        <v>Nibel 408/ Kemiling Permai</v>
      </c>
      <c r="D1665" s="7" t="str">
        <f>IFERROR(__xludf.DUMMYFUNCTION("""COMPUTED_VALUE"""),"Berry")</f>
        <v>Berry</v>
      </c>
      <c r="E1665" s="7" t="str">
        <f>IFERROR(__xludf.DUMMYFUNCTION("""COMPUTED_VALUE"""),"DISERAHKAN SU")</f>
        <v>DISERAHKAN SU</v>
      </c>
      <c r="F1665" s="9">
        <f>IFERROR(__xludf.DUMMYFUNCTION("""COMPUTED_VALUE"""),45624.595200428244)</f>
        <v>45624.5952</v>
      </c>
      <c r="G1665" s="7" t="str">
        <f>IFERROR(__xludf.DUMMYFUNCTION("""COMPUTED_VALUE"""),"BN JUAL BELI")</f>
        <v>BN JUAL BELI</v>
      </c>
      <c r="H1665" s="7">
        <f t="shared" si="1"/>
        <v>728</v>
      </c>
    </row>
    <row r="1666" ht="22.5" customHeight="1">
      <c r="B1666" s="7" t="str">
        <f>IFERROR(__xludf.DUMMYFUNCTION("""COMPUTED_VALUE"""),"K/57/261124/3")</f>
        <v>K/57/261124/3</v>
      </c>
      <c r="C1666" s="7" t="str">
        <f>IFERROR(__xludf.DUMMYFUNCTION("""COMPUTED_VALUE"""),"Nibel 386/ Kemiling Permai")</f>
        <v>Nibel 386/ Kemiling Permai</v>
      </c>
      <c r="D1666" s="7" t="str">
        <f>IFERROR(__xludf.DUMMYFUNCTION("""COMPUTED_VALUE"""),"Berry")</f>
        <v>Berry</v>
      </c>
      <c r="E1666" s="7" t="str">
        <f>IFERROR(__xludf.DUMMYFUNCTION("""COMPUTED_VALUE"""),"PROSES")</f>
        <v>PROSES</v>
      </c>
      <c r="F1666" s="9" t="str">
        <f>IFERROR(__xludf.DUMMYFUNCTION("""COMPUTED_VALUE"""),"")</f>
        <v/>
      </c>
      <c r="G1666" s="7" t="str">
        <f>IFERROR(__xludf.DUMMYFUNCTION("""COMPUTED_VALUE"""),"BN JUAL BELI")</f>
        <v>BN JUAL BELI</v>
      </c>
      <c r="H1666" s="7">
        <f t="shared" si="1"/>
        <v>728</v>
      </c>
    </row>
    <row r="1667" ht="22.5" customHeight="1">
      <c r="B1667" s="7" t="str">
        <f>IFERROR(__xludf.DUMMYFUNCTION("""COMPUTED_VALUE"""),"K/58/261124/4")</f>
        <v>K/58/261124/4</v>
      </c>
      <c r="C1667" s="7" t="str">
        <f>IFERROR(__xludf.DUMMYFUNCTION("""COMPUTED_VALUE"""),"M. 132/ Sumur Putri")</f>
        <v>M. 132/ Sumur Putri</v>
      </c>
      <c r="D1667" s="7" t="str">
        <f>IFERROR(__xludf.DUMMYFUNCTION("""COMPUTED_VALUE"""),"Berry")</f>
        <v>Berry</v>
      </c>
      <c r="E1667" s="7" t="str">
        <f>IFERROR(__xludf.DUMMYFUNCTION("""COMPUTED_VALUE"""),"DISERAHKAN")</f>
        <v>DISERAHKAN</v>
      </c>
      <c r="F1667" s="9">
        <f>IFERROR(__xludf.DUMMYFUNCTION("""COMPUTED_VALUE"""),45624.59278820602)</f>
        <v>45624.59279</v>
      </c>
      <c r="G1667" s="7" t="str">
        <f>IFERROR(__xludf.DUMMYFUNCTION("""COMPUTED_VALUE"""),"ROYA")</f>
        <v>ROYA</v>
      </c>
      <c r="H1667" s="7">
        <f t="shared" si="1"/>
        <v>729</v>
      </c>
    </row>
    <row r="1668" ht="22.5" customHeight="1">
      <c r="B1668" s="7" t="str">
        <f>IFERROR(__xludf.DUMMYFUNCTION("""COMPUTED_VALUE"""),"K/59/261124/5")</f>
        <v>K/59/261124/5</v>
      </c>
      <c r="C1668" s="7" t="str">
        <f>IFERROR(__xludf.DUMMYFUNCTION("""COMPUTED_VALUE"""),"M. 819/ Kemiling Raya")</f>
        <v>M. 819/ Kemiling Raya</v>
      </c>
      <c r="D1668" s="7"/>
      <c r="E1668" s="7"/>
      <c r="F1668" s="9" t="str">
        <f>IFERROR(__xludf.DUMMYFUNCTION("""COMPUTED_VALUE"""),"")</f>
        <v/>
      </c>
      <c r="G1668" s="7" t="str">
        <f>IFERROR(__xludf.DUMMYFUNCTION("""COMPUTED_VALUE"""),"PENGUKURAN ULANG")</f>
        <v>PENGUKURAN ULANG</v>
      </c>
      <c r="H1668" s="7">
        <f t="shared" si="1"/>
        <v>729</v>
      </c>
    </row>
    <row r="1669" ht="22.5" customHeight="1">
      <c r="B1669" s="7" t="str">
        <f>IFERROR(__xludf.DUMMYFUNCTION("""COMPUTED_VALUE"""),"K/60/261124/1")</f>
        <v>K/60/261124/1</v>
      </c>
      <c r="C1669" s="7" t="str">
        <f>IFERROR(__xludf.DUMMYFUNCTION("""COMPUTED_VALUE"""),"M. 2017/ Kota Baru")</f>
        <v>M. 2017/ Kota Baru</v>
      </c>
      <c r="D1669" s="7"/>
      <c r="E1669" s="7"/>
      <c r="F1669" s="9" t="str">
        <f>IFERROR(__xludf.DUMMYFUNCTION("""COMPUTED_VALUE"""),"")</f>
        <v/>
      </c>
      <c r="G1669" s="7" t="str">
        <f>IFERROR(__xludf.DUMMYFUNCTION("""COMPUTED_VALUE"""),"BN JUAL BELI")</f>
        <v>BN JUAL BELI</v>
      </c>
      <c r="H1669" s="7">
        <f t="shared" si="1"/>
        <v>729</v>
      </c>
    </row>
    <row r="1670" ht="22.5" customHeight="1">
      <c r="B1670" s="7" t="str">
        <f>IFERROR(__xludf.DUMMYFUNCTION("""COMPUTED_VALUE"""),"K/62/261124/1")</f>
        <v>K/62/261124/1</v>
      </c>
      <c r="C1670" s="7" t="str">
        <f>IFERROR(__xludf.DUMMYFUNCTION("""COMPUTED_VALUE"""),"M. 2295/ Sumberejo/ Kemiling")</f>
        <v>M. 2295/ Sumberejo/ Kemiling</v>
      </c>
      <c r="D1670" s="7"/>
      <c r="E1670" s="7"/>
      <c r="F1670" s="9" t="str">
        <f>IFERROR(__xludf.DUMMYFUNCTION("""COMPUTED_VALUE"""),"")</f>
        <v/>
      </c>
      <c r="G1670" s="7" t="str">
        <f>IFERROR(__xludf.DUMMYFUNCTION("""COMPUTED_VALUE"""),"Gandes")</f>
        <v>Gandes</v>
      </c>
      <c r="H1670" s="7">
        <f t="shared" si="1"/>
        <v>729</v>
      </c>
    </row>
    <row r="1671" ht="22.5" customHeight="1">
      <c r="B1671" s="7" t="str">
        <f>IFERROR(__xludf.DUMMYFUNCTION("""COMPUTED_VALUE"""),"K/61/261124/2")</f>
        <v>K/61/261124/2</v>
      </c>
      <c r="C1671" s="7" t="str">
        <f>IFERROR(__xludf.DUMMYFUNCTION("""COMPUTED_VALUE"""),"Nibel 3409/ Sukabumi")</f>
        <v>Nibel 3409/ Sukabumi</v>
      </c>
      <c r="D1671" s="7" t="str">
        <f>IFERROR(__xludf.DUMMYFUNCTION("""COMPUTED_VALUE"""),"Berry")</f>
        <v>Berry</v>
      </c>
      <c r="E1671" s="7" t="str">
        <f>IFERROR(__xludf.DUMMYFUNCTION("""COMPUTED_VALUE"""),"DISERAHKAN")</f>
        <v>DISERAHKAN</v>
      </c>
      <c r="F1671" s="9">
        <f>IFERROR(__xludf.DUMMYFUNCTION("""COMPUTED_VALUE"""),45624.593245509255)</f>
        <v>45624.59325</v>
      </c>
      <c r="G1671" s="7" t="str">
        <f>IFERROR(__xludf.DUMMYFUNCTION("""COMPUTED_VALUE"""),"BN JUAL BELI")</f>
        <v>BN JUAL BELI</v>
      </c>
      <c r="H1671" s="7">
        <f t="shared" si="1"/>
        <v>730</v>
      </c>
    </row>
    <row r="1672" ht="22.5" customHeight="1">
      <c r="B1672" s="7" t="str">
        <f>IFERROR(__xludf.DUMMYFUNCTION("""COMPUTED_VALUE"""),"K/63/261124/1")</f>
        <v>K/63/261124/1</v>
      </c>
      <c r="C1672" s="7" t="str">
        <f>IFERROR(__xludf.DUMMYFUNCTION("""COMPUTED_VALUE"""),"B.1518/SUMBEREJO KEMILING")</f>
        <v>B.1518/SUMBEREJO KEMILING</v>
      </c>
      <c r="D1672" s="7" t="str">
        <f>IFERROR(__xludf.DUMMYFUNCTION("""COMPUTED_VALUE"""),"Berry")</f>
        <v>Berry</v>
      </c>
      <c r="E1672" s="7" t="str">
        <f>IFERROR(__xludf.DUMMYFUNCTION("""COMPUTED_VALUE"""),"PROSES")</f>
        <v>PROSES</v>
      </c>
      <c r="F1672" s="9" t="str">
        <f>IFERROR(__xludf.DUMMYFUNCTION("""COMPUTED_VALUE"""),"")</f>
        <v/>
      </c>
      <c r="G1672" s="7" t="str">
        <f>IFERROR(__xludf.DUMMYFUNCTION("""COMPUTED_VALUE"""),"PLOTING")</f>
        <v>PLOTING</v>
      </c>
      <c r="H1672" s="7">
        <f t="shared" si="1"/>
        <v>730</v>
      </c>
    </row>
    <row r="1673" ht="22.5" customHeight="1">
      <c r="B1673" s="7" t="str">
        <f>IFERROR(__xludf.DUMMYFUNCTION("""COMPUTED_VALUE"""),"K/66/261124/1")</f>
        <v>K/66/261124/1</v>
      </c>
      <c r="C1673" s="7" t="str">
        <f>IFERROR(__xludf.DUMMYFUNCTION("""COMPUTED_VALUE"""),"M.19618/SUKARAME-SEKARANG;B.1143/SUKARAME I-DAHULU")</f>
        <v>M.19618/SUKARAME-SEKARANG;B.1143/SUKARAME I-DAHULU</v>
      </c>
      <c r="D1673" s="7" t="str">
        <f>IFERROR(__xludf.DUMMYFUNCTION("""COMPUTED_VALUE"""),"Berry")</f>
        <v>Berry</v>
      </c>
      <c r="E1673" s="7" t="str">
        <f>IFERROR(__xludf.DUMMYFUNCTION("""COMPUTED_VALUE"""),"DISERAHKAN")</f>
        <v>DISERAHKAN</v>
      </c>
      <c r="F1673" s="9">
        <f>IFERROR(__xludf.DUMMYFUNCTION("""COMPUTED_VALUE"""),45624.59355385417)</f>
        <v>45624.59355</v>
      </c>
      <c r="G1673" s="7" t="str">
        <f>IFERROR(__xludf.DUMMYFUNCTION("""COMPUTED_VALUE"""),"BN JUAL BELI")</f>
        <v>BN JUAL BELI</v>
      </c>
      <c r="H1673" s="7">
        <f t="shared" si="1"/>
        <v>731</v>
      </c>
    </row>
    <row r="1674" ht="22.5" customHeight="1">
      <c r="B1674" s="7" t="str">
        <f>IFERROR(__xludf.DUMMYFUNCTION("""COMPUTED_VALUE"""),"K/64/261124/2")</f>
        <v>K/64/261124/2</v>
      </c>
      <c r="C1674" s="7" t="str">
        <f>IFERROR(__xludf.DUMMYFUNCTION("""COMPUTED_VALUE"""),"B.454/NUSANTARA PERMAI")</f>
        <v>B.454/NUSANTARA PERMAI</v>
      </c>
      <c r="D1674" s="7" t="str">
        <f>IFERROR(__xludf.DUMMYFUNCTION("""COMPUTED_VALUE"""),"Berry")</f>
        <v>Berry</v>
      </c>
      <c r="E1674" s="7" t="str">
        <f>IFERROR(__xludf.DUMMYFUNCTION("""COMPUTED_VALUE"""),"DISERAHKAN SU")</f>
        <v>DISERAHKAN SU</v>
      </c>
      <c r="F1674" s="9">
        <f>IFERROR(__xludf.DUMMYFUNCTION("""COMPUTED_VALUE"""),45624.59404144676)</f>
        <v>45624.59404</v>
      </c>
      <c r="G1674" s="7" t="str">
        <f>IFERROR(__xludf.DUMMYFUNCTION("""COMPUTED_VALUE"""),"PENINGKATAN HAK")</f>
        <v>PENINGKATAN HAK</v>
      </c>
      <c r="H1674" s="7">
        <f t="shared" si="1"/>
        <v>731</v>
      </c>
    </row>
    <row r="1675" ht="22.5" customHeight="1">
      <c r="B1675" s="7" t="str">
        <f>IFERROR(__xludf.DUMMYFUNCTION("""COMPUTED_VALUE"""),"K/67/261124/2")</f>
        <v>K/67/261124/2</v>
      </c>
      <c r="C1675" s="7" t="str">
        <f>IFERROR(__xludf.DUMMYFUNCTION("""COMPUTED_VALUE"""),"M.2198/GEDONG AIR")</f>
        <v>M.2198/GEDONG AIR</v>
      </c>
      <c r="D1675" s="7" t="str">
        <f>IFERROR(__xludf.DUMMYFUNCTION("""COMPUTED_VALUE"""),"Berry")</f>
        <v>Berry</v>
      </c>
      <c r="E1675" s="7" t="str">
        <f>IFERROR(__xludf.DUMMYFUNCTION("""COMPUTED_VALUE"""),"DISERAHKAN")</f>
        <v>DISERAHKAN</v>
      </c>
      <c r="F1675" s="9">
        <f>IFERROR(__xludf.DUMMYFUNCTION("""COMPUTED_VALUE"""),45624.594214791665)</f>
        <v>45624.59421</v>
      </c>
      <c r="G1675" s="7" t="str">
        <f>IFERROR(__xludf.DUMMYFUNCTION("""COMPUTED_VALUE"""),"KEWARISAN")</f>
        <v>KEWARISAN</v>
      </c>
      <c r="H1675" s="7">
        <f t="shared" si="1"/>
        <v>732</v>
      </c>
    </row>
    <row r="1676" ht="22.5" customHeight="1">
      <c r="B1676" s="7" t="str">
        <f>IFERROR(__xludf.DUMMYFUNCTION("""COMPUTED_VALUE"""),"K/65/261124/3")</f>
        <v>K/65/261124/3</v>
      </c>
      <c r="C1676" s="7" t="str">
        <f>IFERROR(__xludf.DUMMYFUNCTION("""COMPUTED_VALUE"""),"M. 3445/ Beringin raya")</f>
        <v>M. 3445/ Beringin raya</v>
      </c>
      <c r="D1676" s="7" t="str">
        <f>IFERROR(__xludf.DUMMYFUNCTION("""COMPUTED_VALUE"""),"Berry")</f>
        <v>Berry</v>
      </c>
      <c r="E1676" s="7" t="str">
        <f>IFERROR(__xludf.DUMMYFUNCTION("""COMPUTED_VALUE"""),"DISERAHKAN")</f>
        <v>DISERAHKAN</v>
      </c>
      <c r="F1676" s="9">
        <f>IFERROR(__xludf.DUMMYFUNCTION("""COMPUTED_VALUE"""),45624.594432743055)</f>
        <v>45624.59443</v>
      </c>
      <c r="G1676" s="7" t="str">
        <f>IFERROR(__xludf.DUMMYFUNCTION("""COMPUTED_VALUE"""),"BN JUAL BELI")</f>
        <v>BN JUAL BELI</v>
      </c>
      <c r="H1676" s="7">
        <f t="shared" si="1"/>
        <v>733</v>
      </c>
    </row>
    <row r="1677" ht="22.5" customHeight="1">
      <c r="B1677" s="7" t="str">
        <f>IFERROR(__xludf.DUMMYFUNCTION("""COMPUTED_VALUE"""),"L/54/261124/2")</f>
        <v>L/54/261124/2</v>
      </c>
      <c r="C1677" s="7" t="str">
        <f>IFERROR(__xludf.DUMMYFUNCTION("""COMPUTED_VALUE"""),"HM 12100/JAGABAYA II")</f>
        <v>HM 12100/JAGABAYA II</v>
      </c>
      <c r="D1677" s="7" t="str">
        <f>IFERROR(__xludf.DUMMYFUNCTION("""COMPUTED_VALUE"""),"Berry")</f>
        <v>Berry</v>
      </c>
      <c r="E1677" s="7" t="str">
        <f>IFERROR(__xludf.DUMMYFUNCTION("""COMPUTED_VALUE"""),"PROSES")</f>
        <v>PROSES</v>
      </c>
      <c r="F1677" s="9" t="str">
        <f>IFERROR(__xludf.DUMMYFUNCTION("""COMPUTED_VALUE"""),"")</f>
        <v/>
      </c>
      <c r="G1677" s="7" t="str">
        <f>IFERROR(__xludf.DUMMYFUNCTION("""COMPUTED_VALUE"""),"ROYA")</f>
        <v>ROYA</v>
      </c>
      <c r="H1677" s="7">
        <f t="shared" si="1"/>
        <v>733</v>
      </c>
    </row>
    <row r="1678" ht="22.5" customHeight="1">
      <c r="B1678" s="7" t="str">
        <f>IFERROR(__xludf.DUMMYFUNCTION("""COMPUTED_VALUE"""),"K/68/261124/1")</f>
        <v>K/68/261124/1</v>
      </c>
      <c r="C1678" s="7" t="str">
        <f>IFERROR(__xludf.DUMMYFUNCTION("""COMPUTED_VALUE"""),"M. 6428/ way Kandis")</f>
        <v>M. 6428/ way Kandis</v>
      </c>
      <c r="D1678" s="7" t="str">
        <f>IFERROR(__xludf.DUMMYFUNCTION("""COMPUTED_VALUE"""),"Berry")</f>
        <v>Berry</v>
      </c>
      <c r="E1678" s="7" t="str">
        <f>IFERROR(__xludf.DUMMYFUNCTION("""COMPUTED_VALUE"""),"PROSES")</f>
        <v>PROSES</v>
      </c>
      <c r="F1678" s="9" t="str">
        <f>IFERROR(__xludf.DUMMYFUNCTION("""COMPUTED_VALUE"""),"")</f>
        <v/>
      </c>
      <c r="G1678" s="7" t="str">
        <f>IFERROR(__xludf.DUMMYFUNCTION("""COMPUTED_VALUE"""),"BN JUAL BELI")</f>
        <v>BN JUAL BELI</v>
      </c>
      <c r="H1678" s="7">
        <f t="shared" si="1"/>
        <v>733</v>
      </c>
    </row>
    <row r="1679" ht="22.5" customHeight="1">
      <c r="B1679" s="7" t="str">
        <f>IFERROR(__xludf.DUMMYFUNCTION("""COMPUTED_VALUE"""),"K/69/261124/2")</f>
        <v>K/69/261124/2</v>
      </c>
      <c r="C1679" s="7" t="str">
        <f>IFERROR(__xludf.DUMMYFUNCTION("""COMPUTED_VALUE"""),"M. 1615/ Bumi Kedamaian")</f>
        <v>M. 1615/ Bumi Kedamaian</v>
      </c>
      <c r="D1679" s="7" t="str">
        <f>IFERROR(__xludf.DUMMYFUNCTION("""COMPUTED_VALUE"""),"Berry")</f>
        <v>Berry</v>
      </c>
      <c r="E1679" s="7" t="str">
        <f>IFERROR(__xludf.DUMMYFUNCTION("""COMPUTED_VALUE"""),"PROSES")</f>
        <v>PROSES</v>
      </c>
      <c r="F1679" s="9" t="str">
        <f>IFERROR(__xludf.DUMMYFUNCTION("""COMPUTED_VALUE"""),"")</f>
        <v/>
      </c>
      <c r="G1679" s="7" t="str">
        <f>IFERROR(__xludf.DUMMYFUNCTION("""COMPUTED_VALUE"""),"BN WARIS")</f>
        <v>BN WARIS</v>
      </c>
      <c r="H1679" s="7">
        <f t="shared" si="1"/>
        <v>733</v>
      </c>
    </row>
    <row r="1680" ht="22.5" customHeight="1">
      <c r="B1680" s="7" t="str">
        <f>IFERROR(__xludf.DUMMYFUNCTION("""COMPUTED_VALUE"""),"K/70/261124/1")</f>
        <v>K/70/261124/1</v>
      </c>
      <c r="C1680" s="7" t="str">
        <f>IFERROR(__xludf.DUMMYFUNCTION("""COMPUTED_VALUE"""),"M. 6200/ Way Kandis")</f>
        <v>M. 6200/ Way Kandis</v>
      </c>
      <c r="D1680" s="7"/>
      <c r="E1680" s="7"/>
      <c r="F1680" s="9" t="str">
        <f>IFERROR(__xludf.DUMMYFUNCTION("""COMPUTED_VALUE"""),"")</f>
        <v/>
      </c>
      <c r="G1680" s="7" t="str">
        <f>IFERROR(__xludf.DUMMYFUNCTION("""COMPUTED_VALUE"""),"BN Jual Beli")</f>
        <v>BN Jual Beli</v>
      </c>
      <c r="H1680" s="7">
        <f t="shared" si="1"/>
        <v>733</v>
      </c>
    </row>
    <row r="1681" ht="22.5" customHeight="1">
      <c r="B1681" s="7" t="str">
        <f>IFERROR(__xludf.DUMMYFUNCTION("""COMPUTED_VALUE"""),"K/71/261124/2")</f>
        <v>K/71/261124/2</v>
      </c>
      <c r="C1681" s="7" t="str">
        <f>IFERROR(__xludf.DUMMYFUNCTION("""COMPUTED_VALUE"""),"M. 6198/ Way Kandis")</f>
        <v>M. 6198/ Way Kandis</v>
      </c>
      <c r="D1681" s="7" t="str">
        <f>IFERROR(__xludf.DUMMYFUNCTION("""COMPUTED_VALUE"""),"Berry")</f>
        <v>Berry</v>
      </c>
      <c r="E1681" s="7" t="str">
        <f>IFERROR(__xludf.DUMMYFUNCTION("""COMPUTED_VALUE"""),"PROSES")</f>
        <v>PROSES</v>
      </c>
      <c r="F1681" s="9" t="str">
        <f>IFERROR(__xludf.DUMMYFUNCTION("""COMPUTED_VALUE"""),"")</f>
        <v/>
      </c>
      <c r="G1681" s="7" t="str">
        <f>IFERROR(__xludf.DUMMYFUNCTION("""COMPUTED_VALUE"""),"BN Jual Beli")</f>
        <v>BN Jual Beli</v>
      </c>
      <c r="H1681" s="7">
        <f t="shared" si="1"/>
        <v>733</v>
      </c>
    </row>
    <row r="1682" ht="22.5" customHeight="1">
      <c r="B1682" s="7" t="str">
        <f>IFERROR(__xludf.DUMMYFUNCTION("""COMPUTED_VALUE"""),"K/72/261124/1")</f>
        <v>K/72/261124/1</v>
      </c>
      <c r="C1682" s="7" t="str">
        <f>IFERROR(__xludf.DUMMYFUNCTION("""COMPUTED_VALUE"""),"Nibel. M. 3515/ Sumberejo Sejahtera")</f>
        <v>Nibel. M. 3515/ Sumberejo Sejahtera</v>
      </c>
      <c r="D1682" s="7" t="str">
        <f>IFERROR(__xludf.DUMMYFUNCTION("""COMPUTED_VALUE"""),"Berry")</f>
        <v>Berry</v>
      </c>
      <c r="E1682" s="7" t="str">
        <f>IFERROR(__xludf.DUMMYFUNCTION("""COMPUTED_VALUE"""),"PROSES")</f>
        <v>PROSES</v>
      </c>
      <c r="F1682" s="9" t="str">
        <f>IFERROR(__xludf.DUMMYFUNCTION("""COMPUTED_VALUE"""),"")</f>
        <v/>
      </c>
      <c r="G1682" s="7" t="str">
        <f>IFERROR(__xludf.DUMMYFUNCTION("""COMPUTED_VALUE"""),"BN Lelang")</f>
        <v>BN Lelang</v>
      </c>
      <c r="H1682" s="7">
        <f t="shared" si="1"/>
        <v>733</v>
      </c>
    </row>
    <row r="1683" ht="22.5" customHeight="1">
      <c r="B1683" s="7" t="str">
        <f>IFERROR(__xludf.DUMMYFUNCTION("""COMPUTED_VALUE"""),"K/1/281124/1")</f>
        <v>K/1/281124/1</v>
      </c>
      <c r="C1683" s="7" t="str">
        <f>IFERROR(__xludf.DUMMYFUNCTION("""COMPUTED_VALUE"""),"M. 209/ Bumi Raya")</f>
        <v>M. 209/ Bumi Raya</v>
      </c>
      <c r="D1683" s="7" t="str">
        <f>IFERROR(__xludf.DUMMYFUNCTION("""COMPUTED_VALUE"""),"Berry")</f>
        <v>Berry</v>
      </c>
      <c r="E1683" s="7" t="str">
        <f>IFERROR(__xludf.DUMMYFUNCTION("""COMPUTED_VALUE"""),"PROSES")</f>
        <v>PROSES</v>
      </c>
      <c r="F1683" s="9" t="str">
        <f>IFERROR(__xludf.DUMMYFUNCTION("""COMPUTED_VALUE"""),"")</f>
        <v/>
      </c>
      <c r="G1683" s="7" t="str">
        <f>IFERROR(__xludf.DUMMYFUNCTION("""COMPUTED_VALUE"""),"BN WARIS")</f>
        <v>BN WARIS</v>
      </c>
      <c r="H1683" s="7">
        <f t="shared" si="1"/>
        <v>733</v>
      </c>
    </row>
    <row r="1684" ht="22.5" customHeight="1">
      <c r="B1684" s="7" t="str">
        <f>IFERROR(__xludf.DUMMYFUNCTION("""COMPUTED_VALUE"""),"K/2/281124/2")</f>
        <v>K/2/281124/2</v>
      </c>
      <c r="C1684" s="7" t="str">
        <f>IFERROR(__xludf.DUMMYFUNCTION("""COMPUTED_VALUE"""),"M. 208/ Bumi Raya")</f>
        <v>M. 208/ Bumi Raya</v>
      </c>
      <c r="D1684" s="7"/>
      <c r="E1684" s="7"/>
      <c r="F1684" s="9" t="str">
        <f>IFERROR(__xludf.DUMMYFUNCTION("""COMPUTED_VALUE"""),"")</f>
        <v/>
      </c>
      <c r="G1684" s="7" t="str">
        <f>IFERROR(__xludf.DUMMYFUNCTION("""COMPUTED_VALUE"""),"BN WARIS")</f>
        <v>BN WARIS</v>
      </c>
      <c r="H1684" s="7">
        <f t="shared" si="1"/>
        <v>733</v>
      </c>
    </row>
    <row r="1685" ht="22.5" customHeight="1">
      <c r="B1685" s="7" t="str">
        <f>IFERROR(__xludf.DUMMYFUNCTION("""COMPUTED_VALUE"""),"K/3/281124/3")</f>
        <v>K/3/281124/3</v>
      </c>
      <c r="C1685" s="7" t="str">
        <f>IFERROR(__xludf.DUMMYFUNCTION("""COMPUTED_VALUE"""),"M. 210/ Bumi Raya")</f>
        <v>M. 210/ Bumi Raya</v>
      </c>
      <c r="D1685" s="7" t="str">
        <f>IFERROR(__xludf.DUMMYFUNCTION("""COMPUTED_VALUE"""),"Berry")</f>
        <v>Berry</v>
      </c>
      <c r="E1685" s="7" t="str">
        <f>IFERROR(__xludf.DUMMYFUNCTION("""COMPUTED_VALUE"""),"DISERAHKAN BT")</f>
        <v>DISERAHKAN BT</v>
      </c>
      <c r="F1685" s="9">
        <f>IFERROR(__xludf.DUMMYFUNCTION("""COMPUTED_VALUE"""),45628.39436075231)</f>
        <v>45628.39436</v>
      </c>
      <c r="G1685" s="7" t="str">
        <f>IFERROR(__xludf.DUMMYFUNCTION("""COMPUTED_VALUE"""),"BN WARIS")</f>
        <v>BN WARIS</v>
      </c>
      <c r="H1685" s="7">
        <f t="shared" si="1"/>
        <v>733</v>
      </c>
    </row>
    <row r="1686" ht="22.5" customHeight="1">
      <c r="B1686" s="7" t="str">
        <f>IFERROR(__xludf.DUMMYFUNCTION("""COMPUTED_VALUE"""),"K/4/281124/1")</f>
        <v>K/4/281124/1</v>
      </c>
      <c r="C1686" s="7" t="str">
        <f>IFERROR(__xludf.DUMMYFUNCTION("""COMPUTED_VALUE"""),"M.1285/PINANG JAYA")</f>
        <v>M.1285/PINANG JAYA</v>
      </c>
      <c r="D1686" s="7"/>
      <c r="E1686" s="7"/>
      <c r="F1686" s="9" t="str">
        <f>IFERROR(__xludf.DUMMYFUNCTION("""COMPUTED_VALUE"""),"")</f>
        <v/>
      </c>
      <c r="G1686" s="7" t="str">
        <f>IFERROR(__xludf.DUMMYFUNCTION("""COMPUTED_VALUE"""),"HAPUS BPHTB")</f>
        <v>HAPUS BPHTB</v>
      </c>
      <c r="H1686" s="7">
        <f t="shared" si="1"/>
        <v>733</v>
      </c>
    </row>
    <row r="1687" ht="22.5" customHeight="1">
      <c r="B1687" s="7" t="str">
        <f>IFERROR(__xludf.DUMMYFUNCTION("""COMPUTED_VALUE"""),"L/5/281124/1")</f>
        <v>L/5/281124/1</v>
      </c>
      <c r="C1687" s="7" t="str">
        <f>IFERROR(__xludf.DUMMYFUNCTION("""COMPUTED_VALUE"""),"HGB 60/BUMI KEDAMAIAN")</f>
        <v>HGB 60/BUMI KEDAMAIAN</v>
      </c>
      <c r="D1687" s="7" t="str">
        <f>IFERROR(__xludf.DUMMYFUNCTION("""COMPUTED_VALUE"""),"Berry")</f>
        <v>Berry</v>
      </c>
      <c r="E1687" s="7" t="str">
        <f>IFERROR(__xludf.DUMMYFUNCTION("""COMPUTED_VALUE"""),"PROSES")</f>
        <v>PROSES</v>
      </c>
      <c r="F1687" s="9" t="str">
        <f>IFERROR(__xludf.DUMMYFUNCTION("""COMPUTED_VALUE"""),"")</f>
        <v/>
      </c>
      <c r="G1687" s="7" t="str">
        <f>IFERROR(__xludf.DUMMYFUNCTION("""COMPUTED_VALUE"""),"PH")</f>
        <v>PH</v>
      </c>
      <c r="H1687" s="7">
        <f t="shared" si="1"/>
        <v>733</v>
      </c>
    </row>
    <row r="1688" ht="22.5" customHeight="1">
      <c r="B1688" s="7" t="str">
        <f>IFERROR(__xludf.DUMMYFUNCTION("""COMPUTED_VALUE"""),"K/6/281124/1")</f>
        <v>K/6/281124/1</v>
      </c>
      <c r="C1688" s="7" t="str">
        <f>IFERROR(__xludf.DUMMYFUNCTION("""COMPUTED_VALUE"""),"M. 03/ Sepang Jaya")</f>
        <v>M. 03/ Sepang Jaya</v>
      </c>
      <c r="D1688" s="7" t="str">
        <f>IFERROR(__xludf.DUMMYFUNCTION("""COMPUTED_VALUE"""),"Berry")</f>
        <v>Berry</v>
      </c>
      <c r="E1688" s="7" t="str">
        <f>IFERROR(__xludf.DUMMYFUNCTION("""COMPUTED_VALUE"""),"DISERAHKAN")</f>
        <v>DISERAHKAN</v>
      </c>
      <c r="F1688" s="9">
        <f>IFERROR(__xludf.DUMMYFUNCTION("""COMPUTED_VALUE"""),45628.39524210648)</f>
        <v>45628.39524</v>
      </c>
      <c r="G1688" s="7" t="str">
        <f>IFERROR(__xludf.DUMMYFUNCTION("""COMPUTED_VALUE"""),"Gandes")</f>
        <v>Gandes</v>
      </c>
      <c r="H1688" s="7">
        <f t="shared" si="1"/>
        <v>734</v>
      </c>
    </row>
    <row r="1689" ht="22.5" customHeight="1">
      <c r="B1689" s="7" t="str">
        <f>IFERROR(__xludf.DUMMYFUNCTION("""COMPUTED_VALUE"""),"K/8/281124/1")</f>
        <v>K/8/281124/1</v>
      </c>
      <c r="C1689" s="7" t="str">
        <f>IFERROR(__xludf.DUMMYFUNCTION("""COMPUTED_VALUE"""),"M. 1646/ Bumi Kedamaian")</f>
        <v>M. 1646/ Bumi Kedamaian</v>
      </c>
      <c r="D1689" s="7"/>
      <c r="E1689" s="7"/>
      <c r="F1689" s="9" t="str">
        <f>IFERROR(__xludf.DUMMYFUNCTION("""COMPUTED_VALUE"""),"")</f>
        <v/>
      </c>
      <c r="G1689" s="7" t="str">
        <f>IFERROR(__xludf.DUMMYFUNCTION("""COMPUTED_VALUE"""),"BN Jual Beli")</f>
        <v>BN Jual Beli</v>
      </c>
      <c r="H1689" s="7">
        <f t="shared" si="1"/>
        <v>734</v>
      </c>
    </row>
    <row r="1690" ht="22.5" customHeight="1">
      <c r="B1690" s="7" t="str">
        <f>IFERROR(__xludf.DUMMYFUNCTION("""COMPUTED_VALUE"""),"K/7/281124/1")</f>
        <v>K/7/281124/1</v>
      </c>
      <c r="C1690" s="7" t="str">
        <f>IFERROR(__xludf.DUMMYFUNCTION("""COMPUTED_VALUE"""),"M. 1182/ Sukajawa")</f>
        <v>M. 1182/ Sukajawa</v>
      </c>
      <c r="D1690" s="7"/>
      <c r="E1690" s="7"/>
      <c r="F1690" s="9" t="str">
        <f>IFERROR(__xludf.DUMMYFUNCTION("""COMPUTED_VALUE"""),"")</f>
        <v/>
      </c>
      <c r="G1690" s="7" t="str">
        <f>IFERROR(__xludf.DUMMYFUNCTION("""COMPUTED_VALUE"""),"BN WARIS")</f>
        <v>BN WARIS</v>
      </c>
      <c r="H1690" s="7">
        <f t="shared" si="1"/>
        <v>734</v>
      </c>
    </row>
    <row r="1691" ht="22.5" customHeight="1">
      <c r="B1691" s="7" t="str">
        <f>IFERROR(__xludf.DUMMYFUNCTION("""COMPUTED_VALUE"""),"K/9/281124/1")</f>
        <v>K/9/281124/1</v>
      </c>
      <c r="C1691" s="7" t="str">
        <f>IFERROR(__xludf.DUMMYFUNCTION("""COMPUTED_VALUE"""),"NIBEL M.3503/DURIAN PAYUNG")</f>
        <v>NIBEL M.3503/DURIAN PAYUNG</v>
      </c>
      <c r="D1691" s="7" t="str">
        <f>IFERROR(__xludf.DUMMYFUNCTION("""COMPUTED_VALUE"""),"Berry")</f>
        <v>Berry</v>
      </c>
      <c r="E1691" s="7" t="str">
        <f>IFERROR(__xludf.DUMMYFUNCTION("""COMPUTED_VALUE"""),"PROSES")</f>
        <v>PROSES</v>
      </c>
      <c r="F1691" s="9" t="str">
        <f>IFERROR(__xludf.DUMMYFUNCTION("""COMPUTED_VALUE"""),"")</f>
        <v/>
      </c>
      <c r="G1691" s="7" t="str">
        <f>IFERROR(__xludf.DUMMYFUNCTION("""COMPUTED_VALUE"""),"BN JUAL BELI")</f>
        <v>BN JUAL BELI</v>
      </c>
      <c r="H1691" s="7">
        <f t="shared" si="1"/>
        <v>734</v>
      </c>
    </row>
    <row r="1692" ht="22.5" customHeight="1">
      <c r="B1692" s="7" t="str">
        <f>IFERROR(__xludf.DUMMYFUNCTION("""COMPUTED_VALUE"""),"L/10/281124/1")</f>
        <v>L/10/281124/1</v>
      </c>
      <c r="C1692" s="7" t="str">
        <f>IFERROR(__xludf.DUMMYFUNCTION("""COMPUTED_VALUE"""),"SEGALA MIDER")</f>
        <v>SEGALA MIDER</v>
      </c>
      <c r="D1692" s="7" t="str">
        <f>IFERROR(__xludf.DUMMYFUNCTION("""COMPUTED_VALUE"""),"Berry")</f>
        <v>Berry</v>
      </c>
      <c r="E1692" s="7" t="str">
        <f>IFERROR(__xludf.DUMMYFUNCTION("""COMPUTED_VALUE"""),"DISERAHKAN")</f>
        <v>DISERAHKAN</v>
      </c>
      <c r="F1692" s="9">
        <f>IFERROR(__xludf.DUMMYFUNCTION("""COMPUTED_VALUE"""),45628.396275844905)</f>
        <v>45628.39628</v>
      </c>
      <c r="G1692" s="7" t="str">
        <f>IFERROR(__xludf.DUMMYFUNCTION("""COMPUTED_VALUE"""),"TANAH MENTAH")</f>
        <v>TANAH MENTAH</v>
      </c>
      <c r="H1692" s="7">
        <f t="shared" si="1"/>
        <v>735</v>
      </c>
    </row>
    <row r="1693" ht="22.5" customHeight="1">
      <c r="B1693" s="7" t="str">
        <f>IFERROR(__xludf.DUMMYFUNCTION("""COMPUTED_VALUE"""),"K/11/281124/1")</f>
        <v>K/11/281124/1</v>
      </c>
      <c r="C1693" s="7" t="str">
        <f>IFERROR(__xludf.DUMMYFUNCTION("""COMPUTED_VALUE"""),"M.2969/RAJABASA JAYA")</f>
        <v>M.2969/RAJABASA JAYA</v>
      </c>
      <c r="D1693" s="7" t="str">
        <f>IFERROR(__xludf.DUMMYFUNCTION("""COMPUTED_VALUE"""),"Berry")</f>
        <v>Berry</v>
      </c>
      <c r="E1693" s="7" t="str">
        <f>IFERROR(__xludf.DUMMYFUNCTION("""COMPUTED_VALUE"""),"PROSES")</f>
        <v>PROSES</v>
      </c>
      <c r="F1693" s="9" t="str">
        <f>IFERROR(__xludf.DUMMYFUNCTION("""COMPUTED_VALUE"""),"")</f>
        <v/>
      </c>
      <c r="G1693" s="7" t="str">
        <f>IFERROR(__xludf.DUMMYFUNCTION("""COMPUTED_VALUE"""),"BN JUAL BELI")</f>
        <v>BN JUAL BELI</v>
      </c>
      <c r="H1693" s="7">
        <f t="shared" si="1"/>
        <v>735</v>
      </c>
    </row>
    <row r="1694" ht="22.5" customHeight="1">
      <c r="B1694" s="7" t="str">
        <f>IFERROR(__xludf.DUMMYFUNCTION("""COMPUTED_VALUE"""),"K/12/281124/1")</f>
        <v>K/12/281124/1</v>
      </c>
      <c r="C1694" s="7" t="str">
        <f>IFERROR(__xludf.DUMMYFUNCTION("""COMPUTED_VALUE"""),"M. 4167/ Sukadana Ham")</f>
        <v>M. 4167/ Sukadana Ham</v>
      </c>
      <c r="D1694" s="7" t="str">
        <f>IFERROR(__xludf.DUMMYFUNCTION("""COMPUTED_VALUE"""),"Berry")</f>
        <v>Berry</v>
      </c>
      <c r="E1694" s="7" t="str">
        <f>IFERROR(__xludf.DUMMYFUNCTION("""COMPUTED_VALUE"""),"PROSES")</f>
        <v>PROSES</v>
      </c>
      <c r="F1694" s="9" t="str">
        <f>IFERROR(__xludf.DUMMYFUNCTION("""COMPUTED_VALUE"""),"")</f>
        <v/>
      </c>
      <c r="G1694" s="7" t="str">
        <f>IFERROR(__xludf.DUMMYFUNCTION("""COMPUTED_VALUE"""),"BN Jual Beli")</f>
        <v>BN Jual Beli</v>
      </c>
      <c r="H1694" s="7">
        <f t="shared" si="1"/>
        <v>735</v>
      </c>
    </row>
    <row r="1695" ht="22.5" customHeight="1">
      <c r="B1695" s="7" t="str">
        <f>IFERROR(__xludf.DUMMYFUNCTION("""COMPUTED_VALUE"""),"K/13/281124/1")</f>
        <v>K/13/281124/1</v>
      </c>
      <c r="C1695" s="7" t="str">
        <f>IFERROR(__xludf.DUMMYFUNCTION("""COMPUTED_VALUE"""),"M.66/TANJUNG AGUNG RAYA")</f>
        <v>M.66/TANJUNG AGUNG RAYA</v>
      </c>
      <c r="D1695" s="7" t="str">
        <f>IFERROR(__xludf.DUMMYFUNCTION("""COMPUTED_VALUE"""),"Berry")</f>
        <v>Berry</v>
      </c>
      <c r="E1695" s="7" t="str">
        <f>IFERROR(__xludf.DUMMYFUNCTION("""COMPUTED_VALUE"""),"DISERAHKAN")</f>
        <v>DISERAHKAN</v>
      </c>
      <c r="F1695" s="9">
        <f>IFERROR(__xludf.DUMMYFUNCTION("""COMPUTED_VALUE"""),45628.398395729164)</f>
        <v>45628.3984</v>
      </c>
      <c r="G1695" s="7" t="str">
        <f>IFERROR(__xludf.DUMMYFUNCTION("""COMPUTED_VALUE"""),"BN WARIS")</f>
        <v>BN WARIS</v>
      </c>
      <c r="H1695" s="7">
        <f t="shared" si="1"/>
        <v>736</v>
      </c>
    </row>
    <row r="1696" ht="22.5" customHeight="1">
      <c r="B1696" s="7" t="str">
        <f>IFERROR(__xludf.DUMMYFUNCTION("""COMPUTED_VALUE"""),"K/14/281124/2")</f>
        <v>K/14/281124/2</v>
      </c>
      <c r="C1696" s="7" t="str">
        <f>IFERROR(__xludf.DUMMYFUNCTION("""COMPUTED_VALUE"""),"M. 1764/ Rajabasa Pemuka; M. 11947/ Rajabasa-dahulu; B. 71/ Rajabasa-dahulu")</f>
        <v>M. 1764/ Rajabasa Pemuka; M. 11947/ Rajabasa-dahulu; B. 71/ Rajabasa-dahulu</v>
      </c>
      <c r="D1696" s="7" t="str">
        <f>IFERROR(__xludf.DUMMYFUNCTION("""COMPUTED_VALUE"""),"Berry")</f>
        <v>Berry</v>
      </c>
      <c r="E1696" s="7" t="str">
        <f>IFERROR(__xludf.DUMMYFUNCTION("""COMPUTED_VALUE"""),"DISERAHKAN")</f>
        <v>DISERAHKAN</v>
      </c>
      <c r="F1696" s="9">
        <f>IFERROR(__xludf.DUMMYFUNCTION("""COMPUTED_VALUE"""),45628.39889267361)</f>
        <v>45628.39889</v>
      </c>
      <c r="G1696" s="7" t="str">
        <f>IFERROR(__xludf.DUMMYFUNCTION("""COMPUTED_VALUE"""),"BN Hibah")</f>
        <v>BN Hibah</v>
      </c>
      <c r="H1696" s="7">
        <f t="shared" si="1"/>
        <v>737</v>
      </c>
    </row>
    <row r="1697" ht="22.5" customHeight="1">
      <c r="B1697" s="7" t="str">
        <f>IFERROR(__xludf.DUMMYFUNCTION("""COMPUTED_VALUE"""),"K/15/281124/1")</f>
        <v>K/15/281124/1</v>
      </c>
      <c r="C1697" s="7" t="str">
        <f>IFERROR(__xludf.DUMMYFUNCTION("""COMPUTED_VALUE"""),"M. 10209/ Jagabaya II")</f>
        <v>M. 10209/ Jagabaya II</v>
      </c>
      <c r="D1697" s="7" t="str">
        <f>IFERROR(__xludf.DUMMYFUNCTION("""COMPUTED_VALUE"""),"Berry")</f>
        <v>Berry</v>
      </c>
      <c r="E1697" s="7" t="str">
        <f>IFERROR(__xludf.DUMMYFUNCTION("""COMPUTED_VALUE"""),"DISERAHKAN")</f>
        <v>DISERAHKAN</v>
      </c>
      <c r="F1697" s="9">
        <f>IFERROR(__xludf.DUMMYFUNCTION("""COMPUTED_VALUE"""),45628.39942614583)</f>
        <v>45628.39943</v>
      </c>
      <c r="G1697" s="7" t="str">
        <f>IFERROR(__xludf.DUMMYFUNCTION("""COMPUTED_VALUE"""),"BN Waris")</f>
        <v>BN Waris</v>
      </c>
      <c r="H1697" s="7">
        <f t="shared" si="1"/>
        <v>738</v>
      </c>
    </row>
    <row r="1698" ht="22.5" customHeight="1">
      <c r="B1698" s="7" t="str">
        <f>IFERROR(__xludf.DUMMYFUNCTION("""COMPUTED_VALUE"""),"K/16/281124/2")</f>
        <v>K/16/281124/2</v>
      </c>
      <c r="C1698" s="7" t="str">
        <f>IFERROR(__xludf.DUMMYFUNCTION("""COMPUTED_VALUE"""),"M. 10188/ Jagabaya II")</f>
        <v>M. 10188/ Jagabaya II</v>
      </c>
      <c r="D1698" s="7" t="str">
        <f>IFERROR(__xludf.DUMMYFUNCTION("""COMPUTED_VALUE"""),"Berry")</f>
        <v>Berry</v>
      </c>
      <c r="E1698" s="7" t="str">
        <f>IFERROR(__xludf.DUMMYFUNCTION("""COMPUTED_VALUE"""),"DISERAHKAN")</f>
        <v>DISERAHKAN</v>
      </c>
      <c r="F1698" s="9">
        <f>IFERROR(__xludf.DUMMYFUNCTION("""COMPUTED_VALUE"""),45628.39960709491)</f>
        <v>45628.39961</v>
      </c>
      <c r="G1698" s="7" t="str">
        <f>IFERROR(__xludf.DUMMYFUNCTION("""COMPUTED_VALUE"""),"BN Waris")</f>
        <v>BN Waris</v>
      </c>
      <c r="H1698" s="7">
        <f t="shared" si="1"/>
        <v>739</v>
      </c>
    </row>
    <row r="1699" ht="22.5" customHeight="1">
      <c r="B1699" s="7" t="str">
        <f>IFERROR(__xludf.DUMMYFUNCTION("""COMPUTED_VALUE"""),"K/17/281124/1")</f>
        <v>K/17/281124/1</v>
      </c>
      <c r="C1699" s="7" t="str">
        <f>IFERROR(__xludf.DUMMYFUNCTION("""COMPUTED_VALUE"""),"B. 66/ Korpri Jaya")</f>
        <v>B. 66/ Korpri Jaya</v>
      </c>
      <c r="D1699" s="7" t="str">
        <f>IFERROR(__xludf.DUMMYFUNCTION("""COMPUTED_VALUE"""),"Berry")</f>
        <v>Berry</v>
      </c>
      <c r="E1699" s="7" t="str">
        <f>IFERROR(__xludf.DUMMYFUNCTION("""COMPUTED_VALUE"""),"PROSES")</f>
        <v>PROSES</v>
      </c>
      <c r="F1699" s="9" t="str">
        <f>IFERROR(__xludf.DUMMYFUNCTION("""COMPUTED_VALUE"""),"")</f>
        <v/>
      </c>
      <c r="G1699" s="7" t="str">
        <f>IFERROR(__xludf.DUMMYFUNCTION("""COMPUTED_VALUE"""),"BN JUAL BELI")</f>
        <v>BN JUAL BELI</v>
      </c>
      <c r="H1699" s="7">
        <f t="shared" si="1"/>
        <v>739</v>
      </c>
    </row>
    <row r="1700" ht="22.5" customHeight="1">
      <c r="B1700" s="7" t="str">
        <f>IFERROR(__xludf.DUMMYFUNCTION("""COMPUTED_VALUE"""),"K/20/281124/1")</f>
        <v>K/20/281124/1</v>
      </c>
      <c r="C1700" s="7" t="str">
        <f>IFERROR(__xludf.DUMMYFUNCTION("""COMPUTED_VALUE"""),"M.2235/SUSUNAN BARU")</f>
        <v>M.2235/SUSUNAN BARU</v>
      </c>
      <c r="D1700" s="7"/>
      <c r="E1700" s="7"/>
      <c r="F1700" s="9" t="str">
        <f>IFERROR(__xludf.DUMMYFUNCTION("""COMPUTED_VALUE"""),"")</f>
        <v/>
      </c>
      <c r="G1700" s="7" t="str">
        <f>IFERROR(__xludf.DUMMYFUNCTION("""COMPUTED_VALUE"""),"ROYA")</f>
        <v>ROYA</v>
      </c>
      <c r="H1700" s="7">
        <f t="shared" si="1"/>
        <v>739</v>
      </c>
    </row>
    <row r="1701" ht="22.5" customHeight="1">
      <c r="B1701" s="7" t="str">
        <f>IFERROR(__xludf.DUMMYFUNCTION("""COMPUTED_VALUE"""),"K/21/281124/1")</f>
        <v>K/21/281124/1</v>
      </c>
      <c r="C1701" s="7" t="str">
        <f>IFERROR(__xludf.DUMMYFUNCTION("""COMPUTED_VALUE"""),"M.6469/WAY KANDIS ")</f>
        <v>M.6469/WAY KANDIS </v>
      </c>
      <c r="D1701" s="7" t="str">
        <f>IFERROR(__xludf.DUMMYFUNCTION("""COMPUTED_VALUE"""),"Berry")</f>
        <v>Berry</v>
      </c>
      <c r="E1701" s="7" t="str">
        <f>IFERROR(__xludf.DUMMYFUNCTION("""COMPUTED_VALUE"""),"DISERAHKAN")</f>
        <v>DISERAHKAN</v>
      </c>
      <c r="F1701" s="9">
        <f>IFERROR(__xludf.DUMMYFUNCTION("""COMPUTED_VALUE"""),45628.39996394676)</f>
        <v>45628.39996</v>
      </c>
      <c r="G1701" s="7" t="str">
        <f>IFERROR(__xludf.DUMMYFUNCTION("""COMPUTED_VALUE"""),"BN JUAL BELI")</f>
        <v>BN JUAL BELI</v>
      </c>
      <c r="H1701" s="7">
        <f t="shared" si="1"/>
        <v>740</v>
      </c>
    </row>
    <row r="1702" ht="22.5" customHeight="1">
      <c r="B1702" s="7" t="str">
        <f>IFERROR(__xludf.DUMMYFUNCTION("""COMPUTED_VALUE"""),"K/22/281124/2")</f>
        <v>K/22/281124/2</v>
      </c>
      <c r="C1702" s="7" t="str">
        <f>IFERROR(__xludf.DUMMYFUNCTION("""COMPUTED_VALUE"""),"NIBEL M.10126/SUKARAME")</f>
        <v>NIBEL M.10126/SUKARAME</v>
      </c>
      <c r="D1702" s="7" t="str">
        <f>IFERROR(__xludf.DUMMYFUNCTION("""COMPUTED_VALUE"""),"David")</f>
        <v>David</v>
      </c>
      <c r="E1702" s="7" t="str">
        <f>IFERROR(__xludf.DUMMYFUNCTION("""COMPUTED_VALUE"""),"DISERAHKAN SU")</f>
        <v>DISERAHKAN SU</v>
      </c>
      <c r="F1702" s="9">
        <f>IFERROR(__xludf.DUMMYFUNCTION("""COMPUTED_VALUE"""),45628.400921099535)</f>
        <v>45628.40092</v>
      </c>
      <c r="G1702" s="7" t="str">
        <f>IFERROR(__xludf.DUMMYFUNCTION("""COMPUTED_VALUE"""),"BN JUAL BELI")</f>
        <v>BN JUAL BELI</v>
      </c>
      <c r="H1702" s="7">
        <f t="shared" si="1"/>
        <v>740</v>
      </c>
    </row>
    <row r="1703" ht="22.5" customHeight="1">
      <c r="B1703" s="7" t="str">
        <f>IFERROR(__xludf.DUMMYFUNCTION("""COMPUTED_VALUE"""),"K/18/281124/2")</f>
        <v>K/18/281124/2</v>
      </c>
      <c r="C1703" s="7" t="str">
        <f>IFERROR(__xludf.DUMMYFUNCTION("""COMPUTED_VALUE"""),"M. 2648/ PiNang Jaya")</f>
        <v>M. 2648/ PiNang Jaya</v>
      </c>
      <c r="D1703" s="7" t="str">
        <f>IFERROR(__xludf.DUMMYFUNCTION("""COMPUTED_VALUE"""),"David")</f>
        <v>David</v>
      </c>
      <c r="E1703" s="7" t="str">
        <f>IFERROR(__xludf.DUMMYFUNCTION("""COMPUTED_VALUE"""),"DISERAHKAN")</f>
        <v>DISERAHKAN</v>
      </c>
      <c r="F1703" s="9">
        <f>IFERROR(__xludf.DUMMYFUNCTION("""COMPUTED_VALUE"""),45628.40159050926)</f>
        <v>45628.40159</v>
      </c>
      <c r="G1703" s="7" t="str">
        <f>IFERROR(__xludf.DUMMYFUNCTION("""COMPUTED_VALUE"""),"BN JUAL BELI")</f>
        <v>BN JUAL BELI</v>
      </c>
      <c r="H1703" s="7">
        <f t="shared" si="1"/>
        <v>741</v>
      </c>
    </row>
    <row r="1704" ht="22.5" customHeight="1">
      <c r="B1704" s="7" t="str">
        <f>IFERROR(__xludf.DUMMYFUNCTION("""COMPUTED_VALUE"""),"K/23/281124/1")</f>
        <v>K/23/281124/1</v>
      </c>
      <c r="C1704" s="7" t="str">
        <f>IFERROR(__xludf.DUMMYFUNCTION("""COMPUTED_VALUE"""),"M. 2040/ Beringin Raya; SHT 5033/2011 dan SHT 1198/2010; M. 12603/ BR-dahulu; B. 690/ Sumberejo-dahulu")</f>
        <v>M. 2040/ Beringin Raya; SHT 5033/2011 dan SHT 1198/2010; M. 12603/ BR-dahulu; B. 690/ Sumberejo-dahulu</v>
      </c>
      <c r="D1704" s="7" t="str">
        <f>IFERROR(__xludf.DUMMYFUNCTION("""COMPUTED_VALUE"""),"David")</f>
        <v>David</v>
      </c>
      <c r="E1704" s="7" t="str">
        <f>IFERROR(__xludf.DUMMYFUNCTION("""COMPUTED_VALUE"""),"DISERAHKAN")</f>
        <v>DISERAHKAN</v>
      </c>
      <c r="F1704" s="9">
        <f>IFERROR(__xludf.DUMMYFUNCTION("""COMPUTED_VALUE"""),45628.40170476852)</f>
        <v>45628.4017</v>
      </c>
      <c r="G1704" s="7" t="str">
        <f>IFERROR(__xludf.DUMMYFUNCTION("""COMPUTED_VALUE"""),"Roya")</f>
        <v>Roya</v>
      </c>
      <c r="H1704" s="7">
        <f t="shared" si="1"/>
        <v>742</v>
      </c>
    </row>
    <row r="1705" ht="22.5" customHeight="1">
      <c r="B1705" s="7" t="str">
        <f>IFERROR(__xludf.DUMMYFUNCTION("""COMPUTED_VALUE"""),"K/19/281124/3")</f>
        <v>K/19/281124/3</v>
      </c>
      <c r="C1705" s="7" t="str">
        <f>IFERROR(__xludf.DUMMYFUNCTION("""COMPUTED_VALUE"""),"M. 909/ Korpri Jaya")</f>
        <v>M. 909/ Korpri Jaya</v>
      </c>
      <c r="D1705" s="7" t="str">
        <f>IFERROR(__xludf.DUMMYFUNCTION("""COMPUTED_VALUE"""),"David")</f>
        <v>David</v>
      </c>
      <c r="E1705" s="7" t="str">
        <f>IFERROR(__xludf.DUMMYFUNCTION("""COMPUTED_VALUE"""),"PROSES")</f>
        <v>PROSES</v>
      </c>
      <c r="F1705" s="9" t="str">
        <f>IFERROR(__xludf.DUMMYFUNCTION("""COMPUTED_VALUE"""),"")</f>
        <v/>
      </c>
      <c r="G1705" s="7" t="str">
        <f>IFERROR(__xludf.DUMMYFUNCTION("""COMPUTED_VALUE"""),"BN JUAL BELI")</f>
        <v>BN JUAL BELI</v>
      </c>
      <c r="H1705" s="7">
        <f t="shared" si="1"/>
        <v>742</v>
      </c>
    </row>
    <row r="1706" ht="22.5" customHeight="1">
      <c r="B1706" s="7" t="str">
        <f>IFERROR(__xludf.DUMMYFUNCTION("""COMPUTED_VALUE"""),"K/25/281124/1")</f>
        <v>K/25/281124/1</v>
      </c>
      <c r="C1706" s="7" t="str">
        <f>IFERROR(__xludf.DUMMYFUNCTION("""COMPUTED_VALUE"""),"M.11397/SEGALA MIDER")</f>
        <v>M.11397/SEGALA MIDER</v>
      </c>
      <c r="D1706" s="7" t="str">
        <f>IFERROR(__xludf.DUMMYFUNCTION("""COMPUTED_VALUE"""),"David")</f>
        <v>David</v>
      </c>
      <c r="E1706" s="7" t="str">
        <f>IFERROR(__xludf.DUMMYFUNCTION("""COMPUTED_VALUE"""),"DISERAHKAN")</f>
        <v>DISERAHKAN</v>
      </c>
      <c r="F1706" s="9">
        <f>IFERROR(__xludf.DUMMYFUNCTION("""COMPUTED_VALUE"""),45628.40242466435)</f>
        <v>45628.40242</v>
      </c>
      <c r="G1706" s="7" t="str">
        <f>IFERROR(__xludf.DUMMYFUNCTION("""COMPUTED_VALUE"""),"ROYA ")</f>
        <v>ROYA </v>
      </c>
      <c r="H1706" s="7">
        <f t="shared" si="1"/>
        <v>743</v>
      </c>
    </row>
    <row r="1707" ht="22.5" customHeight="1">
      <c r="B1707" s="7" t="str">
        <f>IFERROR(__xludf.DUMMYFUNCTION("""COMPUTED_VALUE"""),"K/24/281124/1")</f>
        <v>K/24/281124/1</v>
      </c>
      <c r="C1707" s="7" t="str">
        <f>IFERROR(__xludf.DUMMYFUNCTION("""COMPUTED_VALUE"""),"M. 216/ Bumi Raya")</f>
        <v>M. 216/ Bumi Raya</v>
      </c>
      <c r="D1707" s="7" t="str">
        <f>IFERROR(__xludf.DUMMYFUNCTION("""COMPUTED_VALUE"""),"David")</f>
        <v>David</v>
      </c>
      <c r="E1707" s="7" t="str">
        <f>IFERROR(__xludf.DUMMYFUNCTION("""COMPUTED_VALUE"""),"PROSES")</f>
        <v>PROSES</v>
      </c>
      <c r="F1707" s="9" t="str">
        <f>IFERROR(__xludf.DUMMYFUNCTION("""COMPUTED_VALUE"""),"")</f>
        <v/>
      </c>
      <c r="G1707" s="7" t="str">
        <f>IFERROR(__xludf.DUMMYFUNCTION("""COMPUTED_VALUE"""),"BN WARIS")</f>
        <v>BN WARIS</v>
      </c>
      <c r="H1707" s="7">
        <f t="shared" si="1"/>
        <v>743</v>
      </c>
    </row>
    <row r="1708" ht="22.5" customHeight="1">
      <c r="B1708" s="7" t="str">
        <f>IFERROR(__xludf.DUMMYFUNCTION("""COMPUTED_VALUE"""),"K/26/281124/1")</f>
        <v>K/26/281124/1</v>
      </c>
      <c r="C1708" s="7" t="str">
        <f>IFERROR(__xludf.DUMMYFUNCTION("""COMPUTED_VALUE"""),"M. 2250/ Sukarame Baru")</f>
        <v>M. 2250/ Sukarame Baru</v>
      </c>
      <c r="D1708" s="7"/>
      <c r="E1708" s="7"/>
      <c r="F1708" s="9" t="str">
        <f>IFERROR(__xludf.DUMMYFUNCTION("""COMPUTED_VALUE"""),"")</f>
        <v/>
      </c>
      <c r="G1708" s="7" t="str">
        <f>IFERROR(__xludf.DUMMYFUNCTION("""COMPUTED_VALUE"""),"BN Jual Beli")</f>
        <v>BN Jual Beli</v>
      </c>
      <c r="H1708" s="7">
        <f t="shared" si="1"/>
        <v>743</v>
      </c>
    </row>
    <row r="1709" ht="22.5" customHeight="1">
      <c r="B1709" s="7" t="str">
        <f>IFERROR(__xludf.DUMMYFUNCTION("""COMPUTED_VALUE"""),"K/30/281124/1")</f>
        <v>K/30/281124/1</v>
      </c>
      <c r="C1709" s="7" t="str">
        <f>IFERROR(__xludf.DUMMYFUNCTION("""COMPUTED_VALUE"""),"M.10776/SIDODADI-SEKARANG;M.9026/SIDODADI-DAHULU")</f>
        <v>M.10776/SIDODADI-SEKARANG;M.9026/SIDODADI-DAHULU</v>
      </c>
      <c r="D1709" s="7" t="str">
        <f>IFERROR(__xludf.DUMMYFUNCTION("""COMPUTED_VALUE"""),"David")</f>
        <v>David</v>
      </c>
      <c r="E1709" s="7" t="str">
        <f>IFERROR(__xludf.DUMMYFUNCTION("""COMPUTED_VALUE"""),"DISERAHKAN")</f>
        <v>DISERAHKAN</v>
      </c>
      <c r="F1709" s="9">
        <f>IFERROR(__xludf.DUMMYFUNCTION("""COMPUTED_VALUE"""),45628.40326342593)</f>
        <v>45628.40326</v>
      </c>
      <c r="G1709" s="7" t="str">
        <f>IFERROR(__xludf.DUMMYFUNCTION("""COMPUTED_VALUE"""),"KEWARISAN ")</f>
        <v>KEWARISAN </v>
      </c>
      <c r="H1709" s="7">
        <f t="shared" si="1"/>
        <v>744</v>
      </c>
    </row>
    <row r="1710" ht="22.5" customHeight="1">
      <c r="B1710" s="7" t="str">
        <f>IFERROR(__xludf.DUMMYFUNCTION("""COMPUTED_VALUE"""),"K/27/281124/1")</f>
        <v>K/27/281124/1</v>
      </c>
      <c r="C1710" s="7" t="str">
        <f>IFERROR(__xludf.DUMMYFUNCTION("""COMPUTED_VALUE"""),"M.3426/WAY KANDIS-SEKARANG;B.285/WAY KANDIS-DAHULU")</f>
        <v>M.3426/WAY KANDIS-SEKARANG;B.285/WAY KANDIS-DAHULU</v>
      </c>
      <c r="D1710" s="7"/>
      <c r="E1710" s="7"/>
      <c r="F1710" s="9" t="str">
        <f>IFERROR(__xludf.DUMMYFUNCTION("""COMPUTED_VALUE"""),"")</f>
        <v/>
      </c>
      <c r="G1710" s="7" t="str">
        <f>IFERROR(__xludf.DUMMYFUNCTION("""COMPUTED_VALUE"""),"GANDES")</f>
        <v>GANDES</v>
      </c>
      <c r="H1710" s="7">
        <f t="shared" si="1"/>
        <v>744</v>
      </c>
    </row>
    <row r="1711" ht="22.5" customHeight="1">
      <c r="B1711" s="7" t="str">
        <f>IFERROR(__xludf.DUMMYFUNCTION("""COMPUTED_VALUE"""),"K/34/281124/2")</f>
        <v>K/34/281124/2</v>
      </c>
      <c r="C1711" s="7" t="str">
        <f>IFERROR(__xludf.DUMMYFUNCTION("""COMPUTED_VALUE"""),"M.562/GUNUNG TERANG")</f>
        <v>M.562/GUNUNG TERANG</v>
      </c>
      <c r="D1711" s="7"/>
      <c r="E1711" s="7"/>
      <c r="F1711" s="9" t="str">
        <f>IFERROR(__xludf.DUMMYFUNCTION("""COMPUTED_VALUE"""),"")</f>
        <v/>
      </c>
      <c r="G1711" s="7" t="str">
        <f>IFERROR(__xludf.DUMMYFUNCTION("""COMPUTED_VALUE"""),"KEWARISAN")</f>
        <v>KEWARISAN</v>
      </c>
      <c r="H1711" s="7">
        <f t="shared" si="1"/>
        <v>744</v>
      </c>
    </row>
    <row r="1712" ht="22.5" customHeight="1">
      <c r="B1712" s="7" t="str">
        <f>IFERROR(__xludf.DUMMYFUNCTION("""COMPUTED_VALUE"""),"K/31/281124/1")</f>
        <v>K/31/281124/1</v>
      </c>
      <c r="C1712" s="7" t="str">
        <f>IFERROR(__xludf.DUMMYFUNCTION("""COMPUTED_VALUE"""),"M. 1523/ Enggal")</f>
        <v>M. 1523/ Enggal</v>
      </c>
      <c r="D1712" s="7"/>
      <c r="E1712" s="7"/>
      <c r="F1712" s="9" t="str">
        <f>IFERROR(__xludf.DUMMYFUNCTION("""COMPUTED_VALUE"""),"")</f>
        <v/>
      </c>
      <c r="G1712" s="7" t="str">
        <f>IFERROR(__xludf.DUMMYFUNCTION("""COMPUTED_VALUE"""),"SKPT LELANG")</f>
        <v>SKPT LELANG</v>
      </c>
      <c r="H1712" s="7">
        <f t="shared" si="1"/>
        <v>744</v>
      </c>
    </row>
    <row r="1713" ht="22.5" customHeight="1">
      <c r="B1713" s="7" t="str">
        <f>IFERROR(__xludf.DUMMYFUNCTION("""COMPUTED_VALUE"""),"K/32/281124/2")</f>
        <v>K/32/281124/2</v>
      </c>
      <c r="C1713" s="7" t="str">
        <f>IFERROR(__xludf.DUMMYFUNCTION("""COMPUTED_VALUE"""),"M. 807/ Perwata")</f>
        <v>M. 807/ Perwata</v>
      </c>
      <c r="D1713" s="7" t="str">
        <f>IFERROR(__xludf.DUMMYFUNCTION("""COMPUTED_VALUE"""),"David")</f>
        <v>David</v>
      </c>
      <c r="E1713" s="7" t="str">
        <f>IFERROR(__xludf.DUMMYFUNCTION("""COMPUTED_VALUE"""),"DISERAHKAN")</f>
        <v>DISERAHKAN</v>
      </c>
      <c r="F1713" s="9">
        <f>IFERROR(__xludf.DUMMYFUNCTION("""COMPUTED_VALUE"""),45628.403525648144)</f>
        <v>45628.40353</v>
      </c>
      <c r="G1713" s="7" t="str">
        <f>IFERROR(__xludf.DUMMYFUNCTION("""COMPUTED_VALUE"""),"SKPT LELANG")</f>
        <v>SKPT LELANG</v>
      </c>
      <c r="H1713" s="7">
        <f t="shared" si="1"/>
        <v>745</v>
      </c>
    </row>
    <row r="1714" ht="22.5" customHeight="1">
      <c r="B1714" s="7" t="str">
        <f>IFERROR(__xludf.DUMMYFUNCTION("""COMPUTED_VALUE"""),"K/33/281124/3")</f>
        <v>K/33/281124/3</v>
      </c>
      <c r="C1714" s="7" t="str">
        <f>IFERROR(__xludf.DUMMYFUNCTION("""COMPUTED_VALUE"""),"M. 1062/ Kuripan")</f>
        <v>M. 1062/ Kuripan</v>
      </c>
      <c r="D1714" s="7"/>
      <c r="E1714" s="7"/>
      <c r="F1714" s="9" t="str">
        <f>IFERROR(__xludf.DUMMYFUNCTION("""COMPUTED_VALUE"""),"")</f>
        <v/>
      </c>
      <c r="G1714" s="7" t="str">
        <f>IFERROR(__xludf.DUMMYFUNCTION("""COMPUTED_VALUE"""),"SKPT LELANG")</f>
        <v>SKPT LELANG</v>
      </c>
      <c r="H1714" s="7">
        <f t="shared" si="1"/>
        <v>745</v>
      </c>
    </row>
    <row r="1715" ht="22.5" customHeight="1">
      <c r="B1715" s="7" t="str">
        <f>IFERROR(__xludf.DUMMYFUNCTION("""COMPUTED_VALUE"""),"K/28/281124/2")</f>
        <v>K/28/281124/2</v>
      </c>
      <c r="C1715" s="7" t="str">
        <f>IFERROR(__xludf.DUMMYFUNCTION("""COMPUTED_VALUE"""),"M.545/CAMPANG RAYA")</f>
        <v>M.545/CAMPANG RAYA</v>
      </c>
      <c r="D1715" s="7" t="str">
        <f>IFERROR(__xludf.DUMMYFUNCTION("""COMPUTED_VALUE"""),"David")</f>
        <v>David</v>
      </c>
      <c r="E1715" s="7" t="str">
        <f>IFERROR(__xludf.DUMMYFUNCTION("""COMPUTED_VALUE"""),"PROSES")</f>
        <v>PROSES</v>
      </c>
      <c r="F1715" s="9" t="str">
        <f>IFERROR(__xludf.DUMMYFUNCTION("""COMPUTED_VALUE"""),"")</f>
        <v/>
      </c>
      <c r="G1715" s="7" t="str">
        <f>IFERROR(__xludf.DUMMYFUNCTION("""COMPUTED_VALUE"""),"ROYA")</f>
        <v>ROYA</v>
      </c>
      <c r="H1715" s="7">
        <f t="shared" si="1"/>
        <v>745</v>
      </c>
    </row>
    <row r="1716" ht="22.5" customHeight="1">
      <c r="B1716" s="7" t="str">
        <f>IFERROR(__xludf.DUMMYFUNCTION("""COMPUTED_VALUE"""),"K/35/281124/1")</f>
        <v>K/35/281124/1</v>
      </c>
      <c r="C1716" s="7" t="str">
        <f>IFERROR(__xludf.DUMMYFUNCTION("""COMPUTED_VALUE"""),"Nibel 1482/ Pematang Wangi")</f>
        <v>Nibel 1482/ Pematang Wangi</v>
      </c>
      <c r="D1716" s="7" t="str">
        <f>IFERROR(__xludf.DUMMYFUNCTION("""COMPUTED_VALUE"""),"David")</f>
        <v>David</v>
      </c>
      <c r="E1716" s="7" t="str">
        <f>IFERROR(__xludf.DUMMYFUNCTION("""COMPUTED_VALUE"""),"DISERAHKAN")</f>
        <v>DISERAHKAN</v>
      </c>
      <c r="F1716" s="9">
        <f>IFERROR(__xludf.DUMMYFUNCTION("""COMPUTED_VALUE"""),45628.40395755787)</f>
        <v>45628.40396</v>
      </c>
      <c r="G1716" s="7" t="str">
        <f>IFERROR(__xludf.DUMMYFUNCTION("""COMPUTED_VALUE"""),"BN JUAL BELI")</f>
        <v>BN JUAL BELI</v>
      </c>
      <c r="H1716" s="7">
        <f t="shared" si="1"/>
        <v>746</v>
      </c>
    </row>
    <row r="1717" ht="22.5" customHeight="1">
      <c r="B1717" s="7" t="str">
        <f>IFERROR(__xludf.DUMMYFUNCTION("""COMPUTED_VALUE"""),"K/36/281124/1")</f>
        <v>K/36/281124/1</v>
      </c>
      <c r="C1717" s="7" t="str">
        <f>IFERROR(__xludf.DUMMYFUNCTION("""COMPUTED_VALUE"""),"M.3204/LABUHAN DALAM-SEKARANG;B.215/LABUHAN DALAM-DAHULU")</f>
        <v>M.3204/LABUHAN DALAM-SEKARANG;B.215/LABUHAN DALAM-DAHULU</v>
      </c>
      <c r="D1717" s="7" t="str">
        <f>IFERROR(__xludf.DUMMYFUNCTION("""COMPUTED_VALUE"""),"David")</f>
        <v>David</v>
      </c>
      <c r="E1717" s="7" t="str">
        <f>IFERROR(__xludf.DUMMYFUNCTION("""COMPUTED_VALUE"""),"DISERAHKAN")</f>
        <v>DISERAHKAN</v>
      </c>
      <c r="F1717" s="9">
        <f>IFERROR(__xludf.DUMMYFUNCTION("""COMPUTED_VALUE"""),45628.404384305555)</f>
        <v>45628.40438</v>
      </c>
      <c r="G1717" s="7" t="str">
        <f>IFERROR(__xludf.DUMMYFUNCTION("""COMPUTED_VALUE"""),"BN JUAL BELI")</f>
        <v>BN JUAL BELI</v>
      </c>
      <c r="H1717" s="7">
        <f t="shared" si="1"/>
        <v>747</v>
      </c>
    </row>
    <row r="1718" ht="22.5" customHeight="1">
      <c r="B1718" s="7" t="str">
        <f>IFERROR(__xludf.DUMMYFUNCTION("""COMPUTED_VALUE"""),"K/37/281124/2")</f>
        <v>K/37/281124/2</v>
      </c>
      <c r="C1718" s="7" t="str">
        <f>IFERROR(__xludf.DUMMYFUNCTION("""COMPUTED_VALUE"""),"B.953/BERINGIN JAYA")</f>
        <v>B.953/BERINGIN JAYA</v>
      </c>
      <c r="D1718" s="7"/>
      <c r="E1718" s="7"/>
      <c r="F1718" s="9" t="str">
        <f>IFERROR(__xludf.DUMMYFUNCTION("""COMPUTED_VALUE"""),"")</f>
        <v/>
      </c>
      <c r="G1718" s="7" t="str">
        <f>IFERROR(__xludf.DUMMYFUNCTION("""COMPUTED_VALUE"""),"BN JUAL BELI")</f>
        <v>BN JUAL BELI</v>
      </c>
      <c r="H1718" s="7">
        <f t="shared" si="1"/>
        <v>747</v>
      </c>
    </row>
    <row r="1719" ht="22.5" customHeight="1">
      <c r="B1719" s="7" t="str">
        <f>IFERROR(__xludf.DUMMYFUNCTION("""COMPUTED_VALUE"""),"K/39/281124/1")</f>
        <v>K/39/281124/1</v>
      </c>
      <c r="C1719" s="7" t="str">
        <f>IFERROR(__xludf.DUMMYFUNCTION("""COMPUTED_VALUE"""),"M. 2048/GUNUNG TERANG")</f>
        <v>M. 2048/GUNUNG TERANG</v>
      </c>
      <c r="D1719" s="7" t="str">
        <f>IFERROR(__xludf.DUMMYFUNCTION("""COMPUTED_VALUE"""),"David")</f>
        <v>David</v>
      </c>
      <c r="E1719" s="7" t="str">
        <f>IFERROR(__xludf.DUMMYFUNCTION("""COMPUTED_VALUE"""),"DISERAHKAN")</f>
        <v>DISERAHKAN</v>
      </c>
      <c r="F1719" s="9">
        <f>IFERROR(__xludf.DUMMYFUNCTION("""COMPUTED_VALUE"""),45628.40470947917)</f>
        <v>45628.40471</v>
      </c>
      <c r="G1719" s="7" t="str">
        <f>IFERROR(__xludf.DUMMYFUNCTION("""COMPUTED_VALUE"""),"ROYA")</f>
        <v>ROYA</v>
      </c>
      <c r="H1719" s="7">
        <f t="shared" si="1"/>
        <v>748</v>
      </c>
    </row>
    <row r="1720" ht="22.5" customHeight="1">
      <c r="B1720" s="7" t="str">
        <f>IFERROR(__xludf.DUMMYFUNCTION("""COMPUTED_VALUE"""),"K/40/281124/1")</f>
        <v>K/40/281124/1</v>
      </c>
      <c r="C1720" s="7" t="str">
        <f>IFERROR(__xludf.DUMMYFUNCTION("""COMPUTED_VALUE"""),"NIbel 10957/ Negeri Olok Gading")</f>
        <v>NIbel 10957/ Negeri Olok Gading</v>
      </c>
      <c r="D1720" s="7" t="str">
        <f>IFERROR(__xludf.DUMMYFUNCTION("""COMPUTED_VALUE"""),"David")</f>
        <v>David</v>
      </c>
      <c r="E1720" s="7" t="str">
        <f>IFERROR(__xludf.DUMMYFUNCTION("""COMPUTED_VALUE"""),"DISERAHKAN")</f>
        <v>DISERAHKAN</v>
      </c>
      <c r="F1720" s="9">
        <f>IFERROR(__xludf.DUMMYFUNCTION("""COMPUTED_VALUE"""),45628.40503142361)</f>
        <v>45628.40503</v>
      </c>
      <c r="G1720" s="7" t="str">
        <f>IFERROR(__xludf.DUMMYFUNCTION("""COMPUTED_VALUE"""),"PERUBAHAN HAK")</f>
        <v>PERUBAHAN HAK</v>
      </c>
      <c r="H1720" s="7">
        <f t="shared" si="1"/>
        <v>749</v>
      </c>
    </row>
    <row r="1721" ht="22.5" customHeight="1">
      <c r="B1721" s="7" t="str">
        <f>IFERROR(__xludf.DUMMYFUNCTION("""COMPUTED_VALUE"""),"K/41/281124/1")</f>
        <v>K/41/281124/1</v>
      </c>
      <c r="C1721" s="7" t="str">
        <f>IFERROR(__xludf.DUMMYFUNCTION("""COMPUTED_VALUE"""),"M. 2562/ Keteguhan")</f>
        <v>M. 2562/ Keteguhan</v>
      </c>
      <c r="D1721" s="7" t="str">
        <f>IFERROR(__xludf.DUMMYFUNCTION("""COMPUTED_VALUE"""),"David")</f>
        <v>David</v>
      </c>
      <c r="E1721" s="7" t="str">
        <f>IFERROR(__xludf.DUMMYFUNCTION("""COMPUTED_VALUE"""),"DISERAHKAN")</f>
        <v>DISERAHKAN</v>
      </c>
      <c r="F1721" s="9">
        <f>IFERROR(__xludf.DUMMYFUNCTION("""COMPUTED_VALUE"""),45628.405388287036)</f>
        <v>45628.40539</v>
      </c>
      <c r="G1721" s="7" t="str">
        <f>IFERROR(__xludf.DUMMYFUNCTION("""COMPUTED_VALUE"""),"BN JUAL BELI")</f>
        <v>BN JUAL BELI</v>
      </c>
      <c r="H1721" s="7">
        <f t="shared" si="1"/>
        <v>750</v>
      </c>
    </row>
    <row r="1722" ht="22.5" customHeight="1">
      <c r="B1722" s="7" t="str">
        <f>IFERROR(__xludf.DUMMYFUNCTION("""COMPUTED_VALUE"""),"K/42/281124/2")</f>
        <v>K/42/281124/2</v>
      </c>
      <c r="C1722" s="7" t="str">
        <f>IFERROR(__xludf.DUMMYFUNCTION("""COMPUTED_VALUE"""),"M. 12044/ Segala Mider")</f>
        <v>M. 12044/ Segala Mider</v>
      </c>
      <c r="D1722" s="7" t="str">
        <f>IFERROR(__xludf.DUMMYFUNCTION("""COMPUTED_VALUE"""),"David")</f>
        <v>David</v>
      </c>
      <c r="E1722" s="7" t="str">
        <f>IFERROR(__xludf.DUMMYFUNCTION("""COMPUTED_VALUE"""),"DISERAHKAN")</f>
        <v>DISERAHKAN</v>
      </c>
      <c r="F1722" s="9">
        <f>IFERROR(__xludf.DUMMYFUNCTION("""COMPUTED_VALUE"""),45628.405760740745)</f>
        <v>45628.40576</v>
      </c>
      <c r="G1722" s="7" t="str">
        <f>IFERROR(__xludf.DUMMYFUNCTION("""COMPUTED_VALUE"""),"BN JUAL BELI")</f>
        <v>BN JUAL BELI</v>
      </c>
      <c r="H1722" s="7">
        <f t="shared" si="1"/>
        <v>751</v>
      </c>
    </row>
    <row r="1723" ht="22.5" customHeight="1">
      <c r="B1723" s="7" t="str">
        <f>IFERROR(__xludf.DUMMYFUNCTION("""COMPUTED_VALUE"""),"K/29/281124/1")</f>
        <v>K/29/281124/1</v>
      </c>
      <c r="C1723" s="7" t="str">
        <f>IFERROR(__xludf.DUMMYFUNCTION("""COMPUTED_VALUE"""),"M. 9251/ Labuhan Ratu; sht 3105/1996")</f>
        <v>M. 9251/ Labuhan Ratu; sht 3105/1996</v>
      </c>
      <c r="D1723" s="7" t="str">
        <f>IFERROR(__xludf.DUMMYFUNCTION("""COMPUTED_VALUE"""),"David")</f>
        <v>David</v>
      </c>
      <c r="E1723" s="7" t="str">
        <f>IFERROR(__xludf.DUMMYFUNCTION("""COMPUTED_VALUE"""),"DISERAHKAN")</f>
        <v>DISERAHKAN</v>
      </c>
      <c r="F1723" s="9">
        <f>IFERROR(__xludf.DUMMYFUNCTION("""COMPUTED_VALUE"""),45628.405786840274)</f>
        <v>45628.40579</v>
      </c>
      <c r="G1723" s="7" t="str">
        <f>IFERROR(__xludf.DUMMYFUNCTION("""COMPUTED_VALUE"""),"Roya")</f>
        <v>Roya</v>
      </c>
      <c r="H1723" s="7">
        <f t="shared" si="1"/>
        <v>752</v>
      </c>
    </row>
    <row r="1724" ht="22.5" customHeight="1">
      <c r="B1724" s="7" t="str">
        <f>IFERROR(__xludf.DUMMYFUNCTION("""COMPUTED_VALUE"""),"K/43/281124/1")</f>
        <v>K/43/281124/1</v>
      </c>
      <c r="C1724" s="7" t="str">
        <f>IFERROR(__xludf.DUMMYFUNCTION("""COMPUTED_VALUE"""),"M. 72/ Way Dadi Baru")</f>
        <v>M. 72/ Way Dadi Baru</v>
      </c>
      <c r="D1724" s="7"/>
      <c r="E1724" s="7"/>
      <c r="F1724" s="9" t="str">
        <f>IFERROR(__xludf.DUMMYFUNCTION("""COMPUTED_VALUE"""),"")</f>
        <v/>
      </c>
      <c r="G1724" s="7" t="str">
        <f>IFERROR(__xludf.DUMMYFUNCTION("""COMPUTED_VALUE"""),"BN JUAL BELI")</f>
        <v>BN JUAL BELI</v>
      </c>
      <c r="H1724" s="7">
        <f t="shared" si="1"/>
        <v>752</v>
      </c>
    </row>
    <row r="1725" ht="22.5" customHeight="1">
      <c r="B1725" s="7" t="str">
        <f>IFERROR(__xludf.DUMMYFUNCTION("""COMPUTED_VALUE"""),"L/44/281124/1")</f>
        <v>L/44/281124/1</v>
      </c>
      <c r="C1725" s="7" t="str">
        <f>IFERROR(__xludf.DUMMYFUNCTION("""COMPUTED_VALUE"""),"HM 758/KEPILING PERMAI")</f>
        <v>HM 758/KEPILING PERMAI</v>
      </c>
      <c r="D1725" s="7"/>
      <c r="E1725" s="7"/>
      <c r="F1725" s="9" t="str">
        <f>IFERROR(__xludf.DUMMYFUNCTION("""COMPUTED_VALUE"""),"")</f>
        <v/>
      </c>
      <c r="G1725" s="7" t="str">
        <f>IFERROR(__xludf.DUMMYFUNCTION("""COMPUTED_VALUE"""),"ROYA")</f>
        <v>ROYA</v>
      </c>
      <c r="H1725" s="7">
        <f t="shared" si="1"/>
        <v>752</v>
      </c>
    </row>
    <row r="1726" ht="22.5" customHeight="1">
      <c r="B1726" s="7" t="str">
        <f>IFERROR(__xludf.DUMMYFUNCTION("""COMPUTED_VALUE"""),"K/38/281124/1")</f>
        <v>K/38/281124/1</v>
      </c>
      <c r="C1726" s="7" t="str">
        <f>IFERROR(__xludf.DUMMYFUNCTION("""COMPUTED_VALUE"""),"M.1793/KEMILING PERMAI")</f>
        <v>M.1793/KEMILING PERMAI</v>
      </c>
      <c r="D1726" s="7" t="str">
        <f>IFERROR(__xludf.DUMMYFUNCTION("""COMPUTED_VALUE"""),"Berry")</f>
        <v>Berry</v>
      </c>
      <c r="E1726" s="7" t="str">
        <f>IFERROR(__xludf.DUMMYFUNCTION("""COMPUTED_VALUE"""),"PROSES")</f>
        <v>PROSES</v>
      </c>
      <c r="F1726" s="9" t="str">
        <f>IFERROR(__xludf.DUMMYFUNCTION("""COMPUTED_VALUE"""),"")</f>
        <v/>
      </c>
      <c r="G1726" s="7" t="str">
        <f>IFERROR(__xludf.DUMMYFUNCTION("""COMPUTED_VALUE"""),"PLOTING")</f>
        <v>PLOTING</v>
      </c>
      <c r="H1726" s="7">
        <f t="shared" si="1"/>
        <v>752</v>
      </c>
    </row>
    <row r="1727" ht="22.5" customHeight="1">
      <c r="B1727" s="7" t="str">
        <f>IFERROR(__xludf.DUMMYFUNCTION("""COMPUTED_VALUE"""),"K/3/291124/1")</f>
        <v>K/3/291124/1</v>
      </c>
      <c r="C1727" s="7" t="str">
        <f>IFERROR(__xludf.DUMMYFUNCTION("""COMPUTED_VALUE"""),"B.262/JAGABAYA III-SEKARANG;B.80/TANJUNG BARU-DAHULU")</f>
        <v>B.262/JAGABAYA III-SEKARANG;B.80/TANJUNG BARU-DAHULU</v>
      </c>
      <c r="D1727" s="7"/>
      <c r="E1727" s="7"/>
      <c r="F1727" s="9" t="str">
        <f>IFERROR(__xludf.DUMMYFUNCTION("""COMPUTED_VALUE"""),"")</f>
        <v/>
      </c>
      <c r="G1727" s="7" t="str">
        <f>IFERROR(__xludf.DUMMYFUNCTION("""COMPUTED_VALUE"""),"GANTI NAMA")</f>
        <v>GANTI NAMA</v>
      </c>
      <c r="H1727" s="7">
        <f t="shared" si="1"/>
        <v>752</v>
      </c>
    </row>
    <row r="1728" ht="22.5" customHeight="1">
      <c r="B1728" s="7" t="str">
        <f>IFERROR(__xludf.DUMMYFUNCTION("""COMPUTED_VALUE"""),"L/4/291124/1")</f>
        <v>L/4/291124/1</v>
      </c>
      <c r="C1728" s="7" t="str">
        <f>IFERROR(__xludf.DUMMYFUNCTION("""COMPUTED_VALUE"""),"HM 1061/GUNUNG SULAH")</f>
        <v>HM 1061/GUNUNG SULAH</v>
      </c>
      <c r="D1728" s="7"/>
      <c r="E1728" s="7"/>
      <c r="F1728" s="9" t="str">
        <f>IFERROR(__xludf.DUMMYFUNCTION("""COMPUTED_VALUE"""),"")</f>
        <v/>
      </c>
      <c r="G1728" s="7" t="str">
        <f>IFERROR(__xludf.DUMMYFUNCTION("""COMPUTED_VALUE"""),"ROYA")</f>
        <v>ROYA</v>
      </c>
      <c r="H1728" s="7">
        <f t="shared" si="1"/>
        <v>752</v>
      </c>
    </row>
    <row r="1729" ht="22.5" customHeight="1">
      <c r="B1729" s="7" t="str">
        <f>IFERROR(__xludf.DUMMYFUNCTION("""COMPUTED_VALUE"""),"K/1/291124/1")</f>
        <v>K/1/291124/1</v>
      </c>
      <c r="C1729" s="7" t="str">
        <f>IFERROR(__xludf.DUMMYFUNCTION("""COMPUTED_VALUE"""),"Nibel. M. 3657/ Kampung Baru Raya")</f>
        <v>Nibel. M. 3657/ Kampung Baru Raya</v>
      </c>
      <c r="D1729" s="7" t="str">
        <f>IFERROR(__xludf.DUMMYFUNCTION("""COMPUTED_VALUE"""),"Berry")</f>
        <v>Berry</v>
      </c>
      <c r="E1729" s="7" t="str">
        <f>IFERROR(__xludf.DUMMYFUNCTION("""COMPUTED_VALUE"""),"DISERAHKAN")</f>
        <v>DISERAHKAN</v>
      </c>
      <c r="F1729" s="9">
        <f>IFERROR(__xludf.DUMMYFUNCTION("""COMPUTED_VALUE"""),45628.62592489584)</f>
        <v>45628.62592</v>
      </c>
      <c r="G1729" s="7" t="str">
        <f>IFERROR(__xludf.DUMMYFUNCTION("""COMPUTED_VALUE"""),"BN Waris")</f>
        <v>BN Waris</v>
      </c>
      <c r="H1729" s="7">
        <f t="shared" si="1"/>
        <v>753</v>
      </c>
    </row>
    <row r="1730" ht="22.5" customHeight="1">
      <c r="B1730" s="7" t="str">
        <f>IFERROR(__xludf.DUMMYFUNCTION("""COMPUTED_VALUE"""),"K/2/291124/2")</f>
        <v>K/2/291124/2</v>
      </c>
      <c r="C1730" s="7" t="str">
        <f>IFERROR(__xludf.DUMMYFUNCTION("""COMPUTED_VALUE"""),"Nibel. M. 3505/ Campang Raya")</f>
        <v>Nibel. M. 3505/ Campang Raya</v>
      </c>
      <c r="D1730" s="7" t="str">
        <f>IFERROR(__xludf.DUMMYFUNCTION("""COMPUTED_VALUE"""),"Berry")</f>
        <v>Berry</v>
      </c>
      <c r="E1730" s="7" t="str">
        <f>IFERROR(__xludf.DUMMYFUNCTION("""COMPUTED_VALUE"""),"DISERAHKAN")</f>
        <v>DISERAHKAN</v>
      </c>
      <c r="F1730" s="9">
        <f>IFERROR(__xludf.DUMMYFUNCTION("""COMPUTED_VALUE"""),45628.62611574074)</f>
        <v>45628.62612</v>
      </c>
      <c r="G1730" s="7" t="str">
        <f>IFERROR(__xludf.DUMMYFUNCTION("""COMPUTED_VALUE"""),"BN Lelanga")</f>
        <v>BN Lelanga</v>
      </c>
      <c r="H1730" s="7">
        <f t="shared" si="1"/>
        <v>754</v>
      </c>
    </row>
    <row r="1731" ht="22.5" customHeight="1">
      <c r="B1731" s="7" t="str">
        <f>IFERROR(__xludf.DUMMYFUNCTION("""COMPUTED_VALUE"""),"L/5/291124/1")</f>
        <v>L/5/291124/1</v>
      </c>
      <c r="C1731" s="7" t="str">
        <f>IFERROR(__xludf.DUMMYFUNCTION("""COMPUTED_VALUE"""),"HM 4439/BERINGIN RAYA")</f>
        <v>HM 4439/BERINGIN RAYA</v>
      </c>
      <c r="D1731" s="7" t="str">
        <f>IFERROR(__xludf.DUMMYFUNCTION("""COMPUTED_VALUE"""),"Berry")</f>
        <v>Berry</v>
      </c>
      <c r="E1731" s="7" t="str">
        <f>IFERROR(__xludf.DUMMYFUNCTION("""COMPUTED_VALUE"""),"PROSES")</f>
        <v>PROSES</v>
      </c>
      <c r="F1731" s="9" t="str">
        <f>IFERROR(__xludf.DUMMYFUNCTION("""COMPUTED_VALUE"""),"")</f>
        <v/>
      </c>
      <c r="G1731" s="7" t="str">
        <f>IFERROR(__xludf.DUMMYFUNCTION("""COMPUTED_VALUE"""),"ROYA")</f>
        <v>ROYA</v>
      </c>
      <c r="H1731" s="7">
        <f t="shared" si="1"/>
        <v>754</v>
      </c>
    </row>
    <row r="1732" ht="22.5" customHeight="1">
      <c r="B1732" s="7" t="str">
        <f>IFERROR(__xludf.DUMMYFUNCTION("""COMPUTED_VALUE"""),"K/6/291124/1")</f>
        <v>K/6/291124/1</v>
      </c>
      <c r="C1732" s="7" t="str">
        <f>IFERROR(__xludf.DUMMYFUNCTION("""COMPUTED_VALUE"""),"B.737/NOG")</f>
        <v>B.737/NOG</v>
      </c>
      <c r="D1732" s="7" t="str">
        <f>IFERROR(__xludf.DUMMYFUNCTION("""COMPUTED_VALUE"""),"Berry")</f>
        <v>Berry</v>
      </c>
      <c r="E1732" s="7" t="str">
        <f>IFERROR(__xludf.DUMMYFUNCTION("""COMPUTED_VALUE"""),"DISERAHKAN")</f>
        <v>DISERAHKAN</v>
      </c>
      <c r="F1732" s="9">
        <f>IFERROR(__xludf.DUMMYFUNCTION("""COMPUTED_VALUE"""),45628.62640655093)</f>
        <v>45628.62641</v>
      </c>
      <c r="G1732" s="7" t="str">
        <f>IFERROR(__xludf.DUMMYFUNCTION("""COMPUTED_VALUE"""),"ROYA")</f>
        <v>ROYA</v>
      </c>
      <c r="H1732" s="7">
        <f t="shared" si="1"/>
        <v>755</v>
      </c>
    </row>
    <row r="1733" ht="22.5" customHeight="1">
      <c r="B1733" s="7" t="str">
        <f>IFERROR(__xludf.DUMMYFUNCTION("""COMPUTED_VALUE"""),"K/7/291124/2")</f>
        <v>K/7/291124/2</v>
      </c>
      <c r="C1733" s="7" t="str">
        <f>IFERROR(__xludf.DUMMYFUNCTION("""COMPUTED_VALUE"""),"B.562/NUSANTARA PERMAI-SEKARANG;B.127/CAMPANG JAYA-DAHULU")</f>
        <v>B.562/NUSANTARA PERMAI-SEKARANG;B.127/CAMPANG JAYA-DAHULU</v>
      </c>
      <c r="D1733" s="7"/>
      <c r="E1733" s="7"/>
      <c r="F1733" s="9" t="str">
        <f>IFERROR(__xludf.DUMMYFUNCTION("""COMPUTED_VALUE"""),"")</f>
        <v/>
      </c>
      <c r="G1733" s="7" t="str">
        <f>IFERROR(__xludf.DUMMYFUNCTION("""COMPUTED_VALUE"""),"PERPANJANGAN ")</f>
        <v>PERPANJANGAN </v>
      </c>
      <c r="H1733" s="7">
        <f t="shared" si="1"/>
        <v>755</v>
      </c>
    </row>
    <row r="1734" ht="22.5" customHeight="1">
      <c r="B1734" s="7" t="str">
        <f>IFERROR(__xludf.DUMMYFUNCTION("""COMPUTED_VALUE"""),"K/8/291124/1")</f>
        <v>K/8/291124/1</v>
      </c>
      <c r="C1734" s="7" t="str">
        <f>IFERROR(__xludf.DUMMYFUNCTION("""COMPUTED_VALUE"""),"M. 6411/ Way Kandis")</f>
        <v>M. 6411/ Way Kandis</v>
      </c>
      <c r="D1734" s="7"/>
      <c r="E1734" s="7"/>
      <c r="F1734" s="9" t="str">
        <f>IFERROR(__xludf.DUMMYFUNCTION("""COMPUTED_VALUE"""),"")</f>
        <v/>
      </c>
      <c r="G1734" s="7" t="str">
        <f>IFERROR(__xludf.DUMMYFUNCTION("""COMPUTED_VALUE"""),"BN JUAL BELI")</f>
        <v>BN JUAL BELI</v>
      </c>
      <c r="H1734" s="7">
        <f t="shared" si="1"/>
        <v>755</v>
      </c>
    </row>
    <row r="1735" ht="22.5" customHeight="1">
      <c r="B1735" s="7" t="str">
        <f>IFERROR(__xludf.DUMMYFUNCTION("""COMPUTED_VALUE"""),"K/9/291124/1")</f>
        <v>K/9/291124/1</v>
      </c>
      <c r="C1735" s="7" t="str">
        <f>IFERROR(__xludf.DUMMYFUNCTION("""COMPUTED_VALUE"""),"Nibel. M. 3611/ Kedaton")</f>
        <v>Nibel. M. 3611/ Kedaton</v>
      </c>
      <c r="D1735" s="7" t="str">
        <f>IFERROR(__xludf.DUMMYFUNCTION("""COMPUTED_VALUE"""),"Berry")</f>
        <v>Berry</v>
      </c>
      <c r="E1735" s="7" t="str">
        <f>IFERROR(__xludf.DUMMYFUNCTION("""COMPUTED_VALUE"""),"DISERAHKAN")</f>
        <v>DISERAHKAN</v>
      </c>
      <c r="F1735" s="9">
        <f>IFERROR(__xludf.DUMMYFUNCTION("""COMPUTED_VALUE"""),45628.6270081713)</f>
        <v>45628.62701</v>
      </c>
      <c r="G1735" s="7" t="str">
        <f>IFERROR(__xludf.DUMMYFUNCTION("""COMPUTED_VALUE"""),"BN Jual Beli")</f>
        <v>BN Jual Beli</v>
      </c>
      <c r="H1735" s="7">
        <f t="shared" si="1"/>
        <v>756</v>
      </c>
    </row>
    <row r="1736" ht="22.5" customHeight="1">
      <c r="B1736" s="7" t="str">
        <f>IFERROR(__xludf.DUMMYFUNCTION("""COMPUTED_VALUE"""),"K/10/291124/1")</f>
        <v>K/10/291124/1</v>
      </c>
      <c r="C1736" s="7" t="str">
        <f>IFERROR(__xludf.DUMMYFUNCTION("""COMPUTED_VALUE"""),"Nibel 6181/ beringin raya")</f>
        <v>Nibel 6181/ beringin raya</v>
      </c>
      <c r="D1736" s="7" t="str">
        <f>IFERROR(__xludf.DUMMYFUNCTION("""COMPUTED_VALUE"""),"Berry")</f>
        <v>Berry</v>
      </c>
      <c r="E1736" s="7" t="str">
        <f>IFERROR(__xludf.DUMMYFUNCTION("""COMPUTED_VALUE"""),"DISERAHKAN")</f>
        <v>DISERAHKAN</v>
      </c>
      <c r="F1736" s="9">
        <f>IFERROR(__xludf.DUMMYFUNCTION("""COMPUTED_VALUE"""),45628.62706619213)</f>
        <v>45628.62707</v>
      </c>
      <c r="G1736" s="7" t="str">
        <f>IFERROR(__xludf.DUMMYFUNCTION("""COMPUTED_VALUE"""),"BN JUAL BELI")</f>
        <v>BN JUAL BELI</v>
      </c>
      <c r="H1736" s="7">
        <f t="shared" si="1"/>
        <v>757</v>
      </c>
    </row>
    <row r="1737" ht="22.5" customHeight="1">
      <c r="B1737" s="7" t="str">
        <f>IFERROR(__xludf.DUMMYFUNCTION("""COMPUTED_VALUE"""),"K/11/291124/1")</f>
        <v>K/11/291124/1</v>
      </c>
      <c r="C1737" s="7" t="str">
        <f>IFERROR(__xludf.DUMMYFUNCTION("""COMPUTED_VALUE"""),"M. 1933/ Sukarame Baru")</f>
        <v>M. 1933/ Sukarame Baru</v>
      </c>
      <c r="D1737" s="7"/>
      <c r="E1737" s="7"/>
      <c r="F1737" s="9" t="str">
        <f>IFERROR(__xludf.DUMMYFUNCTION("""COMPUTED_VALUE"""),"")</f>
        <v/>
      </c>
      <c r="G1737" s="7" t="str">
        <f>IFERROR(__xludf.DUMMYFUNCTION("""COMPUTED_VALUE"""),"BN Jual Beli")</f>
        <v>BN Jual Beli</v>
      </c>
      <c r="H1737" s="7">
        <f t="shared" si="1"/>
        <v>757</v>
      </c>
    </row>
    <row r="1738" ht="22.5" customHeight="1">
      <c r="B1738" s="7" t="str">
        <f>IFERROR(__xludf.DUMMYFUNCTION("""COMPUTED_VALUE"""),"K/12/291124/1")</f>
        <v>K/12/291124/1</v>
      </c>
      <c r="C1738" s="7" t="str">
        <f>IFERROR(__xludf.DUMMYFUNCTION("""COMPUTED_VALUE"""),"M.834/DURIAN PAYUNG")</f>
        <v>M.834/DURIAN PAYUNG</v>
      </c>
      <c r="D1738" s="7"/>
      <c r="E1738" s="7"/>
      <c r="F1738" s="9" t="str">
        <f>IFERROR(__xludf.DUMMYFUNCTION("""COMPUTED_VALUE"""),"")</f>
        <v/>
      </c>
      <c r="G1738" s="7" t="str">
        <f>IFERROR(__xludf.DUMMYFUNCTION("""COMPUTED_VALUE"""),"ROYA")</f>
        <v>ROYA</v>
      </c>
      <c r="H1738" s="7">
        <f t="shared" si="1"/>
        <v>757</v>
      </c>
    </row>
    <row r="1739" ht="22.5" customHeight="1">
      <c r="B1739" s="7" t="str">
        <f>IFERROR(__xludf.DUMMYFUNCTION("""COMPUTED_VALUE"""),"K/14/291124/1")</f>
        <v>K/14/291124/1</v>
      </c>
      <c r="C1739" s="7" t="str">
        <f>IFERROR(__xludf.DUMMYFUNCTION("""COMPUTED_VALUE"""),"M. 1434/ Sumur Putri")</f>
        <v>M. 1434/ Sumur Putri</v>
      </c>
      <c r="D1739" s="7" t="str">
        <f>IFERROR(__xludf.DUMMYFUNCTION("""COMPUTED_VALUE"""),"Berry")</f>
        <v>Berry</v>
      </c>
      <c r="E1739" s="7" t="str">
        <f>IFERROR(__xludf.DUMMYFUNCTION("""COMPUTED_VALUE"""),"DISERAHKAN")</f>
        <v>DISERAHKAN</v>
      </c>
      <c r="F1739" s="9">
        <f>IFERROR(__xludf.DUMMYFUNCTION("""COMPUTED_VALUE"""),45628.6273003588)</f>
        <v>45628.6273</v>
      </c>
      <c r="G1739" s="7" t="str">
        <f>IFERROR(__xludf.DUMMYFUNCTION("""COMPUTED_VALUE"""),"Ploting")</f>
        <v>Ploting</v>
      </c>
      <c r="H1739" s="7">
        <f t="shared" si="1"/>
        <v>758</v>
      </c>
    </row>
    <row r="1740" ht="22.5" customHeight="1">
      <c r="B1740" s="7" t="str">
        <f>IFERROR(__xludf.DUMMYFUNCTION("""COMPUTED_VALUE"""),"K/15/291124/2")</f>
        <v>K/15/291124/2</v>
      </c>
      <c r="C1740" s="7" t="str">
        <f>IFERROR(__xludf.DUMMYFUNCTION("""COMPUTED_VALUE"""),"B. 1269/ Sumberejo")</f>
        <v>B. 1269/ Sumberejo</v>
      </c>
      <c r="D1740" s="7"/>
      <c r="E1740" s="7"/>
      <c r="F1740" s="9" t="str">
        <f>IFERROR(__xludf.DUMMYFUNCTION("""COMPUTED_VALUE"""),"")</f>
        <v/>
      </c>
      <c r="G1740" s="7" t="str">
        <f>IFERROR(__xludf.DUMMYFUNCTION("""COMPUTED_VALUE"""),"Gandes")</f>
        <v>Gandes</v>
      </c>
      <c r="H1740" s="7">
        <f t="shared" si="1"/>
        <v>758</v>
      </c>
    </row>
    <row r="1741" ht="22.5" customHeight="1">
      <c r="B1741" s="7" t="str">
        <f>IFERROR(__xludf.DUMMYFUNCTION("""COMPUTED_VALUE"""),"K/17/291124/1")</f>
        <v>K/17/291124/1</v>
      </c>
      <c r="C1741" s="7" t="str">
        <f>IFERROR(__xludf.DUMMYFUNCTION("""COMPUTED_VALUE"""),"M. 569/ Langkapura Baru")</f>
        <v>M. 569/ Langkapura Baru</v>
      </c>
      <c r="D1741" s="7"/>
      <c r="E1741" s="7"/>
      <c r="F1741" s="9" t="str">
        <f>IFERROR(__xludf.DUMMYFUNCTION("""COMPUTED_VALUE"""),"")</f>
        <v/>
      </c>
      <c r="G1741" s="7" t="str">
        <f>IFERROR(__xludf.DUMMYFUNCTION("""COMPUTED_VALUE"""),"BN Jual Beli")</f>
        <v>BN Jual Beli</v>
      </c>
      <c r="H1741" s="7">
        <f t="shared" si="1"/>
        <v>758</v>
      </c>
    </row>
    <row r="1742" ht="22.5" customHeight="1">
      <c r="B1742" s="7" t="str">
        <f>IFERROR(__xludf.DUMMYFUNCTION("""COMPUTED_VALUE"""),"K/16/291124/3")</f>
        <v>K/16/291124/3</v>
      </c>
      <c r="C1742" s="7" t="str">
        <f>IFERROR(__xludf.DUMMYFUNCTION("""COMPUTED_VALUE"""),"Nibel. B. 2987/ Sumur Putri")</f>
        <v>Nibel. B. 2987/ Sumur Putri</v>
      </c>
      <c r="D1742" s="7" t="str">
        <f>IFERROR(__xludf.DUMMYFUNCTION("""COMPUTED_VALUE"""),"Berry")</f>
        <v>Berry</v>
      </c>
      <c r="E1742" s="7" t="str">
        <f>IFERROR(__xludf.DUMMYFUNCTION("""COMPUTED_VALUE"""),"DISERAHKAN")</f>
        <v>DISERAHKAN</v>
      </c>
      <c r="F1742" s="9">
        <f>IFERROR(__xludf.DUMMYFUNCTION("""COMPUTED_VALUE"""),45628.62743328704)</f>
        <v>45628.62743</v>
      </c>
      <c r="G1742" s="7" t="str">
        <f>IFERROR(__xludf.DUMMYFUNCTION("""COMPUTED_VALUE"""),"Perubahan Hak")</f>
        <v>Perubahan Hak</v>
      </c>
      <c r="H1742" s="7">
        <f t="shared" si="1"/>
        <v>759</v>
      </c>
    </row>
    <row r="1743" ht="22.5" customHeight="1">
      <c r="B1743" s="7" t="str">
        <f>IFERROR(__xludf.DUMMYFUNCTION("""COMPUTED_VALUE"""),"K/18/291124/1")</f>
        <v>K/18/291124/1</v>
      </c>
      <c r="C1743" s="7" t="str">
        <f>IFERROR(__xludf.DUMMYFUNCTION("""COMPUTED_VALUE"""),"NIBEL B.9556/KOTA BARU")</f>
        <v>NIBEL B.9556/KOTA BARU</v>
      </c>
      <c r="D1743" s="7"/>
      <c r="E1743" s="7"/>
      <c r="F1743" s="9" t="str">
        <f>IFERROR(__xludf.DUMMYFUNCTION("""COMPUTED_VALUE"""),"")</f>
        <v/>
      </c>
      <c r="G1743" s="7" t="str">
        <f>IFERROR(__xludf.DUMMYFUNCTION("""COMPUTED_VALUE"""),"KEWARISAN")</f>
        <v>KEWARISAN</v>
      </c>
      <c r="H1743" s="7">
        <f t="shared" si="1"/>
        <v>759</v>
      </c>
    </row>
    <row r="1744" ht="22.5" customHeight="1">
      <c r="B1744" s="7" t="str">
        <f>IFERROR(__xludf.DUMMYFUNCTION("""COMPUTED_VALUE"""),"L/19/291124/1")</f>
        <v>L/19/291124/1</v>
      </c>
      <c r="C1744" s="7" t="str">
        <f>IFERROR(__xludf.DUMMYFUNCTION("""COMPUTED_VALUE"""),"HM 11000/SEGALA MIDER")</f>
        <v>HM 11000/SEGALA MIDER</v>
      </c>
      <c r="D1744" s="7" t="str">
        <f>IFERROR(__xludf.DUMMYFUNCTION("""COMPUTED_VALUE"""),"Berry")</f>
        <v>Berry</v>
      </c>
      <c r="E1744" s="7" t="str">
        <f>IFERROR(__xludf.DUMMYFUNCTION("""COMPUTED_VALUE"""),"DISERAHKAN")</f>
        <v>DISERAHKAN</v>
      </c>
      <c r="F1744" s="9">
        <f>IFERROR(__xludf.DUMMYFUNCTION("""COMPUTED_VALUE"""),45628.627642384265)</f>
        <v>45628.62764</v>
      </c>
      <c r="G1744" s="7" t="str">
        <f>IFERROR(__xludf.DUMMYFUNCTION("""COMPUTED_VALUE"""),"BN WARIS")</f>
        <v>BN WARIS</v>
      </c>
      <c r="H1744" s="7">
        <f t="shared" si="1"/>
        <v>760</v>
      </c>
    </row>
    <row r="1745" ht="22.5" customHeight="1">
      <c r="B1745" s="7" t="str">
        <f>IFERROR(__xludf.DUMMYFUNCTION("""COMPUTED_VALUE"""),"K/20/291124/1")</f>
        <v>K/20/291124/1</v>
      </c>
      <c r="C1745" s="7" t="str">
        <f>IFERROR(__xludf.DUMMYFUNCTION("""COMPUTED_VALUE"""),"Nibel. M.  12081/ Sukarame")</f>
        <v>Nibel. M.  12081/ Sukarame</v>
      </c>
      <c r="D1745" s="7"/>
      <c r="E1745" s="7"/>
      <c r="F1745" s="9" t="str">
        <f>IFERROR(__xludf.DUMMYFUNCTION("""COMPUTED_VALUE"""),"")</f>
        <v/>
      </c>
      <c r="G1745" s="7" t="str">
        <f>IFERROR(__xludf.DUMMYFUNCTION("""COMPUTED_VALUE"""),"Gandes")</f>
        <v>Gandes</v>
      </c>
      <c r="H1745" s="7">
        <f t="shared" si="1"/>
        <v>760</v>
      </c>
    </row>
    <row r="1746" ht="22.5" customHeight="1">
      <c r="B1746" s="7" t="str">
        <f>IFERROR(__xludf.DUMMYFUNCTION("""COMPUTED_VALUE"""),"K/13/291124/2")</f>
        <v>K/13/291124/2</v>
      </c>
      <c r="C1746" s="7" t="str">
        <f>IFERROR(__xludf.DUMMYFUNCTION("""COMPUTED_VALUE"""),"M.12552/TANJUNG BARU")</f>
        <v>M.12552/TANJUNG BARU</v>
      </c>
      <c r="D1746" s="7"/>
      <c r="E1746" s="7"/>
      <c r="F1746" s="9" t="str">
        <f>IFERROR(__xludf.DUMMYFUNCTION("""COMPUTED_VALUE"""),"")</f>
        <v/>
      </c>
      <c r="G1746" s="7" t="str">
        <f>IFERROR(__xludf.DUMMYFUNCTION("""COMPUTED_VALUE"""),"ROYA")</f>
        <v>ROYA</v>
      </c>
      <c r="H1746" s="7">
        <f t="shared" si="1"/>
        <v>760</v>
      </c>
    </row>
    <row r="1747" ht="22.5" customHeight="1">
      <c r="B1747" s="7" t="str">
        <f>IFERROR(__xludf.DUMMYFUNCTION("""COMPUTED_VALUE"""),"K/21/291124/2")</f>
        <v>K/21/291124/2</v>
      </c>
      <c r="C1747" s="7" t="str">
        <f>IFERROR(__xludf.DUMMYFUNCTION("""COMPUTED_VALUE"""),"Nibel. M. 12083/ Sukarame ")</f>
        <v>Nibel. M. 12083/ Sukarame </v>
      </c>
      <c r="D1747" s="7"/>
      <c r="E1747" s="7"/>
      <c r="F1747" s="9" t="str">
        <f>IFERROR(__xludf.DUMMYFUNCTION("""COMPUTED_VALUE"""),"")</f>
        <v/>
      </c>
      <c r="G1747" s="7" t="str">
        <f>IFERROR(__xludf.DUMMYFUNCTION("""COMPUTED_VALUE"""),"Gandes")</f>
        <v>Gandes</v>
      </c>
      <c r="H1747" s="7">
        <f t="shared" si="1"/>
        <v>760</v>
      </c>
    </row>
    <row r="1748" ht="22.5" customHeight="1">
      <c r="B1748" s="7" t="str">
        <f>IFERROR(__xludf.DUMMYFUNCTION("""COMPUTED_VALUE"""),"K/23/291124/1")</f>
        <v>K/23/291124/1</v>
      </c>
      <c r="C1748" s="7" t="str">
        <f>IFERROR(__xludf.DUMMYFUNCTION("""COMPUTED_VALUE"""),"B.1746/SUKARAME I")</f>
        <v>B.1746/SUKARAME I</v>
      </c>
      <c r="D1748" s="7"/>
      <c r="E1748" s="7"/>
      <c r="F1748" s="9" t="str">
        <f>IFERROR(__xludf.DUMMYFUNCTION("""COMPUTED_VALUE"""),"")</f>
        <v/>
      </c>
      <c r="G1748" s="7" t="str">
        <f>IFERROR(__xludf.DUMMYFUNCTION("""COMPUTED_VALUE"""),"GANTI DESA")</f>
        <v>GANTI DESA</v>
      </c>
      <c r="H1748" s="7">
        <f t="shared" si="1"/>
        <v>760</v>
      </c>
    </row>
    <row r="1749" ht="22.5" customHeight="1">
      <c r="B1749" s="7" t="str">
        <f>IFERROR(__xludf.DUMMYFUNCTION("""COMPUTED_VALUE"""),"K/24/291124/1")</f>
        <v>K/24/291124/1</v>
      </c>
      <c r="C1749" s="7" t="str">
        <f>IFERROR(__xludf.DUMMYFUNCTION("""COMPUTED_VALUE"""),"Nibel 7110/ Tanjung Baru")</f>
        <v>Nibel 7110/ Tanjung Baru</v>
      </c>
      <c r="D1749" s="7"/>
      <c r="E1749" s="7"/>
      <c r="F1749" s="9" t="str">
        <f>IFERROR(__xludf.DUMMYFUNCTION("""COMPUTED_VALUE"""),"")</f>
        <v/>
      </c>
      <c r="G1749" s="7" t="str">
        <f>IFERROR(__xludf.DUMMYFUNCTION("""COMPUTED_VALUE"""),"BN HIBAH")</f>
        <v>BN HIBAH</v>
      </c>
      <c r="H1749" s="7">
        <f t="shared" si="1"/>
        <v>760</v>
      </c>
    </row>
    <row r="1750" ht="22.5" customHeight="1">
      <c r="B1750" s="7" t="str">
        <f>IFERROR(__xludf.DUMMYFUNCTION("""COMPUTED_VALUE"""),"K/22/291124/3")</f>
        <v>K/22/291124/3</v>
      </c>
      <c r="C1750" s="7" t="str">
        <f>IFERROR(__xludf.DUMMYFUNCTION("""COMPUTED_VALUE"""),"M. 1372/ Sukarame Baru")</f>
        <v>M. 1372/ Sukarame Baru</v>
      </c>
      <c r="D1750" s="7"/>
      <c r="E1750" s="7"/>
      <c r="F1750" s="9" t="str">
        <f>IFERROR(__xludf.DUMMYFUNCTION("""COMPUTED_VALUE"""),"")</f>
        <v/>
      </c>
      <c r="G1750" s="7" t="str">
        <f>IFERROR(__xludf.DUMMYFUNCTION("""COMPUTED_VALUE"""),"Pengecekan")</f>
        <v>Pengecekan</v>
      </c>
      <c r="H1750" s="7">
        <f t="shared" si="1"/>
        <v>760</v>
      </c>
    </row>
    <row r="1751" ht="22.5" customHeight="1">
      <c r="B1751" s="7" t="str">
        <f>IFERROR(__xludf.DUMMYFUNCTION("""COMPUTED_VALUE"""),"K/25/291124/2")</f>
        <v>K/25/291124/2</v>
      </c>
      <c r="C1751" s="7" t="str">
        <f>IFERROR(__xludf.DUMMYFUNCTION("""COMPUTED_VALUE"""),"Nibel 3513/ Way Dadi")</f>
        <v>Nibel 3513/ Way Dadi</v>
      </c>
      <c r="D1751" s="7" t="str">
        <f>IFERROR(__xludf.DUMMYFUNCTION("""COMPUTED_VALUE"""),"Berry")</f>
        <v>Berry</v>
      </c>
      <c r="E1751" s="7" t="str">
        <f>IFERROR(__xludf.DUMMYFUNCTION("""COMPUTED_VALUE"""),"DISERAHKAN")</f>
        <v>DISERAHKAN</v>
      </c>
      <c r="F1751" s="9">
        <f>IFERROR(__xludf.DUMMYFUNCTION("""COMPUTED_VALUE"""),45628.628149502314)</f>
        <v>45628.62815</v>
      </c>
      <c r="G1751" s="7" t="str">
        <f>IFERROR(__xludf.DUMMYFUNCTION("""COMPUTED_VALUE"""),"BN PHB")</f>
        <v>BN PHB</v>
      </c>
      <c r="H1751" s="7">
        <f t="shared" si="1"/>
        <v>761</v>
      </c>
    </row>
    <row r="1752" ht="22.5" customHeight="1">
      <c r="B1752" s="7" t="str">
        <f>IFERROR(__xludf.DUMMYFUNCTION("""COMPUTED_VALUE"""),"K/26/291124/1")</f>
        <v>K/26/291124/1</v>
      </c>
      <c r="C1752" s="7" t="str">
        <f>IFERROR(__xludf.DUMMYFUNCTION("""COMPUTED_VALUE"""),"M. 1006/ PENGAJARAN")</f>
        <v>M. 1006/ PENGAJARAN</v>
      </c>
      <c r="D1752" s="7" t="str">
        <f>IFERROR(__xludf.DUMMYFUNCTION("""COMPUTED_VALUE"""),"Berry")</f>
        <v>Berry</v>
      </c>
      <c r="E1752" s="7" t="str">
        <f>IFERROR(__xludf.DUMMYFUNCTION("""COMPUTED_VALUE"""),"DISERAHKAN")</f>
        <v>DISERAHKAN</v>
      </c>
      <c r="F1752" s="9">
        <f>IFERROR(__xludf.DUMMYFUNCTION("""COMPUTED_VALUE"""),45628.62823002315)</f>
        <v>45628.62823</v>
      </c>
      <c r="G1752" s="7" t="str">
        <f>IFERROR(__xludf.DUMMYFUNCTION("""COMPUTED_VALUE"""),"PLOTTING")</f>
        <v>PLOTTING</v>
      </c>
      <c r="H1752" s="7">
        <f t="shared" si="1"/>
        <v>762</v>
      </c>
    </row>
    <row r="1753" ht="22.5" customHeight="1">
      <c r="B1753" s="7" t="str">
        <f>IFERROR(__xludf.DUMMYFUNCTION("""COMPUTED_VALUE"""),"K/27/291124/1")</f>
        <v>K/27/291124/1</v>
      </c>
      <c r="C1753" s="7" t="str">
        <f>IFERROR(__xludf.DUMMYFUNCTION("""COMPUTED_VALUE"""),"B.1221/KEMILING PERMAI")</f>
        <v>B.1221/KEMILING PERMAI</v>
      </c>
      <c r="D1753" s="7" t="str">
        <f>IFERROR(__xludf.DUMMYFUNCTION("""COMPUTED_VALUE"""),"Berry")</f>
        <v>Berry</v>
      </c>
      <c r="E1753" s="7" t="str">
        <f>IFERROR(__xludf.DUMMYFUNCTION("""COMPUTED_VALUE"""),"DISERAHKAN")</f>
        <v>DISERAHKAN</v>
      </c>
      <c r="F1753" s="9">
        <f>IFERROR(__xludf.DUMMYFUNCTION("""COMPUTED_VALUE"""),45628.628355196764)</f>
        <v>45628.62836</v>
      </c>
      <c r="G1753" s="7" t="str">
        <f>IFERROR(__xludf.DUMMYFUNCTION("""COMPUTED_VALUE"""),"BN JUAL BELI")</f>
        <v>BN JUAL BELI</v>
      </c>
      <c r="H1753" s="7">
        <f t="shared" si="1"/>
        <v>763</v>
      </c>
    </row>
    <row r="1754" ht="22.5" customHeight="1">
      <c r="B1754" s="7" t="str">
        <f>IFERROR(__xludf.DUMMYFUNCTION("""COMPUTED_VALUE"""),"K/28/291124/2")</f>
        <v>K/28/291124/2</v>
      </c>
      <c r="C1754" s="7" t="str">
        <f>IFERROR(__xludf.DUMMYFUNCTION("""COMPUTED_VALUE"""),"B.624/KEMILING PERMAI")</f>
        <v>B.624/KEMILING PERMAI</v>
      </c>
      <c r="D1754" s="7" t="str">
        <f>IFERROR(__xludf.DUMMYFUNCTION("""COMPUTED_VALUE"""),"Berry")</f>
        <v>Berry</v>
      </c>
      <c r="E1754" s="7" t="str">
        <f>IFERROR(__xludf.DUMMYFUNCTION("""COMPUTED_VALUE"""),"PROSES")</f>
        <v>PROSES</v>
      </c>
      <c r="F1754" s="9" t="str">
        <f>IFERROR(__xludf.DUMMYFUNCTION("""COMPUTED_VALUE"""),"")</f>
        <v/>
      </c>
      <c r="G1754" s="7" t="str">
        <f>IFERROR(__xludf.DUMMYFUNCTION("""COMPUTED_VALUE"""),"BN JUAL BELI")</f>
        <v>BN JUAL BELI</v>
      </c>
      <c r="H1754" s="7">
        <f t="shared" si="1"/>
        <v>763</v>
      </c>
    </row>
    <row r="1755" ht="22.5" customHeight="1">
      <c r="B1755" s="7" t="str">
        <f>IFERROR(__xludf.DUMMYFUNCTION("""COMPUTED_VALUE"""),"K/29/291124/3")</f>
        <v>K/29/291124/3</v>
      </c>
      <c r="C1755" s="7" t="str">
        <f>IFERROR(__xludf.DUMMYFUNCTION("""COMPUTED_VALUE"""),"B.705/KEMILING PERMAI")</f>
        <v>B.705/KEMILING PERMAI</v>
      </c>
      <c r="D1755" s="7"/>
      <c r="E1755" s="7"/>
      <c r="F1755" s="9" t="str">
        <f>IFERROR(__xludf.DUMMYFUNCTION("""COMPUTED_VALUE"""),"")</f>
        <v/>
      </c>
      <c r="G1755" s="7" t="str">
        <f>IFERROR(__xludf.DUMMYFUNCTION("""COMPUTED_VALUE"""),"BN JUAL BELI")</f>
        <v>BN JUAL BELI</v>
      </c>
      <c r="H1755" s="7">
        <f t="shared" si="1"/>
        <v>763</v>
      </c>
    </row>
    <row r="1756" ht="22.5" customHeight="1">
      <c r="B1756" s="7" t="str">
        <f>IFERROR(__xludf.DUMMYFUNCTION("""COMPUTED_VALUE"""),"K/30/291124/1")</f>
        <v>K/30/291124/1</v>
      </c>
      <c r="C1756" s="7" t="str">
        <f>IFERROR(__xludf.DUMMYFUNCTION("""COMPUTED_VALUE"""),"M. 1115/ Pematang Wangi")</f>
        <v>M. 1115/ Pematang Wangi</v>
      </c>
      <c r="D1756" s="7"/>
      <c r="E1756" s="7"/>
      <c r="F1756" s="9" t="str">
        <f>IFERROR(__xludf.DUMMYFUNCTION("""COMPUTED_VALUE"""),"")</f>
        <v/>
      </c>
      <c r="G1756" s="7" t="str">
        <f>IFERROR(__xludf.DUMMYFUNCTION("""COMPUTED_VALUE"""),"BN JUAL BELI")</f>
        <v>BN JUAL BELI</v>
      </c>
      <c r="H1756" s="7">
        <f t="shared" si="1"/>
        <v>763</v>
      </c>
    </row>
    <row r="1757" ht="22.5" customHeight="1">
      <c r="B1757" s="7" t="str">
        <f>IFERROR(__xludf.DUMMYFUNCTION("""COMPUTED_VALUE"""),"K/31/291124/1")</f>
        <v>K/31/291124/1</v>
      </c>
      <c r="C1757" s="7" t="str">
        <f>IFERROR(__xludf.DUMMYFUNCTION("""COMPUTED_VALUE"""),"M.734/SUSUNAN BARU")</f>
        <v>M.734/SUSUNAN BARU</v>
      </c>
      <c r="D1757" s="7"/>
      <c r="E1757" s="7"/>
      <c r="F1757" s="9" t="str">
        <f>IFERROR(__xludf.DUMMYFUNCTION("""COMPUTED_VALUE"""),"")</f>
        <v/>
      </c>
      <c r="G1757" s="7" t="str">
        <f>IFERROR(__xludf.DUMMYFUNCTION("""COMPUTED_VALUE"""),"PLOTING")</f>
        <v>PLOTING</v>
      </c>
      <c r="H1757" s="7">
        <f t="shared" si="1"/>
        <v>763</v>
      </c>
    </row>
    <row r="1758" ht="22.5" customHeight="1">
      <c r="B1758" s="7" t="str">
        <f>IFERROR(__xludf.DUMMYFUNCTION("""COMPUTED_VALUE"""),"K/32/291124/2")</f>
        <v>K/32/291124/2</v>
      </c>
      <c r="C1758" s="7" t="str">
        <f>IFERROR(__xludf.DUMMYFUNCTION("""COMPUTED_VALUE"""),"M.1793/KEMILING PERMAI")</f>
        <v>M.1793/KEMILING PERMAI</v>
      </c>
      <c r="D1758" s="7" t="str">
        <f>IFERROR(__xludf.DUMMYFUNCTION("""COMPUTED_VALUE"""),"Berry")</f>
        <v>Berry</v>
      </c>
      <c r="E1758" s="7" t="str">
        <f>IFERROR(__xludf.DUMMYFUNCTION("""COMPUTED_VALUE"""),"PROSES")</f>
        <v>PROSES</v>
      </c>
      <c r="F1758" s="9" t="str">
        <f>IFERROR(__xludf.DUMMYFUNCTION("""COMPUTED_VALUE"""),"")</f>
        <v/>
      </c>
      <c r="G1758" s="7" t="str">
        <f>IFERROR(__xludf.DUMMYFUNCTION("""COMPUTED_VALUE"""),"PLOTING")</f>
        <v>PLOTING</v>
      </c>
      <c r="H1758" s="7">
        <f t="shared" si="1"/>
        <v>763</v>
      </c>
    </row>
    <row r="1759" ht="22.5" customHeight="1">
      <c r="B1759" s="7" t="str">
        <f>IFERROR(__xludf.DUMMYFUNCTION("""COMPUTED_VALUE"""),"K/33/291124/3")</f>
        <v>K/33/291124/3</v>
      </c>
      <c r="C1759" s="7" t="str">
        <f>IFERROR(__xludf.DUMMYFUNCTION("""COMPUTED_VALUE"""),"M.742/GARUNTANG")</f>
        <v>M.742/GARUNTANG</v>
      </c>
      <c r="D1759" s="7" t="str">
        <f>IFERROR(__xludf.DUMMYFUNCTION("""COMPUTED_VALUE"""),"Berry")</f>
        <v>Berry</v>
      </c>
      <c r="E1759" s="7" t="str">
        <f>IFERROR(__xludf.DUMMYFUNCTION("""COMPUTED_VALUE"""),"DISERAHKAN")</f>
        <v>DISERAHKAN</v>
      </c>
      <c r="F1759" s="9">
        <f>IFERROR(__xludf.DUMMYFUNCTION("""COMPUTED_VALUE"""),45628.62878254629)</f>
        <v>45628.62878</v>
      </c>
      <c r="G1759" s="7" t="str">
        <f>IFERROR(__xludf.DUMMYFUNCTION("""COMPUTED_VALUE"""),"HAPUS BPHTB")</f>
        <v>HAPUS BPHTB</v>
      </c>
      <c r="H1759" s="7">
        <f t="shared" si="1"/>
        <v>764</v>
      </c>
    </row>
    <row r="1760" ht="22.5" customHeight="1">
      <c r="B1760" s="7" t="str">
        <f>IFERROR(__xludf.DUMMYFUNCTION("""COMPUTED_VALUE"""),"K/34/291124/1")</f>
        <v>K/34/291124/1</v>
      </c>
      <c r="C1760" s="7" t="str">
        <f>IFERROR(__xludf.DUMMYFUNCTION("""COMPUTED_VALUE"""),"M.18/WAY HALIM PERMAI")</f>
        <v>M.18/WAY HALIM PERMAI</v>
      </c>
      <c r="D1760" s="7" t="str">
        <f>IFERROR(__xludf.DUMMYFUNCTION("""COMPUTED_VALUE"""),"Berry")</f>
        <v>Berry</v>
      </c>
      <c r="E1760" s="7" t="str">
        <f>IFERROR(__xludf.DUMMYFUNCTION("""COMPUTED_VALUE"""),"DISERAHKAN")</f>
        <v>DISERAHKAN</v>
      </c>
      <c r="F1760" s="9">
        <f>IFERROR(__xludf.DUMMYFUNCTION("""COMPUTED_VALUE"""),45628.629170416665)</f>
        <v>45628.62917</v>
      </c>
      <c r="G1760" s="7" t="str">
        <f>IFERROR(__xludf.DUMMYFUNCTION("""COMPUTED_VALUE"""),"BN WARIS")</f>
        <v>BN WARIS</v>
      </c>
      <c r="H1760" s="7">
        <f t="shared" si="1"/>
        <v>765</v>
      </c>
    </row>
    <row r="1761" ht="22.5" customHeight="1">
      <c r="B1761" s="7" t="str">
        <f>IFERROR(__xludf.DUMMYFUNCTION("""COMPUTED_VALUE"""),"K/35/291124/1")</f>
        <v>K/35/291124/1</v>
      </c>
      <c r="C1761" s="7" t="str">
        <f>IFERROR(__xludf.DUMMYFUNCTION("""COMPUTED_VALUE"""),"B.702/SUMUR PUTRI")</f>
        <v>B.702/SUMUR PUTRI</v>
      </c>
      <c r="D1761" s="7"/>
      <c r="E1761" s="7"/>
      <c r="F1761" s="9" t="str">
        <f>IFERROR(__xludf.DUMMYFUNCTION("""COMPUTED_VALUE"""),"")</f>
        <v/>
      </c>
      <c r="G1761" s="7" t="str">
        <f>IFERROR(__xludf.DUMMYFUNCTION("""COMPUTED_VALUE"""),"BN JUAL BELI")</f>
        <v>BN JUAL BELI</v>
      </c>
      <c r="H1761" s="7">
        <f t="shared" si="1"/>
        <v>765</v>
      </c>
    </row>
    <row r="1762" ht="22.5" customHeight="1">
      <c r="B1762" s="7" t="str">
        <f>IFERROR(__xludf.DUMMYFUNCTION("""COMPUTED_VALUE"""),"L/38/291124/1")</f>
        <v>L/38/291124/1</v>
      </c>
      <c r="C1762" s="7" t="str">
        <f>IFERROR(__xludf.DUMMYFUNCTION("""COMPUTED_VALUE"""),"HM 829/GUNUNG AGUNG")</f>
        <v>HM 829/GUNUNG AGUNG</v>
      </c>
      <c r="D1762" s="7" t="str">
        <f>IFERROR(__xludf.DUMMYFUNCTION("""COMPUTED_VALUE"""),"Berry")</f>
        <v>Berry</v>
      </c>
      <c r="E1762" s="7" t="str">
        <f>IFERROR(__xludf.DUMMYFUNCTION("""COMPUTED_VALUE"""),"DISERAHKAN")</f>
        <v>DISERAHKAN</v>
      </c>
      <c r="F1762" s="9">
        <f>IFERROR(__xludf.DUMMYFUNCTION("""COMPUTED_VALUE"""),45628.62926461805)</f>
        <v>45628.62926</v>
      </c>
      <c r="G1762" s="7" t="str">
        <f>IFERROR(__xludf.DUMMYFUNCTION("""COMPUTED_VALUE"""),"PEMECAHAN")</f>
        <v>PEMECAHAN</v>
      </c>
      <c r="H1762" s="7">
        <f t="shared" si="1"/>
        <v>766</v>
      </c>
    </row>
    <row r="1763" ht="22.5" customHeight="1">
      <c r="B1763" s="7" t="str">
        <f>IFERROR(__xludf.DUMMYFUNCTION("""COMPUTED_VALUE"""),"K/36/291124/1")</f>
        <v>K/36/291124/1</v>
      </c>
      <c r="C1763" s="7" t="str">
        <f>IFERROR(__xludf.DUMMYFUNCTION("""COMPUTED_VALUE"""),"Nibel 719/ Gotong Royong")</f>
        <v>Nibel 719/ Gotong Royong</v>
      </c>
      <c r="D1763" s="7"/>
      <c r="E1763" s="7"/>
      <c r="F1763" s="9" t="str">
        <f>IFERROR(__xludf.DUMMYFUNCTION("""COMPUTED_VALUE"""),"")</f>
        <v/>
      </c>
      <c r="G1763" s="7" t="str">
        <f>IFERROR(__xludf.DUMMYFUNCTION("""COMPUTED_VALUE"""),"BN JUAL BELI")</f>
        <v>BN JUAL BELI</v>
      </c>
      <c r="H1763" s="7">
        <f t="shared" si="1"/>
        <v>766</v>
      </c>
    </row>
    <row r="1764" ht="22.5" customHeight="1">
      <c r="B1764" s="7" t="str">
        <f>IFERROR(__xludf.DUMMYFUNCTION("""COMPUTED_VALUE"""),"K/37/291124/2")</f>
        <v>K/37/291124/2</v>
      </c>
      <c r="C1764" s="7" t="str">
        <f>IFERROR(__xludf.DUMMYFUNCTION("""COMPUTED_VALUE"""),"M. 415/ Kaliawi Persada")</f>
        <v>M. 415/ Kaliawi Persada</v>
      </c>
      <c r="D1764" s="7"/>
      <c r="E1764" s="7"/>
      <c r="F1764" s="9" t="str">
        <f>IFERROR(__xludf.DUMMYFUNCTION("""COMPUTED_VALUE"""),"")</f>
        <v/>
      </c>
      <c r="G1764" s="7" t="str">
        <f>IFERROR(__xludf.DUMMYFUNCTION("""COMPUTED_VALUE"""),"BN PHB")</f>
        <v>BN PHB</v>
      </c>
      <c r="H1764" s="7">
        <f t="shared" si="1"/>
        <v>766</v>
      </c>
    </row>
    <row r="1765" ht="22.5" customHeight="1">
      <c r="B1765" s="7" t="str">
        <f>IFERROR(__xludf.DUMMYFUNCTION("""COMPUTED_VALUE"""),"K/39/291124/1")</f>
        <v>K/39/291124/1</v>
      </c>
      <c r="C1765" s="7" t="str">
        <f>IFERROR(__xludf.DUMMYFUNCTION("""COMPUTED_VALUE"""),"M. 10080/ Surabaya")</f>
        <v>M. 10080/ Surabaya</v>
      </c>
      <c r="D1765" s="7"/>
      <c r="E1765" s="7"/>
      <c r="F1765" s="9" t="str">
        <f>IFERROR(__xludf.DUMMYFUNCTION("""COMPUTED_VALUE"""),"")</f>
        <v/>
      </c>
      <c r="G1765" s="7" t="str">
        <f>IFERROR(__xludf.DUMMYFUNCTION("""COMPUTED_VALUE"""),"HAPUS BPHTB")</f>
        <v>HAPUS BPHTB</v>
      </c>
      <c r="H1765" s="7">
        <f t="shared" si="1"/>
        <v>766</v>
      </c>
    </row>
    <row r="1766" ht="22.5" customHeight="1">
      <c r="B1766" s="7" t="str">
        <f>IFERROR(__xludf.DUMMYFUNCTION("""COMPUTED_VALUE"""),"L/40/291124/1")</f>
        <v>L/40/291124/1</v>
      </c>
      <c r="C1766" s="7" t="str">
        <f>IFERROR(__xludf.DUMMYFUNCTION("""COMPUTED_VALUE"""),"HM 12271/LABUHAN RATU (SHM TETANGGA)")</f>
        <v>HM 12271/LABUHAN RATU (SHM TETANGGA)</v>
      </c>
      <c r="D1766" s="7"/>
      <c r="E1766" s="7"/>
      <c r="F1766" s="9" t="str">
        <f>IFERROR(__xludf.DUMMYFUNCTION("""COMPUTED_VALUE"""),"")</f>
        <v/>
      </c>
      <c r="G1766" s="7" t="str">
        <f>IFERROR(__xludf.DUMMYFUNCTION("""COMPUTED_VALUE"""),"SERTIPIKAT HILANG")</f>
        <v>SERTIPIKAT HILANG</v>
      </c>
      <c r="H1766" s="7">
        <f t="shared" si="1"/>
        <v>766</v>
      </c>
    </row>
    <row r="1767" ht="22.5" customHeight="1">
      <c r="B1767" s="7" t="str">
        <f>IFERROR(__xludf.DUMMYFUNCTION("""COMPUTED_VALUE"""),"K/41/291124/1")</f>
        <v>K/41/291124/1</v>
      </c>
      <c r="C1767" s="7" t="str">
        <f>IFERROR(__xludf.DUMMYFUNCTION("""COMPUTED_VALUE"""),"Nibel 3799/ Kemiling Permai")</f>
        <v>Nibel 3799/ Kemiling Permai</v>
      </c>
      <c r="D1767" s="7" t="str">
        <f>IFERROR(__xludf.DUMMYFUNCTION("""COMPUTED_VALUE"""),"Berry")</f>
        <v>Berry</v>
      </c>
      <c r="E1767" s="7" t="str">
        <f>IFERROR(__xludf.DUMMYFUNCTION("""COMPUTED_VALUE"""),"DISERAHKAN")</f>
        <v>DISERAHKAN</v>
      </c>
      <c r="F1767" s="9">
        <f>IFERROR(__xludf.DUMMYFUNCTION("""COMPUTED_VALUE"""),45628.6295233912)</f>
        <v>45628.62952</v>
      </c>
      <c r="G1767" s="7" t="str">
        <f>IFERROR(__xludf.DUMMYFUNCTION("""COMPUTED_VALUE"""),"BN JUAL BELI")</f>
        <v>BN JUAL BELI</v>
      </c>
      <c r="H1767" s="7">
        <f t="shared" si="1"/>
        <v>767</v>
      </c>
    </row>
    <row r="1768" ht="22.5" customHeight="1">
      <c r="B1768" s="7" t="str">
        <f>IFERROR(__xludf.DUMMYFUNCTION("""COMPUTED_VALUE"""),"K/42/291124/1")</f>
        <v>K/42/291124/1</v>
      </c>
      <c r="C1768" s="7" t="str">
        <f>IFERROR(__xludf.DUMMYFUNCTION("""COMPUTED_VALUE"""),"M. 193/ Batu Putuk")</f>
        <v>M. 193/ Batu Putuk</v>
      </c>
      <c r="D1768" s="7"/>
      <c r="E1768" s="7"/>
      <c r="F1768" s="9" t="str">
        <f>IFERROR(__xludf.DUMMYFUNCTION("""COMPUTED_VALUE"""),"")</f>
        <v/>
      </c>
      <c r="G1768" s="7" t="str">
        <f>IFERROR(__xludf.DUMMYFUNCTION("""COMPUTED_VALUE"""),"SKPT LELANG")</f>
        <v>SKPT LELANG</v>
      </c>
      <c r="H1768" s="7">
        <f t="shared" si="1"/>
        <v>767</v>
      </c>
    </row>
    <row r="1769" ht="22.5" customHeight="1">
      <c r="B1769" s="7" t="str">
        <f>IFERROR(__xludf.DUMMYFUNCTION("""COMPUTED_VALUE"""),"K/47/291124/1")</f>
        <v>K/47/291124/1</v>
      </c>
      <c r="C1769" s="7" t="str">
        <f>IFERROR(__xludf.DUMMYFUNCTION("""COMPUTED_VALUE"""),"M. 4433/ Gunung Terang")</f>
        <v>M. 4433/ Gunung Terang</v>
      </c>
      <c r="D1769" s="7"/>
      <c r="E1769" s="7"/>
      <c r="F1769" s="9" t="str">
        <f>IFERROR(__xludf.DUMMYFUNCTION("""COMPUTED_VALUE"""),"")</f>
        <v/>
      </c>
      <c r="G1769" s="7" t="str">
        <f>IFERROR(__xludf.DUMMYFUNCTION("""COMPUTED_VALUE"""),"BN Jual Beli")</f>
        <v>BN Jual Beli</v>
      </c>
      <c r="H1769" s="7">
        <f t="shared" si="1"/>
        <v>767</v>
      </c>
    </row>
    <row r="1770" ht="22.5" customHeight="1">
      <c r="B1770" s="7" t="str">
        <f>IFERROR(__xludf.DUMMYFUNCTION("""COMPUTED_VALUE"""),"K/43/291124/2")</f>
        <v>K/43/291124/2</v>
      </c>
      <c r="C1770" s="7" t="str">
        <f>IFERROR(__xludf.DUMMYFUNCTION("""COMPUTED_VALUE"""),"M. 247/ Batu Putuk")</f>
        <v>M. 247/ Batu Putuk</v>
      </c>
      <c r="D1770" s="7"/>
      <c r="E1770" s="7"/>
      <c r="F1770" s="9" t="str">
        <f>IFERROR(__xludf.DUMMYFUNCTION("""COMPUTED_VALUE"""),"")</f>
        <v/>
      </c>
      <c r="G1770" s="7" t="str">
        <f>IFERROR(__xludf.DUMMYFUNCTION("""COMPUTED_VALUE"""),"SKPT LELANG")</f>
        <v>SKPT LELANG</v>
      </c>
      <c r="H1770" s="7">
        <f t="shared" si="1"/>
        <v>767</v>
      </c>
    </row>
    <row r="1771" ht="22.5" customHeight="1">
      <c r="B1771" s="7" t="str">
        <f>IFERROR(__xludf.DUMMYFUNCTION("""COMPUTED_VALUE"""),"K/44/291124/3")</f>
        <v>K/44/291124/3</v>
      </c>
      <c r="C1771" s="7" t="str">
        <f>IFERROR(__xludf.DUMMYFUNCTION("""COMPUTED_VALUE"""),"M. 07/ Sukarame II")</f>
        <v>M. 07/ Sukarame II</v>
      </c>
      <c r="D1771" s="7"/>
      <c r="E1771" s="7"/>
      <c r="F1771" s="9" t="str">
        <f>IFERROR(__xludf.DUMMYFUNCTION("""COMPUTED_VALUE"""),"")</f>
        <v/>
      </c>
      <c r="G1771" s="7" t="str">
        <f>IFERROR(__xludf.DUMMYFUNCTION("""COMPUTED_VALUE"""),"SKPT LELANG")</f>
        <v>SKPT LELANG</v>
      </c>
      <c r="H1771" s="7">
        <f t="shared" si="1"/>
        <v>767</v>
      </c>
    </row>
    <row r="1772" ht="22.5" customHeight="1">
      <c r="B1772" s="7" t="str">
        <f>IFERROR(__xludf.DUMMYFUNCTION("""COMPUTED_VALUE"""),"K/45/291124/4")</f>
        <v>K/45/291124/4</v>
      </c>
      <c r="C1772" s="7" t="str">
        <f>IFERROR(__xludf.DUMMYFUNCTION("""COMPUTED_VALUE"""),"M. 300/ Way Laga")</f>
        <v>M. 300/ Way Laga</v>
      </c>
      <c r="D1772" s="7" t="str">
        <f>IFERROR(__xludf.DUMMYFUNCTION("""COMPUTED_VALUE"""),"Berry")</f>
        <v>Berry</v>
      </c>
      <c r="E1772" s="7" t="str">
        <f>IFERROR(__xludf.DUMMYFUNCTION("""COMPUTED_VALUE"""),"DISERAHKAN")</f>
        <v>DISERAHKAN</v>
      </c>
      <c r="F1772" s="9">
        <f>IFERROR(__xludf.DUMMYFUNCTION("""COMPUTED_VALUE"""),45628.62964695602)</f>
        <v>45628.62965</v>
      </c>
      <c r="G1772" s="7" t="str">
        <f>IFERROR(__xludf.DUMMYFUNCTION("""COMPUTED_VALUE"""),"SKPT LELANG")</f>
        <v>SKPT LELANG</v>
      </c>
      <c r="H1772" s="7">
        <f t="shared" si="1"/>
        <v>768</v>
      </c>
    </row>
    <row r="1773" ht="22.5" customHeight="1">
      <c r="B1773" s="7" t="str">
        <f>IFERROR(__xludf.DUMMYFUNCTION("""COMPUTED_VALUE"""),"K/46/291124/5")</f>
        <v>K/46/291124/5</v>
      </c>
      <c r="C1773" s="7" t="str">
        <f>IFERROR(__xludf.DUMMYFUNCTION("""COMPUTED_VALUE"""),"M. 301/ Way laga")</f>
        <v>M. 301/ Way laga</v>
      </c>
      <c r="D1773" s="7" t="str">
        <f>IFERROR(__xludf.DUMMYFUNCTION("""COMPUTED_VALUE"""),"Berry")</f>
        <v>Berry</v>
      </c>
      <c r="E1773" s="7" t="str">
        <f>IFERROR(__xludf.DUMMYFUNCTION("""COMPUTED_VALUE"""),"PROSES")</f>
        <v>PROSES</v>
      </c>
      <c r="F1773" s="9" t="str">
        <f>IFERROR(__xludf.DUMMYFUNCTION("""COMPUTED_VALUE"""),"")</f>
        <v/>
      </c>
      <c r="G1773" s="7" t="str">
        <f>IFERROR(__xludf.DUMMYFUNCTION("""COMPUTED_VALUE"""),"SKPT LELANG")</f>
        <v>SKPT LELANG</v>
      </c>
      <c r="H1773" s="7">
        <f t="shared" si="1"/>
        <v>768</v>
      </c>
    </row>
    <row r="1774" ht="22.5" customHeight="1">
      <c r="B1774" s="7" t="str">
        <f>IFERROR(__xludf.DUMMYFUNCTION("""COMPUTED_VALUE"""),"K/48/291124/1")</f>
        <v>K/48/291124/1</v>
      </c>
      <c r="C1774" s="7" t="str">
        <f>IFERROR(__xludf.DUMMYFUNCTION("""COMPUTED_VALUE"""),"B.346/NEGERI OLOK GADING")</f>
        <v>B.346/NEGERI OLOK GADING</v>
      </c>
      <c r="D1774" s="7" t="str">
        <f>IFERROR(__xludf.DUMMYFUNCTION("""COMPUTED_VALUE"""),"Berry")</f>
        <v>Berry</v>
      </c>
      <c r="E1774" s="7" t="str">
        <f>IFERROR(__xludf.DUMMYFUNCTION("""COMPUTED_VALUE"""),"DISERAHKAN")</f>
        <v>DISERAHKAN</v>
      </c>
      <c r="F1774" s="9">
        <f>IFERROR(__xludf.DUMMYFUNCTION("""COMPUTED_VALUE"""),45628.62990917824)</f>
        <v>45628.62991</v>
      </c>
      <c r="G1774" s="7" t="str">
        <f>IFERROR(__xludf.DUMMYFUNCTION("""COMPUTED_VALUE"""),"BN JUAL BELI")</f>
        <v>BN JUAL BELI</v>
      </c>
      <c r="H1774" s="7">
        <f t="shared" si="1"/>
        <v>769</v>
      </c>
    </row>
    <row r="1775" ht="22.5" customHeight="1">
      <c r="B1775" s="7" t="str">
        <f>IFERROR(__xludf.DUMMYFUNCTION("""COMPUTED_VALUE"""),"L/1/021224/1")</f>
        <v>L/1/021224/1</v>
      </c>
      <c r="C1775" s="7" t="str">
        <f>IFERROR(__xludf.DUMMYFUNCTION("""COMPUTED_VALUE"""),"HM 4888/BERINGIN RAYA")</f>
        <v>HM 4888/BERINGIN RAYA</v>
      </c>
      <c r="D1775" s="7"/>
      <c r="E1775" s="7"/>
      <c r="F1775" s="9" t="str">
        <f>IFERROR(__xludf.DUMMYFUNCTION("""COMPUTED_VALUE"""),"")</f>
        <v/>
      </c>
      <c r="G1775" s="7" t="str">
        <f>IFERROR(__xludf.DUMMYFUNCTION("""COMPUTED_VALUE"""),"ROYA WARIS")</f>
        <v>ROYA WARIS</v>
      </c>
      <c r="H1775" s="7">
        <f t="shared" si="1"/>
        <v>769</v>
      </c>
    </row>
    <row r="1776" ht="22.5" customHeight="1">
      <c r="B1776" s="7" t="str">
        <f>IFERROR(__xludf.DUMMYFUNCTION("""COMPUTED_VALUE"""),"K/2/021224/1")</f>
        <v>K/2/021224/1</v>
      </c>
      <c r="C1776" s="7" t="str">
        <f>IFERROR(__xludf.DUMMYFUNCTION("""COMPUTED_VALUE"""),"M.948/SUSUNAN BARU-SEKARANG;B.424/SUSUNAN BARU-DAHULU")</f>
        <v>M.948/SUSUNAN BARU-SEKARANG;B.424/SUSUNAN BARU-DAHULU</v>
      </c>
      <c r="D1776" s="7"/>
      <c r="E1776" s="7"/>
      <c r="F1776" s="9" t="str">
        <f>IFERROR(__xludf.DUMMYFUNCTION("""COMPUTED_VALUE"""),"")</f>
        <v/>
      </c>
      <c r="G1776" s="7" t="str">
        <f>IFERROR(__xludf.DUMMYFUNCTION("""COMPUTED_VALUE"""),"ROYA ")</f>
        <v>ROYA </v>
      </c>
      <c r="H1776" s="7">
        <f t="shared" si="1"/>
        <v>769</v>
      </c>
    </row>
    <row r="1777" ht="22.5" customHeight="1">
      <c r="B1777" s="7" t="str">
        <f>IFERROR(__xludf.DUMMYFUNCTION("""COMPUTED_VALUE"""),"L/3/021224/1")</f>
        <v>L/3/021224/1</v>
      </c>
      <c r="C1777" s="7" t="str">
        <f>IFERROR(__xludf.DUMMYFUNCTION("""COMPUTED_VALUE"""),"NIB 7396/GULAK GALIK                       ")</f>
        <v>NIB 7396/GULAK GALIK                       </v>
      </c>
      <c r="D1777" s="7"/>
      <c r="E1777" s="7"/>
      <c r="F1777" s="9" t="str">
        <f>IFERROR(__xludf.DUMMYFUNCTION("""COMPUTED_VALUE"""),"")</f>
        <v/>
      </c>
      <c r="G1777" s="7" t="str">
        <f>IFERROR(__xludf.DUMMYFUNCTION("""COMPUTED_VALUE"""),"BN LELANG")</f>
        <v>BN LELANG</v>
      </c>
      <c r="H1777" s="7">
        <f t="shared" si="1"/>
        <v>769</v>
      </c>
    </row>
    <row r="1778" ht="22.5" customHeight="1">
      <c r="B1778" s="7" t="str">
        <f>IFERROR(__xludf.DUMMYFUNCTION("""COMPUTED_VALUE"""),"K/4/021224/1")</f>
        <v>K/4/021224/1</v>
      </c>
      <c r="C1778" s="7" t="str">
        <f>IFERROR(__xludf.DUMMYFUNCTION("""COMPUTED_VALUE"""),"NIBEL 3188/ RAJABASA JAYA")</f>
        <v>NIBEL 3188/ RAJABASA JAYA</v>
      </c>
      <c r="D1778" s="7"/>
      <c r="E1778" s="7"/>
      <c r="F1778" s="9" t="str">
        <f>IFERROR(__xludf.DUMMYFUNCTION("""COMPUTED_VALUE"""),"")</f>
        <v/>
      </c>
      <c r="G1778" s="7" t="str">
        <f>IFERROR(__xludf.DUMMYFUNCTION("""COMPUTED_VALUE"""),"BN JUAL BELI")</f>
        <v>BN JUAL BELI</v>
      </c>
      <c r="H1778" s="7">
        <f t="shared" si="1"/>
        <v>769</v>
      </c>
    </row>
    <row r="1779" ht="22.5" customHeight="1">
      <c r="B1779" s="7" t="str">
        <f>IFERROR(__xludf.DUMMYFUNCTION("""COMPUTED_VALUE"""),"K/5/021224/1")</f>
        <v>K/5/021224/1</v>
      </c>
      <c r="C1779" s="7" t="str">
        <f>IFERROR(__xludf.DUMMYFUNCTION("""COMPUTED_VALUE"""),"M. 299/ Way Laga")</f>
        <v>M. 299/ Way Laga</v>
      </c>
      <c r="D1779" s="7"/>
      <c r="E1779" s="7"/>
      <c r="F1779" s="9" t="str">
        <f>IFERROR(__xludf.DUMMYFUNCTION("""COMPUTED_VALUE"""),"")</f>
        <v/>
      </c>
      <c r="G1779" s="7" t="str">
        <f>IFERROR(__xludf.DUMMYFUNCTION("""COMPUTED_VALUE"""),"SKPT LELANG")</f>
        <v>SKPT LELANG</v>
      </c>
      <c r="H1779" s="7">
        <f t="shared" si="1"/>
        <v>769</v>
      </c>
    </row>
    <row r="1780" ht="22.5" customHeight="1">
      <c r="B1780" s="7" t="str">
        <f>IFERROR(__xludf.DUMMYFUNCTION("""COMPUTED_VALUE"""),"K/6/021224/2")</f>
        <v>K/6/021224/2</v>
      </c>
      <c r="C1780" s="7" t="str">
        <f>IFERROR(__xludf.DUMMYFUNCTION("""COMPUTED_VALUE"""),"M. 298/ Way Laga")</f>
        <v>M. 298/ Way Laga</v>
      </c>
      <c r="D1780" s="7" t="str">
        <f>IFERROR(__xludf.DUMMYFUNCTION("""COMPUTED_VALUE"""),"Berry")</f>
        <v>Berry</v>
      </c>
      <c r="E1780" s="7" t="str">
        <f>IFERROR(__xludf.DUMMYFUNCTION("""COMPUTED_VALUE"""),"PROSES")</f>
        <v>PROSES</v>
      </c>
      <c r="F1780" s="9" t="str">
        <f>IFERROR(__xludf.DUMMYFUNCTION("""COMPUTED_VALUE"""),"")</f>
        <v/>
      </c>
      <c r="G1780" s="7" t="str">
        <f>IFERROR(__xludf.DUMMYFUNCTION("""COMPUTED_VALUE"""),"SKPT LELANG")</f>
        <v>SKPT LELANG</v>
      </c>
      <c r="H1780" s="7">
        <f t="shared" si="1"/>
        <v>769</v>
      </c>
    </row>
    <row r="1781" ht="22.5" customHeight="1">
      <c r="B1781" s="7" t="str">
        <f>IFERROR(__xludf.DUMMYFUNCTION("""COMPUTED_VALUE"""),"K/7/021224/1")</f>
        <v>K/7/021224/1</v>
      </c>
      <c r="C1781" s="7" t="str">
        <f>IFERROR(__xludf.DUMMYFUNCTION("""COMPUTED_VALUE"""),"M.10074/KEDAMAIAN")</f>
        <v>M.10074/KEDAMAIAN</v>
      </c>
      <c r="D1781" s="7"/>
      <c r="E1781" s="7"/>
      <c r="F1781" s="9" t="str">
        <f>IFERROR(__xludf.DUMMYFUNCTION("""COMPUTED_VALUE"""),"")</f>
        <v/>
      </c>
      <c r="G1781" s="7" t="str">
        <f>IFERROR(__xludf.DUMMYFUNCTION("""COMPUTED_VALUE"""),"PTPGT")</f>
        <v>PTPGT</v>
      </c>
      <c r="H1781" s="7">
        <f t="shared" si="1"/>
        <v>769</v>
      </c>
    </row>
    <row r="1782" ht="22.5" customHeight="1">
      <c r="B1782" s="7" t="str">
        <f>IFERROR(__xludf.DUMMYFUNCTION("""COMPUTED_VALUE"""),"K/8/021224/1")</f>
        <v>K/8/021224/1</v>
      </c>
      <c r="C1782" s="7" t="str">
        <f>IFERROR(__xludf.DUMMYFUNCTION("""COMPUTED_VALUE"""),"M. 440/ Kaliawi Persada")</f>
        <v>M. 440/ Kaliawi Persada</v>
      </c>
      <c r="D1782" s="7"/>
      <c r="E1782" s="7"/>
      <c r="F1782" s="9" t="str">
        <f>IFERROR(__xludf.DUMMYFUNCTION("""COMPUTED_VALUE"""),"")</f>
        <v/>
      </c>
      <c r="G1782" s="7" t="str">
        <f>IFERROR(__xludf.DUMMYFUNCTION("""COMPUTED_VALUE"""),"BN HIBAH")</f>
        <v>BN HIBAH</v>
      </c>
      <c r="H1782" s="7">
        <f t="shared" si="1"/>
        <v>769</v>
      </c>
    </row>
    <row r="1783" ht="22.5" customHeight="1">
      <c r="B1783" s="7" t="str">
        <f>IFERROR(__xludf.DUMMYFUNCTION("""COMPUTED_VALUE"""),"K/9/021224/1")</f>
        <v>K/9/021224/1</v>
      </c>
      <c r="C1783" s="7" t="str">
        <f>IFERROR(__xludf.DUMMYFUNCTION("""COMPUTED_VALUE"""),"NIBEL M. 3683/SUKARAME BARU")</f>
        <v>NIBEL M. 3683/SUKARAME BARU</v>
      </c>
      <c r="D1783" s="7"/>
      <c r="E1783" s="7"/>
      <c r="F1783" s="9" t="str">
        <f>IFERROR(__xludf.DUMMYFUNCTION("""COMPUTED_VALUE"""),"")</f>
        <v/>
      </c>
      <c r="G1783" s="7" t="str">
        <f>IFERROR(__xludf.DUMMYFUNCTION("""COMPUTED_VALUE"""),"BN LELANG")</f>
        <v>BN LELANG</v>
      </c>
      <c r="H1783" s="7">
        <f t="shared" si="1"/>
        <v>769</v>
      </c>
    </row>
    <row r="1784" ht="22.5" customHeight="1">
      <c r="B1784" s="7" t="str">
        <f>IFERROR(__xludf.DUMMYFUNCTION("""COMPUTED_VALUE"""),"K/10/021224/1")</f>
        <v>K/10/021224/1</v>
      </c>
      <c r="C1784" s="7" t="str">
        <f>IFERROR(__xludf.DUMMYFUNCTION("""COMPUTED_VALUE"""),"Nibel 1139/ Jagabaya II")</f>
        <v>Nibel 1139/ Jagabaya II</v>
      </c>
      <c r="D1784" s="7" t="str">
        <f>IFERROR(__xludf.DUMMYFUNCTION("""COMPUTED_VALUE"""),"Berry")</f>
        <v>Berry</v>
      </c>
      <c r="E1784" s="7" t="str">
        <f>IFERROR(__xludf.DUMMYFUNCTION("""COMPUTED_VALUE"""),"DISERAHKAN")</f>
        <v>DISERAHKAN</v>
      </c>
      <c r="F1784" s="9">
        <f>IFERROR(__xludf.DUMMYFUNCTION("""COMPUTED_VALUE"""),45630.39321392361)</f>
        <v>45630.39321</v>
      </c>
      <c r="G1784" s="7" t="str">
        <f>IFERROR(__xludf.DUMMYFUNCTION("""COMPUTED_VALUE"""),"BN PHB")</f>
        <v>BN PHB</v>
      </c>
      <c r="H1784" s="7">
        <f t="shared" si="1"/>
        <v>770</v>
      </c>
    </row>
    <row r="1785" ht="22.5" customHeight="1">
      <c r="B1785" s="7" t="str">
        <f>IFERROR(__xludf.DUMMYFUNCTION("""COMPUTED_VALUE"""),"K/11/021224/1")</f>
        <v>K/11/021224/1</v>
      </c>
      <c r="C1785" s="7" t="str">
        <f>IFERROR(__xludf.DUMMYFUNCTION("""COMPUTED_VALUE"""),"NIBEL B. 1410/KEMILING PERMAI")</f>
        <v>NIBEL B. 1410/KEMILING PERMAI</v>
      </c>
      <c r="D1785" s="7" t="str">
        <f>IFERROR(__xludf.DUMMYFUNCTION("""COMPUTED_VALUE"""),"Berry")</f>
        <v>Berry</v>
      </c>
      <c r="E1785" s="7" t="str">
        <f>IFERROR(__xludf.DUMMYFUNCTION("""COMPUTED_VALUE"""),"DISERAHKAN")</f>
        <v>DISERAHKAN</v>
      </c>
      <c r="F1785" s="9">
        <f>IFERROR(__xludf.DUMMYFUNCTION("""COMPUTED_VALUE"""),45630.393635810186)</f>
        <v>45630.39364</v>
      </c>
      <c r="G1785" s="7" t="str">
        <f>IFERROR(__xludf.DUMMYFUNCTION("""COMPUTED_VALUE"""),"PENINGKATAN HAK")</f>
        <v>PENINGKATAN HAK</v>
      </c>
      <c r="H1785" s="7">
        <f t="shared" si="1"/>
        <v>771</v>
      </c>
    </row>
    <row r="1786" ht="22.5" customHeight="1">
      <c r="B1786" s="7" t="str">
        <f>IFERROR(__xludf.DUMMYFUNCTION("""COMPUTED_VALUE"""),"K/12/021224/1")</f>
        <v>K/12/021224/1</v>
      </c>
      <c r="C1786" s="7" t="str">
        <f>IFERROR(__xludf.DUMMYFUNCTION("""COMPUTED_VALUE"""),"M. 3240/ beringin raya - SEKARANG; M. 3240/sumberejo kemiling")</f>
        <v>M. 3240/ beringin raya - SEKARANG; M. 3240/sumberejo kemiling</v>
      </c>
      <c r="D1786" s="7" t="str">
        <f>IFERROR(__xludf.DUMMYFUNCTION("""COMPUTED_VALUE"""),"Berry")</f>
        <v>Berry</v>
      </c>
      <c r="E1786" s="7" t="str">
        <f>IFERROR(__xludf.DUMMYFUNCTION("""COMPUTED_VALUE"""),"PROSES")</f>
        <v>PROSES</v>
      </c>
      <c r="F1786" s="9" t="str">
        <f>IFERROR(__xludf.DUMMYFUNCTION("""COMPUTED_VALUE"""),"")</f>
        <v/>
      </c>
      <c r="G1786" s="7" t="str">
        <f>IFERROR(__xludf.DUMMYFUNCTION("""COMPUTED_VALUE"""),"ROYA")</f>
        <v>ROYA</v>
      </c>
      <c r="H1786" s="7">
        <f t="shared" si="1"/>
        <v>771</v>
      </c>
    </row>
    <row r="1787" ht="22.5" customHeight="1">
      <c r="B1787" s="7" t="str">
        <f>IFERROR(__xludf.DUMMYFUNCTION("""COMPUTED_VALUE"""),"L/13/021224/1")</f>
        <v>L/13/021224/1</v>
      </c>
      <c r="C1787" s="7" t="str">
        <f>IFERROR(__xludf.DUMMYFUNCTION("""COMPUTED_VALUE"""),"HM 13229/SEGALA MIDER")</f>
        <v>HM 13229/SEGALA MIDER</v>
      </c>
      <c r="D1787" s="7" t="str">
        <f>IFERROR(__xludf.DUMMYFUNCTION("""COMPUTED_VALUE"""),"Berry")</f>
        <v>Berry</v>
      </c>
      <c r="E1787" s="7" t="str">
        <f>IFERROR(__xludf.DUMMYFUNCTION("""COMPUTED_VALUE"""),"PROSES")</f>
        <v>PROSES</v>
      </c>
      <c r="F1787" s="9" t="str">
        <f>IFERROR(__xludf.DUMMYFUNCTION("""COMPUTED_VALUE"""),"")</f>
        <v/>
      </c>
      <c r="G1787" s="7" t="str">
        <f>IFERROR(__xludf.DUMMYFUNCTION("""COMPUTED_VALUE"""),"BN WARIS")</f>
        <v>BN WARIS</v>
      </c>
      <c r="H1787" s="7">
        <f t="shared" si="1"/>
        <v>771</v>
      </c>
    </row>
    <row r="1788" ht="22.5" customHeight="1">
      <c r="B1788" s="7" t="str">
        <f>IFERROR(__xludf.DUMMYFUNCTION("""COMPUTED_VALUE"""),"K/14/021224/1")</f>
        <v>K/14/021224/1</v>
      </c>
      <c r="C1788" s="7" t="str">
        <f>IFERROR(__xludf.DUMMYFUNCTION("""COMPUTED_VALUE"""),"M.3464/GUNUNG TERANG")</f>
        <v>M.3464/GUNUNG TERANG</v>
      </c>
      <c r="D1788" s="7" t="str">
        <f>IFERROR(__xludf.DUMMYFUNCTION("""COMPUTED_VALUE"""),"Berry")</f>
        <v>Berry</v>
      </c>
      <c r="E1788" s="7" t="str">
        <f>IFERROR(__xludf.DUMMYFUNCTION("""COMPUTED_VALUE"""),"DISERAHKAN")</f>
        <v>DISERAHKAN</v>
      </c>
      <c r="F1788" s="9">
        <f>IFERROR(__xludf.DUMMYFUNCTION("""COMPUTED_VALUE"""),45630.394299340274)</f>
        <v>45630.3943</v>
      </c>
      <c r="G1788" s="7" t="str">
        <f>IFERROR(__xludf.DUMMYFUNCTION("""COMPUTED_VALUE"""),"PEMECAHAN")</f>
        <v>PEMECAHAN</v>
      </c>
      <c r="H1788" s="7">
        <f t="shared" si="1"/>
        <v>772</v>
      </c>
    </row>
    <row r="1789" ht="22.5" customHeight="1">
      <c r="B1789" s="7" t="str">
        <f>IFERROR(__xludf.DUMMYFUNCTION("""COMPUTED_VALUE"""),"L/17/021224/1")</f>
        <v>L/17/021224/1</v>
      </c>
      <c r="C1789" s="7" t="str">
        <f>IFERROR(__xludf.DUMMYFUNCTION("""COMPUTED_VALUE"""),"HGB 349/RAJABASA PEMUKA")</f>
        <v>HGB 349/RAJABASA PEMUKA</v>
      </c>
      <c r="D1789" s="7" t="str">
        <f>IFERROR(__xludf.DUMMYFUNCTION("""COMPUTED_VALUE"""),"Berry")</f>
        <v>Berry</v>
      </c>
      <c r="E1789" s="7" t="str">
        <f>IFERROR(__xludf.DUMMYFUNCTION("""COMPUTED_VALUE"""),"PROSES")</f>
        <v>PROSES</v>
      </c>
      <c r="F1789" s="9" t="str">
        <f>IFERROR(__xludf.DUMMYFUNCTION("""COMPUTED_VALUE"""),"")</f>
        <v/>
      </c>
      <c r="G1789" s="7" t="str">
        <f>IFERROR(__xludf.DUMMYFUNCTION("""COMPUTED_VALUE"""),"PH")</f>
        <v>PH</v>
      </c>
      <c r="H1789" s="7">
        <f t="shared" si="1"/>
        <v>772</v>
      </c>
    </row>
    <row r="1790" ht="22.5" customHeight="1">
      <c r="B1790" s="7" t="str">
        <f>IFERROR(__xludf.DUMMYFUNCTION("""COMPUTED_VALUE"""),"L/18/021224/1")</f>
        <v>L/18/021224/1</v>
      </c>
      <c r="C1790" s="7" t="str">
        <f>IFERROR(__xludf.DUMMYFUNCTION("""COMPUTED_VALUE"""),"HGB 1864/SUKABUMI")</f>
        <v>HGB 1864/SUKABUMI</v>
      </c>
      <c r="D1790" s="7" t="str">
        <f>IFERROR(__xludf.DUMMYFUNCTION("""COMPUTED_VALUE"""),"Berry")</f>
        <v>Berry</v>
      </c>
      <c r="E1790" s="7" t="str">
        <f>IFERROR(__xludf.DUMMYFUNCTION("""COMPUTED_VALUE"""),"PROSES")</f>
        <v>PROSES</v>
      </c>
      <c r="F1790" s="9" t="str">
        <f>IFERROR(__xludf.DUMMYFUNCTION("""COMPUTED_VALUE"""),"")</f>
        <v/>
      </c>
      <c r="G1790" s="7" t="str">
        <f>IFERROR(__xludf.DUMMYFUNCTION("""COMPUTED_VALUE"""),"ROYA")</f>
        <v>ROYA</v>
      </c>
      <c r="H1790" s="7">
        <f t="shared" si="1"/>
        <v>772</v>
      </c>
    </row>
    <row r="1791" ht="22.5" customHeight="1">
      <c r="B1791" s="7" t="str">
        <f>IFERROR(__xludf.DUMMYFUNCTION("""COMPUTED_VALUE"""),"L/19/021224/1")</f>
        <v>L/19/021224/1</v>
      </c>
      <c r="C1791" s="7" t="str">
        <f>IFERROR(__xludf.DUMMYFUNCTION("""COMPUTED_VALUE"""),"HM 563/NOG")</f>
        <v>HM 563/NOG</v>
      </c>
      <c r="D1791" s="7" t="str">
        <f>IFERROR(__xludf.DUMMYFUNCTION("""COMPUTED_VALUE"""),"Berry")</f>
        <v>Berry</v>
      </c>
      <c r="E1791" s="7" t="str">
        <f>IFERROR(__xludf.DUMMYFUNCTION("""COMPUTED_VALUE"""),"DISERAHKAN")</f>
        <v>DISERAHKAN</v>
      </c>
      <c r="F1791" s="9">
        <f>IFERROR(__xludf.DUMMYFUNCTION("""COMPUTED_VALUE"""),45630.39605260416)</f>
        <v>45630.39605</v>
      </c>
      <c r="G1791" s="7" t="str">
        <f>IFERROR(__xludf.DUMMYFUNCTION("""COMPUTED_VALUE"""),"ROYA")</f>
        <v>ROYA</v>
      </c>
      <c r="H1791" s="7">
        <f t="shared" si="1"/>
        <v>773</v>
      </c>
    </row>
    <row r="1792" ht="22.5" customHeight="1">
      <c r="B1792" s="7" t="str">
        <f>IFERROR(__xludf.DUMMYFUNCTION("""COMPUTED_VALUE"""),"L/21/021224/1")</f>
        <v>L/21/021224/1</v>
      </c>
      <c r="C1792" s="7" t="str">
        <f>IFERROR(__xludf.DUMMYFUNCTION("""COMPUTED_VALUE"""),"HM 32/WAY HALIM PERMAI")</f>
        <v>HM 32/WAY HALIM PERMAI</v>
      </c>
      <c r="D1792" s="7" t="str">
        <f>IFERROR(__xludf.DUMMYFUNCTION("""COMPUTED_VALUE"""),"Berry")</f>
        <v>Berry</v>
      </c>
      <c r="E1792" s="7" t="str">
        <f>IFERROR(__xludf.DUMMYFUNCTION("""COMPUTED_VALUE"""),"DISERAHKAN")</f>
        <v>DISERAHKAN</v>
      </c>
      <c r="F1792" s="9">
        <f>IFERROR(__xludf.DUMMYFUNCTION("""COMPUTED_VALUE"""),45630.396346608795)</f>
        <v>45630.39635</v>
      </c>
      <c r="G1792" s="7" t="str">
        <f>IFERROR(__xludf.DUMMYFUNCTION("""COMPUTED_VALUE"""),"BN WARIS")</f>
        <v>BN WARIS</v>
      </c>
      <c r="H1792" s="7">
        <f t="shared" si="1"/>
        <v>774</v>
      </c>
    </row>
    <row r="1793" ht="22.5" customHeight="1">
      <c r="B1793" s="7" t="str">
        <f>IFERROR(__xludf.DUMMYFUNCTION("""COMPUTED_VALUE"""),"K/22/021224/1")</f>
        <v>K/22/021224/1</v>
      </c>
      <c r="C1793" s="7" t="str">
        <f>IFERROR(__xludf.DUMMYFUNCTION("""COMPUTED_VALUE"""),"M.1542/SUKABUMI INDAH-SEKARANG;M.14829/SKABUMI-DAHULU")</f>
        <v>M.1542/SUKABUMI INDAH-SEKARANG;M.14829/SKABUMI-DAHULU</v>
      </c>
      <c r="D1793" s="7" t="str">
        <f>IFERROR(__xludf.DUMMYFUNCTION("""COMPUTED_VALUE"""),"Berry")</f>
        <v>Berry</v>
      </c>
      <c r="E1793" s="7" t="str">
        <f>IFERROR(__xludf.DUMMYFUNCTION("""COMPUTED_VALUE"""),"PROSES")</f>
        <v>PROSES</v>
      </c>
      <c r="F1793" s="9" t="str">
        <f>IFERROR(__xludf.DUMMYFUNCTION("""COMPUTED_VALUE"""),"")</f>
        <v/>
      </c>
      <c r="G1793" s="7" t="str">
        <f>IFERROR(__xludf.DUMMYFUNCTION("""COMPUTED_VALUE"""),"BN JUAL BELI")</f>
        <v>BN JUAL BELI</v>
      </c>
      <c r="H1793" s="7">
        <f t="shared" si="1"/>
        <v>774</v>
      </c>
    </row>
    <row r="1794" ht="22.5" customHeight="1">
      <c r="B1794" s="7" t="str">
        <f>IFERROR(__xludf.DUMMYFUNCTION("""COMPUTED_VALUE"""),"K/20/021224/1")</f>
        <v>K/20/021224/1</v>
      </c>
      <c r="C1794" s="7" t="str">
        <f>IFERROR(__xludf.DUMMYFUNCTION("""COMPUTED_VALUE"""),"M. 1859/ Pengajaran; SHT 5654/2017")</f>
        <v>M. 1859/ Pengajaran; SHT 5654/2017</v>
      </c>
      <c r="D1794" s="7"/>
      <c r="E1794" s="7"/>
      <c r="F1794" s="9" t="str">
        <f>IFERROR(__xludf.DUMMYFUNCTION("""COMPUTED_VALUE"""),"")</f>
        <v/>
      </c>
      <c r="G1794" s="7" t="str">
        <f>IFERROR(__xludf.DUMMYFUNCTION("""COMPUTED_VALUE"""),"Roya")</f>
        <v>Roya</v>
      </c>
      <c r="H1794" s="7">
        <f t="shared" si="1"/>
        <v>774</v>
      </c>
    </row>
    <row r="1795" ht="22.5" customHeight="1">
      <c r="B1795" s="7" t="str">
        <f>IFERROR(__xludf.DUMMYFUNCTION("""COMPUTED_VALUE"""),"K/16/021224/2")</f>
        <v>K/16/021224/2</v>
      </c>
      <c r="C1795" s="7" t="str">
        <f>IFERROR(__xludf.DUMMYFUNCTION("""COMPUTED_VALUE"""),"M. 1062/ Kangkung; SHT peringkat I -VII")</f>
        <v>M. 1062/ Kangkung; SHT peringkat I -VII</v>
      </c>
      <c r="D1795" s="7"/>
      <c r="E1795" s="7"/>
      <c r="F1795" s="9" t="str">
        <f>IFERROR(__xludf.DUMMYFUNCTION("""COMPUTED_VALUE"""),"")</f>
        <v/>
      </c>
      <c r="G1795" s="7" t="str">
        <f>IFERROR(__xludf.DUMMYFUNCTION("""COMPUTED_VALUE"""),"Roya")</f>
        <v>Roya</v>
      </c>
      <c r="H1795" s="7">
        <f t="shared" si="1"/>
        <v>774</v>
      </c>
    </row>
    <row r="1796" ht="22.5" customHeight="1">
      <c r="B1796" s="7" t="str">
        <f>IFERROR(__xludf.DUMMYFUNCTION("""COMPUTED_VALUE"""),"K/23/021224/1")</f>
        <v>K/23/021224/1</v>
      </c>
      <c r="C1796" s="7" t="str">
        <f>IFERROR(__xludf.DUMMYFUNCTION("""COMPUTED_VALUE"""),"NIbel 3351/ Rajabasa Nunyai")</f>
        <v>NIbel 3351/ Rajabasa Nunyai</v>
      </c>
      <c r="D1796" s="7" t="str">
        <f>IFERROR(__xludf.DUMMYFUNCTION("""COMPUTED_VALUE"""),"Berry")</f>
        <v>Berry</v>
      </c>
      <c r="E1796" s="7" t="str">
        <f>IFERROR(__xludf.DUMMYFUNCTION("""COMPUTED_VALUE"""),"PROSES")</f>
        <v>PROSES</v>
      </c>
      <c r="F1796" s="9" t="str">
        <f>IFERROR(__xludf.DUMMYFUNCTION("""COMPUTED_VALUE"""),"")</f>
        <v/>
      </c>
      <c r="G1796" s="7" t="str">
        <f>IFERROR(__xludf.DUMMYFUNCTION("""COMPUTED_VALUE"""),"PERUBAHN HAK")</f>
        <v>PERUBAHN HAK</v>
      </c>
      <c r="H1796" s="7">
        <f t="shared" si="1"/>
        <v>774</v>
      </c>
    </row>
    <row r="1797" ht="22.5" customHeight="1">
      <c r="B1797" s="7" t="str">
        <f>IFERROR(__xludf.DUMMYFUNCTION("""COMPUTED_VALUE"""),"K/24/021224/2")</f>
        <v>K/24/021224/2</v>
      </c>
      <c r="C1797" s="7" t="str">
        <f>IFERROR(__xludf.DUMMYFUNCTION("""COMPUTED_VALUE"""),"NIbel 3455/ Rajabasa Nunyai")</f>
        <v>NIbel 3455/ Rajabasa Nunyai</v>
      </c>
      <c r="D1797" s="7"/>
      <c r="E1797" s="7"/>
      <c r="F1797" s="9" t="str">
        <f>IFERROR(__xludf.DUMMYFUNCTION("""COMPUTED_VALUE"""),"")</f>
        <v/>
      </c>
      <c r="G1797" s="7" t="str">
        <f>IFERROR(__xludf.DUMMYFUNCTION("""COMPUTED_VALUE"""),"PERUBAHAN HAK")</f>
        <v>PERUBAHAN HAK</v>
      </c>
      <c r="H1797" s="7">
        <f t="shared" si="1"/>
        <v>774</v>
      </c>
    </row>
    <row r="1798" ht="22.5" customHeight="1">
      <c r="B1798" s="7" t="str">
        <f>IFERROR(__xludf.DUMMYFUNCTION("""COMPUTED_VALUE"""),"K/15/021224/1")</f>
        <v>K/15/021224/1</v>
      </c>
      <c r="C1798" s="7" t="str">
        <f>IFERROR(__xludf.DUMMYFUNCTION("""COMPUTED_VALUE"""),"M. 1061/ Kangkung; SHT peringkat I-IX")</f>
        <v>M. 1061/ Kangkung; SHT peringkat I-IX</v>
      </c>
      <c r="D1798" s="7"/>
      <c r="E1798" s="7"/>
      <c r="F1798" s="9" t="str">
        <f>IFERROR(__xludf.DUMMYFUNCTION("""COMPUTED_VALUE"""),"")</f>
        <v/>
      </c>
      <c r="G1798" s="7" t="str">
        <f>IFERROR(__xludf.DUMMYFUNCTION("""COMPUTED_VALUE"""),"Roya")</f>
        <v>Roya</v>
      </c>
      <c r="H1798" s="7">
        <f t="shared" si="1"/>
        <v>774</v>
      </c>
    </row>
    <row r="1799" ht="22.5" customHeight="1">
      <c r="B1799" s="7" t="str">
        <f>IFERROR(__xludf.DUMMYFUNCTION("""COMPUTED_VALUE"""),"K/25/021224/1")</f>
        <v>K/25/021224/1</v>
      </c>
      <c r="C1799" s="7" t="str">
        <f>IFERROR(__xludf.DUMMYFUNCTION("""COMPUTED_VALUE"""),"PBT. 170/2024 (Rajabasa)")</f>
        <v>PBT. 170/2024 (Rajabasa)</v>
      </c>
      <c r="D1799" s="7" t="str">
        <f>IFERROR(__xludf.DUMMYFUNCTION("""COMPUTED_VALUE"""),"Berry")</f>
        <v>Berry</v>
      </c>
      <c r="E1799" s="7" t="str">
        <f>IFERROR(__xludf.DUMMYFUNCTION("""COMPUTED_VALUE"""),"DISERAHKAN")</f>
        <v>DISERAHKAN</v>
      </c>
      <c r="F1799" s="9">
        <f>IFERROR(__xludf.DUMMYFUNCTION("""COMPUTED_VALUE"""),45630.39705478009)</f>
        <v>45630.39705</v>
      </c>
      <c r="G1799" s="7" t="str">
        <f>IFERROR(__xludf.DUMMYFUNCTION("""COMPUTED_VALUE"""),"PTPGT (Prtama Kali)")</f>
        <v>PTPGT (Prtama Kali)</v>
      </c>
      <c r="H1799" s="7">
        <f t="shared" si="1"/>
        <v>775</v>
      </c>
    </row>
    <row r="1800" ht="22.5" customHeight="1">
      <c r="B1800" s="7" t="str">
        <f>IFERROR(__xludf.DUMMYFUNCTION("""COMPUTED_VALUE"""),"K/26/021224/1")</f>
        <v>K/26/021224/1</v>
      </c>
      <c r="C1800" s="7" t="str">
        <f>IFERROR(__xludf.DUMMYFUNCTION("""COMPUTED_VALUE"""),"M. 8135/ Sukabumi")</f>
        <v>M. 8135/ Sukabumi</v>
      </c>
      <c r="D1800" s="7" t="str">
        <f>IFERROR(__xludf.DUMMYFUNCTION("""COMPUTED_VALUE"""),"Berry")</f>
        <v>Berry</v>
      </c>
      <c r="E1800" s="7" t="str">
        <f>IFERROR(__xludf.DUMMYFUNCTION("""COMPUTED_VALUE"""),"DISERAHKAN")</f>
        <v>DISERAHKAN</v>
      </c>
      <c r="F1800" s="9">
        <f>IFERROR(__xludf.DUMMYFUNCTION("""COMPUTED_VALUE"""),45630.39723540509)</f>
        <v>45630.39724</v>
      </c>
      <c r="G1800" s="7" t="str">
        <f>IFERROR(__xludf.DUMMYFUNCTION("""COMPUTED_VALUE"""),"Pengecekan")</f>
        <v>Pengecekan</v>
      </c>
      <c r="H1800" s="7">
        <f t="shared" si="1"/>
        <v>776</v>
      </c>
    </row>
    <row r="1801" ht="22.5" customHeight="1">
      <c r="B1801" s="7" t="str">
        <f>IFERROR(__xludf.DUMMYFUNCTION("""COMPUTED_VALUE"""),"K/27/021224/1")</f>
        <v>K/27/021224/1</v>
      </c>
      <c r="C1801" s="7" t="str">
        <f>IFERROR(__xludf.DUMMYFUNCTION("""COMPUTED_VALUE"""),"M. 3647/ Gunung Terang")</f>
        <v>M. 3647/ Gunung Terang</v>
      </c>
      <c r="D1801" s="7" t="str">
        <f>IFERROR(__xludf.DUMMYFUNCTION("""COMPUTED_VALUE"""),"Berry")</f>
        <v>Berry</v>
      </c>
      <c r="E1801" s="7" t="str">
        <f>IFERROR(__xludf.DUMMYFUNCTION("""COMPUTED_VALUE"""),"DISERAHKAN")</f>
        <v>DISERAHKAN</v>
      </c>
      <c r="F1801" s="9">
        <f>IFERROR(__xludf.DUMMYFUNCTION("""COMPUTED_VALUE"""),45630.397531145834)</f>
        <v>45630.39753</v>
      </c>
      <c r="G1801" s="7" t="str">
        <f>IFERROR(__xludf.DUMMYFUNCTION("""COMPUTED_VALUE"""),"BN Waris")</f>
        <v>BN Waris</v>
      </c>
      <c r="H1801" s="7">
        <f t="shared" si="1"/>
        <v>777</v>
      </c>
    </row>
    <row r="1802" ht="22.5" customHeight="1">
      <c r="B1802" s="7" t="str">
        <f>IFERROR(__xludf.DUMMYFUNCTION("""COMPUTED_VALUE"""),"K/29/021224/1")</f>
        <v>K/29/021224/1</v>
      </c>
      <c r="C1802" s="7" t="str">
        <f>IFERROR(__xludf.DUMMYFUNCTION("""COMPUTED_VALUE"""),"M.2227/SUKARAME BARU")</f>
        <v>M.2227/SUKARAME BARU</v>
      </c>
      <c r="D1802" s="7" t="str">
        <f>IFERROR(__xludf.DUMMYFUNCTION("""COMPUTED_VALUE"""),"Berry")</f>
        <v>Berry</v>
      </c>
      <c r="E1802" s="7" t="str">
        <f>IFERROR(__xludf.DUMMYFUNCTION("""COMPUTED_VALUE"""),"DISERAHKAN")</f>
        <v>DISERAHKAN</v>
      </c>
      <c r="F1802" s="9">
        <f>IFERROR(__xludf.DUMMYFUNCTION("""COMPUTED_VALUE"""),45630.397658194444)</f>
        <v>45630.39766</v>
      </c>
      <c r="G1802" s="7" t="str">
        <f>IFERROR(__xludf.DUMMYFUNCTION("""COMPUTED_VALUE"""),"BN JUAL BELI ")</f>
        <v>BN JUAL BELI </v>
      </c>
      <c r="H1802" s="7">
        <f t="shared" si="1"/>
        <v>778</v>
      </c>
    </row>
    <row r="1803" ht="22.5" customHeight="1">
      <c r="B1803" s="7" t="str">
        <f>IFERROR(__xludf.DUMMYFUNCTION("""COMPUTED_VALUE"""),"K/28/021224/2")</f>
        <v>K/28/021224/2</v>
      </c>
      <c r="C1803" s="7" t="str">
        <f>IFERROR(__xludf.DUMMYFUNCTION("""COMPUTED_VALUE"""),"M. 420/ Rajabasa Nunyai")</f>
        <v>M. 420/ Rajabasa Nunyai</v>
      </c>
      <c r="D1803" s="7"/>
      <c r="E1803" s="7"/>
      <c r="F1803" s="9" t="str">
        <f>IFERROR(__xludf.DUMMYFUNCTION("""COMPUTED_VALUE"""),"")</f>
        <v/>
      </c>
      <c r="G1803" s="7" t="str">
        <f>IFERROR(__xludf.DUMMYFUNCTION("""COMPUTED_VALUE"""),"BN Waris")</f>
        <v>BN Waris</v>
      </c>
      <c r="H1803" s="7">
        <f t="shared" si="1"/>
        <v>778</v>
      </c>
    </row>
    <row r="1804" ht="22.5" customHeight="1">
      <c r="B1804" s="7" t="str">
        <f>IFERROR(__xludf.DUMMYFUNCTION("""COMPUTED_VALUE"""),"K/30/021224/2")</f>
        <v>K/30/021224/2</v>
      </c>
      <c r="C1804" s="7" t="str">
        <f>IFERROR(__xludf.DUMMYFUNCTION("""COMPUTED_VALUE"""),"M.2228/SUKARAME BARU")</f>
        <v>M.2228/SUKARAME BARU</v>
      </c>
      <c r="D1804" s="7"/>
      <c r="E1804" s="7"/>
      <c r="F1804" s="9" t="str">
        <f>IFERROR(__xludf.DUMMYFUNCTION("""COMPUTED_VALUE"""),"")</f>
        <v/>
      </c>
      <c r="G1804" s="7" t="str">
        <f>IFERROR(__xludf.DUMMYFUNCTION("""COMPUTED_VALUE"""),"BN JUAL BELI ")</f>
        <v>BN JUAL BELI </v>
      </c>
      <c r="H1804" s="7">
        <f t="shared" si="1"/>
        <v>778</v>
      </c>
    </row>
    <row r="1805" ht="22.5" customHeight="1">
      <c r="B1805" s="7" t="str">
        <f>IFERROR(__xludf.DUMMYFUNCTION("""COMPUTED_VALUE"""),"K/31/021224/3")</f>
        <v>K/31/021224/3</v>
      </c>
      <c r="C1805" s="7" t="str">
        <f>IFERROR(__xludf.DUMMYFUNCTION("""COMPUTED_VALUE"""),"M.680/GEDONG AIR")</f>
        <v>M.680/GEDONG AIR</v>
      </c>
      <c r="D1805" s="7" t="str">
        <f>IFERROR(__xludf.DUMMYFUNCTION("""COMPUTED_VALUE"""),"Berry")</f>
        <v>Berry</v>
      </c>
      <c r="E1805" s="7" t="str">
        <f>IFERROR(__xludf.DUMMYFUNCTION("""COMPUTED_VALUE"""),"PROSES")</f>
        <v>PROSES</v>
      </c>
      <c r="F1805" s="9" t="str">
        <f>IFERROR(__xludf.DUMMYFUNCTION("""COMPUTED_VALUE"""),"")</f>
        <v/>
      </c>
      <c r="G1805" s="7" t="str">
        <f>IFERROR(__xludf.DUMMYFUNCTION("""COMPUTED_VALUE"""),"PLOTING")</f>
        <v>PLOTING</v>
      </c>
      <c r="H1805" s="7">
        <f t="shared" si="1"/>
        <v>778</v>
      </c>
    </row>
    <row r="1806" ht="22.5" customHeight="1">
      <c r="B1806" s="7" t="str">
        <f>IFERROR(__xludf.DUMMYFUNCTION("""COMPUTED_VALUE"""),"K/32/021224/4")</f>
        <v>K/32/021224/4</v>
      </c>
      <c r="C1806" s="7" t="str">
        <f>IFERROR(__xludf.DUMMYFUNCTION("""COMPUTED_VALUE"""),"M.1568/GUNUNG TERANG")</f>
        <v>M.1568/GUNUNG TERANG</v>
      </c>
      <c r="D1806" s="7"/>
      <c r="E1806" s="7"/>
      <c r="F1806" s="9" t="str">
        <f>IFERROR(__xludf.DUMMYFUNCTION("""COMPUTED_VALUE"""),"")</f>
        <v/>
      </c>
      <c r="G1806" s="7" t="str">
        <f>IFERROR(__xludf.DUMMYFUNCTION("""COMPUTED_VALUE"""),"PLOTING")</f>
        <v>PLOTING</v>
      </c>
      <c r="H1806" s="7">
        <f t="shared" si="1"/>
        <v>778</v>
      </c>
    </row>
    <row r="1807" ht="22.5" customHeight="1">
      <c r="B1807" s="7" t="str">
        <f>IFERROR(__xludf.DUMMYFUNCTION("""COMPUTED_VALUE"""),"K/33/021224/1")</f>
        <v>K/33/021224/1</v>
      </c>
      <c r="C1807" s="7" t="str">
        <f>IFERROR(__xludf.DUMMYFUNCTION("""COMPUTED_VALUE"""),"M.542/KORPRI RAYA-SEKARANG;M.11104/SUKAARME I-DAHULU")</f>
        <v>M.542/KORPRI RAYA-SEKARANG;M.11104/SUKAARME I-DAHULU</v>
      </c>
      <c r="D1807" s="7" t="str">
        <f>IFERROR(__xludf.DUMMYFUNCTION("""COMPUTED_VALUE"""),"Berry")</f>
        <v>Berry</v>
      </c>
      <c r="E1807" s="7" t="str">
        <f>IFERROR(__xludf.DUMMYFUNCTION("""COMPUTED_VALUE"""),"PROSES")</f>
        <v>PROSES</v>
      </c>
      <c r="F1807" s="9" t="str">
        <f>IFERROR(__xludf.DUMMYFUNCTION("""COMPUTED_VALUE"""),"")</f>
        <v/>
      </c>
      <c r="G1807" s="7" t="str">
        <f>IFERROR(__xludf.DUMMYFUNCTION("""COMPUTED_VALUE"""),"BN JUAL BELI")</f>
        <v>BN JUAL BELI</v>
      </c>
      <c r="H1807" s="7">
        <f t="shared" si="1"/>
        <v>778</v>
      </c>
    </row>
    <row r="1808" ht="22.5" customHeight="1">
      <c r="B1808" s="7" t="str">
        <f>IFERROR(__xludf.DUMMYFUNCTION("""COMPUTED_VALUE"""),"K/34/021224/1")</f>
        <v>K/34/021224/1</v>
      </c>
      <c r="C1808" s="7" t="str">
        <f>IFERROR(__xludf.DUMMYFUNCTION("""COMPUTED_VALUE"""),"M.4254/RAJABASA JAYA")</f>
        <v>M.4254/RAJABASA JAYA</v>
      </c>
      <c r="D1808" s="7"/>
      <c r="E1808" s="7"/>
      <c r="F1808" s="9" t="str">
        <f>IFERROR(__xludf.DUMMYFUNCTION("""COMPUTED_VALUE"""),"")</f>
        <v/>
      </c>
      <c r="G1808" s="7" t="str">
        <f>IFERROR(__xludf.DUMMYFUNCTION("""COMPUTED_VALUE"""),"PLOTING")</f>
        <v>PLOTING</v>
      </c>
      <c r="H1808" s="7">
        <f t="shared" si="1"/>
        <v>778</v>
      </c>
    </row>
    <row r="1809" ht="22.5" customHeight="1">
      <c r="B1809" s="7" t="str">
        <f>IFERROR(__xludf.DUMMYFUNCTION("""COMPUTED_VALUE"""),"K/35/021224/1")</f>
        <v>K/35/021224/1</v>
      </c>
      <c r="C1809" s="7" t="str">
        <f>IFERROR(__xludf.DUMMYFUNCTION("""COMPUTED_VALUE"""),"M.1213/SUKARAME II")</f>
        <v>M.1213/SUKARAME II</v>
      </c>
      <c r="D1809" s="7" t="str">
        <f>IFERROR(__xludf.DUMMYFUNCTION("""COMPUTED_VALUE"""),"Berry")</f>
        <v>Berry</v>
      </c>
      <c r="E1809" s="7" t="str">
        <f>IFERROR(__xludf.DUMMYFUNCTION("""COMPUTED_VALUE"""),"PROSES")</f>
        <v>PROSES</v>
      </c>
      <c r="F1809" s="9" t="str">
        <f>IFERROR(__xludf.DUMMYFUNCTION("""COMPUTED_VALUE"""),"")</f>
        <v/>
      </c>
      <c r="G1809" s="7" t="str">
        <f>IFERROR(__xludf.DUMMYFUNCTION("""COMPUTED_VALUE"""),"BN JUAL BELI")</f>
        <v>BN JUAL BELI</v>
      </c>
      <c r="H1809" s="7">
        <f t="shared" si="1"/>
        <v>778</v>
      </c>
    </row>
    <row r="1810" ht="22.5" customHeight="1">
      <c r="B1810" s="7" t="str">
        <f>IFERROR(__xludf.DUMMYFUNCTION("""COMPUTED_VALUE"""),"L/38/021224/1")</f>
        <v>L/38/021224/1</v>
      </c>
      <c r="C1810" s="7" t="str">
        <f>IFERROR(__xludf.DUMMYFUNCTION("""COMPUTED_VALUE"""),"M 810/GEDONG AIR")</f>
        <v>M 810/GEDONG AIR</v>
      </c>
      <c r="D1810" s="7" t="str">
        <f>IFERROR(__xludf.DUMMYFUNCTION("""COMPUTED_VALUE"""),"Berry")</f>
        <v>Berry</v>
      </c>
      <c r="E1810" s="7" t="str">
        <f>IFERROR(__xludf.DUMMYFUNCTION("""COMPUTED_VALUE"""),"PROSES")</f>
        <v>PROSES</v>
      </c>
      <c r="F1810" s="9" t="str">
        <f>IFERROR(__xludf.DUMMYFUNCTION("""COMPUTED_VALUE"""),"")</f>
        <v/>
      </c>
      <c r="G1810" s="7" t="str">
        <f>IFERROR(__xludf.DUMMYFUNCTION("""COMPUTED_VALUE"""),"PTPGT")</f>
        <v>PTPGT</v>
      </c>
      <c r="H1810" s="7">
        <f t="shared" si="1"/>
        <v>778</v>
      </c>
    </row>
    <row r="1811" ht="22.5" customHeight="1">
      <c r="B1811" s="7" t="str">
        <f>IFERROR(__xludf.DUMMYFUNCTION("""COMPUTED_VALUE"""),"K/36/021224/1")</f>
        <v>K/36/021224/1</v>
      </c>
      <c r="C1811" s="7" t="str">
        <f>IFERROR(__xludf.DUMMYFUNCTION("""COMPUTED_VALUE"""),"M. 1395/ Way Halim Permai")</f>
        <v>M. 1395/ Way Halim Permai</v>
      </c>
      <c r="D1811" s="7"/>
      <c r="E1811" s="7"/>
      <c r="F1811" s="9" t="str">
        <f>IFERROR(__xludf.DUMMYFUNCTION("""COMPUTED_VALUE"""),"")</f>
        <v/>
      </c>
      <c r="G1811" s="7" t="str">
        <f>IFERROR(__xludf.DUMMYFUNCTION("""COMPUTED_VALUE"""),"BN Jual Beli")</f>
        <v>BN Jual Beli</v>
      </c>
      <c r="H1811" s="7">
        <f t="shared" si="1"/>
        <v>778</v>
      </c>
    </row>
    <row r="1812" ht="22.5" customHeight="1">
      <c r="B1812" s="7" t="str">
        <f>IFERROR(__xludf.DUMMYFUNCTION("""COMPUTED_VALUE"""),"K/39/021224/1")</f>
        <v>K/39/021224/1</v>
      </c>
      <c r="C1812" s="7" t="str">
        <f>IFERROR(__xludf.DUMMYFUNCTION("""COMPUTED_VALUE"""),"M. 1600/ Kangkung")</f>
        <v>M. 1600/ Kangkung</v>
      </c>
      <c r="D1812" s="7"/>
      <c r="E1812" s="7"/>
      <c r="F1812" s="9" t="str">
        <f>IFERROR(__xludf.DUMMYFUNCTION("""COMPUTED_VALUE"""),"")</f>
        <v/>
      </c>
      <c r="G1812" s="7" t="str">
        <f>IFERROR(__xludf.DUMMYFUNCTION("""COMPUTED_VALUE"""),"BN JUAL BELI")</f>
        <v>BN JUAL BELI</v>
      </c>
      <c r="H1812" s="7">
        <f t="shared" si="1"/>
        <v>778</v>
      </c>
    </row>
    <row r="1813" ht="22.5" customHeight="1">
      <c r="B1813" s="7" t="str">
        <f>IFERROR(__xludf.DUMMYFUNCTION("""COMPUTED_VALUE"""),"K/37/021224/1")</f>
        <v>K/37/021224/1</v>
      </c>
      <c r="C1813" s="7" t="str">
        <f>IFERROR(__xludf.DUMMYFUNCTION("""COMPUTED_VALUE"""),"NIBEL M.1160/SEGALA MIDER")</f>
        <v>NIBEL M.1160/SEGALA MIDER</v>
      </c>
      <c r="D1813" s="7"/>
      <c r="E1813" s="7"/>
      <c r="F1813" s="9" t="str">
        <f>IFERROR(__xludf.DUMMYFUNCTION("""COMPUTED_VALUE"""),"")</f>
        <v/>
      </c>
      <c r="G1813" s="7" t="str">
        <f>IFERROR(__xludf.DUMMYFUNCTION("""COMPUTED_VALUE"""),"BN JUAL BELI")</f>
        <v>BN JUAL BELI</v>
      </c>
      <c r="H1813" s="7">
        <f t="shared" si="1"/>
        <v>778</v>
      </c>
    </row>
    <row r="1814" ht="22.5" customHeight="1">
      <c r="B1814" s="7" t="str">
        <f>IFERROR(__xludf.DUMMYFUNCTION("""COMPUTED_VALUE"""),"K/40/021224/1")</f>
        <v>K/40/021224/1</v>
      </c>
      <c r="C1814" s="7" t="str">
        <f>IFERROR(__xludf.DUMMYFUNCTION("""COMPUTED_VALUE"""),"B.1327/SUKABUMI")</f>
        <v>B.1327/SUKABUMI</v>
      </c>
      <c r="D1814" s="7"/>
      <c r="E1814" s="7"/>
      <c r="F1814" s="9" t="str">
        <f>IFERROR(__xludf.DUMMYFUNCTION("""COMPUTED_VALUE"""),"")</f>
        <v/>
      </c>
      <c r="G1814" s="7" t="str">
        <f>IFERROR(__xludf.DUMMYFUNCTION("""COMPUTED_VALUE"""),"GANDES")</f>
        <v>GANDES</v>
      </c>
      <c r="H1814" s="7">
        <f t="shared" si="1"/>
        <v>778</v>
      </c>
    </row>
    <row r="1815" ht="22.5" customHeight="1">
      <c r="B1815" s="7" t="str">
        <f>IFERROR(__xludf.DUMMYFUNCTION("""COMPUTED_VALUE"""),"K/42/021224/1")</f>
        <v>K/42/021224/1</v>
      </c>
      <c r="C1815" s="7" t="str">
        <f>IFERROR(__xludf.DUMMYFUNCTION("""COMPUTED_VALUE"""),"NIBEL M.10901/KEDAMAIAN")</f>
        <v>NIBEL M.10901/KEDAMAIAN</v>
      </c>
      <c r="D1815" s="7"/>
      <c r="E1815" s="7"/>
      <c r="F1815" s="9" t="str">
        <f>IFERROR(__xludf.DUMMYFUNCTION("""COMPUTED_VALUE"""),"")</f>
        <v/>
      </c>
      <c r="G1815" s="7" t="str">
        <f>IFERROR(__xludf.DUMMYFUNCTION("""COMPUTED_VALUE"""),"GANDES")</f>
        <v>GANDES</v>
      </c>
      <c r="H1815" s="7">
        <f t="shared" si="1"/>
        <v>778</v>
      </c>
    </row>
    <row r="1816" ht="22.5" customHeight="1">
      <c r="B1816" s="7" t="str">
        <f>IFERROR(__xludf.DUMMYFUNCTION("""COMPUTED_VALUE"""),"K/43/021224/2")</f>
        <v>K/43/021224/2</v>
      </c>
      <c r="C1816" s="7" t="str">
        <f>IFERROR(__xludf.DUMMYFUNCTION("""COMPUTED_VALUE"""),"NIBEL M.4834/SUKABUMI")</f>
        <v>NIBEL M.4834/SUKABUMI</v>
      </c>
      <c r="D1816" s="7" t="str">
        <f>IFERROR(__xludf.DUMMYFUNCTION("""COMPUTED_VALUE"""),"Berry")</f>
        <v>Berry</v>
      </c>
      <c r="E1816" s="7" t="str">
        <f>IFERROR(__xludf.DUMMYFUNCTION("""COMPUTED_VALUE"""),"PROSES")</f>
        <v>PROSES</v>
      </c>
      <c r="F1816" s="9" t="str">
        <f>IFERROR(__xludf.DUMMYFUNCTION("""COMPUTED_VALUE"""),"")</f>
        <v/>
      </c>
      <c r="G1816" s="7" t="str">
        <f>IFERROR(__xludf.DUMMYFUNCTION("""COMPUTED_VALUE"""),"GANDES")</f>
        <v>GANDES</v>
      </c>
      <c r="H1816" s="7">
        <f t="shared" si="1"/>
        <v>778</v>
      </c>
    </row>
    <row r="1817" ht="22.5" customHeight="1">
      <c r="B1817" s="7" t="str">
        <f>IFERROR(__xludf.DUMMYFUNCTION("""COMPUTED_VALUE"""),"K/41/021224/1")</f>
        <v>K/41/021224/1</v>
      </c>
      <c r="C1817" s="7" t="str">
        <f>IFERROR(__xludf.DUMMYFUNCTION("""COMPUTED_VALUE"""),"M. 774/ Sepang Jaya")</f>
        <v>M. 774/ Sepang Jaya</v>
      </c>
      <c r="D1817" s="7" t="str">
        <f>IFERROR(__xludf.DUMMYFUNCTION("""COMPUTED_VALUE"""),"Berry")</f>
        <v>Berry</v>
      </c>
      <c r="E1817" s="7" t="str">
        <f>IFERROR(__xludf.DUMMYFUNCTION("""COMPUTED_VALUE"""),"PROSES")</f>
        <v>PROSES</v>
      </c>
      <c r="F1817" s="9" t="str">
        <f>IFERROR(__xludf.DUMMYFUNCTION("""COMPUTED_VALUE"""),"")</f>
        <v/>
      </c>
      <c r="G1817" s="7" t="str">
        <f>IFERROR(__xludf.DUMMYFUNCTION("""COMPUTED_VALUE"""),"Gandes")</f>
        <v>Gandes</v>
      </c>
      <c r="H1817" s="7">
        <f t="shared" si="1"/>
        <v>778</v>
      </c>
    </row>
    <row r="1818" ht="22.5" customHeight="1">
      <c r="B1818" s="7" t="str">
        <f>IFERROR(__xludf.DUMMYFUNCTION("""COMPUTED_VALUE"""),"L/1/301124/1")</f>
        <v>L/1/301124/1</v>
      </c>
      <c r="C1818" s="7" t="str">
        <f>IFERROR(__xludf.DUMMYFUNCTION("""COMPUTED_VALUE"""),"M.1232/DURIAN PAYUNG")</f>
        <v>M.1232/DURIAN PAYUNG</v>
      </c>
      <c r="D1818" s="7" t="str">
        <f>IFERROR(__xludf.DUMMYFUNCTION("""COMPUTED_VALUE"""),"Berry")</f>
        <v>Berry</v>
      </c>
      <c r="E1818" s="7" t="str">
        <f>IFERROR(__xludf.DUMMYFUNCTION("""COMPUTED_VALUE"""),"PROSES")</f>
        <v>PROSES</v>
      </c>
      <c r="F1818" s="9" t="str">
        <f>IFERROR(__xludf.DUMMYFUNCTION("""COMPUTED_VALUE"""),"")</f>
        <v/>
      </c>
      <c r="G1818" s="7" t="str">
        <f>IFERROR(__xludf.DUMMYFUNCTION("""COMPUTED_VALUE"""),"ROYA")</f>
        <v>ROYA</v>
      </c>
      <c r="H1818" s="7">
        <f t="shared" si="1"/>
        <v>778</v>
      </c>
    </row>
    <row r="1819" ht="22.5" customHeight="1">
      <c r="B1819" s="7" t="str">
        <f>IFERROR(__xludf.DUMMYFUNCTION("""COMPUTED_VALUE"""),"L/2/301124/2")</f>
        <v>L/2/301124/2</v>
      </c>
      <c r="C1819" s="7" t="str">
        <f>IFERROR(__xludf.DUMMYFUNCTION("""COMPUTED_VALUE"""),"M.922/DURIAN PAYUNG")</f>
        <v>M.922/DURIAN PAYUNG</v>
      </c>
      <c r="D1819" s="7" t="str">
        <f>IFERROR(__xludf.DUMMYFUNCTION("""COMPUTED_VALUE"""),"Berry")</f>
        <v>Berry</v>
      </c>
      <c r="E1819" s="7" t="str">
        <f>IFERROR(__xludf.DUMMYFUNCTION("""COMPUTED_VALUE"""),"PROSES")</f>
        <v>PROSES</v>
      </c>
      <c r="F1819" s="9" t="str">
        <f>IFERROR(__xludf.DUMMYFUNCTION("""COMPUTED_VALUE"""),"")</f>
        <v/>
      </c>
      <c r="G1819" s="7" t="str">
        <f>IFERROR(__xludf.DUMMYFUNCTION("""COMPUTED_VALUE"""),"ROYA")</f>
        <v>ROYA</v>
      </c>
      <c r="H1819" s="7">
        <f t="shared" si="1"/>
        <v>778</v>
      </c>
    </row>
    <row r="1820" ht="22.5" customHeight="1">
      <c r="B1820" s="7" t="str">
        <f>IFERROR(__xludf.DUMMYFUNCTION("""COMPUTED_VALUE"""),"L/3/301124/3")</f>
        <v>L/3/301124/3</v>
      </c>
      <c r="C1820" s="7" t="str">
        <f>IFERROR(__xludf.DUMMYFUNCTION("""COMPUTED_VALUE"""),"M.949/DURIAN PAYUNG")</f>
        <v>M.949/DURIAN PAYUNG</v>
      </c>
      <c r="D1820" s="7"/>
      <c r="E1820" s="7"/>
      <c r="F1820" s="9" t="str">
        <f>IFERROR(__xludf.DUMMYFUNCTION("""COMPUTED_VALUE"""),"")</f>
        <v/>
      </c>
      <c r="G1820" s="7" t="str">
        <f>IFERROR(__xludf.DUMMYFUNCTION("""COMPUTED_VALUE"""),"ROYA")</f>
        <v>ROYA</v>
      </c>
      <c r="H1820" s="7">
        <f t="shared" si="1"/>
        <v>778</v>
      </c>
    </row>
    <row r="1821" ht="22.5" customHeight="1">
      <c r="B1821" s="7" t="str">
        <f>IFERROR(__xludf.DUMMYFUNCTION("""COMPUTED_VALUE"""),"L/4/301124/4")</f>
        <v>L/4/301124/4</v>
      </c>
      <c r="C1821" s="7" t="str">
        <f>IFERROR(__xludf.DUMMYFUNCTION("""COMPUTED_VALUE"""),"M.973/DURIAN PAYUNG")</f>
        <v>M.973/DURIAN PAYUNG</v>
      </c>
      <c r="D1821" s="7"/>
      <c r="E1821" s="7"/>
      <c r="F1821" s="9" t="str">
        <f>IFERROR(__xludf.DUMMYFUNCTION("""COMPUTED_VALUE"""),"")</f>
        <v/>
      </c>
      <c r="G1821" s="7" t="str">
        <f>IFERROR(__xludf.DUMMYFUNCTION("""COMPUTED_VALUE"""),"ROYA")</f>
        <v>ROYA</v>
      </c>
      <c r="H1821" s="7">
        <f t="shared" si="1"/>
        <v>778</v>
      </c>
    </row>
    <row r="1822" ht="22.5" customHeight="1">
      <c r="B1822" s="7" t="str">
        <f>IFERROR(__xludf.DUMMYFUNCTION("""COMPUTED_VALUE"""),"L/1/031224/1")</f>
        <v>L/1/031224/1</v>
      </c>
      <c r="C1822" s="7" t="str">
        <f>IFERROR(__xludf.DUMMYFUNCTION("""COMPUTED_VALUE"""),"ENGGAL")</f>
        <v>ENGGAL</v>
      </c>
      <c r="D1822" s="7" t="str">
        <f>IFERROR(__xludf.DUMMYFUNCTION("""COMPUTED_VALUE"""),"Berry")</f>
        <v>Berry</v>
      </c>
      <c r="E1822" s="7" t="str">
        <f>IFERROR(__xludf.DUMMYFUNCTION("""COMPUTED_VALUE"""),"PROSES")</f>
        <v>PROSES</v>
      </c>
      <c r="F1822" s="9" t="str">
        <f>IFERROR(__xludf.DUMMYFUNCTION("""COMPUTED_VALUE"""),"")</f>
        <v/>
      </c>
      <c r="G1822" s="7" t="str">
        <f>IFERROR(__xludf.DUMMYFUNCTION("""COMPUTED_VALUE"""),"PERMOHONAN SK")</f>
        <v>PERMOHONAN SK</v>
      </c>
      <c r="H1822" s="7">
        <f t="shared" si="1"/>
        <v>778</v>
      </c>
    </row>
    <row r="1823" ht="22.5" customHeight="1">
      <c r="B1823" s="7" t="str">
        <f>IFERROR(__xludf.DUMMYFUNCTION("""COMPUTED_VALUE"""),"L/3/031224/1")</f>
        <v>L/3/031224/1</v>
      </c>
      <c r="C1823" s="7" t="str">
        <f>IFERROR(__xludf.DUMMYFUNCTION("""COMPUTED_VALUE"""),"HGB 170/BERINGIN JAYA")</f>
        <v>HGB 170/BERINGIN JAYA</v>
      </c>
      <c r="D1823" s="7" t="str">
        <f>IFERROR(__xludf.DUMMYFUNCTION("""COMPUTED_VALUE"""),"Berry")</f>
        <v>Berry</v>
      </c>
      <c r="E1823" s="7" t="str">
        <f>IFERROR(__xludf.DUMMYFUNCTION("""COMPUTED_VALUE"""),"DISERAHKAN")</f>
        <v>DISERAHKAN</v>
      </c>
      <c r="F1823" s="9">
        <f>IFERROR(__xludf.DUMMYFUNCTION("""COMPUTED_VALUE"""),45631.34531942129)</f>
        <v>45631.34532</v>
      </c>
      <c r="G1823" s="7" t="str">
        <f>IFERROR(__xludf.DUMMYFUNCTION("""COMPUTED_VALUE"""),"GANDES")</f>
        <v>GANDES</v>
      </c>
      <c r="H1823" s="7">
        <f t="shared" si="1"/>
        <v>779</v>
      </c>
    </row>
    <row r="1824" ht="22.5" customHeight="1">
      <c r="B1824" s="7" t="str">
        <f>IFERROR(__xludf.DUMMYFUNCTION("""COMPUTED_VALUE"""),"K/4/031224/1")</f>
        <v>K/4/031224/1</v>
      </c>
      <c r="C1824" s="7" t="str">
        <f>IFERROR(__xludf.DUMMYFUNCTION("""COMPUTED_VALUE"""),"M.922/KUPANG TEBA")</f>
        <v>M.922/KUPANG TEBA</v>
      </c>
      <c r="D1824" s="7"/>
      <c r="E1824" s="7"/>
      <c r="F1824" s="9" t="str">
        <f>IFERROR(__xludf.DUMMYFUNCTION("""COMPUTED_VALUE"""),"")</f>
        <v/>
      </c>
      <c r="G1824" s="7" t="str">
        <f>IFERROR(__xludf.DUMMYFUNCTION("""COMPUTED_VALUE"""),"BN JUAL BELI")</f>
        <v>BN JUAL BELI</v>
      </c>
      <c r="H1824" s="7">
        <f t="shared" si="1"/>
        <v>779</v>
      </c>
    </row>
    <row r="1825" ht="22.5" customHeight="1">
      <c r="B1825" s="7" t="str">
        <f>IFERROR(__xludf.DUMMYFUNCTION("""COMPUTED_VALUE"""),"K/2/031224/1")</f>
        <v>K/2/031224/1</v>
      </c>
      <c r="C1825" s="7" t="str">
        <f>IFERROR(__xludf.DUMMYFUNCTION("""COMPUTED_VALUE"""),"M. 1037/ Kaliawi")</f>
        <v>M. 1037/ Kaliawi</v>
      </c>
      <c r="D1825" s="7"/>
      <c r="E1825" s="7"/>
      <c r="F1825" s="9" t="str">
        <f>IFERROR(__xludf.DUMMYFUNCTION("""COMPUTED_VALUE"""),"")</f>
        <v/>
      </c>
      <c r="G1825" s="7" t="str">
        <f>IFERROR(__xludf.DUMMYFUNCTION("""COMPUTED_VALUE"""),"ROYA")</f>
        <v>ROYA</v>
      </c>
      <c r="H1825" s="7">
        <f t="shared" si="1"/>
        <v>779</v>
      </c>
    </row>
    <row r="1826" ht="22.5" customHeight="1">
      <c r="B1826" s="7" t="str">
        <f>IFERROR(__xludf.DUMMYFUNCTION("""COMPUTED_VALUE"""),"K/5/031224/1")</f>
        <v>K/5/031224/1</v>
      </c>
      <c r="C1826" s="7" t="str">
        <f>IFERROR(__xludf.DUMMYFUNCTION("""COMPUTED_VALUE"""),"M. 11521/ SUKARAME I")</f>
        <v>M. 11521/ SUKARAME I</v>
      </c>
      <c r="D1826" s="7" t="str">
        <f>IFERROR(__xludf.DUMMYFUNCTION("""COMPUTED_VALUE"""),"Berry")</f>
        <v>Berry</v>
      </c>
      <c r="E1826" s="7" t="str">
        <f>IFERROR(__xludf.DUMMYFUNCTION("""COMPUTED_VALUE"""),"DISERAHKAN")</f>
        <v>DISERAHKAN</v>
      </c>
      <c r="F1826" s="9">
        <f>IFERROR(__xludf.DUMMYFUNCTION("""COMPUTED_VALUE"""),45631.34531942129)</f>
        <v>45631.34532</v>
      </c>
      <c r="G1826" s="7" t="str">
        <f>IFERROR(__xludf.DUMMYFUNCTION("""COMPUTED_VALUE"""),"GANT KELURAHAN")</f>
        <v>GANT KELURAHAN</v>
      </c>
      <c r="H1826" s="7">
        <f t="shared" si="1"/>
        <v>780</v>
      </c>
    </row>
    <row r="1827" ht="22.5" customHeight="1">
      <c r="B1827" s="7" t="str">
        <f>IFERROR(__xludf.DUMMYFUNCTION("""COMPUTED_VALUE"""),"K/7/031224/1")</f>
        <v>K/7/031224/1</v>
      </c>
      <c r="C1827" s="7" t="str">
        <f>IFERROR(__xludf.DUMMYFUNCTION("""COMPUTED_VALUE"""),"Nibel 3541/ Labuhan Ratu Raya")</f>
        <v>Nibel 3541/ Labuhan Ratu Raya</v>
      </c>
      <c r="D1827" s="7"/>
      <c r="E1827" s="7"/>
      <c r="F1827" s="9" t="str">
        <f>IFERROR(__xludf.DUMMYFUNCTION("""COMPUTED_VALUE"""),"")</f>
        <v/>
      </c>
      <c r="G1827" s="7" t="str">
        <f>IFERROR(__xludf.DUMMYFUNCTION("""COMPUTED_VALUE"""),"PERUBAHAN HAK")</f>
        <v>PERUBAHAN HAK</v>
      </c>
      <c r="H1827" s="7">
        <f t="shared" si="1"/>
        <v>780</v>
      </c>
    </row>
    <row r="1828" ht="22.5" customHeight="1">
      <c r="B1828" s="7" t="str">
        <f>IFERROR(__xludf.DUMMYFUNCTION("""COMPUTED_VALUE"""),"L/8/031224/1")</f>
        <v>L/8/031224/1</v>
      </c>
      <c r="C1828" s="7" t="str">
        <f>IFERROR(__xludf.DUMMYFUNCTION("""COMPUTED_VALUE"""),"HM 2692/KOTA BARU")</f>
        <v>HM 2692/KOTA BARU</v>
      </c>
      <c r="D1828" s="7" t="str">
        <f>IFERROR(__xludf.DUMMYFUNCTION("""COMPUTED_VALUE"""),"Berry")</f>
        <v>Berry</v>
      </c>
      <c r="E1828" s="7" t="str">
        <f>IFERROR(__xludf.DUMMYFUNCTION("""COMPUTED_VALUE"""),"DISERAHKAN")</f>
        <v>DISERAHKAN</v>
      </c>
      <c r="F1828" s="9">
        <f>IFERROR(__xludf.DUMMYFUNCTION("""COMPUTED_VALUE"""),45631.34531942129)</f>
        <v>45631.34532</v>
      </c>
      <c r="G1828" s="7" t="str">
        <f>IFERROR(__xludf.DUMMYFUNCTION("""COMPUTED_VALUE"""),"PEMECAHAN")</f>
        <v>PEMECAHAN</v>
      </c>
      <c r="H1828" s="7">
        <f t="shared" si="1"/>
        <v>781</v>
      </c>
    </row>
    <row r="1829" ht="22.5" customHeight="1">
      <c r="B1829" s="7" t="str">
        <f>IFERROR(__xludf.DUMMYFUNCTION("""COMPUTED_VALUE"""),"K/6/031224/1")</f>
        <v>K/6/031224/1</v>
      </c>
      <c r="C1829" s="7" t="str">
        <f>IFERROR(__xludf.DUMMYFUNCTION("""COMPUTED_VALUE"""),"B. 04/ Sumber Agung")</f>
        <v>B. 04/ Sumber Agung</v>
      </c>
      <c r="D1829" s="7" t="str">
        <f>IFERROR(__xludf.DUMMYFUNCTION("""COMPUTED_VALUE"""),"Berry")</f>
        <v>Berry</v>
      </c>
      <c r="E1829" s="7" t="str">
        <f>IFERROR(__xludf.DUMMYFUNCTION("""COMPUTED_VALUE"""),"DISERAHKAN")</f>
        <v>DISERAHKAN</v>
      </c>
      <c r="F1829" s="9">
        <f>IFERROR(__xludf.DUMMYFUNCTION("""COMPUTED_VALUE"""),45631.34531942129)</f>
        <v>45631.34532</v>
      </c>
      <c r="G1829" s="7" t="str">
        <f>IFERROR(__xludf.DUMMYFUNCTION("""COMPUTED_VALUE"""),"SKPT Informasi")</f>
        <v>SKPT Informasi</v>
      </c>
      <c r="H1829" s="7">
        <f t="shared" si="1"/>
        <v>782</v>
      </c>
    </row>
    <row r="1830" ht="22.5" customHeight="1">
      <c r="B1830" s="7" t="str">
        <f>IFERROR(__xludf.DUMMYFUNCTION("""COMPUTED_VALUE"""),"K/09/031224/2")</f>
        <v>K/09/031224/2</v>
      </c>
      <c r="C1830" s="7" t="str">
        <f>IFERROR(__xludf.DUMMYFUNCTION("""COMPUTED_VALUE"""),"M.2619/PINANG JAYA")</f>
        <v>M.2619/PINANG JAYA</v>
      </c>
      <c r="D1830" s="7" t="str">
        <f>IFERROR(__xludf.DUMMYFUNCTION("""COMPUTED_VALUE"""),"Berry")</f>
        <v>Berry</v>
      </c>
      <c r="E1830" s="7" t="str">
        <f>IFERROR(__xludf.DUMMYFUNCTION("""COMPUTED_VALUE"""),"DISERAHKAN")</f>
        <v>DISERAHKAN</v>
      </c>
      <c r="F1830" s="9">
        <f>IFERROR(__xludf.DUMMYFUNCTION("""COMPUTED_VALUE"""),45631.34531942129)</f>
        <v>45631.34532</v>
      </c>
      <c r="G1830" s="7" t="str">
        <f>IFERROR(__xludf.DUMMYFUNCTION("""COMPUTED_VALUE"""),"BN JUAL BELI")</f>
        <v>BN JUAL BELI</v>
      </c>
      <c r="H1830" s="7">
        <f t="shared" si="1"/>
        <v>783</v>
      </c>
    </row>
    <row r="1831" ht="22.5" customHeight="1">
      <c r="B1831" s="7" t="str">
        <f>IFERROR(__xludf.DUMMYFUNCTION("""COMPUTED_VALUE"""),"K/10/031224/2")</f>
        <v>K/10/031224/2</v>
      </c>
      <c r="C1831" s="7" t="str">
        <f>IFERROR(__xludf.DUMMYFUNCTION("""COMPUTED_VALUE"""),"M.2616/PINANG JAYA")</f>
        <v>M.2616/PINANG JAYA</v>
      </c>
      <c r="D1831" s="7"/>
      <c r="E1831" s="7"/>
      <c r="F1831" s="9" t="str">
        <f>IFERROR(__xludf.DUMMYFUNCTION("""COMPUTED_VALUE"""),"")</f>
        <v/>
      </c>
      <c r="G1831" s="7" t="str">
        <f>IFERROR(__xludf.DUMMYFUNCTION("""COMPUTED_VALUE"""),"BN JUAL BELI")</f>
        <v>BN JUAL BELI</v>
      </c>
      <c r="H1831" s="7">
        <f t="shared" si="1"/>
        <v>783</v>
      </c>
    </row>
    <row r="1832" ht="22.5" customHeight="1">
      <c r="B1832" s="7" t="str">
        <f>IFERROR(__xludf.DUMMYFUNCTION("""COMPUTED_VALUE"""),"K/11/031224/3")</f>
        <v>K/11/031224/3</v>
      </c>
      <c r="C1832" s="7" t="str">
        <f>IFERROR(__xludf.DUMMYFUNCTION("""COMPUTED_VALUE"""),"M.2867/KETEGUHAN-SEKARANG;B.867/KETEGUHAN-DAHULU")</f>
        <v>M.2867/KETEGUHAN-SEKARANG;B.867/KETEGUHAN-DAHULU</v>
      </c>
      <c r="D1832" s="7"/>
      <c r="E1832" s="7"/>
      <c r="F1832" s="9" t="str">
        <f>IFERROR(__xludf.DUMMYFUNCTION("""COMPUTED_VALUE"""),"")</f>
        <v/>
      </c>
      <c r="G1832" s="7" t="str">
        <f>IFERROR(__xludf.DUMMYFUNCTION("""COMPUTED_VALUE"""),"ROYA")</f>
        <v>ROYA</v>
      </c>
      <c r="H1832" s="7">
        <f t="shared" si="1"/>
        <v>783</v>
      </c>
    </row>
    <row r="1833" ht="22.5" customHeight="1">
      <c r="B1833" s="7" t="str">
        <f>IFERROR(__xludf.DUMMYFUNCTION("""COMPUTED_VALUE"""),"L/13/031224/1")</f>
        <v>L/13/031224/1</v>
      </c>
      <c r="C1833" s="7" t="str">
        <f>IFERROR(__xludf.DUMMYFUNCTION("""COMPUTED_VALUE"""),"HM 152/KALIAWI")</f>
        <v>HM 152/KALIAWI</v>
      </c>
      <c r="D1833" s="7"/>
      <c r="E1833" s="7"/>
      <c r="F1833" s="9" t="str">
        <f>IFERROR(__xludf.DUMMYFUNCTION("""COMPUTED_VALUE"""),"")</f>
        <v/>
      </c>
      <c r="G1833" s="7" t="str">
        <f>IFERROR(__xludf.DUMMYFUNCTION("""COMPUTED_VALUE"""),"CEK PLOT GANTI BLANGKO")</f>
        <v>CEK PLOT GANTI BLANGKO</v>
      </c>
      <c r="H1833" s="7">
        <f t="shared" si="1"/>
        <v>783</v>
      </c>
    </row>
    <row r="1834" ht="22.5" customHeight="1">
      <c r="B1834" s="7" t="str">
        <f>IFERROR(__xludf.DUMMYFUNCTION("""COMPUTED_VALUE"""),"L/14/031224/2")</f>
        <v>L/14/031224/2</v>
      </c>
      <c r="C1834" s="7" t="str">
        <f>IFERROR(__xludf.DUMMYFUNCTION("""COMPUTED_VALUE"""),"HM 209/KALIAWI")</f>
        <v>HM 209/KALIAWI</v>
      </c>
      <c r="D1834" s="7"/>
      <c r="E1834" s="7"/>
      <c r="F1834" s="9" t="str">
        <f>IFERROR(__xludf.DUMMYFUNCTION("""COMPUTED_VALUE"""),"")</f>
        <v/>
      </c>
      <c r="G1834" s="7" t="str">
        <f>IFERROR(__xludf.DUMMYFUNCTION("""COMPUTED_VALUE"""),"CEK PLOT GANTI BLANGKO")</f>
        <v>CEK PLOT GANTI BLANGKO</v>
      </c>
      <c r="H1834" s="7">
        <f t="shared" si="1"/>
        <v>783</v>
      </c>
    </row>
    <row r="1835" ht="22.5" customHeight="1">
      <c r="B1835" s="7" t="str">
        <f>IFERROR(__xludf.DUMMYFUNCTION("""COMPUTED_VALUE"""),"K/15/031224/1")</f>
        <v>K/15/031224/1</v>
      </c>
      <c r="C1835" s="7" t="str">
        <f>IFERROR(__xludf.DUMMYFUNCTION("""COMPUTED_VALUE"""),"M.895/GUNUNG TERANG")</f>
        <v>M.895/GUNUNG TERANG</v>
      </c>
      <c r="D1835" s="7"/>
      <c r="E1835" s="7"/>
      <c r="F1835" s="9" t="str">
        <f>IFERROR(__xludf.DUMMYFUNCTION("""COMPUTED_VALUE"""),"")</f>
        <v/>
      </c>
      <c r="G1835" s="7" t="str">
        <f>IFERROR(__xludf.DUMMYFUNCTION("""COMPUTED_VALUE"""),"GANDES")</f>
        <v>GANDES</v>
      </c>
      <c r="H1835" s="7">
        <f t="shared" si="1"/>
        <v>783</v>
      </c>
    </row>
    <row r="1836" ht="22.5" customHeight="1">
      <c r="B1836" s="7" t="str">
        <f>IFERROR(__xludf.DUMMYFUNCTION("""COMPUTED_VALUE"""),"K/16/031224/2")</f>
        <v>K/16/031224/2</v>
      </c>
      <c r="C1836" s="7" t="str">
        <f>IFERROR(__xludf.DUMMYFUNCTION("""COMPUTED_VALUE"""),"M.4902/LANGKAPURA")</f>
        <v>M.4902/LANGKAPURA</v>
      </c>
      <c r="D1836" s="7" t="str">
        <f>IFERROR(__xludf.DUMMYFUNCTION("""COMPUTED_VALUE"""),"Berry")</f>
        <v>Berry</v>
      </c>
      <c r="E1836" s="7" t="str">
        <f>IFERROR(__xludf.DUMMYFUNCTION("""COMPUTED_VALUE"""),"DISERAHKAN")</f>
        <v>DISERAHKAN</v>
      </c>
      <c r="F1836" s="9">
        <f>IFERROR(__xludf.DUMMYFUNCTION("""COMPUTED_VALUE"""),45631.34531942129)</f>
        <v>45631.34532</v>
      </c>
      <c r="G1836" s="7" t="str">
        <f>IFERROR(__xludf.DUMMYFUNCTION("""COMPUTED_VALUE"""),"HAPUS BPHTB")</f>
        <v>HAPUS BPHTB</v>
      </c>
      <c r="H1836" s="7">
        <f t="shared" si="1"/>
        <v>784</v>
      </c>
    </row>
    <row r="1837" ht="22.5" customHeight="1">
      <c r="B1837" s="7" t="str">
        <f>IFERROR(__xludf.DUMMYFUNCTION("""COMPUTED_VALUE"""),"K/18/031224/1")</f>
        <v>K/18/031224/1</v>
      </c>
      <c r="C1837" s="7" t="str">
        <f>IFERROR(__xludf.DUMMYFUNCTION("""COMPUTED_VALUE"""),"B.701/TANJUNG SENENG")</f>
        <v>B.701/TANJUNG SENENG</v>
      </c>
      <c r="D1837" s="7" t="str">
        <f>IFERROR(__xludf.DUMMYFUNCTION("""COMPUTED_VALUE"""),"Berry")</f>
        <v>Berry</v>
      </c>
      <c r="E1837" s="7" t="str">
        <f>IFERROR(__xludf.DUMMYFUNCTION("""COMPUTED_VALUE"""),"PROSES")</f>
        <v>PROSES</v>
      </c>
      <c r="F1837" s="9" t="str">
        <f>IFERROR(__xludf.DUMMYFUNCTION("""COMPUTED_VALUE"""),"")</f>
        <v/>
      </c>
      <c r="G1837" s="7" t="str">
        <f>IFERROR(__xludf.DUMMYFUNCTION("""COMPUTED_VALUE"""),"GANDES")</f>
        <v>GANDES</v>
      </c>
      <c r="H1837" s="7">
        <f t="shared" si="1"/>
        <v>784</v>
      </c>
    </row>
    <row r="1838" ht="22.5" customHeight="1">
      <c r="B1838" s="7" t="str">
        <f>IFERROR(__xludf.DUMMYFUNCTION("""COMPUTED_VALUE"""),"K/12/031224/1")</f>
        <v>K/12/031224/1</v>
      </c>
      <c r="C1838" s="7" t="str">
        <f>IFERROR(__xludf.DUMMYFUNCTION("""COMPUTED_VALUE"""),"B. 497; 496; 477; 478/ P W K")</f>
        <v>B. 497; 496; 477; 478/ P W K</v>
      </c>
      <c r="D1838" s="7" t="str">
        <f>IFERROR(__xludf.DUMMYFUNCTION("""COMPUTED_VALUE"""),"Berry")</f>
        <v>Berry</v>
      </c>
      <c r="E1838" s="7" t="str">
        <f>IFERROR(__xludf.DUMMYFUNCTION("""COMPUTED_VALUE"""),"DISERAHKAN")</f>
        <v>DISERAHKAN</v>
      </c>
      <c r="F1838" s="9">
        <f>IFERROR(__xludf.DUMMYFUNCTION("""COMPUTED_VALUE"""),45631.34531942129)</f>
        <v>45631.34532</v>
      </c>
      <c r="G1838" s="7" t="str">
        <f>IFERROR(__xludf.DUMMYFUNCTION("""COMPUTED_VALUE"""),"Penggabungan")</f>
        <v>Penggabungan</v>
      </c>
      <c r="H1838" s="7">
        <f t="shared" si="1"/>
        <v>785</v>
      </c>
    </row>
    <row r="1839" ht="22.5" customHeight="1">
      <c r="B1839" s="7" t="str">
        <f>IFERROR(__xludf.DUMMYFUNCTION("""COMPUTED_VALUE"""),"L/20/031224/1")</f>
        <v>L/20/031224/1</v>
      </c>
      <c r="C1839" s="7" t="str">
        <f>IFERROR(__xludf.DUMMYFUNCTION("""COMPUTED_VALUE"""),"HGB 838/PWK")</f>
        <v>HGB 838/PWK</v>
      </c>
      <c r="D1839" s="7" t="str">
        <f>IFERROR(__xludf.DUMMYFUNCTION("""COMPUTED_VALUE"""),"Berry")</f>
        <v>Berry</v>
      </c>
      <c r="E1839" s="7" t="str">
        <f>IFERROR(__xludf.DUMMYFUNCTION("""COMPUTED_VALUE"""),"DISERAHKAN")</f>
        <v>DISERAHKAN</v>
      </c>
      <c r="F1839" s="9">
        <f>IFERROR(__xludf.DUMMYFUNCTION("""COMPUTED_VALUE"""),45631.34531942129)</f>
        <v>45631.34532</v>
      </c>
      <c r="G1839" s="7" t="str">
        <f>IFERROR(__xludf.DUMMYFUNCTION("""COMPUTED_VALUE"""),"PERUBAHAN HAK")</f>
        <v>PERUBAHAN HAK</v>
      </c>
      <c r="H1839" s="7">
        <f t="shared" si="1"/>
        <v>786</v>
      </c>
    </row>
    <row r="1840" ht="22.5" customHeight="1">
      <c r="B1840" s="7" t="str">
        <f>IFERROR(__xludf.DUMMYFUNCTION("""COMPUTED_VALUE"""),"K/19/031224/1")</f>
        <v>K/19/031224/1</v>
      </c>
      <c r="C1840" s="7" t="str">
        <f>IFERROR(__xludf.DUMMYFUNCTION("""COMPUTED_VALUE"""),"M.1763/SEPANG JAYA")</f>
        <v>M.1763/SEPANG JAYA</v>
      </c>
      <c r="D1840" s="7" t="str">
        <f>IFERROR(__xludf.DUMMYFUNCTION("""COMPUTED_VALUE"""),"Berry")</f>
        <v>Berry</v>
      </c>
      <c r="E1840" s="7" t="str">
        <f>IFERROR(__xludf.DUMMYFUNCTION("""COMPUTED_VALUE"""),"DISERAHKAN")</f>
        <v>DISERAHKAN</v>
      </c>
      <c r="F1840" s="9">
        <f>IFERROR(__xludf.DUMMYFUNCTION("""COMPUTED_VALUE"""),45631.34531942129)</f>
        <v>45631.34532</v>
      </c>
      <c r="G1840" s="7" t="str">
        <f>IFERROR(__xludf.DUMMYFUNCTION("""COMPUTED_VALUE"""),"KEWARISAN")</f>
        <v>KEWARISAN</v>
      </c>
      <c r="H1840" s="7">
        <f t="shared" si="1"/>
        <v>787</v>
      </c>
    </row>
    <row r="1841" ht="22.5" customHeight="1">
      <c r="B1841" s="7" t="str">
        <f>IFERROR(__xludf.DUMMYFUNCTION("""COMPUTED_VALUE"""),"K/17/031224/1")</f>
        <v>K/17/031224/1</v>
      </c>
      <c r="C1841" s="7" t="str">
        <f>IFERROR(__xludf.DUMMYFUNCTION("""COMPUTED_VALUE"""),"M. 2089/ Beringin Raya; B. 2069/ Beringin Raya-dahulu")</f>
        <v>M. 2089/ Beringin Raya; B. 2069/ Beringin Raya-dahulu</v>
      </c>
      <c r="D1841" s="7" t="str">
        <f>IFERROR(__xludf.DUMMYFUNCTION("""COMPUTED_VALUE"""),"Berry")</f>
        <v>Berry</v>
      </c>
      <c r="E1841" s="7" t="str">
        <f>IFERROR(__xludf.DUMMYFUNCTION("""COMPUTED_VALUE"""),"DISERAHKAN")</f>
        <v>DISERAHKAN</v>
      </c>
      <c r="F1841" s="9">
        <f>IFERROR(__xludf.DUMMYFUNCTION("""COMPUTED_VALUE"""),45631.34531942129)</f>
        <v>45631.34532</v>
      </c>
      <c r="G1841" s="7" t="str">
        <f>IFERROR(__xludf.DUMMYFUNCTION("""COMPUTED_VALUE"""),"BN Jual Beli")</f>
        <v>BN Jual Beli</v>
      </c>
      <c r="H1841" s="7">
        <f t="shared" si="1"/>
        <v>788</v>
      </c>
    </row>
    <row r="1842" ht="22.5" customHeight="1">
      <c r="B1842" s="7" t="str">
        <f>IFERROR(__xludf.DUMMYFUNCTION("""COMPUTED_VALUE"""),"K/21/031224/1")</f>
        <v>K/21/031224/1</v>
      </c>
      <c r="C1842" s="7" t="str">
        <f>IFERROR(__xludf.DUMMYFUNCTION("""COMPUTED_VALUE"""),"M. 3350/ Kemiling Permai")</f>
        <v>M. 3350/ Kemiling Permai</v>
      </c>
      <c r="D1842" s="7" t="str">
        <f>IFERROR(__xludf.DUMMYFUNCTION("""COMPUTED_VALUE"""),"Berry")</f>
        <v>Berry</v>
      </c>
      <c r="E1842" s="7" t="str">
        <f>IFERROR(__xludf.DUMMYFUNCTION("""COMPUTED_VALUE"""),"DISERAHKAN")</f>
        <v>DISERAHKAN</v>
      </c>
      <c r="F1842" s="9">
        <f>IFERROR(__xludf.DUMMYFUNCTION("""COMPUTED_VALUE"""),45631.34531942129)</f>
        <v>45631.34532</v>
      </c>
      <c r="G1842" s="7" t="str">
        <f>IFERROR(__xludf.DUMMYFUNCTION("""COMPUTED_VALUE"""),"BN JUAL BELI")</f>
        <v>BN JUAL BELI</v>
      </c>
      <c r="H1842" s="7">
        <f t="shared" si="1"/>
        <v>789</v>
      </c>
    </row>
    <row r="1843" ht="22.5" customHeight="1">
      <c r="B1843" s="7" t="str">
        <f>IFERROR(__xludf.DUMMYFUNCTION("""COMPUTED_VALUE"""),"K/23/031224/1")</f>
        <v>K/23/031224/1</v>
      </c>
      <c r="C1843" s="7" t="str">
        <f>IFERROR(__xludf.DUMMYFUNCTION("""COMPUTED_VALUE"""),"M.9026/LABUUHAN RATU")</f>
        <v>M.9026/LABUUHAN RATU</v>
      </c>
      <c r="D1843" s="7" t="str">
        <f>IFERROR(__xludf.DUMMYFUNCTION("""COMPUTED_VALUE"""),"Berry")</f>
        <v>Berry</v>
      </c>
      <c r="E1843" s="7" t="str">
        <f>IFERROR(__xludf.DUMMYFUNCTION("""COMPUTED_VALUE"""),"DISERAHKAN")</f>
        <v>DISERAHKAN</v>
      </c>
      <c r="F1843" s="9">
        <f>IFERROR(__xludf.DUMMYFUNCTION("""COMPUTED_VALUE"""),45631.34531942129)</f>
        <v>45631.34532</v>
      </c>
      <c r="G1843" s="7" t="str">
        <f>IFERROR(__xludf.DUMMYFUNCTION("""COMPUTED_VALUE"""),"ROYA KEWARISAN")</f>
        <v>ROYA KEWARISAN</v>
      </c>
      <c r="H1843" s="7">
        <f t="shared" si="1"/>
        <v>790</v>
      </c>
    </row>
    <row r="1844" ht="22.5" customHeight="1">
      <c r="B1844" s="7" t="str">
        <f>IFERROR(__xludf.DUMMYFUNCTION("""COMPUTED_VALUE"""),"K/22/031224/1")</f>
        <v>K/22/031224/1</v>
      </c>
      <c r="C1844" s="7" t="str">
        <f>IFERROR(__xludf.DUMMYFUNCTION("""COMPUTED_VALUE"""),"M. 1612/ Sukarame Baru; B. 427/ Sukarame Baru-dahulu")</f>
        <v>M. 1612/ Sukarame Baru; B. 427/ Sukarame Baru-dahulu</v>
      </c>
      <c r="D1844" s="7"/>
      <c r="E1844" s="7"/>
      <c r="F1844" s="9" t="str">
        <f>IFERROR(__xludf.DUMMYFUNCTION("""COMPUTED_VALUE"""),"")</f>
        <v/>
      </c>
      <c r="G1844" s="7" t="str">
        <f>IFERROR(__xludf.DUMMYFUNCTION("""COMPUTED_VALUE"""),"Roya")</f>
        <v>Roya</v>
      </c>
      <c r="H1844" s="7">
        <f t="shared" si="1"/>
        <v>790</v>
      </c>
    </row>
    <row r="1845" ht="22.5" customHeight="1">
      <c r="B1845" s="7" t="str">
        <f>IFERROR(__xludf.DUMMYFUNCTION("""COMPUTED_VALUE"""),"K/24/031224/1")</f>
        <v>K/24/031224/1</v>
      </c>
      <c r="C1845" s="7" t="str">
        <f>IFERROR(__xludf.DUMMYFUNCTION("""COMPUTED_VALUE"""),"M. 4720/ Rajabasa Jaya")</f>
        <v>M. 4720/ Rajabasa Jaya</v>
      </c>
      <c r="D1845" s="7" t="str">
        <f>IFERROR(__xludf.DUMMYFUNCTION("""COMPUTED_VALUE"""),"Berry")</f>
        <v>Berry</v>
      </c>
      <c r="E1845" s="7" t="str">
        <f>IFERROR(__xludf.DUMMYFUNCTION("""COMPUTED_VALUE"""),"DISERAHKAN")</f>
        <v>DISERAHKAN</v>
      </c>
      <c r="F1845" s="9">
        <f>IFERROR(__xludf.DUMMYFUNCTION("""COMPUTED_VALUE"""),45631.34531942129)</f>
        <v>45631.34532</v>
      </c>
      <c r="G1845" s="7" t="str">
        <f>IFERROR(__xludf.DUMMYFUNCTION("""COMPUTED_VALUE"""),"BN JUAL BELI")</f>
        <v>BN JUAL BELI</v>
      </c>
      <c r="H1845" s="7">
        <f t="shared" si="1"/>
        <v>791</v>
      </c>
    </row>
    <row r="1846" ht="22.5" customHeight="1">
      <c r="B1846" s="7" t="str">
        <f>IFERROR(__xludf.DUMMYFUNCTION("""COMPUTED_VALUE"""),"K/27/031224/1")</f>
        <v>K/27/031224/1</v>
      </c>
      <c r="C1846" s="7" t="str">
        <f>IFERROR(__xludf.DUMMYFUNCTION("""COMPUTED_VALUE"""),"M. 9480/ Rajabasa")</f>
        <v>M. 9480/ Rajabasa</v>
      </c>
      <c r="D1846" s="7" t="str">
        <f>IFERROR(__xludf.DUMMYFUNCTION("""COMPUTED_VALUE"""),"Berry")</f>
        <v>Berry</v>
      </c>
      <c r="E1846" s="7" t="str">
        <f>IFERROR(__xludf.DUMMYFUNCTION("""COMPUTED_VALUE"""),"PROSES")</f>
        <v>PROSES</v>
      </c>
      <c r="F1846" s="9" t="str">
        <f>IFERROR(__xludf.DUMMYFUNCTION("""COMPUTED_VALUE"""),"")</f>
        <v/>
      </c>
      <c r="G1846" s="7" t="str">
        <f>IFERROR(__xludf.DUMMYFUNCTION("""COMPUTED_VALUE"""),"Gandes")</f>
        <v>Gandes</v>
      </c>
      <c r="H1846" s="7">
        <f t="shared" si="1"/>
        <v>791</v>
      </c>
    </row>
    <row r="1847" ht="22.5" customHeight="1">
      <c r="B1847" s="7" t="str">
        <f>IFERROR(__xludf.DUMMYFUNCTION("""COMPUTED_VALUE"""),"K/25/031224/2")</f>
        <v>K/25/031224/2</v>
      </c>
      <c r="C1847" s="7" t="str">
        <f>IFERROR(__xludf.DUMMYFUNCTION("""COMPUTED_VALUE"""),"M. 6251/ Way Kandis")</f>
        <v>M. 6251/ Way Kandis</v>
      </c>
      <c r="D1847" s="7" t="str">
        <f>IFERROR(__xludf.DUMMYFUNCTION("""COMPUTED_VALUE"""),"Berry")</f>
        <v>Berry</v>
      </c>
      <c r="E1847" s="7" t="str">
        <f>IFERROR(__xludf.DUMMYFUNCTION("""COMPUTED_VALUE"""),"DISERAHKAN")</f>
        <v>DISERAHKAN</v>
      </c>
      <c r="F1847" s="9">
        <f>IFERROR(__xludf.DUMMYFUNCTION("""COMPUTED_VALUE"""),45631.34531942129)</f>
        <v>45631.34532</v>
      </c>
      <c r="G1847" s="7" t="str">
        <f>IFERROR(__xludf.DUMMYFUNCTION("""COMPUTED_VALUE"""),"BN JUAL BELI")</f>
        <v>BN JUAL BELI</v>
      </c>
      <c r="H1847" s="7">
        <f t="shared" si="1"/>
        <v>792</v>
      </c>
    </row>
    <row r="1848" ht="22.5" customHeight="1">
      <c r="B1848" s="7" t="str">
        <f>IFERROR(__xludf.DUMMYFUNCTION("""COMPUTED_VALUE"""),"L/28/031224/1")</f>
        <v>L/28/031224/1</v>
      </c>
      <c r="C1848" s="7" t="str">
        <f>IFERROR(__xludf.DUMMYFUNCTION("""COMPUTED_VALUE"""),"HM 116/SUKABUMI INDAH")</f>
        <v>HM 116/SUKABUMI INDAH</v>
      </c>
      <c r="D1848" s="7"/>
      <c r="E1848" s="7"/>
      <c r="F1848" s="9" t="str">
        <f>IFERROR(__xludf.DUMMYFUNCTION("""COMPUTED_VALUE"""),"")</f>
        <v/>
      </c>
      <c r="G1848" s="7" t="str">
        <f>IFERROR(__xludf.DUMMYFUNCTION("""COMPUTED_VALUE"""),"BN WARIS")</f>
        <v>BN WARIS</v>
      </c>
      <c r="H1848" s="7">
        <f t="shared" si="1"/>
        <v>792</v>
      </c>
    </row>
    <row r="1849" ht="22.5" customHeight="1">
      <c r="B1849" s="7" t="str">
        <f>IFERROR(__xludf.DUMMYFUNCTION("""COMPUTED_VALUE"""),"K/26/031224/3")</f>
        <v>K/26/031224/3</v>
      </c>
      <c r="C1849" s="7" t="str">
        <f>IFERROR(__xludf.DUMMYFUNCTION("""COMPUTED_VALUE"""),"M. 646/ Perwata")</f>
        <v>M. 646/ Perwata</v>
      </c>
      <c r="D1849" s="7"/>
      <c r="E1849" s="7"/>
      <c r="F1849" s="9" t="str">
        <f>IFERROR(__xludf.DUMMYFUNCTION("""COMPUTED_VALUE"""),"")</f>
        <v/>
      </c>
      <c r="G1849" s="7" t="str">
        <f>IFERROR(__xludf.DUMMYFUNCTION("""COMPUTED_VALUE"""),"BN JUAL BELI")</f>
        <v>BN JUAL BELI</v>
      </c>
      <c r="H1849" s="7">
        <f t="shared" si="1"/>
        <v>792</v>
      </c>
    </row>
    <row r="1850" ht="22.5" customHeight="1">
      <c r="B1850" s="7" t="str">
        <f>IFERROR(__xludf.DUMMYFUNCTION("""COMPUTED_VALUE"""),"K/29/031224/1")</f>
        <v>K/29/031224/1</v>
      </c>
      <c r="C1850" s="7" t="str">
        <f>IFERROR(__xludf.DUMMYFUNCTION("""COMPUTED_VALUE"""),"NIBEL M 2289/LANGKAPURA BARU")</f>
        <v>NIBEL M 2289/LANGKAPURA BARU</v>
      </c>
      <c r="D1850" s="7"/>
      <c r="E1850" s="7"/>
      <c r="F1850" s="9" t="str">
        <f>IFERROR(__xludf.DUMMYFUNCTION("""COMPUTED_VALUE"""),"")</f>
        <v/>
      </c>
      <c r="G1850" s="7" t="str">
        <f>IFERROR(__xludf.DUMMYFUNCTION("""COMPUTED_VALUE"""),"BN JUAL BELI")</f>
        <v>BN JUAL BELI</v>
      </c>
      <c r="H1850" s="7">
        <f t="shared" si="1"/>
        <v>792</v>
      </c>
    </row>
    <row r="1851" ht="22.5" customHeight="1">
      <c r="B1851" s="7" t="str">
        <f>IFERROR(__xludf.DUMMYFUNCTION("""COMPUTED_VALUE"""),"L/32/031224/1")</f>
        <v>L/32/031224/1</v>
      </c>
      <c r="C1851" s="7" t="str">
        <f>IFERROR(__xludf.DUMMYFUNCTION("""COMPUTED_VALUE"""),"RAJABASA NUNYAI")</f>
        <v>RAJABASA NUNYAI</v>
      </c>
      <c r="D1851" s="7" t="str">
        <f>IFERROR(__xludf.DUMMYFUNCTION("""COMPUTED_VALUE"""),"Berry")</f>
        <v>Berry</v>
      </c>
      <c r="E1851" s="7" t="str">
        <f>IFERROR(__xludf.DUMMYFUNCTION("""COMPUTED_VALUE"""),"DISERAHKAN")</f>
        <v>DISERAHKAN</v>
      </c>
      <c r="F1851" s="9">
        <f>IFERROR(__xludf.DUMMYFUNCTION("""COMPUTED_VALUE"""),45631.34531942129)</f>
        <v>45631.34532</v>
      </c>
      <c r="G1851" s="7" t="str">
        <f>IFERROR(__xludf.DUMMYFUNCTION("""COMPUTED_VALUE"""),"TANAH MENTAH")</f>
        <v>TANAH MENTAH</v>
      </c>
      <c r="H1851" s="7">
        <f t="shared" si="1"/>
        <v>793</v>
      </c>
    </row>
    <row r="1852" ht="22.5" customHeight="1">
      <c r="B1852" s="7" t="str">
        <f>IFERROR(__xludf.DUMMYFUNCTION("""COMPUTED_VALUE"""),"K/31/031224/1")</f>
        <v>K/31/031224/1</v>
      </c>
      <c r="C1852" s="7" t="str">
        <f>IFERROR(__xludf.DUMMYFUNCTION("""COMPUTED_VALUE"""),"Nibel. B. 3306/ Bumi Kedamaian")</f>
        <v>Nibel. B. 3306/ Bumi Kedamaian</v>
      </c>
      <c r="D1852" s="7" t="str">
        <f>IFERROR(__xludf.DUMMYFUNCTION("""COMPUTED_VALUE"""),"Berry")</f>
        <v>Berry</v>
      </c>
      <c r="E1852" s="7" t="str">
        <f>IFERROR(__xludf.DUMMYFUNCTION("""COMPUTED_VALUE"""),"PROSES")</f>
        <v>PROSES</v>
      </c>
      <c r="F1852" s="9" t="str">
        <f>IFERROR(__xludf.DUMMYFUNCTION("""COMPUTED_VALUE"""),"")</f>
        <v/>
      </c>
      <c r="G1852" s="7" t="str">
        <f>IFERROR(__xludf.DUMMYFUNCTION("""COMPUTED_VALUE"""),"Perubahan Hak")</f>
        <v>Perubahan Hak</v>
      </c>
      <c r="H1852" s="7">
        <f t="shared" si="1"/>
        <v>793</v>
      </c>
    </row>
    <row r="1853" ht="22.5" customHeight="1">
      <c r="B1853" s="7" t="str">
        <f>IFERROR(__xludf.DUMMYFUNCTION("""COMPUTED_VALUE"""),"K/30/031224/1")</f>
        <v>K/30/031224/1</v>
      </c>
      <c r="C1853" s="7" t="str">
        <f>IFERROR(__xludf.DUMMYFUNCTION("""COMPUTED_VALUE"""),"M.1607/TANJUNG SENENG")</f>
        <v>M.1607/TANJUNG SENENG</v>
      </c>
      <c r="D1853" s="7"/>
      <c r="E1853" s="7"/>
      <c r="F1853" s="9" t="str">
        <f>IFERROR(__xludf.DUMMYFUNCTION("""COMPUTED_VALUE"""),"")</f>
        <v/>
      </c>
      <c r="G1853" s="7" t="str">
        <f>IFERROR(__xludf.DUMMYFUNCTION("""COMPUTED_VALUE"""),"BN JUAL BELI ")</f>
        <v>BN JUAL BELI </v>
      </c>
      <c r="H1853" s="7">
        <f t="shared" si="1"/>
        <v>793</v>
      </c>
    </row>
    <row r="1854" ht="22.5" customHeight="1">
      <c r="B1854" s="7" t="str">
        <f>IFERROR(__xludf.DUMMYFUNCTION("""COMPUTED_VALUE"""),"K/33/031224/1")</f>
        <v>K/33/031224/1</v>
      </c>
      <c r="C1854" s="7" t="str">
        <f>IFERROR(__xludf.DUMMYFUNCTION("""COMPUTED_VALUE"""),"M. 2846/ durian Payung")</f>
        <v>M. 2846/ durian Payung</v>
      </c>
      <c r="D1854" s="7"/>
      <c r="E1854" s="7"/>
      <c r="F1854" s="9" t="str">
        <f>IFERROR(__xludf.DUMMYFUNCTION("""COMPUTED_VALUE"""),"")</f>
        <v/>
      </c>
      <c r="G1854" s="7" t="str">
        <f>IFERROR(__xludf.DUMMYFUNCTION("""COMPUTED_VALUE"""),"BN WARIS")</f>
        <v>BN WARIS</v>
      </c>
      <c r="H1854" s="7">
        <f t="shared" si="1"/>
        <v>793</v>
      </c>
    </row>
    <row r="1855" ht="22.5" customHeight="1">
      <c r="B1855" s="7" t="str">
        <f>IFERROR(__xludf.DUMMYFUNCTION("""COMPUTED_VALUE"""),"K/34/031224/2")</f>
        <v>K/34/031224/2</v>
      </c>
      <c r="C1855" s="7" t="str">
        <f>IFERROR(__xludf.DUMMYFUNCTION("""COMPUTED_VALUE"""),"M. 13925/ Sukarame I")</f>
        <v>M. 13925/ Sukarame I</v>
      </c>
      <c r="D1855" s="7" t="str">
        <f>IFERROR(__xludf.DUMMYFUNCTION("""COMPUTED_VALUE"""),"Berry")</f>
        <v>Berry</v>
      </c>
      <c r="E1855" s="7" t="str">
        <f>IFERROR(__xludf.DUMMYFUNCTION("""COMPUTED_VALUE"""),"PROSES")</f>
        <v>PROSES</v>
      </c>
      <c r="F1855" s="9" t="str">
        <f>IFERROR(__xludf.DUMMYFUNCTION("""COMPUTED_VALUE"""),"")</f>
        <v/>
      </c>
      <c r="G1855" s="7" t="str">
        <f>IFERROR(__xludf.DUMMYFUNCTION("""COMPUTED_VALUE"""),"GANTI KELURAHAN")</f>
        <v>GANTI KELURAHAN</v>
      </c>
      <c r="H1855" s="7">
        <f t="shared" si="1"/>
        <v>793</v>
      </c>
    </row>
    <row r="1856" ht="22.5" customHeight="1">
      <c r="B1856" s="7" t="str">
        <f>IFERROR(__xludf.DUMMYFUNCTION("""COMPUTED_VALUE"""),"K/35/031224/3")</f>
        <v>K/35/031224/3</v>
      </c>
      <c r="C1856" s="7" t="str">
        <f>IFERROR(__xludf.DUMMYFUNCTION("""COMPUTED_VALUE"""),"Nibel 388/ Kemiling Permai")</f>
        <v>Nibel 388/ Kemiling Permai</v>
      </c>
      <c r="D1856" s="7" t="str">
        <f>IFERROR(__xludf.DUMMYFUNCTION("""COMPUTED_VALUE"""),"Berry")</f>
        <v>Berry</v>
      </c>
      <c r="E1856" s="7" t="str">
        <f>IFERROR(__xludf.DUMMYFUNCTION("""COMPUTED_VALUE"""),"DISERAHKAN")</f>
        <v>DISERAHKAN</v>
      </c>
      <c r="F1856" s="9">
        <f>IFERROR(__xludf.DUMMYFUNCTION("""COMPUTED_VALUE"""),45631.34531942129)</f>
        <v>45631.34532</v>
      </c>
      <c r="G1856" s="7" t="str">
        <f>IFERROR(__xludf.DUMMYFUNCTION("""COMPUTED_VALUE"""),"BN JUAL BELI")</f>
        <v>BN JUAL BELI</v>
      </c>
      <c r="H1856" s="7">
        <f t="shared" si="1"/>
        <v>794</v>
      </c>
    </row>
    <row r="1857" ht="22.5" customHeight="1">
      <c r="B1857" s="7" t="str">
        <f>IFERROR(__xludf.DUMMYFUNCTION("""COMPUTED_VALUE"""),"K/37/031224/1")</f>
        <v>K/37/031224/1</v>
      </c>
      <c r="C1857" s="7" t="str">
        <f>IFERROR(__xludf.DUMMYFUNCTION("""COMPUTED_VALUE"""),"M. 2092/ Keteguhan")</f>
        <v>M. 2092/ Keteguhan</v>
      </c>
      <c r="D1857" s="7" t="str">
        <f>IFERROR(__xludf.DUMMYFUNCTION("""COMPUTED_VALUE"""),"Berry")</f>
        <v>Berry</v>
      </c>
      <c r="E1857" s="7" t="str">
        <f>IFERROR(__xludf.DUMMYFUNCTION("""COMPUTED_VALUE"""),"PROSES")</f>
        <v>PROSES</v>
      </c>
      <c r="F1857" s="9" t="str">
        <f>IFERROR(__xludf.DUMMYFUNCTION("""COMPUTED_VALUE"""),"")</f>
        <v/>
      </c>
      <c r="G1857" s="7" t="str">
        <f>IFERROR(__xludf.DUMMYFUNCTION("""COMPUTED_VALUE"""),"BN Jual Beli")</f>
        <v>BN Jual Beli</v>
      </c>
      <c r="H1857" s="7">
        <f t="shared" si="1"/>
        <v>794</v>
      </c>
    </row>
    <row r="1858" ht="22.5" customHeight="1">
      <c r="B1858" s="7" t="str">
        <f>IFERROR(__xludf.DUMMYFUNCTION("""COMPUTED_VALUE"""),"K/39/031224/1")</f>
        <v>K/39/031224/1</v>
      </c>
      <c r="C1858" s="7" t="str">
        <f>IFERROR(__xludf.DUMMYFUNCTION("""COMPUTED_VALUE"""),"B. 135/ Rajabasa Nunyai")</f>
        <v>B. 135/ Rajabasa Nunyai</v>
      </c>
      <c r="D1858" s="7"/>
      <c r="E1858" s="7"/>
      <c r="F1858" s="9" t="str">
        <f>IFERROR(__xludf.DUMMYFUNCTION("""COMPUTED_VALUE"""),"")</f>
        <v/>
      </c>
      <c r="G1858" s="7" t="str">
        <f>IFERROR(__xludf.DUMMYFUNCTION("""COMPUTED_VALUE"""),"BN JUAL BELI")</f>
        <v>BN JUAL BELI</v>
      </c>
      <c r="H1858" s="7">
        <f t="shared" si="1"/>
        <v>794</v>
      </c>
    </row>
    <row r="1859" ht="22.5" customHeight="1">
      <c r="B1859" s="7" t="str">
        <f>IFERROR(__xludf.DUMMYFUNCTION("""COMPUTED_VALUE"""),"K/38/031224/2")</f>
        <v>K/38/031224/2</v>
      </c>
      <c r="C1859" s="7" t="str">
        <f>IFERROR(__xludf.DUMMYFUNCTION("""COMPUTED_VALUE"""),"M. 2146/ Pengajaran")</f>
        <v>M. 2146/ Pengajaran</v>
      </c>
      <c r="D1859" s="7"/>
      <c r="E1859" s="7"/>
      <c r="F1859" s="9" t="str">
        <f>IFERROR(__xludf.DUMMYFUNCTION("""COMPUTED_VALUE"""),"")</f>
        <v/>
      </c>
      <c r="G1859" s="7" t="str">
        <f>IFERROR(__xludf.DUMMYFUNCTION("""COMPUTED_VALUE"""),"BN Jual Beli")</f>
        <v>BN Jual Beli</v>
      </c>
      <c r="H1859" s="7">
        <f t="shared" si="1"/>
        <v>794</v>
      </c>
    </row>
    <row r="1860" ht="22.5" customHeight="1">
      <c r="B1860" s="7" t="str">
        <f>IFERROR(__xludf.DUMMYFUNCTION("""COMPUTED_VALUE"""),"K/36/031224/2")</f>
        <v>K/36/031224/2</v>
      </c>
      <c r="C1860" s="7" t="str">
        <f>IFERROR(__xludf.DUMMYFUNCTION("""COMPUTED_VALUE"""),"M.15640/KALI BALAU KENCANA-SEKARANG;M.3724/SUKARAME I-DAHULU")</f>
        <v>M.15640/KALI BALAU KENCANA-SEKARANG;M.3724/SUKARAME I-DAHULU</v>
      </c>
      <c r="D1860" s="7"/>
      <c r="E1860" s="7"/>
      <c r="F1860" s="9" t="str">
        <f>IFERROR(__xludf.DUMMYFUNCTION("""COMPUTED_VALUE"""),"")</f>
        <v/>
      </c>
      <c r="G1860" s="7" t="str">
        <f>IFERROR(__xludf.DUMMYFUNCTION("""COMPUTED_VALUE"""),"SERTIPIKAT HILANG")</f>
        <v>SERTIPIKAT HILANG</v>
      </c>
      <c r="H1860" s="7">
        <f t="shared" si="1"/>
        <v>794</v>
      </c>
    </row>
    <row r="1861" ht="22.5" customHeight="1">
      <c r="B1861" s="7" t="str">
        <f>IFERROR(__xludf.DUMMYFUNCTION("""COMPUTED_VALUE"""),"K/40/031224/1")</f>
        <v>K/40/031224/1</v>
      </c>
      <c r="C1861" s="7" t="str">
        <f>IFERROR(__xludf.DUMMYFUNCTION("""COMPUTED_VALUE"""),"NIBEL B. 3412/LABUHAN RATU RAYA")</f>
        <v>NIBEL B. 3412/LABUHAN RATU RAYA</v>
      </c>
      <c r="D1861" s="7" t="str">
        <f>IFERROR(__xludf.DUMMYFUNCTION("""COMPUTED_VALUE"""),"Berry")</f>
        <v>Berry</v>
      </c>
      <c r="E1861" s="7" t="str">
        <f>IFERROR(__xludf.DUMMYFUNCTION("""COMPUTED_VALUE"""),"DISERAHKAN BT")</f>
        <v>DISERAHKAN BT</v>
      </c>
      <c r="F1861" s="9">
        <f>IFERROR(__xludf.DUMMYFUNCTION("""COMPUTED_VALUE"""),45631.34531942129)</f>
        <v>45631.34532</v>
      </c>
      <c r="G1861" s="7" t="str">
        <f>IFERROR(__xludf.DUMMYFUNCTION("""COMPUTED_VALUE"""),"BN WARIS")</f>
        <v>BN WARIS</v>
      </c>
      <c r="H1861" s="7">
        <f t="shared" si="1"/>
        <v>794</v>
      </c>
    </row>
    <row r="1862" ht="22.5" customHeight="1">
      <c r="B1862" s="7" t="str">
        <f>IFERROR(__xludf.DUMMYFUNCTION("""COMPUTED_VALUE"""),"K/41/031224/1")</f>
        <v>K/41/031224/1</v>
      </c>
      <c r="C1862" s="7" t="str">
        <f>IFERROR(__xludf.DUMMYFUNCTION("""COMPUTED_VALUE"""),"Nibel. M. 3358/ Kelapa Tiga")</f>
        <v>Nibel. M. 3358/ Kelapa Tiga</v>
      </c>
      <c r="D1862" s="7" t="str">
        <f>IFERROR(__xludf.DUMMYFUNCTION("""COMPUTED_VALUE"""),"Berry")</f>
        <v>Berry</v>
      </c>
      <c r="E1862" s="7" t="str">
        <f>IFERROR(__xludf.DUMMYFUNCTION("""COMPUTED_VALUE"""),"DISERAHKAN")</f>
        <v>DISERAHKAN</v>
      </c>
      <c r="F1862" s="9">
        <f>IFERROR(__xludf.DUMMYFUNCTION("""COMPUTED_VALUE"""),45631.34531942129)</f>
        <v>45631.34532</v>
      </c>
      <c r="G1862" s="7" t="str">
        <f>IFERROR(__xludf.DUMMYFUNCTION("""COMPUTED_VALUE"""),"BN PHB")</f>
        <v>BN PHB</v>
      </c>
      <c r="H1862" s="7">
        <f t="shared" si="1"/>
        <v>795</v>
      </c>
    </row>
    <row r="1863" ht="22.5" customHeight="1">
      <c r="B1863" s="7" t="str">
        <f>IFERROR(__xludf.DUMMYFUNCTION("""COMPUTED_VALUE"""),"K/43/031224/2")</f>
        <v>K/43/031224/2</v>
      </c>
      <c r="C1863" s="7" t="str">
        <f>IFERROR(__xludf.DUMMYFUNCTION("""COMPUTED_VALUE"""),"M. 13723/ Rajabasa; SHT 3508/2015")</f>
        <v>M. 13723/ Rajabasa; SHT 3508/2015</v>
      </c>
      <c r="D1863" s="7" t="str">
        <f>IFERROR(__xludf.DUMMYFUNCTION("""COMPUTED_VALUE"""),"Berry")</f>
        <v>Berry</v>
      </c>
      <c r="E1863" s="7" t="str">
        <f>IFERROR(__xludf.DUMMYFUNCTION("""COMPUTED_VALUE"""),"PROSES")</f>
        <v>PROSES</v>
      </c>
      <c r="F1863" s="9" t="str">
        <f>IFERROR(__xludf.DUMMYFUNCTION("""COMPUTED_VALUE"""),"")</f>
        <v/>
      </c>
      <c r="G1863" s="7" t="str">
        <f>IFERROR(__xludf.DUMMYFUNCTION("""COMPUTED_VALUE"""),"Roya")</f>
        <v>Roya</v>
      </c>
      <c r="H1863" s="7">
        <f t="shared" si="1"/>
        <v>795</v>
      </c>
    </row>
    <row r="1864" ht="22.5" customHeight="1">
      <c r="B1864" s="7" t="str">
        <f>IFERROR(__xludf.DUMMYFUNCTION("""COMPUTED_VALUE"""),"K/44/031224/1")</f>
        <v>K/44/031224/1</v>
      </c>
      <c r="C1864" s="7" t="str">
        <f>IFERROR(__xludf.DUMMYFUNCTION("""COMPUTED_VALUE"""),"B.253/NUSANTARA PERMAI")</f>
        <v>B.253/NUSANTARA PERMAI</v>
      </c>
      <c r="D1864" s="7"/>
      <c r="E1864" s="7"/>
      <c r="F1864" s="9" t="str">
        <f>IFERROR(__xludf.DUMMYFUNCTION("""COMPUTED_VALUE"""),"")</f>
        <v/>
      </c>
      <c r="G1864" s="7" t="str">
        <f>IFERROR(__xludf.DUMMYFUNCTION("""COMPUTED_VALUE"""),"BN JUAL BELI")</f>
        <v>BN JUAL BELI</v>
      </c>
      <c r="H1864" s="7">
        <f t="shared" si="1"/>
        <v>795</v>
      </c>
    </row>
    <row r="1865" ht="22.5" customHeight="1">
      <c r="B1865" s="7" t="str">
        <f>IFERROR(__xludf.DUMMYFUNCTION("""COMPUTED_VALUE"""),"K/42/031224/1")</f>
        <v>K/42/031224/1</v>
      </c>
      <c r="C1865" s="7" t="str">
        <f>IFERROR(__xludf.DUMMYFUNCTION("""COMPUTED_VALUE"""),"M. 13769/ SEGALA MIDER")</f>
        <v>M. 13769/ SEGALA MIDER</v>
      </c>
      <c r="D1865" s="7"/>
      <c r="E1865" s="7"/>
      <c r="F1865" s="9" t="str">
        <f>IFERROR(__xludf.DUMMYFUNCTION("""COMPUTED_VALUE"""),"")</f>
        <v/>
      </c>
      <c r="G1865" s="7" t="str">
        <f>IFERROR(__xludf.DUMMYFUNCTION("""COMPUTED_VALUE"""),"ROYA")</f>
        <v>ROYA</v>
      </c>
      <c r="H1865" s="7">
        <f t="shared" si="1"/>
        <v>795</v>
      </c>
    </row>
    <row r="1866" ht="22.5" customHeight="1">
      <c r="B1866" s="7" t="str">
        <f>IFERROR(__xludf.DUMMYFUNCTION("""COMPUTED_VALUE"""),"K/45/031224/1")</f>
        <v>K/45/031224/1</v>
      </c>
      <c r="C1866" s="7" t="str">
        <f>IFERROR(__xludf.DUMMYFUNCTION("""COMPUTED_VALUE"""),"M.1688/KOTA BARU")</f>
        <v>M.1688/KOTA BARU</v>
      </c>
      <c r="D1866" s="7"/>
      <c r="E1866" s="7"/>
      <c r="F1866" s="9" t="str">
        <f>IFERROR(__xludf.DUMMYFUNCTION("""COMPUTED_VALUE"""),"")</f>
        <v/>
      </c>
      <c r="G1866" s="7" t="str">
        <f>IFERROR(__xludf.DUMMYFUNCTION("""COMPUTED_VALUE"""),"PENGECEKAN")</f>
        <v>PENGECEKAN</v>
      </c>
      <c r="H1866" s="7">
        <f t="shared" si="1"/>
        <v>795</v>
      </c>
    </row>
    <row r="1867" ht="22.5" customHeight="1">
      <c r="B1867" s="7" t="str">
        <f>IFERROR(__xludf.DUMMYFUNCTION("""COMPUTED_VALUE"""),"K/46/031224/1")</f>
        <v>K/46/031224/1</v>
      </c>
      <c r="C1867" s="7" t="str">
        <f>IFERROR(__xludf.DUMMYFUNCTION("""COMPUTED_VALUE"""),"NIBEL B.2563/SUMBERREJO SEJAHTERA")</f>
        <v>NIBEL B.2563/SUMBERREJO SEJAHTERA</v>
      </c>
      <c r="D1867" s="7"/>
      <c r="E1867" s="7"/>
      <c r="F1867" s="9" t="str">
        <f>IFERROR(__xludf.DUMMYFUNCTION("""COMPUTED_VALUE"""),"")</f>
        <v/>
      </c>
      <c r="G1867" s="7" t="str">
        <f>IFERROR(__xludf.DUMMYFUNCTION("""COMPUTED_VALUE"""),"PENINGKATAN")</f>
        <v>PENINGKATAN</v>
      </c>
      <c r="H1867" s="7">
        <f t="shared" si="1"/>
        <v>795</v>
      </c>
    </row>
    <row r="1868" ht="22.5" customHeight="1">
      <c r="B1868" s="7" t="str">
        <f>IFERROR(__xludf.DUMMYFUNCTION("""COMPUTED_VALUE"""),"K/47/031224/1")</f>
        <v>K/47/031224/1</v>
      </c>
      <c r="C1868" s="7" t="str">
        <f>IFERROR(__xludf.DUMMYFUNCTION("""COMPUTED_VALUE"""),"B. 354/ Kangkung")</f>
        <v>B. 354/ Kangkung</v>
      </c>
      <c r="D1868" s="7" t="str">
        <f>IFERROR(__xludf.DUMMYFUNCTION("""COMPUTED_VALUE"""),"Berry")</f>
        <v>Berry</v>
      </c>
      <c r="E1868" s="7" t="str">
        <f>IFERROR(__xludf.DUMMYFUNCTION("""COMPUTED_VALUE"""),"PROSES")</f>
        <v>PROSES</v>
      </c>
      <c r="F1868" s="9" t="str">
        <f>IFERROR(__xludf.DUMMYFUNCTION("""COMPUTED_VALUE"""),"")</f>
        <v/>
      </c>
      <c r="G1868" s="7" t="str">
        <f>IFERROR(__xludf.DUMMYFUNCTION("""COMPUTED_VALUE"""),"Permohonan SK")</f>
        <v>Permohonan SK</v>
      </c>
      <c r="H1868" s="7">
        <f t="shared" si="1"/>
        <v>795</v>
      </c>
    </row>
    <row r="1869" ht="22.5" customHeight="1">
      <c r="B1869" s="7" t="str">
        <f>IFERROR(__xludf.DUMMYFUNCTION("""COMPUTED_VALUE"""),"K/48/031224/1")</f>
        <v>K/48/031224/1</v>
      </c>
      <c r="C1869" s="7" t="str">
        <f>IFERROR(__xludf.DUMMYFUNCTION("""COMPUTED_VALUE"""),"NIBEL M. 3311/LABUHAN RATU RAYA")</f>
        <v>NIBEL M. 3311/LABUHAN RATU RAYA</v>
      </c>
      <c r="D1869" s="7" t="str">
        <f>IFERROR(__xludf.DUMMYFUNCTION("""COMPUTED_VALUE"""),"Berry")</f>
        <v>Berry</v>
      </c>
      <c r="E1869" s="7" t="str">
        <f>IFERROR(__xludf.DUMMYFUNCTION("""COMPUTED_VALUE"""),"DISERAHKAN")</f>
        <v>DISERAHKAN</v>
      </c>
      <c r="F1869" s="9">
        <f>IFERROR(__xludf.DUMMYFUNCTION("""COMPUTED_VALUE"""),45644.46042983796)</f>
        <v>45644.46043</v>
      </c>
      <c r="G1869" s="7" t="str">
        <f>IFERROR(__xludf.DUMMYFUNCTION("""COMPUTED_VALUE"""),"PEMECAHAN")</f>
        <v>PEMECAHAN</v>
      </c>
      <c r="H1869" s="7">
        <f t="shared" si="1"/>
        <v>796</v>
      </c>
    </row>
    <row r="1870" ht="22.5" customHeight="1">
      <c r="B1870" s="7" t="str">
        <f>IFERROR(__xludf.DUMMYFUNCTION("""COMPUTED_VALUE"""),"K/49/031224/1")</f>
        <v>K/49/031224/1</v>
      </c>
      <c r="C1870" s="7" t="str">
        <f>IFERROR(__xludf.DUMMYFUNCTION("""COMPUTED_VALUE"""),"M. 1117/PEMATANG WANGI")</f>
        <v>M. 1117/PEMATANG WANGI</v>
      </c>
      <c r="D1870" s="7" t="str">
        <f>IFERROR(__xludf.DUMMYFUNCTION("""COMPUTED_VALUE"""),"Berry")</f>
        <v>Berry</v>
      </c>
      <c r="E1870" s="7" t="str">
        <f>IFERROR(__xludf.DUMMYFUNCTION("""COMPUTED_VALUE"""),"DISERAHKAN")</f>
        <v>DISERAHKAN</v>
      </c>
      <c r="F1870" s="9">
        <f>IFERROR(__xludf.DUMMYFUNCTION("""COMPUTED_VALUE"""),45644.46050017361)</f>
        <v>45644.4605</v>
      </c>
      <c r="G1870" s="7" t="str">
        <f>IFERROR(__xludf.DUMMYFUNCTION("""COMPUTED_VALUE"""),"BN JUAL BELI")</f>
        <v>BN JUAL BELI</v>
      </c>
      <c r="H1870" s="7">
        <f t="shared" si="1"/>
        <v>797</v>
      </c>
    </row>
    <row r="1871" ht="22.5" customHeight="1">
      <c r="B1871" s="7" t="str">
        <f>IFERROR(__xludf.DUMMYFUNCTION("""COMPUTED_VALUE"""),"K/1/041224/1")</f>
        <v>K/1/041224/1</v>
      </c>
      <c r="C1871" s="7" t="str">
        <f>IFERROR(__xludf.DUMMYFUNCTION("""COMPUTED_VALUE"""),"B. 1131/ Sukabumi Indah")</f>
        <v>B. 1131/ Sukabumi Indah</v>
      </c>
      <c r="D1871" s="7"/>
      <c r="E1871" s="7" t="str">
        <f>IFERROR(__xludf.DUMMYFUNCTION("""COMPUTED_VALUE"""),"DISERAHKAN")</f>
        <v>DISERAHKAN</v>
      </c>
      <c r="F1871" s="9">
        <f>IFERROR(__xludf.DUMMYFUNCTION("""COMPUTED_VALUE"""),45642.66739162037)</f>
        <v>45642.66739</v>
      </c>
      <c r="G1871" s="7" t="str">
        <f>IFERROR(__xludf.DUMMYFUNCTION("""COMPUTED_VALUE"""),"ROYA")</f>
        <v>ROYA</v>
      </c>
      <c r="H1871" s="7">
        <f t="shared" si="1"/>
        <v>798</v>
      </c>
    </row>
    <row r="1872" ht="22.5" customHeight="1">
      <c r="B1872" s="7" t="str">
        <f>IFERROR(__xludf.DUMMYFUNCTION("""COMPUTED_VALUE"""),"K/2/041224/2")</f>
        <v>K/2/041224/2</v>
      </c>
      <c r="C1872" s="7" t="str">
        <f>IFERROR(__xludf.DUMMYFUNCTION("""COMPUTED_VALUE"""),"B. 1132/ Sukabumi Indah")</f>
        <v>B. 1132/ Sukabumi Indah</v>
      </c>
      <c r="D1872" s="7" t="str">
        <f>IFERROR(__xludf.DUMMYFUNCTION("""COMPUTED_VALUE"""),"Berry")</f>
        <v>Berry</v>
      </c>
      <c r="E1872" s="7" t="str">
        <f>IFERROR(__xludf.DUMMYFUNCTION("""COMPUTED_VALUE"""),"DISERAHKAN")</f>
        <v>DISERAHKAN</v>
      </c>
      <c r="F1872" s="9">
        <f>IFERROR(__xludf.DUMMYFUNCTION("""COMPUTED_VALUE"""),45631.34531943287)</f>
        <v>45631.34532</v>
      </c>
      <c r="G1872" s="7" t="str">
        <f>IFERROR(__xludf.DUMMYFUNCTION("""COMPUTED_VALUE"""),"ROYA")</f>
        <v>ROYA</v>
      </c>
      <c r="H1872" s="7">
        <f t="shared" si="1"/>
        <v>799</v>
      </c>
    </row>
    <row r="1873" ht="22.5" customHeight="1">
      <c r="B1873" s="7" t="str">
        <f>IFERROR(__xludf.DUMMYFUNCTION("""COMPUTED_VALUE"""),"L/3/041224/1")</f>
        <v>L/3/041224/1</v>
      </c>
      <c r="C1873" s="7" t="str">
        <f>IFERROR(__xludf.DUMMYFUNCTION("""COMPUTED_VALUE"""),"HGB 937/JAGABAYA III")</f>
        <v>HGB 937/JAGABAYA III</v>
      </c>
      <c r="D1873" s="7"/>
      <c r="E1873" s="7"/>
      <c r="F1873" s="9" t="str">
        <f>IFERROR(__xludf.DUMMYFUNCTION("""COMPUTED_VALUE"""),"")</f>
        <v/>
      </c>
      <c r="G1873" s="7" t="str">
        <f>IFERROR(__xludf.DUMMYFUNCTION("""COMPUTED_VALUE"""),"LILY KURNIATI")</f>
        <v>LILY KURNIATI</v>
      </c>
      <c r="H1873" s="7">
        <f t="shared" si="1"/>
        <v>799</v>
      </c>
    </row>
    <row r="1874" ht="22.5" customHeight="1">
      <c r="B1874" s="7" t="str">
        <f>IFERROR(__xludf.DUMMYFUNCTION("""COMPUTED_VALUE"""),"K/4/041224/1")</f>
        <v>K/4/041224/1</v>
      </c>
      <c r="C1874" s="7" t="str">
        <f>IFERROR(__xludf.DUMMYFUNCTION("""COMPUTED_VALUE"""),"M. 10450/ Sukabumi")</f>
        <v>M. 10450/ Sukabumi</v>
      </c>
      <c r="D1874" s="7" t="str">
        <f>IFERROR(__xludf.DUMMYFUNCTION("""COMPUTED_VALUE"""),"Berry")</f>
        <v>Berry</v>
      </c>
      <c r="E1874" s="7" t="str">
        <f>IFERROR(__xludf.DUMMYFUNCTION("""COMPUTED_VALUE"""),"DISERAHKAN")</f>
        <v>DISERAHKAN</v>
      </c>
      <c r="F1874" s="9">
        <f>IFERROR(__xludf.DUMMYFUNCTION("""COMPUTED_VALUE"""),45631.34531943287)</f>
        <v>45631.34532</v>
      </c>
      <c r="G1874" s="7" t="str">
        <f>IFERROR(__xludf.DUMMYFUNCTION("""COMPUTED_VALUE"""),"ROYA")</f>
        <v>ROYA</v>
      </c>
      <c r="H1874" s="7">
        <f t="shared" si="1"/>
        <v>800</v>
      </c>
    </row>
    <row r="1875" ht="22.5" customHeight="1">
      <c r="B1875" s="7" t="str">
        <f>IFERROR(__xludf.DUMMYFUNCTION("""COMPUTED_VALUE"""),"K/5/041224/1")</f>
        <v>K/5/041224/1</v>
      </c>
      <c r="C1875" s="7" t="str">
        <f>IFERROR(__xludf.DUMMYFUNCTION("""COMPUTED_VALUE"""),"Nibel. B. 7387/ Rajabasa")</f>
        <v>Nibel. B. 7387/ Rajabasa</v>
      </c>
      <c r="D1875" s="7" t="str">
        <f>IFERROR(__xludf.DUMMYFUNCTION("""COMPUTED_VALUE"""),"Berry")</f>
        <v>Berry</v>
      </c>
      <c r="E1875" s="7" t="str">
        <f>IFERROR(__xludf.DUMMYFUNCTION("""COMPUTED_VALUE"""),"PROSES")</f>
        <v>PROSES</v>
      </c>
      <c r="F1875" s="9" t="str">
        <f>IFERROR(__xludf.DUMMYFUNCTION("""COMPUTED_VALUE"""),"")</f>
        <v/>
      </c>
      <c r="G1875" s="7" t="str">
        <f>IFERROR(__xludf.DUMMYFUNCTION("""COMPUTED_VALUE"""),"Gandes")</f>
        <v>Gandes</v>
      </c>
      <c r="H1875" s="7">
        <f t="shared" si="1"/>
        <v>800</v>
      </c>
    </row>
    <row r="1876" ht="22.5" customHeight="1">
      <c r="B1876" s="7" t="str">
        <f>IFERROR(__xludf.DUMMYFUNCTION("""COMPUTED_VALUE"""),"L/6/041224/1")</f>
        <v>L/6/041224/1</v>
      </c>
      <c r="C1876" s="7" t="str">
        <f>IFERROR(__xludf.DUMMYFUNCTION("""COMPUTED_VALUE"""),"HM 2025/NOG")</f>
        <v>HM 2025/NOG</v>
      </c>
      <c r="D1876" s="7" t="str">
        <f>IFERROR(__xludf.DUMMYFUNCTION("""COMPUTED_VALUE"""),"Berry")</f>
        <v>Berry</v>
      </c>
      <c r="E1876" s="7" t="str">
        <f>IFERROR(__xludf.DUMMYFUNCTION("""COMPUTED_VALUE"""),"DISERAHKAN")</f>
        <v>DISERAHKAN</v>
      </c>
      <c r="F1876" s="9">
        <f>IFERROR(__xludf.DUMMYFUNCTION("""COMPUTED_VALUE"""),45631.698315173606)</f>
        <v>45631.69832</v>
      </c>
      <c r="G1876" s="7" t="str">
        <f>IFERROR(__xludf.DUMMYFUNCTION("""COMPUTED_VALUE"""),"ROYA")</f>
        <v>ROYA</v>
      </c>
      <c r="H1876" s="7">
        <f t="shared" si="1"/>
        <v>801</v>
      </c>
    </row>
    <row r="1877" ht="22.5" customHeight="1">
      <c r="B1877" s="7" t="str">
        <f>IFERROR(__xludf.DUMMYFUNCTION("""COMPUTED_VALUE"""),"K/7/041224/1")</f>
        <v>K/7/041224/1</v>
      </c>
      <c r="C1877" s="7" t="str">
        <f>IFERROR(__xludf.DUMMYFUNCTION("""COMPUTED_VALUE"""),"M. 2421/ Kedaung")</f>
        <v>M. 2421/ Kedaung</v>
      </c>
      <c r="D1877" s="7" t="str">
        <f>IFERROR(__xludf.DUMMYFUNCTION("""COMPUTED_VALUE"""),"Berry")</f>
        <v>Berry</v>
      </c>
      <c r="E1877" s="7" t="str">
        <f>IFERROR(__xludf.DUMMYFUNCTION("""COMPUTED_VALUE"""),"DISERAHKAN")</f>
        <v>DISERAHKAN</v>
      </c>
      <c r="F1877" s="9">
        <f>IFERROR(__xludf.DUMMYFUNCTION("""COMPUTED_VALUE"""),45631.69900155092)</f>
        <v>45631.699</v>
      </c>
      <c r="G1877" s="7" t="str">
        <f>IFERROR(__xludf.DUMMYFUNCTION("""COMPUTED_VALUE"""),"BN JUAL BELI")</f>
        <v>BN JUAL BELI</v>
      </c>
      <c r="H1877" s="7">
        <f t="shared" si="1"/>
        <v>802</v>
      </c>
    </row>
    <row r="1878" ht="22.5" customHeight="1">
      <c r="B1878" s="7" t="str">
        <f>IFERROR(__xludf.DUMMYFUNCTION("""COMPUTED_VALUE"""),"K/8/041224/1")</f>
        <v>K/8/041224/1</v>
      </c>
      <c r="C1878" s="7" t="str">
        <f>IFERROR(__xludf.DUMMYFUNCTION("""COMPUTED_VALUE"""),"M.1619/PERUMNAS WAY HALIM-SEKARANG;B.715/PERUMNAS WAY HALIM")</f>
        <v>M.1619/PERUMNAS WAY HALIM-SEKARANG;B.715/PERUMNAS WAY HALIM</v>
      </c>
      <c r="D1878" s="7" t="str">
        <f>IFERROR(__xludf.DUMMYFUNCTION("""COMPUTED_VALUE"""),"Berry")</f>
        <v>Berry</v>
      </c>
      <c r="E1878" s="7" t="str">
        <f>IFERROR(__xludf.DUMMYFUNCTION("""COMPUTED_VALUE"""),"DISERAHKAN")</f>
        <v>DISERAHKAN</v>
      </c>
      <c r="F1878" s="9">
        <f>IFERROR(__xludf.DUMMYFUNCTION("""COMPUTED_VALUE"""),45631.70014170139)</f>
        <v>45631.70014</v>
      </c>
      <c r="G1878" s="7" t="str">
        <f>IFERROR(__xludf.DUMMYFUNCTION("""COMPUTED_VALUE"""),"ROYA")</f>
        <v>ROYA</v>
      </c>
      <c r="H1878" s="7">
        <f t="shared" si="1"/>
        <v>803</v>
      </c>
    </row>
    <row r="1879" ht="22.5" customHeight="1">
      <c r="B1879" s="7" t="str">
        <f>IFERROR(__xludf.DUMMYFUNCTION("""COMPUTED_VALUE"""),"K/9/041224/1")</f>
        <v>K/9/041224/1</v>
      </c>
      <c r="C1879" s="7" t="str">
        <f>IFERROR(__xludf.DUMMYFUNCTION("""COMPUTED_VALUE"""),"M. 1345/ Sukarame Baru")</f>
        <v>M. 1345/ Sukarame Baru</v>
      </c>
      <c r="D1879" s="7"/>
      <c r="E1879" s="7"/>
      <c r="F1879" s="9" t="str">
        <f>IFERROR(__xludf.DUMMYFUNCTION("""COMPUTED_VALUE"""),"")</f>
        <v/>
      </c>
      <c r="G1879" s="7" t="str">
        <f>IFERROR(__xludf.DUMMYFUNCTION("""COMPUTED_VALUE"""),"BN JUAL BELI")</f>
        <v>BN JUAL BELI</v>
      </c>
      <c r="H1879" s="7">
        <f t="shared" si="1"/>
        <v>803</v>
      </c>
    </row>
    <row r="1880" ht="22.5" customHeight="1">
      <c r="B1880" s="7" t="str">
        <f>IFERROR(__xludf.DUMMYFUNCTION("""COMPUTED_VALUE"""),"K/10/041224/2")</f>
        <v>K/10/041224/2</v>
      </c>
      <c r="C1880" s="7" t="str">
        <f>IFERROR(__xludf.DUMMYFUNCTION("""COMPUTED_VALUE"""),"M. 13514/ Sukabumi")</f>
        <v>M. 13514/ Sukabumi</v>
      </c>
      <c r="D1880" s="7" t="str">
        <f>IFERROR(__xludf.DUMMYFUNCTION("""COMPUTED_VALUE"""),"Berry")</f>
        <v>Berry</v>
      </c>
      <c r="E1880" s="7" t="str">
        <f>IFERROR(__xludf.DUMMYFUNCTION("""COMPUTED_VALUE"""),"PROSES")</f>
        <v>PROSES</v>
      </c>
      <c r="F1880" s="9" t="str">
        <f>IFERROR(__xludf.DUMMYFUNCTION("""COMPUTED_VALUE"""),"")</f>
        <v/>
      </c>
      <c r="G1880" s="7" t="str">
        <f>IFERROR(__xludf.DUMMYFUNCTION("""COMPUTED_VALUE"""),"BN JUAL BELI")</f>
        <v>BN JUAL BELI</v>
      </c>
      <c r="H1880" s="7">
        <f t="shared" si="1"/>
        <v>803</v>
      </c>
    </row>
    <row r="1881" ht="22.5" customHeight="1">
      <c r="B1881" s="7" t="str">
        <f>IFERROR(__xludf.DUMMYFUNCTION("""COMPUTED_VALUE"""),"K/11/041224/1")</f>
        <v>K/11/041224/1</v>
      </c>
      <c r="C1881" s="7" t="str">
        <f>IFERROR(__xludf.DUMMYFUNCTION("""COMPUTED_VALUE"""),"M.12453/KEDAMAIAN")</f>
        <v>M.12453/KEDAMAIAN</v>
      </c>
      <c r="D1881" s="7"/>
      <c r="E1881" s="7"/>
      <c r="F1881" s="9" t="str">
        <f>IFERROR(__xludf.DUMMYFUNCTION("""COMPUTED_VALUE"""),"")</f>
        <v/>
      </c>
      <c r="G1881" s="7" t="str">
        <f>IFERROR(__xludf.DUMMYFUNCTION("""COMPUTED_VALUE"""),"BLOKIR")</f>
        <v>BLOKIR</v>
      </c>
      <c r="H1881" s="7">
        <f t="shared" si="1"/>
        <v>803</v>
      </c>
    </row>
    <row r="1882" ht="22.5" customHeight="1">
      <c r="B1882" s="7" t="str">
        <f>IFERROR(__xludf.DUMMYFUNCTION("""COMPUTED_VALUE"""),"K/12/041224/1")</f>
        <v>K/12/041224/1</v>
      </c>
      <c r="C1882" s="7" t="str">
        <f>IFERROR(__xludf.DUMMYFUNCTION("""COMPUTED_VALUE"""),"B. 339/ Rajabasa Pemuka")</f>
        <v>B. 339/ Rajabasa Pemuka</v>
      </c>
      <c r="D1882" s="7"/>
      <c r="E1882" s="7"/>
      <c r="F1882" s="9" t="str">
        <f>IFERROR(__xludf.DUMMYFUNCTION("""COMPUTED_VALUE"""),"")</f>
        <v/>
      </c>
      <c r="G1882" s="7" t="str">
        <f>IFERROR(__xludf.DUMMYFUNCTION("""COMPUTED_VALUE"""),"BN Hibah")</f>
        <v>BN Hibah</v>
      </c>
      <c r="H1882" s="7">
        <f t="shared" si="1"/>
        <v>803</v>
      </c>
    </row>
    <row r="1883" ht="22.5" customHeight="1">
      <c r="B1883" s="7" t="str">
        <f>IFERROR(__xludf.DUMMYFUNCTION("""COMPUTED_VALUE"""),"K/17/041224/1")</f>
        <v>K/17/041224/1</v>
      </c>
      <c r="C1883" s="7" t="str">
        <f>IFERROR(__xludf.DUMMYFUNCTION("""COMPUTED_VALUE"""),"M. 6581/ Sidodadi")</f>
        <v>M. 6581/ Sidodadi</v>
      </c>
      <c r="D1883" s="7"/>
      <c r="E1883" s="7"/>
      <c r="F1883" s="9" t="str">
        <f>IFERROR(__xludf.DUMMYFUNCTION("""COMPUTED_VALUE"""),"")</f>
        <v/>
      </c>
      <c r="G1883" s="7" t="str">
        <f>IFERROR(__xludf.DUMMYFUNCTION("""COMPUTED_VALUE"""),"PLOTTING")</f>
        <v>PLOTTING</v>
      </c>
      <c r="H1883" s="7">
        <f t="shared" si="1"/>
        <v>803</v>
      </c>
    </row>
    <row r="1884" ht="22.5" customHeight="1">
      <c r="B1884" s="7" t="str">
        <f>IFERROR(__xludf.DUMMYFUNCTION("""COMPUTED_VALUE"""),"K/18/041224/2")</f>
        <v>K/18/041224/2</v>
      </c>
      <c r="C1884" s="7" t="str">
        <f>IFERROR(__xludf.DUMMYFUNCTION("""COMPUTED_VALUE"""),"M. 9984/ Sidodadi")</f>
        <v>M. 9984/ Sidodadi</v>
      </c>
      <c r="D1884" s="7" t="str">
        <f>IFERROR(__xludf.DUMMYFUNCTION("""COMPUTED_VALUE"""),"Berry")</f>
        <v>Berry</v>
      </c>
      <c r="E1884" s="7" t="str">
        <f>IFERROR(__xludf.DUMMYFUNCTION("""COMPUTED_VALUE"""),"PROSES")</f>
        <v>PROSES</v>
      </c>
      <c r="F1884" s="9" t="str">
        <f>IFERROR(__xludf.DUMMYFUNCTION("""COMPUTED_VALUE"""),"")</f>
        <v/>
      </c>
      <c r="G1884" s="7" t="str">
        <f>IFERROR(__xludf.DUMMYFUNCTION("""COMPUTED_VALUE"""),"PLOTTING")</f>
        <v>PLOTTING</v>
      </c>
      <c r="H1884" s="7">
        <f t="shared" si="1"/>
        <v>803</v>
      </c>
    </row>
    <row r="1885" ht="22.5" customHeight="1">
      <c r="B1885" s="7" t="str">
        <f>IFERROR(__xludf.DUMMYFUNCTION("""COMPUTED_VALUE"""),"K/19/041224/3")</f>
        <v>K/19/041224/3</v>
      </c>
      <c r="C1885" s="7" t="str">
        <f>IFERROR(__xludf.DUMMYFUNCTION("""COMPUTED_VALUE"""),"M. 233/ Kedaton")</f>
        <v>M. 233/ Kedaton</v>
      </c>
      <c r="D1885" s="7" t="str">
        <f>IFERROR(__xludf.DUMMYFUNCTION("""COMPUTED_VALUE"""),"Berry")</f>
        <v>Berry</v>
      </c>
      <c r="E1885" s="7" t="str">
        <f>IFERROR(__xludf.DUMMYFUNCTION("""COMPUTED_VALUE"""),"DISERAHKAN")</f>
        <v>DISERAHKAN</v>
      </c>
      <c r="F1885" s="9">
        <f>IFERROR(__xludf.DUMMYFUNCTION("""COMPUTED_VALUE"""),45631.700875243056)</f>
        <v>45631.70088</v>
      </c>
      <c r="G1885" s="7" t="str">
        <f>IFERROR(__xludf.DUMMYFUNCTION("""COMPUTED_VALUE"""),"GANTI KELURAHAN")</f>
        <v>GANTI KELURAHAN</v>
      </c>
      <c r="H1885" s="7">
        <f t="shared" si="1"/>
        <v>804</v>
      </c>
    </row>
    <row r="1886" ht="22.5" customHeight="1">
      <c r="B1886" s="7" t="str">
        <f>IFERROR(__xludf.DUMMYFUNCTION("""COMPUTED_VALUE"""),"K/13/041224/2")</f>
        <v>K/13/041224/2</v>
      </c>
      <c r="C1886" s="7" t="str">
        <f>IFERROR(__xludf.DUMMYFUNCTION("""COMPUTED_VALUE"""),"B. 341/ Rajabasa Pemuka")</f>
        <v>B. 341/ Rajabasa Pemuka</v>
      </c>
      <c r="D1886" s="7" t="str">
        <f>IFERROR(__xludf.DUMMYFUNCTION("""COMPUTED_VALUE"""),"Berry")</f>
        <v>Berry</v>
      </c>
      <c r="E1886" s="7" t="str">
        <f>IFERROR(__xludf.DUMMYFUNCTION("""COMPUTED_VALUE"""),"PROSES")</f>
        <v>PROSES</v>
      </c>
      <c r="F1886" s="9" t="str">
        <f>IFERROR(__xludf.DUMMYFUNCTION("""COMPUTED_VALUE"""),"")</f>
        <v/>
      </c>
      <c r="G1886" s="7" t="str">
        <f>IFERROR(__xludf.DUMMYFUNCTION("""COMPUTED_VALUE"""),"BN Hibah")</f>
        <v>BN Hibah</v>
      </c>
      <c r="H1886" s="7">
        <f t="shared" si="1"/>
        <v>804</v>
      </c>
    </row>
    <row r="1887" ht="22.5" customHeight="1">
      <c r="B1887" s="7" t="str">
        <f>IFERROR(__xludf.DUMMYFUNCTION("""COMPUTED_VALUE"""),"K/20/041224/4")</f>
        <v>K/20/041224/4</v>
      </c>
      <c r="C1887" s="7" t="str">
        <f>IFERROR(__xludf.DUMMYFUNCTION("""COMPUTED_VALUE"""),"M. 214/ Kedaung")</f>
        <v>M. 214/ Kedaung</v>
      </c>
      <c r="D1887" s="7" t="str">
        <f>IFERROR(__xludf.DUMMYFUNCTION("""COMPUTED_VALUE"""),"Berry")</f>
        <v>Berry</v>
      </c>
      <c r="E1887" s="7" t="str">
        <f>IFERROR(__xludf.DUMMYFUNCTION("""COMPUTED_VALUE"""),"PROSES")</f>
        <v>PROSES</v>
      </c>
      <c r="F1887" s="9" t="str">
        <f>IFERROR(__xludf.DUMMYFUNCTION("""COMPUTED_VALUE"""),"")</f>
        <v/>
      </c>
      <c r="G1887" s="7" t="str">
        <f>IFERROR(__xludf.DUMMYFUNCTION("""COMPUTED_VALUE"""),"BN JUAL BELI")</f>
        <v>BN JUAL BELI</v>
      </c>
      <c r="H1887" s="7">
        <f t="shared" si="1"/>
        <v>804</v>
      </c>
    </row>
    <row r="1888" ht="22.5" customHeight="1">
      <c r="B1888" s="7" t="str">
        <f>IFERROR(__xludf.DUMMYFUNCTION("""COMPUTED_VALUE"""),"K/14/041224/3")</f>
        <v>K/14/041224/3</v>
      </c>
      <c r="C1888" s="7" t="str">
        <f>IFERROR(__xludf.DUMMYFUNCTION("""COMPUTED_VALUE"""),"B. 345/ Rajabasa Pemuka")</f>
        <v>B. 345/ Rajabasa Pemuka</v>
      </c>
      <c r="D1888" s="7" t="str">
        <f>IFERROR(__xludf.DUMMYFUNCTION("""COMPUTED_VALUE"""),"Berry")</f>
        <v>Berry</v>
      </c>
      <c r="E1888" s="7" t="str">
        <f>IFERROR(__xludf.DUMMYFUNCTION("""COMPUTED_VALUE"""),"PROSES")</f>
        <v>PROSES</v>
      </c>
      <c r="F1888" s="9" t="str">
        <f>IFERROR(__xludf.DUMMYFUNCTION("""COMPUTED_VALUE"""),"")</f>
        <v/>
      </c>
      <c r="G1888" s="7" t="str">
        <f>IFERROR(__xludf.DUMMYFUNCTION("""COMPUTED_VALUE"""),"BN Hibah")</f>
        <v>BN Hibah</v>
      </c>
      <c r="H1888" s="7">
        <f t="shared" si="1"/>
        <v>804</v>
      </c>
    </row>
    <row r="1889" ht="22.5" customHeight="1">
      <c r="B1889" s="7" t="str">
        <f>IFERROR(__xludf.DUMMYFUNCTION("""COMPUTED_VALUE"""),"K/15/041224/4")</f>
        <v>K/15/041224/4</v>
      </c>
      <c r="C1889" s="7" t="str">
        <f>IFERROR(__xludf.DUMMYFUNCTION("""COMPUTED_VALUE"""),"B. 338/ Rajabasa Pemuka")</f>
        <v>B. 338/ Rajabasa Pemuka</v>
      </c>
      <c r="D1889" s="7" t="str">
        <f>IFERROR(__xludf.DUMMYFUNCTION("""COMPUTED_VALUE"""),"Berry")</f>
        <v>Berry</v>
      </c>
      <c r="E1889" s="7" t="str">
        <f>IFERROR(__xludf.DUMMYFUNCTION("""COMPUTED_VALUE"""),"DISERAHKAN")</f>
        <v>DISERAHKAN</v>
      </c>
      <c r="F1889" s="9">
        <f>IFERROR(__xludf.DUMMYFUNCTION("""COMPUTED_VALUE"""),45631.70154537037)</f>
        <v>45631.70155</v>
      </c>
      <c r="G1889" s="7" t="str">
        <f>IFERROR(__xludf.DUMMYFUNCTION("""COMPUTED_VALUE"""),"BN Hibah")</f>
        <v>BN Hibah</v>
      </c>
      <c r="H1889" s="7">
        <f t="shared" si="1"/>
        <v>805</v>
      </c>
    </row>
    <row r="1890" ht="22.5" customHeight="1">
      <c r="B1890" s="7" t="str">
        <f>IFERROR(__xludf.DUMMYFUNCTION("""COMPUTED_VALUE"""),"K/16/041224/5")</f>
        <v>K/16/041224/5</v>
      </c>
      <c r="C1890" s="7" t="str">
        <f>IFERROR(__xludf.DUMMYFUNCTION("""COMPUTED_VALUE"""),"B. 343/ Rajabasa Pemuka")</f>
        <v>B. 343/ Rajabasa Pemuka</v>
      </c>
      <c r="D1890" s="7"/>
      <c r="E1890" s="7"/>
      <c r="F1890" s="9" t="str">
        <f>IFERROR(__xludf.DUMMYFUNCTION("""COMPUTED_VALUE"""),"")</f>
        <v/>
      </c>
      <c r="G1890" s="7" t="str">
        <f>IFERROR(__xludf.DUMMYFUNCTION("""COMPUTED_VALUE"""),"BN Hibah")</f>
        <v>BN Hibah</v>
      </c>
      <c r="H1890" s="7">
        <f t="shared" si="1"/>
        <v>805</v>
      </c>
    </row>
    <row r="1891" ht="22.5" customHeight="1">
      <c r="B1891" s="7" t="str">
        <f>IFERROR(__xludf.DUMMYFUNCTION("""COMPUTED_VALUE"""),"K/21/041224/1")</f>
        <v>K/21/041224/1</v>
      </c>
      <c r="C1891" s="7" t="str">
        <f>IFERROR(__xludf.DUMMYFUNCTION("""COMPUTED_VALUE"""),"M.3122/KOTA BARU")</f>
        <v>M.3122/KOTA BARU</v>
      </c>
      <c r="D1891" s="7"/>
      <c r="E1891" s="7"/>
      <c r="F1891" s="9" t="str">
        <f>IFERROR(__xludf.DUMMYFUNCTION("""COMPUTED_VALUE"""),"")</f>
        <v/>
      </c>
      <c r="G1891" s="7" t="str">
        <f>IFERROR(__xludf.DUMMYFUNCTION("""COMPUTED_VALUE"""),"BN JUAL BELI")</f>
        <v>BN JUAL BELI</v>
      </c>
      <c r="H1891" s="7">
        <f t="shared" si="1"/>
        <v>805</v>
      </c>
    </row>
    <row r="1892" ht="22.5" customHeight="1">
      <c r="B1892" s="7" t="str">
        <f>IFERROR(__xludf.DUMMYFUNCTION("""COMPUTED_VALUE"""),"K/22/041224/1")</f>
        <v>K/22/041224/1</v>
      </c>
      <c r="C1892" s="7" t="str">
        <f>IFERROR(__xludf.DUMMYFUNCTION("""COMPUTED_VALUE"""),"M. 13785/ Sukabumi")</f>
        <v>M. 13785/ Sukabumi</v>
      </c>
      <c r="D1892" s="7"/>
      <c r="E1892" s="7"/>
      <c r="F1892" s="9" t="str">
        <f>IFERROR(__xludf.DUMMYFUNCTION("""COMPUTED_VALUE"""),"")</f>
        <v/>
      </c>
      <c r="G1892" s="7" t="str">
        <f>IFERROR(__xludf.DUMMYFUNCTION("""COMPUTED_VALUE"""),"PLOTTING")</f>
        <v>PLOTTING</v>
      </c>
      <c r="H1892" s="7">
        <f t="shared" si="1"/>
        <v>805</v>
      </c>
    </row>
    <row r="1893" ht="22.5" customHeight="1">
      <c r="B1893" s="7" t="str">
        <f>IFERROR(__xludf.DUMMYFUNCTION("""COMPUTED_VALUE"""),"K/23/041224/2")</f>
        <v>K/23/041224/2</v>
      </c>
      <c r="C1893" s="7" t="str">
        <f>IFERROR(__xludf.DUMMYFUNCTION("""COMPUTED_VALUE"""),"M. 10374/ Sidodadi")</f>
        <v>M. 10374/ Sidodadi</v>
      </c>
      <c r="D1893" s="7" t="str">
        <f>IFERROR(__xludf.DUMMYFUNCTION("""COMPUTED_VALUE"""),"Berry")</f>
        <v>Berry</v>
      </c>
      <c r="E1893" s="7" t="str">
        <f>IFERROR(__xludf.DUMMYFUNCTION("""COMPUTED_VALUE"""),"PROSES")</f>
        <v>PROSES</v>
      </c>
      <c r="F1893" s="9" t="str">
        <f>IFERROR(__xludf.DUMMYFUNCTION("""COMPUTED_VALUE"""),"")</f>
        <v/>
      </c>
      <c r="G1893" s="7" t="str">
        <f>IFERROR(__xludf.DUMMYFUNCTION("""COMPUTED_VALUE"""),"PLOTTING")</f>
        <v>PLOTTING</v>
      </c>
      <c r="H1893" s="7">
        <f t="shared" si="1"/>
        <v>805</v>
      </c>
    </row>
    <row r="1894" ht="22.5" customHeight="1">
      <c r="B1894" s="7" t="str">
        <f>IFERROR(__xludf.DUMMYFUNCTION("""COMPUTED_VALUE"""),"K/24/041224/1")</f>
        <v>K/24/041224/1</v>
      </c>
      <c r="C1894" s="7" t="str">
        <f>IFERROR(__xludf.DUMMYFUNCTION("""COMPUTED_VALUE"""),"Sporadik Suriawan/ Tanjung Baru")</f>
        <v>Sporadik Suriawan/ Tanjung Baru</v>
      </c>
      <c r="D1894" s="7"/>
      <c r="E1894" s="7"/>
      <c r="F1894" s="9" t="str">
        <f>IFERROR(__xludf.DUMMYFUNCTION("""COMPUTED_VALUE"""),"")</f>
        <v/>
      </c>
      <c r="G1894" s="7" t="str">
        <f>IFERROR(__xludf.DUMMYFUNCTION("""COMPUTED_VALUE"""),"Pengukuran Pertama Kali")</f>
        <v>Pengukuran Pertama Kali</v>
      </c>
      <c r="H1894" s="7">
        <f t="shared" si="1"/>
        <v>805</v>
      </c>
    </row>
    <row r="1895" ht="22.5" customHeight="1">
      <c r="B1895" s="7" t="str">
        <f>IFERROR(__xludf.DUMMYFUNCTION("""COMPUTED_VALUE"""),"K/25/041224/1")</f>
        <v>K/25/041224/1</v>
      </c>
      <c r="C1895" s="7" t="str">
        <f>IFERROR(__xludf.DUMMYFUNCTION("""COMPUTED_VALUE"""),"M.2682/GEDONG AIR")</f>
        <v>M.2682/GEDONG AIR</v>
      </c>
      <c r="D1895" s="7" t="str">
        <f>IFERROR(__xludf.DUMMYFUNCTION("""COMPUTED_VALUE"""),"Berry")</f>
        <v>Berry</v>
      </c>
      <c r="E1895" s="7" t="str">
        <f>IFERROR(__xludf.DUMMYFUNCTION("""COMPUTED_VALUE"""),"PROSES")</f>
        <v>PROSES</v>
      </c>
      <c r="F1895" s="9" t="str">
        <f>IFERROR(__xludf.DUMMYFUNCTION("""COMPUTED_VALUE"""),"")</f>
        <v/>
      </c>
      <c r="G1895" s="7" t="str">
        <f>IFERROR(__xludf.DUMMYFUNCTION("""COMPUTED_VALUE"""),"BN JUAL BELI")</f>
        <v>BN JUAL BELI</v>
      </c>
      <c r="H1895" s="7">
        <f t="shared" si="1"/>
        <v>805</v>
      </c>
    </row>
    <row r="1896" ht="22.5" customHeight="1">
      <c r="B1896" s="7" t="str">
        <f>IFERROR(__xludf.DUMMYFUNCTION("""COMPUTED_VALUE"""),"K/26/041224/1")</f>
        <v>K/26/041224/1</v>
      </c>
      <c r="C1896" s="7" t="str">
        <f>IFERROR(__xludf.DUMMYFUNCTION("""COMPUTED_VALUE"""),"B. 3646/ SUKARAME I")</f>
        <v>B. 3646/ SUKARAME I</v>
      </c>
      <c r="D1896" s="7"/>
      <c r="E1896" s="7"/>
      <c r="F1896" s="9" t="str">
        <f>IFERROR(__xludf.DUMMYFUNCTION("""COMPUTED_VALUE"""),"")</f>
        <v/>
      </c>
      <c r="G1896" s="7" t="str">
        <f>IFERROR(__xludf.DUMMYFUNCTION("""COMPUTED_VALUE"""),"PENGECEKKAN")</f>
        <v>PENGECEKKAN</v>
      </c>
      <c r="H1896" s="7">
        <f t="shared" si="1"/>
        <v>805</v>
      </c>
    </row>
    <row r="1897" ht="22.5" customHeight="1">
      <c r="B1897" s="7" t="str">
        <f>IFERROR(__xludf.DUMMYFUNCTION("""COMPUTED_VALUE"""),"K/27/041224/1")</f>
        <v>K/27/041224/1</v>
      </c>
      <c r="C1897" s="7" t="str">
        <f>IFERROR(__xludf.DUMMYFUNCTION("""COMPUTED_VALUE"""),"M. 12/ Perwata")</f>
        <v>M. 12/ Perwata</v>
      </c>
      <c r="D1897" s="7" t="str">
        <f>IFERROR(__xludf.DUMMYFUNCTION("""COMPUTED_VALUE"""),"Berry")</f>
        <v>Berry</v>
      </c>
      <c r="E1897" s="7" t="str">
        <f>IFERROR(__xludf.DUMMYFUNCTION("""COMPUTED_VALUE"""),"DISERAHKAN")</f>
        <v>DISERAHKAN</v>
      </c>
      <c r="F1897" s="9">
        <f>IFERROR(__xludf.DUMMYFUNCTION("""COMPUTED_VALUE"""),45631.702035752314)</f>
        <v>45631.70204</v>
      </c>
      <c r="G1897" s="7" t="str">
        <f>IFERROR(__xludf.DUMMYFUNCTION("""COMPUTED_VALUE"""),"BN WARIS")</f>
        <v>BN WARIS</v>
      </c>
      <c r="H1897" s="7">
        <f t="shared" si="1"/>
        <v>806</v>
      </c>
    </row>
    <row r="1898" ht="22.5" customHeight="1">
      <c r="B1898" s="7" t="str">
        <f>IFERROR(__xludf.DUMMYFUNCTION("""COMPUTED_VALUE"""),"L/28/041224/1")</f>
        <v>L/28/041224/1</v>
      </c>
      <c r="C1898" s="7" t="str">
        <f>IFERROR(__xludf.DUMMYFUNCTION("""COMPUTED_VALUE"""),"KEMILING RAYA")</f>
        <v>KEMILING RAYA</v>
      </c>
      <c r="D1898" s="7" t="str">
        <f>IFERROR(__xludf.DUMMYFUNCTION("""COMPUTED_VALUE"""),"Berry")</f>
        <v>Berry</v>
      </c>
      <c r="E1898" s="7" t="str">
        <f>IFERROR(__xludf.DUMMYFUNCTION("""COMPUTED_VALUE"""),"DISERAHKAN")</f>
        <v>DISERAHKAN</v>
      </c>
      <c r="F1898" s="9">
        <f>IFERROR(__xludf.DUMMYFUNCTION("""COMPUTED_VALUE"""),45631.702452094905)</f>
        <v>45631.70245</v>
      </c>
      <c r="G1898" s="7" t="str">
        <f>IFERROR(__xludf.DUMMYFUNCTION("""COMPUTED_VALUE"""),"TANAH MENTAH")</f>
        <v>TANAH MENTAH</v>
      </c>
      <c r="H1898" s="7">
        <f t="shared" si="1"/>
        <v>807</v>
      </c>
    </row>
    <row r="1899" ht="22.5" customHeight="1">
      <c r="B1899" s="7" t="str">
        <f>IFERROR(__xludf.DUMMYFUNCTION("""COMPUTED_VALUE"""),"K/29/041224/1")</f>
        <v>K/29/041224/1</v>
      </c>
      <c r="C1899" s="7" t="str">
        <f>IFERROR(__xludf.DUMMYFUNCTION("""COMPUTED_VALUE"""),"M. 2734/ Sukarame II")</f>
        <v>M. 2734/ Sukarame II</v>
      </c>
      <c r="D1899" s="7"/>
      <c r="E1899" s="7"/>
      <c r="F1899" s="9" t="str">
        <f>IFERROR(__xludf.DUMMYFUNCTION("""COMPUTED_VALUE"""),"")</f>
        <v/>
      </c>
      <c r="G1899" s="7" t="str">
        <f>IFERROR(__xludf.DUMMYFUNCTION("""COMPUTED_VALUE"""),"BN Jual Beli")</f>
        <v>BN Jual Beli</v>
      </c>
      <c r="H1899" s="7">
        <f t="shared" si="1"/>
        <v>807</v>
      </c>
    </row>
    <row r="1900" ht="22.5" customHeight="1">
      <c r="B1900" s="7" t="str">
        <f>IFERROR(__xludf.DUMMYFUNCTION("""COMPUTED_VALUE"""),"K/30/041224/2")</f>
        <v>K/30/041224/2</v>
      </c>
      <c r="C1900" s="7" t="str">
        <f>IFERROR(__xludf.DUMMYFUNCTION("""COMPUTED_VALUE"""),"M. 853/ Batu Putuk")</f>
        <v>M. 853/ Batu Putuk</v>
      </c>
      <c r="D1900" s="7" t="str">
        <f>IFERROR(__xludf.DUMMYFUNCTION("""COMPUTED_VALUE"""),"Berry")</f>
        <v>Berry</v>
      </c>
      <c r="E1900" s="7" t="str">
        <f>IFERROR(__xludf.DUMMYFUNCTION("""COMPUTED_VALUE"""),"PROSES")</f>
        <v>PROSES</v>
      </c>
      <c r="F1900" s="9" t="str">
        <f>IFERROR(__xludf.DUMMYFUNCTION("""COMPUTED_VALUE"""),"")</f>
        <v/>
      </c>
      <c r="G1900" s="7" t="str">
        <f>IFERROR(__xludf.DUMMYFUNCTION("""COMPUTED_VALUE"""),"BN Jual Beli")</f>
        <v>BN Jual Beli</v>
      </c>
      <c r="H1900" s="7">
        <f t="shared" si="1"/>
        <v>807</v>
      </c>
    </row>
    <row r="1901" ht="22.5" customHeight="1">
      <c r="B1901" s="7" t="str">
        <f>IFERROR(__xludf.DUMMYFUNCTION("""COMPUTED_VALUE"""),"K/33/041224/1")</f>
        <v>K/33/041224/1</v>
      </c>
      <c r="C1901" s="7" t="str">
        <f>IFERROR(__xludf.DUMMYFUNCTION("""COMPUTED_VALUE"""),"M. 9205/ Gedong Meneng")</f>
        <v>M. 9205/ Gedong Meneng</v>
      </c>
      <c r="D1901" s="7"/>
      <c r="E1901" s="7"/>
      <c r="F1901" s="9" t="str">
        <f>IFERROR(__xludf.DUMMYFUNCTION("""COMPUTED_VALUE"""),"")</f>
        <v/>
      </c>
      <c r="G1901" s="7" t="str">
        <f>IFERROR(__xludf.DUMMYFUNCTION("""COMPUTED_VALUE"""),"GANTI KELURAHAN")</f>
        <v>GANTI KELURAHAN</v>
      </c>
      <c r="H1901" s="7">
        <f t="shared" si="1"/>
        <v>807</v>
      </c>
    </row>
    <row r="1902" ht="22.5" customHeight="1">
      <c r="B1902" s="7" t="str">
        <f>IFERROR(__xludf.DUMMYFUNCTION("""COMPUTED_VALUE"""),"K/32/041224/1")</f>
        <v>K/32/041224/1</v>
      </c>
      <c r="C1902" s="7" t="str">
        <f>IFERROR(__xludf.DUMMYFUNCTION("""COMPUTED_VALUE"""),"M. 1005/GUNUNG AGUNG-SEKARANG;M.10292/SEGALA MIDER-DAHULU;")</f>
        <v>M. 1005/GUNUNG AGUNG-SEKARANG;M.10292/SEGALA MIDER-DAHULU;</v>
      </c>
      <c r="D1902" s="7"/>
      <c r="E1902" s="7"/>
      <c r="F1902" s="9" t="str">
        <f>IFERROR(__xludf.DUMMYFUNCTION("""COMPUTED_VALUE"""),"")</f>
        <v/>
      </c>
      <c r="G1902" s="7" t="str">
        <f>IFERROR(__xludf.DUMMYFUNCTION("""COMPUTED_VALUE"""),"BN WARIS")</f>
        <v>BN WARIS</v>
      </c>
      <c r="H1902" s="7">
        <f t="shared" si="1"/>
        <v>807</v>
      </c>
    </row>
    <row r="1903" ht="22.5" customHeight="1">
      <c r="B1903" s="7" t="str">
        <f>IFERROR(__xludf.DUMMYFUNCTION("""COMPUTED_VALUE"""),"K/35/041224/1")</f>
        <v>K/35/041224/1</v>
      </c>
      <c r="C1903" s="7" t="str">
        <f>IFERROR(__xludf.DUMMYFUNCTION("""COMPUTED_VALUE"""),"NIBEL B.3180/CAMPANG RAYA ")</f>
        <v>NIBEL B.3180/CAMPANG RAYA </v>
      </c>
      <c r="D1903" s="7"/>
      <c r="E1903" s="7"/>
      <c r="F1903" s="9" t="str">
        <f>IFERROR(__xludf.DUMMYFUNCTION("""COMPUTED_VALUE"""),"")</f>
        <v/>
      </c>
      <c r="G1903" s="7" t="str">
        <f>IFERROR(__xludf.DUMMYFUNCTION("""COMPUTED_VALUE"""),"PENINGKATAN")</f>
        <v>PENINGKATAN</v>
      </c>
      <c r="H1903" s="7">
        <f t="shared" si="1"/>
        <v>807</v>
      </c>
    </row>
    <row r="1904" ht="22.5" customHeight="1">
      <c r="B1904" s="7" t="str">
        <f>IFERROR(__xludf.DUMMYFUNCTION("""COMPUTED_VALUE"""),"K/36/041224/2")</f>
        <v>K/36/041224/2</v>
      </c>
      <c r="C1904" s="7" t="str">
        <f>IFERROR(__xludf.DUMMYFUNCTION("""COMPUTED_VALUE"""),"B,1311/BERINGIN RAYA")</f>
        <v>B,1311/BERINGIN RAYA</v>
      </c>
      <c r="D1904" s="7"/>
      <c r="E1904" s="7"/>
      <c r="F1904" s="9" t="str">
        <f>IFERROR(__xludf.DUMMYFUNCTION("""COMPUTED_VALUE"""),"")</f>
        <v/>
      </c>
      <c r="G1904" s="7" t="str">
        <f>IFERROR(__xludf.DUMMYFUNCTION("""COMPUTED_VALUE"""),"PLOTING")</f>
        <v>PLOTING</v>
      </c>
      <c r="H1904" s="7">
        <f t="shared" si="1"/>
        <v>807</v>
      </c>
    </row>
    <row r="1905" ht="22.5" customHeight="1">
      <c r="B1905" s="7" t="str">
        <f>IFERROR(__xludf.DUMMYFUNCTION("""COMPUTED_VALUE"""),"K/37/041224/3")</f>
        <v>K/37/041224/3</v>
      </c>
      <c r="C1905" s="7" t="str">
        <f>IFERROR(__xludf.DUMMYFUNCTION("""COMPUTED_VALUE"""),"M.3573/BERINGIN RAYA ")</f>
        <v>M.3573/BERINGIN RAYA </v>
      </c>
      <c r="D1905" s="7"/>
      <c r="E1905" s="7"/>
      <c r="F1905" s="9" t="str">
        <f>IFERROR(__xludf.DUMMYFUNCTION("""COMPUTED_VALUE"""),"")</f>
        <v/>
      </c>
      <c r="G1905" s="7" t="str">
        <f>IFERROR(__xludf.DUMMYFUNCTION("""COMPUTED_VALUE"""),"PLOTING")</f>
        <v>PLOTING</v>
      </c>
      <c r="H1905" s="7">
        <f t="shared" si="1"/>
        <v>807</v>
      </c>
    </row>
    <row r="1906" ht="22.5" customHeight="1">
      <c r="B1906" s="7" t="str">
        <f>IFERROR(__xludf.DUMMYFUNCTION("""COMPUTED_VALUE"""),"L/38/041224/1")</f>
        <v>L/38/041224/1</v>
      </c>
      <c r="C1906" s="7" t="str">
        <f>IFERROR(__xludf.DUMMYFUNCTION("""COMPUTED_VALUE"""),"NIB 2573/LABUIHAN RATU RAYA")</f>
        <v>NIB 2573/LABUIHAN RATU RAYA</v>
      </c>
      <c r="D1906" s="7"/>
      <c r="E1906" s="7"/>
      <c r="F1906" s="9" t="str">
        <f>IFERROR(__xludf.DUMMYFUNCTION("""COMPUTED_VALUE"""),"")</f>
        <v/>
      </c>
      <c r="G1906" s="7" t="str">
        <f>IFERROR(__xludf.DUMMYFUNCTION("""COMPUTED_VALUE"""),"BN LELANG")</f>
        <v>BN LELANG</v>
      </c>
      <c r="H1906" s="7">
        <f t="shared" si="1"/>
        <v>807</v>
      </c>
    </row>
    <row r="1907" ht="22.5" customHeight="1">
      <c r="B1907" s="7" t="str">
        <f>IFERROR(__xludf.DUMMYFUNCTION("""COMPUTED_VALUE"""),"K/39/041224/4")</f>
        <v>K/39/041224/4</v>
      </c>
      <c r="C1907" s="7" t="str">
        <f>IFERROR(__xludf.DUMMYFUNCTION("""COMPUTED_VALUE"""),"KEMILING PERMAI")</f>
        <v>KEMILING PERMAI</v>
      </c>
      <c r="D1907" s="7"/>
      <c r="E1907" s="7"/>
      <c r="F1907" s="9" t="str">
        <f>IFERROR(__xludf.DUMMYFUNCTION("""COMPUTED_VALUE"""),"")</f>
        <v/>
      </c>
      <c r="G1907" s="7" t="str">
        <f>IFERROR(__xludf.DUMMYFUNCTION("""COMPUTED_VALUE"""),"TANAH MENTAH")</f>
        <v>TANAH MENTAH</v>
      </c>
      <c r="H1907" s="7">
        <f t="shared" si="1"/>
        <v>807</v>
      </c>
    </row>
    <row r="1908" ht="22.5" customHeight="1">
      <c r="B1908" s="7" t="str">
        <f>IFERROR(__xludf.DUMMYFUNCTION("""COMPUTED_VALUE"""),"K/40/041224/5")</f>
        <v>K/40/041224/5</v>
      </c>
      <c r="C1908" s="7" t="str">
        <f>IFERROR(__xludf.DUMMYFUNCTION("""COMPUTED_VALUE"""),"KEMILING PERMAI")</f>
        <v>KEMILING PERMAI</v>
      </c>
      <c r="D1908" s="7" t="str">
        <f>IFERROR(__xludf.DUMMYFUNCTION("""COMPUTED_VALUE"""),"Berry")</f>
        <v>Berry</v>
      </c>
      <c r="E1908" s="7" t="str">
        <f>IFERROR(__xludf.DUMMYFUNCTION("""COMPUTED_VALUE"""),"DISERAHKAN")</f>
        <v>DISERAHKAN</v>
      </c>
      <c r="F1908" s="9">
        <f>IFERROR(__xludf.DUMMYFUNCTION("""COMPUTED_VALUE"""),45631.70322490741)</f>
        <v>45631.70322</v>
      </c>
      <c r="G1908" s="7" t="str">
        <f>IFERROR(__xludf.DUMMYFUNCTION("""COMPUTED_VALUE"""),"TANAH MENTAH")</f>
        <v>TANAH MENTAH</v>
      </c>
      <c r="H1908" s="7">
        <f t="shared" si="1"/>
        <v>808</v>
      </c>
    </row>
    <row r="1909" ht="22.5" customHeight="1">
      <c r="B1909" s="7" t="str">
        <f>IFERROR(__xludf.DUMMYFUNCTION("""COMPUTED_VALUE"""),"K/41/041224/1")</f>
        <v>K/41/041224/1</v>
      </c>
      <c r="C1909" s="7" t="str">
        <f>IFERROR(__xludf.DUMMYFUNCTION("""COMPUTED_VALUE"""),"Nibel 9107/ Jagabaya III")</f>
        <v>Nibel 9107/ Jagabaya III</v>
      </c>
      <c r="D1909" s="7" t="str">
        <f>IFERROR(__xludf.DUMMYFUNCTION("""COMPUTED_VALUE"""),"Berry")</f>
        <v>Berry</v>
      </c>
      <c r="E1909" s="7" t="str">
        <f>IFERROR(__xludf.DUMMYFUNCTION("""COMPUTED_VALUE"""),"PROSES")</f>
        <v>PROSES</v>
      </c>
      <c r="F1909" s="9" t="str">
        <f>IFERROR(__xludf.DUMMYFUNCTION("""COMPUTED_VALUE"""),"")</f>
        <v/>
      </c>
      <c r="G1909" s="7" t="str">
        <f>IFERROR(__xludf.DUMMYFUNCTION("""COMPUTED_VALUE"""),"BN JUAL BELI")</f>
        <v>BN JUAL BELI</v>
      </c>
      <c r="H1909" s="7">
        <f t="shared" si="1"/>
        <v>808</v>
      </c>
    </row>
    <row r="1910" ht="22.5" customHeight="1">
      <c r="B1910" s="7" t="str">
        <f>IFERROR(__xludf.DUMMYFUNCTION("""COMPUTED_VALUE"""),"K/34/041224/2")</f>
        <v>K/34/041224/2</v>
      </c>
      <c r="C1910" s="7" t="str">
        <f>IFERROR(__xludf.DUMMYFUNCTION("""COMPUTED_VALUE"""),"M.957/LANGKAPURA")</f>
        <v>M.957/LANGKAPURA</v>
      </c>
      <c r="D1910" s="7" t="str">
        <f>IFERROR(__xludf.DUMMYFUNCTION("""COMPUTED_VALUE"""),"Berry")</f>
        <v>Berry</v>
      </c>
      <c r="E1910" s="7" t="str">
        <f>IFERROR(__xludf.DUMMYFUNCTION("""COMPUTED_VALUE"""),"PROSES")</f>
        <v>PROSES</v>
      </c>
      <c r="F1910" s="9" t="str">
        <f>IFERROR(__xludf.DUMMYFUNCTION("""COMPUTED_VALUE"""),"")</f>
        <v/>
      </c>
      <c r="G1910" s="7" t="str">
        <f>IFERROR(__xludf.DUMMYFUNCTION("""COMPUTED_VALUE"""),"ROYA")</f>
        <v>ROYA</v>
      </c>
      <c r="H1910" s="7">
        <f t="shared" si="1"/>
        <v>808</v>
      </c>
    </row>
    <row r="1911" ht="22.5" customHeight="1">
      <c r="B1911" s="7" t="str">
        <f>IFERROR(__xludf.DUMMYFUNCTION("""COMPUTED_VALUE"""),"K/42/041224/1")</f>
        <v>K/42/041224/1</v>
      </c>
      <c r="C1911" s="7" t="str">
        <f>IFERROR(__xludf.DUMMYFUNCTION("""COMPUTED_VALUE"""),"M.63/TANJUNG AGUNG RAYA-SEKARANG;M.63/TANJUNG AGUNG-DAHULU;")</f>
        <v>M.63/TANJUNG AGUNG RAYA-SEKARANG;M.63/TANJUNG AGUNG-DAHULU;</v>
      </c>
      <c r="D1911" s="7"/>
      <c r="E1911" s="7"/>
      <c r="F1911" s="9" t="str">
        <f>IFERROR(__xludf.DUMMYFUNCTION("""COMPUTED_VALUE"""),"")</f>
        <v/>
      </c>
      <c r="G1911" s="7" t="str">
        <f>IFERROR(__xludf.DUMMYFUNCTION("""COMPUTED_VALUE"""),"BN JUAL BELI")</f>
        <v>BN JUAL BELI</v>
      </c>
      <c r="H1911" s="7">
        <f t="shared" si="1"/>
        <v>808</v>
      </c>
    </row>
    <row r="1912" ht="22.5" customHeight="1">
      <c r="B1912" s="7" t="str">
        <f>IFERROR(__xludf.DUMMYFUNCTION("""COMPUTED_VALUE"""),"L/45/041224/1")</f>
        <v>L/45/041224/1</v>
      </c>
      <c r="C1912" s="7" t="str">
        <f>IFERROR(__xludf.DUMMYFUNCTION("""COMPUTED_VALUE"""),"HM 13379/RAJABASA")</f>
        <v>HM 13379/RAJABASA</v>
      </c>
      <c r="D1912" s="7"/>
      <c r="E1912" s="7"/>
      <c r="F1912" s="9" t="str">
        <f>IFERROR(__xludf.DUMMYFUNCTION("""COMPUTED_VALUE"""),"")</f>
        <v/>
      </c>
      <c r="G1912" s="7" t="str">
        <f>IFERROR(__xludf.DUMMYFUNCTION("""COMPUTED_VALUE"""),"ROYA")</f>
        <v>ROYA</v>
      </c>
      <c r="H1912" s="7">
        <f t="shared" si="1"/>
        <v>808</v>
      </c>
    </row>
    <row r="1913" ht="22.5" customHeight="1">
      <c r="B1913" s="7" t="str">
        <f>IFERROR(__xludf.DUMMYFUNCTION("""COMPUTED_VALUE"""),"K/43/041224/1")</f>
        <v>K/43/041224/1</v>
      </c>
      <c r="C1913" s="7" t="str">
        <f>IFERROR(__xludf.DUMMYFUNCTION("""COMPUTED_VALUE"""),"PBT NO. 101/2024 KEMILING RAYA")</f>
        <v>PBT NO. 101/2024 KEMILING RAYA</v>
      </c>
      <c r="D1913" s="7" t="str">
        <f>IFERROR(__xludf.DUMMYFUNCTION("""COMPUTED_VALUE"""),"Berry")</f>
        <v>Berry</v>
      </c>
      <c r="E1913" s="7" t="str">
        <f>IFERROR(__xludf.DUMMYFUNCTION("""COMPUTED_VALUE"""),"DISERAHKAN")</f>
        <v>DISERAHKAN</v>
      </c>
      <c r="F1913" s="9">
        <f>IFERROR(__xludf.DUMMYFUNCTION("""COMPUTED_VALUE"""),45631.703788425926)</f>
        <v>45631.70379</v>
      </c>
      <c r="G1913" s="7" t="str">
        <f>IFERROR(__xludf.DUMMYFUNCTION("""COMPUTED_VALUE"""),"PERMOHONAN SK")</f>
        <v>PERMOHONAN SK</v>
      </c>
      <c r="H1913" s="7">
        <f t="shared" si="1"/>
        <v>809</v>
      </c>
    </row>
    <row r="1914" ht="22.5" customHeight="1">
      <c r="B1914" s="7" t="str">
        <f>IFERROR(__xludf.DUMMYFUNCTION("""COMPUTED_VALUE"""),"K/44/041224/2")</f>
        <v>K/44/041224/2</v>
      </c>
      <c r="C1914" s="7" t="str">
        <f>IFERROR(__xludf.DUMMYFUNCTION("""COMPUTED_VALUE"""),"PBT. NO.102/2024 / KEMILING RAYA")</f>
        <v>PBT. NO.102/2024 / KEMILING RAYA</v>
      </c>
      <c r="D1914" s="7" t="str">
        <f>IFERROR(__xludf.DUMMYFUNCTION("""COMPUTED_VALUE"""),"Berry")</f>
        <v>Berry</v>
      </c>
      <c r="E1914" s="7" t="str">
        <f>IFERROR(__xludf.DUMMYFUNCTION("""COMPUTED_VALUE"""),"DISERAHKAN")</f>
        <v>DISERAHKAN</v>
      </c>
      <c r="F1914" s="9">
        <f>IFERROR(__xludf.DUMMYFUNCTION("""COMPUTED_VALUE"""),45631.70382081019)</f>
        <v>45631.70382</v>
      </c>
      <c r="G1914" s="7" t="str">
        <f>IFERROR(__xludf.DUMMYFUNCTION("""COMPUTED_VALUE"""),"PERMOHONAN SK")</f>
        <v>PERMOHONAN SK</v>
      </c>
      <c r="H1914" s="7">
        <f t="shared" si="1"/>
        <v>810</v>
      </c>
    </row>
    <row r="1915" ht="22.5" customHeight="1">
      <c r="B1915" s="7" t="str">
        <f>IFERROR(__xludf.DUMMYFUNCTION("""COMPUTED_VALUE"""),"K/46/041224/1")</f>
        <v>K/46/041224/1</v>
      </c>
      <c r="C1915" s="7" t="str">
        <f>IFERROR(__xludf.DUMMYFUNCTION("""COMPUTED_VALUE"""),"B.599/SUMBER AGUNG")</f>
        <v>B.599/SUMBER AGUNG</v>
      </c>
      <c r="D1915" s="7"/>
      <c r="E1915" s="7"/>
      <c r="F1915" s="9" t="str">
        <f>IFERROR(__xludf.DUMMYFUNCTION("""COMPUTED_VALUE"""),"")</f>
        <v/>
      </c>
      <c r="G1915" s="7" t="str">
        <f>IFERROR(__xludf.DUMMYFUNCTION("""COMPUTED_VALUE"""),"BN JUAL BELI")</f>
        <v>BN JUAL BELI</v>
      </c>
      <c r="H1915" s="7">
        <f t="shared" si="1"/>
        <v>810</v>
      </c>
    </row>
    <row r="1916" ht="22.5" customHeight="1">
      <c r="B1916" s="7" t="str">
        <f>IFERROR(__xludf.DUMMYFUNCTION("""COMPUTED_VALUE"""),"K/47/041224/2")</f>
        <v>K/47/041224/2</v>
      </c>
      <c r="C1916" s="7" t="str">
        <f>IFERROR(__xludf.DUMMYFUNCTION("""COMPUTED_VALUE"""),"B.691/KEMILING PERMAI")</f>
        <v>B.691/KEMILING PERMAI</v>
      </c>
      <c r="D1916" s="7"/>
      <c r="E1916" s="7"/>
      <c r="F1916" s="9" t="str">
        <f>IFERROR(__xludf.DUMMYFUNCTION("""COMPUTED_VALUE"""),"")</f>
        <v/>
      </c>
      <c r="G1916" s="7" t="str">
        <f>IFERROR(__xludf.DUMMYFUNCTION("""COMPUTED_VALUE"""),"BN JUAL BELI")</f>
        <v>BN JUAL BELI</v>
      </c>
      <c r="H1916" s="7">
        <f t="shared" si="1"/>
        <v>810</v>
      </c>
    </row>
    <row r="1917" ht="22.5" customHeight="1">
      <c r="B1917" s="7" t="str">
        <f>IFERROR(__xludf.DUMMYFUNCTION("""COMPUTED_VALUE"""),"K/48/041224/1")</f>
        <v>K/48/041224/1</v>
      </c>
      <c r="C1917" s="7" t="str">
        <f>IFERROR(__xludf.DUMMYFUNCTION("""COMPUTED_VALUE"""),"Nibel 1735/ Sukarame Baru")</f>
        <v>Nibel 1735/ Sukarame Baru</v>
      </c>
      <c r="D1917" s="7" t="str">
        <f>IFERROR(__xludf.DUMMYFUNCTION("""COMPUTED_VALUE"""),"Berry")</f>
        <v>Berry</v>
      </c>
      <c r="E1917" s="7" t="str">
        <f>IFERROR(__xludf.DUMMYFUNCTION("""COMPUTED_VALUE"""),"DISERAHKAN BT")</f>
        <v>DISERAHKAN BT</v>
      </c>
      <c r="F1917" s="9">
        <f>IFERROR(__xludf.DUMMYFUNCTION("""COMPUTED_VALUE"""),45635.41468894676)</f>
        <v>45635.41469</v>
      </c>
      <c r="G1917" s="7" t="str">
        <f>IFERROR(__xludf.DUMMYFUNCTION("""COMPUTED_VALUE"""),"BN JUAL BELI")</f>
        <v>BN JUAL BELI</v>
      </c>
      <c r="H1917" s="7">
        <f t="shared" si="1"/>
        <v>810</v>
      </c>
    </row>
    <row r="1918" ht="22.5" customHeight="1">
      <c r="B1918" s="7" t="str">
        <f>IFERROR(__xludf.DUMMYFUNCTION("""COMPUTED_VALUE"""),"K/31/041224/1")</f>
        <v>K/31/041224/1</v>
      </c>
      <c r="C1918" s="7" t="str">
        <f>IFERROR(__xludf.DUMMYFUNCTION("""COMPUTED_VALUE"""),"SK. 92/HM/2024/Kota Sepang")</f>
        <v>SK. 92/HM/2024/Kota Sepang</v>
      </c>
      <c r="D1918" s="7" t="str">
        <f>IFERROR(__xludf.DUMMYFUNCTION("""COMPUTED_VALUE"""),"Berry")</f>
        <v>Berry</v>
      </c>
      <c r="E1918" s="7" t="str">
        <f>IFERROR(__xludf.DUMMYFUNCTION("""COMPUTED_VALUE"""),"PROSES")</f>
        <v>PROSES</v>
      </c>
      <c r="F1918" s="9" t="str">
        <f>IFERROR(__xludf.DUMMYFUNCTION("""COMPUTED_VALUE"""),"")</f>
        <v/>
      </c>
      <c r="G1918" s="7" t="str">
        <f>IFERROR(__xludf.DUMMYFUNCTION("""COMPUTED_VALUE"""),"Pendaftran SK")</f>
        <v>Pendaftran SK</v>
      </c>
      <c r="H1918" s="7">
        <f t="shared" si="1"/>
        <v>810</v>
      </c>
    </row>
    <row r="1919" ht="22.5" customHeight="1">
      <c r="B1919" s="7" t="str">
        <f>IFERROR(__xludf.DUMMYFUNCTION("""COMPUTED_VALUE"""),"K/1/051224/1")</f>
        <v>K/1/051224/1</v>
      </c>
      <c r="C1919" s="7" t="str">
        <f>IFERROR(__xludf.DUMMYFUNCTION("""COMPUTED_VALUE"""),"M. 5062/ Rajabasa Jaya")</f>
        <v>M. 5062/ Rajabasa Jaya</v>
      </c>
      <c r="D1919" s="7" t="str">
        <f>IFERROR(__xludf.DUMMYFUNCTION("""COMPUTED_VALUE"""),"Berry")</f>
        <v>Berry</v>
      </c>
      <c r="E1919" s="7" t="str">
        <f>IFERROR(__xludf.DUMMYFUNCTION("""COMPUTED_VALUE"""),"PROSES")</f>
        <v>PROSES</v>
      </c>
      <c r="F1919" s="9" t="str">
        <f>IFERROR(__xludf.DUMMYFUNCTION("""COMPUTED_VALUE"""),"")</f>
        <v/>
      </c>
      <c r="G1919" s="7" t="str">
        <f>IFERROR(__xludf.DUMMYFUNCTION("""COMPUTED_VALUE"""),"BN WARIS")</f>
        <v>BN WARIS</v>
      </c>
      <c r="H1919" s="7">
        <f t="shared" si="1"/>
        <v>810</v>
      </c>
    </row>
    <row r="1920" ht="22.5" customHeight="1">
      <c r="B1920" s="7" t="str">
        <f>IFERROR(__xludf.DUMMYFUNCTION("""COMPUTED_VALUE"""),"K/2/051224/1")</f>
        <v>K/2/051224/1</v>
      </c>
      <c r="C1920" s="7" t="str">
        <f>IFERROR(__xludf.DUMMYFUNCTION("""COMPUTED_VALUE"""),"B. 2161/ Sukabumi")</f>
        <v>B. 2161/ Sukabumi</v>
      </c>
      <c r="D1920" s="7" t="str">
        <f>IFERROR(__xludf.DUMMYFUNCTION("""COMPUTED_VALUE"""),"Berry")</f>
        <v>Berry</v>
      </c>
      <c r="E1920" s="7" t="str">
        <f>IFERROR(__xludf.DUMMYFUNCTION("""COMPUTED_VALUE"""),"PROSES")</f>
        <v>PROSES</v>
      </c>
      <c r="F1920" s="9" t="str">
        <f>IFERROR(__xludf.DUMMYFUNCTION("""COMPUTED_VALUE"""),"")</f>
        <v/>
      </c>
      <c r="G1920" s="7" t="str">
        <f>IFERROR(__xludf.DUMMYFUNCTION("""COMPUTED_VALUE"""),"Perubahan Hak")</f>
        <v>Perubahan Hak</v>
      </c>
      <c r="H1920" s="7">
        <f t="shared" si="1"/>
        <v>810</v>
      </c>
    </row>
    <row r="1921" ht="22.5" customHeight="1">
      <c r="B1921" s="7" t="str">
        <f>IFERROR(__xludf.DUMMYFUNCTION("""COMPUTED_VALUE"""),"K/3/051224/1")</f>
        <v>K/3/051224/1</v>
      </c>
      <c r="C1921" s="7" t="str">
        <f>IFERROR(__xludf.DUMMYFUNCTION("""COMPUTED_VALUE"""),"M. 529/ Bakung")</f>
        <v>M. 529/ Bakung</v>
      </c>
      <c r="D1921" s="7"/>
      <c r="E1921" s="7"/>
      <c r="F1921" s="9" t="str">
        <f>IFERROR(__xludf.DUMMYFUNCTION("""COMPUTED_VALUE"""),"")</f>
        <v/>
      </c>
      <c r="G1921" s="7" t="str">
        <f>IFERROR(__xludf.DUMMYFUNCTION("""COMPUTED_VALUE"""),"BN Jual Beli")</f>
        <v>BN Jual Beli</v>
      </c>
      <c r="H1921" s="7">
        <f t="shared" si="1"/>
        <v>810</v>
      </c>
    </row>
    <row r="1922" ht="22.5" customHeight="1">
      <c r="B1922" s="7" t="str">
        <f>IFERROR(__xludf.DUMMYFUNCTION("""COMPUTED_VALUE"""),"L/4/051224/1")</f>
        <v>L/4/051224/1</v>
      </c>
      <c r="C1922" s="7" t="str">
        <f>IFERROR(__xludf.DUMMYFUNCTION("""COMPUTED_VALUE"""),"HGB 191/PINANG JAYA")</f>
        <v>HGB 191/PINANG JAYA</v>
      </c>
      <c r="D1922" s="7" t="str">
        <f>IFERROR(__xludf.DUMMYFUNCTION("""COMPUTED_VALUE"""),"Berry")</f>
        <v>Berry</v>
      </c>
      <c r="E1922" s="7" t="str">
        <f>IFERROR(__xludf.DUMMYFUNCTION("""COMPUTED_VALUE"""),"DISERAHKAN")</f>
        <v>DISERAHKAN</v>
      </c>
      <c r="F1922" s="9">
        <f>IFERROR(__xludf.DUMMYFUNCTION("""COMPUTED_VALUE"""),45635.4159481713)</f>
        <v>45635.41595</v>
      </c>
      <c r="G1922" s="7" t="str">
        <f>IFERROR(__xludf.DUMMYFUNCTION("""COMPUTED_VALUE"""),"PH")</f>
        <v>PH</v>
      </c>
      <c r="H1922" s="7">
        <f t="shared" si="1"/>
        <v>811</v>
      </c>
    </row>
    <row r="1923" ht="22.5" customHeight="1">
      <c r="B1923" s="7" t="str">
        <f>IFERROR(__xludf.DUMMYFUNCTION("""COMPUTED_VALUE"""),"K/5/051224/1")</f>
        <v>K/5/051224/1</v>
      </c>
      <c r="C1923" s="7" t="str">
        <f>IFERROR(__xludf.DUMMYFUNCTION("""COMPUTED_VALUE"""),"Nibel 6326/ Sumur Putri")</f>
        <v>Nibel 6326/ Sumur Putri</v>
      </c>
      <c r="D1923" s="7" t="str">
        <f>IFERROR(__xludf.DUMMYFUNCTION("""COMPUTED_VALUE"""),"Berry")</f>
        <v>Berry</v>
      </c>
      <c r="E1923" s="7" t="str">
        <f>IFERROR(__xludf.DUMMYFUNCTION("""COMPUTED_VALUE"""),"DISERAHKAN")</f>
        <v>DISERAHKAN</v>
      </c>
      <c r="F1923" s="9">
        <f>IFERROR(__xludf.DUMMYFUNCTION("""COMPUTED_VALUE"""),45635.415999537036)</f>
        <v>45635.416</v>
      </c>
      <c r="G1923" s="7" t="str">
        <f>IFERROR(__xludf.DUMMYFUNCTION("""COMPUTED_VALUE"""),"PERUBAHAN HAK")</f>
        <v>PERUBAHAN HAK</v>
      </c>
      <c r="H1923" s="7">
        <f t="shared" si="1"/>
        <v>812</v>
      </c>
    </row>
    <row r="1924" ht="22.5" customHeight="1">
      <c r="B1924" s="7" t="str">
        <f>IFERROR(__xludf.DUMMYFUNCTION("""COMPUTED_VALUE"""),"L/6/051224/1")</f>
        <v>L/6/051224/1</v>
      </c>
      <c r="C1924" s="7" t="str">
        <f>IFERROR(__xludf.DUMMYFUNCTION("""COMPUTED_VALUE"""),"HGB 303/NUSANTARA PERMAI")</f>
        <v>HGB 303/NUSANTARA PERMAI</v>
      </c>
      <c r="D1924" s="7"/>
      <c r="E1924" s="7"/>
      <c r="F1924" s="9" t="str">
        <f>IFERROR(__xludf.DUMMYFUNCTION("""COMPUTED_VALUE"""),"")</f>
        <v/>
      </c>
      <c r="G1924" s="7" t="str">
        <f>IFERROR(__xludf.DUMMYFUNCTION("""COMPUTED_VALUE"""),"PH")</f>
        <v>PH</v>
      </c>
      <c r="H1924" s="7">
        <f t="shared" si="1"/>
        <v>812</v>
      </c>
    </row>
    <row r="1925" ht="22.5" customHeight="1">
      <c r="B1925" s="7" t="str">
        <f>IFERROR(__xludf.DUMMYFUNCTION("""COMPUTED_VALUE"""),"L/7/051224/2")</f>
        <v>L/7/051224/2</v>
      </c>
      <c r="C1925" s="7" t="str">
        <f>IFERROR(__xludf.DUMMYFUNCTION("""COMPUTED_VALUE"""),"HGB 320/NUSANTARA PERMAI")</f>
        <v>HGB 320/NUSANTARA PERMAI</v>
      </c>
      <c r="D1925" s="7" t="str">
        <f>IFERROR(__xludf.DUMMYFUNCTION("""COMPUTED_VALUE"""),"Berry")</f>
        <v>Berry</v>
      </c>
      <c r="E1925" s="7" t="str">
        <f>IFERROR(__xludf.DUMMYFUNCTION("""COMPUTED_VALUE"""),"DISERAHKAN")</f>
        <v>DISERAHKAN</v>
      </c>
      <c r="F1925" s="9">
        <f>IFERROR(__xludf.DUMMYFUNCTION("""COMPUTED_VALUE"""),45635.41658612269)</f>
        <v>45635.41659</v>
      </c>
      <c r="G1925" s="7" t="str">
        <f>IFERROR(__xludf.DUMMYFUNCTION("""COMPUTED_VALUE"""),"PH")</f>
        <v>PH</v>
      </c>
      <c r="H1925" s="7">
        <f t="shared" si="1"/>
        <v>813</v>
      </c>
    </row>
    <row r="1926" ht="22.5" customHeight="1">
      <c r="B1926" s="7" t="str">
        <f>IFERROR(__xludf.DUMMYFUNCTION("""COMPUTED_VALUE"""),"K/8/051224/1")</f>
        <v>K/8/051224/1</v>
      </c>
      <c r="C1926" s="7" t="str">
        <f>IFERROR(__xludf.DUMMYFUNCTION("""COMPUTED_VALUE"""),"NIBEL M 3489/KEMILING PERMAI")</f>
        <v>NIBEL M 3489/KEMILING PERMAI</v>
      </c>
      <c r="D1926" s="7"/>
      <c r="E1926" s="7"/>
      <c r="F1926" s="9" t="str">
        <f>IFERROR(__xludf.DUMMYFUNCTION("""COMPUTED_VALUE"""),"")</f>
        <v/>
      </c>
      <c r="G1926" s="7" t="str">
        <f>IFERROR(__xludf.DUMMYFUNCTION("""COMPUTED_VALUE"""),"BN JUAL BELI")</f>
        <v>BN JUAL BELI</v>
      </c>
      <c r="H1926" s="7">
        <f t="shared" si="1"/>
        <v>813</v>
      </c>
    </row>
    <row r="1927" ht="22.5" customHeight="1">
      <c r="B1927" s="7" t="str">
        <f>IFERROR(__xludf.DUMMYFUNCTION("""COMPUTED_VALUE"""),"K/9/051224/2")</f>
        <v>K/9/051224/2</v>
      </c>
      <c r="C1927" s="7" t="str">
        <f>IFERROR(__xludf.DUMMYFUNCTION("""COMPUTED_VALUE"""),"M.2623/PINANG JAYA")</f>
        <v>M.2623/PINANG JAYA</v>
      </c>
      <c r="D1927" s="7" t="str">
        <f>IFERROR(__xludf.DUMMYFUNCTION("""COMPUTED_VALUE"""),"Berry")</f>
        <v>Berry</v>
      </c>
      <c r="E1927" s="7" t="str">
        <f>IFERROR(__xludf.DUMMYFUNCTION("""COMPUTED_VALUE"""),"PROSES")</f>
        <v>PROSES</v>
      </c>
      <c r="F1927" s="9" t="str">
        <f>IFERROR(__xludf.DUMMYFUNCTION("""COMPUTED_VALUE"""),"")</f>
        <v/>
      </c>
      <c r="G1927" s="7" t="str">
        <f>IFERROR(__xludf.DUMMYFUNCTION("""COMPUTED_VALUE"""),"BN JUAL BELI")</f>
        <v>BN JUAL BELI</v>
      </c>
      <c r="H1927" s="7">
        <f t="shared" si="1"/>
        <v>813</v>
      </c>
    </row>
    <row r="1928" ht="22.5" customHeight="1">
      <c r="B1928" s="7" t="str">
        <f>IFERROR(__xludf.DUMMYFUNCTION("""COMPUTED_VALUE"""),"K/10/051224/3")</f>
        <v>K/10/051224/3</v>
      </c>
      <c r="C1928" s="7" t="str">
        <f>IFERROR(__xludf.DUMMYFUNCTION("""COMPUTED_VALUE"""),"M.220/BATU PUTU")</f>
        <v>M.220/BATU PUTU</v>
      </c>
      <c r="D1928" s="7"/>
      <c r="E1928" s="7"/>
      <c r="F1928" s="9" t="str">
        <f>IFERROR(__xludf.DUMMYFUNCTION("""COMPUTED_VALUE"""),"")</f>
        <v/>
      </c>
      <c r="G1928" s="7" t="str">
        <f>IFERROR(__xludf.DUMMYFUNCTION("""COMPUTED_VALUE"""),"GANDES")</f>
        <v>GANDES</v>
      </c>
      <c r="H1928" s="7">
        <f t="shared" si="1"/>
        <v>813</v>
      </c>
    </row>
    <row r="1929" ht="22.5" customHeight="1">
      <c r="B1929" s="7" t="str">
        <f>IFERROR(__xludf.DUMMYFUNCTION("""COMPUTED_VALUE"""),"K/11/051224/1")</f>
        <v>K/11/051224/1</v>
      </c>
      <c r="C1929" s="7" t="str">
        <f>IFERROR(__xludf.DUMMYFUNCTION("""COMPUTED_VALUE"""),"M. 554/ Korpri Raya")</f>
        <v>M. 554/ Korpri Raya</v>
      </c>
      <c r="D1929" s="7" t="str">
        <f>IFERROR(__xludf.DUMMYFUNCTION("""COMPUTED_VALUE"""),"Berry")</f>
        <v>Berry</v>
      </c>
      <c r="E1929" s="7" t="str">
        <f>IFERROR(__xludf.DUMMYFUNCTION("""COMPUTED_VALUE"""),"DISERAHKAN")</f>
        <v>DISERAHKAN</v>
      </c>
      <c r="F1929" s="9">
        <f>IFERROR(__xludf.DUMMYFUNCTION("""COMPUTED_VALUE"""),45635.416896319446)</f>
        <v>45635.4169</v>
      </c>
      <c r="G1929" s="7" t="str">
        <f>IFERROR(__xludf.DUMMYFUNCTION("""COMPUTED_VALUE"""),"BN JUAL BELI")</f>
        <v>BN JUAL BELI</v>
      </c>
      <c r="H1929" s="7">
        <f t="shared" si="1"/>
        <v>814</v>
      </c>
    </row>
    <row r="1930" ht="22.5" customHeight="1">
      <c r="B1930" s="7" t="str">
        <f>IFERROR(__xludf.DUMMYFUNCTION("""COMPUTED_VALUE"""),"L/13/051224/1")</f>
        <v>L/13/051224/1</v>
      </c>
      <c r="C1930" s="7" t="str">
        <f>IFERROR(__xludf.DUMMYFUNCTION("""COMPUTED_VALUE"""),"HM 1548/RAJABASA")</f>
        <v>HM 1548/RAJABASA</v>
      </c>
      <c r="D1930" s="7" t="str">
        <f>IFERROR(__xludf.DUMMYFUNCTION("""COMPUTED_VALUE"""),"Berry")</f>
        <v>Berry</v>
      </c>
      <c r="E1930" s="7" t="str">
        <f>IFERROR(__xludf.DUMMYFUNCTION("""COMPUTED_VALUE"""),"DISERAHKAN")</f>
        <v>DISERAHKAN</v>
      </c>
      <c r="F1930" s="9">
        <f>IFERROR(__xludf.DUMMYFUNCTION("""COMPUTED_VALUE"""),45635.41734979166)</f>
        <v>45635.41735</v>
      </c>
      <c r="G1930" s="7" t="str">
        <f>IFERROR(__xludf.DUMMYFUNCTION("""COMPUTED_VALUE"""),"GANDES")</f>
        <v>GANDES</v>
      </c>
      <c r="H1930" s="7">
        <f t="shared" si="1"/>
        <v>815</v>
      </c>
    </row>
    <row r="1931" ht="22.5" customHeight="1">
      <c r="B1931" s="7" t="str">
        <f>IFERROR(__xludf.DUMMYFUNCTION("""COMPUTED_VALUE"""),"K/12/051224/1")</f>
        <v>K/12/051224/1</v>
      </c>
      <c r="C1931" s="7" t="str">
        <f>IFERROR(__xludf.DUMMYFUNCTION("""COMPUTED_VALUE"""),"M. 2337/ Langkapura")</f>
        <v>M. 2337/ Langkapura</v>
      </c>
      <c r="D1931" s="7"/>
      <c r="E1931" s="7"/>
      <c r="F1931" s="9" t="str">
        <f>IFERROR(__xludf.DUMMYFUNCTION("""COMPUTED_VALUE"""),"")</f>
        <v/>
      </c>
      <c r="G1931" s="7" t="str">
        <f>IFERROR(__xludf.DUMMYFUNCTION("""COMPUTED_VALUE"""),"BN Jual Beli")</f>
        <v>BN Jual Beli</v>
      </c>
      <c r="H1931" s="7">
        <f t="shared" si="1"/>
        <v>815</v>
      </c>
    </row>
    <row r="1932" ht="22.5" customHeight="1">
      <c r="B1932" s="7" t="str">
        <f>IFERROR(__xludf.DUMMYFUNCTION("""COMPUTED_VALUE"""),"L/16/051224/1")</f>
        <v>L/16/051224/1</v>
      </c>
      <c r="C1932" s="7" t="str">
        <f>IFERROR(__xludf.DUMMYFUNCTION("""COMPUTED_VALUE"""),"HM 406/LABUHAN DALAM")</f>
        <v>HM 406/LABUHAN DALAM</v>
      </c>
      <c r="D1932" s="7"/>
      <c r="E1932" s="7"/>
      <c r="F1932" s="9" t="str">
        <f>IFERROR(__xludf.DUMMYFUNCTION("""COMPUTED_VALUE"""),"")</f>
        <v/>
      </c>
      <c r="G1932" s="7" t="str">
        <f>IFERROR(__xludf.DUMMYFUNCTION("""COMPUTED_VALUE"""),"ROYA")</f>
        <v>ROYA</v>
      </c>
      <c r="H1932" s="7">
        <f t="shared" si="1"/>
        <v>815</v>
      </c>
    </row>
    <row r="1933" ht="22.5" customHeight="1">
      <c r="B1933" s="7" t="str">
        <f>IFERROR(__xludf.DUMMYFUNCTION("""COMPUTED_VALUE"""),"K/14/051224/1")</f>
        <v>K/14/051224/1</v>
      </c>
      <c r="C1933" s="7" t="str">
        <f>IFERROR(__xludf.DUMMYFUNCTION("""COMPUTED_VALUE"""),"M.1393/SUKAJAWA")</f>
        <v>M.1393/SUKAJAWA</v>
      </c>
      <c r="D1933" s="7" t="str">
        <f>IFERROR(__xludf.DUMMYFUNCTION("""COMPUTED_VALUE"""),"Berry")</f>
        <v>Berry</v>
      </c>
      <c r="E1933" s="7" t="str">
        <f>IFERROR(__xludf.DUMMYFUNCTION("""COMPUTED_VALUE"""),"DISERAHKAN")</f>
        <v>DISERAHKAN</v>
      </c>
      <c r="F1933" s="9">
        <f>IFERROR(__xludf.DUMMYFUNCTION("""COMPUTED_VALUE"""),45635.417563298615)</f>
        <v>45635.41756</v>
      </c>
      <c r="G1933" s="7" t="str">
        <f>IFERROR(__xludf.DUMMYFUNCTION("""COMPUTED_VALUE"""),"SKPT LELANG ")</f>
        <v>SKPT LELANG </v>
      </c>
      <c r="H1933" s="7">
        <f t="shared" si="1"/>
        <v>816</v>
      </c>
    </row>
    <row r="1934" ht="22.5" customHeight="1">
      <c r="B1934" s="7" t="str">
        <f>IFERROR(__xludf.DUMMYFUNCTION("""COMPUTED_VALUE"""),"K/15/051224/2")</f>
        <v>K/15/051224/2</v>
      </c>
      <c r="C1934" s="7" t="str">
        <f>IFERROR(__xludf.DUMMYFUNCTION("""COMPUTED_VALUE"""),"M.1741/SUKAJAWA")</f>
        <v>M.1741/SUKAJAWA</v>
      </c>
      <c r="D1934" s="7" t="str">
        <f>IFERROR(__xludf.DUMMYFUNCTION("""COMPUTED_VALUE"""),"Berry")</f>
        <v>Berry</v>
      </c>
      <c r="E1934" s="7" t="str">
        <f>IFERROR(__xludf.DUMMYFUNCTION("""COMPUTED_VALUE"""),"DISERAHKAN")</f>
        <v>DISERAHKAN</v>
      </c>
      <c r="F1934" s="9">
        <f>IFERROR(__xludf.DUMMYFUNCTION("""COMPUTED_VALUE"""),45635.418132962965)</f>
        <v>45635.41813</v>
      </c>
      <c r="G1934" s="7" t="str">
        <f>IFERROR(__xludf.DUMMYFUNCTION("""COMPUTED_VALUE"""),"SKPT LELANG")</f>
        <v>SKPT LELANG</v>
      </c>
      <c r="H1934" s="7">
        <f t="shared" si="1"/>
        <v>817</v>
      </c>
    </row>
    <row r="1935" ht="22.5" customHeight="1">
      <c r="B1935" s="7" t="str">
        <f>IFERROR(__xludf.DUMMYFUNCTION("""COMPUTED_VALUE"""),"L/18/051224/1")</f>
        <v>L/18/051224/1</v>
      </c>
      <c r="C1935" s="7" t="str">
        <f>IFERROR(__xludf.DUMMYFUNCTION("""COMPUTED_VALUE"""),"HM 16505/SUKARAME")</f>
        <v>HM 16505/SUKARAME</v>
      </c>
      <c r="D1935" s="7"/>
      <c r="E1935" s="7"/>
      <c r="F1935" s="9" t="str">
        <f>IFERROR(__xludf.DUMMYFUNCTION("""COMPUTED_VALUE"""),"")</f>
        <v/>
      </c>
      <c r="G1935" s="7" t="str">
        <f>IFERROR(__xludf.DUMMYFUNCTION("""COMPUTED_VALUE"""),"ROYA")</f>
        <v>ROYA</v>
      </c>
      <c r="H1935" s="7">
        <f t="shared" si="1"/>
        <v>817</v>
      </c>
    </row>
    <row r="1936" ht="22.5" customHeight="1">
      <c r="B1936" s="7" t="str">
        <f>IFERROR(__xludf.DUMMYFUNCTION("""COMPUTED_VALUE"""),"K/17/051224/1")</f>
        <v>K/17/051224/1</v>
      </c>
      <c r="C1936" s="7" t="str">
        <f>IFERROR(__xludf.DUMMYFUNCTION("""COMPUTED_VALUE"""),"M. 14955/ Rajabasa")</f>
        <v>M. 14955/ Rajabasa</v>
      </c>
      <c r="D1936" s="7" t="str">
        <f>IFERROR(__xludf.DUMMYFUNCTION("""COMPUTED_VALUE"""),"Berry")</f>
        <v>Berry</v>
      </c>
      <c r="E1936" s="7" t="str">
        <f>IFERROR(__xludf.DUMMYFUNCTION("""COMPUTED_VALUE"""),"DISERAHKAN")</f>
        <v>DISERAHKAN</v>
      </c>
      <c r="F1936" s="9">
        <f>IFERROR(__xludf.DUMMYFUNCTION("""COMPUTED_VALUE"""),45635.41823318287)</f>
        <v>45635.41823</v>
      </c>
      <c r="G1936" s="7" t="str">
        <f>IFERROR(__xludf.DUMMYFUNCTION("""COMPUTED_VALUE"""),"BN Jual Beli")</f>
        <v>BN Jual Beli</v>
      </c>
      <c r="H1936" s="7">
        <f t="shared" si="1"/>
        <v>818</v>
      </c>
    </row>
    <row r="1937" ht="22.5" customHeight="1">
      <c r="B1937" s="7" t="str">
        <f>IFERROR(__xludf.DUMMYFUNCTION("""COMPUTED_VALUE"""),"K/19/051224/1")</f>
        <v>K/19/051224/1</v>
      </c>
      <c r="C1937" s="7" t="str">
        <f>IFERROR(__xludf.DUMMYFUNCTION("""COMPUTED_VALUE"""),"Nibel 434/ Kemiling Permai")</f>
        <v>Nibel 434/ Kemiling Permai</v>
      </c>
      <c r="D1937" s="7" t="str">
        <f>IFERROR(__xludf.DUMMYFUNCTION("""COMPUTED_VALUE"""),"Berry")</f>
        <v>Berry</v>
      </c>
      <c r="E1937" s="7" t="str">
        <f>IFERROR(__xludf.DUMMYFUNCTION("""COMPUTED_VALUE"""),"DISERAHKAN")</f>
        <v>DISERAHKAN</v>
      </c>
      <c r="F1937" s="9">
        <f>IFERROR(__xludf.DUMMYFUNCTION("""COMPUTED_VALUE"""),45635.41831121528)</f>
        <v>45635.41831</v>
      </c>
      <c r="G1937" s="7" t="str">
        <f>IFERROR(__xludf.DUMMYFUNCTION("""COMPUTED_VALUE"""),"BN JUAL BELI")</f>
        <v>BN JUAL BELI</v>
      </c>
      <c r="H1937" s="7">
        <f t="shared" si="1"/>
        <v>819</v>
      </c>
    </row>
    <row r="1938" ht="22.5" customHeight="1">
      <c r="B1938" s="7" t="str">
        <f>IFERROR(__xludf.DUMMYFUNCTION("""COMPUTED_VALUE"""),"K/20/051224/2")</f>
        <v>K/20/051224/2</v>
      </c>
      <c r="C1938" s="7" t="str">
        <f>IFERROR(__xludf.DUMMYFUNCTION("""COMPUTED_VALUE"""),"M. 11265/ Tanjung Baru")</f>
        <v>M. 11265/ Tanjung Baru</v>
      </c>
      <c r="D1938" s="7" t="str">
        <f>IFERROR(__xludf.DUMMYFUNCTION("""COMPUTED_VALUE"""),"Berry")</f>
        <v>Berry</v>
      </c>
      <c r="E1938" s="7" t="str">
        <f>IFERROR(__xludf.DUMMYFUNCTION("""COMPUTED_VALUE"""),"PROSES")</f>
        <v>PROSES</v>
      </c>
      <c r="F1938" s="9" t="str">
        <f>IFERROR(__xludf.DUMMYFUNCTION("""COMPUTED_VALUE"""),"")</f>
        <v/>
      </c>
      <c r="G1938" s="7" t="str">
        <f>IFERROR(__xludf.DUMMYFUNCTION("""COMPUTED_VALUE"""),"BN Jual Beli")</f>
        <v>BN Jual Beli</v>
      </c>
      <c r="H1938" s="7">
        <f t="shared" si="1"/>
        <v>819</v>
      </c>
    </row>
    <row r="1939" ht="22.5" customHeight="1">
      <c r="B1939" s="7" t="str">
        <f>IFERROR(__xludf.DUMMYFUNCTION("""COMPUTED_VALUE"""),"L/21/051224/1")</f>
        <v>L/21/051224/1</v>
      </c>
      <c r="C1939" s="7" t="str">
        <f>IFERROR(__xludf.DUMMYFUNCTION("""COMPUTED_VALUE"""),"HM 419/KALI BALAU KENCANA")</f>
        <v>HM 419/KALI BALAU KENCANA</v>
      </c>
      <c r="D1939" s="7" t="str">
        <f>IFERROR(__xludf.DUMMYFUNCTION("""COMPUTED_VALUE"""),"Berry")</f>
        <v>Berry</v>
      </c>
      <c r="E1939" s="7" t="str">
        <f>IFERROR(__xludf.DUMMYFUNCTION("""COMPUTED_VALUE"""),"PROSES")</f>
        <v>PROSES</v>
      </c>
      <c r="F1939" s="9" t="str">
        <f>IFERROR(__xludf.DUMMYFUNCTION("""COMPUTED_VALUE"""),"")</f>
        <v/>
      </c>
      <c r="G1939" s="7" t="str">
        <f>IFERROR(__xludf.DUMMYFUNCTION("""COMPUTED_VALUE"""),"ROYA")</f>
        <v>ROYA</v>
      </c>
      <c r="H1939" s="7">
        <f t="shared" si="1"/>
        <v>819</v>
      </c>
    </row>
    <row r="1940" ht="22.5" customHeight="1">
      <c r="B1940" s="7" t="str">
        <f>IFERROR(__xludf.DUMMYFUNCTION("""COMPUTED_VALUE"""),"K/22/051224/4")</f>
        <v>K/22/051224/4</v>
      </c>
      <c r="C1940" s="7" t="str">
        <f>IFERROR(__xludf.DUMMYFUNCTION("""COMPUTED_VALUE"""),"M.9662/KEDAMAIAN")</f>
        <v>M.9662/KEDAMAIAN</v>
      </c>
      <c r="D1940" s="7"/>
      <c r="E1940" s="7"/>
      <c r="F1940" s="9" t="str">
        <f>IFERROR(__xludf.DUMMYFUNCTION("""COMPUTED_VALUE"""),"")</f>
        <v/>
      </c>
      <c r="G1940" s="7" t="str">
        <f>IFERROR(__xludf.DUMMYFUNCTION("""COMPUTED_VALUE"""),"KEWARISAN")</f>
        <v>KEWARISAN</v>
      </c>
      <c r="H1940" s="7">
        <f t="shared" si="1"/>
        <v>819</v>
      </c>
    </row>
    <row r="1941" ht="22.5" customHeight="1">
      <c r="B1941" s="7" t="str">
        <f>IFERROR(__xludf.DUMMYFUNCTION("""COMPUTED_VALUE"""),"K/23/051224/5")</f>
        <v>K/23/051224/5</v>
      </c>
      <c r="C1941" s="7" t="str">
        <f>IFERROR(__xludf.DUMMYFUNCTION("""COMPUTED_VALUE"""),"M.484/KEDAUNG")</f>
        <v>M.484/KEDAUNG</v>
      </c>
      <c r="D1941" s="7"/>
      <c r="E1941" s="7"/>
      <c r="F1941" s="9" t="str">
        <f>IFERROR(__xludf.DUMMYFUNCTION("""COMPUTED_VALUE"""),"")</f>
        <v/>
      </c>
      <c r="G1941" s="7" t="str">
        <f>IFERROR(__xludf.DUMMYFUNCTION("""COMPUTED_VALUE"""),"BN JUAL BELI")</f>
        <v>BN JUAL BELI</v>
      </c>
      <c r="H1941" s="7">
        <f t="shared" si="1"/>
        <v>819</v>
      </c>
    </row>
    <row r="1942" ht="22.5" customHeight="1">
      <c r="B1942" s="7" t="str">
        <f>IFERROR(__xludf.DUMMYFUNCTION("""COMPUTED_VALUE"""),"K/24/051224/1")</f>
        <v>K/24/051224/1</v>
      </c>
      <c r="C1942" s="7" t="str">
        <f>IFERROR(__xludf.DUMMYFUNCTION("""COMPUTED_VALUE"""),"M. 650/ kemiling raya")</f>
        <v>M. 650/ kemiling raya</v>
      </c>
      <c r="D1942" s="7"/>
      <c r="E1942" s="7"/>
      <c r="F1942" s="9" t="str">
        <f>IFERROR(__xludf.DUMMYFUNCTION("""COMPUTED_VALUE"""),"")</f>
        <v/>
      </c>
      <c r="G1942" s="7" t="str">
        <f>IFERROR(__xludf.DUMMYFUNCTION("""COMPUTED_VALUE"""),"HAPUS BPHTB")</f>
        <v>HAPUS BPHTB</v>
      </c>
      <c r="H1942" s="7">
        <f t="shared" si="1"/>
        <v>819</v>
      </c>
    </row>
    <row r="1943" ht="22.5" customHeight="1">
      <c r="B1943" s="7" t="str">
        <f>IFERROR(__xludf.DUMMYFUNCTION("""COMPUTED_VALUE"""),"K/25/051224/1")</f>
        <v>K/25/051224/1</v>
      </c>
      <c r="C1943" s="7" t="str">
        <f>IFERROR(__xludf.DUMMYFUNCTION("""COMPUTED_VALUE"""),"B. 120/ Kupang Kota")</f>
        <v>B. 120/ Kupang Kota</v>
      </c>
      <c r="D1943" s="7"/>
      <c r="E1943" s="7"/>
      <c r="F1943" s="9" t="str">
        <f>IFERROR(__xludf.DUMMYFUNCTION("""COMPUTED_VALUE"""),"")</f>
        <v/>
      </c>
      <c r="G1943" s="7" t="str">
        <f>IFERROR(__xludf.DUMMYFUNCTION("""COMPUTED_VALUE"""),"Permohonan SK")</f>
        <v>Permohonan SK</v>
      </c>
      <c r="H1943" s="7">
        <f t="shared" si="1"/>
        <v>819</v>
      </c>
    </row>
    <row r="1944" ht="22.5" customHeight="1">
      <c r="B1944" s="7" t="str">
        <f>IFERROR(__xludf.DUMMYFUNCTION("""COMPUTED_VALUE"""),"K/26/051224/2")</f>
        <v>K/26/051224/2</v>
      </c>
      <c r="C1944" s="7" t="str">
        <f>IFERROR(__xludf.DUMMYFUNCTION("""COMPUTED_VALUE"""),"B. 121/ Kupang Kota")</f>
        <v>B. 121/ Kupang Kota</v>
      </c>
      <c r="D1944" s="7"/>
      <c r="E1944" s="7"/>
      <c r="F1944" s="9" t="str">
        <f>IFERROR(__xludf.DUMMYFUNCTION("""COMPUTED_VALUE"""),"")</f>
        <v/>
      </c>
      <c r="G1944" s="7" t="str">
        <f>IFERROR(__xludf.DUMMYFUNCTION("""COMPUTED_VALUE"""),"Permohonan SK ")</f>
        <v>Permohonan SK </v>
      </c>
      <c r="H1944" s="7">
        <f t="shared" si="1"/>
        <v>819</v>
      </c>
    </row>
    <row r="1945" ht="22.5" customHeight="1">
      <c r="B1945" s="7" t="str">
        <f>IFERROR(__xludf.DUMMYFUNCTION("""COMPUTED_VALUE"""),"K/27/051224/1")</f>
        <v>K/27/051224/1</v>
      </c>
      <c r="C1945" s="7" t="str">
        <f>IFERROR(__xludf.DUMMYFUNCTION("""COMPUTED_VALUE"""),"Nibel 7907/ Sukarame")</f>
        <v>Nibel 7907/ Sukarame</v>
      </c>
      <c r="D1945" s="7" t="str">
        <f>IFERROR(__xludf.DUMMYFUNCTION("""COMPUTED_VALUE"""),"Berry")</f>
        <v>Berry</v>
      </c>
      <c r="E1945" s="7" t="str">
        <f>IFERROR(__xludf.DUMMYFUNCTION("""COMPUTED_VALUE"""),"DISERAHKAN")</f>
        <v>DISERAHKAN</v>
      </c>
      <c r="F1945" s="9">
        <f>IFERROR(__xludf.DUMMYFUNCTION("""COMPUTED_VALUE"""),45635.41867600694)</f>
        <v>45635.41868</v>
      </c>
      <c r="G1945" s="7" t="str">
        <f>IFERROR(__xludf.DUMMYFUNCTION("""COMPUTED_VALUE"""),"PERUBAHN HAK")</f>
        <v>PERUBAHN HAK</v>
      </c>
      <c r="H1945" s="7">
        <f t="shared" si="1"/>
        <v>820</v>
      </c>
    </row>
    <row r="1946" ht="22.5" customHeight="1">
      <c r="B1946" s="7" t="str">
        <f>IFERROR(__xludf.DUMMYFUNCTION("""COMPUTED_VALUE"""),"K/28/051224/1")</f>
        <v>K/28/051224/1</v>
      </c>
      <c r="C1946" s="7" t="str">
        <f>IFERROR(__xludf.DUMMYFUNCTION("""COMPUTED_VALUE"""),"M.16726/SUKABUMI")</f>
        <v>M.16726/SUKABUMI</v>
      </c>
      <c r="D1946" s="7" t="str">
        <f>IFERROR(__xludf.DUMMYFUNCTION("""COMPUTED_VALUE"""),"Berry")</f>
        <v>Berry</v>
      </c>
      <c r="E1946" s="7" t="str">
        <f>IFERROR(__xludf.DUMMYFUNCTION("""COMPUTED_VALUE"""),"DISERAHKAN")</f>
        <v>DISERAHKAN</v>
      </c>
      <c r="F1946" s="9">
        <f>IFERROR(__xludf.DUMMYFUNCTION("""COMPUTED_VALUE"""),45635.41891591436)</f>
        <v>45635.41892</v>
      </c>
      <c r="G1946" s="7" t="str">
        <f>IFERROR(__xludf.DUMMYFUNCTION("""COMPUTED_VALUE"""),"PTPGT")</f>
        <v>PTPGT</v>
      </c>
      <c r="H1946" s="7">
        <f t="shared" si="1"/>
        <v>821</v>
      </c>
    </row>
    <row r="1947" ht="22.5" customHeight="1">
      <c r="B1947" s="7" t="str">
        <f>IFERROR(__xludf.DUMMYFUNCTION("""COMPUTED_VALUE"""),"K/33/051224/1")</f>
        <v>K/33/051224/1</v>
      </c>
      <c r="C1947" s="7" t="str">
        <f>IFERROR(__xludf.DUMMYFUNCTION("""COMPUTED_VALUE"""),"M.6398/WAY KANDIS")</f>
        <v>M.6398/WAY KANDIS</v>
      </c>
      <c r="D1947" s="7" t="str">
        <f>IFERROR(__xludf.DUMMYFUNCTION("""COMPUTED_VALUE"""),"Berry")</f>
        <v>Berry</v>
      </c>
      <c r="E1947" s="7" t="str">
        <f>IFERROR(__xludf.DUMMYFUNCTION("""COMPUTED_VALUE"""),"DISERAHKAN")</f>
        <v>DISERAHKAN</v>
      </c>
      <c r="F1947" s="9">
        <f>IFERROR(__xludf.DUMMYFUNCTION("""COMPUTED_VALUE"""),45635.41904883102)</f>
        <v>45635.41905</v>
      </c>
      <c r="G1947" s="7" t="str">
        <f>IFERROR(__xludf.DUMMYFUNCTION("""COMPUTED_VALUE"""),"BN JUAL BELI")</f>
        <v>BN JUAL BELI</v>
      </c>
      <c r="H1947" s="7">
        <f t="shared" si="1"/>
        <v>822</v>
      </c>
    </row>
    <row r="1948" ht="22.5" customHeight="1">
      <c r="B1948" s="7" t="str">
        <f>IFERROR(__xludf.DUMMYFUNCTION("""COMPUTED_VALUE"""),"K/34/051224/2")</f>
        <v>K/34/051224/2</v>
      </c>
      <c r="C1948" s="7" t="str">
        <f>IFERROR(__xludf.DUMMYFUNCTION("""COMPUTED_VALUE"""),"M.1980/LABUHAN RATU RAYA")</f>
        <v>M.1980/LABUHAN RATU RAYA</v>
      </c>
      <c r="D1948" s="7" t="str">
        <f>IFERROR(__xludf.DUMMYFUNCTION("""COMPUTED_VALUE"""),"Berry")</f>
        <v>Berry</v>
      </c>
      <c r="E1948" s="7" t="str">
        <f>IFERROR(__xludf.DUMMYFUNCTION("""COMPUTED_VALUE"""),"PROSES")</f>
        <v>PROSES</v>
      </c>
      <c r="F1948" s="9" t="str">
        <f>IFERROR(__xludf.DUMMYFUNCTION("""COMPUTED_VALUE"""),"")</f>
        <v/>
      </c>
      <c r="G1948" s="7" t="str">
        <f>IFERROR(__xludf.DUMMYFUNCTION("""COMPUTED_VALUE"""),"BN JUAL BELI")</f>
        <v>BN JUAL BELI</v>
      </c>
      <c r="H1948" s="7">
        <f t="shared" si="1"/>
        <v>822</v>
      </c>
    </row>
    <row r="1949" ht="22.5" customHeight="1">
      <c r="B1949" s="7" t="str">
        <f>IFERROR(__xludf.DUMMYFUNCTION("""COMPUTED_VALUE"""),"K/35/051224/3")</f>
        <v>K/35/051224/3</v>
      </c>
      <c r="C1949" s="7" t="str">
        <f>IFERROR(__xludf.DUMMYFUNCTION("""COMPUTED_VALUE"""),"M.6262/WAY KANDIS")</f>
        <v>M.6262/WAY KANDIS</v>
      </c>
      <c r="D1949" s="7" t="str">
        <f>IFERROR(__xludf.DUMMYFUNCTION("""COMPUTED_VALUE"""),"Berry")</f>
        <v>Berry</v>
      </c>
      <c r="E1949" s="7" t="str">
        <f>IFERROR(__xludf.DUMMYFUNCTION("""COMPUTED_VALUE"""),"PROSES")</f>
        <v>PROSES</v>
      </c>
      <c r="F1949" s="9" t="str">
        <f>IFERROR(__xludf.DUMMYFUNCTION("""COMPUTED_VALUE"""),"")</f>
        <v/>
      </c>
      <c r="G1949" s="7" t="str">
        <f>IFERROR(__xludf.DUMMYFUNCTION("""COMPUTED_VALUE"""),"BN JUAL BELI")</f>
        <v>BN JUAL BELI</v>
      </c>
      <c r="H1949" s="7">
        <f t="shared" si="1"/>
        <v>822</v>
      </c>
    </row>
    <row r="1950" ht="22.5" customHeight="1">
      <c r="B1950" s="7" t="str">
        <f>IFERROR(__xludf.DUMMYFUNCTION("""COMPUTED_VALUE"""),"K/29/051224/1")</f>
        <v>K/29/051224/1</v>
      </c>
      <c r="C1950" s="7" t="str">
        <f>IFERROR(__xludf.DUMMYFUNCTION("""COMPUTED_VALUE"""),"B. 342/ Rajabasa Pemuka")</f>
        <v>B. 342/ Rajabasa Pemuka</v>
      </c>
      <c r="D1950" s="7" t="str">
        <f>IFERROR(__xludf.DUMMYFUNCTION("""COMPUTED_VALUE"""),"Berry")</f>
        <v>Berry</v>
      </c>
      <c r="E1950" s="7" t="str">
        <f>IFERROR(__xludf.DUMMYFUNCTION("""COMPUTED_VALUE"""),"PROSES")</f>
        <v>PROSES</v>
      </c>
      <c r="F1950" s="9" t="str">
        <f>IFERROR(__xludf.DUMMYFUNCTION("""COMPUTED_VALUE"""),"")</f>
        <v/>
      </c>
      <c r="G1950" s="7" t="str">
        <f>IFERROR(__xludf.DUMMYFUNCTION("""COMPUTED_VALUE"""),"BN Hibah")</f>
        <v>BN Hibah</v>
      </c>
      <c r="H1950" s="7">
        <f t="shared" si="1"/>
        <v>822</v>
      </c>
    </row>
    <row r="1951" ht="22.5" customHeight="1">
      <c r="B1951" s="7" t="str">
        <f>IFERROR(__xludf.DUMMYFUNCTION("""COMPUTED_VALUE"""),"K/30/051224/2")</f>
        <v>K/30/051224/2</v>
      </c>
      <c r="C1951" s="7" t="str">
        <f>IFERROR(__xludf.DUMMYFUNCTION("""COMPUTED_VALUE"""),"B. 334/ Rajabasa pemuka")</f>
        <v>B. 334/ Rajabasa pemuka</v>
      </c>
      <c r="D1951" s="7" t="str">
        <f>IFERROR(__xludf.DUMMYFUNCTION("""COMPUTED_VALUE"""),"Berry")</f>
        <v>Berry</v>
      </c>
      <c r="E1951" s="7" t="str">
        <f>IFERROR(__xludf.DUMMYFUNCTION("""COMPUTED_VALUE"""),"PROSES")</f>
        <v>PROSES</v>
      </c>
      <c r="F1951" s="9" t="str">
        <f>IFERROR(__xludf.DUMMYFUNCTION("""COMPUTED_VALUE"""),"")</f>
        <v/>
      </c>
      <c r="G1951" s="7" t="str">
        <f>IFERROR(__xludf.DUMMYFUNCTION("""COMPUTED_VALUE"""),"BN Hibah")</f>
        <v>BN Hibah</v>
      </c>
      <c r="H1951" s="7">
        <f t="shared" si="1"/>
        <v>822</v>
      </c>
    </row>
    <row r="1952" ht="22.5" customHeight="1">
      <c r="B1952" s="7" t="str">
        <f>IFERROR(__xludf.DUMMYFUNCTION("""COMPUTED_VALUE"""),"K/31/051224/1")</f>
        <v>K/31/051224/1</v>
      </c>
      <c r="C1952" s="7" t="str">
        <f>IFERROR(__xludf.DUMMYFUNCTION("""COMPUTED_VALUE"""),"B. 336/ Rajabasa Pemuka")</f>
        <v>B. 336/ Rajabasa Pemuka</v>
      </c>
      <c r="D1952" s="7" t="str">
        <f>IFERROR(__xludf.DUMMYFUNCTION("""COMPUTED_VALUE"""),"Berry")</f>
        <v>Berry</v>
      </c>
      <c r="E1952" s="7" t="str">
        <f>IFERROR(__xludf.DUMMYFUNCTION("""COMPUTED_VALUE"""),"DISERAHKAN")</f>
        <v>DISERAHKAN</v>
      </c>
      <c r="F1952" s="9">
        <f>IFERROR(__xludf.DUMMYFUNCTION("""COMPUTED_VALUE"""),45635.419738599536)</f>
        <v>45635.41974</v>
      </c>
      <c r="G1952" s="7" t="str">
        <f>IFERROR(__xludf.DUMMYFUNCTION("""COMPUTED_VALUE"""),"BN Hibah")</f>
        <v>BN Hibah</v>
      </c>
      <c r="H1952" s="7">
        <f t="shared" si="1"/>
        <v>823</v>
      </c>
    </row>
    <row r="1953" ht="22.5" customHeight="1">
      <c r="B1953" s="7" t="str">
        <f>IFERROR(__xludf.DUMMYFUNCTION("""COMPUTED_VALUE"""),"K/32/051224/4")</f>
        <v>K/32/051224/4</v>
      </c>
      <c r="C1953" s="7" t="str">
        <f>IFERROR(__xludf.DUMMYFUNCTION("""COMPUTED_VALUE"""),"B. 340/ Rajabasa Pemuka")</f>
        <v>B. 340/ Rajabasa Pemuka</v>
      </c>
      <c r="D1953" s="7" t="str">
        <f>IFERROR(__xludf.DUMMYFUNCTION("""COMPUTED_VALUE"""),"Berry")</f>
        <v>Berry</v>
      </c>
      <c r="E1953" s="7" t="str">
        <f>IFERROR(__xludf.DUMMYFUNCTION("""COMPUTED_VALUE"""),"PROSES")</f>
        <v>PROSES</v>
      </c>
      <c r="F1953" s="9" t="str">
        <f>IFERROR(__xludf.DUMMYFUNCTION("""COMPUTED_VALUE"""),"")</f>
        <v/>
      </c>
      <c r="G1953" s="7" t="str">
        <f>IFERROR(__xludf.DUMMYFUNCTION("""COMPUTED_VALUE"""),"BN Hibah")</f>
        <v>BN Hibah</v>
      </c>
      <c r="H1953" s="7">
        <f t="shared" si="1"/>
        <v>823</v>
      </c>
    </row>
    <row r="1954" ht="22.5" customHeight="1">
      <c r="B1954" s="7" t="str">
        <f>IFERROR(__xludf.DUMMYFUNCTION("""COMPUTED_VALUE"""),"K/36/051224/1")</f>
        <v>K/36/051224/1</v>
      </c>
      <c r="C1954" s="7" t="str">
        <f>IFERROR(__xludf.DUMMYFUNCTION("""COMPUTED_VALUE"""),"M. 13980/ Tanjung Baru")</f>
        <v>M. 13980/ Tanjung Baru</v>
      </c>
      <c r="D1954" s="7" t="str">
        <f>IFERROR(__xludf.DUMMYFUNCTION("""COMPUTED_VALUE"""),"Berry")</f>
        <v>Berry</v>
      </c>
      <c r="E1954" s="7" t="str">
        <f>IFERROR(__xludf.DUMMYFUNCTION("""COMPUTED_VALUE"""),"PROSES")</f>
        <v>PROSES</v>
      </c>
      <c r="F1954" s="9" t="str">
        <f>IFERROR(__xludf.DUMMYFUNCTION("""COMPUTED_VALUE"""),"")</f>
        <v/>
      </c>
      <c r="G1954" s="7" t="str">
        <f>IFERROR(__xludf.DUMMYFUNCTION("""COMPUTED_VALUE"""),"BN JUAL BELI")</f>
        <v>BN JUAL BELI</v>
      </c>
      <c r="H1954" s="7">
        <f t="shared" si="1"/>
        <v>823</v>
      </c>
    </row>
    <row r="1955" ht="22.5" customHeight="1">
      <c r="B1955" s="7" t="str">
        <f>IFERROR(__xludf.DUMMYFUNCTION("""COMPUTED_VALUE"""),"K/1/061224/1")</f>
        <v>K/1/061224/1</v>
      </c>
      <c r="C1955" s="7" t="str">
        <f>IFERROR(__xludf.DUMMYFUNCTION("""COMPUTED_VALUE"""),"M. 4592/ Gunung Terang")</f>
        <v>M. 4592/ Gunung Terang</v>
      </c>
      <c r="D1955" s="7" t="str">
        <f>IFERROR(__xludf.DUMMYFUNCTION("""COMPUTED_VALUE"""),"Berry")</f>
        <v>Berry</v>
      </c>
      <c r="E1955" s="7" t="str">
        <f>IFERROR(__xludf.DUMMYFUNCTION("""COMPUTED_VALUE"""),"DISERAHKAN")</f>
        <v>DISERAHKAN</v>
      </c>
      <c r="F1955" s="9">
        <f>IFERROR(__xludf.DUMMYFUNCTION("""COMPUTED_VALUE"""),45635.67356380787)</f>
        <v>45635.67356</v>
      </c>
      <c r="G1955" s="7" t="str">
        <f>IFERROR(__xludf.DUMMYFUNCTION("""COMPUTED_VALUE"""),"BN JUAL BELI")</f>
        <v>BN JUAL BELI</v>
      </c>
      <c r="H1955" s="7">
        <f t="shared" si="1"/>
        <v>824</v>
      </c>
    </row>
    <row r="1956" ht="22.5" customHeight="1">
      <c r="B1956" s="7" t="str">
        <f>IFERROR(__xludf.DUMMYFUNCTION("""COMPUTED_VALUE"""),"K/2/061224/2")</f>
        <v>K/2/061224/2</v>
      </c>
      <c r="C1956" s="7" t="str">
        <f>IFERROR(__xludf.DUMMYFUNCTION("""COMPUTED_VALUE"""),"M. 4547/ Gunung Terang")</f>
        <v>M. 4547/ Gunung Terang</v>
      </c>
      <c r="D1956" s="7"/>
      <c r="E1956" s="7"/>
      <c r="F1956" s="9" t="str">
        <f>IFERROR(__xludf.DUMMYFUNCTION("""COMPUTED_VALUE"""),"")</f>
        <v/>
      </c>
      <c r="G1956" s="7" t="str">
        <f>IFERROR(__xludf.DUMMYFUNCTION("""COMPUTED_VALUE"""),"BN JUAL BELI")</f>
        <v>BN JUAL BELI</v>
      </c>
      <c r="H1956" s="7">
        <f t="shared" si="1"/>
        <v>824</v>
      </c>
    </row>
    <row r="1957" ht="22.5" customHeight="1">
      <c r="B1957" s="7" t="str">
        <f>IFERROR(__xludf.DUMMYFUNCTION("""COMPUTED_VALUE"""),"K/3/061224/1")</f>
        <v>K/3/061224/1</v>
      </c>
      <c r="C1957" s="7" t="str">
        <f>IFERROR(__xludf.DUMMYFUNCTION("""COMPUTED_VALUE"""),"B. 375/ Sumur Putri")</f>
        <v>B. 375/ Sumur Putri</v>
      </c>
      <c r="D1957" s="7" t="str">
        <f>IFERROR(__xludf.DUMMYFUNCTION("""COMPUTED_VALUE"""),"Berry")</f>
        <v>Berry</v>
      </c>
      <c r="E1957" s="7" t="str">
        <f>IFERROR(__xludf.DUMMYFUNCTION("""COMPUTED_VALUE"""),"PROSES")</f>
        <v>PROSES</v>
      </c>
      <c r="F1957" s="9" t="str">
        <f>IFERROR(__xludf.DUMMYFUNCTION("""COMPUTED_VALUE"""),"")</f>
        <v/>
      </c>
      <c r="G1957" s="7" t="str">
        <f>IFERROR(__xludf.DUMMYFUNCTION("""COMPUTED_VALUE"""),"BN JUAL BELI")</f>
        <v>BN JUAL BELI</v>
      </c>
      <c r="H1957" s="7">
        <f t="shared" si="1"/>
        <v>824</v>
      </c>
    </row>
    <row r="1958" ht="22.5" customHeight="1">
      <c r="B1958" s="7" t="str">
        <f>IFERROR(__xludf.DUMMYFUNCTION("""COMPUTED_VALUE"""),"L/7/061224/1")</f>
        <v>L/7/061224/1</v>
      </c>
      <c r="C1958" s="7" t="str">
        <f>IFERROR(__xludf.DUMMYFUNCTION("""COMPUTED_VALUE"""),"HGB 3875/SUKABUMI")</f>
        <v>HGB 3875/SUKABUMI</v>
      </c>
      <c r="D1958" s="7"/>
      <c r="E1958" s="7"/>
      <c r="F1958" s="9" t="str">
        <f>IFERROR(__xludf.DUMMYFUNCTION("""COMPUTED_VALUE"""),"")</f>
        <v/>
      </c>
      <c r="G1958" s="7" t="str">
        <f>IFERROR(__xludf.DUMMYFUNCTION("""COMPUTED_VALUE"""),"GANDES")</f>
        <v>GANDES</v>
      </c>
      <c r="H1958" s="7">
        <f t="shared" si="1"/>
        <v>824</v>
      </c>
    </row>
    <row r="1959" ht="22.5" customHeight="1">
      <c r="B1959" s="7" t="str">
        <f>IFERROR(__xludf.DUMMYFUNCTION("""COMPUTED_VALUE"""),"K/8/061224/1")</f>
        <v>K/8/061224/1</v>
      </c>
      <c r="C1959" s="7" t="str">
        <f>IFERROR(__xludf.DUMMYFUNCTION("""COMPUTED_VALUE"""),"M. 2874/ Way Laga")</f>
        <v>M. 2874/ Way Laga</v>
      </c>
      <c r="D1959" s="7" t="str">
        <f>IFERROR(__xludf.DUMMYFUNCTION("""COMPUTED_VALUE"""),"Berry")</f>
        <v>Berry</v>
      </c>
      <c r="E1959" s="7" t="str">
        <f>IFERROR(__xludf.DUMMYFUNCTION("""COMPUTED_VALUE"""),"PROSES")</f>
        <v>PROSES</v>
      </c>
      <c r="F1959" s="9" t="str">
        <f>IFERROR(__xludf.DUMMYFUNCTION("""COMPUTED_VALUE"""),"")</f>
        <v/>
      </c>
      <c r="G1959" s="7" t="str">
        <f>IFERROR(__xludf.DUMMYFUNCTION("""COMPUTED_VALUE"""),"BN HIBAH")</f>
        <v>BN HIBAH</v>
      </c>
      <c r="H1959" s="7">
        <f t="shared" si="1"/>
        <v>824</v>
      </c>
    </row>
    <row r="1960" ht="22.5" customHeight="1">
      <c r="B1960" s="7" t="str">
        <f>IFERROR(__xludf.DUMMYFUNCTION("""COMPUTED_VALUE"""),"K/9/061224/1")</f>
        <v>K/9/061224/1</v>
      </c>
      <c r="C1960" s="7" t="str">
        <f>IFERROR(__xludf.DUMMYFUNCTION("""COMPUTED_VALUE"""),"M. 293/ Sukarame Baru")</f>
        <v>M. 293/ Sukarame Baru</v>
      </c>
      <c r="D1960" s="7"/>
      <c r="E1960" s="7"/>
      <c r="F1960" s="9" t="str">
        <f>IFERROR(__xludf.DUMMYFUNCTION("""COMPUTED_VALUE"""),"")</f>
        <v/>
      </c>
      <c r="G1960" s="7" t="str">
        <f>IFERROR(__xludf.DUMMYFUNCTION("""COMPUTED_VALUE"""),"Penghapusan Catatan Perkara")</f>
        <v>Penghapusan Catatan Perkara</v>
      </c>
      <c r="H1960" s="7">
        <f t="shared" si="1"/>
        <v>824</v>
      </c>
    </row>
    <row r="1961" ht="22.5" customHeight="1">
      <c r="B1961" s="7" t="str">
        <f>IFERROR(__xludf.DUMMYFUNCTION("""COMPUTED_VALUE"""),"L/11/061224/1")</f>
        <v>L/11/061224/1</v>
      </c>
      <c r="C1961" s="7" t="str">
        <f>IFERROR(__xludf.DUMMYFUNCTION("""COMPUTED_VALUE"""),"HGB 234/GEDUNG MENENG")</f>
        <v>HGB 234/GEDUNG MENENG</v>
      </c>
      <c r="D1961" s="7" t="str">
        <f>IFERROR(__xludf.DUMMYFUNCTION("""COMPUTED_VALUE"""),"Berry")</f>
        <v>Berry</v>
      </c>
      <c r="E1961" s="7" t="str">
        <f>IFERROR(__xludf.DUMMYFUNCTION("""COMPUTED_VALUE"""),"DISERAHKAN")</f>
        <v>DISERAHKAN</v>
      </c>
      <c r="F1961" s="9">
        <f>IFERROR(__xludf.DUMMYFUNCTION("""COMPUTED_VALUE"""),45639.59654856482)</f>
        <v>45639.59655</v>
      </c>
      <c r="G1961" s="7" t="str">
        <f>IFERROR(__xludf.DUMMYFUNCTION("""COMPUTED_VALUE"""),"ROYA")</f>
        <v>ROYA</v>
      </c>
      <c r="H1961" s="7">
        <f t="shared" si="1"/>
        <v>825</v>
      </c>
    </row>
    <row r="1962" ht="22.5" customHeight="1">
      <c r="B1962" s="7" t="str">
        <f>IFERROR(__xludf.DUMMYFUNCTION("""COMPUTED_VALUE"""),"K/10/061224/1")</f>
        <v>K/10/061224/1</v>
      </c>
      <c r="C1962" s="7" t="str">
        <f>IFERROR(__xludf.DUMMYFUNCTION("""COMPUTED_VALUE"""),"NIBEL B. 8356/SUKARAME BARU")</f>
        <v>NIBEL B. 8356/SUKARAME BARU</v>
      </c>
      <c r="D1962" s="7" t="str">
        <f>IFERROR(__xludf.DUMMYFUNCTION("""COMPUTED_VALUE"""),"Berry")</f>
        <v>Berry</v>
      </c>
      <c r="E1962" s="7" t="str">
        <f>IFERROR(__xludf.DUMMYFUNCTION("""COMPUTED_VALUE"""),"DISERAHKAN")</f>
        <v>DISERAHKAN</v>
      </c>
      <c r="F1962" s="9">
        <f>IFERROR(__xludf.DUMMYFUNCTION("""COMPUTED_VALUE"""),45642.66726564815)</f>
        <v>45642.66727</v>
      </c>
      <c r="G1962" s="7" t="str">
        <f>IFERROR(__xludf.DUMMYFUNCTION("""COMPUTED_VALUE"""),"PENINGKATAN HAK")</f>
        <v>PENINGKATAN HAK</v>
      </c>
      <c r="H1962" s="7">
        <f t="shared" si="1"/>
        <v>826</v>
      </c>
    </row>
    <row r="1963" ht="22.5" customHeight="1">
      <c r="B1963" s="7" t="str">
        <f>IFERROR(__xludf.DUMMYFUNCTION("""COMPUTED_VALUE"""),"K/4/061224/1")</f>
        <v>K/4/061224/1</v>
      </c>
      <c r="C1963" s="7" t="str">
        <f>IFERROR(__xludf.DUMMYFUNCTION("""COMPUTED_VALUE"""),"B. 110/ Bumi Waras")</f>
        <v>B. 110/ Bumi Waras</v>
      </c>
      <c r="D1963" s="7" t="str">
        <f>IFERROR(__xludf.DUMMYFUNCTION("""COMPUTED_VALUE"""),"Berry")</f>
        <v>Berry</v>
      </c>
      <c r="E1963" s="7" t="str">
        <f>IFERROR(__xludf.DUMMYFUNCTION("""COMPUTED_VALUE"""),"PROSES")</f>
        <v>PROSES</v>
      </c>
      <c r="F1963" s="9" t="str">
        <f>IFERROR(__xludf.DUMMYFUNCTION("""COMPUTED_VALUE"""),"")</f>
        <v/>
      </c>
      <c r="G1963" s="7" t="str">
        <f>IFERROR(__xludf.DUMMYFUNCTION("""COMPUTED_VALUE"""),"BN Jual Beli")</f>
        <v>BN Jual Beli</v>
      </c>
      <c r="H1963" s="7">
        <f t="shared" si="1"/>
        <v>826</v>
      </c>
    </row>
    <row r="1964" ht="22.5" customHeight="1">
      <c r="B1964" s="7" t="str">
        <f>IFERROR(__xludf.DUMMYFUNCTION("""COMPUTED_VALUE"""),"K/5/061224/1")</f>
        <v>K/5/061224/1</v>
      </c>
      <c r="C1964" s="7" t="str">
        <f>IFERROR(__xludf.DUMMYFUNCTION("""COMPUTED_VALUE"""),"M. 555/ K B K")</f>
        <v>M. 555/ K B K</v>
      </c>
      <c r="D1964" s="7"/>
      <c r="E1964" s="7"/>
      <c r="F1964" s="9" t="str">
        <f>IFERROR(__xludf.DUMMYFUNCTION("""COMPUTED_VALUE"""),"")</f>
        <v/>
      </c>
      <c r="G1964" s="7" t="str">
        <f>IFERROR(__xludf.DUMMYFUNCTION("""COMPUTED_VALUE"""),"Roya")</f>
        <v>Roya</v>
      </c>
      <c r="H1964" s="7">
        <f t="shared" si="1"/>
        <v>826</v>
      </c>
    </row>
    <row r="1965" ht="22.5" customHeight="1">
      <c r="B1965" s="7" t="str">
        <f>IFERROR(__xludf.DUMMYFUNCTION("""COMPUTED_VALUE"""),"K/6/061224/1")</f>
        <v>K/6/061224/1</v>
      </c>
      <c r="C1965" s="7" t="str">
        <f>IFERROR(__xludf.DUMMYFUNCTION("""COMPUTED_VALUE"""),"M. 12511/ Kedamaian")</f>
        <v>M. 12511/ Kedamaian</v>
      </c>
      <c r="D1965" s="7" t="str">
        <f>IFERROR(__xludf.DUMMYFUNCTION("""COMPUTED_VALUE"""),"Berry")</f>
        <v>Berry</v>
      </c>
      <c r="E1965" s="7" t="str">
        <f>IFERROR(__xludf.DUMMYFUNCTION("""COMPUTED_VALUE"""),"DISERAHKAN")</f>
        <v>DISERAHKAN</v>
      </c>
      <c r="F1965" s="9">
        <f>IFERROR(__xludf.DUMMYFUNCTION("""COMPUTED_VALUE"""),45635.674505636576)</f>
        <v>45635.67451</v>
      </c>
      <c r="G1965" s="7" t="str">
        <f>IFERROR(__xludf.DUMMYFUNCTION("""COMPUTED_VALUE"""),"Roya")</f>
        <v>Roya</v>
      </c>
      <c r="H1965" s="7">
        <f t="shared" si="1"/>
        <v>827</v>
      </c>
    </row>
    <row r="1966" ht="22.5" customHeight="1">
      <c r="B1966" s="7" t="str">
        <f>IFERROR(__xludf.DUMMYFUNCTION("""COMPUTED_VALUE"""),"K/12/061224/1")</f>
        <v>K/12/061224/1</v>
      </c>
      <c r="C1966" s="7" t="str">
        <f>IFERROR(__xludf.DUMMYFUNCTION("""COMPUTED_VALUE"""),"Nibel 2800/ Kali Balau Kencana")</f>
        <v>Nibel 2800/ Kali Balau Kencana</v>
      </c>
      <c r="D1966" s="7"/>
      <c r="E1966" s="7"/>
      <c r="F1966" s="9" t="str">
        <f>IFERROR(__xludf.DUMMYFUNCTION("""COMPUTED_VALUE"""),"")</f>
        <v/>
      </c>
      <c r="G1966" s="7" t="str">
        <f>IFERROR(__xludf.DUMMYFUNCTION("""COMPUTED_VALUE"""),"BN JUAL BELI")</f>
        <v>BN JUAL BELI</v>
      </c>
      <c r="H1966" s="7">
        <f t="shared" si="1"/>
        <v>827</v>
      </c>
    </row>
    <row r="1967" ht="22.5" customHeight="1">
      <c r="B1967" s="7" t="str">
        <f>IFERROR(__xludf.DUMMYFUNCTION("""COMPUTED_VALUE"""),"K/13/061224/1")</f>
        <v>K/13/061224/1</v>
      </c>
      <c r="C1967" s="7" t="str">
        <f>IFERROR(__xludf.DUMMYFUNCTION("""COMPUTED_VALUE"""),"B. 66/ Pengajaran")</f>
        <v>B. 66/ Pengajaran</v>
      </c>
      <c r="D1967" s="7" t="str">
        <f>IFERROR(__xludf.DUMMYFUNCTION("""COMPUTED_VALUE"""),"Berry")</f>
        <v>Berry</v>
      </c>
      <c r="E1967" s="7" t="str">
        <f>IFERROR(__xludf.DUMMYFUNCTION("""COMPUTED_VALUE"""),"DISERAHKAN")</f>
        <v>DISERAHKAN</v>
      </c>
      <c r="F1967" s="9">
        <f>IFERROR(__xludf.DUMMYFUNCTION("""COMPUTED_VALUE"""),45635.6748740162)</f>
        <v>45635.67487</v>
      </c>
      <c r="G1967" s="7" t="str">
        <f>IFERROR(__xludf.DUMMYFUNCTION("""COMPUTED_VALUE"""),"Roya")</f>
        <v>Roya</v>
      </c>
      <c r="H1967" s="7">
        <f t="shared" si="1"/>
        <v>828</v>
      </c>
    </row>
    <row r="1968" ht="22.5" customHeight="1">
      <c r="B1968" s="7" t="str">
        <f>IFERROR(__xludf.DUMMYFUNCTION("""COMPUTED_VALUE"""),"K/14/061224/1")</f>
        <v>K/14/061224/1</v>
      </c>
      <c r="C1968" s="7" t="str">
        <f>IFERROR(__xludf.DUMMYFUNCTION("""COMPUTED_VALUE"""),"M. 3786/ Tanjung Senang")</f>
        <v>M. 3786/ Tanjung Senang</v>
      </c>
      <c r="D1968" s="7"/>
      <c r="E1968" s="7"/>
      <c r="F1968" s="9" t="str">
        <f>IFERROR(__xludf.DUMMYFUNCTION("""COMPUTED_VALUE"""),"")</f>
        <v/>
      </c>
      <c r="G1968" s="7" t="str">
        <f>IFERROR(__xludf.DUMMYFUNCTION("""COMPUTED_VALUE"""),"Gandes")</f>
        <v>Gandes</v>
      </c>
      <c r="H1968" s="7">
        <f t="shared" si="1"/>
        <v>828</v>
      </c>
    </row>
    <row r="1969" ht="22.5" customHeight="1">
      <c r="B1969" s="7" t="str">
        <f>IFERROR(__xludf.DUMMYFUNCTION("""COMPUTED_VALUE"""),"K/15/061224/1")</f>
        <v>K/15/061224/1</v>
      </c>
      <c r="C1969" s="7" t="str">
        <f>IFERROR(__xludf.DUMMYFUNCTION("""COMPUTED_VALUE"""),"M. 2154/ Kedaung")</f>
        <v>M. 2154/ Kedaung</v>
      </c>
      <c r="D1969" s="7"/>
      <c r="E1969" s="7"/>
      <c r="F1969" s="9" t="str">
        <f>IFERROR(__xludf.DUMMYFUNCTION("""COMPUTED_VALUE"""),"")</f>
        <v/>
      </c>
      <c r="G1969" s="7" t="str">
        <f>IFERROR(__xludf.DUMMYFUNCTION("""COMPUTED_VALUE"""),"BN JUAL BELI")</f>
        <v>BN JUAL BELI</v>
      </c>
      <c r="H1969" s="7">
        <f t="shared" si="1"/>
        <v>828</v>
      </c>
    </row>
    <row r="1970" ht="22.5" customHeight="1">
      <c r="B1970" s="7" t="str">
        <f>IFERROR(__xludf.DUMMYFUNCTION("""COMPUTED_VALUE"""),"K/16/061224/1")</f>
        <v>K/16/061224/1</v>
      </c>
      <c r="C1970" s="7" t="str">
        <f>IFERROR(__xludf.DUMMYFUNCTION("""COMPUTED_VALUE"""),"NIBEL M. 6439/KOTA KARANG RAYA")</f>
        <v>NIBEL M. 6439/KOTA KARANG RAYA</v>
      </c>
      <c r="D1970" s="7"/>
      <c r="E1970" s="7"/>
      <c r="F1970" s="9" t="str">
        <f>IFERROR(__xludf.DUMMYFUNCTION("""COMPUTED_VALUE"""),"")</f>
        <v/>
      </c>
      <c r="G1970" s="7" t="str">
        <f>IFERROR(__xludf.DUMMYFUNCTION("""COMPUTED_VALUE"""),"BN JUAL BELI")</f>
        <v>BN JUAL BELI</v>
      </c>
      <c r="H1970" s="7">
        <f t="shared" si="1"/>
        <v>828</v>
      </c>
    </row>
    <row r="1971" ht="22.5" customHeight="1">
      <c r="B1971" s="7" t="str">
        <f>IFERROR(__xludf.DUMMYFUNCTION("""COMPUTED_VALUE"""),"K/17/061224/2")</f>
        <v>K/17/061224/2</v>
      </c>
      <c r="C1971" s="7" t="str">
        <f>IFERROR(__xludf.DUMMYFUNCTION("""COMPUTED_VALUE"""),"NIBEL M. 3952/KOTA KARANG RAYA")</f>
        <v>NIBEL M. 3952/KOTA KARANG RAYA</v>
      </c>
      <c r="D1971" s="7" t="str">
        <f>IFERROR(__xludf.DUMMYFUNCTION("""COMPUTED_VALUE"""),"Berry")</f>
        <v>Berry</v>
      </c>
      <c r="E1971" s="7" t="str">
        <f>IFERROR(__xludf.DUMMYFUNCTION("""COMPUTED_VALUE"""),"DISERAHKAN")</f>
        <v>DISERAHKAN</v>
      </c>
      <c r="F1971" s="9">
        <f>IFERROR(__xludf.DUMMYFUNCTION("""COMPUTED_VALUE"""),45635.675128194445)</f>
        <v>45635.67513</v>
      </c>
      <c r="G1971" s="7" t="str">
        <f>IFERROR(__xludf.DUMMYFUNCTION("""COMPUTED_VALUE"""),"BN JUAL BELI")</f>
        <v>BN JUAL BELI</v>
      </c>
      <c r="H1971" s="7">
        <f t="shared" si="1"/>
        <v>829</v>
      </c>
    </row>
    <row r="1972" ht="22.5" customHeight="1">
      <c r="B1972" s="7" t="str">
        <f>IFERROR(__xludf.DUMMYFUNCTION("""COMPUTED_VALUE"""),"K/18/061224/1")</f>
        <v>K/18/061224/1</v>
      </c>
      <c r="C1972" s="7" t="str">
        <f>IFERROR(__xludf.DUMMYFUNCTION("""COMPUTED_VALUE"""),"M. 139/ Bumi Kedamaian")</f>
        <v>M. 139/ Bumi Kedamaian</v>
      </c>
      <c r="D1972" s="7"/>
      <c r="E1972" s="7"/>
      <c r="F1972" s="9" t="str">
        <f>IFERROR(__xludf.DUMMYFUNCTION("""COMPUTED_VALUE"""),"")</f>
        <v/>
      </c>
      <c r="G1972" s="7" t="str">
        <f>IFERROR(__xludf.DUMMYFUNCTION("""COMPUTED_VALUE"""),"SKPT LELANG")</f>
        <v>SKPT LELANG</v>
      </c>
      <c r="H1972" s="7">
        <f t="shared" si="1"/>
        <v>829</v>
      </c>
    </row>
    <row r="1973" ht="22.5" customHeight="1">
      <c r="B1973" s="7" t="str">
        <f>IFERROR(__xludf.DUMMYFUNCTION("""COMPUTED_VALUE"""),"K/19/061224/1")</f>
        <v>K/19/061224/1</v>
      </c>
      <c r="C1973" s="7" t="str">
        <f>IFERROR(__xludf.DUMMYFUNCTION("""COMPUTED_VALUE"""),"M. 308/ Campang Jaya")</f>
        <v>M. 308/ Campang Jaya</v>
      </c>
      <c r="D1973" s="7" t="str">
        <f>IFERROR(__xludf.DUMMYFUNCTION("""COMPUTED_VALUE"""),"Berry")</f>
        <v>Berry</v>
      </c>
      <c r="E1973" s="7" t="str">
        <f>IFERROR(__xludf.DUMMYFUNCTION("""COMPUTED_VALUE"""),"DISERAHKAN")</f>
        <v>DISERAHKAN</v>
      </c>
      <c r="F1973" s="9">
        <f>IFERROR(__xludf.DUMMYFUNCTION("""COMPUTED_VALUE"""),45635.67529366898)</f>
        <v>45635.67529</v>
      </c>
      <c r="G1973" s="7" t="str">
        <f>IFERROR(__xludf.DUMMYFUNCTION("""COMPUTED_VALUE"""),"BN Jual Beli")</f>
        <v>BN Jual Beli</v>
      </c>
      <c r="H1973" s="7">
        <f t="shared" si="1"/>
        <v>830</v>
      </c>
    </row>
    <row r="1974" ht="22.5" customHeight="1">
      <c r="B1974" s="7" t="str">
        <f>IFERROR(__xludf.DUMMYFUNCTION("""COMPUTED_VALUE"""),"L/20/061224/1")</f>
        <v>L/20/061224/1</v>
      </c>
      <c r="C1974" s="7" t="str">
        <f>IFERROR(__xludf.DUMMYFUNCTION("""COMPUTED_VALUE"""),"HGB 3464/SUKABUMI")</f>
        <v>HGB 3464/SUKABUMI</v>
      </c>
      <c r="D1974" s="7" t="str">
        <f>IFERROR(__xludf.DUMMYFUNCTION("""COMPUTED_VALUE"""),"Berry")</f>
        <v>Berry</v>
      </c>
      <c r="E1974" s="7" t="str">
        <f>IFERROR(__xludf.DUMMYFUNCTION("""COMPUTED_VALUE"""),"PROSES")</f>
        <v>PROSES</v>
      </c>
      <c r="F1974" s="9" t="str">
        <f>IFERROR(__xludf.DUMMYFUNCTION("""COMPUTED_VALUE"""),"")</f>
        <v/>
      </c>
      <c r="G1974" s="7" t="str">
        <f>IFERROR(__xludf.DUMMYFUNCTION("""COMPUTED_VALUE"""),"ASPEK (HGB MATI)")</f>
        <v>ASPEK (HGB MATI)</v>
      </c>
      <c r="H1974" s="7">
        <f t="shared" si="1"/>
        <v>830</v>
      </c>
    </row>
    <row r="1975" ht="22.5" customHeight="1">
      <c r="B1975" s="7" t="str">
        <f>IFERROR(__xludf.DUMMYFUNCTION("""COMPUTED_VALUE"""),"K/23/061224/2")</f>
        <v>K/23/061224/2</v>
      </c>
      <c r="C1975" s="7" t="str">
        <f>IFERROR(__xludf.DUMMYFUNCTION("""COMPUTED_VALUE"""),"M. 5074/ Rajabasa Jaya")</f>
        <v>M. 5074/ Rajabasa Jaya</v>
      </c>
      <c r="D1975" s="7" t="str">
        <f>IFERROR(__xludf.DUMMYFUNCTION("""COMPUTED_VALUE"""),"Berry")</f>
        <v>Berry</v>
      </c>
      <c r="E1975" s="7" t="str">
        <f>IFERROR(__xludf.DUMMYFUNCTION("""COMPUTED_VALUE"""),"PROSES")</f>
        <v>PROSES</v>
      </c>
      <c r="F1975" s="9" t="str">
        <f>IFERROR(__xludf.DUMMYFUNCTION("""COMPUTED_VALUE"""),"")</f>
        <v/>
      </c>
      <c r="G1975" s="7" t="str">
        <f>IFERROR(__xludf.DUMMYFUNCTION("""COMPUTED_VALUE"""),"BN Jual Beli")</f>
        <v>BN Jual Beli</v>
      </c>
      <c r="H1975" s="7">
        <f t="shared" si="1"/>
        <v>830</v>
      </c>
    </row>
    <row r="1976" ht="22.5" customHeight="1">
      <c r="B1976" s="7" t="str">
        <f>IFERROR(__xludf.DUMMYFUNCTION("""COMPUTED_VALUE"""),"K/21/061224/1")</f>
        <v>K/21/061224/1</v>
      </c>
      <c r="C1976" s="7" t="str">
        <f>IFERROR(__xludf.DUMMYFUNCTION("""COMPUTED_VALUE"""),"B. 348/ Rajabasa Pemuka")</f>
        <v>B. 348/ Rajabasa Pemuka</v>
      </c>
      <c r="D1976" s="7"/>
      <c r="E1976" s="7"/>
      <c r="F1976" s="9" t="str">
        <f>IFERROR(__xludf.DUMMYFUNCTION("""COMPUTED_VALUE"""),"")</f>
        <v/>
      </c>
      <c r="G1976" s="7" t="str">
        <f>IFERROR(__xludf.DUMMYFUNCTION("""COMPUTED_VALUE"""),"BN HIBAH")</f>
        <v>BN HIBAH</v>
      </c>
      <c r="H1976" s="7">
        <f t="shared" si="1"/>
        <v>830</v>
      </c>
    </row>
    <row r="1977" ht="22.5" customHeight="1">
      <c r="B1977" s="7" t="str">
        <f>IFERROR(__xludf.DUMMYFUNCTION("""COMPUTED_VALUE"""),"K/22/061224/2")</f>
        <v>K/22/061224/2</v>
      </c>
      <c r="C1977" s="7" t="str">
        <f>IFERROR(__xludf.DUMMYFUNCTION("""COMPUTED_VALUE"""),"B. 337/ Rajabasa Pemuka")</f>
        <v>B. 337/ Rajabasa Pemuka</v>
      </c>
      <c r="D1977" s="7" t="str">
        <f>IFERROR(__xludf.DUMMYFUNCTION("""COMPUTED_VALUE"""),"Berry")</f>
        <v>Berry</v>
      </c>
      <c r="E1977" s="7" t="str">
        <f>IFERROR(__xludf.DUMMYFUNCTION("""COMPUTED_VALUE"""),"DISERAHKAN")</f>
        <v>DISERAHKAN</v>
      </c>
      <c r="F1977" s="9">
        <f>IFERROR(__xludf.DUMMYFUNCTION("""COMPUTED_VALUE"""),45639.59609559028)</f>
        <v>45639.5961</v>
      </c>
      <c r="G1977" s="7" t="str">
        <f>IFERROR(__xludf.DUMMYFUNCTION("""COMPUTED_VALUE"""),"BN JUAL BELI")</f>
        <v>BN JUAL BELI</v>
      </c>
      <c r="H1977" s="7">
        <f t="shared" si="1"/>
        <v>831</v>
      </c>
    </row>
    <row r="1978" ht="22.5" customHeight="1">
      <c r="B1978" s="7" t="str">
        <f>IFERROR(__xludf.DUMMYFUNCTION("""COMPUTED_VALUE"""),"L/24/061224/1")</f>
        <v>L/24/061224/1</v>
      </c>
      <c r="C1978" s="7" t="str">
        <f>IFERROR(__xludf.DUMMYFUNCTION("""COMPUTED_VALUE"""),"LANGKAPURA")</f>
        <v>LANGKAPURA</v>
      </c>
      <c r="D1978" s="7" t="str">
        <f>IFERROR(__xludf.DUMMYFUNCTION("""COMPUTED_VALUE"""),"Berry")</f>
        <v>Berry</v>
      </c>
      <c r="E1978" s="7" t="str">
        <f>IFERROR(__xludf.DUMMYFUNCTION("""COMPUTED_VALUE"""),"DISERAHKAN")</f>
        <v>DISERAHKAN</v>
      </c>
      <c r="F1978" s="9">
        <f>IFERROR(__xludf.DUMMYFUNCTION("""COMPUTED_VALUE"""),45635.675990625)</f>
        <v>45635.67599</v>
      </c>
      <c r="G1978" s="7" t="str">
        <f>IFERROR(__xludf.DUMMYFUNCTION("""COMPUTED_VALUE"""),"ASPEK")</f>
        <v>ASPEK</v>
      </c>
      <c r="H1978" s="7">
        <f t="shared" si="1"/>
        <v>832</v>
      </c>
    </row>
    <row r="1979" ht="22.5" customHeight="1">
      <c r="B1979" s="7" t="str">
        <f>IFERROR(__xludf.DUMMYFUNCTION("""COMPUTED_VALUE"""),"L/26/061224/1")</f>
        <v>L/26/061224/1</v>
      </c>
      <c r="C1979" s="7" t="str">
        <f>IFERROR(__xludf.DUMMYFUNCTION("""COMPUTED_VALUE"""),"HM 11871/RAJABASA")</f>
        <v>HM 11871/RAJABASA</v>
      </c>
      <c r="D1979" s="7" t="str">
        <f>IFERROR(__xludf.DUMMYFUNCTION("""COMPUTED_VALUE"""),"Berry")</f>
        <v>Berry</v>
      </c>
      <c r="E1979" s="7" t="str">
        <f>IFERROR(__xludf.DUMMYFUNCTION("""COMPUTED_VALUE"""),"DISERAHKAN BT")</f>
        <v>DISERAHKAN BT</v>
      </c>
      <c r="F1979" s="9">
        <f>IFERROR(__xludf.DUMMYFUNCTION("""COMPUTED_VALUE"""),45635.67645987269)</f>
        <v>45635.67646</v>
      </c>
      <c r="G1979" s="7" t="str">
        <f>IFERROR(__xludf.DUMMYFUNCTION("""COMPUTED_VALUE"""),"ROYA")</f>
        <v>ROYA</v>
      </c>
      <c r="H1979" s="7">
        <f t="shared" si="1"/>
        <v>832</v>
      </c>
    </row>
    <row r="1980" ht="22.5" customHeight="1">
      <c r="B1980" s="7" t="str">
        <f>IFERROR(__xludf.DUMMYFUNCTION("""COMPUTED_VALUE"""),"K/25/061224/1")</f>
        <v>K/25/061224/1</v>
      </c>
      <c r="C1980" s="7" t="str">
        <f>IFERROR(__xludf.DUMMYFUNCTION("""COMPUTED_VALUE"""),"M. 1399/ Kupang Kota")</f>
        <v>M. 1399/ Kupang Kota</v>
      </c>
      <c r="D1980" s="7"/>
      <c r="E1980" s="7"/>
      <c r="F1980" s="9" t="str">
        <f>IFERROR(__xludf.DUMMYFUNCTION("""COMPUTED_VALUE"""),"")</f>
        <v/>
      </c>
      <c r="G1980" s="7" t="str">
        <f>IFERROR(__xludf.DUMMYFUNCTION("""COMPUTED_VALUE"""),"BN Waris")</f>
        <v>BN Waris</v>
      </c>
      <c r="H1980" s="7">
        <f t="shared" si="1"/>
        <v>832</v>
      </c>
    </row>
    <row r="1981" ht="22.5" customHeight="1">
      <c r="B1981" s="7" t="str">
        <f>IFERROR(__xludf.DUMMYFUNCTION("""COMPUTED_VALUE"""),"K/27/061224/2")</f>
        <v>K/27/061224/2</v>
      </c>
      <c r="C1981" s="7" t="str">
        <f>IFERROR(__xludf.DUMMYFUNCTION("""COMPUTED_VALUE"""),"M. 2829/ Gunung Terang")</f>
        <v>M. 2829/ Gunung Terang</v>
      </c>
      <c r="D1981" s="7" t="str">
        <f>IFERROR(__xludf.DUMMYFUNCTION("""COMPUTED_VALUE"""),"Berry")</f>
        <v>Berry</v>
      </c>
      <c r="E1981" s="7" t="str">
        <f>IFERROR(__xludf.DUMMYFUNCTION("""COMPUTED_VALUE"""),"DISERAHKAN")</f>
        <v>DISERAHKAN</v>
      </c>
      <c r="F1981" s="9">
        <f>IFERROR(__xludf.DUMMYFUNCTION("""COMPUTED_VALUE"""),45642.6985315625)</f>
        <v>45642.69853</v>
      </c>
      <c r="G1981" s="7" t="str">
        <f>IFERROR(__xludf.DUMMYFUNCTION("""COMPUTED_VALUE"""),"BN Waris")</f>
        <v>BN Waris</v>
      </c>
      <c r="H1981" s="7">
        <f t="shared" si="1"/>
        <v>833</v>
      </c>
    </row>
    <row r="1982" ht="22.5" customHeight="1">
      <c r="B1982" s="7" t="str">
        <f>IFERROR(__xludf.DUMMYFUNCTION("""COMPUTED_VALUE"""),"L/28/061224/1")</f>
        <v>L/28/061224/1</v>
      </c>
      <c r="C1982" s="7" t="str">
        <f>IFERROR(__xludf.DUMMYFUNCTION("""COMPUTED_VALUE"""),"NIB 121/JAGABAYA II")</f>
        <v>NIB 121/JAGABAYA II</v>
      </c>
      <c r="D1982" s="7" t="str">
        <f>IFERROR(__xludf.DUMMYFUNCTION("""COMPUTED_VALUE"""),"Berry")</f>
        <v>Berry</v>
      </c>
      <c r="E1982" s="7" t="str">
        <f>IFERROR(__xludf.DUMMYFUNCTION("""COMPUTED_VALUE"""),"DISERAHKAN")</f>
        <v>DISERAHKAN</v>
      </c>
      <c r="F1982" s="9">
        <f>IFERROR(__xludf.DUMMYFUNCTION("""COMPUTED_VALUE"""),45635.676646527776)</f>
        <v>45635.67665</v>
      </c>
      <c r="G1982" s="7" t="str">
        <f>IFERROR(__xludf.DUMMYFUNCTION("""COMPUTED_VALUE"""),"ROYA")</f>
        <v>ROYA</v>
      </c>
      <c r="H1982" s="7">
        <f t="shared" si="1"/>
        <v>834</v>
      </c>
    </row>
    <row r="1983" ht="22.5" customHeight="1">
      <c r="B1983" s="7" t="str">
        <f>IFERROR(__xludf.DUMMYFUNCTION("""COMPUTED_VALUE"""),"K/29/061224/1")</f>
        <v>K/29/061224/1</v>
      </c>
      <c r="C1983" s="7" t="str">
        <f>IFERROR(__xludf.DUMMYFUNCTION("""COMPUTED_VALUE"""),"M. 888/ Sumur Putri")</f>
        <v>M. 888/ Sumur Putri</v>
      </c>
      <c r="D1983" s="7" t="str">
        <f>IFERROR(__xludf.DUMMYFUNCTION("""COMPUTED_VALUE"""),"David")</f>
        <v>David</v>
      </c>
      <c r="E1983" s="7" t="str">
        <f>IFERROR(__xludf.DUMMYFUNCTION("""COMPUTED_VALUE"""),"PROSES")</f>
        <v>PROSES</v>
      </c>
      <c r="F1983" s="9" t="str">
        <f>IFERROR(__xludf.DUMMYFUNCTION("""COMPUTED_VALUE"""),"")</f>
        <v/>
      </c>
      <c r="G1983" s="7" t="str">
        <f>IFERROR(__xludf.DUMMYFUNCTION("""COMPUTED_VALUE"""),"Roya")</f>
        <v>Roya</v>
      </c>
      <c r="H1983" s="7">
        <f t="shared" si="1"/>
        <v>834</v>
      </c>
    </row>
    <row r="1984" ht="22.5" customHeight="1">
      <c r="B1984" s="7" t="str">
        <f>IFERROR(__xludf.DUMMYFUNCTION("""COMPUTED_VALUE"""),"K/30/061224/1")</f>
        <v>K/30/061224/1</v>
      </c>
      <c r="C1984" s="7" t="str">
        <f>IFERROR(__xludf.DUMMYFUNCTION("""COMPUTED_VALUE"""),"M. 1631/ Kuripan")</f>
        <v>M. 1631/ Kuripan</v>
      </c>
      <c r="D1984" s="7"/>
      <c r="E1984" s="7"/>
      <c r="F1984" s="9" t="str">
        <f>IFERROR(__xludf.DUMMYFUNCTION("""COMPUTED_VALUE"""),"")</f>
        <v/>
      </c>
      <c r="G1984" s="7" t="str">
        <f>IFERROR(__xludf.DUMMYFUNCTION("""COMPUTED_VALUE"""),"ROYA")</f>
        <v>ROYA</v>
      </c>
      <c r="H1984" s="7">
        <f t="shared" si="1"/>
        <v>834</v>
      </c>
    </row>
    <row r="1985" ht="22.5" customHeight="1">
      <c r="B1985" s="7" t="str">
        <f>IFERROR(__xludf.DUMMYFUNCTION("""COMPUTED_VALUE"""),"K/31/061224/1")</f>
        <v>K/31/061224/1</v>
      </c>
      <c r="C1985" s="7" t="str">
        <f>IFERROR(__xludf.DUMMYFUNCTION("""COMPUTED_VALUE"""),"M.4740/ SUKADANA HAM")</f>
        <v>M.4740/ SUKADANA HAM</v>
      </c>
      <c r="D1985" s="7" t="str">
        <f>IFERROR(__xludf.DUMMYFUNCTION("""COMPUTED_VALUE"""),"David")</f>
        <v>David</v>
      </c>
      <c r="E1985" s="7" t="str">
        <f>IFERROR(__xludf.DUMMYFUNCTION("""COMPUTED_VALUE"""),"DISERAHKAN")</f>
        <v>DISERAHKAN</v>
      </c>
      <c r="F1985" s="9">
        <f>IFERROR(__xludf.DUMMYFUNCTION("""COMPUTED_VALUE"""),45635.6770703125)</f>
        <v>45635.67707</v>
      </c>
      <c r="G1985" s="7" t="str">
        <f>IFERROR(__xludf.DUMMYFUNCTION("""COMPUTED_VALUE"""),"BN JUAL BELI")</f>
        <v>BN JUAL BELI</v>
      </c>
      <c r="H1985" s="7">
        <f t="shared" si="1"/>
        <v>835</v>
      </c>
    </row>
    <row r="1986" ht="22.5" customHeight="1">
      <c r="B1986" s="7" t="str">
        <f>IFERROR(__xludf.DUMMYFUNCTION("""COMPUTED_VALUE"""),"L/33/061224/1")</f>
        <v>L/33/061224/1</v>
      </c>
      <c r="C1986" s="7" t="str">
        <f>IFERROR(__xludf.DUMMYFUNCTION("""COMPUTED_VALUE"""),"HM 11272/RL")</f>
        <v>HM 11272/RL</v>
      </c>
      <c r="D1986" s="7" t="str">
        <f>IFERROR(__xludf.DUMMYFUNCTION("""COMPUTED_VALUE"""),"David")</f>
        <v>David</v>
      </c>
      <c r="E1986" s="7" t="str">
        <f>IFERROR(__xludf.DUMMYFUNCTION("""COMPUTED_VALUE"""),"DISERAHKAN")</f>
        <v>DISERAHKAN</v>
      </c>
      <c r="F1986" s="9">
        <f>IFERROR(__xludf.DUMMYFUNCTION("""COMPUTED_VALUE"""),45636.68394081018)</f>
        <v>45636.68394</v>
      </c>
      <c r="G1986" s="7" t="str">
        <f>IFERROR(__xludf.DUMMYFUNCTION("""COMPUTED_VALUE"""),"GANDES")</f>
        <v>GANDES</v>
      </c>
      <c r="H1986" s="7">
        <f t="shared" si="1"/>
        <v>836</v>
      </c>
    </row>
    <row r="1987" ht="22.5" customHeight="1">
      <c r="B1987" s="7" t="str">
        <f>IFERROR(__xludf.DUMMYFUNCTION("""COMPUTED_VALUE"""),"K/32/061224/2")</f>
        <v>K/32/061224/2</v>
      </c>
      <c r="C1987" s="7" t="str">
        <f>IFERROR(__xludf.DUMMYFUNCTION("""COMPUTED_VALUE"""),"M.2474/ PINANG JAYA")</f>
        <v>M.2474/ PINANG JAYA</v>
      </c>
      <c r="D1987" s="7" t="str">
        <f>IFERROR(__xludf.DUMMYFUNCTION("""COMPUTED_VALUE"""),"David")</f>
        <v>David</v>
      </c>
      <c r="E1987" s="7" t="str">
        <f>IFERROR(__xludf.DUMMYFUNCTION("""COMPUTED_VALUE"""),"DISERAHKAN")</f>
        <v>DISERAHKAN</v>
      </c>
      <c r="F1987" s="9">
        <f>IFERROR(__xludf.DUMMYFUNCTION("""COMPUTED_VALUE"""),45635.67758815972)</f>
        <v>45635.67759</v>
      </c>
      <c r="G1987" s="7" t="str">
        <f>IFERROR(__xludf.DUMMYFUNCTION("""COMPUTED_VALUE"""),"BN JUAL BELI")</f>
        <v>BN JUAL BELI</v>
      </c>
      <c r="H1987" s="7">
        <f t="shared" si="1"/>
        <v>837</v>
      </c>
    </row>
    <row r="1988" ht="22.5" customHeight="1">
      <c r="B1988" s="7" t="str">
        <f>IFERROR(__xludf.DUMMYFUNCTION("""COMPUTED_VALUE"""),"K/34/061224/1")</f>
        <v>K/34/061224/1</v>
      </c>
      <c r="C1988" s="7" t="str">
        <f>IFERROR(__xludf.DUMMYFUNCTION("""COMPUTED_VALUE"""),"M. 221/ Kampung Baru Raya")</f>
        <v>M. 221/ Kampung Baru Raya</v>
      </c>
      <c r="D1988" s="7"/>
      <c r="E1988" s="7"/>
      <c r="F1988" s="9" t="str">
        <f>IFERROR(__xludf.DUMMYFUNCTION("""COMPUTED_VALUE"""),"")</f>
        <v/>
      </c>
      <c r="G1988" s="7" t="str">
        <f>IFERROR(__xludf.DUMMYFUNCTION("""COMPUTED_VALUE"""),"BN Jual Beli")</f>
        <v>BN Jual Beli</v>
      </c>
      <c r="H1988" s="7">
        <f t="shared" si="1"/>
        <v>837</v>
      </c>
    </row>
    <row r="1989" ht="22.5" customHeight="1">
      <c r="B1989" s="7" t="str">
        <f>IFERROR(__xludf.DUMMYFUNCTION("""COMPUTED_VALUE"""),"K/35/061224/2")</f>
        <v>K/35/061224/2</v>
      </c>
      <c r="C1989" s="7" t="str">
        <f>IFERROR(__xludf.DUMMYFUNCTION("""COMPUTED_VALUE"""),"M. 478/ Korpri Raya")</f>
        <v>M. 478/ Korpri Raya</v>
      </c>
      <c r="D1989" s="7" t="str">
        <f>IFERROR(__xludf.DUMMYFUNCTION("""COMPUTED_VALUE"""),"David")</f>
        <v>David</v>
      </c>
      <c r="E1989" s="7" t="str">
        <f>IFERROR(__xludf.DUMMYFUNCTION("""COMPUTED_VALUE"""),"DISERAHKAN")</f>
        <v>DISERAHKAN</v>
      </c>
      <c r="F1989" s="9">
        <f>IFERROR(__xludf.DUMMYFUNCTION("""COMPUTED_VALUE"""),45642.68845681713)</f>
        <v>45642.68846</v>
      </c>
      <c r="G1989" s="7" t="str">
        <f>IFERROR(__xludf.DUMMYFUNCTION("""COMPUTED_VALUE"""),"BN Jual Beli")</f>
        <v>BN Jual Beli</v>
      </c>
      <c r="H1989" s="7">
        <f t="shared" si="1"/>
        <v>838</v>
      </c>
    </row>
    <row r="1990" ht="22.5" customHeight="1">
      <c r="B1990" s="7" t="str">
        <f>IFERROR(__xludf.DUMMYFUNCTION("""COMPUTED_VALUE"""),"K/36/061224/3")</f>
        <v>K/36/061224/3</v>
      </c>
      <c r="C1990" s="7" t="str">
        <f>IFERROR(__xludf.DUMMYFUNCTION("""COMPUTED_VALUE"""),"Nibel. 373/ Gunung Sulah")</f>
        <v>Nibel. 373/ Gunung Sulah</v>
      </c>
      <c r="D1990" s="7" t="str">
        <f>IFERROR(__xludf.DUMMYFUNCTION("""COMPUTED_VALUE"""),"David")</f>
        <v>David</v>
      </c>
      <c r="E1990" s="7" t="str">
        <f>IFERROR(__xludf.DUMMYFUNCTION("""COMPUTED_VALUE"""),"DISERAHKAN")</f>
        <v>DISERAHKAN</v>
      </c>
      <c r="F1990" s="9">
        <f>IFERROR(__xludf.DUMMYFUNCTION("""COMPUTED_VALUE"""),45635.677899745366)</f>
        <v>45635.6779</v>
      </c>
      <c r="G1990" s="7" t="str">
        <f>IFERROR(__xludf.DUMMYFUNCTION("""COMPUTED_VALUE"""),"BN Jual Beli")</f>
        <v>BN Jual Beli</v>
      </c>
      <c r="H1990" s="7">
        <f t="shared" si="1"/>
        <v>839</v>
      </c>
    </row>
    <row r="1991" ht="22.5" customHeight="1">
      <c r="B1991" s="7" t="str">
        <f>IFERROR(__xludf.DUMMYFUNCTION("""COMPUTED_VALUE"""),"L/38/061224/1")</f>
        <v>L/38/061224/1</v>
      </c>
      <c r="C1991" s="7" t="str">
        <f>IFERROR(__xludf.DUMMYFUNCTION("""COMPUTED_VALUE"""),"HM 135/SUKARAME BARU")</f>
        <v>HM 135/SUKARAME BARU</v>
      </c>
      <c r="D1991" s="7" t="str">
        <f>IFERROR(__xludf.DUMMYFUNCTION("""COMPUTED_VALUE"""),"David")</f>
        <v>David</v>
      </c>
      <c r="E1991" s="7" t="str">
        <f>IFERROR(__xludf.DUMMYFUNCTION("""COMPUTED_VALUE"""),"DISERAHKAN")</f>
        <v>DISERAHKAN</v>
      </c>
      <c r="F1991" s="9">
        <f>IFERROR(__xludf.DUMMYFUNCTION("""COMPUTED_VALUE"""),45635.67794365741)</f>
        <v>45635.67794</v>
      </c>
      <c r="G1991" s="7" t="str">
        <f>IFERROR(__xludf.DUMMYFUNCTION("""COMPUTED_VALUE"""),"ROYA")</f>
        <v>ROYA</v>
      </c>
      <c r="H1991" s="7">
        <f t="shared" si="1"/>
        <v>840</v>
      </c>
    </row>
    <row r="1992" ht="22.5" customHeight="1">
      <c r="B1992" s="7" t="str">
        <f>IFERROR(__xludf.DUMMYFUNCTION("""COMPUTED_VALUE"""),"K/39/061224/1")</f>
        <v>K/39/061224/1</v>
      </c>
      <c r="C1992" s="7" t="str">
        <f>IFERROR(__xludf.DUMMYFUNCTION("""COMPUTED_VALUE"""),"M. 6250/ Way Kandis")</f>
        <v>M. 6250/ Way Kandis</v>
      </c>
      <c r="D1992" s="7" t="str">
        <f>IFERROR(__xludf.DUMMYFUNCTION("""COMPUTED_VALUE"""),"David")</f>
        <v>David</v>
      </c>
      <c r="E1992" s="7" t="str">
        <f>IFERROR(__xludf.DUMMYFUNCTION("""COMPUTED_VALUE"""),"DISERAHKAN")</f>
        <v>DISERAHKAN</v>
      </c>
      <c r="F1992" s="9">
        <f>IFERROR(__xludf.DUMMYFUNCTION("""COMPUTED_VALUE"""),45639.59706071759)</f>
        <v>45639.59706</v>
      </c>
      <c r="G1992" s="7" t="str">
        <f>IFERROR(__xludf.DUMMYFUNCTION("""COMPUTED_VALUE"""),"BN JUAL BELI")</f>
        <v>BN JUAL BELI</v>
      </c>
      <c r="H1992" s="7">
        <f t="shared" si="1"/>
        <v>841</v>
      </c>
    </row>
    <row r="1993" ht="22.5" customHeight="1">
      <c r="B1993" s="7" t="str">
        <f>IFERROR(__xludf.DUMMYFUNCTION("""COMPUTED_VALUE"""),"K/40/061224/2")</f>
        <v>K/40/061224/2</v>
      </c>
      <c r="C1993" s="7" t="str">
        <f>IFERROR(__xludf.DUMMYFUNCTION("""COMPUTED_VALUE"""),"M. 6397/ Way Kandis")</f>
        <v>M. 6397/ Way Kandis</v>
      </c>
      <c r="D1993" s="7"/>
      <c r="E1993" s="7"/>
      <c r="F1993" s="9" t="str">
        <f>IFERROR(__xludf.DUMMYFUNCTION("""COMPUTED_VALUE"""),"")</f>
        <v/>
      </c>
      <c r="G1993" s="7" t="str">
        <f>IFERROR(__xludf.DUMMYFUNCTION("""COMPUTED_VALUE"""),"BN JUAL BELI")</f>
        <v>BN JUAL BELI</v>
      </c>
      <c r="H1993" s="7">
        <f t="shared" si="1"/>
        <v>841</v>
      </c>
    </row>
    <row r="1994" ht="22.5" customHeight="1">
      <c r="B1994" s="7" t="str">
        <f>IFERROR(__xludf.DUMMYFUNCTION("""COMPUTED_VALUE"""),"K/44/061224/1")</f>
        <v>K/44/061224/1</v>
      </c>
      <c r="C1994" s="7" t="str">
        <f>IFERROR(__xludf.DUMMYFUNCTION("""COMPUTED_VALUE"""),"M. 561/ Korpri Raya")</f>
        <v>M. 561/ Korpri Raya</v>
      </c>
      <c r="D1994" s="7" t="str">
        <f>IFERROR(__xludf.DUMMYFUNCTION("""COMPUTED_VALUE"""),"David")</f>
        <v>David</v>
      </c>
      <c r="E1994" s="7" t="str">
        <f>IFERROR(__xludf.DUMMYFUNCTION("""COMPUTED_VALUE"""),"PROSES")</f>
        <v>PROSES</v>
      </c>
      <c r="F1994" s="9" t="str">
        <f>IFERROR(__xludf.DUMMYFUNCTION("""COMPUTED_VALUE"""),"")</f>
        <v/>
      </c>
      <c r="G1994" s="7" t="str">
        <f>IFERROR(__xludf.DUMMYFUNCTION("""COMPUTED_VALUE"""),"BN Jual Beli")</f>
        <v>BN Jual Beli</v>
      </c>
      <c r="H1994" s="7">
        <f t="shared" si="1"/>
        <v>841</v>
      </c>
    </row>
    <row r="1995" ht="22.5" customHeight="1">
      <c r="B1995" s="7" t="str">
        <f>IFERROR(__xludf.DUMMYFUNCTION("""COMPUTED_VALUE"""),"K/41/061224/3")</f>
        <v>K/41/061224/3</v>
      </c>
      <c r="C1995" s="7" t="str">
        <f>IFERROR(__xludf.DUMMYFUNCTION("""COMPUTED_VALUE"""),"Nibel 9158/ Keteguhan")</f>
        <v>Nibel 9158/ Keteguhan</v>
      </c>
      <c r="D1995" s="7"/>
      <c r="E1995" s="7"/>
      <c r="F1995" s="9" t="str">
        <f>IFERROR(__xludf.DUMMYFUNCTION("""COMPUTED_VALUE"""),"")</f>
        <v/>
      </c>
      <c r="G1995" s="7" t="str">
        <f>IFERROR(__xludf.DUMMYFUNCTION("""COMPUTED_VALUE"""),"PERUBAHAN HAK")</f>
        <v>PERUBAHAN HAK</v>
      </c>
      <c r="H1995" s="7">
        <f t="shared" si="1"/>
        <v>841</v>
      </c>
    </row>
    <row r="1996" ht="22.5" customHeight="1">
      <c r="B1996" s="7" t="str">
        <f>IFERROR(__xludf.DUMMYFUNCTION("""COMPUTED_VALUE"""),"L/45/061224/1")</f>
        <v>L/45/061224/1</v>
      </c>
      <c r="C1996" s="7" t="str">
        <f>IFERROR(__xludf.DUMMYFUNCTION("""COMPUTED_VALUE"""),"HGB 840/PWK")</f>
        <v>HGB 840/PWK</v>
      </c>
      <c r="D1996" s="7"/>
      <c r="E1996" s="7"/>
      <c r="F1996" s="9" t="str">
        <f>IFERROR(__xludf.DUMMYFUNCTION("""COMPUTED_VALUE"""),"")</f>
        <v/>
      </c>
      <c r="G1996" s="7" t="str">
        <f>IFERROR(__xludf.DUMMYFUNCTION("""COMPUTED_VALUE"""),"PH")</f>
        <v>PH</v>
      </c>
      <c r="H1996" s="7">
        <f t="shared" si="1"/>
        <v>841</v>
      </c>
    </row>
    <row r="1997" ht="22.5" customHeight="1">
      <c r="B1997" s="7" t="str">
        <f>IFERROR(__xludf.DUMMYFUNCTION("""COMPUTED_VALUE"""),"K/42/061224/4")</f>
        <v>K/42/061224/4</v>
      </c>
      <c r="C1997" s="7" t="str">
        <f>IFERROR(__xludf.DUMMYFUNCTION("""COMPUTED_VALUE"""),"M. 3389/ Sukadanaham")</f>
        <v>M. 3389/ Sukadanaham</v>
      </c>
      <c r="D1997" s="7"/>
      <c r="E1997" s="7"/>
      <c r="F1997" s="9" t="str">
        <f>IFERROR(__xludf.DUMMYFUNCTION("""COMPUTED_VALUE"""),"")</f>
        <v/>
      </c>
      <c r="G1997" s="7" t="str">
        <f>IFERROR(__xludf.DUMMYFUNCTION("""COMPUTED_VALUE"""),"HAPUS BPHTB")</f>
        <v>HAPUS BPHTB</v>
      </c>
      <c r="H1997" s="7">
        <f t="shared" si="1"/>
        <v>841</v>
      </c>
    </row>
    <row r="1998" ht="22.5" customHeight="1">
      <c r="B1998" s="7" t="str">
        <f>IFERROR(__xludf.DUMMYFUNCTION("""COMPUTED_VALUE"""),"K/43/061224/5")</f>
        <v>K/43/061224/5</v>
      </c>
      <c r="C1998" s="7" t="str">
        <f>IFERROR(__xludf.DUMMYFUNCTION("""COMPUTED_VALUE"""),"M. 13925/ Tanjung Baru")</f>
        <v>M. 13925/ Tanjung Baru</v>
      </c>
      <c r="D1998" s="7"/>
      <c r="E1998" s="7"/>
      <c r="F1998" s="9" t="str">
        <f>IFERROR(__xludf.DUMMYFUNCTION("""COMPUTED_VALUE"""),"")</f>
        <v/>
      </c>
      <c r="G1998" s="7" t="str">
        <f>IFERROR(__xludf.DUMMYFUNCTION("""COMPUTED_VALUE"""),"HAPUS BPHTB")</f>
        <v>HAPUS BPHTB</v>
      </c>
      <c r="H1998" s="7">
        <f t="shared" si="1"/>
        <v>841</v>
      </c>
    </row>
    <row r="1999" ht="22.5" customHeight="1">
      <c r="B1999" s="7" t="str">
        <f>IFERROR(__xludf.DUMMYFUNCTION("""COMPUTED_VALUE"""),"K/46/061224/1")</f>
        <v>K/46/061224/1</v>
      </c>
      <c r="C1999" s="7" t="str">
        <f>IFERROR(__xludf.DUMMYFUNCTION("""COMPUTED_VALUE"""),"M.692/KANGKUNG")</f>
        <v>M.692/KANGKUNG</v>
      </c>
      <c r="D1999" s="7" t="str">
        <f>IFERROR(__xludf.DUMMYFUNCTION("""COMPUTED_VALUE"""),"David")</f>
        <v>David</v>
      </c>
      <c r="E1999" s="7" t="str">
        <f>IFERROR(__xludf.DUMMYFUNCTION("""COMPUTED_VALUE"""),"DISERAHKAN")</f>
        <v>DISERAHKAN</v>
      </c>
      <c r="F1999" s="9">
        <f>IFERROR(__xludf.DUMMYFUNCTION("""COMPUTED_VALUE"""),45635.67838157408)</f>
        <v>45635.67838</v>
      </c>
      <c r="G1999" s="7" t="str">
        <f>IFERROR(__xludf.DUMMYFUNCTION("""COMPUTED_VALUE"""),"SKPT LELANG")</f>
        <v>SKPT LELANG</v>
      </c>
      <c r="H1999" s="7">
        <f t="shared" si="1"/>
        <v>842</v>
      </c>
    </row>
    <row r="2000" ht="22.5" customHeight="1">
      <c r="B2000" s="7" t="str">
        <f>IFERROR(__xludf.DUMMYFUNCTION("""COMPUTED_VALUE"""),"K/47/061224/1")</f>
        <v>K/47/061224/1</v>
      </c>
      <c r="C2000" s="7" t="str">
        <f>IFERROR(__xludf.DUMMYFUNCTION("""COMPUTED_VALUE"""),"M. 2323/ SUKARAME II")</f>
        <v>M. 2323/ SUKARAME II</v>
      </c>
      <c r="D2000" s="7" t="str">
        <f>IFERROR(__xludf.DUMMYFUNCTION("""COMPUTED_VALUE"""),"David")</f>
        <v>David</v>
      </c>
      <c r="E2000" s="7" t="str">
        <f>IFERROR(__xludf.DUMMYFUNCTION("""COMPUTED_VALUE"""),"PROSES")</f>
        <v>PROSES</v>
      </c>
      <c r="F2000" s="9" t="str">
        <f>IFERROR(__xludf.DUMMYFUNCTION("""COMPUTED_VALUE"""),"")</f>
        <v/>
      </c>
      <c r="G2000" s="7" t="str">
        <f>IFERROR(__xludf.DUMMYFUNCTION("""COMPUTED_VALUE"""),"PENGECEKKAN")</f>
        <v>PENGECEKKAN</v>
      </c>
      <c r="H2000" s="7">
        <f t="shared" si="1"/>
        <v>842</v>
      </c>
    </row>
    <row r="2001" ht="22.5" customHeight="1">
      <c r="B2001" s="7" t="str">
        <f>IFERROR(__xludf.DUMMYFUNCTION("""COMPUTED_VALUE"""),"K/48/061224/1")</f>
        <v>K/48/061224/1</v>
      </c>
      <c r="C2001" s="7" t="str">
        <f>IFERROR(__xludf.DUMMYFUNCTION("""COMPUTED_VALUE"""),"B. 637/ Kemiling Permai")</f>
        <v>B. 637/ Kemiling Permai</v>
      </c>
      <c r="D2001" s="7" t="str">
        <f>IFERROR(__xludf.DUMMYFUNCTION("""COMPUTED_VALUE"""),"David")</f>
        <v>David</v>
      </c>
      <c r="E2001" s="7" t="str">
        <f>IFERROR(__xludf.DUMMYFUNCTION("""COMPUTED_VALUE"""),"PROSES")</f>
        <v>PROSES</v>
      </c>
      <c r="F2001" s="9" t="str">
        <f>IFERROR(__xludf.DUMMYFUNCTION("""COMPUTED_VALUE"""),"")</f>
        <v/>
      </c>
      <c r="G2001" s="7" t="str">
        <f>IFERROR(__xludf.DUMMYFUNCTION("""COMPUTED_VALUE"""),"BN Jual Beli")</f>
        <v>BN Jual Beli</v>
      </c>
      <c r="H2001" s="7">
        <f t="shared" si="1"/>
        <v>842</v>
      </c>
    </row>
    <row r="2002" ht="22.5" customHeight="1">
      <c r="B2002" s="7" t="str">
        <f>IFERROR(__xludf.DUMMYFUNCTION("""COMPUTED_VALUE"""),"K/49/061224/2")</f>
        <v>K/49/061224/2</v>
      </c>
      <c r="C2002" s="7" t="str">
        <f>IFERROR(__xludf.DUMMYFUNCTION("""COMPUTED_VALUE"""),"B. 1216/ Kemiling Permai")</f>
        <v>B. 1216/ Kemiling Permai</v>
      </c>
      <c r="D2002" s="7"/>
      <c r="E2002" s="7"/>
      <c r="F2002" s="9" t="str">
        <f>IFERROR(__xludf.DUMMYFUNCTION("""COMPUTED_VALUE"""),"")</f>
        <v/>
      </c>
      <c r="G2002" s="7" t="str">
        <f>IFERROR(__xludf.DUMMYFUNCTION("""COMPUTED_VALUE"""),"BN Jual Beli")</f>
        <v>BN Jual Beli</v>
      </c>
      <c r="H2002" s="7">
        <f t="shared" si="1"/>
        <v>842</v>
      </c>
    </row>
    <row r="2003" ht="22.5" customHeight="1">
      <c r="B2003" s="7" t="str">
        <f>IFERROR(__xludf.DUMMYFUNCTION("""COMPUTED_VALUE"""),"L/1/071224/1")</f>
        <v>L/1/071224/1</v>
      </c>
      <c r="C2003" s="7" t="str">
        <f>IFERROR(__xludf.DUMMYFUNCTION("""COMPUTED_VALUE"""),"HGB 5174/BERINGIN RAYA")</f>
        <v>HGB 5174/BERINGIN RAYA</v>
      </c>
      <c r="D2003" s="7"/>
      <c r="E2003" s="7"/>
      <c r="F2003" s="9" t="str">
        <f>IFERROR(__xludf.DUMMYFUNCTION("""COMPUTED_VALUE"""),"")</f>
        <v/>
      </c>
      <c r="G2003" s="7" t="str">
        <f>IFERROR(__xludf.DUMMYFUNCTION("""COMPUTED_VALUE"""),"PH")</f>
        <v>PH</v>
      </c>
      <c r="H2003" s="7">
        <f t="shared" si="1"/>
        <v>842</v>
      </c>
    </row>
    <row r="2004" ht="22.5" customHeight="1">
      <c r="B2004" s="7" t="str">
        <f>IFERROR(__xludf.DUMMYFUNCTION("""COMPUTED_VALUE"""),"L/2/071224/1")</f>
        <v>L/2/071224/1</v>
      </c>
      <c r="C2004" s="7" t="str">
        <f>IFERROR(__xludf.DUMMYFUNCTION("""COMPUTED_VALUE"""),"HM 10313/SUKABUMI")</f>
        <v>HM 10313/SUKABUMI</v>
      </c>
      <c r="D2004" s="7"/>
      <c r="E2004" s="7"/>
      <c r="F2004" s="9" t="str">
        <f>IFERROR(__xludf.DUMMYFUNCTION("""COMPUTED_VALUE"""),"")</f>
        <v/>
      </c>
      <c r="G2004" s="7" t="str">
        <f>IFERROR(__xludf.DUMMYFUNCTION("""COMPUTED_VALUE"""),"PTPGT")</f>
        <v>PTPGT</v>
      </c>
      <c r="H2004" s="7">
        <f t="shared" si="1"/>
        <v>842</v>
      </c>
    </row>
    <row r="2005" ht="22.5" customHeight="1">
      <c r="B2005" s="7" t="str">
        <f>IFERROR(__xludf.DUMMYFUNCTION("""COMPUTED_VALUE"""),"K/1/091224/1")</f>
        <v>K/1/091224/1</v>
      </c>
      <c r="C2005" s="7" t="str">
        <f>IFERROR(__xludf.DUMMYFUNCTION("""COMPUTED_VALUE"""),"Nibel. B. 2254/ Sukabumi")</f>
        <v>Nibel. B. 2254/ Sukabumi</v>
      </c>
      <c r="D2005" s="7" t="str">
        <f>IFERROR(__xludf.DUMMYFUNCTION("""COMPUTED_VALUE"""),"David")</f>
        <v>David</v>
      </c>
      <c r="E2005" s="7" t="str">
        <f>IFERROR(__xludf.DUMMYFUNCTION("""COMPUTED_VALUE"""),"DISERAHKAN")</f>
        <v>DISERAHKAN</v>
      </c>
      <c r="F2005" s="9">
        <f>IFERROR(__xludf.DUMMYFUNCTION("""COMPUTED_VALUE"""),45635.67911729167)</f>
        <v>45635.67912</v>
      </c>
      <c r="G2005" s="7" t="str">
        <f>IFERROR(__xludf.DUMMYFUNCTION("""COMPUTED_VALUE"""),"PTPGT (Pembaharuan)")</f>
        <v>PTPGT (Pembaharuan)</v>
      </c>
      <c r="H2005" s="7">
        <f t="shared" si="1"/>
        <v>843</v>
      </c>
    </row>
    <row r="2006" ht="22.5" customHeight="1">
      <c r="B2006" s="7" t="str">
        <f>IFERROR(__xludf.DUMMYFUNCTION("""COMPUTED_VALUE"""),"K/2/091224/1")</f>
        <v>K/2/091224/1</v>
      </c>
      <c r="C2006" s="7" t="str">
        <f>IFERROR(__xludf.DUMMYFUNCTION("""COMPUTED_VALUE"""),"M. 1476/ Panjang Utara")</f>
        <v>M. 1476/ Panjang Utara</v>
      </c>
      <c r="D2006" s="7" t="str">
        <f>IFERROR(__xludf.DUMMYFUNCTION("""COMPUTED_VALUE"""),"David")</f>
        <v>David</v>
      </c>
      <c r="E2006" s="7" t="str">
        <f>IFERROR(__xludf.DUMMYFUNCTION("""COMPUTED_VALUE"""),"PROSES")</f>
        <v>PROSES</v>
      </c>
      <c r="F2006" s="9" t="str">
        <f>IFERROR(__xludf.DUMMYFUNCTION("""COMPUTED_VALUE"""),"")</f>
        <v/>
      </c>
      <c r="G2006" s="7" t="str">
        <f>IFERROR(__xludf.DUMMYFUNCTION("""COMPUTED_VALUE"""),"CEKPLOT SERTIPIKAT HILANG")</f>
        <v>CEKPLOT SERTIPIKAT HILANG</v>
      </c>
      <c r="H2006" s="7">
        <f t="shared" si="1"/>
        <v>843</v>
      </c>
    </row>
    <row r="2007" ht="22.5" customHeight="1">
      <c r="B2007" s="7" t="str">
        <f>IFERROR(__xludf.DUMMYFUNCTION("""COMPUTED_VALUE"""),"K/3/091224/1")</f>
        <v>K/3/091224/1</v>
      </c>
      <c r="C2007" s="7" t="str">
        <f>IFERROR(__xludf.DUMMYFUNCTION("""COMPUTED_VALUE"""),"M.19454/SUKARAME")</f>
        <v>M.19454/SUKARAME</v>
      </c>
      <c r="D2007" s="7" t="str">
        <f>IFERROR(__xludf.DUMMYFUNCTION("""COMPUTED_VALUE"""),"David")</f>
        <v>David</v>
      </c>
      <c r="E2007" s="7" t="str">
        <f>IFERROR(__xludf.DUMMYFUNCTION("""COMPUTED_VALUE"""),"PROSES")</f>
        <v>PROSES</v>
      </c>
      <c r="F2007" s="9" t="str">
        <f>IFERROR(__xludf.DUMMYFUNCTION("""COMPUTED_VALUE"""),"")</f>
        <v/>
      </c>
      <c r="G2007" s="7" t="str">
        <f>IFERROR(__xludf.DUMMYFUNCTION("""COMPUTED_VALUE"""),"KEWARISAN")</f>
        <v>KEWARISAN</v>
      </c>
      <c r="H2007" s="7">
        <f t="shared" si="1"/>
        <v>843</v>
      </c>
    </row>
    <row r="2008" ht="22.5" customHeight="1">
      <c r="B2008" s="7" t="str">
        <f>IFERROR(__xludf.DUMMYFUNCTION("""COMPUTED_VALUE"""),"L/4/091224/1")</f>
        <v>L/4/091224/1</v>
      </c>
      <c r="C2008" s="7" t="str">
        <f>IFERROR(__xludf.DUMMYFUNCTION("""COMPUTED_VALUE"""),"HM 1117/SUKARAME II")</f>
        <v>HM 1117/SUKARAME II</v>
      </c>
      <c r="D2008" s="7"/>
      <c r="E2008" s="7" t="str">
        <f>IFERROR(__xludf.DUMMYFUNCTION("""COMPUTED_VALUE"""),"DISERAHKAN")</f>
        <v>DISERAHKAN</v>
      </c>
      <c r="F2008" s="9">
        <f>IFERROR(__xludf.DUMMYFUNCTION("""COMPUTED_VALUE"""),45636.41406384259)</f>
        <v>45636.41406</v>
      </c>
      <c r="G2008" s="7" t="str">
        <f>IFERROR(__xludf.DUMMYFUNCTION("""COMPUTED_VALUE"""),"PENATAAN BATAS")</f>
        <v>PENATAAN BATAS</v>
      </c>
      <c r="H2008" s="7">
        <f t="shared" si="1"/>
        <v>844</v>
      </c>
    </row>
    <row r="2009" ht="22.5" customHeight="1">
      <c r="B2009" s="7" t="str">
        <f>IFERROR(__xludf.DUMMYFUNCTION("""COMPUTED_VALUE"""),"K/5/091224/1")</f>
        <v>K/5/091224/1</v>
      </c>
      <c r="C2009" s="7" t="str">
        <f>IFERROR(__xludf.DUMMYFUNCTION("""COMPUTED_VALUE"""),"M. 5161/ Rajabasa Jaya")</f>
        <v>M. 5161/ Rajabasa Jaya</v>
      </c>
      <c r="D2009" s="7" t="str">
        <f>IFERROR(__xludf.DUMMYFUNCTION("""COMPUTED_VALUE"""),"David")</f>
        <v>David</v>
      </c>
      <c r="E2009" s="7" t="str">
        <f>IFERROR(__xludf.DUMMYFUNCTION("""COMPUTED_VALUE"""),"DISERAHKAN")</f>
        <v>DISERAHKAN</v>
      </c>
      <c r="F2009" s="9">
        <f>IFERROR(__xludf.DUMMYFUNCTION("""COMPUTED_VALUE"""),45635.67947184028)</f>
        <v>45635.67947</v>
      </c>
      <c r="G2009" s="7" t="str">
        <f>IFERROR(__xludf.DUMMYFUNCTION("""COMPUTED_VALUE"""),"BN Waris")</f>
        <v>BN Waris</v>
      </c>
      <c r="H2009" s="7">
        <f t="shared" si="1"/>
        <v>845</v>
      </c>
    </row>
    <row r="2010" ht="22.5" customHeight="1">
      <c r="B2010" s="7" t="str">
        <f>IFERROR(__xludf.DUMMYFUNCTION("""COMPUTED_VALUE"""),"K/6/091224/1")</f>
        <v>K/6/091224/1</v>
      </c>
      <c r="C2010" s="7" t="str">
        <f>IFERROR(__xludf.DUMMYFUNCTION("""COMPUTED_VALUE"""),"M. 13970/ Kedamaian")</f>
        <v>M. 13970/ Kedamaian</v>
      </c>
      <c r="D2010" s="7"/>
      <c r="E2010" s="7"/>
      <c r="F2010" s="9" t="str">
        <f>IFERROR(__xludf.DUMMYFUNCTION("""COMPUTED_VALUE"""),"")</f>
        <v/>
      </c>
      <c r="G2010" s="7" t="str">
        <f>IFERROR(__xludf.DUMMYFUNCTION("""COMPUTED_VALUE"""),"Roya")</f>
        <v>Roya</v>
      </c>
      <c r="H2010" s="7">
        <f t="shared" si="1"/>
        <v>845</v>
      </c>
    </row>
    <row r="2011" ht="22.5" customHeight="1">
      <c r="B2011" s="7" t="str">
        <f>IFERROR(__xludf.DUMMYFUNCTION("""COMPUTED_VALUE"""),"K/8/091224/1")</f>
        <v>K/8/091224/1</v>
      </c>
      <c r="C2011" s="7" t="str">
        <f>IFERROR(__xludf.DUMMYFUNCTION("""COMPUTED_VALUE"""),"B. 917/ Beringin Jaya")</f>
        <v>B. 917/ Beringin Jaya</v>
      </c>
      <c r="D2011" s="7" t="str">
        <f>IFERROR(__xludf.DUMMYFUNCTION("""COMPUTED_VALUE"""),"David")</f>
        <v>David</v>
      </c>
      <c r="E2011" s="7" t="str">
        <f>IFERROR(__xludf.DUMMYFUNCTION("""COMPUTED_VALUE"""),"DISERAHKAN")</f>
        <v>DISERAHKAN</v>
      </c>
      <c r="F2011" s="9">
        <f>IFERROR(__xludf.DUMMYFUNCTION("""COMPUTED_VALUE"""),45635.679584791666)</f>
        <v>45635.67958</v>
      </c>
      <c r="G2011" s="7" t="str">
        <f>IFERROR(__xludf.DUMMYFUNCTION("""COMPUTED_VALUE"""),"BN JUAL BELI")</f>
        <v>BN JUAL BELI</v>
      </c>
      <c r="H2011" s="7">
        <f t="shared" si="1"/>
        <v>846</v>
      </c>
    </row>
    <row r="2012" ht="22.5" customHeight="1">
      <c r="B2012" s="7" t="str">
        <f>IFERROR(__xludf.DUMMYFUNCTION("""COMPUTED_VALUE"""),"K/7/091224/1")</f>
        <v>K/7/091224/1</v>
      </c>
      <c r="C2012" s="7" t="str">
        <f>IFERROR(__xludf.DUMMYFUNCTION("""COMPUTED_VALUE"""),"M. 1384/ Rajabasa Raya")</f>
        <v>M. 1384/ Rajabasa Raya</v>
      </c>
      <c r="D2012" s="7" t="str">
        <f>IFERROR(__xludf.DUMMYFUNCTION("""COMPUTED_VALUE"""),"Berry")</f>
        <v>Berry</v>
      </c>
      <c r="E2012" s="7" t="str">
        <f>IFERROR(__xludf.DUMMYFUNCTION("""COMPUTED_VALUE"""),"DISERAHKAN")</f>
        <v>DISERAHKAN</v>
      </c>
      <c r="F2012" s="9">
        <f>IFERROR(__xludf.DUMMYFUNCTION("""COMPUTED_VALUE"""),45636.679740775464)</f>
        <v>45636.67974</v>
      </c>
      <c r="G2012" s="7" t="str">
        <f>IFERROR(__xludf.DUMMYFUNCTION("""COMPUTED_VALUE"""),"Hapus BPHTB")</f>
        <v>Hapus BPHTB</v>
      </c>
      <c r="H2012" s="7">
        <f t="shared" si="1"/>
        <v>847</v>
      </c>
    </row>
    <row r="2013" ht="22.5" customHeight="1">
      <c r="B2013" s="7" t="str">
        <f>IFERROR(__xludf.DUMMYFUNCTION("""COMPUTED_VALUE"""),"K/9/091224/2")</f>
        <v>K/9/091224/2</v>
      </c>
      <c r="C2013" s="7" t="str">
        <f>IFERROR(__xludf.DUMMYFUNCTION("""COMPUTED_VALUE"""),"B. 472/ Sumber Agung")</f>
        <v>B. 472/ Sumber Agung</v>
      </c>
      <c r="D2013" s="7"/>
      <c r="E2013" s="7"/>
      <c r="F2013" s="9" t="str">
        <f>IFERROR(__xludf.DUMMYFUNCTION("""COMPUTED_VALUE"""),"")</f>
        <v/>
      </c>
      <c r="G2013" s="7" t="str">
        <f>IFERROR(__xludf.DUMMYFUNCTION("""COMPUTED_VALUE"""),"BN JUAL BELI")</f>
        <v>BN JUAL BELI</v>
      </c>
      <c r="H2013" s="7">
        <f t="shared" si="1"/>
        <v>847</v>
      </c>
    </row>
    <row r="2014" ht="22.5" customHeight="1">
      <c r="B2014" s="7" t="str">
        <f>IFERROR(__xludf.DUMMYFUNCTION("""COMPUTED_VALUE"""),"L/10/091224/1")</f>
        <v>L/10/091224/1</v>
      </c>
      <c r="C2014" s="7" t="str">
        <f>IFERROR(__xludf.DUMMYFUNCTION("""COMPUTED_VALUE"""),"HM 1146/GEDONG AIR")</f>
        <v>HM 1146/GEDONG AIR</v>
      </c>
      <c r="D2014" s="7"/>
      <c r="E2014" s="7"/>
      <c r="F2014" s="9" t="str">
        <f>IFERROR(__xludf.DUMMYFUNCTION("""COMPUTED_VALUE"""),"")</f>
        <v/>
      </c>
      <c r="G2014" s="7" t="str">
        <f>IFERROR(__xludf.DUMMYFUNCTION("""COMPUTED_VALUE"""),"BN WARIS")</f>
        <v>BN WARIS</v>
      </c>
      <c r="H2014" s="7">
        <f t="shared" si="1"/>
        <v>847</v>
      </c>
    </row>
    <row r="2015" ht="22.5" customHeight="1">
      <c r="B2015" s="7" t="str">
        <f>IFERROR(__xludf.DUMMYFUNCTION("""COMPUTED_VALUE"""),"L/12/091224/1")</f>
        <v>L/12/091224/1</v>
      </c>
      <c r="C2015" s="7" t="str">
        <f>IFERROR(__xludf.DUMMYFUNCTION("""COMPUTED_VALUE"""),"HM 1146/GEDONG AIR")</f>
        <v>HM 1146/GEDONG AIR</v>
      </c>
      <c r="D2015" s="7" t="str">
        <f>IFERROR(__xludf.DUMMYFUNCTION("""COMPUTED_VALUE"""),"Berry")</f>
        <v>Berry</v>
      </c>
      <c r="E2015" s="7" t="str">
        <f>IFERROR(__xludf.DUMMYFUNCTION("""COMPUTED_VALUE"""),"DISERAHKAN")</f>
        <v>DISERAHKAN</v>
      </c>
      <c r="F2015" s="9">
        <f>IFERROR(__xludf.DUMMYFUNCTION("""COMPUTED_VALUE"""),45636.68016739583)</f>
        <v>45636.68017</v>
      </c>
      <c r="G2015" s="7" t="str">
        <f>IFERROR(__xludf.DUMMYFUNCTION("""COMPUTED_VALUE"""),"BN WARIS")</f>
        <v>BN WARIS</v>
      </c>
      <c r="H2015" s="7">
        <f t="shared" si="1"/>
        <v>848</v>
      </c>
    </row>
    <row r="2016" ht="22.5" customHeight="1">
      <c r="B2016" s="7" t="str">
        <f>IFERROR(__xludf.DUMMYFUNCTION("""COMPUTED_VALUE"""),"K/11/091224/1")</f>
        <v>K/11/091224/1</v>
      </c>
      <c r="C2016" s="7" t="str">
        <f>IFERROR(__xludf.DUMMYFUNCTION("""COMPUTED_VALUE"""),"M.15189/SUKARAME")</f>
        <v>M.15189/SUKARAME</v>
      </c>
      <c r="D2016" s="7" t="str">
        <f>IFERROR(__xludf.DUMMYFUNCTION("""COMPUTED_VALUE"""),"Berry")</f>
        <v>Berry</v>
      </c>
      <c r="E2016" s="7" t="str">
        <f>IFERROR(__xludf.DUMMYFUNCTION("""COMPUTED_VALUE"""),"PROSES")</f>
        <v>PROSES</v>
      </c>
      <c r="F2016" s="9" t="str">
        <f>IFERROR(__xludf.DUMMYFUNCTION("""COMPUTED_VALUE"""),"")</f>
        <v/>
      </c>
      <c r="G2016" s="7" t="str">
        <f>IFERROR(__xludf.DUMMYFUNCTION("""COMPUTED_VALUE"""),"GANDES")</f>
        <v>GANDES</v>
      </c>
      <c r="H2016" s="7">
        <f t="shared" si="1"/>
        <v>848</v>
      </c>
    </row>
    <row r="2017" ht="22.5" customHeight="1">
      <c r="B2017" s="7" t="str">
        <f>IFERROR(__xludf.DUMMYFUNCTION("""COMPUTED_VALUE"""),"K/16/091224/4")</f>
        <v>K/16/091224/4</v>
      </c>
      <c r="C2017" s="7" t="str">
        <f>IFERROR(__xludf.DUMMYFUNCTION("""COMPUTED_VALUE"""),"M. 1057/ PWH")</f>
        <v>M. 1057/ PWH</v>
      </c>
      <c r="D2017" s="7" t="str">
        <f>IFERROR(__xludf.DUMMYFUNCTION("""COMPUTED_VALUE"""),"Berry")</f>
        <v>Berry</v>
      </c>
      <c r="E2017" s="7" t="str">
        <f>IFERROR(__xludf.DUMMYFUNCTION("""COMPUTED_VALUE"""),"DISERAHKAN")</f>
        <v>DISERAHKAN</v>
      </c>
      <c r="F2017" s="9">
        <f>IFERROR(__xludf.DUMMYFUNCTION("""COMPUTED_VALUE"""),45636.680499699076)</f>
        <v>45636.6805</v>
      </c>
      <c r="G2017" s="7" t="str">
        <f>IFERROR(__xludf.DUMMYFUNCTION("""COMPUTED_VALUE"""),"Roya")</f>
        <v>Roya</v>
      </c>
      <c r="H2017" s="7">
        <f t="shared" si="1"/>
        <v>849</v>
      </c>
    </row>
    <row r="2018" ht="22.5" customHeight="1">
      <c r="B2018" s="7" t="str">
        <f>IFERROR(__xludf.DUMMYFUNCTION("""COMPUTED_VALUE"""),"L/17/091224/1")</f>
        <v>L/17/091224/1</v>
      </c>
      <c r="C2018" s="7" t="str">
        <f>IFERROR(__xludf.DUMMYFUNCTION("""COMPUTED_VALUE"""),"HM 926/SS")</f>
        <v>HM 926/SS</v>
      </c>
      <c r="D2018" s="7" t="str">
        <f>IFERROR(__xludf.DUMMYFUNCTION("""COMPUTED_VALUE"""),"Berry")</f>
        <v>Berry</v>
      </c>
      <c r="E2018" s="7" t="str">
        <f>IFERROR(__xludf.DUMMYFUNCTION("""COMPUTED_VALUE"""),"DISERAHKAN")</f>
        <v>DISERAHKAN</v>
      </c>
      <c r="F2018" s="9">
        <f>IFERROR(__xludf.DUMMYFUNCTION("""COMPUTED_VALUE"""),45636.680475636575)</f>
        <v>45636.68048</v>
      </c>
      <c r="G2018" s="7" t="str">
        <f>IFERROR(__xludf.DUMMYFUNCTION("""COMPUTED_VALUE"""),"PENATAAN BATAS")</f>
        <v>PENATAAN BATAS</v>
      </c>
      <c r="H2018" s="7">
        <f t="shared" si="1"/>
        <v>850</v>
      </c>
    </row>
    <row r="2019" ht="22.5" customHeight="1">
      <c r="B2019" s="7" t="str">
        <f>IFERROR(__xludf.DUMMYFUNCTION("""COMPUTED_VALUE"""),"K/15/091224/3")</f>
        <v>K/15/091224/3</v>
      </c>
      <c r="C2019" s="7" t="str">
        <f>IFERROR(__xludf.DUMMYFUNCTION("""COMPUTED_VALUE"""),"M. 968/ PWH")</f>
        <v>M. 968/ PWH</v>
      </c>
      <c r="D2019" s="7" t="str">
        <f>IFERROR(__xludf.DUMMYFUNCTION("""COMPUTED_VALUE"""),"Berry")</f>
        <v>Berry</v>
      </c>
      <c r="E2019" s="7" t="str">
        <f>IFERROR(__xludf.DUMMYFUNCTION("""COMPUTED_VALUE"""),"PROSES")</f>
        <v>PROSES</v>
      </c>
      <c r="F2019" s="9" t="str">
        <f>IFERROR(__xludf.DUMMYFUNCTION("""COMPUTED_VALUE"""),"")</f>
        <v/>
      </c>
      <c r="G2019" s="7" t="str">
        <f>IFERROR(__xludf.DUMMYFUNCTION("""COMPUTED_VALUE"""),"Roya")</f>
        <v>Roya</v>
      </c>
      <c r="H2019" s="7">
        <f t="shared" si="1"/>
        <v>850</v>
      </c>
    </row>
    <row r="2020" ht="22.5" customHeight="1">
      <c r="B2020" s="7" t="str">
        <f>IFERROR(__xludf.DUMMYFUNCTION("""COMPUTED_VALUE"""),"K/14/091224/2")</f>
        <v>K/14/091224/2</v>
      </c>
      <c r="C2020" s="7" t="str">
        <f>IFERROR(__xludf.DUMMYFUNCTION("""COMPUTED_VALUE"""),"M. 839/ PWH")</f>
        <v>M. 839/ PWH</v>
      </c>
      <c r="D2020" s="7"/>
      <c r="E2020" s="7"/>
      <c r="F2020" s="9" t="str">
        <f>IFERROR(__xludf.DUMMYFUNCTION("""COMPUTED_VALUE"""),"")</f>
        <v/>
      </c>
      <c r="G2020" s="7" t="str">
        <f>IFERROR(__xludf.DUMMYFUNCTION("""COMPUTED_VALUE"""),"Roya")</f>
        <v>Roya</v>
      </c>
      <c r="H2020" s="7">
        <f t="shared" si="1"/>
        <v>850</v>
      </c>
    </row>
    <row r="2021" ht="22.5" customHeight="1">
      <c r="B2021" s="7" t="str">
        <f>IFERROR(__xludf.DUMMYFUNCTION("""COMPUTED_VALUE"""),"K/13/091224/1")</f>
        <v>K/13/091224/1</v>
      </c>
      <c r="C2021" s="7" t="str">
        <f>IFERROR(__xludf.DUMMYFUNCTION("""COMPUTED_VALUE"""),"M. 262/ PWH")</f>
        <v>M. 262/ PWH</v>
      </c>
      <c r="D2021" s="7"/>
      <c r="E2021" s="7"/>
      <c r="F2021" s="9" t="str">
        <f>IFERROR(__xludf.DUMMYFUNCTION("""COMPUTED_VALUE"""),"")</f>
        <v/>
      </c>
      <c r="G2021" s="7" t="str">
        <f>IFERROR(__xludf.DUMMYFUNCTION("""COMPUTED_VALUE"""),"Roya")</f>
        <v>Roya</v>
      </c>
      <c r="H2021" s="7">
        <f t="shared" si="1"/>
        <v>850</v>
      </c>
    </row>
    <row r="2022" ht="22.5" customHeight="1">
      <c r="B2022" s="7" t="str">
        <f>IFERROR(__xludf.DUMMYFUNCTION("""COMPUTED_VALUE"""),"K/18/091224/1")</f>
        <v>K/18/091224/1</v>
      </c>
      <c r="C2022" s="7" t="str">
        <f>IFERROR(__xludf.DUMMYFUNCTION("""COMPUTED_VALUE"""),"Nibel. M. 3568/ Pengajaran")</f>
        <v>Nibel. M. 3568/ Pengajaran</v>
      </c>
      <c r="D2022" s="7"/>
      <c r="E2022" s="7"/>
      <c r="F2022" s="9" t="str">
        <f>IFERROR(__xludf.DUMMYFUNCTION("""COMPUTED_VALUE"""),"")</f>
        <v/>
      </c>
      <c r="G2022" s="7" t="str">
        <f>IFERROR(__xludf.DUMMYFUNCTION("""COMPUTED_VALUE"""),"BN PHB")</f>
        <v>BN PHB</v>
      </c>
      <c r="H2022" s="7">
        <f t="shared" si="1"/>
        <v>850</v>
      </c>
    </row>
    <row r="2023" ht="22.5" customHeight="1">
      <c r="B2023" s="7" t="str">
        <f>IFERROR(__xludf.DUMMYFUNCTION("""COMPUTED_VALUE"""),"K/19/091224/1")</f>
        <v>K/19/091224/1</v>
      </c>
      <c r="C2023" s="7" t="str">
        <f>IFERROR(__xludf.DUMMYFUNCTION("""COMPUTED_VALUE"""),"M. 10503/ Kedamaian (Shm Tetangga)")</f>
        <v>M. 10503/ Kedamaian (Shm Tetangga)</v>
      </c>
      <c r="D2023" s="7"/>
      <c r="E2023" s="7"/>
      <c r="F2023" s="9" t="str">
        <f>IFERROR(__xludf.DUMMYFUNCTION("""COMPUTED_VALUE"""),"")</f>
        <v/>
      </c>
      <c r="G2023" s="7" t="str">
        <f>IFERROR(__xludf.DUMMYFUNCTION("""COMPUTED_VALUE"""),"Cekplot S. Hilang")</f>
        <v>Cekplot S. Hilang</v>
      </c>
      <c r="H2023" s="7">
        <f t="shared" si="1"/>
        <v>850</v>
      </c>
    </row>
    <row r="2024" ht="22.5" customHeight="1">
      <c r="B2024" s="7" t="str">
        <f>IFERROR(__xludf.DUMMYFUNCTION("""COMPUTED_VALUE"""),"K/20/091224/1")</f>
        <v>K/20/091224/1</v>
      </c>
      <c r="C2024" s="7" t="str">
        <f>IFERROR(__xludf.DUMMYFUNCTION("""COMPUTED_VALUE"""),"M.9464/LABUHAN RATU")</f>
        <v>M.9464/LABUHAN RATU</v>
      </c>
      <c r="D2024" s="7" t="str">
        <f>IFERROR(__xludf.DUMMYFUNCTION("""COMPUTED_VALUE"""),"Berry")</f>
        <v>Berry</v>
      </c>
      <c r="E2024" s="7" t="str">
        <f>IFERROR(__xludf.DUMMYFUNCTION("""COMPUTED_VALUE"""),"DISERAHKAN BT")</f>
        <v>DISERAHKAN BT</v>
      </c>
      <c r="F2024" s="9">
        <f>IFERROR(__xludf.DUMMYFUNCTION("""COMPUTED_VALUE"""),45636.681102256945)</f>
        <v>45636.6811</v>
      </c>
      <c r="G2024" s="7" t="str">
        <f>IFERROR(__xludf.DUMMYFUNCTION("""COMPUTED_VALUE"""),"SKPT LELANG")</f>
        <v>SKPT LELANG</v>
      </c>
      <c r="H2024" s="7">
        <f t="shared" si="1"/>
        <v>850</v>
      </c>
    </row>
    <row r="2025" ht="22.5" customHeight="1">
      <c r="B2025" s="7" t="str">
        <f>IFERROR(__xludf.DUMMYFUNCTION("""COMPUTED_VALUE"""),"K/21/091224/2")</f>
        <v>K/21/091224/2</v>
      </c>
      <c r="C2025" s="7" t="str">
        <f>IFERROR(__xludf.DUMMYFUNCTION("""COMPUTED_VALUE"""),"M.14764/SUKABUMI")</f>
        <v>M.14764/SUKABUMI</v>
      </c>
      <c r="D2025" s="7" t="str">
        <f>IFERROR(__xludf.DUMMYFUNCTION("""COMPUTED_VALUE"""),"Berry")</f>
        <v>Berry</v>
      </c>
      <c r="E2025" s="7" t="str">
        <f>IFERROR(__xludf.DUMMYFUNCTION("""COMPUTED_VALUE"""),"PROSES")</f>
        <v>PROSES</v>
      </c>
      <c r="F2025" s="9" t="str">
        <f>IFERROR(__xludf.DUMMYFUNCTION("""COMPUTED_VALUE"""),"")</f>
        <v/>
      </c>
      <c r="G2025" s="7" t="str">
        <f>IFERROR(__xludf.DUMMYFUNCTION("""COMPUTED_VALUE"""),"SKPT LELANG")</f>
        <v>SKPT LELANG</v>
      </c>
      <c r="H2025" s="7">
        <f t="shared" si="1"/>
        <v>850</v>
      </c>
    </row>
    <row r="2026" ht="22.5" customHeight="1">
      <c r="B2026" s="7" t="str">
        <f>IFERROR(__xludf.DUMMYFUNCTION("""COMPUTED_VALUE"""),"K/22/091224/1")</f>
        <v>K/22/091224/1</v>
      </c>
      <c r="C2026" s="7" t="str">
        <f>IFERROR(__xludf.DUMMYFUNCTION("""COMPUTED_VALUE"""),"M. 5877/ Labuhan ratu")</f>
        <v>M. 5877/ Labuhan ratu</v>
      </c>
      <c r="D2026" s="7" t="str">
        <f>IFERROR(__xludf.DUMMYFUNCTION("""COMPUTED_VALUE"""),"Berry")</f>
        <v>Berry</v>
      </c>
      <c r="E2026" s="7" t="str">
        <f>IFERROR(__xludf.DUMMYFUNCTION("""COMPUTED_VALUE"""),"DISERAHKAN")</f>
        <v>DISERAHKAN</v>
      </c>
      <c r="F2026" s="9">
        <f>IFERROR(__xludf.DUMMYFUNCTION("""COMPUTED_VALUE"""),45636.68121434028)</f>
        <v>45636.68121</v>
      </c>
      <c r="G2026" s="7" t="str">
        <f>IFERROR(__xludf.DUMMYFUNCTION("""COMPUTED_VALUE"""),"BN JUAL BELI")</f>
        <v>BN JUAL BELI</v>
      </c>
      <c r="H2026" s="7">
        <f t="shared" si="1"/>
        <v>851</v>
      </c>
    </row>
    <row r="2027" ht="22.5" customHeight="1">
      <c r="B2027" s="7" t="str">
        <f>IFERROR(__xludf.DUMMYFUNCTION("""COMPUTED_VALUE"""),"L/23/091224/1")</f>
        <v>L/23/091224/1</v>
      </c>
      <c r="C2027" s="7" t="str">
        <f>IFERROR(__xludf.DUMMYFUNCTION("""COMPUTED_VALUE"""),"HM 14213/RAJABASA")</f>
        <v>HM 14213/RAJABASA</v>
      </c>
      <c r="D2027" s="7"/>
      <c r="E2027" s="7"/>
      <c r="F2027" s="9" t="str">
        <f>IFERROR(__xludf.DUMMYFUNCTION("""COMPUTED_VALUE"""),"")</f>
        <v/>
      </c>
      <c r="G2027" s="7" t="str">
        <f>IFERROR(__xludf.DUMMYFUNCTION("""COMPUTED_VALUE"""),"BN LELANG")</f>
        <v>BN LELANG</v>
      </c>
      <c r="H2027" s="7">
        <f t="shared" si="1"/>
        <v>851</v>
      </c>
    </row>
    <row r="2028" ht="22.5" customHeight="1">
      <c r="B2028" s="7" t="str">
        <f>IFERROR(__xludf.DUMMYFUNCTION("""COMPUTED_VALUE"""),"L/24/091224/1")</f>
        <v>L/24/091224/1</v>
      </c>
      <c r="C2028" s="7" t="str">
        <f>IFERROR(__xludf.DUMMYFUNCTION("""COMPUTED_VALUE"""),"HGB 1739/SUKARAME")</f>
        <v>HGB 1739/SUKARAME</v>
      </c>
      <c r="D2028" s="7"/>
      <c r="E2028" s="7"/>
      <c r="F2028" s="9" t="str">
        <f>IFERROR(__xludf.DUMMYFUNCTION("""COMPUTED_VALUE"""),"")</f>
        <v/>
      </c>
      <c r="G2028" s="7" t="str">
        <f>IFERROR(__xludf.DUMMYFUNCTION("""COMPUTED_VALUE"""),"PH")</f>
        <v>PH</v>
      </c>
      <c r="H2028" s="7">
        <f t="shared" si="1"/>
        <v>851</v>
      </c>
    </row>
    <row r="2029" ht="22.5" customHeight="1">
      <c r="B2029" s="7" t="str">
        <f>IFERROR(__xludf.DUMMYFUNCTION("""COMPUTED_VALUE"""),"L/25/091224/1")</f>
        <v>L/25/091224/1</v>
      </c>
      <c r="C2029" s="7" t="str">
        <f>IFERROR(__xludf.DUMMYFUNCTION("""COMPUTED_VALUE"""),"NIB 13436/PALAPA")</f>
        <v>NIB 13436/PALAPA</v>
      </c>
      <c r="D2029" s="7" t="str">
        <f>IFERROR(__xludf.DUMMYFUNCTION("""COMPUTED_VALUE"""),"David")</f>
        <v>David</v>
      </c>
      <c r="E2029" s="7" t="str">
        <f>IFERROR(__xludf.DUMMYFUNCTION("""COMPUTED_VALUE"""),"PROSES")</f>
        <v>PROSES</v>
      </c>
      <c r="F2029" s="9" t="str">
        <f>IFERROR(__xludf.DUMMYFUNCTION("""COMPUTED_VALUE"""),"")</f>
        <v/>
      </c>
      <c r="G2029" s="7" t="str">
        <f>IFERROR(__xludf.DUMMYFUNCTION("""COMPUTED_VALUE"""),"BN LELANG")</f>
        <v>BN LELANG</v>
      </c>
      <c r="H2029" s="7">
        <f t="shared" si="1"/>
        <v>851</v>
      </c>
    </row>
    <row r="2030" ht="22.5" customHeight="1">
      <c r="B2030" s="7" t="str">
        <f>IFERROR(__xludf.DUMMYFUNCTION("""COMPUTED_VALUE"""),"L/26/091224/2")</f>
        <v>L/26/091224/2</v>
      </c>
      <c r="C2030" s="7" t="str">
        <f>IFERROR(__xludf.DUMMYFUNCTION("""COMPUTED_VALUE"""),"NIB 13019/PALAPA")</f>
        <v>NIB 13019/PALAPA</v>
      </c>
      <c r="D2030" s="7" t="str">
        <f>IFERROR(__xludf.DUMMYFUNCTION("""COMPUTED_VALUE"""),"David")</f>
        <v>David</v>
      </c>
      <c r="E2030" s="7" t="str">
        <f>IFERROR(__xludf.DUMMYFUNCTION("""COMPUTED_VALUE"""),"PROSES")</f>
        <v>PROSES</v>
      </c>
      <c r="F2030" s="9" t="str">
        <f>IFERROR(__xludf.DUMMYFUNCTION("""COMPUTED_VALUE"""),"")</f>
        <v/>
      </c>
      <c r="G2030" s="7" t="str">
        <f>IFERROR(__xludf.DUMMYFUNCTION("""COMPUTED_VALUE"""),"BN LELANG")</f>
        <v>BN LELANG</v>
      </c>
      <c r="H2030" s="7">
        <f t="shared" si="1"/>
        <v>851</v>
      </c>
    </row>
    <row r="2031" ht="22.5" customHeight="1">
      <c r="B2031" s="7" t="str">
        <f>IFERROR(__xludf.DUMMYFUNCTION("""COMPUTED_VALUE"""),"L/27/091224/1")</f>
        <v>L/27/091224/1</v>
      </c>
      <c r="C2031" s="7" t="str">
        <f>IFERROR(__xludf.DUMMYFUNCTION("""COMPUTED_VALUE"""),"HM 1433/SUKARAME BARU")</f>
        <v>HM 1433/SUKARAME BARU</v>
      </c>
      <c r="D2031" s="7" t="str">
        <f>IFERROR(__xludf.DUMMYFUNCTION("""COMPUTED_VALUE"""),"David")</f>
        <v>David</v>
      </c>
      <c r="E2031" s="7" t="str">
        <f>IFERROR(__xludf.DUMMYFUNCTION("""COMPUTED_VALUE"""),"PROSES")</f>
        <v>PROSES</v>
      </c>
      <c r="F2031" s="9" t="str">
        <f>IFERROR(__xludf.DUMMYFUNCTION("""COMPUTED_VALUE"""),"")</f>
        <v/>
      </c>
      <c r="G2031" s="7" t="str">
        <f>IFERROR(__xludf.DUMMYFUNCTION("""COMPUTED_VALUE"""),"ROYA")</f>
        <v>ROYA</v>
      </c>
      <c r="H2031" s="7">
        <f t="shared" si="1"/>
        <v>851</v>
      </c>
    </row>
    <row r="2032" ht="22.5" customHeight="1">
      <c r="B2032" s="7" t="str">
        <f>IFERROR(__xludf.DUMMYFUNCTION("""COMPUTED_VALUE"""),"K/28/091224/1")</f>
        <v>K/28/091224/1</v>
      </c>
      <c r="C2032" s="7" t="str">
        <f>IFERROR(__xludf.DUMMYFUNCTION("""COMPUTED_VALUE"""),"M. 1262/ Langkapura Baru")</f>
        <v>M. 1262/ Langkapura Baru</v>
      </c>
      <c r="D2032" s="7" t="str">
        <f>IFERROR(__xludf.DUMMYFUNCTION("""COMPUTED_VALUE"""),"David")</f>
        <v>David</v>
      </c>
      <c r="E2032" s="7" t="str">
        <f>IFERROR(__xludf.DUMMYFUNCTION("""COMPUTED_VALUE"""),"PROSES")</f>
        <v>PROSES</v>
      </c>
      <c r="F2032" s="9" t="str">
        <f>IFERROR(__xludf.DUMMYFUNCTION("""COMPUTED_VALUE"""),"")</f>
        <v/>
      </c>
      <c r="G2032" s="7" t="str">
        <f>IFERROR(__xludf.DUMMYFUNCTION("""COMPUTED_VALUE"""),"BN HIBAH")</f>
        <v>BN HIBAH</v>
      </c>
      <c r="H2032" s="7">
        <f t="shared" si="1"/>
        <v>851</v>
      </c>
    </row>
    <row r="2033" ht="22.5" customHeight="1">
      <c r="B2033" s="7" t="str">
        <f>IFERROR(__xludf.DUMMYFUNCTION("""COMPUTED_VALUE"""),"L/30/091224/1")</f>
        <v>L/30/091224/1</v>
      </c>
      <c r="C2033" s="7" t="str">
        <f>IFERROR(__xludf.DUMMYFUNCTION("""COMPUTED_VALUE"""),"HM 11152/JAGABAYA II")</f>
        <v>HM 11152/JAGABAYA II</v>
      </c>
      <c r="D2033" s="7" t="str">
        <f>IFERROR(__xludf.DUMMYFUNCTION("""COMPUTED_VALUE"""),"David")</f>
        <v>David</v>
      </c>
      <c r="E2033" s="7" t="str">
        <f>IFERROR(__xludf.DUMMYFUNCTION("""COMPUTED_VALUE"""),"PROSES")</f>
        <v>PROSES</v>
      </c>
      <c r="F2033" s="9" t="str">
        <f>IFERROR(__xludf.DUMMYFUNCTION("""COMPUTED_VALUE"""),"")</f>
        <v/>
      </c>
      <c r="G2033" s="7" t="str">
        <f>IFERROR(__xludf.DUMMYFUNCTION("""COMPUTED_VALUE"""),"ROYA WARIS")</f>
        <v>ROYA WARIS</v>
      </c>
      <c r="H2033" s="7">
        <f t="shared" si="1"/>
        <v>851</v>
      </c>
    </row>
    <row r="2034" ht="22.5" customHeight="1">
      <c r="B2034" s="7" t="str">
        <f>IFERROR(__xludf.DUMMYFUNCTION("""COMPUTED_VALUE"""),"K/31/091224/1")</f>
        <v>K/31/091224/1</v>
      </c>
      <c r="C2034" s="7" t="str">
        <f>IFERROR(__xludf.DUMMYFUNCTION("""COMPUTED_VALUE"""),"M. 6440/ Way Kandis")</f>
        <v>M. 6440/ Way Kandis</v>
      </c>
      <c r="D2034" s="7"/>
      <c r="E2034" s="7"/>
      <c r="F2034" s="9" t="str">
        <f>IFERROR(__xludf.DUMMYFUNCTION("""COMPUTED_VALUE"""),"")</f>
        <v/>
      </c>
      <c r="G2034" s="7" t="str">
        <f>IFERROR(__xludf.DUMMYFUNCTION("""COMPUTED_VALUE"""),"BN Jual Beli")</f>
        <v>BN Jual Beli</v>
      </c>
      <c r="H2034" s="7">
        <f t="shared" si="1"/>
        <v>851</v>
      </c>
    </row>
    <row r="2035" ht="22.5" customHeight="1">
      <c r="B2035" s="7" t="str">
        <f>IFERROR(__xludf.DUMMYFUNCTION("""COMPUTED_VALUE"""),"L/35/091224/1")</f>
        <v>L/35/091224/1</v>
      </c>
      <c r="C2035" s="7" t="str">
        <f>IFERROR(__xludf.DUMMYFUNCTION("""COMPUTED_VALUE"""),"HGB 5174/BERINGIN RAYA")</f>
        <v>HGB 5174/BERINGIN RAYA</v>
      </c>
      <c r="D2035" s="7" t="str">
        <f>IFERROR(__xludf.DUMMYFUNCTION("""COMPUTED_VALUE"""),"David")</f>
        <v>David</v>
      </c>
      <c r="E2035" s="7" t="str">
        <f>IFERROR(__xludf.DUMMYFUNCTION("""COMPUTED_VALUE"""),"DISERAHKAN")</f>
        <v>DISERAHKAN</v>
      </c>
      <c r="F2035" s="9">
        <f>IFERROR(__xludf.DUMMYFUNCTION("""COMPUTED_VALUE"""),45636.68308858796)</f>
        <v>45636.68309</v>
      </c>
      <c r="G2035" s="7" t="str">
        <f>IFERROR(__xludf.DUMMYFUNCTION("""COMPUTED_VALUE"""),"PH")</f>
        <v>PH</v>
      </c>
      <c r="H2035" s="7">
        <f t="shared" si="1"/>
        <v>852</v>
      </c>
    </row>
    <row r="2036" ht="22.5" customHeight="1">
      <c r="B2036" s="7" t="str">
        <f>IFERROR(__xludf.DUMMYFUNCTION("""COMPUTED_VALUE"""),"K/32/091224/1")</f>
        <v>K/32/091224/1</v>
      </c>
      <c r="C2036" s="7" t="str">
        <f>IFERROR(__xludf.DUMMYFUNCTION("""COMPUTED_VALUE"""),"Nibel 6975/ pematang wangi")</f>
        <v>Nibel 6975/ pematang wangi</v>
      </c>
      <c r="D2036" s="7" t="str">
        <f>IFERROR(__xludf.DUMMYFUNCTION("""COMPUTED_VALUE"""),"David")</f>
        <v>David</v>
      </c>
      <c r="E2036" s="7" t="str">
        <f>IFERROR(__xludf.DUMMYFUNCTION("""COMPUTED_VALUE"""),"DISERAHKAN")</f>
        <v>DISERAHKAN</v>
      </c>
      <c r="F2036" s="9">
        <f>IFERROR(__xludf.DUMMYFUNCTION("""COMPUTED_VALUE"""),45636.68313560185)</f>
        <v>45636.68314</v>
      </c>
      <c r="G2036" s="7" t="str">
        <f>IFERROR(__xludf.DUMMYFUNCTION("""COMPUTED_VALUE"""),"PERUBAHAN HAK")</f>
        <v>PERUBAHAN HAK</v>
      </c>
      <c r="H2036" s="7">
        <f t="shared" si="1"/>
        <v>853</v>
      </c>
    </row>
    <row r="2037" ht="22.5" customHeight="1">
      <c r="B2037" s="7" t="str">
        <f>IFERROR(__xludf.DUMMYFUNCTION("""COMPUTED_VALUE"""),"K/33/091224/2")</f>
        <v>K/33/091224/2</v>
      </c>
      <c r="C2037" s="7" t="str">
        <f>IFERROR(__xludf.DUMMYFUNCTION("""COMPUTED_VALUE"""),"B. 914/ Beringin Jaya")</f>
        <v>B. 914/ Beringin Jaya</v>
      </c>
      <c r="D2037" s="7"/>
      <c r="E2037" s="7"/>
      <c r="F2037" s="9" t="str">
        <f>IFERROR(__xludf.DUMMYFUNCTION("""COMPUTED_VALUE"""),"")</f>
        <v/>
      </c>
      <c r="G2037" s="7" t="str">
        <f>IFERROR(__xludf.DUMMYFUNCTION("""COMPUTED_VALUE"""),"BN JUAL BELI")</f>
        <v>BN JUAL BELI</v>
      </c>
      <c r="H2037" s="7">
        <f t="shared" si="1"/>
        <v>853</v>
      </c>
    </row>
    <row r="2038" ht="22.5" customHeight="1">
      <c r="B2038" s="7" t="str">
        <f>IFERROR(__xludf.DUMMYFUNCTION("""COMPUTED_VALUE"""),"K/34/091224/3")</f>
        <v>K/34/091224/3</v>
      </c>
      <c r="C2038" s="7" t="str">
        <f>IFERROR(__xludf.DUMMYFUNCTION("""COMPUTED_VALUE"""),"B. 945/ Beringin Jaya")</f>
        <v>B. 945/ Beringin Jaya</v>
      </c>
      <c r="D2038" s="7"/>
      <c r="E2038" s="7"/>
      <c r="F2038" s="9" t="str">
        <f>IFERROR(__xludf.DUMMYFUNCTION("""COMPUTED_VALUE"""),"")</f>
        <v/>
      </c>
      <c r="G2038" s="7" t="str">
        <f>IFERROR(__xludf.DUMMYFUNCTION("""COMPUTED_VALUE"""),"BN JUAL BELI")</f>
        <v>BN JUAL BELI</v>
      </c>
      <c r="H2038" s="7">
        <f t="shared" si="1"/>
        <v>853</v>
      </c>
    </row>
    <row r="2039" ht="22.5" customHeight="1">
      <c r="B2039" s="7" t="str">
        <f>IFERROR(__xludf.DUMMYFUNCTION("""COMPUTED_VALUE"""),"K/36/091224/1")</f>
        <v>K/36/091224/1</v>
      </c>
      <c r="C2039" s="7" t="str">
        <f>IFERROR(__xludf.DUMMYFUNCTION("""COMPUTED_VALUE"""),"M. 11585/ Segala Mider")</f>
        <v>M. 11585/ Segala Mider</v>
      </c>
      <c r="D2039" s="7"/>
      <c r="E2039" s="7"/>
      <c r="F2039" s="9" t="str">
        <f>IFERROR(__xludf.DUMMYFUNCTION("""COMPUTED_VALUE"""),"")</f>
        <v/>
      </c>
      <c r="G2039" s="7" t="str">
        <f>IFERROR(__xludf.DUMMYFUNCTION("""COMPUTED_VALUE"""),"Blokir")</f>
        <v>Blokir</v>
      </c>
      <c r="H2039" s="7">
        <f t="shared" si="1"/>
        <v>853</v>
      </c>
    </row>
    <row r="2040" ht="22.5" customHeight="1">
      <c r="B2040" s="7" t="str">
        <f>IFERROR(__xludf.DUMMYFUNCTION("""COMPUTED_VALUE"""),"K/37/091224/1")</f>
        <v>K/37/091224/1</v>
      </c>
      <c r="C2040" s="7" t="str">
        <f>IFERROR(__xludf.DUMMYFUNCTION("""COMPUTED_VALUE"""),"M.810/GEDONG AIR")</f>
        <v>M.810/GEDONG AIR</v>
      </c>
      <c r="D2040" s="7" t="str">
        <f>IFERROR(__xludf.DUMMYFUNCTION("""COMPUTED_VALUE"""),"David")</f>
        <v>David</v>
      </c>
      <c r="E2040" s="7" t="str">
        <f>IFERROR(__xludf.DUMMYFUNCTION("""COMPUTED_VALUE"""),"DISERAHKAN")</f>
        <v>DISERAHKAN</v>
      </c>
      <c r="F2040" s="9">
        <f>IFERROR(__xludf.DUMMYFUNCTION("""COMPUTED_VALUE"""),45636.68322670139)</f>
        <v>45636.68323</v>
      </c>
      <c r="G2040" s="7" t="str">
        <f>IFERROR(__xludf.DUMMYFUNCTION("""COMPUTED_VALUE"""),"PTPGT")</f>
        <v>PTPGT</v>
      </c>
      <c r="H2040" s="7">
        <f t="shared" si="1"/>
        <v>854</v>
      </c>
    </row>
    <row r="2041" ht="22.5" customHeight="1">
      <c r="B2041" s="7" t="str">
        <f>IFERROR(__xludf.DUMMYFUNCTION("""COMPUTED_VALUE"""),"K/38/091224/1")</f>
        <v>K/38/091224/1</v>
      </c>
      <c r="C2041" s="7" t="str">
        <f>IFERROR(__xludf.DUMMYFUNCTION("""COMPUTED_VALUE"""),"M. 12916/ Sukarame I")</f>
        <v>M. 12916/ Sukarame I</v>
      </c>
      <c r="D2041" s="7" t="str">
        <f>IFERROR(__xludf.DUMMYFUNCTION("""COMPUTED_VALUE"""),"David")</f>
        <v>David</v>
      </c>
      <c r="E2041" s="7" t="str">
        <f>IFERROR(__xludf.DUMMYFUNCTION("""COMPUTED_VALUE"""),"DISERAHKAN")</f>
        <v>DISERAHKAN</v>
      </c>
      <c r="F2041" s="9">
        <f>IFERROR(__xludf.DUMMYFUNCTION("""COMPUTED_VALUE"""),45636.683275648145)</f>
        <v>45636.68328</v>
      </c>
      <c r="G2041" s="7" t="str">
        <f>IFERROR(__xludf.DUMMYFUNCTION("""COMPUTED_VALUE"""),"GANTI KELURAHAN")</f>
        <v>GANTI KELURAHAN</v>
      </c>
      <c r="H2041" s="7">
        <f t="shared" si="1"/>
        <v>855</v>
      </c>
    </row>
    <row r="2042" ht="22.5" customHeight="1">
      <c r="B2042" s="7" t="str">
        <f>IFERROR(__xludf.DUMMYFUNCTION("""COMPUTED_VALUE"""),"K/29/091224/1")</f>
        <v>K/29/091224/1</v>
      </c>
      <c r="C2042" s="7" t="str">
        <f>IFERROR(__xludf.DUMMYFUNCTION("""COMPUTED_VALUE"""),"M.2203/SUKARAME BARU")</f>
        <v>M.2203/SUKARAME BARU</v>
      </c>
      <c r="D2042" s="7" t="str">
        <f>IFERROR(__xludf.DUMMYFUNCTION("""COMPUTED_VALUE"""),"David")</f>
        <v>David</v>
      </c>
      <c r="E2042" s="7" t="str">
        <f>IFERROR(__xludf.DUMMYFUNCTION("""COMPUTED_VALUE"""),"DISERAHKAN")</f>
        <v>DISERAHKAN</v>
      </c>
      <c r="F2042" s="9">
        <f>IFERROR(__xludf.DUMMYFUNCTION("""COMPUTED_VALUE"""),45639.59753472223)</f>
        <v>45639.59753</v>
      </c>
      <c r="G2042" s="7" t="str">
        <f>IFERROR(__xludf.DUMMYFUNCTION("""COMPUTED_VALUE"""),"BN JUAL BELI")</f>
        <v>BN JUAL BELI</v>
      </c>
      <c r="H2042" s="7">
        <f t="shared" si="1"/>
        <v>856</v>
      </c>
    </row>
    <row r="2043" ht="22.5" customHeight="1">
      <c r="B2043" s="7" t="str">
        <f>IFERROR(__xludf.DUMMYFUNCTION("""COMPUTED_VALUE"""),"K/39/091224/1")</f>
        <v>K/39/091224/1</v>
      </c>
      <c r="C2043" s="7" t="str">
        <f>IFERROR(__xludf.DUMMYFUNCTION("""COMPUTED_VALUE"""),"M.1344/BAKUNG")</f>
        <v>M.1344/BAKUNG</v>
      </c>
      <c r="D2043" s="7" t="str">
        <f>IFERROR(__xludf.DUMMYFUNCTION("""COMPUTED_VALUE"""),"David")</f>
        <v>David</v>
      </c>
      <c r="E2043" s="7" t="str">
        <f>IFERROR(__xludf.DUMMYFUNCTION("""COMPUTED_VALUE"""),"DISERAHKAN")</f>
        <v>DISERAHKAN</v>
      </c>
      <c r="F2043" s="9">
        <f>IFERROR(__xludf.DUMMYFUNCTION("""COMPUTED_VALUE"""),45642.66771306713)</f>
        <v>45642.66771</v>
      </c>
      <c r="G2043" s="7" t="str">
        <f>IFERROR(__xludf.DUMMYFUNCTION("""COMPUTED_VALUE"""),"BN JUAL BELI")</f>
        <v>BN JUAL BELI</v>
      </c>
      <c r="H2043" s="7">
        <f t="shared" si="1"/>
        <v>857</v>
      </c>
    </row>
    <row r="2044" ht="22.5" customHeight="1">
      <c r="B2044" s="7" t="str">
        <f>IFERROR(__xludf.DUMMYFUNCTION("""COMPUTED_VALUE"""),"K/41/091224/1")</f>
        <v>K/41/091224/1</v>
      </c>
      <c r="C2044" s="7" t="str">
        <f>IFERROR(__xludf.DUMMYFUNCTION("""COMPUTED_VALUE"""),"M.566/KORPRI RAYA-SEKARANG;M.11116/SUKARAME I-DAHULU")</f>
        <v>M.566/KORPRI RAYA-SEKARANG;M.11116/SUKARAME I-DAHULU</v>
      </c>
      <c r="D2044" s="7"/>
      <c r="E2044" s="7"/>
      <c r="F2044" s="9" t="str">
        <f>IFERROR(__xludf.DUMMYFUNCTION("""COMPUTED_VALUE"""),"")</f>
        <v/>
      </c>
      <c r="G2044" s="7" t="str">
        <f>IFERROR(__xludf.DUMMYFUNCTION("""COMPUTED_VALUE"""),"BN JUAL BELI")</f>
        <v>BN JUAL BELI</v>
      </c>
      <c r="H2044" s="7">
        <f t="shared" si="1"/>
        <v>857</v>
      </c>
    </row>
    <row r="2045" ht="22.5" customHeight="1">
      <c r="B2045" s="7" t="str">
        <f>IFERROR(__xludf.DUMMYFUNCTION("""COMPUTED_VALUE"""),"L/42/091224/1")</f>
        <v>L/42/091224/1</v>
      </c>
      <c r="C2045" s="7" t="str">
        <f>IFERROR(__xludf.DUMMYFUNCTION("""COMPUTED_VALUE"""),"HGB 839/PWK")</f>
        <v>HGB 839/PWK</v>
      </c>
      <c r="D2045" s="7"/>
      <c r="E2045" s="7"/>
      <c r="F2045" s="9" t="str">
        <f>IFERROR(__xludf.DUMMYFUNCTION("""COMPUTED_VALUE"""),"")</f>
        <v/>
      </c>
      <c r="G2045" s="7" t="str">
        <f>IFERROR(__xludf.DUMMYFUNCTION("""COMPUTED_VALUE"""),"PH")</f>
        <v>PH</v>
      </c>
      <c r="H2045" s="7">
        <f t="shared" si="1"/>
        <v>857</v>
      </c>
    </row>
    <row r="2046" ht="22.5" customHeight="1">
      <c r="B2046" s="7" t="str">
        <f>IFERROR(__xludf.DUMMYFUNCTION("""COMPUTED_VALUE"""),"K/43/091224/1")</f>
        <v>K/43/091224/1</v>
      </c>
      <c r="C2046" s="7" t="str">
        <f>IFERROR(__xludf.DUMMYFUNCTION("""COMPUTED_VALUE"""),"M.5681/WAY KANDIS")</f>
        <v>M.5681/WAY KANDIS</v>
      </c>
      <c r="D2046" s="7"/>
      <c r="E2046" s="7"/>
      <c r="F2046" s="9" t="str">
        <f>IFERROR(__xludf.DUMMYFUNCTION("""COMPUTED_VALUE"""),"")</f>
        <v/>
      </c>
      <c r="G2046" s="7" t="str">
        <f>IFERROR(__xludf.DUMMYFUNCTION("""COMPUTED_VALUE"""),"BLOKIR")</f>
        <v>BLOKIR</v>
      </c>
      <c r="H2046" s="7">
        <f t="shared" si="1"/>
        <v>857</v>
      </c>
    </row>
    <row r="2047" ht="22.5" customHeight="1">
      <c r="B2047" s="7" t="str">
        <f>IFERROR(__xludf.DUMMYFUNCTION("""COMPUTED_VALUE"""),"K/44/091224/1")</f>
        <v>K/44/091224/1</v>
      </c>
      <c r="C2047" s="7" t="str">
        <f>IFERROR(__xludf.DUMMYFUNCTION("""COMPUTED_VALUE"""),"B. 70/ Sukaraja")</f>
        <v>B. 70/ Sukaraja</v>
      </c>
      <c r="D2047" s="7"/>
      <c r="E2047" s="7"/>
      <c r="F2047" s="9" t="str">
        <f>IFERROR(__xludf.DUMMYFUNCTION("""COMPUTED_VALUE"""),"")</f>
        <v/>
      </c>
      <c r="G2047" s="7" t="str">
        <f>IFERROR(__xludf.DUMMYFUNCTION("""COMPUTED_VALUE"""),"BLOKIR")</f>
        <v>BLOKIR</v>
      </c>
      <c r="H2047" s="7">
        <f t="shared" si="1"/>
        <v>857</v>
      </c>
    </row>
    <row r="2048" ht="22.5" customHeight="1">
      <c r="B2048" s="7" t="str">
        <f>IFERROR(__xludf.DUMMYFUNCTION("""COMPUTED_VALUE"""),"K/45/091224/1")</f>
        <v>K/45/091224/1</v>
      </c>
      <c r="C2048" s="7" t="str">
        <f>IFERROR(__xludf.DUMMYFUNCTION("""COMPUTED_VALUE"""),"M. 14603/ Sukabumi")</f>
        <v>M. 14603/ Sukabumi</v>
      </c>
      <c r="D2048" s="7" t="str">
        <f>IFERROR(__xludf.DUMMYFUNCTION("""COMPUTED_VALUE"""),"David")</f>
        <v>David</v>
      </c>
      <c r="E2048" s="7" t="str">
        <f>IFERROR(__xludf.DUMMYFUNCTION("""COMPUTED_VALUE"""),"DISERAHKAN")</f>
        <v>DISERAHKAN</v>
      </c>
      <c r="F2048" s="9">
        <f>IFERROR(__xludf.DUMMYFUNCTION("""COMPUTED_VALUE"""),45639.58920523148)</f>
        <v>45639.58921</v>
      </c>
      <c r="G2048" s="7" t="str">
        <f>IFERROR(__xludf.DUMMYFUNCTION("""COMPUTED_VALUE"""),"Hapus BPHTB")</f>
        <v>Hapus BPHTB</v>
      </c>
      <c r="H2048" s="7">
        <f t="shared" si="1"/>
        <v>858</v>
      </c>
    </row>
    <row r="2049" ht="22.5" customHeight="1">
      <c r="B2049" s="7" t="str">
        <f>IFERROR(__xludf.DUMMYFUNCTION("""COMPUTED_VALUE"""),"K/46/091224/1")</f>
        <v>K/46/091224/1</v>
      </c>
      <c r="C2049" s="7" t="str">
        <f>IFERROR(__xludf.DUMMYFUNCTION("""COMPUTED_VALUE"""),"M. 4258// Gunung Terang")</f>
        <v>M. 4258// Gunung Terang</v>
      </c>
      <c r="D2049" s="7"/>
      <c r="E2049" s="7"/>
      <c r="F2049" s="9" t="str">
        <f>IFERROR(__xludf.DUMMYFUNCTION("""COMPUTED_VALUE"""),"")</f>
        <v/>
      </c>
      <c r="G2049" s="7" t="str">
        <f>IFERROR(__xludf.DUMMYFUNCTION("""COMPUTED_VALUE"""),"Pengecekan")</f>
        <v>Pengecekan</v>
      </c>
      <c r="H2049" s="7">
        <f t="shared" si="1"/>
        <v>858</v>
      </c>
    </row>
    <row r="2050" ht="22.5" customHeight="1">
      <c r="B2050" s="7" t="str">
        <f>IFERROR(__xludf.DUMMYFUNCTION("""COMPUTED_VALUE"""),"K/1/101224/1")</f>
        <v>K/1/101224/1</v>
      </c>
      <c r="C2050" s="7" t="str">
        <f>IFERROR(__xludf.DUMMYFUNCTION("""COMPUTED_VALUE"""),"M. 9545/ Jagabaya II")</f>
        <v>M. 9545/ Jagabaya II</v>
      </c>
      <c r="D2050" s="7"/>
      <c r="E2050" s="7"/>
      <c r="F2050" s="9" t="str">
        <f>IFERROR(__xludf.DUMMYFUNCTION("""COMPUTED_VALUE"""),"")</f>
        <v/>
      </c>
      <c r="G2050" s="7" t="str">
        <f>IFERROR(__xludf.DUMMYFUNCTION("""COMPUTED_VALUE"""),"ROYA")</f>
        <v>ROYA</v>
      </c>
      <c r="H2050" s="7">
        <f t="shared" si="1"/>
        <v>858</v>
      </c>
    </row>
    <row r="2051" ht="22.5" customHeight="1">
      <c r="B2051" s="7" t="str">
        <f>IFERROR(__xludf.DUMMYFUNCTION("""COMPUTED_VALUE"""),"K/2/101224/1")</f>
        <v>K/2/101224/1</v>
      </c>
      <c r="C2051" s="7" t="str">
        <f>IFERROR(__xludf.DUMMYFUNCTION("""COMPUTED_VALUE"""),"NIBEL M.11299/SUKAJAWA BARU")</f>
        <v>NIBEL M.11299/SUKAJAWA BARU</v>
      </c>
      <c r="D2051" s="7"/>
      <c r="E2051" s="7"/>
      <c r="F2051" s="9" t="str">
        <f>IFERROR(__xludf.DUMMYFUNCTION("""COMPUTED_VALUE"""),"")</f>
        <v/>
      </c>
      <c r="G2051" s="7" t="str">
        <f>IFERROR(__xludf.DUMMYFUNCTION("""COMPUTED_VALUE"""),"BN JUAL BELI")</f>
        <v>BN JUAL BELI</v>
      </c>
      <c r="H2051" s="7">
        <f t="shared" si="1"/>
        <v>858</v>
      </c>
    </row>
    <row r="2052" ht="22.5" customHeight="1">
      <c r="B2052" s="7" t="str">
        <f>IFERROR(__xludf.DUMMYFUNCTION("""COMPUTED_VALUE"""),"K/3/101224/2")</f>
        <v>K/3/101224/2</v>
      </c>
      <c r="C2052" s="7" t="str">
        <f>IFERROR(__xludf.DUMMYFUNCTION("""COMPUTED_VALUE"""),"NIBEL M.11303/SUKAJAWA BARU")</f>
        <v>NIBEL M.11303/SUKAJAWA BARU</v>
      </c>
      <c r="D2052" s="7"/>
      <c r="E2052" s="7"/>
      <c r="F2052" s="9" t="str">
        <f>IFERROR(__xludf.DUMMYFUNCTION("""COMPUTED_VALUE"""),"")</f>
        <v/>
      </c>
      <c r="G2052" s="7" t="str">
        <f>IFERROR(__xludf.DUMMYFUNCTION("""COMPUTED_VALUE"""),"BN JUAL BELI")</f>
        <v>BN JUAL BELI</v>
      </c>
      <c r="H2052" s="7">
        <f t="shared" si="1"/>
        <v>858</v>
      </c>
    </row>
    <row r="2053" ht="22.5" customHeight="1">
      <c r="B2053" s="7" t="str">
        <f>IFERROR(__xludf.DUMMYFUNCTION("""COMPUTED_VALUE"""),"K/4/101224/3")</f>
        <v>K/4/101224/3</v>
      </c>
      <c r="C2053" s="7" t="str">
        <f>IFERROR(__xludf.DUMMYFUNCTION("""COMPUTED_VALUE"""),"NIBEL M.11302/SUKAJAWA BARU")</f>
        <v>NIBEL M.11302/SUKAJAWA BARU</v>
      </c>
      <c r="D2053" s="7" t="str">
        <f>IFERROR(__xludf.DUMMYFUNCTION("""COMPUTED_VALUE"""),"David")</f>
        <v>David</v>
      </c>
      <c r="E2053" s="7" t="str">
        <f>IFERROR(__xludf.DUMMYFUNCTION("""COMPUTED_VALUE"""),"DISERAHKAN")</f>
        <v>DISERAHKAN</v>
      </c>
      <c r="F2053" s="9">
        <f>IFERROR(__xludf.DUMMYFUNCTION("""COMPUTED_VALUE"""),45639.58966697917)</f>
        <v>45639.58967</v>
      </c>
      <c r="G2053" s="7" t="str">
        <f>IFERROR(__xludf.DUMMYFUNCTION("""COMPUTED_VALUE"""),"BN JUAL BELI")</f>
        <v>BN JUAL BELI</v>
      </c>
      <c r="H2053" s="7">
        <f t="shared" si="1"/>
        <v>859</v>
      </c>
    </row>
    <row r="2054" ht="22.5" customHeight="1">
      <c r="B2054" s="7" t="str">
        <f>IFERROR(__xludf.DUMMYFUNCTION("""COMPUTED_VALUE"""),"K/5/101224/1")</f>
        <v>K/5/101224/1</v>
      </c>
      <c r="C2054" s="7" t="str">
        <f>IFERROR(__xludf.DUMMYFUNCTION("""COMPUTED_VALUE"""),"M. 183/ Durian Payung")</f>
        <v>M. 183/ Durian Payung</v>
      </c>
      <c r="D2054" s="7"/>
      <c r="E2054" s="7"/>
      <c r="F2054" s="9" t="str">
        <f>IFERROR(__xludf.DUMMYFUNCTION("""COMPUTED_VALUE"""),"")</f>
        <v/>
      </c>
      <c r="G2054" s="7" t="str">
        <f>IFERROR(__xludf.DUMMYFUNCTION("""COMPUTED_VALUE"""),"Gandes")</f>
        <v>Gandes</v>
      </c>
      <c r="H2054" s="7">
        <f t="shared" si="1"/>
        <v>859</v>
      </c>
    </row>
    <row r="2055" ht="22.5" customHeight="1">
      <c r="B2055" s="7" t="str">
        <f>IFERROR(__xludf.DUMMYFUNCTION("""COMPUTED_VALUE"""),"L/6/101224/1")</f>
        <v>L/6/101224/1</v>
      </c>
      <c r="C2055" s="7" t="str">
        <f>IFERROR(__xludf.DUMMYFUNCTION("""COMPUTED_VALUE"""),"HM 897/TANJUNG RAYA")</f>
        <v>HM 897/TANJUNG RAYA</v>
      </c>
      <c r="D2055" s="7" t="str">
        <f>IFERROR(__xludf.DUMMYFUNCTION("""COMPUTED_VALUE"""),"David")</f>
        <v>David</v>
      </c>
      <c r="E2055" s="7" t="str">
        <f>IFERROR(__xludf.DUMMYFUNCTION("""COMPUTED_VALUE"""),"DISERAHKAN")</f>
        <v>DISERAHKAN</v>
      </c>
      <c r="F2055" s="9">
        <f>IFERROR(__xludf.DUMMYFUNCTION("""COMPUTED_VALUE"""),45639.590196481484)</f>
        <v>45639.5902</v>
      </c>
      <c r="G2055" s="7" t="str">
        <f>IFERROR(__xludf.DUMMYFUNCTION("""COMPUTED_VALUE"""),"ROYA")</f>
        <v>ROYA</v>
      </c>
      <c r="H2055" s="7">
        <f t="shared" si="1"/>
        <v>860</v>
      </c>
    </row>
    <row r="2056" ht="22.5" customHeight="1">
      <c r="B2056" s="7" t="str">
        <f>IFERROR(__xludf.DUMMYFUNCTION("""COMPUTED_VALUE"""),"K/7/101224/1")</f>
        <v>K/7/101224/1</v>
      </c>
      <c r="C2056" s="7" t="str">
        <f>IFERROR(__xludf.DUMMYFUNCTION("""COMPUTED_VALUE"""),"Nibel. M. 4836/ Kampung Baru Raya")</f>
        <v>Nibel. M. 4836/ Kampung Baru Raya</v>
      </c>
      <c r="D2056" s="7" t="str">
        <f>IFERROR(__xludf.DUMMYFUNCTION("""COMPUTED_VALUE"""),"David")</f>
        <v>David</v>
      </c>
      <c r="E2056" s="7" t="str">
        <f>IFERROR(__xludf.DUMMYFUNCTION("""COMPUTED_VALUE"""),"DISERAHKAN")</f>
        <v>DISERAHKAN</v>
      </c>
      <c r="F2056" s="9">
        <f>IFERROR(__xludf.DUMMYFUNCTION("""COMPUTED_VALUE"""),45639.59055695602)</f>
        <v>45639.59056</v>
      </c>
      <c r="G2056" s="7" t="str">
        <f>IFERROR(__xludf.DUMMYFUNCTION("""COMPUTED_VALUE"""),"BN Lelang")</f>
        <v>BN Lelang</v>
      </c>
      <c r="H2056" s="7">
        <f t="shared" si="1"/>
        <v>861</v>
      </c>
    </row>
    <row r="2057" ht="22.5" customHeight="1">
      <c r="B2057" s="7" t="str">
        <f>IFERROR(__xludf.DUMMYFUNCTION("""COMPUTED_VALUE"""),"K/8/101224/1")</f>
        <v>K/8/101224/1</v>
      </c>
      <c r="C2057" s="7" t="str">
        <f>IFERROR(__xludf.DUMMYFUNCTION("""COMPUTED_VALUE"""),"M. 158/ Beringin Jaya")</f>
        <v>M. 158/ Beringin Jaya</v>
      </c>
      <c r="D2057" s="7" t="str">
        <f>IFERROR(__xludf.DUMMYFUNCTION("""COMPUTED_VALUE"""),"David")</f>
        <v>David</v>
      </c>
      <c r="E2057" s="7" t="str">
        <f>IFERROR(__xludf.DUMMYFUNCTION("""COMPUTED_VALUE"""),"DISERAHKAN")</f>
        <v>DISERAHKAN</v>
      </c>
      <c r="F2057" s="9">
        <f>IFERROR(__xludf.DUMMYFUNCTION("""COMPUTED_VALUE"""),45639.590615995374)</f>
        <v>45639.59062</v>
      </c>
      <c r="G2057" s="7" t="str">
        <f>IFERROR(__xludf.DUMMYFUNCTION("""COMPUTED_VALUE"""),"BN Jual Beli")</f>
        <v>BN Jual Beli</v>
      </c>
      <c r="H2057" s="7">
        <f t="shared" si="1"/>
        <v>862</v>
      </c>
    </row>
    <row r="2058" ht="22.5" customHeight="1">
      <c r="B2058" s="7" t="str">
        <f>IFERROR(__xludf.DUMMYFUNCTION("""COMPUTED_VALUE"""),"K/11/101224/1")</f>
        <v>K/11/101224/1</v>
      </c>
      <c r="C2058" s="7" t="str">
        <f>IFERROR(__xludf.DUMMYFUNCTION("""COMPUTED_VALUE"""),"M.4707/SUKADANAHAM")</f>
        <v>M.4707/SUKADANAHAM</v>
      </c>
      <c r="D2058" s="7" t="str">
        <f>IFERROR(__xludf.DUMMYFUNCTION("""COMPUTED_VALUE"""),"David")</f>
        <v>David</v>
      </c>
      <c r="E2058" s="7" t="str">
        <f>IFERROR(__xludf.DUMMYFUNCTION("""COMPUTED_VALUE"""),"DISERAHKAN")</f>
        <v>DISERAHKAN</v>
      </c>
      <c r="F2058" s="9">
        <f>IFERROR(__xludf.DUMMYFUNCTION("""COMPUTED_VALUE"""),45639.5908784375)</f>
        <v>45639.59088</v>
      </c>
      <c r="G2058" s="7" t="str">
        <f>IFERROR(__xludf.DUMMYFUNCTION("""COMPUTED_VALUE"""),"BN JUAL BELI")</f>
        <v>BN JUAL BELI</v>
      </c>
      <c r="H2058" s="7">
        <f t="shared" si="1"/>
        <v>863</v>
      </c>
    </row>
    <row r="2059" ht="22.5" customHeight="1">
      <c r="B2059" s="7" t="str">
        <f>IFERROR(__xludf.DUMMYFUNCTION("""COMPUTED_VALUE"""),"K/12/101224/2")</f>
        <v>K/12/101224/2</v>
      </c>
      <c r="C2059" s="7" t="str">
        <f>IFERROR(__xludf.DUMMYFUNCTION("""COMPUTED_VALUE"""),"M.4664/SUKADANAHAM")</f>
        <v>M.4664/SUKADANAHAM</v>
      </c>
      <c r="D2059" s="7" t="str">
        <f>IFERROR(__xludf.DUMMYFUNCTION("""COMPUTED_VALUE"""),"David")</f>
        <v>David</v>
      </c>
      <c r="E2059" s="7" t="str">
        <f>IFERROR(__xludf.DUMMYFUNCTION("""COMPUTED_VALUE"""),"DISERAHKAN BT")</f>
        <v>DISERAHKAN BT</v>
      </c>
      <c r="F2059" s="9">
        <f>IFERROR(__xludf.DUMMYFUNCTION("""COMPUTED_VALUE"""),45639.591158020834)</f>
        <v>45639.59116</v>
      </c>
      <c r="G2059" s="7" t="str">
        <f>IFERROR(__xludf.DUMMYFUNCTION("""COMPUTED_VALUE"""),"BN JUAL BELI")</f>
        <v>BN JUAL BELI</v>
      </c>
      <c r="H2059" s="7">
        <f t="shared" si="1"/>
        <v>863</v>
      </c>
    </row>
    <row r="2060" ht="22.5" customHeight="1">
      <c r="B2060" s="7" t="str">
        <f>IFERROR(__xludf.DUMMYFUNCTION("""COMPUTED_VALUE"""),"K/13/101224/3")</f>
        <v>K/13/101224/3</v>
      </c>
      <c r="C2060" s="7" t="str">
        <f>IFERROR(__xludf.DUMMYFUNCTION("""COMPUTED_VALUE"""),"M.997/GEDONG AIR")</f>
        <v>M.997/GEDONG AIR</v>
      </c>
      <c r="D2060" s="7" t="str">
        <f>IFERROR(__xludf.DUMMYFUNCTION("""COMPUTED_VALUE"""),"David")</f>
        <v>David</v>
      </c>
      <c r="E2060" s="7" t="str">
        <f>IFERROR(__xludf.DUMMYFUNCTION("""COMPUTED_VALUE"""),"PROSES")</f>
        <v>PROSES</v>
      </c>
      <c r="F2060" s="9" t="str">
        <f>IFERROR(__xludf.DUMMYFUNCTION("""COMPUTED_VALUE"""),"")</f>
        <v/>
      </c>
      <c r="G2060" s="7" t="str">
        <f>IFERROR(__xludf.DUMMYFUNCTION("""COMPUTED_VALUE"""),"KEWARISAN ")</f>
        <v>KEWARISAN </v>
      </c>
      <c r="H2060" s="7">
        <f t="shared" si="1"/>
        <v>863</v>
      </c>
    </row>
    <row r="2061" ht="22.5" customHeight="1">
      <c r="B2061" s="7" t="str">
        <f>IFERROR(__xludf.DUMMYFUNCTION("""COMPUTED_VALUE"""),"K/14/101224/4")</f>
        <v>K/14/101224/4</v>
      </c>
      <c r="C2061" s="7" t="str">
        <f>IFERROR(__xludf.DUMMYFUNCTION("""COMPUTED_VALUE"""),"M.2702/SUMBERREJO-SEKARANG;B.787/SUMBERREJO-DAHULU")</f>
        <v>M.2702/SUMBERREJO-SEKARANG;B.787/SUMBERREJO-DAHULU</v>
      </c>
      <c r="D2061" s="7"/>
      <c r="E2061" s="7"/>
      <c r="F2061" s="9" t="str">
        <f>IFERROR(__xludf.DUMMYFUNCTION("""COMPUTED_VALUE"""),"")</f>
        <v/>
      </c>
      <c r="G2061" s="7" t="str">
        <f>IFERROR(__xludf.DUMMYFUNCTION("""COMPUTED_VALUE"""),"ROYA ")</f>
        <v>ROYA </v>
      </c>
      <c r="H2061" s="7">
        <f t="shared" si="1"/>
        <v>863</v>
      </c>
    </row>
    <row r="2062" ht="22.5" customHeight="1">
      <c r="B2062" s="7" t="str">
        <f>IFERROR(__xludf.DUMMYFUNCTION("""COMPUTED_VALUE"""),"K/9/101224/1")</f>
        <v>K/9/101224/1</v>
      </c>
      <c r="C2062" s="7" t="str">
        <f>IFERROR(__xludf.DUMMYFUNCTION("""COMPUTED_VALUE"""),"M. 59/ K B K")</f>
        <v>M. 59/ K B K</v>
      </c>
      <c r="D2062" s="7"/>
      <c r="E2062" s="7"/>
      <c r="F2062" s="9" t="str">
        <f>IFERROR(__xludf.DUMMYFUNCTION("""COMPUTED_VALUE"""),"")</f>
        <v/>
      </c>
      <c r="G2062" s="7" t="str">
        <f>IFERROR(__xludf.DUMMYFUNCTION("""COMPUTED_VALUE"""),"Roya")</f>
        <v>Roya</v>
      </c>
      <c r="H2062" s="7">
        <f t="shared" si="1"/>
        <v>863</v>
      </c>
    </row>
    <row r="2063" ht="22.5" customHeight="1">
      <c r="B2063" s="7" t="str">
        <f>IFERROR(__xludf.DUMMYFUNCTION("""COMPUTED_VALUE"""),"K/10/101224/2")</f>
        <v>K/10/101224/2</v>
      </c>
      <c r="C2063" s="7" t="str">
        <f>IFERROR(__xludf.DUMMYFUNCTION("""COMPUTED_VALUE"""),"Nibel. B. 3389/ Sumur Putri")</f>
        <v>Nibel. B. 3389/ Sumur Putri</v>
      </c>
      <c r="D2063" s="7" t="str">
        <f>IFERROR(__xludf.DUMMYFUNCTION("""COMPUTED_VALUE"""),"David")</f>
        <v>David</v>
      </c>
      <c r="E2063" s="7" t="str">
        <f>IFERROR(__xludf.DUMMYFUNCTION("""COMPUTED_VALUE"""),"PROSES")</f>
        <v>PROSES</v>
      </c>
      <c r="F2063" s="9" t="str">
        <f>IFERROR(__xludf.DUMMYFUNCTION("""COMPUTED_VALUE"""),"")</f>
        <v/>
      </c>
      <c r="G2063" s="7" t="str">
        <f>IFERROR(__xludf.DUMMYFUNCTION("""COMPUTED_VALUE"""),"Perubahan Hak")</f>
        <v>Perubahan Hak</v>
      </c>
      <c r="H2063" s="7">
        <f t="shared" si="1"/>
        <v>863</v>
      </c>
    </row>
    <row r="2064" ht="22.5" customHeight="1">
      <c r="B2064" s="7" t="str">
        <f>IFERROR(__xludf.DUMMYFUNCTION("""COMPUTED_VALUE"""),"K/15/101224/1")</f>
        <v>K/15/101224/1</v>
      </c>
      <c r="C2064" s="7" t="str">
        <f>IFERROR(__xludf.DUMMYFUNCTION("""COMPUTED_VALUE"""),"M. 703/ Gunung Agung")</f>
        <v>M. 703/ Gunung Agung</v>
      </c>
      <c r="D2064" s="7" t="str">
        <f>IFERROR(__xludf.DUMMYFUNCTION("""COMPUTED_VALUE"""),"David")</f>
        <v>David</v>
      </c>
      <c r="E2064" s="7" t="str">
        <f>IFERROR(__xludf.DUMMYFUNCTION("""COMPUTED_VALUE"""),"DISERAHKAN BT")</f>
        <v>DISERAHKAN BT</v>
      </c>
      <c r="F2064" s="9">
        <f>IFERROR(__xludf.DUMMYFUNCTION("""COMPUTED_VALUE"""),45639.59229461805)</f>
        <v>45639.59229</v>
      </c>
      <c r="G2064" s="7" t="str">
        <f>IFERROR(__xludf.DUMMYFUNCTION("""COMPUTED_VALUE"""),"SKPT LELANG")</f>
        <v>SKPT LELANG</v>
      </c>
      <c r="H2064" s="7">
        <f t="shared" si="1"/>
        <v>863</v>
      </c>
    </row>
    <row r="2065" ht="22.5" customHeight="1">
      <c r="B2065" s="7" t="str">
        <f>IFERROR(__xludf.DUMMYFUNCTION("""COMPUTED_VALUE"""),"K/16/101224/1")</f>
        <v>K/16/101224/1</v>
      </c>
      <c r="C2065" s="7" t="str">
        <f>IFERROR(__xludf.DUMMYFUNCTION("""COMPUTED_VALUE"""),"M. 10204/ Rajabasa Jaya")</f>
        <v>M. 10204/ Rajabasa Jaya</v>
      </c>
      <c r="D2065" s="7"/>
      <c r="E2065" s="7"/>
      <c r="F2065" s="9" t="str">
        <f>IFERROR(__xludf.DUMMYFUNCTION("""COMPUTED_VALUE"""),"")</f>
        <v/>
      </c>
      <c r="G2065" s="7" t="str">
        <f>IFERROR(__xludf.DUMMYFUNCTION("""COMPUTED_VALUE"""),"BN LELANG")</f>
        <v>BN LELANG</v>
      </c>
      <c r="H2065" s="7">
        <f t="shared" si="1"/>
        <v>863</v>
      </c>
    </row>
    <row r="2066" ht="22.5" customHeight="1">
      <c r="B2066" s="7" t="str">
        <f>IFERROR(__xludf.DUMMYFUNCTION("""COMPUTED_VALUE"""),"K/19/101224/1")</f>
        <v>K/19/101224/1</v>
      </c>
      <c r="C2066" s="7" t="str">
        <f>IFERROR(__xludf.DUMMYFUNCTION("""COMPUTED_VALUE"""),"M. 1651/ Sumberejo Sejahtera")</f>
        <v>M. 1651/ Sumberejo Sejahtera</v>
      </c>
      <c r="D2066" s="7"/>
      <c r="E2066" s="7"/>
      <c r="F2066" s="9" t="str">
        <f>IFERROR(__xludf.DUMMYFUNCTION("""COMPUTED_VALUE"""),"")</f>
        <v/>
      </c>
      <c r="G2066" s="7" t="str">
        <f>IFERROR(__xludf.DUMMYFUNCTION("""COMPUTED_VALUE"""),"BN Jual Beli")</f>
        <v>BN Jual Beli</v>
      </c>
      <c r="H2066" s="7">
        <f t="shared" si="1"/>
        <v>863</v>
      </c>
    </row>
    <row r="2067" ht="22.5" customHeight="1">
      <c r="B2067" s="7" t="str">
        <f>IFERROR(__xludf.DUMMYFUNCTION("""COMPUTED_VALUE"""),"K/17/101224/1")</f>
        <v>K/17/101224/1</v>
      </c>
      <c r="C2067" s="7" t="str">
        <f>IFERROR(__xludf.DUMMYFUNCTION("""COMPUTED_VALUE"""),"B. 22/ Labuhan Ratu")</f>
        <v>B. 22/ Labuhan Ratu</v>
      </c>
      <c r="D2067" s="7"/>
      <c r="E2067" s="7"/>
      <c r="F2067" s="9" t="str">
        <f>IFERROR(__xludf.DUMMYFUNCTION("""COMPUTED_VALUE"""),"")</f>
        <v/>
      </c>
      <c r="G2067" s="7" t="str">
        <f>IFERROR(__xludf.DUMMYFUNCTION("""COMPUTED_VALUE"""),"SKPT LELANG")</f>
        <v>SKPT LELANG</v>
      </c>
      <c r="H2067" s="7">
        <f t="shared" si="1"/>
        <v>863</v>
      </c>
    </row>
    <row r="2068" ht="22.5" customHeight="1">
      <c r="B2068" s="7" t="str">
        <f>IFERROR(__xludf.DUMMYFUNCTION("""COMPUTED_VALUE"""),"K/20/101224/1")</f>
        <v>K/20/101224/1</v>
      </c>
      <c r="C2068" s="7" t="str">
        <f>IFERROR(__xludf.DUMMYFUNCTION("""COMPUTED_VALUE"""),"M. 9517/ jagabaya II")</f>
        <v>M. 9517/ jagabaya II</v>
      </c>
      <c r="D2068" s="7"/>
      <c r="E2068" s="7"/>
      <c r="F2068" s="9" t="str">
        <f>IFERROR(__xludf.DUMMYFUNCTION("""COMPUTED_VALUE"""),"")</f>
        <v/>
      </c>
      <c r="G2068" s="7" t="str">
        <f>IFERROR(__xludf.DUMMYFUNCTION("""COMPUTED_VALUE"""),"SKPT LELANG")</f>
        <v>SKPT LELANG</v>
      </c>
      <c r="H2068" s="7">
        <f t="shared" si="1"/>
        <v>863</v>
      </c>
    </row>
    <row r="2069" ht="22.5" customHeight="1">
      <c r="B2069" s="7" t="str">
        <f>IFERROR(__xludf.DUMMYFUNCTION("""COMPUTED_VALUE"""),"K/18/101224/1")</f>
        <v>K/18/101224/1</v>
      </c>
      <c r="C2069" s="7" t="str">
        <f>IFERROR(__xludf.DUMMYFUNCTION("""COMPUTED_VALUE"""),"Nibel. M. 13012/ Susunan Baru")</f>
        <v>Nibel. M. 13012/ Susunan Baru</v>
      </c>
      <c r="D2069" s="7"/>
      <c r="E2069" s="7"/>
      <c r="F2069" s="9" t="str">
        <f>IFERROR(__xludf.DUMMYFUNCTION("""COMPUTED_VALUE"""),"")</f>
        <v/>
      </c>
      <c r="G2069" s="7" t="str">
        <f>IFERROR(__xludf.DUMMYFUNCTION("""COMPUTED_VALUE"""),"Gandes")</f>
        <v>Gandes</v>
      </c>
      <c r="H2069" s="7">
        <f t="shared" si="1"/>
        <v>863</v>
      </c>
    </row>
    <row r="2070" ht="22.5" customHeight="1">
      <c r="B2070" s="7" t="str">
        <f>IFERROR(__xludf.DUMMYFUNCTION("""COMPUTED_VALUE"""),"K/21/101224/2")</f>
        <v>K/21/101224/2</v>
      </c>
      <c r="C2070" s="7" t="str">
        <f>IFERROR(__xludf.DUMMYFUNCTION("""COMPUTED_VALUE"""),"M. 1597/ Jagabaya III")</f>
        <v>M. 1597/ Jagabaya III</v>
      </c>
      <c r="D2070" s="7"/>
      <c r="E2070" s="7"/>
      <c r="F2070" s="9" t="str">
        <f>IFERROR(__xludf.DUMMYFUNCTION("""COMPUTED_VALUE"""),"")</f>
        <v/>
      </c>
      <c r="G2070" s="7" t="str">
        <f>IFERROR(__xludf.DUMMYFUNCTION("""COMPUTED_VALUE"""),"SKPT LELANG")</f>
        <v>SKPT LELANG</v>
      </c>
      <c r="H2070" s="7">
        <f t="shared" si="1"/>
        <v>863</v>
      </c>
    </row>
    <row r="2071" ht="22.5" customHeight="1">
      <c r="B2071" s="7" t="str">
        <f>IFERROR(__xludf.DUMMYFUNCTION("""COMPUTED_VALUE"""),"K/22/101224/3")</f>
        <v>K/22/101224/3</v>
      </c>
      <c r="C2071" s="7" t="str">
        <f>IFERROR(__xludf.DUMMYFUNCTION("""COMPUTED_VALUE"""),"M. 9977/ Kedamaian")</f>
        <v>M. 9977/ Kedamaian</v>
      </c>
      <c r="D2071" s="7"/>
      <c r="E2071" s="7"/>
      <c r="F2071" s="9" t="str">
        <f>IFERROR(__xludf.DUMMYFUNCTION("""COMPUTED_VALUE"""),"")</f>
        <v/>
      </c>
      <c r="G2071" s="7" t="str">
        <f>IFERROR(__xludf.DUMMYFUNCTION("""COMPUTED_VALUE"""),"SKPT LELANG")</f>
        <v>SKPT LELANG</v>
      </c>
      <c r="H2071" s="7">
        <f t="shared" si="1"/>
        <v>863</v>
      </c>
    </row>
    <row r="2072" ht="22.5" customHeight="1">
      <c r="B2072" s="7" t="str">
        <f>IFERROR(__xludf.DUMMYFUNCTION("""COMPUTED_VALUE"""),"K/23/101224/1")</f>
        <v>K/23/101224/1</v>
      </c>
      <c r="C2072" s="7" t="str">
        <f>IFERROR(__xludf.DUMMYFUNCTION("""COMPUTED_VALUE"""),"NIBEL 10840/ SUKARAME")</f>
        <v>NIBEL 10840/ SUKARAME</v>
      </c>
      <c r="D2072" s="7"/>
      <c r="E2072" s="7"/>
      <c r="F2072" s="9" t="str">
        <f>IFERROR(__xludf.DUMMYFUNCTION("""COMPUTED_VALUE"""),"")</f>
        <v/>
      </c>
      <c r="G2072" s="7" t="str">
        <f>IFERROR(__xludf.DUMMYFUNCTION("""COMPUTED_VALUE"""),"GANTI KELURAHAN")</f>
        <v>GANTI KELURAHAN</v>
      </c>
      <c r="H2072" s="7">
        <f t="shared" si="1"/>
        <v>863</v>
      </c>
    </row>
    <row r="2073" ht="22.5" customHeight="1">
      <c r="B2073" s="7" t="str">
        <f>IFERROR(__xludf.DUMMYFUNCTION("""COMPUTED_VALUE"""),"K/24/101224/1")</f>
        <v>K/24/101224/1</v>
      </c>
      <c r="C2073" s="7" t="str">
        <f>IFERROR(__xludf.DUMMYFUNCTION("""COMPUTED_VALUE"""),"M.2031/DURIAN PAYUNG")</f>
        <v>M.2031/DURIAN PAYUNG</v>
      </c>
      <c r="D2073" s="7"/>
      <c r="E2073" s="7"/>
      <c r="F2073" s="9" t="str">
        <f>IFERROR(__xludf.DUMMYFUNCTION("""COMPUTED_VALUE"""),"")</f>
        <v/>
      </c>
      <c r="G2073" s="7" t="str">
        <f>IFERROR(__xludf.DUMMYFUNCTION("""COMPUTED_VALUE"""),"PENGECEKAN ")</f>
        <v>PENGECEKAN </v>
      </c>
      <c r="H2073" s="7">
        <f t="shared" si="1"/>
        <v>863</v>
      </c>
    </row>
    <row r="2074" ht="22.5" customHeight="1">
      <c r="B2074" s="7" t="str">
        <f>IFERROR(__xludf.DUMMYFUNCTION("""COMPUTED_VALUE"""),"K/25/101224/2")</f>
        <v>K/25/101224/2</v>
      </c>
      <c r="C2074" s="7" t="str">
        <f>IFERROR(__xludf.DUMMYFUNCTION("""COMPUTED_VALUE"""),"M.2021/DURIAN PAYUNG")</f>
        <v>M.2021/DURIAN PAYUNG</v>
      </c>
      <c r="D2074" s="7" t="str">
        <f>IFERROR(__xludf.DUMMYFUNCTION("""COMPUTED_VALUE"""),"David")</f>
        <v>David</v>
      </c>
      <c r="E2074" s="7" t="str">
        <f>IFERROR(__xludf.DUMMYFUNCTION("""COMPUTED_VALUE"""),"PROSES")</f>
        <v>PROSES</v>
      </c>
      <c r="F2074" s="9" t="str">
        <f>IFERROR(__xludf.DUMMYFUNCTION("""COMPUTED_VALUE"""),"")</f>
        <v/>
      </c>
      <c r="G2074" s="7" t="str">
        <f>IFERROR(__xludf.DUMMYFUNCTION("""COMPUTED_VALUE"""),"PENGECEKAN")</f>
        <v>PENGECEKAN</v>
      </c>
      <c r="H2074" s="7">
        <f t="shared" si="1"/>
        <v>863</v>
      </c>
    </row>
    <row r="2075" ht="22.5" customHeight="1">
      <c r="B2075" s="7" t="str">
        <f>IFERROR(__xludf.DUMMYFUNCTION("""COMPUTED_VALUE"""),"K/26/101224/3")</f>
        <v>K/26/101224/3</v>
      </c>
      <c r="C2075" s="7" t="str">
        <f>IFERROR(__xludf.DUMMYFUNCTION("""COMPUTED_VALUE"""),"M.13099/WAY HALIM PERMAI")</f>
        <v>M.13099/WAY HALIM PERMAI</v>
      </c>
      <c r="D2075" s="7"/>
      <c r="E2075" s="7"/>
      <c r="F2075" s="9" t="str">
        <f>IFERROR(__xludf.DUMMYFUNCTION("""COMPUTED_VALUE"""),"")</f>
        <v/>
      </c>
      <c r="G2075" s="7" t="str">
        <f>IFERROR(__xludf.DUMMYFUNCTION("""COMPUTED_VALUE"""),"PLOTING")</f>
        <v>PLOTING</v>
      </c>
      <c r="H2075" s="7">
        <f t="shared" si="1"/>
        <v>863</v>
      </c>
    </row>
    <row r="2076" ht="22.5" customHeight="1">
      <c r="B2076" s="7" t="str">
        <f>IFERROR(__xludf.DUMMYFUNCTION("""COMPUTED_VALUE"""),"K/27/101224/4")</f>
        <v>K/27/101224/4</v>
      </c>
      <c r="C2076" s="7" t="str">
        <f>IFERROR(__xludf.DUMMYFUNCTION("""COMPUTED_VALUE"""),"M.3004/SUKARAME BARU-SEKARANG;M.13031/SUKARAME I-DAHULU")</f>
        <v>M.3004/SUKARAME BARU-SEKARANG;M.13031/SUKARAME I-DAHULU</v>
      </c>
      <c r="D2076" s="7"/>
      <c r="E2076" s="7"/>
      <c r="F2076" s="9" t="str">
        <f>IFERROR(__xludf.DUMMYFUNCTION("""COMPUTED_VALUE"""),"")</f>
        <v/>
      </c>
      <c r="G2076" s="7" t="str">
        <f>IFERROR(__xludf.DUMMYFUNCTION("""COMPUTED_VALUE"""),"KEWARISAN")</f>
        <v>KEWARISAN</v>
      </c>
      <c r="H2076" s="7">
        <f t="shared" si="1"/>
        <v>863</v>
      </c>
    </row>
    <row r="2077" ht="22.5" customHeight="1">
      <c r="B2077" s="7" t="str">
        <f>IFERROR(__xludf.DUMMYFUNCTION("""COMPUTED_VALUE"""),"K/28/101224/1")</f>
        <v>K/28/101224/1</v>
      </c>
      <c r="C2077" s="7" t="str">
        <f>IFERROR(__xludf.DUMMYFUNCTION("""COMPUTED_VALUE"""),"NIBEL M.9104/KORPRI RAYA")</f>
        <v>NIBEL M.9104/KORPRI RAYA</v>
      </c>
      <c r="D2077" s="7"/>
      <c r="E2077" s="7"/>
      <c r="F2077" s="9" t="str">
        <f>IFERROR(__xludf.DUMMYFUNCTION("""COMPUTED_VALUE"""),"")</f>
        <v/>
      </c>
      <c r="G2077" s="7" t="str">
        <f>IFERROR(__xludf.DUMMYFUNCTION("""COMPUTED_VALUE"""),"BN JUAL BELI")</f>
        <v>BN JUAL BELI</v>
      </c>
      <c r="H2077" s="7">
        <f t="shared" si="1"/>
        <v>863</v>
      </c>
    </row>
    <row r="2078" ht="22.5" customHeight="1">
      <c r="B2078" s="7" t="str">
        <f>IFERROR(__xludf.DUMMYFUNCTION("""COMPUTED_VALUE"""),"K/29/101224/1")</f>
        <v>K/29/101224/1</v>
      </c>
      <c r="C2078" s="7" t="str">
        <f>IFERROR(__xludf.DUMMYFUNCTION("""COMPUTED_VALUE"""),"B.2115/SUKARAME I")</f>
        <v>B.2115/SUKARAME I</v>
      </c>
      <c r="D2078" s="7" t="str">
        <f>IFERROR(__xludf.DUMMYFUNCTION("""COMPUTED_VALUE"""),"David")</f>
        <v>David</v>
      </c>
      <c r="E2078" s="7" t="str">
        <f>IFERROR(__xludf.DUMMYFUNCTION("""COMPUTED_VALUE"""),"PROSES")</f>
        <v>PROSES</v>
      </c>
      <c r="F2078" s="9" t="str">
        <f>IFERROR(__xludf.DUMMYFUNCTION("""COMPUTED_VALUE"""),"")</f>
        <v/>
      </c>
      <c r="G2078" s="7" t="str">
        <f>IFERROR(__xludf.DUMMYFUNCTION("""COMPUTED_VALUE"""),"SITA")</f>
        <v>SITA</v>
      </c>
      <c r="H2078" s="7">
        <f t="shared" si="1"/>
        <v>863</v>
      </c>
    </row>
    <row r="2079" ht="22.5" customHeight="1">
      <c r="B2079" s="7" t="str">
        <f>IFERROR(__xludf.DUMMYFUNCTION("""COMPUTED_VALUE"""),"K/32/101224/1")</f>
        <v>K/32/101224/1</v>
      </c>
      <c r="C2079" s="7" t="str">
        <f>IFERROR(__xludf.DUMMYFUNCTION("""COMPUTED_VALUE"""),"Nibel. B. 3072.1/ Keteguhan")</f>
        <v>Nibel. B. 3072.1/ Keteguhan</v>
      </c>
      <c r="D2079" s="7" t="str">
        <f>IFERROR(__xludf.DUMMYFUNCTION("""COMPUTED_VALUE"""),"David")</f>
        <v>David</v>
      </c>
      <c r="E2079" s="7" t="str">
        <f>IFERROR(__xludf.DUMMYFUNCTION("""COMPUTED_VALUE"""),"DISERAHKAN")</f>
        <v>DISERAHKAN</v>
      </c>
      <c r="F2079" s="9">
        <f>IFERROR(__xludf.DUMMYFUNCTION("""COMPUTED_VALUE"""),45639.59371217593)</f>
        <v>45639.59371</v>
      </c>
      <c r="G2079" s="7" t="str">
        <f>IFERROR(__xludf.DUMMYFUNCTION("""COMPUTED_VALUE"""),"BN Jual Beli")</f>
        <v>BN Jual Beli</v>
      </c>
      <c r="H2079" s="7">
        <f t="shared" si="1"/>
        <v>864</v>
      </c>
    </row>
    <row r="2080" ht="22.5" customHeight="1">
      <c r="B2080" s="7" t="str">
        <f>IFERROR(__xludf.DUMMYFUNCTION("""COMPUTED_VALUE"""),"K/34/101224/1")</f>
        <v>K/34/101224/1</v>
      </c>
      <c r="C2080" s="7" t="str">
        <f>IFERROR(__xludf.DUMMYFUNCTION("""COMPUTED_VALUE"""),"M. 1928/ Rajabasa Jaya")</f>
        <v>M. 1928/ Rajabasa Jaya</v>
      </c>
      <c r="D2080" s="7"/>
      <c r="E2080" s="7"/>
      <c r="F2080" s="9" t="str">
        <f>IFERROR(__xludf.DUMMYFUNCTION("""COMPUTED_VALUE"""),"")</f>
        <v/>
      </c>
      <c r="G2080" s="7" t="str">
        <f>IFERROR(__xludf.DUMMYFUNCTION("""COMPUTED_VALUE"""),"PENGUKURAN ULANG")</f>
        <v>PENGUKURAN ULANG</v>
      </c>
      <c r="H2080" s="7">
        <f t="shared" si="1"/>
        <v>864</v>
      </c>
    </row>
    <row r="2081" ht="22.5" customHeight="1">
      <c r="B2081" s="7" t="str">
        <f>IFERROR(__xludf.DUMMYFUNCTION("""COMPUTED_VALUE"""),"K/35/101224/1")</f>
        <v>K/35/101224/1</v>
      </c>
      <c r="C2081" s="7" t="str">
        <f>IFERROR(__xludf.DUMMYFUNCTION("""COMPUTED_VALUE"""),"M.2722/SUKARAME BARU")</f>
        <v>M.2722/SUKARAME BARU</v>
      </c>
      <c r="D2081" s="7"/>
      <c r="E2081" s="7"/>
      <c r="F2081" s="9" t="str">
        <f>IFERROR(__xludf.DUMMYFUNCTION("""COMPUTED_VALUE"""),"")</f>
        <v/>
      </c>
      <c r="G2081" s="7" t="str">
        <f>IFERROR(__xludf.DUMMYFUNCTION("""COMPUTED_VALUE"""),"BN JUAL BELI")</f>
        <v>BN JUAL BELI</v>
      </c>
      <c r="H2081" s="7">
        <f t="shared" si="1"/>
        <v>864</v>
      </c>
    </row>
    <row r="2082" ht="22.5" customHeight="1">
      <c r="B2082" s="7" t="str">
        <f>IFERROR(__xludf.DUMMYFUNCTION("""COMPUTED_VALUE"""),"K/33/101224/1")</f>
        <v>K/33/101224/1</v>
      </c>
      <c r="C2082" s="7" t="str">
        <f>IFERROR(__xludf.DUMMYFUNCTION("""COMPUTED_VALUE"""),"Nibel. M. 3203/ WHP")</f>
        <v>Nibel. M. 3203/ WHP</v>
      </c>
      <c r="D2082" s="7" t="str">
        <f>IFERROR(__xludf.DUMMYFUNCTION("""COMPUTED_VALUE"""),"David")</f>
        <v>David</v>
      </c>
      <c r="E2082" s="7" t="str">
        <f>IFERROR(__xludf.DUMMYFUNCTION("""COMPUTED_VALUE"""),"DISERAHKAN")</f>
        <v>DISERAHKAN</v>
      </c>
      <c r="F2082" s="9">
        <f>IFERROR(__xludf.DUMMYFUNCTION("""COMPUTED_VALUE"""),45639.59420436343)</f>
        <v>45639.5942</v>
      </c>
      <c r="G2082" s="7" t="str">
        <f>IFERROR(__xludf.DUMMYFUNCTION("""COMPUTED_VALUE"""),"BN Jual Beli")</f>
        <v>BN Jual Beli</v>
      </c>
      <c r="H2082" s="7">
        <f t="shared" si="1"/>
        <v>865</v>
      </c>
    </row>
    <row r="2083" ht="22.5" customHeight="1">
      <c r="B2083" s="7" t="str">
        <f>IFERROR(__xludf.DUMMYFUNCTION("""COMPUTED_VALUE"""),"K/36/101224/1")</f>
        <v>K/36/101224/1</v>
      </c>
      <c r="C2083" s="7" t="str">
        <f>IFERROR(__xludf.DUMMYFUNCTION("""COMPUTED_VALUE"""),"Nibel 8618/ Kemiling Permai")</f>
        <v>Nibel 8618/ Kemiling Permai</v>
      </c>
      <c r="D2083" s="7" t="str">
        <f>IFERROR(__xludf.DUMMYFUNCTION("""COMPUTED_VALUE"""),"David")</f>
        <v>David</v>
      </c>
      <c r="E2083" s="7" t="str">
        <f>IFERROR(__xludf.DUMMYFUNCTION("""COMPUTED_VALUE"""),"DISERAHKAN")</f>
        <v>DISERAHKAN</v>
      </c>
      <c r="F2083" s="9">
        <f>IFERROR(__xludf.DUMMYFUNCTION("""COMPUTED_VALUE"""),45639.594586875)</f>
        <v>45639.59459</v>
      </c>
      <c r="G2083" s="7" t="str">
        <f>IFERROR(__xludf.DUMMYFUNCTION("""COMPUTED_VALUE"""),"PERUBAHAN HAK")</f>
        <v>PERUBAHAN HAK</v>
      </c>
      <c r="H2083" s="7">
        <f t="shared" si="1"/>
        <v>866</v>
      </c>
    </row>
    <row r="2084" ht="22.5" customHeight="1">
      <c r="B2084" s="7" t="str">
        <f>IFERROR(__xludf.DUMMYFUNCTION("""COMPUTED_VALUE"""),"L/38/101224/1")</f>
        <v>L/38/101224/1</v>
      </c>
      <c r="C2084" s="7" t="str">
        <f>IFERROR(__xludf.DUMMYFUNCTION("""COMPUTED_VALUE"""),"HM 3876/TANJUNG SENANG")</f>
        <v>HM 3876/TANJUNG SENANG</v>
      </c>
      <c r="D2084" s="7" t="str">
        <f>IFERROR(__xludf.DUMMYFUNCTION("""COMPUTED_VALUE"""),"David")</f>
        <v>David</v>
      </c>
      <c r="E2084" s="7" t="str">
        <f>IFERROR(__xludf.DUMMYFUNCTION("""COMPUTED_VALUE"""),"DISERAHKAN")</f>
        <v>DISERAHKAN</v>
      </c>
      <c r="F2084" s="9">
        <f>IFERROR(__xludf.DUMMYFUNCTION("""COMPUTED_VALUE"""),45639.59509096065)</f>
        <v>45639.59509</v>
      </c>
      <c r="G2084" s="7" t="str">
        <f>IFERROR(__xludf.DUMMYFUNCTION("""COMPUTED_VALUE"""),"PENATAAN BATAS")</f>
        <v>PENATAAN BATAS</v>
      </c>
      <c r="H2084" s="7">
        <f t="shared" si="1"/>
        <v>867</v>
      </c>
    </row>
    <row r="2085" ht="22.5" customHeight="1">
      <c r="B2085" s="7" t="str">
        <f>IFERROR(__xludf.DUMMYFUNCTION("""COMPUTED_VALUE"""),"K/30/101224/1")</f>
        <v>K/30/101224/1</v>
      </c>
      <c r="C2085" s="7" t="str">
        <f>IFERROR(__xludf.DUMMYFUNCTION("""COMPUTED_VALUE"""),"M.2160/ Gunung Terang")</f>
        <v>M.2160/ Gunung Terang</v>
      </c>
      <c r="D2085" s="7" t="str">
        <f>IFERROR(__xludf.DUMMYFUNCTION("""COMPUTED_VALUE"""),"David")</f>
        <v>David</v>
      </c>
      <c r="E2085" s="7" t="str">
        <f>IFERROR(__xludf.DUMMYFUNCTION("""COMPUTED_VALUE"""),"DISERAHKAN")</f>
        <v>DISERAHKAN</v>
      </c>
      <c r="F2085" s="9">
        <f>IFERROR(__xludf.DUMMYFUNCTION("""COMPUTED_VALUE"""),45639.595451284724)</f>
        <v>45639.59545</v>
      </c>
      <c r="G2085" s="7" t="str">
        <f>IFERROR(__xludf.DUMMYFUNCTION("""COMPUTED_VALUE"""),"Roya")</f>
        <v>Roya</v>
      </c>
      <c r="H2085" s="7">
        <f t="shared" si="1"/>
        <v>868</v>
      </c>
    </row>
    <row r="2086" ht="22.5" customHeight="1">
      <c r="B2086" s="7" t="str">
        <f>IFERROR(__xludf.DUMMYFUNCTION("""COMPUTED_VALUE"""),"L/39/101224/2")</f>
        <v>L/39/101224/2</v>
      </c>
      <c r="C2086" s="7" t="str">
        <f>IFERROR(__xludf.DUMMYFUNCTION("""COMPUTED_VALUE"""),"HM 3877/TANJUNG SENANG")</f>
        <v>HM 3877/TANJUNG SENANG</v>
      </c>
      <c r="D2086" s="7" t="str">
        <f>IFERROR(__xludf.DUMMYFUNCTION("""COMPUTED_VALUE"""),"David")</f>
        <v>David</v>
      </c>
      <c r="E2086" s="7" t="str">
        <f>IFERROR(__xludf.DUMMYFUNCTION("""COMPUTED_VALUE"""),"PROSES")</f>
        <v>PROSES</v>
      </c>
      <c r="F2086" s="9" t="str">
        <f>IFERROR(__xludf.DUMMYFUNCTION("""COMPUTED_VALUE"""),"")</f>
        <v/>
      </c>
      <c r="G2086" s="7" t="str">
        <f>IFERROR(__xludf.DUMMYFUNCTION("""COMPUTED_VALUE"""),"PENATAAN BATAS")</f>
        <v>PENATAAN BATAS</v>
      </c>
      <c r="H2086" s="7">
        <f t="shared" si="1"/>
        <v>868</v>
      </c>
    </row>
    <row r="2087" ht="22.5" customHeight="1">
      <c r="B2087" s="7" t="str">
        <f>IFERROR(__xludf.DUMMYFUNCTION("""COMPUTED_VALUE"""),"K/37/101224/2")</f>
        <v>K/37/101224/2</v>
      </c>
      <c r="C2087" s="7" t="str">
        <f>IFERROR(__xludf.DUMMYFUNCTION("""COMPUTED_VALUE"""),"M. 2339/ Kedaung")</f>
        <v>M. 2339/ Kedaung</v>
      </c>
      <c r="D2087" s="7" t="str">
        <f>IFERROR(__xludf.DUMMYFUNCTION("""COMPUTED_VALUE"""),"David")</f>
        <v>David</v>
      </c>
      <c r="E2087" s="7" t="str">
        <f>IFERROR(__xludf.DUMMYFUNCTION("""COMPUTED_VALUE"""),"DISERAHKAN")</f>
        <v>DISERAHKAN</v>
      </c>
      <c r="F2087" s="9">
        <f>IFERROR(__xludf.DUMMYFUNCTION("""COMPUTED_VALUE"""),45642.7038284375)</f>
        <v>45642.70383</v>
      </c>
      <c r="G2087" s="7" t="str">
        <f>IFERROR(__xludf.DUMMYFUNCTION("""COMPUTED_VALUE"""),"BN JUAL BELI")</f>
        <v>BN JUAL BELI</v>
      </c>
      <c r="H2087" s="7">
        <f t="shared" si="1"/>
        <v>869</v>
      </c>
    </row>
    <row r="2088" ht="22.5" customHeight="1">
      <c r="B2088" s="7" t="str">
        <f>IFERROR(__xludf.DUMMYFUNCTION("""COMPUTED_VALUE"""),"L/31/101224/1")</f>
        <v>L/31/101224/1</v>
      </c>
      <c r="C2088" s="7" t="str">
        <f>IFERROR(__xludf.DUMMYFUNCTION("""COMPUTED_VALUE"""),"HM 1818/LABUHAN DALAM")</f>
        <v>HM 1818/LABUHAN DALAM</v>
      </c>
      <c r="D2088" s="7"/>
      <c r="E2088" s="7"/>
      <c r="F2088" s="9" t="str">
        <f>IFERROR(__xludf.DUMMYFUNCTION("""COMPUTED_VALUE"""),"")</f>
        <v/>
      </c>
      <c r="G2088" s="7" t="str">
        <f>IFERROR(__xludf.DUMMYFUNCTION("""COMPUTED_VALUE"""),"ROYA")</f>
        <v>ROYA</v>
      </c>
      <c r="H2088" s="7">
        <f t="shared" si="1"/>
        <v>869</v>
      </c>
    </row>
    <row r="2089" ht="22.5" customHeight="1">
      <c r="B2089" s="7" t="str">
        <f>IFERROR(__xludf.DUMMYFUNCTION("""COMPUTED_VALUE"""),"L/1/111224/1")</f>
        <v>L/1/111224/1</v>
      </c>
      <c r="C2089" s="7" t="str">
        <f>IFERROR(__xludf.DUMMYFUNCTION("""COMPUTED_VALUE"""),"HM 12803/SUKARAME")</f>
        <v>HM 12803/SUKARAME</v>
      </c>
      <c r="D2089" s="7"/>
      <c r="E2089" s="7"/>
      <c r="F2089" s="9" t="str">
        <f>IFERROR(__xludf.DUMMYFUNCTION("""COMPUTED_VALUE"""),"")</f>
        <v/>
      </c>
      <c r="G2089" s="7" t="str">
        <f>IFERROR(__xludf.DUMMYFUNCTION("""COMPUTED_VALUE"""),"ROYA")</f>
        <v>ROYA</v>
      </c>
      <c r="H2089" s="7">
        <f t="shared" si="1"/>
        <v>869</v>
      </c>
    </row>
    <row r="2090" ht="22.5" customHeight="1">
      <c r="B2090" s="7" t="str">
        <f>IFERROR(__xludf.DUMMYFUNCTION("""COMPUTED_VALUE"""),"L/4/111224/1")</f>
        <v>L/4/111224/1</v>
      </c>
      <c r="C2090" s="7" t="str">
        <f>IFERROR(__xludf.DUMMYFUNCTION("""COMPUTED_VALUE"""),"HGB 1767/SUKARAME I")</f>
        <v>HGB 1767/SUKARAME I</v>
      </c>
      <c r="D2090" s="7" t="str">
        <f>IFERROR(__xludf.DUMMYFUNCTION("""COMPUTED_VALUE"""),"David")</f>
        <v>David</v>
      </c>
      <c r="E2090" s="7" t="str">
        <f>IFERROR(__xludf.DUMMYFUNCTION("""COMPUTED_VALUE"""),"DISERAHKAN")</f>
        <v>DISERAHKAN</v>
      </c>
      <c r="F2090" s="9">
        <f>IFERROR(__xludf.DUMMYFUNCTION("""COMPUTED_VALUE"""),45642.70431030093)</f>
        <v>45642.70431</v>
      </c>
      <c r="G2090" s="7" t="str">
        <f>IFERROR(__xludf.DUMMYFUNCTION("""COMPUTED_VALUE"""),"SUGENG RIYADI")</f>
        <v>SUGENG RIYADI</v>
      </c>
      <c r="H2090" s="7">
        <f t="shared" si="1"/>
        <v>870</v>
      </c>
    </row>
    <row r="2091" ht="22.5" customHeight="1">
      <c r="B2091" s="7" t="str">
        <f>IFERROR(__xludf.DUMMYFUNCTION("""COMPUTED_VALUE"""),"K/2/111224/1")</f>
        <v>K/2/111224/1</v>
      </c>
      <c r="C2091" s="7" t="str">
        <f>IFERROR(__xludf.DUMMYFUNCTION("""COMPUTED_VALUE"""),"M. 2713/ Kemiling Permai")</f>
        <v>M. 2713/ Kemiling Permai</v>
      </c>
      <c r="D2091" s="7" t="str">
        <f>IFERROR(__xludf.DUMMYFUNCTION("""COMPUTED_VALUE"""),"David")</f>
        <v>David</v>
      </c>
      <c r="E2091" s="7" t="str">
        <f>IFERROR(__xludf.DUMMYFUNCTION("""COMPUTED_VALUE"""),"DISERAHKAN")</f>
        <v>DISERAHKAN</v>
      </c>
      <c r="F2091" s="9">
        <f>IFERROR(__xludf.DUMMYFUNCTION("""COMPUTED_VALUE"""),45642.7046841088)</f>
        <v>45642.70468</v>
      </c>
      <c r="G2091" s="7" t="str">
        <f>IFERROR(__xludf.DUMMYFUNCTION("""COMPUTED_VALUE"""),"Plotting")</f>
        <v>Plotting</v>
      </c>
      <c r="H2091" s="7">
        <f t="shared" si="1"/>
        <v>871</v>
      </c>
    </row>
    <row r="2092" ht="22.5" customHeight="1">
      <c r="B2092" s="7" t="str">
        <f>IFERROR(__xludf.DUMMYFUNCTION("""COMPUTED_VALUE"""),"K/3/111224/2")</f>
        <v>K/3/111224/2</v>
      </c>
      <c r="C2092" s="7" t="str">
        <f>IFERROR(__xludf.DUMMYFUNCTION("""COMPUTED_VALUE"""),"M. 10242/ Sukabumi")</f>
        <v>M. 10242/ Sukabumi</v>
      </c>
      <c r="D2092" s="7"/>
      <c r="E2092" s="7" t="str">
        <f>IFERROR(__xludf.DUMMYFUNCTION("""COMPUTED_VALUE"""),"DISERAHKAN")</f>
        <v>DISERAHKAN</v>
      </c>
      <c r="F2092" s="9">
        <f>IFERROR(__xludf.DUMMYFUNCTION("""COMPUTED_VALUE"""),45642.69908902778)</f>
        <v>45642.69909</v>
      </c>
      <c r="G2092" s="7" t="str">
        <f>IFERROR(__xludf.DUMMYFUNCTION("""COMPUTED_VALUE"""),"Roya")</f>
        <v>Roya</v>
      </c>
      <c r="H2092" s="7">
        <f t="shared" si="1"/>
        <v>872</v>
      </c>
    </row>
    <row r="2093" ht="22.5" customHeight="1">
      <c r="B2093" s="7" t="str">
        <f>IFERROR(__xludf.DUMMYFUNCTION("""COMPUTED_VALUE"""),"K/5/111224/1")</f>
        <v>K/5/111224/1</v>
      </c>
      <c r="C2093" s="7" t="str">
        <f>IFERROR(__xludf.DUMMYFUNCTION("""COMPUTED_VALUE"""),"M. 1673/ Rajabasa Raya")</f>
        <v>M. 1673/ Rajabasa Raya</v>
      </c>
      <c r="D2093" s="7"/>
      <c r="E2093" s="7"/>
      <c r="F2093" s="9" t="str">
        <f>IFERROR(__xludf.DUMMYFUNCTION("""COMPUTED_VALUE"""),"")</f>
        <v/>
      </c>
      <c r="G2093" s="7" t="str">
        <f>IFERROR(__xludf.DUMMYFUNCTION("""COMPUTED_VALUE"""),"BN HIBAH")</f>
        <v>BN HIBAH</v>
      </c>
      <c r="H2093" s="7">
        <f t="shared" si="1"/>
        <v>872</v>
      </c>
    </row>
    <row r="2094" ht="22.5" customHeight="1">
      <c r="B2094" s="7" t="str">
        <f>IFERROR(__xludf.DUMMYFUNCTION("""COMPUTED_VALUE"""),"L/7/111224/1")</f>
        <v>L/7/111224/1</v>
      </c>
      <c r="C2094" s="7" t="str">
        <f>IFERROR(__xludf.DUMMYFUNCTION("""COMPUTED_VALUE"""),"HGB 3657/SUKABUMI")</f>
        <v>HGB 3657/SUKABUMI</v>
      </c>
      <c r="D2094" s="7"/>
      <c r="E2094" s="7"/>
      <c r="F2094" s="9" t="str">
        <f>IFERROR(__xludf.DUMMYFUNCTION("""COMPUTED_VALUE"""),"")</f>
        <v/>
      </c>
      <c r="G2094" s="7" t="str">
        <f>IFERROR(__xludf.DUMMYFUNCTION("""COMPUTED_VALUE"""),"ROYA")</f>
        <v>ROYA</v>
      </c>
      <c r="H2094" s="7">
        <f t="shared" si="1"/>
        <v>872</v>
      </c>
    </row>
    <row r="2095" ht="22.5" customHeight="1">
      <c r="B2095" s="7" t="str">
        <f>IFERROR(__xludf.DUMMYFUNCTION("""COMPUTED_VALUE"""),"K/8/111224/1")</f>
        <v>K/8/111224/1</v>
      </c>
      <c r="C2095" s="7" t="str">
        <f>IFERROR(__xludf.DUMMYFUNCTION("""COMPUTED_VALUE"""),"NIBEL B.8365/KETEGUHAN")</f>
        <v>NIBEL B.8365/KETEGUHAN</v>
      </c>
      <c r="D2095" s="7"/>
      <c r="E2095" s="7"/>
      <c r="F2095" s="9" t="str">
        <f>IFERROR(__xludf.DUMMYFUNCTION("""COMPUTED_VALUE"""),"")</f>
        <v/>
      </c>
      <c r="G2095" s="7" t="str">
        <f>IFERROR(__xludf.DUMMYFUNCTION("""COMPUTED_VALUE"""),"PENINGKATAN ")</f>
        <v>PENINGKATAN </v>
      </c>
      <c r="H2095" s="7">
        <f t="shared" si="1"/>
        <v>872</v>
      </c>
    </row>
    <row r="2096" ht="22.5" customHeight="1">
      <c r="B2096" s="7" t="str">
        <f>IFERROR(__xludf.DUMMYFUNCTION("""COMPUTED_VALUE"""),"K/9/111224/2")</f>
        <v>K/9/111224/2</v>
      </c>
      <c r="C2096" s="7" t="str">
        <f>IFERROR(__xludf.DUMMYFUNCTION("""COMPUTED_VALUE"""),"Nibel 1499/ Gunung Terang")</f>
        <v>Nibel 1499/ Gunung Terang</v>
      </c>
      <c r="D2096" s="7" t="str">
        <f>IFERROR(__xludf.DUMMYFUNCTION("""COMPUTED_VALUE"""),"David")</f>
        <v>David</v>
      </c>
      <c r="E2096" s="7" t="str">
        <f>IFERROR(__xludf.DUMMYFUNCTION("""COMPUTED_VALUE"""),"DISERAHKAN")</f>
        <v>DISERAHKAN</v>
      </c>
      <c r="F2096" s="9">
        <f>IFERROR(__xludf.DUMMYFUNCTION("""COMPUTED_VALUE"""),45642.70503053241)</f>
        <v>45642.70503</v>
      </c>
      <c r="G2096" s="7" t="str">
        <f>IFERROR(__xludf.DUMMYFUNCTION("""COMPUTED_VALUE"""),"BN HIBAH")</f>
        <v>BN HIBAH</v>
      </c>
      <c r="H2096" s="7">
        <f t="shared" si="1"/>
        <v>873</v>
      </c>
    </row>
    <row r="2097" ht="22.5" customHeight="1">
      <c r="B2097" s="7" t="str">
        <f>IFERROR(__xludf.DUMMYFUNCTION("""COMPUTED_VALUE"""),"K/10/111224/3")</f>
        <v>K/10/111224/3</v>
      </c>
      <c r="C2097" s="7" t="str">
        <f>IFERROR(__xludf.DUMMYFUNCTION("""COMPUTED_VALUE"""),"Nibel 1498/ Gunung Terang")</f>
        <v>Nibel 1498/ Gunung Terang</v>
      </c>
      <c r="D2097" s="7"/>
      <c r="E2097" s="7"/>
      <c r="F2097" s="9" t="str">
        <f>IFERROR(__xludf.DUMMYFUNCTION("""COMPUTED_VALUE"""),"")</f>
        <v/>
      </c>
      <c r="G2097" s="7" t="str">
        <f>IFERROR(__xludf.DUMMYFUNCTION("""COMPUTED_VALUE"""),"BN HIBAH")</f>
        <v>BN HIBAH</v>
      </c>
      <c r="H2097" s="7">
        <f t="shared" si="1"/>
        <v>873</v>
      </c>
    </row>
    <row r="2098" ht="22.5" customHeight="1">
      <c r="B2098" s="7" t="str">
        <f>IFERROR(__xludf.DUMMYFUNCTION("""COMPUTED_VALUE"""),"K/6/111224/3")</f>
        <v>K/6/111224/3</v>
      </c>
      <c r="C2098" s="7" t="str">
        <f>IFERROR(__xludf.DUMMYFUNCTION("""COMPUTED_VALUE"""),"M. 1760/ Rajabasa Nunyai")</f>
        <v>M. 1760/ Rajabasa Nunyai</v>
      </c>
      <c r="D2098" s="7"/>
      <c r="E2098" s="7"/>
      <c r="F2098" s="9" t="str">
        <f>IFERROR(__xludf.DUMMYFUNCTION("""COMPUTED_VALUE"""),"")</f>
        <v/>
      </c>
      <c r="G2098" s="7" t="str">
        <f>IFERROR(__xludf.DUMMYFUNCTION("""COMPUTED_VALUE"""),"BN Jual Beli")</f>
        <v>BN Jual Beli</v>
      </c>
      <c r="H2098" s="7">
        <f t="shared" si="1"/>
        <v>873</v>
      </c>
    </row>
    <row r="2099" ht="22.5" customHeight="1">
      <c r="B2099" s="7" t="str">
        <f>IFERROR(__xludf.DUMMYFUNCTION("""COMPUTED_VALUE"""),"K/11/111224/4")</f>
        <v>K/11/111224/4</v>
      </c>
      <c r="C2099" s="7" t="str">
        <f>IFERROR(__xludf.DUMMYFUNCTION("""COMPUTED_VALUE"""),"Nibel 3696/ Beringin Raya")</f>
        <v>Nibel 3696/ Beringin Raya</v>
      </c>
      <c r="D2099" s="7" t="str">
        <f>IFERROR(__xludf.DUMMYFUNCTION("""COMPUTED_VALUE"""),"David")</f>
        <v>David</v>
      </c>
      <c r="E2099" s="7" t="str">
        <f>IFERROR(__xludf.DUMMYFUNCTION("""COMPUTED_VALUE"""),"DISERAHKAN")</f>
        <v>DISERAHKAN</v>
      </c>
      <c r="F2099" s="9">
        <f>IFERROR(__xludf.DUMMYFUNCTION("""COMPUTED_VALUE"""),45642.71887268519)</f>
        <v>45642.71887</v>
      </c>
      <c r="G2099" s="7" t="str">
        <f>IFERROR(__xludf.DUMMYFUNCTION("""COMPUTED_VALUE"""),"BN JUAL BELI")</f>
        <v>BN JUAL BELI</v>
      </c>
      <c r="H2099" s="7">
        <f t="shared" si="1"/>
        <v>874</v>
      </c>
    </row>
    <row r="2100" ht="22.5" customHeight="1">
      <c r="B2100" s="7" t="str">
        <f>IFERROR(__xludf.DUMMYFUNCTION("""COMPUTED_VALUE"""),"K/12/111224/1")</f>
        <v>K/12/111224/1</v>
      </c>
      <c r="C2100" s="7" t="str">
        <f>IFERROR(__xludf.DUMMYFUNCTION("""COMPUTED_VALUE"""),"M.10658/KEDAMAIAN")</f>
        <v>M.10658/KEDAMAIAN</v>
      </c>
      <c r="D2100" s="7" t="str">
        <f>IFERROR(__xludf.DUMMYFUNCTION("""COMPUTED_VALUE"""),"David")</f>
        <v>David</v>
      </c>
      <c r="E2100" s="7" t="str">
        <f>IFERROR(__xludf.DUMMYFUNCTION("""COMPUTED_VALUE"""),"DISERAHKAN")</f>
        <v>DISERAHKAN</v>
      </c>
      <c r="F2100" s="9">
        <f>IFERROR(__xludf.DUMMYFUNCTION("""COMPUTED_VALUE"""),45642.70550373843)</f>
        <v>45642.7055</v>
      </c>
      <c r="G2100" s="7" t="str">
        <f>IFERROR(__xludf.DUMMYFUNCTION("""COMPUTED_VALUE"""),"GANDES")</f>
        <v>GANDES</v>
      </c>
      <c r="H2100" s="7">
        <f t="shared" si="1"/>
        <v>875</v>
      </c>
    </row>
    <row r="2101" ht="22.5" customHeight="1">
      <c r="B2101" s="7" t="str">
        <f>IFERROR(__xludf.DUMMYFUNCTION("""COMPUTED_VALUE"""),"L/13/111224/1")</f>
        <v>L/13/111224/1</v>
      </c>
      <c r="C2101" s="7" t="str">
        <f>IFERROR(__xludf.DUMMYFUNCTION("""COMPUTED_VALUE"""),"HM 521/GULAK GALIK")</f>
        <v>HM 521/GULAK GALIK</v>
      </c>
      <c r="D2101" s="7"/>
      <c r="E2101" s="7"/>
      <c r="F2101" s="9" t="str">
        <f>IFERROR(__xludf.DUMMYFUNCTION("""COMPUTED_VALUE"""),"")</f>
        <v/>
      </c>
      <c r="G2101" s="7" t="str">
        <f>IFERROR(__xludf.DUMMYFUNCTION("""COMPUTED_VALUE"""),"ROYA")</f>
        <v>ROYA</v>
      </c>
      <c r="H2101" s="7">
        <f t="shared" si="1"/>
        <v>875</v>
      </c>
    </row>
    <row r="2102" ht="22.5" customHeight="1">
      <c r="B2102" s="7" t="str">
        <f>IFERROR(__xludf.DUMMYFUNCTION("""COMPUTED_VALUE"""),"K/15/111224/1")</f>
        <v>K/15/111224/1</v>
      </c>
      <c r="C2102" s="7" t="str">
        <f>IFERROR(__xludf.DUMMYFUNCTION("""COMPUTED_VALUE"""),"M. 154/ Rajabasa Pemuka")</f>
        <v>M. 154/ Rajabasa Pemuka</v>
      </c>
      <c r="D2102" s="7" t="str">
        <f>IFERROR(__xludf.DUMMYFUNCTION("""COMPUTED_VALUE"""),"David")</f>
        <v>David</v>
      </c>
      <c r="E2102" s="7" t="str">
        <f>IFERROR(__xludf.DUMMYFUNCTION("""COMPUTED_VALUE"""),"PROSES")</f>
        <v>PROSES</v>
      </c>
      <c r="F2102" s="9" t="str">
        <f>IFERROR(__xludf.DUMMYFUNCTION("""COMPUTED_VALUE"""),"")</f>
        <v/>
      </c>
      <c r="G2102" s="7" t="str">
        <f>IFERROR(__xludf.DUMMYFUNCTION("""COMPUTED_VALUE"""),"BN JUAL BELI")</f>
        <v>BN JUAL BELI</v>
      </c>
      <c r="H2102" s="7">
        <f t="shared" si="1"/>
        <v>875</v>
      </c>
    </row>
    <row r="2103" ht="22.5" customHeight="1">
      <c r="B2103" s="7" t="str">
        <f>IFERROR(__xludf.DUMMYFUNCTION("""COMPUTED_VALUE"""),"K/16/111224/2")</f>
        <v>K/16/111224/2</v>
      </c>
      <c r="C2103" s="7" t="str">
        <f>IFERROR(__xludf.DUMMYFUNCTION("""COMPUTED_VALUE"""),"Nibel 6440/ Rajabasa Pemuka")</f>
        <v>Nibel 6440/ Rajabasa Pemuka</v>
      </c>
      <c r="D2103" s="7"/>
      <c r="E2103" s="7"/>
      <c r="F2103" s="9" t="str">
        <f>IFERROR(__xludf.DUMMYFUNCTION("""COMPUTED_VALUE"""),"")</f>
        <v/>
      </c>
      <c r="G2103" s="7" t="str">
        <f>IFERROR(__xludf.DUMMYFUNCTION("""COMPUTED_VALUE"""),"BN JUAL BELI")</f>
        <v>BN JUAL BELI</v>
      </c>
      <c r="H2103" s="7">
        <f t="shared" si="1"/>
        <v>875</v>
      </c>
    </row>
    <row r="2104" ht="22.5" customHeight="1">
      <c r="B2104" s="7" t="str">
        <f>IFERROR(__xludf.DUMMYFUNCTION("""COMPUTED_VALUE"""),"L/17/111224/1")</f>
        <v>L/17/111224/1</v>
      </c>
      <c r="C2104" s="7" t="str">
        <f>IFERROR(__xludf.DUMMYFUNCTION("""COMPUTED_VALUE"""),"HGB 175/SS")</f>
        <v>HGB 175/SS</v>
      </c>
      <c r="D2104" s="7"/>
      <c r="E2104" s="7"/>
      <c r="F2104" s="9" t="str">
        <f>IFERROR(__xludf.DUMMYFUNCTION("""COMPUTED_VALUE"""),"")</f>
        <v/>
      </c>
      <c r="G2104" s="7" t="str">
        <f>IFERROR(__xludf.DUMMYFUNCTION("""COMPUTED_VALUE"""),"BN WARIS")</f>
        <v>BN WARIS</v>
      </c>
      <c r="H2104" s="7">
        <f t="shared" si="1"/>
        <v>875</v>
      </c>
    </row>
    <row r="2105" ht="22.5" customHeight="1">
      <c r="B2105" s="7" t="str">
        <f>IFERROR(__xludf.DUMMYFUNCTION("""COMPUTED_VALUE"""),"K/18/111224/1")</f>
        <v>K/18/111224/1</v>
      </c>
      <c r="C2105" s="7" t="str">
        <f>IFERROR(__xludf.DUMMYFUNCTION("""COMPUTED_VALUE"""),"M. 11125/ Sukarame I")</f>
        <v>M. 11125/ Sukarame I</v>
      </c>
      <c r="D2105" s="7"/>
      <c r="E2105" s="7"/>
      <c r="F2105" s="9" t="str">
        <f>IFERROR(__xludf.DUMMYFUNCTION("""COMPUTED_VALUE"""),"")</f>
        <v/>
      </c>
      <c r="G2105" s="7" t="str">
        <f>IFERROR(__xludf.DUMMYFUNCTION("""COMPUTED_VALUE"""),"PLOTTING")</f>
        <v>PLOTTING</v>
      </c>
      <c r="H2105" s="7">
        <f t="shared" si="1"/>
        <v>875</v>
      </c>
    </row>
    <row r="2106" ht="22.5" customHeight="1">
      <c r="B2106" s="7" t="str">
        <f>IFERROR(__xludf.DUMMYFUNCTION("""COMPUTED_VALUE"""),"K/22/111224/1")</f>
        <v>K/22/111224/1</v>
      </c>
      <c r="C2106" s="7" t="str">
        <f>IFERROR(__xludf.DUMMYFUNCTION("""COMPUTED_VALUE"""),"Nibel. M. 5254/ Kedaton")</f>
        <v>Nibel. M. 5254/ Kedaton</v>
      </c>
      <c r="D2106" s="7"/>
      <c r="E2106" s="7"/>
      <c r="F2106" s="9" t="str">
        <f>IFERROR(__xludf.DUMMYFUNCTION("""COMPUTED_VALUE"""),"")</f>
        <v/>
      </c>
      <c r="G2106" s="7" t="str">
        <f>IFERROR(__xludf.DUMMYFUNCTION("""COMPUTED_VALUE"""),"BN PHB")</f>
        <v>BN PHB</v>
      </c>
      <c r="H2106" s="7">
        <f t="shared" si="1"/>
        <v>875</v>
      </c>
    </row>
    <row r="2107" ht="22.5" customHeight="1">
      <c r="B2107" s="7" t="str">
        <f>IFERROR(__xludf.DUMMYFUNCTION("""COMPUTED_VALUE"""),"K/19/111224/1")</f>
        <v>K/19/111224/1</v>
      </c>
      <c r="C2107" s="7" t="str">
        <f>IFERROR(__xludf.DUMMYFUNCTION("""COMPUTED_VALUE"""),"Nibel. M. 1958/ Sukadana Ham")</f>
        <v>Nibel. M. 1958/ Sukadana Ham</v>
      </c>
      <c r="D2107" s="7" t="str">
        <f>IFERROR(__xludf.DUMMYFUNCTION("""COMPUTED_VALUE"""),"David")</f>
        <v>David</v>
      </c>
      <c r="E2107" s="7" t="str">
        <f>IFERROR(__xludf.DUMMYFUNCTION("""COMPUTED_VALUE"""),"PROSES")</f>
        <v>PROSES</v>
      </c>
      <c r="F2107" s="9" t="str">
        <f>IFERROR(__xludf.DUMMYFUNCTION("""COMPUTED_VALUE"""),"")</f>
        <v/>
      </c>
      <c r="G2107" s="7" t="str">
        <f>IFERROR(__xludf.DUMMYFUNCTION("""COMPUTED_VALUE"""),"BN Jual Beli")</f>
        <v>BN Jual Beli</v>
      </c>
      <c r="H2107" s="7">
        <f t="shared" si="1"/>
        <v>875</v>
      </c>
    </row>
    <row r="2108" ht="22.5" customHeight="1">
      <c r="B2108" s="7" t="str">
        <f>IFERROR(__xludf.DUMMYFUNCTION("""COMPUTED_VALUE"""),"K/20/111224/2")</f>
        <v>K/20/111224/2</v>
      </c>
      <c r="C2108" s="7" t="str">
        <f>IFERROR(__xludf.DUMMYFUNCTION("""COMPUTED_VALUE"""),"Nibel. M. 1985/ Sukadana Ham")</f>
        <v>Nibel. M. 1985/ Sukadana Ham</v>
      </c>
      <c r="D2108" s="7"/>
      <c r="E2108" s="7"/>
      <c r="F2108" s="9" t="str">
        <f>IFERROR(__xludf.DUMMYFUNCTION("""COMPUTED_VALUE"""),"")</f>
        <v/>
      </c>
      <c r="G2108" s="7" t="str">
        <f>IFERROR(__xludf.DUMMYFUNCTION("""COMPUTED_VALUE"""),"BN Jual Beli")</f>
        <v>BN Jual Beli</v>
      </c>
      <c r="H2108" s="7">
        <f t="shared" si="1"/>
        <v>875</v>
      </c>
    </row>
    <row r="2109" ht="22.5" customHeight="1">
      <c r="B2109" s="7" t="str">
        <f>IFERROR(__xludf.DUMMYFUNCTION("""COMPUTED_VALUE"""),"K/21/111224/3")</f>
        <v>K/21/111224/3</v>
      </c>
      <c r="C2109" s="7" t="str">
        <f>IFERROR(__xludf.DUMMYFUNCTION("""COMPUTED_VALUE"""),"M. 2380/ Sukarame Baru")</f>
        <v>M. 2380/ Sukarame Baru</v>
      </c>
      <c r="D2109" s="7"/>
      <c r="E2109" s="7"/>
      <c r="F2109" s="9" t="str">
        <f>IFERROR(__xludf.DUMMYFUNCTION("""COMPUTED_VALUE"""),"")</f>
        <v/>
      </c>
      <c r="G2109" s="7" t="str">
        <f>IFERROR(__xludf.DUMMYFUNCTION("""COMPUTED_VALUE"""),"BN Jual Beli")</f>
        <v>BN Jual Beli</v>
      </c>
      <c r="H2109" s="7">
        <f t="shared" si="1"/>
        <v>875</v>
      </c>
    </row>
    <row r="2110" ht="22.5" customHeight="1">
      <c r="B2110" s="7" t="str">
        <f>IFERROR(__xludf.DUMMYFUNCTION("""COMPUTED_VALUE"""),"K/23/111224/1")</f>
        <v>K/23/111224/1</v>
      </c>
      <c r="C2110" s="7" t="str">
        <f>IFERROR(__xludf.DUMMYFUNCTION("""COMPUTED_VALUE"""),"NIBEL M 1736/SUKARAME BARU")</f>
        <v>NIBEL M 1736/SUKARAME BARU</v>
      </c>
      <c r="D2110" s="7" t="str">
        <f>IFERROR(__xludf.DUMMYFUNCTION("""COMPUTED_VALUE"""),"David")</f>
        <v>David</v>
      </c>
      <c r="E2110" s="7" t="str">
        <f>IFERROR(__xludf.DUMMYFUNCTION("""COMPUTED_VALUE"""),"DISERAHKAN")</f>
        <v>DISERAHKAN</v>
      </c>
      <c r="F2110" s="9">
        <f>IFERROR(__xludf.DUMMYFUNCTION("""COMPUTED_VALUE"""),45642.70628888889)</f>
        <v>45642.70629</v>
      </c>
      <c r="G2110" s="7" t="str">
        <f>IFERROR(__xludf.DUMMYFUNCTION("""COMPUTED_VALUE"""),"BN JUAL BELI")</f>
        <v>BN JUAL BELI</v>
      </c>
      <c r="H2110" s="7">
        <f t="shared" si="1"/>
        <v>876</v>
      </c>
    </row>
    <row r="2111" ht="22.5" customHeight="1">
      <c r="B2111" s="7" t="str">
        <f>IFERROR(__xludf.DUMMYFUNCTION("""COMPUTED_VALUE"""),"L/24/111224/1")</f>
        <v>L/24/111224/1</v>
      </c>
      <c r="C2111" s="7" t="str">
        <f>IFERROR(__xludf.DUMMYFUNCTION("""COMPUTED_VALUE"""),"KEDATON")</f>
        <v>KEDATON</v>
      </c>
      <c r="D2111" s="7"/>
      <c r="E2111" s="7"/>
      <c r="F2111" s="9" t="str">
        <f>IFERROR(__xludf.DUMMYFUNCTION("""COMPUTED_VALUE"""),"")</f>
        <v/>
      </c>
      <c r="G2111" s="7" t="str">
        <f>IFERROR(__xludf.DUMMYFUNCTION("""COMPUTED_VALUE"""),"PERMOHONAN SK")</f>
        <v>PERMOHONAN SK</v>
      </c>
      <c r="H2111" s="7">
        <f t="shared" si="1"/>
        <v>876</v>
      </c>
    </row>
    <row r="2112" ht="22.5" customHeight="1">
      <c r="B2112" s="7" t="str">
        <f>IFERROR(__xludf.DUMMYFUNCTION("""COMPUTED_VALUE"""),"L/25/111224/1")</f>
        <v>L/25/111224/1</v>
      </c>
      <c r="C2112" s="7" t="str">
        <f>IFERROR(__xludf.DUMMYFUNCTION("""COMPUTED_VALUE"""),"HM 1201/KOTA BARU")</f>
        <v>HM 1201/KOTA BARU</v>
      </c>
      <c r="D2112" s="7" t="str">
        <f>IFERROR(__xludf.DUMMYFUNCTION("""COMPUTED_VALUE"""),"David")</f>
        <v>David</v>
      </c>
      <c r="E2112" s="7" t="str">
        <f>IFERROR(__xludf.DUMMYFUNCTION("""COMPUTED_VALUE"""),"PROSES")</f>
        <v>PROSES</v>
      </c>
      <c r="F2112" s="9" t="str">
        <f>IFERROR(__xludf.DUMMYFUNCTION("""COMPUTED_VALUE"""),"")</f>
        <v/>
      </c>
      <c r="G2112" s="7" t="str">
        <f>IFERROR(__xludf.DUMMYFUNCTION("""COMPUTED_VALUE"""),"ROYA")</f>
        <v>ROYA</v>
      </c>
      <c r="H2112" s="7">
        <f t="shared" si="1"/>
        <v>876</v>
      </c>
    </row>
    <row r="2113" ht="22.5" customHeight="1">
      <c r="B2113" s="7" t="str">
        <f>IFERROR(__xludf.DUMMYFUNCTION("""COMPUTED_VALUE"""),"K/26/111224/1")</f>
        <v>K/26/111224/1</v>
      </c>
      <c r="C2113" s="7" t="str">
        <f>IFERROR(__xludf.DUMMYFUNCTION("""COMPUTED_VALUE"""),"M.4338/WAY KANDIS")</f>
        <v>M.4338/WAY KANDIS</v>
      </c>
      <c r="D2113" s="7"/>
      <c r="E2113" s="7"/>
      <c r="F2113" s="9" t="str">
        <f>IFERROR(__xludf.DUMMYFUNCTION("""COMPUTED_VALUE"""),"")</f>
        <v/>
      </c>
      <c r="G2113" s="7" t="str">
        <f>IFERROR(__xludf.DUMMYFUNCTION("""COMPUTED_VALUE"""),"HAPUS BPHTB")</f>
        <v>HAPUS BPHTB</v>
      </c>
      <c r="H2113" s="7">
        <f t="shared" si="1"/>
        <v>876</v>
      </c>
    </row>
    <row r="2114" ht="22.5" customHeight="1">
      <c r="B2114" s="7" t="str">
        <f>IFERROR(__xludf.DUMMYFUNCTION("""COMPUTED_VALUE"""),"K/14/111224/1")</f>
        <v>K/14/111224/1</v>
      </c>
      <c r="C2114" s="7" t="str">
        <f>IFERROR(__xludf.DUMMYFUNCTION("""COMPUTED_VALUE"""),"M.149/SUKARAME BARU")</f>
        <v>M.149/SUKARAME BARU</v>
      </c>
      <c r="D2114" s="7"/>
      <c r="E2114" s="7"/>
      <c r="F2114" s="9" t="str">
        <f>IFERROR(__xludf.DUMMYFUNCTION("""COMPUTED_VALUE"""),"")</f>
        <v/>
      </c>
      <c r="G2114" s="7" t="str">
        <f>IFERROR(__xludf.DUMMYFUNCTION("""COMPUTED_VALUE"""),"ROYA")</f>
        <v>ROYA</v>
      </c>
      <c r="H2114" s="7">
        <f t="shared" si="1"/>
        <v>876</v>
      </c>
    </row>
    <row r="2115" ht="22.5" customHeight="1">
      <c r="B2115" s="7" t="str">
        <f>IFERROR(__xludf.DUMMYFUNCTION("""COMPUTED_VALUE"""),"K/27/111224/1")</f>
        <v>K/27/111224/1</v>
      </c>
      <c r="C2115" s="7" t="str">
        <f>IFERROR(__xludf.DUMMYFUNCTION("""COMPUTED_VALUE"""),"M.1568/GUNUNG TERANG")</f>
        <v>M.1568/GUNUNG TERANG</v>
      </c>
      <c r="D2115" s="7" t="str">
        <f>IFERROR(__xludf.DUMMYFUNCTION("""COMPUTED_VALUE"""),"David")</f>
        <v>David</v>
      </c>
      <c r="E2115" s="7" t="str">
        <f>IFERROR(__xludf.DUMMYFUNCTION("""COMPUTED_VALUE"""),"PROSES")</f>
        <v>PROSES</v>
      </c>
      <c r="F2115" s="9" t="str">
        <f>IFERROR(__xludf.DUMMYFUNCTION("""COMPUTED_VALUE"""),"")</f>
        <v/>
      </c>
      <c r="G2115" s="7" t="str">
        <f>IFERROR(__xludf.DUMMYFUNCTION("""COMPUTED_VALUE"""),"GANDES")</f>
        <v>GANDES</v>
      </c>
      <c r="H2115" s="7">
        <f t="shared" si="1"/>
        <v>876</v>
      </c>
    </row>
    <row r="2116" ht="22.5" customHeight="1">
      <c r="B2116" s="7" t="str">
        <f>IFERROR(__xludf.DUMMYFUNCTION("""COMPUTED_VALUE"""),"K/28/111224/1")</f>
        <v>K/28/111224/1</v>
      </c>
      <c r="C2116" s="7" t="str">
        <f>IFERROR(__xludf.DUMMYFUNCTION("""COMPUTED_VALUE"""),"NIBEL M.3620/GEDONG AIR")</f>
        <v>NIBEL M.3620/GEDONG AIR</v>
      </c>
      <c r="D2116" s="7" t="str">
        <f>IFERROR(__xludf.DUMMYFUNCTION("""COMPUTED_VALUE"""),"David")</f>
        <v>David</v>
      </c>
      <c r="E2116" s="7" t="str">
        <f>IFERROR(__xludf.DUMMYFUNCTION("""COMPUTED_VALUE"""),"PROSES")</f>
        <v>PROSES</v>
      </c>
      <c r="F2116" s="9" t="str">
        <f>IFERROR(__xludf.DUMMYFUNCTION("""COMPUTED_VALUE"""),"")</f>
        <v/>
      </c>
      <c r="G2116" s="7" t="str">
        <f>IFERROR(__xludf.DUMMYFUNCTION("""COMPUTED_VALUE"""),"PTPGT")</f>
        <v>PTPGT</v>
      </c>
      <c r="H2116" s="7">
        <f t="shared" si="1"/>
        <v>876</v>
      </c>
    </row>
    <row r="2117" ht="22.5" customHeight="1">
      <c r="B2117" s="7" t="str">
        <f>IFERROR(__xludf.DUMMYFUNCTION("""COMPUTED_VALUE"""),"L/29/111224/1")</f>
        <v>L/29/111224/1</v>
      </c>
      <c r="C2117" s="7" t="str">
        <f>IFERROR(__xludf.DUMMYFUNCTION("""COMPUTED_VALUE"""),"HGB 170/PINANG JAYA")</f>
        <v>HGB 170/PINANG JAYA</v>
      </c>
      <c r="D2117" s="7"/>
      <c r="E2117" s="7"/>
      <c r="F2117" s="9" t="str">
        <f>IFERROR(__xludf.DUMMYFUNCTION("""COMPUTED_VALUE"""),"")</f>
        <v/>
      </c>
      <c r="G2117" s="7" t="str">
        <f>IFERROR(__xludf.DUMMYFUNCTION("""COMPUTED_VALUE"""),"PH")</f>
        <v>PH</v>
      </c>
      <c r="H2117" s="7">
        <f t="shared" si="1"/>
        <v>876</v>
      </c>
    </row>
    <row r="2118" ht="22.5" customHeight="1">
      <c r="B2118" s="7" t="str">
        <f>IFERROR(__xludf.DUMMYFUNCTION("""COMPUTED_VALUE"""),"K/30/111224/1")</f>
        <v>K/30/111224/1</v>
      </c>
      <c r="C2118" s="7" t="str">
        <f>IFERROR(__xludf.DUMMYFUNCTION("""COMPUTED_VALUE"""),"M. 2373/ Kedaung")</f>
        <v>M. 2373/ Kedaung</v>
      </c>
      <c r="D2118" s="7" t="str">
        <f>IFERROR(__xludf.DUMMYFUNCTION("""COMPUTED_VALUE"""),"David")</f>
        <v>David</v>
      </c>
      <c r="E2118" s="7" t="str">
        <f>IFERROR(__xludf.DUMMYFUNCTION("""COMPUTED_VALUE"""),"DISERAHKAN")</f>
        <v>DISERAHKAN</v>
      </c>
      <c r="F2118" s="9">
        <f>IFERROR(__xludf.DUMMYFUNCTION("""COMPUTED_VALUE"""),45642.70695931713)</f>
        <v>45642.70696</v>
      </c>
      <c r="G2118" s="7" t="str">
        <f>IFERROR(__xludf.DUMMYFUNCTION("""COMPUTED_VALUE"""),"BN JUAL HIBAH")</f>
        <v>BN JUAL HIBAH</v>
      </c>
      <c r="H2118" s="7">
        <f t="shared" si="1"/>
        <v>877</v>
      </c>
    </row>
    <row r="2119" ht="22.5" customHeight="1">
      <c r="B2119" s="7" t="str">
        <f>IFERROR(__xludf.DUMMYFUNCTION("""COMPUTED_VALUE"""),"K/31/111224/1")</f>
        <v>K/31/111224/1</v>
      </c>
      <c r="C2119" s="7" t="str">
        <f>IFERROR(__xludf.DUMMYFUNCTION("""COMPUTED_VALUE"""),"Nibel. M. 3437/ Bakung")</f>
        <v>Nibel. M. 3437/ Bakung</v>
      </c>
      <c r="D2119" s="7" t="str">
        <f>IFERROR(__xludf.DUMMYFUNCTION("""COMPUTED_VALUE"""),"David")</f>
        <v>David</v>
      </c>
      <c r="E2119" s="7" t="str">
        <f>IFERROR(__xludf.DUMMYFUNCTION("""COMPUTED_VALUE"""),"DISERAHKAN")</f>
        <v>DISERAHKAN</v>
      </c>
      <c r="F2119" s="9">
        <f>IFERROR(__xludf.DUMMYFUNCTION("""COMPUTED_VALUE"""),45642.70735766204)</f>
        <v>45642.70736</v>
      </c>
      <c r="G2119" s="7" t="str">
        <f>IFERROR(__xludf.DUMMYFUNCTION("""COMPUTED_VALUE"""),"BN Jual Beli")</f>
        <v>BN Jual Beli</v>
      </c>
      <c r="H2119" s="7">
        <f t="shared" si="1"/>
        <v>878</v>
      </c>
    </row>
    <row r="2120" ht="22.5" customHeight="1">
      <c r="B2120" s="7" t="str">
        <f>IFERROR(__xludf.DUMMYFUNCTION("""COMPUTED_VALUE"""),"K/32/111224/1")</f>
        <v>K/32/111224/1</v>
      </c>
      <c r="C2120" s="7" t="str">
        <f>IFERROR(__xludf.DUMMYFUNCTION("""COMPUTED_VALUE"""),"M. 6460/ Way Kandis")</f>
        <v>M. 6460/ Way Kandis</v>
      </c>
      <c r="D2120" s="7"/>
      <c r="E2120" s="7"/>
      <c r="F2120" s="9" t="str">
        <f>IFERROR(__xludf.DUMMYFUNCTION("""COMPUTED_VALUE"""),"")</f>
        <v/>
      </c>
      <c r="G2120" s="7" t="str">
        <f>IFERROR(__xludf.DUMMYFUNCTION("""COMPUTED_VALUE"""),"BN Jual Beli")</f>
        <v>BN Jual Beli</v>
      </c>
      <c r="H2120" s="7">
        <f t="shared" si="1"/>
        <v>878</v>
      </c>
    </row>
    <row r="2121" ht="22.5" customHeight="1">
      <c r="B2121" s="7" t="str">
        <f>IFERROR(__xludf.DUMMYFUNCTION("""COMPUTED_VALUE"""),"K/33/111224/2")</f>
        <v>K/33/111224/2</v>
      </c>
      <c r="C2121" s="7" t="str">
        <f>IFERROR(__xludf.DUMMYFUNCTION("""COMPUTED_VALUE"""),"M. 6463/ Way Kandis")</f>
        <v>M. 6463/ Way Kandis</v>
      </c>
      <c r="D2121" s="7"/>
      <c r="E2121" s="7"/>
      <c r="F2121" s="9" t="str">
        <f>IFERROR(__xludf.DUMMYFUNCTION("""COMPUTED_VALUE"""),"")</f>
        <v/>
      </c>
      <c r="G2121" s="7" t="str">
        <f>IFERROR(__xludf.DUMMYFUNCTION("""COMPUTED_VALUE"""),"BN Jual Beli")</f>
        <v>BN Jual Beli</v>
      </c>
      <c r="H2121" s="7">
        <f t="shared" si="1"/>
        <v>878</v>
      </c>
    </row>
    <row r="2122" ht="22.5" customHeight="1">
      <c r="B2122" s="7" t="str">
        <f>IFERROR(__xludf.DUMMYFUNCTION("""COMPUTED_VALUE"""),"L/35/111224/1")</f>
        <v>L/35/111224/1</v>
      </c>
      <c r="C2122" s="7" t="str">
        <f>IFERROR(__xludf.DUMMYFUNCTION("""COMPUTED_VALUE"""),"PEMATANG WANGI")</f>
        <v>PEMATANG WANGI</v>
      </c>
      <c r="D2122" s="7"/>
      <c r="E2122" s="7"/>
      <c r="F2122" s="9" t="str">
        <f>IFERROR(__xludf.DUMMYFUNCTION("""COMPUTED_VALUE"""),"")</f>
        <v/>
      </c>
      <c r="G2122" s="7" t="str">
        <f>IFERROR(__xludf.DUMMYFUNCTION("""COMPUTED_VALUE"""),"ASPEK")</f>
        <v>ASPEK</v>
      </c>
      <c r="H2122" s="7">
        <f t="shared" si="1"/>
        <v>878</v>
      </c>
    </row>
    <row r="2123" ht="22.5" customHeight="1">
      <c r="B2123" s="7" t="str">
        <f>IFERROR(__xludf.DUMMYFUNCTION("""COMPUTED_VALUE"""),"K/34/111224/3")</f>
        <v>K/34/111224/3</v>
      </c>
      <c r="C2123" s="7" t="str">
        <f>IFERROR(__xludf.DUMMYFUNCTION("""COMPUTED_VALUE"""),"Nibel. M. 1602/ Sumur Batu")</f>
        <v>Nibel. M. 1602/ Sumur Batu</v>
      </c>
      <c r="D2123" s="7"/>
      <c r="E2123" s="7"/>
      <c r="F2123" s="9" t="str">
        <f>IFERROR(__xludf.DUMMYFUNCTION("""COMPUTED_VALUE"""),"")</f>
        <v/>
      </c>
      <c r="G2123" s="7" t="str">
        <f>IFERROR(__xludf.DUMMYFUNCTION("""COMPUTED_VALUE"""),"BN Jual Beli")</f>
        <v>BN Jual Beli</v>
      </c>
      <c r="H2123" s="7">
        <f t="shared" si="1"/>
        <v>878</v>
      </c>
    </row>
    <row r="2124" ht="22.5" customHeight="1">
      <c r="B2124" s="7" t="str">
        <f>IFERROR(__xludf.DUMMYFUNCTION("""COMPUTED_VALUE"""),"L/36/111224/1")</f>
        <v>L/36/111224/1</v>
      </c>
      <c r="C2124" s="7" t="str">
        <f>IFERROR(__xludf.DUMMYFUNCTION("""COMPUTED_VALUE"""),"NIB 2436/SUKAMENANTI")</f>
        <v>NIB 2436/SUKAMENANTI</v>
      </c>
      <c r="D2124" s="7"/>
      <c r="E2124" s="7"/>
      <c r="F2124" s="9" t="str">
        <f>IFERROR(__xludf.DUMMYFUNCTION("""COMPUTED_VALUE"""),"")</f>
        <v/>
      </c>
      <c r="G2124" s="7" t="str">
        <f>IFERROR(__xludf.DUMMYFUNCTION("""COMPUTED_VALUE"""),"BN WARIS")</f>
        <v>BN WARIS</v>
      </c>
      <c r="H2124" s="7">
        <f t="shared" si="1"/>
        <v>878</v>
      </c>
    </row>
    <row r="2125" ht="22.5" customHeight="1">
      <c r="B2125" s="7" t="str">
        <f>IFERROR(__xludf.DUMMYFUNCTION("""COMPUTED_VALUE"""),"K/37/111224/1")</f>
        <v>K/37/111224/1</v>
      </c>
      <c r="C2125" s="7" t="str">
        <f>IFERROR(__xludf.DUMMYFUNCTION("""COMPUTED_VALUE"""),"M. 483/ Langkapura Baru")</f>
        <v>M. 483/ Langkapura Baru</v>
      </c>
      <c r="D2125" s="7"/>
      <c r="E2125" s="7"/>
      <c r="F2125" s="9" t="str">
        <f>IFERROR(__xludf.DUMMYFUNCTION("""COMPUTED_VALUE"""),"")</f>
        <v/>
      </c>
      <c r="G2125" s="7" t="str">
        <f>IFERROR(__xludf.DUMMYFUNCTION("""COMPUTED_VALUE"""),"HAPUS BPHTB")</f>
        <v>HAPUS BPHTB</v>
      </c>
      <c r="H2125" s="7">
        <f t="shared" si="1"/>
        <v>878</v>
      </c>
    </row>
    <row r="2126" ht="22.5" customHeight="1">
      <c r="B2126" s="7" t="str">
        <f>IFERROR(__xludf.DUMMYFUNCTION("""COMPUTED_VALUE"""),"K/38/111224/1")</f>
        <v>K/38/111224/1</v>
      </c>
      <c r="C2126" s="7" t="str">
        <f>IFERROR(__xludf.DUMMYFUNCTION("""COMPUTED_VALUE"""),"M. 5748/ Way Kandis")</f>
        <v>M. 5748/ Way Kandis</v>
      </c>
      <c r="D2126" s="7"/>
      <c r="E2126" s="7"/>
      <c r="F2126" s="9" t="str">
        <f>IFERROR(__xludf.DUMMYFUNCTION("""COMPUTED_VALUE"""),"")</f>
        <v/>
      </c>
      <c r="G2126" s="7" t="str">
        <f>IFERROR(__xludf.DUMMYFUNCTION("""COMPUTED_VALUE"""),"Hapus BPHTB")</f>
        <v>Hapus BPHTB</v>
      </c>
      <c r="H2126" s="7">
        <f t="shared" si="1"/>
        <v>878</v>
      </c>
    </row>
    <row r="2127" ht="22.5" customHeight="1">
      <c r="B2127" s="7" t="str">
        <f>IFERROR(__xludf.DUMMYFUNCTION("""COMPUTED_VALUE"""),"L/39/111224/1")</f>
        <v>L/39/111224/1</v>
      </c>
      <c r="C2127" s="7" t="str">
        <f>IFERROR(__xludf.DUMMYFUNCTION("""COMPUTED_VALUE"""),"KEBON JERUK")</f>
        <v>KEBON JERUK</v>
      </c>
      <c r="D2127" s="7"/>
      <c r="E2127" s="7"/>
      <c r="F2127" s="9" t="str">
        <f>IFERROR(__xludf.DUMMYFUNCTION("""COMPUTED_VALUE"""),"")</f>
        <v/>
      </c>
      <c r="G2127" s="7" t="str">
        <f>IFERROR(__xludf.DUMMYFUNCTION("""COMPUTED_VALUE"""),"TANAH MENTAH")</f>
        <v>TANAH MENTAH</v>
      </c>
      <c r="H2127" s="7">
        <f t="shared" si="1"/>
        <v>878</v>
      </c>
    </row>
    <row r="2128" ht="22.5" customHeight="1">
      <c r="B2128" s="7" t="str">
        <f>IFERROR(__xludf.DUMMYFUNCTION("""COMPUTED_VALUE"""),"K/40/111224/1")</f>
        <v>K/40/111224/1</v>
      </c>
      <c r="C2128" s="7" t="str">
        <f>IFERROR(__xludf.DUMMYFUNCTION("""COMPUTED_VALUE"""),"M. 2275/ Way Laga")</f>
        <v>M. 2275/ Way Laga</v>
      </c>
      <c r="D2128" s="7" t="str">
        <f>IFERROR(__xludf.DUMMYFUNCTION("""COMPUTED_VALUE"""),"David")</f>
        <v>David</v>
      </c>
      <c r="E2128" s="7" t="str">
        <f>IFERROR(__xludf.DUMMYFUNCTION("""COMPUTED_VALUE"""),"DISERAHKAN")</f>
        <v>DISERAHKAN</v>
      </c>
      <c r="F2128" s="9">
        <f>IFERROR(__xludf.DUMMYFUNCTION("""COMPUTED_VALUE"""),45642.707608819444)</f>
        <v>45642.70761</v>
      </c>
      <c r="G2128" s="7" t="str">
        <f>IFERROR(__xludf.DUMMYFUNCTION("""COMPUTED_VALUE"""),"HAPUS BPHTB")</f>
        <v>HAPUS BPHTB</v>
      </c>
      <c r="H2128" s="7">
        <f t="shared" si="1"/>
        <v>879</v>
      </c>
    </row>
    <row r="2129" ht="22.5" customHeight="1">
      <c r="B2129" s="7" t="str">
        <f>IFERROR(__xludf.DUMMYFUNCTION("""COMPUTED_VALUE"""),"K/41/111224/1")</f>
        <v>K/41/111224/1</v>
      </c>
      <c r="C2129" s="7" t="str">
        <f>IFERROR(__xludf.DUMMYFUNCTION("""COMPUTED_VALUE"""),"M. 2330/ Sepang Jaya")</f>
        <v>M. 2330/ Sepang Jaya</v>
      </c>
      <c r="D2129" s="7"/>
      <c r="E2129" s="7"/>
      <c r="F2129" s="9" t="str">
        <f>IFERROR(__xludf.DUMMYFUNCTION("""COMPUTED_VALUE"""),"")</f>
        <v/>
      </c>
      <c r="G2129" s="7" t="str">
        <f>IFERROR(__xludf.DUMMYFUNCTION("""COMPUTED_VALUE"""),"Pengecekan")</f>
        <v>Pengecekan</v>
      </c>
      <c r="H2129" s="7">
        <f t="shared" si="1"/>
        <v>879</v>
      </c>
    </row>
    <row r="2130" ht="22.5" customHeight="1">
      <c r="B2130" s="7" t="str">
        <f>IFERROR(__xludf.DUMMYFUNCTION("""COMPUTED_VALUE"""),"L/44/111224/1")</f>
        <v>L/44/111224/1</v>
      </c>
      <c r="C2130" s="7" t="str">
        <f>IFERROR(__xludf.DUMMYFUNCTION("""COMPUTED_VALUE"""),"HGB 637/CAMPANG RAYA")</f>
        <v>HGB 637/CAMPANG RAYA</v>
      </c>
      <c r="D2130" s="7"/>
      <c r="E2130" s="7"/>
      <c r="F2130" s="9" t="str">
        <f>IFERROR(__xludf.DUMMYFUNCTION("""COMPUTED_VALUE"""),"")</f>
        <v/>
      </c>
      <c r="G2130" s="7" t="str">
        <f>IFERROR(__xludf.DUMMYFUNCTION("""COMPUTED_VALUE"""),"PH")</f>
        <v>PH</v>
      </c>
      <c r="H2130" s="7">
        <f t="shared" si="1"/>
        <v>879</v>
      </c>
    </row>
    <row r="2131" ht="22.5" customHeight="1">
      <c r="B2131" s="7" t="str">
        <f>IFERROR(__xludf.DUMMYFUNCTION("""COMPUTED_VALUE"""),"K/42/111224/1")</f>
        <v>K/42/111224/1</v>
      </c>
      <c r="C2131" s="7" t="str">
        <f>IFERROR(__xludf.DUMMYFUNCTION("""COMPUTED_VALUE"""),"M.1564/JAGABAYA III")</f>
        <v>M.1564/JAGABAYA III</v>
      </c>
      <c r="D2131" s="7"/>
      <c r="E2131" s="7" t="str">
        <f>IFERROR(__xludf.DUMMYFUNCTION("""COMPUTED_VALUE"""),"DISERAHKAN")</f>
        <v>DISERAHKAN</v>
      </c>
      <c r="F2131" s="9">
        <f>IFERROR(__xludf.DUMMYFUNCTION("""COMPUTED_VALUE"""),45642.69865439815)</f>
        <v>45642.69865</v>
      </c>
      <c r="G2131" s="7" t="str">
        <f>IFERROR(__xludf.DUMMYFUNCTION("""COMPUTED_VALUE"""),"HAPUS BPHTB")</f>
        <v>HAPUS BPHTB</v>
      </c>
      <c r="H2131" s="7">
        <f t="shared" si="1"/>
        <v>880</v>
      </c>
    </row>
    <row r="2132" ht="22.5" customHeight="1">
      <c r="B2132" s="7" t="str">
        <f>IFERROR(__xludf.DUMMYFUNCTION("""COMPUTED_VALUE"""),"K/43/111224/2")</f>
        <v>K/43/111224/2</v>
      </c>
      <c r="C2132" s="7" t="str">
        <f>IFERROR(__xludf.DUMMYFUNCTION("""COMPUTED_VALUE"""),"M.1387/SUSUNAN BARU-SEKARANG;B.661/SUSUNAN BARU-DAHULU")</f>
        <v>M.1387/SUSUNAN BARU-SEKARANG;B.661/SUSUNAN BARU-DAHULU</v>
      </c>
      <c r="D2132" s="7"/>
      <c r="E2132" s="7"/>
      <c r="F2132" s="9" t="str">
        <f>IFERROR(__xludf.DUMMYFUNCTION("""COMPUTED_VALUE"""),"")</f>
        <v/>
      </c>
      <c r="G2132" s="7" t="str">
        <f>IFERROR(__xludf.DUMMYFUNCTION("""COMPUTED_VALUE"""),"PLOTING")</f>
        <v>PLOTING</v>
      </c>
      <c r="H2132" s="7">
        <f t="shared" si="1"/>
        <v>880</v>
      </c>
    </row>
    <row r="2133" ht="22.5" customHeight="1">
      <c r="B2133" s="7" t="str">
        <f>IFERROR(__xludf.DUMMYFUNCTION("""COMPUTED_VALUE"""),"L/47/111224/1")</f>
        <v>L/47/111224/1</v>
      </c>
      <c r="C2133" s="7" t="str">
        <f>IFERROR(__xludf.DUMMYFUNCTION("""COMPUTED_VALUE"""),"HM 1626/LABUHAN DALAM")</f>
        <v>HM 1626/LABUHAN DALAM</v>
      </c>
      <c r="D2133" s="7"/>
      <c r="E2133" s="7"/>
      <c r="F2133" s="9" t="str">
        <f>IFERROR(__xludf.DUMMYFUNCTION("""COMPUTED_VALUE"""),"")</f>
        <v/>
      </c>
      <c r="G2133" s="7" t="str">
        <f>IFERROR(__xludf.DUMMYFUNCTION("""COMPUTED_VALUE"""),"ROYA WARIS")</f>
        <v>ROYA WARIS</v>
      </c>
      <c r="H2133" s="7">
        <f t="shared" si="1"/>
        <v>880</v>
      </c>
    </row>
    <row r="2134" ht="22.5" customHeight="1">
      <c r="B2134" s="7" t="str">
        <f>IFERROR(__xludf.DUMMYFUNCTION("""COMPUTED_VALUE"""),"K/48/111224/1")</f>
        <v>K/48/111224/1</v>
      </c>
      <c r="C2134" s="7" t="str">
        <f>IFERROR(__xludf.DUMMYFUNCTION("""COMPUTED_VALUE"""),"M. 4014/ Rajabasa Jaya")</f>
        <v>M. 4014/ Rajabasa Jaya</v>
      </c>
      <c r="D2134" s="7" t="str">
        <f>IFERROR(__xludf.DUMMYFUNCTION("""COMPUTED_VALUE"""),"David")</f>
        <v>David</v>
      </c>
      <c r="E2134" s="7" t="str">
        <f>IFERROR(__xludf.DUMMYFUNCTION("""COMPUTED_VALUE"""),"DISERAHKAN")</f>
        <v>DISERAHKAN</v>
      </c>
      <c r="F2134" s="9">
        <f>IFERROR(__xludf.DUMMYFUNCTION("""COMPUTED_VALUE"""),45642.70789060185)</f>
        <v>45642.70789</v>
      </c>
      <c r="G2134" s="7" t="str">
        <f>IFERROR(__xludf.DUMMYFUNCTION("""COMPUTED_VALUE"""),"PTPGT PEMECHAAN")</f>
        <v>PTPGT PEMECHAAN</v>
      </c>
      <c r="H2134" s="7">
        <f t="shared" si="1"/>
        <v>881</v>
      </c>
    </row>
    <row r="2135" ht="22.5" customHeight="1">
      <c r="B2135" s="7" t="str">
        <f>IFERROR(__xludf.DUMMYFUNCTION("""COMPUTED_VALUE"""),"K/45/111224/1")</f>
        <v>K/45/111224/1</v>
      </c>
      <c r="C2135" s="7" t="str">
        <f>IFERROR(__xludf.DUMMYFUNCTION("""COMPUTED_VALUE"""),"NIBEL M. 1763/PERUMNAS WAY HALIM")</f>
        <v>NIBEL M. 1763/PERUMNAS WAY HALIM</v>
      </c>
      <c r="D2135" s="7"/>
      <c r="E2135" s="7"/>
      <c r="F2135" s="9" t="str">
        <f>IFERROR(__xludf.DUMMYFUNCTION("""COMPUTED_VALUE"""),"")</f>
        <v/>
      </c>
      <c r="G2135" s="7" t="str">
        <f>IFERROR(__xludf.DUMMYFUNCTION("""COMPUTED_VALUE"""),"BN JUAL BELI")</f>
        <v>BN JUAL BELI</v>
      </c>
      <c r="H2135" s="7">
        <f t="shared" si="1"/>
        <v>881</v>
      </c>
    </row>
    <row r="2136" ht="22.5" customHeight="1">
      <c r="B2136" s="7" t="str">
        <f>IFERROR(__xludf.DUMMYFUNCTION("""COMPUTED_VALUE"""),"K/46/111224/2")</f>
        <v>K/46/111224/2</v>
      </c>
      <c r="C2136" s="7" t="str">
        <f>IFERROR(__xludf.DUMMYFUNCTION("""COMPUTED_VALUE"""),"M.5548/WAY KANDIS")</f>
        <v>M.5548/WAY KANDIS</v>
      </c>
      <c r="D2136" s="7"/>
      <c r="E2136" s="7"/>
      <c r="F2136" s="9" t="str">
        <f>IFERROR(__xludf.DUMMYFUNCTION("""COMPUTED_VALUE"""),"")</f>
        <v/>
      </c>
      <c r="G2136" s="7" t="str">
        <f>IFERROR(__xludf.DUMMYFUNCTION("""COMPUTED_VALUE"""),"BN JUAL BELI")</f>
        <v>BN JUAL BELI</v>
      </c>
      <c r="H2136" s="7">
        <f t="shared" si="1"/>
        <v>881</v>
      </c>
    </row>
    <row r="2137" ht="22.5" customHeight="1">
      <c r="B2137" s="7" t="str">
        <f>IFERROR(__xludf.DUMMYFUNCTION("""COMPUTED_VALUE"""),"K/49/111224/2")</f>
        <v>K/49/111224/2</v>
      </c>
      <c r="C2137" s="7" t="str">
        <f>IFERROR(__xludf.DUMMYFUNCTION("""COMPUTED_VALUE"""),"M. 5059/ Rajabasa Jaya")</f>
        <v>M. 5059/ Rajabasa Jaya</v>
      </c>
      <c r="D2137" s="7" t="str">
        <f>IFERROR(__xludf.DUMMYFUNCTION("""COMPUTED_VALUE"""),"David")</f>
        <v>David</v>
      </c>
      <c r="E2137" s="7" t="str">
        <f>IFERROR(__xludf.DUMMYFUNCTION("""COMPUTED_VALUE"""),"DISERAHKAN BT")</f>
        <v>DISERAHKAN BT</v>
      </c>
      <c r="F2137" s="9">
        <f>IFERROR(__xludf.DUMMYFUNCTION("""COMPUTED_VALUE"""),45642.70850988426)</f>
        <v>45642.70851</v>
      </c>
      <c r="G2137" s="7" t="str">
        <f>IFERROR(__xludf.DUMMYFUNCTION("""COMPUTED_VALUE"""),"PTPGT PEMECAHAN")</f>
        <v>PTPGT PEMECAHAN</v>
      </c>
      <c r="H2137" s="7">
        <f t="shared" si="1"/>
        <v>881</v>
      </c>
    </row>
    <row r="2138" ht="22.5" customHeight="1">
      <c r="B2138" s="7" t="str">
        <f>IFERROR(__xludf.DUMMYFUNCTION("""COMPUTED_VALUE"""),"K/50/111224/1")</f>
        <v>K/50/111224/1</v>
      </c>
      <c r="C2138" s="7" t="str">
        <f>IFERROR(__xludf.DUMMYFUNCTION("""COMPUTED_VALUE"""),"M. 11973/ Labuhan Ratu")</f>
        <v>M. 11973/ Labuhan Ratu</v>
      </c>
      <c r="D2138" s="7"/>
      <c r="E2138" s="7"/>
      <c r="F2138" s="9" t="str">
        <f>IFERROR(__xludf.DUMMYFUNCTION("""COMPUTED_VALUE"""),"")</f>
        <v/>
      </c>
      <c r="G2138" s="7" t="str">
        <f>IFERROR(__xludf.DUMMYFUNCTION("""COMPUTED_VALUE"""),"Gandes")</f>
        <v>Gandes</v>
      </c>
      <c r="H2138" s="7">
        <f t="shared" si="1"/>
        <v>881</v>
      </c>
    </row>
    <row r="2139" ht="22.5" customHeight="1">
      <c r="B2139" s="7" t="str">
        <f>IFERROR(__xludf.DUMMYFUNCTION("""COMPUTED_VALUE"""),"K/51/111224/1")</f>
        <v>K/51/111224/1</v>
      </c>
      <c r="C2139" s="7" t="str">
        <f>IFERROR(__xludf.DUMMYFUNCTION("""COMPUTED_VALUE"""),"M.1536/GUNUNG TERANG-SEKARANG;B.134/GUNUNG TERANG-DAHULU")</f>
        <v>M.1536/GUNUNG TERANG-SEKARANG;B.134/GUNUNG TERANG-DAHULU</v>
      </c>
      <c r="D2139" s="7"/>
      <c r="E2139" s="7"/>
      <c r="F2139" s="9" t="str">
        <f>IFERROR(__xludf.DUMMYFUNCTION("""COMPUTED_VALUE"""),"")</f>
        <v/>
      </c>
      <c r="G2139" s="7" t="str">
        <f>IFERROR(__xludf.DUMMYFUNCTION("""COMPUTED_VALUE"""),"KEWARISAN")</f>
        <v>KEWARISAN</v>
      </c>
      <c r="H2139" s="7">
        <f t="shared" si="1"/>
        <v>881</v>
      </c>
    </row>
    <row r="2140" ht="22.5" customHeight="1">
      <c r="B2140" s="7" t="str">
        <f>IFERROR(__xludf.DUMMYFUNCTION("""COMPUTED_VALUE"""),"K/52/111224/1")</f>
        <v>K/52/111224/1</v>
      </c>
      <c r="C2140" s="7" t="str">
        <f>IFERROR(__xludf.DUMMYFUNCTION("""COMPUTED_VALUE"""),"Nibel 15165/ Kedamaian")</f>
        <v>Nibel 15165/ Kedamaian</v>
      </c>
      <c r="D2140" s="7" t="str">
        <f>IFERROR(__xludf.DUMMYFUNCTION("""COMPUTED_VALUE"""),"David")</f>
        <v>David</v>
      </c>
      <c r="E2140" s="7" t="str">
        <f>IFERROR(__xludf.DUMMYFUNCTION("""COMPUTED_VALUE"""),"DISERAHKAN")</f>
        <v>DISERAHKAN</v>
      </c>
      <c r="F2140" s="9">
        <f>IFERROR(__xludf.DUMMYFUNCTION("""COMPUTED_VALUE"""),45642.70875119213)</f>
        <v>45642.70875</v>
      </c>
      <c r="G2140" s="7" t="str">
        <f>IFERROR(__xludf.DUMMYFUNCTION("""COMPUTED_VALUE"""),"BN LELANG")</f>
        <v>BN LELANG</v>
      </c>
      <c r="H2140" s="7">
        <f t="shared" si="1"/>
        <v>882</v>
      </c>
    </row>
    <row r="2141" ht="22.5" customHeight="1">
      <c r="B2141" s="7" t="str">
        <f>IFERROR(__xludf.DUMMYFUNCTION("""COMPUTED_VALUE"""),"K/53/111224/2")</f>
        <v>K/53/111224/2</v>
      </c>
      <c r="C2141" s="7" t="str">
        <f>IFERROR(__xludf.DUMMYFUNCTION("""COMPUTED_VALUE"""),"Nibel 13194/ Kedamaian")</f>
        <v>Nibel 13194/ Kedamaian</v>
      </c>
      <c r="D2141" s="7" t="str">
        <f>IFERROR(__xludf.DUMMYFUNCTION("""COMPUTED_VALUE"""),"David")</f>
        <v>David</v>
      </c>
      <c r="E2141" s="7" t="str">
        <f>IFERROR(__xludf.DUMMYFUNCTION("""COMPUTED_VALUE"""),"DISERAHKAN")</f>
        <v>DISERAHKAN</v>
      </c>
      <c r="F2141" s="9">
        <f>IFERROR(__xludf.DUMMYFUNCTION("""COMPUTED_VALUE"""),45642.70892949074)</f>
        <v>45642.70893</v>
      </c>
      <c r="G2141" s="7" t="str">
        <f>IFERROR(__xludf.DUMMYFUNCTION("""COMPUTED_VALUE"""),"BN LELANG")</f>
        <v>BN LELANG</v>
      </c>
      <c r="H2141" s="7">
        <f t="shared" si="1"/>
        <v>883</v>
      </c>
    </row>
    <row r="2142" ht="22.5" customHeight="1">
      <c r="B2142" s="7" t="str">
        <f>IFERROR(__xludf.DUMMYFUNCTION("""COMPUTED_VALUE"""),"K/1/121224/1")</f>
        <v>K/1/121224/1</v>
      </c>
      <c r="C2142" s="7" t="str">
        <f>IFERROR(__xludf.DUMMYFUNCTION("""COMPUTED_VALUE"""),"M. 228/ Pidada")</f>
        <v>M. 228/ Pidada</v>
      </c>
      <c r="D2142" s="7" t="str">
        <f>IFERROR(__xludf.DUMMYFUNCTION("""COMPUTED_VALUE"""),"David")</f>
        <v>David</v>
      </c>
      <c r="E2142" s="7" t="str">
        <f>IFERROR(__xludf.DUMMYFUNCTION("""COMPUTED_VALUE"""),"PROSES")</f>
        <v>PROSES</v>
      </c>
      <c r="F2142" s="9" t="str">
        <f>IFERROR(__xludf.DUMMYFUNCTION("""COMPUTED_VALUE"""),"")</f>
        <v/>
      </c>
      <c r="G2142" s="7" t="str">
        <f>IFERROR(__xludf.DUMMYFUNCTION("""COMPUTED_VALUE"""),"BN Jual Beli")</f>
        <v>BN Jual Beli</v>
      </c>
      <c r="H2142" s="7">
        <f t="shared" si="1"/>
        <v>883</v>
      </c>
    </row>
    <row r="2143" ht="22.5" customHeight="1">
      <c r="B2143" s="7" t="str">
        <f>IFERROR(__xludf.DUMMYFUNCTION("""COMPUTED_VALUE"""),"K/2/121224/1")</f>
        <v>K/2/121224/1</v>
      </c>
      <c r="C2143" s="7" t="str">
        <f>IFERROR(__xludf.DUMMYFUNCTION("""COMPUTED_VALUE"""),"M.16656/SUKABUMI")</f>
        <v>M.16656/SUKABUMI</v>
      </c>
      <c r="D2143" s="7"/>
      <c r="E2143" s="7"/>
      <c r="F2143" s="9" t="str">
        <f>IFERROR(__xludf.DUMMYFUNCTION("""COMPUTED_VALUE"""),"")</f>
        <v/>
      </c>
      <c r="G2143" s="7" t="str">
        <f>IFERROR(__xludf.DUMMYFUNCTION("""COMPUTED_VALUE"""),"BN JUAL BELI")</f>
        <v>BN JUAL BELI</v>
      </c>
      <c r="H2143" s="7">
        <f t="shared" si="1"/>
        <v>883</v>
      </c>
    </row>
    <row r="2144" ht="22.5" customHeight="1">
      <c r="B2144" s="7" t="str">
        <f>IFERROR(__xludf.DUMMYFUNCTION("""COMPUTED_VALUE"""),"K/3/121224/2")</f>
        <v>K/3/121224/2</v>
      </c>
      <c r="C2144" s="7" t="str">
        <f>IFERROR(__xludf.DUMMYFUNCTION("""COMPUTED_VALUE"""),"M.7025/TANJUNG SENENG")</f>
        <v>M.7025/TANJUNG SENENG</v>
      </c>
      <c r="D2144" s="7"/>
      <c r="E2144" s="7"/>
      <c r="F2144" s="9" t="str">
        <f>IFERROR(__xludf.DUMMYFUNCTION("""COMPUTED_VALUE"""),"")</f>
        <v/>
      </c>
      <c r="G2144" s="7" t="str">
        <f>IFERROR(__xludf.DUMMYFUNCTION("""COMPUTED_VALUE"""),"BN JUAL BELI")</f>
        <v>BN JUAL BELI</v>
      </c>
      <c r="H2144" s="7">
        <f t="shared" si="1"/>
        <v>883</v>
      </c>
    </row>
    <row r="2145" ht="22.5" customHeight="1">
      <c r="B2145" s="7" t="str">
        <f>IFERROR(__xludf.DUMMYFUNCTION("""COMPUTED_VALUE"""),"K/4/121224/1")</f>
        <v>K/4/121224/1</v>
      </c>
      <c r="C2145" s="7" t="str">
        <f>IFERROR(__xludf.DUMMYFUNCTION("""COMPUTED_VALUE"""),"M. 11502/ Kedamaian")</f>
        <v>M. 11502/ Kedamaian</v>
      </c>
      <c r="D2145" s="7"/>
      <c r="E2145" s="7"/>
      <c r="F2145" s="9" t="str">
        <f>IFERROR(__xludf.DUMMYFUNCTION("""COMPUTED_VALUE"""),"")</f>
        <v/>
      </c>
      <c r="G2145" s="7" t="str">
        <f>IFERROR(__xludf.DUMMYFUNCTION("""COMPUTED_VALUE"""),"Gandes")</f>
        <v>Gandes</v>
      </c>
      <c r="H2145" s="7">
        <f t="shared" si="1"/>
        <v>883</v>
      </c>
    </row>
    <row r="2146" ht="22.5" customHeight="1">
      <c r="B2146" s="7" t="str">
        <f>IFERROR(__xludf.DUMMYFUNCTION("""COMPUTED_VALUE"""),"K/5/121224/2")</f>
        <v>K/5/121224/2</v>
      </c>
      <c r="C2146" s="7" t="str">
        <f>IFERROR(__xludf.DUMMYFUNCTION("""COMPUTED_VALUE"""),"M. 10655/ Kedamaian")</f>
        <v>M. 10655/ Kedamaian</v>
      </c>
      <c r="D2146" s="7"/>
      <c r="E2146" s="7"/>
      <c r="F2146" s="9" t="str">
        <f>IFERROR(__xludf.DUMMYFUNCTION("""COMPUTED_VALUE"""),"")</f>
        <v/>
      </c>
      <c r="G2146" s="7" t="str">
        <f>IFERROR(__xludf.DUMMYFUNCTION("""COMPUTED_VALUE"""),"Gandes")</f>
        <v>Gandes</v>
      </c>
      <c r="H2146" s="7">
        <f t="shared" si="1"/>
        <v>883</v>
      </c>
    </row>
    <row r="2147" ht="22.5" customHeight="1">
      <c r="B2147" s="7" t="str">
        <f>IFERROR(__xludf.DUMMYFUNCTION("""COMPUTED_VALUE"""),"L/6/121224/1")</f>
        <v>L/6/121224/1</v>
      </c>
      <c r="C2147" s="7" t="str">
        <f>IFERROR(__xludf.DUMMYFUNCTION("""COMPUTED_VALUE"""),"SRENGSEM")</f>
        <v>SRENGSEM</v>
      </c>
      <c r="D2147" s="7"/>
      <c r="E2147" s="7"/>
      <c r="F2147" s="9" t="str">
        <f>IFERROR(__xludf.DUMMYFUNCTION("""COMPUTED_VALUE"""),"")</f>
        <v/>
      </c>
      <c r="G2147" s="7" t="str">
        <f>IFERROR(__xludf.DUMMYFUNCTION("""COMPUTED_VALUE"""),"ASPEK")</f>
        <v>ASPEK</v>
      </c>
      <c r="H2147" s="7">
        <f t="shared" si="1"/>
        <v>883</v>
      </c>
    </row>
    <row r="2148" ht="22.5" customHeight="1">
      <c r="B2148" s="7" t="str">
        <f>IFERROR(__xludf.DUMMYFUNCTION("""COMPUTED_VALUE"""),"K/8/121224/2")</f>
        <v>K/8/121224/2</v>
      </c>
      <c r="C2148" s="7" t="str">
        <f>IFERROR(__xludf.DUMMYFUNCTION("""COMPUTED_VALUE"""),"Nibel. B. 10373/ Sumur Putri")</f>
        <v>Nibel. B. 10373/ Sumur Putri</v>
      </c>
      <c r="D2148" s="7"/>
      <c r="E2148" s="7"/>
      <c r="F2148" s="9" t="str">
        <f>IFERROR(__xludf.DUMMYFUNCTION("""COMPUTED_VALUE"""),"")</f>
        <v/>
      </c>
      <c r="G2148" s="7" t="str">
        <f>IFERROR(__xludf.DUMMYFUNCTION("""COMPUTED_VALUE"""),"Perubahan Hak")</f>
        <v>Perubahan Hak</v>
      </c>
      <c r="H2148" s="7">
        <f t="shared" si="1"/>
        <v>883</v>
      </c>
    </row>
    <row r="2149" ht="22.5" customHeight="1">
      <c r="B2149" s="7" t="str">
        <f>IFERROR(__xludf.DUMMYFUNCTION("""COMPUTED_VALUE"""),"K/7/121224/1")</f>
        <v>K/7/121224/1</v>
      </c>
      <c r="C2149" s="7" t="str">
        <f>IFERROR(__xludf.DUMMYFUNCTION("""COMPUTED_VALUE"""),"Nibel. B. 9837/ Sumur Putri")</f>
        <v>Nibel. B. 9837/ Sumur Putri</v>
      </c>
      <c r="D2149" s="7"/>
      <c r="E2149" s="7"/>
      <c r="F2149" s="9" t="str">
        <f>IFERROR(__xludf.DUMMYFUNCTION("""COMPUTED_VALUE"""),"")</f>
        <v/>
      </c>
      <c r="G2149" s="7" t="str">
        <f>IFERROR(__xludf.DUMMYFUNCTION("""COMPUTED_VALUE"""),"Perubahan Hak")</f>
        <v>Perubahan Hak</v>
      </c>
      <c r="H2149" s="7">
        <f t="shared" si="1"/>
        <v>883</v>
      </c>
    </row>
    <row r="2150" ht="22.5" customHeight="1">
      <c r="B2150" s="7" t="str">
        <f>IFERROR(__xludf.DUMMYFUNCTION("""COMPUTED_VALUE"""),"K/9/121224/1")</f>
        <v>K/9/121224/1</v>
      </c>
      <c r="C2150" s="7" t="str">
        <f>IFERROR(__xludf.DUMMYFUNCTION("""COMPUTED_VALUE"""),"Nibel. B. 1675/ Bumi Kedamaian")</f>
        <v>Nibel. B. 1675/ Bumi Kedamaian</v>
      </c>
      <c r="D2150" s="7"/>
      <c r="E2150" s="7"/>
      <c r="F2150" s="9" t="str">
        <f>IFERROR(__xludf.DUMMYFUNCTION("""COMPUTED_VALUE"""),"")</f>
        <v/>
      </c>
      <c r="G2150" s="7" t="str">
        <f>IFERROR(__xludf.DUMMYFUNCTION("""COMPUTED_VALUE"""),"Perubahan Hak")</f>
        <v>Perubahan Hak</v>
      </c>
      <c r="H2150" s="7">
        <f t="shared" si="1"/>
        <v>883</v>
      </c>
    </row>
    <row r="2151" ht="22.5" customHeight="1">
      <c r="B2151" s="7" t="str">
        <f>IFERROR(__xludf.DUMMYFUNCTION("""COMPUTED_VALUE"""),"K/10/121224/1")</f>
        <v>K/10/121224/1</v>
      </c>
      <c r="C2151" s="7" t="str">
        <f>IFERROR(__xludf.DUMMYFUNCTION("""COMPUTED_VALUE"""),"M.1362/PENGAJARAN")</f>
        <v>M.1362/PENGAJARAN</v>
      </c>
      <c r="D2151" s="7" t="str">
        <f>IFERROR(__xludf.DUMMYFUNCTION("""COMPUTED_VALUE"""),"David")</f>
        <v>David</v>
      </c>
      <c r="E2151" s="7" t="str">
        <f>IFERROR(__xludf.DUMMYFUNCTION("""COMPUTED_VALUE"""),"PROSES")</f>
        <v>PROSES</v>
      </c>
      <c r="F2151" s="9" t="str">
        <f>IFERROR(__xludf.DUMMYFUNCTION("""COMPUTED_VALUE"""),"")</f>
        <v/>
      </c>
      <c r="G2151" s="7" t="str">
        <f>IFERROR(__xludf.DUMMYFUNCTION("""COMPUTED_VALUE"""),"PENGECEKAN")</f>
        <v>PENGECEKAN</v>
      </c>
      <c r="H2151" s="7">
        <f t="shared" si="1"/>
        <v>883</v>
      </c>
    </row>
    <row r="2152" ht="22.5" customHeight="1">
      <c r="B2152" s="7" t="str">
        <f>IFERROR(__xludf.DUMMYFUNCTION("""COMPUTED_VALUE"""),"K/11/121224/1")</f>
        <v>K/11/121224/1</v>
      </c>
      <c r="C2152" s="7" t="str">
        <f>IFERROR(__xludf.DUMMYFUNCTION("""COMPUTED_VALUE"""),"M. 6157/ Gunung Sulah")</f>
        <v>M. 6157/ Gunung Sulah</v>
      </c>
      <c r="D2152" s="7" t="str">
        <f>IFERROR(__xludf.DUMMYFUNCTION("""COMPUTED_VALUE"""),"David")</f>
        <v>David</v>
      </c>
      <c r="E2152" s="7" t="str">
        <f>IFERROR(__xludf.DUMMYFUNCTION("""COMPUTED_VALUE"""),"PROSES")</f>
        <v>PROSES</v>
      </c>
      <c r="F2152" s="9" t="str">
        <f>IFERROR(__xludf.DUMMYFUNCTION("""COMPUTED_VALUE"""),"")</f>
        <v/>
      </c>
      <c r="G2152" s="7" t="str">
        <f>IFERROR(__xludf.DUMMYFUNCTION("""COMPUTED_VALUE"""),"PTPGT (Pemecahan)")</f>
        <v>PTPGT (Pemecahan)</v>
      </c>
      <c r="H2152" s="7">
        <f t="shared" si="1"/>
        <v>883</v>
      </c>
    </row>
    <row r="2153" ht="22.5" customHeight="1">
      <c r="B2153" s="7" t="str">
        <f>IFERROR(__xludf.DUMMYFUNCTION("""COMPUTED_VALUE"""),"L/12/121224/1")</f>
        <v>L/12/121224/1</v>
      </c>
      <c r="C2153" s="7" t="str">
        <f>IFERROR(__xludf.DUMMYFUNCTION("""COMPUTED_VALUE"""),"HGB 837/PWK")</f>
        <v>HGB 837/PWK</v>
      </c>
      <c r="D2153" s="7"/>
      <c r="E2153" s="7"/>
      <c r="F2153" s="9" t="str">
        <f>IFERROR(__xludf.DUMMYFUNCTION("""COMPUTED_VALUE"""),"")</f>
        <v/>
      </c>
      <c r="G2153" s="7" t="str">
        <f>IFERROR(__xludf.DUMMYFUNCTION("""COMPUTED_VALUE"""),"PH")</f>
        <v>PH</v>
      </c>
      <c r="H2153" s="7">
        <f t="shared" si="1"/>
        <v>883</v>
      </c>
    </row>
    <row r="2154" ht="22.5" customHeight="1">
      <c r="B2154" s="7" t="str">
        <f>IFERROR(__xludf.DUMMYFUNCTION("""COMPUTED_VALUE"""),"K/13/121224/1")</f>
        <v>K/13/121224/1</v>
      </c>
      <c r="C2154" s="7" t="str">
        <f>IFERROR(__xludf.DUMMYFUNCTION("""COMPUTED_VALUE"""),"M. 1345/ Way Halim Permai")</f>
        <v>M. 1345/ Way Halim Permai</v>
      </c>
      <c r="D2154" s="7"/>
      <c r="E2154" s="7"/>
      <c r="F2154" s="9" t="str">
        <f>IFERROR(__xludf.DUMMYFUNCTION("""COMPUTED_VALUE"""),"")</f>
        <v/>
      </c>
      <c r="G2154" s="7" t="str">
        <f>IFERROR(__xludf.DUMMYFUNCTION("""COMPUTED_VALUE"""),"BN Jual Beli")</f>
        <v>BN Jual Beli</v>
      </c>
      <c r="H2154" s="7">
        <f t="shared" si="1"/>
        <v>883</v>
      </c>
    </row>
    <row r="2155" ht="22.5" customHeight="1">
      <c r="B2155" s="7" t="str">
        <f>IFERROR(__xludf.DUMMYFUNCTION("""COMPUTED_VALUE"""),"K/14/121224/1")</f>
        <v>K/14/121224/1</v>
      </c>
      <c r="C2155" s="7" t="str">
        <f>IFERROR(__xludf.DUMMYFUNCTION("""COMPUTED_VALUE"""),"M. 56/ Tanjung Gading")</f>
        <v>M. 56/ Tanjung Gading</v>
      </c>
      <c r="D2155" s="7" t="str">
        <f>IFERROR(__xludf.DUMMYFUNCTION("""COMPUTED_VALUE"""),"David")</f>
        <v>David</v>
      </c>
      <c r="E2155" s="7" t="str">
        <f>IFERROR(__xludf.DUMMYFUNCTION("""COMPUTED_VALUE"""),"DISERAHKAN")</f>
        <v>DISERAHKAN</v>
      </c>
      <c r="F2155" s="9">
        <f>IFERROR(__xludf.DUMMYFUNCTION("""COMPUTED_VALUE"""),45642.70968364584)</f>
        <v>45642.70968</v>
      </c>
      <c r="G2155" s="7" t="str">
        <f>IFERROR(__xludf.DUMMYFUNCTION("""COMPUTED_VALUE"""),"Ganti Desa")</f>
        <v>Ganti Desa</v>
      </c>
      <c r="H2155" s="7">
        <f t="shared" si="1"/>
        <v>884</v>
      </c>
    </row>
    <row r="2156" ht="22.5" customHeight="1">
      <c r="B2156" s="7" t="str">
        <f>IFERROR(__xludf.DUMMYFUNCTION("""COMPUTED_VALUE"""),"K/15/121224/2")</f>
        <v>K/15/121224/2</v>
      </c>
      <c r="C2156" s="7" t="str">
        <f>IFERROR(__xludf.DUMMYFUNCTION("""COMPUTED_VALUE"""),"M. 1154/ Bumi Kedamaian")</f>
        <v>M. 1154/ Bumi Kedamaian</v>
      </c>
      <c r="D2156" s="7" t="str">
        <f>IFERROR(__xludf.DUMMYFUNCTION("""COMPUTED_VALUE"""),"David")</f>
        <v>David</v>
      </c>
      <c r="E2156" s="7" t="str">
        <f>IFERROR(__xludf.DUMMYFUNCTION("""COMPUTED_VALUE"""),"DISERAHKAN")</f>
        <v>DISERAHKAN</v>
      </c>
      <c r="F2156" s="9">
        <f>IFERROR(__xludf.DUMMYFUNCTION("""COMPUTED_VALUE"""),45642.70981829861)</f>
        <v>45642.70982</v>
      </c>
      <c r="G2156" s="7" t="str">
        <f>IFERROR(__xludf.DUMMYFUNCTION("""COMPUTED_VALUE"""),"Plotting")</f>
        <v>Plotting</v>
      </c>
      <c r="H2156" s="7">
        <f t="shared" si="1"/>
        <v>885</v>
      </c>
    </row>
    <row r="2157" ht="22.5" customHeight="1">
      <c r="B2157" s="7" t="str">
        <f>IFERROR(__xludf.DUMMYFUNCTION("""COMPUTED_VALUE"""),"K/16/121224/1")</f>
        <v>K/16/121224/1</v>
      </c>
      <c r="C2157" s="7" t="str">
        <f>IFERROR(__xludf.DUMMYFUNCTION("""COMPUTED_VALUE"""),"M.1234/RAJABASA PEMUKA")</f>
        <v>M.1234/RAJABASA PEMUKA</v>
      </c>
      <c r="D2157" s="7"/>
      <c r="E2157" s="7"/>
      <c r="F2157" s="9" t="str">
        <f>IFERROR(__xludf.DUMMYFUNCTION("""COMPUTED_VALUE"""),"")</f>
        <v/>
      </c>
      <c r="G2157" s="7" t="str">
        <f>IFERROR(__xludf.DUMMYFUNCTION("""COMPUTED_VALUE"""),"BN JUAL BELI")</f>
        <v>BN JUAL BELI</v>
      </c>
      <c r="H2157" s="7">
        <f t="shared" si="1"/>
        <v>885</v>
      </c>
    </row>
    <row r="2158" ht="22.5" customHeight="1">
      <c r="B2158" s="7" t="str">
        <f>IFERROR(__xludf.DUMMYFUNCTION("""COMPUTED_VALUE"""),"K/17/121224/2")</f>
        <v>K/17/121224/2</v>
      </c>
      <c r="C2158" s="7" t="str">
        <f>IFERROR(__xludf.DUMMYFUNCTION("""COMPUTED_VALUE"""),"M.1688/KOTA BARU")</f>
        <v>M.1688/KOTA BARU</v>
      </c>
      <c r="D2158" s="7" t="str">
        <f>IFERROR(__xludf.DUMMYFUNCTION("""COMPUTED_VALUE"""),"David")</f>
        <v>David</v>
      </c>
      <c r="E2158" s="7" t="str">
        <f>IFERROR(__xludf.DUMMYFUNCTION("""COMPUTED_VALUE"""),"DISERAHKAN")</f>
        <v>DISERAHKAN</v>
      </c>
      <c r="F2158" s="9">
        <f>IFERROR(__xludf.DUMMYFUNCTION("""COMPUTED_VALUE"""),45642.71003023148)</f>
        <v>45642.71003</v>
      </c>
      <c r="G2158" s="7" t="str">
        <f>IFERROR(__xludf.DUMMYFUNCTION("""COMPUTED_VALUE"""),"BN JUAL BELI")</f>
        <v>BN JUAL BELI</v>
      </c>
      <c r="H2158" s="7">
        <f t="shared" si="1"/>
        <v>886</v>
      </c>
    </row>
    <row r="2159" ht="22.5" customHeight="1">
      <c r="B2159" s="7" t="str">
        <f>IFERROR(__xludf.DUMMYFUNCTION("""COMPUTED_VALUE"""),"L/18/121224/1")</f>
        <v>L/18/121224/1</v>
      </c>
      <c r="C2159" s="7" t="str">
        <f>IFERROR(__xludf.DUMMYFUNCTION("""COMPUTED_VALUE"""),"NIB 134454/TANJUNG SENANG")</f>
        <v>NIB 134454/TANJUNG SENANG</v>
      </c>
      <c r="D2159" s="7"/>
      <c r="E2159" s="7"/>
      <c r="F2159" s="9" t="str">
        <f>IFERROR(__xludf.DUMMYFUNCTION("""COMPUTED_VALUE"""),"")</f>
        <v/>
      </c>
      <c r="G2159" s="7" t="str">
        <f>IFERROR(__xludf.DUMMYFUNCTION("""COMPUTED_VALUE"""),"GANDES")</f>
        <v>GANDES</v>
      </c>
      <c r="H2159" s="7">
        <f t="shared" si="1"/>
        <v>886</v>
      </c>
    </row>
    <row r="2160" ht="22.5" customHeight="1">
      <c r="B2160" s="7" t="str">
        <f>IFERROR(__xludf.DUMMYFUNCTION("""COMPUTED_VALUE"""),"L/19/121224/1")</f>
        <v>L/19/121224/1</v>
      </c>
      <c r="C2160" s="7" t="str">
        <f>IFERROR(__xludf.DUMMYFUNCTION("""COMPUTED_VALUE"""),"HM 1430/WHP")</f>
        <v>HM 1430/WHP</v>
      </c>
      <c r="D2160" s="7"/>
      <c r="E2160" s="7"/>
      <c r="F2160" s="9" t="str">
        <f>IFERROR(__xludf.DUMMYFUNCTION("""COMPUTED_VALUE"""),"")</f>
        <v/>
      </c>
      <c r="G2160" s="7" t="str">
        <f>IFERROR(__xludf.DUMMYFUNCTION("""COMPUTED_VALUE"""),"ROYA")</f>
        <v>ROYA</v>
      </c>
      <c r="H2160" s="7">
        <f t="shared" si="1"/>
        <v>886</v>
      </c>
    </row>
    <row r="2161" ht="22.5" customHeight="1">
      <c r="B2161" s="7" t="str">
        <f>IFERROR(__xludf.DUMMYFUNCTION("""COMPUTED_VALUE"""),"K/22/121224/1")</f>
        <v>K/22/121224/1</v>
      </c>
      <c r="C2161" s="7" t="str">
        <f>IFERROR(__xludf.DUMMYFUNCTION("""COMPUTED_VALUE"""),"M.2092/KETEGUHAN")</f>
        <v>M.2092/KETEGUHAN</v>
      </c>
      <c r="D2161" s="7" t="str">
        <f>IFERROR(__xludf.DUMMYFUNCTION("""COMPUTED_VALUE"""),"David")</f>
        <v>David</v>
      </c>
      <c r="E2161" s="7" t="str">
        <f>IFERROR(__xludf.DUMMYFUNCTION("""COMPUTED_VALUE"""),"PROSES")</f>
        <v>PROSES</v>
      </c>
      <c r="F2161" s="9" t="str">
        <f>IFERROR(__xludf.DUMMYFUNCTION("""COMPUTED_VALUE"""),"")</f>
        <v/>
      </c>
      <c r="G2161" s="7" t="str">
        <f>IFERROR(__xludf.DUMMYFUNCTION("""COMPUTED_VALUE"""),"GANTI NAMA ")</f>
        <v>GANTI NAMA </v>
      </c>
      <c r="H2161" s="7">
        <f t="shared" si="1"/>
        <v>886</v>
      </c>
    </row>
    <row r="2162" ht="22.5" customHeight="1">
      <c r="B2162" s="7" t="str">
        <f>IFERROR(__xludf.DUMMYFUNCTION("""COMPUTED_VALUE"""),"K/23/121224/2")</f>
        <v>K/23/121224/2</v>
      </c>
      <c r="C2162" s="7" t="str">
        <f>IFERROR(__xludf.DUMMYFUNCTION("""COMPUTED_VALUE"""),"M.1134/SUKAMAJU")</f>
        <v>M.1134/SUKAMAJU</v>
      </c>
      <c r="D2162" s="7" t="str">
        <f>IFERROR(__xludf.DUMMYFUNCTION("""COMPUTED_VALUE"""),"David")</f>
        <v>David</v>
      </c>
      <c r="E2162" s="7" t="str">
        <f>IFERROR(__xludf.DUMMYFUNCTION("""COMPUTED_VALUE"""),"PROSES")</f>
        <v>PROSES</v>
      </c>
      <c r="F2162" s="9" t="str">
        <f>IFERROR(__xludf.DUMMYFUNCTION("""COMPUTED_VALUE"""),"")</f>
        <v/>
      </c>
      <c r="G2162" s="7" t="str">
        <f>IFERROR(__xludf.DUMMYFUNCTION("""COMPUTED_VALUE"""),"GANDES")</f>
        <v>GANDES</v>
      </c>
      <c r="H2162" s="7">
        <f t="shared" si="1"/>
        <v>886</v>
      </c>
    </row>
    <row r="2163" ht="22.5" customHeight="1">
      <c r="B2163" s="7" t="str">
        <f>IFERROR(__xludf.DUMMYFUNCTION("""COMPUTED_VALUE"""),"K/20/121224/1")</f>
        <v>K/20/121224/1</v>
      </c>
      <c r="C2163" s="7" t="str">
        <f>IFERROR(__xludf.DUMMYFUNCTION("""COMPUTED_VALUE"""),"M. 1942/ Sukabumi Indah")</f>
        <v>M. 1942/ Sukabumi Indah</v>
      </c>
      <c r="D2163" s="7"/>
      <c r="E2163" s="7"/>
      <c r="F2163" s="9" t="str">
        <f>IFERROR(__xludf.DUMMYFUNCTION("""COMPUTED_VALUE"""),"")</f>
        <v/>
      </c>
      <c r="G2163" s="7" t="str">
        <f>IFERROR(__xludf.DUMMYFUNCTION("""COMPUTED_VALUE"""),"BN Jual Beliq")</f>
        <v>BN Jual Beliq</v>
      </c>
      <c r="H2163" s="7">
        <f t="shared" si="1"/>
        <v>886</v>
      </c>
    </row>
    <row r="2164" ht="22.5" customHeight="1">
      <c r="B2164" s="7" t="str">
        <f>IFERROR(__xludf.DUMMYFUNCTION("""COMPUTED_VALUE"""),"K/21/121224/1")</f>
        <v>K/21/121224/1</v>
      </c>
      <c r="C2164" s="7" t="str">
        <f>IFERROR(__xludf.DUMMYFUNCTION("""COMPUTED_VALUE"""),"B. 365/ Kali Balau Kencana")</f>
        <v>B. 365/ Kali Balau Kencana</v>
      </c>
      <c r="D2164" s="7"/>
      <c r="E2164" s="7"/>
      <c r="F2164" s="9" t="str">
        <f>IFERROR(__xludf.DUMMYFUNCTION("""COMPUTED_VALUE"""),"")</f>
        <v/>
      </c>
      <c r="G2164" s="7" t="str">
        <f>IFERROR(__xludf.DUMMYFUNCTION("""COMPUTED_VALUE"""),"Perubahan Hak")</f>
        <v>Perubahan Hak</v>
      </c>
      <c r="H2164" s="7">
        <f t="shared" si="1"/>
        <v>886</v>
      </c>
    </row>
    <row r="2165" ht="22.5" customHeight="1">
      <c r="B2165" s="7" t="str">
        <f>IFERROR(__xludf.DUMMYFUNCTION("""COMPUTED_VALUE"""),"K/25/121224/1")</f>
        <v>K/25/121224/1</v>
      </c>
      <c r="C2165" s="7" t="str">
        <f>IFERROR(__xludf.DUMMYFUNCTION("""COMPUTED_VALUE"""),"B. 77/ Srb (PBT. 94/2024)")</f>
        <v>B. 77/ Srb (PBT. 94/2024)</v>
      </c>
      <c r="D2165" s="7"/>
      <c r="E2165" s="7"/>
      <c r="F2165" s="9" t="str">
        <f>IFERROR(__xludf.DUMMYFUNCTION("""COMPUTED_VALUE"""),"")</f>
        <v/>
      </c>
      <c r="G2165" s="7" t="str">
        <f>IFERROR(__xludf.DUMMYFUNCTION("""COMPUTED_VALUE"""),"Permohonan SK")</f>
        <v>Permohonan SK</v>
      </c>
      <c r="H2165" s="7">
        <f t="shared" si="1"/>
        <v>886</v>
      </c>
    </row>
    <row r="2166" ht="22.5" customHeight="1">
      <c r="B2166" s="7" t="str">
        <f>IFERROR(__xludf.DUMMYFUNCTION("""COMPUTED_VALUE"""),"L/24/121224/1")</f>
        <v>L/24/121224/1</v>
      </c>
      <c r="C2166" s="7" t="str">
        <f>IFERROR(__xludf.DUMMYFUNCTION("""COMPUTED_VALUE"""),"HM 1679/WAY KANDIS")</f>
        <v>HM 1679/WAY KANDIS</v>
      </c>
      <c r="D2166" s="7"/>
      <c r="E2166" s="7"/>
      <c r="F2166" s="9" t="str">
        <f>IFERROR(__xludf.DUMMYFUNCTION("""COMPUTED_VALUE"""),"")</f>
        <v/>
      </c>
      <c r="G2166" s="7" t="str">
        <f>IFERROR(__xludf.DUMMYFUNCTION("""COMPUTED_VALUE"""),"GANDES")</f>
        <v>GANDES</v>
      </c>
      <c r="H2166" s="7">
        <f t="shared" si="1"/>
        <v>886</v>
      </c>
    </row>
    <row r="2167" ht="22.5" customHeight="1">
      <c r="B2167" s="7" t="str">
        <f>IFERROR(__xludf.DUMMYFUNCTION("""COMPUTED_VALUE"""),"K/28/121224/1")</f>
        <v>K/28/121224/1</v>
      </c>
      <c r="C2167" s="7" t="str">
        <f>IFERROR(__xludf.DUMMYFUNCTION("""COMPUTED_VALUE"""),"M.11908/LABUHAN RATU")</f>
        <v>M.11908/LABUHAN RATU</v>
      </c>
      <c r="D2167" s="7" t="str">
        <f>IFERROR(__xludf.DUMMYFUNCTION("""COMPUTED_VALUE"""),"David")</f>
        <v>David</v>
      </c>
      <c r="E2167" s="7" t="str">
        <f>IFERROR(__xludf.DUMMYFUNCTION("""COMPUTED_VALUE"""),"DISERAHKAN")</f>
        <v>DISERAHKAN</v>
      </c>
      <c r="F2167" s="9">
        <f>IFERROR(__xludf.DUMMYFUNCTION("""COMPUTED_VALUE"""),45642.71097204861)</f>
        <v>45642.71097</v>
      </c>
      <c r="G2167" s="7" t="str">
        <f>IFERROR(__xludf.DUMMYFUNCTION("""COMPUTED_VALUE"""),"GANDES")</f>
        <v>GANDES</v>
      </c>
      <c r="H2167" s="7">
        <f t="shared" si="1"/>
        <v>887</v>
      </c>
    </row>
    <row r="2168" ht="22.5" customHeight="1">
      <c r="B2168" s="7" t="str">
        <f>IFERROR(__xludf.DUMMYFUNCTION("""COMPUTED_VALUE"""),"K/29/121224/2")</f>
        <v>K/29/121224/2</v>
      </c>
      <c r="C2168" s="7" t="str">
        <f>IFERROR(__xludf.DUMMYFUNCTION("""COMPUTED_VALUE"""),"M.11907/LABUHAN RATU")</f>
        <v>M.11907/LABUHAN RATU</v>
      </c>
      <c r="D2168" s="7" t="str">
        <f>IFERROR(__xludf.DUMMYFUNCTION("""COMPUTED_VALUE"""),"Berry")</f>
        <v>Berry</v>
      </c>
      <c r="E2168" s="7" t="str">
        <f>IFERROR(__xludf.DUMMYFUNCTION("""COMPUTED_VALUE"""),"DISERAHKAN")</f>
        <v>DISERAHKAN</v>
      </c>
      <c r="F2168" s="9">
        <f>IFERROR(__xludf.DUMMYFUNCTION("""COMPUTED_VALUE"""),45642.71160862269)</f>
        <v>45642.71161</v>
      </c>
      <c r="G2168" s="7" t="str">
        <f>IFERROR(__xludf.DUMMYFUNCTION("""COMPUTED_VALUE"""),"GANDES")</f>
        <v>GANDES</v>
      </c>
      <c r="H2168" s="7">
        <f t="shared" si="1"/>
        <v>888</v>
      </c>
    </row>
    <row r="2169" ht="22.5" customHeight="1">
      <c r="B2169" s="7" t="str">
        <f>IFERROR(__xludf.DUMMYFUNCTION("""COMPUTED_VALUE"""),"K/30/121224/3")</f>
        <v>K/30/121224/3</v>
      </c>
      <c r="C2169" s="7" t="str">
        <f>IFERROR(__xludf.DUMMYFUNCTION("""COMPUTED_VALUE"""),"B.667/SUMBER AGUNG")</f>
        <v>B.667/SUMBER AGUNG</v>
      </c>
      <c r="D2169" s="7"/>
      <c r="E2169" s="7"/>
      <c r="F2169" s="9" t="str">
        <f>IFERROR(__xludf.DUMMYFUNCTION("""COMPUTED_VALUE"""),"")</f>
        <v/>
      </c>
      <c r="G2169" s="7" t="str">
        <f>IFERROR(__xludf.DUMMYFUNCTION("""COMPUTED_VALUE"""),"BN JUAL BELI")</f>
        <v>BN JUAL BELI</v>
      </c>
      <c r="H2169" s="7">
        <f t="shared" si="1"/>
        <v>888</v>
      </c>
    </row>
    <row r="2170" ht="22.5" customHeight="1">
      <c r="B2170" s="7" t="str">
        <f>IFERROR(__xludf.DUMMYFUNCTION("""COMPUTED_VALUE"""),"K/31/121224/4")</f>
        <v>K/31/121224/4</v>
      </c>
      <c r="C2170" s="7" t="str">
        <f>IFERROR(__xludf.DUMMYFUNCTION("""COMPUTED_VALUE"""),"B.635/KEMILING PERMAI")</f>
        <v>B.635/KEMILING PERMAI</v>
      </c>
      <c r="D2170" s="7" t="str">
        <f>IFERROR(__xludf.DUMMYFUNCTION("""COMPUTED_VALUE"""),"Berry")</f>
        <v>Berry</v>
      </c>
      <c r="E2170" s="7" t="str">
        <f>IFERROR(__xludf.DUMMYFUNCTION("""COMPUTED_VALUE"""),"DISERAHKAN")</f>
        <v>DISERAHKAN</v>
      </c>
      <c r="F2170" s="9">
        <f>IFERROR(__xludf.DUMMYFUNCTION("""COMPUTED_VALUE"""),45642.71163311343)</f>
        <v>45642.71163</v>
      </c>
      <c r="G2170" s="7" t="str">
        <f>IFERROR(__xludf.DUMMYFUNCTION("""COMPUTED_VALUE"""),"BN JUAL BELI")</f>
        <v>BN JUAL BELI</v>
      </c>
      <c r="H2170" s="7">
        <f t="shared" si="1"/>
        <v>889</v>
      </c>
    </row>
    <row r="2171" ht="22.5" customHeight="1">
      <c r="B2171" s="7" t="str">
        <f>IFERROR(__xludf.DUMMYFUNCTION("""COMPUTED_VALUE"""),"K/26/121224/1")</f>
        <v>K/26/121224/1</v>
      </c>
      <c r="C2171" s="7" t="str">
        <f>IFERROR(__xludf.DUMMYFUNCTION("""COMPUTED_VALUE"""),"M. 1113/ Durian Payung")</f>
        <v>M. 1113/ Durian Payung</v>
      </c>
      <c r="D2171" s="7"/>
      <c r="E2171" s="7"/>
      <c r="F2171" s="9" t="str">
        <f>IFERROR(__xludf.DUMMYFUNCTION("""COMPUTED_VALUE"""),"")</f>
        <v/>
      </c>
      <c r="G2171" s="7" t="str">
        <f>IFERROR(__xludf.DUMMYFUNCTION("""COMPUTED_VALUE"""),"Ploting")</f>
        <v>Ploting</v>
      </c>
      <c r="H2171" s="7">
        <f t="shared" si="1"/>
        <v>889</v>
      </c>
    </row>
    <row r="2172" ht="22.5" customHeight="1">
      <c r="B2172" s="7" t="str">
        <f>IFERROR(__xludf.DUMMYFUNCTION("""COMPUTED_VALUE"""),"K/27/121224/1")</f>
        <v>K/27/121224/1</v>
      </c>
      <c r="C2172" s="7" t="str">
        <f>IFERROR(__xludf.DUMMYFUNCTION("""COMPUTED_VALUE"""),"M. 4614/ Sukadana Ham")</f>
        <v>M. 4614/ Sukadana Ham</v>
      </c>
      <c r="D2172" s="7"/>
      <c r="E2172" s="7"/>
      <c r="F2172" s="9" t="str">
        <f>IFERROR(__xludf.DUMMYFUNCTION("""COMPUTED_VALUE"""),"")</f>
        <v/>
      </c>
      <c r="G2172" s="7" t="str">
        <f>IFERROR(__xludf.DUMMYFUNCTION("""COMPUTED_VALUE"""),"BN Jual Beli")</f>
        <v>BN Jual Beli</v>
      </c>
      <c r="H2172" s="7">
        <f t="shared" si="1"/>
        <v>889</v>
      </c>
    </row>
    <row r="2173" ht="22.5" customHeight="1">
      <c r="B2173" s="7" t="str">
        <f>IFERROR(__xludf.DUMMYFUNCTION("""COMPUTED_VALUE"""),"K/1/131224/1")</f>
        <v>K/1/131224/1</v>
      </c>
      <c r="C2173" s="7" t="str">
        <f>IFERROR(__xludf.DUMMYFUNCTION("""COMPUTED_VALUE"""),"B. 33/SUKAMAJU")</f>
        <v>B. 33/SUKAMAJU</v>
      </c>
      <c r="D2173" s="7" t="str">
        <f>IFERROR(__xludf.DUMMYFUNCTION("""COMPUTED_VALUE"""),"Berry")</f>
        <v>Berry</v>
      </c>
      <c r="E2173" s="7" t="str">
        <f>IFERROR(__xludf.DUMMYFUNCTION("""COMPUTED_VALUE"""),"PROSES")</f>
        <v>PROSES</v>
      </c>
      <c r="F2173" s="9" t="str">
        <f>IFERROR(__xludf.DUMMYFUNCTION("""COMPUTED_VALUE"""),"")</f>
        <v/>
      </c>
      <c r="G2173" s="7" t="str">
        <f>IFERROR(__xludf.DUMMYFUNCTION("""COMPUTED_VALUE"""),"SKPT LELANG")</f>
        <v>SKPT LELANG</v>
      </c>
      <c r="H2173" s="7">
        <f t="shared" si="1"/>
        <v>889</v>
      </c>
    </row>
    <row r="2174" ht="22.5" customHeight="1">
      <c r="B2174" s="7" t="str">
        <f>IFERROR(__xludf.DUMMYFUNCTION("""COMPUTED_VALUE"""),"K/2/131224/2")</f>
        <v>K/2/131224/2</v>
      </c>
      <c r="C2174" s="7" t="str">
        <f>IFERROR(__xludf.DUMMYFUNCTION("""COMPUTED_VALUE"""),"B.23/SUKAMAJU")</f>
        <v>B.23/SUKAMAJU</v>
      </c>
      <c r="D2174" s="7" t="str">
        <f>IFERROR(__xludf.DUMMYFUNCTION("""COMPUTED_VALUE"""),"Berry")</f>
        <v>Berry</v>
      </c>
      <c r="E2174" s="7" t="str">
        <f>IFERROR(__xludf.DUMMYFUNCTION("""COMPUTED_VALUE"""),"PROSES")</f>
        <v>PROSES</v>
      </c>
      <c r="F2174" s="9" t="str">
        <f>IFERROR(__xludf.DUMMYFUNCTION("""COMPUTED_VALUE"""),"")</f>
        <v/>
      </c>
      <c r="G2174" s="7" t="str">
        <f>IFERROR(__xludf.DUMMYFUNCTION("""COMPUTED_VALUE"""),"SKPT LELANG")</f>
        <v>SKPT LELANG</v>
      </c>
      <c r="H2174" s="7">
        <f t="shared" si="1"/>
        <v>889</v>
      </c>
    </row>
    <row r="2175" ht="22.5" customHeight="1">
      <c r="B2175" s="7" t="str">
        <f>IFERROR(__xludf.DUMMYFUNCTION("""COMPUTED_VALUE"""),"K/3/131224/1")</f>
        <v>K/3/131224/1</v>
      </c>
      <c r="C2175" s="7" t="str">
        <f>IFERROR(__xludf.DUMMYFUNCTION("""COMPUTED_VALUE"""),"M.1355/KUPANGKOTA")</f>
        <v>M.1355/KUPANGKOTA</v>
      </c>
      <c r="D2175" s="7"/>
      <c r="E2175" s="7"/>
      <c r="F2175" s="9" t="str">
        <f>IFERROR(__xludf.DUMMYFUNCTION("""COMPUTED_VALUE"""),"")</f>
        <v/>
      </c>
      <c r="G2175" s="7" t="str">
        <f>IFERROR(__xludf.DUMMYFUNCTION("""COMPUTED_VALUE"""),"BN WARIS")</f>
        <v>BN WARIS</v>
      </c>
      <c r="H2175" s="7">
        <f t="shared" si="1"/>
        <v>889</v>
      </c>
    </row>
    <row r="2176" ht="22.5" customHeight="1">
      <c r="B2176" s="7" t="str">
        <f>IFERROR(__xludf.DUMMYFUNCTION("""COMPUTED_VALUE"""),"K/4/131224/1")</f>
        <v>K/4/131224/1</v>
      </c>
      <c r="C2176" s="7" t="str">
        <f>IFERROR(__xludf.DUMMYFUNCTION("""COMPUTED_VALUE"""),"M. 1113/ Sepang Jaya")</f>
        <v>M. 1113/ Sepang Jaya</v>
      </c>
      <c r="D2176" s="7"/>
      <c r="E2176" s="7"/>
      <c r="F2176" s="9" t="str">
        <f>IFERROR(__xludf.DUMMYFUNCTION("""COMPUTED_VALUE"""),"")</f>
        <v/>
      </c>
      <c r="G2176" s="7" t="str">
        <f>IFERROR(__xludf.DUMMYFUNCTION("""COMPUTED_VALUE"""),"BN Jual Beli")</f>
        <v>BN Jual Beli</v>
      </c>
      <c r="H2176" s="7">
        <f t="shared" si="1"/>
        <v>889</v>
      </c>
    </row>
    <row r="2177" ht="22.5" customHeight="1">
      <c r="B2177" s="7" t="str">
        <f>IFERROR(__xludf.DUMMYFUNCTION("""COMPUTED_VALUE"""),"K/5/131224/1")</f>
        <v>K/5/131224/1</v>
      </c>
      <c r="C2177" s="7" t="str">
        <f>IFERROR(__xludf.DUMMYFUNCTION("""COMPUTED_VALUE"""),"M. 778/GEDONG AIR")</f>
        <v>M. 778/GEDONG AIR</v>
      </c>
      <c r="D2177" s="7" t="str">
        <f>IFERROR(__xludf.DUMMYFUNCTION("""COMPUTED_VALUE"""),"Berry")</f>
        <v>Berry</v>
      </c>
      <c r="E2177" s="7" t="str">
        <f>IFERROR(__xludf.DUMMYFUNCTION("""COMPUTED_VALUE"""),"PROSES")</f>
        <v>PROSES</v>
      </c>
      <c r="F2177" s="9" t="str">
        <f>IFERROR(__xludf.DUMMYFUNCTION("""COMPUTED_VALUE"""),"")</f>
        <v/>
      </c>
      <c r="G2177" s="7" t="str">
        <f>IFERROR(__xludf.DUMMYFUNCTION("""COMPUTED_VALUE"""),"PTPGT")</f>
        <v>PTPGT</v>
      </c>
      <c r="H2177" s="7">
        <f t="shared" si="1"/>
        <v>889</v>
      </c>
    </row>
    <row r="2178" ht="22.5" customHeight="1">
      <c r="B2178" s="7" t="str">
        <f>IFERROR(__xludf.DUMMYFUNCTION("""COMPUTED_VALUE"""),"K/6/131224/1")</f>
        <v>K/6/131224/1</v>
      </c>
      <c r="C2178" s="7" t="str">
        <f>IFERROR(__xludf.DUMMYFUNCTION("""COMPUTED_VALUE"""),"NIBEL M.13010/TANJUNG GADING")</f>
        <v>NIBEL M.13010/TANJUNG GADING</v>
      </c>
      <c r="D2178" s="7"/>
      <c r="E2178" s="7"/>
      <c r="F2178" s="9" t="str">
        <f>IFERROR(__xludf.DUMMYFUNCTION("""COMPUTED_VALUE"""),"")</f>
        <v/>
      </c>
      <c r="G2178" s="7" t="str">
        <f>IFERROR(__xludf.DUMMYFUNCTION("""COMPUTED_VALUE"""),"BN JUAL BELI")</f>
        <v>BN JUAL BELI</v>
      </c>
      <c r="H2178" s="7">
        <f t="shared" si="1"/>
        <v>889</v>
      </c>
    </row>
    <row r="2179" ht="22.5" customHeight="1">
      <c r="B2179" s="7" t="str">
        <f>IFERROR(__xludf.DUMMYFUNCTION("""COMPUTED_VALUE"""),"K/7/131224/1")</f>
        <v>K/7/131224/1</v>
      </c>
      <c r="C2179" s="7" t="str">
        <f>IFERROR(__xludf.DUMMYFUNCTION("""COMPUTED_VALUE"""),"M. 168/ Kaliawi")</f>
        <v>M. 168/ Kaliawi</v>
      </c>
      <c r="D2179" s="7"/>
      <c r="E2179" s="7"/>
      <c r="F2179" s="9" t="str">
        <f>IFERROR(__xludf.DUMMYFUNCTION("""COMPUTED_VALUE"""),"")</f>
        <v/>
      </c>
      <c r="G2179" s="7" t="str">
        <f>IFERROR(__xludf.DUMMYFUNCTION("""COMPUTED_VALUE"""),"BN Waris")</f>
        <v>BN Waris</v>
      </c>
      <c r="H2179" s="7">
        <f t="shared" si="1"/>
        <v>889</v>
      </c>
    </row>
    <row r="2180" ht="22.5" customHeight="1">
      <c r="B2180" s="7" t="str">
        <f>IFERROR(__xludf.DUMMYFUNCTION("""COMPUTED_VALUE"""),"K/11/131224/1")</f>
        <v>K/11/131224/1</v>
      </c>
      <c r="C2180" s="7" t="str">
        <f>IFERROR(__xludf.DUMMYFUNCTION("""COMPUTED_VALUE"""),"M.926/TELUKBETUNG")</f>
        <v>M.926/TELUKBETUNG</v>
      </c>
      <c r="D2180" s="7" t="str">
        <f>IFERROR(__xludf.DUMMYFUNCTION("""COMPUTED_VALUE"""),"Berry")</f>
        <v>Berry</v>
      </c>
      <c r="E2180" s="7" t="str">
        <f>IFERROR(__xludf.DUMMYFUNCTION("""COMPUTED_VALUE"""),"PROSES")</f>
        <v>PROSES</v>
      </c>
      <c r="F2180" s="9" t="str">
        <f>IFERROR(__xludf.DUMMYFUNCTION("""COMPUTED_VALUE"""),"")</f>
        <v/>
      </c>
      <c r="G2180" s="7" t="str">
        <f>IFERROR(__xludf.DUMMYFUNCTION("""COMPUTED_VALUE"""),"SKPT LELANG")</f>
        <v>SKPT LELANG</v>
      </c>
      <c r="H2180" s="7">
        <f t="shared" si="1"/>
        <v>889</v>
      </c>
    </row>
    <row r="2181" ht="22.5" customHeight="1">
      <c r="B2181" s="7" t="str">
        <f>IFERROR(__xludf.DUMMYFUNCTION("""COMPUTED_VALUE"""),"K/12/131224/2")</f>
        <v>K/12/131224/2</v>
      </c>
      <c r="C2181" s="7" t="str">
        <f>IFERROR(__xludf.DUMMYFUNCTION("""COMPUTED_VALUE"""),"B.259/TELUKBETUNG")</f>
        <v>B.259/TELUKBETUNG</v>
      </c>
      <c r="D2181" s="7"/>
      <c r="E2181" s="7"/>
      <c r="F2181" s="9" t="str">
        <f>IFERROR(__xludf.DUMMYFUNCTION("""COMPUTED_VALUE"""),"")</f>
        <v/>
      </c>
      <c r="G2181" s="7" t="str">
        <f>IFERROR(__xludf.DUMMYFUNCTION("""COMPUTED_VALUE"""),"SKPT LELANG")</f>
        <v>SKPT LELANG</v>
      </c>
      <c r="H2181" s="7">
        <f t="shared" si="1"/>
        <v>889</v>
      </c>
    </row>
    <row r="2182" ht="22.5" customHeight="1">
      <c r="B2182" s="7" t="str">
        <f>IFERROR(__xludf.DUMMYFUNCTION("""COMPUTED_VALUE"""),"K/8/131224/2")</f>
        <v>K/8/131224/2</v>
      </c>
      <c r="C2182" s="7" t="str">
        <f>IFERROR(__xludf.DUMMYFUNCTION("""COMPUTED_VALUE"""),"M. 854/ Kaliawi")</f>
        <v>M. 854/ Kaliawi</v>
      </c>
      <c r="D2182" s="7" t="str">
        <f>IFERROR(__xludf.DUMMYFUNCTION("""COMPUTED_VALUE"""),"Berry")</f>
        <v>Berry</v>
      </c>
      <c r="E2182" s="7" t="str">
        <f>IFERROR(__xludf.DUMMYFUNCTION("""COMPUTED_VALUE"""),"DISERAHKAN")</f>
        <v>DISERAHKAN</v>
      </c>
      <c r="F2182" s="9">
        <f>IFERROR(__xludf.DUMMYFUNCTION("""COMPUTED_VALUE"""),45642.71247805556)</f>
        <v>45642.71248</v>
      </c>
      <c r="G2182" s="7" t="str">
        <f>IFERROR(__xludf.DUMMYFUNCTION("""COMPUTED_VALUE"""),"Bn Waris")</f>
        <v>Bn Waris</v>
      </c>
      <c r="H2182" s="7">
        <f t="shared" si="1"/>
        <v>890</v>
      </c>
    </row>
    <row r="2183" ht="22.5" customHeight="1">
      <c r="B2183" s="7" t="str">
        <f>IFERROR(__xludf.DUMMYFUNCTION("""COMPUTED_VALUE"""),"K/9/131224/1")</f>
        <v>K/9/131224/1</v>
      </c>
      <c r="C2183" s="7" t="str">
        <f>IFERROR(__xludf.DUMMYFUNCTION("""COMPUTED_VALUE"""),"Nibel. M. 1971/ Sukadana Ham")</f>
        <v>Nibel. M. 1971/ Sukadana Ham</v>
      </c>
      <c r="D2183" s="7" t="str">
        <f>IFERROR(__xludf.DUMMYFUNCTION("""COMPUTED_VALUE"""),"Berry")</f>
        <v>Berry</v>
      </c>
      <c r="E2183" s="7" t="str">
        <f>IFERROR(__xludf.DUMMYFUNCTION("""COMPUTED_VALUE"""),"PROSES")</f>
        <v>PROSES</v>
      </c>
      <c r="F2183" s="9" t="str">
        <f>IFERROR(__xludf.DUMMYFUNCTION("""COMPUTED_VALUE"""),"")</f>
        <v/>
      </c>
      <c r="G2183" s="7" t="str">
        <f>IFERROR(__xludf.DUMMYFUNCTION("""COMPUTED_VALUE"""),"BN Jual Beli")</f>
        <v>BN Jual Beli</v>
      </c>
      <c r="H2183" s="7">
        <f t="shared" si="1"/>
        <v>890</v>
      </c>
    </row>
    <row r="2184" ht="22.5" customHeight="1">
      <c r="B2184" s="7" t="str">
        <f>IFERROR(__xludf.DUMMYFUNCTION("""COMPUTED_VALUE"""),"K/10/131224/2")</f>
        <v>K/10/131224/2</v>
      </c>
      <c r="C2184" s="7" t="str">
        <f>IFERROR(__xludf.DUMMYFUNCTION("""COMPUTED_VALUE"""),"M. 4673/ Sukadana Ham")</f>
        <v>M. 4673/ Sukadana Ham</v>
      </c>
      <c r="D2184" s="7" t="str">
        <f>IFERROR(__xludf.DUMMYFUNCTION("""COMPUTED_VALUE"""),"Berry")</f>
        <v>Berry</v>
      </c>
      <c r="E2184" s="7" t="str">
        <f>IFERROR(__xludf.DUMMYFUNCTION("""COMPUTED_VALUE"""),"DISERAHKAN")</f>
        <v>DISERAHKAN</v>
      </c>
      <c r="F2184" s="9">
        <f>IFERROR(__xludf.DUMMYFUNCTION("""COMPUTED_VALUE"""),45642.71296428241)</f>
        <v>45642.71296</v>
      </c>
      <c r="G2184" s="7" t="str">
        <f>IFERROR(__xludf.DUMMYFUNCTION("""COMPUTED_VALUE"""),"BN Jual Beli")</f>
        <v>BN Jual Beli</v>
      </c>
      <c r="H2184" s="7">
        <f t="shared" si="1"/>
        <v>891</v>
      </c>
    </row>
    <row r="2185" ht="22.5" customHeight="1">
      <c r="B2185" s="7" t="str">
        <f>IFERROR(__xludf.DUMMYFUNCTION("""COMPUTED_VALUE"""),"K/13/131224/1")</f>
        <v>K/13/131224/1</v>
      </c>
      <c r="C2185" s="7" t="str">
        <f>IFERROR(__xludf.DUMMYFUNCTION("""COMPUTED_VALUE"""),"B.819/SUMUR PUTRI")</f>
        <v>B.819/SUMUR PUTRI</v>
      </c>
      <c r="D2185" s="7" t="str">
        <f>IFERROR(__xludf.DUMMYFUNCTION("""COMPUTED_VALUE"""),"Berry")</f>
        <v>Berry</v>
      </c>
      <c r="E2185" s="7" t="str">
        <f>IFERROR(__xludf.DUMMYFUNCTION("""COMPUTED_VALUE"""),"PROSES")</f>
        <v>PROSES</v>
      </c>
      <c r="F2185" s="9" t="str">
        <f>IFERROR(__xludf.DUMMYFUNCTION("""COMPUTED_VALUE"""),"")</f>
        <v/>
      </c>
      <c r="G2185" s="7" t="str">
        <f>IFERROR(__xludf.DUMMYFUNCTION("""COMPUTED_VALUE"""),"BN JUAL BELI")</f>
        <v>BN JUAL BELI</v>
      </c>
      <c r="H2185" s="7">
        <f t="shared" si="1"/>
        <v>891</v>
      </c>
    </row>
    <row r="2186" ht="22.5" customHeight="1">
      <c r="B2186" s="7" t="str">
        <f>IFERROR(__xludf.DUMMYFUNCTION("""COMPUTED_VALUE"""),"K/14/131224/2")</f>
        <v>K/14/131224/2</v>
      </c>
      <c r="C2186" s="7" t="str">
        <f>IFERROR(__xludf.DUMMYFUNCTION("""COMPUTED_VALUE"""),"B.794/SUMUR PUTRI")</f>
        <v>B.794/SUMUR PUTRI</v>
      </c>
      <c r="D2186" s="7" t="str">
        <f>IFERROR(__xludf.DUMMYFUNCTION("""COMPUTED_VALUE"""),"Berry")</f>
        <v>Berry</v>
      </c>
      <c r="E2186" s="7" t="str">
        <f>IFERROR(__xludf.DUMMYFUNCTION("""COMPUTED_VALUE"""),"PROSES")</f>
        <v>PROSES</v>
      </c>
      <c r="F2186" s="9" t="str">
        <f>IFERROR(__xludf.DUMMYFUNCTION("""COMPUTED_VALUE"""),"")</f>
        <v/>
      </c>
      <c r="G2186" s="7" t="str">
        <f>IFERROR(__xludf.DUMMYFUNCTION("""COMPUTED_VALUE"""),"BN JUAL BELI")</f>
        <v>BN JUAL BELI</v>
      </c>
      <c r="H2186" s="7">
        <f t="shared" si="1"/>
        <v>891</v>
      </c>
    </row>
    <row r="2187" ht="22.5" customHeight="1">
      <c r="B2187" s="7" t="str">
        <f>IFERROR(__xludf.DUMMYFUNCTION("""COMPUTED_VALUE"""),"K/15/131224/3")</f>
        <v>K/15/131224/3</v>
      </c>
      <c r="C2187" s="7" t="str">
        <f>IFERROR(__xludf.DUMMYFUNCTION("""COMPUTED_VALUE"""),"B.802/SUMUR PUTRI")</f>
        <v>B.802/SUMUR PUTRI</v>
      </c>
      <c r="D2187" s="7" t="str">
        <f>IFERROR(__xludf.DUMMYFUNCTION("""COMPUTED_VALUE"""),"Berry")</f>
        <v>Berry</v>
      </c>
      <c r="E2187" s="7" t="str">
        <f>IFERROR(__xludf.DUMMYFUNCTION("""COMPUTED_VALUE"""),"DISERAHKAN")</f>
        <v>DISERAHKAN</v>
      </c>
      <c r="F2187" s="9">
        <f>IFERROR(__xludf.DUMMYFUNCTION("""COMPUTED_VALUE"""),45642.713439444444)</f>
        <v>45642.71344</v>
      </c>
      <c r="G2187" s="7" t="str">
        <f>IFERROR(__xludf.DUMMYFUNCTION("""COMPUTED_VALUE"""),"BN JUAL BELI")</f>
        <v>BN JUAL BELI</v>
      </c>
      <c r="H2187" s="7">
        <f t="shared" si="1"/>
        <v>892</v>
      </c>
    </row>
    <row r="2188" ht="22.5" customHeight="1">
      <c r="B2188" s="7" t="str">
        <f>IFERROR(__xludf.DUMMYFUNCTION("""COMPUTED_VALUE"""),"K/16/131224/1")</f>
        <v>K/16/131224/1</v>
      </c>
      <c r="C2188" s="7" t="str">
        <f>IFERROR(__xludf.DUMMYFUNCTION("""COMPUTED_VALUE"""),"B.820/PERUMNAS WAY KANDIS-SEKARANG;B.579/WAY KANDIS-DAHULU")</f>
        <v>B.820/PERUMNAS WAY KANDIS-SEKARANG;B.579/WAY KANDIS-DAHULU</v>
      </c>
      <c r="D2188" s="7" t="str">
        <f>IFERROR(__xludf.DUMMYFUNCTION("""COMPUTED_VALUE"""),"Berry")</f>
        <v>Berry</v>
      </c>
      <c r="E2188" s="7" t="str">
        <f>IFERROR(__xludf.DUMMYFUNCTION("""COMPUTED_VALUE"""),"PROSES")</f>
        <v>PROSES</v>
      </c>
      <c r="F2188" s="9" t="str">
        <f>IFERROR(__xludf.DUMMYFUNCTION("""COMPUTED_VALUE"""),"")</f>
        <v/>
      </c>
      <c r="G2188" s="7" t="str">
        <f>IFERROR(__xludf.DUMMYFUNCTION("""COMPUTED_VALUE"""),"BN JUAL BELI")</f>
        <v>BN JUAL BELI</v>
      </c>
      <c r="H2188" s="7">
        <f t="shared" si="1"/>
        <v>892</v>
      </c>
    </row>
    <row r="2189" ht="22.5" customHeight="1">
      <c r="B2189" s="7" t="str">
        <f>IFERROR(__xludf.DUMMYFUNCTION("""COMPUTED_VALUE"""),"K/17/131224/2")</f>
        <v>K/17/131224/2</v>
      </c>
      <c r="C2189" s="7" t="str">
        <f>IFERROR(__xludf.DUMMYFUNCTION("""COMPUTED_VALUE"""),"B.1128/KEMILING PERMAI")</f>
        <v>B.1128/KEMILING PERMAI</v>
      </c>
      <c r="D2189" s="7" t="str">
        <f>IFERROR(__xludf.DUMMYFUNCTION("""COMPUTED_VALUE"""),"Berry")</f>
        <v>Berry</v>
      </c>
      <c r="E2189" s="7" t="str">
        <f>IFERROR(__xludf.DUMMYFUNCTION("""COMPUTED_VALUE"""),"PROSES")</f>
        <v>PROSES</v>
      </c>
      <c r="F2189" s="9" t="str">
        <f>IFERROR(__xludf.DUMMYFUNCTION("""COMPUTED_VALUE"""),"")</f>
        <v/>
      </c>
      <c r="G2189" s="7" t="str">
        <f>IFERROR(__xludf.DUMMYFUNCTION("""COMPUTED_VALUE"""),"BN JUAL BELI")</f>
        <v>BN JUAL BELI</v>
      </c>
      <c r="H2189" s="7">
        <f t="shared" si="1"/>
        <v>892</v>
      </c>
    </row>
    <row r="2190" ht="22.5" customHeight="1">
      <c r="B2190" s="7" t="str">
        <f>IFERROR(__xludf.DUMMYFUNCTION("""COMPUTED_VALUE"""),"K/18/131224/3")</f>
        <v>K/18/131224/3</v>
      </c>
      <c r="C2190" s="7" t="str">
        <f>IFERROR(__xludf.DUMMYFUNCTION("""COMPUTED_VALUE"""),"M.1805/WAY GUBAK")</f>
        <v>M.1805/WAY GUBAK</v>
      </c>
      <c r="D2190" s="7" t="str">
        <f>IFERROR(__xludf.DUMMYFUNCTION("""COMPUTED_VALUE"""),"Berry")</f>
        <v>Berry</v>
      </c>
      <c r="E2190" s="7" t="str">
        <f>IFERROR(__xludf.DUMMYFUNCTION("""COMPUTED_VALUE"""),"DISERAHKAN")</f>
        <v>DISERAHKAN</v>
      </c>
      <c r="F2190" s="9">
        <f>IFERROR(__xludf.DUMMYFUNCTION("""COMPUTED_VALUE"""),45642.71511034722)</f>
        <v>45642.71511</v>
      </c>
      <c r="G2190" s="7" t="str">
        <f>IFERROR(__xludf.DUMMYFUNCTION("""COMPUTED_VALUE"""),"BN JUAL BELI")</f>
        <v>BN JUAL BELI</v>
      </c>
      <c r="H2190" s="7">
        <f t="shared" si="1"/>
        <v>893</v>
      </c>
    </row>
    <row r="2191" ht="22.5" customHeight="1">
      <c r="B2191" s="7" t="str">
        <f>IFERROR(__xludf.DUMMYFUNCTION("""COMPUTED_VALUE"""),"K/19/131224/4")</f>
        <v>K/19/131224/4</v>
      </c>
      <c r="C2191" s="7" t="str">
        <f>IFERROR(__xludf.DUMMYFUNCTION("""COMPUTED_VALUE"""),"M.2970/SUKARAME BARU")</f>
        <v>M.2970/SUKARAME BARU</v>
      </c>
      <c r="D2191" s="7"/>
      <c r="E2191" s="7"/>
      <c r="F2191" s="9" t="str">
        <f>IFERROR(__xludf.DUMMYFUNCTION("""COMPUTED_VALUE"""),"")</f>
        <v/>
      </c>
      <c r="G2191" s="7" t="str">
        <f>IFERROR(__xludf.DUMMYFUNCTION("""COMPUTED_VALUE"""),"BN JUAL BELI")</f>
        <v>BN JUAL BELI</v>
      </c>
      <c r="H2191" s="7">
        <f t="shared" si="1"/>
        <v>893</v>
      </c>
    </row>
    <row r="2192" ht="22.5" customHeight="1">
      <c r="B2192" s="7" t="str">
        <f>IFERROR(__xludf.DUMMYFUNCTION("""COMPUTED_VALUE"""),"K/20/131224/1")</f>
        <v>K/20/131224/1</v>
      </c>
      <c r="C2192" s="7" t="str">
        <f>IFERROR(__xludf.DUMMYFUNCTION("""COMPUTED_VALUE"""),"M. 2274/ Campang Jaya")</f>
        <v>M. 2274/ Campang Jaya</v>
      </c>
      <c r="D2192" s="7"/>
      <c r="E2192" s="7"/>
      <c r="F2192" s="9" t="str">
        <f>IFERROR(__xludf.DUMMYFUNCTION("""COMPUTED_VALUE"""),"")</f>
        <v/>
      </c>
      <c r="G2192" s="7" t="str">
        <f>IFERROR(__xludf.DUMMYFUNCTION("""COMPUTED_VALUE"""),"BN Jual Beli")</f>
        <v>BN Jual Beli</v>
      </c>
      <c r="H2192" s="7">
        <f t="shared" si="1"/>
        <v>893</v>
      </c>
    </row>
    <row r="2193" ht="22.5" customHeight="1">
      <c r="B2193" s="7" t="str">
        <f>IFERROR(__xludf.DUMMYFUNCTION("""COMPUTED_VALUE"""),"K/21/131224/2")</f>
        <v>K/21/131224/2</v>
      </c>
      <c r="C2193" s="7" t="str">
        <f>IFERROR(__xludf.DUMMYFUNCTION("""COMPUTED_VALUE"""),"Nibel. B. 2237/ Sukarame")</f>
        <v>Nibel. B. 2237/ Sukarame</v>
      </c>
      <c r="D2193" s="7" t="str">
        <f>IFERROR(__xludf.DUMMYFUNCTION("""COMPUTED_VALUE"""),"Berry")</f>
        <v>Berry</v>
      </c>
      <c r="E2193" s="7" t="str">
        <f>IFERROR(__xludf.DUMMYFUNCTION("""COMPUTED_VALUE"""),"DISERAHKAN")</f>
        <v>DISERAHKAN</v>
      </c>
      <c r="F2193" s="9">
        <f>IFERROR(__xludf.DUMMYFUNCTION("""COMPUTED_VALUE"""),45642.7153124537)</f>
        <v>45642.71531</v>
      </c>
      <c r="G2193" s="7" t="str">
        <f>IFERROR(__xludf.DUMMYFUNCTION("""COMPUTED_VALUE"""),"Perubahan Hak")</f>
        <v>Perubahan Hak</v>
      </c>
      <c r="H2193" s="7">
        <f t="shared" si="1"/>
        <v>894</v>
      </c>
    </row>
    <row r="2194" ht="22.5" customHeight="1">
      <c r="B2194" s="7" t="str">
        <f>IFERROR(__xludf.DUMMYFUNCTION("""COMPUTED_VALUE"""),"L/22/131224/1")</f>
        <v>L/22/131224/1</v>
      </c>
      <c r="C2194" s="7" t="str">
        <f>IFERROR(__xludf.DUMMYFUNCTION("""COMPUTED_VALUE"""),"HM 1110/BERINGIN RAYA")</f>
        <v>HM 1110/BERINGIN RAYA</v>
      </c>
      <c r="D2194" s="7"/>
      <c r="E2194" s="7"/>
      <c r="F2194" s="9" t="str">
        <f>IFERROR(__xludf.DUMMYFUNCTION("""COMPUTED_VALUE"""),"")</f>
        <v/>
      </c>
      <c r="G2194" s="7" t="str">
        <f>IFERROR(__xludf.DUMMYFUNCTION("""COMPUTED_VALUE"""),"GANDES")</f>
        <v>GANDES</v>
      </c>
      <c r="H2194" s="7">
        <f t="shared" si="1"/>
        <v>894</v>
      </c>
    </row>
    <row r="2195" ht="22.5" customHeight="1">
      <c r="B2195" s="7" t="str">
        <f>IFERROR(__xludf.DUMMYFUNCTION("""COMPUTED_VALUE"""),"K/23/131224/1")</f>
        <v>K/23/131224/1</v>
      </c>
      <c r="C2195" s="7" t="str">
        <f>IFERROR(__xludf.DUMMYFUNCTION("""COMPUTED_VALUE"""),"M.3344/CAMPANG RAYA")</f>
        <v>M.3344/CAMPANG RAYA</v>
      </c>
      <c r="D2195" s="7"/>
      <c r="E2195" s="7"/>
      <c r="F2195" s="9" t="str">
        <f>IFERROR(__xludf.DUMMYFUNCTION("""COMPUTED_VALUE"""),"")</f>
        <v/>
      </c>
      <c r="G2195" s="7" t="str">
        <f>IFERROR(__xludf.DUMMYFUNCTION("""COMPUTED_VALUE"""),"BN JUAL BELI")</f>
        <v>BN JUAL BELI</v>
      </c>
      <c r="H2195" s="7">
        <f t="shared" si="1"/>
        <v>894</v>
      </c>
    </row>
    <row r="2196" ht="22.5" customHeight="1">
      <c r="B2196" s="7" t="str">
        <f>IFERROR(__xludf.DUMMYFUNCTION("""COMPUTED_VALUE"""),"K/24/131224/2")</f>
        <v>K/24/131224/2</v>
      </c>
      <c r="C2196" s="7" t="str">
        <f>IFERROR(__xludf.DUMMYFUNCTION("""COMPUTED_VALUE"""),"NIBEL M 1624/CAMPANG RAYA")</f>
        <v>NIBEL M 1624/CAMPANG RAYA</v>
      </c>
      <c r="D2196" s="7" t="str">
        <f>IFERROR(__xludf.DUMMYFUNCTION("""COMPUTED_VALUE"""),"Berry")</f>
        <v>Berry</v>
      </c>
      <c r="E2196" s="7" t="str">
        <f>IFERROR(__xludf.DUMMYFUNCTION("""COMPUTED_VALUE"""),"DISERAHKAN")</f>
        <v>DISERAHKAN</v>
      </c>
      <c r="F2196" s="9">
        <f>IFERROR(__xludf.DUMMYFUNCTION("""COMPUTED_VALUE"""),45642.71555209491)</f>
        <v>45642.71555</v>
      </c>
      <c r="G2196" s="7" t="str">
        <f>IFERROR(__xludf.DUMMYFUNCTION("""COMPUTED_VALUE"""),"BN JUAL BELI")</f>
        <v>BN JUAL BELI</v>
      </c>
      <c r="H2196" s="7">
        <f t="shared" si="1"/>
        <v>895</v>
      </c>
    </row>
    <row r="2197" ht="22.5" customHeight="1">
      <c r="B2197" s="7" t="str">
        <f>IFERROR(__xludf.DUMMYFUNCTION("""COMPUTED_VALUE"""),"K/25/131224/2")</f>
        <v>K/25/131224/2</v>
      </c>
      <c r="C2197" s="7" t="str">
        <f>IFERROR(__xludf.DUMMYFUNCTION("""COMPUTED_VALUE"""),"NIBEL M 2704/LANGKAPURA")</f>
        <v>NIBEL M 2704/LANGKAPURA</v>
      </c>
      <c r="D2197" s="7" t="str">
        <f>IFERROR(__xludf.DUMMYFUNCTION("""COMPUTED_VALUE"""),"Berry")</f>
        <v>Berry</v>
      </c>
      <c r="E2197" s="7" t="str">
        <f>IFERROR(__xludf.DUMMYFUNCTION("""COMPUTED_VALUE"""),"PROSES")</f>
        <v>PROSES</v>
      </c>
      <c r="F2197" s="9" t="str">
        <f>IFERROR(__xludf.DUMMYFUNCTION("""COMPUTED_VALUE"""),"")</f>
        <v/>
      </c>
      <c r="G2197" s="7" t="str">
        <f>IFERROR(__xludf.DUMMYFUNCTION("""COMPUTED_VALUE"""),"BN JUAL BELI")</f>
        <v>BN JUAL BELI</v>
      </c>
      <c r="H2197" s="7">
        <f t="shared" si="1"/>
        <v>895</v>
      </c>
    </row>
    <row r="2198" ht="22.5" customHeight="1">
      <c r="B2198" s="7" t="str">
        <f>IFERROR(__xludf.DUMMYFUNCTION("""COMPUTED_VALUE"""),"K/26/131224/1")</f>
        <v>K/26/131224/1</v>
      </c>
      <c r="C2198" s="7" t="str">
        <f>IFERROR(__xludf.DUMMYFUNCTION("""COMPUTED_VALUE"""),"M. 1488/ Bumi Kedamaian")</f>
        <v>M. 1488/ Bumi Kedamaian</v>
      </c>
      <c r="D2198" s="7" t="str">
        <f>IFERROR(__xludf.DUMMYFUNCTION("""COMPUTED_VALUE"""),"Berry")</f>
        <v>Berry</v>
      </c>
      <c r="E2198" s="7" t="str">
        <f>IFERROR(__xludf.DUMMYFUNCTION("""COMPUTED_VALUE"""),"DISERAHKAN")</f>
        <v>DISERAHKAN</v>
      </c>
      <c r="F2198" s="9">
        <f>IFERROR(__xludf.DUMMYFUNCTION("""COMPUTED_VALUE"""),45642.71600865741)</f>
        <v>45642.71601</v>
      </c>
      <c r="G2198" s="7" t="str">
        <f>IFERROR(__xludf.DUMMYFUNCTION("""COMPUTED_VALUE"""),"BN Jual Beli")</f>
        <v>BN Jual Beli</v>
      </c>
      <c r="H2198" s="7">
        <f t="shared" si="1"/>
        <v>896</v>
      </c>
    </row>
    <row r="2199" ht="22.5" customHeight="1">
      <c r="B2199" s="7" t="str">
        <f>IFERROR(__xludf.DUMMYFUNCTION("""COMPUTED_VALUE"""),"K/27/131224/2")</f>
        <v>K/27/131224/2</v>
      </c>
      <c r="C2199" s="7" t="str">
        <f>IFERROR(__xludf.DUMMYFUNCTION("""COMPUTED_VALUE"""),"M. 367/ Sukamenanti Baru")</f>
        <v>M. 367/ Sukamenanti Baru</v>
      </c>
      <c r="D2199" s="7" t="str">
        <f>IFERROR(__xludf.DUMMYFUNCTION("""COMPUTED_VALUE"""),"Berry")</f>
        <v>Berry</v>
      </c>
      <c r="E2199" s="7" t="str">
        <f>IFERROR(__xludf.DUMMYFUNCTION("""COMPUTED_VALUE"""),"PROSES")</f>
        <v>PROSES</v>
      </c>
      <c r="F2199" s="9" t="str">
        <f>IFERROR(__xludf.DUMMYFUNCTION("""COMPUTED_VALUE"""),"")</f>
        <v/>
      </c>
      <c r="G2199" s="7" t="str">
        <f>IFERROR(__xludf.DUMMYFUNCTION("""COMPUTED_VALUE"""),"BN Jual Beli")</f>
        <v>BN Jual Beli</v>
      </c>
      <c r="H2199" s="7">
        <f t="shared" si="1"/>
        <v>896</v>
      </c>
    </row>
    <row r="2200" ht="22.5" customHeight="1">
      <c r="B2200" s="7" t="str">
        <f>IFERROR(__xludf.DUMMYFUNCTION("""COMPUTED_VALUE"""),"K/28/131224/3")</f>
        <v>K/28/131224/3</v>
      </c>
      <c r="C2200" s="7" t="str">
        <f>IFERROR(__xludf.DUMMYFUNCTION("""COMPUTED_VALUE"""),"M. 2569/ Pinang Jaya")</f>
        <v>M. 2569/ Pinang Jaya</v>
      </c>
      <c r="D2200" s="7" t="str">
        <f>IFERROR(__xludf.DUMMYFUNCTION("""COMPUTED_VALUE"""),"Berry")</f>
        <v>Berry</v>
      </c>
      <c r="E2200" s="7" t="str">
        <f>IFERROR(__xludf.DUMMYFUNCTION("""COMPUTED_VALUE"""),"PROSES")</f>
        <v>PROSES</v>
      </c>
      <c r="F2200" s="9" t="str">
        <f>IFERROR(__xludf.DUMMYFUNCTION("""COMPUTED_VALUE"""),"")</f>
        <v/>
      </c>
      <c r="G2200" s="7" t="str">
        <f>IFERROR(__xludf.DUMMYFUNCTION("""COMPUTED_VALUE"""),"BN Jual Beli")</f>
        <v>BN Jual Beli</v>
      </c>
      <c r="H2200" s="7">
        <f t="shared" si="1"/>
        <v>896</v>
      </c>
    </row>
    <row r="2201" ht="22.5" customHeight="1">
      <c r="B2201" s="7" t="str">
        <f>IFERROR(__xludf.DUMMYFUNCTION("""COMPUTED_VALUE"""),"L/29/131224/1")</f>
        <v>L/29/131224/1</v>
      </c>
      <c r="C2201" s="7" t="str">
        <f>IFERROR(__xludf.DUMMYFUNCTION("""COMPUTED_VALUE"""),"HM 466/GUNUNG MAS")</f>
        <v>HM 466/GUNUNG MAS</v>
      </c>
      <c r="D2201" s="7" t="str">
        <f>IFERROR(__xludf.DUMMYFUNCTION("""COMPUTED_VALUE"""),"Berry")</f>
        <v>Berry</v>
      </c>
      <c r="E2201" s="7" t="str">
        <f>IFERROR(__xludf.DUMMYFUNCTION("""COMPUTED_VALUE"""),"DISERAHKAN")</f>
        <v>DISERAHKAN</v>
      </c>
      <c r="F2201" s="9">
        <f>IFERROR(__xludf.DUMMYFUNCTION("""COMPUTED_VALUE"""),45642.71635271991)</f>
        <v>45642.71635</v>
      </c>
      <c r="G2201" s="7" t="str">
        <f>IFERROR(__xludf.DUMMYFUNCTION("""COMPUTED_VALUE"""),"BN JUAL - BELI")</f>
        <v>BN JUAL - BELI</v>
      </c>
      <c r="H2201" s="7">
        <f t="shared" si="1"/>
        <v>897</v>
      </c>
    </row>
    <row r="2202" ht="22.5" customHeight="1">
      <c r="B2202" s="7" t="str">
        <f>IFERROR(__xludf.DUMMYFUNCTION("""COMPUTED_VALUE"""),"K/30/131224/1")</f>
        <v>K/30/131224/1</v>
      </c>
      <c r="C2202" s="7" t="str">
        <f>IFERROR(__xludf.DUMMYFUNCTION("""COMPUTED_VALUE"""),"M.3254/SUKADANAHAM")</f>
        <v>M.3254/SUKADANAHAM</v>
      </c>
      <c r="D2202" s="7"/>
      <c r="E2202" s="7"/>
      <c r="F2202" s="9" t="str">
        <f>IFERROR(__xludf.DUMMYFUNCTION("""COMPUTED_VALUE"""),"")</f>
        <v/>
      </c>
      <c r="G2202" s="7" t="str">
        <f>IFERROR(__xludf.DUMMYFUNCTION("""COMPUTED_VALUE"""),"BN JUAL BELI")</f>
        <v>BN JUAL BELI</v>
      </c>
      <c r="H2202" s="7">
        <f t="shared" si="1"/>
        <v>897</v>
      </c>
    </row>
    <row r="2203" ht="22.5" customHeight="1">
      <c r="B2203" s="7" t="str">
        <f>IFERROR(__xludf.DUMMYFUNCTION("""COMPUTED_VALUE"""),"K/31/131224/2")</f>
        <v>K/31/131224/2</v>
      </c>
      <c r="C2203" s="7" t="str">
        <f>IFERROR(__xludf.DUMMYFUNCTION("""COMPUTED_VALUE"""),"M.1195/SUKADANAHAM")</f>
        <v>M.1195/SUKADANAHAM</v>
      </c>
      <c r="D2203" s="7" t="str">
        <f>IFERROR(__xludf.DUMMYFUNCTION("""COMPUTED_VALUE"""),"Berry")</f>
        <v>Berry</v>
      </c>
      <c r="E2203" s="7" t="str">
        <f>IFERROR(__xludf.DUMMYFUNCTION("""COMPUTED_VALUE"""),"DISERAHKAN")</f>
        <v>DISERAHKAN</v>
      </c>
      <c r="F2203" s="9">
        <f>IFERROR(__xludf.DUMMYFUNCTION("""COMPUTED_VALUE"""),45642.716781979165)</f>
        <v>45642.71678</v>
      </c>
      <c r="G2203" s="7" t="str">
        <f>IFERROR(__xludf.DUMMYFUNCTION("""COMPUTED_VALUE"""),"BN JUAL BELI")</f>
        <v>BN JUAL BELI</v>
      </c>
      <c r="H2203" s="7">
        <f t="shared" si="1"/>
        <v>898</v>
      </c>
    </row>
    <row r="2204" ht="22.5" customHeight="1">
      <c r="B2204" s="7" t="str">
        <f>IFERROR(__xludf.DUMMYFUNCTION("""COMPUTED_VALUE"""),"K/32/131224/1")</f>
        <v>K/32/131224/1</v>
      </c>
      <c r="C2204" s="7" t="str">
        <f>IFERROR(__xludf.DUMMYFUNCTION("""COMPUTED_VALUE"""),"M.695/RAJABASA NUNYAI-SEKARANG;B.495/RAJABASA NUNYAI")</f>
        <v>M.695/RAJABASA NUNYAI-SEKARANG;B.495/RAJABASA NUNYAI</v>
      </c>
      <c r="D2204" s="7" t="str">
        <f>IFERROR(__xludf.DUMMYFUNCTION("""COMPUTED_VALUE"""),"Berry")</f>
        <v>Berry</v>
      </c>
      <c r="E2204" s="7" t="str">
        <f>IFERROR(__xludf.DUMMYFUNCTION("""COMPUTED_VALUE"""),"PROSES")</f>
        <v>PROSES</v>
      </c>
      <c r="F2204" s="9" t="str">
        <f>IFERROR(__xludf.DUMMYFUNCTION("""COMPUTED_VALUE"""),"")</f>
        <v/>
      </c>
      <c r="G2204" s="7" t="str">
        <f>IFERROR(__xludf.DUMMYFUNCTION("""COMPUTED_VALUE"""),"PENGECEKAN")</f>
        <v>PENGECEKAN</v>
      </c>
      <c r="H2204" s="7">
        <f t="shared" si="1"/>
        <v>898</v>
      </c>
    </row>
    <row r="2205" ht="22.5" customHeight="1">
      <c r="B2205" s="7" t="str">
        <f>IFERROR(__xludf.DUMMYFUNCTION("""COMPUTED_VALUE"""),"K/33/131224/1")</f>
        <v>K/33/131224/1</v>
      </c>
      <c r="C2205" s="7" t="str">
        <f>IFERROR(__xludf.DUMMYFUNCTION("""COMPUTED_VALUE"""),"B. 686/ Kemiling Permai")</f>
        <v>B. 686/ Kemiling Permai</v>
      </c>
      <c r="D2205" s="7" t="str">
        <f>IFERROR(__xludf.DUMMYFUNCTION("""COMPUTED_VALUE"""),"Berry")</f>
        <v>Berry</v>
      </c>
      <c r="E2205" s="7" t="str">
        <f>IFERROR(__xludf.DUMMYFUNCTION("""COMPUTED_VALUE"""),"PROSES")</f>
        <v>PROSES</v>
      </c>
      <c r="F2205" s="9" t="str">
        <f>IFERROR(__xludf.DUMMYFUNCTION("""COMPUTED_VALUE"""),"")</f>
        <v/>
      </c>
      <c r="G2205" s="7" t="str">
        <f>IFERROR(__xludf.DUMMYFUNCTION("""COMPUTED_VALUE"""),"BN Jual Beli")</f>
        <v>BN Jual Beli</v>
      </c>
      <c r="H2205" s="7">
        <f t="shared" si="1"/>
        <v>898</v>
      </c>
    </row>
    <row r="2206" ht="22.5" customHeight="1">
      <c r="B2206" s="7" t="str">
        <f>IFERROR(__xludf.DUMMYFUNCTION("""COMPUTED_VALUE"""),"K/34/131224/1")</f>
        <v>K/34/131224/1</v>
      </c>
      <c r="C2206" s="7" t="str">
        <f>IFERROR(__xludf.DUMMYFUNCTION("""COMPUTED_VALUE"""),"M.5925/TANJUNG SENANG")</f>
        <v>M.5925/TANJUNG SENANG</v>
      </c>
      <c r="D2206" s="7" t="str">
        <f>IFERROR(__xludf.DUMMYFUNCTION("""COMPUTED_VALUE"""),"Berry")</f>
        <v>Berry</v>
      </c>
      <c r="E2206" s="7" t="str">
        <f>IFERROR(__xludf.DUMMYFUNCTION("""COMPUTED_VALUE"""),"DISERAHKAN")</f>
        <v>DISERAHKAN</v>
      </c>
      <c r="F2206" s="9">
        <f>IFERROR(__xludf.DUMMYFUNCTION("""COMPUTED_VALUE"""),45642.71732467593)</f>
        <v>45642.71732</v>
      </c>
      <c r="G2206" s="7" t="str">
        <f>IFERROR(__xludf.DUMMYFUNCTION("""COMPUTED_VALUE"""),"BN JUAL BELI")</f>
        <v>BN JUAL BELI</v>
      </c>
      <c r="H2206" s="7">
        <f t="shared" si="1"/>
        <v>899</v>
      </c>
    </row>
    <row r="2207" ht="22.5" customHeight="1">
      <c r="B2207" s="7" t="str">
        <f>IFERROR(__xludf.DUMMYFUNCTION("""COMPUTED_VALUE"""),"K/36/131224/1")</f>
        <v>K/36/131224/1</v>
      </c>
      <c r="C2207" s="7" t="str">
        <f>IFERROR(__xludf.DUMMYFUNCTION("""COMPUTED_VALUE"""),"M.1239/RAJABASA PEMUKA ")</f>
        <v>M.1239/RAJABASA PEMUKA </v>
      </c>
      <c r="D2207" s="7" t="str">
        <f>IFERROR(__xludf.DUMMYFUNCTION("""COMPUTED_VALUE"""),"Berry")</f>
        <v>Berry</v>
      </c>
      <c r="E2207" s="7" t="str">
        <f>IFERROR(__xludf.DUMMYFUNCTION("""COMPUTED_VALUE"""),"PROSES")</f>
        <v>PROSES</v>
      </c>
      <c r="F2207" s="9" t="str">
        <f>IFERROR(__xludf.DUMMYFUNCTION("""COMPUTED_VALUE"""),"")</f>
        <v/>
      </c>
      <c r="G2207" s="7" t="str">
        <f>IFERROR(__xludf.DUMMYFUNCTION("""COMPUTED_VALUE"""),"BN JUAL BELI")</f>
        <v>BN JUAL BELI</v>
      </c>
      <c r="H2207" s="7">
        <f t="shared" si="1"/>
        <v>899</v>
      </c>
    </row>
    <row r="2208" ht="22.5" customHeight="1">
      <c r="B2208" s="7" t="str">
        <f>IFERROR(__xludf.DUMMYFUNCTION("""COMPUTED_VALUE"""),"K/35/131224/2")</f>
        <v>K/35/131224/2</v>
      </c>
      <c r="C2208" s="7" t="str">
        <f>IFERROR(__xludf.DUMMYFUNCTION("""COMPUTED_VALUE"""),"M.5947/TANJUNG SENANG")</f>
        <v>M.5947/TANJUNG SENANG</v>
      </c>
      <c r="D2208" s="7" t="str">
        <f>IFERROR(__xludf.DUMMYFUNCTION("""COMPUTED_VALUE"""),"Berry")</f>
        <v>Berry</v>
      </c>
      <c r="E2208" s="7" t="str">
        <f>IFERROR(__xludf.DUMMYFUNCTION("""COMPUTED_VALUE"""),"PROSES")</f>
        <v>PROSES</v>
      </c>
      <c r="F2208" s="9" t="str">
        <f>IFERROR(__xludf.DUMMYFUNCTION("""COMPUTED_VALUE"""),"")</f>
        <v/>
      </c>
      <c r="G2208" s="7" t="str">
        <f>IFERROR(__xludf.DUMMYFUNCTION("""COMPUTED_VALUE"""),"BN JUAL BELI")</f>
        <v>BN JUAL BELI</v>
      </c>
      <c r="H2208" s="7">
        <f t="shared" si="1"/>
        <v>899</v>
      </c>
    </row>
    <row r="2209" ht="22.5" customHeight="1">
      <c r="B2209" s="7" t="str">
        <f>IFERROR(__xludf.DUMMYFUNCTION("""COMPUTED_VALUE"""),"K/37/131224/2")</f>
        <v>K/37/131224/2</v>
      </c>
      <c r="C2209" s="7" t="str">
        <f>IFERROR(__xludf.DUMMYFUNCTION("""COMPUTED_VALUE"""),"M.2525/SUMBER AGUNG")</f>
        <v>M.2525/SUMBER AGUNG</v>
      </c>
      <c r="D2209" s="7" t="str">
        <f>IFERROR(__xludf.DUMMYFUNCTION("""COMPUTED_VALUE"""),"Berry")</f>
        <v>Berry</v>
      </c>
      <c r="E2209" s="7" t="str">
        <f>IFERROR(__xludf.DUMMYFUNCTION("""COMPUTED_VALUE"""),"DISERAHKAN")</f>
        <v>DISERAHKAN</v>
      </c>
      <c r="F2209" s="9">
        <f>IFERROR(__xludf.DUMMYFUNCTION("""COMPUTED_VALUE"""),45642.71806153935)</f>
        <v>45642.71806</v>
      </c>
      <c r="G2209" s="7" t="str">
        <f>IFERROR(__xludf.DUMMYFUNCTION("""COMPUTED_VALUE"""),"BN JUAL BELI")</f>
        <v>BN JUAL BELI</v>
      </c>
      <c r="H2209" s="7">
        <f t="shared" si="1"/>
        <v>900</v>
      </c>
    </row>
    <row r="2210" ht="22.5" customHeight="1">
      <c r="B2210" s="7" t="str">
        <f>IFERROR(__xludf.DUMMYFUNCTION("""COMPUTED_VALUE"""),"K/38/131224/3")</f>
        <v>K/38/131224/3</v>
      </c>
      <c r="C2210" s="7" t="str">
        <f>IFERROR(__xludf.DUMMYFUNCTION("""COMPUTED_VALUE"""),"M.1627/KEMILING RAYA-SEKARANG;M.3258/SUMBERREJO KEMILING-DAHULU")</f>
        <v>M.1627/KEMILING RAYA-SEKARANG;M.3258/SUMBERREJO KEMILING-DAHULU</v>
      </c>
      <c r="D2210" s="7" t="str">
        <f>IFERROR(__xludf.DUMMYFUNCTION("""COMPUTED_VALUE"""),"Berry")</f>
        <v>Berry</v>
      </c>
      <c r="E2210" s="7" t="str">
        <f>IFERROR(__xludf.DUMMYFUNCTION("""COMPUTED_VALUE"""),"PROSES")</f>
        <v>PROSES</v>
      </c>
      <c r="F2210" s="9" t="str">
        <f>IFERROR(__xludf.DUMMYFUNCTION("""COMPUTED_VALUE"""),"")</f>
        <v/>
      </c>
      <c r="G2210" s="7" t="str">
        <f>IFERROR(__xludf.DUMMYFUNCTION("""COMPUTED_VALUE"""),"BN JUAL BELI")</f>
        <v>BN JUAL BELI</v>
      </c>
      <c r="H2210" s="7">
        <f t="shared" si="1"/>
        <v>900</v>
      </c>
    </row>
    <row r="2211" ht="22.5" customHeight="1">
      <c r="B2211" s="7" t="str">
        <f>IFERROR(__xludf.DUMMYFUNCTION("""COMPUTED_VALUE"""),"L/39/141224/PELATARAN")</f>
        <v>L/39/141224/PELATARAN</v>
      </c>
      <c r="C2211" s="7" t="str">
        <f>IFERROR(__xludf.DUMMYFUNCTION("""COMPUTED_VALUE"""),"M.2398/SUKAJAWA")</f>
        <v>M.2398/SUKAJAWA</v>
      </c>
      <c r="D2211" s="7" t="str">
        <f>IFERROR(__xludf.DUMMYFUNCTION("""COMPUTED_VALUE"""),"Berry")</f>
        <v>Berry</v>
      </c>
      <c r="E2211" s="7" t="str">
        <f>IFERROR(__xludf.DUMMYFUNCTION("""COMPUTED_VALUE"""),"DISERAHKAN BT")</f>
        <v>DISERAHKAN BT</v>
      </c>
      <c r="F2211" s="9">
        <f>IFERROR(__xludf.DUMMYFUNCTION("""COMPUTED_VALUE"""),45642.718284884264)</f>
        <v>45642.71828</v>
      </c>
      <c r="G2211" s="7" t="str">
        <f>IFERROR(__xludf.DUMMYFUNCTION("""COMPUTED_VALUE"""),"ROYA")</f>
        <v>ROYA</v>
      </c>
      <c r="H2211" s="7">
        <f t="shared" si="1"/>
        <v>900</v>
      </c>
    </row>
    <row r="2212" ht="22.5" customHeight="1">
      <c r="B2212" s="7" t="str">
        <f>IFERROR(__xludf.DUMMYFUNCTION("""COMPUTED_VALUE"""),"L/1/151224/1")</f>
        <v>L/1/151224/1</v>
      </c>
      <c r="C2212" s="7" t="str">
        <f>IFERROR(__xludf.DUMMYFUNCTION("""COMPUTED_VALUE"""),"M. 1375/ Sukabumi Indah")</f>
        <v>M. 1375/ Sukabumi Indah</v>
      </c>
      <c r="D2212" s="7" t="str">
        <f>IFERROR(__xludf.DUMMYFUNCTION("""COMPUTED_VALUE"""),"Berry")</f>
        <v>Berry</v>
      </c>
      <c r="E2212" s="7" t="str">
        <f>IFERROR(__xludf.DUMMYFUNCTION("""COMPUTED_VALUE"""),"DISERAHKAN")</f>
        <v>DISERAHKAN</v>
      </c>
      <c r="F2212" s="9">
        <f>IFERROR(__xludf.DUMMYFUNCTION("""COMPUTED_VALUE"""),45644.68708322917)</f>
        <v>45644.68708</v>
      </c>
      <c r="G2212" s="7" t="str">
        <f>IFERROR(__xludf.DUMMYFUNCTION("""COMPUTED_VALUE"""),"Roya")</f>
        <v>Roya</v>
      </c>
      <c r="H2212" s="7">
        <f t="shared" si="1"/>
        <v>901</v>
      </c>
    </row>
    <row r="2213" ht="22.5" customHeight="1">
      <c r="B2213" s="7" t="str">
        <f>IFERROR(__xludf.DUMMYFUNCTION("""COMPUTED_VALUE"""),"L/1/161224/1")</f>
        <v>L/1/161224/1</v>
      </c>
      <c r="C2213" s="7" t="str">
        <f>IFERROR(__xludf.DUMMYFUNCTION("""COMPUTED_VALUE"""),"HM 8575/SUKARAME")</f>
        <v>HM 8575/SUKARAME</v>
      </c>
      <c r="D2213" s="7"/>
      <c r="E2213" s="7"/>
      <c r="F2213" s="9" t="str">
        <f>IFERROR(__xludf.DUMMYFUNCTION("""COMPUTED_VALUE"""),"")</f>
        <v/>
      </c>
      <c r="G2213" s="7" t="str">
        <f>IFERROR(__xludf.DUMMYFUNCTION("""COMPUTED_VALUE"""),"ROYA")</f>
        <v>ROYA</v>
      </c>
      <c r="H2213" s="7">
        <f t="shared" si="1"/>
        <v>901</v>
      </c>
    </row>
    <row r="2214" ht="22.5" customHeight="1">
      <c r="B2214" s="7" t="str">
        <f>IFERROR(__xludf.DUMMYFUNCTION("""COMPUTED_VALUE"""),"K/2/161224/1")</f>
        <v>K/2/161224/1</v>
      </c>
      <c r="C2214" s="7" t="str">
        <f>IFERROR(__xludf.DUMMYFUNCTION("""COMPUTED_VALUE"""),"M.581/GULAK GALIK")</f>
        <v>M.581/GULAK GALIK</v>
      </c>
      <c r="D2214" s="7" t="str">
        <f>IFERROR(__xludf.DUMMYFUNCTION("""COMPUTED_VALUE"""),"Berry")</f>
        <v>Berry</v>
      </c>
      <c r="E2214" s="7" t="str">
        <f>IFERROR(__xludf.DUMMYFUNCTION("""COMPUTED_VALUE"""),"PROSES")</f>
        <v>PROSES</v>
      </c>
      <c r="F2214" s="9" t="str">
        <f>IFERROR(__xludf.DUMMYFUNCTION("""COMPUTED_VALUE"""),"")</f>
        <v/>
      </c>
      <c r="G2214" s="7" t="str">
        <f>IFERROR(__xludf.DUMMYFUNCTION("""COMPUTED_VALUE"""),"ROYA ")</f>
        <v>ROYA </v>
      </c>
      <c r="H2214" s="7">
        <f t="shared" si="1"/>
        <v>901</v>
      </c>
    </row>
    <row r="2215" ht="22.5" customHeight="1">
      <c r="B2215" s="7" t="str">
        <f>IFERROR(__xludf.DUMMYFUNCTION("""COMPUTED_VALUE"""),"K/3/161224/1")</f>
        <v>K/3/161224/1</v>
      </c>
      <c r="C2215" s="7" t="str">
        <f>IFERROR(__xludf.DUMMYFUNCTION("""COMPUTED_VALUE"""),"M.397/SUSUNAN BARU")</f>
        <v>M.397/SUSUNAN BARU</v>
      </c>
      <c r="D2215" s="7" t="str">
        <f>IFERROR(__xludf.DUMMYFUNCTION("""COMPUTED_VALUE"""),"Berry")</f>
        <v>Berry</v>
      </c>
      <c r="E2215" s="7" t="str">
        <f>IFERROR(__xludf.DUMMYFUNCTION("""COMPUTED_VALUE"""),"PROSES")</f>
        <v>PROSES</v>
      </c>
      <c r="F2215" s="9" t="str">
        <f>IFERROR(__xludf.DUMMYFUNCTION("""COMPUTED_VALUE"""),"")</f>
        <v/>
      </c>
      <c r="G2215" s="7" t="str">
        <f>IFERROR(__xludf.DUMMYFUNCTION("""COMPUTED_VALUE"""),"PTPGT")</f>
        <v>PTPGT</v>
      </c>
      <c r="H2215" s="7">
        <f t="shared" si="1"/>
        <v>901</v>
      </c>
    </row>
    <row r="2216" ht="22.5" customHeight="1">
      <c r="B2216" s="7" t="str">
        <f>IFERROR(__xludf.DUMMYFUNCTION("""COMPUTED_VALUE"""),"K/4/161224/2")</f>
        <v>K/4/161224/2</v>
      </c>
      <c r="C2216" s="7" t="str">
        <f>IFERROR(__xludf.DUMMYFUNCTION("""COMPUTED_VALUE"""),"M.16759/SUKABUMI")</f>
        <v>M.16759/SUKABUMI</v>
      </c>
      <c r="D2216" s="7" t="str">
        <f>IFERROR(__xludf.DUMMYFUNCTION("""COMPUTED_VALUE"""),"Berry")</f>
        <v>Berry</v>
      </c>
      <c r="E2216" s="7" t="str">
        <f>IFERROR(__xludf.DUMMYFUNCTION("""COMPUTED_VALUE"""),"PROSES")</f>
        <v>PROSES</v>
      </c>
      <c r="F2216" s="9" t="str">
        <f>IFERROR(__xludf.DUMMYFUNCTION("""COMPUTED_VALUE"""),"")</f>
        <v/>
      </c>
      <c r="G2216" s="7" t="str">
        <f>IFERROR(__xludf.DUMMYFUNCTION("""COMPUTED_VALUE"""),"BN APHB")</f>
        <v>BN APHB</v>
      </c>
      <c r="H2216" s="7">
        <f t="shared" si="1"/>
        <v>901</v>
      </c>
    </row>
    <row r="2217" ht="22.5" customHeight="1">
      <c r="B2217" s="7" t="str">
        <f>IFERROR(__xludf.DUMMYFUNCTION("""COMPUTED_VALUE"""),"K/5/161224/3")</f>
        <v>K/5/161224/3</v>
      </c>
      <c r="C2217" s="7" t="str">
        <f>IFERROR(__xludf.DUMMYFUNCTION("""COMPUTED_VALUE"""),"M.16761/SUKABUMI")</f>
        <v>M.16761/SUKABUMI</v>
      </c>
      <c r="D2217" s="7" t="str">
        <f>IFERROR(__xludf.DUMMYFUNCTION("""COMPUTED_VALUE"""),"Berry")</f>
        <v>Berry</v>
      </c>
      <c r="E2217" s="7" t="str">
        <f>IFERROR(__xludf.DUMMYFUNCTION("""COMPUTED_VALUE"""),"PROSES")</f>
        <v>PROSES</v>
      </c>
      <c r="F2217" s="9" t="str">
        <f>IFERROR(__xludf.DUMMYFUNCTION("""COMPUTED_VALUE"""),"")</f>
        <v/>
      </c>
      <c r="G2217" s="7" t="str">
        <f>IFERROR(__xludf.DUMMYFUNCTION("""COMPUTED_VALUE"""),"BN APHB")</f>
        <v>BN APHB</v>
      </c>
      <c r="H2217" s="7">
        <f t="shared" si="1"/>
        <v>901</v>
      </c>
    </row>
    <row r="2218" ht="22.5" customHeight="1">
      <c r="B2218" s="7" t="str">
        <f>IFERROR(__xludf.DUMMYFUNCTION("""COMPUTED_VALUE"""),"K/6/161224/4")</f>
        <v>K/6/161224/4</v>
      </c>
      <c r="C2218" s="7" t="str">
        <f>IFERROR(__xludf.DUMMYFUNCTION("""COMPUTED_VALUE"""),"M.4602/GUNUNG TERANG")</f>
        <v>M.4602/GUNUNG TERANG</v>
      </c>
      <c r="D2218" s="7"/>
      <c r="E2218" s="7"/>
      <c r="F2218" s="9" t="str">
        <f>IFERROR(__xludf.DUMMYFUNCTION("""COMPUTED_VALUE"""),"")</f>
        <v/>
      </c>
      <c r="G2218" s="7" t="str">
        <f>IFERROR(__xludf.DUMMYFUNCTION("""COMPUTED_VALUE"""),"BN APHB")</f>
        <v>BN APHB</v>
      </c>
      <c r="H2218" s="7">
        <f t="shared" si="1"/>
        <v>901</v>
      </c>
    </row>
    <row r="2219" ht="22.5" customHeight="1">
      <c r="B2219" s="7" t="str">
        <f>IFERROR(__xludf.DUMMYFUNCTION("""COMPUTED_VALUE"""),"K/7/161224/5")</f>
        <v>K/7/161224/5</v>
      </c>
      <c r="C2219" s="7" t="str">
        <f>IFERROR(__xludf.DUMMYFUNCTION("""COMPUTED_VALUE"""),"M.4603/GUNUNG TERANG")</f>
        <v>M.4603/GUNUNG TERANG</v>
      </c>
      <c r="D2219" s="7"/>
      <c r="E2219" s="7"/>
      <c r="F2219" s="9" t="str">
        <f>IFERROR(__xludf.DUMMYFUNCTION("""COMPUTED_VALUE"""),"")</f>
        <v/>
      </c>
      <c r="G2219" s="7" t="str">
        <f>IFERROR(__xludf.DUMMYFUNCTION("""COMPUTED_VALUE"""),"BN APHB ")</f>
        <v>BN APHB </v>
      </c>
      <c r="H2219" s="7">
        <f t="shared" si="1"/>
        <v>901</v>
      </c>
    </row>
    <row r="2220" ht="22.5" customHeight="1">
      <c r="B2220" s="7" t="str">
        <f>IFERROR(__xludf.DUMMYFUNCTION("""COMPUTED_VALUE"""),"K/10/161224/1")</f>
        <v>K/10/161224/1</v>
      </c>
      <c r="C2220" s="7" t="str">
        <f>IFERROR(__xludf.DUMMYFUNCTION("""COMPUTED_VALUE"""),"M. 4231/ Rajabasa Jaya")</f>
        <v>M. 4231/ Rajabasa Jaya</v>
      </c>
      <c r="D2220" s="7" t="str">
        <f>IFERROR(__xludf.DUMMYFUNCTION("""COMPUTED_VALUE"""),"Berry")</f>
        <v>Berry</v>
      </c>
      <c r="E2220" s="7" t="str">
        <f>IFERROR(__xludf.DUMMYFUNCTION("""COMPUTED_VALUE"""),"DISERAHKAN")</f>
        <v>DISERAHKAN</v>
      </c>
      <c r="F2220" s="9">
        <f>IFERROR(__xludf.DUMMYFUNCTION("""COMPUTED_VALUE"""),45644.68793659723)</f>
        <v>45644.68794</v>
      </c>
      <c r="G2220" s="7" t="str">
        <f>IFERROR(__xludf.DUMMYFUNCTION("""COMPUTED_VALUE"""),"SKPT LELANG")</f>
        <v>SKPT LELANG</v>
      </c>
      <c r="H2220" s="7">
        <f t="shared" si="1"/>
        <v>902</v>
      </c>
    </row>
    <row r="2221" ht="22.5" customHeight="1">
      <c r="B2221" s="7" t="str">
        <f>IFERROR(__xludf.DUMMYFUNCTION("""COMPUTED_VALUE"""),"K/11/161224/2")</f>
        <v>K/11/161224/2</v>
      </c>
      <c r="C2221" s="7" t="str">
        <f>IFERROR(__xludf.DUMMYFUNCTION("""COMPUTED_VALUE"""),"M. 3605/ Rajabasa Jaya")</f>
        <v>M. 3605/ Rajabasa Jaya</v>
      </c>
      <c r="D2221" s="7"/>
      <c r="E2221" s="7"/>
      <c r="F2221" s="9" t="str">
        <f>IFERROR(__xludf.DUMMYFUNCTION("""COMPUTED_VALUE"""),"")</f>
        <v/>
      </c>
      <c r="G2221" s="7" t="str">
        <f>IFERROR(__xludf.DUMMYFUNCTION("""COMPUTED_VALUE"""),"SKPT LELANG")</f>
        <v>SKPT LELANG</v>
      </c>
      <c r="H2221" s="7">
        <f t="shared" si="1"/>
        <v>902</v>
      </c>
    </row>
    <row r="2222" ht="22.5" customHeight="1">
      <c r="B2222" s="7" t="str">
        <f>IFERROR(__xludf.DUMMYFUNCTION("""COMPUTED_VALUE"""),"L/12/161224/")</f>
        <v>L/12/161224/</v>
      </c>
      <c r="C2222" s="7" t="str">
        <f>IFERROR(__xludf.DUMMYFUNCTION("""COMPUTED_VALUE"""),"HM 3794/WAY KANDIS")</f>
        <v>HM 3794/WAY KANDIS</v>
      </c>
      <c r="D2222" s="7" t="str">
        <f>IFERROR(__xludf.DUMMYFUNCTION("""COMPUTED_VALUE"""),"Berry")</f>
        <v>Berry</v>
      </c>
      <c r="E2222" s="7" t="str">
        <f>IFERROR(__xludf.DUMMYFUNCTION("""COMPUTED_VALUE"""),"DISERAHKAN")</f>
        <v>DISERAHKAN</v>
      </c>
      <c r="F2222" s="9">
        <f>IFERROR(__xludf.DUMMYFUNCTION("""COMPUTED_VALUE"""),45644.68830444444)</f>
        <v>45644.6883</v>
      </c>
      <c r="G2222" s="7" t="str">
        <f>IFERROR(__xludf.DUMMYFUNCTION("""COMPUTED_VALUE"""),"ROYA")</f>
        <v>ROYA</v>
      </c>
      <c r="H2222" s="7">
        <f t="shared" si="1"/>
        <v>903</v>
      </c>
    </row>
    <row r="2223" ht="22.5" customHeight="1">
      <c r="B2223" s="7" t="str">
        <f>IFERROR(__xludf.DUMMYFUNCTION("""COMPUTED_VALUE"""),"K/13/161224/1")</f>
        <v>K/13/161224/1</v>
      </c>
      <c r="C2223" s="7" t="str">
        <f>IFERROR(__xludf.DUMMYFUNCTION("""COMPUTED_VALUE"""),"Nibel. M. 12797/ Sukarame Baru")</f>
        <v>Nibel. M. 12797/ Sukarame Baru</v>
      </c>
      <c r="D2223" s="7" t="str">
        <f>IFERROR(__xludf.DUMMYFUNCTION("""COMPUTED_VALUE"""),"Berry")</f>
        <v>Berry</v>
      </c>
      <c r="E2223" s="7" t="str">
        <f>IFERROR(__xludf.DUMMYFUNCTION("""COMPUTED_VALUE"""),"PROSES")</f>
        <v>PROSES</v>
      </c>
      <c r="F2223" s="9" t="str">
        <f>IFERROR(__xludf.DUMMYFUNCTION("""COMPUTED_VALUE"""),"")</f>
        <v/>
      </c>
      <c r="G2223" s="7" t="str">
        <f>IFERROR(__xludf.DUMMYFUNCTION("""COMPUTED_VALUE"""),"BN Jual Beli")</f>
        <v>BN Jual Beli</v>
      </c>
      <c r="H2223" s="7">
        <f t="shared" si="1"/>
        <v>903</v>
      </c>
    </row>
    <row r="2224" ht="22.5" customHeight="1">
      <c r="B2224" s="7" t="str">
        <f>IFERROR(__xludf.DUMMYFUNCTION("""COMPUTED_VALUE"""),"K/9/161224/1")</f>
        <v>K/9/161224/1</v>
      </c>
      <c r="C2224" s="7" t="str">
        <f>IFERROR(__xludf.DUMMYFUNCTION("""COMPUTED_VALUE"""),"M. 435/ Enggal")</f>
        <v>M. 435/ Enggal</v>
      </c>
      <c r="D2224" s="7" t="str">
        <f>IFERROR(__xludf.DUMMYFUNCTION("""COMPUTED_VALUE"""),"Berry")</f>
        <v>Berry</v>
      </c>
      <c r="E2224" s="7" t="str">
        <f>IFERROR(__xludf.DUMMYFUNCTION("""COMPUTED_VALUE"""),"PROSES")</f>
        <v>PROSES</v>
      </c>
      <c r="F2224" s="9" t="str">
        <f>IFERROR(__xludf.DUMMYFUNCTION("""COMPUTED_VALUE"""),"")</f>
        <v/>
      </c>
      <c r="G2224" s="7" t="str">
        <f>IFERROR(__xludf.DUMMYFUNCTION("""COMPUTED_VALUE"""),"Roya")</f>
        <v>Roya</v>
      </c>
      <c r="H2224" s="7">
        <f t="shared" si="1"/>
        <v>903</v>
      </c>
    </row>
    <row r="2225" ht="22.5" customHeight="1">
      <c r="B2225" s="7" t="str">
        <f>IFERROR(__xludf.DUMMYFUNCTION("""COMPUTED_VALUE"""),"K/8/161224/1")</f>
        <v>K/8/161224/1</v>
      </c>
      <c r="C2225" s="7" t="str">
        <f>IFERROR(__xludf.DUMMYFUNCTION("""COMPUTED_VALUE"""),"M. 1921/ Kedaung")</f>
        <v>M. 1921/ Kedaung</v>
      </c>
      <c r="D2225" s="7" t="str">
        <f>IFERROR(__xludf.DUMMYFUNCTION("""COMPUTED_VALUE"""),"Berry")</f>
        <v>Berry</v>
      </c>
      <c r="E2225" s="7" t="str">
        <f>IFERROR(__xludf.DUMMYFUNCTION("""COMPUTED_VALUE"""),"DISERAHKAN")</f>
        <v>DISERAHKAN</v>
      </c>
      <c r="F2225" s="9">
        <f>IFERROR(__xludf.DUMMYFUNCTION("""COMPUTED_VALUE"""),45644.688761944446)</f>
        <v>45644.68876</v>
      </c>
      <c r="G2225" s="7" t="str">
        <f>IFERROR(__xludf.DUMMYFUNCTION("""COMPUTED_VALUE"""),"BN Jual Beli")</f>
        <v>BN Jual Beli</v>
      </c>
      <c r="H2225" s="7">
        <f t="shared" si="1"/>
        <v>904</v>
      </c>
    </row>
    <row r="2226" ht="22.5" customHeight="1">
      <c r="B2226" s="7" t="str">
        <f>IFERROR(__xludf.DUMMYFUNCTION("""COMPUTED_VALUE"""),"L/14/161224/1")</f>
        <v>L/14/161224/1</v>
      </c>
      <c r="C2226" s="7" t="str">
        <f>IFERROR(__xludf.DUMMYFUNCTION("""COMPUTED_VALUE"""),"HM 13195/SUKABUMI")</f>
        <v>HM 13195/SUKABUMI</v>
      </c>
      <c r="D2226" s="7"/>
      <c r="E2226" s="7"/>
      <c r="F2226" s="9" t="str">
        <f>IFERROR(__xludf.DUMMYFUNCTION("""COMPUTED_VALUE"""),"")</f>
        <v/>
      </c>
      <c r="G2226" s="7" t="str">
        <f>IFERROR(__xludf.DUMMYFUNCTION("""COMPUTED_VALUE"""),"ROYA")</f>
        <v>ROYA</v>
      </c>
      <c r="H2226" s="7">
        <f t="shared" si="1"/>
        <v>904</v>
      </c>
    </row>
    <row r="2227" ht="22.5" customHeight="1">
      <c r="B2227" s="7" t="str">
        <f>IFERROR(__xludf.DUMMYFUNCTION("""COMPUTED_VALUE"""),"K/15/161224/1")</f>
        <v>K/15/161224/1</v>
      </c>
      <c r="C2227" s="7" t="str">
        <f>IFERROR(__xludf.DUMMYFUNCTION("""COMPUTED_VALUE"""),"M. 1018/ Kali Balau Kencana")</f>
        <v>M. 1018/ Kali Balau Kencana</v>
      </c>
      <c r="D2227" s="7" t="str">
        <f>IFERROR(__xludf.DUMMYFUNCTION("""COMPUTED_VALUE"""),"Berry")</f>
        <v>Berry</v>
      </c>
      <c r="E2227" s="7" t="str">
        <f>IFERROR(__xludf.DUMMYFUNCTION("""COMPUTED_VALUE"""),"DISERAHKAN")</f>
        <v>DISERAHKAN</v>
      </c>
      <c r="F2227" s="9">
        <f>IFERROR(__xludf.DUMMYFUNCTION("""COMPUTED_VALUE"""),45644.68906751157)</f>
        <v>45644.68907</v>
      </c>
      <c r="G2227" s="7" t="str">
        <f>IFERROR(__xludf.DUMMYFUNCTION("""COMPUTED_VALUE"""),"BN HIBAH")</f>
        <v>BN HIBAH</v>
      </c>
      <c r="H2227" s="7">
        <f t="shared" si="1"/>
        <v>905</v>
      </c>
    </row>
    <row r="2228" ht="22.5" customHeight="1">
      <c r="B2228" s="7" t="str">
        <f>IFERROR(__xludf.DUMMYFUNCTION("""COMPUTED_VALUE"""),"K/17/161224/1")</f>
        <v>K/17/161224/1</v>
      </c>
      <c r="C2228" s="7" t="str">
        <f>IFERROR(__xludf.DUMMYFUNCTION("""COMPUTED_VALUE"""),"NIBEL B.3071/KETEGUHAN")</f>
        <v>NIBEL B.3071/KETEGUHAN</v>
      </c>
      <c r="D2228" s="7" t="str">
        <f>IFERROR(__xludf.DUMMYFUNCTION("""COMPUTED_VALUE"""),"Berry")</f>
        <v>Berry</v>
      </c>
      <c r="E2228" s="7" t="str">
        <f>IFERROR(__xludf.DUMMYFUNCTION("""COMPUTED_VALUE"""),"PROSES")</f>
        <v>PROSES</v>
      </c>
      <c r="F2228" s="9" t="str">
        <f>IFERROR(__xludf.DUMMYFUNCTION("""COMPUTED_VALUE"""),"")</f>
        <v/>
      </c>
      <c r="G2228" s="7" t="str">
        <f>IFERROR(__xludf.DUMMYFUNCTION("""COMPUTED_VALUE"""),"PENINGKATAN")</f>
        <v>PENINGKATAN</v>
      </c>
      <c r="H2228" s="7">
        <f t="shared" si="1"/>
        <v>905</v>
      </c>
    </row>
    <row r="2229" ht="22.5" customHeight="1">
      <c r="B2229" s="7" t="str">
        <f>IFERROR(__xludf.DUMMYFUNCTION("""COMPUTED_VALUE"""),"K/16/161224/2")</f>
        <v>K/16/161224/2</v>
      </c>
      <c r="C2229" s="7" t="str">
        <f>IFERROR(__xludf.DUMMYFUNCTION("""COMPUTED_VALUE"""),"M. 1019/ Kali Balau Kencana")</f>
        <v>M. 1019/ Kali Balau Kencana</v>
      </c>
      <c r="D2229" s="7"/>
      <c r="E2229" s="7"/>
      <c r="F2229" s="9" t="str">
        <f>IFERROR(__xludf.DUMMYFUNCTION("""COMPUTED_VALUE"""),"")</f>
        <v/>
      </c>
      <c r="G2229" s="7" t="str">
        <f>IFERROR(__xludf.DUMMYFUNCTION("""COMPUTED_VALUE"""),"BN HIBAH")</f>
        <v>BN HIBAH</v>
      </c>
      <c r="H2229" s="7">
        <f t="shared" si="1"/>
        <v>905</v>
      </c>
    </row>
    <row r="2230" ht="22.5" customHeight="1">
      <c r="B2230" s="7" t="str">
        <f>IFERROR(__xludf.DUMMYFUNCTION("""COMPUTED_VALUE"""),"L/18/161224/1")</f>
        <v>L/18/161224/1</v>
      </c>
      <c r="C2230" s="7" t="str">
        <f>IFERROR(__xludf.DUMMYFUNCTION("""COMPUTED_VALUE"""),"HM 2538/KUPANG TEBA")</f>
        <v>HM 2538/KUPANG TEBA</v>
      </c>
      <c r="D2230" s="7"/>
      <c r="E2230" s="7"/>
      <c r="F2230" s="9" t="str">
        <f>IFERROR(__xludf.DUMMYFUNCTION("""COMPUTED_VALUE"""),"")</f>
        <v/>
      </c>
      <c r="G2230" s="7" t="str">
        <f>IFERROR(__xludf.DUMMYFUNCTION("""COMPUTED_VALUE"""),"ROYA")</f>
        <v>ROYA</v>
      </c>
      <c r="H2230" s="7">
        <f t="shared" si="1"/>
        <v>905</v>
      </c>
    </row>
    <row r="2231" ht="22.5" customHeight="1">
      <c r="B2231" s="7" t="str">
        <f>IFERROR(__xludf.DUMMYFUNCTION("""COMPUTED_VALUE"""),"K/19/161224/1")</f>
        <v>K/19/161224/1</v>
      </c>
      <c r="C2231" s="7" t="str">
        <f>IFERROR(__xludf.DUMMYFUNCTION("""COMPUTED_VALUE"""),"B.4403/SUKABUMI")</f>
        <v>B.4403/SUKABUMI</v>
      </c>
      <c r="D2231" s="7"/>
      <c r="E2231" s="7"/>
      <c r="F2231" s="9" t="str">
        <f>IFERROR(__xludf.DUMMYFUNCTION("""COMPUTED_VALUE"""),"")</f>
        <v/>
      </c>
      <c r="G2231" s="7" t="str">
        <f>IFERROR(__xludf.DUMMYFUNCTION("""COMPUTED_VALUE"""),"PLOTING")</f>
        <v>PLOTING</v>
      </c>
      <c r="H2231" s="7">
        <f t="shared" si="1"/>
        <v>905</v>
      </c>
    </row>
    <row r="2232" ht="22.5" customHeight="1">
      <c r="B2232" s="7" t="str">
        <f>IFERROR(__xludf.DUMMYFUNCTION("""COMPUTED_VALUE"""),"L/20/161224/1")</f>
        <v>L/20/161224/1</v>
      </c>
      <c r="C2232" s="7" t="str">
        <f>IFERROR(__xludf.DUMMYFUNCTION("""COMPUTED_VALUE"""),"HGB 41/GEDONG AIR")</f>
        <v>HGB 41/GEDONG AIR</v>
      </c>
      <c r="D2232" s="7" t="str">
        <f>IFERROR(__xludf.DUMMYFUNCTION("""COMPUTED_VALUE"""),"Berry")</f>
        <v>Berry</v>
      </c>
      <c r="E2232" s="7" t="str">
        <f>IFERROR(__xludf.DUMMYFUNCTION("""COMPUTED_VALUE"""),"DISERAHKAN")</f>
        <v>DISERAHKAN</v>
      </c>
      <c r="F2232" s="9">
        <f>IFERROR(__xludf.DUMMYFUNCTION("""COMPUTED_VALUE"""),45644.68935712963)</f>
        <v>45644.68936</v>
      </c>
      <c r="G2232" s="7" t="str">
        <f>IFERROR(__xludf.DUMMYFUNCTION("""COMPUTED_VALUE"""),"TANAH MENTAH (HGB MATI)")</f>
        <v>TANAH MENTAH (HGB MATI)</v>
      </c>
      <c r="H2232" s="7">
        <f t="shared" si="1"/>
        <v>906</v>
      </c>
    </row>
    <row r="2233" ht="22.5" customHeight="1">
      <c r="B2233" s="7" t="str">
        <f>IFERROR(__xludf.DUMMYFUNCTION("""COMPUTED_VALUE"""),"K/21/161224/1")</f>
        <v>K/21/161224/1</v>
      </c>
      <c r="C2233" s="7" t="str">
        <f>IFERROR(__xludf.DUMMYFUNCTION("""COMPUTED_VALUE"""),"M. 12337/ Sukarame")</f>
        <v>M. 12337/ Sukarame</v>
      </c>
      <c r="D2233" s="7" t="str">
        <f>IFERROR(__xludf.DUMMYFUNCTION("""COMPUTED_VALUE"""),"Berry")</f>
        <v>Berry</v>
      </c>
      <c r="E2233" s="7" t="str">
        <f>IFERROR(__xludf.DUMMYFUNCTION("""COMPUTED_VALUE"""),"DISERAHKAN")</f>
        <v>DISERAHKAN</v>
      </c>
      <c r="F2233" s="9">
        <f>IFERROR(__xludf.DUMMYFUNCTION("""COMPUTED_VALUE"""),45644.68940328703)</f>
        <v>45644.6894</v>
      </c>
      <c r="G2233" s="7" t="str">
        <f>IFERROR(__xludf.DUMMYFUNCTION("""COMPUTED_VALUE"""),"Gandes")</f>
        <v>Gandes</v>
      </c>
      <c r="H2233" s="7">
        <f t="shared" si="1"/>
        <v>907</v>
      </c>
    </row>
    <row r="2234" ht="22.5" customHeight="1">
      <c r="B2234" s="7" t="str">
        <f>IFERROR(__xludf.DUMMYFUNCTION("""COMPUTED_VALUE"""),"K/23/161224/4")</f>
        <v>K/23/161224/4</v>
      </c>
      <c r="C2234" s="7" t="str">
        <f>IFERROR(__xludf.DUMMYFUNCTION("""COMPUTED_VALUE"""),"M. 1021/ Kali Balau Kencana")</f>
        <v>M. 1021/ Kali Balau Kencana</v>
      </c>
      <c r="D2234" s="7"/>
      <c r="E2234" s="7"/>
      <c r="F2234" s="9" t="str">
        <f>IFERROR(__xludf.DUMMYFUNCTION("""COMPUTED_VALUE"""),"")</f>
        <v/>
      </c>
      <c r="G2234" s="7" t="str">
        <f>IFERROR(__xludf.DUMMYFUNCTION("""COMPUTED_VALUE"""),"BN HIBAH")</f>
        <v>BN HIBAH</v>
      </c>
      <c r="H2234" s="7">
        <f t="shared" si="1"/>
        <v>907</v>
      </c>
    </row>
    <row r="2235" ht="22.5" customHeight="1">
      <c r="B2235" s="7" t="str">
        <f>IFERROR(__xludf.DUMMYFUNCTION("""COMPUTED_VALUE"""),"K/22/161224/3")</f>
        <v>K/22/161224/3</v>
      </c>
      <c r="C2235" s="7" t="str">
        <f>IFERROR(__xludf.DUMMYFUNCTION("""COMPUTED_VALUE"""),"M. 1020/ Kali Balau Kencana")</f>
        <v>M. 1020/ Kali Balau Kencana</v>
      </c>
      <c r="D2235" s="7" t="str">
        <f>IFERROR(__xludf.DUMMYFUNCTION("""COMPUTED_VALUE"""),"Berry")</f>
        <v>Berry</v>
      </c>
      <c r="E2235" s="7" t="str">
        <f>IFERROR(__xludf.DUMMYFUNCTION("""COMPUTED_VALUE"""),"PROSES")</f>
        <v>PROSES</v>
      </c>
      <c r="F2235" s="9" t="str">
        <f>IFERROR(__xludf.DUMMYFUNCTION("""COMPUTED_VALUE"""),"")</f>
        <v/>
      </c>
      <c r="G2235" s="7" t="str">
        <f>IFERROR(__xludf.DUMMYFUNCTION("""COMPUTED_VALUE"""),"BN WARIS")</f>
        <v>BN WARIS</v>
      </c>
      <c r="H2235" s="7">
        <f t="shared" si="1"/>
        <v>907</v>
      </c>
    </row>
    <row r="2236" ht="22.5" customHeight="1">
      <c r="B2236" s="7" t="str">
        <f>IFERROR(__xludf.DUMMYFUNCTION("""COMPUTED_VALUE"""),"L/24/161224/1")</f>
        <v>L/24/161224/1</v>
      </c>
      <c r="C2236" s="7" t="str">
        <f>IFERROR(__xludf.DUMMYFUNCTION("""COMPUTED_VALUE"""),"NIB 16300/SUKABUMI")</f>
        <v>NIB 16300/SUKABUMI</v>
      </c>
      <c r="D2236" s="7"/>
      <c r="E2236" s="7"/>
      <c r="F2236" s="9" t="str">
        <f>IFERROR(__xludf.DUMMYFUNCTION("""COMPUTED_VALUE"""),"")</f>
        <v/>
      </c>
      <c r="G2236" s="7" t="str">
        <f>IFERROR(__xludf.DUMMYFUNCTION("""COMPUTED_VALUE"""),"GANDES")</f>
        <v>GANDES</v>
      </c>
      <c r="H2236" s="7">
        <f t="shared" si="1"/>
        <v>907</v>
      </c>
    </row>
    <row r="2237" ht="22.5" customHeight="1">
      <c r="B2237" s="7" t="str">
        <f>IFERROR(__xludf.DUMMYFUNCTION("""COMPUTED_VALUE"""),"K/25/161224/1")</f>
        <v>K/25/161224/1</v>
      </c>
      <c r="C2237" s="7" t="str">
        <f>IFERROR(__xludf.DUMMYFUNCTION("""COMPUTED_VALUE"""),"M. 2655/ Gunung Terang")</f>
        <v>M. 2655/ Gunung Terang</v>
      </c>
      <c r="D2237" s="7" t="str">
        <f>IFERROR(__xludf.DUMMYFUNCTION("""COMPUTED_VALUE"""),"Berry")</f>
        <v>Berry</v>
      </c>
      <c r="E2237" s="7" t="str">
        <f>IFERROR(__xludf.DUMMYFUNCTION("""COMPUTED_VALUE"""),"PROSES")</f>
        <v>PROSES</v>
      </c>
      <c r="F2237" s="9" t="str">
        <f>IFERROR(__xludf.DUMMYFUNCTION("""COMPUTED_VALUE"""),"")</f>
        <v/>
      </c>
      <c r="G2237" s="7" t="str">
        <f>IFERROR(__xludf.DUMMYFUNCTION("""COMPUTED_VALUE"""),"ROYA")</f>
        <v>ROYA</v>
      </c>
      <c r="H2237" s="7">
        <f t="shared" si="1"/>
        <v>907</v>
      </c>
    </row>
    <row r="2238" ht="22.5" customHeight="1">
      <c r="B2238" s="7" t="str">
        <f>IFERROR(__xludf.DUMMYFUNCTION("""COMPUTED_VALUE"""),"K/26/161224/2")</f>
        <v>K/26/161224/2</v>
      </c>
      <c r="C2238" s="7" t="str">
        <f>IFERROR(__xludf.DUMMYFUNCTION("""COMPUTED_VALUE"""),"M. 1434/ Rajabasa Jaya")</f>
        <v>M. 1434/ Rajabasa Jaya</v>
      </c>
      <c r="D2238" s="7"/>
      <c r="E2238" s="7"/>
      <c r="F2238" s="9" t="str">
        <f>IFERROR(__xludf.DUMMYFUNCTION("""COMPUTED_VALUE"""),"")</f>
        <v/>
      </c>
      <c r="G2238" s="7" t="str">
        <f>IFERROR(__xludf.DUMMYFUNCTION("""COMPUTED_VALUE"""),"PLOTTING")</f>
        <v>PLOTTING</v>
      </c>
      <c r="H2238" s="7">
        <f t="shared" si="1"/>
        <v>907</v>
      </c>
    </row>
    <row r="2239" ht="22.5" customHeight="1">
      <c r="B2239" s="7" t="str">
        <f>IFERROR(__xludf.DUMMYFUNCTION("""COMPUTED_VALUE"""),"K/27/161224/1")</f>
        <v>K/27/161224/1</v>
      </c>
      <c r="C2239" s="7" t="str">
        <f>IFERROR(__xludf.DUMMYFUNCTION("""COMPUTED_VALUE"""),"M. 60/ Teluk Betung")</f>
        <v>M. 60/ Teluk Betung</v>
      </c>
      <c r="D2239" s="7"/>
      <c r="E2239" s="7"/>
      <c r="F2239" s="9" t="str">
        <f>IFERROR(__xludf.DUMMYFUNCTION("""COMPUTED_VALUE"""),"")</f>
        <v/>
      </c>
      <c r="G2239" s="7" t="str">
        <f>IFERROR(__xludf.DUMMYFUNCTION("""COMPUTED_VALUE"""),"BN JUAL BELI")</f>
        <v>BN JUAL BELI</v>
      </c>
      <c r="H2239" s="7">
        <f t="shared" si="1"/>
        <v>907</v>
      </c>
    </row>
    <row r="2240" ht="22.5" customHeight="1">
      <c r="B2240" s="7" t="str">
        <f>IFERROR(__xludf.DUMMYFUNCTION("""COMPUTED_VALUE"""),"K/29/161224/1")</f>
        <v>K/29/161224/1</v>
      </c>
      <c r="C2240" s="7" t="str">
        <f>IFERROR(__xludf.DUMMYFUNCTION("""COMPUTED_VALUE"""),"Nibel. M. 3222/ Labuhan Ratu Raya")</f>
        <v>Nibel. M. 3222/ Labuhan Ratu Raya</v>
      </c>
      <c r="D2240" s="7"/>
      <c r="E2240" s="7"/>
      <c r="F2240" s="9" t="str">
        <f>IFERROR(__xludf.DUMMYFUNCTION("""COMPUTED_VALUE"""),"")</f>
        <v/>
      </c>
      <c r="G2240" s="7" t="str">
        <f>IFERROR(__xludf.DUMMYFUNCTION("""COMPUTED_VALUE"""),"BN Jual Beli")</f>
        <v>BN Jual Beli</v>
      </c>
      <c r="H2240" s="7">
        <f t="shared" si="1"/>
        <v>907</v>
      </c>
    </row>
    <row r="2241" ht="22.5" customHeight="1">
      <c r="B2241" s="7" t="str">
        <f>IFERROR(__xludf.DUMMYFUNCTION("""COMPUTED_VALUE"""),"K/30/161224/2")</f>
        <v>K/30/161224/2</v>
      </c>
      <c r="C2241" s="7" t="str">
        <f>IFERROR(__xludf.DUMMYFUNCTION("""COMPUTED_VALUE"""),"Nibel. M. 3224/ Labuhan Ratu Raya")</f>
        <v>Nibel. M. 3224/ Labuhan Ratu Raya</v>
      </c>
      <c r="D2241" s="7"/>
      <c r="E2241" s="7"/>
      <c r="F2241" s="9" t="str">
        <f>IFERROR(__xludf.DUMMYFUNCTION("""COMPUTED_VALUE"""),"")</f>
        <v/>
      </c>
      <c r="G2241" s="7" t="str">
        <f>IFERROR(__xludf.DUMMYFUNCTION("""COMPUTED_VALUE"""),"BN Jual Beli")</f>
        <v>BN Jual Beli</v>
      </c>
      <c r="H2241" s="7">
        <f t="shared" si="1"/>
        <v>907</v>
      </c>
    </row>
    <row r="2242" ht="22.5" customHeight="1">
      <c r="B2242" s="7" t="str">
        <f>IFERROR(__xludf.DUMMYFUNCTION("""COMPUTED_VALUE"""),"K/31/161224/3")</f>
        <v>K/31/161224/3</v>
      </c>
      <c r="C2242" s="7" t="str">
        <f>IFERROR(__xludf.DUMMYFUNCTION("""COMPUTED_VALUE"""),"Nibel. M. 3221/ Labuhan Ratu Raya")</f>
        <v>Nibel. M. 3221/ Labuhan Ratu Raya</v>
      </c>
      <c r="D2242" s="7"/>
      <c r="E2242" s="7"/>
      <c r="F2242" s="9" t="str">
        <f>IFERROR(__xludf.DUMMYFUNCTION("""COMPUTED_VALUE"""),"")</f>
        <v/>
      </c>
      <c r="G2242" s="7" t="str">
        <f>IFERROR(__xludf.DUMMYFUNCTION("""COMPUTED_VALUE"""),"BN Jual Beli")</f>
        <v>BN Jual Beli</v>
      </c>
      <c r="H2242" s="7">
        <f t="shared" si="1"/>
        <v>907</v>
      </c>
    </row>
    <row r="2243" ht="22.5" customHeight="1">
      <c r="B2243" s="7" t="str">
        <f>IFERROR(__xludf.DUMMYFUNCTION("""COMPUTED_VALUE"""),"K/33/161224/2")</f>
        <v>K/33/161224/2</v>
      </c>
      <c r="C2243" s="7" t="str">
        <f>IFERROR(__xludf.DUMMYFUNCTION("""COMPUTED_VALUE"""),"NIBEL B.1699/SAWAH LAMA")</f>
        <v>NIBEL B.1699/SAWAH LAMA</v>
      </c>
      <c r="D2243" s="7" t="str">
        <f>IFERROR(__xludf.DUMMYFUNCTION("""COMPUTED_VALUE"""),"Berry")</f>
        <v>Berry</v>
      </c>
      <c r="E2243" s="7" t="str">
        <f>IFERROR(__xludf.DUMMYFUNCTION("""COMPUTED_VALUE"""),"PROSES")</f>
        <v>PROSES</v>
      </c>
      <c r="F2243" s="9" t="str">
        <f>IFERROR(__xludf.DUMMYFUNCTION("""COMPUTED_VALUE"""),"")</f>
        <v/>
      </c>
      <c r="G2243" s="7" t="str">
        <f>IFERROR(__xludf.DUMMYFUNCTION("""COMPUTED_VALUE"""),"BN JUAL BELI")</f>
        <v>BN JUAL BELI</v>
      </c>
      <c r="H2243" s="7">
        <f t="shared" si="1"/>
        <v>907</v>
      </c>
    </row>
    <row r="2244" ht="22.5" customHeight="1">
      <c r="B2244" s="7" t="str">
        <f>IFERROR(__xludf.DUMMYFUNCTION("""COMPUTED_VALUE"""),"K/32/161224/4")</f>
        <v>K/32/161224/4</v>
      </c>
      <c r="C2244" s="7" t="str">
        <f>IFERROR(__xludf.DUMMYFUNCTION("""COMPUTED_VALUE"""),"Nibel. M. 3223/ Labuhan Ratu Raya")</f>
        <v>Nibel. M. 3223/ Labuhan Ratu Raya</v>
      </c>
      <c r="D2244" s="7"/>
      <c r="E2244" s="7"/>
      <c r="F2244" s="9" t="str">
        <f>IFERROR(__xludf.DUMMYFUNCTION("""COMPUTED_VALUE"""),"")</f>
        <v/>
      </c>
      <c r="G2244" s="7" t="str">
        <f>IFERROR(__xludf.DUMMYFUNCTION("""COMPUTED_VALUE"""),"BN Jual Beli")</f>
        <v>BN Jual Beli</v>
      </c>
      <c r="H2244" s="7">
        <f t="shared" si="1"/>
        <v>907</v>
      </c>
    </row>
    <row r="2245" ht="22.5" customHeight="1">
      <c r="B2245" s="7" t="str">
        <f>IFERROR(__xludf.DUMMYFUNCTION("""COMPUTED_VALUE"""),"K/28/161224/1")</f>
        <v>K/28/161224/1</v>
      </c>
      <c r="C2245" s="7" t="str">
        <f>IFERROR(__xludf.DUMMYFUNCTION("""COMPUTED_VALUE"""),"M.5633/LANGKAPURA-SEKARANG;M.03780/GUNUNG TERANG-DAHULU")</f>
        <v>M.5633/LANGKAPURA-SEKARANG;M.03780/GUNUNG TERANG-DAHULU</v>
      </c>
      <c r="D2245" s="7" t="str">
        <f>IFERROR(__xludf.DUMMYFUNCTION("""COMPUTED_VALUE"""),"Berry")</f>
        <v>Berry</v>
      </c>
      <c r="E2245" s="7" t="str">
        <f>IFERROR(__xludf.DUMMYFUNCTION("""COMPUTED_VALUE"""),"DISERAHKAN")</f>
        <v>DISERAHKAN</v>
      </c>
      <c r="F2245" s="9">
        <f>IFERROR(__xludf.DUMMYFUNCTION("""COMPUTED_VALUE"""),45644.69019450231)</f>
        <v>45644.69019</v>
      </c>
      <c r="G2245" s="7" t="str">
        <f>IFERROR(__xludf.DUMMYFUNCTION("""COMPUTED_VALUE"""),"BN JUAL BELI")</f>
        <v>BN JUAL BELI</v>
      </c>
      <c r="H2245" s="7">
        <f t="shared" si="1"/>
        <v>908</v>
      </c>
    </row>
    <row r="2246" ht="22.5" customHeight="1">
      <c r="B2246" s="7" t="str">
        <f>IFERROR(__xludf.DUMMYFUNCTION("""COMPUTED_VALUE"""),"L/35/161224/1")</f>
        <v>L/35/161224/1</v>
      </c>
      <c r="C2246" s="7" t="str">
        <f>IFERROR(__xludf.DUMMYFUNCTION("""COMPUTED_VALUE"""),"SUKARAME BARU")</f>
        <v>SUKARAME BARU</v>
      </c>
      <c r="D2246" s="7"/>
      <c r="E2246" s="7"/>
      <c r="F2246" s="9" t="str">
        <f>IFERROR(__xludf.DUMMYFUNCTION("""COMPUTED_VALUE"""),"")</f>
        <v/>
      </c>
      <c r="G2246" s="7" t="str">
        <f>IFERROR(__xludf.DUMMYFUNCTION("""COMPUTED_VALUE"""),"PENDAFTARAN SK")</f>
        <v>PENDAFTARAN SK</v>
      </c>
      <c r="H2246" s="7">
        <f t="shared" si="1"/>
        <v>908</v>
      </c>
    </row>
    <row r="2247" ht="22.5" customHeight="1">
      <c r="B2247" s="7" t="str">
        <f>IFERROR(__xludf.DUMMYFUNCTION("""COMPUTED_VALUE"""),"K/36/161224/1")</f>
        <v>K/36/161224/1</v>
      </c>
      <c r="C2247" s="7" t="str">
        <f>IFERROR(__xludf.DUMMYFUNCTION("""COMPUTED_VALUE"""),"M. 4439/ Langkapura")</f>
        <v>M. 4439/ Langkapura</v>
      </c>
      <c r="D2247" s="7" t="str">
        <f>IFERROR(__xludf.DUMMYFUNCTION("""COMPUTED_VALUE"""),"Berry")</f>
        <v>Berry</v>
      </c>
      <c r="E2247" s="7" t="str">
        <f>IFERROR(__xludf.DUMMYFUNCTION("""COMPUTED_VALUE"""),"DISERAHKAN")</f>
        <v>DISERAHKAN</v>
      </c>
      <c r="F2247" s="9">
        <f>IFERROR(__xludf.DUMMYFUNCTION("""COMPUTED_VALUE"""),45644.69060645833)</f>
        <v>45644.69061</v>
      </c>
      <c r="G2247" s="7" t="str">
        <f>IFERROR(__xludf.DUMMYFUNCTION("""COMPUTED_VALUE"""),"BN Hibah")</f>
        <v>BN Hibah</v>
      </c>
      <c r="H2247" s="7">
        <f t="shared" si="1"/>
        <v>909</v>
      </c>
    </row>
    <row r="2248" ht="22.5" customHeight="1">
      <c r="B2248" s="7" t="str">
        <f>IFERROR(__xludf.DUMMYFUNCTION("""COMPUTED_VALUE"""),"K/37/161224/1")</f>
        <v>K/37/161224/1</v>
      </c>
      <c r="C2248" s="7" t="str">
        <f>IFERROR(__xludf.DUMMYFUNCTION("""COMPUTED_VALUE"""),"M. 1079/ Jagabaya III")</f>
        <v>M. 1079/ Jagabaya III</v>
      </c>
      <c r="D2248" s="7" t="str">
        <f>IFERROR(__xludf.DUMMYFUNCTION("""COMPUTED_VALUE"""),"Berry")</f>
        <v>Berry</v>
      </c>
      <c r="E2248" s="7" t="str">
        <f>IFERROR(__xludf.DUMMYFUNCTION("""COMPUTED_VALUE"""),"DISERAHKAN")</f>
        <v>DISERAHKAN</v>
      </c>
      <c r="F2248" s="9">
        <f>IFERROR(__xludf.DUMMYFUNCTION("""COMPUTED_VALUE"""),45644.690884571755)</f>
        <v>45644.69088</v>
      </c>
      <c r="G2248" s="7" t="str">
        <f>IFERROR(__xludf.DUMMYFUNCTION("""COMPUTED_VALUE"""),"PENGECEKKAN")</f>
        <v>PENGECEKKAN</v>
      </c>
      <c r="H2248" s="7">
        <f t="shared" si="1"/>
        <v>910</v>
      </c>
    </row>
    <row r="2249" ht="22.5" customHeight="1">
      <c r="B2249" s="7" t="str">
        <f>IFERROR(__xludf.DUMMYFUNCTION("""COMPUTED_VALUE"""),"K/38/161224/2")</f>
        <v>K/38/161224/2</v>
      </c>
      <c r="C2249" s="7" t="str">
        <f>IFERROR(__xludf.DUMMYFUNCTION("""COMPUTED_VALUE"""),"M. 2021/ Durian Payung")</f>
        <v>M. 2021/ Durian Payung</v>
      </c>
      <c r="D2249" s="7" t="str">
        <f>IFERROR(__xludf.DUMMYFUNCTION("""COMPUTED_VALUE"""),"Berry")</f>
        <v>Berry</v>
      </c>
      <c r="E2249" s="7" t="str">
        <f>IFERROR(__xludf.DUMMYFUNCTION("""COMPUTED_VALUE"""),"DISERAHKAN")</f>
        <v>DISERAHKAN</v>
      </c>
      <c r="F2249" s="9">
        <f>IFERROR(__xludf.DUMMYFUNCTION("""COMPUTED_VALUE"""),45644.69099686343)</f>
        <v>45644.691</v>
      </c>
      <c r="G2249" s="7" t="str">
        <f>IFERROR(__xludf.DUMMYFUNCTION("""COMPUTED_VALUE"""),"BN JUAL BELI")</f>
        <v>BN JUAL BELI</v>
      </c>
      <c r="H2249" s="7">
        <f t="shared" si="1"/>
        <v>911</v>
      </c>
    </row>
    <row r="2250" ht="22.5" customHeight="1">
      <c r="B2250" s="7" t="str">
        <f>IFERROR(__xludf.DUMMYFUNCTION("""COMPUTED_VALUE"""),"L/40/161224/1")</f>
        <v>L/40/161224/1</v>
      </c>
      <c r="C2250" s="7" t="str">
        <f>IFERROR(__xludf.DUMMYFUNCTION("""COMPUTED_VALUE"""),"HM 13813/RAJABASA")</f>
        <v>HM 13813/RAJABASA</v>
      </c>
      <c r="D2250" s="7" t="str">
        <f>IFERROR(__xludf.DUMMYFUNCTION("""COMPUTED_VALUE"""),"Berry")</f>
        <v>Berry</v>
      </c>
      <c r="E2250" s="7" t="str">
        <f>IFERROR(__xludf.DUMMYFUNCTION("""COMPUTED_VALUE"""),"DISERAHKAN")</f>
        <v>DISERAHKAN</v>
      </c>
      <c r="F2250" s="9">
        <f>IFERROR(__xludf.DUMMYFUNCTION("""COMPUTED_VALUE"""),45644.69118601852)</f>
        <v>45644.69119</v>
      </c>
      <c r="G2250" s="7" t="str">
        <f>IFERROR(__xludf.DUMMYFUNCTION("""COMPUTED_VALUE"""),"ROYA")</f>
        <v>ROYA</v>
      </c>
      <c r="H2250" s="7">
        <f t="shared" si="1"/>
        <v>912</v>
      </c>
    </row>
    <row r="2251" ht="22.5" customHeight="1">
      <c r="B2251" s="7" t="str">
        <f>IFERROR(__xludf.DUMMYFUNCTION("""COMPUTED_VALUE"""),"K/39/161224/3")</f>
        <v>K/39/161224/3</v>
      </c>
      <c r="C2251" s="7" t="str">
        <f>IFERROR(__xludf.DUMMYFUNCTION("""COMPUTED_VALUE"""),"M. 2031/ Durian Payung")</f>
        <v>M. 2031/ Durian Payung</v>
      </c>
      <c r="D2251" s="7"/>
      <c r="E2251" s="7"/>
      <c r="F2251" s="9" t="str">
        <f>IFERROR(__xludf.DUMMYFUNCTION("""COMPUTED_VALUE"""),"")</f>
        <v/>
      </c>
      <c r="G2251" s="7" t="str">
        <f>IFERROR(__xludf.DUMMYFUNCTION("""COMPUTED_VALUE"""),"BN JUAL BELI")</f>
        <v>BN JUAL BELI</v>
      </c>
      <c r="H2251" s="7">
        <f t="shared" si="1"/>
        <v>912</v>
      </c>
    </row>
    <row r="2252" ht="22.5" customHeight="1">
      <c r="B2252" s="7" t="str">
        <f>IFERROR(__xludf.DUMMYFUNCTION("""COMPUTED_VALUE"""),"K/41/161224/1")</f>
        <v>K/41/161224/1</v>
      </c>
      <c r="C2252" s="7" t="str">
        <f>IFERROR(__xludf.DUMMYFUNCTION("""COMPUTED_VALUE"""),"M.16597/SUKABUMI")</f>
        <v>M.16597/SUKABUMI</v>
      </c>
      <c r="D2252" s="7" t="str">
        <f>IFERROR(__xludf.DUMMYFUNCTION("""COMPUTED_VALUE"""),"Berry")</f>
        <v>Berry</v>
      </c>
      <c r="E2252" s="7" t="str">
        <f>IFERROR(__xludf.DUMMYFUNCTION("""COMPUTED_VALUE"""),"PROSES")</f>
        <v>PROSES</v>
      </c>
      <c r="F2252" s="9" t="str">
        <f>IFERROR(__xludf.DUMMYFUNCTION("""COMPUTED_VALUE"""),"")</f>
        <v/>
      </c>
      <c r="G2252" s="7" t="str">
        <f>IFERROR(__xludf.DUMMYFUNCTION("""COMPUTED_VALUE"""),"BN JUAL BELI")</f>
        <v>BN JUAL BELI</v>
      </c>
      <c r="H2252" s="7">
        <f t="shared" si="1"/>
        <v>912</v>
      </c>
    </row>
    <row r="2253" ht="22.5" customHeight="1">
      <c r="B2253" s="7" t="str">
        <f>IFERROR(__xludf.DUMMYFUNCTION("""COMPUTED_VALUE"""),"K/42/161224/1")</f>
        <v>K/42/161224/1</v>
      </c>
      <c r="C2253" s="7" t="str">
        <f>IFERROR(__xludf.DUMMYFUNCTION("""COMPUTED_VALUE"""),"B.213/KOTA KARANG")</f>
        <v>B.213/KOTA KARANG</v>
      </c>
      <c r="D2253" s="7" t="str">
        <f>IFERROR(__xludf.DUMMYFUNCTION("""COMPUTED_VALUE"""),"Berry")</f>
        <v>Berry</v>
      </c>
      <c r="E2253" s="7" t="str">
        <f>IFERROR(__xludf.DUMMYFUNCTION("""COMPUTED_VALUE"""),"DISERAHKAN")</f>
        <v>DISERAHKAN</v>
      </c>
      <c r="F2253" s="9">
        <f>IFERROR(__xludf.DUMMYFUNCTION("""COMPUTED_VALUE"""),45644.69147856481)</f>
        <v>45644.69148</v>
      </c>
      <c r="G2253" s="7" t="str">
        <f>IFERROR(__xludf.DUMMYFUNCTION("""COMPUTED_VALUE"""),"PERMOHONAN SK PERPANJANGAN")</f>
        <v>PERMOHONAN SK PERPANJANGAN</v>
      </c>
      <c r="H2253" s="7">
        <f t="shared" si="1"/>
        <v>913</v>
      </c>
    </row>
    <row r="2254" ht="22.5" customHeight="1">
      <c r="B2254" s="7" t="str">
        <f>IFERROR(__xludf.DUMMYFUNCTION("""COMPUTED_VALUE"""),"K/34/161224/2")</f>
        <v>K/34/161224/2</v>
      </c>
      <c r="C2254" s="7" t="str">
        <f>IFERROR(__xludf.DUMMYFUNCTION("""COMPUTED_VALUE"""),"M.5631/LANGKAPURA-SEKARANG-M.3781/GUNUNG TERANG-DAHULU")</f>
        <v>M.5631/LANGKAPURA-SEKARANG-M.3781/GUNUNG TERANG-DAHULU</v>
      </c>
      <c r="D2254" s="7" t="str">
        <f>IFERROR(__xludf.DUMMYFUNCTION("""COMPUTED_VALUE"""),"Berry")</f>
        <v>Berry</v>
      </c>
      <c r="E2254" s="7" t="str">
        <f>IFERROR(__xludf.DUMMYFUNCTION("""COMPUTED_VALUE"""),"DISERAHKAN")</f>
        <v>DISERAHKAN</v>
      </c>
      <c r="F2254" s="9">
        <f>IFERROR(__xludf.DUMMYFUNCTION("""COMPUTED_VALUE"""),45644.691801099536)</f>
        <v>45644.6918</v>
      </c>
      <c r="G2254" s="7" t="str">
        <f>IFERROR(__xludf.DUMMYFUNCTION("""COMPUTED_VALUE"""),"BN JUAL BELI")</f>
        <v>BN JUAL BELI</v>
      </c>
      <c r="H2254" s="7">
        <f t="shared" si="1"/>
        <v>914</v>
      </c>
    </row>
    <row r="2255" ht="22.5" customHeight="1">
      <c r="B2255" s="7" t="str">
        <f>IFERROR(__xludf.DUMMYFUNCTION("""COMPUTED_VALUE"""),"K/44/161224/1")</f>
        <v>K/44/161224/1</v>
      </c>
      <c r="C2255" s="7" t="str">
        <f>IFERROR(__xludf.DUMMYFUNCTION("""COMPUTED_VALUE"""),"M. 1662/Kaliawi")</f>
        <v>M. 1662/Kaliawi</v>
      </c>
      <c r="D2255" s="7" t="str">
        <f>IFERROR(__xludf.DUMMYFUNCTION("""COMPUTED_VALUE"""),"Berry")</f>
        <v>Berry</v>
      </c>
      <c r="E2255" s="7" t="str">
        <f>IFERROR(__xludf.DUMMYFUNCTION("""COMPUTED_VALUE"""),"DISERAHKAN")</f>
        <v>DISERAHKAN</v>
      </c>
      <c r="F2255" s="9">
        <f>IFERROR(__xludf.DUMMYFUNCTION("""COMPUTED_VALUE"""),45644.69195649306)</f>
        <v>45644.69196</v>
      </c>
      <c r="G2255" s="7" t="str">
        <f>IFERROR(__xludf.DUMMYFUNCTION("""COMPUTED_VALUE"""),"Roya")</f>
        <v>Roya</v>
      </c>
      <c r="H2255" s="7">
        <f t="shared" si="1"/>
        <v>915</v>
      </c>
    </row>
    <row r="2256" ht="22.5" customHeight="1">
      <c r="B2256" s="7" t="str">
        <f>IFERROR(__xludf.DUMMYFUNCTION("""COMPUTED_VALUE"""),"K/45/161224/1")</f>
        <v>K/45/161224/1</v>
      </c>
      <c r="C2256" s="7" t="str">
        <f>IFERROR(__xludf.DUMMYFUNCTION("""COMPUTED_VALUE"""),"B. 352/ Kemiling permai")</f>
        <v>B. 352/ Kemiling permai</v>
      </c>
      <c r="D2256" s="7" t="str">
        <f>IFERROR(__xludf.DUMMYFUNCTION("""COMPUTED_VALUE"""),"Berry")</f>
        <v>Berry</v>
      </c>
      <c r="E2256" s="7" t="str">
        <f>IFERROR(__xludf.DUMMYFUNCTION("""COMPUTED_VALUE"""),"DISERAHKAN")</f>
        <v>DISERAHKAN</v>
      </c>
      <c r="F2256" s="9">
        <f>IFERROR(__xludf.DUMMYFUNCTION("""COMPUTED_VALUE"""),45644.69198570602)</f>
        <v>45644.69199</v>
      </c>
      <c r="G2256" s="7" t="str">
        <f>IFERROR(__xludf.DUMMYFUNCTION("""COMPUTED_VALUE"""),"BN JUAL BELI")</f>
        <v>BN JUAL BELI</v>
      </c>
      <c r="H2256" s="7">
        <f t="shared" si="1"/>
        <v>916</v>
      </c>
    </row>
    <row r="2257" ht="22.5" customHeight="1">
      <c r="B2257" s="7" t="str">
        <f>IFERROR(__xludf.DUMMYFUNCTION("""COMPUTED_VALUE"""),"K/43/161224/1")</f>
        <v>K/43/161224/1</v>
      </c>
      <c r="C2257" s="7" t="str">
        <f>IFERROR(__xludf.DUMMYFUNCTION("""COMPUTED_VALUE"""),"M.2624/WAY KANDIS")</f>
        <v>M.2624/WAY KANDIS</v>
      </c>
      <c r="D2257" s="7" t="str">
        <f>IFERROR(__xludf.DUMMYFUNCTION("""COMPUTED_VALUE"""),"Berry")</f>
        <v>Berry</v>
      </c>
      <c r="E2257" s="7" t="str">
        <f>IFERROR(__xludf.DUMMYFUNCTION("""COMPUTED_VALUE"""),"PROSES")</f>
        <v>PROSES</v>
      </c>
      <c r="F2257" s="9" t="str">
        <f>IFERROR(__xludf.DUMMYFUNCTION("""COMPUTED_VALUE"""),"")</f>
        <v/>
      </c>
      <c r="G2257" s="7" t="str">
        <f>IFERROR(__xludf.DUMMYFUNCTION("""COMPUTED_VALUE"""),"BN JUAL BELI")</f>
        <v>BN JUAL BELI</v>
      </c>
      <c r="H2257" s="7">
        <f t="shared" si="1"/>
        <v>916</v>
      </c>
    </row>
    <row r="2258" ht="22.5" customHeight="1">
      <c r="B2258" s="7" t="str">
        <f>IFERROR(__xludf.DUMMYFUNCTION("""COMPUTED_VALUE"""),"K/1/171224/1")</f>
        <v>K/1/171224/1</v>
      </c>
      <c r="C2258" s="7" t="str">
        <f>IFERROR(__xludf.DUMMYFUNCTION("""COMPUTED_VALUE"""),"M.2654/KOTA BARU")</f>
        <v>M.2654/KOTA BARU</v>
      </c>
      <c r="D2258" s="7" t="str">
        <f>IFERROR(__xludf.DUMMYFUNCTION("""COMPUTED_VALUE"""),"David")</f>
        <v>David</v>
      </c>
      <c r="E2258" s="7" t="str">
        <f>IFERROR(__xludf.DUMMYFUNCTION("""COMPUTED_VALUE"""),"DISERAHKAN")</f>
        <v>DISERAHKAN</v>
      </c>
      <c r="F2258" s="9">
        <f>IFERROR(__xludf.DUMMYFUNCTION("""COMPUTED_VALUE"""),45644.692403657406)</f>
        <v>45644.6924</v>
      </c>
      <c r="G2258" s="7" t="str">
        <f>IFERROR(__xludf.DUMMYFUNCTION("""COMPUTED_VALUE"""),"ROYA")</f>
        <v>ROYA</v>
      </c>
      <c r="H2258" s="7">
        <f t="shared" si="1"/>
        <v>917</v>
      </c>
    </row>
    <row r="2259" ht="22.5" customHeight="1">
      <c r="B2259" s="7" t="str">
        <f>IFERROR(__xludf.DUMMYFUNCTION("""COMPUTED_VALUE"""),"K/2/171224/2")</f>
        <v>K/2/171224/2</v>
      </c>
      <c r="C2259" s="7" t="str">
        <f>IFERROR(__xludf.DUMMYFUNCTION("""COMPUTED_VALUE"""),"M.53/BATU PUTU")</f>
        <v>M.53/BATU PUTU</v>
      </c>
      <c r="D2259" s="7"/>
      <c r="E2259" s="7"/>
      <c r="F2259" s="9" t="str">
        <f>IFERROR(__xludf.DUMMYFUNCTION("""COMPUTED_VALUE"""),"")</f>
        <v/>
      </c>
      <c r="G2259" s="7" t="str">
        <f>IFERROR(__xludf.DUMMYFUNCTION("""COMPUTED_VALUE"""),"ROYA")</f>
        <v>ROYA</v>
      </c>
      <c r="H2259" s="7">
        <f t="shared" si="1"/>
        <v>917</v>
      </c>
    </row>
    <row r="2260" ht="22.5" customHeight="1">
      <c r="B2260" s="7" t="str">
        <f>IFERROR(__xludf.DUMMYFUNCTION("""COMPUTED_VALUE"""),"L/3/171224/1")</f>
        <v>L/3/171224/1</v>
      </c>
      <c r="C2260" s="7" t="str">
        <f>IFERROR(__xludf.DUMMYFUNCTION("""COMPUTED_VALUE"""),"HM 12616/RAJABASA")</f>
        <v>HM 12616/RAJABASA</v>
      </c>
      <c r="D2260" s="7"/>
      <c r="E2260" s="7"/>
      <c r="F2260" s="9" t="str">
        <f>IFERROR(__xludf.DUMMYFUNCTION("""COMPUTED_VALUE"""),"")</f>
        <v/>
      </c>
      <c r="G2260" s="7" t="str">
        <f>IFERROR(__xludf.DUMMYFUNCTION("""COMPUTED_VALUE"""),"ROYA")</f>
        <v>ROYA</v>
      </c>
      <c r="H2260" s="7">
        <f t="shared" si="1"/>
        <v>917</v>
      </c>
    </row>
    <row r="2261" ht="22.5" customHeight="1">
      <c r="B2261" s="7" t="str">
        <f>IFERROR(__xludf.DUMMYFUNCTION("""COMPUTED_VALUE"""),"K/4/171224/1")</f>
        <v>K/4/171224/1</v>
      </c>
      <c r="C2261" s="7" t="str">
        <f>IFERROR(__xludf.DUMMYFUNCTION("""COMPUTED_VALUE"""),"NIBEL M. 891/BUMI WARAS")</f>
        <v>NIBEL M. 891/BUMI WARAS</v>
      </c>
      <c r="D2261" s="7"/>
      <c r="E2261" s="7"/>
      <c r="F2261" s="9" t="str">
        <f>IFERROR(__xludf.DUMMYFUNCTION("""COMPUTED_VALUE"""),"")</f>
        <v/>
      </c>
      <c r="G2261" s="7" t="str">
        <f>IFERROR(__xludf.DUMMYFUNCTION("""COMPUTED_VALUE"""),"BN JUAL BELI")</f>
        <v>BN JUAL BELI</v>
      </c>
      <c r="H2261" s="7">
        <f t="shared" si="1"/>
        <v>917</v>
      </c>
    </row>
    <row r="2262" ht="22.5" customHeight="1">
      <c r="B2262" s="7" t="str">
        <f>IFERROR(__xludf.DUMMYFUNCTION("""COMPUTED_VALUE"""),"K/7/171224/1")</f>
        <v>K/7/171224/1</v>
      </c>
      <c r="C2262" s="7" t="str">
        <f>IFERROR(__xludf.DUMMYFUNCTION("""COMPUTED_VALUE"""),"M.501/CAMPANG JAYA")</f>
        <v>M.501/CAMPANG JAYA</v>
      </c>
      <c r="D2262" s="7"/>
      <c r="E2262" s="7"/>
      <c r="F2262" s="9" t="str">
        <f>IFERROR(__xludf.DUMMYFUNCTION("""COMPUTED_VALUE"""),"")</f>
        <v/>
      </c>
      <c r="G2262" s="7" t="str">
        <f>IFERROR(__xludf.DUMMYFUNCTION("""COMPUTED_VALUE"""),"PENGECEKAN")</f>
        <v>PENGECEKAN</v>
      </c>
      <c r="H2262" s="7">
        <f t="shared" si="1"/>
        <v>917</v>
      </c>
    </row>
    <row r="2263" ht="22.5" customHeight="1">
      <c r="B2263" s="7" t="str">
        <f>IFERROR(__xludf.DUMMYFUNCTION("""COMPUTED_VALUE"""),"K/5/171224/2")</f>
        <v>K/5/171224/2</v>
      </c>
      <c r="C2263" s="7" t="str">
        <f>IFERROR(__xludf.DUMMYFUNCTION("""COMPUTED_VALUE"""),"NIBEL M. 893/BUMI WARAS")</f>
        <v>NIBEL M. 893/BUMI WARAS</v>
      </c>
      <c r="D2263" s="7"/>
      <c r="E2263" s="7"/>
      <c r="F2263" s="9" t="str">
        <f>IFERROR(__xludf.DUMMYFUNCTION("""COMPUTED_VALUE"""),"")</f>
        <v/>
      </c>
      <c r="G2263" s="7" t="str">
        <f>IFERROR(__xludf.DUMMYFUNCTION("""COMPUTED_VALUE"""),"BN JUAL BELI")</f>
        <v>BN JUAL BELI</v>
      </c>
      <c r="H2263" s="7">
        <f t="shared" si="1"/>
        <v>917</v>
      </c>
    </row>
    <row r="2264" ht="22.5" customHeight="1">
      <c r="B2264" s="7" t="str">
        <f>IFERROR(__xludf.DUMMYFUNCTION("""COMPUTED_VALUE"""),"L/8/171224/1")</f>
        <v>L/8/171224/1</v>
      </c>
      <c r="C2264" s="7" t="str">
        <f>IFERROR(__xludf.DUMMYFUNCTION("""COMPUTED_VALUE"""),"HM 1446/DURIAN PAYUNG")</f>
        <v>HM 1446/DURIAN PAYUNG</v>
      </c>
      <c r="D2264" s="7" t="str">
        <f>IFERROR(__xludf.DUMMYFUNCTION("""COMPUTED_VALUE"""),"David")</f>
        <v>David</v>
      </c>
      <c r="E2264" s="7" t="str">
        <f>IFERROR(__xludf.DUMMYFUNCTION("""COMPUTED_VALUE"""),"PROSES")</f>
        <v>PROSES</v>
      </c>
      <c r="F2264" s="9" t="str">
        <f>IFERROR(__xludf.DUMMYFUNCTION("""COMPUTED_VALUE"""),"")</f>
        <v/>
      </c>
      <c r="G2264" s="7" t="str">
        <f>IFERROR(__xludf.DUMMYFUNCTION("""COMPUTED_VALUE"""),"PLOT SHM HILANG")</f>
        <v>PLOT SHM HILANG</v>
      </c>
      <c r="H2264" s="7">
        <f t="shared" si="1"/>
        <v>917</v>
      </c>
    </row>
    <row r="2265" ht="22.5" customHeight="1">
      <c r="B2265" s="7" t="str">
        <f>IFERROR(__xludf.DUMMYFUNCTION("""COMPUTED_VALUE"""),"L/9/171224/1")</f>
        <v>L/9/171224/1</v>
      </c>
      <c r="C2265" s="7" t="str">
        <f>IFERROR(__xludf.DUMMYFUNCTION("""COMPUTED_VALUE"""),"HM 3840/KETEGUHAN")</f>
        <v>HM 3840/KETEGUHAN</v>
      </c>
      <c r="D2265" s="7" t="str">
        <f>IFERROR(__xludf.DUMMYFUNCTION("""COMPUTED_VALUE"""),"David")</f>
        <v>David</v>
      </c>
      <c r="E2265" s="7" t="str">
        <f>IFERROR(__xludf.DUMMYFUNCTION("""COMPUTED_VALUE"""),"PROSES")</f>
        <v>PROSES</v>
      </c>
      <c r="F2265" s="9" t="str">
        <f>IFERROR(__xludf.DUMMYFUNCTION("""COMPUTED_VALUE"""),"")</f>
        <v/>
      </c>
      <c r="G2265" s="7" t="str">
        <f>IFERROR(__xludf.DUMMYFUNCTION("""COMPUTED_VALUE"""),"HAPUS BPHTB")</f>
        <v>HAPUS BPHTB</v>
      </c>
      <c r="H2265" s="7">
        <f t="shared" si="1"/>
        <v>917</v>
      </c>
    </row>
    <row r="2266" ht="22.5" customHeight="1">
      <c r="B2266" s="7" t="str">
        <f>IFERROR(__xludf.DUMMYFUNCTION("""COMPUTED_VALUE"""),"K/10/171224/1")</f>
        <v>K/10/171224/1</v>
      </c>
      <c r="C2266" s="7" t="str">
        <f>IFERROR(__xludf.DUMMYFUNCTION("""COMPUTED_VALUE"""),"M. 13163/ Kedamaian")</f>
        <v>M. 13163/ Kedamaian</v>
      </c>
      <c r="D2266" s="7"/>
      <c r="E2266" s="7"/>
      <c r="F2266" s="9" t="str">
        <f>IFERROR(__xludf.DUMMYFUNCTION("""COMPUTED_VALUE"""),"")</f>
        <v/>
      </c>
      <c r="G2266" s="7" t="str">
        <f>IFERROR(__xludf.DUMMYFUNCTION("""COMPUTED_VALUE"""),"BN Jual Beli")</f>
        <v>BN Jual Beli</v>
      </c>
      <c r="H2266" s="7">
        <f t="shared" si="1"/>
        <v>917</v>
      </c>
    </row>
    <row r="2267" ht="22.5" customHeight="1">
      <c r="B2267" s="7" t="str">
        <f>IFERROR(__xludf.DUMMYFUNCTION("""COMPUTED_VALUE"""),"K/11/171224/1")</f>
        <v>K/11/171224/1</v>
      </c>
      <c r="C2267" s="7" t="str">
        <f>IFERROR(__xludf.DUMMYFUNCTION("""COMPUTED_VALUE"""),"M.6406/WAY KANDIS ")</f>
        <v>M.6406/WAY KANDIS </v>
      </c>
      <c r="D2267" s="7"/>
      <c r="E2267" s="7"/>
      <c r="F2267" s="9" t="str">
        <f>IFERROR(__xludf.DUMMYFUNCTION("""COMPUTED_VALUE"""),"")</f>
        <v/>
      </c>
      <c r="G2267" s="7" t="str">
        <f>IFERROR(__xludf.DUMMYFUNCTION("""COMPUTED_VALUE"""),"BN JUAL BELI")</f>
        <v>BN JUAL BELI</v>
      </c>
      <c r="H2267" s="7">
        <f t="shared" si="1"/>
        <v>917</v>
      </c>
    </row>
    <row r="2268" ht="22.5" customHeight="1">
      <c r="B2268" s="7" t="str">
        <f>IFERROR(__xludf.DUMMYFUNCTION("""COMPUTED_VALUE"""),"K/12/171224/1")</f>
        <v>K/12/171224/1</v>
      </c>
      <c r="C2268" s="7" t="str">
        <f>IFERROR(__xludf.DUMMYFUNCTION("""COMPUTED_VALUE"""),"Nibel 2193/ Gunung Terang")</f>
        <v>Nibel 2193/ Gunung Terang</v>
      </c>
      <c r="D2268" s="7" t="str">
        <f>IFERROR(__xludf.DUMMYFUNCTION("""COMPUTED_VALUE"""),"David")</f>
        <v>David</v>
      </c>
      <c r="E2268" s="7" t="str">
        <f>IFERROR(__xludf.DUMMYFUNCTION("""COMPUTED_VALUE"""),"PROSES")</f>
        <v>PROSES</v>
      </c>
      <c r="F2268" s="9" t="str">
        <f>IFERROR(__xludf.DUMMYFUNCTION("""COMPUTED_VALUE"""),"")</f>
        <v/>
      </c>
      <c r="G2268" s="7" t="str">
        <f>IFERROR(__xludf.DUMMYFUNCTION("""COMPUTED_VALUE"""),"BN JUAL BELI")</f>
        <v>BN JUAL BELI</v>
      </c>
      <c r="H2268" s="7">
        <f t="shared" si="1"/>
        <v>917</v>
      </c>
    </row>
    <row r="2269" ht="22.5" customHeight="1">
      <c r="B2269" s="7" t="str">
        <f>IFERROR(__xludf.DUMMYFUNCTION("""COMPUTED_VALUE"""),"K/6/171224/3")</f>
        <v>K/6/171224/3</v>
      </c>
      <c r="C2269" s="7" t="str">
        <f>IFERROR(__xludf.DUMMYFUNCTION("""COMPUTED_VALUE"""),"NIBEL M. 892/BUMI WARAS")</f>
        <v>NIBEL M. 892/BUMI WARAS</v>
      </c>
      <c r="D2269" s="7" t="str">
        <f>IFERROR(__xludf.DUMMYFUNCTION("""COMPUTED_VALUE"""),"David")</f>
        <v>David</v>
      </c>
      <c r="E2269" s="7" t="str">
        <f>IFERROR(__xludf.DUMMYFUNCTION("""COMPUTED_VALUE"""),"DISERAHKAN BT")</f>
        <v>DISERAHKAN BT</v>
      </c>
      <c r="F2269" s="9">
        <f>IFERROR(__xludf.DUMMYFUNCTION("""COMPUTED_VALUE"""),45644.69481178241)</f>
        <v>45644.69481</v>
      </c>
      <c r="G2269" s="7" t="str">
        <f>IFERROR(__xludf.DUMMYFUNCTION("""COMPUTED_VALUE"""),"BN JUAL BELI")</f>
        <v>BN JUAL BELI</v>
      </c>
      <c r="H2269" s="7">
        <f t="shared" si="1"/>
        <v>917</v>
      </c>
    </row>
    <row r="2270" ht="22.5" customHeight="1">
      <c r="B2270" s="7" t="str">
        <f>IFERROR(__xludf.DUMMYFUNCTION("""COMPUTED_VALUE"""),"K/13/171224/1")</f>
        <v>K/13/171224/1</v>
      </c>
      <c r="C2270" s="7" t="str">
        <f>IFERROR(__xludf.DUMMYFUNCTION("""COMPUTED_VALUE"""),"M.1602/SUSUNAN BARU")</f>
        <v>M.1602/SUSUNAN BARU</v>
      </c>
      <c r="D2270" s="7"/>
      <c r="E2270" s="7"/>
      <c r="F2270" s="9" t="str">
        <f>IFERROR(__xludf.DUMMYFUNCTION("""COMPUTED_VALUE"""),"")</f>
        <v/>
      </c>
      <c r="G2270" s="7" t="str">
        <f>IFERROR(__xludf.DUMMYFUNCTION("""COMPUTED_VALUE"""),"ROYA")</f>
        <v>ROYA</v>
      </c>
      <c r="H2270" s="7">
        <f t="shared" si="1"/>
        <v>917</v>
      </c>
    </row>
    <row r="2271" ht="22.5" customHeight="1">
      <c r="B2271" s="7" t="str">
        <f>IFERROR(__xludf.DUMMYFUNCTION("""COMPUTED_VALUE"""),"K/15/171224/1")</f>
        <v>K/15/171224/1</v>
      </c>
      <c r="C2271" s="7" t="str">
        <f>IFERROR(__xludf.DUMMYFUNCTION("""COMPUTED_VALUE"""),"B.265/LABUHAN RATU RAYA-SEKARANG;B.277/LABUHAN RATU-DAHULU")</f>
        <v>B.265/LABUHAN RATU RAYA-SEKARANG;B.277/LABUHAN RATU-DAHULU</v>
      </c>
      <c r="D2271" s="7"/>
      <c r="E2271" s="7"/>
      <c r="F2271" s="9" t="str">
        <f>IFERROR(__xludf.DUMMYFUNCTION("""COMPUTED_VALUE"""),"")</f>
        <v/>
      </c>
      <c r="G2271" s="7" t="str">
        <f>IFERROR(__xludf.DUMMYFUNCTION("""COMPUTED_VALUE"""),"BN JUAL BELI")</f>
        <v>BN JUAL BELI</v>
      </c>
      <c r="H2271" s="7">
        <f t="shared" si="1"/>
        <v>917</v>
      </c>
    </row>
    <row r="2272" ht="22.5" customHeight="1">
      <c r="B2272" s="7" t="str">
        <f>IFERROR(__xludf.DUMMYFUNCTION("""COMPUTED_VALUE"""),"K/14/171224/1")</f>
        <v>K/14/171224/1</v>
      </c>
      <c r="C2272" s="7" t="str">
        <f>IFERROR(__xludf.DUMMYFUNCTION("""COMPUTED_VALUE"""),"PBT 59/2024")</f>
        <v>PBT 59/2024</v>
      </c>
      <c r="D2272" s="7" t="str">
        <f>IFERROR(__xludf.DUMMYFUNCTION("""COMPUTED_VALUE"""),"David")</f>
        <v>David</v>
      </c>
      <c r="E2272" s="7" t="str">
        <f>IFERROR(__xludf.DUMMYFUNCTION("""COMPUTED_VALUE"""),"DISERAHKAN")</f>
        <v>DISERAHKAN</v>
      </c>
      <c r="F2272" s="9">
        <f>IFERROR(__xludf.DUMMYFUNCTION("""COMPUTED_VALUE"""),45644.695599467595)</f>
        <v>45644.6956</v>
      </c>
      <c r="G2272" s="7" t="str">
        <f>IFERROR(__xludf.DUMMYFUNCTION("""COMPUTED_VALUE"""),"PERMOHONAN SK")</f>
        <v>PERMOHONAN SK</v>
      </c>
      <c r="H2272" s="7">
        <f t="shared" si="1"/>
        <v>918</v>
      </c>
    </row>
    <row r="2273" ht="22.5" customHeight="1">
      <c r="B2273" s="7" t="str">
        <f>IFERROR(__xludf.DUMMYFUNCTION("""COMPUTED_VALUE"""),"K/16/171224/2")</f>
        <v>K/16/171224/2</v>
      </c>
      <c r="C2273" s="7" t="str">
        <f>IFERROR(__xludf.DUMMYFUNCTION("""COMPUTED_VALUE"""),"NIBEL M 13165/KEMILING PERMAI")</f>
        <v>NIBEL M 13165/KEMILING PERMAI</v>
      </c>
      <c r="D2273" s="7"/>
      <c r="E2273" s="7"/>
      <c r="F2273" s="9" t="str">
        <f>IFERROR(__xludf.DUMMYFUNCTION("""COMPUTED_VALUE"""),"")</f>
        <v/>
      </c>
      <c r="G2273" s="7" t="str">
        <f>IFERROR(__xludf.DUMMYFUNCTION("""COMPUTED_VALUE"""),"BN JUAL BELI")</f>
        <v>BN JUAL BELI</v>
      </c>
      <c r="H2273" s="7">
        <f t="shared" si="1"/>
        <v>918</v>
      </c>
    </row>
    <row r="2274" ht="22.5" customHeight="1">
      <c r="B2274" s="7" t="str">
        <f>IFERROR(__xludf.DUMMYFUNCTION("""COMPUTED_VALUE"""),"L/18/171224/1")</f>
        <v>L/18/171224/1</v>
      </c>
      <c r="C2274" s="7" t="str">
        <f>IFERROR(__xludf.DUMMYFUNCTION("""COMPUTED_VALUE"""),"HGB 1476/CAMPANG RAYA")</f>
        <v>HGB 1476/CAMPANG RAYA</v>
      </c>
      <c r="D2274" s="7"/>
      <c r="E2274" s="7"/>
      <c r="F2274" s="9" t="str">
        <f>IFERROR(__xludf.DUMMYFUNCTION("""COMPUTED_VALUE"""),"")</f>
        <v/>
      </c>
      <c r="G2274" s="7" t="str">
        <f>IFERROR(__xludf.DUMMYFUNCTION("""COMPUTED_VALUE"""),"ROYA")</f>
        <v>ROYA</v>
      </c>
      <c r="H2274" s="7">
        <f t="shared" si="1"/>
        <v>918</v>
      </c>
    </row>
    <row r="2275" ht="22.5" customHeight="1">
      <c r="B2275" s="7" t="str">
        <f>IFERROR(__xludf.DUMMYFUNCTION("""COMPUTED_VALUE"""),"K/17/171224/1")</f>
        <v>K/17/171224/1</v>
      </c>
      <c r="C2275" s="7" t="str">
        <f>IFERROR(__xludf.DUMMYFUNCTION("""COMPUTED_VALUE"""),"NIBEL M.11434/NUSANTARA PERMAI")</f>
        <v>NIBEL M.11434/NUSANTARA PERMAI</v>
      </c>
      <c r="D2275" s="7" t="str">
        <f>IFERROR(__xludf.DUMMYFUNCTION("""COMPUTED_VALUE"""),"David")</f>
        <v>David</v>
      </c>
      <c r="E2275" s="7" t="str">
        <f>IFERROR(__xludf.DUMMYFUNCTION("""COMPUTED_VALUE"""),"PROSES")</f>
        <v>PROSES</v>
      </c>
      <c r="F2275" s="9" t="str">
        <f>IFERROR(__xludf.DUMMYFUNCTION("""COMPUTED_VALUE"""),"")</f>
        <v/>
      </c>
      <c r="G2275" s="7" t="str">
        <f>IFERROR(__xludf.DUMMYFUNCTION("""COMPUTED_VALUE"""),"BN JUAL BELI")</f>
        <v>BN JUAL BELI</v>
      </c>
      <c r="H2275" s="7">
        <f t="shared" si="1"/>
        <v>918</v>
      </c>
    </row>
    <row r="2276" ht="22.5" customHeight="1">
      <c r="B2276" s="7" t="str">
        <f>IFERROR(__xludf.DUMMYFUNCTION("""COMPUTED_VALUE"""),"K/19/171224/1")</f>
        <v>K/19/171224/1</v>
      </c>
      <c r="C2276" s="7" t="str">
        <f>IFERROR(__xludf.DUMMYFUNCTION("""COMPUTED_VALUE"""),"M.1837/WAY KANDIS")</f>
        <v>M.1837/WAY KANDIS</v>
      </c>
      <c r="D2276" s="7" t="str">
        <f>IFERROR(__xludf.DUMMYFUNCTION("""COMPUTED_VALUE"""),"David")</f>
        <v>David</v>
      </c>
      <c r="E2276" s="7" t="str">
        <f>IFERROR(__xludf.DUMMYFUNCTION("""COMPUTED_VALUE"""),"PROSES")</f>
        <v>PROSES</v>
      </c>
      <c r="F2276" s="9" t="str">
        <f>IFERROR(__xludf.DUMMYFUNCTION("""COMPUTED_VALUE"""),"")</f>
        <v/>
      </c>
      <c r="G2276" s="7" t="str">
        <f>IFERROR(__xludf.DUMMYFUNCTION("""COMPUTED_VALUE"""),"PTPGT")</f>
        <v>PTPGT</v>
      </c>
      <c r="H2276" s="7">
        <f t="shared" si="1"/>
        <v>918</v>
      </c>
    </row>
    <row r="2277" ht="22.5" customHeight="1">
      <c r="B2277" s="7" t="str">
        <f>IFERROR(__xludf.DUMMYFUNCTION("""COMPUTED_VALUE"""),"L/20/171224/1")</f>
        <v>L/20/171224/1</v>
      </c>
      <c r="C2277" s="7" t="str">
        <f>IFERROR(__xludf.DUMMYFUNCTION("""COMPUTED_VALUE"""),"HM 12942/SUKABUMI")</f>
        <v>HM 12942/SUKABUMI</v>
      </c>
      <c r="D2277" s="7" t="str">
        <f>IFERROR(__xludf.DUMMYFUNCTION("""COMPUTED_VALUE"""),"David")</f>
        <v>David</v>
      </c>
      <c r="E2277" s="7" t="str">
        <f>IFERROR(__xludf.DUMMYFUNCTION("""COMPUTED_VALUE"""),"PROSES")</f>
        <v>PROSES</v>
      </c>
      <c r="F2277" s="9" t="str">
        <f>IFERROR(__xludf.DUMMYFUNCTION("""COMPUTED_VALUE"""),"")</f>
        <v/>
      </c>
      <c r="G2277" s="7" t="str">
        <f>IFERROR(__xludf.DUMMYFUNCTION("""COMPUTED_VALUE"""),"ROYA")</f>
        <v>ROYA</v>
      </c>
      <c r="H2277" s="7">
        <f t="shared" si="1"/>
        <v>918</v>
      </c>
    </row>
    <row r="2278" ht="22.5" customHeight="1">
      <c r="B2278" s="7" t="str">
        <f>IFERROR(__xludf.DUMMYFUNCTION("""COMPUTED_VALUE"""),"K/21/171224/1")</f>
        <v>K/21/171224/1</v>
      </c>
      <c r="C2278" s="7" t="str">
        <f>IFERROR(__xludf.DUMMYFUNCTION("""COMPUTED_VALUE"""),"M.10130/SUKABUMI")</f>
        <v>M.10130/SUKABUMI</v>
      </c>
      <c r="D2278" s="7"/>
      <c r="E2278" s="7"/>
      <c r="F2278" s="9" t="str">
        <f>IFERROR(__xludf.DUMMYFUNCTION("""COMPUTED_VALUE"""),"")</f>
        <v/>
      </c>
      <c r="G2278" s="7" t="str">
        <f>IFERROR(__xludf.DUMMYFUNCTION("""COMPUTED_VALUE"""),"BN JUAL BELI")</f>
        <v>BN JUAL BELI</v>
      </c>
      <c r="H2278" s="7">
        <f t="shared" si="1"/>
        <v>918</v>
      </c>
    </row>
    <row r="2279" ht="22.5" customHeight="1">
      <c r="B2279" s="7" t="str">
        <f>IFERROR(__xludf.DUMMYFUNCTION("""COMPUTED_VALUE"""),"K/22/171224/2")</f>
        <v>K/22/171224/2</v>
      </c>
      <c r="C2279" s="7" t="str">
        <f>IFERROR(__xludf.DUMMYFUNCTION("""COMPUTED_VALUE"""),"M.567/KORPRI RAYA-SEKARANG;M.10866/SUKARAME I")</f>
        <v>M.567/KORPRI RAYA-SEKARANG;M.10866/SUKARAME I</v>
      </c>
      <c r="D2279" s="7"/>
      <c r="E2279" s="7"/>
      <c r="F2279" s="9" t="str">
        <f>IFERROR(__xludf.DUMMYFUNCTION("""COMPUTED_VALUE"""),"")</f>
        <v/>
      </c>
      <c r="G2279" s="7" t="str">
        <f>IFERROR(__xludf.DUMMYFUNCTION("""COMPUTED_VALUE"""),"BN JUAL BELI")</f>
        <v>BN JUAL BELI</v>
      </c>
      <c r="H2279" s="7">
        <f t="shared" si="1"/>
        <v>918</v>
      </c>
    </row>
    <row r="2280" ht="22.5" customHeight="1">
      <c r="B2280" s="7" t="str">
        <f>IFERROR(__xludf.DUMMYFUNCTION("""COMPUTED_VALUE"""),"K/24/171224/3")</f>
        <v>K/24/171224/3</v>
      </c>
      <c r="C2280" s="7" t="str">
        <f>IFERROR(__xludf.DUMMYFUNCTION("""COMPUTED_VALUE"""),"B.276/CAMPANG RAYA ")</f>
        <v>B.276/CAMPANG RAYA </v>
      </c>
      <c r="D2280" s="7"/>
      <c r="E2280" s="7"/>
      <c r="F2280" s="9" t="str">
        <f>IFERROR(__xludf.DUMMYFUNCTION("""COMPUTED_VALUE"""),"")</f>
        <v/>
      </c>
      <c r="G2280" s="7" t="str">
        <f>IFERROR(__xludf.DUMMYFUNCTION("""COMPUTED_VALUE"""),"PLOTING")</f>
        <v>PLOTING</v>
      </c>
      <c r="H2280" s="7">
        <f t="shared" si="1"/>
        <v>918</v>
      </c>
    </row>
    <row r="2281" ht="22.5" customHeight="1">
      <c r="B2281" s="7" t="str">
        <f>IFERROR(__xludf.DUMMYFUNCTION("""COMPUTED_VALUE"""),"K/23/171224/1")</f>
        <v>K/23/171224/1</v>
      </c>
      <c r="C2281" s="7" t="str">
        <f>IFERROR(__xludf.DUMMYFUNCTION("""COMPUTED_VALUE"""),"M. 21/ Bilabong Jaya")</f>
        <v>M. 21/ Bilabong Jaya</v>
      </c>
      <c r="D2281" s="7" t="str">
        <f>IFERROR(__xludf.DUMMYFUNCTION("""COMPUTED_VALUE"""),"David")</f>
        <v>David</v>
      </c>
      <c r="E2281" s="7" t="str">
        <f>IFERROR(__xludf.DUMMYFUNCTION("""COMPUTED_VALUE"""),"PROSES")</f>
        <v>PROSES</v>
      </c>
      <c r="F2281" s="9" t="str">
        <f>IFERROR(__xludf.DUMMYFUNCTION("""COMPUTED_VALUE"""),"")</f>
        <v/>
      </c>
      <c r="G2281" s="7" t="str">
        <f>IFERROR(__xludf.DUMMYFUNCTION("""COMPUTED_VALUE"""),"SKPT Lelang")</f>
        <v>SKPT Lelang</v>
      </c>
      <c r="H2281" s="7">
        <f t="shared" si="1"/>
        <v>918</v>
      </c>
    </row>
    <row r="2282" ht="22.5" customHeight="1">
      <c r="B2282" s="7" t="str">
        <f>IFERROR(__xludf.DUMMYFUNCTION("""COMPUTED_VALUE"""),"K/25/171224/1")</f>
        <v>K/25/171224/1</v>
      </c>
      <c r="C2282" s="7" t="str">
        <f>IFERROR(__xludf.DUMMYFUNCTION("""COMPUTED_VALUE"""),"M. 13780/ Segala Mider")</f>
        <v>M. 13780/ Segala Mider</v>
      </c>
      <c r="D2282" s="7" t="str">
        <f>IFERROR(__xludf.DUMMYFUNCTION("""COMPUTED_VALUE"""),"David")</f>
        <v>David</v>
      </c>
      <c r="E2282" s="7" t="str">
        <f>IFERROR(__xludf.DUMMYFUNCTION("""COMPUTED_VALUE"""),"PROSES")</f>
        <v>PROSES</v>
      </c>
      <c r="F2282" s="9" t="str">
        <f>IFERROR(__xludf.DUMMYFUNCTION("""COMPUTED_VALUE"""),"")</f>
        <v/>
      </c>
      <c r="G2282" s="7" t="str">
        <f>IFERROR(__xludf.DUMMYFUNCTION("""COMPUTED_VALUE"""),"SKPT LELANG")</f>
        <v>SKPT LELANG</v>
      </c>
      <c r="H2282" s="7">
        <f t="shared" si="1"/>
        <v>918</v>
      </c>
    </row>
    <row r="2283" ht="22.5" customHeight="1">
      <c r="B2283" s="7" t="str">
        <f>IFERROR(__xludf.DUMMYFUNCTION("""COMPUTED_VALUE"""),"K/26/171224/1")</f>
        <v>K/26/171224/1</v>
      </c>
      <c r="C2283" s="7" t="str">
        <f>IFERROR(__xludf.DUMMYFUNCTION("""COMPUTED_VALUE"""),"M. 2052/ Labuhan Ratu")</f>
        <v>M. 2052/ Labuhan Ratu</v>
      </c>
      <c r="D2283" s="7" t="str">
        <f>IFERROR(__xludf.DUMMYFUNCTION("""COMPUTED_VALUE"""),"David")</f>
        <v>David</v>
      </c>
      <c r="E2283" s="7" t="str">
        <f>IFERROR(__xludf.DUMMYFUNCTION("""COMPUTED_VALUE"""),"DISERAHKAN")</f>
        <v>DISERAHKAN</v>
      </c>
      <c r="F2283" s="9">
        <f>IFERROR(__xludf.DUMMYFUNCTION("""COMPUTED_VALUE"""),45644.69689342593)</f>
        <v>45644.69689</v>
      </c>
      <c r="G2283" s="7" t="str">
        <f>IFERROR(__xludf.DUMMYFUNCTION("""COMPUTED_VALUE"""),"BN WARIS")</f>
        <v>BN WARIS</v>
      </c>
      <c r="H2283" s="7">
        <f t="shared" si="1"/>
        <v>919</v>
      </c>
    </row>
    <row r="2284" ht="22.5" customHeight="1">
      <c r="B2284" s="7" t="str">
        <f>IFERROR(__xludf.DUMMYFUNCTION("""COMPUTED_VALUE"""),"K/27/171224/2")</f>
        <v>K/27/171224/2</v>
      </c>
      <c r="C2284" s="7" t="str">
        <f>IFERROR(__xludf.DUMMYFUNCTION("""COMPUTED_VALUE"""),"M. 2268/ Rajabasa Raya")</f>
        <v>M. 2268/ Rajabasa Raya</v>
      </c>
      <c r="D2284" s="7" t="str">
        <f>IFERROR(__xludf.DUMMYFUNCTION("""COMPUTED_VALUE"""),"David")</f>
        <v>David</v>
      </c>
      <c r="E2284" s="7" t="str">
        <f>IFERROR(__xludf.DUMMYFUNCTION("""COMPUTED_VALUE"""),"DISERAHKAN")</f>
        <v>DISERAHKAN</v>
      </c>
      <c r="F2284" s="9">
        <f>IFERROR(__xludf.DUMMYFUNCTION("""COMPUTED_VALUE"""),45644.69731497685)</f>
        <v>45644.69731</v>
      </c>
      <c r="G2284" s="7" t="str">
        <f>IFERROR(__xludf.DUMMYFUNCTION("""COMPUTED_VALUE"""),"BN WARIS")</f>
        <v>BN WARIS</v>
      </c>
      <c r="H2284" s="7">
        <f t="shared" si="1"/>
        <v>920</v>
      </c>
    </row>
    <row r="2285" ht="22.5" customHeight="1">
      <c r="B2285" s="7" t="str">
        <f>IFERROR(__xludf.DUMMYFUNCTION("""COMPUTED_VALUE"""),"L/30/171224/1")</f>
        <v>L/30/171224/1</v>
      </c>
      <c r="C2285" s="7" t="str">
        <f>IFERROR(__xludf.DUMMYFUNCTION("""COMPUTED_VALUE"""),"HM 844/PENENGAHAN RAYA")</f>
        <v>HM 844/PENENGAHAN RAYA</v>
      </c>
      <c r="D2285" s="7" t="str">
        <f>IFERROR(__xludf.DUMMYFUNCTION("""COMPUTED_VALUE"""),"David")</f>
        <v>David</v>
      </c>
      <c r="E2285" s="7" t="str">
        <f>IFERROR(__xludf.DUMMYFUNCTION("""COMPUTED_VALUE"""),"DISERAHKAN")</f>
        <v>DISERAHKAN</v>
      </c>
      <c r="F2285" s="9">
        <f>IFERROR(__xludf.DUMMYFUNCTION("""COMPUTED_VALUE"""),45644.69735991898)</f>
        <v>45644.69736</v>
      </c>
      <c r="G2285" s="7" t="str">
        <f>IFERROR(__xludf.DUMMYFUNCTION("""COMPUTED_VALUE"""),"ROYA")</f>
        <v>ROYA</v>
      </c>
      <c r="H2285" s="7">
        <f t="shared" si="1"/>
        <v>921</v>
      </c>
    </row>
    <row r="2286" ht="22.5" customHeight="1">
      <c r="B2286" s="7" t="str">
        <f>IFERROR(__xludf.DUMMYFUNCTION("""COMPUTED_VALUE"""),"K/28/171224/3")</f>
        <v>K/28/171224/3</v>
      </c>
      <c r="C2286" s="7" t="str">
        <f>IFERROR(__xludf.DUMMYFUNCTION("""COMPUTED_VALUE"""),"M. 2803/ Sukarame Baru")</f>
        <v>M. 2803/ Sukarame Baru</v>
      </c>
      <c r="D2286" s="7"/>
      <c r="E2286" s="7"/>
      <c r="F2286" s="9" t="str">
        <f>IFERROR(__xludf.DUMMYFUNCTION("""COMPUTED_VALUE"""),"")</f>
        <v/>
      </c>
      <c r="G2286" s="7" t="str">
        <f>IFERROR(__xludf.DUMMYFUNCTION("""COMPUTED_VALUE"""),"BN JUAL BELI")</f>
        <v>BN JUAL BELI</v>
      </c>
      <c r="H2286" s="7">
        <f t="shared" si="1"/>
        <v>921</v>
      </c>
    </row>
    <row r="2287" ht="22.5" customHeight="1">
      <c r="B2287" s="7" t="str">
        <f>IFERROR(__xludf.DUMMYFUNCTION("""COMPUTED_VALUE"""),"K/29/171224/4")</f>
        <v>K/29/171224/4</v>
      </c>
      <c r="C2287" s="7" t="str">
        <f>IFERROR(__xludf.DUMMYFUNCTION("""COMPUTED_VALUE"""),"M. 2802/ Sukarame Baru")</f>
        <v>M. 2802/ Sukarame Baru</v>
      </c>
      <c r="D2287" s="7" t="str">
        <f>IFERROR(__xludf.DUMMYFUNCTION("""COMPUTED_VALUE"""),"David")</f>
        <v>David</v>
      </c>
      <c r="E2287" s="7" t="str">
        <f>IFERROR(__xludf.DUMMYFUNCTION("""COMPUTED_VALUE"""),"DISERAHKAN")</f>
        <v>DISERAHKAN</v>
      </c>
      <c r="F2287" s="9">
        <f>IFERROR(__xludf.DUMMYFUNCTION("""COMPUTED_VALUE"""),45644.697564490736)</f>
        <v>45644.69756</v>
      </c>
      <c r="G2287" s="7" t="str">
        <f>IFERROR(__xludf.DUMMYFUNCTION("""COMPUTED_VALUE"""),"BN JUAL BELI")</f>
        <v>BN JUAL BELI</v>
      </c>
      <c r="H2287" s="7">
        <f t="shared" si="1"/>
        <v>922</v>
      </c>
    </row>
    <row r="2288" ht="22.5" customHeight="1">
      <c r="B2288" s="7" t="str">
        <f>IFERROR(__xludf.DUMMYFUNCTION("""COMPUTED_VALUE"""),"K/31/171224/1")</f>
        <v>K/31/171224/1</v>
      </c>
      <c r="C2288" s="7" t="str">
        <f>IFERROR(__xludf.DUMMYFUNCTION("""COMPUTED_VALUE"""),"Nibel 12566/ Susunan Baru")</f>
        <v>Nibel 12566/ Susunan Baru</v>
      </c>
      <c r="D2288" s="7"/>
      <c r="E2288" s="7"/>
      <c r="F2288" s="9" t="str">
        <f>IFERROR(__xludf.DUMMYFUNCTION("""COMPUTED_VALUE"""),"")</f>
        <v/>
      </c>
      <c r="G2288" s="7" t="str">
        <f>IFERROR(__xludf.DUMMYFUNCTION("""COMPUTED_VALUE"""),"BN JUAL BELI")</f>
        <v>BN JUAL BELI</v>
      </c>
      <c r="H2288" s="7">
        <f t="shared" si="1"/>
        <v>922</v>
      </c>
    </row>
    <row r="2289" ht="22.5" customHeight="1">
      <c r="B2289" s="7" t="str">
        <f>IFERROR(__xludf.DUMMYFUNCTION("""COMPUTED_VALUE"""),"K/32/171224/2")</f>
        <v>K/32/171224/2</v>
      </c>
      <c r="C2289" s="7" t="str">
        <f>IFERROR(__xludf.DUMMYFUNCTION("""COMPUTED_VALUE"""),"M. 5552/ Way Kandis")</f>
        <v>M. 5552/ Way Kandis</v>
      </c>
      <c r="D2289" s="7"/>
      <c r="E2289" s="7"/>
      <c r="F2289" s="9" t="str">
        <f>IFERROR(__xludf.DUMMYFUNCTION("""COMPUTED_VALUE"""),"")</f>
        <v/>
      </c>
      <c r="G2289" s="7" t="str">
        <f>IFERROR(__xludf.DUMMYFUNCTION("""COMPUTED_VALUE"""),"BN JUAL BELI")</f>
        <v>BN JUAL BELI</v>
      </c>
      <c r="H2289" s="7">
        <f t="shared" si="1"/>
        <v>922</v>
      </c>
    </row>
    <row r="2290" ht="22.5" customHeight="1">
      <c r="B2290" s="7" t="str">
        <f>IFERROR(__xludf.DUMMYFUNCTION("""COMPUTED_VALUE"""),"K/34/171224/2")</f>
        <v>K/34/171224/2</v>
      </c>
      <c r="C2290" s="7" t="str">
        <f>IFERROR(__xludf.DUMMYFUNCTION("""COMPUTED_VALUE"""),"NIBEL M 1722/SUKARAME BARU")</f>
        <v>NIBEL M 1722/SUKARAME BARU</v>
      </c>
      <c r="D2290" s="7" t="str">
        <f>IFERROR(__xludf.DUMMYFUNCTION("""COMPUTED_VALUE"""),"David")</f>
        <v>David</v>
      </c>
      <c r="E2290" s="7" t="str">
        <f>IFERROR(__xludf.DUMMYFUNCTION("""COMPUTED_VALUE"""),"PROSES")</f>
        <v>PROSES</v>
      </c>
      <c r="F2290" s="9" t="str">
        <f>IFERROR(__xludf.DUMMYFUNCTION("""COMPUTED_VALUE"""),"")</f>
        <v/>
      </c>
      <c r="G2290" s="7" t="str">
        <f>IFERROR(__xludf.DUMMYFUNCTION("""COMPUTED_VALUE"""),"BN JUAL BELI")</f>
        <v>BN JUAL BELI</v>
      </c>
      <c r="H2290" s="7">
        <f t="shared" si="1"/>
        <v>922</v>
      </c>
    </row>
    <row r="2291" ht="22.5" customHeight="1">
      <c r="B2291" s="7" t="str">
        <f>IFERROR(__xludf.DUMMYFUNCTION("""COMPUTED_VALUE"""),"K/33/171224/1")</f>
        <v>K/33/171224/1</v>
      </c>
      <c r="C2291" s="7" t="str">
        <f>IFERROR(__xludf.DUMMYFUNCTION("""COMPUTED_VALUE"""),"Nibel 3070.1/ Keteguhan")</f>
        <v>Nibel 3070.1/ Keteguhan</v>
      </c>
      <c r="D2291" s="7" t="str">
        <f>IFERROR(__xludf.DUMMYFUNCTION("""COMPUTED_VALUE"""),"David")</f>
        <v>David</v>
      </c>
      <c r="E2291" s="7" t="str">
        <f>IFERROR(__xludf.DUMMYFUNCTION("""COMPUTED_VALUE"""),"PROSES")</f>
        <v>PROSES</v>
      </c>
      <c r="F2291" s="9" t="str">
        <f>IFERROR(__xludf.DUMMYFUNCTION("""COMPUTED_VALUE"""),"")</f>
        <v/>
      </c>
      <c r="G2291" s="7" t="str">
        <f>IFERROR(__xludf.DUMMYFUNCTION("""COMPUTED_VALUE"""),"PERUBAHAN HAK")</f>
        <v>PERUBAHAN HAK</v>
      </c>
      <c r="H2291" s="7">
        <f t="shared" si="1"/>
        <v>922</v>
      </c>
    </row>
    <row r="2292" ht="22.5" customHeight="1">
      <c r="B2292" s="7" t="str">
        <f>IFERROR(__xludf.DUMMYFUNCTION("""COMPUTED_VALUE"""),"K/35/171224/1")</f>
        <v>K/35/171224/1</v>
      </c>
      <c r="C2292" s="7" t="str">
        <f>IFERROR(__xludf.DUMMYFUNCTION("""COMPUTED_VALUE"""),"M.1638/KEMILING RAYA-SEKARANG;M.878/KEMILING PERMAI-DAHULU;")</f>
        <v>M.1638/KEMILING RAYA-SEKARANG;M.878/KEMILING PERMAI-DAHULU;</v>
      </c>
      <c r="D2292" s="7"/>
      <c r="E2292" s="7"/>
      <c r="F2292" s="9" t="str">
        <f>IFERROR(__xludf.DUMMYFUNCTION("""COMPUTED_VALUE"""),"")</f>
        <v/>
      </c>
      <c r="G2292" s="7" t="str">
        <f>IFERROR(__xludf.DUMMYFUNCTION("""COMPUTED_VALUE"""),"PENGUKURAN ULANG")</f>
        <v>PENGUKURAN ULANG</v>
      </c>
      <c r="H2292" s="7">
        <f t="shared" si="1"/>
        <v>922</v>
      </c>
    </row>
    <row r="2293" ht="22.5" customHeight="1">
      <c r="B2293" s="7" t="str">
        <f>IFERROR(__xludf.DUMMYFUNCTION("""COMPUTED_VALUE"""),"K/36/171224/2")</f>
        <v>K/36/171224/2</v>
      </c>
      <c r="C2293" s="7" t="str">
        <f>IFERROR(__xludf.DUMMYFUNCTION("""COMPUTED_VALUE"""),"M. 1637/KEMILING RAYA-SEKARANG;M.2295/SUMBEREJO KEMILING-DAHULU;")</f>
        <v>M. 1637/KEMILING RAYA-SEKARANG;M.2295/SUMBEREJO KEMILING-DAHULU;</v>
      </c>
      <c r="D2293" s="7" t="str">
        <f>IFERROR(__xludf.DUMMYFUNCTION("""COMPUTED_VALUE"""),"David")</f>
        <v>David</v>
      </c>
      <c r="E2293" s="7" t="str">
        <f>IFERROR(__xludf.DUMMYFUNCTION("""COMPUTED_VALUE"""),"PROSES")</f>
        <v>PROSES</v>
      </c>
      <c r="F2293" s="9" t="str">
        <f>IFERROR(__xludf.DUMMYFUNCTION("""COMPUTED_VALUE"""),"")</f>
        <v/>
      </c>
      <c r="G2293" s="7" t="str">
        <f>IFERROR(__xludf.DUMMYFUNCTION("""COMPUTED_VALUE"""),"PENGUKURAN ULANG")</f>
        <v>PENGUKURAN ULANG</v>
      </c>
      <c r="H2293" s="7">
        <f t="shared" si="1"/>
        <v>922</v>
      </c>
    </row>
    <row r="2294" ht="22.5" customHeight="1">
      <c r="B2294" s="7" t="str">
        <f>IFERROR(__xludf.DUMMYFUNCTION("""COMPUTED_VALUE"""),"K/37/171224/1")</f>
        <v>K/37/171224/1</v>
      </c>
      <c r="C2294" s="7" t="str">
        <f>IFERROR(__xludf.DUMMYFUNCTION("""COMPUTED_VALUE"""),"B.547/BAKUNG")</f>
        <v>B.547/BAKUNG</v>
      </c>
      <c r="D2294" s="7"/>
      <c r="E2294" s="7"/>
      <c r="F2294" s="9" t="str">
        <f>IFERROR(__xludf.DUMMYFUNCTION("""COMPUTED_VALUE"""),"")</f>
        <v/>
      </c>
      <c r="G2294" s="7" t="str">
        <f>IFERROR(__xludf.DUMMYFUNCTION("""COMPUTED_VALUE"""),"ENTRI BUKU TANAH")</f>
        <v>ENTRI BUKU TANAH</v>
      </c>
      <c r="H2294" s="7">
        <f t="shared" si="1"/>
        <v>922</v>
      </c>
    </row>
    <row r="2295" ht="22.5" customHeight="1">
      <c r="B2295" s="7" t="str">
        <f>IFERROR(__xludf.DUMMYFUNCTION("""COMPUTED_VALUE"""),"K/38/171224/2")</f>
        <v>K/38/171224/2</v>
      </c>
      <c r="C2295" s="7" t="str">
        <f>IFERROR(__xludf.DUMMYFUNCTION("""COMPUTED_VALUE"""),"M.4725/LANGKAPURA")</f>
        <v>M.4725/LANGKAPURA</v>
      </c>
      <c r="D2295" s="7" t="str">
        <f>IFERROR(__xludf.DUMMYFUNCTION("""COMPUTED_VALUE"""),"David")</f>
        <v>David</v>
      </c>
      <c r="E2295" s="7" t="str">
        <f>IFERROR(__xludf.DUMMYFUNCTION("""COMPUTED_VALUE"""),"PROSES")</f>
        <v>PROSES</v>
      </c>
      <c r="F2295" s="9" t="str">
        <f>IFERROR(__xludf.DUMMYFUNCTION("""COMPUTED_VALUE"""),"")</f>
        <v/>
      </c>
      <c r="G2295" s="7" t="str">
        <f>IFERROR(__xludf.DUMMYFUNCTION("""COMPUTED_VALUE"""),"BN JUAL BELI")</f>
        <v>BN JUAL BELI</v>
      </c>
      <c r="H2295" s="7">
        <f t="shared" si="1"/>
        <v>922</v>
      </c>
    </row>
    <row r="2296" ht="22.5" customHeight="1">
      <c r="B2296" s="7" t="str">
        <f>IFERROR(__xludf.DUMMYFUNCTION("""COMPUTED_VALUE"""),"K/39/171224/1")</f>
        <v>K/39/171224/1</v>
      </c>
      <c r="C2296" s="7" t="str">
        <f>IFERROR(__xludf.DUMMYFUNCTION("""COMPUTED_VALUE"""),"M. 1422/ KBK")</f>
        <v>M. 1422/ KBK</v>
      </c>
      <c r="D2296" s="7"/>
      <c r="E2296" s="7"/>
      <c r="F2296" s="9" t="str">
        <f>IFERROR(__xludf.DUMMYFUNCTION("""COMPUTED_VALUE"""),"")</f>
        <v/>
      </c>
      <c r="G2296" s="7" t="str">
        <f>IFERROR(__xludf.DUMMYFUNCTION("""COMPUTED_VALUE"""),"Hapus BPHTB")</f>
        <v>Hapus BPHTB</v>
      </c>
      <c r="H2296" s="7">
        <f t="shared" si="1"/>
        <v>922</v>
      </c>
    </row>
    <row r="2297" ht="22.5" customHeight="1">
      <c r="B2297" s="7" t="str">
        <f>IFERROR(__xludf.DUMMYFUNCTION("""COMPUTED_VALUE"""),"K/41/171224/1")</f>
        <v>K/41/171224/1</v>
      </c>
      <c r="C2297" s="7" t="str">
        <f>IFERROR(__xludf.DUMMYFUNCTION("""COMPUTED_VALUE"""),"M. 3349/ Kemiling Permai")</f>
        <v>M. 3349/ Kemiling Permai</v>
      </c>
      <c r="D2297" s="7" t="str">
        <f>IFERROR(__xludf.DUMMYFUNCTION("""COMPUTED_VALUE"""),"David")</f>
        <v>David</v>
      </c>
      <c r="E2297" s="7" t="str">
        <f>IFERROR(__xludf.DUMMYFUNCTION("""COMPUTED_VALUE"""),"DISERAHKAN")</f>
        <v>DISERAHKAN</v>
      </c>
      <c r="F2297" s="9">
        <f>IFERROR(__xludf.DUMMYFUNCTION("""COMPUTED_VALUE"""),45644.698670439815)</f>
        <v>45644.69867</v>
      </c>
      <c r="G2297" s="7" t="str">
        <f>IFERROR(__xludf.DUMMYFUNCTION("""COMPUTED_VALUE"""),"BN Hibah")</f>
        <v>BN Hibah</v>
      </c>
      <c r="H2297" s="7">
        <f t="shared" si="1"/>
        <v>923</v>
      </c>
    </row>
    <row r="2298" ht="22.5" customHeight="1">
      <c r="B2298" s="7" t="str">
        <f>IFERROR(__xludf.DUMMYFUNCTION("""COMPUTED_VALUE"""),"K/42/171224/2")</f>
        <v>K/42/171224/2</v>
      </c>
      <c r="C2298" s="7" t="str">
        <f>IFERROR(__xludf.DUMMYFUNCTION("""COMPUTED_VALUE"""),"M. 696/ Beringin Raya")</f>
        <v>M. 696/ Beringin Raya</v>
      </c>
      <c r="D2298" s="7"/>
      <c r="E2298" s="7"/>
      <c r="F2298" s="9" t="str">
        <f>IFERROR(__xludf.DUMMYFUNCTION("""COMPUTED_VALUE"""),"")</f>
        <v/>
      </c>
      <c r="G2298" s="7" t="str">
        <f>IFERROR(__xludf.DUMMYFUNCTION("""COMPUTED_VALUE"""),"Gandes")</f>
        <v>Gandes</v>
      </c>
      <c r="H2298" s="7">
        <f t="shared" si="1"/>
        <v>923</v>
      </c>
    </row>
    <row r="2299" ht="22.5" customHeight="1">
      <c r="B2299" s="7" t="str">
        <f>IFERROR(__xludf.DUMMYFUNCTION("""COMPUTED_VALUE"""),"K/43/171224/1")</f>
        <v>K/43/171224/1</v>
      </c>
      <c r="C2299" s="7" t="str">
        <f>IFERROR(__xludf.DUMMYFUNCTION("""COMPUTED_VALUE"""),"M. 1923/ Rajabasa Raya")</f>
        <v>M. 1923/ Rajabasa Raya</v>
      </c>
      <c r="D2299" s="7"/>
      <c r="E2299" s="7"/>
      <c r="F2299" s="9" t="str">
        <f>IFERROR(__xludf.DUMMYFUNCTION("""COMPUTED_VALUE"""),"")</f>
        <v/>
      </c>
      <c r="G2299" s="7" t="str">
        <f>IFERROR(__xludf.DUMMYFUNCTION("""COMPUTED_VALUE"""),"BN JUAL BELI")</f>
        <v>BN JUAL BELI</v>
      </c>
      <c r="H2299" s="7">
        <f t="shared" si="1"/>
        <v>923</v>
      </c>
    </row>
    <row r="2300" ht="22.5" customHeight="1">
      <c r="B2300" s="7" t="str">
        <f>IFERROR(__xludf.DUMMYFUNCTION("""COMPUTED_VALUE"""),"K/44/171224/2")</f>
        <v>K/44/171224/2</v>
      </c>
      <c r="C2300" s="7" t="str">
        <f>IFERROR(__xludf.DUMMYFUNCTION("""COMPUTED_VALUE"""),"Nibel 12/ Kemiling Permai")</f>
        <v>Nibel 12/ Kemiling Permai</v>
      </c>
      <c r="D2300" s="7"/>
      <c r="E2300" s="7"/>
      <c r="F2300" s="9" t="str">
        <f>IFERROR(__xludf.DUMMYFUNCTION("""COMPUTED_VALUE"""),"")</f>
        <v/>
      </c>
      <c r="G2300" s="7" t="str">
        <f>IFERROR(__xludf.DUMMYFUNCTION("""COMPUTED_VALUE"""),"PERUBAHAN HAK")</f>
        <v>PERUBAHAN HAK</v>
      </c>
      <c r="H2300" s="7">
        <f t="shared" si="1"/>
        <v>923</v>
      </c>
    </row>
    <row r="2301" ht="22.5" customHeight="1">
      <c r="B2301" s="7" t="str">
        <f>IFERROR(__xludf.DUMMYFUNCTION("""COMPUTED_VALUE"""),"K/45/171224/1")</f>
        <v>K/45/171224/1</v>
      </c>
      <c r="C2301" s="7" t="str">
        <f>IFERROR(__xludf.DUMMYFUNCTION("""COMPUTED_VALUE"""),"Nibel 405/ Kemiling Permai")</f>
        <v>Nibel 405/ Kemiling Permai</v>
      </c>
      <c r="D2301" s="7" t="str">
        <f>IFERROR(__xludf.DUMMYFUNCTION("""COMPUTED_VALUE"""),"David")</f>
        <v>David</v>
      </c>
      <c r="E2301" s="7" t="str">
        <f>IFERROR(__xludf.DUMMYFUNCTION("""COMPUTED_VALUE"""),"PROSES")</f>
        <v>PROSES</v>
      </c>
      <c r="F2301" s="9" t="str">
        <f>IFERROR(__xludf.DUMMYFUNCTION("""COMPUTED_VALUE"""),"")</f>
        <v/>
      </c>
      <c r="G2301" s="7" t="str">
        <f>IFERROR(__xludf.DUMMYFUNCTION("""COMPUTED_VALUE"""),"BN JUAL BELI")</f>
        <v>BN JUAL BELI</v>
      </c>
      <c r="H2301" s="7">
        <f t="shared" si="1"/>
        <v>923</v>
      </c>
    </row>
    <row r="2302" ht="22.5" customHeight="1">
      <c r="B2302" s="7" t="str">
        <f>IFERROR(__xludf.DUMMYFUNCTION("""COMPUTED_VALUE"""),"K/46/171224/1")</f>
        <v>K/46/171224/1</v>
      </c>
      <c r="C2302" s="7" t="str">
        <f>IFERROR(__xludf.DUMMYFUNCTION("""COMPUTED_VALUE"""),"NIBEL B 2896/LABUHAN RATU RAYA")</f>
        <v>NIBEL B 2896/LABUHAN RATU RAYA</v>
      </c>
      <c r="D2302" s="7"/>
      <c r="E2302" s="7"/>
      <c r="F2302" s="9" t="str">
        <f>IFERROR(__xludf.DUMMYFUNCTION("""COMPUTED_VALUE"""),"")</f>
        <v/>
      </c>
      <c r="G2302" s="7" t="str">
        <f>IFERROR(__xludf.DUMMYFUNCTION("""COMPUTED_VALUE"""),"BN JUAL BELI")</f>
        <v>BN JUAL BELI</v>
      </c>
      <c r="H2302" s="7">
        <f t="shared" si="1"/>
        <v>923</v>
      </c>
    </row>
    <row r="2303" ht="22.5" customHeight="1">
      <c r="B2303" s="7" t="str">
        <f>IFERROR(__xludf.DUMMYFUNCTION("""COMPUTED_VALUE"""),"K/40/171224/1")</f>
        <v>K/40/171224/1</v>
      </c>
      <c r="C2303" s="7" t="str">
        <f>IFERROR(__xludf.DUMMYFUNCTION("""COMPUTED_VALUE"""),"M.1817/RAJABASA NUNYAI-SEKARANG;M.12856/RAJABASA NUNYAI-DAHULU")</f>
        <v>M.1817/RAJABASA NUNYAI-SEKARANG;M.12856/RAJABASA NUNYAI-DAHULU</v>
      </c>
      <c r="D2303" s="7"/>
      <c r="E2303" s="7"/>
      <c r="F2303" s="9" t="str">
        <f>IFERROR(__xludf.DUMMYFUNCTION("""COMPUTED_VALUE"""),"")</f>
        <v/>
      </c>
      <c r="G2303" s="7" t="str">
        <f>IFERROR(__xludf.DUMMYFUNCTION("""COMPUTED_VALUE"""),"BN HIBAH")</f>
        <v>BN HIBAH</v>
      </c>
      <c r="H2303" s="7">
        <f t="shared" si="1"/>
        <v>923</v>
      </c>
    </row>
    <row r="2304" ht="22.5" customHeight="1">
      <c r="B2304" s="7" t="str">
        <f>IFERROR(__xludf.DUMMYFUNCTION("""COMPUTED_VALUE"""),"L/1/181224/1")</f>
        <v>L/1/181224/1</v>
      </c>
      <c r="C2304" s="7" t="str">
        <f>IFERROR(__xludf.DUMMYFUNCTION("""COMPUTED_VALUE"""),"HGB 749/RAJABASA")</f>
        <v>HGB 749/RAJABASA</v>
      </c>
      <c r="D2304" s="7" t="str">
        <f>IFERROR(__xludf.DUMMYFUNCTION("""COMPUTED_VALUE"""),"David")</f>
        <v>David</v>
      </c>
      <c r="E2304" s="7" t="str">
        <f>IFERROR(__xludf.DUMMYFUNCTION("""COMPUTED_VALUE"""),"PROSES")</f>
        <v>PROSES</v>
      </c>
      <c r="F2304" s="9" t="str">
        <f>IFERROR(__xludf.DUMMYFUNCTION("""COMPUTED_VALUE"""),"")</f>
        <v/>
      </c>
      <c r="G2304" s="7" t="str">
        <f>IFERROR(__xludf.DUMMYFUNCTION("""COMPUTED_VALUE"""),"SKPT INFORMASI")</f>
        <v>SKPT INFORMASI</v>
      </c>
      <c r="H2304" s="7">
        <f t="shared" si="1"/>
        <v>923</v>
      </c>
    </row>
    <row r="2305" ht="22.5" customHeight="1">
      <c r="B2305" s="7" t="str">
        <f>IFERROR(__xludf.DUMMYFUNCTION("""COMPUTED_VALUE"""),"K/2/181224/1")</f>
        <v>K/2/181224/1</v>
      </c>
      <c r="C2305" s="7" t="str">
        <f>IFERROR(__xludf.DUMMYFUNCTION("""COMPUTED_VALUE"""),"M.832/GUNUNG SULAH")</f>
        <v>M.832/GUNUNG SULAH</v>
      </c>
      <c r="D2305" s="7" t="str">
        <f>IFERROR(__xludf.DUMMYFUNCTION("""COMPUTED_VALUE"""),"David")</f>
        <v>David</v>
      </c>
      <c r="E2305" s="7" t="str">
        <f>IFERROR(__xludf.DUMMYFUNCTION("""COMPUTED_VALUE"""),"PROSES")</f>
        <v>PROSES</v>
      </c>
      <c r="F2305" s="9" t="str">
        <f>IFERROR(__xludf.DUMMYFUNCTION("""COMPUTED_VALUE"""),"")</f>
        <v/>
      </c>
      <c r="G2305" s="7" t="str">
        <f>IFERROR(__xludf.DUMMYFUNCTION("""COMPUTED_VALUE"""),"GANDES")</f>
        <v>GANDES</v>
      </c>
      <c r="H2305" s="7">
        <f t="shared" si="1"/>
        <v>923</v>
      </c>
    </row>
    <row r="2306" ht="22.5" customHeight="1">
      <c r="B2306" s="7" t="str">
        <f>IFERROR(__xludf.DUMMYFUNCTION("""COMPUTED_VALUE"""),"K/3/181224/1")</f>
        <v>K/3/181224/1</v>
      </c>
      <c r="C2306" s="7" t="str">
        <f>IFERROR(__xludf.DUMMYFUNCTION("""COMPUTED_VALUE"""),"M. 1262/ Langkapura Baru")</f>
        <v>M. 1262/ Langkapura Baru</v>
      </c>
      <c r="D2306" s="7"/>
      <c r="E2306" s="7"/>
      <c r="F2306" s="9" t="str">
        <f>IFERROR(__xludf.DUMMYFUNCTION("""COMPUTED_VALUE"""),"")</f>
        <v/>
      </c>
      <c r="G2306" s="7" t="str">
        <f>IFERROR(__xludf.DUMMYFUNCTION("""COMPUTED_VALUE"""),"PERUBAHAN HAK")</f>
        <v>PERUBAHAN HAK</v>
      </c>
      <c r="H2306" s="7">
        <f t="shared" si="1"/>
        <v>923</v>
      </c>
    </row>
    <row r="2307" ht="22.5" customHeight="1">
      <c r="B2307" s="7" t="str">
        <f>IFERROR(__xludf.DUMMYFUNCTION("""COMPUTED_VALUE"""),"L/5/181224/1")</f>
        <v>L/5/181224/1</v>
      </c>
      <c r="C2307" s="7" t="str">
        <f>IFERROR(__xludf.DUMMYFUNCTION("""COMPUTED_VALUE"""),"HGB 2875/SUKABUMI")</f>
        <v>HGB 2875/SUKABUMI</v>
      </c>
      <c r="D2307" s="7"/>
      <c r="E2307" s="7"/>
      <c r="F2307" s="9" t="str">
        <f>IFERROR(__xludf.DUMMYFUNCTION("""COMPUTED_VALUE"""),"")</f>
        <v/>
      </c>
      <c r="G2307" s="7" t="str">
        <f>IFERROR(__xludf.DUMMYFUNCTION("""COMPUTED_VALUE"""),"PH")</f>
        <v>PH</v>
      </c>
      <c r="H2307" s="7">
        <f t="shared" si="1"/>
        <v>923</v>
      </c>
    </row>
    <row r="2308" ht="22.5" customHeight="1">
      <c r="B2308" s="7" t="str">
        <f>IFERROR(__xludf.DUMMYFUNCTION("""COMPUTED_VALUE"""),"L/6/181224/1")</f>
        <v>L/6/181224/1</v>
      </c>
      <c r="C2308" s="7" t="str">
        <f>IFERROR(__xludf.DUMMYFUNCTION("""COMPUTED_VALUE"""),"HM 13001/TANJUNG  BARU")</f>
        <v>HM 13001/TANJUNG  BARU</v>
      </c>
      <c r="D2308" s="7" t="str">
        <f>IFERROR(__xludf.DUMMYFUNCTION("""COMPUTED_VALUE"""),"David")</f>
        <v>David</v>
      </c>
      <c r="E2308" s="7" t="str">
        <f>IFERROR(__xludf.DUMMYFUNCTION("""COMPUTED_VALUE"""),"PROSES")</f>
        <v>PROSES</v>
      </c>
      <c r="F2308" s="9" t="str">
        <f>IFERROR(__xludf.DUMMYFUNCTION("""COMPUTED_VALUE"""),"")</f>
        <v/>
      </c>
      <c r="G2308" s="7" t="str">
        <f>IFERROR(__xludf.DUMMYFUNCTION("""COMPUTED_VALUE"""),"GANDES")</f>
        <v>GANDES</v>
      </c>
      <c r="H2308" s="7">
        <f t="shared" si="1"/>
        <v>923</v>
      </c>
    </row>
    <row r="2309" ht="22.5" customHeight="1">
      <c r="B2309" s="7" t="str">
        <f>IFERROR(__xludf.DUMMYFUNCTION("""COMPUTED_VALUE"""),"K/4/181224/1")</f>
        <v>K/4/181224/1</v>
      </c>
      <c r="C2309" s="7" t="str">
        <f>IFERROR(__xludf.DUMMYFUNCTION("""COMPUTED_VALUE"""),"M. 1071/WAY HALIM PERMAI")</f>
        <v>M. 1071/WAY HALIM PERMAI</v>
      </c>
      <c r="D2309" s="7" t="str">
        <f>IFERROR(__xludf.DUMMYFUNCTION("""COMPUTED_VALUE"""),"David")</f>
        <v>David</v>
      </c>
      <c r="E2309" s="7" t="str">
        <f>IFERROR(__xludf.DUMMYFUNCTION("""COMPUTED_VALUE"""),"DISERAHKAN")</f>
        <v>DISERAHKAN</v>
      </c>
      <c r="F2309" s="9">
        <f>IFERROR(__xludf.DUMMYFUNCTION("""COMPUTED_VALUE"""),45644.699691076385)</f>
        <v>45644.69969</v>
      </c>
      <c r="G2309" s="7" t="str">
        <f>IFERROR(__xludf.DUMMYFUNCTION("""COMPUTED_VALUE"""),"GANTI KECAMATAN")</f>
        <v>GANTI KECAMATAN</v>
      </c>
      <c r="H2309" s="7">
        <f t="shared" si="1"/>
        <v>924</v>
      </c>
    </row>
    <row r="2310" ht="22.5" customHeight="1">
      <c r="B2310" s="7" t="str">
        <f>IFERROR(__xludf.DUMMYFUNCTION("""COMPUTED_VALUE"""),"K/7/181224/1")</f>
        <v>K/7/181224/1</v>
      </c>
      <c r="C2310" s="7" t="str">
        <f>IFERROR(__xludf.DUMMYFUNCTION("""COMPUTED_VALUE"""),"M. 16189/ Sukarame")</f>
        <v>M. 16189/ Sukarame</v>
      </c>
      <c r="D2310" s="7" t="str">
        <f>IFERROR(__xludf.DUMMYFUNCTION("""COMPUTED_VALUE"""),"David")</f>
        <v>David</v>
      </c>
      <c r="E2310" s="7" t="str">
        <f>IFERROR(__xludf.DUMMYFUNCTION("""COMPUTED_VALUE"""),"DISERAHKAN")</f>
        <v>DISERAHKAN</v>
      </c>
      <c r="F2310" s="9">
        <f>IFERROR(__xludf.DUMMYFUNCTION("""COMPUTED_VALUE"""),45644.699750520835)</f>
        <v>45644.69975</v>
      </c>
      <c r="G2310" s="7" t="str">
        <f>IFERROR(__xludf.DUMMYFUNCTION("""COMPUTED_VALUE"""),"BN JUAL BELI")</f>
        <v>BN JUAL BELI</v>
      </c>
      <c r="H2310" s="7">
        <f t="shared" si="1"/>
        <v>925</v>
      </c>
    </row>
    <row r="2311" ht="22.5" customHeight="1">
      <c r="B2311" s="7" t="str">
        <f>IFERROR(__xludf.DUMMYFUNCTION("""COMPUTED_VALUE"""),"K/9/181224/1")</f>
        <v>K/9/181224/1</v>
      </c>
      <c r="C2311" s="7" t="str">
        <f>IFERROR(__xludf.DUMMYFUNCTION("""COMPUTED_VALUE"""),"B.609/SUMBER AGUNG")</f>
        <v>B.609/SUMBER AGUNG</v>
      </c>
      <c r="D2311" s="7" t="str">
        <f>IFERROR(__xludf.DUMMYFUNCTION("""COMPUTED_VALUE"""),"David")</f>
        <v>David</v>
      </c>
      <c r="E2311" s="7" t="str">
        <f>IFERROR(__xludf.DUMMYFUNCTION("""COMPUTED_VALUE"""),"DISERAHKAN")</f>
        <v>DISERAHKAN</v>
      </c>
      <c r="F2311" s="9">
        <f>IFERROR(__xludf.DUMMYFUNCTION("""COMPUTED_VALUE"""),45644.69984234954)</f>
        <v>45644.69984</v>
      </c>
      <c r="G2311" s="7" t="str">
        <f>IFERROR(__xludf.DUMMYFUNCTION("""COMPUTED_VALUE"""),"BN JUAL BELI")</f>
        <v>BN JUAL BELI</v>
      </c>
      <c r="H2311" s="7">
        <f t="shared" si="1"/>
        <v>926</v>
      </c>
    </row>
    <row r="2312" ht="22.5" customHeight="1">
      <c r="B2312" s="7" t="str">
        <f>IFERROR(__xludf.DUMMYFUNCTION("""COMPUTED_VALUE"""),"K/8/181224/1")</f>
        <v>K/8/181224/1</v>
      </c>
      <c r="C2312" s="7" t="str">
        <f>IFERROR(__xludf.DUMMYFUNCTION("""COMPUTED_VALUE"""),"M. 2313/ Sukamaju")</f>
        <v>M. 2313/ Sukamaju</v>
      </c>
      <c r="D2312" s="7" t="str">
        <f>IFERROR(__xludf.DUMMYFUNCTION("""COMPUTED_VALUE"""),"Berry")</f>
        <v>Berry</v>
      </c>
      <c r="E2312" s="7" t="str">
        <f>IFERROR(__xludf.DUMMYFUNCTION("""COMPUTED_VALUE"""),"PROSES")</f>
        <v>PROSES</v>
      </c>
      <c r="F2312" s="9" t="str">
        <f>IFERROR(__xludf.DUMMYFUNCTION("""COMPUTED_VALUE"""),"")</f>
        <v/>
      </c>
      <c r="G2312" s="7" t="str">
        <f>IFERROR(__xludf.DUMMYFUNCTION("""COMPUTED_VALUE"""),"BN Jual Beli")</f>
        <v>BN Jual Beli</v>
      </c>
      <c r="H2312" s="7">
        <f t="shared" si="1"/>
        <v>926</v>
      </c>
    </row>
    <row r="2313" ht="22.5" customHeight="1">
      <c r="B2313" s="7" t="str">
        <f>IFERROR(__xludf.DUMMYFUNCTION("""COMPUTED_VALUE"""),"K/10/181224/2")</f>
        <v>K/10/181224/2</v>
      </c>
      <c r="C2313" s="7" t="str">
        <f>IFERROR(__xludf.DUMMYFUNCTION("""COMPUTED_VALUE"""),"B.625/SUMBER AGUNG")</f>
        <v>B.625/SUMBER AGUNG</v>
      </c>
      <c r="D2313" s="7"/>
      <c r="E2313" s="7"/>
      <c r="F2313" s="9" t="str">
        <f>IFERROR(__xludf.DUMMYFUNCTION("""COMPUTED_VALUE"""),"")</f>
        <v/>
      </c>
      <c r="G2313" s="7" t="str">
        <f>IFERROR(__xludf.DUMMYFUNCTION("""COMPUTED_VALUE"""),"BN JUAL BELI")</f>
        <v>BN JUAL BELI</v>
      </c>
      <c r="H2313" s="7">
        <f t="shared" si="1"/>
        <v>926</v>
      </c>
    </row>
    <row r="2314" ht="22.5" customHeight="1">
      <c r="B2314" s="7" t="str">
        <f>IFERROR(__xludf.DUMMYFUNCTION("""COMPUTED_VALUE"""),"L/11/181224/1")</f>
        <v>L/11/181224/1</v>
      </c>
      <c r="C2314" s="7" t="str">
        <f>IFERROR(__xludf.DUMMYFUNCTION("""COMPUTED_VALUE"""),"HGB 98/PINANG JAYA")</f>
        <v>HGB 98/PINANG JAYA</v>
      </c>
      <c r="D2314" s="7" t="str">
        <f>IFERROR(__xludf.DUMMYFUNCTION("""COMPUTED_VALUE"""),"Berry")</f>
        <v>Berry</v>
      </c>
      <c r="E2314" s="7" t="str">
        <f>IFERROR(__xludf.DUMMYFUNCTION("""COMPUTED_VALUE"""),"DISERAHKAN")</f>
        <v>DISERAHKAN</v>
      </c>
      <c r="F2314" s="9">
        <f>IFERROR(__xludf.DUMMYFUNCTION("""COMPUTED_VALUE"""),45645.677614722226)</f>
        <v>45645.67761</v>
      </c>
      <c r="G2314" s="7" t="str">
        <f>IFERROR(__xludf.DUMMYFUNCTION("""COMPUTED_VALUE"""),"PH")</f>
        <v>PH</v>
      </c>
      <c r="H2314" s="7">
        <f t="shared" si="1"/>
        <v>927</v>
      </c>
    </row>
    <row r="2315" ht="22.5" customHeight="1">
      <c r="B2315" s="7" t="str">
        <f>IFERROR(__xludf.DUMMYFUNCTION("""COMPUTED_VALUE"""),"K/12/181224/1")</f>
        <v>K/12/181224/1</v>
      </c>
      <c r="C2315" s="7" t="str">
        <f>IFERROR(__xludf.DUMMYFUNCTION("""COMPUTED_VALUE"""),"M. 4224/ Langkapura")</f>
        <v>M. 4224/ Langkapura</v>
      </c>
      <c r="D2315" s="7" t="str">
        <f>IFERROR(__xludf.DUMMYFUNCTION("""COMPUTED_VALUE"""),"Berry")</f>
        <v>Berry</v>
      </c>
      <c r="E2315" s="7" t="str">
        <f>IFERROR(__xludf.DUMMYFUNCTION("""COMPUTED_VALUE"""),"PROSES")</f>
        <v>PROSES</v>
      </c>
      <c r="F2315" s="9" t="str">
        <f>IFERROR(__xludf.DUMMYFUNCTION("""COMPUTED_VALUE"""),"")</f>
        <v/>
      </c>
      <c r="G2315" s="7" t="str">
        <f>IFERROR(__xludf.DUMMYFUNCTION("""COMPUTED_VALUE"""),"S. Hilang")</f>
        <v>S. Hilang</v>
      </c>
      <c r="H2315" s="7">
        <f t="shared" si="1"/>
        <v>927</v>
      </c>
    </row>
    <row r="2316" ht="22.5" customHeight="1">
      <c r="B2316" s="7" t="str">
        <f>IFERROR(__xludf.DUMMYFUNCTION("""COMPUTED_VALUE"""),"K/13/181224/1")</f>
        <v>K/13/181224/1</v>
      </c>
      <c r="C2316" s="7" t="str">
        <f>IFERROR(__xludf.DUMMYFUNCTION("""COMPUTED_VALUE"""),"M. 5168/ Tanjung Senang")</f>
        <v>M. 5168/ Tanjung Senang</v>
      </c>
      <c r="D2316" s="7" t="str">
        <f>IFERROR(__xludf.DUMMYFUNCTION("""COMPUTED_VALUE"""),"Berry")</f>
        <v>Berry</v>
      </c>
      <c r="E2316" s="7" t="str">
        <f>IFERROR(__xludf.DUMMYFUNCTION("""COMPUTED_VALUE"""),"DISERAHKAN")</f>
        <v>DISERAHKAN</v>
      </c>
      <c r="F2316" s="9">
        <f>IFERROR(__xludf.DUMMYFUNCTION("""COMPUTED_VALUE"""),45645.67812935185)</f>
        <v>45645.67813</v>
      </c>
      <c r="G2316" s="7" t="str">
        <f>IFERROR(__xludf.DUMMYFUNCTION("""COMPUTED_VALUE"""),"ROYA")</f>
        <v>ROYA</v>
      </c>
      <c r="H2316" s="7">
        <f t="shared" si="1"/>
        <v>928</v>
      </c>
    </row>
    <row r="2317" ht="22.5" customHeight="1">
      <c r="B2317" s="7" t="str">
        <f>IFERROR(__xludf.DUMMYFUNCTION("""COMPUTED_VALUE"""),"K/17/181224/1")</f>
        <v>K/17/181224/1</v>
      </c>
      <c r="C2317" s="7" t="str">
        <f>IFERROR(__xludf.DUMMYFUNCTION("""COMPUTED_VALUE"""),"M.1114/LANGKAPURA")</f>
        <v>M.1114/LANGKAPURA</v>
      </c>
      <c r="D2317" s="7" t="str">
        <f>IFERROR(__xludf.DUMMYFUNCTION("""COMPUTED_VALUE"""),"Berry")</f>
        <v>Berry</v>
      </c>
      <c r="E2317" s="7" t="str">
        <f>IFERROR(__xludf.DUMMYFUNCTION("""COMPUTED_VALUE"""),"PROSES")</f>
        <v>PROSES</v>
      </c>
      <c r="F2317" s="9" t="str">
        <f>IFERROR(__xludf.DUMMYFUNCTION("""COMPUTED_VALUE"""),"")</f>
        <v/>
      </c>
      <c r="G2317" s="7" t="str">
        <f>IFERROR(__xludf.DUMMYFUNCTION("""COMPUTED_VALUE"""),"HIBAH")</f>
        <v>HIBAH</v>
      </c>
      <c r="H2317" s="7">
        <f t="shared" si="1"/>
        <v>928</v>
      </c>
    </row>
    <row r="2318" ht="22.5" customHeight="1">
      <c r="B2318" s="7" t="str">
        <f>IFERROR(__xludf.DUMMYFUNCTION("""COMPUTED_VALUE"""),"K/14/181224/1")</f>
        <v>K/14/181224/1</v>
      </c>
      <c r="C2318" s="7" t="str">
        <f>IFERROR(__xludf.DUMMYFUNCTION("""COMPUTED_VALUE"""),"B.342/RAJABASA NUNYAI")</f>
        <v>B.342/RAJABASA NUNYAI</v>
      </c>
      <c r="D2318" s="7" t="str">
        <f>IFERROR(__xludf.DUMMYFUNCTION("""COMPUTED_VALUE"""),"Berry")</f>
        <v>Berry</v>
      </c>
      <c r="E2318" s="7" t="str">
        <f>IFERROR(__xludf.DUMMYFUNCTION("""COMPUTED_VALUE"""),"DISERAHKAN")</f>
        <v>DISERAHKAN</v>
      </c>
      <c r="F2318" s="9">
        <f>IFERROR(__xludf.DUMMYFUNCTION("""COMPUTED_VALUE"""),45645.67853255787)</f>
        <v>45645.67853</v>
      </c>
      <c r="G2318" s="7" t="str">
        <f>IFERROR(__xludf.DUMMYFUNCTION("""COMPUTED_VALUE"""),"BN JUAL BELI")</f>
        <v>BN JUAL BELI</v>
      </c>
      <c r="H2318" s="7">
        <f t="shared" si="1"/>
        <v>929</v>
      </c>
    </row>
    <row r="2319" ht="22.5" customHeight="1">
      <c r="B2319" s="7" t="str">
        <f>IFERROR(__xludf.DUMMYFUNCTION("""COMPUTED_VALUE"""),"K/18/181224/2")</f>
        <v>K/18/181224/2</v>
      </c>
      <c r="C2319" s="7" t="str">
        <f>IFERROR(__xludf.DUMMYFUNCTION("""COMPUTED_VALUE"""),"M.1001/LANGKAPURA")</f>
        <v>M.1001/LANGKAPURA</v>
      </c>
      <c r="D2319" s="7"/>
      <c r="E2319" s="7"/>
      <c r="F2319" s="9" t="str">
        <f>IFERROR(__xludf.DUMMYFUNCTION("""COMPUTED_VALUE"""),"")</f>
        <v/>
      </c>
      <c r="G2319" s="7" t="str">
        <f>IFERROR(__xludf.DUMMYFUNCTION("""COMPUTED_VALUE"""),"HIBAH")</f>
        <v>HIBAH</v>
      </c>
      <c r="H2319" s="7">
        <f t="shared" si="1"/>
        <v>929</v>
      </c>
    </row>
    <row r="2320" ht="22.5" customHeight="1">
      <c r="B2320" s="7" t="str">
        <f>IFERROR(__xludf.DUMMYFUNCTION("""COMPUTED_VALUE"""),"K/15/181224/2")</f>
        <v>K/15/181224/2</v>
      </c>
      <c r="C2320" s="7" t="str">
        <f>IFERROR(__xludf.DUMMYFUNCTION("""COMPUTED_VALUE"""),"B.329/RAJABASA NUNYAI")</f>
        <v>B.329/RAJABASA NUNYAI</v>
      </c>
      <c r="D2320" s="7"/>
      <c r="E2320" s="7"/>
      <c r="F2320" s="9" t="str">
        <f>IFERROR(__xludf.DUMMYFUNCTION("""COMPUTED_VALUE"""),"")</f>
        <v/>
      </c>
      <c r="G2320" s="7" t="str">
        <f>IFERROR(__xludf.DUMMYFUNCTION("""COMPUTED_VALUE"""),"BN JUAL BELI")</f>
        <v>BN JUAL BELI</v>
      </c>
      <c r="H2320" s="7">
        <f t="shared" si="1"/>
        <v>929</v>
      </c>
    </row>
    <row r="2321" ht="22.5" customHeight="1">
      <c r="B2321" s="7" t="str">
        <f>IFERROR(__xludf.DUMMYFUNCTION("""COMPUTED_VALUE"""),"K/19/181224/1")</f>
        <v>K/19/181224/1</v>
      </c>
      <c r="C2321" s="7" t="str">
        <f>IFERROR(__xludf.DUMMYFUNCTION("""COMPUTED_VALUE"""),"Nibel 2554/ Rajabasa Raya")</f>
        <v>Nibel 2554/ Rajabasa Raya</v>
      </c>
      <c r="D2321" s="7" t="str">
        <f>IFERROR(__xludf.DUMMYFUNCTION("""COMPUTED_VALUE"""),"Berry")</f>
        <v>Berry</v>
      </c>
      <c r="E2321" s="7" t="str">
        <f>IFERROR(__xludf.DUMMYFUNCTION("""COMPUTED_VALUE"""),"DISERAHKAN")</f>
        <v>DISERAHKAN</v>
      </c>
      <c r="F2321" s="9">
        <f>IFERROR(__xludf.DUMMYFUNCTION("""COMPUTED_VALUE"""),45645.67882850695)</f>
        <v>45645.67883</v>
      </c>
      <c r="G2321" s="7" t="str">
        <f>IFERROR(__xludf.DUMMYFUNCTION("""COMPUTED_VALUE"""),"BN HIBAH")</f>
        <v>BN HIBAH</v>
      </c>
      <c r="H2321" s="7">
        <f t="shared" si="1"/>
        <v>930</v>
      </c>
    </row>
    <row r="2322" ht="22.5" customHeight="1">
      <c r="B2322" s="7" t="str">
        <f>IFERROR(__xludf.DUMMYFUNCTION("""COMPUTED_VALUE"""),"K/21/181224/1")</f>
        <v>K/21/181224/1</v>
      </c>
      <c r="C2322" s="7" t="str">
        <f>IFERROR(__xludf.DUMMYFUNCTION("""COMPUTED_VALUE"""),"M. 1830/ Panjang Selatan")</f>
        <v>M. 1830/ Panjang Selatan</v>
      </c>
      <c r="D2322" s="7"/>
      <c r="E2322" s="7"/>
      <c r="F2322" s="9" t="str">
        <f>IFERROR(__xludf.DUMMYFUNCTION("""COMPUTED_VALUE"""),"")</f>
        <v/>
      </c>
      <c r="G2322" s="7" t="str">
        <f>IFERROR(__xludf.DUMMYFUNCTION("""COMPUTED_VALUE"""),"Ploting")</f>
        <v>Ploting</v>
      </c>
      <c r="H2322" s="7">
        <f t="shared" si="1"/>
        <v>930</v>
      </c>
    </row>
    <row r="2323" ht="22.5" customHeight="1">
      <c r="B2323" s="7" t="str">
        <f>IFERROR(__xludf.DUMMYFUNCTION("""COMPUTED_VALUE"""),"K/16/181224/3")</f>
        <v>K/16/181224/3</v>
      </c>
      <c r="C2323" s="7" t="str">
        <f>IFERROR(__xludf.DUMMYFUNCTION("""COMPUTED_VALUE"""),"B.328/RAJABASA NUNYAI")</f>
        <v>B.328/RAJABASA NUNYAI</v>
      </c>
      <c r="D2323" s="7" t="str">
        <f>IFERROR(__xludf.DUMMYFUNCTION("""COMPUTED_VALUE"""),"Berry")</f>
        <v>Berry</v>
      </c>
      <c r="E2323" s="7" t="str">
        <f>IFERROR(__xludf.DUMMYFUNCTION("""COMPUTED_VALUE"""),"PROSES")</f>
        <v>PROSES</v>
      </c>
      <c r="F2323" s="9" t="str">
        <f>IFERROR(__xludf.DUMMYFUNCTION("""COMPUTED_VALUE"""),"")</f>
        <v/>
      </c>
      <c r="G2323" s="7" t="str">
        <f>IFERROR(__xludf.DUMMYFUNCTION("""COMPUTED_VALUE"""),"BN JUAL BELI")</f>
        <v>BN JUAL BELI</v>
      </c>
      <c r="H2323" s="7">
        <f t="shared" si="1"/>
        <v>930</v>
      </c>
    </row>
    <row r="2324" ht="22.5" customHeight="1">
      <c r="B2324" s="7" t="str">
        <f>IFERROR(__xludf.DUMMYFUNCTION("""COMPUTED_VALUE"""),"K/22/181224/1")</f>
        <v>K/22/181224/1</v>
      </c>
      <c r="C2324" s="7" t="str">
        <f>IFERROR(__xludf.DUMMYFUNCTION("""COMPUTED_VALUE"""),"B. 1746/ SUKARAME")</f>
        <v>B. 1746/ SUKARAME</v>
      </c>
      <c r="D2324" s="7"/>
      <c r="E2324" s="7"/>
      <c r="F2324" s="9" t="str">
        <f>IFERROR(__xludf.DUMMYFUNCTION("""COMPUTED_VALUE"""),"")</f>
        <v/>
      </c>
      <c r="G2324" s="7" t="str">
        <f>IFERROR(__xludf.DUMMYFUNCTION("""COMPUTED_VALUE"""),"PENGECEKAN")</f>
        <v>PENGECEKAN</v>
      </c>
      <c r="H2324" s="7">
        <f t="shared" si="1"/>
        <v>930</v>
      </c>
    </row>
    <row r="2325" ht="22.5" customHeight="1">
      <c r="B2325" s="7" t="str">
        <f>IFERROR(__xludf.DUMMYFUNCTION("""COMPUTED_VALUE"""),"K/23/181224/1")</f>
        <v>K/23/181224/1</v>
      </c>
      <c r="C2325" s="7" t="str">
        <f>IFERROR(__xludf.DUMMYFUNCTION("""COMPUTED_VALUE"""),"M. 3180/ Kota Baru")</f>
        <v>M. 3180/ Kota Baru</v>
      </c>
      <c r="D2325" s="7"/>
      <c r="E2325" s="7"/>
      <c r="F2325" s="9" t="str">
        <f>IFERROR(__xludf.DUMMYFUNCTION("""COMPUTED_VALUE"""),"")</f>
        <v/>
      </c>
      <c r="G2325" s="7" t="str">
        <f>IFERROR(__xludf.DUMMYFUNCTION("""COMPUTED_VALUE"""),"Roya")</f>
        <v>Roya</v>
      </c>
      <c r="H2325" s="7">
        <f t="shared" si="1"/>
        <v>930</v>
      </c>
    </row>
    <row r="2326" ht="22.5" customHeight="1">
      <c r="B2326" s="7" t="str">
        <f>IFERROR(__xludf.DUMMYFUNCTION("""COMPUTED_VALUE"""),"K/24/181224/1")</f>
        <v>K/24/181224/1</v>
      </c>
      <c r="C2326" s="7" t="str">
        <f>IFERROR(__xludf.DUMMYFUNCTION("""COMPUTED_VALUE"""),"M.1291/PINANG JAYA")</f>
        <v>M.1291/PINANG JAYA</v>
      </c>
      <c r="D2326" s="7"/>
      <c r="E2326" s="7"/>
      <c r="F2326" s="9" t="str">
        <f>IFERROR(__xludf.DUMMYFUNCTION("""COMPUTED_VALUE"""),"")</f>
        <v/>
      </c>
      <c r="G2326" s="7" t="str">
        <f>IFERROR(__xludf.DUMMYFUNCTION("""COMPUTED_VALUE"""),"PEMBATALAN SURAT UKUR")</f>
        <v>PEMBATALAN SURAT UKUR</v>
      </c>
      <c r="H2326" s="7">
        <f t="shared" si="1"/>
        <v>930</v>
      </c>
    </row>
    <row r="2327" ht="22.5" customHeight="1">
      <c r="B2327" s="7" t="str">
        <f>IFERROR(__xludf.DUMMYFUNCTION("""COMPUTED_VALUE"""),"K/20/181224/2")</f>
        <v>K/20/181224/2</v>
      </c>
      <c r="C2327" s="7" t="str">
        <f>IFERROR(__xludf.DUMMYFUNCTION("""COMPUTED_VALUE"""),"Nibel 11702/ Bakung")</f>
        <v>Nibel 11702/ Bakung</v>
      </c>
      <c r="D2327" s="7"/>
      <c r="E2327" s="7"/>
      <c r="F2327" s="9" t="str">
        <f>IFERROR(__xludf.DUMMYFUNCTION("""COMPUTED_VALUE"""),"")</f>
        <v/>
      </c>
      <c r="G2327" s="7" t="str">
        <f>IFERROR(__xludf.DUMMYFUNCTION("""COMPUTED_VALUE"""),"PERUBAHAN HAK")</f>
        <v>PERUBAHAN HAK</v>
      </c>
      <c r="H2327" s="7">
        <f t="shared" si="1"/>
        <v>930</v>
      </c>
    </row>
    <row r="2328" ht="22.5" customHeight="1">
      <c r="B2328" s="7" t="str">
        <f>IFERROR(__xludf.DUMMYFUNCTION("""COMPUTED_VALUE"""),"L/25/181224/1")</f>
        <v>L/25/181224/1</v>
      </c>
      <c r="C2328" s="7" t="str">
        <f>IFERROR(__xludf.DUMMYFUNCTION("""COMPUTED_VALUE"""),"NIB 761/SUKARAME BARU")</f>
        <v>NIB 761/SUKARAME BARU</v>
      </c>
      <c r="D2328" s="7" t="str">
        <f>IFERROR(__xludf.DUMMYFUNCTION("""COMPUTED_VALUE"""),"Berry")</f>
        <v>Berry</v>
      </c>
      <c r="E2328" s="7" t="str">
        <f>IFERROR(__xludf.DUMMYFUNCTION("""COMPUTED_VALUE"""),"PROSES")</f>
        <v>PROSES</v>
      </c>
      <c r="F2328" s="9" t="str">
        <f>IFERROR(__xludf.DUMMYFUNCTION("""COMPUTED_VALUE"""),"")</f>
        <v/>
      </c>
      <c r="G2328" s="7" t="str">
        <f>IFERROR(__xludf.DUMMYFUNCTION("""COMPUTED_VALUE"""),"BN LELANG")</f>
        <v>BN LELANG</v>
      </c>
      <c r="H2328" s="7">
        <f t="shared" si="1"/>
        <v>930</v>
      </c>
    </row>
    <row r="2329" ht="22.5" customHeight="1">
      <c r="B2329" s="7" t="str">
        <f>IFERROR(__xludf.DUMMYFUNCTION("""COMPUTED_VALUE"""),"K/26/181224/1")</f>
        <v>K/26/181224/1</v>
      </c>
      <c r="C2329" s="7" t="str">
        <f>IFERROR(__xludf.DUMMYFUNCTION("""COMPUTED_VALUE"""),"Nibel. M. 5444/ K B K")</f>
        <v>Nibel. M. 5444/ K B K</v>
      </c>
      <c r="D2329" s="7" t="str">
        <f>IFERROR(__xludf.DUMMYFUNCTION("""COMPUTED_VALUE"""),"Berry")</f>
        <v>Berry</v>
      </c>
      <c r="E2329" s="7" t="str">
        <f>IFERROR(__xludf.DUMMYFUNCTION("""COMPUTED_VALUE"""),"PROSES")</f>
        <v>PROSES</v>
      </c>
      <c r="F2329" s="9" t="str">
        <f>IFERROR(__xludf.DUMMYFUNCTION("""COMPUTED_VALUE"""),"")</f>
        <v/>
      </c>
      <c r="G2329" s="7" t="str">
        <f>IFERROR(__xludf.DUMMYFUNCTION("""COMPUTED_VALUE"""),"BN Jual Beli")</f>
        <v>BN Jual Beli</v>
      </c>
      <c r="H2329" s="7">
        <f t="shared" si="1"/>
        <v>930</v>
      </c>
    </row>
    <row r="2330" ht="22.5" customHeight="1">
      <c r="B2330" s="7" t="str">
        <f>IFERROR(__xludf.DUMMYFUNCTION("""COMPUTED_VALUE"""),"K/27/181224/1")</f>
        <v>K/27/181224/1</v>
      </c>
      <c r="C2330" s="7" t="str">
        <f>IFERROR(__xludf.DUMMYFUNCTION("""COMPUTED_VALUE"""),"B.1369/KEMILING PERMAI")</f>
        <v>B.1369/KEMILING PERMAI</v>
      </c>
      <c r="D2330" s="7" t="str">
        <f>IFERROR(__xludf.DUMMYFUNCTION("""COMPUTED_VALUE"""),"Berry")</f>
        <v>Berry</v>
      </c>
      <c r="E2330" s="7" t="str">
        <f>IFERROR(__xludf.DUMMYFUNCTION("""COMPUTED_VALUE"""),"DISERAHKAN")</f>
        <v>DISERAHKAN</v>
      </c>
      <c r="F2330" s="9">
        <f>IFERROR(__xludf.DUMMYFUNCTION("""COMPUTED_VALUE"""),45645.683322094905)</f>
        <v>45645.68332</v>
      </c>
      <c r="G2330" s="7" t="str">
        <f>IFERROR(__xludf.DUMMYFUNCTION("""COMPUTED_VALUE"""),"BN JUAL BELI")</f>
        <v>BN JUAL BELI</v>
      </c>
      <c r="H2330" s="7">
        <f t="shared" si="1"/>
        <v>931</v>
      </c>
    </row>
    <row r="2331" ht="22.5" customHeight="1">
      <c r="B2331" s="7" t="str">
        <f>IFERROR(__xludf.DUMMYFUNCTION("""COMPUTED_VALUE"""),"K/28/181224/1")</f>
        <v>K/28/181224/1</v>
      </c>
      <c r="C2331" s="7" t="str">
        <f>IFERROR(__xludf.DUMMYFUNCTION("""COMPUTED_VALUE"""),"M.3239/LABUHAN DALAM")</f>
        <v>M.3239/LABUHAN DALAM</v>
      </c>
      <c r="D2331" s="7"/>
      <c r="E2331" s="7"/>
      <c r="F2331" s="9" t="str">
        <f>IFERROR(__xludf.DUMMYFUNCTION("""COMPUTED_VALUE"""),"")</f>
        <v/>
      </c>
      <c r="G2331" s="7" t="str">
        <f>IFERROR(__xludf.DUMMYFUNCTION("""COMPUTED_VALUE"""),"BN JUAL BELI")</f>
        <v>BN JUAL BELI</v>
      </c>
      <c r="H2331" s="7">
        <f t="shared" si="1"/>
        <v>931</v>
      </c>
    </row>
    <row r="2332" ht="22.5" customHeight="1">
      <c r="B2332" s="7" t="str">
        <f>IFERROR(__xludf.DUMMYFUNCTION("""COMPUTED_VALUE"""),"K/29/181224/2")</f>
        <v>K/29/181224/2</v>
      </c>
      <c r="C2332" s="7" t="str">
        <f>IFERROR(__xludf.DUMMYFUNCTION("""COMPUTED_VALUE"""),"M.1574/KEMILING RAYA")</f>
        <v>M.1574/KEMILING RAYA</v>
      </c>
      <c r="D2332" s="7" t="str">
        <f>IFERROR(__xludf.DUMMYFUNCTION("""COMPUTED_VALUE"""),"David")</f>
        <v>David</v>
      </c>
      <c r="E2332" s="7" t="str">
        <f>IFERROR(__xludf.DUMMYFUNCTION("""COMPUTED_VALUE"""),"DISERAHKAN BT")</f>
        <v>DISERAHKAN BT</v>
      </c>
      <c r="F2332" s="9">
        <f>IFERROR(__xludf.DUMMYFUNCTION("""COMPUTED_VALUE"""),45645.68012482639)</f>
        <v>45645.68012</v>
      </c>
      <c r="G2332" s="7" t="str">
        <f>IFERROR(__xludf.DUMMYFUNCTION("""COMPUTED_VALUE"""),"BN JUAL BELI")</f>
        <v>BN JUAL BELI</v>
      </c>
      <c r="H2332" s="7">
        <f t="shared" si="1"/>
        <v>931</v>
      </c>
    </row>
    <row r="2333" ht="22.5" customHeight="1">
      <c r="B2333" s="7" t="str">
        <f>IFERROR(__xludf.DUMMYFUNCTION("""COMPUTED_VALUE"""),"K/31/181224/1")</f>
        <v>K/31/181224/1</v>
      </c>
      <c r="C2333" s="7" t="str">
        <f>IFERROR(__xludf.DUMMYFUNCTION("""COMPUTED_VALUE"""),"Nibel 9370/ Tanjung Senang")</f>
        <v>Nibel 9370/ Tanjung Senang</v>
      </c>
      <c r="D2333" s="7"/>
      <c r="E2333" s="7"/>
      <c r="F2333" s="9" t="str">
        <f>IFERROR(__xludf.DUMMYFUNCTION("""COMPUTED_VALUE"""),"")</f>
        <v/>
      </c>
      <c r="G2333" s="7" t="str">
        <f>IFERROR(__xludf.DUMMYFUNCTION("""COMPUTED_VALUE"""),"BN WARIS")</f>
        <v>BN WARIS</v>
      </c>
      <c r="H2333" s="7">
        <f t="shared" si="1"/>
        <v>931</v>
      </c>
    </row>
    <row r="2334" ht="22.5" customHeight="1">
      <c r="B2334" s="7" t="str">
        <f>IFERROR(__xludf.DUMMYFUNCTION("""COMPUTED_VALUE"""),"K/30/181224/1")</f>
        <v>K/30/181224/1</v>
      </c>
      <c r="C2334" s="7" t="str">
        <f>IFERROR(__xludf.DUMMYFUNCTION("""COMPUTED_VALUE"""),"M.233/CAMPANG JAYA")</f>
        <v>M.233/CAMPANG JAYA</v>
      </c>
      <c r="D2334" s="7" t="str">
        <f>IFERROR(__xludf.DUMMYFUNCTION("""COMPUTED_VALUE"""),"David")</f>
        <v>David</v>
      </c>
      <c r="E2334" s="7" t="str">
        <f>IFERROR(__xludf.DUMMYFUNCTION("""COMPUTED_VALUE"""),"DISERAHKAN")</f>
        <v>DISERAHKAN</v>
      </c>
      <c r="F2334" s="9">
        <f>IFERROR(__xludf.DUMMYFUNCTION("""COMPUTED_VALUE"""),45645.68116630787)</f>
        <v>45645.68117</v>
      </c>
      <c r="G2334" s="7" t="str">
        <f>IFERROR(__xludf.DUMMYFUNCTION("""COMPUTED_VALUE"""),"BN JUAL BELI")</f>
        <v>BN JUAL BELI</v>
      </c>
      <c r="H2334" s="7">
        <f t="shared" si="1"/>
        <v>932</v>
      </c>
    </row>
    <row r="2335" ht="22.5" customHeight="1">
      <c r="B2335" s="7" t="str">
        <f>IFERROR(__xludf.DUMMYFUNCTION("""COMPUTED_VALUE"""),"K/32/181224/1")</f>
        <v>K/32/181224/1</v>
      </c>
      <c r="C2335" s="7" t="str">
        <f>IFERROR(__xludf.DUMMYFUNCTION("""COMPUTED_VALUE"""),"Nibel 9351/ Way Kandis")</f>
        <v>Nibel 9351/ Way Kandis</v>
      </c>
      <c r="D2335" s="7" t="str">
        <f>IFERROR(__xludf.DUMMYFUNCTION("""COMPUTED_VALUE"""),"David")</f>
        <v>David</v>
      </c>
      <c r="E2335" s="7" t="str">
        <f>IFERROR(__xludf.DUMMYFUNCTION("""COMPUTED_VALUE"""),"DISERAHKAN")</f>
        <v>DISERAHKAN</v>
      </c>
      <c r="F2335" s="9">
        <f>IFERROR(__xludf.DUMMYFUNCTION("""COMPUTED_VALUE"""),45645.68126315973)</f>
        <v>45645.68126</v>
      </c>
      <c r="G2335" s="7" t="str">
        <f>IFERROR(__xludf.DUMMYFUNCTION("""COMPUTED_VALUE"""),"BN JUAL BELI")</f>
        <v>BN JUAL BELI</v>
      </c>
      <c r="H2335" s="7">
        <f t="shared" si="1"/>
        <v>933</v>
      </c>
    </row>
    <row r="2336" ht="22.5" customHeight="1">
      <c r="B2336" s="7" t="str">
        <f>IFERROR(__xludf.DUMMYFUNCTION("""COMPUTED_VALUE"""),"K/33/181224/1")</f>
        <v>K/33/181224/1</v>
      </c>
      <c r="C2336" s="7" t="str">
        <f>IFERROR(__xludf.DUMMYFUNCTION("""COMPUTED_VALUE"""),"B. 122 /RAJABASA RAYA-SEKARANG; B.348/RAJABASA-DAHULU;")</f>
        <v>B. 122 /RAJABASA RAYA-SEKARANG; B.348/RAJABASA-DAHULU;</v>
      </c>
      <c r="D2336" s="7" t="str">
        <f>IFERROR(__xludf.DUMMYFUNCTION("""COMPUTED_VALUE"""),"David")</f>
        <v>David</v>
      </c>
      <c r="E2336" s="7" t="str">
        <f>IFERROR(__xludf.DUMMYFUNCTION("""COMPUTED_VALUE"""),"DISERAHKAN")</f>
        <v>DISERAHKAN</v>
      </c>
      <c r="F2336" s="9">
        <f>IFERROR(__xludf.DUMMYFUNCTION("""COMPUTED_VALUE"""),45645.68135587963)</f>
        <v>45645.68136</v>
      </c>
      <c r="G2336" s="7" t="str">
        <f>IFERROR(__xludf.DUMMYFUNCTION("""COMPUTED_VALUE"""),"PENINGKATAN HAK")</f>
        <v>PENINGKATAN HAK</v>
      </c>
      <c r="H2336" s="7">
        <f t="shared" si="1"/>
        <v>934</v>
      </c>
    </row>
    <row r="2337" ht="22.5" customHeight="1">
      <c r="B2337" s="7" t="str">
        <f>IFERROR(__xludf.DUMMYFUNCTION("""COMPUTED_VALUE"""),"K/34/181224/1")</f>
        <v>K/34/181224/1</v>
      </c>
      <c r="C2337" s="7" t="str">
        <f>IFERROR(__xludf.DUMMYFUNCTION("""COMPUTED_VALUE"""),"M. 719/ Gunung Agung")</f>
        <v>M. 719/ Gunung Agung</v>
      </c>
      <c r="D2337" s="7" t="str">
        <f>IFERROR(__xludf.DUMMYFUNCTION("""COMPUTED_VALUE"""),"David")</f>
        <v>David</v>
      </c>
      <c r="E2337" s="7" t="str">
        <f>IFERROR(__xludf.DUMMYFUNCTION("""COMPUTED_VALUE"""),"DISERAHKAN")</f>
        <v>DISERAHKAN</v>
      </c>
      <c r="F2337" s="9">
        <f>IFERROR(__xludf.DUMMYFUNCTION("""COMPUTED_VALUE"""),45645.68144215278)</f>
        <v>45645.68144</v>
      </c>
      <c r="G2337" s="7" t="str">
        <f>IFERROR(__xludf.DUMMYFUNCTION("""COMPUTED_VALUE"""),"BN Jual Beli")</f>
        <v>BN Jual Beli</v>
      </c>
      <c r="H2337" s="7">
        <f t="shared" si="1"/>
        <v>935</v>
      </c>
    </row>
    <row r="2338" ht="22.5" customHeight="1">
      <c r="B2338" s="7" t="str">
        <f>IFERROR(__xludf.DUMMYFUNCTION("""COMPUTED_VALUE"""),"K/35/181224/2")</f>
        <v>K/35/181224/2</v>
      </c>
      <c r="C2338" s="7" t="str">
        <f>IFERROR(__xludf.DUMMYFUNCTION("""COMPUTED_VALUE"""),"M. 10491/ Kampung Baru")</f>
        <v>M. 10491/ Kampung Baru</v>
      </c>
      <c r="D2338" s="7" t="str">
        <f>IFERROR(__xludf.DUMMYFUNCTION("""COMPUTED_VALUE"""),"David")</f>
        <v>David</v>
      </c>
      <c r="E2338" s="7" t="str">
        <f>IFERROR(__xludf.DUMMYFUNCTION("""COMPUTED_VALUE"""),"PROSES")</f>
        <v>PROSES</v>
      </c>
      <c r="F2338" s="9" t="str">
        <f>IFERROR(__xludf.DUMMYFUNCTION("""COMPUTED_VALUE"""),"")</f>
        <v/>
      </c>
      <c r="G2338" s="7" t="str">
        <f>IFERROR(__xludf.DUMMYFUNCTION("""COMPUTED_VALUE"""),"BN Jual Beli")</f>
        <v>BN Jual Beli</v>
      </c>
      <c r="H2338" s="7">
        <f t="shared" si="1"/>
        <v>935</v>
      </c>
    </row>
    <row r="2339" ht="22.5" customHeight="1">
      <c r="B2339" s="7" t="str">
        <f>IFERROR(__xludf.DUMMYFUNCTION("""COMPUTED_VALUE"""),"K/36/181224/3")</f>
        <v>K/36/181224/3</v>
      </c>
      <c r="C2339" s="7" t="str">
        <f>IFERROR(__xludf.DUMMYFUNCTION("""COMPUTED_VALUE"""),"M. 5287/ Langkapura")</f>
        <v>M. 5287/ Langkapura</v>
      </c>
      <c r="D2339" s="7"/>
      <c r="E2339" s="7"/>
      <c r="F2339" s="9" t="str">
        <f>IFERROR(__xludf.DUMMYFUNCTION("""COMPUTED_VALUE"""),"")</f>
        <v/>
      </c>
      <c r="G2339" s="7" t="str">
        <f>IFERROR(__xludf.DUMMYFUNCTION("""COMPUTED_VALUE"""),"BN Jual Beli")</f>
        <v>BN Jual Beli</v>
      </c>
      <c r="H2339" s="7">
        <f t="shared" si="1"/>
        <v>935</v>
      </c>
    </row>
    <row r="2340" ht="22.5" customHeight="1">
      <c r="B2340" s="7" t="str">
        <f>IFERROR(__xludf.DUMMYFUNCTION("""COMPUTED_VALUE"""),"K/38/181224/1")</f>
        <v>K/38/181224/1</v>
      </c>
      <c r="C2340" s="7" t="str">
        <f>IFERROR(__xludf.DUMMYFUNCTION("""COMPUTED_VALUE"""),"M.471/KOTA SEPANG-SEKARANG; M.9885/KEDATON-DAHULU")</f>
        <v>M.471/KOTA SEPANG-SEKARANG; M.9885/KEDATON-DAHULU</v>
      </c>
      <c r="D2340" s="7"/>
      <c r="E2340" s="7"/>
      <c r="F2340" s="9" t="str">
        <f>IFERROR(__xludf.DUMMYFUNCTION("""COMPUTED_VALUE"""),"")</f>
        <v/>
      </c>
      <c r="G2340" s="7" t="str">
        <f>IFERROR(__xludf.DUMMYFUNCTION("""COMPUTED_VALUE"""),"KEWARISAN")</f>
        <v>KEWARISAN</v>
      </c>
      <c r="H2340" s="7">
        <f t="shared" si="1"/>
        <v>935</v>
      </c>
    </row>
    <row r="2341" ht="22.5" customHeight="1">
      <c r="B2341" s="7" t="str">
        <f>IFERROR(__xludf.DUMMYFUNCTION("""COMPUTED_VALUE"""),"K/41/181224/3")</f>
        <v>K/41/181224/3</v>
      </c>
      <c r="C2341" s="7" t="str">
        <f>IFERROR(__xludf.DUMMYFUNCTION("""COMPUTED_VALUE"""),"M. 1658/ Kemiling Permai")</f>
        <v>M. 1658/ Kemiling Permai</v>
      </c>
      <c r="D2341" s="7" t="str">
        <f>IFERROR(__xludf.DUMMYFUNCTION("""COMPUTED_VALUE"""),"David")</f>
        <v>David</v>
      </c>
      <c r="E2341" s="7" t="str">
        <f>IFERROR(__xludf.DUMMYFUNCTION("""COMPUTED_VALUE"""),"PROSES")</f>
        <v>PROSES</v>
      </c>
      <c r="F2341" s="9" t="str">
        <f>IFERROR(__xludf.DUMMYFUNCTION("""COMPUTED_VALUE"""),"")</f>
        <v/>
      </c>
      <c r="G2341" s="7" t="str">
        <f>IFERROR(__xludf.DUMMYFUNCTION("""COMPUTED_VALUE"""),"Ploting")</f>
        <v>Ploting</v>
      </c>
      <c r="H2341" s="7">
        <f t="shared" si="1"/>
        <v>935</v>
      </c>
    </row>
    <row r="2342" ht="22.5" customHeight="1">
      <c r="B2342" s="7" t="str">
        <f>IFERROR(__xludf.DUMMYFUNCTION("""COMPUTED_VALUE"""),"K/40/181224/2")</f>
        <v>K/40/181224/2</v>
      </c>
      <c r="C2342" s="7" t="str">
        <f>IFERROR(__xludf.DUMMYFUNCTION("""COMPUTED_VALUE"""),"Nibel. M. 2752/ Langkapura")</f>
        <v>Nibel. M. 2752/ Langkapura</v>
      </c>
      <c r="D2342" s="7"/>
      <c r="E2342" s="7"/>
      <c r="F2342" s="9" t="str">
        <f>IFERROR(__xludf.DUMMYFUNCTION("""COMPUTED_VALUE"""),"")</f>
        <v/>
      </c>
      <c r="G2342" s="7" t="str">
        <f>IFERROR(__xludf.DUMMYFUNCTION("""COMPUTED_VALUE"""),"BN Jual Beli")</f>
        <v>BN Jual Beli</v>
      </c>
      <c r="H2342" s="7">
        <f t="shared" si="1"/>
        <v>935</v>
      </c>
    </row>
    <row r="2343" ht="22.5" customHeight="1">
      <c r="B2343" s="7" t="str">
        <f>IFERROR(__xludf.DUMMYFUNCTION("""COMPUTED_VALUE"""),"K/39/181224/1")</f>
        <v>K/39/181224/1</v>
      </c>
      <c r="C2343" s="7" t="str">
        <f>IFERROR(__xludf.DUMMYFUNCTION("""COMPUTED_VALUE"""),"M. 5620/ Langkapura")</f>
        <v>M. 5620/ Langkapura</v>
      </c>
      <c r="D2343" s="7"/>
      <c r="E2343" s="7"/>
      <c r="F2343" s="9" t="str">
        <f>IFERROR(__xludf.DUMMYFUNCTION("""COMPUTED_VALUE"""),"")</f>
        <v/>
      </c>
      <c r="G2343" s="7" t="str">
        <f>IFERROR(__xludf.DUMMYFUNCTION("""COMPUTED_VALUE"""),"BN Jual Beli")</f>
        <v>BN Jual Beli</v>
      </c>
      <c r="H2343" s="7">
        <f t="shared" si="1"/>
        <v>935</v>
      </c>
    </row>
    <row r="2344" ht="22.5" customHeight="1">
      <c r="B2344" s="7" t="str">
        <f>IFERROR(__xludf.DUMMYFUNCTION("""COMPUTED_VALUE"""),"K/37/181224/1")</f>
        <v>K/37/181224/1</v>
      </c>
      <c r="C2344" s="7" t="str">
        <f>IFERROR(__xludf.DUMMYFUNCTION("""COMPUTED_VALUE"""),"M. 268/ Kaliawi Persada")</f>
        <v>M. 268/ Kaliawi Persada</v>
      </c>
      <c r="D2344" s="7"/>
      <c r="E2344" s="7"/>
      <c r="F2344" s="9" t="str">
        <f>IFERROR(__xludf.DUMMYFUNCTION("""COMPUTED_VALUE"""),"")</f>
        <v/>
      </c>
      <c r="G2344" s="7" t="str">
        <f>IFERROR(__xludf.DUMMYFUNCTION("""COMPUTED_VALUE"""),"HAPUS BPHTB")</f>
        <v>HAPUS BPHTB</v>
      </c>
      <c r="H2344" s="7">
        <f t="shared" si="1"/>
        <v>935</v>
      </c>
    </row>
    <row r="2345" ht="22.5" customHeight="1">
      <c r="B2345" s="7" t="str">
        <f>IFERROR(__xludf.DUMMYFUNCTION("""COMPUTED_VALUE"""),"K/42/181224/1")</f>
        <v>K/42/181224/1</v>
      </c>
      <c r="C2345" s="7" t="str">
        <f>IFERROR(__xludf.DUMMYFUNCTION("""COMPUTED_VALUE"""),"M. 4026/ Rajabasa Jaya")</f>
        <v>M. 4026/ Rajabasa Jaya</v>
      </c>
      <c r="D2345" s="7" t="str">
        <f>IFERROR(__xludf.DUMMYFUNCTION("""COMPUTED_VALUE"""),"David")</f>
        <v>David</v>
      </c>
      <c r="E2345" s="7" t="str">
        <f>IFERROR(__xludf.DUMMYFUNCTION("""COMPUTED_VALUE"""),"DISERAHKAN")</f>
        <v>DISERAHKAN</v>
      </c>
      <c r="F2345" s="9">
        <f>IFERROR(__xludf.DUMMYFUNCTION("""COMPUTED_VALUE"""),45645.68201395833)</f>
        <v>45645.68201</v>
      </c>
      <c r="G2345" s="7" t="str">
        <f>IFERROR(__xludf.DUMMYFUNCTION("""COMPUTED_VALUE"""),"PENGECEKKAN")</f>
        <v>PENGECEKKAN</v>
      </c>
      <c r="H2345" s="7">
        <f t="shared" si="1"/>
        <v>936</v>
      </c>
    </row>
    <row r="2346" ht="22.5" customHeight="1">
      <c r="B2346" s="7" t="str">
        <f>IFERROR(__xludf.DUMMYFUNCTION("""COMPUTED_VALUE"""),"L/44/181224/1")</f>
        <v>L/44/181224/1</v>
      </c>
      <c r="C2346" s="7" t="str">
        <f>IFERROR(__xludf.DUMMYFUNCTION("""COMPUTED_VALUE"""),"HGB 698/TANJUNG BARU")</f>
        <v>HGB 698/TANJUNG BARU</v>
      </c>
      <c r="D2346" s="7" t="str">
        <f>IFERROR(__xludf.DUMMYFUNCTION("""COMPUTED_VALUE"""),"David")</f>
        <v>David</v>
      </c>
      <c r="E2346" s="7" t="str">
        <f>IFERROR(__xludf.DUMMYFUNCTION("""COMPUTED_VALUE"""),"PROSES")</f>
        <v>PROSES</v>
      </c>
      <c r="F2346" s="9" t="str">
        <f>IFERROR(__xludf.DUMMYFUNCTION("""COMPUTED_VALUE"""),"")</f>
        <v/>
      </c>
      <c r="G2346" s="7" t="str">
        <f>IFERROR(__xludf.DUMMYFUNCTION("""COMPUTED_VALUE"""),"GANDES")</f>
        <v>GANDES</v>
      </c>
      <c r="H2346" s="7">
        <f t="shared" si="1"/>
        <v>936</v>
      </c>
    </row>
    <row r="2347" ht="22.5" customHeight="1">
      <c r="B2347" s="7" t="str">
        <f>IFERROR(__xludf.DUMMYFUNCTION("""COMPUTED_VALUE"""),"K/43/181224/2")</f>
        <v>K/43/181224/2</v>
      </c>
      <c r="C2347" s="7" t="str">
        <f>IFERROR(__xludf.DUMMYFUNCTION("""COMPUTED_VALUE"""),"M. 1372/ Sukarame Baru")</f>
        <v>M. 1372/ Sukarame Baru</v>
      </c>
      <c r="D2347" s="7"/>
      <c r="E2347" s="7"/>
      <c r="F2347" s="9" t="str">
        <f>IFERROR(__xludf.DUMMYFUNCTION("""COMPUTED_VALUE"""),"")</f>
        <v/>
      </c>
      <c r="G2347" s="7" t="str">
        <f>IFERROR(__xludf.DUMMYFUNCTION("""COMPUTED_VALUE"""),"BN JUAL BELI")</f>
        <v>BN JUAL BELI</v>
      </c>
      <c r="H2347" s="7">
        <f t="shared" si="1"/>
        <v>936</v>
      </c>
    </row>
    <row r="2348" ht="22.5" customHeight="1">
      <c r="B2348" s="7" t="str">
        <f>IFERROR(__xludf.DUMMYFUNCTION("""COMPUTED_VALUE"""),"K/45/181224/1")</f>
        <v>K/45/181224/1</v>
      </c>
      <c r="C2348" s="7" t="str">
        <f>IFERROR(__xludf.DUMMYFUNCTION("""COMPUTED_VALUE"""),"M. 1648/ Bumi Kedamaian")</f>
        <v>M. 1648/ Bumi Kedamaian</v>
      </c>
      <c r="D2348" s="7"/>
      <c r="E2348" s="7"/>
      <c r="F2348" s="9" t="str">
        <f>IFERROR(__xludf.DUMMYFUNCTION("""COMPUTED_VALUE"""),"")</f>
        <v/>
      </c>
      <c r="G2348" s="7" t="str">
        <f>IFERROR(__xludf.DUMMYFUNCTION("""COMPUTED_VALUE"""),"BN Jual Beli")</f>
        <v>BN Jual Beli</v>
      </c>
      <c r="H2348" s="7">
        <f t="shared" si="1"/>
        <v>936</v>
      </c>
    </row>
    <row r="2349" ht="22.5" customHeight="1">
      <c r="B2349" s="7" t="str">
        <f>IFERROR(__xludf.DUMMYFUNCTION("""COMPUTED_VALUE"""),"K/46/181224/1")</f>
        <v>K/46/181224/1</v>
      </c>
      <c r="C2349" s="7" t="str">
        <f>IFERROR(__xludf.DUMMYFUNCTION("""COMPUTED_VALUE"""),"NIBEL M.6354/SUKADANAHAM")</f>
        <v>NIBEL M.6354/SUKADANAHAM</v>
      </c>
      <c r="D2349" s="7"/>
      <c r="E2349" s="7"/>
      <c r="F2349" s="9" t="str">
        <f>IFERROR(__xludf.DUMMYFUNCTION("""COMPUTED_VALUE"""),"")</f>
        <v/>
      </c>
      <c r="G2349" s="7" t="str">
        <f>IFERROR(__xludf.DUMMYFUNCTION("""COMPUTED_VALUE"""),"PTPGT")</f>
        <v>PTPGT</v>
      </c>
      <c r="H2349" s="7">
        <f t="shared" si="1"/>
        <v>936</v>
      </c>
    </row>
    <row r="2350" ht="22.5" customHeight="1">
      <c r="B2350" s="7" t="str">
        <f>IFERROR(__xludf.DUMMYFUNCTION("""COMPUTED_VALUE"""),"K/47/181224/2")</f>
        <v>K/47/181224/2</v>
      </c>
      <c r="C2350" s="7" t="str">
        <f>IFERROR(__xludf.DUMMYFUNCTION("""COMPUTED_VALUE"""),"NIBEL M 6352/SUKADANAHAM")</f>
        <v>NIBEL M 6352/SUKADANAHAM</v>
      </c>
      <c r="D2350" s="7" t="str">
        <f>IFERROR(__xludf.DUMMYFUNCTION("""COMPUTED_VALUE"""),"David")</f>
        <v>David</v>
      </c>
      <c r="E2350" s="7" t="str">
        <f>IFERROR(__xludf.DUMMYFUNCTION("""COMPUTED_VALUE"""),"PROSES")</f>
        <v>PROSES</v>
      </c>
      <c r="F2350" s="9" t="str">
        <f>IFERROR(__xludf.DUMMYFUNCTION("""COMPUTED_VALUE"""),"")</f>
        <v/>
      </c>
      <c r="G2350" s="7" t="str">
        <f>IFERROR(__xludf.DUMMYFUNCTION("""COMPUTED_VALUE"""),"PTPGT")</f>
        <v>PTPGT</v>
      </c>
      <c r="H2350" s="7">
        <f t="shared" si="1"/>
        <v>936</v>
      </c>
    </row>
    <row r="2351" ht="22.5" customHeight="1">
      <c r="B2351" s="7" t="str">
        <f>IFERROR(__xludf.DUMMYFUNCTION("""COMPUTED_VALUE"""),"K/48/181224/3")</f>
        <v>K/48/181224/3</v>
      </c>
      <c r="C2351" s="7" t="str">
        <f>IFERROR(__xludf.DUMMYFUNCTION("""COMPUTED_VALUE"""),"NIBEL M.6355/SUKADANAHAM")</f>
        <v>NIBEL M.6355/SUKADANAHAM</v>
      </c>
      <c r="D2351" s="7" t="str">
        <f>IFERROR(__xludf.DUMMYFUNCTION("""COMPUTED_VALUE"""),"David")</f>
        <v>David</v>
      </c>
      <c r="E2351" s="7" t="str">
        <f>IFERROR(__xludf.DUMMYFUNCTION("""COMPUTED_VALUE"""),"DISERAHKAN")</f>
        <v>DISERAHKAN</v>
      </c>
      <c r="F2351" s="9">
        <f>IFERROR(__xludf.DUMMYFUNCTION("""COMPUTED_VALUE"""),45645.68261592592)</f>
        <v>45645.68262</v>
      </c>
      <c r="G2351" s="7" t="str">
        <f>IFERROR(__xludf.DUMMYFUNCTION("""COMPUTED_VALUE"""),"PTPGT")</f>
        <v>PTPGT</v>
      </c>
      <c r="H2351" s="7">
        <f t="shared" si="1"/>
        <v>937</v>
      </c>
    </row>
    <row r="2352" ht="22.5" customHeight="1">
      <c r="B2352" s="7" t="str">
        <f>IFERROR(__xludf.DUMMYFUNCTION("""COMPUTED_VALUE"""),"L/53/181224/1")</f>
        <v>L/53/181224/1</v>
      </c>
      <c r="C2352" s="7" t="str">
        <f>IFERROR(__xludf.DUMMYFUNCTION("""COMPUTED_VALUE"""),"HM 567/SUMBEREJO S")</f>
        <v>HM 567/SUMBEREJO S</v>
      </c>
      <c r="D2352" s="7"/>
      <c r="E2352" s="7"/>
      <c r="F2352" s="9" t="str">
        <f>IFERROR(__xludf.DUMMYFUNCTION("""COMPUTED_VALUE"""),"")</f>
        <v/>
      </c>
      <c r="G2352" s="7" t="str">
        <f>IFERROR(__xludf.DUMMYFUNCTION("""COMPUTED_VALUE"""),"ROYA")</f>
        <v>ROYA</v>
      </c>
      <c r="H2352" s="7">
        <f t="shared" si="1"/>
        <v>937</v>
      </c>
    </row>
    <row r="2353" ht="22.5" customHeight="1">
      <c r="B2353" s="7" t="str">
        <f>IFERROR(__xludf.DUMMYFUNCTION("""COMPUTED_VALUE"""),"K/50/181224/1")</f>
        <v>K/50/181224/1</v>
      </c>
      <c r="C2353" s="7" t="str">
        <f>IFERROR(__xludf.DUMMYFUNCTION("""COMPUTED_VALUE"""),"M. 2327/ Sepang Jaya")</f>
        <v>M. 2327/ Sepang Jaya</v>
      </c>
      <c r="D2353" s="7" t="str">
        <f>IFERROR(__xludf.DUMMYFUNCTION("""COMPUTED_VALUE"""),"Berry")</f>
        <v>Berry</v>
      </c>
      <c r="E2353" s="7" t="str">
        <f>IFERROR(__xludf.DUMMYFUNCTION("""COMPUTED_VALUE"""),"DISERAHKAN")</f>
        <v>DISERAHKAN</v>
      </c>
      <c r="F2353" s="9">
        <f>IFERROR(__xludf.DUMMYFUNCTION("""COMPUTED_VALUE"""),45649.70493666666)</f>
        <v>45649.70494</v>
      </c>
      <c r="G2353" s="7" t="str">
        <f>IFERROR(__xludf.DUMMYFUNCTION("""COMPUTED_VALUE"""),"BN JUAL BELI")</f>
        <v>BN JUAL BELI</v>
      </c>
      <c r="H2353" s="7">
        <f t="shared" si="1"/>
        <v>938</v>
      </c>
    </row>
    <row r="2354" ht="22.5" customHeight="1">
      <c r="B2354" s="7" t="str">
        <f>IFERROR(__xludf.DUMMYFUNCTION("""COMPUTED_VALUE"""),"K/51/181224/1")</f>
        <v>K/51/181224/1</v>
      </c>
      <c r="C2354" s="7" t="str">
        <f>IFERROR(__xludf.DUMMYFUNCTION("""COMPUTED_VALUE"""),"Nibel. B. 12312/L R R")</f>
        <v>Nibel. B. 12312/L R R</v>
      </c>
      <c r="D2354" s="7" t="str">
        <f>IFERROR(__xludf.DUMMYFUNCTION("""COMPUTED_VALUE"""),"Berry")</f>
        <v>Berry</v>
      </c>
      <c r="E2354" s="7" t="str">
        <f>IFERROR(__xludf.DUMMYFUNCTION("""COMPUTED_VALUE"""),"DISERAHKAN")</f>
        <v>DISERAHKAN</v>
      </c>
      <c r="F2354" s="9">
        <f>IFERROR(__xludf.DUMMYFUNCTION("""COMPUTED_VALUE"""),45649.70493666666)</f>
        <v>45649.70494</v>
      </c>
      <c r="G2354" s="7" t="str">
        <f>IFERROR(__xludf.DUMMYFUNCTION("""COMPUTED_VALUE"""),"BN Jual Beli")</f>
        <v>BN Jual Beli</v>
      </c>
      <c r="H2354" s="7">
        <f t="shared" si="1"/>
        <v>939</v>
      </c>
    </row>
    <row r="2355" ht="22.5" customHeight="1">
      <c r="B2355" s="7" t="str">
        <f>IFERROR(__xludf.DUMMYFUNCTION("""COMPUTED_VALUE"""),"K/52/181224/1")</f>
        <v>K/52/181224/1</v>
      </c>
      <c r="C2355" s="7" t="str">
        <f>IFERROR(__xludf.DUMMYFUNCTION("""COMPUTED_VALUE"""),"M. 11875/SUKARAME")</f>
        <v>M. 11875/SUKARAME</v>
      </c>
      <c r="D2355" s="7" t="str">
        <f>IFERROR(__xludf.DUMMYFUNCTION("""COMPUTED_VALUE"""),"Berry")</f>
        <v>Berry</v>
      </c>
      <c r="E2355" s="7" t="str">
        <f>IFERROR(__xludf.DUMMYFUNCTION("""COMPUTED_VALUE"""),"DISERAHKAN")</f>
        <v>DISERAHKAN</v>
      </c>
      <c r="F2355" s="9">
        <f>IFERROR(__xludf.DUMMYFUNCTION("""COMPUTED_VALUE"""),45649.70493666666)</f>
        <v>45649.70494</v>
      </c>
      <c r="G2355" s="7" t="str">
        <f>IFERROR(__xludf.DUMMYFUNCTION("""COMPUTED_VALUE"""),"BN WARIS")</f>
        <v>BN WARIS</v>
      </c>
      <c r="H2355" s="7">
        <f t="shared" si="1"/>
        <v>940</v>
      </c>
    </row>
    <row r="2356" ht="22.5" customHeight="1">
      <c r="B2356" s="7" t="str">
        <f>IFERROR(__xludf.DUMMYFUNCTION("""COMPUTED_VALUE"""),"K/1/191224/1")</f>
        <v>K/1/191224/1</v>
      </c>
      <c r="C2356" s="7" t="str">
        <f>IFERROR(__xludf.DUMMYFUNCTION("""COMPUTED_VALUE"""),"M. 1313,1312/ GOTONG ROYONG")</f>
        <v>M. 1313,1312/ GOTONG ROYONG</v>
      </c>
      <c r="D2356" s="7"/>
      <c r="E2356" s="7"/>
      <c r="F2356" s="9" t="str">
        <f>IFERROR(__xludf.DUMMYFUNCTION("""COMPUTED_VALUE"""),"")</f>
        <v/>
      </c>
      <c r="G2356" s="7" t="str">
        <f>IFERROR(__xludf.DUMMYFUNCTION("""COMPUTED_VALUE"""),"ROYA")</f>
        <v>ROYA</v>
      </c>
      <c r="H2356" s="7">
        <f t="shared" si="1"/>
        <v>940</v>
      </c>
    </row>
    <row r="2357" ht="22.5" customHeight="1">
      <c r="B2357" s="7" t="str">
        <f>IFERROR(__xludf.DUMMYFUNCTION("""COMPUTED_VALUE"""),"K/2/191224/1")</f>
        <v>K/2/191224/1</v>
      </c>
      <c r="C2357" s="7" t="str">
        <f>IFERROR(__xludf.DUMMYFUNCTION("""COMPUTED_VALUE"""),"M. 2981/ Labuhan Dalam")</f>
        <v>M. 2981/ Labuhan Dalam</v>
      </c>
      <c r="D2357" s="7"/>
      <c r="E2357" s="7"/>
      <c r="F2357" s="9" t="str">
        <f>IFERROR(__xludf.DUMMYFUNCTION("""COMPUTED_VALUE"""),"")</f>
        <v/>
      </c>
      <c r="G2357" s="7" t="str">
        <f>IFERROR(__xludf.DUMMYFUNCTION("""COMPUTED_VALUE"""),"BN Jual Beli")</f>
        <v>BN Jual Beli</v>
      </c>
      <c r="H2357" s="7">
        <f t="shared" si="1"/>
        <v>940</v>
      </c>
    </row>
    <row r="2358" ht="22.5" customHeight="1">
      <c r="B2358" s="7" t="str">
        <f>IFERROR(__xludf.DUMMYFUNCTION("""COMPUTED_VALUE"""),"L/3/191224/1")</f>
        <v>L/3/191224/1</v>
      </c>
      <c r="C2358" s="7" t="str">
        <f>IFERROR(__xludf.DUMMYFUNCTION("""COMPUTED_VALUE"""),"SIDODADI ")</f>
        <v>SIDODADI </v>
      </c>
      <c r="D2358" s="7" t="str">
        <f>IFERROR(__xludf.DUMMYFUNCTION("""COMPUTED_VALUE"""),"Berry")</f>
        <v>Berry</v>
      </c>
      <c r="E2358" s="7" t="str">
        <f>IFERROR(__xludf.DUMMYFUNCTION("""COMPUTED_VALUE"""),"DISERAHKAN")</f>
        <v>DISERAHKAN</v>
      </c>
      <c r="F2358" s="9">
        <f>IFERROR(__xludf.DUMMYFUNCTION("""COMPUTED_VALUE"""),45649.70493666666)</f>
        <v>45649.70494</v>
      </c>
      <c r="G2358" s="7" t="str">
        <f>IFERROR(__xludf.DUMMYFUNCTION("""COMPUTED_VALUE"""),"PERMOHONAN SK")</f>
        <v>PERMOHONAN SK</v>
      </c>
      <c r="H2358" s="7">
        <f t="shared" si="1"/>
        <v>941</v>
      </c>
    </row>
    <row r="2359" ht="22.5" customHeight="1">
      <c r="B2359" s="7" t="str">
        <f>IFERROR(__xludf.DUMMYFUNCTION("""COMPUTED_VALUE"""),"K/4/191224/1")</f>
        <v>K/4/191224/1</v>
      </c>
      <c r="C2359" s="7" t="str">
        <f>IFERROR(__xludf.DUMMYFUNCTION("""COMPUTED_VALUE"""),"M. 1222/SUKARAME BARU")</f>
        <v>M. 1222/SUKARAME BARU</v>
      </c>
      <c r="D2359" s="7" t="str">
        <f>IFERROR(__xludf.DUMMYFUNCTION("""COMPUTED_VALUE"""),"Berry")</f>
        <v>Berry</v>
      </c>
      <c r="E2359" s="7" t="str">
        <f>IFERROR(__xludf.DUMMYFUNCTION("""COMPUTED_VALUE"""),"DISERAHKAN")</f>
        <v>DISERAHKAN</v>
      </c>
      <c r="F2359" s="9">
        <f>IFERROR(__xludf.DUMMYFUNCTION("""COMPUTED_VALUE"""),45649.70493666666)</f>
        <v>45649.70494</v>
      </c>
      <c r="G2359" s="7" t="str">
        <f>IFERROR(__xludf.DUMMYFUNCTION("""COMPUTED_VALUE"""),"PENGECEKAN")</f>
        <v>PENGECEKAN</v>
      </c>
      <c r="H2359" s="7">
        <f t="shared" si="1"/>
        <v>942</v>
      </c>
    </row>
    <row r="2360" ht="22.5" customHeight="1">
      <c r="B2360" s="7" t="str">
        <f>IFERROR(__xludf.DUMMYFUNCTION("""COMPUTED_VALUE"""),"K/5/191224/1")</f>
        <v>K/5/191224/1</v>
      </c>
      <c r="C2360" s="7" t="str">
        <f>IFERROR(__xludf.DUMMYFUNCTION("""COMPUTED_VALUE"""),"M. 6407/GUNUNG SULAH")</f>
        <v>M. 6407/GUNUNG SULAH</v>
      </c>
      <c r="D2360" s="7"/>
      <c r="E2360" s="7"/>
      <c r="F2360" s="9" t="str">
        <f>IFERROR(__xludf.DUMMYFUNCTION("""COMPUTED_VALUE"""),"")</f>
        <v/>
      </c>
      <c r="G2360" s="7" t="str">
        <f>IFERROR(__xludf.DUMMYFUNCTION("""COMPUTED_VALUE"""),"BN JUAL BELI")</f>
        <v>BN JUAL BELI</v>
      </c>
      <c r="H2360" s="7">
        <f t="shared" si="1"/>
        <v>942</v>
      </c>
    </row>
    <row r="2361" ht="22.5" customHeight="1">
      <c r="B2361" s="7" t="str">
        <f>IFERROR(__xludf.DUMMYFUNCTION("""COMPUTED_VALUE"""),"L/6/191224/1")</f>
        <v>L/6/191224/1</v>
      </c>
      <c r="C2361" s="7" t="str">
        <f>IFERROR(__xludf.DUMMYFUNCTION("""COMPUTED_VALUE"""),"HGB 227/KEMILING PERMAI")</f>
        <v>HGB 227/KEMILING PERMAI</v>
      </c>
      <c r="D2361" s="7" t="str">
        <f>IFERROR(__xludf.DUMMYFUNCTION("""COMPUTED_VALUE"""),"Berry")</f>
        <v>Berry</v>
      </c>
      <c r="E2361" s="7" t="str">
        <f>IFERROR(__xludf.DUMMYFUNCTION("""COMPUTED_VALUE"""),"DISERAHKAN")</f>
        <v>DISERAHKAN</v>
      </c>
      <c r="F2361" s="9">
        <f>IFERROR(__xludf.DUMMYFUNCTION("""COMPUTED_VALUE"""),45649.70493666666)</f>
        <v>45649.70494</v>
      </c>
      <c r="G2361" s="7" t="str">
        <f>IFERROR(__xludf.DUMMYFUNCTION("""COMPUTED_VALUE"""),"ROYA")</f>
        <v>ROYA</v>
      </c>
      <c r="H2361" s="7">
        <f t="shared" si="1"/>
        <v>943</v>
      </c>
    </row>
    <row r="2362" ht="22.5" customHeight="1">
      <c r="B2362" s="7" t="str">
        <f>IFERROR(__xludf.DUMMYFUNCTION("""COMPUTED_VALUE"""),"K/7/191224/1")</f>
        <v>K/7/191224/1</v>
      </c>
      <c r="C2362" s="7" t="str">
        <f>IFERROR(__xludf.DUMMYFUNCTION("""COMPUTED_VALUE"""),"Nibel. M. 1891/ Teluk Betung")</f>
        <v>Nibel. M. 1891/ Teluk Betung</v>
      </c>
      <c r="D2362" s="7" t="str">
        <f>IFERROR(__xludf.DUMMYFUNCTION("""COMPUTED_VALUE"""),"Berry")</f>
        <v>Berry</v>
      </c>
      <c r="E2362" s="7" t="str">
        <f>IFERROR(__xludf.DUMMYFUNCTION("""COMPUTED_VALUE"""),"DISERAHKAN")</f>
        <v>DISERAHKAN</v>
      </c>
      <c r="F2362" s="9">
        <f>IFERROR(__xludf.DUMMYFUNCTION("""COMPUTED_VALUE"""),45649.70493666666)</f>
        <v>45649.70494</v>
      </c>
      <c r="G2362" s="7" t="str">
        <f>IFERROR(__xludf.DUMMYFUNCTION("""COMPUTED_VALUE"""),"BN Jual Beli ")</f>
        <v>BN Jual Beli </v>
      </c>
      <c r="H2362" s="7">
        <f t="shared" si="1"/>
        <v>944</v>
      </c>
    </row>
    <row r="2363" ht="22.5" customHeight="1">
      <c r="B2363" s="7" t="str">
        <f>IFERROR(__xludf.DUMMYFUNCTION("""COMPUTED_VALUE"""),"K/8/191224/1")</f>
        <v>K/8/191224/1</v>
      </c>
      <c r="C2363" s="7" t="str">
        <f>IFERROR(__xludf.DUMMYFUNCTION("""COMPUTED_VALUE"""),"M. 339/ RAJABASA RAYA")</f>
        <v>M. 339/ RAJABASA RAYA</v>
      </c>
      <c r="D2363" s="7"/>
      <c r="E2363" s="7"/>
      <c r="F2363" s="9" t="str">
        <f>IFERROR(__xludf.DUMMYFUNCTION("""COMPUTED_VALUE"""),"")</f>
        <v/>
      </c>
      <c r="G2363" s="7" t="str">
        <f>IFERROR(__xludf.DUMMYFUNCTION("""COMPUTED_VALUE"""),"BN JUAL BELI")</f>
        <v>BN JUAL BELI</v>
      </c>
      <c r="H2363" s="7">
        <f t="shared" si="1"/>
        <v>944</v>
      </c>
    </row>
    <row r="2364" ht="22.5" customHeight="1">
      <c r="B2364" s="7" t="str">
        <f>IFERROR(__xludf.DUMMYFUNCTION("""COMPUTED_VALUE"""),"K/9/191224/1")</f>
        <v>K/9/191224/1</v>
      </c>
      <c r="C2364" s="7" t="str">
        <f>IFERROR(__xludf.DUMMYFUNCTION("""COMPUTED_VALUE"""),"M. 1758/ Rajabasa Pemuka")</f>
        <v>M. 1758/ Rajabasa Pemuka</v>
      </c>
      <c r="D2364" s="7" t="str">
        <f>IFERROR(__xludf.DUMMYFUNCTION("""COMPUTED_VALUE"""),"Berry")</f>
        <v>Berry</v>
      </c>
      <c r="E2364" s="7" t="str">
        <f>IFERROR(__xludf.DUMMYFUNCTION("""COMPUTED_VALUE"""),"PROSES")</f>
        <v>PROSES</v>
      </c>
      <c r="F2364" s="9" t="str">
        <f>IFERROR(__xludf.DUMMYFUNCTION("""COMPUTED_VALUE"""),"")</f>
        <v/>
      </c>
      <c r="G2364" s="7" t="str">
        <f>IFERROR(__xludf.DUMMYFUNCTION("""COMPUTED_VALUE"""),"BN JUAL BELI")</f>
        <v>BN JUAL BELI</v>
      </c>
      <c r="H2364" s="7">
        <f t="shared" si="1"/>
        <v>944</v>
      </c>
    </row>
    <row r="2365" ht="22.5" customHeight="1">
      <c r="B2365" s="7" t="str">
        <f>IFERROR(__xludf.DUMMYFUNCTION("""COMPUTED_VALUE"""),"K/10/191224/1")</f>
        <v>K/10/191224/1</v>
      </c>
      <c r="C2365" s="7" t="str">
        <f>IFERROR(__xludf.DUMMYFUNCTION("""COMPUTED_VALUE"""),"M. 2462/ Sukamaju")</f>
        <v>M. 2462/ Sukamaju</v>
      </c>
      <c r="D2365" s="7"/>
      <c r="E2365" s="7"/>
      <c r="F2365" s="9" t="str">
        <f>IFERROR(__xludf.DUMMYFUNCTION("""COMPUTED_VALUE"""),"")</f>
        <v/>
      </c>
      <c r="G2365" s="7" t="str">
        <f>IFERROR(__xludf.DUMMYFUNCTION("""COMPUTED_VALUE"""),"PTPGT (pemecahan)")</f>
        <v>PTPGT (pemecahan)</v>
      </c>
      <c r="H2365" s="7">
        <f t="shared" si="1"/>
        <v>944</v>
      </c>
    </row>
    <row r="2366" ht="22.5" customHeight="1">
      <c r="B2366" s="7" t="str">
        <f>IFERROR(__xludf.DUMMYFUNCTION("""COMPUTED_VALUE"""),"K/11/191224/1")</f>
        <v>K/11/191224/1</v>
      </c>
      <c r="C2366" s="7" t="str">
        <f>IFERROR(__xludf.DUMMYFUNCTION("""COMPUTED_VALUE"""),"M. 1263/ Langkapura Baru")</f>
        <v>M. 1263/ Langkapura Baru</v>
      </c>
      <c r="D2366" s="7"/>
      <c r="E2366" s="7"/>
      <c r="F2366" s="9" t="str">
        <f>IFERROR(__xludf.DUMMYFUNCTION("""COMPUTED_VALUE"""),"")</f>
        <v/>
      </c>
      <c r="G2366" s="7" t="str">
        <f>IFERROR(__xludf.DUMMYFUNCTION("""COMPUTED_VALUE"""),"BN WARIS")</f>
        <v>BN WARIS</v>
      </c>
      <c r="H2366" s="7">
        <f t="shared" si="1"/>
        <v>944</v>
      </c>
    </row>
    <row r="2367" ht="22.5" customHeight="1">
      <c r="B2367" s="7" t="str">
        <f>IFERROR(__xludf.DUMMYFUNCTION("""COMPUTED_VALUE"""),"K/12/191224/2")</f>
        <v>K/12/191224/2</v>
      </c>
      <c r="C2367" s="7" t="str">
        <f>IFERROR(__xludf.DUMMYFUNCTION("""COMPUTED_VALUE"""),"Nibel 1969/ Sukadana Ham")</f>
        <v>Nibel 1969/ Sukadana Ham</v>
      </c>
      <c r="D2367" s="7"/>
      <c r="E2367" s="7"/>
      <c r="F2367" s="9" t="str">
        <f>IFERROR(__xludf.DUMMYFUNCTION("""COMPUTED_VALUE"""),"")</f>
        <v/>
      </c>
      <c r="G2367" s="7" t="str">
        <f>IFERROR(__xludf.DUMMYFUNCTION("""COMPUTED_VALUE"""),"BN JUAL BELI")</f>
        <v>BN JUAL BELI</v>
      </c>
      <c r="H2367" s="7">
        <f t="shared" si="1"/>
        <v>944</v>
      </c>
    </row>
    <row r="2368" ht="22.5" customHeight="1">
      <c r="B2368" s="7" t="str">
        <f>IFERROR(__xludf.DUMMYFUNCTION("""COMPUTED_VALUE"""),"K/13/191224/3")</f>
        <v>K/13/191224/3</v>
      </c>
      <c r="C2368" s="7" t="str">
        <f>IFERROR(__xludf.DUMMYFUNCTION("""COMPUTED_VALUE"""),"Nibel 2096/ Sukadana Ham")</f>
        <v>Nibel 2096/ Sukadana Ham</v>
      </c>
      <c r="D2368" s="7"/>
      <c r="E2368" s="7"/>
      <c r="F2368" s="9" t="str">
        <f>IFERROR(__xludf.DUMMYFUNCTION("""COMPUTED_VALUE"""),"")</f>
        <v/>
      </c>
      <c r="G2368" s="7" t="str">
        <f>IFERROR(__xludf.DUMMYFUNCTION("""COMPUTED_VALUE"""),"BN JUAL BELI")</f>
        <v>BN JUAL BELI</v>
      </c>
      <c r="H2368" s="7">
        <f t="shared" si="1"/>
        <v>944</v>
      </c>
    </row>
    <row r="2369" ht="22.5" customHeight="1">
      <c r="B2369" s="7" t="str">
        <f>IFERROR(__xludf.DUMMYFUNCTION("""COMPUTED_VALUE"""),"K/14/191224/4")</f>
        <v>K/14/191224/4</v>
      </c>
      <c r="C2369" s="7" t="str">
        <f>IFERROR(__xludf.DUMMYFUNCTION("""COMPUTED_VALUE"""),"Nibel 2095/ Sukadana Ham")</f>
        <v>Nibel 2095/ Sukadana Ham</v>
      </c>
      <c r="D2369" s="7"/>
      <c r="E2369" s="7"/>
      <c r="F2369" s="9" t="str">
        <f>IFERROR(__xludf.DUMMYFUNCTION("""COMPUTED_VALUE"""),"")</f>
        <v/>
      </c>
      <c r="G2369" s="7" t="str">
        <f>IFERROR(__xludf.DUMMYFUNCTION("""COMPUTED_VALUE"""),"BN JUAL BELI")</f>
        <v>BN JUAL BELI</v>
      </c>
      <c r="H2369" s="7">
        <f t="shared" si="1"/>
        <v>944</v>
      </c>
    </row>
    <row r="2370" ht="22.5" customHeight="1">
      <c r="B2370" s="7" t="str">
        <f>IFERROR(__xludf.DUMMYFUNCTION("""COMPUTED_VALUE"""),"L/17/191224/1")</f>
        <v>L/17/191224/1</v>
      </c>
      <c r="C2370" s="7" t="str">
        <f>IFERROR(__xludf.DUMMYFUNCTION("""COMPUTED_VALUE"""),"HGB 706/CAMPANG RAYA")</f>
        <v>HGB 706/CAMPANG RAYA</v>
      </c>
      <c r="D2370" s="7"/>
      <c r="E2370" s="7"/>
      <c r="F2370" s="9" t="str">
        <f>IFERROR(__xludf.DUMMYFUNCTION("""COMPUTED_VALUE"""),"")</f>
        <v/>
      </c>
      <c r="G2370" s="7" t="str">
        <f>IFERROR(__xludf.DUMMYFUNCTION("""COMPUTED_VALUE"""),"GANDES")</f>
        <v>GANDES</v>
      </c>
      <c r="H2370" s="7">
        <f t="shared" si="1"/>
        <v>944</v>
      </c>
    </row>
    <row r="2371" ht="22.5" customHeight="1">
      <c r="B2371" s="7" t="str">
        <f>IFERROR(__xludf.DUMMYFUNCTION("""COMPUTED_VALUE"""),"K/15/191224/5")</f>
        <v>K/15/191224/5</v>
      </c>
      <c r="C2371" s="7" t="str">
        <f>IFERROR(__xludf.DUMMYFUNCTION("""COMPUTED_VALUE"""),"Nibel 1986/ Sukadana Ham")</f>
        <v>Nibel 1986/ Sukadana Ham</v>
      </c>
      <c r="D2371" s="7"/>
      <c r="E2371" s="7"/>
      <c r="F2371" s="9" t="str">
        <f>IFERROR(__xludf.DUMMYFUNCTION("""COMPUTED_VALUE"""),"")</f>
        <v/>
      </c>
      <c r="G2371" s="7" t="str">
        <f>IFERROR(__xludf.DUMMYFUNCTION("""COMPUTED_VALUE"""),"BN JUAL BELI")</f>
        <v>BN JUAL BELI</v>
      </c>
      <c r="H2371" s="7">
        <f t="shared" si="1"/>
        <v>944</v>
      </c>
    </row>
    <row r="2372" ht="22.5" customHeight="1">
      <c r="B2372" s="7" t="str">
        <f>IFERROR(__xludf.DUMMYFUNCTION("""COMPUTED_VALUE"""),"K/18/191224/1")</f>
        <v>K/18/191224/1</v>
      </c>
      <c r="C2372" s="7" t="str">
        <f>IFERROR(__xludf.DUMMYFUNCTION("""COMPUTED_VALUE"""),"B. 3646/ Sukarame")</f>
        <v>B. 3646/ Sukarame</v>
      </c>
      <c r="D2372" s="7" t="str">
        <f>IFERROR(__xludf.DUMMYFUNCTION("""COMPUTED_VALUE"""),"Berry")</f>
        <v>Berry</v>
      </c>
      <c r="E2372" s="7" t="str">
        <f>IFERROR(__xludf.DUMMYFUNCTION("""COMPUTED_VALUE"""),"DISERAHKAN")</f>
        <v>DISERAHKAN</v>
      </c>
      <c r="F2372" s="9">
        <f>IFERROR(__xludf.DUMMYFUNCTION("""COMPUTED_VALUE"""),45649.70493666666)</f>
        <v>45649.70494</v>
      </c>
      <c r="G2372" s="7" t="str">
        <f>IFERROR(__xludf.DUMMYFUNCTION("""COMPUTED_VALUE"""),"PENGECEKKAN")</f>
        <v>PENGECEKKAN</v>
      </c>
      <c r="H2372" s="7">
        <f t="shared" si="1"/>
        <v>945</v>
      </c>
    </row>
    <row r="2373" ht="22.5" customHeight="1">
      <c r="B2373" s="7" t="str">
        <f>IFERROR(__xludf.DUMMYFUNCTION("""COMPUTED_VALUE"""),"K/16/191224/1")</f>
        <v>K/16/191224/1</v>
      </c>
      <c r="C2373" s="7" t="str">
        <f>IFERROR(__xludf.DUMMYFUNCTION("""COMPUTED_VALUE"""),"NIBEL M. 1906/SUKARAME BARU")</f>
        <v>NIBEL M. 1906/SUKARAME BARU</v>
      </c>
      <c r="D2373" s="7" t="str">
        <f>IFERROR(__xludf.DUMMYFUNCTION("""COMPUTED_VALUE"""),"Berry")</f>
        <v>Berry</v>
      </c>
      <c r="E2373" s="7" t="str">
        <f>IFERROR(__xludf.DUMMYFUNCTION("""COMPUTED_VALUE"""),"DISERAHKAN")</f>
        <v>DISERAHKAN</v>
      </c>
      <c r="F2373" s="9">
        <f>IFERROR(__xludf.DUMMYFUNCTION("""COMPUTED_VALUE"""),45649.70493666666)</f>
        <v>45649.70494</v>
      </c>
      <c r="G2373" s="7" t="str">
        <f>IFERROR(__xludf.DUMMYFUNCTION("""COMPUTED_VALUE"""),"BN JUAL BELI")</f>
        <v>BN JUAL BELI</v>
      </c>
      <c r="H2373" s="7">
        <f t="shared" si="1"/>
        <v>946</v>
      </c>
    </row>
    <row r="2374" ht="22.5" customHeight="1">
      <c r="B2374" s="7" t="str">
        <f>IFERROR(__xludf.DUMMYFUNCTION("""COMPUTED_VALUE"""),"K/19/191224/1")</f>
        <v>K/19/191224/1</v>
      </c>
      <c r="C2374" s="7" t="str">
        <f>IFERROR(__xludf.DUMMYFUNCTION("""COMPUTED_VALUE"""),"M.959/LANGKAPURA")</f>
        <v>M.959/LANGKAPURA</v>
      </c>
      <c r="D2374" s="7" t="str">
        <f>IFERROR(__xludf.DUMMYFUNCTION("""COMPUTED_VALUE"""),"Berry")</f>
        <v>Berry</v>
      </c>
      <c r="E2374" s="7" t="str">
        <f>IFERROR(__xludf.DUMMYFUNCTION("""COMPUTED_VALUE"""),"DISERAHKAN")</f>
        <v>DISERAHKAN</v>
      </c>
      <c r="F2374" s="9">
        <f>IFERROR(__xludf.DUMMYFUNCTION("""COMPUTED_VALUE"""),45649.70493666666)</f>
        <v>45649.70494</v>
      </c>
      <c r="G2374" s="7" t="str">
        <f>IFERROR(__xludf.DUMMYFUNCTION("""COMPUTED_VALUE"""),"BN HIBAH")</f>
        <v>BN HIBAH</v>
      </c>
      <c r="H2374" s="7">
        <f t="shared" si="1"/>
        <v>947</v>
      </c>
    </row>
    <row r="2375" ht="22.5" customHeight="1">
      <c r="B2375" s="7" t="str">
        <f>IFERROR(__xludf.DUMMYFUNCTION("""COMPUTED_VALUE"""),"K/50/191224/1")</f>
        <v>K/50/191224/1</v>
      </c>
      <c r="C2375" s="7" t="str">
        <f>IFERROR(__xludf.DUMMYFUNCTION("""COMPUTED_VALUE"""),"M.699/RAJABASA RAYA")</f>
        <v>M.699/RAJABASA RAYA</v>
      </c>
      <c r="D2375" s="7" t="str">
        <f>IFERROR(__xludf.DUMMYFUNCTION("""COMPUTED_VALUE"""),"Berry")</f>
        <v>Berry</v>
      </c>
      <c r="E2375" s="7" t="str">
        <f>IFERROR(__xludf.DUMMYFUNCTION("""COMPUTED_VALUE"""),"PROSES")</f>
        <v>PROSES</v>
      </c>
      <c r="F2375" s="9" t="str">
        <f>IFERROR(__xludf.DUMMYFUNCTION("""COMPUTED_VALUE"""),"")</f>
        <v/>
      </c>
      <c r="G2375" s="7" t="str">
        <f>IFERROR(__xludf.DUMMYFUNCTION("""COMPUTED_VALUE"""),"ROYA")</f>
        <v>ROYA</v>
      </c>
      <c r="H2375" s="7">
        <f t="shared" si="1"/>
        <v>947</v>
      </c>
    </row>
    <row r="2376" ht="22.5" customHeight="1">
      <c r="B2376" s="7" t="str">
        <f>IFERROR(__xludf.DUMMYFUNCTION("""COMPUTED_VALUE"""),"L/20/191224/1")</f>
        <v>L/20/191224/1</v>
      </c>
      <c r="C2376" s="7" t="str">
        <f>IFERROR(__xludf.DUMMYFUNCTION("""COMPUTED_VALUE"""),"HM 2122/BAKUNG")</f>
        <v>HM 2122/BAKUNG</v>
      </c>
      <c r="D2376" s="7"/>
      <c r="E2376" s="7"/>
      <c r="F2376" s="9" t="str">
        <f>IFERROR(__xludf.DUMMYFUNCTION("""COMPUTED_VALUE"""),"")</f>
        <v/>
      </c>
      <c r="G2376" s="7" t="str">
        <f>IFERROR(__xludf.DUMMYFUNCTION("""COMPUTED_VALUE"""),"BN WARIS")</f>
        <v>BN WARIS</v>
      </c>
      <c r="H2376" s="7">
        <f t="shared" si="1"/>
        <v>947</v>
      </c>
    </row>
    <row r="2377" ht="22.5" customHeight="1">
      <c r="B2377" s="7" t="str">
        <f>IFERROR(__xludf.DUMMYFUNCTION("""COMPUTED_VALUE"""),"L/25/191224/1")</f>
        <v>L/25/191224/1</v>
      </c>
      <c r="C2377" s="7" t="str">
        <f>IFERROR(__xludf.DUMMYFUNCTION("""COMPUTED_VALUE"""),"HM 9706/KAMPUNG BARU")</f>
        <v>HM 9706/KAMPUNG BARU</v>
      </c>
      <c r="D2377" s="7" t="str">
        <f>IFERROR(__xludf.DUMMYFUNCTION("""COMPUTED_VALUE"""),"Berry")</f>
        <v>Berry</v>
      </c>
      <c r="E2377" s="7" t="str">
        <f>IFERROR(__xludf.DUMMYFUNCTION("""COMPUTED_VALUE"""),"DISERAHKAN")</f>
        <v>DISERAHKAN</v>
      </c>
      <c r="F2377" s="9">
        <f>IFERROR(__xludf.DUMMYFUNCTION("""COMPUTED_VALUE"""),45649.70493666666)</f>
        <v>45649.70494</v>
      </c>
      <c r="G2377" s="7" t="str">
        <f>IFERROR(__xludf.DUMMYFUNCTION("""COMPUTED_VALUE"""),"ROYA")</f>
        <v>ROYA</v>
      </c>
      <c r="H2377" s="7">
        <f t="shared" si="1"/>
        <v>948</v>
      </c>
    </row>
    <row r="2378" ht="22.5" customHeight="1">
      <c r="B2378" s="7" t="str">
        <f>IFERROR(__xludf.DUMMYFUNCTION("""COMPUTED_VALUE"""),"K/21/191224/1")</f>
        <v>K/21/191224/1</v>
      </c>
      <c r="C2378" s="7" t="str">
        <f>IFERROR(__xludf.DUMMYFUNCTION("""COMPUTED_VALUE"""),"B. 5631/ Beringin Raya; B. 1269/ Sumberrejo-dahulu")</f>
        <v>B. 5631/ Beringin Raya; B. 1269/ Sumberrejo-dahulu</v>
      </c>
      <c r="D2378" s="7"/>
      <c r="E2378" s="7"/>
      <c r="F2378" s="9" t="str">
        <f>IFERROR(__xludf.DUMMYFUNCTION("""COMPUTED_VALUE"""),"")</f>
        <v/>
      </c>
      <c r="G2378" s="7" t="str">
        <f>IFERROR(__xludf.DUMMYFUNCTION("""COMPUTED_VALUE"""),"Perubahan Hak")</f>
        <v>Perubahan Hak</v>
      </c>
      <c r="H2378" s="7">
        <f t="shared" si="1"/>
        <v>948</v>
      </c>
    </row>
    <row r="2379" ht="22.5" customHeight="1">
      <c r="B2379" s="7" t="str">
        <f>IFERROR(__xludf.DUMMYFUNCTION("""COMPUTED_VALUE"""),"K/22/191224/2")</f>
        <v>K/22/191224/2</v>
      </c>
      <c r="C2379" s="7" t="str">
        <f>IFERROR(__xludf.DUMMYFUNCTION("""COMPUTED_VALUE"""),"M. 169/ Tanjung Raya; SHT 889/2011")</f>
        <v>M. 169/ Tanjung Raya; SHT 889/2011</v>
      </c>
      <c r="D2379" s="7"/>
      <c r="E2379" s="7"/>
      <c r="F2379" s="9" t="str">
        <f>IFERROR(__xludf.DUMMYFUNCTION("""COMPUTED_VALUE"""),"")</f>
        <v/>
      </c>
      <c r="G2379" s="7" t="str">
        <f>IFERROR(__xludf.DUMMYFUNCTION("""COMPUTED_VALUE"""),"Roya")</f>
        <v>Roya</v>
      </c>
      <c r="H2379" s="7">
        <f t="shared" si="1"/>
        <v>948</v>
      </c>
    </row>
    <row r="2380" ht="22.5" customHeight="1">
      <c r="B2380" s="7" t="str">
        <f>IFERROR(__xludf.DUMMYFUNCTION("""COMPUTED_VALUE"""),"K/23/191224/3")</f>
        <v>K/23/191224/3</v>
      </c>
      <c r="C2380" s="7" t="str">
        <f>IFERROR(__xludf.DUMMYFUNCTION("""COMPUTED_VALUE"""),"M. 5179/ Beringin Raya; B. 5301/ Beringin Raya")</f>
        <v>M. 5179/ Beringin Raya; B. 5301/ Beringin Raya</v>
      </c>
      <c r="D2380" s="7" t="str">
        <f>IFERROR(__xludf.DUMMYFUNCTION("""COMPUTED_VALUE"""),"Berry")</f>
        <v>Berry</v>
      </c>
      <c r="E2380" s="7" t="str">
        <f>IFERROR(__xludf.DUMMYFUNCTION("""COMPUTED_VALUE"""),"DISERAHKAN")</f>
        <v>DISERAHKAN</v>
      </c>
      <c r="F2380" s="9">
        <f>IFERROR(__xludf.DUMMYFUNCTION("""COMPUTED_VALUE"""),45649.70493666666)</f>
        <v>45649.70494</v>
      </c>
      <c r="G2380" s="7" t="str">
        <f>IFERROR(__xludf.DUMMYFUNCTION("""COMPUTED_VALUE"""),"Gandes")</f>
        <v>Gandes</v>
      </c>
      <c r="H2380" s="7">
        <f t="shared" si="1"/>
        <v>949</v>
      </c>
    </row>
    <row r="2381" ht="22.5" customHeight="1">
      <c r="B2381" s="7" t="str">
        <f>IFERROR(__xludf.DUMMYFUNCTION("""COMPUTED_VALUE"""),"K/24/191224/4")</f>
        <v>K/24/191224/4</v>
      </c>
      <c r="C2381" s="7" t="str">
        <f>IFERROR(__xludf.DUMMYFUNCTION("""COMPUTED_VALUE"""),"B. 1440/ Negeri Olok Gading")</f>
        <v>B. 1440/ Negeri Olok Gading</v>
      </c>
      <c r="D2381" s="7"/>
      <c r="E2381" s="7"/>
      <c r="F2381" s="9" t="str">
        <f>IFERROR(__xludf.DUMMYFUNCTION("""COMPUTED_VALUE"""),"")</f>
        <v/>
      </c>
      <c r="G2381" s="7" t="str">
        <f>IFERROR(__xludf.DUMMYFUNCTION("""COMPUTED_VALUE"""),"Plotting ")</f>
        <v>Plotting </v>
      </c>
      <c r="H2381" s="7">
        <f t="shared" si="1"/>
        <v>949</v>
      </c>
    </row>
    <row r="2382" ht="22.5" customHeight="1">
      <c r="B2382" s="7" t="str">
        <f>IFERROR(__xludf.DUMMYFUNCTION("""COMPUTED_VALUE"""),"L/49/181224/1")</f>
        <v>L/49/181224/1</v>
      </c>
      <c r="C2382" s="7" t="str">
        <f>IFERROR(__xludf.DUMMYFUNCTION("""COMPUTED_VALUE"""),"HM 567/SUMBEREJO S")</f>
        <v>HM 567/SUMBEREJO S</v>
      </c>
      <c r="D2382" s="7" t="str">
        <f>IFERROR(__xludf.DUMMYFUNCTION("""COMPUTED_VALUE"""),"David")</f>
        <v>David</v>
      </c>
      <c r="E2382" s="7" t="str">
        <f>IFERROR(__xludf.DUMMYFUNCTION("""COMPUTED_VALUE"""),"DISERAHKAN")</f>
        <v>DISERAHKAN</v>
      </c>
      <c r="F2382" s="9">
        <f>IFERROR(__xludf.DUMMYFUNCTION("""COMPUTED_VALUE"""),45649.70493666666)</f>
        <v>45649.70494</v>
      </c>
      <c r="G2382" s="7" t="str">
        <f>IFERROR(__xludf.DUMMYFUNCTION("""COMPUTED_VALUE"""),"ROYA")</f>
        <v>ROYA</v>
      </c>
      <c r="H2382" s="7">
        <f t="shared" si="1"/>
        <v>950</v>
      </c>
    </row>
    <row r="2383" ht="22.5" customHeight="1">
      <c r="B2383" s="7" t="str">
        <f>IFERROR(__xludf.DUMMYFUNCTION("""COMPUTED_VALUE"""),"L/31/191224/1")</f>
        <v>L/31/191224/1</v>
      </c>
      <c r="C2383" s="7" t="str">
        <f>IFERROR(__xludf.DUMMYFUNCTION("""COMPUTED_VALUE"""),"HGB 94/RAJABASA RAYA")</f>
        <v>HGB 94/RAJABASA RAYA</v>
      </c>
      <c r="D2383" s="7" t="str">
        <f>IFERROR(__xludf.DUMMYFUNCTION("""COMPUTED_VALUE"""),"David")</f>
        <v>David</v>
      </c>
      <c r="E2383" s="7" t="str">
        <f>IFERROR(__xludf.DUMMYFUNCTION("""COMPUTED_VALUE"""),"PROSES")</f>
        <v>PROSES</v>
      </c>
      <c r="F2383" s="9" t="str">
        <f>IFERROR(__xludf.DUMMYFUNCTION("""COMPUTED_VALUE"""),"")</f>
        <v/>
      </c>
      <c r="G2383" s="7" t="str">
        <f>IFERROR(__xludf.DUMMYFUNCTION("""COMPUTED_VALUE"""),"ASPEK HGB MATI")</f>
        <v>ASPEK HGB MATI</v>
      </c>
      <c r="H2383" s="7">
        <f t="shared" si="1"/>
        <v>950</v>
      </c>
    </row>
    <row r="2384" ht="22.5" customHeight="1">
      <c r="B2384" s="7" t="str">
        <f>IFERROR(__xludf.DUMMYFUNCTION("""COMPUTED_VALUE"""),"K/27/191224/1")</f>
        <v>K/27/191224/1</v>
      </c>
      <c r="C2384" s="7" t="str">
        <f>IFERROR(__xludf.DUMMYFUNCTION("""COMPUTED_VALUE"""),"M. 729/ Beringin Jaya")</f>
        <v>M. 729/ Beringin Jaya</v>
      </c>
      <c r="D2384" s="7"/>
      <c r="E2384" s="7"/>
      <c r="F2384" s="9" t="str">
        <f>IFERROR(__xludf.DUMMYFUNCTION("""COMPUTED_VALUE"""),"")</f>
        <v/>
      </c>
      <c r="G2384" s="7" t="str">
        <f>IFERROR(__xludf.DUMMYFUNCTION("""COMPUTED_VALUE"""),"BN Jual Beli")</f>
        <v>BN Jual Beli</v>
      </c>
      <c r="H2384" s="7">
        <f t="shared" si="1"/>
        <v>950</v>
      </c>
    </row>
    <row r="2385" ht="22.5" customHeight="1">
      <c r="B2385" s="7" t="str">
        <f>IFERROR(__xludf.DUMMYFUNCTION("""COMPUTED_VALUE"""),"K/28/191224/2")</f>
        <v>K/28/191224/2</v>
      </c>
      <c r="C2385" s="7" t="str">
        <f>IFERROR(__xludf.DUMMYFUNCTION("""COMPUTED_VALUE"""),"M. 663/ Tanjung Gading")</f>
        <v>M. 663/ Tanjung Gading</v>
      </c>
      <c r="D2385" s="7"/>
      <c r="E2385" s="7"/>
      <c r="F2385" s="9" t="str">
        <f>IFERROR(__xludf.DUMMYFUNCTION("""COMPUTED_VALUE"""),"")</f>
        <v/>
      </c>
      <c r="G2385" s="7" t="str">
        <f>IFERROR(__xludf.DUMMYFUNCTION("""COMPUTED_VALUE"""),"BN Jual Beli")</f>
        <v>BN Jual Beli</v>
      </c>
      <c r="H2385" s="7">
        <f t="shared" si="1"/>
        <v>950</v>
      </c>
    </row>
    <row r="2386" ht="22.5" customHeight="1">
      <c r="B2386" s="7" t="str">
        <f>IFERROR(__xludf.DUMMYFUNCTION("""COMPUTED_VALUE"""),"K/29/191224/1")</f>
        <v>K/29/191224/1</v>
      </c>
      <c r="C2386" s="7" t="str">
        <f>IFERROR(__xludf.DUMMYFUNCTION("""COMPUTED_VALUE"""),"Nibel. M. 15806/ Jagabaya III")</f>
        <v>Nibel. M. 15806/ Jagabaya III</v>
      </c>
      <c r="D2386" s="7"/>
      <c r="E2386" s="7"/>
      <c r="F2386" s="9" t="str">
        <f>IFERROR(__xludf.DUMMYFUNCTION("""COMPUTED_VALUE"""),"")</f>
        <v/>
      </c>
      <c r="G2386" s="7" t="str">
        <f>IFERROR(__xludf.DUMMYFUNCTION("""COMPUTED_VALUE"""),"BN Jual Beli")</f>
        <v>BN Jual Beli</v>
      </c>
      <c r="H2386" s="7">
        <f t="shared" si="1"/>
        <v>950</v>
      </c>
    </row>
    <row r="2387" ht="22.5" customHeight="1">
      <c r="B2387" s="7" t="str">
        <f>IFERROR(__xludf.DUMMYFUNCTION("""COMPUTED_VALUE"""),"K/32/191224/1")</f>
        <v>K/32/191224/1</v>
      </c>
      <c r="C2387" s="7" t="str">
        <f>IFERROR(__xludf.DUMMYFUNCTION("""COMPUTED_VALUE"""),"Nibel 16343/ Gunung Agung")</f>
        <v>Nibel 16343/ Gunung Agung</v>
      </c>
      <c r="D2387" s="7" t="str">
        <f>IFERROR(__xludf.DUMMYFUNCTION("""COMPUTED_VALUE"""),"David")</f>
        <v>David</v>
      </c>
      <c r="E2387" s="7" t="str">
        <f>IFERROR(__xludf.DUMMYFUNCTION("""COMPUTED_VALUE"""),"PROSES")</f>
        <v>PROSES</v>
      </c>
      <c r="F2387" s="9" t="str">
        <f>IFERROR(__xludf.DUMMYFUNCTION("""COMPUTED_VALUE"""),"")</f>
        <v/>
      </c>
      <c r="G2387" s="7" t="str">
        <f>IFERROR(__xludf.DUMMYFUNCTION("""COMPUTED_VALUE"""),"BN JUAL BELI")</f>
        <v>BN JUAL BELI</v>
      </c>
      <c r="H2387" s="7">
        <f t="shared" si="1"/>
        <v>950</v>
      </c>
    </row>
    <row r="2388" ht="22.5" customHeight="1">
      <c r="B2388" s="7" t="str">
        <f>IFERROR(__xludf.DUMMYFUNCTION("""COMPUTED_VALUE"""),"K/30/191224/2")</f>
        <v>K/30/191224/2</v>
      </c>
      <c r="C2388" s="7" t="str">
        <f>IFERROR(__xludf.DUMMYFUNCTION("""COMPUTED_VALUE"""),"Nibel. M. 15807/ Jagabaya III")</f>
        <v>Nibel. M. 15807/ Jagabaya III</v>
      </c>
      <c r="D2388" s="7" t="str">
        <f>IFERROR(__xludf.DUMMYFUNCTION("""COMPUTED_VALUE"""),"David")</f>
        <v>David</v>
      </c>
      <c r="E2388" s="7" t="str">
        <f>IFERROR(__xludf.DUMMYFUNCTION("""COMPUTED_VALUE"""),"DISERAHKAN")</f>
        <v>DISERAHKAN</v>
      </c>
      <c r="F2388" s="9">
        <f>IFERROR(__xludf.DUMMYFUNCTION("""COMPUTED_VALUE"""),45649.70501662037)</f>
        <v>45649.70502</v>
      </c>
      <c r="G2388" s="7" t="str">
        <f>IFERROR(__xludf.DUMMYFUNCTION("""COMPUTED_VALUE"""),"BN Jual Beli")</f>
        <v>BN Jual Beli</v>
      </c>
      <c r="H2388" s="7">
        <f t="shared" si="1"/>
        <v>951</v>
      </c>
    </row>
    <row r="2389" ht="22.5" customHeight="1">
      <c r="B2389" s="7" t="str">
        <f>IFERROR(__xludf.DUMMYFUNCTION("""COMPUTED_VALUE"""),"K/33/191224/2")</f>
        <v>K/33/191224/2</v>
      </c>
      <c r="C2389" s="7" t="str">
        <f>IFERROR(__xludf.DUMMYFUNCTION("""COMPUTED_VALUE"""),"M. 2852/ Sukarame Baru")</f>
        <v>M. 2852/ Sukarame Baru</v>
      </c>
      <c r="D2389" s="7" t="str">
        <f>IFERROR(__xludf.DUMMYFUNCTION("""COMPUTED_VALUE"""),"David")</f>
        <v>David</v>
      </c>
      <c r="E2389" s="7" t="str">
        <f>IFERROR(__xludf.DUMMYFUNCTION("""COMPUTED_VALUE"""),"DISERAHKAN")</f>
        <v>DISERAHKAN</v>
      </c>
      <c r="F2389" s="9">
        <f>IFERROR(__xludf.DUMMYFUNCTION("""COMPUTED_VALUE"""),45649.7051515625)</f>
        <v>45649.70515</v>
      </c>
      <c r="G2389" s="7" t="str">
        <f>IFERROR(__xludf.DUMMYFUNCTION("""COMPUTED_VALUE"""),"BN JUAL BELI")</f>
        <v>BN JUAL BELI</v>
      </c>
      <c r="H2389" s="7">
        <f t="shared" si="1"/>
        <v>952</v>
      </c>
    </row>
    <row r="2390" ht="22.5" customHeight="1">
      <c r="B2390" s="7" t="str">
        <f>IFERROR(__xludf.DUMMYFUNCTION("""COMPUTED_VALUE"""),"K/34/191224/1")</f>
        <v>K/34/191224/1</v>
      </c>
      <c r="C2390" s="7" t="str">
        <f>IFERROR(__xludf.DUMMYFUNCTION("""COMPUTED_VALUE"""),"M. 1128/ sumberrejo")</f>
        <v>M. 1128/ sumberrejo</v>
      </c>
      <c r="D2390" s="7" t="str">
        <f>IFERROR(__xludf.DUMMYFUNCTION("""COMPUTED_VALUE"""),"David")</f>
        <v>David</v>
      </c>
      <c r="E2390" s="7" t="str">
        <f>IFERROR(__xludf.DUMMYFUNCTION("""COMPUTED_VALUE"""),"DISERAHKAN")</f>
        <v>DISERAHKAN</v>
      </c>
      <c r="F2390" s="9">
        <f>IFERROR(__xludf.DUMMYFUNCTION("""COMPUTED_VALUE"""),45649.7052284838)</f>
        <v>45649.70523</v>
      </c>
      <c r="G2390" s="7" t="str">
        <f>IFERROR(__xludf.DUMMYFUNCTION("""COMPUTED_VALUE"""),"ROYA")</f>
        <v>ROYA</v>
      </c>
      <c r="H2390" s="7">
        <f t="shared" si="1"/>
        <v>953</v>
      </c>
    </row>
    <row r="2391" ht="22.5" customHeight="1">
      <c r="B2391" s="7" t="str">
        <f>IFERROR(__xludf.DUMMYFUNCTION("""COMPUTED_VALUE"""),"K/36/191224/3")</f>
        <v>K/36/191224/3</v>
      </c>
      <c r="C2391" s="7" t="str">
        <f>IFERROR(__xludf.DUMMYFUNCTION("""COMPUTED_VALUE"""),"M. 4493/ Sukadana Ham")</f>
        <v>M. 4493/ Sukadana Ham</v>
      </c>
      <c r="D2391" s="7" t="str">
        <f>IFERROR(__xludf.DUMMYFUNCTION("""COMPUTED_VALUE"""),"David")</f>
        <v>David</v>
      </c>
      <c r="E2391" s="7" t="str">
        <f>IFERROR(__xludf.DUMMYFUNCTION("""COMPUTED_VALUE"""),"DISERAHKAN")</f>
        <v>DISERAHKAN</v>
      </c>
      <c r="F2391" s="9">
        <f>IFERROR(__xludf.DUMMYFUNCTION("""COMPUTED_VALUE"""),45649.70534523149)</f>
        <v>45649.70535</v>
      </c>
      <c r="G2391" s="7" t="str">
        <f>IFERROR(__xludf.DUMMYFUNCTION("""COMPUTED_VALUE"""),"BN Jual Beli")</f>
        <v>BN Jual Beli</v>
      </c>
      <c r="H2391" s="7">
        <f t="shared" si="1"/>
        <v>954</v>
      </c>
    </row>
    <row r="2392" ht="22.5" customHeight="1">
      <c r="B2392" s="7" t="str">
        <f>IFERROR(__xludf.DUMMYFUNCTION("""COMPUTED_VALUE"""),"K/37/191224/4")</f>
        <v>K/37/191224/4</v>
      </c>
      <c r="C2392" s="7" t="str">
        <f>IFERROR(__xludf.DUMMYFUNCTION("""COMPUTED_VALUE"""),"M. 566/ Pinang Jaya")</f>
        <v>M. 566/ Pinang Jaya</v>
      </c>
      <c r="D2392" s="7"/>
      <c r="E2392" s="7"/>
      <c r="F2392" s="9" t="str">
        <f>IFERROR(__xludf.DUMMYFUNCTION("""COMPUTED_VALUE"""),"")</f>
        <v/>
      </c>
      <c r="G2392" s="7" t="str">
        <f>IFERROR(__xludf.DUMMYFUNCTION("""COMPUTED_VALUE"""),"BN Jual Beli")</f>
        <v>BN Jual Beli</v>
      </c>
      <c r="H2392" s="7">
        <f t="shared" si="1"/>
        <v>954</v>
      </c>
    </row>
    <row r="2393" ht="22.5" customHeight="1">
      <c r="B2393" s="7" t="str">
        <f>IFERROR(__xludf.DUMMYFUNCTION("""COMPUTED_VALUE"""),"K/38/191224/5")</f>
        <v>K/38/191224/5</v>
      </c>
      <c r="C2393" s="7" t="str">
        <f>IFERROR(__xludf.DUMMYFUNCTION("""COMPUTED_VALUE"""),"M. 2616/ Sumber Agung")</f>
        <v>M. 2616/ Sumber Agung</v>
      </c>
      <c r="D2393" s="7" t="str">
        <f>IFERROR(__xludf.DUMMYFUNCTION("""COMPUTED_VALUE"""),"David")</f>
        <v>David</v>
      </c>
      <c r="E2393" s="7" t="str">
        <f>IFERROR(__xludf.DUMMYFUNCTION("""COMPUTED_VALUE"""),"PROSES")</f>
        <v>PROSES</v>
      </c>
      <c r="F2393" s="9" t="str">
        <f>IFERROR(__xludf.DUMMYFUNCTION("""COMPUTED_VALUE"""),"")</f>
        <v/>
      </c>
      <c r="G2393" s="7" t="str">
        <f>IFERROR(__xludf.DUMMYFUNCTION("""COMPUTED_VALUE"""),"BN Jual Beli")</f>
        <v>BN Jual Beli</v>
      </c>
      <c r="H2393" s="7">
        <f t="shared" si="1"/>
        <v>954</v>
      </c>
    </row>
    <row r="2394" ht="22.5" customHeight="1">
      <c r="B2394" s="7" t="str">
        <f>IFERROR(__xludf.DUMMYFUNCTION("""COMPUTED_VALUE"""),"K/39/191224/1")</f>
        <v>K/39/191224/1</v>
      </c>
      <c r="C2394" s="7" t="str">
        <f>IFERROR(__xludf.DUMMYFUNCTION("""COMPUTED_VALUE"""),"Nibel. M. 2121/ Kampung Baru")</f>
        <v>Nibel. M. 2121/ Kampung Baru</v>
      </c>
      <c r="D2394" s="7" t="str">
        <f>IFERROR(__xludf.DUMMYFUNCTION("""COMPUTED_VALUE"""),"David")</f>
        <v>David</v>
      </c>
      <c r="E2394" s="7" t="str">
        <f>IFERROR(__xludf.DUMMYFUNCTION("""COMPUTED_VALUE"""),"DISERAHKAN")</f>
        <v>DISERAHKAN</v>
      </c>
      <c r="F2394" s="9">
        <f>IFERROR(__xludf.DUMMYFUNCTION("""COMPUTED_VALUE"""),45649.70554572917)</f>
        <v>45649.70555</v>
      </c>
      <c r="G2394" s="7" t="str">
        <f>IFERROR(__xludf.DUMMYFUNCTION("""COMPUTED_VALUE"""),"BN Jual Beli")</f>
        <v>BN Jual Beli</v>
      </c>
      <c r="H2394" s="7">
        <f t="shared" si="1"/>
        <v>955</v>
      </c>
    </row>
    <row r="2395" ht="22.5" customHeight="1">
      <c r="B2395" s="7" t="str">
        <f>IFERROR(__xludf.DUMMYFUNCTION("""COMPUTED_VALUE"""),"K/35/191224/1")</f>
        <v>K/35/191224/1</v>
      </c>
      <c r="C2395" s="7" t="str">
        <f>IFERROR(__xludf.DUMMYFUNCTION("""COMPUTED_VALUE"""),"M. 1416/ Sukamaju")</f>
        <v>M. 1416/ Sukamaju</v>
      </c>
      <c r="D2395" s="7" t="str">
        <f>IFERROR(__xludf.DUMMYFUNCTION("""COMPUTED_VALUE"""),"David")</f>
        <v>David</v>
      </c>
      <c r="E2395" s="7" t="str">
        <f>IFERROR(__xludf.DUMMYFUNCTION("""COMPUTED_VALUE"""),"DISERAHKAN")</f>
        <v>DISERAHKAN</v>
      </c>
      <c r="F2395" s="9">
        <f>IFERROR(__xludf.DUMMYFUNCTION("""COMPUTED_VALUE"""),45649.705687326394)</f>
        <v>45649.70569</v>
      </c>
      <c r="G2395" s="7" t="str">
        <f>IFERROR(__xludf.DUMMYFUNCTION("""COMPUTED_VALUE"""),"BN Jual Beli")</f>
        <v>BN Jual Beli</v>
      </c>
      <c r="H2395" s="7">
        <f t="shared" si="1"/>
        <v>956</v>
      </c>
    </row>
    <row r="2396" ht="22.5" customHeight="1">
      <c r="B2396" s="7" t="str">
        <f>IFERROR(__xludf.DUMMYFUNCTION("""COMPUTED_VALUE"""),"K/40/191224/1")</f>
        <v>K/40/191224/1</v>
      </c>
      <c r="C2396" s="7" t="str">
        <f>IFERROR(__xludf.DUMMYFUNCTION("""COMPUTED_VALUE"""),"M. 1762/ Rajabasa Nunyai")</f>
        <v>M. 1762/ Rajabasa Nunyai</v>
      </c>
      <c r="D2396" s="7"/>
      <c r="E2396" s="7"/>
      <c r="F2396" s="9" t="str">
        <f>IFERROR(__xludf.DUMMYFUNCTION("""COMPUTED_VALUE"""),"")</f>
        <v/>
      </c>
      <c r="G2396" s="7" t="str">
        <f>IFERROR(__xludf.DUMMYFUNCTION("""COMPUTED_VALUE"""),"BN JUAL BELI")</f>
        <v>BN JUAL BELI</v>
      </c>
      <c r="H2396" s="7">
        <f t="shared" si="1"/>
        <v>956</v>
      </c>
    </row>
    <row r="2397" ht="22.5" customHeight="1">
      <c r="B2397" s="7" t="str">
        <f>IFERROR(__xludf.DUMMYFUNCTION("""COMPUTED_VALUE"""),"K/41/191224/1")</f>
        <v>K/41/191224/1</v>
      </c>
      <c r="C2397" s="7" t="str">
        <f>IFERROR(__xludf.DUMMYFUNCTION("""COMPUTED_VALUE"""),"M. 1689/ Rajabasa Raya")</f>
        <v>M. 1689/ Rajabasa Raya</v>
      </c>
      <c r="D2397" s="7"/>
      <c r="E2397" s="7"/>
      <c r="F2397" s="9" t="str">
        <f>IFERROR(__xludf.DUMMYFUNCTION("""COMPUTED_VALUE"""),"")</f>
        <v/>
      </c>
      <c r="G2397" s="7" t="str">
        <f>IFERROR(__xludf.DUMMYFUNCTION("""COMPUTED_VALUE"""),"BN JUAL BELI")</f>
        <v>BN JUAL BELI</v>
      </c>
      <c r="H2397" s="7">
        <f t="shared" si="1"/>
        <v>956</v>
      </c>
    </row>
    <row r="2398" ht="22.5" customHeight="1">
      <c r="B2398" s="7" t="str">
        <f>IFERROR(__xludf.DUMMYFUNCTION("""COMPUTED_VALUE"""),"K/42/191224/2")</f>
        <v>K/42/191224/2</v>
      </c>
      <c r="C2398" s="7" t="str">
        <f>IFERROR(__xludf.DUMMYFUNCTION("""COMPUTED_VALUE"""),"Nibel 792/ Sukarame")</f>
        <v>Nibel 792/ Sukarame</v>
      </c>
      <c r="D2398" s="7"/>
      <c r="E2398" s="7"/>
      <c r="F2398" s="9" t="str">
        <f>IFERROR(__xludf.DUMMYFUNCTION("""COMPUTED_VALUE"""),"")</f>
        <v/>
      </c>
      <c r="G2398" s="7" t="str">
        <f>IFERROR(__xludf.DUMMYFUNCTION("""COMPUTED_VALUE"""),"BN JUAL BELI")</f>
        <v>BN JUAL BELI</v>
      </c>
      <c r="H2398" s="7">
        <f t="shared" si="1"/>
        <v>956</v>
      </c>
    </row>
    <row r="2399" ht="22.5" customHeight="1">
      <c r="B2399" s="7" t="str">
        <f>IFERROR(__xludf.DUMMYFUNCTION("""COMPUTED_VALUE"""),"K/43/191224/1")</f>
        <v>K/43/191224/1</v>
      </c>
      <c r="C2399" s="7" t="str">
        <f>IFERROR(__xludf.DUMMYFUNCTION("""COMPUTED_VALUE"""),"M. 1064/ Beringin Raya")</f>
        <v>M. 1064/ Beringin Raya</v>
      </c>
      <c r="D2399" s="7" t="str">
        <f>IFERROR(__xludf.DUMMYFUNCTION("""COMPUTED_VALUE"""),"David")</f>
        <v>David</v>
      </c>
      <c r="E2399" s="7" t="str">
        <f>IFERROR(__xludf.DUMMYFUNCTION("""COMPUTED_VALUE"""),"DISERAHKAN")</f>
        <v>DISERAHKAN</v>
      </c>
      <c r="F2399" s="9">
        <f>IFERROR(__xludf.DUMMYFUNCTION("""COMPUTED_VALUE"""),45649.70619677083)</f>
        <v>45649.7062</v>
      </c>
      <c r="G2399" s="7" t="str">
        <f>IFERROR(__xludf.DUMMYFUNCTION("""COMPUTED_VALUE"""),"Gandes")</f>
        <v>Gandes</v>
      </c>
      <c r="H2399" s="7">
        <f t="shared" si="1"/>
        <v>957</v>
      </c>
    </row>
    <row r="2400" ht="22.5" customHeight="1">
      <c r="B2400" s="7" t="str">
        <f>IFERROR(__xludf.DUMMYFUNCTION("""COMPUTED_VALUE"""),"K/44/191224/2")</f>
        <v>K/44/191224/2</v>
      </c>
      <c r="C2400" s="7" t="str">
        <f>IFERROR(__xludf.DUMMYFUNCTION("""COMPUTED_VALUE"""),"M. 1077/ Beringin Raya")</f>
        <v>M. 1077/ Beringin Raya</v>
      </c>
      <c r="D2400" s="7"/>
      <c r="E2400" s="7"/>
      <c r="F2400" s="9" t="str">
        <f>IFERROR(__xludf.DUMMYFUNCTION("""COMPUTED_VALUE"""),"")</f>
        <v/>
      </c>
      <c r="G2400" s="7" t="str">
        <f>IFERROR(__xludf.DUMMYFUNCTION("""COMPUTED_VALUE"""),"Gandes")</f>
        <v>Gandes</v>
      </c>
      <c r="H2400" s="7">
        <f t="shared" si="1"/>
        <v>957</v>
      </c>
    </row>
    <row r="2401" ht="22.5" customHeight="1">
      <c r="B2401" s="7" t="str">
        <f>IFERROR(__xludf.DUMMYFUNCTION("""COMPUTED_VALUE"""),"K/46/191224/1")</f>
        <v>K/46/191224/1</v>
      </c>
      <c r="C2401" s="7" t="str">
        <f>IFERROR(__xludf.DUMMYFUNCTION("""COMPUTED_VALUE"""),"M.11875/SEGALA MIDER")</f>
        <v>M.11875/SEGALA MIDER</v>
      </c>
      <c r="D2401" s="7" t="str">
        <f>IFERROR(__xludf.DUMMYFUNCTION("""COMPUTED_VALUE"""),"David")</f>
        <v>David</v>
      </c>
      <c r="E2401" s="7" t="str">
        <f>IFERROR(__xludf.DUMMYFUNCTION("""COMPUTED_VALUE"""),"PROSES")</f>
        <v>PROSES</v>
      </c>
      <c r="F2401" s="9" t="str">
        <f>IFERROR(__xludf.DUMMYFUNCTION("""COMPUTED_VALUE"""),"")</f>
        <v/>
      </c>
      <c r="G2401" s="7" t="str">
        <f>IFERROR(__xludf.DUMMYFUNCTION("""COMPUTED_VALUE"""),"BN JUAL BELI")</f>
        <v>BN JUAL BELI</v>
      </c>
      <c r="H2401" s="7">
        <f t="shared" si="1"/>
        <v>957</v>
      </c>
    </row>
    <row r="2402" ht="22.5" customHeight="1">
      <c r="B2402" s="7" t="str">
        <f>IFERROR(__xludf.DUMMYFUNCTION("""COMPUTED_VALUE"""),"K/45/191224/3")</f>
        <v>K/45/191224/3</v>
      </c>
      <c r="C2402" s="7" t="str">
        <f>IFERROR(__xludf.DUMMYFUNCTION("""COMPUTED_VALUE"""),"M. 1083/ Beringin Raya")</f>
        <v>M. 1083/ Beringin Raya</v>
      </c>
      <c r="D2402" s="7" t="str">
        <f>IFERROR(__xludf.DUMMYFUNCTION("""COMPUTED_VALUE"""),"David")</f>
        <v>David</v>
      </c>
      <c r="E2402" s="7" t="str">
        <f>IFERROR(__xludf.DUMMYFUNCTION("""COMPUTED_VALUE"""),"DISERAHKAN")</f>
        <v>DISERAHKAN</v>
      </c>
      <c r="F2402" s="9">
        <f>IFERROR(__xludf.DUMMYFUNCTION("""COMPUTED_VALUE"""),45649.70639633102)</f>
        <v>45649.7064</v>
      </c>
      <c r="G2402" s="7" t="str">
        <f>IFERROR(__xludf.DUMMYFUNCTION("""COMPUTED_VALUE"""),"Gandes")</f>
        <v>Gandes</v>
      </c>
      <c r="H2402" s="7">
        <f t="shared" si="1"/>
        <v>958</v>
      </c>
    </row>
    <row r="2403" ht="22.5" customHeight="1">
      <c r="B2403" s="7" t="str">
        <f>IFERROR(__xludf.DUMMYFUNCTION("""COMPUTED_VALUE"""),"K/47/191224/2")</f>
        <v>K/47/191224/2</v>
      </c>
      <c r="C2403" s="7" t="str">
        <f>IFERROR(__xludf.DUMMYFUNCTION("""COMPUTED_VALUE"""),"M.1891/BERINGIN JAYA")</f>
        <v>M.1891/BERINGIN JAYA</v>
      </c>
      <c r="D2403" s="7" t="str">
        <f>IFERROR(__xludf.DUMMYFUNCTION("""COMPUTED_VALUE"""),"David")</f>
        <v>David</v>
      </c>
      <c r="E2403" s="7" t="str">
        <f>IFERROR(__xludf.DUMMYFUNCTION("""COMPUTED_VALUE"""),"DISERAHKAN")</f>
        <v>DISERAHKAN</v>
      </c>
      <c r="F2403" s="9">
        <f>IFERROR(__xludf.DUMMYFUNCTION("""COMPUTED_VALUE"""),45649.70648168982)</f>
        <v>45649.70648</v>
      </c>
      <c r="G2403" s="7" t="str">
        <f>IFERROR(__xludf.DUMMYFUNCTION("""COMPUTED_VALUE"""),"PEMECAHAN")</f>
        <v>PEMECAHAN</v>
      </c>
      <c r="H2403" s="7">
        <f t="shared" si="1"/>
        <v>959</v>
      </c>
    </row>
    <row r="2404" ht="22.5" customHeight="1">
      <c r="B2404" s="7" t="str">
        <f>IFERROR(__xludf.DUMMYFUNCTION("""COMPUTED_VALUE"""),"K/49/191224/1")</f>
        <v>K/49/191224/1</v>
      </c>
      <c r="C2404" s="7" t="str">
        <f>IFERROR(__xludf.DUMMYFUNCTION("""COMPUTED_VALUE"""),"M. 1025/ Bumi Kedamaian")</f>
        <v>M. 1025/ Bumi Kedamaian</v>
      </c>
      <c r="D2404" s="7" t="str">
        <f>IFERROR(__xludf.DUMMYFUNCTION("""COMPUTED_VALUE"""),"David")</f>
        <v>David</v>
      </c>
      <c r="E2404" s="7" t="str">
        <f>IFERROR(__xludf.DUMMYFUNCTION("""COMPUTED_VALUE"""),"PROSES")</f>
        <v>PROSES</v>
      </c>
      <c r="F2404" s="9" t="str">
        <f>IFERROR(__xludf.DUMMYFUNCTION("""COMPUTED_VALUE"""),"")</f>
        <v/>
      </c>
      <c r="G2404" s="7" t="str">
        <f>IFERROR(__xludf.DUMMYFUNCTION("""COMPUTED_VALUE"""),"BN JUAL BELI")</f>
        <v>BN JUAL BELI</v>
      </c>
      <c r="H2404" s="7">
        <f t="shared" si="1"/>
        <v>959</v>
      </c>
    </row>
    <row r="2405" ht="22.5" customHeight="1">
      <c r="B2405" s="7" t="str">
        <f>IFERROR(__xludf.DUMMYFUNCTION("""COMPUTED_VALUE"""),"K/48/191224/3")</f>
        <v>K/48/191224/3</v>
      </c>
      <c r="C2405" s="7" t="str">
        <f>IFERROR(__xludf.DUMMYFUNCTION("""COMPUTED_VALUE"""),"M.2129/GEDONG AIR")</f>
        <v>M.2129/GEDONG AIR</v>
      </c>
      <c r="D2405" s="7" t="str">
        <f>IFERROR(__xludf.DUMMYFUNCTION("""COMPUTED_VALUE"""),"David")</f>
        <v>David</v>
      </c>
      <c r="E2405" s="7" t="str">
        <f>IFERROR(__xludf.DUMMYFUNCTION("""COMPUTED_VALUE"""),"DISERAHKAN")</f>
        <v>DISERAHKAN</v>
      </c>
      <c r="F2405" s="9">
        <f>IFERROR(__xludf.DUMMYFUNCTION("""COMPUTED_VALUE"""),45649.706781851855)</f>
        <v>45649.70678</v>
      </c>
      <c r="G2405" s="7" t="str">
        <f>IFERROR(__xludf.DUMMYFUNCTION("""COMPUTED_VALUE"""),"PEMECAHAN")</f>
        <v>PEMECAHAN</v>
      </c>
      <c r="H2405" s="7">
        <f t="shared" si="1"/>
        <v>960</v>
      </c>
    </row>
    <row r="2406" ht="22.5" customHeight="1">
      <c r="B2406" s="7" t="str">
        <f>IFERROR(__xludf.DUMMYFUNCTION("""COMPUTED_VALUE"""),"K/1/201224/1")</f>
        <v>K/1/201224/1</v>
      </c>
      <c r="C2406" s="7" t="str">
        <f>IFERROR(__xludf.DUMMYFUNCTION("""COMPUTED_VALUE"""),"M. 2463/ Beringin Raya")</f>
        <v>M. 2463/ Beringin Raya</v>
      </c>
      <c r="D2406" s="7" t="str">
        <f>IFERROR(__xludf.DUMMYFUNCTION("""COMPUTED_VALUE"""),"David")</f>
        <v>David</v>
      </c>
      <c r="E2406" s="7" t="str">
        <f>IFERROR(__xludf.DUMMYFUNCTION("""COMPUTED_VALUE"""),"PROSES")</f>
        <v>PROSES</v>
      </c>
      <c r="F2406" s="9" t="str">
        <f>IFERROR(__xludf.DUMMYFUNCTION("""COMPUTED_VALUE"""),"")</f>
        <v/>
      </c>
      <c r="G2406" s="7" t="str">
        <f>IFERROR(__xludf.DUMMYFUNCTION("""COMPUTED_VALUE"""),"BN JUAL BELI")</f>
        <v>BN JUAL BELI</v>
      </c>
      <c r="H2406" s="7">
        <f t="shared" si="1"/>
        <v>960</v>
      </c>
    </row>
    <row r="2407" ht="22.5" customHeight="1">
      <c r="B2407" s="7" t="str">
        <f>IFERROR(__xludf.DUMMYFUNCTION("""COMPUTED_VALUE"""),"K/2/201224/1")</f>
        <v>K/2/201224/1</v>
      </c>
      <c r="C2407" s="7" t="str">
        <f>IFERROR(__xludf.DUMMYFUNCTION("""COMPUTED_VALUE"""),"B. 675/ Sumber Agung")</f>
        <v>B. 675/ Sumber Agung</v>
      </c>
      <c r="D2407" s="7"/>
      <c r="E2407" s="7"/>
      <c r="F2407" s="9" t="str">
        <f>IFERROR(__xludf.DUMMYFUNCTION("""COMPUTED_VALUE"""),"")</f>
        <v/>
      </c>
      <c r="G2407" s="7" t="str">
        <f>IFERROR(__xludf.DUMMYFUNCTION("""COMPUTED_VALUE"""),"BN Jual Beli")</f>
        <v>BN Jual Beli</v>
      </c>
      <c r="H2407" s="7">
        <f t="shared" si="1"/>
        <v>960</v>
      </c>
    </row>
    <row r="2408" ht="22.5" customHeight="1">
      <c r="B2408" s="7" t="str">
        <f>IFERROR(__xludf.DUMMYFUNCTION("""COMPUTED_VALUE"""),"K/3/201224/1")</f>
        <v>K/3/201224/1</v>
      </c>
      <c r="C2408" s="7" t="str">
        <f>IFERROR(__xludf.DUMMYFUNCTION("""COMPUTED_VALUE"""),"M. 12682/ Kedamaian")</f>
        <v>M. 12682/ Kedamaian</v>
      </c>
      <c r="D2408" s="7" t="str">
        <f>IFERROR(__xludf.DUMMYFUNCTION("""COMPUTED_VALUE"""),"David")</f>
        <v>David</v>
      </c>
      <c r="E2408" s="7" t="str">
        <f>IFERROR(__xludf.DUMMYFUNCTION("""COMPUTED_VALUE"""),"PROSES")</f>
        <v>PROSES</v>
      </c>
      <c r="F2408" s="9" t="str">
        <f>IFERROR(__xludf.DUMMYFUNCTION("""COMPUTED_VALUE"""),"")</f>
        <v/>
      </c>
      <c r="G2408" s="7" t="str">
        <f>IFERROR(__xludf.DUMMYFUNCTION("""COMPUTED_VALUE"""),"BN JUAL BELI")</f>
        <v>BN JUAL BELI</v>
      </c>
      <c r="H2408" s="7">
        <f t="shared" si="1"/>
        <v>960</v>
      </c>
    </row>
    <row r="2409" ht="22.5" customHeight="1">
      <c r="B2409" s="7" t="str">
        <f>IFERROR(__xludf.DUMMYFUNCTION("""COMPUTED_VALUE"""),"L/4/201224/1")</f>
        <v>L/4/201224/1</v>
      </c>
      <c r="C2409" s="7" t="str">
        <f>IFERROR(__xludf.DUMMYFUNCTION("""COMPUTED_VALUE"""),"HGB 242/JAGABAYA II")</f>
        <v>HGB 242/JAGABAYA II</v>
      </c>
      <c r="D2409" s="7"/>
      <c r="E2409" s="7"/>
      <c r="F2409" s="9" t="str">
        <f>IFERROR(__xludf.DUMMYFUNCTION("""COMPUTED_VALUE"""),"")</f>
        <v/>
      </c>
      <c r="G2409" s="7" t="str">
        <f>IFERROR(__xludf.DUMMYFUNCTION("""COMPUTED_VALUE"""),"PERTAMA KALI (HGB MATI)")</f>
        <v>PERTAMA KALI (HGB MATI)</v>
      </c>
      <c r="H2409" s="7">
        <f t="shared" si="1"/>
        <v>960</v>
      </c>
    </row>
    <row r="2410" ht="22.5" customHeight="1">
      <c r="B2410" s="7" t="str">
        <f>IFERROR(__xludf.DUMMYFUNCTION("""COMPUTED_VALUE"""),"K/5/201224/1")</f>
        <v>K/5/201224/1</v>
      </c>
      <c r="C2410" s="7" t="str">
        <f>IFERROR(__xludf.DUMMYFUNCTION("""COMPUTED_VALUE"""),"B. 645/ Jagabaya III; B. 4216/ Sukarame-dahulu")</f>
        <v>B. 645/ Jagabaya III; B. 4216/ Sukarame-dahulu</v>
      </c>
      <c r="D2410" s="7" t="str">
        <f>IFERROR(__xludf.DUMMYFUNCTION("""COMPUTED_VALUE"""),"David")</f>
        <v>David</v>
      </c>
      <c r="E2410" s="7" t="str">
        <f>IFERROR(__xludf.DUMMYFUNCTION("""COMPUTED_VALUE"""),"DISERAHKAN")</f>
        <v>DISERAHKAN</v>
      </c>
      <c r="F2410" s="9">
        <f>IFERROR(__xludf.DUMMYFUNCTION("""COMPUTED_VALUE"""),45649.707049606484)</f>
        <v>45649.70705</v>
      </c>
      <c r="G2410" s="7" t="str">
        <f>IFERROR(__xludf.DUMMYFUNCTION("""COMPUTED_VALUE"""),"Perubahan Hak")</f>
        <v>Perubahan Hak</v>
      </c>
      <c r="H2410" s="7">
        <f t="shared" si="1"/>
        <v>961</v>
      </c>
    </row>
    <row r="2411" ht="22.5" customHeight="1">
      <c r="B2411" s="7" t="str">
        <f>IFERROR(__xludf.DUMMYFUNCTION("""COMPUTED_VALUE"""),"K/6/201224/2")</f>
        <v>K/6/201224/2</v>
      </c>
      <c r="C2411" s="7" t="str">
        <f>IFERROR(__xludf.DUMMYFUNCTION("""COMPUTED_VALUE"""),"Nibel. B. 8291/ Sukabumi")</f>
        <v>Nibel. B. 8291/ Sukabumi</v>
      </c>
      <c r="D2411" s="7"/>
      <c r="E2411" s="7"/>
      <c r="F2411" s="9" t="str">
        <f>IFERROR(__xludf.DUMMYFUNCTION("""COMPUTED_VALUE"""),"")</f>
        <v/>
      </c>
      <c r="G2411" s="7" t="str">
        <f>IFERROR(__xludf.DUMMYFUNCTION("""COMPUTED_VALUE"""),"Perubahan Hak")</f>
        <v>Perubahan Hak</v>
      </c>
      <c r="H2411" s="7">
        <f t="shared" si="1"/>
        <v>961</v>
      </c>
    </row>
    <row r="2412" ht="22.5" customHeight="1">
      <c r="B2412" s="7" t="str">
        <f>IFERROR(__xludf.DUMMYFUNCTION("""COMPUTED_VALUE"""),"K/7/201224/1")</f>
        <v>K/7/201224/1</v>
      </c>
      <c r="C2412" s="7" t="str">
        <f>IFERROR(__xludf.DUMMYFUNCTION("""COMPUTED_VALUE"""),"M. 865/ Tanjung Gading")</f>
        <v>M. 865/ Tanjung Gading</v>
      </c>
      <c r="D2412" s="7"/>
      <c r="E2412" s="7"/>
      <c r="F2412" s="9" t="str">
        <f>IFERROR(__xludf.DUMMYFUNCTION("""COMPUTED_VALUE"""),"")</f>
        <v/>
      </c>
      <c r="G2412" s="7" t="str">
        <f>IFERROR(__xludf.DUMMYFUNCTION("""COMPUTED_VALUE"""),"ROYA")</f>
        <v>ROYA</v>
      </c>
      <c r="H2412" s="7">
        <f t="shared" si="1"/>
        <v>961</v>
      </c>
    </row>
    <row r="2413" ht="22.5" customHeight="1">
      <c r="B2413" s="7" t="str">
        <f>IFERROR(__xludf.DUMMYFUNCTION("""COMPUTED_VALUE"""),"K/8/201224/2")</f>
        <v>K/8/201224/2</v>
      </c>
      <c r="C2413" s="7" t="str">
        <f>IFERROR(__xludf.DUMMYFUNCTION("""COMPUTED_VALUE"""),"M. 235/ Tanjung Gading")</f>
        <v>M. 235/ Tanjung Gading</v>
      </c>
      <c r="D2413" s="7"/>
      <c r="E2413" s="7"/>
      <c r="F2413" s="9" t="str">
        <f>IFERROR(__xludf.DUMMYFUNCTION("""COMPUTED_VALUE"""),"")</f>
        <v/>
      </c>
      <c r="G2413" s="7" t="str">
        <f>IFERROR(__xludf.DUMMYFUNCTION("""COMPUTED_VALUE"""),"PLOTTING")</f>
        <v>PLOTTING</v>
      </c>
      <c r="H2413" s="7">
        <f t="shared" si="1"/>
        <v>961</v>
      </c>
    </row>
    <row r="2414" ht="22.5" customHeight="1">
      <c r="B2414" s="7" t="str">
        <f>IFERROR(__xludf.DUMMYFUNCTION("""COMPUTED_VALUE"""),"K/9/201224/3")</f>
        <v>K/9/201224/3</v>
      </c>
      <c r="C2414" s="7" t="str">
        <f>IFERROR(__xludf.DUMMYFUNCTION("""COMPUTED_VALUE"""),"M. 936/ Talang")</f>
        <v>M. 936/ Talang</v>
      </c>
      <c r="D2414" s="7"/>
      <c r="E2414" s="7"/>
      <c r="F2414" s="9" t="str">
        <f>IFERROR(__xludf.DUMMYFUNCTION("""COMPUTED_VALUE"""),"")</f>
        <v/>
      </c>
      <c r="G2414" s="7" t="str">
        <f>IFERROR(__xludf.DUMMYFUNCTION("""COMPUTED_VALUE"""),"PLOTTING")</f>
        <v>PLOTTING</v>
      </c>
      <c r="H2414" s="7">
        <f t="shared" si="1"/>
        <v>961</v>
      </c>
    </row>
    <row r="2415" ht="22.5" customHeight="1">
      <c r="B2415" s="7" t="str">
        <f>IFERROR(__xludf.DUMMYFUNCTION("""COMPUTED_VALUE"""),"K/10/201224/1")</f>
        <v>K/10/201224/1</v>
      </c>
      <c r="C2415" s="7" t="str">
        <f>IFERROR(__xludf.DUMMYFUNCTION("""COMPUTED_VALUE"""),"M. 8940/ Surabaya")</f>
        <v>M. 8940/ Surabaya</v>
      </c>
      <c r="D2415" s="7"/>
      <c r="E2415" s="7"/>
      <c r="F2415" s="9" t="str">
        <f>IFERROR(__xludf.DUMMYFUNCTION("""COMPUTED_VALUE"""),"")</f>
        <v/>
      </c>
      <c r="G2415" s="7" t="str">
        <f>IFERROR(__xludf.DUMMYFUNCTION("""COMPUTED_VALUE"""),"PENGECEKKAN")</f>
        <v>PENGECEKKAN</v>
      </c>
      <c r="H2415" s="7">
        <f t="shared" si="1"/>
        <v>961</v>
      </c>
    </row>
    <row r="2416" ht="22.5" customHeight="1">
      <c r="B2416" s="7" t="str">
        <f>IFERROR(__xludf.DUMMYFUNCTION("""COMPUTED_VALUE"""),"K/11/201224/2")</f>
        <v>K/11/201224/2</v>
      </c>
      <c r="C2416" s="7" t="str">
        <f>IFERROR(__xludf.DUMMYFUNCTION("""COMPUTED_VALUE"""),"M. 1415/ Labuhan dalam")</f>
        <v>M. 1415/ Labuhan dalam</v>
      </c>
      <c r="D2416" s="7"/>
      <c r="E2416" s="7"/>
      <c r="F2416" s="9" t="str">
        <f>IFERROR(__xludf.DUMMYFUNCTION("""COMPUTED_VALUE"""),"")</f>
        <v/>
      </c>
      <c r="G2416" s="7" t="str">
        <f>IFERROR(__xludf.DUMMYFUNCTION("""COMPUTED_VALUE"""),"PENGECEKKAN")</f>
        <v>PENGECEKKAN</v>
      </c>
      <c r="H2416" s="7">
        <f t="shared" si="1"/>
        <v>961</v>
      </c>
    </row>
    <row r="2417" ht="22.5" customHeight="1">
      <c r="B2417" s="7" t="str">
        <f>IFERROR(__xludf.DUMMYFUNCTION("""COMPUTED_VALUE"""),"K/12/201224/3")</f>
        <v>K/12/201224/3</v>
      </c>
      <c r="C2417" s="7" t="str">
        <f>IFERROR(__xludf.DUMMYFUNCTION("""COMPUTED_VALUE"""),"M. 5809/ Surabaya")</f>
        <v>M. 5809/ Surabaya</v>
      </c>
      <c r="D2417" s="7"/>
      <c r="E2417" s="7"/>
      <c r="F2417" s="9" t="str">
        <f>IFERROR(__xludf.DUMMYFUNCTION("""COMPUTED_VALUE"""),"")</f>
        <v/>
      </c>
      <c r="G2417" s="7" t="str">
        <f>IFERROR(__xludf.DUMMYFUNCTION("""COMPUTED_VALUE"""),"PENGECEKKAB")</f>
        <v>PENGECEKKAB</v>
      </c>
      <c r="H2417" s="7">
        <f t="shared" si="1"/>
        <v>961</v>
      </c>
    </row>
    <row r="2418" ht="22.5" customHeight="1">
      <c r="B2418" s="7" t="str">
        <f>IFERROR(__xludf.DUMMYFUNCTION("""COMPUTED_VALUE"""),"K/13/201224/4")</f>
        <v>K/13/201224/4</v>
      </c>
      <c r="C2418" s="7" t="str">
        <f>IFERROR(__xludf.DUMMYFUNCTION("""COMPUTED_VALUE"""),"M. 9894/ Surabaya")</f>
        <v>M. 9894/ Surabaya</v>
      </c>
      <c r="D2418" s="7" t="str">
        <f>IFERROR(__xludf.DUMMYFUNCTION("""COMPUTED_VALUE"""),"David")</f>
        <v>David</v>
      </c>
      <c r="E2418" s="7" t="str">
        <f>IFERROR(__xludf.DUMMYFUNCTION("""COMPUTED_VALUE"""),"PROSES")</f>
        <v>PROSES</v>
      </c>
      <c r="F2418" s="9" t="str">
        <f>IFERROR(__xludf.DUMMYFUNCTION("""COMPUTED_VALUE"""),"")</f>
        <v/>
      </c>
      <c r="G2418" s="7" t="str">
        <f>IFERROR(__xludf.DUMMYFUNCTION("""COMPUTED_VALUE"""),"PENGECEKKAN")</f>
        <v>PENGECEKKAN</v>
      </c>
      <c r="H2418" s="7">
        <f t="shared" si="1"/>
        <v>961</v>
      </c>
    </row>
    <row r="2419" ht="22.5" customHeight="1">
      <c r="B2419" s="7" t="str">
        <f>IFERROR(__xludf.DUMMYFUNCTION("""COMPUTED_VALUE"""),"K/14/201224/5")</f>
        <v>K/14/201224/5</v>
      </c>
      <c r="C2419" s="7" t="str">
        <f>IFERROR(__xludf.DUMMYFUNCTION("""COMPUTED_VALUE"""),"M. 9899/ Surabaya")</f>
        <v>M. 9899/ Surabaya</v>
      </c>
      <c r="D2419" s="7" t="str">
        <f>IFERROR(__xludf.DUMMYFUNCTION("""COMPUTED_VALUE"""),"David")</f>
        <v>David</v>
      </c>
      <c r="E2419" s="7" t="str">
        <f>IFERROR(__xludf.DUMMYFUNCTION("""COMPUTED_VALUE"""),"DISERAHKAN")</f>
        <v>DISERAHKAN</v>
      </c>
      <c r="F2419" s="9">
        <f>IFERROR(__xludf.DUMMYFUNCTION("""COMPUTED_VALUE"""),45649.707257291666)</f>
        <v>45649.70726</v>
      </c>
      <c r="G2419" s="7" t="str">
        <f>IFERROR(__xludf.DUMMYFUNCTION("""COMPUTED_VALUE"""),"PENGECEKKAN")</f>
        <v>PENGECEKKAN</v>
      </c>
      <c r="H2419" s="7">
        <f t="shared" si="1"/>
        <v>962</v>
      </c>
    </row>
    <row r="2420" ht="22.5" customHeight="1">
      <c r="B2420" s="7" t="str">
        <f>IFERROR(__xludf.DUMMYFUNCTION("""COMPUTED_VALUE"""),"K/15/201224/1")</f>
        <v>K/15/201224/1</v>
      </c>
      <c r="C2420" s="7" t="str">
        <f>IFERROR(__xludf.DUMMYFUNCTION("""COMPUTED_VALUE"""),"B. 1001/ Campang Jaya")</f>
        <v>B. 1001/ Campang Jaya</v>
      </c>
      <c r="D2420" s="7"/>
      <c r="E2420" s="7"/>
      <c r="F2420" s="9" t="str">
        <f>IFERROR(__xludf.DUMMYFUNCTION("""COMPUTED_VALUE"""),"")</f>
        <v/>
      </c>
      <c r="G2420" s="7" t="str">
        <f>IFERROR(__xludf.DUMMYFUNCTION("""COMPUTED_VALUE"""),"BN Jual Beli")</f>
        <v>BN Jual Beli</v>
      </c>
      <c r="H2420" s="7">
        <f t="shared" si="1"/>
        <v>962</v>
      </c>
    </row>
    <row r="2421" ht="22.5" customHeight="1">
      <c r="B2421" s="7" t="str">
        <f>IFERROR(__xludf.DUMMYFUNCTION("""COMPUTED_VALUE"""),"K/16/201224/2")</f>
        <v>K/16/201224/2</v>
      </c>
      <c r="C2421" s="7" t="str">
        <f>IFERROR(__xludf.DUMMYFUNCTION("""COMPUTED_VALUE"""),"M. 1986/ Gunung Terang")</f>
        <v>M. 1986/ Gunung Terang</v>
      </c>
      <c r="D2421" s="7"/>
      <c r="E2421" s="7"/>
      <c r="F2421" s="9" t="str">
        <f>IFERROR(__xludf.DUMMYFUNCTION("""COMPUTED_VALUE"""),"")</f>
        <v/>
      </c>
      <c r="G2421" s="7" t="str">
        <f>IFERROR(__xludf.DUMMYFUNCTION("""COMPUTED_VALUE"""),"BN Jual Beli")</f>
        <v>BN Jual Beli</v>
      </c>
      <c r="H2421" s="7">
        <f t="shared" si="1"/>
        <v>962</v>
      </c>
    </row>
    <row r="2422" ht="22.5" customHeight="1">
      <c r="B2422" s="7" t="str">
        <f>IFERROR(__xludf.DUMMYFUNCTION("""COMPUTED_VALUE"""),"K/17/201224/1")</f>
        <v>K/17/201224/1</v>
      </c>
      <c r="C2422" s="7" t="str">
        <f>IFERROR(__xludf.DUMMYFUNCTION("""COMPUTED_VALUE"""),"M. 12971/ Sukarame")</f>
        <v>M. 12971/ Sukarame</v>
      </c>
      <c r="D2422" s="7"/>
      <c r="E2422" s="7"/>
      <c r="F2422" s="9" t="str">
        <f>IFERROR(__xludf.DUMMYFUNCTION("""COMPUTED_VALUE"""),"")</f>
        <v/>
      </c>
      <c r="G2422" s="7" t="str">
        <f>IFERROR(__xludf.DUMMYFUNCTION("""COMPUTED_VALUE"""),"Gandes")</f>
        <v>Gandes</v>
      </c>
      <c r="H2422" s="7">
        <f t="shared" si="1"/>
        <v>962</v>
      </c>
    </row>
    <row r="2423" ht="22.5" customHeight="1">
      <c r="B2423" s="7" t="str">
        <f>IFERROR(__xludf.DUMMYFUNCTION("""COMPUTED_VALUE"""),"K/18/201224/2")</f>
        <v>K/18/201224/2</v>
      </c>
      <c r="C2423" s="7" t="str">
        <f>IFERROR(__xludf.DUMMYFUNCTION("""COMPUTED_VALUE"""),"M. 944/ Kemiling Permai")</f>
        <v>M. 944/ Kemiling Permai</v>
      </c>
      <c r="D2423" s="7" t="str">
        <f>IFERROR(__xludf.DUMMYFUNCTION("""COMPUTED_VALUE"""),"David")</f>
        <v>David</v>
      </c>
      <c r="E2423" s="7" t="str">
        <f>IFERROR(__xludf.DUMMYFUNCTION("""COMPUTED_VALUE"""),"DISERAHKAN")</f>
        <v>DISERAHKAN</v>
      </c>
      <c r="F2423" s="9">
        <f>IFERROR(__xludf.DUMMYFUNCTION("""COMPUTED_VALUE"""),45649.707376446764)</f>
        <v>45649.70738</v>
      </c>
      <c r="G2423" s="7" t="str">
        <f>IFERROR(__xludf.DUMMYFUNCTION("""COMPUTED_VALUE"""),"Pengecekan")</f>
        <v>Pengecekan</v>
      </c>
      <c r="H2423" s="7">
        <f t="shared" si="1"/>
        <v>963</v>
      </c>
    </row>
    <row r="2424" ht="22.5" customHeight="1">
      <c r="B2424" s="7" t="str">
        <f>IFERROR(__xludf.DUMMYFUNCTION("""COMPUTED_VALUE"""),"L/19/201224/1")</f>
        <v>L/19/201224/1</v>
      </c>
      <c r="C2424" s="7" t="str">
        <f>IFERROR(__xludf.DUMMYFUNCTION("""COMPUTED_VALUE"""),"HM 11633/SUKABUMI")</f>
        <v>HM 11633/SUKABUMI</v>
      </c>
      <c r="D2424" s="7"/>
      <c r="E2424" s="7"/>
      <c r="F2424" s="9" t="str">
        <f>IFERROR(__xludf.DUMMYFUNCTION("""COMPUTED_VALUE"""),"")</f>
        <v/>
      </c>
      <c r="G2424" s="7" t="str">
        <f>IFERROR(__xludf.DUMMYFUNCTION("""COMPUTED_VALUE"""),"PTPGT")</f>
        <v>PTPGT</v>
      </c>
      <c r="H2424" s="7">
        <f t="shared" si="1"/>
        <v>963</v>
      </c>
    </row>
    <row r="2425" ht="22.5" customHeight="1">
      <c r="B2425" s="7" t="str">
        <f>IFERROR(__xludf.DUMMYFUNCTION("""COMPUTED_VALUE"""),"K/20/2012124/1")</f>
        <v>K/20/2012124/1</v>
      </c>
      <c r="C2425" s="7" t="str">
        <f>IFERROR(__xludf.DUMMYFUNCTION("""COMPUTED_VALUE"""),"M. 4391/ Tanjung Seneng")</f>
        <v>M. 4391/ Tanjung Seneng</v>
      </c>
      <c r="D2425" s="7" t="str">
        <f>IFERROR(__xludf.DUMMYFUNCTION("""COMPUTED_VALUE"""),"David")</f>
        <v>David</v>
      </c>
      <c r="E2425" s="7" t="str">
        <f>IFERROR(__xludf.DUMMYFUNCTION("""COMPUTED_VALUE"""),"DISERAHKAN")</f>
        <v>DISERAHKAN</v>
      </c>
      <c r="F2425" s="9">
        <f>IFERROR(__xludf.DUMMYFUNCTION("""COMPUTED_VALUE"""),45649.70746140047)</f>
        <v>45649.70746</v>
      </c>
      <c r="G2425" s="7" t="str">
        <f>IFERROR(__xludf.DUMMYFUNCTION("""COMPUTED_VALUE"""),"Roya")</f>
        <v>Roya</v>
      </c>
      <c r="H2425" s="7">
        <f t="shared" si="1"/>
        <v>964</v>
      </c>
    </row>
    <row r="2426" ht="22.5" customHeight="1">
      <c r="B2426" s="7" t="str">
        <f>IFERROR(__xludf.DUMMYFUNCTION("""COMPUTED_VALUE"""),"K/21/201224/1")</f>
        <v>K/21/201224/1</v>
      </c>
      <c r="C2426" s="7" t="str">
        <f>IFERROR(__xludf.DUMMYFUNCTION("""COMPUTED_VALUE"""),"M. 234/ Sukarame II")</f>
        <v>M. 234/ Sukarame II</v>
      </c>
      <c r="D2426" s="7"/>
      <c r="E2426" s="7"/>
      <c r="F2426" s="9" t="str">
        <f>IFERROR(__xludf.DUMMYFUNCTION("""COMPUTED_VALUE"""),"")</f>
        <v/>
      </c>
      <c r="G2426" s="7" t="str">
        <f>IFERROR(__xludf.DUMMYFUNCTION("""COMPUTED_VALUE"""),"PTPGT (Pemisahan)")</f>
        <v>PTPGT (Pemisahan)</v>
      </c>
      <c r="H2426" s="7">
        <f t="shared" si="1"/>
        <v>964</v>
      </c>
    </row>
    <row r="2427" ht="22.5" customHeight="1">
      <c r="B2427" s="7" t="str">
        <f>IFERROR(__xludf.DUMMYFUNCTION("""COMPUTED_VALUE"""),"K/22/201224/1")</f>
        <v>K/22/201224/1</v>
      </c>
      <c r="C2427" s="7" t="str">
        <f>IFERROR(__xludf.DUMMYFUNCTION("""COMPUTED_VALUE"""),"M. 14704/ Sukarame")</f>
        <v>M. 14704/ Sukarame</v>
      </c>
      <c r="D2427" s="7"/>
      <c r="E2427" s="7"/>
      <c r="F2427" s="9" t="str">
        <f>IFERROR(__xludf.DUMMYFUNCTION("""COMPUTED_VALUE"""),"")</f>
        <v/>
      </c>
      <c r="G2427" s="7" t="str">
        <f>IFERROR(__xludf.DUMMYFUNCTION("""COMPUTED_VALUE"""),"BN JUAL BELI")</f>
        <v>BN JUAL BELI</v>
      </c>
      <c r="H2427" s="7">
        <f t="shared" si="1"/>
        <v>964</v>
      </c>
    </row>
    <row r="2428" ht="22.5" customHeight="1">
      <c r="B2428" s="7" t="str">
        <f>IFERROR(__xludf.DUMMYFUNCTION("""COMPUTED_VALUE"""),"K/24/201224/1")</f>
        <v>K/24/201224/1</v>
      </c>
      <c r="C2428" s="7" t="str">
        <f>IFERROR(__xludf.DUMMYFUNCTION("""COMPUTED_VALUE"""),"Nibel 3696/ Beringin Raya")</f>
        <v>Nibel 3696/ Beringin Raya</v>
      </c>
      <c r="D2428" s="7" t="str">
        <f>IFERROR(__xludf.DUMMYFUNCTION("""COMPUTED_VALUE"""),"David")</f>
        <v>David</v>
      </c>
      <c r="E2428" s="7" t="str">
        <f>IFERROR(__xludf.DUMMYFUNCTION("""COMPUTED_VALUE"""),"PROSES")</f>
        <v>PROSES</v>
      </c>
      <c r="F2428" s="9" t="str">
        <f>IFERROR(__xludf.DUMMYFUNCTION("""COMPUTED_VALUE"""),"")</f>
        <v/>
      </c>
      <c r="G2428" s="7" t="str">
        <f>IFERROR(__xludf.DUMMYFUNCTION("""COMPUTED_VALUE"""),"GANTI KELURAHAN")</f>
        <v>GANTI KELURAHAN</v>
      </c>
      <c r="H2428" s="7">
        <f t="shared" si="1"/>
        <v>964</v>
      </c>
    </row>
    <row r="2429" ht="22.5" customHeight="1">
      <c r="B2429" s="7" t="str">
        <f>IFERROR(__xludf.DUMMYFUNCTION("""COMPUTED_VALUE"""),"K/25/201224/1")</f>
        <v>K/25/201224/1</v>
      </c>
      <c r="C2429" s="7" t="str">
        <f>IFERROR(__xludf.DUMMYFUNCTION("""COMPUTED_VALUE"""),"Nibel 2558/ Pesawahan")</f>
        <v>Nibel 2558/ Pesawahan</v>
      </c>
      <c r="D2429" s="7" t="str">
        <f>IFERROR(__xludf.DUMMYFUNCTION("""COMPUTED_VALUE"""),"David")</f>
        <v>David</v>
      </c>
      <c r="E2429" s="7" t="str">
        <f>IFERROR(__xludf.DUMMYFUNCTION("""COMPUTED_VALUE"""),"DISERAHKAN")</f>
        <v>DISERAHKAN</v>
      </c>
      <c r="F2429" s="9">
        <f>IFERROR(__xludf.DUMMYFUNCTION("""COMPUTED_VALUE"""),45649.70766118055)</f>
        <v>45649.70766</v>
      </c>
      <c r="G2429" s="7" t="str">
        <f>IFERROR(__xludf.DUMMYFUNCTION("""COMPUTED_VALUE"""),"SKPT LELANG")</f>
        <v>SKPT LELANG</v>
      </c>
      <c r="H2429" s="7">
        <f t="shared" si="1"/>
        <v>965</v>
      </c>
    </row>
    <row r="2430" ht="22.5" customHeight="1">
      <c r="B2430" s="7" t="str">
        <f>IFERROR(__xludf.DUMMYFUNCTION("""COMPUTED_VALUE"""),"K/26/201224/2")</f>
        <v>K/26/201224/2</v>
      </c>
      <c r="C2430" s="7" t="str">
        <f>IFERROR(__xludf.DUMMYFUNCTION("""COMPUTED_VALUE"""),"M. 15531/ Sukabumi")</f>
        <v>M. 15531/ Sukabumi</v>
      </c>
      <c r="D2430" s="7" t="str">
        <f>IFERROR(__xludf.DUMMYFUNCTION("""COMPUTED_VALUE"""),"David")</f>
        <v>David</v>
      </c>
      <c r="E2430" s="7" t="str">
        <f>IFERROR(__xludf.DUMMYFUNCTION("""COMPUTED_VALUE"""),"DISERAHKAN")</f>
        <v>DISERAHKAN</v>
      </c>
      <c r="F2430" s="9">
        <f>IFERROR(__xludf.DUMMYFUNCTION("""COMPUTED_VALUE"""),45649.70779421296)</f>
        <v>45649.70779</v>
      </c>
      <c r="G2430" s="7" t="str">
        <f>IFERROR(__xludf.DUMMYFUNCTION("""COMPUTED_VALUE"""),"BN JUAL BELI")</f>
        <v>BN JUAL BELI</v>
      </c>
      <c r="H2430" s="7">
        <f t="shared" si="1"/>
        <v>966</v>
      </c>
    </row>
    <row r="2431" ht="22.5" customHeight="1">
      <c r="B2431" s="7" t="str">
        <f>IFERROR(__xludf.DUMMYFUNCTION("""COMPUTED_VALUE"""),"L/28/201224/1")</f>
        <v>L/28/201224/1</v>
      </c>
      <c r="C2431" s="7" t="str">
        <f>IFERROR(__xludf.DUMMYFUNCTION("""COMPUTED_VALUE"""),"HM 1090/KEDAUNG")</f>
        <v>HM 1090/KEDAUNG</v>
      </c>
      <c r="D2431" s="7"/>
      <c r="E2431" s="7"/>
      <c r="F2431" s="9" t="str">
        <f>IFERROR(__xludf.DUMMYFUNCTION("""COMPUTED_VALUE"""),"")</f>
        <v/>
      </c>
      <c r="G2431" s="7" t="str">
        <f>IFERROR(__xludf.DUMMYFUNCTION("""COMPUTED_VALUE"""),"BN JUAL - BELI")</f>
        <v>BN JUAL - BELI</v>
      </c>
      <c r="H2431" s="7">
        <f t="shared" si="1"/>
        <v>966</v>
      </c>
    </row>
    <row r="2432" ht="22.5" customHeight="1">
      <c r="B2432" s="7" t="str">
        <f>IFERROR(__xludf.DUMMYFUNCTION("""COMPUTED_VALUE"""),"K/27/201224/3")</f>
        <v>K/27/201224/3</v>
      </c>
      <c r="C2432" s="7" t="str">
        <f>IFERROR(__xludf.DUMMYFUNCTION("""COMPUTED_VALUE"""),"M. 1765/ Rajabasa Nunyai")</f>
        <v>M. 1765/ Rajabasa Nunyai</v>
      </c>
      <c r="D2432" s="7"/>
      <c r="E2432" s="7"/>
      <c r="F2432" s="9" t="str">
        <f>IFERROR(__xludf.DUMMYFUNCTION("""COMPUTED_VALUE"""),"")</f>
        <v/>
      </c>
      <c r="G2432" s="7" t="str">
        <f>IFERROR(__xludf.DUMMYFUNCTION("""COMPUTED_VALUE"""),"BN JUAL BELI")</f>
        <v>BN JUAL BELI</v>
      </c>
      <c r="H2432" s="7">
        <f t="shared" si="1"/>
        <v>966</v>
      </c>
    </row>
    <row r="2433" ht="22.5" customHeight="1">
      <c r="B2433" s="7" t="str">
        <f>IFERROR(__xludf.DUMMYFUNCTION("""COMPUTED_VALUE"""),"K/23/201224/1")</f>
        <v>K/23/201224/1</v>
      </c>
      <c r="C2433" s="7" t="str">
        <f>IFERROR(__xludf.DUMMYFUNCTION("""COMPUTED_VALUE"""),"B.71/SUKARAJA")</f>
        <v>B.71/SUKARAJA</v>
      </c>
      <c r="D2433" s="7" t="str">
        <f>IFERROR(__xludf.DUMMYFUNCTION("""COMPUTED_VALUE"""),"David")</f>
        <v>David</v>
      </c>
      <c r="E2433" s="7" t="str">
        <f>IFERROR(__xludf.DUMMYFUNCTION("""COMPUTED_VALUE"""),"PROSES")</f>
        <v>PROSES</v>
      </c>
      <c r="F2433" s="9" t="str">
        <f>IFERROR(__xludf.DUMMYFUNCTION("""COMPUTED_VALUE"""),"")</f>
        <v/>
      </c>
      <c r="G2433" s="7" t="str">
        <f>IFERROR(__xludf.DUMMYFUNCTION("""COMPUTED_VALUE"""),"BLOKIR")</f>
        <v>BLOKIR</v>
      </c>
      <c r="H2433" s="7">
        <f t="shared" si="1"/>
        <v>966</v>
      </c>
    </row>
    <row r="2434" ht="22.5" customHeight="1">
      <c r="B2434" s="7" t="str">
        <f>IFERROR(__xludf.DUMMYFUNCTION("""COMPUTED_VALUE"""),"K/33/201224/1")</f>
        <v>K/33/201224/1</v>
      </c>
      <c r="C2434" s="7" t="str">
        <f>IFERROR(__xludf.DUMMYFUNCTION("""COMPUTED_VALUE"""),"NIBEL M. 2592/ BERINGIN RAYA")</f>
        <v>NIBEL M. 2592/ BERINGIN RAYA</v>
      </c>
      <c r="D2434" s="7" t="str">
        <f>IFERROR(__xludf.DUMMYFUNCTION("""COMPUTED_VALUE"""),"David")</f>
        <v>David</v>
      </c>
      <c r="E2434" s="7" t="str">
        <f>IFERROR(__xludf.DUMMYFUNCTION("""COMPUTED_VALUE"""),"PROSES")</f>
        <v>PROSES</v>
      </c>
      <c r="F2434" s="9" t="str">
        <f>IFERROR(__xludf.DUMMYFUNCTION("""COMPUTED_VALUE"""),"")</f>
        <v/>
      </c>
      <c r="G2434" s="7" t="str">
        <f>IFERROR(__xludf.DUMMYFUNCTION("""COMPUTED_VALUE"""),"BN JUAL BELI")</f>
        <v>BN JUAL BELI</v>
      </c>
      <c r="H2434" s="7">
        <f t="shared" si="1"/>
        <v>966</v>
      </c>
    </row>
    <row r="2435" ht="22.5" customHeight="1">
      <c r="B2435" s="7" t="str">
        <f>IFERROR(__xludf.DUMMYFUNCTION("""COMPUTED_VALUE"""),"L/34/201224/1")</f>
        <v>L/34/201224/1</v>
      </c>
      <c r="C2435" s="7" t="str">
        <f>IFERROR(__xludf.DUMMYFUNCTION("""COMPUTED_VALUE"""),"HM 2460/KEMILING PERMAI")</f>
        <v>HM 2460/KEMILING PERMAI</v>
      </c>
      <c r="D2435" s="7" t="str">
        <f>IFERROR(__xludf.DUMMYFUNCTION("""COMPUTED_VALUE"""),"David")</f>
        <v>David</v>
      </c>
      <c r="E2435" s="7" t="str">
        <f>IFERROR(__xludf.DUMMYFUNCTION("""COMPUTED_VALUE"""),"DISERAHKAN")</f>
        <v>DISERAHKAN</v>
      </c>
      <c r="F2435" s="9">
        <f>IFERROR(__xludf.DUMMYFUNCTION("""COMPUTED_VALUE"""),45649.7080765162)</f>
        <v>45649.70808</v>
      </c>
      <c r="G2435" s="7" t="str">
        <f>IFERROR(__xludf.DUMMYFUNCTION("""COMPUTED_VALUE"""),"ROYA")</f>
        <v>ROYA</v>
      </c>
      <c r="H2435" s="7">
        <f t="shared" si="1"/>
        <v>967</v>
      </c>
    </row>
    <row r="2436" ht="22.5" customHeight="1">
      <c r="B2436" s="7" t="str">
        <f>IFERROR(__xludf.DUMMYFUNCTION("""COMPUTED_VALUE"""),"K/29/201224/1")</f>
        <v>K/29/201224/1</v>
      </c>
      <c r="C2436" s="7" t="str">
        <f>IFERROR(__xludf.DUMMYFUNCTION("""COMPUTED_VALUE"""),"M. 487/ Kupang Teba")</f>
        <v>M. 487/ Kupang Teba</v>
      </c>
      <c r="D2436" s="7" t="str">
        <f>IFERROR(__xludf.DUMMYFUNCTION("""COMPUTED_VALUE"""),"David")</f>
        <v>David</v>
      </c>
      <c r="E2436" s="7" t="str">
        <f>IFERROR(__xludf.DUMMYFUNCTION("""COMPUTED_VALUE"""),"DISERAHKAN BT")</f>
        <v>DISERAHKAN BT</v>
      </c>
      <c r="F2436" s="9">
        <f>IFERROR(__xludf.DUMMYFUNCTION("""COMPUTED_VALUE"""),45649.70818465277)</f>
        <v>45649.70818</v>
      </c>
      <c r="G2436" s="7" t="str">
        <f>IFERROR(__xludf.DUMMYFUNCTION("""COMPUTED_VALUE"""),"BN Hibah")</f>
        <v>BN Hibah</v>
      </c>
      <c r="H2436" s="7">
        <f t="shared" si="1"/>
        <v>967</v>
      </c>
    </row>
    <row r="2437" ht="22.5" customHeight="1">
      <c r="B2437" s="7" t="str">
        <f>IFERROR(__xludf.DUMMYFUNCTION("""COMPUTED_VALUE"""),"K/30/201224/2")</f>
        <v>K/30/201224/2</v>
      </c>
      <c r="C2437" s="7" t="str">
        <f>IFERROR(__xludf.DUMMYFUNCTION("""COMPUTED_VALUE"""),"M. 1164/ Kupang Teba")</f>
        <v>M. 1164/ Kupang Teba</v>
      </c>
      <c r="D2437" s="7" t="str">
        <f>IFERROR(__xludf.DUMMYFUNCTION("""COMPUTED_VALUE"""),"David")</f>
        <v>David</v>
      </c>
      <c r="E2437" s="7" t="str">
        <f>IFERROR(__xludf.DUMMYFUNCTION("""COMPUTED_VALUE"""),"DISERAHKAN")</f>
        <v>DISERAHKAN</v>
      </c>
      <c r="F2437" s="9">
        <f>IFERROR(__xludf.DUMMYFUNCTION("""COMPUTED_VALUE"""),45649.70827207176)</f>
        <v>45649.70827</v>
      </c>
      <c r="G2437" s="7" t="str">
        <f>IFERROR(__xludf.DUMMYFUNCTION("""COMPUTED_VALUE"""),"BN Hibah")</f>
        <v>BN Hibah</v>
      </c>
      <c r="H2437" s="7">
        <f t="shared" si="1"/>
        <v>968</v>
      </c>
    </row>
    <row r="2438" ht="22.5" customHeight="1">
      <c r="B2438" s="7" t="str">
        <f>IFERROR(__xludf.DUMMYFUNCTION("""COMPUTED_VALUE"""),"K/31/201224/3")</f>
        <v>K/31/201224/3</v>
      </c>
      <c r="C2438" s="7" t="str">
        <f>IFERROR(__xludf.DUMMYFUNCTION("""COMPUTED_VALUE"""),"M. 339/ Pesawahan")</f>
        <v>M. 339/ Pesawahan</v>
      </c>
      <c r="D2438" s="7" t="str">
        <f>IFERROR(__xludf.DUMMYFUNCTION("""COMPUTED_VALUE"""),"David")</f>
        <v>David</v>
      </c>
      <c r="E2438" s="7" t="str">
        <f>IFERROR(__xludf.DUMMYFUNCTION("""COMPUTED_VALUE"""),"PROSES")</f>
        <v>PROSES</v>
      </c>
      <c r="F2438" s="9" t="str">
        <f>IFERROR(__xludf.DUMMYFUNCTION("""COMPUTED_VALUE"""),"")</f>
        <v/>
      </c>
      <c r="G2438" s="7" t="str">
        <f>IFERROR(__xludf.DUMMYFUNCTION("""COMPUTED_VALUE"""),"BN Waris")</f>
        <v>BN Waris</v>
      </c>
      <c r="H2438" s="7">
        <f t="shared" si="1"/>
        <v>968</v>
      </c>
    </row>
    <row r="2439" ht="22.5" customHeight="1">
      <c r="B2439" s="7" t="str">
        <f>IFERROR(__xludf.DUMMYFUNCTION("""COMPUTED_VALUE"""),"K/32/201224/4")</f>
        <v>K/32/201224/4</v>
      </c>
      <c r="C2439" s="7" t="str">
        <f>IFERROR(__xludf.DUMMYFUNCTION("""COMPUTED_VALUE"""),"B. 599/ Pesawahan")</f>
        <v>B. 599/ Pesawahan</v>
      </c>
      <c r="D2439" s="7"/>
      <c r="E2439" s="7"/>
      <c r="F2439" s="9" t="str">
        <f>IFERROR(__xludf.DUMMYFUNCTION("""COMPUTED_VALUE"""),"")</f>
        <v/>
      </c>
      <c r="G2439" s="7" t="str">
        <f>IFERROR(__xludf.DUMMYFUNCTION("""COMPUTED_VALUE"""),"BN Waris")</f>
        <v>BN Waris</v>
      </c>
      <c r="H2439" s="7">
        <f t="shared" si="1"/>
        <v>968</v>
      </c>
    </row>
    <row r="2440" ht="22.5" customHeight="1">
      <c r="B2440" s="7" t="str">
        <f>IFERROR(__xludf.DUMMYFUNCTION("""COMPUTED_VALUE"""),"K/36/201224/1")</f>
        <v>K/36/201224/1</v>
      </c>
      <c r="C2440" s="7" t="str">
        <f>IFERROR(__xludf.DUMMYFUNCTION("""COMPUTED_VALUE"""),"B.1205/SUKABUMI INDAH")</f>
        <v>B.1205/SUKABUMI INDAH</v>
      </c>
      <c r="D2440" s="7"/>
      <c r="E2440" s="7"/>
      <c r="F2440" s="9" t="str">
        <f>IFERROR(__xludf.DUMMYFUNCTION("""COMPUTED_VALUE"""),"")</f>
        <v/>
      </c>
      <c r="G2440" s="7" t="str">
        <f>IFERROR(__xludf.DUMMYFUNCTION("""COMPUTED_VALUE"""),"PENINGKATAN HAK")</f>
        <v>PENINGKATAN HAK</v>
      </c>
      <c r="H2440" s="7">
        <f t="shared" si="1"/>
        <v>968</v>
      </c>
    </row>
    <row r="2441" ht="22.5" customHeight="1">
      <c r="B2441" s="7" t="str">
        <f>IFERROR(__xludf.DUMMYFUNCTION("""COMPUTED_VALUE"""),"L/37/201224/1")</f>
        <v>L/37/201224/1</v>
      </c>
      <c r="C2441" s="7" t="str">
        <f>IFERROR(__xludf.DUMMYFUNCTION("""COMPUTED_VALUE"""),"HM 724/GOTONG ROYONG")</f>
        <v>HM 724/GOTONG ROYONG</v>
      </c>
      <c r="D2441" s="7" t="str">
        <f>IFERROR(__xludf.DUMMYFUNCTION("""COMPUTED_VALUE"""),"David")</f>
        <v>David</v>
      </c>
      <c r="E2441" s="7" t="str">
        <f>IFERROR(__xludf.DUMMYFUNCTION("""COMPUTED_VALUE"""),"DISERAHKAN")</f>
        <v>DISERAHKAN</v>
      </c>
      <c r="F2441" s="9">
        <f>IFERROR(__xludf.DUMMYFUNCTION("""COMPUTED_VALUE"""),45649.70850353009)</f>
        <v>45649.7085</v>
      </c>
      <c r="G2441" s="7" t="str">
        <f>IFERROR(__xludf.DUMMYFUNCTION("""COMPUTED_VALUE"""),"BLOKIR")</f>
        <v>BLOKIR</v>
      </c>
      <c r="H2441" s="7">
        <f t="shared" si="1"/>
        <v>969</v>
      </c>
    </row>
    <row r="2442" ht="22.5" customHeight="1">
      <c r="B2442" s="7" t="str">
        <f>IFERROR(__xludf.DUMMYFUNCTION("""COMPUTED_VALUE"""),"L/38/201224/2")</f>
        <v>L/38/201224/2</v>
      </c>
      <c r="C2442" s="7" t="str">
        <f>IFERROR(__xludf.DUMMYFUNCTION("""COMPUTED_VALUE"""),"HM 723/GOTONG ROYONG")</f>
        <v>HM 723/GOTONG ROYONG</v>
      </c>
      <c r="D2442" s="7"/>
      <c r="E2442" s="7"/>
      <c r="F2442" s="9" t="str">
        <f>IFERROR(__xludf.DUMMYFUNCTION("""COMPUTED_VALUE"""),"")</f>
        <v/>
      </c>
      <c r="G2442" s="7" t="str">
        <f>IFERROR(__xludf.DUMMYFUNCTION("""COMPUTED_VALUE"""),"BLOKIR")</f>
        <v>BLOKIR</v>
      </c>
      <c r="H2442" s="7">
        <f t="shared" si="1"/>
        <v>969</v>
      </c>
    </row>
    <row r="2443" ht="22.5" customHeight="1">
      <c r="B2443" s="7" t="str">
        <f>IFERROR(__xludf.DUMMYFUNCTION("""COMPUTED_VALUE"""),"L/35/201224/1")</f>
        <v>L/35/201224/1</v>
      </c>
      <c r="C2443" s="7" t="str">
        <f>IFERROR(__xludf.DUMMYFUNCTION("""COMPUTED_VALUE"""),"HM 378/SUMUR PUTRI")</f>
        <v>HM 378/SUMUR PUTRI</v>
      </c>
      <c r="D2443" s="7"/>
      <c r="E2443" s="7"/>
      <c r="F2443" s="9" t="str">
        <f>IFERROR(__xludf.DUMMYFUNCTION("""COMPUTED_VALUE"""),"")</f>
        <v/>
      </c>
      <c r="G2443" s="7" t="str">
        <f>IFERROR(__xludf.DUMMYFUNCTION("""COMPUTED_VALUE"""),"ROYA")</f>
        <v>ROYA</v>
      </c>
      <c r="H2443" s="7">
        <f t="shared" si="1"/>
        <v>969</v>
      </c>
    </row>
    <row r="2444" ht="22.5" customHeight="1">
      <c r="B2444" s="7" t="str">
        <f>IFERROR(__xludf.DUMMYFUNCTION("""COMPUTED_VALUE"""),"K/39/201224/1")</f>
        <v>K/39/201224/1</v>
      </c>
      <c r="C2444" s="7" t="str">
        <f>IFERROR(__xludf.DUMMYFUNCTION("""COMPUTED_VALUE"""),"Nibel. B. 3053/ Sukarame Baru")</f>
        <v>Nibel. B. 3053/ Sukarame Baru</v>
      </c>
      <c r="D2444" s="7" t="str">
        <f>IFERROR(__xludf.DUMMYFUNCTION("""COMPUTED_VALUE"""),"David")</f>
        <v>David</v>
      </c>
      <c r="E2444" s="7" t="str">
        <f>IFERROR(__xludf.DUMMYFUNCTION("""COMPUTED_VALUE"""),"DISERAHKAN")</f>
        <v>DISERAHKAN</v>
      </c>
      <c r="F2444" s="9">
        <f>IFERROR(__xludf.DUMMYFUNCTION("""COMPUTED_VALUE"""),45649.708649699074)</f>
        <v>45649.70865</v>
      </c>
      <c r="G2444" s="7" t="str">
        <f>IFERROR(__xludf.DUMMYFUNCTION("""COMPUTED_VALUE"""),"Perubahan Hak")</f>
        <v>Perubahan Hak</v>
      </c>
      <c r="H2444" s="7">
        <f t="shared" si="1"/>
        <v>970</v>
      </c>
    </row>
    <row r="2445" ht="22.5" customHeight="1">
      <c r="B2445" s="7" t="str">
        <f>IFERROR(__xludf.DUMMYFUNCTION("""COMPUTED_VALUE"""),"L/1/211224/1")</f>
        <v>L/1/211224/1</v>
      </c>
      <c r="C2445" s="7" t="str">
        <f>IFERROR(__xludf.DUMMYFUNCTION("""COMPUTED_VALUE"""),"M.5859/GUNUNG SULAH")</f>
        <v>M.5859/GUNUNG SULAH</v>
      </c>
      <c r="D2445" s="7" t="str">
        <f>IFERROR(__xludf.DUMMYFUNCTION("""COMPUTED_VALUE"""),"David")</f>
        <v>David</v>
      </c>
      <c r="E2445" s="7" t="str">
        <f>IFERROR(__xludf.DUMMYFUNCTION("""COMPUTED_VALUE"""),"PROSES")</f>
        <v>PROSES</v>
      </c>
      <c r="F2445" s="9" t="str">
        <f>IFERROR(__xludf.DUMMYFUNCTION("""COMPUTED_VALUE"""),"")</f>
        <v/>
      </c>
      <c r="G2445" s="7" t="str">
        <f>IFERROR(__xludf.DUMMYFUNCTION("""COMPUTED_VALUE"""),"GANDES")</f>
        <v>GANDES</v>
      </c>
      <c r="H2445" s="7">
        <f t="shared" si="1"/>
        <v>970</v>
      </c>
    </row>
    <row r="2446" ht="22.5" customHeight="1">
      <c r="B2446" s="7" t="str">
        <f>IFERROR(__xludf.DUMMYFUNCTION("""COMPUTED_VALUE"""),"L/1/221224/PELATARAN")</f>
        <v>L/1/221224/PELATARAN</v>
      </c>
      <c r="C2446" s="7" t="str">
        <f>IFERROR(__xludf.DUMMYFUNCTION("""COMPUTED_VALUE"""),"M.1732/SUKARAME I-SEKARANG;B.4078/SUKARAME I-DAHULU;")</f>
        <v>M.1732/SUKARAME I-SEKARANG;B.4078/SUKARAME I-DAHULU;</v>
      </c>
      <c r="D2446" s="7" t="str">
        <f>IFERROR(__xludf.DUMMYFUNCTION("""COMPUTED_VALUE"""),"David")</f>
        <v>David</v>
      </c>
      <c r="E2446" s="7" t="str">
        <f>IFERROR(__xludf.DUMMYFUNCTION("""COMPUTED_VALUE"""),"DISERAHKAN")</f>
        <v>DISERAHKAN</v>
      </c>
      <c r="F2446" s="9">
        <f>IFERROR(__xludf.DUMMYFUNCTION("""COMPUTED_VALUE"""),45649.70878152778)</f>
        <v>45649.70878</v>
      </c>
      <c r="G2446" s="7" t="str">
        <f>IFERROR(__xludf.DUMMYFUNCTION("""COMPUTED_VALUE"""),"ROYA")</f>
        <v>ROYA</v>
      </c>
      <c r="H2446" s="7">
        <f t="shared" si="1"/>
        <v>971</v>
      </c>
    </row>
    <row r="2447" ht="22.5" customHeight="1">
      <c r="B2447" s="7" t="str">
        <f>IFERROR(__xludf.DUMMYFUNCTION("""COMPUTED_VALUE"""),"K/1/231224/1")</f>
        <v>K/1/231224/1</v>
      </c>
      <c r="C2447" s="7" t="str">
        <f>IFERROR(__xludf.DUMMYFUNCTION("""COMPUTED_VALUE"""),"M. 224/ Tanjungraya")</f>
        <v>M. 224/ Tanjungraya</v>
      </c>
      <c r="D2447" s="7"/>
      <c r="E2447" s="7"/>
      <c r="F2447" s="9" t="str">
        <f>IFERROR(__xludf.DUMMYFUNCTION("""COMPUTED_VALUE"""),"")</f>
        <v/>
      </c>
      <c r="G2447" s="7" t="str">
        <f>IFERROR(__xludf.DUMMYFUNCTION("""COMPUTED_VALUE"""),"BN JUAL BELI")</f>
        <v>BN JUAL BELI</v>
      </c>
      <c r="H2447" s="7">
        <f t="shared" si="1"/>
        <v>971</v>
      </c>
    </row>
    <row r="2448" ht="22.5" customHeight="1">
      <c r="B2448" s="7" t="str">
        <f>IFERROR(__xludf.DUMMYFUNCTION("""COMPUTED_VALUE"""),"K/2/231224/1")</f>
        <v>K/2/231224/1</v>
      </c>
      <c r="C2448" s="7" t="str">
        <f>IFERROR(__xludf.DUMMYFUNCTION("""COMPUTED_VALUE"""),"M. 293/ Pahoman ")</f>
        <v>M. 293/ Pahoman </v>
      </c>
      <c r="D2448" s="7" t="str">
        <f>IFERROR(__xludf.DUMMYFUNCTION("""COMPUTED_VALUE"""),"David")</f>
        <v>David</v>
      </c>
      <c r="E2448" s="7" t="str">
        <f>IFERROR(__xludf.DUMMYFUNCTION("""COMPUTED_VALUE"""),"DISERAHKAN")</f>
        <v>DISERAHKAN</v>
      </c>
      <c r="F2448" s="9">
        <f>IFERROR(__xludf.DUMMYFUNCTION("""COMPUTED_VALUE"""),45649.70891025463)</f>
        <v>45649.70891</v>
      </c>
      <c r="G2448" s="7" t="str">
        <f>IFERROR(__xludf.DUMMYFUNCTION("""COMPUTED_VALUE"""),"Roya")</f>
        <v>Roya</v>
      </c>
      <c r="H2448" s="7">
        <f t="shared" si="1"/>
        <v>972</v>
      </c>
    </row>
    <row r="2449" ht="22.5" customHeight="1">
      <c r="B2449" s="7" t="str">
        <f>IFERROR(__xludf.DUMMYFUNCTION("""COMPUTED_VALUE"""),"K/3/231224/1")</f>
        <v>K/3/231224/1</v>
      </c>
      <c r="C2449" s="7" t="str">
        <f>IFERROR(__xludf.DUMMYFUNCTION("""COMPUTED_VALUE"""),"M.1208/SUKADANAHAM")</f>
        <v>M.1208/SUKADANAHAM</v>
      </c>
      <c r="D2449" s="7" t="str">
        <f>IFERROR(__xludf.DUMMYFUNCTION("""COMPUTED_VALUE"""),"Berry")</f>
        <v>Berry</v>
      </c>
      <c r="E2449" s="7" t="str">
        <f>IFERROR(__xludf.DUMMYFUNCTION("""COMPUTED_VALUE"""),"PROSES")</f>
        <v>PROSES</v>
      </c>
      <c r="F2449" s="9" t="str">
        <f>IFERROR(__xludf.DUMMYFUNCTION("""COMPUTED_VALUE"""),"")</f>
        <v/>
      </c>
      <c r="G2449" s="7" t="str">
        <f>IFERROR(__xludf.DUMMYFUNCTION("""COMPUTED_VALUE"""),"SERTIPIKAT HILANG")</f>
        <v>SERTIPIKAT HILANG</v>
      </c>
      <c r="H2449" s="7">
        <f t="shared" si="1"/>
        <v>972</v>
      </c>
    </row>
    <row r="2450" ht="22.5" customHeight="1">
      <c r="B2450" s="7" t="str">
        <f>IFERROR(__xludf.DUMMYFUNCTION("""COMPUTED_VALUE"""),"L/4/231224/1")</f>
        <v>L/4/231224/1</v>
      </c>
      <c r="C2450" s="7" t="str">
        <f>IFERROR(__xludf.DUMMYFUNCTION("""COMPUTED_VALUE"""),"HM 12528/RAJABASA")</f>
        <v>HM 12528/RAJABASA</v>
      </c>
      <c r="D2450" s="7" t="str">
        <f>IFERROR(__xludf.DUMMYFUNCTION("""COMPUTED_VALUE"""),"Berry")</f>
        <v>Berry</v>
      </c>
      <c r="E2450" s="7" t="str">
        <f>IFERROR(__xludf.DUMMYFUNCTION("""COMPUTED_VALUE"""),"DISERAHKAN")</f>
        <v>DISERAHKAN</v>
      </c>
      <c r="F2450" s="9">
        <f>IFERROR(__xludf.DUMMYFUNCTION("""COMPUTED_VALUE"""),45649.70940935185)</f>
        <v>45649.70941</v>
      </c>
      <c r="G2450" s="7" t="str">
        <f>IFERROR(__xludf.DUMMYFUNCTION("""COMPUTED_VALUE"""),"ROYA")</f>
        <v>ROYA</v>
      </c>
      <c r="H2450" s="7">
        <f t="shared" si="1"/>
        <v>973</v>
      </c>
    </row>
    <row r="2451" ht="22.5" customHeight="1">
      <c r="B2451" s="7" t="str">
        <f>IFERROR(__xludf.DUMMYFUNCTION("""COMPUTED_VALUE"""),"L/5/231224/1")</f>
        <v>L/5/231224/1</v>
      </c>
      <c r="C2451" s="7" t="str">
        <f>IFERROR(__xludf.DUMMYFUNCTION("""COMPUTED_VALUE"""),"HM 739/RAJABASA NUNYAI")</f>
        <v>HM 739/RAJABASA NUNYAI</v>
      </c>
      <c r="D2451" s="7" t="str">
        <f>IFERROR(__xludf.DUMMYFUNCTION("""COMPUTED_VALUE"""),"Berry")</f>
        <v>Berry</v>
      </c>
      <c r="E2451" s="7" t="str">
        <f>IFERROR(__xludf.DUMMYFUNCTION("""COMPUTED_VALUE"""),"DISERAHKAN")</f>
        <v>DISERAHKAN</v>
      </c>
      <c r="F2451" s="9">
        <f>IFERROR(__xludf.DUMMYFUNCTION("""COMPUTED_VALUE"""),45649.709757696764)</f>
        <v>45649.70976</v>
      </c>
      <c r="G2451" s="7" t="str">
        <f>IFERROR(__xludf.DUMMYFUNCTION("""COMPUTED_VALUE"""),"ROYA")</f>
        <v>ROYA</v>
      </c>
      <c r="H2451" s="7">
        <f t="shared" si="1"/>
        <v>974</v>
      </c>
    </row>
    <row r="2452" ht="22.5" customHeight="1">
      <c r="B2452" s="7" t="str">
        <f>IFERROR(__xludf.DUMMYFUNCTION("""COMPUTED_VALUE"""),"K/6/231224/1")</f>
        <v>K/6/231224/1</v>
      </c>
      <c r="C2452" s="7" t="str">
        <f>IFERROR(__xludf.DUMMYFUNCTION("""COMPUTED_VALUE"""),"B. 867/ Pesawahan")</f>
        <v>B. 867/ Pesawahan</v>
      </c>
      <c r="D2452" s="7" t="str">
        <f>IFERROR(__xludf.DUMMYFUNCTION("""COMPUTED_VALUE"""),"Berry")</f>
        <v>Berry</v>
      </c>
      <c r="E2452" s="7" t="str">
        <f>IFERROR(__xludf.DUMMYFUNCTION("""COMPUTED_VALUE"""),"PROSES")</f>
        <v>PROSES</v>
      </c>
      <c r="F2452" s="9" t="str">
        <f>IFERROR(__xludf.DUMMYFUNCTION("""COMPUTED_VALUE"""),"")</f>
        <v/>
      </c>
      <c r="G2452" s="7" t="str">
        <f>IFERROR(__xludf.DUMMYFUNCTION("""COMPUTED_VALUE"""),"ROYA")</f>
        <v>ROYA</v>
      </c>
      <c r="H2452" s="7">
        <f t="shared" si="1"/>
        <v>974</v>
      </c>
    </row>
    <row r="2453" ht="22.5" customHeight="1">
      <c r="B2453" s="7" t="str">
        <f>IFERROR(__xludf.DUMMYFUNCTION("""COMPUTED_VALUE"""),"L/7/231224/1")</f>
        <v>L/7/231224/1</v>
      </c>
      <c r="C2453" s="7" t="str">
        <f>IFERROR(__xludf.DUMMYFUNCTION("""COMPUTED_VALUE"""),"HM 1024/PANJNAG UTARA")</f>
        <v>HM 1024/PANJNAG UTARA</v>
      </c>
      <c r="D2453" s="7"/>
      <c r="E2453" s="7"/>
      <c r="F2453" s="9" t="str">
        <f>IFERROR(__xludf.DUMMYFUNCTION("""COMPUTED_VALUE"""),"")</f>
        <v/>
      </c>
      <c r="G2453" s="7" t="str">
        <f>IFERROR(__xludf.DUMMYFUNCTION("""COMPUTED_VALUE"""),"PEMECAHAN")</f>
        <v>PEMECAHAN</v>
      </c>
      <c r="H2453" s="7">
        <f t="shared" si="1"/>
        <v>974</v>
      </c>
    </row>
    <row r="2454" ht="22.5" customHeight="1">
      <c r="B2454" s="7" t="str">
        <f>IFERROR(__xludf.DUMMYFUNCTION("""COMPUTED_VALUE"""),"K/8/231224/1")</f>
        <v>K/8/231224/1</v>
      </c>
      <c r="C2454" s="7" t="str">
        <f>IFERROR(__xludf.DUMMYFUNCTION("""COMPUTED_VALUE"""),"M. 1245/ NOG; B. 749/NOG-dahulu")</f>
        <v>M. 1245/ NOG; B. 749/NOG-dahulu</v>
      </c>
      <c r="D2454" s="7"/>
      <c r="E2454" s="7"/>
      <c r="F2454" s="9" t="str">
        <f>IFERROR(__xludf.DUMMYFUNCTION("""COMPUTED_VALUE"""),"")</f>
        <v/>
      </c>
      <c r="G2454" s="7" t="str">
        <f>IFERROR(__xludf.DUMMYFUNCTION("""COMPUTED_VALUE"""),"Roya")</f>
        <v>Roya</v>
      </c>
      <c r="H2454" s="7">
        <f t="shared" si="1"/>
        <v>974</v>
      </c>
    </row>
    <row r="2455" ht="22.5" customHeight="1">
      <c r="B2455" s="7" t="str">
        <f>IFERROR(__xludf.DUMMYFUNCTION("""COMPUTED_VALUE"""),"K/9/231224/1")</f>
        <v>K/9/231224/1</v>
      </c>
      <c r="C2455" s="7" t="str">
        <f>IFERROR(__xludf.DUMMYFUNCTION("""COMPUTED_VALUE"""),"TANAH MENTAH")</f>
        <v>TANAH MENTAH</v>
      </c>
      <c r="D2455" s="7" t="str">
        <f>IFERROR(__xludf.DUMMYFUNCTION("""COMPUTED_VALUE"""),"Berry")</f>
        <v>Berry</v>
      </c>
      <c r="E2455" s="7" t="str">
        <f>IFERROR(__xludf.DUMMYFUNCTION("""COMPUTED_VALUE"""),"DISERAHKAN")</f>
        <v>DISERAHKAN</v>
      </c>
      <c r="F2455" s="9">
        <f>IFERROR(__xludf.DUMMYFUNCTION("""COMPUTED_VALUE"""),45649.71026734954)</f>
        <v>45649.71027</v>
      </c>
      <c r="G2455" s="7" t="str">
        <f>IFERROR(__xludf.DUMMYFUNCTION("""COMPUTED_VALUE"""),"PENGUKURAN PERTAMA KALO")</f>
        <v>PENGUKURAN PERTAMA KALO</v>
      </c>
      <c r="H2455" s="7">
        <f t="shared" si="1"/>
        <v>975</v>
      </c>
    </row>
    <row r="2456" ht="22.5" customHeight="1">
      <c r="B2456" s="7" t="str">
        <f>IFERROR(__xludf.DUMMYFUNCTION("""COMPUTED_VALUE"""),"L/10/231224/1")</f>
        <v>L/10/231224/1</v>
      </c>
      <c r="C2456" s="7" t="str">
        <f>IFERROR(__xludf.DUMMYFUNCTION("""COMPUTED_VALUE"""),"HM 3142/TANJUNG SENANG")</f>
        <v>HM 3142/TANJUNG SENANG</v>
      </c>
      <c r="D2456" s="7" t="str">
        <f>IFERROR(__xludf.DUMMYFUNCTION("""COMPUTED_VALUE"""),"Berry")</f>
        <v>Berry</v>
      </c>
      <c r="E2456" s="7" t="str">
        <f>IFERROR(__xludf.DUMMYFUNCTION("""COMPUTED_VALUE"""),"DISERAHKAN")</f>
        <v>DISERAHKAN</v>
      </c>
      <c r="F2456" s="9">
        <f>IFERROR(__xludf.DUMMYFUNCTION("""COMPUTED_VALUE"""),45649.71038068287)</f>
        <v>45649.71038</v>
      </c>
      <c r="G2456" s="7" t="str">
        <f>IFERROR(__xludf.DUMMYFUNCTION("""COMPUTED_VALUE"""),"PENATAAN BATAS")</f>
        <v>PENATAAN BATAS</v>
      </c>
      <c r="H2456" s="7">
        <f t="shared" si="1"/>
        <v>976</v>
      </c>
    </row>
    <row r="2457" ht="22.5" customHeight="1">
      <c r="B2457" s="7" t="str">
        <f>IFERROR(__xludf.DUMMYFUNCTION("""COMPUTED_VALUE"""),"L/13/231224/1")</f>
        <v>L/13/231224/1</v>
      </c>
      <c r="C2457" s="7" t="str">
        <f>IFERROR(__xludf.DUMMYFUNCTION("""COMPUTED_VALUE"""),"HM 72/PEMATANG WANGI")</f>
        <v>HM 72/PEMATANG WANGI</v>
      </c>
      <c r="D2457" s="7" t="str">
        <f>IFERROR(__xludf.DUMMYFUNCTION("""COMPUTED_VALUE"""),"Berry")</f>
        <v>Berry</v>
      </c>
      <c r="E2457" s="7" t="str">
        <f>IFERROR(__xludf.DUMMYFUNCTION("""COMPUTED_VALUE"""),"DISERAHKAN")</f>
        <v>DISERAHKAN</v>
      </c>
      <c r="F2457" s="9">
        <f>IFERROR(__xludf.DUMMYFUNCTION("""COMPUTED_VALUE"""),45649.71071576389)</f>
        <v>45649.71072</v>
      </c>
      <c r="G2457" s="7" t="str">
        <f>IFERROR(__xludf.DUMMYFUNCTION("""COMPUTED_VALUE"""),"GANTI NAMA &amp; TGL LAHIR")</f>
        <v>GANTI NAMA &amp; TGL LAHIR</v>
      </c>
      <c r="H2457" s="7">
        <f t="shared" si="1"/>
        <v>977</v>
      </c>
    </row>
    <row r="2458" ht="22.5" customHeight="1">
      <c r="B2458" s="7" t="str">
        <f>IFERROR(__xludf.DUMMYFUNCTION("""COMPUTED_VALUE"""),"K/14/231224/1")</f>
        <v>K/14/231224/1</v>
      </c>
      <c r="C2458" s="7" t="str">
        <f>IFERROR(__xludf.DUMMYFUNCTION("""COMPUTED_VALUE"""),"M.9826/KALI BALAU KENCANA-SEKARANG;M9826/TANJUNG BARU-DAHULU")</f>
        <v>M.9826/KALI BALAU KENCANA-SEKARANG;M9826/TANJUNG BARU-DAHULU</v>
      </c>
      <c r="D2458" s="7"/>
      <c r="E2458" s="7"/>
      <c r="F2458" s="9" t="str">
        <f>IFERROR(__xludf.DUMMYFUNCTION("""COMPUTED_VALUE"""),"")</f>
        <v/>
      </c>
      <c r="G2458" s="7" t="str">
        <f>IFERROR(__xludf.DUMMYFUNCTION("""COMPUTED_VALUE"""),"BN JUAL BELI")</f>
        <v>BN JUAL BELI</v>
      </c>
      <c r="H2458" s="7">
        <f t="shared" si="1"/>
        <v>977</v>
      </c>
    </row>
    <row r="2459" ht="22.5" customHeight="1">
      <c r="B2459" s="7" t="str">
        <f>IFERROR(__xludf.DUMMYFUNCTION("""COMPUTED_VALUE"""),"L/17/231224/1")</f>
        <v>L/17/231224/1</v>
      </c>
      <c r="C2459" s="7" t="str">
        <f>IFERROR(__xludf.DUMMYFUNCTION("""COMPUTED_VALUE"""),"HM 12131/KEDAMAIAN")</f>
        <v>HM 12131/KEDAMAIAN</v>
      </c>
      <c r="D2459" s="7"/>
      <c r="E2459" s="7"/>
      <c r="F2459" s="9" t="str">
        <f>IFERROR(__xludf.DUMMYFUNCTION("""COMPUTED_VALUE"""),"")</f>
        <v/>
      </c>
      <c r="G2459" s="7" t="str">
        <f>IFERROR(__xludf.DUMMYFUNCTION("""COMPUTED_VALUE"""),"ROYA")</f>
        <v>ROYA</v>
      </c>
      <c r="H2459" s="7">
        <f t="shared" si="1"/>
        <v>977</v>
      </c>
    </row>
    <row r="2460" ht="22.5" customHeight="1">
      <c r="B2460" s="7" t="str">
        <f>IFERROR(__xludf.DUMMYFUNCTION("""COMPUTED_VALUE"""),"K/18/231224/2")</f>
        <v>K/18/231224/2</v>
      </c>
      <c r="C2460" s="7" t="str">
        <f>IFERROR(__xludf.DUMMYFUNCTION("""COMPUTED_VALUE"""),"M. 726/ Kemiling Permai")</f>
        <v>M. 726/ Kemiling Permai</v>
      </c>
      <c r="D2460" s="7" t="str">
        <f>IFERROR(__xludf.DUMMYFUNCTION("""COMPUTED_VALUE"""),"Berry")</f>
        <v>Berry</v>
      </c>
      <c r="E2460" s="7" t="str">
        <f>IFERROR(__xludf.DUMMYFUNCTION("""COMPUTED_VALUE"""),"PROSES")</f>
        <v>PROSES</v>
      </c>
      <c r="F2460" s="9" t="str">
        <f>IFERROR(__xludf.DUMMYFUNCTION("""COMPUTED_VALUE"""),"")</f>
        <v/>
      </c>
      <c r="G2460" s="7" t="str">
        <f>IFERROR(__xludf.DUMMYFUNCTION("""COMPUTED_VALUE"""),"Plotting")</f>
        <v>Plotting</v>
      </c>
      <c r="H2460" s="7">
        <f t="shared" si="1"/>
        <v>977</v>
      </c>
    </row>
    <row r="2461" ht="22.5" customHeight="1">
      <c r="B2461" s="7" t="str">
        <f>IFERROR(__xludf.DUMMYFUNCTION("""COMPUTED_VALUE"""),"K/15/231224/1")</f>
        <v>K/15/231224/1</v>
      </c>
      <c r="C2461" s="7" t="str">
        <f>IFERROR(__xludf.DUMMYFUNCTION("""COMPUTED_VALUE"""),"Nibel 8536/ Segala Mider")</f>
        <v>Nibel 8536/ Segala Mider</v>
      </c>
      <c r="D2461" s="7"/>
      <c r="E2461" s="7"/>
      <c r="F2461" s="9" t="str">
        <f>IFERROR(__xludf.DUMMYFUNCTION("""COMPUTED_VALUE"""),"")</f>
        <v/>
      </c>
      <c r="G2461" s="7" t="str">
        <f>IFERROR(__xludf.DUMMYFUNCTION("""COMPUTED_VALUE"""),"BN PHB")</f>
        <v>BN PHB</v>
      </c>
      <c r="H2461" s="7">
        <f t="shared" si="1"/>
        <v>977</v>
      </c>
    </row>
    <row r="2462" ht="22.5" customHeight="1">
      <c r="B2462" s="7" t="str">
        <f>IFERROR(__xludf.DUMMYFUNCTION("""COMPUTED_VALUE"""),"K/16/231224/2")</f>
        <v>K/16/231224/2</v>
      </c>
      <c r="C2462" s="7" t="str">
        <f>IFERROR(__xludf.DUMMYFUNCTION("""COMPUTED_VALUE"""),"M. 3212/ Rajabasa Jaya")</f>
        <v>M. 3212/ Rajabasa Jaya</v>
      </c>
      <c r="D2462" s="7" t="str">
        <f>IFERROR(__xludf.DUMMYFUNCTION("""COMPUTED_VALUE"""),"Berry")</f>
        <v>Berry</v>
      </c>
      <c r="E2462" s="7" t="str">
        <f>IFERROR(__xludf.DUMMYFUNCTION("""COMPUTED_VALUE"""),"PROSES")</f>
        <v>PROSES</v>
      </c>
      <c r="F2462" s="9" t="str">
        <f>IFERROR(__xludf.DUMMYFUNCTION("""COMPUTED_VALUE"""),"")</f>
        <v/>
      </c>
      <c r="G2462" s="7" t="str">
        <f>IFERROR(__xludf.DUMMYFUNCTION("""COMPUTED_VALUE"""),"BN JUAL BELI")</f>
        <v>BN JUAL BELI</v>
      </c>
      <c r="H2462" s="7">
        <f t="shared" si="1"/>
        <v>977</v>
      </c>
    </row>
    <row r="2463" ht="22.5" customHeight="1">
      <c r="B2463" s="7" t="str">
        <f>IFERROR(__xludf.DUMMYFUNCTION("""COMPUTED_VALUE"""),"K/20/231224/1")</f>
        <v>K/20/231224/1</v>
      </c>
      <c r="C2463" s="7" t="str">
        <f>IFERROR(__xludf.DUMMYFUNCTION("""COMPUTED_VALUE"""),"Nibel 10772/ Sumur Putri")</f>
        <v>Nibel 10772/ Sumur Putri</v>
      </c>
      <c r="D2463" s="7"/>
      <c r="E2463" s="7"/>
      <c r="F2463" s="9" t="str">
        <f>IFERROR(__xludf.DUMMYFUNCTION("""COMPUTED_VALUE"""),"")</f>
        <v/>
      </c>
      <c r="G2463" s="7" t="str">
        <f>IFERROR(__xludf.DUMMYFUNCTION("""COMPUTED_VALUE"""),"PERUBAHAN HAK")</f>
        <v>PERUBAHAN HAK</v>
      </c>
      <c r="H2463" s="7">
        <f t="shared" si="1"/>
        <v>977</v>
      </c>
    </row>
    <row r="2464" ht="22.5" customHeight="1">
      <c r="B2464" s="7" t="str">
        <f>IFERROR(__xludf.DUMMYFUNCTION("""COMPUTED_VALUE"""),"K/19/231224/1")</f>
        <v>K/19/231224/1</v>
      </c>
      <c r="C2464" s="7" t="str">
        <f>IFERROR(__xludf.DUMMYFUNCTION("""COMPUTED_VALUE"""),"B.313/PAMATANG WANGI-SEKARANG;B.701/TANJUNG SENENG-DAHULU")</f>
        <v>B.313/PAMATANG WANGI-SEKARANG;B.701/TANJUNG SENENG-DAHULU</v>
      </c>
      <c r="D2464" s="7"/>
      <c r="E2464" s="7"/>
      <c r="F2464" s="9" t="str">
        <f>IFERROR(__xludf.DUMMYFUNCTION("""COMPUTED_VALUE"""),"")</f>
        <v/>
      </c>
      <c r="G2464" s="7" t="str">
        <f>IFERROR(__xludf.DUMMYFUNCTION("""COMPUTED_VALUE"""),"PENINGKATAN HAK")</f>
        <v>PENINGKATAN HAK</v>
      </c>
      <c r="H2464" s="7">
        <f t="shared" si="1"/>
        <v>977</v>
      </c>
    </row>
    <row r="2465" ht="22.5" customHeight="1">
      <c r="B2465" s="7" t="str">
        <f>IFERROR(__xludf.DUMMYFUNCTION("""COMPUTED_VALUE"""),"L/22/231224/1")</f>
        <v>L/22/231224/1</v>
      </c>
      <c r="C2465" s="7" t="str">
        <f>IFERROR(__xludf.DUMMYFUNCTION("""COMPUTED_VALUE"""),"HM 1597/JAGABAYA III")</f>
        <v>HM 1597/JAGABAYA III</v>
      </c>
      <c r="D2465" s="7"/>
      <c r="E2465" s="7"/>
      <c r="F2465" s="9" t="str">
        <f>IFERROR(__xludf.DUMMYFUNCTION("""COMPUTED_VALUE"""),"")</f>
        <v/>
      </c>
      <c r="G2465" s="7" t="str">
        <f>IFERROR(__xludf.DUMMYFUNCTION("""COMPUTED_VALUE"""),"BLOKIR")</f>
        <v>BLOKIR</v>
      </c>
      <c r="H2465" s="7">
        <f t="shared" si="1"/>
        <v>977</v>
      </c>
    </row>
    <row r="2466" ht="22.5" customHeight="1">
      <c r="B2466" s="7" t="str">
        <f>IFERROR(__xludf.DUMMYFUNCTION("""COMPUTED_VALUE"""),"K/21/231224/1")</f>
        <v>K/21/231224/1</v>
      </c>
      <c r="C2466" s="7" t="str">
        <f>IFERROR(__xludf.DUMMYFUNCTION("""COMPUTED_VALUE"""),"B. 1192/ Sukabumi Indah")</f>
        <v>B. 1192/ Sukabumi Indah</v>
      </c>
      <c r="D2466" s="7" t="str">
        <f>IFERROR(__xludf.DUMMYFUNCTION("""COMPUTED_VALUE"""),"Berry")</f>
        <v>Berry</v>
      </c>
      <c r="E2466" s="7" t="str">
        <f>IFERROR(__xludf.DUMMYFUNCTION("""COMPUTED_VALUE"""),"DISERAHKAN")</f>
        <v>DISERAHKAN</v>
      </c>
      <c r="F2466" s="9">
        <f>IFERROR(__xludf.DUMMYFUNCTION("""COMPUTED_VALUE"""),45649.711193807874)</f>
        <v>45649.71119</v>
      </c>
      <c r="G2466" s="7" t="str">
        <f>IFERROR(__xludf.DUMMYFUNCTION("""COMPUTED_VALUE"""),"PENGECEKKAN")</f>
        <v>PENGECEKKAN</v>
      </c>
      <c r="H2466" s="7">
        <f t="shared" si="1"/>
        <v>978</v>
      </c>
    </row>
    <row r="2467" ht="22.5" customHeight="1">
      <c r="B2467" s="7" t="str">
        <f>IFERROR(__xludf.DUMMYFUNCTION("""COMPUTED_VALUE"""),"K/23/231224/1")</f>
        <v>K/23/231224/1</v>
      </c>
      <c r="C2467" s="7" t="str">
        <f>IFERROR(__xludf.DUMMYFUNCTION("""COMPUTED_VALUE"""),"M. 12695/ Rajabasa")</f>
        <v>M. 12695/ Rajabasa</v>
      </c>
      <c r="D2467" s="7" t="str">
        <f>IFERROR(__xludf.DUMMYFUNCTION("""COMPUTED_VALUE"""),"Berry")</f>
        <v>Berry</v>
      </c>
      <c r="E2467" s="7" t="str">
        <f>IFERROR(__xludf.DUMMYFUNCTION("""COMPUTED_VALUE"""),"PROSES")</f>
        <v>PROSES</v>
      </c>
      <c r="F2467" s="9" t="str">
        <f>IFERROR(__xludf.DUMMYFUNCTION("""COMPUTED_VALUE"""),"")</f>
        <v/>
      </c>
      <c r="G2467" s="7" t="str">
        <f>IFERROR(__xludf.DUMMYFUNCTION("""COMPUTED_VALUE"""),"Gandes")</f>
        <v>Gandes</v>
      </c>
      <c r="H2467" s="7">
        <f t="shared" si="1"/>
        <v>978</v>
      </c>
    </row>
    <row r="2468" ht="22.5" customHeight="1">
      <c r="B2468" s="7" t="str">
        <f>IFERROR(__xludf.DUMMYFUNCTION("""COMPUTED_VALUE"""),"K/24/231224/2")</f>
        <v>K/24/231224/2</v>
      </c>
      <c r="C2468" s="7" t="str">
        <f>IFERROR(__xludf.DUMMYFUNCTION("""COMPUTED_VALUE"""),"M. 460/ Gunung Terang")</f>
        <v>M. 460/ Gunung Terang</v>
      </c>
      <c r="D2468" s="7"/>
      <c r="E2468" s="7"/>
      <c r="F2468" s="9" t="str">
        <f>IFERROR(__xludf.DUMMYFUNCTION("""COMPUTED_VALUE"""),"")</f>
        <v/>
      </c>
      <c r="G2468" s="7" t="str">
        <f>IFERROR(__xludf.DUMMYFUNCTION("""COMPUTED_VALUE"""),"Roya")</f>
        <v>Roya</v>
      </c>
      <c r="H2468" s="7">
        <f t="shared" si="1"/>
        <v>978</v>
      </c>
    </row>
    <row r="2469" ht="22.5" customHeight="1">
      <c r="B2469" s="7" t="str">
        <f>IFERROR(__xludf.DUMMYFUNCTION("""COMPUTED_VALUE"""),"K/25/231224/3")</f>
        <v>K/25/231224/3</v>
      </c>
      <c r="C2469" s="7" t="str">
        <f>IFERROR(__xludf.DUMMYFUNCTION("""COMPUTED_VALUE"""),"B. 1701/ Sukarame")</f>
        <v>B. 1701/ Sukarame</v>
      </c>
      <c r="D2469" s="7"/>
      <c r="E2469" s="7"/>
      <c r="F2469" s="9" t="str">
        <f>IFERROR(__xludf.DUMMYFUNCTION("""COMPUTED_VALUE"""),"")</f>
        <v/>
      </c>
      <c r="G2469" s="7" t="str">
        <f>IFERROR(__xludf.DUMMYFUNCTION("""COMPUTED_VALUE"""),"BN Jual Beli")</f>
        <v>BN Jual Beli</v>
      </c>
      <c r="H2469" s="7">
        <f t="shared" si="1"/>
        <v>978</v>
      </c>
    </row>
    <row r="2470" ht="22.5" customHeight="1">
      <c r="B2470" s="7" t="str">
        <f>IFERROR(__xludf.DUMMYFUNCTION("""COMPUTED_VALUE"""),"K/26/231224/3")</f>
        <v>K/26/231224/3</v>
      </c>
      <c r="C2470" s="7" t="str">
        <f>IFERROR(__xludf.DUMMYFUNCTION("""COMPUTED_VALUE"""),"Nibel 13079/ Kota Karang")</f>
        <v>Nibel 13079/ Kota Karang</v>
      </c>
      <c r="D2470" s="7"/>
      <c r="E2470" s="7"/>
      <c r="F2470" s="9" t="str">
        <f>IFERROR(__xludf.DUMMYFUNCTION("""COMPUTED_VALUE"""),"")</f>
        <v/>
      </c>
      <c r="G2470" s="7" t="str">
        <f>IFERROR(__xludf.DUMMYFUNCTION("""COMPUTED_VALUE"""),"BN WARIS")</f>
        <v>BN WARIS</v>
      </c>
      <c r="H2470" s="7">
        <f t="shared" si="1"/>
        <v>978</v>
      </c>
    </row>
    <row r="2471" ht="22.5" customHeight="1">
      <c r="B2471" s="7" t="str">
        <f>IFERROR(__xludf.DUMMYFUNCTION("""COMPUTED_VALUE"""),"L/33/231224/1")</f>
        <v>L/33/231224/1</v>
      </c>
      <c r="C2471" s="7" t="str">
        <f>IFERROR(__xludf.DUMMYFUNCTION("""COMPUTED_VALUE"""),"HM 9942/KEDAMAIAN")</f>
        <v>HM 9942/KEDAMAIAN</v>
      </c>
      <c r="D2471" s="7"/>
      <c r="E2471" s="7"/>
      <c r="F2471" s="9" t="str">
        <f>IFERROR(__xludf.DUMMYFUNCTION("""COMPUTED_VALUE"""),"")</f>
        <v/>
      </c>
      <c r="G2471" s="7" t="str">
        <f>IFERROR(__xludf.DUMMYFUNCTION("""COMPUTED_VALUE"""),"GANDES")</f>
        <v>GANDES</v>
      </c>
      <c r="H2471" s="7">
        <f t="shared" si="1"/>
        <v>978</v>
      </c>
    </row>
    <row r="2472" ht="22.5" customHeight="1">
      <c r="B2472" s="7" t="str">
        <f>IFERROR(__xludf.DUMMYFUNCTION("""COMPUTED_VALUE"""),"K/34/231224/1")</f>
        <v>K/34/231224/1</v>
      </c>
      <c r="C2472" s="7" t="str">
        <f>IFERROR(__xludf.DUMMYFUNCTION("""COMPUTED_VALUE"""),"M.737/PERUMNAS WAY KANDIS ")</f>
        <v>M.737/PERUMNAS WAY KANDIS </v>
      </c>
      <c r="D2472" s="7"/>
      <c r="E2472" s="7"/>
      <c r="F2472" s="9" t="str">
        <f>IFERROR(__xludf.DUMMYFUNCTION("""COMPUTED_VALUE"""),"")</f>
        <v/>
      </c>
      <c r="G2472" s="7" t="str">
        <f>IFERROR(__xludf.DUMMYFUNCTION("""COMPUTED_VALUE"""),"PENGECEKAN")</f>
        <v>PENGECEKAN</v>
      </c>
      <c r="H2472" s="7">
        <f t="shared" si="1"/>
        <v>978</v>
      </c>
    </row>
    <row r="2473" ht="22.5" customHeight="1">
      <c r="B2473" s="7" t="str">
        <f>IFERROR(__xludf.DUMMYFUNCTION("""COMPUTED_VALUE"""),"K/27/231224/1")</f>
        <v>K/27/231224/1</v>
      </c>
      <c r="C2473" s="7" t="str">
        <f>IFERROR(__xludf.DUMMYFUNCTION("""COMPUTED_VALUE"""),"M. 5224/ Labuhan Ratu")</f>
        <v>M. 5224/ Labuhan Ratu</v>
      </c>
      <c r="D2473" s="7"/>
      <c r="E2473" s="7"/>
      <c r="F2473" s="9" t="str">
        <f>IFERROR(__xludf.DUMMYFUNCTION("""COMPUTED_VALUE"""),"")</f>
        <v/>
      </c>
      <c r="G2473" s="7" t="str">
        <f>IFERROR(__xludf.DUMMYFUNCTION("""COMPUTED_VALUE"""),"SITA")</f>
        <v>SITA</v>
      </c>
      <c r="H2473" s="7">
        <f t="shared" si="1"/>
        <v>978</v>
      </c>
    </row>
    <row r="2474" ht="22.5" customHeight="1">
      <c r="B2474" s="7" t="str">
        <f>IFERROR(__xludf.DUMMYFUNCTION("""COMPUTED_VALUE"""),"K/28/231224/2")</f>
        <v>K/28/231224/2</v>
      </c>
      <c r="C2474" s="7" t="str">
        <f>IFERROR(__xludf.DUMMYFUNCTION("""COMPUTED_VALUE"""),"M. 6666/ Tanjung Baru")</f>
        <v>M. 6666/ Tanjung Baru</v>
      </c>
      <c r="D2474" s="7" t="str">
        <f>IFERROR(__xludf.DUMMYFUNCTION("""COMPUTED_VALUE"""),"Berry")</f>
        <v>Berry</v>
      </c>
      <c r="E2474" s="7" t="str">
        <f>IFERROR(__xludf.DUMMYFUNCTION("""COMPUTED_VALUE"""),"DISERAHKAN")</f>
        <v>DISERAHKAN</v>
      </c>
      <c r="F2474" s="9">
        <f>IFERROR(__xludf.DUMMYFUNCTION("""COMPUTED_VALUE"""),45649.711446319445)</f>
        <v>45649.71145</v>
      </c>
      <c r="G2474" s="7" t="str">
        <f>IFERROR(__xludf.DUMMYFUNCTION("""COMPUTED_VALUE"""),"SITA")</f>
        <v>SITA</v>
      </c>
      <c r="H2474" s="7">
        <f t="shared" si="1"/>
        <v>979</v>
      </c>
    </row>
    <row r="2475" ht="22.5" customHeight="1">
      <c r="B2475" s="7" t="str">
        <f>IFERROR(__xludf.DUMMYFUNCTION("""COMPUTED_VALUE"""),"K/29/231224/3")</f>
        <v>K/29/231224/3</v>
      </c>
      <c r="C2475" s="7" t="str">
        <f>IFERROR(__xludf.DUMMYFUNCTION("""COMPUTED_VALUE"""),"M. 268/ Kupang Kota")</f>
        <v>M. 268/ Kupang Kota</v>
      </c>
      <c r="D2475" s="7" t="str">
        <f>IFERROR(__xludf.DUMMYFUNCTION("""COMPUTED_VALUE"""),"Berry")</f>
        <v>Berry</v>
      </c>
      <c r="E2475" s="7" t="str">
        <f>IFERROR(__xludf.DUMMYFUNCTION("""COMPUTED_VALUE"""),"DISERAHKAN")</f>
        <v>DISERAHKAN</v>
      </c>
      <c r="F2475" s="9">
        <f>IFERROR(__xludf.DUMMYFUNCTION("""COMPUTED_VALUE"""),45649.71164533564)</f>
        <v>45649.71165</v>
      </c>
      <c r="G2475" s="7" t="str">
        <f>IFERROR(__xludf.DUMMYFUNCTION("""COMPUTED_VALUE"""),"SITA")</f>
        <v>SITA</v>
      </c>
      <c r="H2475" s="7">
        <f t="shared" si="1"/>
        <v>980</v>
      </c>
    </row>
    <row r="2476" ht="22.5" customHeight="1">
      <c r="B2476" s="7" t="str">
        <f>IFERROR(__xludf.DUMMYFUNCTION("""COMPUTED_VALUE"""),"K/30/231224/1")</f>
        <v>K/30/231224/1</v>
      </c>
      <c r="C2476" s="7" t="str">
        <f>IFERROR(__xludf.DUMMYFUNCTION("""COMPUTED_VALUE"""),"M. 687/ Pahoman")</f>
        <v>M. 687/ Pahoman</v>
      </c>
      <c r="D2476" s="7" t="str">
        <f>IFERROR(__xludf.DUMMYFUNCTION("""COMPUTED_VALUE"""),"Berry")</f>
        <v>Berry</v>
      </c>
      <c r="E2476" s="7" t="str">
        <f>IFERROR(__xludf.DUMMYFUNCTION("""COMPUTED_VALUE"""),"DISERAHKAN")</f>
        <v>DISERAHKAN</v>
      </c>
      <c r="F2476" s="9">
        <f>IFERROR(__xludf.DUMMYFUNCTION("""COMPUTED_VALUE"""),45649.71168519676)</f>
        <v>45649.71169</v>
      </c>
      <c r="G2476" s="7" t="str">
        <f>IFERROR(__xludf.DUMMYFUNCTION("""COMPUTED_VALUE"""),"Roya")</f>
        <v>Roya</v>
      </c>
      <c r="H2476" s="7">
        <f t="shared" si="1"/>
        <v>981</v>
      </c>
    </row>
    <row r="2477" ht="22.5" customHeight="1">
      <c r="B2477" s="7" t="str">
        <f>IFERROR(__xludf.DUMMYFUNCTION("""COMPUTED_VALUE"""),"K/31/231224/2")</f>
        <v>K/31/231224/2</v>
      </c>
      <c r="C2477" s="7" t="str">
        <f>IFERROR(__xludf.DUMMYFUNCTION("""COMPUTED_VALUE"""),"M. 429/ Kaliawi Persada")</f>
        <v>M. 429/ Kaliawi Persada</v>
      </c>
      <c r="D2477" s="7" t="str">
        <f>IFERROR(__xludf.DUMMYFUNCTION("""COMPUTED_VALUE"""),"Berry")</f>
        <v>Berry</v>
      </c>
      <c r="E2477" s="7" t="str">
        <f>IFERROR(__xludf.DUMMYFUNCTION("""COMPUTED_VALUE"""),"PROSES")</f>
        <v>PROSES</v>
      </c>
      <c r="F2477" s="9" t="str">
        <f>IFERROR(__xludf.DUMMYFUNCTION("""COMPUTED_VALUE"""),"")</f>
        <v/>
      </c>
      <c r="G2477" s="7" t="str">
        <f>IFERROR(__xludf.DUMMYFUNCTION("""COMPUTED_VALUE"""),"BN Jual Beli")</f>
        <v>BN Jual Beli</v>
      </c>
      <c r="H2477" s="7">
        <f t="shared" si="1"/>
        <v>981</v>
      </c>
    </row>
    <row r="2478" ht="22.5" customHeight="1">
      <c r="B2478" s="7" t="str">
        <f>IFERROR(__xludf.DUMMYFUNCTION("""COMPUTED_VALUE"""),"K/32/231224/3")</f>
        <v>K/32/231224/3</v>
      </c>
      <c r="C2478" s="7" t="str">
        <f>IFERROR(__xludf.DUMMYFUNCTION("""COMPUTED_VALUE"""),"M. 428/ Kaliawi Persada")</f>
        <v>M. 428/ Kaliawi Persada</v>
      </c>
      <c r="D2478" s="7" t="str">
        <f>IFERROR(__xludf.DUMMYFUNCTION("""COMPUTED_VALUE"""),"Berry")</f>
        <v>Berry</v>
      </c>
      <c r="E2478" s="7" t="str">
        <f>IFERROR(__xludf.DUMMYFUNCTION("""COMPUTED_VALUE"""),"PROSES")</f>
        <v>PROSES</v>
      </c>
      <c r="F2478" s="9" t="str">
        <f>IFERROR(__xludf.DUMMYFUNCTION("""COMPUTED_VALUE"""),"")</f>
        <v/>
      </c>
      <c r="G2478" s="7" t="str">
        <f>IFERROR(__xludf.DUMMYFUNCTION("""COMPUTED_VALUE"""),"BN Jual Beli")</f>
        <v>BN Jual Beli</v>
      </c>
      <c r="H2478" s="7">
        <f t="shared" si="1"/>
        <v>981</v>
      </c>
    </row>
    <row r="2479" ht="22.5" customHeight="1">
      <c r="B2479" s="7" t="str">
        <f>IFERROR(__xludf.DUMMYFUNCTION("""COMPUTED_VALUE"""),"K/35/231224/1")</f>
        <v>K/35/231224/1</v>
      </c>
      <c r="C2479" s="7" t="str">
        <f>IFERROR(__xludf.DUMMYFUNCTION("""COMPUTED_VALUE"""),"M. 1285/ Gotong Royong")</f>
        <v>M. 1285/ Gotong Royong</v>
      </c>
      <c r="D2479" s="7"/>
      <c r="E2479" s="7"/>
      <c r="F2479" s="9" t="str">
        <f>IFERROR(__xludf.DUMMYFUNCTION("""COMPUTED_VALUE"""),"")</f>
        <v/>
      </c>
      <c r="G2479" s="7" t="str">
        <f>IFERROR(__xludf.DUMMYFUNCTION("""COMPUTED_VALUE"""),"Roya")</f>
        <v>Roya</v>
      </c>
      <c r="H2479" s="7">
        <f t="shared" si="1"/>
        <v>981</v>
      </c>
    </row>
    <row r="2480" ht="22.5" customHeight="1">
      <c r="B2480" s="7" t="str">
        <f>IFERROR(__xludf.DUMMYFUNCTION("""COMPUTED_VALUE"""),"K/36/231224/2")</f>
        <v>K/36/231224/2</v>
      </c>
      <c r="C2480" s="7" t="str">
        <f>IFERROR(__xludf.DUMMYFUNCTION("""COMPUTED_VALUE"""),"M. 1286/ Gotong Royong")</f>
        <v>M. 1286/ Gotong Royong</v>
      </c>
      <c r="D2480" s="7"/>
      <c r="E2480" s="7"/>
      <c r="F2480" s="9" t="str">
        <f>IFERROR(__xludf.DUMMYFUNCTION("""COMPUTED_VALUE"""),"")</f>
        <v/>
      </c>
      <c r="G2480" s="7" t="str">
        <f>IFERROR(__xludf.DUMMYFUNCTION("""COMPUTED_VALUE"""),"Roya")</f>
        <v>Roya</v>
      </c>
      <c r="H2480" s="7">
        <f t="shared" si="1"/>
        <v>981</v>
      </c>
    </row>
    <row r="2481" ht="22.5" customHeight="1">
      <c r="B2481" s="7" t="str">
        <f>IFERROR(__xludf.DUMMYFUNCTION("""COMPUTED_VALUE"""),"K/37/231224/1")</f>
        <v>K/37/231224/1</v>
      </c>
      <c r="C2481" s="7" t="str">
        <f>IFERROR(__xludf.DUMMYFUNCTION("""COMPUTED_VALUE"""),"NIBEL M 8656/CAMPANG JAYA")</f>
        <v>NIBEL M 8656/CAMPANG JAYA</v>
      </c>
      <c r="D2481" s="7" t="str">
        <f>IFERROR(__xludf.DUMMYFUNCTION("""COMPUTED_VALUE"""),"Berry")</f>
        <v>Berry</v>
      </c>
      <c r="E2481" s="7" t="str">
        <f>IFERROR(__xludf.DUMMYFUNCTION("""COMPUTED_VALUE"""),"DISERAHKAN")</f>
        <v>DISERAHKAN</v>
      </c>
      <c r="F2481" s="9">
        <f>IFERROR(__xludf.DUMMYFUNCTION("""COMPUTED_VALUE"""),45649.71198607639)</f>
        <v>45649.71199</v>
      </c>
      <c r="G2481" s="7" t="str">
        <f>IFERROR(__xludf.DUMMYFUNCTION("""COMPUTED_VALUE"""),"PTPGT")</f>
        <v>PTPGT</v>
      </c>
      <c r="H2481" s="7">
        <f t="shared" si="1"/>
        <v>982</v>
      </c>
    </row>
    <row r="2482" ht="22.5" customHeight="1">
      <c r="B2482" s="7" t="str">
        <f>IFERROR(__xludf.DUMMYFUNCTION("""COMPUTED_VALUE"""),"K/38/231224/1")</f>
        <v>K/38/231224/1</v>
      </c>
      <c r="C2482" s="7" t="str">
        <f>IFERROR(__xludf.DUMMYFUNCTION("""COMPUTED_VALUE"""),"SARUSUN 20/TANJUNG KARANG ")</f>
        <v>SARUSUN 20/TANJUNG KARANG </v>
      </c>
      <c r="D2482" s="7"/>
      <c r="E2482" s="7"/>
      <c r="F2482" s="9" t="str">
        <f>IFERROR(__xludf.DUMMYFUNCTION("""COMPUTED_VALUE"""),"")</f>
        <v/>
      </c>
      <c r="G2482" s="7" t="str">
        <f>IFERROR(__xludf.DUMMYFUNCTION("""COMPUTED_VALUE"""),"GANDES")</f>
        <v>GANDES</v>
      </c>
      <c r="H2482" s="7">
        <f t="shared" si="1"/>
        <v>982</v>
      </c>
    </row>
    <row r="2483" ht="22.5" customHeight="1">
      <c r="B2483" s="7" t="str">
        <f>IFERROR(__xludf.DUMMYFUNCTION("""COMPUTED_VALUE"""),"K/39/231224/1")</f>
        <v>K/39/231224/1</v>
      </c>
      <c r="C2483" s="7" t="str">
        <f>IFERROR(__xludf.DUMMYFUNCTION("""COMPUTED_VALUE"""),"M. 772/ Perwata")</f>
        <v>M. 772/ Perwata</v>
      </c>
      <c r="D2483" s="7" t="str">
        <f>IFERROR(__xludf.DUMMYFUNCTION("""COMPUTED_VALUE"""),"Berry")</f>
        <v>Berry</v>
      </c>
      <c r="E2483" s="7" t="str">
        <f>IFERROR(__xludf.DUMMYFUNCTION("""COMPUTED_VALUE"""),"DISERAHKAN")</f>
        <v>DISERAHKAN</v>
      </c>
      <c r="F2483" s="9">
        <f>IFERROR(__xludf.DUMMYFUNCTION("""COMPUTED_VALUE"""),45649.71202532407)</f>
        <v>45649.71203</v>
      </c>
      <c r="G2483" s="7" t="str">
        <f>IFERROR(__xludf.DUMMYFUNCTION("""COMPUTED_VALUE"""),"BN JUAL BELI")</f>
        <v>BN JUAL BELI</v>
      </c>
      <c r="H2483" s="7">
        <f t="shared" si="1"/>
        <v>983</v>
      </c>
    </row>
    <row r="2484" ht="22.5" customHeight="1">
      <c r="B2484" s="7" t="str">
        <f>IFERROR(__xludf.DUMMYFUNCTION("""COMPUTED_VALUE"""),"K/41/231224/1")</f>
        <v>K/41/231224/1</v>
      </c>
      <c r="C2484" s="7" t="str">
        <f>IFERROR(__xludf.DUMMYFUNCTION("""COMPUTED_VALUE"""),"NIBEL M 15178/SEGALA MIDER")</f>
        <v>NIBEL M 15178/SEGALA MIDER</v>
      </c>
      <c r="D2484" s="7" t="str">
        <f>IFERROR(__xludf.DUMMYFUNCTION("""COMPUTED_VALUE"""),"Berry")</f>
        <v>Berry</v>
      </c>
      <c r="E2484" s="7" t="str">
        <f>IFERROR(__xludf.DUMMYFUNCTION("""COMPUTED_VALUE"""),"DISERAHKAN")</f>
        <v>DISERAHKAN</v>
      </c>
      <c r="F2484" s="9">
        <f>IFERROR(__xludf.DUMMYFUNCTION("""COMPUTED_VALUE"""),45649.71222783565)</f>
        <v>45649.71223</v>
      </c>
      <c r="G2484" s="7" t="str">
        <f>IFERROR(__xludf.DUMMYFUNCTION("""COMPUTED_VALUE"""),"HIBAH")</f>
        <v>HIBAH</v>
      </c>
      <c r="H2484" s="7">
        <f t="shared" si="1"/>
        <v>984</v>
      </c>
    </row>
    <row r="2485" ht="22.5" customHeight="1">
      <c r="B2485" s="7" t="str">
        <f>IFERROR(__xludf.DUMMYFUNCTION("""COMPUTED_VALUE"""),"K/40/231224/2")</f>
        <v>K/40/231224/2</v>
      </c>
      <c r="C2485" s="7" t="str">
        <f>IFERROR(__xludf.DUMMYFUNCTION("""COMPUTED_VALUE"""),"M. 773/ Perwata")</f>
        <v>M. 773/ Perwata</v>
      </c>
      <c r="D2485" s="7" t="str">
        <f>IFERROR(__xludf.DUMMYFUNCTION("""COMPUTED_VALUE"""),"Berry")</f>
        <v>Berry</v>
      </c>
      <c r="E2485" s="7" t="str">
        <f>IFERROR(__xludf.DUMMYFUNCTION("""COMPUTED_VALUE"""),"DISERAHKAN")</f>
        <v>DISERAHKAN</v>
      </c>
      <c r="F2485" s="9">
        <f>IFERROR(__xludf.DUMMYFUNCTION("""COMPUTED_VALUE"""),45649.712284050926)</f>
        <v>45649.71228</v>
      </c>
      <c r="G2485" s="7" t="str">
        <f>IFERROR(__xludf.DUMMYFUNCTION("""COMPUTED_VALUE"""),"BN JUAL BELI")</f>
        <v>BN JUAL BELI</v>
      </c>
      <c r="H2485" s="7">
        <f t="shared" si="1"/>
        <v>985</v>
      </c>
    </row>
    <row r="2486" ht="22.5" customHeight="1">
      <c r="B2486" s="7" t="str">
        <f>IFERROR(__xludf.DUMMYFUNCTION("""COMPUTED_VALUE"""),"K/42/231224/1")</f>
        <v>K/42/231224/1</v>
      </c>
      <c r="C2486" s="7" t="str">
        <f>IFERROR(__xludf.DUMMYFUNCTION("""COMPUTED_VALUE"""),"M. 6418/ Gunung Sulah")</f>
        <v>M. 6418/ Gunung Sulah</v>
      </c>
      <c r="D2486" s="7"/>
      <c r="E2486" s="7"/>
      <c r="F2486" s="9" t="str">
        <f>IFERROR(__xludf.DUMMYFUNCTION("""COMPUTED_VALUE"""),"")</f>
        <v/>
      </c>
      <c r="G2486" s="7" t="str">
        <f>IFERROR(__xludf.DUMMYFUNCTION("""COMPUTED_VALUE"""),"BN Jual Beli")</f>
        <v>BN Jual Beli</v>
      </c>
      <c r="H2486" s="7">
        <f t="shared" si="1"/>
        <v>985</v>
      </c>
    </row>
    <row r="2487" ht="22.5" customHeight="1">
      <c r="B2487" s="7" t="str">
        <f>IFERROR(__xludf.DUMMYFUNCTION("""COMPUTED_VALUE"""),"K/43/231224/2")</f>
        <v>K/43/231224/2</v>
      </c>
      <c r="C2487" s="7" t="str">
        <f>IFERROR(__xludf.DUMMYFUNCTION("""COMPUTED_VALUE"""),"M. 5839/ Tanjung Senang")</f>
        <v>M. 5839/ Tanjung Senang</v>
      </c>
      <c r="D2487" s="7"/>
      <c r="E2487" s="7"/>
      <c r="F2487" s="9" t="str">
        <f>IFERROR(__xludf.DUMMYFUNCTION("""COMPUTED_VALUE"""),"")</f>
        <v/>
      </c>
      <c r="G2487" s="7" t="str">
        <f>IFERROR(__xludf.DUMMYFUNCTION("""COMPUTED_VALUE"""),"BN Jual Beli")</f>
        <v>BN Jual Beli</v>
      </c>
      <c r="H2487" s="7">
        <f t="shared" si="1"/>
        <v>985</v>
      </c>
    </row>
    <row r="2488" ht="22.5" customHeight="1">
      <c r="B2488" s="7" t="str">
        <f>IFERROR(__xludf.DUMMYFUNCTION("""COMPUTED_VALUE"""),"K/44/231224/3")</f>
        <v>K/44/231224/3</v>
      </c>
      <c r="C2488" s="7" t="str">
        <f>IFERROR(__xludf.DUMMYFUNCTION("""COMPUTED_VALUE"""),"Nibel. M. 2445/ Keteguhan")</f>
        <v>Nibel. M. 2445/ Keteguhan</v>
      </c>
      <c r="D2488" s="7" t="str">
        <f>IFERROR(__xludf.DUMMYFUNCTION("""COMPUTED_VALUE"""),"Berry")</f>
        <v>Berry</v>
      </c>
      <c r="E2488" s="7" t="str">
        <f>IFERROR(__xludf.DUMMYFUNCTION("""COMPUTED_VALUE"""),"DISERAHKAN SU")</f>
        <v>DISERAHKAN SU</v>
      </c>
      <c r="F2488" s="9">
        <f>IFERROR(__xludf.DUMMYFUNCTION("""COMPUTED_VALUE"""),45649.712441400465)</f>
        <v>45649.71244</v>
      </c>
      <c r="G2488" s="7" t="str">
        <f>IFERROR(__xludf.DUMMYFUNCTION("""COMPUTED_VALUE"""),"BN Jual Beli")</f>
        <v>BN Jual Beli</v>
      </c>
      <c r="H2488" s="7">
        <f t="shared" si="1"/>
        <v>985</v>
      </c>
    </row>
    <row r="2489" ht="22.5" customHeight="1">
      <c r="B2489" s="7" t="str">
        <f>IFERROR(__xludf.DUMMYFUNCTION("""COMPUTED_VALUE"""),"K/45/231224/1")</f>
        <v>K/45/231224/1</v>
      </c>
      <c r="C2489" s="7" t="str">
        <f>IFERROR(__xludf.DUMMYFUNCTION("""COMPUTED_VALUE"""),"M. 1853/ Keteguhan")</f>
        <v>M. 1853/ Keteguhan</v>
      </c>
      <c r="D2489" s="7" t="str">
        <f>IFERROR(__xludf.DUMMYFUNCTION("""COMPUTED_VALUE"""),"Berry")</f>
        <v>Berry</v>
      </c>
      <c r="E2489" s="7" t="str">
        <f>IFERROR(__xludf.DUMMYFUNCTION("""COMPUTED_VALUE"""),"PROSES")</f>
        <v>PROSES</v>
      </c>
      <c r="F2489" s="9" t="str">
        <f>IFERROR(__xludf.DUMMYFUNCTION("""COMPUTED_VALUE"""),"")</f>
        <v/>
      </c>
      <c r="G2489" s="7" t="str">
        <f>IFERROR(__xludf.DUMMYFUNCTION("""COMPUTED_VALUE"""),"GANTI KELURAHAN")</f>
        <v>GANTI KELURAHAN</v>
      </c>
      <c r="H2489" s="7">
        <f t="shared" si="1"/>
        <v>985</v>
      </c>
    </row>
    <row r="2490" ht="22.5" customHeight="1">
      <c r="B2490" s="7" t="str">
        <f>IFERROR(__xludf.DUMMYFUNCTION("""COMPUTED_VALUE"""),"L/46/231224/1")</f>
        <v>L/46/231224/1</v>
      </c>
      <c r="C2490" s="7" t="str">
        <f>IFERROR(__xludf.DUMMYFUNCTION("""COMPUTED_VALUE"""),"HM 10313/SUKABUMI")</f>
        <v>HM 10313/SUKABUMI</v>
      </c>
      <c r="D2490" s="7"/>
      <c r="E2490" s="7"/>
      <c r="F2490" s="9" t="str">
        <f>IFERROR(__xludf.DUMMYFUNCTION("""COMPUTED_VALUE"""),"")</f>
        <v/>
      </c>
      <c r="G2490" s="7" t="str">
        <f>IFERROR(__xludf.DUMMYFUNCTION("""COMPUTED_VALUE"""),"PEMECAHAN")</f>
        <v>PEMECAHAN</v>
      </c>
      <c r="H2490" s="7">
        <f t="shared" si="1"/>
        <v>985</v>
      </c>
    </row>
    <row r="2491" ht="22.5" customHeight="1">
      <c r="B2491" s="7" t="str">
        <f>IFERROR(__xludf.DUMMYFUNCTION("""COMPUTED_VALUE"""),"K/12/231224/1")</f>
        <v>K/12/231224/1</v>
      </c>
      <c r="C2491" s="7" t="str">
        <f>IFERROR(__xludf.DUMMYFUNCTION("""COMPUTED_VALUE"""),"M. 03/ Sepang Jaya")</f>
        <v>M. 03/ Sepang Jaya</v>
      </c>
      <c r="D2491" s="7" t="str">
        <f>IFERROR(__xludf.DUMMYFUNCTION("""COMPUTED_VALUE"""),"Berry")</f>
        <v>Berry</v>
      </c>
      <c r="E2491" s="7" t="str">
        <f>IFERROR(__xludf.DUMMYFUNCTION("""COMPUTED_VALUE"""),"DISERAHKAN")</f>
        <v>DISERAHKAN</v>
      </c>
      <c r="F2491" s="9">
        <f>IFERROR(__xludf.DUMMYFUNCTION("""COMPUTED_VALUE"""),45649.71264251157)</f>
        <v>45649.71264</v>
      </c>
      <c r="G2491" s="7" t="str">
        <f>IFERROR(__xludf.DUMMYFUNCTION("""COMPUTED_VALUE"""),"BN Waris")</f>
        <v>BN Waris</v>
      </c>
      <c r="H2491" s="7">
        <f t="shared" si="1"/>
        <v>986</v>
      </c>
    </row>
    <row r="2492" ht="22.5" customHeight="1">
      <c r="B2492" s="7" t="str">
        <f>IFERROR(__xludf.DUMMYFUNCTION("""COMPUTED_VALUE"""),"L/48/231224/1")</f>
        <v>L/48/231224/1</v>
      </c>
      <c r="C2492" s="7" t="str">
        <f>IFERROR(__xludf.DUMMYFUNCTION("""COMPUTED_VALUE"""),"SUKABUMI INDAH")</f>
        <v>SUKABUMI INDAH</v>
      </c>
      <c r="D2492" s="7"/>
      <c r="E2492" s="7"/>
      <c r="F2492" s="9" t="str">
        <f>IFERROR(__xludf.DUMMYFUNCTION("""COMPUTED_VALUE"""),"")</f>
        <v/>
      </c>
      <c r="G2492" s="7" t="str">
        <f>IFERROR(__xludf.DUMMYFUNCTION("""COMPUTED_VALUE"""),"PENDAFTARAN SK")</f>
        <v>PENDAFTARAN SK</v>
      </c>
      <c r="H2492" s="7">
        <f t="shared" si="1"/>
        <v>986</v>
      </c>
    </row>
    <row r="2493" ht="22.5" customHeight="1">
      <c r="B2493" s="7" t="str">
        <f>IFERROR(__xludf.DUMMYFUNCTION("""COMPUTED_VALUE"""),"K/47/231224/1")</f>
        <v>K/47/231224/1</v>
      </c>
      <c r="C2493" s="7" t="str">
        <f>IFERROR(__xludf.DUMMYFUNCTION("""COMPUTED_VALUE"""),"M. 1389/ Rajabasa Pemuka")</f>
        <v>M. 1389/ Rajabasa Pemuka</v>
      </c>
      <c r="D2493" s="7"/>
      <c r="E2493" s="7"/>
      <c r="F2493" s="9" t="str">
        <f>IFERROR(__xludf.DUMMYFUNCTION("""COMPUTED_VALUE"""),"")</f>
        <v/>
      </c>
      <c r="G2493" s="7" t="str">
        <f>IFERROR(__xludf.DUMMYFUNCTION("""COMPUTED_VALUE"""),"BN JUAL BELI")</f>
        <v>BN JUAL BELI</v>
      </c>
      <c r="H2493" s="7">
        <f t="shared" si="1"/>
        <v>986</v>
      </c>
    </row>
    <row r="2494" ht="22.5" customHeight="1">
      <c r="B2494" s="7" t="str">
        <f>IFERROR(__xludf.DUMMYFUNCTION("""COMPUTED_VALUE"""),"K/49/231224/1")</f>
        <v>K/49/231224/1</v>
      </c>
      <c r="C2494" s="7" t="str">
        <f>IFERROR(__xludf.DUMMYFUNCTION("""COMPUTED_VALUE"""),"M.6581/SIDODADI")</f>
        <v>M.6581/SIDODADI</v>
      </c>
      <c r="D2494" s="7"/>
      <c r="E2494" s="7"/>
      <c r="F2494" s="9" t="str">
        <f>IFERROR(__xludf.DUMMYFUNCTION("""COMPUTED_VALUE"""),"")</f>
        <v/>
      </c>
      <c r="G2494" s="7" t="str">
        <f>IFERROR(__xludf.DUMMYFUNCTION("""COMPUTED_VALUE"""),"GANDES ")</f>
        <v>GANDES </v>
      </c>
      <c r="H2494" s="7">
        <f t="shared" si="1"/>
        <v>986</v>
      </c>
    </row>
    <row r="2495" ht="22.5" customHeight="1">
      <c r="B2495" s="7" t="str">
        <f>IFERROR(__xludf.DUMMYFUNCTION("""COMPUTED_VALUE"""),"K/50/231224/1")</f>
        <v>K/50/231224/1</v>
      </c>
      <c r="C2495" s="7" t="str">
        <f>IFERROR(__xludf.DUMMYFUNCTION("""COMPUTED_VALUE"""),"M. 1056/ Panjang Utara")</f>
        <v>M. 1056/ Panjang Utara</v>
      </c>
      <c r="D2495" s="7" t="str">
        <f>IFERROR(__xludf.DUMMYFUNCTION("""COMPUTED_VALUE"""),"Berry")</f>
        <v>Berry</v>
      </c>
      <c r="E2495" s="7" t="str">
        <f>IFERROR(__xludf.DUMMYFUNCTION("""COMPUTED_VALUE"""),"DISERAHKAN")</f>
        <v>DISERAHKAN</v>
      </c>
      <c r="F2495" s="9">
        <f>IFERROR(__xludf.DUMMYFUNCTION("""COMPUTED_VALUE"""),45649.71279754629)</f>
        <v>45649.7128</v>
      </c>
      <c r="G2495" s="7" t="str">
        <f>IFERROR(__xludf.DUMMYFUNCTION("""COMPUTED_VALUE"""),"Plotting")</f>
        <v>Plotting</v>
      </c>
      <c r="H2495" s="7">
        <f t="shared" si="1"/>
        <v>987</v>
      </c>
    </row>
    <row r="2496" ht="22.5" customHeight="1">
      <c r="B2496" s="7" t="str">
        <f>IFERROR(__xludf.DUMMYFUNCTION("""COMPUTED_VALUE"""),"L/51/231224/1")</f>
        <v>L/51/231224/1</v>
      </c>
      <c r="C2496" s="7" t="str">
        <f>IFERROR(__xludf.DUMMYFUNCTION("""COMPUTED_VALUE"""),"HM 1634/PANJANMG UTARA")</f>
        <v>HM 1634/PANJANMG UTARA</v>
      </c>
      <c r="D2496" s="7" t="str">
        <f>IFERROR(__xludf.DUMMYFUNCTION("""COMPUTED_VALUE"""),"David")</f>
        <v>David</v>
      </c>
      <c r="E2496" s="7" t="str">
        <f>IFERROR(__xludf.DUMMYFUNCTION("""COMPUTED_VALUE"""),"PROSES")</f>
        <v>PROSES</v>
      </c>
      <c r="F2496" s="9" t="str">
        <f>IFERROR(__xludf.DUMMYFUNCTION("""COMPUTED_VALUE"""),"")</f>
        <v/>
      </c>
      <c r="G2496" s="7" t="str">
        <f>IFERROR(__xludf.DUMMYFUNCTION("""COMPUTED_VALUE"""),"PTPGT")</f>
        <v>PTPGT</v>
      </c>
      <c r="H2496" s="7">
        <f t="shared" si="1"/>
        <v>987</v>
      </c>
    </row>
    <row r="2497" ht="22.5" customHeight="1">
      <c r="B2497" s="7" t="str">
        <f>IFERROR(__xludf.DUMMYFUNCTION("""COMPUTED_VALUE"""),"K/52/231224/1")</f>
        <v>K/52/231224/1</v>
      </c>
      <c r="C2497" s="7" t="str">
        <f>IFERROR(__xludf.DUMMYFUNCTION("""COMPUTED_VALUE"""),"M. 859/ Rajabasa Jaya")</f>
        <v>M. 859/ Rajabasa Jaya</v>
      </c>
      <c r="D2497" s="7" t="str">
        <f>IFERROR(__xludf.DUMMYFUNCTION("""COMPUTED_VALUE"""),"David")</f>
        <v>David</v>
      </c>
      <c r="E2497" s="7" t="str">
        <f>IFERROR(__xludf.DUMMYFUNCTION("""COMPUTED_VALUE"""),"PROSES")</f>
        <v>PROSES</v>
      </c>
      <c r="F2497" s="9" t="str">
        <f>IFERROR(__xludf.DUMMYFUNCTION("""COMPUTED_VALUE"""),"")</f>
        <v/>
      </c>
      <c r="G2497" s="7" t="str">
        <f>IFERROR(__xludf.DUMMYFUNCTION("""COMPUTED_VALUE"""),"Wakaf ")</f>
        <v>Wakaf </v>
      </c>
      <c r="H2497" s="7">
        <f t="shared" si="1"/>
        <v>987</v>
      </c>
    </row>
    <row r="2498" ht="22.5" customHeight="1">
      <c r="B2498" s="7" t="str">
        <f>IFERROR(__xludf.DUMMYFUNCTION("""COMPUTED_VALUE"""),"K/53/231224/1")</f>
        <v>K/53/231224/1</v>
      </c>
      <c r="C2498" s="7" t="str">
        <f>IFERROR(__xludf.DUMMYFUNCTION("""COMPUTED_VALUE"""),"M. 7065/ Tanjung Senang")</f>
        <v>M. 7065/ Tanjung Senang</v>
      </c>
      <c r="D2498" s="7" t="str">
        <f>IFERROR(__xludf.DUMMYFUNCTION("""COMPUTED_VALUE"""),"David")</f>
        <v>David</v>
      </c>
      <c r="E2498" s="7" t="str">
        <f>IFERROR(__xludf.DUMMYFUNCTION("""COMPUTED_VALUE"""),"PROSES")</f>
        <v>PROSES</v>
      </c>
      <c r="F2498" s="9" t="str">
        <f>IFERROR(__xludf.DUMMYFUNCTION("""COMPUTED_VALUE"""),"")</f>
        <v/>
      </c>
      <c r="G2498" s="7" t="str">
        <f>IFERROR(__xludf.DUMMYFUNCTION("""COMPUTED_VALUE"""),"BN JUAL BELI")</f>
        <v>BN JUAL BELI</v>
      </c>
      <c r="H2498" s="7">
        <f t="shared" si="1"/>
        <v>987</v>
      </c>
    </row>
    <row r="2499" ht="22.5" customHeight="1">
      <c r="B2499" s="7" t="str">
        <f>IFERROR(__xludf.DUMMYFUNCTION("""COMPUTED_VALUE"""),"L/54/231224/1")</f>
        <v>L/54/231224/1</v>
      </c>
      <c r="C2499" s="7" t="str">
        <f>IFERROR(__xludf.DUMMYFUNCTION("""COMPUTED_VALUE"""),"HM 15157/SUKARAME")</f>
        <v>HM 15157/SUKARAME</v>
      </c>
      <c r="D2499" s="7" t="str">
        <f>IFERROR(__xludf.DUMMYFUNCTION("""COMPUTED_VALUE"""),"David")</f>
        <v>David</v>
      </c>
      <c r="E2499" s="7" t="str">
        <f>IFERROR(__xludf.DUMMYFUNCTION("""COMPUTED_VALUE"""),"DISERAHKAN")</f>
        <v>DISERAHKAN</v>
      </c>
      <c r="F2499" s="9">
        <f>IFERROR(__xludf.DUMMYFUNCTION("""COMPUTED_VALUE"""),45650.699770231484)</f>
        <v>45650.69977</v>
      </c>
      <c r="G2499" s="7" t="str">
        <f>IFERROR(__xludf.DUMMYFUNCTION("""COMPUTED_VALUE"""),"ROYA")</f>
        <v>ROYA</v>
      </c>
      <c r="H2499" s="7">
        <f t="shared" si="1"/>
        <v>988</v>
      </c>
    </row>
    <row r="2500" ht="22.5" customHeight="1">
      <c r="B2500" s="7" t="str">
        <f>IFERROR(__xludf.DUMMYFUNCTION("""COMPUTED_VALUE"""),"L/59/231224/1")</f>
        <v>L/59/231224/1</v>
      </c>
      <c r="C2500" s="7" t="str">
        <f>IFERROR(__xludf.DUMMYFUNCTION("""COMPUTED_VALUE"""),"HM 15157/SUKARAME")</f>
        <v>HM 15157/SUKARAME</v>
      </c>
      <c r="D2500" s="7" t="str">
        <f>IFERROR(__xludf.DUMMYFUNCTION("""COMPUTED_VALUE"""),"David")</f>
        <v>David</v>
      </c>
      <c r="E2500" s="7" t="str">
        <f>IFERROR(__xludf.DUMMYFUNCTION("""COMPUTED_VALUE"""),"PROSES")</f>
        <v>PROSES</v>
      </c>
      <c r="F2500" s="9" t="str">
        <f>IFERROR(__xludf.DUMMYFUNCTION("""COMPUTED_VALUE"""),"")</f>
        <v/>
      </c>
      <c r="G2500" s="7" t="str">
        <f>IFERROR(__xludf.DUMMYFUNCTION("""COMPUTED_VALUE"""),"ROYA")</f>
        <v>ROYA</v>
      </c>
      <c r="H2500" s="7">
        <f t="shared" si="1"/>
        <v>988</v>
      </c>
    </row>
    <row r="2501" ht="22.5" customHeight="1">
      <c r="B2501" s="7" t="str">
        <f>IFERROR(__xludf.DUMMYFUNCTION("""COMPUTED_VALUE"""),"K/60/231224/1")</f>
        <v>K/60/231224/1</v>
      </c>
      <c r="C2501" s="7" t="str">
        <f>IFERROR(__xludf.DUMMYFUNCTION("""COMPUTED_VALUE"""),"M.2615/PINANG JAYA")</f>
        <v>M.2615/PINANG JAYA</v>
      </c>
      <c r="D2501" s="7" t="str">
        <f>IFERROR(__xludf.DUMMYFUNCTION("""COMPUTED_VALUE"""),"David")</f>
        <v>David</v>
      </c>
      <c r="E2501" s="7" t="str">
        <f>IFERROR(__xludf.DUMMYFUNCTION("""COMPUTED_VALUE"""),"PROSES")</f>
        <v>PROSES</v>
      </c>
      <c r="F2501" s="9" t="str">
        <f>IFERROR(__xludf.DUMMYFUNCTION("""COMPUTED_VALUE"""),"")</f>
        <v/>
      </c>
      <c r="G2501" s="7" t="str">
        <f>IFERROR(__xludf.DUMMYFUNCTION("""COMPUTED_VALUE"""),"BN JUAL BELI ")</f>
        <v>BN JUAL BELI </v>
      </c>
      <c r="H2501" s="7">
        <f t="shared" si="1"/>
        <v>988</v>
      </c>
    </row>
    <row r="2502" ht="22.5" customHeight="1">
      <c r="B2502" s="7" t="str">
        <f>IFERROR(__xludf.DUMMYFUNCTION("""COMPUTED_VALUE"""),"K/61/231224/2")</f>
        <v>K/61/231224/2</v>
      </c>
      <c r="C2502" s="7" t="str">
        <f>IFERROR(__xludf.DUMMYFUNCTION("""COMPUTED_VALUE"""),"M.56/TANJUNG GADING")</f>
        <v>M.56/TANJUNG GADING</v>
      </c>
      <c r="D2502" s="7" t="str">
        <f>IFERROR(__xludf.DUMMYFUNCTION("""COMPUTED_VALUE"""),"David")</f>
        <v>David</v>
      </c>
      <c r="E2502" s="7" t="str">
        <f>IFERROR(__xludf.DUMMYFUNCTION("""COMPUTED_VALUE"""),"DISERAHKAN")</f>
        <v>DISERAHKAN</v>
      </c>
      <c r="F2502" s="9">
        <f>IFERROR(__xludf.DUMMYFUNCTION("""COMPUTED_VALUE"""),45650.70046746528)</f>
        <v>45650.70047</v>
      </c>
      <c r="G2502" s="7" t="str">
        <f>IFERROR(__xludf.DUMMYFUNCTION("""COMPUTED_VALUE"""),"ROYA")</f>
        <v>ROYA</v>
      </c>
      <c r="H2502" s="7">
        <f t="shared" si="1"/>
        <v>989</v>
      </c>
    </row>
    <row r="2503" ht="22.5" customHeight="1">
      <c r="B2503" s="7" t="str">
        <f>IFERROR(__xludf.DUMMYFUNCTION("""COMPUTED_VALUE"""),"K/58/231224/1")</f>
        <v>K/58/231224/1</v>
      </c>
      <c r="C2503" s="7" t="str">
        <f>IFERROR(__xludf.DUMMYFUNCTION("""COMPUTED_VALUE"""),"M. 3104/ Kemiling Permai")</f>
        <v>M. 3104/ Kemiling Permai</v>
      </c>
      <c r="D2503" s="7"/>
      <c r="E2503" s="7"/>
      <c r="F2503" s="9" t="str">
        <f>IFERROR(__xludf.DUMMYFUNCTION("""COMPUTED_VALUE"""),"")</f>
        <v/>
      </c>
      <c r="G2503" s="7" t="str">
        <f>IFERROR(__xludf.DUMMYFUNCTION("""COMPUTED_VALUE"""),"BN Lelang")</f>
        <v>BN Lelang</v>
      </c>
      <c r="H2503" s="7">
        <f t="shared" si="1"/>
        <v>989</v>
      </c>
    </row>
    <row r="2504" ht="22.5" customHeight="1">
      <c r="B2504" s="7" t="str">
        <f>IFERROR(__xludf.DUMMYFUNCTION("""COMPUTED_VALUE"""),"K/57/231224/1")</f>
        <v>K/57/231224/1</v>
      </c>
      <c r="C2504" s="7" t="str">
        <f>IFERROR(__xludf.DUMMYFUNCTION("""COMPUTED_VALUE"""),"M. 1517/ Sepang Jaya")</f>
        <v>M. 1517/ Sepang Jaya</v>
      </c>
      <c r="D2504" s="7" t="str">
        <f>IFERROR(__xludf.DUMMYFUNCTION("""COMPUTED_VALUE"""),"David")</f>
        <v>David</v>
      </c>
      <c r="E2504" s="7" t="str">
        <f>IFERROR(__xludf.DUMMYFUNCTION("""COMPUTED_VALUE"""),"DISERAHKAN")</f>
        <v>DISERAHKAN</v>
      </c>
      <c r="F2504" s="9">
        <f>IFERROR(__xludf.DUMMYFUNCTION("""COMPUTED_VALUE"""),45650.7008071412)</f>
        <v>45650.70081</v>
      </c>
      <c r="G2504" s="7" t="str">
        <f>IFERROR(__xludf.DUMMYFUNCTION("""COMPUTED_VALUE"""),"Roya")</f>
        <v>Roya</v>
      </c>
      <c r="H2504" s="7">
        <f t="shared" si="1"/>
        <v>990</v>
      </c>
    </row>
    <row r="2505" ht="22.5" customHeight="1">
      <c r="B2505" s="7" t="str">
        <f>IFERROR(__xludf.DUMMYFUNCTION("""COMPUTED_VALUE"""),"K/55/231224/1")</f>
        <v>K/55/231224/1</v>
      </c>
      <c r="C2505" s="7" t="str">
        <f>IFERROR(__xludf.DUMMYFUNCTION("""COMPUTED_VALUE"""),"Nibel 3339/ Gunung Terang")</f>
        <v>Nibel 3339/ Gunung Terang</v>
      </c>
      <c r="D2505" s="7"/>
      <c r="E2505" s="7"/>
      <c r="F2505" s="9" t="str">
        <f>IFERROR(__xludf.DUMMYFUNCTION("""COMPUTED_VALUE"""),"")</f>
        <v/>
      </c>
      <c r="G2505" s="7" t="str">
        <f>IFERROR(__xludf.DUMMYFUNCTION("""COMPUTED_VALUE"""),"PTPGT PEMECHAN")</f>
        <v>PTPGT PEMECHAN</v>
      </c>
      <c r="H2505" s="7">
        <f t="shared" si="1"/>
        <v>990</v>
      </c>
    </row>
    <row r="2506" ht="22.5" customHeight="1">
      <c r="B2506" s="7" t="str">
        <f>IFERROR(__xludf.DUMMYFUNCTION("""COMPUTED_VALUE"""),"K/56/231224/1")</f>
        <v>K/56/231224/1</v>
      </c>
      <c r="C2506" s="7" t="str">
        <f>IFERROR(__xludf.DUMMYFUNCTION("""COMPUTED_VALUE"""),"B. 2017; 2018/ Sukarame")</f>
        <v>B. 2017; 2018/ Sukarame</v>
      </c>
      <c r="D2506" s="7"/>
      <c r="E2506" s="7"/>
      <c r="F2506" s="9" t="str">
        <f>IFERROR(__xludf.DUMMYFUNCTION("""COMPUTED_VALUE"""),"")</f>
        <v/>
      </c>
      <c r="G2506" s="7" t="str">
        <f>IFERROR(__xludf.DUMMYFUNCTION("""COMPUTED_VALUE"""),"Roya")</f>
        <v>Roya</v>
      </c>
      <c r="H2506" s="7">
        <f t="shared" si="1"/>
        <v>990</v>
      </c>
    </row>
    <row r="2507" ht="22.5" customHeight="1">
      <c r="B2507" s="7" t="str">
        <f>IFERROR(__xludf.DUMMYFUNCTION("""COMPUTED_VALUE"""),"K/62/231224/1")</f>
        <v>K/62/231224/1</v>
      </c>
      <c r="C2507" s="7" t="str">
        <f>IFERROR(__xludf.DUMMYFUNCTION("""COMPUTED_VALUE"""),"M. 1748/ Batu Putuk")</f>
        <v>M. 1748/ Batu Putuk</v>
      </c>
      <c r="D2507" s="7"/>
      <c r="E2507" s="7"/>
      <c r="F2507" s="9" t="str">
        <f>IFERROR(__xludf.DUMMYFUNCTION("""COMPUTED_VALUE"""),"")</f>
        <v/>
      </c>
      <c r="G2507" s="7" t="str">
        <f>IFERROR(__xludf.DUMMYFUNCTION("""COMPUTED_VALUE"""),"Hapus BPHTB")</f>
        <v>Hapus BPHTB</v>
      </c>
      <c r="H2507" s="7">
        <f t="shared" si="1"/>
        <v>990</v>
      </c>
    </row>
    <row r="2508" ht="22.5" customHeight="1">
      <c r="B2508" s="7" t="str">
        <f>IFERROR(__xludf.DUMMYFUNCTION("""COMPUTED_VALUE"""),"K/1/241224/1")</f>
        <v>K/1/241224/1</v>
      </c>
      <c r="C2508" s="7" t="str">
        <f>IFERROR(__xludf.DUMMYFUNCTION("""COMPUTED_VALUE"""),"B. 413/ Gedung Meneng")</f>
        <v>B. 413/ Gedung Meneng</v>
      </c>
      <c r="D2508" s="7"/>
      <c r="E2508" s="7"/>
      <c r="F2508" s="9" t="str">
        <f>IFERROR(__xludf.DUMMYFUNCTION("""COMPUTED_VALUE"""),"")</f>
        <v/>
      </c>
      <c r="G2508" s="7" t="str">
        <f>IFERROR(__xludf.DUMMYFUNCTION("""COMPUTED_VALUE"""),"Perubahan Hak")</f>
        <v>Perubahan Hak</v>
      </c>
      <c r="H2508" s="7">
        <f t="shared" si="1"/>
        <v>990</v>
      </c>
    </row>
    <row r="2509" ht="22.5" customHeight="1">
      <c r="B2509" s="7" t="str">
        <f>IFERROR(__xludf.DUMMYFUNCTION("""COMPUTED_VALUE"""),"K/2/241224/1")</f>
        <v>K/2/241224/1</v>
      </c>
      <c r="C2509" s="7" t="str">
        <f>IFERROR(__xludf.DUMMYFUNCTION("""COMPUTED_VALUE"""),"M.1476/ Panjang Utara")</f>
        <v>M.1476/ Panjang Utara</v>
      </c>
      <c r="D2509" s="7"/>
      <c r="E2509" s="7"/>
      <c r="F2509" s="9" t="str">
        <f>IFERROR(__xludf.DUMMYFUNCTION("""COMPUTED_VALUE"""),"")</f>
        <v/>
      </c>
      <c r="G2509" s="7" t="str">
        <f>IFERROR(__xludf.DUMMYFUNCTION("""COMPUTED_VALUE"""),"GANTI BLANKO SERTIPIKAT HILANG")</f>
        <v>GANTI BLANKO SERTIPIKAT HILANG</v>
      </c>
      <c r="H2509" s="7">
        <f t="shared" si="1"/>
        <v>990</v>
      </c>
    </row>
    <row r="2510" ht="22.5" customHeight="1">
      <c r="B2510" s="7" t="str">
        <f>IFERROR(__xludf.DUMMYFUNCTION("""COMPUTED_VALUE"""),"K/3/241224/1")</f>
        <v>K/3/241224/1</v>
      </c>
      <c r="C2510" s="7" t="str">
        <f>IFERROR(__xludf.DUMMYFUNCTION("""COMPUTED_VALUE"""),"M.12162/SEGALA MIDER-SEKARANG;M.6140/TANJUNG REJO I-DAHULU")</f>
        <v>M.12162/SEGALA MIDER-SEKARANG;M.6140/TANJUNG REJO I-DAHULU</v>
      </c>
      <c r="D2510" s="7" t="str">
        <f>IFERROR(__xludf.DUMMYFUNCTION("""COMPUTED_VALUE"""),"David")</f>
        <v>David</v>
      </c>
      <c r="E2510" s="7" t="str">
        <f>IFERROR(__xludf.DUMMYFUNCTION("""COMPUTED_VALUE"""),"PROSES")</f>
        <v>PROSES</v>
      </c>
      <c r="F2510" s="9" t="str">
        <f>IFERROR(__xludf.DUMMYFUNCTION("""COMPUTED_VALUE"""),"")</f>
        <v/>
      </c>
      <c r="G2510" s="7" t="str">
        <f>IFERROR(__xludf.DUMMYFUNCTION("""COMPUTED_VALUE"""),"GANDES")</f>
        <v>GANDES</v>
      </c>
      <c r="H2510" s="7">
        <f t="shared" si="1"/>
        <v>990</v>
      </c>
    </row>
    <row r="2511" ht="22.5" customHeight="1">
      <c r="B2511" s="7" t="str">
        <f>IFERROR(__xludf.DUMMYFUNCTION("""COMPUTED_VALUE"""),"K/4/241224/1")</f>
        <v>K/4/241224/1</v>
      </c>
      <c r="C2511" s="7" t="str">
        <f>IFERROR(__xludf.DUMMYFUNCTION("""COMPUTED_VALUE"""),"Nibel. M. 503/ Rajabasa Nunyai")</f>
        <v>Nibel. M. 503/ Rajabasa Nunyai</v>
      </c>
      <c r="D2511" s="7" t="str">
        <f>IFERROR(__xludf.DUMMYFUNCTION("""COMPUTED_VALUE"""),"David")</f>
        <v>David</v>
      </c>
      <c r="E2511" s="7" t="str">
        <f>IFERROR(__xludf.DUMMYFUNCTION("""COMPUTED_VALUE"""),"PROSES")</f>
        <v>PROSES</v>
      </c>
      <c r="F2511" s="9" t="str">
        <f>IFERROR(__xludf.DUMMYFUNCTION("""COMPUTED_VALUE"""),"")</f>
        <v/>
      </c>
      <c r="G2511" s="7" t="str">
        <f>IFERROR(__xludf.DUMMYFUNCTION("""COMPUTED_VALUE"""),"BN Jual Beli")</f>
        <v>BN Jual Beli</v>
      </c>
      <c r="H2511" s="7">
        <f t="shared" si="1"/>
        <v>990</v>
      </c>
    </row>
    <row r="2512" ht="22.5" customHeight="1">
      <c r="B2512" s="7" t="str">
        <f>IFERROR(__xludf.DUMMYFUNCTION("""COMPUTED_VALUE"""),"K/5/241224/1")</f>
        <v>K/5/241224/1</v>
      </c>
      <c r="C2512" s="7" t="str">
        <f>IFERROR(__xludf.DUMMYFUNCTION("""COMPUTED_VALUE"""),"M.1640/WAY LAGA ")</f>
        <v>M.1640/WAY LAGA </v>
      </c>
      <c r="D2512" s="7" t="str">
        <f>IFERROR(__xludf.DUMMYFUNCTION("""COMPUTED_VALUE"""),"David")</f>
        <v>David</v>
      </c>
      <c r="E2512" s="7" t="str">
        <f>IFERROR(__xludf.DUMMYFUNCTION("""COMPUTED_VALUE"""),"DISERAHKAN")</f>
        <v>DISERAHKAN</v>
      </c>
      <c r="F2512" s="9">
        <f>IFERROR(__xludf.DUMMYFUNCTION("""COMPUTED_VALUE"""),45650.70197880787)</f>
        <v>45650.70198</v>
      </c>
      <c r="G2512" s="7" t="str">
        <f>IFERROR(__xludf.DUMMYFUNCTION("""COMPUTED_VALUE"""),"BN JUAL BELI")</f>
        <v>BN JUAL BELI</v>
      </c>
      <c r="H2512" s="7">
        <f t="shared" si="1"/>
        <v>991</v>
      </c>
    </row>
    <row r="2513" ht="22.5" customHeight="1">
      <c r="B2513" s="7" t="str">
        <f>IFERROR(__xludf.DUMMYFUNCTION("""COMPUTED_VALUE"""),"K/6/241224/2")</f>
        <v>K/6/241224/2</v>
      </c>
      <c r="C2513" s="7" t="str">
        <f>IFERROR(__xludf.DUMMYFUNCTION("""COMPUTED_VALUE"""),"M.1639/WAY LAGA")</f>
        <v>M.1639/WAY LAGA</v>
      </c>
      <c r="D2513" s="7" t="str">
        <f>IFERROR(__xludf.DUMMYFUNCTION("""COMPUTED_VALUE"""),"David")</f>
        <v>David</v>
      </c>
      <c r="E2513" s="7" t="str">
        <f>IFERROR(__xludf.DUMMYFUNCTION("""COMPUTED_VALUE"""),"DISERAHKAN")</f>
        <v>DISERAHKAN</v>
      </c>
      <c r="F2513" s="9">
        <f>IFERROR(__xludf.DUMMYFUNCTION("""COMPUTED_VALUE"""),45650.70224090278)</f>
        <v>45650.70224</v>
      </c>
      <c r="G2513" s="7" t="str">
        <f>IFERROR(__xludf.DUMMYFUNCTION("""COMPUTED_VALUE"""),"BN JUAL BELI")</f>
        <v>BN JUAL BELI</v>
      </c>
      <c r="H2513" s="7">
        <f t="shared" si="1"/>
        <v>992</v>
      </c>
    </row>
    <row r="2514" ht="22.5" customHeight="1">
      <c r="B2514" s="7" t="str">
        <f>IFERROR(__xludf.DUMMYFUNCTION("""COMPUTED_VALUE"""),"L/8/241224/1")</f>
        <v>L/8/241224/1</v>
      </c>
      <c r="C2514" s="7" t="str">
        <f>IFERROR(__xludf.DUMMYFUNCTION("""COMPUTED_VALUE"""),"HM 9966/KEDAMAIAN")</f>
        <v>HM 9966/KEDAMAIAN</v>
      </c>
      <c r="D2514" s="7" t="str">
        <f>IFERROR(__xludf.DUMMYFUNCTION("""COMPUTED_VALUE"""),"David")</f>
        <v>David</v>
      </c>
      <c r="E2514" s="7" t="str">
        <f>IFERROR(__xludf.DUMMYFUNCTION("""COMPUTED_VALUE"""),"DISERAHKAN")</f>
        <v>DISERAHKAN</v>
      </c>
      <c r="F2514" s="9">
        <f>IFERROR(__xludf.DUMMYFUNCTION("""COMPUTED_VALUE"""),45650.70235070602)</f>
        <v>45650.70235</v>
      </c>
      <c r="G2514" s="7" t="str">
        <f>IFERROR(__xludf.DUMMYFUNCTION("""COMPUTED_VALUE"""),"ROYA")</f>
        <v>ROYA</v>
      </c>
      <c r="H2514" s="7">
        <f t="shared" si="1"/>
        <v>993</v>
      </c>
    </row>
    <row r="2515" ht="22.5" customHeight="1">
      <c r="B2515" s="7" t="str">
        <f>IFERROR(__xludf.DUMMYFUNCTION("""COMPUTED_VALUE"""),"K/7/241224/3")</f>
        <v>K/7/241224/3</v>
      </c>
      <c r="C2515" s="7" t="str">
        <f>IFERROR(__xludf.DUMMYFUNCTION("""COMPUTED_VALUE"""),"M.1855/WAY KANDIS ")</f>
        <v>M.1855/WAY KANDIS </v>
      </c>
      <c r="D2515" s="7" t="str">
        <f>IFERROR(__xludf.DUMMYFUNCTION("""COMPUTED_VALUE"""),"David")</f>
        <v>David</v>
      </c>
      <c r="E2515" s="7" t="str">
        <f>IFERROR(__xludf.DUMMYFUNCTION("""COMPUTED_VALUE"""),"DISERAHKAN")</f>
        <v>DISERAHKAN</v>
      </c>
      <c r="F2515" s="9">
        <f>IFERROR(__xludf.DUMMYFUNCTION("""COMPUTED_VALUE"""),45650.70269081018)</f>
        <v>45650.70269</v>
      </c>
      <c r="G2515" s="7" t="str">
        <f>IFERROR(__xludf.DUMMYFUNCTION("""COMPUTED_VALUE"""),"BN JUAL BELI ")</f>
        <v>BN JUAL BELI </v>
      </c>
      <c r="H2515" s="7">
        <f t="shared" si="1"/>
        <v>994</v>
      </c>
    </row>
    <row r="2516" ht="22.5" customHeight="1">
      <c r="B2516" s="7" t="str">
        <f>IFERROR(__xludf.DUMMYFUNCTION("""COMPUTED_VALUE"""),"K/9/241224/1")</f>
        <v>K/9/241224/1</v>
      </c>
      <c r="C2516" s="7" t="str">
        <f>IFERROR(__xludf.DUMMYFUNCTION("""COMPUTED_VALUE""")," M. 58/ Campang Jaya")</f>
        <v> M. 58/ Campang Jaya</v>
      </c>
      <c r="D2516" s="7" t="str">
        <f>IFERROR(__xludf.DUMMYFUNCTION("""COMPUTED_VALUE"""),"David")</f>
        <v>David</v>
      </c>
      <c r="E2516" s="7" t="str">
        <f>IFERROR(__xludf.DUMMYFUNCTION("""COMPUTED_VALUE"""),"DISERAHKAN")</f>
        <v>DISERAHKAN</v>
      </c>
      <c r="F2516" s="9">
        <f>IFERROR(__xludf.DUMMYFUNCTION("""COMPUTED_VALUE"""),45650.702833310184)</f>
        <v>45650.70283</v>
      </c>
      <c r="G2516" s="7" t="str">
        <f>IFERROR(__xludf.DUMMYFUNCTION("""COMPUTED_VALUE"""),"BN JUAL BELI")</f>
        <v>BN JUAL BELI</v>
      </c>
      <c r="H2516" s="7">
        <f t="shared" si="1"/>
        <v>995</v>
      </c>
    </row>
    <row r="2517" ht="22.5" customHeight="1">
      <c r="B2517" s="7" t="str">
        <f>IFERROR(__xludf.DUMMYFUNCTION("""COMPUTED_VALUE"""),"K/10/241224/1")</f>
        <v>K/10/241224/1</v>
      </c>
      <c r="C2517" s="7" t="str">
        <f>IFERROR(__xludf.DUMMYFUNCTION("""COMPUTED_VALUE"""),"M.75/SUKARAME BARU-SEKARANG;M.749/SUKARAME I-DAHULU")</f>
        <v>M.75/SUKARAME BARU-SEKARANG;M.749/SUKARAME I-DAHULU</v>
      </c>
      <c r="D2517" s="7" t="str">
        <f>IFERROR(__xludf.DUMMYFUNCTION("""COMPUTED_VALUE"""),"David")</f>
        <v>David</v>
      </c>
      <c r="E2517" s="7" t="str">
        <f>IFERROR(__xludf.DUMMYFUNCTION("""COMPUTED_VALUE"""),"PROSES")</f>
        <v>PROSES</v>
      </c>
      <c r="F2517" s="9" t="str">
        <f>IFERROR(__xludf.DUMMYFUNCTION("""COMPUTED_VALUE"""),"")</f>
        <v/>
      </c>
      <c r="G2517" s="7" t="str">
        <f>IFERROR(__xludf.DUMMYFUNCTION("""COMPUTED_VALUE"""),"KEWARISAN")</f>
        <v>KEWARISAN</v>
      </c>
      <c r="H2517" s="7">
        <f t="shared" si="1"/>
        <v>995</v>
      </c>
    </row>
    <row r="2518" ht="22.5" customHeight="1">
      <c r="B2518" s="7" t="str">
        <f>IFERROR(__xludf.DUMMYFUNCTION("""COMPUTED_VALUE"""),"K/11/241224/2")</f>
        <v>K/11/241224/2</v>
      </c>
      <c r="C2518" s="7" t="str">
        <f>IFERROR(__xludf.DUMMYFUNCTION("""COMPUTED_VALUE"""),"M.74/SUKARAME BARU-SEKARANG;B.2056/SUKARAME I")</f>
        <v>M.74/SUKARAME BARU-SEKARANG;B.2056/SUKARAME I</v>
      </c>
      <c r="D2518" s="7"/>
      <c r="E2518" s="7"/>
      <c r="F2518" s="9" t="str">
        <f>IFERROR(__xludf.DUMMYFUNCTION("""COMPUTED_VALUE"""),"")</f>
        <v/>
      </c>
      <c r="G2518" s="7" t="str">
        <f>IFERROR(__xludf.DUMMYFUNCTION("""COMPUTED_VALUE"""),"KEWARISAN")</f>
        <v>KEWARISAN</v>
      </c>
      <c r="H2518" s="7">
        <f t="shared" si="1"/>
        <v>995</v>
      </c>
    </row>
    <row r="2519" ht="22.5" customHeight="1">
      <c r="B2519" s="7" t="str">
        <f>IFERROR(__xludf.DUMMYFUNCTION("""COMPUTED_VALUE"""),"L/12/241224/1")</f>
        <v>L/12/241224/1</v>
      </c>
      <c r="C2519" s="7" t="str">
        <f>IFERROR(__xludf.DUMMYFUNCTION("""COMPUTED_VALUE"""),"HGB 475/NUSANTARA PERMAI")</f>
        <v>HGB 475/NUSANTARA PERMAI</v>
      </c>
      <c r="D2519" s="7" t="str">
        <f>IFERROR(__xludf.DUMMYFUNCTION("""COMPUTED_VALUE"""),"Berry")</f>
        <v>Berry</v>
      </c>
      <c r="E2519" s="7" t="str">
        <f>IFERROR(__xludf.DUMMYFUNCTION("""COMPUTED_VALUE"""),"DISERAHKAN")</f>
        <v>DISERAHKAN</v>
      </c>
      <c r="F2519" s="9">
        <f>IFERROR(__xludf.DUMMYFUNCTION("""COMPUTED_VALUE"""),45650.7031546875)</f>
        <v>45650.70315</v>
      </c>
      <c r="G2519" s="7" t="str">
        <f>IFERROR(__xludf.DUMMYFUNCTION("""COMPUTED_VALUE"""),"PH")</f>
        <v>PH</v>
      </c>
      <c r="H2519" s="7">
        <f t="shared" si="1"/>
        <v>996</v>
      </c>
    </row>
    <row r="2520" ht="22.5" customHeight="1">
      <c r="B2520" s="7" t="str">
        <f>IFERROR(__xludf.DUMMYFUNCTION("""COMPUTED_VALUE"""),"K/13/241224/1")</f>
        <v>K/13/241224/1</v>
      </c>
      <c r="C2520" s="7" t="str">
        <f>IFERROR(__xludf.DUMMYFUNCTION("""COMPUTED_VALUE"""),"M. 5292/ Rajabasa Jaya")</f>
        <v>M. 5292/ Rajabasa Jaya</v>
      </c>
      <c r="D2520" s="7"/>
      <c r="E2520" s="7"/>
      <c r="F2520" s="9" t="str">
        <f>IFERROR(__xludf.DUMMYFUNCTION("""COMPUTED_VALUE"""),"")</f>
        <v/>
      </c>
      <c r="G2520" s="7" t="str">
        <f>IFERROR(__xludf.DUMMYFUNCTION("""COMPUTED_VALUE"""),"PLOTTING")</f>
        <v>PLOTTING</v>
      </c>
      <c r="H2520" s="7">
        <f t="shared" si="1"/>
        <v>996</v>
      </c>
    </row>
    <row r="2521" ht="22.5" customHeight="1">
      <c r="B2521" s="7" t="str">
        <f>IFERROR(__xludf.DUMMYFUNCTION("""COMPUTED_VALUE"""),"K/14/241224/2")</f>
        <v>K/14/241224/2</v>
      </c>
      <c r="C2521" s="7" t="str">
        <f>IFERROR(__xludf.DUMMYFUNCTION("""COMPUTED_VALUE"""),"M. 1264/ Rawa Laut")</f>
        <v>M. 1264/ Rawa Laut</v>
      </c>
      <c r="D2521" s="7" t="str">
        <f>IFERROR(__xludf.DUMMYFUNCTION("""COMPUTED_VALUE"""),"Berry")</f>
        <v>Berry</v>
      </c>
      <c r="E2521" s="7" t="str">
        <f>IFERROR(__xludf.DUMMYFUNCTION("""COMPUTED_VALUE"""),"DISERAHKAN BT")</f>
        <v>DISERAHKAN BT</v>
      </c>
      <c r="F2521" s="9">
        <f>IFERROR(__xludf.DUMMYFUNCTION("""COMPUTED_VALUE"""),45650.70334040509)</f>
        <v>45650.70334</v>
      </c>
      <c r="G2521" s="7" t="str">
        <f>IFERROR(__xludf.DUMMYFUNCTION("""COMPUTED_VALUE"""),"ROYA")</f>
        <v>ROYA</v>
      </c>
      <c r="H2521" s="7">
        <f t="shared" si="1"/>
        <v>996</v>
      </c>
    </row>
    <row r="2522" ht="22.5" customHeight="1">
      <c r="B2522" s="7" t="str">
        <f>IFERROR(__xludf.DUMMYFUNCTION("""COMPUTED_VALUE"""),"K/15/241224/1")</f>
        <v>K/15/241224/1</v>
      </c>
      <c r="C2522" s="7" t="str">
        <f>IFERROR(__xludf.DUMMYFUNCTION("""COMPUTED_VALUE"""),"M. 1766/ Gedong Air")</f>
        <v>M. 1766/ Gedong Air</v>
      </c>
      <c r="D2522" s="7" t="str">
        <f>IFERROR(__xludf.DUMMYFUNCTION("""COMPUTED_VALUE"""),"Berry")</f>
        <v>Berry</v>
      </c>
      <c r="E2522" s="7" t="str">
        <f>IFERROR(__xludf.DUMMYFUNCTION("""COMPUTED_VALUE"""),"DISERAHKAN")</f>
        <v>DISERAHKAN</v>
      </c>
      <c r="F2522" s="9">
        <f>IFERROR(__xludf.DUMMYFUNCTION("""COMPUTED_VALUE"""),45650.70356487269)</f>
        <v>45650.70356</v>
      </c>
      <c r="G2522" s="7" t="str">
        <f>IFERROR(__xludf.DUMMYFUNCTION("""COMPUTED_VALUE"""),"PTPGT (Pemecahan)")</f>
        <v>PTPGT (Pemecahan)</v>
      </c>
      <c r="H2522" s="7">
        <f t="shared" si="1"/>
        <v>997</v>
      </c>
    </row>
    <row r="2523" ht="22.5" customHeight="1">
      <c r="B2523" s="7" t="str">
        <f>IFERROR(__xludf.DUMMYFUNCTION("""COMPUTED_VALUE"""),"K/16/241224/1")</f>
        <v>K/16/241224/1</v>
      </c>
      <c r="C2523" s="7" t="str">
        <f>IFERROR(__xludf.DUMMYFUNCTION("""COMPUTED_VALUE"""),"M. 1422/ Gunung Sulah")</f>
        <v>M. 1422/ Gunung Sulah</v>
      </c>
      <c r="D2523" s="7"/>
      <c r="E2523" s="7"/>
      <c r="F2523" s="9" t="str">
        <f>IFERROR(__xludf.DUMMYFUNCTION("""COMPUTED_VALUE"""),"")</f>
        <v/>
      </c>
      <c r="G2523" s="7" t="str">
        <f>IFERROR(__xludf.DUMMYFUNCTION("""COMPUTED_VALUE"""),"BN JUAL BELI")</f>
        <v>BN JUAL BELI</v>
      </c>
      <c r="H2523" s="7">
        <f t="shared" si="1"/>
        <v>997</v>
      </c>
    </row>
    <row r="2524" ht="22.5" customHeight="1">
      <c r="B2524" s="7" t="str">
        <f>IFERROR(__xludf.DUMMYFUNCTION("""COMPUTED_VALUE"""),"L/17/241224/1")</f>
        <v>L/17/241224/1</v>
      </c>
      <c r="C2524" s="7" t="str">
        <f>IFERROR(__xludf.DUMMYFUNCTION("""COMPUTED_VALUE"""),"HM 306/GUNUNG AGUNG")</f>
        <v>HM 306/GUNUNG AGUNG</v>
      </c>
      <c r="D2524" s="7" t="str">
        <f>IFERROR(__xludf.DUMMYFUNCTION("""COMPUTED_VALUE"""),"Berry")</f>
        <v>Berry</v>
      </c>
      <c r="E2524" s="7" t="str">
        <f>IFERROR(__xludf.DUMMYFUNCTION("""COMPUTED_VALUE"""),"PROSES")</f>
        <v>PROSES</v>
      </c>
      <c r="F2524" s="9" t="str">
        <f>IFERROR(__xludf.DUMMYFUNCTION("""COMPUTED_VALUE"""),"")</f>
        <v/>
      </c>
      <c r="G2524" s="7" t="str">
        <f>IFERROR(__xludf.DUMMYFUNCTION("""COMPUTED_VALUE"""),"ROYA")</f>
        <v>ROYA</v>
      </c>
      <c r="H2524" s="7">
        <f t="shared" si="1"/>
        <v>997</v>
      </c>
    </row>
    <row r="2525" ht="22.5" customHeight="1">
      <c r="B2525" s="7" t="str">
        <f>IFERROR(__xludf.DUMMYFUNCTION("""COMPUTED_VALUE"""),"K/18/241224/1")</f>
        <v>K/18/241224/1</v>
      </c>
      <c r="C2525" s="7" t="str">
        <f>IFERROR(__xludf.DUMMYFUNCTION("""COMPUTED_VALUE"""),"Nibel 16466/ Bumi Raya")</f>
        <v>Nibel 16466/ Bumi Raya</v>
      </c>
      <c r="D2525" s="7" t="str">
        <f>IFERROR(__xludf.DUMMYFUNCTION("""COMPUTED_VALUE"""),"Berry")</f>
        <v>Berry</v>
      </c>
      <c r="E2525" s="7" t="str">
        <f>IFERROR(__xludf.DUMMYFUNCTION("""COMPUTED_VALUE"""),"PROSES")</f>
        <v>PROSES</v>
      </c>
      <c r="F2525" s="9" t="str">
        <f>IFERROR(__xludf.DUMMYFUNCTION("""COMPUTED_VALUE"""),"")</f>
        <v/>
      </c>
      <c r="G2525" s="7" t="str">
        <f>IFERROR(__xludf.DUMMYFUNCTION("""COMPUTED_VALUE"""),"BN JUAL BELI")</f>
        <v>BN JUAL BELI</v>
      </c>
      <c r="H2525" s="7">
        <f t="shared" si="1"/>
        <v>997</v>
      </c>
    </row>
    <row r="2526" ht="22.5" customHeight="1">
      <c r="B2526" s="7" t="str">
        <f>IFERROR(__xludf.DUMMYFUNCTION("""COMPUTED_VALUE"""),"K/19/241224/1")</f>
        <v>K/19/241224/1</v>
      </c>
      <c r="C2526" s="7" t="str">
        <f>IFERROR(__xludf.DUMMYFUNCTION("""COMPUTED_VALUE"""),"M. 10658/ Kedamaian")</f>
        <v>M. 10658/ Kedamaian</v>
      </c>
      <c r="D2526" s="7" t="str">
        <f>IFERROR(__xludf.DUMMYFUNCTION("""COMPUTED_VALUE"""),"Berry")</f>
        <v>Berry</v>
      </c>
      <c r="E2526" s="7" t="str">
        <f>IFERROR(__xludf.DUMMYFUNCTION("""COMPUTED_VALUE"""),"DISERAHKAN")</f>
        <v>DISERAHKAN</v>
      </c>
      <c r="F2526" s="9">
        <f>IFERROR(__xludf.DUMMYFUNCTION("""COMPUTED_VALUE"""),45650.70391414352)</f>
        <v>45650.70391</v>
      </c>
      <c r="G2526" s="7" t="str">
        <f>IFERROR(__xludf.DUMMYFUNCTION("""COMPUTED_VALUE"""),"BN HIBAH")</f>
        <v>BN HIBAH</v>
      </c>
      <c r="H2526" s="7">
        <f t="shared" si="1"/>
        <v>998</v>
      </c>
    </row>
    <row r="2527" ht="22.5" customHeight="1">
      <c r="B2527" s="7" t="str">
        <f>IFERROR(__xludf.DUMMYFUNCTION("""COMPUTED_VALUE"""),"K/20/241224/2")</f>
        <v>K/20/241224/2</v>
      </c>
      <c r="C2527" s="7" t="str">
        <f>IFERROR(__xludf.DUMMYFUNCTION("""COMPUTED_VALUE"""),"M. 10655/ Kedamaian")</f>
        <v>M. 10655/ Kedamaian</v>
      </c>
      <c r="D2527" s="7" t="str">
        <f>IFERROR(__xludf.DUMMYFUNCTION("""COMPUTED_VALUE"""),"Berry")</f>
        <v>Berry</v>
      </c>
      <c r="E2527" s="7" t="str">
        <f>IFERROR(__xludf.DUMMYFUNCTION("""COMPUTED_VALUE"""),"PROSES")</f>
        <v>PROSES</v>
      </c>
      <c r="F2527" s="9" t="str">
        <f>IFERROR(__xludf.DUMMYFUNCTION("""COMPUTED_VALUE"""),"")</f>
        <v/>
      </c>
      <c r="G2527" s="7" t="str">
        <f>IFERROR(__xludf.DUMMYFUNCTION("""COMPUTED_VALUE"""),"BN HIBAH")</f>
        <v>BN HIBAH</v>
      </c>
      <c r="H2527" s="7">
        <f t="shared" si="1"/>
        <v>998</v>
      </c>
    </row>
    <row r="2528" ht="22.5" customHeight="1">
      <c r="B2528" s="7" t="str">
        <f>IFERROR(__xludf.DUMMYFUNCTION("""COMPUTED_VALUE"""),"K/21/241224/2")</f>
        <v>K/21/241224/2</v>
      </c>
      <c r="C2528" s="7" t="str">
        <f>IFERROR(__xludf.DUMMYFUNCTION("""COMPUTED_VALUE"""),"M. 1132/ Kota Baru")</f>
        <v>M. 1132/ Kota Baru</v>
      </c>
      <c r="D2528" s="7" t="str">
        <f>IFERROR(__xludf.DUMMYFUNCTION("""COMPUTED_VALUE"""),"Berry")</f>
        <v>Berry</v>
      </c>
      <c r="E2528" s="7" t="str">
        <f>IFERROR(__xludf.DUMMYFUNCTION("""COMPUTED_VALUE"""),"DISERAHKAN")</f>
        <v>DISERAHKAN</v>
      </c>
      <c r="F2528" s="9">
        <f>IFERROR(__xludf.DUMMYFUNCTION("""COMPUTED_VALUE"""),45678.4048080787)</f>
        <v>45678.40481</v>
      </c>
      <c r="G2528" s="7" t="str">
        <f>IFERROR(__xludf.DUMMYFUNCTION("""COMPUTED_VALUE"""),"BN Hibah")</f>
        <v>BN Hibah</v>
      </c>
      <c r="H2528" s="7">
        <f t="shared" si="1"/>
        <v>999</v>
      </c>
    </row>
    <row r="2529" ht="22.5" customHeight="1">
      <c r="B2529" s="7" t="str">
        <f>IFERROR(__xludf.DUMMYFUNCTION("""COMPUTED_VALUE"""),"K/22/241224/1")</f>
        <v>K/22/241224/1</v>
      </c>
      <c r="C2529" s="7" t="str">
        <f>IFERROR(__xludf.DUMMYFUNCTION("""COMPUTED_VALUE"""),"M. 695/ Rajabasa Nunyai")</f>
        <v>M. 695/ Rajabasa Nunyai</v>
      </c>
      <c r="D2529" s="7" t="str">
        <f>IFERROR(__xludf.DUMMYFUNCTION("""COMPUTED_VALUE"""),"Berry")</f>
        <v>Berry</v>
      </c>
      <c r="E2529" s="7" t="str">
        <f>IFERROR(__xludf.DUMMYFUNCTION("""COMPUTED_VALUE"""),"PROSES")</f>
        <v>PROSES</v>
      </c>
      <c r="F2529" s="9" t="str">
        <f>IFERROR(__xludf.DUMMYFUNCTION("""COMPUTED_VALUE"""),"")</f>
        <v/>
      </c>
      <c r="G2529" s="7" t="str">
        <f>IFERROR(__xludf.DUMMYFUNCTION("""COMPUTED_VALUE"""),"BN Jual Beli")</f>
        <v>BN Jual Beli</v>
      </c>
      <c r="H2529" s="7">
        <f t="shared" si="1"/>
        <v>999</v>
      </c>
    </row>
    <row r="2530" ht="22.5" customHeight="1">
      <c r="B2530" s="7" t="str">
        <f>IFERROR(__xludf.DUMMYFUNCTION("""COMPUTED_VALUE"""),"K/23/241224/1")</f>
        <v>K/23/241224/1</v>
      </c>
      <c r="C2530" s="7" t="str">
        <f>IFERROR(__xludf.DUMMYFUNCTION("""COMPUTED_VALUE"""),"M. 1940/ Sumberrejo sejahtera")</f>
        <v>M. 1940/ Sumberrejo sejahtera</v>
      </c>
      <c r="D2530" s="7" t="str">
        <f>IFERROR(__xludf.DUMMYFUNCTION("""COMPUTED_VALUE"""),"Berry")</f>
        <v>Berry</v>
      </c>
      <c r="E2530" s="7" t="str">
        <f>IFERROR(__xludf.DUMMYFUNCTION("""COMPUTED_VALUE"""),"DISERAHKAN BT")</f>
        <v>DISERAHKAN BT</v>
      </c>
      <c r="F2530" s="9">
        <f>IFERROR(__xludf.DUMMYFUNCTION("""COMPUTED_VALUE"""),45650.70440665509)</f>
        <v>45650.70441</v>
      </c>
      <c r="G2530" s="7" t="str">
        <f>IFERROR(__xludf.DUMMYFUNCTION("""COMPUTED_VALUE"""),"GANTI BLANKO RUSAK")</f>
        <v>GANTI BLANKO RUSAK</v>
      </c>
      <c r="H2530" s="7">
        <f t="shared" si="1"/>
        <v>999</v>
      </c>
    </row>
    <row r="2531" ht="22.5" customHeight="1">
      <c r="B2531" s="7" t="str">
        <f>IFERROR(__xludf.DUMMYFUNCTION("""COMPUTED_VALUE"""),"L/24/241224/1")</f>
        <v>L/24/241224/1</v>
      </c>
      <c r="C2531" s="7" t="str">
        <f>IFERROR(__xludf.DUMMYFUNCTION("""COMPUTED_VALUE"""),"HM 9674/KEDATON")</f>
        <v>HM 9674/KEDATON</v>
      </c>
      <c r="D2531" s="7"/>
      <c r="E2531" s="7"/>
      <c r="F2531" s="9" t="str">
        <f>IFERROR(__xludf.DUMMYFUNCTION("""COMPUTED_VALUE"""),"")</f>
        <v/>
      </c>
      <c r="G2531" s="7" t="str">
        <f>IFERROR(__xludf.DUMMYFUNCTION("""COMPUTED_VALUE"""),"BN WARIS")</f>
        <v>BN WARIS</v>
      </c>
      <c r="H2531" s="7">
        <f t="shared" si="1"/>
        <v>999</v>
      </c>
    </row>
    <row r="2532" ht="22.5" customHeight="1">
      <c r="B2532" s="7" t="str">
        <f>IFERROR(__xludf.DUMMYFUNCTION("""COMPUTED_VALUE"""),"K/25/241224/1")</f>
        <v>K/25/241224/1</v>
      </c>
      <c r="C2532" s="7" t="str">
        <f>IFERROR(__xludf.DUMMYFUNCTION("""COMPUTED_VALUE"""),"M. 737/ Perumnas Way Kandis")</f>
        <v>M. 737/ Perumnas Way Kandis</v>
      </c>
      <c r="D2532" s="7"/>
      <c r="E2532" s="7"/>
      <c r="F2532" s="9" t="str">
        <f>IFERROR(__xludf.DUMMYFUNCTION("""COMPUTED_VALUE"""),"")</f>
        <v/>
      </c>
      <c r="G2532" s="7" t="str">
        <f>IFERROR(__xludf.DUMMYFUNCTION("""COMPUTED_VALUE"""),"BN JUAL BELI")</f>
        <v>BN JUAL BELI</v>
      </c>
      <c r="H2532" s="7">
        <f t="shared" si="1"/>
        <v>999</v>
      </c>
    </row>
    <row r="2533" ht="22.5" customHeight="1">
      <c r="B2533" s="7" t="str">
        <f>IFERROR(__xludf.DUMMYFUNCTION("""COMPUTED_VALUE"""),"K/26/241224/1")</f>
        <v>K/26/241224/1</v>
      </c>
      <c r="C2533" s="7" t="str">
        <f>IFERROR(__xludf.DUMMYFUNCTION("""COMPUTED_VALUE"""),"M. 2069/ L R R; 11973/ Labuhan Ratu-dahulu")</f>
        <v>M. 2069/ L R R; 11973/ Labuhan Ratu-dahulu</v>
      </c>
      <c r="D2533" s="7"/>
      <c r="E2533" s="7"/>
      <c r="F2533" s="9" t="str">
        <f>IFERROR(__xludf.DUMMYFUNCTION("""COMPUTED_VALUE"""),"")</f>
        <v/>
      </c>
      <c r="G2533" s="7" t="str">
        <f>IFERROR(__xludf.DUMMYFUNCTION("""COMPUTED_VALUE"""),"PTPGT (Pemecahan)")</f>
        <v>PTPGT (Pemecahan)</v>
      </c>
      <c r="H2533" s="7">
        <f t="shared" si="1"/>
        <v>999</v>
      </c>
    </row>
    <row r="2534" ht="22.5" customHeight="1">
      <c r="B2534" s="7" t="str">
        <f>IFERROR(__xludf.DUMMYFUNCTION("""COMPUTED_VALUE"""),"K/27/241224/1")</f>
        <v>K/27/241224/1</v>
      </c>
      <c r="C2534" s="7" t="str">
        <f>IFERROR(__xludf.DUMMYFUNCTION("""COMPUTED_VALUE"""),"M. 3158/ Tanjung Senang")</f>
        <v>M. 3158/ Tanjung Senang</v>
      </c>
      <c r="D2534" s="7" t="str">
        <f>IFERROR(__xludf.DUMMYFUNCTION("""COMPUTED_VALUE"""),"Berry")</f>
        <v>Berry</v>
      </c>
      <c r="E2534" s="7" t="str">
        <f>IFERROR(__xludf.DUMMYFUNCTION("""COMPUTED_VALUE"""),"DISERAHKAN")</f>
        <v>DISERAHKAN</v>
      </c>
      <c r="F2534" s="9">
        <f>IFERROR(__xludf.DUMMYFUNCTION("""COMPUTED_VALUE"""),45650.704779155094)</f>
        <v>45650.70478</v>
      </c>
      <c r="G2534" s="7" t="str">
        <f>IFERROR(__xludf.DUMMYFUNCTION("""COMPUTED_VALUE"""),"Gandes")</f>
        <v>Gandes</v>
      </c>
      <c r="H2534" s="7">
        <f t="shared" si="1"/>
        <v>1000</v>
      </c>
    </row>
    <row r="2535" ht="22.5" customHeight="1">
      <c r="B2535" s="7" t="str">
        <f>IFERROR(__xludf.DUMMYFUNCTION("""COMPUTED_VALUE"""),"K/28/241224/1")</f>
        <v>K/28/241224/1</v>
      </c>
      <c r="C2535" s="7" t="str">
        <f>IFERROR(__xludf.DUMMYFUNCTION("""COMPUTED_VALUE"""),"M. 109/ Sepang Jaya")</f>
        <v>M. 109/ Sepang Jaya</v>
      </c>
      <c r="D2535" s="7" t="str">
        <f>IFERROR(__xludf.DUMMYFUNCTION("""COMPUTED_VALUE"""),"Berry")</f>
        <v>Berry</v>
      </c>
      <c r="E2535" s="7" t="str">
        <f>IFERROR(__xludf.DUMMYFUNCTION("""COMPUTED_VALUE"""),"DISERAHKAN")</f>
        <v>DISERAHKAN</v>
      </c>
      <c r="F2535" s="9">
        <f>IFERROR(__xludf.DUMMYFUNCTION("""COMPUTED_VALUE"""),45650.704883680555)</f>
        <v>45650.70488</v>
      </c>
      <c r="G2535" s="7" t="str">
        <f>IFERROR(__xludf.DUMMYFUNCTION("""COMPUTED_VALUE"""),"Gandes")</f>
        <v>Gandes</v>
      </c>
      <c r="H2535" s="7">
        <f t="shared" si="1"/>
        <v>1001</v>
      </c>
    </row>
    <row r="2536" ht="22.5" customHeight="1">
      <c r="B2536" s="7" t="str">
        <f>IFERROR(__xludf.DUMMYFUNCTION("""COMPUTED_VALUE"""),"K/29/241224/1")</f>
        <v>K/29/241224/1</v>
      </c>
      <c r="C2536" s="7" t="str">
        <f>IFERROR(__xludf.DUMMYFUNCTION("""COMPUTED_VALUE"""),"M. 1425/ Bumi Kedamaian")</f>
        <v>M. 1425/ Bumi Kedamaian</v>
      </c>
      <c r="D2536" s="7"/>
      <c r="E2536" s="7"/>
      <c r="F2536" s="9" t="str">
        <f>IFERROR(__xludf.DUMMYFUNCTION("""COMPUTED_VALUE"""),"")</f>
        <v/>
      </c>
      <c r="G2536" s="7" t="str">
        <f>IFERROR(__xludf.DUMMYFUNCTION("""COMPUTED_VALUE"""),"BN JUAL BELI")</f>
        <v>BN JUAL BELI</v>
      </c>
      <c r="H2536" s="7">
        <f t="shared" si="1"/>
        <v>1001</v>
      </c>
    </row>
    <row r="2537" ht="22.5" customHeight="1">
      <c r="B2537" s="7" t="str">
        <f>IFERROR(__xludf.DUMMYFUNCTION("""COMPUTED_VALUE"""),"K/40/241224/1")</f>
        <v>K/40/241224/1</v>
      </c>
      <c r="C2537" s="7" t="str">
        <f>IFERROR(__xludf.DUMMYFUNCTION("""COMPUTED_VALUE"""),"M. 2229/ Sukadana Ham")</f>
        <v>M. 2229/ Sukadana Ham</v>
      </c>
      <c r="D2537" s="7"/>
      <c r="E2537" s="7"/>
      <c r="F2537" s="9" t="str">
        <f>IFERROR(__xludf.DUMMYFUNCTION("""COMPUTED_VALUE"""),"")</f>
        <v/>
      </c>
      <c r="G2537" s="7" t="str">
        <f>IFERROR(__xludf.DUMMYFUNCTION("""COMPUTED_VALUE"""),"Roya")</f>
        <v>Roya</v>
      </c>
      <c r="H2537" s="7">
        <f t="shared" si="1"/>
        <v>1001</v>
      </c>
    </row>
    <row r="2538" ht="22.5" customHeight="1">
      <c r="B2538" s="7" t="str">
        <f>IFERROR(__xludf.DUMMYFUNCTION("""COMPUTED_VALUE"""),"K/31/241224/1")</f>
        <v>K/31/241224/1</v>
      </c>
      <c r="C2538" s="7" t="str">
        <f>IFERROR(__xludf.DUMMYFUNCTION("""COMPUTED_VALUE"""),"M.13358/RAJABASA")</f>
        <v>M.13358/RAJABASA</v>
      </c>
      <c r="D2538" s="7"/>
      <c r="E2538" s="7"/>
      <c r="F2538" s="9" t="str">
        <f>IFERROR(__xludf.DUMMYFUNCTION("""COMPUTED_VALUE"""),"")</f>
        <v/>
      </c>
      <c r="G2538" s="7" t="str">
        <f>IFERROR(__xludf.DUMMYFUNCTION("""COMPUTED_VALUE"""),"GANDES")</f>
        <v>GANDES</v>
      </c>
      <c r="H2538" s="7">
        <f t="shared" si="1"/>
        <v>1001</v>
      </c>
    </row>
    <row r="2539" ht="22.5" customHeight="1">
      <c r="B2539" s="7" t="str">
        <f>IFERROR(__xludf.DUMMYFUNCTION("""COMPUTED_VALUE"""),"K/32/241224/2")</f>
        <v>K/32/241224/2</v>
      </c>
      <c r="C2539" s="7" t="str">
        <f>IFERROR(__xludf.DUMMYFUNCTION("""COMPUTED_VALUE"""),"NIBEL M.1747/SIDODADI")</f>
        <v>NIBEL M.1747/SIDODADI</v>
      </c>
      <c r="D2539" s="7"/>
      <c r="E2539" s="7"/>
      <c r="F2539" s="9" t="str">
        <f>IFERROR(__xludf.DUMMYFUNCTION("""COMPUTED_VALUE"""),"")</f>
        <v/>
      </c>
      <c r="G2539" s="7" t="str">
        <f>IFERROR(__xludf.DUMMYFUNCTION("""COMPUTED_VALUE"""),"BN JUAL BELI")</f>
        <v>BN JUAL BELI</v>
      </c>
      <c r="H2539" s="7">
        <f t="shared" si="1"/>
        <v>1001</v>
      </c>
    </row>
    <row r="2540" ht="22.5" customHeight="1">
      <c r="B2540" s="7" t="str">
        <f>IFERROR(__xludf.DUMMYFUNCTION("""COMPUTED_VALUE""")," K/33/241224/1")</f>
        <v> K/33/241224/1</v>
      </c>
      <c r="C2540" s="7" t="str">
        <f>IFERROR(__xludf.DUMMYFUNCTION("""COMPUTED_VALUE"""),"M. 9200/ Rajabasa")</f>
        <v>M. 9200/ Rajabasa</v>
      </c>
      <c r="D2540" s="7"/>
      <c r="E2540" s="7"/>
      <c r="F2540" s="9" t="str">
        <f>IFERROR(__xludf.DUMMYFUNCTION("""COMPUTED_VALUE"""),"")</f>
        <v/>
      </c>
      <c r="G2540" s="7" t="str">
        <f>IFERROR(__xludf.DUMMYFUNCTION("""COMPUTED_VALUE"""),"GANTI KELURAHAN")</f>
        <v>GANTI KELURAHAN</v>
      </c>
      <c r="H2540" s="7">
        <f t="shared" si="1"/>
        <v>1001</v>
      </c>
    </row>
    <row r="2541" ht="22.5" customHeight="1">
      <c r="B2541" s="7" t="str">
        <f>IFERROR(__xludf.DUMMYFUNCTION("""COMPUTED_VALUE"""),"K/34/241224/2")</f>
        <v>K/34/241224/2</v>
      </c>
      <c r="C2541" s="7" t="str">
        <f>IFERROR(__xludf.DUMMYFUNCTION("""COMPUTED_VALUE"""),"M. 10731/ segala Mider")</f>
        <v>M. 10731/ segala Mider</v>
      </c>
      <c r="D2541" s="7" t="str">
        <f>IFERROR(__xludf.DUMMYFUNCTION("""COMPUTED_VALUE"""),"Berry")</f>
        <v>Berry</v>
      </c>
      <c r="E2541" s="7" t="str">
        <f>IFERROR(__xludf.DUMMYFUNCTION("""COMPUTED_VALUE"""),"DISERAHKAN")</f>
        <v>DISERAHKAN</v>
      </c>
      <c r="F2541" s="9">
        <f>IFERROR(__xludf.DUMMYFUNCTION("""COMPUTED_VALUE"""),45650.70506325232)</f>
        <v>45650.70506</v>
      </c>
      <c r="G2541" s="7" t="str">
        <f>IFERROR(__xludf.DUMMYFUNCTION("""COMPUTED_VALUE"""),"GANTI KELURAHAN")</f>
        <v>GANTI KELURAHAN</v>
      </c>
      <c r="H2541" s="7">
        <f t="shared" si="1"/>
        <v>1002</v>
      </c>
    </row>
    <row r="2542" ht="22.5" customHeight="1">
      <c r="B2542" s="7" t="str">
        <f>IFERROR(__xludf.DUMMYFUNCTION("""COMPUTED_VALUE"""),"K/36/241224/1")</f>
        <v>K/36/241224/1</v>
      </c>
      <c r="C2542" s="7" t="str">
        <f>IFERROR(__xludf.DUMMYFUNCTION("""COMPUTED_VALUE"""),"Nibel. M. 864/ Rajabasa Raya")</f>
        <v>Nibel. M. 864/ Rajabasa Raya</v>
      </c>
      <c r="D2542" s="7" t="str">
        <f>IFERROR(__xludf.DUMMYFUNCTION("""COMPUTED_VALUE"""),"Berry")</f>
        <v>Berry</v>
      </c>
      <c r="E2542" s="7" t="str">
        <f>IFERROR(__xludf.DUMMYFUNCTION("""COMPUTED_VALUE"""),"DISERAHKAN SU")</f>
        <v>DISERAHKAN SU</v>
      </c>
      <c r="F2542" s="9">
        <f>IFERROR(__xludf.DUMMYFUNCTION("""COMPUTED_VALUE"""),45650.70520111111)</f>
        <v>45650.7052</v>
      </c>
      <c r="G2542" s="7" t="str">
        <f>IFERROR(__xludf.DUMMYFUNCTION("""COMPUTED_VALUE"""),"BN Jual Beli")</f>
        <v>BN Jual Beli</v>
      </c>
      <c r="H2542" s="7">
        <f t="shared" si="1"/>
        <v>1002</v>
      </c>
    </row>
    <row r="2543" ht="22.5" customHeight="1">
      <c r="B2543" s="7" t="str">
        <f>IFERROR(__xludf.DUMMYFUNCTION("""COMPUTED_VALUE"""),"K/35/241224/1")</f>
        <v>K/35/241224/1</v>
      </c>
      <c r="C2543" s="7" t="str">
        <f>IFERROR(__xludf.DUMMYFUNCTION("""COMPUTED_VALUE"""),"M. 1928/ Campang Jaya")</f>
        <v>M. 1928/ Campang Jaya</v>
      </c>
      <c r="D2543" s="7"/>
      <c r="E2543" s="7"/>
      <c r="F2543" s="9" t="str">
        <f>IFERROR(__xludf.DUMMYFUNCTION("""COMPUTED_VALUE"""),"")</f>
        <v/>
      </c>
      <c r="G2543" s="7" t="str">
        <f>IFERROR(__xludf.DUMMYFUNCTION("""COMPUTED_VALUE"""),"BN Jual Beli")</f>
        <v>BN Jual Beli</v>
      </c>
      <c r="H2543" s="7">
        <f t="shared" si="1"/>
        <v>1002</v>
      </c>
    </row>
    <row r="2544" ht="22.5" customHeight="1">
      <c r="B2544" s="7" t="str">
        <f>IFERROR(__xludf.DUMMYFUNCTION("""COMPUTED_VALUE"""),"K/41/241224/1")</f>
        <v>K/41/241224/1</v>
      </c>
      <c r="C2544" s="7" t="str">
        <f>IFERROR(__xludf.DUMMYFUNCTION("""COMPUTED_VALUE"""),"B. 629/ Sukarame Baru")</f>
        <v>B. 629/ Sukarame Baru</v>
      </c>
      <c r="D2544" s="7" t="str">
        <f>IFERROR(__xludf.DUMMYFUNCTION("""COMPUTED_VALUE"""),"Berry")</f>
        <v>Berry</v>
      </c>
      <c r="E2544" s="7" t="str">
        <f>IFERROR(__xludf.DUMMYFUNCTION("""COMPUTED_VALUE"""),"PROSES")</f>
        <v>PROSES</v>
      </c>
      <c r="F2544" s="9" t="str">
        <f>IFERROR(__xludf.DUMMYFUNCTION("""COMPUTED_VALUE"""),"")</f>
        <v/>
      </c>
      <c r="G2544" s="7" t="str">
        <f>IFERROR(__xludf.DUMMYFUNCTION("""COMPUTED_VALUE"""),"Perubahan Hak")</f>
        <v>Perubahan Hak</v>
      </c>
      <c r="H2544" s="7">
        <f t="shared" si="1"/>
        <v>1002</v>
      </c>
    </row>
    <row r="2545" ht="22.5" customHeight="1">
      <c r="B2545" s="7" t="str">
        <f>IFERROR(__xludf.DUMMYFUNCTION("""COMPUTED_VALUE"""),"K/37/241224/1")</f>
        <v>K/37/241224/1</v>
      </c>
      <c r="C2545" s="7" t="str">
        <f>IFERROR(__xludf.DUMMYFUNCTION("""COMPUTED_VALUE"""),"NIBEL M 2672/TANJUNG SENENG")</f>
        <v>NIBEL M 2672/TANJUNG SENENG</v>
      </c>
      <c r="D2545" s="7" t="str">
        <f>IFERROR(__xludf.DUMMYFUNCTION("""COMPUTED_VALUE"""),"Berry")</f>
        <v>Berry</v>
      </c>
      <c r="E2545" s="7" t="str">
        <f>IFERROR(__xludf.DUMMYFUNCTION("""COMPUTED_VALUE"""),"DISERAHKAN")</f>
        <v>DISERAHKAN</v>
      </c>
      <c r="F2545" s="9">
        <f>IFERROR(__xludf.DUMMYFUNCTION("""COMPUTED_VALUE"""),45650.705376655096)</f>
        <v>45650.70538</v>
      </c>
      <c r="G2545" s="7" t="str">
        <f>IFERROR(__xludf.DUMMYFUNCTION("""COMPUTED_VALUE"""),"PEMECAHAN")</f>
        <v>PEMECAHAN</v>
      </c>
      <c r="H2545" s="7">
        <f t="shared" si="1"/>
        <v>1003</v>
      </c>
    </row>
    <row r="2546" ht="22.5" customHeight="1">
      <c r="B2546" s="7" t="str">
        <f>IFERROR(__xludf.DUMMYFUNCTION("""COMPUTED_VALUE"""),"K/42/241224/1")</f>
        <v>K/42/241224/1</v>
      </c>
      <c r="C2546" s="7" t="str">
        <f>IFERROR(__xludf.DUMMYFUNCTION("""COMPUTED_VALUE"""),"M. 2260/ N O G")</f>
        <v>M. 2260/ N O G</v>
      </c>
      <c r="D2546" s="7"/>
      <c r="E2546" s="7"/>
      <c r="F2546" s="9" t="str">
        <f>IFERROR(__xludf.DUMMYFUNCTION("""COMPUTED_VALUE"""),"")</f>
        <v/>
      </c>
      <c r="G2546" s="7" t="str">
        <f>IFERROR(__xludf.DUMMYFUNCTION("""COMPUTED_VALUE"""),"BN Jual Beli")</f>
        <v>BN Jual Beli</v>
      </c>
      <c r="H2546" s="7">
        <f t="shared" si="1"/>
        <v>1003</v>
      </c>
    </row>
    <row r="2547" ht="22.5" customHeight="1">
      <c r="B2547" s="7" t="str">
        <f>IFERROR(__xludf.DUMMYFUNCTION("""COMPUTED_VALUE"""),"K/38/241224/1")</f>
        <v>K/38/241224/1</v>
      </c>
      <c r="C2547" s="7" t="str">
        <f>IFERROR(__xludf.DUMMYFUNCTION("""COMPUTED_VALUE"""),"M. 107/ Palapa")</f>
        <v>M. 107/ Palapa</v>
      </c>
      <c r="D2547" s="7" t="str">
        <f>IFERROR(__xludf.DUMMYFUNCTION("""COMPUTED_VALUE"""),"Berry")</f>
        <v>Berry</v>
      </c>
      <c r="E2547" s="7" t="str">
        <f>IFERROR(__xludf.DUMMYFUNCTION("""COMPUTED_VALUE"""),"PROSES")</f>
        <v>PROSES</v>
      </c>
      <c r="F2547" s="9" t="str">
        <f>IFERROR(__xludf.DUMMYFUNCTION("""COMPUTED_VALUE"""),"")</f>
        <v/>
      </c>
      <c r="G2547" s="7" t="str">
        <f>IFERROR(__xludf.DUMMYFUNCTION("""COMPUTED_VALUE"""),"BN WARIS")</f>
        <v>BN WARIS</v>
      </c>
      <c r="H2547" s="7">
        <f t="shared" si="1"/>
        <v>1003</v>
      </c>
    </row>
    <row r="2548" ht="22.5" customHeight="1">
      <c r="B2548" s="7" t="str">
        <f>IFERROR(__xludf.DUMMYFUNCTION("""COMPUTED_VALUE"""),"K/39/241224/1")</f>
        <v>K/39/241224/1</v>
      </c>
      <c r="C2548" s="7" t="str">
        <f>IFERROR(__xludf.DUMMYFUNCTION("""COMPUTED_VALUE"""),"B.95/LABUHAN RATU")</f>
        <v>B.95/LABUHAN RATU</v>
      </c>
      <c r="D2548" s="7" t="str">
        <f>IFERROR(__xludf.DUMMYFUNCTION("""COMPUTED_VALUE"""),"Berry")</f>
        <v>Berry</v>
      </c>
      <c r="E2548" s="7" t="str">
        <f>IFERROR(__xludf.DUMMYFUNCTION("""COMPUTED_VALUE"""),"DISERAHKAN")</f>
        <v>DISERAHKAN</v>
      </c>
      <c r="F2548" s="9">
        <f>IFERROR(__xludf.DUMMYFUNCTION("""COMPUTED_VALUE"""),45657.59435024306)</f>
        <v>45657.59435</v>
      </c>
      <c r="G2548" s="7" t="str">
        <f>IFERROR(__xludf.DUMMYFUNCTION("""COMPUTED_VALUE"""),"PLOTING")</f>
        <v>PLOTING</v>
      </c>
      <c r="H2548" s="7">
        <f t="shared" si="1"/>
        <v>1004</v>
      </c>
    </row>
    <row r="2549" ht="22.5" customHeight="1">
      <c r="B2549" s="7" t="str">
        <f>IFERROR(__xludf.DUMMYFUNCTION("""COMPUTED_VALUE"""),"K/1/271224/1")</f>
        <v>K/1/271224/1</v>
      </c>
      <c r="C2549" s="7" t="str">
        <f>IFERROR(__xludf.DUMMYFUNCTION("""COMPUTED_VALUE"""),"M. 12291/ Segala Mider")</f>
        <v>M. 12291/ Segala Mider</v>
      </c>
      <c r="D2549" s="7"/>
      <c r="E2549" s="7"/>
      <c r="F2549" s="9" t="str">
        <f>IFERROR(__xludf.DUMMYFUNCTION("""COMPUTED_VALUE"""),"")</f>
        <v/>
      </c>
      <c r="G2549" s="7" t="str">
        <f>IFERROR(__xludf.DUMMYFUNCTION("""COMPUTED_VALUE"""),"ROYA")</f>
        <v>ROYA</v>
      </c>
      <c r="H2549" s="7">
        <f t="shared" si="1"/>
        <v>1004</v>
      </c>
    </row>
    <row r="2550" ht="22.5" customHeight="1">
      <c r="B2550" s="7" t="str">
        <f>IFERROR(__xludf.DUMMYFUNCTION("""COMPUTED_VALUE"""),"K/30/241224/1")</f>
        <v>K/30/241224/1</v>
      </c>
      <c r="C2550" s="7" t="str">
        <f>IFERROR(__xludf.DUMMYFUNCTION("""COMPUTED_VALUE"""),"M. 2371/ Sukamaju")</f>
        <v>M. 2371/ Sukamaju</v>
      </c>
      <c r="D2550" s="7"/>
      <c r="E2550" s="7"/>
      <c r="F2550" s="9" t="str">
        <f>IFERROR(__xludf.DUMMYFUNCTION("""COMPUTED_VALUE"""),"")</f>
        <v/>
      </c>
      <c r="G2550" s="7" t="str">
        <f>IFERROR(__xludf.DUMMYFUNCTION("""COMPUTED_VALUE"""),"ROYA")</f>
        <v>ROYA</v>
      </c>
      <c r="H2550" s="7">
        <f t="shared" si="1"/>
        <v>1004</v>
      </c>
    </row>
    <row r="2551" ht="22.5" customHeight="1">
      <c r="B2551" s="7" t="str">
        <f>IFERROR(__xludf.DUMMYFUNCTION("""COMPUTED_VALUE"""),"K/2/271224/1")</f>
        <v>K/2/271224/1</v>
      </c>
      <c r="C2551" s="7" t="str">
        <f>IFERROR(__xludf.DUMMYFUNCTION("""COMPUTED_VALUE"""),"Nibel. M. 16428/ Kedamian")</f>
        <v>Nibel. M. 16428/ Kedamian</v>
      </c>
      <c r="D2551" s="7"/>
      <c r="E2551" s="7"/>
      <c r="F2551" s="9" t="str">
        <f>IFERROR(__xludf.DUMMYFUNCTION("""COMPUTED_VALUE"""),"")</f>
        <v/>
      </c>
      <c r="G2551" s="7" t="str">
        <f>IFERROR(__xludf.DUMMYFUNCTION("""COMPUTED_VALUE"""),"Gandes")</f>
        <v>Gandes</v>
      </c>
      <c r="H2551" s="7">
        <f t="shared" si="1"/>
        <v>1004</v>
      </c>
    </row>
    <row r="2552" ht="22.5" customHeight="1">
      <c r="B2552" s="7" t="str">
        <f>IFERROR(__xludf.DUMMYFUNCTION("""COMPUTED_VALUE"""),"K/3/271224/1")</f>
        <v>K/3/271224/1</v>
      </c>
      <c r="C2552" s="7" t="str">
        <f>IFERROR(__xludf.DUMMYFUNCTION("""COMPUTED_VALUE"""),"BERINGIN RAYA")</f>
        <v>BERINGIN RAYA</v>
      </c>
      <c r="D2552" s="7" t="str">
        <f>IFERROR(__xludf.DUMMYFUNCTION("""COMPUTED_VALUE"""),"Berry")</f>
        <v>Berry</v>
      </c>
      <c r="E2552" s="7" t="str">
        <f>IFERROR(__xludf.DUMMYFUNCTION("""COMPUTED_VALUE"""),"DISERAHKAN")</f>
        <v>DISERAHKAN</v>
      </c>
      <c r="F2552" s="9">
        <f>IFERROR(__xludf.DUMMYFUNCTION("""COMPUTED_VALUE"""),45657.594593807866)</f>
        <v>45657.59459</v>
      </c>
      <c r="G2552" s="7" t="str">
        <f>IFERROR(__xludf.DUMMYFUNCTION("""COMPUTED_VALUE"""),"PENGUKURAN TANAH MENTAH")</f>
        <v>PENGUKURAN TANAH MENTAH</v>
      </c>
      <c r="H2552" s="7">
        <f t="shared" si="1"/>
        <v>1005</v>
      </c>
    </row>
    <row r="2553" ht="22.5" customHeight="1">
      <c r="B2553" s="7" t="str">
        <f>IFERROR(__xludf.DUMMYFUNCTION("""COMPUTED_VALUE"""),"L/4/271224/1")</f>
        <v>L/4/271224/1</v>
      </c>
      <c r="C2553" s="7" t="str">
        <f>IFERROR(__xludf.DUMMYFUNCTION("""COMPUTED_VALUE"""),"HGB 678/KEDAMAIAN")</f>
        <v>HGB 678/KEDAMAIAN</v>
      </c>
      <c r="D2553" s="7" t="str">
        <f>IFERROR(__xludf.DUMMYFUNCTION("""COMPUTED_VALUE"""),"Berry")</f>
        <v>Berry</v>
      </c>
      <c r="E2553" s="7" t="str">
        <f>IFERROR(__xludf.DUMMYFUNCTION("""COMPUTED_VALUE"""),"PROSES")</f>
        <v>PROSES</v>
      </c>
      <c r="F2553" s="9" t="str">
        <f>IFERROR(__xludf.DUMMYFUNCTION("""COMPUTED_VALUE"""),"")</f>
        <v/>
      </c>
      <c r="G2553" s="7" t="str">
        <f>IFERROR(__xludf.DUMMYFUNCTION("""COMPUTED_VALUE"""),"GANDES")</f>
        <v>GANDES</v>
      </c>
      <c r="H2553" s="7">
        <f t="shared" si="1"/>
        <v>1005</v>
      </c>
    </row>
    <row r="2554" ht="22.5" customHeight="1">
      <c r="B2554" s="7" t="str">
        <f>IFERROR(__xludf.DUMMYFUNCTION("""COMPUTED_VALUE"""),"L/6/271224/1")</f>
        <v>L/6/271224/1</v>
      </c>
      <c r="C2554" s="7" t="str">
        <f>IFERROR(__xludf.DUMMYFUNCTION("""COMPUTED_VALUE"""),"HGB 507/GUNUNG SULAH")</f>
        <v>HGB 507/GUNUNG SULAH</v>
      </c>
      <c r="D2554" s="7"/>
      <c r="E2554" s="7"/>
      <c r="F2554" s="9" t="str">
        <f>IFERROR(__xludf.DUMMYFUNCTION("""COMPUTED_VALUE"""),"")</f>
        <v/>
      </c>
      <c r="G2554" s="7" t="str">
        <f>IFERROR(__xludf.DUMMYFUNCTION("""COMPUTED_VALUE"""),"ROYA")</f>
        <v>ROYA</v>
      </c>
      <c r="H2554" s="7">
        <f t="shared" si="1"/>
        <v>1005</v>
      </c>
    </row>
    <row r="2555" ht="22.5" customHeight="1">
      <c r="B2555" s="7" t="str">
        <f>IFERROR(__xludf.DUMMYFUNCTION("""COMPUTED_VALUE"""),"K/7/271224/1")</f>
        <v>K/7/271224/1</v>
      </c>
      <c r="C2555" s="7" t="str">
        <f>IFERROR(__xludf.DUMMYFUNCTION("""COMPUTED_VALUE"""),"M.873/CAMPANG RAYA")</f>
        <v>M.873/CAMPANG RAYA</v>
      </c>
      <c r="D2555" s="7" t="str">
        <f>IFERROR(__xludf.DUMMYFUNCTION("""COMPUTED_VALUE"""),"Berry")</f>
        <v>Berry</v>
      </c>
      <c r="E2555" s="7" t="str">
        <f>IFERROR(__xludf.DUMMYFUNCTION("""COMPUTED_VALUE"""),"PROSES")</f>
        <v>PROSES</v>
      </c>
      <c r="F2555" s="9" t="str">
        <f>IFERROR(__xludf.DUMMYFUNCTION("""COMPUTED_VALUE"""),"")</f>
        <v/>
      </c>
      <c r="G2555" s="7" t="str">
        <f>IFERROR(__xludf.DUMMYFUNCTION("""COMPUTED_VALUE"""),"ROYA ")</f>
        <v>ROYA </v>
      </c>
      <c r="H2555" s="7">
        <f t="shared" si="1"/>
        <v>1005</v>
      </c>
    </row>
    <row r="2556" ht="22.5" customHeight="1">
      <c r="B2556" s="7" t="str">
        <f>IFERROR(__xludf.DUMMYFUNCTION("""COMPUTED_VALUE"""),"K/8/271224/1")</f>
        <v>K/8/271224/1</v>
      </c>
      <c r="C2556" s="7" t="str">
        <f>IFERROR(__xludf.DUMMYFUNCTION("""COMPUTED_VALUE"""),"M. 585/ Kemiling Raya")</f>
        <v>M. 585/ Kemiling Raya</v>
      </c>
      <c r="D2556" s="7" t="str">
        <f>IFERROR(__xludf.DUMMYFUNCTION("""COMPUTED_VALUE"""),"Berry")</f>
        <v>Berry</v>
      </c>
      <c r="E2556" s="7" t="str">
        <f>IFERROR(__xludf.DUMMYFUNCTION("""COMPUTED_VALUE"""),"DISERAHKAN")</f>
        <v>DISERAHKAN</v>
      </c>
      <c r="F2556" s="9">
        <f>IFERROR(__xludf.DUMMYFUNCTION("""COMPUTED_VALUE"""),45657.59482107639)</f>
        <v>45657.59482</v>
      </c>
      <c r="G2556" s="7" t="str">
        <f>IFERROR(__xludf.DUMMYFUNCTION("""COMPUTED_VALUE"""),"PLOTTING")</f>
        <v>PLOTTING</v>
      </c>
      <c r="H2556" s="7">
        <f t="shared" si="1"/>
        <v>1006</v>
      </c>
    </row>
    <row r="2557" ht="22.5" customHeight="1">
      <c r="B2557" s="7" t="str">
        <f>IFERROR(__xludf.DUMMYFUNCTION("""COMPUTED_VALUE"""),"L/9/271224/1")</f>
        <v>L/9/271224/1</v>
      </c>
      <c r="C2557" s="7" t="str">
        <f>IFERROR(__xludf.DUMMYFUNCTION("""COMPUTED_VALUE"""),"HGB 119/LANGKAPURA")</f>
        <v>HGB 119/LANGKAPURA</v>
      </c>
      <c r="D2557" s="7" t="str">
        <f>IFERROR(__xludf.DUMMYFUNCTION("""COMPUTED_VALUE"""),"Berry")</f>
        <v>Berry</v>
      </c>
      <c r="E2557" s="7" t="str">
        <f>IFERROR(__xludf.DUMMYFUNCTION("""COMPUTED_VALUE"""),"PROSES")</f>
        <v>PROSES</v>
      </c>
      <c r="F2557" s="9" t="str">
        <f>IFERROR(__xludf.DUMMYFUNCTION("""COMPUTED_VALUE"""),"")</f>
        <v/>
      </c>
      <c r="G2557" s="7" t="str">
        <f>IFERROR(__xludf.DUMMYFUNCTION("""COMPUTED_VALUE"""),"ROYA")</f>
        <v>ROYA</v>
      </c>
      <c r="H2557" s="7">
        <f t="shared" si="1"/>
        <v>1006</v>
      </c>
    </row>
    <row r="2558" ht="22.5" customHeight="1">
      <c r="B2558" s="7" t="str">
        <f>IFERROR(__xludf.DUMMYFUNCTION("""COMPUTED_VALUE"""),"K/10/271224/1")</f>
        <v>K/10/271224/1</v>
      </c>
      <c r="C2558" s="7" t="str">
        <f>IFERROR(__xludf.DUMMYFUNCTION("""COMPUTED_VALUE"""),"B.3561/KALI BALAU KENCANA-SEKARANG;B.3561/SUKARAME I")</f>
        <v>B.3561/KALI BALAU KENCANA-SEKARANG;B.3561/SUKARAME I</v>
      </c>
      <c r="D2558" s="7"/>
      <c r="E2558" s="7"/>
      <c r="F2558" s="9" t="str">
        <f>IFERROR(__xludf.DUMMYFUNCTION("""COMPUTED_VALUE"""),"")</f>
        <v/>
      </c>
      <c r="G2558" s="7" t="str">
        <f>IFERROR(__xludf.DUMMYFUNCTION("""COMPUTED_VALUE"""),"BN JUAL BELI")</f>
        <v>BN JUAL BELI</v>
      </c>
      <c r="H2558" s="7">
        <f t="shared" si="1"/>
        <v>1006</v>
      </c>
    </row>
    <row r="2559" ht="22.5" customHeight="1">
      <c r="B2559" s="7" t="str">
        <f>IFERROR(__xludf.DUMMYFUNCTION("""COMPUTED_VALUE"""),"K/11/271224/1")</f>
        <v>K/11/271224/1</v>
      </c>
      <c r="C2559" s="7" t="str">
        <f>IFERROR(__xludf.DUMMYFUNCTION("""COMPUTED_VALUE"""),"B. 5018/ Sukarame")</f>
        <v>B. 5018/ Sukarame</v>
      </c>
      <c r="D2559" s="7" t="str">
        <f>IFERROR(__xludf.DUMMYFUNCTION("""COMPUTED_VALUE"""),"Berry")</f>
        <v>Berry</v>
      </c>
      <c r="E2559" s="7" t="str">
        <f>IFERROR(__xludf.DUMMYFUNCTION("""COMPUTED_VALUE"""),"PROSES")</f>
        <v>PROSES</v>
      </c>
      <c r="F2559" s="9" t="str">
        <f>IFERROR(__xludf.DUMMYFUNCTION("""COMPUTED_VALUE"""),"")</f>
        <v/>
      </c>
      <c r="G2559" s="7" t="str">
        <f>IFERROR(__xludf.DUMMYFUNCTION("""COMPUTED_VALUE"""),"BN JUAL BELI")</f>
        <v>BN JUAL BELI</v>
      </c>
      <c r="H2559" s="7">
        <f t="shared" si="1"/>
        <v>1006</v>
      </c>
    </row>
    <row r="2560" ht="22.5" customHeight="1">
      <c r="B2560" s="7" t="str">
        <f>IFERROR(__xludf.DUMMYFUNCTION("""COMPUTED_VALUE"""),"K/12/271224/1")</f>
        <v>K/12/271224/1</v>
      </c>
      <c r="C2560" s="7" t="str">
        <f>IFERROR(__xludf.DUMMYFUNCTION("""COMPUTED_VALUE"""),"B. 276/ Campang Raya")</f>
        <v>B. 276/ Campang Raya</v>
      </c>
      <c r="D2560" s="7"/>
      <c r="E2560" s="7"/>
      <c r="F2560" s="9" t="str">
        <f>IFERROR(__xludf.DUMMYFUNCTION("""COMPUTED_VALUE"""),"")</f>
        <v/>
      </c>
      <c r="G2560" s="7" t="str">
        <f>IFERROR(__xludf.DUMMYFUNCTION("""COMPUTED_VALUE"""),"GANTI KELURAHAN")</f>
        <v>GANTI KELURAHAN</v>
      </c>
      <c r="H2560" s="7">
        <f t="shared" si="1"/>
        <v>1006</v>
      </c>
    </row>
    <row r="2561" ht="22.5" customHeight="1">
      <c r="B2561" s="7" t="str">
        <f>IFERROR(__xludf.DUMMYFUNCTION("""COMPUTED_VALUE"""),"K/14/271224/1")</f>
        <v>K/14/271224/1</v>
      </c>
      <c r="C2561" s="7" t="str">
        <f>IFERROR(__xludf.DUMMYFUNCTION("""COMPUTED_VALUE"""),"M. 116/ Way Tataan")</f>
        <v>M. 116/ Way Tataan</v>
      </c>
      <c r="D2561" s="7"/>
      <c r="E2561" s="7"/>
      <c r="F2561" s="9" t="str">
        <f>IFERROR(__xludf.DUMMYFUNCTION("""COMPUTED_VALUE"""),"")</f>
        <v/>
      </c>
      <c r="G2561" s="7" t="str">
        <f>IFERROR(__xludf.DUMMYFUNCTION("""COMPUTED_VALUE"""),"Roya")</f>
        <v>Roya</v>
      </c>
      <c r="H2561" s="7">
        <f t="shared" si="1"/>
        <v>1006</v>
      </c>
    </row>
    <row r="2562" ht="22.5" customHeight="1">
      <c r="B2562" s="7" t="str">
        <f>IFERROR(__xludf.DUMMYFUNCTION("""COMPUTED_VALUE"""),"K/15/271224/1")</f>
        <v>K/15/271224/1</v>
      </c>
      <c r="C2562" s="7" t="str">
        <f>IFERROR(__xludf.DUMMYFUNCTION("""COMPUTED_VALUE"""),"M. 1024/ Sepang Jaya")</f>
        <v>M. 1024/ Sepang Jaya</v>
      </c>
      <c r="D2562" s="7"/>
      <c r="E2562" s="7"/>
      <c r="F2562" s="9" t="str">
        <f>IFERROR(__xludf.DUMMYFUNCTION("""COMPUTED_VALUE"""),"")</f>
        <v/>
      </c>
      <c r="G2562" s="7" t="str">
        <f>IFERROR(__xludf.DUMMYFUNCTION("""COMPUTED_VALUE"""),"Pengecekan")</f>
        <v>Pengecekan</v>
      </c>
      <c r="H2562" s="7">
        <f t="shared" si="1"/>
        <v>1006</v>
      </c>
    </row>
    <row r="2563" ht="22.5" customHeight="1">
      <c r="B2563" s="7" t="str">
        <f>IFERROR(__xludf.DUMMYFUNCTION("""COMPUTED_VALUE"""),"K/13/271224/2")</f>
        <v>K/13/271224/2</v>
      </c>
      <c r="C2563" s="7" t="str">
        <f>IFERROR(__xludf.DUMMYFUNCTION("""COMPUTED_VALUE"""),"Nibel 138/ Sukarame")</f>
        <v>Nibel 138/ Sukarame</v>
      </c>
      <c r="D2563" s="7"/>
      <c r="E2563" s="7"/>
      <c r="F2563" s="9" t="str">
        <f>IFERROR(__xludf.DUMMYFUNCTION("""COMPUTED_VALUE"""),"")</f>
        <v/>
      </c>
      <c r="G2563" s="7" t="str">
        <f>IFERROR(__xludf.DUMMYFUNCTION("""COMPUTED_VALUE"""),"BN JUAL BELI")</f>
        <v>BN JUAL BELI</v>
      </c>
      <c r="H2563" s="7">
        <f t="shared" si="1"/>
        <v>1006</v>
      </c>
    </row>
    <row r="2564" ht="22.5" customHeight="1">
      <c r="B2564" s="7" t="str">
        <f>IFERROR(__xludf.DUMMYFUNCTION("""COMPUTED_VALUE"""),"K/16/271224/2")</f>
        <v>K/16/271224/2</v>
      </c>
      <c r="C2564" s="7" t="str">
        <f>IFERROR(__xludf.DUMMYFUNCTION("""COMPUTED_VALUE"""),"B. 1009/ Kemiling Permai")</f>
        <v>B. 1009/ Kemiling Permai</v>
      </c>
      <c r="D2564" s="7"/>
      <c r="E2564" s="7"/>
      <c r="F2564" s="9" t="str">
        <f>IFERROR(__xludf.DUMMYFUNCTION("""COMPUTED_VALUE"""),"")</f>
        <v/>
      </c>
      <c r="G2564" s="7" t="str">
        <f>IFERROR(__xludf.DUMMYFUNCTION("""COMPUTED_VALUE"""),"Pengecekan")</f>
        <v>Pengecekan</v>
      </c>
      <c r="H2564" s="7">
        <f t="shared" si="1"/>
        <v>1006</v>
      </c>
    </row>
    <row r="2565" ht="22.5" customHeight="1">
      <c r="B2565" s="7" t="str">
        <f>IFERROR(__xludf.DUMMYFUNCTION("""COMPUTED_VALUE"""),"K/17/271224/3")</f>
        <v>K/17/271224/3</v>
      </c>
      <c r="C2565" s="7" t="str">
        <f>IFERROR(__xludf.DUMMYFUNCTION("""COMPUTED_VALUE"""),"B. 922/ Kemiling Permai")</f>
        <v>B. 922/ Kemiling Permai</v>
      </c>
      <c r="D2565" s="7"/>
      <c r="E2565" s="7"/>
      <c r="F2565" s="9" t="str">
        <f>IFERROR(__xludf.DUMMYFUNCTION("""COMPUTED_VALUE"""),"")</f>
        <v/>
      </c>
      <c r="G2565" s="7" t="str">
        <f>IFERROR(__xludf.DUMMYFUNCTION("""COMPUTED_VALUE"""),"Pengecekan")</f>
        <v>Pengecekan</v>
      </c>
      <c r="H2565" s="7">
        <f t="shared" si="1"/>
        <v>1006</v>
      </c>
    </row>
    <row r="2566" ht="22.5" customHeight="1">
      <c r="B2566" s="7" t="str">
        <f>IFERROR(__xludf.DUMMYFUNCTION("""COMPUTED_VALUE"""),"K/18/271224/1")</f>
        <v>K/18/271224/1</v>
      </c>
      <c r="C2566" s="7" t="str">
        <f>IFERROR(__xludf.DUMMYFUNCTION("""COMPUTED_VALUE"""),"Nibel 1993/ Palapa")</f>
        <v>Nibel 1993/ Palapa</v>
      </c>
      <c r="D2566" s="7"/>
      <c r="E2566" s="7"/>
      <c r="F2566" s="9" t="str">
        <f>IFERROR(__xludf.DUMMYFUNCTION("""COMPUTED_VALUE"""),"")</f>
        <v/>
      </c>
      <c r="G2566" s="7" t="str">
        <f>IFERROR(__xludf.DUMMYFUNCTION("""COMPUTED_VALUE"""),"BN JUAL BELI")</f>
        <v>BN JUAL BELI</v>
      </c>
      <c r="H2566" s="7">
        <f t="shared" si="1"/>
        <v>1006</v>
      </c>
    </row>
    <row r="2567" ht="22.5" customHeight="1">
      <c r="B2567" s="7" t="str">
        <f>IFERROR(__xludf.DUMMYFUNCTION("""COMPUTED_VALUE"""),"K/19/271224/1")</f>
        <v>K/19/271224/1</v>
      </c>
      <c r="C2567" s="7" t="str">
        <f>IFERROR(__xludf.DUMMYFUNCTION("""COMPUTED_VALUE"""),"M.17984/SUKARAME I")</f>
        <v>M.17984/SUKARAME I</v>
      </c>
      <c r="D2567" s="7"/>
      <c r="E2567" s="7"/>
      <c r="F2567" s="9" t="str">
        <f>IFERROR(__xludf.DUMMYFUNCTION("""COMPUTED_VALUE"""),"")</f>
        <v/>
      </c>
      <c r="G2567" s="7" t="str">
        <f>IFERROR(__xludf.DUMMYFUNCTION("""COMPUTED_VALUE"""),"GANDES")</f>
        <v>GANDES</v>
      </c>
      <c r="H2567" s="7">
        <f t="shared" si="1"/>
        <v>1006</v>
      </c>
    </row>
    <row r="2568" ht="22.5" customHeight="1">
      <c r="B2568" s="7" t="str">
        <f>IFERROR(__xludf.DUMMYFUNCTION("""COMPUTED_VALUE"""),"K/21/271224/1")</f>
        <v>K/21/271224/1</v>
      </c>
      <c r="C2568" s="7" t="str">
        <f>IFERROR(__xludf.DUMMYFUNCTION("""COMPUTED_VALUE"""),"M.1147/SEPANG JAYA")</f>
        <v>M.1147/SEPANG JAYA</v>
      </c>
      <c r="D2568" s="7" t="str">
        <f>IFERROR(__xludf.DUMMYFUNCTION("""COMPUTED_VALUE"""),"Berry")</f>
        <v>Berry</v>
      </c>
      <c r="E2568" s="7" t="str">
        <f>IFERROR(__xludf.DUMMYFUNCTION("""COMPUTED_VALUE"""),"DISERAHKAN")</f>
        <v>DISERAHKAN</v>
      </c>
      <c r="F2568" s="9">
        <f>IFERROR(__xludf.DUMMYFUNCTION("""COMPUTED_VALUE"""),45657.59525796297)</f>
        <v>45657.59526</v>
      </c>
      <c r="G2568" s="7" t="str">
        <f>IFERROR(__xludf.DUMMYFUNCTION("""COMPUTED_VALUE"""),"PLOTING")</f>
        <v>PLOTING</v>
      </c>
      <c r="H2568" s="7">
        <f t="shared" si="1"/>
        <v>1007</v>
      </c>
    </row>
    <row r="2569" ht="22.5" customHeight="1">
      <c r="B2569" s="7" t="str">
        <f>IFERROR(__xludf.DUMMYFUNCTION("""COMPUTED_VALUE"""),"K/22/271224/2")</f>
        <v>K/22/271224/2</v>
      </c>
      <c r="C2569" s="7" t="str">
        <f>IFERROR(__xludf.DUMMYFUNCTION("""COMPUTED_VALUE"""),"NIBEL M 10971/RAJABASA JAYA")</f>
        <v>NIBEL M 10971/RAJABASA JAYA</v>
      </c>
      <c r="D2569" s="7" t="str">
        <f>IFERROR(__xludf.DUMMYFUNCTION("""COMPUTED_VALUE"""),"Berry")</f>
        <v>Berry</v>
      </c>
      <c r="E2569" s="7" t="str">
        <f>IFERROR(__xludf.DUMMYFUNCTION("""COMPUTED_VALUE"""),"DISERAHKAN")</f>
        <v>DISERAHKAN</v>
      </c>
      <c r="F2569" s="9">
        <f>IFERROR(__xludf.DUMMYFUNCTION("""COMPUTED_VALUE"""),45657.59527873843)</f>
        <v>45657.59528</v>
      </c>
      <c r="G2569" s="7" t="str">
        <f>IFERROR(__xludf.DUMMYFUNCTION("""COMPUTED_VALUE"""),"BN JUAL BELI")</f>
        <v>BN JUAL BELI</v>
      </c>
      <c r="H2569" s="7">
        <f t="shared" si="1"/>
        <v>1008</v>
      </c>
    </row>
    <row r="2570" ht="22.5" customHeight="1">
      <c r="B2570" s="7" t="str">
        <f>IFERROR(__xludf.DUMMYFUNCTION("""COMPUTED_VALUE"""),"K/23/271224/1")</f>
        <v>K/23/271224/1</v>
      </c>
      <c r="C2570" s="7" t="str">
        <f>IFERROR(__xludf.DUMMYFUNCTION("""COMPUTED_VALUE"""),"B. 513/ Sukarame Baru")</f>
        <v>B. 513/ Sukarame Baru</v>
      </c>
      <c r="D2570" s="7"/>
      <c r="E2570" s="7"/>
      <c r="F2570" s="9" t="str">
        <f>IFERROR(__xludf.DUMMYFUNCTION("""COMPUTED_VALUE"""),"")</f>
        <v/>
      </c>
      <c r="G2570" s="7" t="str">
        <f>IFERROR(__xludf.DUMMYFUNCTION("""COMPUTED_VALUE"""),"BN JUAL BELI")</f>
        <v>BN JUAL BELI</v>
      </c>
      <c r="H2570" s="7">
        <f t="shared" si="1"/>
        <v>1008</v>
      </c>
    </row>
    <row r="2571" ht="22.5" customHeight="1">
      <c r="B2571" s="7" t="str">
        <f>IFERROR(__xludf.DUMMYFUNCTION("""COMPUTED_VALUE"""),"K/24/271224/2")</f>
        <v>K/24/271224/2</v>
      </c>
      <c r="C2571" s="7" t="str">
        <f>IFERROR(__xludf.DUMMYFUNCTION("""COMPUTED_VALUE"""),"B. 512/ Sukarame Baru")</f>
        <v>B. 512/ Sukarame Baru</v>
      </c>
      <c r="D2571" s="7" t="str">
        <f>IFERROR(__xludf.DUMMYFUNCTION("""COMPUTED_VALUE"""),"Berry")</f>
        <v>Berry</v>
      </c>
      <c r="E2571" s="7" t="str">
        <f>IFERROR(__xludf.DUMMYFUNCTION("""COMPUTED_VALUE"""),"DISERAHKAN")</f>
        <v>DISERAHKAN</v>
      </c>
      <c r="F2571" s="9">
        <f>IFERROR(__xludf.DUMMYFUNCTION("""COMPUTED_VALUE"""),45657.59538783565)</f>
        <v>45657.59539</v>
      </c>
      <c r="G2571" s="7" t="str">
        <f>IFERROR(__xludf.DUMMYFUNCTION("""COMPUTED_VALUE"""),"BN JUAL BELI")</f>
        <v>BN JUAL BELI</v>
      </c>
      <c r="H2571" s="7">
        <f t="shared" si="1"/>
        <v>1009</v>
      </c>
    </row>
    <row r="2572" ht="22.5" customHeight="1">
      <c r="B2572" s="7" t="str">
        <f>IFERROR(__xludf.DUMMYFUNCTION("""COMPUTED_VALUE"""),"K/25/271224/3")</f>
        <v>K/25/271224/3</v>
      </c>
      <c r="C2572" s="7" t="str">
        <f>IFERROR(__xludf.DUMMYFUNCTION("""COMPUTED_VALUE"""),"Nibel 704/ Kota Sepang")</f>
        <v>Nibel 704/ Kota Sepang</v>
      </c>
      <c r="D2572" s="7"/>
      <c r="E2572" s="7"/>
      <c r="F2572" s="9" t="str">
        <f>IFERROR(__xludf.DUMMYFUNCTION("""COMPUTED_VALUE"""),"")</f>
        <v/>
      </c>
      <c r="G2572" s="7" t="str">
        <f>IFERROR(__xludf.DUMMYFUNCTION("""COMPUTED_VALUE"""),"BN JUAL BELI")</f>
        <v>BN JUAL BELI</v>
      </c>
      <c r="H2572" s="7">
        <f t="shared" si="1"/>
        <v>1009</v>
      </c>
    </row>
    <row r="2573" ht="22.5" customHeight="1">
      <c r="B2573" s="7" t="str">
        <f>IFERROR(__xludf.DUMMYFUNCTION("""COMPUTED_VALUE"""),"K/26/271224/4")</f>
        <v>K/26/271224/4</v>
      </c>
      <c r="C2573" s="7" t="str">
        <f>IFERROR(__xludf.DUMMYFUNCTION("""COMPUTED_VALUE"""),"M. 635/ Tanjung Raya")</f>
        <v>M. 635/ Tanjung Raya</v>
      </c>
      <c r="D2573" s="7" t="str">
        <f>IFERROR(__xludf.DUMMYFUNCTION("""COMPUTED_VALUE"""),"Berry")</f>
        <v>Berry</v>
      </c>
      <c r="E2573" s="7" t="str">
        <f>IFERROR(__xludf.DUMMYFUNCTION("""COMPUTED_VALUE"""),"DISERAHKAN SU")</f>
        <v>DISERAHKAN SU</v>
      </c>
      <c r="F2573" s="9">
        <f>IFERROR(__xludf.DUMMYFUNCTION("""COMPUTED_VALUE"""),45657.59552658565)</f>
        <v>45657.59553</v>
      </c>
      <c r="G2573" s="7" t="str">
        <f>IFERROR(__xludf.DUMMYFUNCTION("""COMPUTED_VALUE"""),"BN JUAL BELI")</f>
        <v>BN JUAL BELI</v>
      </c>
      <c r="H2573" s="7">
        <f t="shared" si="1"/>
        <v>1009</v>
      </c>
    </row>
    <row r="2574" ht="22.5" customHeight="1">
      <c r="B2574" s="7" t="str">
        <f>IFERROR(__xludf.DUMMYFUNCTION("""COMPUTED_VALUE"""),"K/27/271224/5")</f>
        <v>K/27/271224/5</v>
      </c>
      <c r="C2574" s="7" t="str">
        <f>IFERROR(__xludf.DUMMYFUNCTION("""COMPUTED_VALUE"""),"Nibel 10768/ Kaliawi")</f>
        <v>Nibel 10768/ Kaliawi</v>
      </c>
      <c r="D2574" s="7" t="str">
        <f>IFERROR(__xludf.DUMMYFUNCTION("""COMPUTED_VALUE"""),"Berry")</f>
        <v>Berry</v>
      </c>
      <c r="E2574" s="7" t="str">
        <f>IFERROR(__xludf.DUMMYFUNCTION("""COMPUTED_VALUE"""),"DISERAHKAN")</f>
        <v>DISERAHKAN</v>
      </c>
      <c r="F2574" s="9">
        <f>IFERROR(__xludf.DUMMYFUNCTION("""COMPUTED_VALUE"""),45657.595629131945)</f>
        <v>45657.59563</v>
      </c>
      <c r="G2574" s="7" t="str">
        <f>IFERROR(__xludf.DUMMYFUNCTION("""COMPUTED_VALUE"""),"BN JUAL BELI")</f>
        <v>BN JUAL BELI</v>
      </c>
      <c r="H2574" s="7">
        <f t="shared" si="1"/>
        <v>1010</v>
      </c>
    </row>
    <row r="2575" ht="22.5" customHeight="1">
      <c r="B2575" s="7" t="str">
        <f>IFERROR(__xludf.DUMMYFUNCTION("""COMPUTED_VALUE"""),"K/28/271224/1")</f>
        <v>K/28/271224/1</v>
      </c>
      <c r="C2575" s="7" t="str">
        <f>IFERROR(__xludf.DUMMYFUNCTION("""COMPUTED_VALUE"""),"M. 1337/ Kaliawi")</f>
        <v>M. 1337/ Kaliawi</v>
      </c>
      <c r="D2575" s="7"/>
      <c r="E2575" s="7"/>
      <c r="F2575" s="9" t="str">
        <f>IFERROR(__xludf.DUMMYFUNCTION("""COMPUTED_VALUE"""),"")</f>
        <v/>
      </c>
      <c r="G2575" s="7" t="str">
        <f>IFERROR(__xludf.DUMMYFUNCTION("""COMPUTED_VALUE"""),"BN Jual Beli")</f>
        <v>BN Jual Beli</v>
      </c>
      <c r="H2575" s="7">
        <f t="shared" si="1"/>
        <v>1010</v>
      </c>
    </row>
    <row r="2576" ht="22.5" customHeight="1">
      <c r="B2576" s="7" t="str">
        <f>IFERROR(__xludf.DUMMYFUNCTION("""COMPUTED_VALUE"""),"K/29/271224/1")</f>
        <v>K/29/271224/1</v>
      </c>
      <c r="C2576" s="7" t="str">
        <f>IFERROR(__xludf.DUMMYFUNCTION("""COMPUTED_VALUE"""),"M. 2058/ Labuhan Dalam")</f>
        <v>M. 2058/ Labuhan Dalam</v>
      </c>
      <c r="D2576" s="7"/>
      <c r="E2576" s="7"/>
      <c r="F2576" s="9" t="str">
        <f>IFERROR(__xludf.DUMMYFUNCTION("""COMPUTED_VALUE"""),"")</f>
        <v/>
      </c>
      <c r="G2576" s="7" t="str">
        <f>IFERROR(__xludf.DUMMYFUNCTION("""COMPUTED_VALUE"""),"ROYA")</f>
        <v>ROYA</v>
      </c>
      <c r="H2576" s="7">
        <f t="shared" si="1"/>
        <v>1010</v>
      </c>
    </row>
    <row r="2577" ht="22.5" customHeight="1">
      <c r="B2577" s="7" t="str">
        <f>IFERROR(__xludf.DUMMYFUNCTION("""COMPUTED_VALUE"""),"K/30/271224/2")</f>
        <v>K/30/271224/2</v>
      </c>
      <c r="C2577" s="7" t="str">
        <f>IFERROR(__xludf.DUMMYFUNCTION("""COMPUTED_VALUE"""),"Nibel 3074/ Keteguhan")</f>
        <v>Nibel 3074/ Keteguhan</v>
      </c>
      <c r="D2577" s="7" t="str">
        <f>IFERROR(__xludf.DUMMYFUNCTION("""COMPUTED_VALUE"""),"Berry")</f>
        <v>Berry</v>
      </c>
      <c r="E2577" s="7" t="str">
        <f>IFERROR(__xludf.DUMMYFUNCTION("""COMPUTED_VALUE"""),"DISERAHKAN")</f>
        <v>DISERAHKAN</v>
      </c>
      <c r="F2577" s="9">
        <f>IFERROR(__xludf.DUMMYFUNCTION("""COMPUTED_VALUE"""),45657.595754317124)</f>
        <v>45657.59575</v>
      </c>
      <c r="G2577" s="7" t="str">
        <f>IFERROR(__xludf.DUMMYFUNCTION("""COMPUTED_VALUE"""),"BN JUAL BELI")</f>
        <v>BN JUAL BELI</v>
      </c>
      <c r="H2577" s="7">
        <f t="shared" si="1"/>
        <v>1011</v>
      </c>
    </row>
    <row r="2578" ht="22.5" customHeight="1">
      <c r="B2578" s="7" t="str">
        <f>IFERROR(__xludf.DUMMYFUNCTION("""COMPUTED_VALUE"""),"K/31/271224/3")</f>
        <v>K/31/271224/3</v>
      </c>
      <c r="C2578" s="7" t="str">
        <f>IFERROR(__xludf.DUMMYFUNCTION("""COMPUTED_VALUE"""),"Nibel 16360/ Labuhan Ratu")</f>
        <v>Nibel 16360/ Labuhan Ratu</v>
      </c>
      <c r="D2578" s="7" t="str">
        <f>IFERROR(__xludf.DUMMYFUNCTION("""COMPUTED_VALUE"""),"Berry")</f>
        <v>Berry</v>
      </c>
      <c r="E2578" s="7" t="str">
        <f>IFERROR(__xludf.DUMMYFUNCTION("""COMPUTED_VALUE"""),"DISERAHKAN")</f>
        <v>DISERAHKAN</v>
      </c>
      <c r="F2578" s="9">
        <f>IFERROR(__xludf.DUMMYFUNCTION("""COMPUTED_VALUE"""),45657.59589873842)</f>
        <v>45657.5959</v>
      </c>
      <c r="G2578" s="7" t="str">
        <f>IFERROR(__xludf.DUMMYFUNCTION("""COMPUTED_VALUE"""),"BN HIBAH")</f>
        <v>BN HIBAH</v>
      </c>
      <c r="H2578" s="7">
        <f t="shared" si="1"/>
        <v>1012</v>
      </c>
    </row>
    <row r="2579" ht="22.5" customHeight="1">
      <c r="B2579" s="7" t="str">
        <f>IFERROR(__xludf.DUMMYFUNCTION("""COMPUTED_VALUE"""),"K/32/271224/1")</f>
        <v>K/32/271224/1</v>
      </c>
      <c r="C2579" s="7" t="str">
        <f>IFERROR(__xludf.DUMMYFUNCTION("""COMPUTED_VALUE"""),"M.1260/KOTA KARANG")</f>
        <v>M.1260/KOTA KARANG</v>
      </c>
      <c r="D2579" s="7"/>
      <c r="E2579" s="7"/>
      <c r="F2579" s="9" t="str">
        <f>IFERROR(__xludf.DUMMYFUNCTION("""COMPUTED_VALUE"""),"")</f>
        <v/>
      </c>
      <c r="G2579" s="7" t="str">
        <f>IFERROR(__xludf.DUMMYFUNCTION("""COMPUTED_VALUE"""),"ROYA ")</f>
        <v>ROYA </v>
      </c>
      <c r="H2579" s="7">
        <f t="shared" si="1"/>
        <v>1012</v>
      </c>
    </row>
    <row r="2580" ht="22.5" customHeight="1">
      <c r="B2580" s="7" t="str">
        <f>IFERROR(__xludf.DUMMYFUNCTION("""COMPUTED_VALUE"""),"K/35/271224/1")</f>
        <v>K/35/271224/1</v>
      </c>
      <c r="C2580" s="7" t="str">
        <f>IFERROR(__xludf.DUMMYFUNCTION("""COMPUTED_VALUE"""),"M. 5920/ Way Kandis")</f>
        <v>M. 5920/ Way Kandis</v>
      </c>
      <c r="D2580" s="7" t="str">
        <f>IFERROR(__xludf.DUMMYFUNCTION("""COMPUTED_VALUE"""),"Berry")</f>
        <v>Berry</v>
      </c>
      <c r="E2580" s="7" t="str">
        <f>IFERROR(__xludf.DUMMYFUNCTION("""COMPUTED_VALUE"""),"PROSES")</f>
        <v>PROSES</v>
      </c>
      <c r="F2580" s="9" t="str">
        <f>IFERROR(__xludf.DUMMYFUNCTION("""COMPUTED_VALUE"""),"")</f>
        <v/>
      </c>
      <c r="G2580" s="7" t="str">
        <f>IFERROR(__xludf.DUMMYFUNCTION("""COMPUTED_VALUE"""),"BN JUAL BELI")</f>
        <v>BN JUAL BELI</v>
      </c>
      <c r="H2580" s="7">
        <f t="shared" si="1"/>
        <v>1012</v>
      </c>
    </row>
    <row r="2581" ht="22.5" customHeight="1">
      <c r="B2581" s="7" t="str">
        <f>IFERROR(__xludf.DUMMYFUNCTION("""COMPUTED_VALUE"""),"K/36/271224/2")</f>
        <v>K/36/271224/2</v>
      </c>
      <c r="C2581" s="7" t="str">
        <f>IFERROR(__xludf.DUMMYFUNCTION("""COMPUTED_VALUE"""),"B. 618/ Beringin Raya")</f>
        <v>B. 618/ Beringin Raya</v>
      </c>
      <c r="D2581" s="7" t="str">
        <f>IFERROR(__xludf.DUMMYFUNCTION("""COMPUTED_VALUE"""),"Berry")</f>
        <v>Berry</v>
      </c>
      <c r="E2581" s="7" t="str">
        <f>IFERROR(__xludf.DUMMYFUNCTION("""COMPUTED_VALUE"""),"PROSES")</f>
        <v>PROSES</v>
      </c>
      <c r="F2581" s="9" t="str">
        <f>IFERROR(__xludf.DUMMYFUNCTION("""COMPUTED_VALUE"""),"")</f>
        <v/>
      </c>
      <c r="G2581" s="7" t="str">
        <f>IFERROR(__xludf.DUMMYFUNCTION("""COMPUTED_VALUE"""),"PLOTTING")</f>
        <v>PLOTTING</v>
      </c>
      <c r="H2581" s="7">
        <f t="shared" si="1"/>
        <v>1012</v>
      </c>
    </row>
    <row r="2582" ht="22.5" customHeight="1">
      <c r="B2582" s="7" t="str">
        <f>IFERROR(__xludf.DUMMYFUNCTION("""COMPUTED_VALUE"""),"L/37/271224/1")</f>
        <v>L/37/271224/1</v>
      </c>
      <c r="C2582" s="7" t="str">
        <f>IFERROR(__xludf.DUMMYFUNCTION("""COMPUTED_VALUE"""),"HM 555/KORPRI RAYA")</f>
        <v>HM 555/KORPRI RAYA</v>
      </c>
      <c r="D2582" s="7" t="str">
        <f>IFERROR(__xludf.DUMMYFUNCTION("""COMPUTED_VALUE"""),"Berry")</f>
        <v>Berry</v>
      </c>
      <c r="E2582" s="7" t="str">
        <f>IFERROR(__xludf.DUMMYFUNCTION("""COMPUTED_VALUE"""),"PROSES")</f>
        <v>PROSES</v>
      </c>
      <c r="F2582" s="9" t="str">
        <f>IFERROR(__xludf.DUMMYFUNCTION("""COMPUTED_VALUE"""),"")</f>
        <v/>
      </c>
      <c r="G2582" s="7" t="str">
        <f>IFERROR(__xludf.DUMMYFUNCTION("""COMPUTED_VALUE"""),"BN WARIS")</f>
        <v>BN WARIS</v>
      </c>
      <c r="H2582" s="7">
        <f t="shared" si="1"/>
        <v>1012</v>
      </c>
    </row>
    <row r="2583" ht="22.5" customHeight="1">
      <c r="B2583" s="7" t="str">
        <f>IFERROR(__xludf.DUMMYFUNCTION("""COMPUTED_VALUE"""),"K/33/271224/1")</f>
        <v>K/33/271224/1</v>
      </c>
      <c r="C2583" s="7" t="str">
        <f>IFERROR(__xludf.DUMMYFUNCTION("""COMPUTED_VALUE"""),"M. 12408/ Sukabumi")</f>
        <v>M. 12408/ Sukabumi</v>
      </c>
      <c r="D2583" s="7" t="str">
        <f>IFERROR(__xludf.DUMMYFUNCTION("""COMPUTED_VALUE"""),"Berry")</f>
        <v>Berry</v>
      </c>
      <c r="E2583" s="7" t="str">
        <f>IFERROR(__xludf.DUMMYFUNCTION("""COMPUTED_VALUE"""),"DISERAHKAN BT")</f>
        <v>DISERAHKAN BT</v>
      </c>
      <c r="F2583" s="9">
        <f>IFERROR(__xludf.DUMMYFUNCTION("""COMPUTED_VALUE"""),45678.39154038194)</f>
        <v>45678.39154</v>
      </c>
      <c r="G2583" s="7" t="str">
        <f>IFERROR(__xludf.DUMMYFUNCTION("""COMPUTED_VALUE"""),"BN Jual Beli")</f>
        <v>BN Jual Beli</v>
      </c>
      <c r="H2583" s="7">
        <f t="shared" si="1"/>
        <v>1012</v>
      </c>
    </row>
    <row r="2584" ht="22.5" customHeight="1">
      <c r="B2584" s="7" t="str">
        <f>IFERROR(__xludf.DUMMYFUNCTION("""COMPUTED_VALUE"""),"K/34/271224/2")</f>
        <v>K/34/271224/2</v>
      </c>
      <c r="C2584" s="7" t="str">
        <f>IFERROR(__xludf.DUMMYFUNCTION("""COMPUTED_VALUE"""),"M. 12539/ Sukabumi")</f>
        <v>M. 12539/ Sukabumi</v>
      </c>
      <c r="D2584" s="7" t="str">
        <f>IFERROR(__xludf.DUMMYFUNCTION("""COMPUTED_VALUE"""),"Berry")</f>
        <v>Berry</v>
      </c>
      <c r="E2584" s="7" t="str">
        <f>IFERROR(__xludf.DUMMYFUNCTION("""COMPUTED_VALUE"""),"PROSES")</f>
        <v>PROSES</v>
      </c>
      <c r="F2584" s="9" t="str">
        <f>IFERROR(__xludf.DUMMYFUNCTION("""COMPUTED_VALUE"""),"")</f>
        <v/>
      </c>
      <c r="G2584" s="7" t="str">
        <f>IFERROR(__xludf.DUMMYFUNCTION("""COMPUTED_VALUE"""),"BN Jual Beli")</f>
        <v>BN Jual Beli</v>
      </c>
      <c r="H2584" s="7">
        <f t="shared" si="1"/>
        <v>1012</v>
      </c>
    </row>
    <row r="2585" ht="22.5" customHeight="1">
      <c r="B2585" s="7" t="str">
        <f>IFERROR(__xludf.DUMMYFUNCTION("""COMPUTED_VALUE"""),"L/1/281224/1")</f>
        <v>L/1/281224/1</v>
      </c>
      <c r="C2585" s="7" t="str">
        <f>IFERROR(__xludf.DUMMYFUNCTION("""COMPUTED_VALUE"""),"HGB 1353/TANJUNG SENANG")</f>
        <v>HGB 1353/TANJUNG SENANG</v>
      </c>
      <c r="D2585" s="7" t="str">
        <f>IFERROR(__xludf.DUMMYFUNCTION("""COMPUTED_VALUE"""),"Berry")</f>
        <v>Berry</v>
      </c>
      <c r="E2585" s="7" t="str">
        <f>IFERROR(__xludf.DUMMYFUNCTION("""COMPUTED_VALUE"""),"DISERAHKAN")</f>
        <v>DISERAHKAN</v>
      </c>
      <c r="F2585" s="9">
        <f>IFERROR(__xludf.DUMMYFUNCTION("""COMPUTED_VALUE"""),45657.59673651621)</f>
        <v>45657.59674</v>
      </c>
      <c r="G2585" s="7" t="str">
        <f>IFERROR(__xludf.DUMMYFUNCTION("""COMPUTED_VALUE"""),"ASPEK (HGB MATI)")</f>
        <v>ASPEK (HGB MATI)</v>
      </c>
      <c r="H2585" s="7">
        <f t="shared" si="1"/>
        <v>1013</v>
      </c>
    </row>
    <row r="2586" ht="22.5" customHeight="1">
      <c r="B2586" s="7" t="str">
        <f>IFERROR(__xludf.DUMMYFUNCTION("""COMPUTED_VALUE"""),"L/2/301224/1")</f>
        <v>L/2/301224/1</v>
      </c>
      <c r="C2586" s="7" t="str">
        <f>IFERROR(__xludf.DUMMYFUNCTION("""COMPUTED_VALUE"""),"HM 2409/KEMILING PERMAI")</f>
        <v>HM 2409/KEMILING PERMAI</v>
      </c>
      <c r="D2586" s="7" t="str">
        <f>IFERROR(__xludf.DUMMYFUNCTION("""COMPUTED_VALUE"""),"Berry")</f>
        <v>Berry</v>
      </c>
      <c r="E2586" s="7" t="str">
        <f>IFERROR(__xludf.DUMMYFUNCTION("""COMPUTED_VALUE"""),"DISERAHKAN")</f>
        <v>DISERAHKAN</v>
      </c>
      <c r="F2586" s="9">
        <f>IFERROR(__xludf.DUMMYFUNCTION("""COMPUTED_VALUE"""),45657.59677125)</f>
        <v>45657.59677</v>
      </c>
      <c r="G2586" s="7" t="str">
        <f>IFERROR(__xludf.DUMMYFUNCTION("""COMPUTED_VALUE"""),"ROYA")</f>
        <v>ROYA</v>
      </c>
      <c r="H2586" s="7">
        <f t="shared" si="1"/>
        <v>1014</v>
      </c>
    </row>
    <row r="2587" ht="22.5" customHeight="1">
      <c r="B2587" s="7" t="str">
        <f>IFERROR(__xludf.DUMMYFUNCTION("""COMPUTED_VALUE"""),"K/3/301224/1")</f>
        <v>K/3/301224/1</v>
      </c>
      <c r="C2587" s="7" t="str">
        <f>IFERROR(__xludf.DUMMYFUNCTION("""COMPUTED_VALUE"""),"M. 10029/ Kampung Baru ; SHT942/2019 &amp; SHT 5875/2016")</f>
        <v>M. 10029/ Kampung Baru ; SHT942/2019 &amp; SHT 5875/2016</v>
      </c>
      <c r="D2587" s="7" t="str">
        <f>IFERROR(__xludf.DUMMYFUNCTION("""COMPUTED_VALUE"""),"David")</f>
        <v>David</v>
      </c>
      <c r="E2587" s="7" t="str">
        <f>IFERROR(__xludf.DUMMYFUNCTION("""COMPUTED_VALUE"""),"DISERAHKAN")</f>
        <v>DISERAHKAN</v>
      </c>
      <c r="F2587" s="9">
        <f>IFERROR(__xludf.DUMMYFUNCTION("""COMPUTED_VALUE"""),45657.59803289352)</f>
        <v>45657.59803</v>
      </c>
      <c r="G2587" s="7" t="str">
        <f>IFERROR(__xludf.DUMMYFUNCTION("""COMPUTED_VALUE"""),"Roya")</f>
        <v>Roya</v>
      </c>
      <c r="H2587" s="7">
        <f t="shared" si="1"/>
        <v>1015</v>
      </c>
    </row>
    <row r="2588" ht="22.5" customHeight="1">
      <c r="B2588" s="7" t="str">
        <f>IFERROR(__xludf.DUMMYFUNCTION("""COMPUTED_VALUE"""),"K/4/301224/2")</f>
        <v>K/4/301224/2</v>
      </c>
      <c r="C2588" s="7" t="str">
        <f>IFERROR(__xludf.DUMMYFUNCTION("""COMPUTED_VALUE"""),"M. 1942/ Panjang Utara")</f>
        <v>M. 1942/ Panjang Utara</v>
      </c>
      <c r="D2588" s="7" t="str">
        <f>IFERROR(__xludf.DUMMYFUNCTION("""COMPUTED_VALUE"""),"David")</f>
        <v>David</v>
      </c>
      <c r="E2588" s="7" t="str">
        <f>IFERROR(__xludf.DUMMYFUNCTION("""COMPUTED_VALUE"""),"DISERAHKAN")</f>
        <v>DISERAHKAN</v>
      </c>
      <c r="F2588" s="9">
        <f>IFERROR(__xludf.DUMMYFUNCTION("""COMPUTED_VALUE"""),45657.59805693287)</f>
        <v>45657.59806</v>
      </c>
      <c r="G2588" s="7" t="str">
        <f>IFERROR(__xludf.DUMMYFUNCTION("""COMPUTED_VALUE"""),"BN Jual Beli")</f>
        <v>BN Jual Beli</v>
      </c>
      <c r="H2588" s="7">
        <f t="shared" si="1"/>
        <v>1016</v>
      </c>
    </row>
    <row r="2589" ht="22.5" customHeight="1">
      <c r="B2589" s="7" t="str">
        <f>IFERROR(__xludf.DUMMYFUNCTION("""COMPUTED_VALUE"""),"K/8/301224/1")</f>
        <v>K/8/301224/1</v>
      </c>
      <c r="C2589" s="7" t="str">
        <f>IFERROR(__xludf.DUMMYFUNCTION("""COMPUTED_VALUE"""),"B. 680/ Sumber Agung")</f>
        <v>B. 680/ Sumber Agung</v>
      </c>
      <c r="D2589" s="7" t="str">
        <f>IFERROR(__xludf.DUMMYFUNCTION("""COMPUTED_VALUE"""),"David")</f>
        <v>David</v>
      </c>
      <c r="E2589" s="7" t="str">
        <f>IFERROR(__xludf.DUMMYFUNCTION("""COMPUTED_VALUE"""),"DISERAHKAN")</f>
        <v>DISERAHKAN</v>
      </c>
      <c r="F2589" s="9">
        <f>IFERROR(__xludf.DUMMYFUNCTION("""COMPUTED_VALUE"""),45657.598094699075)</f>
        <v>45657.59809</v>
      </c>
      <c r="G2589" s="7" t="str">
        <f>IFERROR(__xludf.DUMMYFUNCTION("""COMPUTED_VALUE"""),"BN JUAL BELI")</f>
        <v>BN JUAL BELI</v>
      </c>
      <c r="H2589" s="7">
        <f t="shared" si="1"/>
        <v>1017</v>
      </c>
    </row>
    <row r="2590" ht="22.5" customHeight="1">
      <c r="B2590" s="7" t="str">
        <f>IFERROR(__xludf.DUMMYFUNCTION("""COMPUTED_VALUE"""),"K/9/301224/2")</f>
        <v>K/9/301224/2</v>
      </c>
      <c r="C2590" s="7" t="str">
        <f>IFERROR(__xludf.DUMMYFUNCTION("""COMPUTED_VALUE"""),"B. 679/ Sumber Agung")</f>
        <v>B. 679/ Sumber Agung</v>
      </c>
      <c r="D2590" s="7" t="str">
        <f>IFERROR(__xludf.DUMMYFUNCTION("""COMPUTED_VALUE"""),"David")</f>
        <v>David</v>
      </c>
      <c r="E2590" s="7" t="str">
        <f>IFERROR(__xludf.DUMMYFUNCTION("""COMPUTED_VALUE"""),"DISERAHKAN")</f>
        <v>DISERAHKAN</v>
      </c>
      <c r="F2590" s="9">
        <f>IFERROR(__xludf.DUMMYFUNCTION("""COMPUTED_VALUE"""),45657.59811315972)</f>
        <v>45657.59811</v>
      </c>
      <c r="G2590" s="7" t="str">
        <f>IFERROR(__xludf.DUMMYFUNCTION("""COMPUTED_VALUE"""),"BN JUAL BELI")</f>
        <v>BN JUAL BELI</v>
      </c>
      <c r="H2590" s="7">
        <f t="shared" si="1"/>
        <v>1018</v>
      </c>
    </row>
    <row r="2591" ht="22.5" customHeight="1">
      <c r="B2591" s="7" t="str">
        <f>IFERROR(__xludf.DUMMYFUNCTION("""COMPUTED_VALUE"""),"K/7/301224/3")</f>
        <v>K/7/301224/3</v>
      </c>
      <c r="C2591" s="7" t="str">
        <f>IFERROR(__xludf.DUMMYFUNCTION("""COMPUTED_VALUE"""),"M. 863/ Korpri Jaya")</f>
        <v>M. 863/ Korpri Jaya</v>
      </c>
      <c r="D2591" s="7" t="str">
        <f>IFERROR(__xludf.DUMMYFUNCTION("""COMPUTED_VALUE"""),"David")</f>
        <v>David</v>
      </c>
      <c r="E2591" s="7" t="str">
        <f>IFERROR(__xludf.DUMMYFUNCTION("""COMPUTED_VALUE"""),"PROSES")</f>
        <v>PROSES</v>
      </c>
      <c r="F2591" s="9" t="str">
        <f>IFERROR(__xludf.DUMMYFUNCTION("""COMPUTED_VALUE"""),"")</f>
        <v/>
      </c>
      <c r="G2591" s="7" t="str">
        <f>IFERROR(__xludf.DUMMYFUNCTION("""COMPUTED_VALUE"""),"BN Jual Beli")</f>
        <v>BN Jual Beli</v>
      </c>
      <c r="H2591" s="7">
        <f t="shared" si="1"/>
        <v>1018</v>
      </c>
    </row>
    <row r="2592" ht="22.5" customHeight="1">
      <c r="B2592" s="7" t="str">
        <f>IFERROR(__xludf.DUMMYFUNCTION("""COMPUTED_VALUE"""),"K/5/301224/1")</f>
        <v>K/5/301224/1</v>
      </c>
      <c r="C2592" s="7" t="str">
        <f>IFERROR(__xludf.DUMMYFUNCTION("""COMPUTED_VALUE"""),"M. 865/ Korpri Jaya")</f>
        <v>M. 865/ Korpri Jaya</v>
      </c>
      <c r="D2592" s="7" t="str">
        <f>IFERROR(__xludf.DUMMYFUNCTION("""COMPUTED_VALUE"""),"David")</f>
        <v>David</v>
      </c>
      <c r="E2592" s="7" t="str">
        <f>IFERROR(__xludf.DUMMYFUNCTION("""COMPUTED_VALUE"""),"DISERAHKAN")</f>
        <v>DISERAHKAN</v>
      </c>
      <c r="F2592" s="9">
        <f>IFERROR(__xludf.DUMMYFUNCTION("""COMPUTED_VALUE"""),45657.59828975695)</f>
        <v>45657.59829</v>
      </c>
      <c r="G2592" s="7" t="str">
        <f>IFERROR(__xludf.DUMMYFUNCTION("""COMPUTED_VALUE"""),"BN Jual Beli")</f>
        <v>BN Jual Beli</v>
      </c>
      <c r="H2592" s="7">
        <f t="shared" si="1"/>
        <v>1019</v>
      </c>
    </row>
    <row r="2593" ht="22.5" customHeight="1">
      <c r="B2593" s="7" t="str">
        <f>IFERROR(__xludf.DUMMYFUNCTION("""COMPUTED_VALUE"""),"K/10/301224/3")</f>
        <v>K/10/301224/3</v>
      </c>
      <c r="C2593" s="7" t="str">
        <f>IFERROR(__xludf.DUMMYFUNCTION("""COMPUTED_VALUE"""),"B. 1432/ Negeri Olok Gading")</f>
        <v>B. 1432/ Negeri Olok Gading</v>
      </c>
      <c r="D2593" s="7" t="str">
        <f>IFERROR(__xludf.DUMMYFUNCTION("""COMPUTED_VALUE"""),"David")</f>
        <v>David</v>
      </c>
      <c r="E2593" s="7" t="str">
        <f>IFERROR(__xludf.DUMMYFUNCTION("""COMPUTED_VALUE"""),"DISERAHKAN")</f>
        <v>DISERAHKAN</v>
      </c>
      <c r="F2593" s="9">
        <f>IFERROR(__xludf.DUMMYFUNCTION("""COMPUTED_VALUE"""),45657.598416134264)</f>
        <v>45657.59842</v>
      </c>
      <c r="G2593" s="7" t="str">
        <f>IFERROR(__xludf.DUMMYFUNCTION("""COMPUTED_VALUE"""),"BN JUAL BELI")</f>
        <v>BN JUAL BELI</v>
      </c>
      <c r="H2593" s="7">
        <f t="shared" si="1"/>
        <v>1020</v>
      </c>
    </row>
    <row r="2594" ht="22.5" customHeight="1">
      <c r="B2594" s="7" t="str">
        <f>IFERROR(__xludf.DUMMYFUNCTION("""COMPUTED_VALUE"""),"K/6/301224/2")</f>
        <v>K/6/301224/2</v>
      </c>
      <c r="C2594" s="7" t="str">
        <f>IFERROR(__xludf.DUMMYFUNCTION("""COMPUTED_VALUE"""),"M. 869/ Korpri Jaya")</f>
        <v>M. 869/ Korpri Jaya</v>
      </c>
      <c r="D2594" s="7"/>
      <c r="E2594" s="7"/>
      <c r="F2594" s="9" t="str">
        <f>IFERROR(__xludf.DUMMYFUNCTION("""COMPUTED_VALUE"""),"")</f>
        <v/>
      </c>
      <c r="G2594" s="7" t="str">
        <f>IFERROR(__xludf.DUMMYFUNCTION("""COMPUTED_VALUE"""),"BN Jual Beli")</f>
        <v>BN Jual Beli</v>
      </c>
      <c r="H2594" s="7">
        <f t="shared" si="1"/>
        <v>1020</v>
      </c>
    </row>
    <row r="2595" ht="22.5" customHeight="1">
      <c r="B2595" s="7" t="str">
        <f>IFERROR(__xludf.DUMMYFUNCTION("""COMPUTED_VALUE"""),"K/11/301224/4")</f>
        <v>K/11/301224/4</v>
      </c>
      <c r="C2595" s="7" t="str">
        <f>IFERROR(__xludf.DUMMYFUNCTION("""COMPUTED_VALUE"""),"B. 641/ Sumber Agung")</f>
        <v>B. 641/ Sumber Agung</v>
      </c>
      <c r="D2595" s="7" t="str">
        <f>IFERROR(__xludf.DUMMYFUNCTION("""COMPUTED_VALUE"""),"David")</f>
        <v>David</v>
      </c>
      <c r="E2595" s="7" t="str">
        <f>IFERROR(__xludf.DUMMYFUNCTION("""COMPUTED_VALUE"""),"DISERAHKAN")</f>
        <v>DISERAHKAN</v>
      </c>
      <c r="F2595" s="9">
        <f>IFERROR(__xludf.DUMMYFUNCTION("""COMPUTED_VALUE"""),45657.598536006946)</f>
        <v>45657.59854</v>
      </c>
      <c r="G2595" s="7" t="str">
        <f>IFERROR(__xludf.DUMMYFUNCTION("""COMPUTED_VALUE"""),"BN JUAL BELI")</f>
        <v>BN JUAL BELI</v>
      </c>
      <c r="H2595" s="7">
        <f t="shared" si="1"/>
        <v>1021</v>
      </c>
    </row>
    <row r="2596" ht="22.5" customHeight="1">
      <c r="B2596" s="7" t="str">
        <f>IFERROR(__xludf.DUMMYFUNCTION("""COMPUTED_VALUE"""),"K/1/301224/1")</f>
        <v>K/1/301224/1</v>
      </c>
      <c r="C2596" s="7" t="str">
        <f>IFERROR(__xludf.DUMMYFUNCTION("""COMPUTED_VALUE"""),"M. 767/ Sumber Agung")</f>
        <v>M. 767/ Sumber Agung</v>
      </c>
      <c r="D2596" s="7" t="str">
        <f>IFERROR(__xludf.DUMMYFUNCTION("""COMPUTED_VALUE"""),"David")</f>
        <v>David</v>
      </c>
      <c r="E2596" s="7" t="str">
        <f>IFERROR(__xludf.DUMMYFUNCTION("""COMPUTED_VALUE"""),"PROSES")</f>
        <v>PROSES</v>
      </c>
      <c r="F2596" s="9" t="str">
        <f>IFERROR(__xludf.DUMMYFUNCTION("""COMPUTED_VALUE"""),"")</f>
        <v/>
      </c>
      <c r="G2596" s="7" t="str">
        <f>IFERROR(__xludf.DUMMYFUNCTION("""COMPUTED_VALUE"""),"PENYELENGGARA KEBIJAKAN ")</f>
        <v>PENYELENGGARA KEBIJAKAN </v>
      </c>
      <c r="H2596" s="7">
        <f t="shared" si="1"/>
        <v>1021</v>
      </c>
    </row>
    <row r="2597" ht="22.5" customHeight="1">
      <c r="B2597" s="7" t="str">
        <f>IFERROR(__xludf.DUMMYFUNCTION("""COMPUTED_VALUE"""),"K/12/301225/1")</f>
        <v>K/12/301225/1</v>
      </c>
      <c r="C2597" s="7" t="str">
        <f>IFERROR(__xludf.DUMMYFUNCTION("""COMPUTED_VALUE"""),"M. 944/ Kemiling Permai")</f>
        <v>M. 944/ Kemiling Permai</v>
      </c>
      <c r="D2597" s="7" t="str">
        <f>IFERROR(__xludf.DUMMYFUNCTION("""COMPUTED_VALUE"""),"David")</f>
        <v>David</v>
      </c>
      <c r="E2597" s="7" t="str">
        <f>IFERROR(__xludf.DUMMYFUNCTION("""COMPUTED_VALUE"""),"DISERAHKAN")</f>
        <v>DISERAHKAN</v>
      </c>
      <c r="F2597" s="9">
        <f>IFERROR(__xludf.DUMMYFUNCTION("""COMPUTED_VALUE"""),45657.59866358797)</f>
        <v>45657.59866</v>
      </c>
      <c r="G2597" s="7" t="str">
        <f>IFERROR(__xludf.DUMMYFUNCTION("""COMPUTED_VALUE"""),"BN JUAL BELI")</f>
        <v>BN JUAL BELI</v>
      </c>
      <c r="H2597" s="7">
        <f t="shared" si="1"/>
        <v>1022</v>
      </c>
    </row>
    <row r="2598" ht="22.5" customHeight="1">
      <c r="B2598" s="7" t="str">
        <f>IFERROR(__xludf.DUMMYFUNCTION("""COMPUTED_VALUE"""),"L/13/301225/1")</f>
        <v>L/13/301225/1</v>
      </c>
      <c r="C2598" s="7" t="str">
        <f>IFERROR(__xludf.DUMMYFUNCTION("""COMPUTED_VALUE"""),"HM 8952/SUKARAME")</f>
        <v>HM 8952/SUKARAME</v>
      </c>
      <c r="D2598" s="7" t="str">
        <f>IFERROR(__xludf.DUMMYFUNCTION("""COMPUTED_VALUE"""),"David")</f>
        <v>David</v>
      </c>
      <c r="E2598" s="7" t="str">
        <f>IFERROR(__xludf.DUMMYFUNCTION("""COMPUTED_VALUE"""),"DISERAHKAN")</f>
        <v>DISERAHKAN</v>
      </c>
      <c r="F2598" s="9">
        <f>IFERROR(__xludf.DUMMYFUNCTION("""COMPUTED_VALUE"""),45657.598758657405)</f>
        <v>45657.59876</v>
      </c>
      <c r="G2598" s="7" t="str">
        <f>IFERROR(__xludf.DUMMYFUNCTION("""COMPUTED_VALUE"""),"PLOT SERTIPIKAT HILANG")</f>
        <v>PLOT SERTIPIKAT HILANG</v>
      </c>
      <c r="H2598" s="7">
        <f t="shared" si="1"/>
        <v>1023</v>
      </c>
    </row>
    <row r="2599" ht="22.5" customHeight="1">
      <c r="B2599" s="7" t="str">
        <f>IFERROR(__xludf.DUMMYFUNCTION("""COMPUTED_VALUE"""),"K/14/301225/1")</f>
        <v>K/14/301225/1</v>
      </c>
      <c r="C2599" s="7" t="str">
        <f>IFERROR(__xludf.DUMMYFUNCTION("""COMPUTED_VALUE"""),"M.3218/GEDONG AIR")</f>
        <v>M.3218/GEDONG AIR</v>
      </c>
      <c r="D2599" s="7"/>
      <c r="E2599" s="7"/>
      <c r="F2599" s="9" t="str">
        <f>IFERROR(__xludf.DUMMYFUNCTION("""COMPUTED_VALUE"""),"")</f>
        <v/>
      </c>
      <c r="G2599" s="7" t="str">
        <f>IFERROR(__xludf.DUMMYFUNCTION("""COMPUTED_VALUE"""),"BN JUAL BELI")</f>
        <v>BN JUAL BELI</v>
      </c>
      <c r="H2599" s="7">
        <f t="shared" si="1"/>
        <v>1023</v>
      </c>
    </row>
    <row r="2600" ht="22.5" customHeight="1">
      <c r="B2600" s="7" t="str">
        <f>IFERROR(__xludf.DUMMYFUNCTION("""COMPUTED_VALUE"""),"K/15/301225/1")</f>
        <v>K/15/301225/1</v>
      </c>
      <c r="C2600" s="7" t="str">
        <f>IFERROR(__xludf.DUMMYFUNCTION("""COMPUTED_VALUE"""),"M. 38/ Pinang Jaya")</f>
        <v>M. 38/ Pinang Jaya</v>
      </c>
      <c r="D2600" s="7"/>
      <c r="E2600" s="7"/>
      <c r="F2600" s="9" t="str">
        <f>IFERROR(__xludf.DUMMYFUNCTION("""COMPUTED_VALUE"""),"")</f>
        <v/>
      </c>
      <c r="G2600" s="7" t="str">
        <f>IFERROR(__xludf.DUMMYFUNCTION("""COMPUTED_VALUE"""),"ROYA")</f>
        <v>ROYA</v>
      </c>
      <c r="H2600" s="7">
        <f t="shared" si="1"/>
        <v>1023</v>
      </c>
    </row>
    <row r="2601" ht="22.5" customHeight="1">
      <c r="B2601" s="7" t="str">
        <f>IFERROR(__xludf.DUMMYFUNCTION("""COMPUTED_VALUE"""),"L/17/301225/1")</f>
        <v>L/17/301225/1</v>
      </c>
      <c r="C2601" s="7" t="str">
        <f>IFERROR(__xludf.DUMMYFUNCTION("""COMPUTED_VALUE"""),"HM 239/SUKARAME BARU")</f>
        <v>HM 239/SUKARAME BARU</v>
      </c>
      <c r="D2601" s="7"/>
      <c r="E2601" s="7"/>
      <c r="F2601" s="9" t="str">
        <f>IFERROR(__xludf.DUMMYFUNCTION("""COMPUTED_VALUE"""),"")</f>
        <v/>
      </c>
      <c r="G2601" s="7" t="str">
        <f>IFERROR(__xludf.DUMMYFUNCTION("""COMPUTED_VALUE"""),"BUKA BLOKIR")</f>
        <v>BUKA BLOKIR</v>
      </c>
      <c r="H2601" s="7">
        <f t="shared" si="1"/>
        <v>1023</v>
      </c>
    </row>
    <row r="2602" ht="22.5" customHeight="1">
      <c r="B2602" s="7" t="str">
        <f>IFERROR(__xludf.DUMMYFUNCTION("""COMPUTED_VALUE"""),"K/16/301224/1")</f>
        <v>K/16/301224/1</v>
      </c>
      <c r="C2602" s="7" t="str">
        <f>IFERROR(__xludf.DUMMYFUNCTION("""COMPUTED_VALUE"""),"B. 270/ Sumber Rejo")</f>
        <v>B. 270/ Sumber Rejo</v>
      </c>
      <c r="D2602" s="7" t="str">
        <f>IFERROR(__xludf.DUMMYFUNCTION("""COMPUTED_VALUE"""),"David")</f>
        <v>David</v>
      </c>
      <c r="E2602" s="7" t="str">
        <f>IFERROR(__xludf.DUMMYFUNCTION("""COMPUTED_VALUE"""),"DISERAHKAN")</f>
        <v>DISERAHKAN</v>
      </c>
      <c r="F2602" s="9">
        <f>IFERROR(__xludf.DUMMYFUNCTION("""COMPUTED_VALUE"""),45657.598881921294)</f>
        <v>45657.59888</v>
      </c>
      <c r="G2602" s="7" t="str">
        <f>IFERROR(__xludf.DUMMYFUNCTION("""COMPUTED_VALUE"""),"Pengukuran HGB Berakhir")</f>
        <v>Pengukuran HGB Berakhir</v>
      </c>
      <c r="H2602" s="7">
        <f t="shared" si="1"/>
        <v>1024</v>
      </c>
    </row>
    <row r="2603" ht="22.5" customHeight="1">
      <c r="B2603" s="7" t="str">
        <f>IFERROR(__xludf.DUMMYFUNCTION("""COMPUTED_VALUE"""),"K/18/301225/1")</f>
        <v>K/18/301225/1</v>
      </c>
      <c r="C2603" s="7" t="str">
        <f>IFERROR(__xludf.DUMMYFUNCTION("""COMPUTED_VALUE"""),"Nibel 16665/ Labuhan Ratu Raya")</f>
        <v>Nibel 16665/ Labuhan Ratu Raya</v>
      </c>
      <c r="D2603" s="7"/>
      <c r="E2603" s="7"/>
      <c r="F2603" s="9" t="str">
        <f>IFERROR(__xludf.DUMMYFUNCTION("""COMPUTED_VALUE"""),"")</f>
        <v/>
      </c>
      <c r="G2603" s="7" t="str">
        <f>IFERROR(__xludf.DUMMYFUNCTION("""COMPUTED_VALUE"""),"BN LELANG")</f>
        <v>BN LELANG</v>
      </c>
      <c r="H2603" s="7">
        <f t="shared" si="1"/>
        <v>1024</v>
      </c>
    </row>
    <row r="2604" ht="22.5" customHeight="1">
      <c r="B2604" s="7" t="str">
        <f>IFERROR(__xludf.DUMMYFUNCTION("""COMPUTED_VALUE"""),"K/19/301225/1")</f>
        <v>K/19/301225/1</v>
      </c>
      <c r="C2604" s="7" t="str">
        <f>IFERROR(__xludf.DUMMYFUNCTION("""COMPUTED_VALUE"""),"M. 11007/ Labuhan ratu")</f>
        <v>M. 11007/ Labuhan ratu</v>
      </c>
      <c r="D2604" s="7" t="str">
        <f>IFERROR(__xludf.DUMMYFUNCTION("""COMPUTED_VALUE"""),"David")</f>
        <v>David</v>
      </c>
      <c r="E2604" s="7" t="str">
        <f>IFERROR(__xludf.DUMMYFUNCTION("""COMPUTED_VALUE"""),"PROSES")</f>
        <v>PROSES</v>
      </c>
      <c r="F2604" s="9" t="str">
        <f>IFERROR(__xludf.DUMMYFUNCTION("""COMPUTED_VALUE"""),"")</f>
        <v/>
      </c>
      <c r="G2604" s="7" t="str">
        <f>IFERROR(__xludf.DUMMYFUNCTION("""COMPUTED_VALUE"""),"ROYA")</f>
        <v>ROYA</v>
      </c>
      <c r="H2604" s="7">
        <f t="shared" si="1"/>
        <v>1024</v>
      </c>
    </row>
    <row r="2605" ht="22.5" customHeight="1">
      <c r="B2605" s="7" t="str">
        <f>IFERROR(__xludf.DUMMYFUNCTION("""COMPUTED_VALUE"""),"K/20/301225/1")</f>
        <v>K/20/301225/1</v>
      </c>
      <c r="C2605" s="7" t="str">
        <f>IFERROR(__xludf.DUMMYFUNCTION("""COMPUTED_VALUE"""),"B.673/NUSANTARA PERMAI-DSEKARANG;B.673/CAMPANG RAYA-DAHULU")</f>
        <v>B.673/NUSANTARA PERMAI-DSEKARANG;B.673/CAMPANG RAYA-DAHULU</v>
      </c>
      <c r="D2605" s="7" t="str">
        <f>IFERROR(__xludf.DUMMYFUNCTION("""COMPUTED_VALUE"""),"David")</f>
        <v>David</v>
      </c>
      <c r="E2605" s="7" t="str">
        <f>IFERROR(__xludf.DUMMYFUNCTION("""COMPUTED_VALUE"""),"PROSES")</f>
        <v>PROSES</v>
      </c>
      <c r="F2605" s="9" t="str">
        <f>IFERROR(__xludf.DUMMYFUNCTION("""COMPUTED_VALUE"""),"")</f>
        <v/>
      </c>
      <c r="G2605" s="7" t="str">
        <f>IFERROR(__xludf.DUMMYFUNCTION("""COMPUTED_VALUE"""),"PERUBAHAN HAK")</f>
        <v>PERUBAHAN HAK</v>
      </c>
      <c r="H2605" s="7">
        <f t="shared" si="1"/>
        <v>1024</v>
      </c>
    </row>
    <row r="2606" ht="22.5" customHeight="1">
      <c r="B2606" s="7" t="str">
        <f>IFERROR(__xludf.DUMMYFUNCTION("""COMPUTED_VALUE"""),"K/21/301225/1")</f>
        <v>K/21/301225/1</v>
      </c>
      <c r="C2606" s="7" t="str">
        <f>IFERROR(__xludf.DUMMYFUNCTION("""COMPUTED_VALUE"""),"M. 2423/ Kedaung")</f>
        <v>M. 2423/ Kedaung</v>
      </c>
      <c r="D2606" s="7"/>
      <c r="E2606" s="7"/>
      <c r="F2606" s="9" t="str">
        <f>IFERROR(__xludf.DUMMYFUNCTION("""COMPUTED_VALUE"""),"")</f>
        <v/>
      </c>
      <c r="G2606" s="7" t="str">
        <f>IFERROR(__xludf.DUMMYFUNCTION("""COMPUTED_VALUE"""),"BN JUAL BELI")</f>
        <v>BN JUAL BELI</v>
      </c>
      <c r="H2606" s="7">
        <f t="shared" si="1"/>
        <v>1024</v>
      </c>
    </row>
    <row r="2607" ht="22.5" customHeight="1">
      <c r="B2607" s="7" t="str">
        <f>IFERROR(__xludf.DUMMYFUNCTION("""COMPUTED_VALUE"""),"K/22/301225/2")</f>
        <v>K/22/301225/2</v>
      </c>
      <c r="C2607" s="7" t="str">
        <f>IFERROR(__xludf.DUMMYFUNCTION("""COMPUTED_VALUE"""),"M. 2416/ Kedaung")</f>
        <v>M. 2416/ Kedaung</v>
      </c>
      <c r="D2607" s="7" t="str">
        <f>IFERROR(__xludf.DUMMYFUNCTION("""COMPUTED_VALUE"""),"David")</f>
        <v>David</v>
      </c>
      <c r="E2607" s="7" t="str">
        <f>IFERROR(__xludf.DUMMYFUNCTION("""COMPUTED_VALUE"""),"DISERAHKAN")</f>
        <v>DISERAHKAN</v>
      </c>
      <c r="F2607" s="9">
        <f>IFERROR(__xludf.DUMMYFUNCTION("""COMPUTED_VALUE"""),45657.599652476856)</f>
        <v>45657.59965</v>
      </c>
      <c r="G2607" s="7" t="str">
        <f>IFERROR(__xludf.DUMMYFUNCTION("""COMPUTED_VALUE"""),"BN JUAL BELI")</f>
        <v>BN JUAL BELI</v>
      </c>
      <c r="H2607" s="7">
        <f t="shared" si="1"/>
        <v>1025</v>
      </c>
    </row>
    <row r="2608" ht="22.5" customHeight="1">
      <c r="B2608" s="7" t="str">
        <f>IFERROR(__xludf.DUMMYFUNCTION("""COMPUTED_VALUE"""),"L/23/301225/1")</f>
        <v>L/23/301225/1</v>
      </c>
      <c r="C2608" s="7" t="str">
        <f>IFERROR(__xludf.DUMMYFUNCTION("""COMPUTED_VALUE"""),"HGB 347/RAJABASA PEMUKA")</f>
        <v>HGB 347/RAJABASA PEMUKA</v>
      </c>
      <c r="D2608" s="7" t="str">
        <f>IFERROR(__xludf.DUMMYFUNCTION("""COMPUTED_VALUE"""),"David")</f>
        <v>David</v>
      </c>
      <c r="E2608" s="7" t="str">
        <f>IFERROR(__xludf.DUMMYFUNCTION("""COMPUTED_VALUE"""),"PROSES")</f>
        <v>PROSES</v>
      </c>
      <c r="F2608" s="9" t="str">
        <f>IFERROR(__xludf.DUMMYFUNCTION("""COMPUTED_VALUE"""),"")</f>
        <v/>
      </c>
      <c r="G2608" s="7" t="str">
        <f>IFERROR(__xludf.DUMMYFUNCTION("""COMPUTED_VALUE"""),"PH")</f>
        <v>PH</v>
      </c>
      <c r="H2608" s="7">
        <f t="shared" si="1"/>
        <v>1025</v>
      </c>
    </row>
    <row r="2609" ht="22.5" customHeight="1">
      <c r="B2609" s="7" t="str">
        <f>IFERROR(__xludf.DUMMYFUNCTION("""COMPUTED_VALUE"""),"K/24/301224/1")</f>
        <v>K/24/301224/1</v>
      </c>
      <c r="C2609" s="7" t="str">
        <f>IFERROR(__xludf.DUMMYFUNCTION("""COMPUTED_VALUE"""),"M. 1441/ Sukarame II")</f>
        <v>M. 1441/ Sukarame II</v>
      </c>
      <c r="D2609" s="7" t="str">
        <f>IFERROR(__xludf.DUMMYFUNCTION("""COMPUTED_VALUE"""),"David")</f>
        <v>David</v>
      </c>
      <c r="E2609" s="7" t="str">
        <f>IFERROR(__xludf.DUMMYFUNCTION("""COMPUTED_VALUE"""),"DISERAHKAN")</f>
        <v>DISERAHKAN</v>
      </c>
      <c r="F2609" s="9">
        <f>IFERROR(__xludf.DUMMYFUNCTION("""COMPUTED_VALUE"""),45657.599652488425)</f>
        <v>45657.59965</v>
      </c>
      <c r="G2609" s="7" t="str">
        <f>IFERROR(__xludf.DUMMYFUNCTION("""COMPUTED_VALUE"""),"BN Jual Beli")</f>
        <v>BN Jual Beli</v>
      </c>
      <c r="H2609" s="7">
        <f t="shared" si="1"/>
        <v>1026</v>
      </c>
    </row>
    <row r="2610" ht="22.5" customHeight="1">
      <c r="B2610" s="7" t="str">
        <f>IFERROR(__xludf.DUMMYFUNCTION("""COMPUTED_VALUE"""),"K/25/301224/1")</f>
        <v>K/25/301224/1</v>
      </c>
      <c r="C2610" s="7" t="str">
        <f>IFERROR(__xludf.DUMMYFUNCTION("""COMPUTED_VALUE"""),"M.1814/PERUMNAS WAY HALIM-SEKARANG;B.1136/KEDATON-DAHULU")</f>
        <v>M.1814/PERUMNAS WAY HALIM-SEKARANG;B.1136/KEDATON-DAHULU</v>
      </c>
      <c r="D2610" s="7" t="str">
        <f>IFERROR(__xludf.DUMMYFUNCTION("""COMPUTED_VALUE"""),"David")</f>
        <v>David</v>
      </c>
      <c r="E2610" s="7" t="str">
        <f>IFERROR(__xludf.DUMMYFUNCTION("""COMPUTED_VALUE"""),"PROSES")</f>
        <v>PROSES</v>
      </c>
      <c r="F2610" s="9" t="str">
        <f>IFERROR(__xludf.DUMMYFUNCTION("""COMPUTED_VALUE"""),"")</f>
        <v/>
      </c>
      <c r="G2610" s="7" t="str">
        <f>IFERROR(__xludf.DUMMYFUNCTION("""COMPUTED_VALUE"""),"BN JUAL BELI")</f>
        <v>BN JUAL BELI</v>
      </c>
      <c r="H2610" s="7">
        <f t="shared" si="1"/>
        <v>1026</v>
      </c>
    </row>
    <row r="2611" ht="22.5" customHeight="1">
      <c r="B2611" s="7" t="str">
        <f>IFERROR(__xludf.DUMMYFUNCTION("""COMPUTED_VALUE"""),"K/26/301224/2")</f>
        <v>K/26/301224/2</v>
      </c>
      <c r="C2611" s="7" t="str">
        <f>IFERROR(__xludf.DUMMYFUNCTION("""COMPUTED_VALUE"""),"M.1653/KOTA BARU")</f>
        <v>M.1653/KOTA BARU</v>
      </c>
      <c r="D2611" s="7" t="str">
        <f>IFERROR(__xludf.DUMMYFUNCTION("""COMPUTED_VALUE"""),"David")</f>
        <v>David</v>
      </c>
      <c r="E2611" s="7" t="str">
        <f>IFERROR(__xludf.DUMMYFUNCTION("""COMPUTED_VALUE"""),"DISERAHKAN")</f>
        <v>DISERAHKAN</v>
      </c>
      <c r="F2611" s="9">
        <f>IFERROR(__xludf.DUMMYFUNCTION("""COMPUTED_VALUE"""),45657.59983494213)</f>
        <v>45657.59983</v>
      </c>
      <c r="G2611" s="7" t="str">
        <f>IFERROR(__xludf.DUMMYFUNCTION("""COMPUTED_VALUE"""),"BN JUAL BELI ")</f>
        <v>BN JUAL BELI </v>
      </c>
      <c r="H2611" s="7">
        <f t="shared" si="1"/>
        <v>1027</v>
      </c>
    </row>
    <row r="2612" ht="22.5" customHeight="1">
      <c r="B2612" s="7" t="str">
        <f>IFERROR(__xludf.DUMMYFUNCTION("""COMPUTED_VALUE"""),"K/27/301224/3")</f>
        <v>K/27/301224/3</v>
      </c>
      <c r="C2612" s="7" t="str">
        <f>IFERROR(__xludf.DUMMYFUNCTION("""COMPUTED_VALUE"""),"M.15004/RAJABASA")</f>
        <v>M.15004/RAJABASA</v>
      </c>
      <c r="D2612" s="7"/>
      <c r="E2612" s="7"/>
      <c r="F2612" s="9" t="str">
        <f>IFERROR(__xludf.DUMMYFUNCTION("""COMPUTED_VALUE"""),"")</f>
        <v/>
      </c>
      <c r="G2612" s="7" t="str">
        <f>IFERROR(__xludf.DUMMYFUNCTION("""COMPUTED_VALUE"""),"BN JUAL BELI ")</f>
        <v>BN JUAL BELI </v>
      </c>
      <c r="H2612" s="7">
        <f t="shared" si="1"/>
        <v>1027</v>
      </c>
    </row>
    <row r="2613" ht="22.5" customHeight="1">
      <c r="B2613" s="7" t="str">
        <f>IFERROR(__xludf.DUMMYFUNCTION("""COMPUTED_VALUE"""),"K/28/301224/4")</f>
        <v>K/28/301224/4</v>
      </c>
      <c r="C2613" s="7" t="str">
        <f>IFERROR(__xludf.DUMMYFUNCTION("""COMPUTED_VALUE"""),"M.11678/SUKABUMI-SEKARANG;B.2076/SUKABUMI-DAHULU")</f>
        <v>M.11678/SUKABUMI-SEKARANG;B.2076/SUKABUMI-DAHULU</v>
      </c>
      <c r="D2613" s="7"/>
      <c r="E2613" s="7"/>
      <c r="F2613" s="9" t="str">
        <f>IFERROR(__xludf.DUMMYFUNCTION("""COMPUTED_VALUE"""),"")</f>
        <v/>
      </c>
      <c r="G2613" s="7" t="str">
        <f>IFERROR(__xludf.DUMMYFUNCTION("""COMPUTED_VALUE"""),"ROYA")</f>
        <v>ROYA</v>
      </c>
      <c r="H2613" s="7">
        <f t="shared" si="1"/>
        <v>1027</v>
      </c>
    </row>
    <row r="2614" ht="22.5" customHeight="1">
      <c r="B2614" s="7" t="str">
        <f>IFERROR(__xludf.DUMMYFUNCTION("""COMPUTED_VALUE"""),"K/29/301224/1")</f>
        <v>K/29/301224/1</v>
      </c>
      <c r="C2614" s="7" t="str">
        <f>IFERROR(__xludf.DUMMYFUNCTION("""COMPUTED_VALUE"""),"Nibel 1944/ Sumberrejo")</f>
        <v>Nibel 1944/ Sumberrejo</v>
      </c>
      <c r="D2614" s="7" t="str">
        <f>IFERROR(__xludf.DUMMYFUNCTION("""COMPUTED_VALUE"""),"David")</f>
        <v>David</v>
      </c>
      <c r="E2614" s="7" t="str">
        <f>IFERROR(__xludf.DUMMYFUNCTION("""COMPUTED_VALUE"""),"DISERAHKAN")</f>
        <v>DISERAHKAN</v>
      </c>
      <c r="F2614" s="9">
        <f>IFERROR(__xludf.DUMMYFUNCTION("""COMPUTED_VALUE"""),45657.599956527774)</f>
        <v>45657.59996</v>
      </c>
      <c r="G2614" s="7" t="str">
        <f>IFERROR(__xludf.DUMMYFUNCTION("""COMPUTED_VALUE"""),"BN JUAL BELI")</f>
        <v>BN JUAL BELI</v>
      </c>
      <c r="H2614" s="7">
        <f t="shared" si="1"/>
        <v>1028</v>
      </c>
    </row>
    <row r="2615" ht="22.5" customHeight="1">
      <c r="B2615" s="7" t="str">
        <f>IFERROR(__xludf.DUMMYFUNCTION("""COMPUTED_VALUE"""),"K/30/301224/1")</f>
        <v>K/30/301224/1</v>
      </c>
      <c r="C2615" s="7" t="str">
        <f>IFERROR(__xludf.DUMMYFUNCTION("""COMPUTED_VALUE"""),"M. 545/ Way Halim Permai")</f>
        <v>M. 545/ Way Halim Permai</v>
      </c>
      <c r="D2615" s="7" t="str">
        <f>IFERROR(__xludf.DUMMYFUNCTION("""COMPUTED_VALUE"""),"David")</f>
        <v>David</v>
      </c>
      <c r="E2615" s="7" t="str">
        <f>IFERROR(__xludf.DUMMYFUNCTION("""COMPUTED_VALUE"""),"DISERAHKAN")</f>
        <v>DISERAHKAN</v>
      </c>
      <c r="F2615" s="9">
        <f>IFERROR(__xludf.DUMMYFUNCTION("""COMPUTED_VALUE"""),45657.60004696759)</f>
        <v>45657.60005</v>
      </c>
      <c r="G2615" s="7" t="str">
        <f>IFERROR(__xludf.DUMMYFUNCTION("""COMPUTED_VALUE"""),"GANTI KELURAHAN")</f>
        <v>GANTI KELURAHAN</v>
      </c>
      <c r="H2615" s="7">
        <f t="shared" si="1"/>
        <v>1029</v>
      </c>
    </row>
    <row r="2616" ht="22.5" customHeight="1">
      <c r="B2616" s="7" t="str">
        <f>IFERROR(__xludf.DUMMYFUNCTION("""COMPUTED_VALUE"""),"K/31/301224/1")</f>
        <v>K/31/301224/1</v>
      </c>
      <c r="C2616" s="7" t="str">
        <f>IFERROR(__xludf.DUMMYFUNCTION("""COMPUTED_VALUE"""),"M.16182/SUKARAME I")</f>
        <v>M.16182/SUKARAME I</v>
      </c>
      <c r="D2616" s="7"/>
      <c r="E2616" s="7"/>
      <c r="F2616" s="9" t="str">
        <f>IFERROR(__xludf.DUMMYFUNCTION("""COMPUTED_VALUE"""),"")</f>
        <v/>
      </c>
      <c r="G2616" s="7" t="str">
        <f>IFERROR(__xludf.DUMMYFUNCTION("""COMPUTED_VALUE"""),"BN JUAL BELI")</f>
        <v>BN JUAL BELI</v>
      </c>
      <c r="H2616" s="7">
        <f t="shared" si="1"/>
        <v>1029</v>
      </c>
    </row>
    <row r="2617" ht="22.5" customHeight="1">
      <c r="B2617" s="7" t="str">
        <f>IFERROR(__xludf.DUMMYFUNCTION("""COMPUTED_VALUE"""),"K/32/301224/1")</f>
        <v>K/32/301224/1</v>
      </c>
      <c r="C2617" s="7" t="str">
        <f>IFERROR(__xludf.DUMMYFUNCTION("""COMPUTED_VALUE"""),"M. 13781/ Kedamaian")</f>
        <v>M. 13781/ Kedamaian</v>
      </c>
      <c r="D2617" s="7"/>
      <c r="E2617" s="7"/>
      <c r="F2617" s="9" t="str">
        <f>IFERROR(__xludf.DUMMYFUNCTION("""COMPUTED_VALUE"""),"")</f>
        <v/>
      </c>
      <c r="G2617" s="7" t="str">
        <f>IFERROR(__xludf.DUMMYFUNCTION("""COMPUTED_VALUE"""),"ROYA")</f>
        <v>ROYA</v>
      </c>
      <c r="H2617" s="7">
        <f t="shared" si="1"/>
        <v>1029</v>
      </c>
    </row>
    <row r="2618" ht="22.5" customHeight="1">
      <c r="B2618" s="7" t="str">
        <f>IFERROR(__xludf.DUMMYFUNCTION("""COMPUTED_VALUE"""),"K/33/301224/2")</f>
        <v>K/33/301224/2</v>
      </c>
      <c r="C2618" s="7" t="str">
        <f>IFERROR(__xludf.DUMMYFUNCTION("""COMPUTED_VALUE"""),"M. 112/ Rajabasa Pemuka")</f>
        <v>M. 112/ Rajabasa Pemuka</v>
      </c>
      <c r="D2618" s="7"/>
      <c r="E2618" s="7"/>
      <c r="F2618" s="9" t="str">
        <f>IFERROR(__xludf.DUMMYFUNCTION("""COMPUTED_VALUE"""),"")</f>
        <v/>
      </c>
      <c r="G2618" s="7" t="str">
        <f>IFERROR(__xludf.DUMMYFUNCTION("""COMPUTED_VALUE"""),"GANTI KELURAHAN")</f>
        <v>GANTI KELURAHAN</v>
      </c>
      <c r="H2618" s="7">
        <f t="shared" si="1"/>
        <v>1029</v>
      </c>
    </row>
    <row r="2619" ht="22.5" customHeight="1">
      <c r="B2619" s="7" t="str">
        <f>IFERROR(__xludf.DUMMYFUNCTION("""COMPUTED_VALUE"""),"K/35/301224/1")</f>
        <v>K/35/301224/1</v>
      </c>
      <c r="C2619" s="7" t="str">
        <f>IFERROR(__xludf.DUMMYFUNCTION("""COMPUTED_VALUE"""),"M. 1536/ Bakung")</f>
        <v>M. 1536/ Bakung</v>
      </c>
      <c r="D2619" s="7"/>
      <c r="E2619" s="7"/>
      <c r="F2619" s="9" t="str">
        <f>IFERROR(__xludf.DUMMYFUNCTION("""COMPUTED_VALUE"""),"")</f>
        <v/>
      </c>
      <c r="G2619" s="7" t="str">
        <f>IFERROR(__xludf.DUMMYFUNCTION("""COMPUTED_VALUE"""),"Hapus BHTB")</f>
        <v>Hapus BHTB</v>
      </c>
      <c r="H2619" s="7">
        <f t="shared" si="1"/>
        <v>1029</v>
      </c>
    </row>
    <row r="2620" ht="22.5" customHeight="1">
      <c r="B2620" s="7" t="str">
        <f>IFERROR(__xludf.DUMMYFUNCTION("""COMPUTED_VALUE"""),"K/34/301224/3")</f>
        <v>K/34/301224/3</v>
      </c>
      <c r="C2620" s="7" t="str">
        <f>IFERROR(__xludf.DUMMYFUNCTION("""COMPUTED_VALUE"""),"M. 113/ Rajabasa Pemuka")</f>
        <v>M. 113/ Rajabasa Pemuka</v>
      </c>
      <c r="D2620" s="7"/>
      <c r="E2620" s="7"/>
      <c r="F2620" s="9" t="str">
        <f>IFERROR(__xludf.DUMMYFUNCTION("""COMPUTED_VALUE"""),"")</f>
        <v/>
      </c>
      <c r="G2620" s="7" t="str">
        <f>IFERROR(__xludf.DUMMYFUNCTION("""COMPUTED_VALUE"""),"GANTI KELURAHAN")</f>
        <v>GANTI KELURAHAN</v>
      </c>
      <c r="H2620" s="7">
        <f t="shared" si="1"/>
        <v>1029</v>
      </c>
    </row>
    <row r="2621" ht="22.5" customHeight="1">
      <c r="B2621" s="7" t="str">
        <f>IFERROR(__xludf.DUMMYFUNCTION("""COMPUTED_VALUE"""),"K/36/301224/1")</f>
        <v>K/36/301224/1</v>
      </c>
      <c r="C2621" s="7" t="str">
        <f>IFERROR(__xludf.DUMMYFUNCTION("""COMPUTED_VALUE"""),"M. 2424/ Susunan Baru")</f>
        <v>M. 2424/ Susunan Baru</v>
      </c>
      <c r="D2621" s="7"/>
      <c r="E2621" s="7"/>
      <c r="F2621" s="9" t="str">
        <f>IFERROR(__xludf.DUMMYFUNCTION("""COMPUTED_VALUE"""),"")</f>
        <v/>
      </c>
      <c r="G2621" s="7" t="str">
        <f>IFERROR(__xludf.DUMMYFUNCTION("""COMPUTED_VALUE"""),"BN Jual Beli")</f>
        <v>BN Jual Beli</v>
      </c>
      <c r="H2621" s="7">
        <f t="shared" si="1"/>
        <v>1029</v>
      </c>
    </row>
    <row r="2622" ht="22.5" customHeight="1">
      <c r="B2622" s="7" t="str">
        <f>IFERROR(__xludf.DUMMYFUNCTION("""COMPUTED_VALUE"""),"K/37/301224/2")</f>
        <v>K/37/301224/2</v>
      </c>
      <c r="C2622" s="7" t="str">
        <f>IFERROR(__xludf.DUMMYFUNCTION("""COMPUTED_VALUE"""),"M. 377/ Korpri Raya")</f>
        <v>M. 377/ Korpri Raya</v>
      </c>
      <c r="D2622" s="7"/>
      <c r="E2622" s="7"/>
      <c r="F2622" s="9" t="str">
        <f>IFERROR(__xludf.DUMMYFUNCTION("""COMPUTED_VALUE"""),"")</f>
        <v/>
      </c>
      <c r="G2622" s="7" t="str">
        <f>IFERROR(__xludf.DUMMYFUNCTION("""COMPUTED_VALUE"""),"BN Jual Beli")</f>
        <v>BN Jual Beli</v>
      </c>
      <c r="H2622" s="7">
        <f t="shared" si="1"/>
        <v>1029</v>
      </c>
    </row>
    <row r="2623" ht="22.5" customHeight="1">
      <c r="B2623" s="7" t="str">
        <f>IFERROR(__xludf.DUMMYFUNCTION("""COMPUTED_VALUE"""),"K/38/301224/3")</f>
        <v>K/38/301224/3</v>
      </c>
      <c r="C2623" s="7" t="str">
        <f>IFERROR(__xludf.DUMMYFUNCTION("""COMPUTED_VALUE"""),"B. 614/ Campang Jaya")</f>
        <v>B. 614/ Campang Jaya</v>
      </c>
      <c r="D2623" s="7"/>
      <c r="E2623" s="7"/>
      <c r="F2623" s="9" t="str">
        <f>IFERROR(__xludf.DUMMYFUNCTION("""COMPUTED_VALUE"""),"")</f>
        <v/>
      </c>
      <c r="G2623" s="7" t="str">
        <f>IFERROR(__xludf.DUMMYFUNCTION("""COMPUTED_VALUE"""),"Roya")</f>
        <v>Roya</v>
      </c>
      <c r="H2623" s="7">
        <f t="shared" si="1"/>
        <v>1029</v>
      </c>
    </row>
    <row r="2624" ht="22.5" customHeight="1">
      <c r="B2624" s="7" t="str">
        <f>IFERROR(__xludf.DUMMYFUNCTION("""COMPUTED_VALUE"""),"K/39/301224/1")</f>
        <v>K/39/301224/1</v>
      </c>
      <c r="C2624" s="7" t="str">
        <f>IFERROR(__xludf.DUMMYFUNCTION("""COMPUTED_VALUE"""),"M. 4532/ Rajabasa Jaya")</f>
        <v>M. 4532/ Rajabasa Jaya</v>
      </c>
      <c r="D2624" s="7"/>
      <c r="E2624" s="7"/>
      <c r="F2624" s="9" t="str">
        <f>IFERROR(__xludf.DUMMYFUNCTION("""COMPUTED_VALUE"""),"")</f>
        <v/>
      </c>
      <c r="G2624" s="7" t="str">
        <f>IFERROR(__xludf.DUMMYFUNCTION("""COMPUTED_VALUE"""),"BN JUAL BELI")</f>
        <v>BN JUAL BELI</v>
      </c>
      <c r="H2624" s="7">
        <f t="shared" si="1"/>
        <v>1029</v>
      </c>
    </row>
    <row r="2625" ht="22.5" customHeight="1">
      <c r="B2625" s="7" t="str">
        <f>IFERROR(__xludf.DUMMYFUNCTION("""COMPUTED_VALUE"""),"L/41/301224/1")</f>
        <v>L/41/301224/1</v>
      </c>
      <c r="C2625" s="7" t="str">
        <f>IFERROR(__xludf.DUMMYFUNCTION("""COMPUTED_VALUE"""),"HM 3715/CAMPANG RAYA")</f>
        <v>HM 3715/CAMPANG RAYA</v>
      </c>
      <c r="D2625" s="7"/>
      <c r="E2625" s="7"/>
      <c r="F2625" s="9" t="str">
        <f>IFERROR(__xludf.DUMMYFUNCTION("""COMPUTED_VALUE"""),"")</f>
        <v/>
      </c>
      <c r="G2625" s="7" t="str">
        <f>IFERROR(__xludf.DUMMYFUNCTION("""COMPUTED_VALUE"""),"ROYA")</f>
        <v>ROYA</v>
      </c>
      <c r="H2625" s="7">
        <f t="shared" si="1"/>
        <v>1029</v>
      </c>
    </row>
    <row r="2626" ht="22.5" customHeight="1">
      <c r="B2626" s="7" t="str">
        <f>IFERROR(__xludf.DUMMYFUNCTION("""COMPUTED_VALUE"""),"K/40/301224/2")</f>
        <v>K/40/301224/2</v>
      </c>
      <c r="C2626" s="7" t="str">
        <f>IFERROR(__xludf.DUMMYFUNCTION("""COMPUTED_VALUE"""),"Nibel 2698/ Sukabumi")</f>
        <v>Nibel 2698/ Sukabumi</v>
      </c>
      <c r="D2626" s="7"/>
      <c r="E2626" s="7"/>
      <c r="F2626" s="9" t="str">
        <f>IFERROR(__xludf.DUMMYFUNCTION("""COMPUTED_VALUE"""),"")</f>
        <v/>
      </c>
      <c r="G2626" s="7" t="str">
        <f>IFERROR(__xludf.DUMMYFUNCTION("""COMPUTED_VALUE"""),"BN JUAL BELI")</f>
        <v>BN JUAL BELI</v>
      </c>
      <c r="H2626" s="7">
        <f t="shared" si="1"/>
        <v>1029</v>
      </c>
    </row>
    <row r="2627" ht="22.5" customHeight="1">
      <c r="B2627" s="7" t="str">
        <f>IFERROR(__xludf.DUMMYFUNCTION("""COMPUTED_VALUE"""),"K/42/301224/1")</f>
        <v>K/42/301224/1</v>
      </c>
      <c r="C2627" s="7" t="str">
        <f>IFERROR(__xludf.DUMMYFUNCTION("""COMPUTED_VALUE"""),"M. 16762/ Sukabumi")</f>
        <v>M. 16762/ Sukabumi</v>
      </c>
      <c r="D2627" s="7"/>
      <c r="E2627" s="7"/>
      <c r="F2627" s="9" t="str">
        <f>IFERROR(__xludf.DUMMYFUNCTION("""COMPUTED_VALUE"""),"")</f>
        <v/>
      </c>
      <c r="G2627" s="7" t="str">
        <f>IFERROR(__xludf.DUMMYFUNCTION("""COMPUTED_VALUE"""),"BN Jual Beli")</f>
        <v>BN Jual Beli</v>
      </c>
      <c r="H2627" s="7">
        <f t="shared" si="1"/>
        <v>1029</v>
      </c>
    </row>
    <row r="2628" ht="22.5" customHeight="1">
      <c r="B2628" s="7" t="str">
        <f>IFERROR(__xludf.DUMMYFUNCTION("""COMPUTED_VALUE"""),"K/44/301224/1")</f>
        <v>K/44/301224/1</v>
      </c>
      <c r="C2628" s="7" t="str">
        <f>IFERROR(__xludf.DUMMYFUNCTION("""COMPUTED_VALUE"""),"M.5004/RAJABASA JAYA")</f>
        <v>M.5004/RAJABASA JAYA</v>
      </c>
      <c r="D2628" s="7"/>
      <c r="E2628" s="7"/>
      <c r="F2628" s="9" t="str">
        <f>IFERROR(__xludf.DUMMYFUNCTION("""COMPUTED_VALUE"""),"")</f>
        <v/>
      </c>
      <c r="G2628" s="7" t="str">
        <f>IFERROR(__xludf.DUMMYFUNCTION("""COMPUTED_VALUE"""),"BN JUAL BELI")</f>
        <v>BN JUAL BELI</v>
      </c>
      <c r="H2628" s="7">
        <f t="shared" si="1"/>
        <v>1029</v>
      </c>
    </row>
    <row r="2629" ht="22.5" customHeight="1">
      <c r="B2629" s="7" t="str">
        <f>IFERROR(__xludf.DUMMYFUNCTION("""COMPUTED_VALUE"""),"L/46/301224/1")</f>
        <v>L/46/301224/1</v>
      </c>
      <c r="C2629" s="7" t="str">
        <f>IFERROR(__xludf.DUMMYFUNCTION("""COMPUTED_VALUE"""),"HM 2213/KELAPA TIGA")</f>
        <v>HM 2213/KELAPA TIGA</v>
      </c>
      <c r="D2629" s="7"/>
      <c r="E2629" s="7"/>
      <c r="F2629" s="9" t="str">
        <f>IFERROR(__xludf.DUMMYFUNCTION("""COMPUTED_VALUE"""),"")</f>
        <v/>
      </c>
      <c r="G2629" s="7" t="str">
        <f>IFERROR(__xludf.DUMMYFUNCTION("""COMPUTED_VALUE"""),"ROYA")</f>
        <v>ROYA</v>
      </c>
      <c r="H2629" s="7">
        <f t="shared" si="1"/>
        <v>1029</v>
      </c>
    </row>
    <row r="2630" ht="22.5" customHeight="1">
      <c r="B2630" s="7" t="str">
        <f>IFERROR(__xludf.DUMMYFUNCTION("""COMPUTED_VALUE"""),"K/47/301224/1")</f>
        <v>K/47/301224/1</v>
      </c>
      <c r="C2630" s="7" t="str">
        <f>IFERROR(__xludf.DUMMYFUNCTION("""COMPUTED_VALUE"""),"M.878/RAJABASA PEMUKA")</f>
        <v>M.878/RAJABASA PEMUKA</v>
      </c>
      <c r="D2630" s="7"/>
      <c r="E2630" s="7"/>
      <c r="F2630" s="9" t="str">
        <f>IFERROR(__xludf.DUMMYFUNCTION("""COMPUTED_VALUE"""),"")</f>
        <v/>
      </c>
      <c r="G2630" s="7" t="str">
        <f>IFERROR(__xludf.DUMMYFUNCTION("""COMPUTED_VALUE"""),"ROYA")</f>
        <v>ROYA</v>
      </c>
      <c r="H2630" s="7">
        <f t="shared" si="1"/>
        <v>1029</v>
      </c>
    </row>
    <row r="2631" ht="22.5" customHeight="1">
      <c r="B2631" s="7" t="str">
        <f>IFERROR(__xludf.DUMMYFUNCTION("""COMPUTED_VALUE"""),"L/60/301224/1")</f>
        <v>L/60/301224/1</v>
      </c>
      <c r="C2631" s="7" t="str">
        <f>IFERROR(__xludf.DUMMYFUNCTION("""COMPUTED_VALUE"""),"HM 9503/KAMPUNG BARU")</f>
        <v>HM 9503/KAMPUNG BARU</v>
      </c>
      <c r="D2631" s="7"/>
      <c r="E2631" s="7"/>
      <c r="F2631" s="9" t="str">
        <f>IFERROR(__xludf.DUMMYFUNCTION("""COMPUTED_VALUE"""),"")</f>
        <v/>
      </c>
      <c r="G2631" s="7" t="str">
        <f>IFERROR(__xludf.DUMMYFUNCTION("""COMPUTED_VALUE"""),"ROYA")</f>
        <v>ROYA</v>
      </c>
      <c r="H2631" s="7">
        <f t="shared" si="1"/>
        <v>1029</v>
      </c>
    </row>
    <row r="2632" ht="22.5" customHeight="1">
      <c r="B2632" s="7" t="str">
        <f>IFERROR(__xludf.DUMMYFUNCTION("""COMPUTED_VALUE"""),"K/48/301224/1")</f>
        <v>K/48/301224/1</v>
      </c>
      <c r="C2632" s="7" t="str">
        <f>IFERROR(__xludf.DUMMYFUNCTION("""COMPUTED_VALUE"""),"B. 795/ Sumur Putri")</f>
        <v>B. 795/ Sumur Putri</v>
      </c>
      <c r="D2632" s="7"/>
      <c r="E2632" s="7"/>
      <c r="F2632" s="9" t="str">
        <f>IFERROR(__xludf.DUMMYFUNCTION("""COMPUTED_VALUE"""),"")</f>
        <v/>
      </c>
      <c r="G2632" s="7" t="str">
        <f>IFERROR(__xludf.DUMMYFUNCTION("""COMPUTED_VALUE"""),"BN JUAL BELI")</f>
        <v>BN JUAL BELI</v>
      </c>
      <c r="H2632" s="7">
        <f t="shared" si="1"/>
        <v>1029</v>
      </c>
    </row>
    <row r="2633" ht="22.5" customHeight="1">
      <c r="B2633" s="7" t="str">
        <f>IFERROR(__xludf.DUMMYFUNCTION("""COMPUTED_VALUE"""),"K/50/301224/1")</f>
        <v>K/50/301224/1</v>
      </c>
      <c r="C2633" s="7" t="str">
        <f>IFERROR(__xludf.DUMMYFUNCTION("""COMPUTED_VALUE"""),"M.3932/SUKADANAHAM")</f>
        <v>M.3932/SUKADANAHAM</v>
      </c>
      <c r="D2633" s="7"/>
      <c r="E2633" s="7"/>
      <c r="F2633" s="9" t="str">
        <f>IFERROR(__xludf.DUMMYFUNCTION("""COMPUTED_VALUE"""),"")</f>
        <v/>
      </c>
      <c r="G2633" s="7" t="str">
        <f>IFERROR(__xludf.DUMMYFUNCTION("""COMPUTED_VALUE"""),"PEMECAHAN")</f>
        <v>PEMECAHAN</v>
      </c>
      <c r="H2633" s="7">
        <f t="shared" si="1"/>
        <v>1029</v>
      </c>
    </row>
    <row r="2634" ht="22.5" customHeight="1">
      <c r="B2634" s="7" t="str">
        <f>IFERROR(__xludf.DUMMYFUNCTION("""COMPUTED_VALUE"""),"K/49/301224/2")</f>
        <v>K/49/301224/2</v>
      </c>
      <c r="C2634" s="7" t="str">
        <f>IFERROR(__xludf.DUMMYFUNCTION("""COMPUTED_VALUE"""),"B. 601/ Sumur Putri")</f>
        <v>B. 601/ Sumur Putri</v>
      </c>
      <c r="D2634" s="7"/>
      <c r="E2634" s="7"/>
      <c r="F2634" s="9" t="str">
        <f>IFERROR(__xludf.DUMMYFUNCTION("""COMPUTED_VALUE"""),"")</f>
        <v/>
      </c>
      <c r="G2634" s="7" t="str">
        <f>IFERROR(__xludf.DUMMYFUNCTION("""COMPUTED_VALUE"""),"BN JUAL BELI")</f>
        <v>BN JUAL BELI</v>
      </c>
      <c r="H2634" s="7">
        <f t="shared" si="1"/>
        <v>1029</v>
      </c>
    </row>
    <row r="2635" ht="22.5" customHeight="1">
      <c r="B2635" s="7" t="str">
        <f>IFERROR(__xludf.DUMMYFUNCTION("""COMPUTED_VALUE"""),"K/45/301224/1")</f>
        <v>K/45/301224/1</v>
      </c>
      <c r="C2635" s="7" t="str">
        <f>IFERROR(__xludf.DUMMYFUNCTION("""COMPUTED_VALUE"""),"M. 3240/ Gedong Air")</f>
        <v>M. 3240/ Gedong Air</v>
      </c>
      <c r="D2635" s="7"/>
      <c r="E2635" s="7"/>
      <c r="F2635" s="9" t="str">
        <f>IFERROR(__xludf.DUMMYFUNCTION("""COMPUTED_VALUE"""),"")</f>
        <v/>
      </c>
      <c r="G2635" s="7" t="str">
        <f>IFERROR(__xludf.DUMMYFUNCTION("""COMPUTED_VALUE"""),"BN Jual Beli")</f>
        <v>BN Jual Beli</v>
      </c>
      <c r="H2635" s="7">
        <f t="shared" si="1"/>
        <v>1029</v>
      </c>
    </row>
    <row r="2636" ht="22.5" customHeight="1">
      <c r="B2636" s="7" t="str">
        <f>IFERROR(__xludf.DUMMYFUNCTION("""COMPUTED_VALUE"""),"K/51/301224/1")</f>
        <v>K/51/301224/1</v>
      </c>
      <c r="C2636" s="7" t="str">
        <f>IFERROR(__xludf.DUMMYFUNCTION("""COMPUTED_VALUE"""),"M 426/TANJUNG KARANG")</f>
        <v>M 426/TANJUNG KARANG</v>
      </c>
      <c r="D2636" s="7"/>
      <c r="E2636" s="7"/>
      <c r="F2636" s="9" t="str">
        <f>IFERROR(__xludf.DUMMYFUNCTION("""COMPUTED_VALUE"""),"")</f>
        <v/>
      </c>
      <c r="G2636" s="7" t="str">
        <f>IFERROR(__xludf.DUMMYFUNCTION("""COMPUTED_VALUE"""),"KEWARISAN")</f>
        <v>KEWARISAN</v>
      </c>
      <c r="H2636" s="7">
        <f t="shared" si="1"/>
        <v>1029</v>
      </c>
    </row>
    <row r="2637" ht="22.5" customHeight="1">
      <c r="B2637" s="7" t="str">
        <f>IFERROR(__xludf.DUMMYFUNCTION("""COMPUTED_VALUE"""),"L/52/301224/1")</f>
        <v>L/52/301224/1</v>
      </c>
      <c r="C2637" s="7" t="str">
        <f>IFERROR(__xludf.DUMMYFUNCTION("""COMPUTED_VALUE"""),"HGB 3464/SUKABUMI")</f>
        <v>HGB 3464/SUKABUMI</v>
      </c>
      <c r="D2637" s="7"/>
      <c r="E2637" s="7"/>
      <c r="F2637" s="9" t="str">
        <f>IFERROR(__xludf.DUMMYFUNCTION("""COMPUTED_VALUE"""),"")</f>
        <v/>
      </c>
      <c r="G2637" s="7" t="str">
        <f>IFERROR(__xludf.DUMMYFUNCTION("""COMPUTED_VALUE"""),"PERMOHONAN SK")</f>
        <v>PERMOHONAN SK</v>
      </c>
      <c r="H2637" s="7">
        <f t="shared" si="1"/>
        <v>1029</v>
      </c>
    </row>
    <row r="2638" ht="22.5" customHeight="1">
      <c r="B2638" s="7" t="str">
        <f>IFERROR(__xludf.DUMMYFUNCTION("""COMPUTED_VALUE"""),"K/59/301224/1")</f>
        <v>K/59/301224/1</v>
      </c>
      <c r="C2638" s="7" t="str">
        <f>IFERROR(__xludf.DUMMYFUNCTION("""COMPUTED_VALUE"""),"HM 1410/PERUMNAS WAY HALIM")</f>
        <v>HM 1410/PERUMNAS WAY HALIM</v>
      </c>
      <c r="D2638" s="7"/>
      <c r="E2638" s="7"/>
      <c r="F2638" s="9" t="str">
        <f>IFERROR(__xludf.DUMMYFUNCTION("""COMPUTED_VALUE"""),"")</f>
        <v/>
      </c>
      <c r="G2638" s="7" t="str">
        <f>IFERROR(__xludf.DUMMYFUNCTION("""COMPUTED_VALUE"""),"ROYA")</f>
        <v>ROYA</v>
      </c>
      <c r="H2638" s="7">
        <f t="shared" si="1"/>
        <v>1029</v>
      </c>
    </row>
    <row r="2639" ht="22.5" customHeight="1">
      <c r="B2639" s="7" t="str">
        <f>IFERROR(__xludf.DUMMYFUNCTION("""COMPUTED_VALUE"""),"K/59/301224/1")</f>
        <v>K/59/301224/1</v>
      </c>
      <c r="C2639" s="7" t="str">
        <f>IFERROR(__xludf.DUMMYFUNCTION("""COMPUTED_VALUE"""),"HM 1410/PWH")</f>
        <v>HM 1410/PWH</v>
      </c>
      <c r="D2639" s="7"/>
      <c r="E2639" s="7"/>
      <c r="F2639" s="9" t="str">
        <f>IFERROR(__xludf.DUMMYFUNCTION("""COMPUTED_VALUE"""),"")</f>
        <v/>
      </c>
      <c r="G2639" s="7" t="str">
        <f>IFERROR(__xludf.DUMMYFUNCTION("""COMPUTED_VALUE"""),"ROYA")</f>
        <v>ROYA</v>
      </c>
      <c r="H2639" s="7">
        <f t="shared" si="1"/>
        <v>1029</v>
      </c>
    </row>
    <row r="2640" ht="22.5" customHeight="1">
      <c r="B2640" s="7" t="str">
        <f>IFERROR(__xludf.DUMMYFUNCTION("""COMPUTED_VALUE"""),"K/58/301224/1")</f>
        <v>K/58/301224/1</v>
      </c>
      <c r="C2640" s="7" t="str">
        <f>IFERROR(__xludf.DUMMYFUNCTION("""COMPUTED_VALUE"""),"Nibel. M. 2368/ Talang")</f>
        <v>Nibel. M. 2368/ Talang</v>
      </c>
      <c r="D2640" s="7"/>
      <c r="E2640" s="7"/>
      <c r="F2640" s="9" t="str">
        <f>IFERROR(__xludf.DUMMYFUNCTION("""COMPUTED_VALUE"""),"")</f>
        <v/>
      </c>
      <c r="G2640" s="7" t="str">
        <f>IFERROR(__xludf.DUMMYFUNCTION("""COMPUTED_VALUE"""),"BN PHB")</f>
        <v>BN PHB</v>
      </c>
      <c r="H2640" s="7">
        <f t="shared" si="1"/>
        <v>1029</v>
      </c>
    </row>
    <row r="2641" ht="22.5" customHeight="1">
      <c r="B2641" s="7" t="str">
        <f>IFERROR(__xludf.DUMMYFUNCTION("""COMPUTED_VALUE"""),"K/53/301224/1")</f>
        <v>K/53/301224/1</v>
      </c>
      <c r="C2641" s="7" t="str">
        <f>IFERROR(__xludf.DUMMYFUNCTION("""COMPUTED_VALUE"""),"M. 1628/ Sukarame baru")</f>
        <v>M. 1628/ Sukarame baru</v>
      </c>
      <c r="D2641" s="7"/>
      <c r="E2641" s="7"/>
      <c r="F2641" s="9" t="str">
        <f>IFERROR(__xludf.DUMMYFUNCTION("""COMPUTED_VALUE"""),"")</f>
        <v/>
      </c>
      <c r="G2641" s="7" t="str">
        <f>IFERROR(__xludf.DUMMYFUNCTION("""COMPUTED_VALUE"""),"BN Jual Beli")</f>
        <v>BN Jual Beli</v>
      </c>
      <c r="H2641" s="7">
        <f t="shared" si="1"/>
        <v>1029</v>
      </c>
    </row>
    <row r="2642" ht="22.5" customHeight="1">
      <c r="B2642" s="7" t="str">
        <f>IFERROR(__xludf.DUMMYFUNCTION("""COMPUTED_VALUE"""),"K/54/301224/2")</f>
        <v>K/54/301224/2</v>
      </c>
      <c r="C2642" s="7" t="str">
        <f>IFERROR(__xludf.DUMMYFUNCTION("""COMPUTED_VALUE"""),"M. 19262/ Sukarame")</f>
        <v>M. 19262/ Sukarame</v>
      </c>
      <c r="D2642" s="7"/>
      <c r="E2642" s="7"/>
      <c r="F2642" s="9" t="str">
        <f>IFERROR(__xludf.DUMMYFUNCTION("""COMPUTED_VALUE"""),"")</f>
        <v/>
      </c>
      <c r="G2642" s="7" t="str">
        <f>IFERROR(__xludf.DUMMYFUNCTION("""COMPUTED_VALUE"""),"BN Jual Beli")</f>
        <v>BN Jual Beli</v>
      </c>
      <c r="H2642" s="7">
        <f t="shared" si="1"/>
        <v>1029</v>
      </c>
    </row>
    <row r="2643" ht="22.5" customHeight="1">
      <c r="B2643" s="7" t="str">
        <f>IFERROR(__xludf.DUMMYFUNCTION("""COMPUTED_VALUE"""),"K/55/301224/3")</f>
        <v>K/55/301224/3</v>
      </c>
      <c r="C2643" s="7" t="str">
        <f>IFERROR(__xludf.DUMMYFUNCTION("""COMPUTED_VALUE"""),"M. 3932/ Way Kandis")</f>
        <v>M. 3932/ Way Kandis</v>
      </c>
      <c r="D2643" s="7"/>
      <c r="E2643" s="7"/>
      <c r="F2643" s="9" t="str">
        <f>IFERROR(__xludf.DUMMYFUNCTION("""COMPUTED_VALUE"""),"")</f>
        <v/>
      </c>
      <c r="G2643" s="7" t="str">
        <f>IFERROR(__xludf.DUMMYFUNCTION("""COMPUTED_VALUE"""),"BN Jual Beli")</f>
        <v>BN Jual Beli</v>
      </c>
      <c r="H2643" s="7">
        <f t="shared" si="1"/>
        <v>1029</v>
      </c>
    </row>
    <row r="2644" ht="22.5" customHeight="1">
      <c r="B2644" s="7" t="str">
        <f>IFERROR(__xludf.DUMMYFUNCTION("""COMPUTED_VALUE"""),"K/56/301224/4")</f>
        <v>K/56/301224/4</v>
      </c>
      <c r="C2644" s="7" t="str">
        <f>IFERROR(__xludf.DUMMYFUNCTION("""COMPUTED_VALUE"""),"M. 2478/ Kemiling Permai")</f>
        <v>M. 2478/ Kemiling Permai</v>
      </c>
      <c r="D2644" s="7"/>
      <c r="E2644" s="7"/>
      <c r="F2644" s="9" t="str">
        <f>IFERROR(__xludf.DUMMYFUNCTION("""COMPUTED_VALUE"""),"")</f>
        <v/>
      </c>
      <c r="G2644" s="7" t="str">
        <f>IFERROR(__xludf.DUMMYFUNCTION("""COMPUTED_VALUE"""),"BN Jual Beli")</f>
        <v>BN Jual Beli</v>
      </c>
      <c r="H2644" s="7">
        <f t="shared" si="1"/>
        <v>1029</v>
      </c>
    </row>
    <row r="2645" ht="22.5" customHeight="1">
      <c r="B2645" s="7" t="str">
        <f>IFERROR(__xludf.DUMMYFUNCTION("""COMPUTED_VALUE"""),"K/57/301224/5")</f>
        <v>K/57/301224/5</v>
      </c>
      <c r="C2645" s="7" t="str">
        <f>IFERROR(__xludf.DUMMYFUNCTION("""COMPUTED_VALUE"""),"M. 1028/ Gotong Royong")</f>
        <v>M. 1028/ Gotong Royong</v>
      </c>
      <c r="D2645" s="7"/>
      <c r="E2645" s="7"/>
      <c r="F2645" s="9" t="str">
        <f>IFERROR(__xludf.DUMMYFUNCTION("""COMPUTED_VALUE"""),"")</f>
        <v/>
      </c>
      <c r="G2645" s="7" t="str">
        <f>IFERROR(__xludf.DUMMYFUNCTION("""COMPUTED_VALUE"""),"BN Jual Beli")</f>
        <v>BN Jual Beli</v>
      </c>
      <c r="H2645" s="7">
        <f t="shared" si="1"/>
        <v>1029</v>
      </c>
    </row>
    <row r="2646" ht="22.5" customHeight="1">
      <c r="B2646" s="7" t="str">
        <f>IFERROR(__xludf.DUMMYFUNCTION("""COMPUTED_VALUE"""),"L/1/311224/1")</f>
        <v>L/1/311224/1</v>
      </c>
      <c r="C2646" s="7" t="str">
        <f>IFERROR(__xludf.DUMMYFUNCTION("""COMPUTED_VALUE"""),"HM 1867/RAJABASA RAYA")</f>
        <v>HM 1867/RAJABASA RAYA</v>
      </c>
      <c r="D2646" s="7"/>
      <c r="E2646" s="7"/>
      <c r="F2646" s="9" t="str">
        <f>IFERROR(__xludf.DUMMYFUNCTION("""COMPUTED_VALUE"""),"")</f>
        <v/>
      </c>
      <c r="G2646" s="7" t="str">
        <f>IFERROR(__xludf.DUMMYFUNCTION("""COMPUTED_VALUE"""),"BLOKIR")</f>
        <v>BLOKIR</v>
      </c>
      <c r="H2646" s="7">
        <f t="shared" si="1"/>
        <v>1029</v>
      </c>
    </row>
    <row r="2647" ht="22.5" customHeight="1">
      <c r="B2647" s="7" t="str">
        <f>IFERROR(__xludf.DUMMYFUNCTION("""COMPUTED_VALUE"""),"K/2/311224/1")</f>
        <v>K/2/311224/1</v>
      </c>
      <c r="C2647" s="7" t="str">
        <f>IFERROR(__xludf.DUMMYFUNCTION("""COMPUTED_VALUE"""),"Nibel. M. 3443/ Susunan Baru")</f>
        <v>Nibel. M. 3443/ Susunan Baru</v>
      </c>
      <c r="D2647" s="7"/>
      <c r="E2647" s="7"/>
      <c r="F2647" s="9" t="str">
        <f>IFERROR(__xludf.DUMMYFUNCTION("""COMPUTED_VALUE"""),"")</f>
        <v/>
      </c>
      <c r="G2647" s="7" t="str">
        <f>IFERROR(__xludf.DUMMYFUNCTION("""COMPUTED_VALUE"""),"PTPGT (Pemecahan)")</f>
        <v>PTPGT (Pemecahan)</v>
      </c>
      <c r="H2647" s="7">
        <f t="shared" si="1"/>
        <v>1029</v>
      </c>
    </row>
    <row r="2648" ht="22.5" customHeight="1">
      <c r="B2648" s="7" t="str">
        <f>IFERROR(__xludf.DUMMYFUNCTION("""COMPUTED_VALUE"""),"K/3/311224/1")</f>
        <v>K/3/311224/1</v>
      </c>
      <c r="C2648" s="7" t="str">
        <f>IFERROR(__xludf.DUMMYFUNCTION("""COMPUTED_VALUE"""),"M. 1193/ SUSUNAN BARU")</f>
        <v>M. 1193/ SUSUNAN BARU</v>
      </c>
      <c r="D2648" s="7"/>
      <c r="E2648" s="7"/>
      <c r="F2648" s="9" t="str">
        <f>IFERROR(__xludf.DUMMYFUNCTION("""COMPUTED_VALUE"""),"")</f>
        <v/>
      </c>
      <c r="G2648" s="7" t="str">
        <f>IFERROR(__xludf.DUMMYFUNCTION("""COMPUTED_VALUE"""),"GANTI KELURAHAN")</f>
        <v>GANTI KELURAHAN</v>
      </c>
      <c r="H2648" s="7">
        <f t="shared" si="1"/>
        <v>1029</v>
      </c>
    </row>
    <row r="2649" ht="22.5" customHeight="1">
      <c r="B2649" s="7" t="str">
        <f>IFERROR(__xludf.DUMMYFUNCTION("""COMPUTED_VALUE"""),"L/4/311224/1")</f>
        <v>L/4/311224/1</v>
      </c>
      <c r="C2649" s="7" t="str">
        <f>IFERROR(__xludf.DUMMYFUNCTION("""COMPUTED_VALUE"""),"HM 13001/TANJUNG BARU")</f>
        <v>HM 13001/TANJUNG BARU</v>
      </c>
      <c r="D2649" s="7"/>
      <c r="E2649" s="7"/>
      <c r="F2649" s="9" t="str">
        <f>IFERROR(__xludf.DUMMYFUNCTION("""COMPUTED_VALUE"""),"")</f>
        <v/>
      </c>
      <c r="G2649" s="7" t="str">
        <f>IFERROR(__xludf.DUMMYFUNCTION("""COMPUTED_VALUE"""),"PLOT SERTIPIKAT HILANG")</f>
        <v>PLOT SERTIPIKAT HILANG</v>
      </c>
      <c r="H2649" s="7">
        <f t="shared" si="1"/>
        <v>1029</v>
      </c>
    </row>
    <row r="2650" ht="22.5" customHeight="1">
      <c r="B2650" s="7" t="str">
        <f>IFERROR(__xludf.DUMMYFUNCTION("""COMPUTED_VALUE"""),"K/5/311224/1")</f>
        <v>K/5/311224/1</v>
      </c>
      <c r="C2650" s="7" t="str">
        <f>IFERROR(__xludf.DUMMYFUNCTION("""COMPUTED_VALUE"""),"M. 10542/ KEDATON")</f>
        <v>M. 10542/ KEDATON</v>
      </c>
      <c r="D2650" s="7"/>
      <c r="E2650" s="7"/>
      <c r="F2650" s="9" t="str">
        <f>IFERROR(__xludf.DUMMYFUNCTION("""COMPUTED_VALUE"""),"")</f>
        <v/>
      </c>
      <c r="G2650" s="7" t="str">
        <f>IFERROR(__xludf.DUMMYFUNCTION("""COMPUTED_VALUE"""),"PLOTTING")</f>
        <v>PLOTTING</v>
      </c>
      <c r="H2650" s="7">
        <f t="shared" si="1"/>
        <v>1029</v>
      </c>
    </row>
    <row r="2651" ht="22.5" customHeight="1">
      <c r="B2651" s="7" t="str">
        <f>IFERROR(__xludf.DUMMYFUNCTION("""COMPUTED_VALUE"""),"K/6/311224/2")</f>
        <v>K/6/311224/2</v>
      </c>
      <c r="C2651" s="7" t="str">
        <f>IFERROR(__xludf.DUMMYFUNCTION("""COMPUTED_VALUE"""),"M. 1758/ Kupang Kota")</f>
        <v>M. 1758/ Kupang Kota</v>
      </c>
      <c r="D2651" s="7"/>
      <c r="E2651" s="7"/>
      <c r="F2651" s="9" t="str">
        <f>IFERROR(__xludf.DUMMYFUNCTION("""COMPUTED_VALUE"""),"")</f>
        <v/>
      </c>
      <c r="G2651" s="7" t="str">
        <f>IFERROR(__xludf.DUMMYFUNCTION("""COMPUTED_VALUE"""),"BN JUAL BELI")</f>
        <v>BN JUAL BELI</v>
      </c>
      <c r="H2651" s="7">
        <f t="shared" si="1"/>
        <v>1029</v>
      </c>
    </row>
    <row r="2652" ht="22.5" customHeight="1">
      <c r="B2652" s="7" t="str">
        <f>IFERROR(__xludf.DUMMYFUNCTION("""COMPUTED_VALUE"""),"L/7/311224/1")</f>
        <v>L/7/311224/1</v>
      </c>
      <c r="C2652" s="7" t="str">
        <f>IFERROR(__xludf.DUMMYFUNCTION("""COMPUTED_VALUE"""),"HM 714/SUMUR PUTRI")</f>
        <v>HM 714/SUMUR PUTRI</v>
      </c>
      <c r="D2652" s="7"/>
      <c r="E2652" s="7"/>
      <c r="F2652" s="9" t="str">
        <f>IFERROR(__xludf.DUMMYFUNCTION("""COMPUTED_VALUE"""),"")</f>
        <v/>
      </c>
      <c r="G2652" s="7" t="str">
        <f>IFERROR(__xludf.DUMMYFUNCTION("""COMPUTED_VALUE"""),"ROYA")</f>
        <v>ROYA</v>
      </c>
      <c r="H2652" s="7">
        <f t="shared" si="1"/>
        <v>1029</v>
      </c>
    </row>
    <row r="2653" ht="22.5" customHeight="1">
      <c r="B2653" s="7" t="str">
        <f>IFERROR(__xludf.DUMMYFUNCTION("""COMPUTED_VALUE"""),"K/8/311224/1")</f>
        <v>K/8/311224/1</v>
      </c>
      <c r="C2653" s="7" t="str">
        <f>IFERROR(__xludf.DUMMYFUNCTION("""COMPUTED_VALUE"""),"M. 24/ Talang")</f>
        <v>M. 24/ Talang</v>
      </c>
      <c r="D2653" s="7"/>
      <c r="E2653" s="7"/>
      <c r="F2653" s="9" t="str">
        <f>IFERROR(__xludf.DUMMYFUNCTION("""COMPUTED_VALUE"""),"")</f>
        <v/>
      </c>
      <c r="G2653" s="7" t="str">
        <f>IFERROR(__xludf.DUMMYFUNCTION("""COMPUTED_VALUE"""),"BN Jual Beli")</f>
        <v>BN Jual Beli</v>
      </c>
      <c r="H2653" s="7">
        <f t="shared" si="1"/>
        <v>1029</v>
      </c>
    </row>
    <row r="2654" ht="22.5" customHeight="1">
      <c r="B2654" s="7" t="str">
        <f>IFERROR(__xludf.DUMMYFUNCTION("""COMPUTED_VALUE"""),"K/11/311224/1")</f>
        <v>K/11/311224/1</v>
      </c>
      <c r="C2654" s="7" t="str">
        <f>IFERROR(__xludf.DUMMYFUNCTION("""COMPUTED_VALUE"""),"M.1073/ Way Kandis")</f>
        <v>M.1073/ Way Kandis</v>
      </c>
      <c r="D2654" s="7"/>
      <c r="E2654" s="7"/>
      <c r="F2654" s="9" t="str">
        <f>IFERROR(__xludf.DUMMYFUNCTION("""COMPUTED_VALUE"""),"")</f>
        <v/>
      </c>
      <c r="G2654" s="7" t="str">
        <f>IFERROR(__xludf.DUMMYFUNCTION("""COMPUTED_VALUE"""),"Gandes")</f>
        <v>Gandes</v>
      </c>
      <c r="H2654" s="7">
        <f t="shared" si="1"/>
        <v>1029</v>
      </c>
    </row>
    <row r="2655" ht="22.5" customHeight="1">
      <c r="B2655" s="7" t="str">
        <f>IFERROR(__xludf.DUMMYFUNCTION("""COMPUTED_VALUE"""),"K/9/311224/1")</f>
        <v>K/9/311224/1</v>
      </c>
      <c r="C2655" s="7" t="str">
        <f>IFERROR(__xludf.DUMMYFUNCTION("""COMPUTED_VALUE"""),"M. 1638/ Durian Payung")</f>
        <v>M. 1638/ Durian Payung</v>
      </c>
      <c r="D2655" s="7"/>
      <c r="E2655" s="7"/>
      <c r="F2655" s="9" t="str">
        <f>IFERROR(__xludf.DUMMYFUNCTION("""COMPUTED_VALUE"""),"")</f>
        <v/>
      </c>
      <c r="G2655" s="7" t="str">
        <f>IFERROR(__xludf.DUMMYFUNCTION("""COMPUTED_VALUE"""),"BN JUAL BELI")</f>
        <v>BN JUAL BELI</v>
      </c>
      <c r="H2655" s="7">
        <f t="shared" si="1"/>
        <v>1029</v>
      </c>
    </row>
    <row r="2656" ht="22.5" customHeight="1">
      <c r="B2656" s="7" t="str">
        <f>IFERROR(__xludf.DUMMYFUNCTION("""COMPUTED_VALUE"""),"K/10/311224/1")</f>
        <v>K/10/311224/1</v>
      </c>
      <c r="C2656" s="7" t="str">
        <f>IFERROR(__xludf.DUMMYFUNCTION("""COMPUTED_VALUE"""),"B.1192/SUKABUMI INDAH-SEKARANG;B.2500/SUKABUMI")</f>
        <v>B.1192/SUKABUMI INDAH-SEKARANG;B.2500/SUKABUMI</v>
      </c>
      <c r="D2656" s="7"/>
      <c r="E2656" s="7"/>
      <c r="F2656" s="9" t="str">
        <f>IFERROR(__xludf.DUMMYFUNCTION("""COMPUTED_VALUE"""),"")</f>
        <v/>
      </c>
      <c r="G2656" s="7" t="str">
        <f>IFERROR(__xludf.DUMMYFUNCTION("""COMPUTED_VALUE"""),"BN JUAL BELI")</f>
        <v>BN JUAL BELI</v>
      </c>
      <c r="H2656" s="7">
        <f t="shared" si="1"/>
        <v>1029</v>
      </c>
    </row>
    <row r="2657" ht="22.5" customHeight="1">
      <c r="B2657" s="7" t="str">
        <f>IFERROR(__xludf.DUMMYFUNCTION("""COMPUTED_VALUE"""),"K/12/311224/2")</f>
        <v>K/12/311224/2</v>
      </c>
      <c r="C2657" s="7" t="str">
        <f>IFERROR(__xludf.DUMMYFUNCTION("""COMPUTED_VALUE"""),"B. 1552/ Sukabumi")</f>
        <v>B. 1552/ Sukabumi</v>
      </c>
      <c r="D2657" s="7"/>
      <c r="E2657" s="7"/>
      <c r="F2657" s="9" t="str">
        <f>IFERROR(__xludf.DUMMYFUNCTION("""COMPUTED_VALUE"""),"")</f>
        <v/>
      </c>
      <c r="G2657" s="7" t="str">
        <f>IFERROR(__xludf.DUMMYFUNCTION("""COMPUTED_VALUE"""),"Gandes")</f>
        <v>Gandes</v>
      </c>
      <c r="H2657" s="7">
        <f t="shared" si="1"/>
        <v>1029</v>
      </c>
    </row>
    <row r="2658" ht="22.5" customHeight="1">
      <c r="B2658" s="7" t="str">
        <f>IFERROR(__xludf.DUMMYFUNCTION("""COMPUTED_VALUE"""),"K/13/311224/1")</f>
        <v>K/13/311224/1</v>
      </c>
      <c r="C2658" s="7" t="str">
        <f>IFERROR(__xludf.DUMMYFUNCTION("""COMPUTED_VALUE"""),"M. 14137/ Labuhan Ratu")</f>
        <v>M. 14137/ Labuhan Ratu</v>
      </c>
      <c r="D2658" s="7"/>
      <c r="E2658" s="7"/>
      <c r="F2658" s="9" t="str">
        <f>IFERROR(__xludf.DUMMYFUNCTION("""COMPUTED_VALUE"""),"")</f>
        <v/>
      </c>
      <c r="G2658" s="7" t="str">
        <f>IFERROR(__xludf.DUMMYFUNCTION("""COMPUTED_VALUE"""),"BN JUAL BELI")</f>
        <v>BN JUAL BELI</v>
      </c>
      <c r="H2658" s="7">
        <f t="shared" si="1"/>
        <v>1029</v>
      </c>
    </row>
    <row r="2659" ht="22.5" customHeight="1">
      <c r="B2659" s="7" t="str">
        <f>IFERROR(__xludf.DUMMYFUNCTION("""COMPUTED_VALUE"""),"L/15/311224/1")</f>
        <v>L/15/311224/1</v>
      </c>
      <c r="C2659" s="7" t="str">
        <f>IFERROR(__xludf.DUMMYFUNCTION("""COMPUTED_VALUE"""),"NIB 16419/TANJUNG SENANG")</f>
        <v>NIB 16419/TANJUNG SENANG</v>
      </c>
      <c r="D2659" s="7"/>
      <c r="E2659" s="7"/>
      <c r="F2659" s="9" t="str">
        <f>IFERROR(__xludf.DUMMYFUNCTION("""COMPUTED_VALUE"""),"")</f>
        <v/>
      </c>
      <c r="G2659" s="7" t="str">
        <f>IFERROR(__xludf.DUMMYFUNCTION("""COMPUTED_VALUE"""),"BN WARIS")</f>
        <v>BN WARIS</v>
      </c>
      <c r="H2659" s="7">
        <f t="shared" si="1"/>
        <v>1029</v>
      </c>
    </row>
    <row r="2660" ht="22.5" customHeight="1">
      <c r="B2660" s="7" t="str">
        <f>IFERROR(__xludf.DUMMYFUNCTION("""COMPUTED_VALUE"""),"K/14/311224/1")</f>
        <v>K/14/311224/1</v>
      </c>
      <c r="C2660" s="7" t="str">
        <f>IFERROR(__xludf.DUMMYFUNCTION("""COMPUTED_VALUE"""),"M. 1351/ Way Halim Permai")</f>
        <v>M. 1351/ Way Halim Permai</v>
      </c>
      <c r="D2660" s="7"/>
      <c r="E2660" s="7"/>
      <c r="F2660" s="9" t="str">
        <f>IFERROR(__xludf.DUMMYFUNCTION("""COMPUTED_VALUE"""),"")</f>
        <v/>
      </c>
      <c r="G2660" s="7" t="str">
        <f>IFERROR(__xludf.DUMMYFUNCTION("""COMPUTED_VALUE"""),"GANTI KECAMATAN")</f>
        <v>GANTI KECAMATAN</v>
      </c>
      <c r="H2660" s="7">
        <f t="shared" si="1"/>
        <v>1029</v>
      </c>
    </row>
    <row r="2661" ht="22.5" customHeight="1">
      <c r="B2661" s="7" t="str">
        <f>IFERROR(__xludf.DUMMYFUNCTION("""COMPUTED_VALUE"""),"K/16/311224/1")</f>
        <v>K/16/311224/1</v>
      </c>
      <c r="C2661" s="7" t="str">
        <f>IFERROR(__xludf.DUMMYFUNCTION("""COMPUTED_VALUE"""),"M. 2666/ Sumber Agung")</f>
        <v>M. 2666/ Sumber Agung</v>
      </c>
      <c r="D2661" s="7"/>
      <c r="E2661" s="7"/>
      <c r="F2661" s="9" t="str">
        <f>IFERROR(__xludf.DUMMYFUNCTION("""COMPUTED_VALUE"""),"")</f>
        <v/>
      </c>
      <c r="G2661" s="7" t="str">
        <f>IFERROR(__xludf.DUMMYFUNCTION("""COMPUTED_VALUE"""),"PTPGT PEMECAHAN")</f>
        <v>PTPGT PEMECAHAN</v>
      </c>
      <c r="H2661" s="7">
        <f t="shared" si="1"/>
        <v>1029</v>
      </c>
    </row>
    <row r="2662" ht="22.5" customHeight="1">
      <c r="B2662" s="7" t="str">
        <f>IFERROR(__xludf.DUMMYFUNCTION("""COMPUTED_VALUE"""),"K/17/311224/1")</f>
        <v>K/17/311224/1</v>
      </c>
      <c r="C2662" s="7" t="str">
        <f>IFERROR(__xludf.DUMMYFUNCTION("""COMPUTED_VALUE"""),"NIBEL M 7287/KEMILING PERMAI")</f>
        <v>NIBEL M 7287/KEMILING PERMAI</v>
      </c>
      <c r="D2662" s="7"/>
      <c r="E2662" s="7"/>
      <c r="F2662" s="9" t="str">
        <f>IFERROR(__xludf.DUMMYFUNCTION("""COMPUTED_VALUE"""),"")</f>
        <v/>
      </c>
      <c r="G2662" s="7" t="str">
        <f>IFERROR(__xludf.DUMMYFUNCTION("""COMPUTED_VALUE"""),"BN JUAL BELI")</f>
        <v>BN JUAL BELI</v>
      </c>
      <c r="H2662" s="7">
        <f t="shared" si="1"/>
        <v>1029</v>
      </c>
    </row>
    <row r="2663" ht="22.5" customHeight="1">
      <c r="B2663" s="7" t="str">
        <f>IFERROR(__xludf.DUMMYFUNCTION("""COMPUTED_VALUE"""),"L/18/311224/1")</f>
        <v>L/18/311224/1</v>
      </c>
      <c r="C2663" s="7" t="str">
        <f>IFERROR(__xludf.DUMMYFUNCTION("""COMPUTED_VALUE"""),"HM 869/TALANG")</f>
        <v>HM 869/TALANG</v>
      </c>
      <c r="D2663" s="7"/>
      <c r="E2663" s="7"/>
      <c r="F2663" s="9" t="str">
        <f>IFERROR(__xludf.DUMMYFUNCTION("""COMPUTED_VALUE"""),"")</f>
        <v/>
      </c>
      <c r="G2663" s="7" t="str">
        <f>IFERROR(__xludf.DUMMYFUNCTION("""COMPUTED_VALUE"""),"ROYA")</f>
        <v>ROYA</v>
      </c>
      <c r="H2663" s="7">
        <f t="shared" si="1"/>
        <v>1029</v>
      </c>
    </row>
    <row r="2664" ht="22.5" customHeight="1">
      <c r="B2664" s="7" t="str">
        <f>IFERROR(__xludf.DUMMYFUNCTION("""COMPUTED_VALUE"""),"K/19/311224/1")</f>
        <v>K/19/311224/1</v>
      </c>
      <c r="C2664" s="7" t="str">
        <f>IFERROR(__xludf.DUMMYFUNCTION("""COMPUTED_VALUE"""),"M. 80/ Tanjung Gading")</f>
        <v>M. 80/ Tanjung Gading</v>
      </c>
      <c r="D2664" s="7"/>
      <c r="E2664" s="7"/>
      <c r="F2664" s="9" t="str">
        <f>IFERROR(__xludf.DUMMYFUNCTION("""COMPUTED_VALUE"""),"")</f>
        <v/>
      </c>
      <c r="G2664" s="7" t="str">
        <f>IFERROR(__xludf.DUMMYFUNCTION("""COMPUTED_VALUE"""),"ROYA")</f>
        <v>ROYA</v>
      </c>
      <c r="H2664" s="7">
        <f t="shared" si="1"/>
        <v>1029</v>
      </c>
    </row>
    <row r="2665" ht="22.5" customHeight="1">
      <c r="B2665" s="7" t="str">
        <f>IFERROR(__xludf.DUMMYFUNCTION("""COMPUTED_VALUE"""),"K/20/311224/2")</f>
        <v>K/20/311224/2</v>
      </c>
      <c r="C2665" s="7" t="str">
        <f>IFERROR(__xludf.DUMMYFUNCTION("""COMPUTED_VALUE"""),"M. 438/ Perumnas Way Halim")</f>
        <v>M. 438/ Perumnas Way Halim</v>
      </c>
      <c r="D2665" s="7"/>
      <c r="E2665" s="7"/>
      <c r="F2665" s="9" t="str">
        <f>IFERROR(__xludf.DUMMYFUNCTION("""COMPUTED_VALUE"""),"")</f>
        <v/>
      </c>
      <c r="G2665" s="7" t="str">
        <f>IFERROR(__xludf.DUMMYFUNCTION("""COMPUTED_VALUE"""),"BN JUAL BELI")</f>
        <v>BN JUAL BELI</v>
      </c>
      <c r="H2665" s="7">
        <f t="shared" si="1"/>
        <v>1029</v>
      </c>
    </row>
    <row r="2666" ht="22.5" customHeight="1">
      <c r="B2666" s="7" t="str">
        <f>IFERROR(__xludf.DUMMYFUNCTION("""COMPUTED_VALUE"""),"K/21/311224/1")</f>
        <v>K/21/311224/1</v>
      </c>
      <c r="C2666" s="7" t="str">
        <f>IFERROR(__xludf.DUMMYFUNCTION("""COMPUTED_VALUE"""),"HM 1900/SUKABUMI INDAH")</f>
        <v>HM 1900/SUKABUMI INDAH</v>
      </c>
      <c r="D2666" s="7"/>
      <c r="E2666" s="7"/>
      <c r="F2666" s="9" t="str">
        <f>IFERROR(__xludf.DUMMYFUNCTION("""COMPUTED_VALUE"""),"")</f>
        <v/>
      </c>
      <c r="G2666" s="7" t="str">
        <f>IFERROR(__xludf.DUMMYFUNCTION("""COMPUTED_VALUE"""),"GANTI BLANGKO")</f>
        <v>GANTI BLANGKO</v>
      </c>
      <c r="H2666" s="7">
        <f t="shared" si="1"/>
        <v>1029</v>
      </c>
    </row>
    <row r="2667" ht="22.5" customHeight="1">
      <c r="B2667" s="7" t="str">
        <f>IFERROR(__xludf.DUMMYFUNCTION("""COMPUTED_VALUE"""),"K/22/311224/1")</f>
        <v>K/22/311224/1</v>
      </c>
      <c r="C2667" s="7" t="str">
        <f>IFERROR(__xludf.DUMMYFUNCTION("""COMPUTED_VALUE"""),"M.4528/RAJABASA JAYA")</f>
        <v>M.4528/RAJABASA JAYA</v>
      </c>
      <c r="D2667" s="7"/>
      <c r="E2667" s="7"/>
      <c r="F2667" s="9" t="str">
        <f>IFERROR(__xludf.DUMMYFUNCTION("""COMPUTED_VALUE"""),"")</f>
        <v/>
      </c>
      <c r="G2667" s="7" t="str">
        <f>IFERROR(__xludf.DUMMYFUNCTION("""COMPUTED_VALUE"""),"BN JUAL BELI")</f>
        <v>BN JUAL BELI</v>
      </c>
      <c r="H2667" s="7">
        <f t="shared" si="1"/>
        <v>1029</v>
      </c>
    </row>
    <row r="2668" ht="22.5" customHeight="1">
      <c r="B2668" s="7" t="str">
        <f>IFERROR(__xludf.DUMMYFUNCTION("""COMPUTED_VALUE"""),"K/23/311224/2")</f>
        <v>K/23/311224/2</v>
      </c>
      <c r="C2668" s="7" t="str">
        <f>IFERROR(__xludf.DUMMYFUNCTION("""COMPUTED_VALUE"""),"M 6180/WAY KANDIS")</f>
        <v>M 6180/WAY KANDIS</v>
      </c>
      <c r="D2668" s="7"/>
      <c r="E2668" s="7"/>
      <c r="F2668" s="9" t="str">
        <f>IFERROR(__xludf.DUMMYFUNCTION("""COMPUTED_VALUE"""),"")</f>
        <v/>
      </c>
      <c r="G2668" s="7" t="str">
        <f>IFERROR(__xludf.DUMMYFUNCTION("""COMPUTED_VALUE"""),"PLOTING")</f>
        <v>PLOTING</v>
      </c>
      <c r="H2668" s="7">
        <f t="shared" si="1"/>
        <v>1029</v>
      </c>
    </row>
    <row r="2669" ht="22.5" customHeight="1">
      <c r="B2669" s="7" t="str">
        <f>IFERROR(__xludf.DUMMYFUNCTION("""COMPUTED_VALUE"""),"K/24/311224/1")</f>
        <v>K/24/311224/1</v>
      </c>
      <c r="C2669" s="7" t="str">
        <f>IFERROR(__xludf.DUMMYFUNCTION("""COMPUTED_VALUE"""),"Nibel 6762/ Durian Payung")</f>
        <v>Nibel 6762/ Durian Payung</v>
      </c>
      <c r="D2669" s="7"/>
      <c r="E2669" s="7"/>
      <c r="F2669" s="9" t="str">
        <f>IFERROR(__xludf.DUMMYFUNCTION("""COMPUTED_VALUE"""),"")</f>
        <v/>
      </c>
      <c r="G2669" s="7" t="str">
        <f>IFERROR(__xludf.DUMMYFUNCTION("""COMPUTED_VALUE"""),"BN JUAL BELI")</f>
        <v>BN JUAL BELI</v>
      </c>
      <c r="H2669" s="7">
        <f t="shared" si="1"/>
        <v>1029</v>
      </c>
    </row>
    <row r="2670" ht="22.5" customHeight="1">
      <c r="B2670" s="7" t="str">
        <f>IFERROR(__xludf.DUMMYFUNCTION("""COMPUTED_VALUE"""),"K/26/311224/1")</f>
        <v>K/26/311224/1</v>
      </c>
      <c r="C2670" s="7" t="str">
        <f>IFERROR(__xludf.DUMMYFUNCTION("""COMPUTED_VALUE"""),"M.2999/GEDONG AIR ")</f>
        <v>M.2999/GEDONG AIR </v>
      </c>
      <c r="D2670" s="7"/>
      <c r="E2670" s="7"/>
      <c r="F2670" s="9" t="str">
        <f>IFERROR(__xludf.DUMMYFUNCTION("""COMPUTED_VALUE"""),"")</f>
        <v/>
      </c>
      <c r="G2670" s="7" t="str">
        <f>IFERROR(__xludf.DUMMYFUNCTION("""COMPUTED_VALUE"""),"APHB")</f>
        <v>APHB</v>
      </c>
      <c r="H2670" s="7">
        <f t="shared" si="1"/>
        <v>1029</v>
      </c>
    </row>
    <row r="2671" ht="22.5" customHeight="1">
      <c r="B2671" s="7" t="str">
        <f>IFERROR(__xludf.DUMMYFUNCTION("""COMPUTED_VALUE"""),"K/27/311224/2")</f>
        <v>K/27/311224/2</v>
      </c>
      <c r="C2671" s="7" t="str">
        <f>IFERROR(__xludf.DUMMYFUNCTION("""COMPUTED_VALUE"""),"M.3019/GEDONG AIR")</f>
        <v>M.3019/GEDONG AIR</v>
      </c>
      <c r="D2671" s="7"/>
      <c r="E2671" s="7"/>
      <c r="F2671" s="9" t="str">
        <f>IFERROR(__xludf.DUMMYFUNCTION("""COMPUTED_VALUE"""),"")</f>
        <v/>
      </c>
      <c r="G2671" s="7" t="str">
        <f>IFERROR(__xludf.DUMMYFUNCTION("""COMPUTED_VALUE"""),"HIBAH")</f>
        <v>HIBAH</v>
      </c>
      <c r="H2671" s="7">
        <f t="shared" si="1"/>
        <v>1029</v>
      </c>
    </row>
    <row r="2672" ht="22.5" customHeight="1">
      <c r="B2672" s="7" t="str">
        <f>IFERROR(__xludf.DUMMYFUNCTION("""COMPUTED_VALUE"""),"K/28/311224/3")</f>
        <v>K/28/311224/3</v>
      </c>
      <c r="C2672" s="7" t="str">
        <f>IFERROR(__xludf.DUMMYFUNCTION("""COMPUTED_VALUE"""),"M.3017/GEDONG AIR")</f>
        <v>M.3017/GEDONG AIR</v>
      </c>
      <c r="D2672" s="7"/>
      <c r="E2672" s="7"/>
      <c r="F2672" s="9" t="str">
        <f>IFERROR(__xludf.DUMMYFUNCTION("""COMPUTED_VALUE"""),"")</f>
        <v/>
      </c>
      <c r="G2672" s="7" t="str">
        <f>IFERROR(__xludf.DUMMYFUNCTION("""COMPUTED_VALUE"""),"HIBAH")</f>
        <v>HIBAH</v>
      </c>
      <c r="H2672" s="7">
        <f t="shared" si="1"/>
        <v>1029</v>
      </c>
    </row>
    <row r="2673" ht="22.5" customHeight="1">
      <c r="B2673" s="7" t="str">
        <f>IFERROR(__xludf.DUMMYFUNCTION("""COMPUTED_VALUE"""),"K/29/311224/4")</f>
        <v>K/29/311224/4</v>
      </c>
      <c r="C2673" s="7" t="str">
        <f>IFERROR(__xludf.DUMMYFUNCTION("""COMPUTED_VALUE"""),"M.3028/GEDONG AIR")</f>
        <v>M.3028/GEDONG AIR</v>
      </c>
      <c r="D2673" s="7"/>
      <c r="E2673" s="7"/>
      <c r="F2673" s="9" t="str">
        <f>IFERROR(__xludf.DUMMYFUNCTION("""COMPUTED_VALUE"""),"")</f>
        <v/>
      </c>
      <c r="G2673" s="7" t="str">
        <f>IFERROR(__xludf.DUMMYFUNCTION("""COMPUTED_VALUE"""),"HIBAH")</f>
        <v>HIBAH</v>
      </c>
      <c r="H2673" s="7">
        <f t="shared" si="1"/>
        <v>1029</v>
      </c>
    </row>
    <row r="2674" ht="22.5" customHeight="1">
      <c r="B2674" s="7" t="str">
        <f>IFERROR(__xludf.DUMMYFUNCTION("""COMPUTED_VALUE"""),"K/30/311224/5")</f>
        <v>K/30/311224/5</v>
      </c>
      <c r="C2674" s="7" t="str">
        <f>IFERROR(__xludf.DUMMYFUNCTION("""COMPUTED_VALUE"""),"M 3020/GEDONG AIR")</f>
        <v>M 3020/GEDONG AIR</v>
      </c>
      <c r="D2674" s="7"/>
      <c r="E2674" s="7"/>
      <c r="F2674" s="9" t="str">
        <f>IFERROR(__xludf.DUMMYFUNCTION("""COMPUTED_VALUE"""),"")</f>
        <v/>
      </c>
      <c r="G2674" s="7" t="str">
        <f>IFERROR(__xludf.DUMMYFUNCTION("""COMPUTED_VALUE"""),"HIBAH")</f>
        <v>HIBAH</v>
      </c>
      <c r="H2674" s="7">
        <f t="shared" si="1"/>
        <v>1029</v>
      </c>
    </row>
    <row r="2675" ht="22.5" customHeight="1">
      <c r="B2675" s="7" t="str">
        <f>IFERROR(__xludf.DUMMYFUNCTION("""COMPUTED_VALUE"""),"K/31/311224/1")</f>
        <v>K/31/311224/1</v>
      </c>
      <c r="C2675" s="7" t="str">
        <f>IFERROR(__xludf.DUMMYFUNCTION("""COMPUTED_VALUE"""),"M. 2640/ Sumber Agung")</f>
        <v>M. 2640/ Sumber Agung</v>
      </c>
      <c r="D2675" s="7"/>
      <c r="E2675" s="7"/>
      <c r="F2675" s="9" t="str">
        <f>IFERROR(__xludf.DUMMYFUNCTION("""COMPUTED_VALUE"""),"")</f>
        <v/>
      </c>
      <c r="G2675" s="7" t="str">
        <f>IFERROR(__xludf.DUMMYFUNCTION("""COMPUTED_VALUE"""),"BN Jual Beli")</f>
        <v>BN Jual Beli</v>
      </c>
      <c r="H2675" s="7">
        <f t="shared" si="1"/>
        <v>1029</v>
      </c>
    </row>
    <row r="2676" ht="22.5" customHeight="1">
      <c r="B2676" s="7" t="str">
        <f>IFERROR(__xludf.DUMMYFUNCTION("""COMPUTED_VALUE"""),"K/32/311224/2")</f>
        <v>K/32/311224/2</v>
      </c>
      <c r="C2676" s="7" t="str">
        <f>IFERROR(__xludf.DUMMYFUNCTION("""COMPUTED_VALUE"""),"M. 2642/ Sumber Agung")</f>
        <v>M. 2642/ Sumber Agung</v>
      </c>
      <c r="D2676" s="7"/>
      <c r="E2676" s="7"/>
      <c r="F2676" s="9" t="str">
        <f>IFERROR(__xludf.DUMMYFUNCTION("""COMPUTED_VALUE"""),"")</f>
        <v/>
      </c>
      <c r="G2676" s="7" t="str">
        <f>IFERROR(__xludf.DUMMYFUNCTION("""COMPUTED_VALUE"""),"BN Jual Beli")</f>
        <v>BN Jual Beli</v>
      </c>
      <c r="H2676" s="7">
        <f t="shared" si="1"/>
        <v>1029</v>
      </c>
    </row>
    <row r="2677" ht="22.5" customHeight="1">
      <c r="B2677" s="7" t="str">
        <f>IFERROR(__xludf.DUMMYFUNCTION("""COMPUTED_VALUE"""),"K/33/311224/1")</f>
        <v>K/33/311224/1</v>
      </c>
      <c r="C2677" s="7" t="str">
        <f>IFERROR(__xludf.DUMMYFUNCTION("""COMPUTED_VALUE"""),"B. 4223/ Beringin Raya")</f>
        <v>B. 4223/ Beringin Raya</v>
      </c>
      <c r="D2677" s="7"/>
      <c r="E2677" s="7"/>
      <c r="F2677" s="9" t="str">
        <f>IFERROR(__xludf.DUMMYFUNCTION("""COMPUTED_VALUE"""),"")</f>
        <v/>
      </c>
      <c r="G2677" s="7" t="str">
        <f>IFERROR(__xludf.DUMMYFUNCTION("""COMPUTED_VALUE"""),"Gandes")</f>
        <v>Gandes</v>
      </c>
      <c r="H2677" s="7">
        <f t="shared" si="1"/>
        <v>1029</v>
      </c>
    </row>
    <row r="2678" ht="22.5" customHeight="1">
      <c r="B2678" s="7" t="str">
        <f>IFERROR(__xludf.DUMMYFUNCTION("""COMPUTED_VALUE"""),"K/25/311224/1")</f>
        <v>K/25/311224/1</v>
      </c>
      <c r="C2678" s="7" t="str">
        <f>IFERROR(__xludf.DUMMYFUNCTION("""COMPUTED_VALUE"""),"Nibel 786/ Segala Mider")</f>
        <v>Nibel 786/ Segala Mider</v>
      </c>
      <c r="D2678" s="7"/>
      <c r="E2678" s="7"/>
      <c r="F2678" s="9" t="str">
        <f>IFERROR(__xludf.DUMMYFUNCTION("""COMPUTED_VALUE"""),"")</f>
        <v/>
      </c>
      <c r="G2678" s="7" t="str">
        <f>IFERROR(__xludf.DUMMYFUNCTION("""COMPUTED_VALUE"""),"BN HIBAH")</f>
        <v>BN HIBAH</v>
      </c>
      <c r="H2678" s="7">
        <f t="shared" si="1"/>
        <v>1029</v>
      </c>
    </row>
    <row r="2679" ht="22.5" customHeight="1">
      <c r="B2679" s="7" t="str">
        <f>IFERROR(__xludf.DUMMYFUNCTION("""COMPUTED_VALUE"""),"K/35/311224/1")</f>
        <v>K/35/311224/1</v>
      </c>
      <c r="C2679" s="7" t="str">
        <f>IFERROR(__xludf.DUMMYFUNCTION("""COMPUTED_VALUE"""),"M.9766/SIDODADI")</f>
        <v>M.9766/SIDODADI</v>
      </c>
      <c r="D2679" s="7"/>
      <c r="E2679" s="7"/>
      <c r="F2679" s="9" t="str">
        <f>IFERROR(__xludf.DUMMYFUNCTION("""COMPUTED_VALUE"""),"")</f>
        <v/>
      </c>
      <c r="G2679" s="7" t="str">
        <f>IFERROR(__xludf.DUMMYFUNCTION("""COMPUTED_VALUE"""),"KEWARISAN")</f>
        <v>KEWARISAN</v>
      </c>
      <c r="H2679" s="7">
        <f t="shared" si="1"/>
        <v>1029</v>
      </c>
    </row>
    <row r="2680" ht="22.5" customHeight="1">
      <c r="B2680" s="7" t="str">
        <f>IFERROR(__xludf.DUMMYFUNCTION("""COMPUTED_VALUE"""),"K/34/311224/1")</f>
        <v>K/34/311224/1</v>
      </c>
      <c r="C2680" s="7" t="str">
        <f>IFERROR(__xludf.DUMMYFUNCTION("""COMPUTED_VALUE"""),"M. 1861/ Susunan Baru")</f>
        <v>M. 1861/ Susunan Baru</v>
      </c>
      <c r="D2680" s="7"/>
      <c r="E2680" s="7"/>
      <c r="F2680" s="9" t="str">
        <f>IFERROR(__xludf.DUMMYFUNCTION("""COMPUTED_VALUE"""),"")</f>
        <v/>
      </c>
      <c r="G2680" s="7" t="str">
        <f>IFERROR(__xludf.DUMMYFUNCTION("""COMPUTED_VALUE"""),"BN HIBAH")</f>
        <v>BN HIBAH</v>
      </c>
      <c r="H2680" s="7">
        <f t="shared" si="1"/>
        <v>1029</v>
      </c>
    </row>
    <row r="2681" ht="22.5" customHeight="1">
      <c r="B2681" s="7" t="str">
        <f>IFERROR(__xludf.DUMMYFUNCTION("""COMPUTED_VALUE"""),"L/36/311224/1")</f>
        <v>L/36/311224/1</v>
      </c>
      <c r="C2681" s="7" t="str">
        <f>IFERROR(__xludf.DUMMYFUNCTION("""COMPUTED_VALUE"""),"NIB 1420/SUKABUMI INDAH")</f>
        <v>NIB 1420/SUKABUMI INDAH</v>
      </c>
      <c r="D2681" s="7"/>
      <c r="E2681" s="7"/>
      <c r="F2681" s="9" t="str">
        <f>IFERROR(__xludf.DUMMYFUNCTION("""COMPUTED_VALUE"""),"")</f>
        <v/>
      </c>
      <c r="G2681" s="7" t="str">
        <f>IFERROR(__xludf.DUMMYFUNCTION("""COMPUTED_VALUE"""),"SKPT INFORMASI (HGB MATI)")</f>
        <v>SKPT INFORMASI (HGB MATI)</v>
      </c>
      <c r="H2681" s="7">
        <f t="shared" si="1"/>
        <v>1029</v>
      </c>
    </row>
    <row r="2682" ht="22.5" customHeight="1">
      <c r="B2682" s="7" t="str">
        <f>IFERROR(__xludf.DUMMYFUNCTION("""COMPUTED_VALUE"""),"K/37/311224/1")</f>
        <v>K/37/311224/1</v>
      </c>
      <c r="C2682" s="7" t="str">
        <f>IFERROR(__xludf.DUMMYFUNCTION("""COMPUTED_VALUE"""),"M. 1560/ Labuhan Dalam")</f>
        <v>M. 1560/ Labuhan Dalam</v>
      </c>
      <c r="D2682" s="7"/>
      <c r="E2682" s="7"/>
      <c r="F2682" s="9" t="str">
        <f>IFERROR(__xludf.DUMMYFUNCTION("""COMPUTED_VALUE"""),"")</f>
        <v/>
      </c>
      <c r="G2682" s="7" t="str">
        <f>IFERROR(__xludf.DUMMYFUNCTION("""COMPUTED_VALUE"""),"BN Jual Beli")</f>
        <v>BN Jual Beli</v>
      </c>
      <c r="H2682" s="7">
        <f t="shared" si="1"/>
        <v>1029</v>
      </c>
    </row>
    <row r="2683" ht="22.5" customHeight="1">
      <c r="B2683" s="7" t="str">
        <f>IFERROR(__xludf.DUMMYFUNCTION("""COMPUTED_VALUE"""),"K/40/311224/1")</f>
        <v>K/40/311224/1</v>
      </c>
      <c r="C2683" s="7" t="str">
        <f>IFERROR(__xludf.DUMMYFUNCTION("""COMPUTED_VALUE"""),"M.2143/BAKUNG")</f>
        <v>M.2143/BAKUNG</v>
      </c>
      <c r="D2683" s="7"/>
      <c r="E2683" s="7"/>
      <c r="F2683" s="9" t="str">
        <f>IFERROR(__xludf.DUMMYFUNCTION("""COMPUTED_VALUE"""),"")</f>
        <v/>
      </c>
      <c r="G2683" s="7" t="str">
        <f>IFERROR(__xludf.DUMMYFUNCTION("""COMPUTED_VALUE"""),"BN JUAL BELI")</f>
        <v>BN JUAL BELI</v>
      </c>
      <c r="H2683" s="7">
        <f t="shared" si="1"/>
        <v>1029</v>
      </c>
    </row>
    <row r="2684" ht="22.5" customHeight="1">
      <c r="B2684" s="7" t="str">
        <f>IFERROR(__xludf.DUMMYFUNCTION("""COMPUTED_VALUE"""),"K/38/311224/2")</f>
        <v>K/38/311224/2</v>
      </c>
      <c r="C2684" s="7" t="str">
        <f>IFERROR(__xludf.DUMMYFUNCTION("""COMPUTED_VALUE"""),"M. 968/ Labuhan Dalam")</f>
        <v>M. 968/ Labuhan Dalam</v>
      </c>
      <c r="D2684" s="7"/>
      <c r="E2684" s="7"/>
      <c r="F2684" s="9" t="str">
        <f>IFERROR(__xludf.DUMMYFUNCTION("""COMPUTED_VALUE"""),"")</f>
        <v/>
      </c>
      <c r="G2684" s="7" t="str">
        <f>IFERROR(__xludf.DUMMYFUNCTION("""COMPUTED_VALUE"""),"BN Jual Beli")</f>
        <v>BN Jual Beli</v>
      </c>
      <c r="H2684" s="7">
        <f t="shared" si="1"/>
        <v>1029</v>
      </c>
    </row>
    <row r="2685" ht="22.5" customHeight="1">
      <c r="B2685" s="7" t="str">
        <f>IFERROR(__xludf.DUMMYFUNCTION("""COMPUTED_VALUE"""),"K/39/311224/3")</f>
        <v>K/39/311224/3</v>
      </c>
      <c r="C2685" s="7" t="str">
        <f>IFERROR(__xludf.DUMMYFUNCTION("""COMPUTED_VALUE"""),"M. 1553/ Labuhan Dalam")</f>
        <v>M. 1553/ Labuhan Dalam</v>
      </c>
      <c r="D2685" s="7"/>
      <c r="E2685" s="7"/>
      <c r="F2685" s="9" t="str">
        <f>IFERROR(__xludf.DUMMYFUNCTION("""COMPUTED_VALUE"""),"")</f>
        <v/>
      </c>
      <c r="G2685" s="7" t="str">
        <f>IFERROR(__xludf.DUMMYFUNCTION("""COMPUTED_VALUE"""),"BN Jual Beli")</f>
        <v>BN Jual Beli</v>
      </c>
      <c r="H2685" s="7">
        <f t="shared" si="1"/>
        <v>1029</v>
      </c>
    </row>
    <row r="2686" ht="22.5" customHeight="1">
      <c r="B2686" s="7" t="str">
        <f>IFERROR(__xludf.DUMMYFUNCTION("""COMPUTED_VALUE"""),"K/41/311224/1")</f>
        <v>K/41/311224/1</v>
      </c>
      <c r="C2686" s="7" t="str">
        <f>IFERROR(__xludf.DUMMYFUNCTION("""COMPUTED_VALUE"""),"M. 1363/ kali Balau Kencana")</f>
        <v>M. 1363/ kali Balau Kencana</v>
      </c>
      <c r="D2686" s="7"/>
      <c r="E2686" s="7"/>
      <c r="F2686" s="9" t="str">
        <f>IFERROR(__xludf.DUMMYFUNCTION("""COMPUTED_VALUE"""),"")</f>
        <v/>
      </c>
      <c r="G2686" s="7" t="str">
        <f>IFERROR(__xludf.DUMMYFUNCTION("""COMPUTED_VALUE"""),"BN JUAL BELI")</f>
        <v>BN JUAL BELI</v>
      </c>
      <c r="H2686" s="7">
        <f t="shared" si="1"/>
        <v>1029</v>
      </c>
    </row>
    <row r="2687" ht="22.5" customHeight="1">
      <c r="B2687" s="7" t="str">
        <f>IFERROR(__xludf.DUMMYFUNCTION("""COMPUTED_VALUE"""),"")</f>
        <v/>
      </c>
      <c r="C2687" s="7" t="str">
        <f>IFERROR(__xludf.DUMMYFUNCTION("""COMPUTED_VALUE"""),"")</f>
        <v/>
      </c>
      <c r="D2687" s="7"/>
      <c r="E2687" s="7"/>
      <c r="F2687" s="9" t="str">
        <f>IFERROR(__xludf.DUMMYFUNCTION("""COMPUTED_VALUE"""),"")</f>
        <v/>
      </c>
      <c r="G2687" s="7" t="str">
        <f>IFERROR(__xludf.DUMMYFUNCTION("""COMPUTED_VALUE"""),"")</f>
        <v/>
      </c>
      <c r="H2687" s="7">
        <f t="shared" si="1"/>
        <v>1029</v>
      </c>
    </row>
    <row r="2688" ht="22.5" customHeight="1">
      <c r="B2688" s="7" t="str">
        <f>IFERROR(__xludf.DUMMYFUNCTION("""COMPUTED_VALUE"""),"")</f>
        <v/>
      </c>
      <c r="C2688" s="7" t="str">
        <f>IFERROR(__xludf.DUMMYFUNCTION("""COMPUTED_VALUE"""),"")</f>
        <v/>
      </c>
      <c r="D2688" s="7"/>
      <c r="E2688" s="7"/>
      <c r="F2688" s="9" t="str">
        <f>IFERROR(__xludf.DUMMYFUNCTION("""COMPUTED_VALUE"""),"")</f>
        <v/>
      </c>
      <c r="G2688" s="7" t="str">
        <f>IFERROR(__xludf.DUMMYFUNCTION("""COMPUTED_VALUE"""),"")</f>
        <v/>
      </c>
      <c r="H2688" s="7">
        <f t="shared" si="1"/>
        <v>1029</v>
      </c>
    </row>
    <row r="2689" ht="22.5" customHeight="1">
      <c r="B2689" s="7" t="str">
        <f>IFERROR(__xludf.DUMMYFUNCTION("""COMPUTED_VALUE"""),"")</f>
        <v/>
      </c>
      <c r="C2689" s="7" t="str">
        <f>IFERROR(__xludf.DUMMYFUNCTION("""COMPUTED_VALUE"""),"")</f>
        <v/>
      </c>
      <c r="D2689" s="7"/>
      <c r="E2689" s="7"/>
      <c r="F2689" s="9" t="str">
        <f>IFERROR(__xludf.DUMMYFUNCTION("""COMPUTED_VALUE"""),"")</f>
        <v/>
      </c>
      <c r="G2689" s="7" t="str">
        <f>IFERROR(__xludf.DUMMYFUNCTION("""COMPUTED_VALUE"""),"")</f>
        <v/>
      </c>
      <c r="H2689" s="7">
        <f t="shared" si="1"/>
        <v>1029</v>
      </c>
    </row>
    <row r="2690" ht="22.5" customHeight="1">
      <c r="B2690" s="7" t="str">
        <f>IFERROR(__xludf.DUMMYFUNCTION("""COMPUTED_VALUE"""),"")</f>
        <v/>
      </c>
      <c r="C2690" s="7" t="str">
        <f>IFERROR(__xludf.DUMMYFUNCTION("""COMPUTED_VALUE"""),"")</f>
        <v/>
      </c>
      <c r="D2690" s="7"/>
      <c r="E2690" s="7"/>
      <c r="F2690" s="9" t="str">
        <f>IFERROR(__xludf.DUMMYFUNCTION("""COMPUTED_VALUE"""),"")</f>
        <v/>
      </c>
      <c r="G2690" s="7" t="str">
        <f>IFERROR(__xludf.DUMMYFUNCTION("""COMPUTED_VALUE"""),"")</f>
        <v/>
      </c>
      <c r="H2690" s="7">
        <f t="shared" si="1"/>
        <v>1029</v>
      </c>
    </row>
    <row r="2691" ht="22.5" customHeight="1">
      <c r="B2691" s="7" t="str">
        <f>IFERROR(__xludf.DUMMYFUNCTION("""COMPUTED_VALUE"""),"")</f>
        <v/>
      </c>
      <c r="C2691" s="7" t="str">
        <f>IFERROR(__xludf.DUMMYFUNCTION("""COMPUTED_VALUE"""),"")</f>
        <v/>
      </c>
      <c r="D2691" s="7"/>
      <c r="E2691" s="7"/>
      <c r="F2691" s="9" t="str">
        <f>IFERROR(__xludf.DUMMYFUNCTION("""COMPUTED_VALUE"""),"")</f>
        <v/>
      </c>
      <c r="G2691" s="7" t="str">
        <f>IFERROR(__xludf.DUMMYFUNCTION("""COMPUTED_VALUE"""),"")</f>
        <v/>
      </c>
      <c r="H2691" s="7">
        <f t="shared" si="1"/>
        <v>1029</v>
      </c>
    </row>
    <row r="2692" ht="22.5" customHeight="1">
      <c r="B2692" s="7" t="str">
        <f>IFERROR(__xludf.DUMMYFUNCTION("""COMPUTED_VALUE"""),"")</f>
        <v/>
      </c>
      <c r="C2692" s="7" t="str">
        <f>IFERROR(__xludf.DUMMYFUNCTION("""COMPUTED_VALUE"""),"")</f>
        <v/>
      </c>
      <c r="D2692" s="7"/>
      <c r="E2692" s="7"/>
      <c r="F2692" s="9" t="str">
        <f>IFERROR(__xludf.DUMMYFUNCTION("""COMPUTED_VALUE"""),"")</f>
        <v/>
      </c>
      <c r="G2692" s="7" t="str">
        <f>IFERROR(__xludf.DUMMYFUNCTION("""COMPUTED_VALUE"""),"")</f>
        <v/>
      </c>
      <c r="H2692" s="7">
        <f t="shared" si="1"/>
        <v>1029</v>
      </c>
    </row>
    <row r="2693" ht="22.5" customHeight="1">
      <c r="B2693" s="7" t="str">
        <f>IFERROR(__xludf.DUMMYFUNCTION("""COMPUTED_VALUE"""),"")</f>
        <v/>
      </c>
      <c r="C2693" s="7" t="str">
        <f>IFERROR(__xludf.DUMMYFUNCTION("""COMPUTED_VALUE"""),"")</f>
        <v/>
      </c>
      <c r="D2693" s="7"/>
      <c r="E2693" s="7"/>
      <c r="F2693" s="9" t="str">
        <f>IFERROR(__xludf.DUMMYFUNCTION("""COMPUTED_VALUE"""),"")</f>
        <v/>
      </c>
      <c r="G2693" s="7" t="str">
        <f>IFERROR(__xludf.DUMMYFUNCTION("""COMPUTED_VALUE"""),"")</f>
        <v/>
      </c>
      <c r="H2693" s="7">
        <f t="shared" si="1"/>
        <v>1029</v>
      </c>
    </row>
    <row r="2694" ht="22.5" customHeight="1">
      <c r="B2694" s="7" t="str">
        <f>IFERROR(__xludf.DUMMYFUNCTION("""COMPUTED_VALUE"""),"")</f>
        <v/>
      </c>
      <c r="C2694" s="7" t="str">
        <f>IFERROR(__xludf.DUMMYFUNCTION("""COMPUTED_VALUE"""),"")</f>
        <v/>
      </c>
      <c r="D2694" s="7"/>
      <c r="E2694" s="7"/>
      <c r="F2694" s="9" t="str">
        <f>IFERROR(__xludf.DUMMYFUNCTION("""COMPUTED_VALUE"""),"")</f>
        <v/>
      </c>
      <c r="G2694" s="7" t="str">
        <f>IFERROR(__xludf.DUMMYFUNCTION("""COMPUTED_VALUE"""),"")</f>
        <v/>
      </c>
      <c r="H2694" s="7">
        <f t="shared" si="1"/>
        <v>1029</v>
      </c>
    </row>
    <row r="2695" ht="22.5" customHeight="1">
      <c r="B2695" s="7" t="str">
        <f>IFERROR(__xludf.DUMMYFUNCTION("""COMPUTED_VALUE"""),"")</f>
        <v/>
      </c>
      <c r="C2695" s="7" t="str">
        <f>IFERROR(__xludf.DUMMYFUNCTION("""COMPUTED_VALUE"""),"")</f>
        <v/>
      </c>
      <c r="D2695" s="7"/>
      <c r="E2695" s="7"/>
      <c r="F2695" s="9" t="str">
        <f>IFERROR(__xludf.DUMMYFUNCTION("""COMPUTED_VALUE"""),"")</f>
        <v/>
      </c>
      <c r="G2695" s="7" t="str">
        <f>IFERROR(__xludf.DUMMYFUNCTION("""COMPUTED_VALUE"""),"")</f>
        <v/>
      </c>
      <c r="H2695" s="7">
        <f t="shared" si="1"/>
        <v>1029</v>
      </c>
    </row>
    <row r="2696" ht="22.5" customHeight="1">
      <c r="B2696" s="7" t="str">
        <f>IFERROR(__xludf.DUMMYFUNCTION("""COMPUTED_VALUE"""),"")</f>
        <v/>
      </c>
      <c r="C2696" s="7" t="str">
        <f>IFERROR(__xludf.DUMMYFUNCTION("""COMPUTED_VALUE"""),"")</f>
        <v/>
      </c>
      <c r="D2696" s="7"/>
      <c r="E2696" s="7"/>
      <c r="F2696" s="9" t="str">
        <f>IFERROR(__xludf.DUMMYFUNCTION("""COMPUTED_VALUE"""),"")</f>
        <v/>
      </c>
      <c r="G2696" s="7" t="str">
        <f>IFERROR(__xludf.DUMMYFUNCTION("""COMPUTED_VALUE"""),"")</f>
        <v/>
      </c>
      <c r="H2696" s="7">
        <f t="shared" si="1"/>
        <v>1029</v>
      </c>
    </row>
    <row r="2697" ht="22.5" customHeight="1">
      <c r="B2697" s="7" t="str">
        <f>IFERROR(__xludf.DUMMYFUNCTION("""COMPUTED_VALUE"""),"")</f>
        <v/>
      </c>
      <c r="C2697" s="7" t="str">
        <f>IFERROR(__xludf.DUMMYFUNCTION("""COMPUTED_VALUE"""),"")</f>
        <v/>
      </c>
      <c r="D2697" s="7"/>
      <c r="E2697" s="7"/>
      <c r="F2697" s="9" t="str">
        <f>IFERROR(__xludf.DUMMYFUNCTION("""COMPUTED_VALUE"""),"")</f>
        <v/>
      </c>
      <c r="G2697" s="7" t="str">
        <f>IFERROR(__xludf.DUMMYFUNCTION("""COMPUTED_VALUE"""),"")</f>
        <v/>
      </c>
      <c r="H2697" s="7">
        <f t="shared" si="1"/>
        <v>1029</v>
      </c>
    </row>
    <row r="2698" ht="22.5" customHeight="1">
      <c r="B2698" s="7" t="str">
        <f>IFERROR(__xludf.DUMMYFUNCTION("""COMPUTED_VALUE"""),"")</f>
        <v/>
      </c>
      <c r="C2698" s="7" t="str">
        <f>IFERROR(__xludf.DUMMYFUNCTION("""COMPUTED_VALUE"""),"")</f>
        <v/>
      </c>
      <c r="D2698" s="7"/>
      <c r="E2698" s="7"/>
      <c r="F2698" s="9" t="str">
        <f>IFERROR(__xludf.DUMMYFUNCTION("""COMPUTED_VALUE"""),"")</f>
        <v/>
      </c>
      <c r="G2698" s="7" t="str">
        <f>IFERROR(__xludf.DUMMYFUNCTION("""COMPUTED_VALUE"""),"")</f>
        <v/>
      </c>
      <c r="H2698" s="7">
        <f t="shared" si="1"/>
        <v>1029</v>
      </c>
    </row>
    <row r="2699" ht="22.5" customHeight="1">
      <c r="B2699" s="7" t="str">
        <f>IFERROR(__xludf.DUMMYFUNCTION("""COMPUTED_VALUE"""),"")</f>
        <v/>
      </c>
      <c r="C2699" s="7" t="str">
        <f>IFERROR(__xludf.DUMMYFUNCTION("""COMPUTED_VALUE"""),"")</f>
        <v/>
      </c>
      <c r="D2699" s="7"/>
      <c r="E2699" s="7"/>
      <c r="F2699" s="9" t="str">
        <f>IFERROR(__xludf.DUMMYFUNCTION("""COMPUTED_VALUE"""),"")</f>
        <v/>
      </c>
      <c r="G2699" s="7" t="str">
        <f>IFERROR(__xludf.DUMMYFUNCTION("""COMPUTED_VALUE"""),"")</f>
        <v/>
      </c>
      <c r="H2699" s="7">
        <f t="shared" si="1"/>
        <v>1029</v>
      </c>
    </row>
    <row r="2700" ht="22.5" customHeight="1">
      <c r="B2700" s="7" t="str">
        <f>IFERROR(__xludf.DUMMYFUNCTION("""COMPUTED_VALUE"""),"")</f>
        <v/>
      </c>
      <c r="C2700" s="7" t="str">
        <f>IFERROR(__xludf.DUMMYFUNCTION("""COMPUTED_VALUE"""),"")</f>
        <v/>
      </c>
      <c r="D2700" s="7"/>
      <c r="E2700" s="7"/>
      <c r="F2700" s="9" t="str">
        <f>IFERROR(__xludf.DUMMYFUNCTION("""COMPUTED_VALUE"""),"")</f>
        <v/>
      </c>
      <c r="G2700" s="7" t="str">
        <f>IFERROR(__xludf.DUMMYFUNCTION("""COMPUTED_VALUE"""),"")</f>
        <v/>
      </c>
      <c r="H2700" s="7">
        <f t="shared" si="1"/>
        <v>1029</v>
      </c>
    </row>
    <row r="2701" ht="22.5" customHeight="1">
      <c r="B2701" s="7" t="str">
        <f>IFERROR(__xludf.DUMMYFUNCTION("""COMPUTED_VALUE"""),"")</f>
        <v/>
      </c>
      <c r="C2701" s="7" t="str">
        <f>IFERROR(__xludf.DUMMYFUNCTION("""COMPUTED_VALUE"""),"")</f>
        <v/>
      </c>
      <c r="D2701" s="7"/>
      <c r="E2701" s="7"/>
      <c r="F2701" s="9" t="str">
        <f>IFERROR(__xludf.DUMMYFUNCTION("""COMPUTED_VALUE"""),"")</f>
        <v/>
      </c>
      <c r="G2701" s="7" t="str">
        <f>IFERROR(__xludf.DUMMYFUNCTION("""COMPUTED_VALUE"""),"")</f>
        <v/>
      </c>
      <c r="H2701" s="7">
        <f t="shared" si="1"/>
        <v>1029</v>
      </c>
    </row>
    <row r="2702" ht="22.5" customHeight="1">
      <c r="B2702" s="7" t="str">
        <f>IFERROR(__xludf.DUMMYFUNCTION("""COMPUTED_VALUE"""),"")</f>
        <v/>
      </c>
      <c r="C2702" s="7" t="str">
        <f>IFERROR(__xludf.DUMMYFUNCTION("""COMPUTED_VALUE"""),"")</f>
        <v/>
      </c>
      <c r="D2702" s="7"/>
      <c r="E2702" s="7"/>
      <c r="F2702" s="9" t="str">
        <f>IFERROR(__xludf.DUMMYFUNCTION("""COMPUTED_VALUE"""),"")</f>
        <v/>
      </c>
      <c r="G2702" s="7" t="str">
        <f>IFERROR(__xludf.DUMMYFUNCTION("""COMPUTED_VALUE"""),"")</f>
        <v/>
      </c>
      <c r="H2702" s="7">
        <f t="shared" si="1"/>
        <v>1029</v>
      </c>
    </row>
    <row r="2703" ht="22.5" customHeight="1">
      <c r="B2703" s="7" t="str">
        <f>IFERROR(__xludf.DUMMYFUNCTION("""COMPUTED_VALUE"""),"")</f>
        <v/>
      </c>
      <c r="C2703" s="7" t="str">
        <f>IFERROR(__xludf.DUMMYFUNCTION("""COMPUTED_VALUE"""),"")</f>
        <v/>
      </c>
      <c r="D2703" s="7"/>
      <c r="E2703" s="7"/>
      <c r="F2703" s="9" t="str">
        <f>IFERROR(__xludf.DUMMYFUNCTION("""COMPUTED_VALUE"""),"")</f>
        <v/>
      </c>
      <c r="G2703" s="7" t="str">
        <f>IFERROR(__xludf.DUMMYFUNCTION("""COMPUTED_VALUE"""),"")</f>
        <v/>
      </c>
      <c r="H2703" s="7">
        <f t="shared" si="1"/>
        <v>1029</v>
      </c>
    </row>
    <row r="2704" ht="22.5" customHeight="1">
      <c r="B2704" s="7" t="str">
        <f>IFERROR(__xludf.DUMMYFUNCTION("""COMPUTED_VALUE"""),"")</f>
        <v/>
      </c>
      <c r="C2704" s="7" t="str">
        <f>IFERROR(__xludf.DUMMYFUNCTION("""COMPUTED_VALUE"""),"")</f>
        <v/>
      </c>
      <c r="D2704" s="7"/>
      <c r="E2704" s="7"/>
      <c r="F2704" s="9" t="str">
        <f>IFERROR(__xludf.DUMMYFUNCTION("""COMPUTED_VALUE"""),"")</f>
        <v/>
      </c>
      <c r="G2704" s="7" t="str">
        <f>IFERROR(__xludf.DUMMYFUNCTION("""COMPUTED_VALUE"""),"")</f>
        <v/>
      </c>
      <c r="H2704" s="7">
        <f t="shared" si="1"/>
        <v>1029</v>
      </c>
    </row>
    <row r="2705" ht="22.5" customHeight="1">
      <c r="B2705" s="7" t="str">
        <f>IFERROR(__xludf.DUMMYFUNCTION("""COMPUTED_VALUE"""),"")</f>
        <v/>
      </c>
      <c r="C2705" s="7" t="str">
        <f>IFERROR(__xludf.DUMMYFUNCTION("""COMPUTED_VALUE"""),"")</f>
        <v/>
      </c>
      <c r="D2705" s="7"/>
      <c r="E2705" s="7"/>
      <c r="F2705" s="9" t="str">
        <f>IFERROR(__xludf.DUMMYFUNCTION("""COMPUTED_VALUE"""),"")</f>
        <v/>
      </c>
      <c r="G2705" s="7" t="str">
        <f>IFERROR(__xludf.DUMMYFUNCTION("""COMPUTED_VALUE"""),"")</f>
        <v/>
      </c>
      <c r="H2705" s="7">
        <f t="shared" si="1"/>
        <v>1029</v>
      </c>
    </row>
    <row r="2706" ht="22.5" customHeight="1">
      <c r="B2706" s="7" t="str">
        <f>IFERROR(__xludf.DUMMYFUNCTION("""COMPUTED_VALUE"""),"")</f>
        <v/>
      </c>
      <c r="C2706" s="7" t="str">
        <f>IFERROR(__xludf.DUMMYFUNCTION("""COMPUTED_VALUE"""),"")</f>
        <v/>
      </c>
      <c r="D2706" s="7"/>
      <c r="E2706" s="7"/>
      <c r="F2706" s="9" t="str">
        <f>IFERROR(__xludf.DUMMYFUNCTION("""COMPUTED_VALUE"""),"")</f>
        <v/>
      </c>
      <c r="G2706" s="7" t="str">
        <f>IFERROR(__xludf.DUMMYFUNCTION("""COMPUTED_VALUE"""),"")</f>
        <v/>
      </c>
      <c r="H2706" s="7">
        <f t="shared" si="1"/>
        <v>1029</v>
      </c>
    </row>
    <row r="2707" ht="22.5" customHeight="1">
      <c r="B2707" s="7" t="str">
        <f>IFERROR(__xludf.DUMMYFUNCTION("""COMPUTED_VALUE"""),"")</f>
        <v/>
      </c>
      <c r="C2707" s="7" t="str">
        <f>IFERROR(__xludf.DUMMYFUNCTION("""COMPUTED_VALUE"""),"")</f>
        <v/>
      </c>
      <c r="D2707" s="7"/>
      <c r="E2707" s="7"/>
      <c r="F2707" s="9" t="str">
        <f>IFERROR(__xludf.DUMMYFUNCTION("""COMPUTED_VALUE"""),"")</f>
        <v/>
      </c>
      <c r="G2707" s="7" t="str">
        <f>IFERROR(__xludf.DUMMYFUNCTION("""COMPUTED_VALUE"""),"")</f>
        <v/>
      </c>
      <c r="H2707" s="7">
        <f t="shared" si="1"/>
        <v>1029</v>
      </c>
    </row>
    <row r="2708" ht="22.5" customHeight="1">
      <c r="B2708" s="7" t="str">
        <f>IFERROR(__xludf.DUMMYFUNCTION("""COMPUTED_VALUE"""),"")</f>
        <v/>
      </c>
      <c r="C2708" s="7" t="str">
        <f>IFERROR(__xludf.DUMMYFUNCTION("""COMPUTED_VALUE"""),"")</f>
        <v/>
      </c>
      <c r="D2708" s="7"/>
      <c r="E2708" s="7"/>
      <c r="F2708" s="9" t="str">
        <f>IFERROR(__xludf.DUMMYFUNCTION("""COMPUTED_VALUE"""),"")</f>
        <v/>
      </c>
      <c r="G2708" s="7" t="str">
        <f>IFERROR(__xludf.DUMMYFUNCTION("""COMPUTED_VALUE"""),"")</f>
        <v/>
      </c>
      <c r="H2708" s="7">
        <f t="shared" si="1"/>
        <v>1029</v>
      </c>
    </row>
    <row r="2709" ht="22.5" customHeight="1">
      <c r="B2709" s="7" t="str">
        <f>IFERROR(__xludf.DUMMYFUNCTION("""COMPUTED_VALUE"""),"")</f>
        <v/>
      </c>
      <c r="C2709" s="7" t="str">
        <f>IFERROR(__xludf.DUMMYFUNCTION("""COMPUTED_VALUE"""),"")</f>
        <v/>
      </c>
      <c r="D2709" s="7"/>
      <c r="E2709" s="7"/>
      <c r="F2709" s="9" t="str">
        <f>IFERROR(__xludf.DUMMYFUNCTION("""COMPUTED_VALUE"""),"")</f>
        <v/>
      </c>
      <c r="G2709" s="7" t="str">
        <f>IFERROR(__xludf.DUMMYFUNCTION("""COMPUTED_VALUE"""),"")</f>
        <v/>
      </c>
      <c r="H2709" s="7">
        <f t="shared" si="1"/>
        <v>1029</v>
      </c>
    </row>
    <row r="2710" ht="22.5" customHeight="1">
      <c r="B2710" s="7" t="str">
        <f>IFERROR(__xludf.DUMMYFUNCTION("""COMPUTED_VALUE"""),"")</f>
        <v/>
      </c>
      <c r="C2710" s="7" t="str">
        <f>IFERROR(__xludf.DUMMYFUNCTION("""COMPUTED_VALUE"""),"")</f>
        <v/>
      </c>
      <c r="D2710" s="7"/>
      <c r="E2710" s="7"/>
      <c r="F2710" s="9" t="str">
        <f>IFERROR(__xludf.DUMMYFUNCTION("""COMPUTED_VALUE"""),"")</f>
        <v/>
      </c>
      <c r="G2710" s="7" t="str">
        <f>IFERROR(__xludf.DUMMYFUNCTION("""COMPUTED_VALUE"""),"")</f>
        <v/>
      </c>
      <c r="H2710" s="7">
        <f t="shared" si="1"/>
        <v>1029</v>
      </c>
    </row>
    <row r="2711" ht="22.5" customHeight="1">
      <c r="B2711" s="7" t="str">
        <f>IFERROR(__xludf.DUMMYFUNCTION("""COMPUTED_VALUE"""),"")</f>
        <v/>
      </c>
      <c r="C2711" s="7" t="str">
        <f>IFERROR(__xludf.DUMMYFUNCTION("""COMPUTED_VALUE"""),"")</f>
        <v/>
      </c>
      <c r="D2711" s="7"/>
      <c r="E2711" s="7"/>
      <c r="F2711" s="9" t="str">
        <f>IFERROR(__xludf.DUMMYFUNCTION("""COMPUTED_VALUE"""),"")</f>
        <v/>
      </c>
      <c r="G2711" s="7" t="str">
        <f>IFERROR(__xludf.DUMMYFUNCTION("""COMPUTED_VALUE"""),"")</f>
        <v/>
      </c>
      <c r="H2711" s="7">
        <f t="shared" si="1"/>
        <v>1029</v>
      </c>
    </row>
    <row r="2712" ht="22.5" customHeight="1">
      <c r="B2712" s="7" t="str">
        <f>IFERROR(__xludf.DUMMYFUNCTION("""COMPUTED_VALUE"""),"")</f>
        <v/>
      </c>
      <c r="C2712" s="7" t="str">
        <f>IFERROR(__xludf.DUMMYFUNCTION("""COMPUTED_VALUE"""),"")</f>
        <v/>
      </c>
      <c r="D2712" s="7"/>
      <c r="E2712" s="7"/>
      <c r="F2712" s="9" t="str">
        <f>IFERROR(__xludf.DUMMYFUNCTION("""COMPUTED_VALUE"""),"")</f>
        <v/>
      </c>
      <c r="G2712" s="7" t="str">
        <f>IFERROR(__xludf.DUMMYFUNCTION("""COMPUTED_VALUE"""),"")</f>
        <v/>
      </c>
      <c r="H2712" s="7">
        <f t="shared" si="1"/>
        <v>1029</v>
      </c>
    </row>
    <row r="2713" ht="22.5" customHeight="1">
      <c r="B2713" s="7" t="str">
        <f>IFERROR(__xludf.DUMMYFUNCTION("""COMPUTED_VALUE"""),"")</f>
        <v/>
      </c>
      <c r="C2713" s="7" t="str">
        <f>IFERROR(__xludf.DUMMYFUNCTION("""COMPUTED_VALUE"""),"")</f>
        <v/>
      </c>
      <c r="D2713" s="7"/>
      <c r="E2713" s="7"/>
      <c r="F2713" s="9" t="str">
        <f>IFERROR(__xludf.DUMMYFUNCTION("""COMPUTED_VALUE"""),"")</f>
        <v/>
      </c>
      <c r="G2713" s="7" t="str">
        <f>IFERROR(__xludf.DUMMYFUNCTION("""COMPUTED_VALUE"""),"")</f>
        <v/>
      </c>
      <c r="H2713" s="7">
        <f t="shared" si="1"/>
        <v>1029</v>
      </c>
    </row>
    <row r="2714" ht="22.5" customHeight="1">
      <c r="B2714" s="7" t="str">
        <f>IFERROR(__xludf.DUMMYFUNCTION("""COMPUTED_VALUE"""),"")</f>
        <v/>
      </c>
      <c r="C2714" s="7" t="str">
        <f>IFERROR(__xludf.DUMMYFUNCTION("""COMPUTED_VALUE"""),"")</f>
        <v/>
      </c>
      <c r="D2714" s="7"/>
      <c r="E2714" s="7"/>
      <c r="F2714" s="9" t="str">
        <f>IFERROR(__xludf.DUMMYFUNCTION("""COMPUTED_VALUE"""),"")</f>
        <v/>
      </c>
      <c r="G2714" s="7" t="str">
        <f>IFERROR(__xludf.DUMMYFUNCTION("""COMPUTED_VALUE"""),"")</f>
        <v/>
      </c>
      <c r="H2714" s="7">
        <f t="shared" si="1"/>
        <v>1029</v>
      </c>
    </row>
    <row r="2715" ht="22.5" customHeight="1">
      <c r="B2715" s="7" t="str">
        <f>IFERROR(__xludf.DUMMYFUNCTION("""COMPUTED_VALUE"""),"")</f>
        <v/>
      </c>
      <c r="C2715" s="7" t="str">
        <f>IFERROR(__xludf.DUMMYFUNCTION("""COMPUTED_VALUE"""),"")</f>
        <v/>
      </c>
      <c r="D2715" s="7"/>
      <c r="E2715" s="7"/>
      <c r="F2715" s="9" t="str">
        <f>IFERROR(__xludf.DUMMYFUNCTION("""COMPUTED_VALUE"""),"")</f>
        <v/>
      </c>
      <c r="G2715" s="7" t="str">
        <f>IFERROR(__xludf.DUMMYFUNCTION("""COMPUTED_VALUE"""),"")</f>
        <v/>
      </c>
      <c r="H2715" s="7">
        <f t="shared" si="1"/>
        <v>1029</v>
      </c>
    </row>
    <row r="2716" ht="22.5" customHeight="1">
      <c r="B2716" s="7" t="str">
        <f>IFERROR(__xludf.DUMMYFUNCTION("""COMPUTED_VALUE"""),"")</f>
        <v/>
      </c>
      <c r="C2716" s="7" t="str">
        <f>IFERROR(__xludf.DUMMYFUNCTION("""COMPUTED_VALUE"""),"")</f>
        <v/>
      </c>
      <c r="D2716" s="7"/>
      <c r="E2716" s="7"/>
      <c r="F2716" s="9" t="str">
        <f>IFERROR(__xludf.DUMMYFUNCTION("""COMPUTED_VALUE"""),"")</f>
        <v/>
      </c>
      <c r="G2716" s="7" t="str">
        <f>IFERROR(__xludf.DUMMYFUNCTION("""COMPUTED_VALUE"""),"")</f>
        <v/>
      </c>
      <c r="H2716" s="7">
        <f t="shared" si="1"/>
        <v>1029</v>
      </c>
    </row>
    <row r="2717" ht="22.5" customHeight="1">
      <c r="B2717" s="7" t="str">
        <f>IFERROR(__xludf.DUMMYFUNCTION("""COMPUTED_VALUE"""),"")</f>
        <v/>
      </c>
      <c r="C2717" s="7" t="str">
        <f>IFERROR(__xludf.DUMMYFUNCTION("""COMPUTED_VALUE"""),"")</f>
        <v/>
      </c>
      <c r="D2717" s="7"/>
      <c r="E2717" s="7"/>
      <c r="F2717" s="9" t="str">
        <f>IFERROR(__xludf.DUMMYFUNCTION("""COMPUTED_VALUE"""),"")</f>
        <v/>
      </c>
      <c r="G2717" s="7" t="str">
        <f>IFERROR(__xludf.DUMMYFUNCTION("""COMPUTED_VALUE"""),"")</f>
        <v/>
      </c>
      <c r="H2717" s="7">
        <f t="shared" si="1"/>
        <v>1029</v>
      </c>
    </row>
    <row r="2718" ht="22.5" customHeight="1">
      <c r="B2718" s="7" t="str">
        <f>IFERROR(__xludf.DUMMYFUNCTION("""COMPUTED_VALUE"""),"")</f>
        <v/>
      </c>
      <c r="C2718" s="7" t="str">
        <f>IFERROR(__xludf.DUMMYFUNCTION("""COMPUTED_VALUE"""),"")</f>
        <v/>
      </c>
      <c r="D2718" s="7"/>
      <c r="E2718" s="7"/>
      <c r="F2718" s="9" t="str">
        <f>IFERROR(__xludf.DUMMYFUNCTION("""COMPUTED_VALUE"""),"")</f>
        <v/>
      </c>
      <c r="G2718" s="7" t="str">
        <f>IFERROR(__xludf.DUMMYFUNCTION("""COMPUTED_VALUE"""),"")</f>
        <v/>
      </c>
      <c r="H2718" s="7">
        <f t="shared" si="1"/>
        <v>1029</v>
      </c>
    </row>
    <row r="2719" ht="22.5" customHeight="1">
      <c r="B2719" s="7" t="str">
        <f>IFERROR(__xludf.DUMMYFUNCTION("""COMPUTED_VALUE"""),"")</f>
        <v/>
      </c>
      <c r="C2719" s="7" t="str">
        <f>IFERROR(__xludf.DUMMYFUNCTION("""COMPUTED_VALUE"""),"")</f>
        <v/>
      </c>
      <c r="D2719" s="7"/>
      <c r="E2719" s="7"/>
      <c r="F2719" s="9" t="str">
        <f>IFERROR(__xludf.DUMMYFUNCTION("""COMPUTED_VALUE"""),"")</f>
        <v/>
      </c>
      <c r="G2719" s="7" t="str">
        <f>IFERROR(__xludf.DUMMYFUNCTION("""COMPUTED_VALUE"""),"")</f>
        <v/>
      </c>
      <c r="H2719" s="7">
        <f t="shared" si="1"/>
        <v>1029</v>
      </c>
    </row>
    <row r="2720" ht="22.5" customHeight="1">
      <c r="B2720" s="7" t="str">
        <f>IFERROR(__xludf.DUMMYFUNCTION("""COMPUTED_VALUE"""),"")</f>
        <v/>
      </c>
      <c r="C2720" s="7" t="str">
        <f>IFERROR(__xludf.DUMMYFUNCTION("""COMPUTED_VALUE"""),"")</f>
        <v/>
      </c>
      <c r="D2720" s="7"/>
      <c r="E2720" s="7"/>
      <c r="F2720" s="9" t="str">
        <f>IFERROR(__xludf.DUMMYFUNCTION("""COMPUTED_VALUE"""),"")</f>
        <v/>
      </c>
      <c r="G2720" s="7" t="str">
        <f>IFERROR(__xludf.DUMMYFUNCTION("""COMPUTED_VALUE"""),"")</f>
        <v/>
      </c>
      <c r="H2720" s="7">
        <f t="shared" si="1"/>
        <v>1029</v>
      </c>
    </row>
    <row r="2721" ht="22.5" customHeight="1">
      <c r="B2721" s="7" t="str">
        <f>IFERROR(__xludf.DUMMYFUNCTION("""COMPUTED_VALUE"""),"")</f>
        <v/>
      </c>
      <c r="C2721" s="7" t="str">
        <f>IFERROR(__xludf.DUMMYFUNCTION("""COMPUTED_VALUE"""),"")</f>
        <v/>
      </c>
      <c r="D2721" s="7"/>
      <c r="E2721" s="7"/>
      <c r="F2721" s="9" t="str">
        <f>IFERROR(__xludf.DUMMYFUNCTION("""COMPUTED_VALUE"""),"")</f>
        <v/>
      </c>
      <c r="G2721" s="7" t="str">
        <f>IFERROR(__xludf.DUMMYFUNCTION("""COMPUTED_VALUE"""),"")</f>
        <v/>
      </c>
      <c r="H2721" s="7">
        <f t="shared" si="1"/>
        <v>1029</v>
      </c>
    </row>
    <row r="2722" ht="22.5" customHeight="1">
      <c r="B2722" s="7" t="str">
        <f>IFERROR(__xludf.DUMMYFUNCTION("""COMPUTED_VALUE"""),"")</f>
        <v/>
      </c>
      <c r="C2722" s="7" t="str">
        <f>IFERROR(__xludf.DUMMYFUNCTION("""COMPUTED_VALUE"""),"")</f>
        <v/>
      </c>
      <c r="D2722" s="7"/>
      <c r="E2722" s="7"/>
      <c r="F2722" s="9" t="str">
        <f>IFERROR(__xludf.DUMMYFUNCTION("""COMPUTED_VALUE"""),"")</f>
        <v/>
      </c>
      <c r="G2722" s="7" t="str">
        <f>IFERROR(__xludf.DUMMYFUNCTION("""COMPUTED_VALUE"""),"")</f>
        <v/>
      </c>
      <c r="H2722" s="7">
        <f t="shared" si="1"/>
        <v>1029</v>
      </c>
    </row>
    <row r="2723" ht="22.5" customHeight="1">
      <c r="B2723" s="7" t="str">
        <f>IFERROR(__xludf.DUMMYFUNCTION("""COMPUTED_VALUE"""),"")</f>
        <v/>
      </c>
      <c r="C2723" s="7" t="str">
        <f>IFERROR(__xludf.DUMMYFUNCTION("""COMPUTED_VALUE"""),"")</f>
        <v/>
      </c>
      <c r="D2723" s="7"/>
      <c r="E2723" s="7"/>
      <c r="F2723" s="9" t="str">
        <f>IFERROR(__xludf.DUMMYFUNCTION("""COMPUTED_VALUE"""),"")</f>
        <v/>
      </c>
      <c r="G2723" s="7" t="str">
        <f>IFERROR(__xludf.DUMMYFUNCTION("""COMPUTED_VALUE"""),"")</f>
        <v/>
      </c>
      <c r="H2723" s="7">
        <f t="shared" si="1"/>
        <v>1029</v>
      </c>
    </row>
    <row r="2724" ht="22.5" customHeight="1">
      <c r="B2724" s="7" t="str">
        <f>IFERROR(__xludf.DUMMYFUNCTION("""COMPUTED_VALUE"""),"")</f>
        <v/>
      </c>
      <c r="C2724" s="7" t="str">
        <f>IFERROR(__xludf.DUMMYFUNCTION("""COMPUTED_VALUE"""),"")</f>
        <v/>
      </c>
      <c r="D2724" s="7"/>
      <c r="E2724" s="7"/>
      <c r="F2724" s="9" t="str">
        <f>IFERROR(__xludf.DUMMYFUNCTION("""COMPUTED_VALUE"""),"")</f>
        <v/>
      </c>
      <c r="G2724" s="7" t="str">
        <f>IFERROR(__xludf.DUMMYFUNCTION("""COMPUTED_VALUE"""),"")</f>
        <v/>
      </c>
      <c r="H2724" s="7">
        <f t="shared" si="1"/>
        <v>1029</v>
      </c>
    </row>
    <row r="2725" ht="22.5" customHeight="1">
      <c r="B2725" s="7" t="str">
        <f>IFERROR(__xludf.DUMMYFUNCTION("""COMPUTED_VALUE"""),"")</f>
        <v/>
      </c>
      <c r="C2725" s="7" t="str">
        <f>IFERROR(__xludf.DUMMYFUNCTION("""COMPUTED_VALUE"""),"")</f>
        <v/>
      </c>
      <c r="D2725" s="7"/>
      <c r="E2725" s="7"/>
      <c r="F2725" s="9" t="str">
        <f>IFERROR(__xludf.DUMMYFUNCTION("""COMPUTED_VALUE"""),"")</f>
        <v/>
      </c>
      <c r="G2725" s="7" t="str">
        <f>IFERROR(__xludf.DUMMYFUNCTION("""COMPUTED_VALUE"""),"")</f>
        <v/>
      </c>
      <c r="H2725" s="7">
        <f t="shared" si="1"/>
        <v>1029</v>
      </c>
    </row>
    <row r="2726" ht="22.5" customHeight="1">
      <c r="B2726" s="7" t="str">
        <f>IFERROR(__xludf.DUMMYFUNCTION("""COMPUTED_VALUE"""),"")</f>
        <v/>
      </c>
      <c r="C2726" s="7" t="str">
        <f>IFERROR(__xludf.DUMMYFUNCTION("""COMPUTED_VALUE"""),"")</f>
        <v/>
      </c>
      <c r="D2726" s="7"/>
      <c r="E2726" s="7"/>
      <c r="F2726" s="9" t="str">
        <f>IFERROR(__xludf.DUMMYFUNCTION("""COMPUTED_VALUE"""),"")</f>
        <v/>
      </c>
      <c r="G2726" s="7" t="str">
        <f>IFERROR(__xludf.DUMMYFUNCTION("""COMPUTED_VALUE"""),"")</f>
        <v/>
      </c>
      <c r="H2726" s="7">
        <f t="shared" si="1"/>
        <v>1029</v>
      </c>
    </row>
    <row r="2727" ht="22.5" customHeight="1">
      <c r="B2727" s="7" t="str">
        <f>IFERROR(__xludf.DUMMYFUNCTION("""COMPUTED_VALUE"""),"")</f>
        <v/>
      </c>
      <c r="C2727" s="7" t="str">
        <f>IFERROR(__xludf.DUMMYFUNCTION("""COMPUTED_VALUE"""),"")</f>
        <v/>
      </c>
      <c r="D2727" s="7"/>
      <c r="E2727" s="7"/>
      <c r="F2727" s="9" t="str">
        <f>IFERROR(__xludf.DUMMYFUNCTION("""COMPUTED_VALUE"""),"")</f>
        <v/>
      </c>
      <c r="G2727" s="7" t="str">
        <f>IFERROR(__xludf.DUMMYFUNCTION("""COMPUTED_VALUE"""),"")</f>
        <v/>
      </c>
      <c r="H2727" s="7">
        <f t="shared" si="1"/>
        <v>1029</v>
      </c>
    </row>
    <row r="2728" ht="22.5" customHeight="1">
      <c r="B2728" s="7" t="str">
        <f>IFERROR(__xludf.DUMMYFUNCTION("""COMPUTED_VALUE"""),"")</f>
        <v/>
      </c>
      <c r="C2728" s="7" t="str">
        <f>IFERROR(__xludf.DUMMYFUNCTION("""COMPUTED_VALUE"""),"")</f>
        <v/>
      </c>
      <c r="D2728" s="7"/>
      <c r="E2728" s="7"/>
      <c r="F2728" s="9" t="str">
        <f>IFERROR(__xludf.DUMMYFUNCTION("""COMPUTED_VALUE"""),"")</f>
        <v/>
      </c>
      <c r="G2728" s="7" t="str">
        <f>IFERROR(__xludf.DUMMYFUNCTION("""COMPUTED_VALUE"""),"")</f>
        <v/>
      </c>
      <c r="H2728" s="7">
        <f t="shared" si="1"/>
        <v>1029</v>
      </c>
    </row>
    <row r="2729" ht="22.5" customHeight="1">
      <c r="B2729" s="7" t="str">
        <f>IFERROR(__xludf.DUMMYFUNCTION("""COMPUTED_VALUE"""),"")</f>
        <v/>
      </c>
      <c r="C2729" s="7" t="str">
        <f>IFERROR(__xludf.DUMMYFUNCTION("""COMPUTED_VALUE"""),"")</f>
        <v/>
      </c>
      <c r="D2729" s="7"/>
      <c r="E2729" s="7"/>
      <c r="F2729" s="9" t="str">
        <f>IFERROR(__xludf.DUMMYFUNCTION("""COMPUTED_VALUE"""),"")</f>
        <v/>
      </c>
      <c r="G2729" s="7" t="str">
        <f>IFERROR(__xludf.DUMMYFUNCTION("""COMPUTED_VALUE"""),"")</f>
        <v/>
      </c>
      <c r="H2729" s="7">
        <f t="shared" si="1"/>
        <v>1029</v>
      </c>
    </row>
    <row r="2730" ht="22.5" customHeight="1">
      <c r="B2730" s="7" t="str">
        <f>IFERROR(__xludf.DUMMYFUNCTION("""COMPUTED_VALUE"""),"")</f>
        <v/>
      </c>
      <c r="C2730" s="7" t="str">
        <f>IFERROR(__xludf.DUMMYFUNCTION("""COMPUTED_VALUE"""),"")</f>
        <v/>
      </c>
      <c r="D2730" s="7"/>
      <c r="E2730" s="7"/>
      <c r="F2730" s="9" t="str">
        <f>IFERROR(__xludf.DUMMYFUNCTION("""COMPUTED_VALUE"""),"")</f>
        <v/>
      </c>
      <c r="G2730" s="7" t="str">
        <f>IFERROR(__xludf.DUMMYFUNCTION("""COMPUTED_VALUE"""),"")</f>
        <v/>
      </c>
      <c r="H2730" s="7">
        <f t="shared" si="1"/>
        <v>1029</v>
      </c>
    </row>
    <row r="2731" ht="22.5" customHeight="1">
      <c r="B2731" s="7" t="str">
        <f>IFERROR(__xludf.DUMMYFUNCTION("""COMPUTED_VALUE"""),"")</f>
        <v/>
      </c>
      <c r="C2731" s="7" t="str">
        <f>IFERROR(__xludf.DUMMYFUNCTION("""COMPUTED_VALUE"""),"")</f>
        <v/>
      </c>
      <c r="D2731" s="7"/>
      <c r="E2731" s="7"/>
      <c r="F2731" s="9" t="str">
        <f>IFERROR(__xludf.DUMMYFUNCTION("""COMPUTED_VALUE"""),"")</f>
        <v/>
      </c>
      <c r="G2731" s="7" t="str">
        <f>IFERROR(__xludf.DUMMYFUNCTION("""COMPUTED_VALUE"""),"")</f>
        <v/>
      </c>
      <c r="H2731" s="7">
        <f t="shared" si="1"/>
        <v>1029</v>
      </c>
    </row>
    <row r="2732" ht="22.5" customHeight="1">
      <c r="B2732" s="7" t="str">
        <f>IFERROR(__xludf.DUMMYFUNCTION("""COMPUTED_VALUE"""),"")</f>
        <v/>
      </c>
      <c r="C2732" s="7" t="str">
        <f>IFERROR(__xludf.DUMMYFUNCTION("""COMPUTED_VALUE"""),"")</f>
        <v/>
      </c>
      <c r="D2732" s="7"/>
      <c r="E2732" s="7"/>
      <c r="F2732" s="9" t="str">
        <f>IFERROR(__xludf.DUMMYFUNCTION("""COMPUTED_VALUE"""),"")</f>
        <v/>
      </c>
      <c r="G2732" s="7" t="str">
        <f>IFERROR(__xludf.DUMMYFUNCTION("""COMPUTED_VALUE"""),"")</f>
        <v/>
      </c>
      <c r="H2732" s="7">
        <f t="shared" si="1"/>
        <v>1029</v>
      </c>
    </row>
    <row r="2733" ht="22.5" customHeight="1">
      <c r="B2733" s="7" t="str">
        <f>IFERROR(__xludf.DUMMYFUNCTION("""COMPUTED_VALUE"""),"")</f>
        <v/>
      </c>
      <c r="C2733" s="7" t="str">
        <f>IFERROR(__xludf.DUMMYFUNCTION("""COMPUTED_VALUE"""),"")</f>
        <v/>
      </c>
      <c r="D2733" s="7"/>
      <c r="E2733" s="7"/>
      <c r="F2733" s="9" t="str">
        <f>IFERROR(__xludf.DUMMYFUNCTION("""COMPUTED_VALUE"""),"")</f>
        <v/>
      </c>
      <c r="G2733" s="7" t="str">
        <f>IFERROR(__xludf.DUMMYFUNCTION("""COMPUTED_VALUE"""),"")</f>
        <v/>
      </c>
      <c r="H2733" s="7">
        <f t="shared" si="1"/>
        <v>1029</v>
      </c>
    </row>
    <row r="2734" ht="22.5" customHeight="1">
      <c r="B2734" s="7" t="str">
        <f>IFERROR(__xludf.DUMMYFUNCTION("""COMPUTED_VALUE"""),"")</f>
        <v/>
      </c>
      <c r="C2734" s="7" t="str">
        <f>IFERROR(__xludf.DUMMYFUNCTION("""COMPUTED_VALUE"""),"")</f>
        <v/>
      </c>
      <c r="D2734" s="7"/>
      <c r="E2734" s="7"/>
      <c r="F2734" s="9" t="str">
        <f>IFERROR(__xludf.DUMMYFUNCTION("""COMPUTED_VALUE"""),"")</f>
        <v/>
      </c>
      <c r="G2734" s="7" t="str">
        <f>IFERROR(__xludf.DUMMYFUNCTION("""COMPUTED_VALUE"""),"")</f>
        <v/>
      </c>
      <c r="H2734" s="7">
        <f t="shared" si="1"/>
        <v>1029</v>
      </c>
    </row>
    <row r="2735" ht="22.5" customHeight="1">
      <c r="B2735" s="7" t="str">
        <f>IFERROR(__xludf.DUMMYFUNCTION("""COMPUTED_VALUE"""),"")</f>
        <v/>
      </c>
      <c r="C2735" s="7" t="str">
        <f>IFERROR(__xludf.DUMMYFUNCTION("""COMPUTED_VALUE"""),"")</f>
        <v/>
      </c>
      <c r="D2735" s="7"/>
      <c r="E2735" s="7"/>
      <c r="F2735" s="9" t="str">
        <f>IFERROR(__xludf.DUMMYFUNCTION("""COMPUTED_VALUE"""),"")</f>
        <v/>
      </c>
      <c r="G2735" s="7" t="str">
        <f>IFERROR(__xludf.DUMMYFUNCTION("""COMPUTED_VALUE"""),"")</f>
        <v/>
      </c>
      <c r="H2735" s="7">
        <f t="shared" si="1"/>
        <v>1029</v>
      </c>
    </row>
    <row r="2736" ht="22.5" customHeight="1">
      <c r="B2736" s="7" t="str">
        <f>IFERROR(__xludf.DUMMYFUNCTION("""COMPUTED_VALUE"""),"")</f>
        <v/>
      </c>
      <c r="C2736" s="7" t="str">
        <f>IFERROR(__xludf.DUMMYFUNCTION("""COMPUTED_VALUE"""),"")</f>
        <v/>
      </c>
      <c r="D2736" s="7"/>
      <c r="E2736" s="7"/>
      <c r="F2736" s="9" t="str">
        <f>IFERROR(__xludf.DUMMYFUNCTION("""COMPUTED_VALUE"""),"")</f>
        <v/>
      </c>
      <c r="G2736" s="7" t="str">
        <f>IFERROR(__xludf.DUMMYFUNCTION("""COMPUTED_VALUE"""),"")</f>
        <v/>
      </c>
      <c r="H2736" s="7">
        <f t="shared" si="1"/>
        <v>1029</v>
      </c>
    </row>
    <row r="2737" ht="22.5" customHeight="1">
      <c r="B2737" s="7" t="str">
        <f>IFERROR(__xludf.DUMMYFUNCTION("""COMPUTED_VALUE"""),"")</f>
        <v/>
      </c>
      <c r="C2737" s="7" t="str">
        <f>IFERROR(__xludf.DUMMYFUNCTION("""COMPUTED_VALUE"""),"")</f>
        <v/>
      </c>
      <c r="D2737" s="7"/>
      <c r="E2737" s="7"/>
      <c r="F2737" s="9" t="str">
        <f>IFERROR(__xludf.DUMMYFUNCTION("""COMPUTED_VALUE"""),"")</f>
        <v/>
      </c>
      <c r="G2737" s="7" t="str">
        <f>IFERROR(__xludf.DUMMYFUNCTION("""COMPUTED_VALUE"""),"")</f>
        <v/>
      </c>
      <c r="H2737" s="7">
        <f t="shared" si="1"/>
        <v>1029</v>
      </c>
    </row>
    <row r="2738" ht="22.5" customHeight="1">
      <c r="B2738" s="7" t="str">
        <f>IFERROR(__xludf.DUMMYFUNCTION("""COMPUTED_VALUE"""),"")</f>
        <v/>
      </c>
      <c r="C2738" s="7" t="str">
        <f>IFERROR(__xludf.DUMMYFUNCTION("""COMPUTED_VALUE"""),"")</f>
        <v/>
      </c>
      <c r="D2738" s="7"/>
      <c r="E2738" s="7"/>
      <c r="F2738" s="9" t="str">
        <f>IFERROR(__xludf.DUMMYFUNCTION("""COMPUTED_VALUE"""),"")</f>
        <v/>
      </c>
      <c r="G2738" s="7" t="str">
        <f>IFERROR(__xludf.DUMMYFUNCTION("""COMPUTED_VALUE"""),"")</f>
        <v/>
      </c>
      <c r="H2738" s="7">
        <f t="shared" si="1"/>
        <v>1029</v>
      </c>
    </row>
    <row r="2739" ht="22.5" customHeight="1">
      <c r="B2739" s="7" t="str">
        <f>IFERROR(__xludf.DUMMYFUNCTION("""COMPUTED_VALUE"""),"")</f>
        <v/>
      </c>
      <c r="C2739" s="7" t="str">
        <f>IFERROR(__xludf.DUMMYFUNCTION("""COMPUTED_VALUE"""),"")</f>
        <v/>
      </c>
      <c r="D2739" s="7"/>
      <c r="E2739" s="7"/>
      <c r="F2739" s="9" t="str">
        <f>IFERROR(__xludf.DUMMYFUNCTION("""COMPUTED_VALUE"""),"")</f>
        <v/>
      </c>
      <c r="G2739" s="7" t="str">
        <f>IFERROR(__xludf.DUMMYFUNCTION("""COMPUTED_VALUE"""),"")</f>
        <v/>
      </c>
      <c r="H2739" s="7">
        <f t="shared" si="1"/>
        <v>1029</v>
      </c>
    </row>
    <row r="2740" ht="22.5" customHeight="1">
      <c r="B2740" s="7" t="str">
        <f>IFERROR(__xludf.DUMMYFUNCTION("""COMPUTED_VALUE"""),"")</f>
        <v/>
      </c>
      <c r="C2740" s="7" t="str">
        <f>IFERROR(__xludf.DUMMYFUNCTION("""COMPUTED_VALUE"""),"")</f>
        <v/>
      </c>
      <c r="D2740" s="7"/>
      <c r="E2740" s="7"/>
      <c r="F2740" s="9" t="str">
        <f>IFERROR(__xludf.DUMMYFUNCTION("""COMPUTED_VALUE"""),"")</f>
        <v/>
      </c>
      <c r="G2740" s="7" t="str">
        <f>IFERROR(__xludf.DUMMYFUNCTION("""COMPUTED_VALUE"""),"")</f>
        <v/>
      </c>
      <c r="H2740" s="7">
        <f t="shared" si="1"/>
        <v>1029</v>
      </c>
    </row>
    <row r="2741" ht="22.5" customHeight="1">
      <c r="B2741" s="7" t="str">
        <f>IFERROR(__xludf.DUMMYFUNCTION("""COMPUTED_VALUE"""),"")</f>
        <v/>
      </c>
      <c r="C2741" s="7" t="str">
        <f>IFERROR(__xludf.DUMMYFUNCTION("""COMPUTED_VALUE"""),"")</f>
        <v/>
      </c>
      <c r="D2741" s="7"/>
      <c r="E2741" s="7"/>
      <c r="F2741" s="9" t="str">
        <f>IFERROR(__xludf.DUMMYFUNCTION("""COMPUTED_VALUE"""),"")</f>
        <v/>
      </c>
      <c r="G2741" s="7" t="str">
        <f>IFERROR(__xludf.DUMMYFUNCTION("""COMPUTED_VALUE"""),"")</f>
        <v/>
      </c>
      <c r="H2741" s="7">
        <f t="shared" si="1"/>
        <v>1029</v>
      </c>
    </row>
    <row r="2742" ht="22.5" customHeight="1">
      <c r="B2742" s="7" t="str">
        <f>IFERROR(__xludf.DUMMYFUNCTION("""COMPUTED_VALUE"""),"")</f>
        <v/>
      </c>
      <c r="C2742" s="7" t="str">
        <f>IFERROR(__xludf.DUMMYFUNCTION("""COMPUTED_VALUE"""),"")</f>
        <v/>
      </c>
      <c r="D2742" s="7"/>
      <c r="E2742" s="7"/>
      <c r="F2742" s="9" t="str">
        <f>IFERROR(__xludf.DUMMYFUNCTION("""COMPUTED_VALUE"""),"")</f>
        <v/>
      </c>
      <c r="G2742" s="7" t="str">
        <f>IFERROR(__xludf.DUMMYFUNCTION("""COMPUTED_VALUE"""),"")</f>
        <v/>
      </c>
      <c r="H2742" s="7">
        <f t="shared" si="1"/>
        <v>1029</v>
      </c>
    </row>
    <row r="2743" ht="22.5" customHeight="1">
      <c r="B2743" s="7" t="str">
        <f>IFERROR(__xludf.DUMMYFUNCTION("""COMPUTED_VALUE"""),"")</f>
        <v/>
      </c>
      <c r="C2743" s="7" t="str">
        <f>IFERROR(__xludf.DUMMYFUNCTION("""COMPUTED_VALUE"""),"")</f>
        <v/>
      </c>
      <c r="D2743" s="7"/>
      <c r="E2743" s="7"/>
      <c r="F2743" s="9" t="str">
        <f>IFERROR(__xludf.DUMMYFUNCTION("""COMPUTED_VALUE"""),"")</f>
        <v/>
      </c>
      <c r="G2743" s="7" t="str">
        <f>IFERROR(__xludf.DUMMYFUNCTION("""COMPUTED_VALUE"""),"")</f>
        <v/>
      </c>
      <c r="H2743" s="7">
        <f t="shared" si="1"/>
        <v>1029</v>
      </c>
    </row>
    <row r="2744" ht="22.5" customHeight="1">
      <c r="B2744" s="7" t="str">
        <f>IFERROR(__xludf.DUMMYFUNCTION("""COMPUTED_VALUE"""),"")</f>
        <v/>
      </c>
      <c r="C2744" s="7" t="str">
        <f>IFERROR(__xludf.DUMMYFUNCTION("""COMPUTED_VALUE"""),"")</f>
        <v/>
      </c>
      <c r="D2744" s="7"/>
      <c r="E2744" s="7"/>
      <c r="F2744" s="9" t="str">
        <f>IFERROR(__xludf.DUMMYFUNCTION("""COMPUTED_VALUE"""),"")</f>
        <v/>
      </c>
      <c r="G2744" s="7" t="str">
        <f>IFERROR(__xludf.DUMMYFUNCTION("""COMPUTED_VALUE"""),"")</f>
        <v/>
      </c>
      <c r="H2744" s="7">
        <f t="shared" si="1"/>
        <v>1029</v>
      </c>
    </row>
    <row r="2745" ht="22.5" customHeight="1">
      <c r="B2745" s="7" t="str">
        <f>IFERROR(__xludf.DUMMYFUNCTION("""COMPUTED_VALUE"""),"")</f>
        <v/>
      </c>
      <c r="C2745" s="7" t="str">
        <f>IFERROR(__xludf.DUMMYFUNCTION("""COMPUTED_VALUE"""),"")</f>
        <v/>
      </c>
      <c r="D2745" s="7"/>
      <c r="E2745" s="7"/>
      <c r="F2745" s="9" t="str">
        <f>IFERROR(__xludf.DUMMYFUNCTION("""COMPUTED_VALUE"""),"")</f>
        <v/>
      </c>
      <c r="G2745" s="7" t="str">
        <f>IFERROR(__xludf.DUMMYFUNCTION("""COMPUTED_VALUE"""),"")</f>
        <v/>
      </c>
      <c r="H2745" s="7">
        <f t="shared" si="1"/>
        <v>1029</v>
      </c>
    </row>
    <row r="2746" ht="22.5" customHeight="1">
      <c r="B2746" s="7" t="str">
        <f>IFERROR(__xludf.DUMMYFUNCTION("""COMPUTED_VALUE"""),"")</f>
        <v/>
      </c>
      <c r="C2746" s="7" t="str">
        <f>IFERROR(__xludf.DUMMYFUNCTION("""COMPUTED_VALUE"""),"")</f>
        <v/>
      </c>
      <c r="D2746" s="7"/>
      <c r="E2746" s="7"/>
      <c r="F2746" s="9" t="str">
        <f>IFERROR(__xludf.DUMMYFUNCTION("""COMPUTED_VALUE"""),"")</f>
        <v/>
      </c>
      <c r="G2746" s="7" t="str">
        <f>IFERROR(__xludf.DUMMYFUNCTION("""COMPUTED_VALUE"""),"")</f>
        <v/>
      </c>
      <c r="H2746" s="7">
        <f t="shared" si="1"/>
        <v>1029</v>
      </c>
    </row>
    <row r="2747" ht="22.5" customHeight="1">
      <c r="B2747" s="7" t="str">
        <f>IFERROR(__xludf.DUMMYFUNCTION("""COMPUTED_VALUE"""),"")</f>
        <v/>
      </c>
      <c r="C2747" s="7" t="str">
        <f>IFERROR(__xludf.DUMMYFUNCTION("""COMPUTED_VALUE"""),"")</f>
        <v/>
      </c>
      <c r="D2747" s="7"/>
      <c r="E2747" s="7"/>
      <c r="F2747" s="9" t="str">
        <f>IFERROR(__xludf.DUMMYFUNCTION("""COMPUTED_VALUE"""),"")</f>
        <v/>
      </c>
      <c r="G2747" s="7" t="str">
        <f>IFERROR(__xludf.DUMMYFUNCTION("""COMPUTED_VALUE"""),"")</f>
        <v/>
      </c>
      <c r="H2747" s="7">
        <f t="shared" si="1"/>
        <v>1029</v>
      </c>
    </row>
    <row r="2748" ht="22.5" customHeight="1">
      <c r="B2748" s="7" t="str">
        <f>IFERROR(__xludf.DUMMYFUNCTION("""COMPUTED_VALUE"""),"")</f>
        <v/>
      </c>
      <c r="C2748" s="7" t="str">
        <f>IFERROR(__xludf.DUMMYFUNCTION("""COMPUTED_VALUE"""),"")</f>
        <v/>
      </c>
      <c r="D2748" s="7"/>
      <c r="E2748" s="7"/>
      <c r="F2748" s="9" t="str">
        <f>IFERROR(__xludf.DUMMYFUNCTION("""COMPUTED_VALUE"""),"")</f>
        <v/>
      </c>
      <c r="G2748" s="7" t="str">
        <f>IFERROR(__xludf.DUMMYFUNCTION("""COMPUTED_VALUE"""),"")</f>
        <v/>
      </c>
      <c r="H2748" s="7">
        <f t="shared" si="1"/>
        <v>1029</v>
      </c>
    </row>
    <row r="2749" ht="22.5" customHeight="1">
      <c r="B2749" s="7" t="str">
        <f>IFERROR(__xludf.DUMMYFUNCTION("""COMPUTED_VALUE"""),"")</f>
        <v/>
      </c>
      <c r="C2749" s="7" t="str">
        <f>IFERROR(__xludf.DUMMYFUNCTION("""COMPUTED_VALUE"""),"")</f>
        <v/>
      </c>
      <c r="D2749" s="7"/>
      <c r="E2749" s="7"/>
      <c r="F2749" s="9" t="str">
        <f>IFERROR(__xludf.DUMMYFUNCTION("""COMPUTED_VALUE"""),"")</f>
        <v/>
      </c>
      <c r="G2749" s="7" t="str">
        <f>IFERROR(__xludf.DUMMYFUNCTION("""COMPUTED_VALUE"""),"")</f>
        <v/>
      </c>
      <c r="H2749" s="7">
        <f t="shared" si="1"/>
        <v>1029</v>
      </c>
    </row>
    <row r="2750" ht="22.5" customHeight="1">
      <c r="B2750" s="7" t="str">
        <f>IFERROR(__xludf.DUMMYFUNCTION("""COMPUTED_VALUE"""),"")</f>
        <v/>
      </c>
      <c r="C2750" s="7" t="str">
        <f>IFERROR(__xludf.DUMMYFUNCTION("""COMPUTED_VALUE"""),"")</f>
        <v/>
      </c>
      <c r="D2750" s="7"/>
      <c r="E2750" s="7"/>
      <c r="F2750" s="9" t="str">
        <f>IFERROR(__xludf.DUMMYFUNCTION("""COMPUTED_VALUE"""),"")</f>
        <v/>
      </c>
      <c r="G2750" s="7" t="str">
        <f>IFERROR(__xludf.DUMMYFUNCTION("""COMPUTED_VALUE"""),"")</f>
        <v/>
      </c>
      <c r="H2750" s="7">
        <f t="shared" si="1"/>
        <v>1029</v>
      </c>
    </row>
    <row r="2751" ht="22.5" customHeight="1">
      <c r="B2751" s="7" t="str">
        <f>IFERROR(__xludf.DUMMYFUNCTION("""COMPUTED_VALUE"""),"")</f>
        <v/>
      </c>
      <c r="C2751" s="7" t="str">
        <f>IFERROR(__xludf.DUMMYFUNCTION("""COMPUTED_VALUE"""),"")</f>
        <v/>
      </c>
      <c r="D2751" s="7"/>
      <c r="E2751" s="7"/>
      <c r="F2751" s="9" t="str">
        <f>IFERROR(__xludf.DUMMYFUNCTION("""COMPUTED_VALUE"""),"")</f>
        <v/>
      </c>
      <c r="G2751" s="7" t="str">
        <f>IFERROR(__xludf.DUMMYFUNCTION("""COMPUTED_VALUE"""),"")</f>
        <v/>
      </c>
      <c r="H2751" s="7">
        <f t="shared" si="1"/>
        <v>1029</v>
      </c>
    </row>
    <row r="2752" ht="22.5" customHeight="1">
      <c r="B2752" s="7" t="str">
        <f>IFERROR(__xludf.DUMMYFUNCTION("""COMPUTED_VALUE"""),"")</f>
        <v/>
      </c>
      <c r="C2752" s="7" t="str">
        <f>IFERROR(__xludf.DUMMYFUNCTION("""COMPUTED_VALUE"""),"")</f>
        <v/>
      </c>
      <c r="D2752" s="7"/>
      <c r="E2752" s="7"/>
      <c r="F2752" s="9" t="str">
        <f>IFERROR(__xludf.DUMMYFUNCTION("""COMPUTED_VALUE"""),"")</f>
        <v/>
      </c>
      <c r="G2752" s="7" t="str">
        <f>IFERROR(__xludf.DUMMYFUNCTION("""COMPUTED_VALUE"""),"")</f>
        <v/>
      </c>
      <c r="H2752" s="7">
        <f t="shared" si="1"/>
        <v>1029</v>
      </c>
    </row>
    <row r="2753" ht="22.5" customHeight="1">
      <c r="B2753" s="7" t="str">
        <f>IFERROR(__xludf.DUMMYFUNCTION("""COMPUTED_VALUE"""),"")</f>
        <v/>
      </c>
      <c r="C2753" s="7" t="str">
        <f>IFERROR(__xludf.DUMMYFUNCTION("""COMPUTED_VALUE"""),"")</f>
        <v/>
      </c>
      <c r="D2753" s="7"/>
      <c r="E2753" s="7"/>
      <c r="F2753" s="9" t="str">
        <f>IFERROR(__xludf.DUMMYFUNCTION("""COMPUTED_VALUE"""),"")</f>
        <v/>
      </c>
      <c r="G2753" s="7" t="str">
        <f>IFERROR(__xludf.DUMMYFUNCTION("""COMPUTED_VALUE"""),"")</f>
        <v/>
      </c>
      <c r="H2753" s="7">
        <f t="shared" si="1"/>
        <v>1029</v>
      </c>
    </row>
    <row r="2754" ht="22.5" customHeight="1">
      <c r="B2754" s="7" t="str">
        <f>IFERROR(__xludf.DUMMYFUNCTION("""COMPUTED_VALUE"""),"")</f>
        <v/>
      </c>
      <c r="C2754" s="7" t="str">
        <f>IFERROR(__xludf.DUMMYFUNCTION("""COMPUTED_VALUE"""),"")</f>
        <v/>
      </c>
      <c r="D2754" s="7"/>
      <c r="E2754" s="7"/>
      <c r="F2754" s="9" t="str">
        <f>IFERROR(__xludf.DUMMYFUNCTION("""COMPUTED_VALUE"""),"")</f>
        <v/>
      </c>
      <c r="G2754" s="7" t="str">
        <f>IFERROR(__xludf.DUMMYFUNCTION("""COMPUTED_VALUE"""),"")</f>
        <v/>
      </c>
      <c r="H2754" s="7">
        <f t="shared" si="1"/>
        <v>1029</v>
      </c>
    </row>
    <row r="2755" ht="22.5" customHeight="1">
      <c r="B2755" s="7" t="str">
        <f>IFERROR(__xludf.DUMMYFUNCTION("""COMPUTED_VALUE"""),"")</f>
        <v/>
      </c>
      <c r="C2755" s="7" t="str">
        <f>IFERROR(__xludf.DUMMYFUNCTION("""COMPUTED_VALUE"""),"")</f>
        <v/>
      </c>
      <c r="D2755" s="7"/>
      <c r="E2755" s="7"/>
      <c r="F2755" s="9" t="str">
        <f>IFERROR(__xludf.DUMMYFUNCTION("""COMPUTED_VALUE"""),"")</f>
        <v/>
      </c>
      <c r="G2755" s="7" t="str">
        <f>IFERROR(__xludf.DUMMYFUNCTION("""COMPUTED_VALUE"""),"")</f>
        <v/>
      </c>
      <c r="H2755" s="7">
        <f t="shared" si="1"/>
        <v>1029</v>
      </c>
    </row>
    <row r="2756" ht="22.5" customHeight="1">
      <c r="B2756" s="7" t="str">
        <f>IFERROR(__xludf.DUMMYFUNCTION("""COMPUTED_VALUE"""),"")</f>
        <v/>
      </c>
      <c r="C2756" s="7" t="str">
        <f>IFERROR(__xludf.DUMMYFUNCTION("""COMPUTED_VALUE"""),"")</f>
        <v/>
      </c>
      <c r="D2756" s="7"/>
      <c r="E2756" s="7"/>
      <c r="F2756" s="9" t="str">
        <f>IFERROR(__xludf.DUMMYFUNCTION("""COMPUTED_VALUE"""),"")</f>
        <v/>
      </c>
      <c r="G2756" s="7" t="str">
        <f>IFERROR(__xludf.DUMMYFUNCTION("""COMPUTED_VALUE"""),"")</f>
        <v/>
      </c>
      <c r="H2756" s="7">
        <f t="shared" si="1"/>
        <v>1029</v>
      </c>
    </row>
    <row r="2757" ht="22.5" customHeight="1">
      <c r="B2757" s="7" t="str">
        <f>IFERROR(__xludf.DUMMYFUNCTION("""COMPUTED_VALUE"""),"")</f>
        <v/>
      </c>
      <c r="C2757" s="7" t="str">
        <f>IFERROR(__xludf.DUMMYFUNCTION("""COMPUTED_VALUE"""),"")</f>
        <v/>
      </c>
      <c r="D2757" s="7"/>
      <c r="E2757" s="7"/>
      <c r="F2757" s="9" t="str">
        <f>IFERROR(__xludf.DUMMYFUNCTION("""COMPUTED_VALUE"""),"")</f>
        <v/>
      </c>
      <c r="G2757" s="7" t="str">
        <f>IFERROR(__xludf.DUMMYFUNCTION("""COMPUTED_VALUE"""),"")</f>
        <v/>
      </c>
      <c r="H2757" s="7">
        <f t="shared" si="1"/>
        <v>1029</v>
      </c>
    </row>
    <row r="2758" ht="22.5" customHeight="1">
      <c r="B2758" s="7" t="str">
        <f>IFERROR(__xludf.DUMMYFUNCTION("""COMPUTED_VALUE"""),"")</f>
        <v/>
      </c>
      <c r="C2758" s="7" t="str">
        <f>IFERROR(__xludf.DUMMYFUNCTION("""COMPUTED_VALUE"""),"")</f>
        <v/>
      </c>
      <c r="D2758" s="7"/>
      <c r="E2758" s="7"/>
      <c r="F2758" s="9" t="str">
        <f>IFERROR(__xludf.DUMMYFUNCTION("""COMPUTED_VALUE"""),"")</f>
        <v/>
      </c>
      <c r="G2758" s="7" t="str">
        <f>IFERROR(__xludf.DUMMYFUNCTION("""COMPUTED_VALUE"""),"")</f>
        <v/>
      </c>
      <c r="H2758" s="7">
        <f t="shared" si="1"/>
        <v>1029</v>
      </c>
    </row>
    <row r="2759" ht="22.5" customHeight="1">
      <c r="B2759" s="7" t="str">
        <f>IFERROR(__xludf.DUMMYFUNCTION("""COMPUTED_VALUE"""),"")</f>
        <v/>
      </c>
      <c r="C2759" s="7" t="str">
        <f>IFERROR(__xludf.DUMMYFUNCTION("""COMPUTED_VALUE"""),"")</f>
        <v/>
      </c>
      <c r="D2759" s="7"/>
      <c r="E2759" s="7"/>
      <c r="F2759" s="9" t="str">
        <f>IFERROR(__xludf.DUMMYFUNCTION("""COMPUTED_VALUE"""),"")</f>
        <v/>
      </c>
      <c r="G2759" s="7" t="str">
        <f>IFERROR(__xludf.DUMMYFUNCTION("""COMPUTED_VALUE"""),"")</f>
        <v/>
      </c>
      <c r="H2759" s="7">
        <f t="shared" si="1"/>
        <v>1029</v>
      </c>
    </row>
    <row r="2760" ht="22.5" customHeight="1">
      <c r="B2760" s="7" t="str">
        <f>IFERROR(__xludf.DUMMYFUNCTION("""COMPUTED_VALUE"""),"")</f>
        <v/>
      </c>
      <c r="C2760" s="7" t="str">
        <f>IFERROR(__xludf.DUMMYFUNCTION("""COMPUTED_VALUE"""),"")</f>
        <v/>
      </c>
      <c r="D2760" s="7"/>
      <c r="E2760" s="7"/>
      <c r="F2760" s="9" t="str">
        <f>IFERROR(__xludf.DUMMYFUNCTION("""COMPUTED_VALUE"""),"")</f>
        <v/>
      </c>
      <c r="G2760" s="7" t="str">
        <f>IFERROR(__xludf.DUMMYFUNCTION("""COMPUTED_VALUE"""),"")</f>
        <v/>
      </c>
      <c r="H2760" s="7">
        <f t="shared" si="1"/>
        <v>1029</v>
      </c>
    </row>
    <row r="2761" ht="22.5" customHeight="1">
      <c r="B2761" s="7" t="str">
        <f>IFERROR(__xludf.DUMMYFUNCTION("""COMPUTED_VALUE"""),"")</f>
        <v/>
      </c>
      <c r="C2761" s="7" t="str">
        <f>IFERROR(__xludf.DUMMYFUNCTION("""COMPUTED_VALUE"""),"")</f>
        <v/>
      </c>
      <c r="D2761" s="7"/>
      <c r="E2761" s="7"/>
      <c r="F2761" s="9" t="str">
        <f>IFERROR(__xludf.DUMMYFUNCTION("""COMPUTED_VALUE"""),"")</f>
        <v/>
      </c>
      <c r="G2761" s="7" t="str">
        <f>IFERROR(__xludf.DUMMYFUNCTION("""COMPUTED_VALUE"""),"")</f>
        <v/>
      </c>
      <c r="H2761" s="7">
        <f t="shared" si="1"/>
        <v>1029</v>
      </c>
    </row>
    <row r="2762" ht="22.5" customHeight="1">
      <c r="B2762" s="7" t="str">
        <f>IFERROR(__xludf.DUMMYFUNCTION("""COMPUTED_VALUE"""),"")</f>
        <v/>
      </c>
      <c r="C2762" s="7" t="str">
        <f>IFERROR(__xludf.DUMMYFUNCTION("""COMPUTED_VALUE"""),"")</f>
        <v/>
      </c>
      <c r="D2762" s="7"/>
      <c r="E2762" s="7"/>
      <c r="F2762" s="9" t="str">
        <f>IFERROR(__xludf.DUMMYFUNCTION("""COMPUTED_VALUE"""),"")</f>
        <v/>
      </c>
      <c r="G2762" s="7" t="str">
        <f>IFERROR(__xludf.DUMMYFUNCTION("""COMPUTED_VALUE"""),"")</f>
        <v/>
      </c>
      <c r="H2762" s="7">
        <f t="shared" si="1"/>
        <v>1029</v>
      </c>
    </row>
    <row r="2763" ht="22.5" customHeight="1">
      <c r="B2763" s="7" t="str">
        <f>IFERROR(__xludf.DUMMYFUNCTION("""COMPUTED_VALUE"""),"")</f>
        <v/>
      </c>
      <c r="C2763" s="7" t="str">
        <f>IFERROR(__xludf.DUMMYFUNCTION("""COMPUTED_VALUE"""),"")</f>
        <v/>
      </c>
      <c r="D2763" s="7"/>
      <c r="E2763" s="7"/>
      <c r="F2763" s="9" t="str">
        <f>IFERROR(__xludf.DUMMYFUNCTION("""COMPUTED_VALUE"""),"")</f>
        <v/>
      </c>
      <c r="G2763" s="7" t="str">
        <f>IFERROR(__xludf.DUMMYFUNCTION("""COMPUTED_VALUE"""),"")</f>
        <v/>
      </c>
      <c r="H2763" s="7">
        <f t="shared" si="1"/>
        <v>1029</v>
      </c>
    </row>
    <row r="2764" ht="22.5" customHeight="1">
      <c r="B2764" s="7" t="str">
        <f>IFERROR(__xludf.DUMMYFUNCTION("""COMPUTED_VALUE"""),"")</f>
        <v/>
      </c>
      <c r="C2764" s="7" t="str">
        <f>IFERROR(__xludf.DUMMYFUNCTION("""COMPUTED_VALUE"""),"")</f>
        <v/>
      </c>
      <c r="D2764" s="7"/>
      <c r="E2764" s="7"/>
      <c r="F2764" s="9" t="str">
        <f>IFERROR(__xludf.DUMMYFUNCTION("""COMPUTED_VALUE"""),"")</f>
        <v/>
      </c>
      <c r="G2764" s="7" t="str">
        <f>IFERROR(__xludf.DUMMYFUNCTION("""COMPUTED_VALUE"""),"")</f>
        <v/>
      </c>
      <c r="H2764" s="7">
        <f t="shared" si="1"/>
        <v>1029</v>
      </c>
    </row>
    <row r="2765" ht="22.5" customHeight="1">
      <c r="B2765" s="7" t="str">
        <f>IFERROR(__xludf.DUMMYFUNCTION("""COMPUTED_VALUE"""),"")</f>
        <v/>
      </c>
      <c r="C2765" s="7" t="str">
        <f>IFERROR(__xludf.DUMMYFUNCTION("""COMPUTED_VALUE"""),"")</f>
        <v/>
      </c>
      <c r="D2765" s="7"/>
      <c r="E2765" s="7"/>
      <c r="F2765" s="9" t="str">
        <f>IFERROR(__xludf.DUMMYFUNCTION("""COMPUTED_VALUE"""),"")</f>
        <v/>
      </c>
      <c r="G2765" s="7" t="str">
        <f>IFERROR(__xludf.DUMMYFUNCTION("""COMPUTED_VALUE"""),"")</f>
        <v/>
      </c>
      <c r="H2765" s="7">
        <f t="shared" si="1"/>
        <v>1029</v>
      </c>
    </row>
    <row r="2766" ht="22.5" customHeight="1">
      <c r="B2766" s="7" t="str">
        <f>IFERROR(__xludf.DUMMYFUNCTION("""COMPUTED_VALUE"""),"")</f>
        <v/>
      </c>
      <c r="C2766" s="7" t="str">
        <f>IFERROR(__xludf.DUMMYFUNCTION("""COMPUTED_VALUE"""),"")</f>
        <v/>
      </c>
      <c r="D2766" s="7"/>
      <c r="E2766" s="7"/>
      <c r="F2766" s="9" t="str">
        <f>IFERROR(__xludf.DUMMYFUNCTION("""COMPUTED_VALUE"""),"")</f>
        <v/>
      </c>
      <c r="G2766" s="7" t="str">
        <f>IFERROR(__xludf.DUMMYFUNCTION("""COMPUTED_VALUE"""),"")</f>
        <v/>
      </c>
      <c r="H2766" s="7">
        <f t="shared" si="1"/>
        <v>1029</v>
      </c>
    </row>
    <row r="2767" ht="22.5" customHeight="1">
      <c r="B2767" s="7" t="str">
        <f>IFERROR(__xludf.DUMMYFUNCTION("""COMPUTED_VALUE"""),"")</f>
        <v/>
      </c>
      <c r="C2767" s="7" t="str">
        <f>IFERROR(__xludf.DUMMYFUNCTION("""COMPUTED_VALUE"""),"")</f>
        <v/>
      </c>
      <c r="D2767" s="7"/>
      <c r="E2767" s="7"/>
      <c r="F2767" s="9" t="str">
        <f>IFERROR(__xludf.DUMMYFUNCTION("""COMPUTED_VALUE"""),"")</f>
        <v/>
      </c>
      <c r="G2767" s="7" t="str">
        <f>IFERROR(__xludf.DUMMYFUNCTION("""COMPUTED_VALUE"""),"")</f>
        <v/>
      </c>
      <c r="H2767" s="7">
        <f t="shared" si="1"/>
        <v>1029</v>
      </c>
    </row>
    <row r="2768" ht="22.5" customHeight="1">
      <c r="B2768" s="7" t="str">
        <f>IFERROR(__xludf.DUMMYFUNCTION("""COMPUTED_VALUE"""),"")</f>
        <v/>
      </c>
      <c r="C2768" s="7" t="str">
        <f>IFERROR(__xludf.DUMMYFUNCTION("""COMPUTED_VALUE"""),"")</f>
        <v/>
      </c>
      <c r="D2768" s="7"/>
      <c r="E2768" s="7"/>
      <c r="F2768" s="9" t="str">
        <f>IFERROR(__xludf.DUMMYFUNCTION("""COMPUTED_VALUE"""),"")</f>
        <v/>
      </c>
      <c r="G2768" s="7" t="str">
        <f>IFERROR(__xludf.DUMMYFUNCTION("""COMPUTED_VALUE"""),"")</f>
        <v/>
      </c>
      <c r="H2768" s="7">
        <f t="shared" si="1"/>
        <v>1029</v>
      </c>
    </row>
    <row r="2769" ht="22.5" customHeight="1">
      <c r="B2769" s="7" t="str">
        <f>IFERROR(__xludf.DUMMYFUNCTION("""COMPUTED_VALUE"""),"")</f>
        <v/>
      </c>
      <c r="C2769" s="7" t="str">
        <f>IFERROR(__xludf.DUMMYFUNCTION("""COMPUTED_VALUE"""),"")</f>
        <v/>
      </c>
      <c r="D2769" s="7"/>
      <c r="E2769" s="7"/>
      <c r="F2769" s="9" t="str">
        <f>IFERROR(__xludf.DUMMYFUNCTION("""COMPUTED_VALUE"""),"")</f>
        <v/>
      </c>
      <c r="G2769" s="7" t="str">
        <f>IFERROR(__xludf.DUMMYFUNCTION("""COMPUTED_VALUE"""),"")</f>
        <v/>
      </c>
      <c r="H2769" s="7">
        <f t="shared" si="1"/>
        <v>1029</v>
      </c>
    </row>
    <row r="2770" ht="22.5" customHeight="1">
      <c r="B2770" s="7" t="str">
        <f>IFERROR(__xludf.DUMMYFUNCTION("""COMPUTED_VALUE"""),"")</f>
        <v/>
      </c>
      <c r="C2770" s="7" t="str">
        <f>IFERROR(__xludf.DUMMYFUNCTION("""COMPUTED_VALUE"""),"")</f>
        <v/>
      </c>
      <c r="D2770" s="7"/>
      <c r="E2770" s="7"/>
      <c r="F2770" s="9" t="str">
        <f>IFERROR(__xludf.DUMMYFUNCTION("""COMPUTED_VALUE"""),"")</f>
        <v/>
      </c>
      <c r="G2770" s="7" t="str">
        <f>IFERROR(__xludf.DUMMYFUNCTION("""COMPUTED_VALUE"""),"")</f>
        <v/>
      </c>
      <c r="H2770" s="7">
        <f t="shared" si="1"/>
        <v>1029</v>
      </c>
    </row>
    <row r="2771" ht="22.5" customHeight="1">
      <c r="B2771" s="7" t="str">
        <f>IFERROR(__xludf.DUMMYFUNCTION("""COMPUTED_VALUE"""),"")</f>
        <v/>
      </c>
      <c r="C2771" s="7" t="str">
        <f>IFERROR(__xludf.DUMMYFUNCTION("""COMPUTED_VALUE"""),"")</f>
        <v/>
      </c>
      <c r="D2771" s="7"/>
      <c r="E2771" s="7"/>
      <c r="F2771" s="9" t="str">
        <f>IFERROR(__xludf.DUMMYFUNCTION("""COMPUTED_VALUE"""),"")</f>
        <v/>
      </c>
      <c r="G2771" s="7" t="str">
        <f>IFERROR(__xludf.DUMMYFUNCTION("""COMPUTED_VALUE"""),"")</f>
        <v/>
      </c>
      <c r="H2771" s="7">
        <f t="shared" si="1"/>
        <v>1029</v>
      </c>
    </row>
    <row r="2772" ht="22.5" customHeight="1">
      <c r="B2772" s="7" t="str">
        <f>IFERROR(__xludf.DUMMYFUNCTION("""COMPUTED_VALUE"""),"")</f>
        <v/>
      </c>
      <c r="C2772" s="7" t="str">
        <f>IFERROR(__xludf.DUMMYFUNCTION("""COMPUTED_VALUE"""),"")</f>
        <v/>
      </c>
      <c r="D2772" s="7"/>
      <c r="E2772" s="7"/>
      <c r="F2772" s="9" t="str">
        <f>IFERROR(__xludf.DUMMYFUNCTION("""COMPUTED_VALUE"""),"")</f>
        <v/>
      </c>
      <c r="G2772" s="7" t="str">
        <f>IFERROR(__xludf.DUMMYFUNCTION("""COMPUTED_VALUE"""),"")</f>
        <v/>
      </c>
      <c r="H2772" s="7">
        <f t="shared" si="1"/>
        <v>1029</v>
      </c>
    </row>
    <row r="2773" ht="22.5" customHeight="1">
      <c r="B2773" s="7" t="str">
        <f>IFERROR(__xludf.DUMMYFUNCTION("""COMPUTED_VALUE"""),"")</f>
        <v/>
      </c>
      <c r="C2773" s="7" t="str">
        <f>IFERROR(__xludf.DUMMYFUNCTION("""COMPUTED_VALUE"""),"")</f>
        <v/>
      </c>
      <c r="D2773" s="7"/>
      <c r="E2773" s="7"/>
      <c r="F2773" s="9" t="str">
        <f>IFERROR(__xludf.DUMMYFUNCTION("""COMPUTED_VALUE"""),"")</f>
        <v/>
      </c>
      <c r="G2773" s="7" t="str">
        <f>IFERROR(__xludf.DUMMYFUNCTION("""COMPUTED_VALUE"""),"")</f>
        <v/>
      </c>
      <c r="H2773" s="7">
        <f t="shared" si="1"/>
        <v>1029</v>
      </c>
    </row>
    <row r="2774" ht="22.5" customHeight="1">
      <c r="B2774" s="7" t="str">
        <f>IFERROR(__xludf.DUMMYFUNCTION("""COMPUTED_VALUE"""),"")</f>
        <v/>
      </c>
      <c r="C2774" s="7" t="str">
        <f>IFERROR(__xludf.DUMMYFUNCTION("""COMPUTED_VALUE"""),"")</f>
        <v/>
      </c>
      <c r="D2774" s="7"/>
      <c r="E2774" s="7"/>
      <c r="F2774" s="9" t="str">
        <f>IFERROR(__xludf.DUMMYFUNCTION("""COMPUTED_VALUE"""),"")</f>
        <v/>
      </c>
      <c r="G2774" s="7" t="str">
        <f>IFERROR(__xludf.DUMMYFUNCTION("""COMPUTED_VALUE"""),"")</f>
        <v/>
      </c>
      <c r="H2774" s="7">
        <f t="shared" si="1"/>
        <v>1029</v>
      </c>
    </row>
    <row r="2775" ht="22.5" customHeight="1">
      <c r="B2775" s="7" t="str">
        <f>IFERROR(__xludf.DUMMYFUNCTION("""COMPUTED_VALUE"""),"")</f>
        <v/>
      </c>
      <c r="C2775" s="7" t="str">
        <f>IFERROR(__xludf.DUMMYFUNCTION("""COMPUTED_VALUE"""),"")</f>
        <v/>
      </c>
      <c r="D2775" s="7"/>
      <c r="E2775" s="7"/>
      <c r="F2775" s="9" t="str">
        <f>IFERROR(__xludf.DUMMYFUNCTION("""COMPUTED_VALUE"""),"")</f>
        <v/>
      </c>
      <c r="G2775" s="7" t="str">
        <f>IFERROR(__xludf.DUMMYFUNCTION("""COMPUTED_VALUE"""),"")</f>
        <v/>
      </c>
      <c r="H2775" s="7">
        <f t="shared" si="1"/>
        <v>1029</v>
      </c>
    </row>
    <row r="2776" ht="22.5" customHeight="1">
      <c r="B2776" s="7" t="str">
        <f>IFERROR(__xludf.DUMMYFUNCTION("""COMPUTED_VALUE"""),"")</f>
        <v/>
      </c>
      <c r="C2776" s="7" t="str">
        <f>IFERROR(__xludf.DUMMYFUNCTION("""COMPUTED_VALUE"""),"")</f>
        <v/>
      </c>
      <c r="D2776" s="7"/>
      <c r="E2776" s="7"/>
      <c r="F2776" s="9" t="str">
        <f>IFERROR(__xludf.DUMMYFUNCTION("""COMPUTED_VALUE"""),"")</f>
        <v/>
      </c>
      <c r="G2776" s="7" t="str">
        <f>IFERROR(__xludf.DUMMYFUNCTION("""COMPUTED_VALUE"""),"")</f>
        <v/>
      </c>
      <c r="H2776" s="7">
        <f t="shared" si="1"/>
        <v>1029</v>
      </c>
    </row>
    <row r="2777" ht="22.5" customHeight="1">
      <c r="B2777" s="7" t="str">
        <f>IFERROR(__xludf.DUMMYFUNCTION("""COMPUTED_VALUE"""),"")</f>
        <v/>
      </c>
      <c r="C2777" s="7" t="str">
        <f>IFERROR(__xludf.DUMMYFUNCTION("""COMPUTED_VALUE"""),"")</f>
        <v/>
      </c>
      <c r="D2777" s="7"/>
      <c r="E2777" s="7"/>
      <c r="F2777" s="9" t="str">
        <f>IFERROR(__xludf.DUMMYFUNCTION("""COMPUTED_VALUE"""),"")</f>
        <v/>
      </c>
      <c r="G2777" s="7" t="str">
        <f>IFERROR(__xludf.DUMMYFUNCTION("""COMPUTED_VALUE"""),"")</f>
        <v/>
      </c>
      <c r="H2777" s="7">
        <f t="shared" si="1"/>
        <v>1029</v>
      </c>
    </row>
    <row r="2778" ht="22.5" customHeight="1">
      <c r="B2778" s="7" t="str">
        <f>IFERROR(__xludf.DUMMYFUNCTION("""COMPUTED_VALUE"""),"")</f>
        <v/>
      </c>
      <c r="C2778" s="7" t="str">
        <f>IFERROR(__xludf.DUMMYFUNCTION("""COMPUTED_VALUE"""),"")</f>
        <v/>
      </c>
      <c r="D2778" s="7"/>
      <c r="E2778" s="7"/>
      <c r="F2778" s="9" t="str">
        <f>IFERROR(__xludf.DUMMYFUNCTION("""COMPUTED_VALUE"""),"")</f>
        <v/>
      </c>
      <c r="G2778" s="7" t="str">
        <f>IFERROR(__xludf.DUMMYFUNCTION("""COMPUTED_VALUE"""),"")</f>
        <v/>
      </c>
      <c r="H2778" s="7">
        <f t="shared" si="1"/>
        <v>1029</v>
      </c>
    </row>
    <row r="2779" ht="22.5" customHeight="1">
      <c r="B2779" s="7" t="str">
        <f>IFERROR(__xludf.DUMMYFUNCTION("""COMPUTED_VALUE"""),"")</f>
        <v/>
      </c>
      <c r="C2779" s="7" t="str">
        <f>IFERROR(__xludf.DUMMYFUNCTION("""COMPUTED_VALUE"""),"")</f>
        <v/>
      </c>
      <c r="D2779" s="7"/>
      <c r="E2779" s="7"/>
      <c r="F2779" s="9" t="str">
        <f>IFERROR(__xludf.DUMMYFUNCTION("""COMPUTED_VALUE"""),"")</f>
        <v/>
      </c>
      <c r="G2779" s="7" t="str">
        <f>IFERROR(__xludf.DUMMYFUNCTION("""COMPUTED_VALUE"""),"")</f>
        <v/>
      </c>
      <c r="H2779" s="7">
        <f t="shared" si="1"/>
        <v>1029</v>
      </c>
    </row>
    <row r="2780" ht="22.5" customHeight="1">
      <c r="B2780" s="7" t="str">
        <f>IFERROR(__xludf.DUMMYFUNCTION("""COMPUTED_VALUE"""),"")</f>
        <v/>
      </c>
      <c r="C2780" s="7" t="str">
        <f>IFERROR(__xludf.DUMMYFUNCTION("""COMPUTED_VALUE"""),"")</f>
        <v/>
      </c>
      <c r="D2780" s="7"/>
      <c r="E2780" s="7"/>
      <c r="F2780" s="9" t="str">
        <f>IFERROR(__xludf.DUMMYFUNCTION("""COMPUTED_VALUE"""),"")</f>
        <v/>
      </c>
      <c r="G2780" s="7" t="str">
        <f>IFERROR(__xludf.DUMMYFUNCTION("""COMPUTED_VALUE"""),"")</f>
        <v/>
      </c>
      <c r="H2780" s="7">
        <f t="shared" si="1"/>
        <v>1029</v>
      </c>
    </row>
    <row r="2781" ht="22.5" customHeight="1">
      <c r="B2781" s="7" t="str">
        <f>IFERROR(__xludf.DUMMYFUNCTION("""COMPUTED_VALUE"""),"")</f>
        <v/>
      </c>
      <c r="C2781" s="7" t="str">
        <f>IFERROR(__xludf.DUMMYFUNCTION("""COMPUTED_VALUE"""),"")</f>
        <v/>
      </c>
      <c r="D2781" s="7"/>
      <c r="E2781" s="7"/>
      <c r="F2781" s="9" t="str">
        <f>IFERROR(__xludf.DUMMYFUNCTION("""COMPUTED_VALUE"""),"")</f>
        <v/>
      </c>
      <c r="G2781" s="7" t="str">
        <f>IFERROR(__xludf.DUMMYFUNCTION("""COMPUTED_VALUE"""),"")</f>
        <v/>
      </c>
      <c r="H2781" s="7">
        <f t="shared" si="1"/>
        <v>1029</v>
      </c>
    </row>
    <row r="2782" ht="22.5" customHeight="1">
      <c r="B2782" s="7" t="str">
        <f>IFERROR(__xludf.DUMMYFUNCTION("""COMPUTED_VALUE"""),"")</f>
        <v/>
      </c>
      <c r="C2782" s="7" t="str">
        <f>IFERROR(__xludf.DUMMYFUNCTION("""COMPUTED_VALUE"""),"")</f>
        <v/>
      </c>
      <c r="D2782" s="7"/>
      <c r="E2782" s="7"/>
      <c r="F2782" s="9" t="str">
        <f>IFERROR(__xludf.DUMMYFUNCTION("""COMPUTED_VALUE"""),"")</f>
        <v/>
      </c>
      <c r="G2782" s="7" t="str">
        <f>IFERROR(__xludf.DUMMYFUNCTION("""COMPUTED_VALUE"""),"")</f>
        <v/>
      </c>
      <c r="H2782" s="7">
        <f t="shared" si="1"/>
        <v>1029</v>
      </c>
    </row>
    <row r="2783" ht="22.5" customHeight="1">
      <c r="B2783" s="7" t="str">
        <f>IFERROR(__xludf.DUMMYFUNCTION("""COMPUTED_VALUE"""),"")</f>
        <v/>
      </c>
      <c r="C2783" s="7" t="str">
        <f>IFERROR(__xludf.DUMMYFUNCTION("""COMPUTED_VALUE"""),"")</f>
        <v/>
      </c>
      <c r="D2783" s="7"/>
      <c r="E2783" s="7"/>
      <c r="F2783" s="9" t="str">
        <f>IFERROR(__xludf.DUMMYFUNCTION("""COMPUTED_VALUE"""),"")</f>
        <v/>
      </c>
      <c r="G2783" s="7" t="str">
        <f>IFERROR(__xludf.DUMMYFUNCTION("""COMPUTED_VALUE"""),"")</f>
        <v/>
      </c>
      <c r="H2783" s="7">
        <f t="shared" si="1"/>
        <v>1029</v>
      </c>
    </row>
    <row r="2784" ht="22.5" customHeight="1">
      <c r="B2784" s="7" t="str">
        <f>IFERROR(__xludf.DUMMYFUNCTION("""COMPUTED_VALUE"""),"")</f>
        <v/>
      </c>
      <c r="C2784" s="7" t="str">
        <f>IFERROR(__xludf.DUMMYFUNCTION("""COMPUTED_VALUE"""),"")</f>
        <v/>
      </c>
      <c r="D2784" s="7"/>
      <c r="E2784" s="7"/>
      <c r="F2784" s="9" t="str">
        <f>IFERROR(__xludf.DUMMYFUNCTION("""COMPUTED_VALUE"""),"")</f>
        <v/>
      </c>
      <c r="G2784" s="7" t="str">
        <f>IFERROR(__xludf.DUMMYFUNCTION("""COMPUTED_VALUE"""),"")</f>
        <v/>
      </c>
      <c r="H2784" s="7">
        <f t="shared" si="1"/>
        <v>1029</v>
      </c>
    </row>
    <row r="2785" ht="22.5" customHeight="1">
      <c r="B2785" s="7" t="str">
        <f>IFERROR(__xludf.DUMMYFUNCTION("""COMPUTED_VALUE"""),"")</f>
        <v/>
      </c>
      <c r="C2785" s="7" t="str">
        <f>IFERROR(__xludf.DUMMYFUNCTION("""COMPUTED_VALUE"""),"")</f>
        <v/>
      </c>
      <c r="D2785" s="7"/>
      <c r="E2785" s="7"/>
      <c r="F2785" s="9" t="str">
        <f>IFERROR(__xludf.DUMMYFUNCTION("""COMPUTED_VALUE"""),"")</f>
        <v/>
      </c>
      <c r="G2785" s="7" t="str">
        <f>IFERROR(__xludf.DUMMYFUNCTION("""COMPUTED_VALUE"""),"")</f>
        <v/>
      </c>
      <c r="H2785" s="7">
        <f t="shared" si="1"/>
        <v>1029</v>
      </c>
    </row>
    <row r="2786" ht="22.5" customHeight="1">
      <c r="B2786" s="7" t="str">
        <f>IFERROR(__xludf.DUMMYFUNCTION("""COMPUTED_VALUE"""),"")</f>
        <v/>
      </c>
      <c r="C2786" s="7" t="str">
        <f>IFERROR(__xludf.DUMMYFUNCTION("""COMPUTED_VALUE"""),"")</f>
        <v/>
      </c>
      <c r="D2786" s="7"/>
      <c r="E2786" s="7"/>
      <c r="F2786" s="9" t="str">
        <f>IFERROR(__xludf.DUMMYFUNCTION("""COMPUTED_VALUE"""),"")</f>
        <v/>
      </c>
      <c r="G2786" s="7" t="str">
        <f>IFERROR(__xludf.DUMMYFUNCTION("""COMPUTED_VALUE"""),"")</f>
        <v/>
      </c>
      <c r="H2786" s="7">
        <f t="shared" si="1"/>
        <v>1029</v>
      </c>
    </row>
    <row r="2787" ht="22.5" customHeight="1">
      <c r="B2787" s="7" t="str">
        <f>IFERROR(__xludf.DUMMYFUNCTION("""COMPUTED_VALUE"""),"")</f>
        <v/>
      </c>
      <c r="C2787" s="7" t="str">
        <f>IFERROR(__xludf.DUMMYFUNCTION("""COMPUTED_VALUE"""),"")</f>
        <v/>
      </c>
      <c r="D2787" s="7"/>
      <c r="E2787" s="7"/>
      <c r="F2787" s="9" t="str">
        <f>IFERROR(__xludf.DUMMYFUNCTION("""COMPUTED_VALUE"""),"")</f>
        <v/>
      </c>
      <c r="G2787" s="7" t="str">
        <f>IFERROR(__xludf.DUMMYFUNCTION("""COMPUTED_VALUE"""),"")</f>
        <v/>
      </c>
      <c r="H2787" s="7">
        <f t="shared" si="1"/>
        <v>1029</v>
      </c>
    </row>
    <row r="2788" ht="22.5" customHeight="1">
      <c r="B2788" s="7" t="str">
        <f>IFERROR(__xludf.DUMMYFUNCTION("""COMPUTED_VALUE"""),"")</f>
        <v/>
      </c>
      <c r="C2788" s="7" t="str">
        <f>IFERROR(__xludf.DUMMYFUNCTION("""COMPUTED_VALUE"""),"")</f>
        <v/>
      </c>
      <c r="D2788" s="7"/>
      <c r="E2788" s="7"/>
      <c r="F2788" s="9" t="str">
        <f>IFERROR(__xludf.DUMMYFUNCTION("""COMPUTED_VALUE"""),"")</f>
        <v/>
      </c>
      <c r="G2788" s="7" t="str">
        <f>IFERROR(__xludf.DUMMYFUNCTION("""COMPUTED_VALUE"""),"")</f>
        <v/>
      </c>
      <c r="H2788" s="7">
        <f t="shared" si="1"/>
        <v>1029</v>
      </c>
    </row>
    <row r="2789" ht="22.5" customHeight="1">
      <c r="B2789" s="7" t="str">
        <f>IFERROR(__xludf.DUMMYFUNCTION("""COMPUTED_VALUE"""),"")</f>
        <v/>
      </c>
      <c r="C2789" s="7" t="str">
        <f>IFERROR(__xludf.DUMMYFUNCTION("""COMPUTED_VALUE"""),"")</f>
        <v/>
      </c>
      <c r="D2789" s="7"/>
      <c r="E2789" s="7"/>
      <c r="F2789" s="9" t="str">
        <f>IFERROR(__xludf.DUMMYFUNCTION("""COMPUTED_VALUE"""),"")</f>
        <v/>
      </c>
      <c r="G2789" s="7" t="str">
        <f>IFERROR(__xludf.DUMMYFUNCTION("""COMPUTED_VALUE"""),"")</f>
        <v/>
      </c>
      <c r="H2789" s="7">
        <f t="shared" si="1"/>
        <v>1029</v>
      </c>
    </row>
    <row r="2790" ht="22.5" customHeight="1">
      <c r="B2790" s="7" t="str">
        <f>IFERROR(__xludf.DUMMYFUNCTION("""COMPUTED_VALUE"""),"")</f>
        <v/>
      </c>
      <c r="C2790" s="7" t="str">
        <f>IFERROR(__xludf.DUMMYFUNCTION("""COMPUTED_VALUE"""),"")</f>
        <v/>
      </c>
      <c r="D2790" s="7"/>
      <c r="E2790" s="7"/>
      <c r="F2790" s="9" t="str">
        <f>IFERROR(__xludf.DUMMYFUNCTION("""COMPUTED_VALUE"""),"")</f>
        <v/>
      </c>
      <c r="G2790" s="7" t="str">
        <f>IFERROR(__xludf.DUMMYFUNCTION("""COMPUTED_VALUE"""),"")</f>
        <v/>
      </c>
      <c r="H2790" s="7">
        <f t="shared" si="1"/>
        <v>1029</v>
      </c>
    </row>
    <row r="2791" ht="22.5" customHeight="1">
      <c r="B2791" s="7" t="str">
        <f>IFERROR(__xludf.DUMMYFUNCTION("""COMPUTED_VALUE"""),"")</f>
        <v/>
      </c>
      <c r="C2791" s="7" t="str">
        <f>IFERROR(__xludf.DUMMYFUNCTION("""COMPUTED_VALUE"""),"")</f>
        <v/>
      </c>
      <c r="D2791" s="7"/>
      <c r="E2791" s="7"/>
      <c r="F2791" s="9" t="str">
        <f>IFERROR(__xludf.DUMMYFUNCTION("""COMPUTED_VALUE"""),"")</f>
        <v/>
      </c>
      <c r="G2791" s="7" t="str">
        <f>IFERROR(__xludf.DUMMYFUNCTION("""COMPUTED_VALUE"""),"")</f>
        <v/>
      </c>
      <c r="H2791" s="7">
        <f t="shared" si="1"/>
        <v>1029</v>
      </c>
    </row>
    <row r="2792" ht="22.5" customHeight="1">
      <c r="B2792" s="7" t="str">
        <f>IFERROR(__xludf.DUMMYFUNCTION("""COMPUTED_VALUE"""),"")</f>
        <v/>
      </c>
      <c r="C2792" s="7" t="str">
        <f>IFERROR(__xludf.DUMMYFUNCTION("""COMPUTED_VALUE"""),"")</f>
        <v/>
      </c>
      <c r="D2792" s="7"/>
      <c r="E2792" s="7"/>
      <c r="F2792" s="9" t="str">
        <f>IFERROR(__xludf.DUMMYFUNCTION("""COMPUTED_VALUE"""),"")</f>
        <v/>
      </c>
      <c r="G2792" s="7" t="str">
        <f>IFERROR(__xludf.DUMMYFUNCTION("""COMPUTED_VALUE"""),"")</f>
        <v/>
      </c>
      <c r="H2792" s="7">
        <f t="shared" si="1"/>
        <v>1029</v>
      </c>
    </row>
    <row r="2793" ht="22.5" customHeight="1">
      <c r="B2793" s="7" t="str">
        <f>IFERROR(__xludf.DUMMYFUNCTION("""COMPUTED_VALUE"""),"")</f>
        <v/>
      </c>
      <c r="C2793" s="7" t="str">
        <f>IFERROR(__xludf.DUMMYFUNCTION("""COMPUTED_VALUE"""),"")</f>
        <v/>
      </c>
      <c r="D2793" s="7"/>
      <c r="E2793" s="7"/>
      <c r="F2793" s="9" t="str">
        <f>IFERROR(__xludf.DUMMYFUNCTION("""COMPUTED_VALUE"""),"")</f>
        <v/>
      </c>
      <c r="G2793" s="7" t="str">
        <f>IFERROR(__xludf.DUMMYFUNCTION("""COMPUTED_VALUE"""),"")</f>
        <v/>
      </c>
      <c r="H2793" s="7">
        <f t="shared" si="1"/>
        <v>1029</v>
      </c>
    </row>
    <row r="2794" ht="22.5" customHeight="1">
      <c r="B2794" s="7" t="str">
        <f>IFERROR(__xludf.DUMMYFUNCTION("""COMPUTED_VALUE"""),"")</f>
        <v/>
      </c>
      <c r="C2794" s="7" t="str">
        <f>IFERROR(__xludf.DUMMYFUNCTION("""COMPUTED_VALUE"""),"")</f>
        <v/>
      </c>
      <c r="D2794" s="7"/>
      <c r="E2794" s="7"/>
      <c r="F2794" s="9" t="str">
        <f>IFERROR(__xludf.DUMMYFUNCTION("""COMPUTED_VALUE"""),"")</f>
        <v/>
      </c>
      <c r="G2794" s="7" t="str">
        <f>IFERROR(__xludf.DUMMYFUNCTION("""COMPUTED_VALUE"""),"")</f>
        <v/>
      </c>
      <c r="H2794" s="7">
        <f t="shared" si="1"/>
        <v>1029</v>
      </c>
    </row>
    <row r="2795" ht="22.5" customHeight="1">
      <c r="B2795" s="7" t="str">
        <f>IFERROR(__xludf.DUMMYFUNCTION("""COMPUTED_VALUE"""),"")</f>
        <v/>
      </c>
      <c r="C2795" s="7" t="str">
        <f>IFERROR(__xludf.DUMMYFUNCTION("""COMPUTED_VALUE"""),"")</f>
        <v/>
      </c>
      <c r="D2795" s="7"/>
      <c r="E2795" s="7"/>
      <c r="F2795" s="9" t="str">
        <f>IFERROR(__xludf.DUMMYFUNCTION("""COMPUTED_VALUE"""),"")</f>
        <v/>
      </c>
      <c r="G2795" s="7" t="str">
        <f>IFERROR(__xludf.DUMMYFUNCTION("""COMPUTED_VALUE"""),"")</f>
        <v/>
      </c>
      <c r="H2795" s="7">
        <f t="shared" si="1"/>
        <v>1029</v>
      </c>
    </row>
    <row r="2796" ht="22.5" customHeight="1">
      <c r="B2796" s="7" t="str">
        <f>IFERROR(__xludf.DUMMYFUNCTION("""COMPUTED_VALUE"""),"")</f>
        <v/>
      </c>
      <c r="C2796" s="7" t="str">
        <f>IFERROR(__xludf.DUMMYFUNCTION("""COMPUTED_VALUE"""),"")</f>
        <v/>
      </c>
      <c r="D2796" s="7"/>
      <c r="E2796" s="7"/>
      <c r="F2796" s="9" t="str">
        <f>IFERROR(__xludf.DUMMYFUNCTION("""COMPUTED_VALUE"""),"")</f>
        <v/>
      </c>
      <c r="G2796" s="7" t="str">
        <f>IFERROR(__xludf.DUMMYFUNCTION("""COMPUTED_VALUE"""),"")</f>
        <v/>
      </c>
      <c r="H2796" s="7">
        <f t="shared" si="1"/>
        <v>1029</v>
      </c>
    </row>
    <row r="2797" ht="22.5" customHeight="1">
      <c r="B2797" s="7" t="str">
        <f>IFERROR(__xludf.DUMMYFUNCTION("""COMPUTED_VALUE"""),"")</f>
        <v/>
      </c>
      <c r="C2797" s="7" t="str">
        <f>IFERROR(__xludf.DUMMYFUNCTION("""COMPUTED_VALUE"""),"")</f>
        <v/>
      </c>
      <c r="D2797" s="7"/>
      <c r="E2797" s="7"/>
      <c r="F2797" s="9" t="str">
        <f>IFERROR(__xludf.DUMMYFUNCTION("""COMPUTED_VALUE"""),"")</f>
        <v/>
      </c>
      <c r="G2797" s="7" t="str">
        <f>IFERROR(__xludf.DUMMYFUNCTION("""COMPUTED_VALUE"""),"")</f>
        <v/>
      </c>
      <c r="H2797" s="7">
        <f t="shared" si="1"/>
        <v>1029</v>
      </c>
    </row>
    <row r="2798" ht="22.5" customHeight="1">
      <c r="B2798" s="7" t="str">
        <f>IFERROR(__xludf.DUMMYFUNCTION("""COMPUTED_VALUE"""),"")</f>
        <v/>
      </c>
      <c r="C2798" s="7" t="str">
        <f>IFERROR(__xludf.DUMMYFUNCTION("""COMPUTED_VALUE"""),"")</f>
        <v/>
      </c>
      <c r="D2798" s="7"/>
      <c r="E2798" s="7"/>
      <c r="F2798" s="9" t="str">
        <f>IFERROR(__xludf.DUMMYFUNCTION("""COMPUTED_VALUE"""),"")</f>
        <v/>
      </c>
      <c r="G2798" s="7" t="str">
        <f>IFERROR(__xludf.DUMMYFUNCTION("""COMPUTED_VALUE"""),"")</f>
        <v/>
      </c>
      <c r="H2798" s="7">
        <f t="shared" si="1"/>
        <v>1029</v>
      </c>
    </row>
    <row r="2799" ht="22.5" customHeight="1">
      <c r="B2799" s="7" t="str">
        <f>IFERROR(__xludf.DUMMYFUNCTION("""COMPUTED_VALUE"""),"")</f>
        <v/>
      </c>
      <c r="C2799" s="7" t="str">
        <f>IFERROR(__xludf.DUMMYFUNCTION("""COMPUTED_VALUE"""),"")</f>
        <v/>
      </c>
      <c r="D2799" s="7"/>
      <c r="E2799" s="7"/>
      <c r="F2799" s="9" t="str">
        <f>IFERROR(__xludf.DUMMYFUNCTION("""COMPUTED_VALUE"""),"")</f>
        <v/>
      </c>
      <c r="G2799" s="7" t="str">
        <f>IFERROR(__xludf.DUMMYFUNCTION("""COMPUTED_VALUE"""),"")</f>
        <v/>
      </c>
      <c r="H2799" s="7">
        <f t="shared" si="1"/>
        <v>1029</v>
      </c>
    </row>
    <row r="2800" ht="22.5" customHeight="1">
      <c r="B2800" s="7" t="str">
        <f>IFERROR(__xludf.DUMMYFUNCTION("""COMPUTED_VALUE"""),"")</f>
        <v/>
      </c>
      <c r="C2800" s="7" t="str">
        <f>IFERROR(__xludf.DUMMYFUNCTION("""COMPUTED_VALUE"""),"")</f>
        <v/>
      </c>
      <c r="D2800" s="7"/>
      <c r="E2800" s="7"/>
      <c r="F2800" s="9" t="str">
        <f>IFERROR(__xludf.DUMMYFUNCTION("""COMPUTED_VALUE"""),"")</f>
        <v/>
      </c>
      <c r="G2800" s="7" t="str">
        <f>IFERROR(__xludf.DUMMYFUNCTION("""COMPUTED_VALUE"""),"")</f>
        <v/>
      </c>
      <c r="H2800" s="7">
        <f t="shared" si="1"/>
        <v>1029</v>
      </c>
    </row>
    <row r="2801" ht="22.5" customHeight="1">
      <c r="B2801" s="7" t="str">
        <f>IFERROR(__xludf.DUMMYFUNCTION("""COMPUTED_VALUE"""),"")</f>
        <v/>
      </c>
      <c r="C2801" s="7" t="str">
        <f>IFERROR(__xludf.DUMMYFUNCTION("""COMPUTED_VALUE"""),"")</f>
        <v/>
      </c>
      <c r="D2801" s="7"/>
      <c r="E2801" s="7"/>
      <c r="F2801" s="9" t="str">
        <f>IFERROR(__xludf.DUMMYFUNCTION("""COMPUTED_VALUE"""),"")</f>
        <v/>
      </c>
      <c r="G2801" s="7" t="str">
        <f>IFERROR(__xludf.DUMMYFUNCTION("""COMPUTED_VALUE"""),"")</f>
        <v/>
      </c>
      <c r="H2801" s="7">
        <f t="shared" si="1"/>
        <v>1029</v>
      </c>
    </row>
    <row r="2802" ht="22.5" customHeight="1">
      <c r="B2802" s="7" t="str">
        <f>IFERROR(__xludf.DUMMYFUNCTION("""COMPUTED_VALUE"""),"")</f>
        <v/>
      </c>
      <c r="C2802" s="7" t="str">
        <f>IFERROR(__xludf.DUMMYFUNCTION("""COMPUTED_VALUE"""),"")</f>
        <v/>
      </c>
      <c r="D2802" s="7"/>
      <c r="E2802" s="7"/>
      <c r="F2802" s="9" t="str">
        <f>IFERROR(__xludf.DUMMYFUNCTION("""COMPUTED_VALUE"""),"")</f>
        <v/>
      </c>
      <c r="G2802" s="7" t="str">
        <f>IFERROR(__xludf.DUMMYFUNCTION("""COMPUTED_VALUE"""),"")</f>
        <v/>
      </c>
      <c r="H2802" s="7">
        <f t="shared" si="1"/>
        <v>1029</v>
      </c>
    </row>
    <row r="2803" ht="22.5" customHeight="1">
      <c r="B2803" s="7" t="str">
        <f>IFERROR(__xludf.DUMMYFUNCTION("""COMPUTED_VALUE"""),"")</f>
        <v/>
      </c>
      <c r="C2803" s="7" t="str">
        <f>IFERROR(__xludf.DUMMYFUNCTION("""COMPUTED_VALUE"""),"")</f>
        <v/>
      </c>
      <c r="D2803" s="7"/>
      <c r="E2803" s="7"/>
      <c r="F2803" s="9" t="str">
        <f>IFERROR(__xludf.DUMMYFUNCTION("""COMPUTED_VALUE"""),"")</f>
        <v/>
      </c>
      <c r="G2803" s="7" t="str">
        <f>IFERROR(__xludf.DUMMYFUNCTION("""COMPUTED_VALUE"""),"")</f>
        <v/>
      </c>
      <c r="H2803" s="7">
        <f t="shared" si="1"/>
        <v>1029</v>
      </c>
    </row>
    <row r="2804" ht="22.5" customHeight="1">
      <c r="B2804" s="7" t="str">
        <f>IFERROR(__xludf.DUMMYFUNCTION("""COMPUTED_VALUE"""),"")</f>
        <v/>
      </c>
      <c r="C2804" s="7" t="str">
        <f>IFERROR(__xludf.DUMMYFUNCTION("""COMPUTED_VALUE"""),"")</f>
        <v/>
      </c>
      <c r="D2804" s="7"/>
      <c r="E2804" s="7"/>
      <c r="F2804" s="9" t="str">
        <f>IFERROR(__xludf.DUMMYFUNCTION("""COMPUTED_VALUE"""),"")</f>
        <v/>
      </c>
      <c r="G2804" s="7" t="str">
        <f>IFERROR(__xludf.DUMMYFUNCTION("""COMPUTED_VALUE"""),"")</f>
        <v/>
      </c>
      <c r="H2804" s="7">
        <f t="shared" si="1"/>
        <v>1029</v>
      </c>
    </row>
    <row r="2805" ht="22.5" customHeight="1">
      <c r="B2805" s="7" t="str">
        <f>IFERROR(__xludf.DUMMYFUNCTION("""COMPUTED_VALUE"""),"")</f>
        <v/>
      </c>
      <c r="C2805" s="7" t="str">
        <f>IFERROR(__xludf.DUMMYFUNCTION("""COMPUTED_VALUE"""),"")</f>
        <v/>
      </c>
      <c r="D2805" s="7"/>
      <c r="E2805" s="7"/>
      <c r="F2805" s="9" t="str">
        <f>IFERROR(__xludf.DUMMYFUNCTION("""COMPUTED_VALUE"""),"")</f>
        <v/>
      </c>
      <c r="G2805" s="7" t="str">
        <f>IFERROR(__xludf.DUMMYFUNCTION("""COMPUTED_VALUE"""),"")</f>
        <v/>
      </c>
      <c r="H2805" s="7">
        <f t="shared" si="1"/>
        <v>1029</v>
      </c>
    </row>
    <row r="2806" ht="22.5" customHeight="1">
      <c r="B2806" s="7" t="str">
        <f>IFERROR(__xludf.DUMMYFUNCTION("""COMPUTED_VALUE"""),"")</f>
        <v/>
      </c>
      <c r="C2806" s="7" t="str">
        <f>IFERROR(__xludf.DUMMYFUNCTION("""COMPUTED_VALUE"""),"")</f>
        <v/>
      </c>
      <c r="D2806" s="7"/>
      <c r="E2806" s="7"/>
      <c r="F2806" s="9" t="str">
        <f>IFERROR(__xludf.DUMMYFUNCTION("""COMPUTED_VALUE"""),"")</f>
        <v/>
      </c>
      <c r="G2806" s="7" t="str">
        <f>IFERROR(__xludf.DUMMYFUNCTION("""COMPUTED_VALUE"""),"")</f>
        <v/>
      </c>
      <c r="H2806" s="7">
        <f t="shared" si="1"/>
        <v>1029</v>
      </c>
    </row>
    <row r="2807" ht="22.5" customHeight="1">
      <c r="B2807" s="7" t="str">
        <f>IFERROR(__xludf.DUMMYFUNCTION("""COMPUTED_VALUE"""),"")</f>
        <v/>
      </c>
      <c r="C2807" s="7" t="str">
        <f>IFERROR(__xludf.DUMMYFUNCTION("""COMPUTED_VALUE"""),"")</f>
        <v/>
      </c>
      <c r="D2807" s="7"/>
      <c r="E2807" s="7"/>
      <c r="F2807" s="9" t="str">
        <f>IFERROR(__xludf.DUMMYFUNCTION("""COMPUTED_VALUE"""),"")</f>
        <v/>
      </c>
      <c r="G2807" s="7" t="str">
        <f>IFERROR(__xludf.DUMMYFUNCTION("""COMPUTED_VALUE"""),"")</f>
        <v/>
      </c>
      <c r="H2807" s="7">
        <f t="shared" si="1"/>
        <v>1029</v>
      </c>
    </row>
    <row r="2808" ht="22.5" customHeight="1">
      <c r="B2808" s="7" t="str">
        <f>IFERROR(__xludf.DUMMYFUNCTION("""COMPUTED_VALUE"""),"")</f>
        <v/>
      </c>
      <c r="C2808" s="7" t="str">
        <f>IFERROR(__xludf.DUMMYFUNCTION("""COMPUTED_VALUE"""),"")</f>
        <v/>
      </c>
      <c r="D2808" s="7"/>
      <c r="E2808" s="7"/>
      <c r="F2808" s="9" t="str">
        <f>IFERROR(__xludf.DUMMYFUNCTION("""COMPUTED_VALUE"""),"")</f>
        <v/>
      </c>
      <c r="G2808" s="7" t="str">
        <f>IFERROR(__xludf.DUMMYFUNCTION("""COMPUTED_VALUE"""),"")</f>
        <v/>
      </c>
      <c r="H2808" s="7">
        <f t="shared" si="1"/>
        <v>1029</v>
      </c>
    </row>
    <row r="2809" ht="22.5" customHeight="1">
      <c r="B2809" s="7" t="str">
        <f>IFERROR(__xludf.DUMMYFUNCTION("""COMPUTED_VALUE"""),"")</f>
        <v/>
      </c>
      <c r="C2809" s="7" t="str">
        <f>IFERROR(__xludf.DUMMYFUNCTION("""COMPUTED_VALUE"""),"")</f>
        <v/>
      </c>
      <c r="D2809" s="7"/>
      <c r="E2809" s="7"/>
      <c r="F2809" s="9" t="str">
        <f>IFERROR(__xludf.DUMMYFUNCTION("""COMPUTED_VALUE"""),"")</f>
        <v/>
      </c>
      <c r="G2809" s="7" t="str">
        <f>IFERROR(__xludf.DUMMYFUNCTION("""COMPUTED_VALUE"""),"")</f>
        <v/>
      </c>
      <c r="H2809" s="7">
        <f t="shared" si="1"/>
        <v>1029</v>
      </c>
    </row>
    <row r="2810" ht="22.5" customHeight="1">
      <c r="B2810" s="7" t="str">
        <f>IFERROR(__xludf.DUMMYFUNCTION("""COMPUTED_VALUE"""),"")</f>
        <v/>
      </c>
      <c r="C2810" s="7" t="str">
        <f>IFERROR(__xludf.DUMMYFUNCTION("""COMPUTED_VALUE"""),"")</f>
        <v/>
      </c>
      <c r="D2810" s="7"/>
      <c r="E2810" s="7"/>
      <c r="F2810" s="9" t="str">
        <f>IFERROR(__xludf.DUMMYFUNCTION("""COMPUTED_VALUE"""),"")</f>
        <v/>
      </c>
      <c r="G2810" s="7" t="str">
        <f>IFERROR(__xludf.DUMMYFUNCTION("""COMPUTED_VALUE"""),"")</f>
        <v/>
      </c>
      <c r="H2810" s="7">
        <f t="shared" si="1"/>
        <v>1029</v>
      </c>
    </row>
    <row r="2811" ht="22.5" customHeight="1">
      <c r="B2811" s="7" t="str">
        <f>IFERROR(__xludf.DUMMYFUNCTION("""COMPUTED_VALUE"""),"")</f>
        <v/>
      </c>
      <c r="C2811" s="7" t="str">
        <f>IFERROR(__xludf.DUMMYFUNCTION("""COMPUTED_VALUE"""),"")</f>
        <v/>
      </c>
      <c r="D2811" s="7"/>
      <c r="E2811" s="7"/>
      <c r="F2811" s="9" t="str">
        <f>IFERROR(__xludf.DUMMYFUNCTION("""COMPUTED_VALUE"""),"")</f>
        <v/>
      </c>
      <c r="G2811" s="7" t="str">
        <f>IFERROR(__xludf.DUMMYFUNCTION("""COMPUTED_VALUE"""),"")</f>
        <v/>
      </c>
      <c r="H2811" s="7">
        <f t="shared" si="1"/>
        <v>1029</v>
      </c>
    </row>
    <row r="2812" ht="22.5" customHeight="1">
      <c r="B2812" s="7" t="str">
        <f>IFERROR(__xludf.DUMMYFUNCTION("""COMPUTED_VALUE"""),"")</f>
        <v/>
      </c>
      <c r="C2812" s="7" t="str">
        <f>IFERROR(__xludf.DUMMYFUNCTION("""COMPUTED_VALUE"""),"")</f>
        <v/>
      </c>
      <c r="D2812" s="7"/>
      <c r="E2812" s="7"/>
      <c r="F2812" s="9" t="str">
        <f>IFERROR(__xludf.DUMMYFUNCTION("""COMPUTED_VALUE"""),"")</f>
        <v/>
      </c>
      <c r="G2812" s="7" t="str">
        <f>IFERROR(__xludf.DUMMYFUNCTION("""COMPUTED_VALUE"""),"")</f>
        <v/>
      </c>
      <c r="H2812" s="7">
        <f t="shared" si="1"/>
        <v>1029</v>
      </c>
    </row>
    <row r="2813" ht="22.5" customHeight="1">
      <c r="B2813" s="7" t="str">
        <f>IFERROR(__xludf.DUMMYFUNCTION("""COMPUTED_VALUE"""),"")</f>
        <v/>
      </c>
      <c r="C2813" s="7" t="str">
        <f>IFERROR(__xludf.DUMMYFUNCTION("""COMPUTED_VALUE"""),"")</f>
        <v/>
      </c>
      <c r="D2813" s="7"/>
      <c r="E2813" s="7"/>
      <c r="F2813" s="9" t="str">
        <f>IFERROR(__xludf.DUMMYFUNCTION("""COMPUTED_VALUE"""),"")</f>
        <v/>
      </c>
      <c r="G2813" s="7" t="str">
        <f>IFERROR(__xludf.DUMMYFUNCTION("""COMPUTED_VALUE"""),"")</f>
        <v/>
      </c>
      <c r="H2813" s="7">
        <f t="shared" si="1"/>
        <v>1029</v>
      </c>
    </row>
    <row r="2814" ht="22.5" customHeight="1">
      <c r="B2814" s="7" t="str">
        <f>IFERROR(__xludf.DUMMYFUNCTION("""COMPUTED_VALUE"""),"")</f>
        <v/>
      </c>
      <c r="C2814" s="7" t="str">
        <f>IFERROR(__xludf.DUMMYFUNCTION("""COMPUTED_VALUE"""),"")</f>
        <v/>
      </c>
      <c r="D2814" s="7"/>
      <c r="E2814" s="7"/>
      <c r="F2814" s="9" t="str">
        <f>IFERROR(__xludf.DUMMYFUNCTION("""COMPUTED_VALUE"""),"")</f>
        <v/>
      </c>
      <c r="G2814" s="7" t="str">
        <f>IFERROR(__xludf.DUMMYFUNCTION("""COMPUTED_VALUE"""),"")</f>
        <v/>
      </c>
      <c r="H2814" s="7">
        <f t="shared" si="1"/>
        <v>1029</v>
      </c>
    </row>
    <row r="2815" ht="22.5" customHeight="1">
      <c r="B2815" s="7" t="str">
        <f>IFERROR(__xludf.DUMMYFUNCTION("""COMPUTED_VALUE"""),"")</f>
        <v/>
      </c>
      <c r="C2815" s="7" t="str">
        <f>IFERROR(__xludf.DUMMYFUNCTION("""COMPUTED_VALUE"""),"")</f>
        <v/>
      </c>
      <c r="D2815" s="7"/>
      <c r="E2815" s="7"/>
      <c r="F2815" s="9" t="str">
        <f>IFERROR(__xludf.DUMMYFUNCTION("""COMPUTED_VALUE"""),"")</f>
        <v/>
      </c>
      <c r="G2815" s="7" t="str">
        <f>IFERROR(__xludf.DUMMYFUNCTION("""COMPUTED_VALUE"""),"")</f>
        <v/>
      </c>
      <c r="H2815" s="7">
        <f t="shared" si="1"/>
        <v>1029</v>
      </c>
    </row>
    <row r="2816" ht="22.5" customHeight="1">
      <c r="B2816" s="7" t="str">
        <f>IFERROR(__xludf.DUMMYFUNCTION("""COMPUTED_VALUE"""),"")</f>
        <v/>
      </c>
      <c r="C2816" s="7" t="str">
        <f>IFERROR(__xludf.DUMMYFUNCTION("""COMPUTED_VALUE"""),"")</f>
        <v/>
      </c>
      <c r="D2816" s="7"/>
      <c r="E2816" s="7"/>
      <c r="F2816" s="9" t="str">
        <f>IFERROR(__xludf.DUMMYFUNCTION("""COMPUTED_VALUE"""),"")</f>
        <v/>
      </c>
      <c r="G2816" s="7" t="str">
        <f>IFERROR(__xludf.DUMMYFUNCTION("""COMPUTED_VALUE"""),"")</f>
        <v/>
      </c>
      <c r="H2816" s="7">
        <f t="shared" si="1"/>
        <v>1029</v>
      </c>
    </row>
    <row r="2817" ht="22.5" customHeight="1">
      <c r="B2817" s="7" t="str">
        <f>IFERROR(__xludf.DUMMYFUNCTION("""COMPUTED_VALUE"""),"")</f>
        <v/>
      </c>
      <c r="C2817" s="7" t="str">
        <f>IFERROR(__xludf.DUMMYFUNCTION("""COMPUTED_VALUE"""),"")</f>
        <v/>
      </c>
      <c r="D2817" s="7"/>
      <c r="E2817" s="7"/>
      <c r="F2817" s="9" t="str">
        <f>IFERROR(__xludf.DUMMYFUNCTION("""COMPUTED_VALUE"""),"")</f>
        <v/>
      </c>
      <c r="G2817" s="7" t="str">
        <f>IFERROR(__xludf.DUMMYFUNCTION("""COMPUTED_VALUE"""),"")</f>
        <v/>
      </c>
      <c r="H2817" s="7">
        <f t="shared" si="1"/>
        <v>1029</v>
      </c>
    </row>
    <row r="2818" ht="22.5" customHeight="1">
      <c r="B2818" s="7" t="str">
        <f>IFERROR(__xludf.DUMMYFUNCTION("""COMPUTED_VALUE"""),"")</f>
        <v/>
      </c>
      <c r="C2818" s="7" t="str">
        <f>IFERROR(__xludf.DUMMYFUNCTION("""COMPUTED_VALUE"""),"")</f>
        <v/>
      </c>
      <c r="D2818" s="7"/>
      <c r="E2818" s="7"/>
      <c r="F2818" s="9" t="str">
        <f>IFERROR(__xludf.DUMMYFUNCTION("""COMPUTED_VALUE"""),"")</f>
        <v/>
      </c>
      <c r="G2818" s="7" t="str">
        <f>IFERROR(__xludf.DUMMYFUNCTION("""COMPUTED_VALUE"""),"")</f>
        <v/>
      </c>
      <c r="H2818" s="7">
        <f t="shared" si="1"/>
        <v>1029</v>
      </c>
    </row>
    <row r="2819" ht="22.5" customHeight="1">
      <c r="B2819" s="7" t="str">
        <f>IFERROR(__xludf.DUMMYFUNCTION("""COMPUTED_VALUE"""),"")</f>
        <v/>
      </c>
      <c r="C2819" s="7" t="str">
        <f>IFERROR(__xludf.DUMMYFUNCTION("""COMPUTED_VALUE"""),"")</f>
        <v/>
      </c>
      <c r="D2819" s="7"/>
      <c r="E2819" s="7"/>
      <c r="F2819" s="9" t="str">
        <f>IFERROR(__xludf.DUMMYFUNCTION("""COMPUTED_VALUE"""),"")</f>
        <v/>
      </c>
      <c r="G2819" s="7" t="str">
        <f>IFERROR(__xludf.DUMMYFUNCTION("""COMPUTED_VALUE"""),"")</f>
        <v/>
      </c>
      <c r="H2819" s="7">
        <f t="shared" si="1"/>
        <v>1029</v>
      </c>
    </row>
    <row r="2820" ht="22.5" customHeight="1">
      <c r="B2820" s="7" t="str">
        <f>IFERROR(__xludf.DUMMYFUNCTION("""COMPUTED_VALUE"""),"")</f>
        <v/>
      </c>
      <c r="C2820" s="7" t="str">
        <f>IFERROR(__xludf.DUMMYFUNCTION("""COMPUTED_VALUE"""),"")</f>
        <v/>
      </c>
      <c r="D2820" s="7"/>
      <c r="E2820" s="7"/>
      <c r="F2820" s="9" t="str">
        <f>IFERROR(__xludf.DUMMYFUNCTION("""COMPUTED_VALUE"""),"")</f>
        <v/>
      </c>
      <c r="G2820" s="7" t="str">
        <f>IFERROR(__xludf.DUMMYFUNCTION("""COMPUTED_VALUE"""),"")</f>
        <v/>
      </c>
      <c r="H2820" s="7">
        <f t="shared" si="1"/>
        <v>1029</v>
      </c>
    </row>
    <row r="2821" ht="22.5" customHeight="1">
      <c r="B2821" s="7" t="str">
        <f>IFERROR(__xludf.DUMMYFUNCTION("""COMPUTED_VALUE"""),"")</f>
        <v/>
      </c>
      <c r="C2821" s="7" t="str">
        <f>IFERROR(__xludf.DUMMYFUNCTION("""COMPUTED_VALUE"""),"")</f>
        <v/>
      </c>
      <c r="D2821" s="7"/>
      <c r="E2821" s="7"/>
      <c r="F2821" s="9" t="str">
        <f>IFERROR(__xludf.DUMMYFUNCTION("""COMPUTED_VALUE"""),"")</f>
        <v/>
      </c>
      <c r="G2821" s="7" t="str">
        <f>IFERROR(__xludf.DUMMYFUNCTION("""COMPUTED_VALUE"""),"")</f>
        <v/>
      </c>
      <c r="H2821" s="7">
        <f t="shared" si="1"/>
        <v>1029</v>
      </c>
    </row>
    <row r="2822" ht="22.5" customHeight="1">
      <c r="B2822" s="7" t="str">
        <f>IFERROR(__xludf.DUMMYFUNCTION("""COMPUTED_VALUE"""),"")</f>
        <v/>
      </c>
      <c r="C2822" s="7" t="str">
        <f>IFERROR(__xludf.DUMMYFUNCTION("""COMPUTED_VALUE"""),"")</f>
        <v/>
      </c>
      <c r="D2822" s="7"/>
      <c r="E2822" s="7"/>
      <c r="F2822" s="9" t="str">
        <f>IFERROR(__xludf.DUMMYFUNCTION("""COMPUTED_VALUE"""),"")</f>
        <v/>
      </c>
      <c r="G2822" s="7" t="str">
        <f>IFERROR(__xludf.DUMMYFUNCTION("""COMPUTED_VALUE"""),"")</f>
        <v/>
      </c>
      <c r="H2822" s="7">
        <f t="shared" si="1"/>
        <v>1029</v>
      </c>
    </row>
    <row r="2823" ht="22.5" customHeight="1">
      <c r="B2823" s="7" t="str">
        <f>IFERROR(__xludf.DUMMYFUNCTION("""COMPUTED_VALUE"""),"")</f>
        <v/>
      </c>
      <c r="C2823" s="7" t="str">
        <f>IFERROR(__xludf.DUMMYFUNCTION("""COMPUTED_VALUE"""),"")</f>
        <v/>
      </c>
      <c r="D2823" s="7"/>
      <c r="E2823" s="7"/>
      <c r="F2823" s="9" t="str">
        <f>IFERROR(__xludf.DUMMYFUNCTION("""COMPUTED_VALUE"""),"")</f>
        <v/>
      </c>
      <c r="G2823" s="7" t="str">
        <f>IFERROR(__xludf.DUMMYFUNCTION("""COMPUTED_VALUE"""),"")</f>
        <v/>
      </c>
      <c r="H2823" s="7">
        <f t="shared" si="1"/>
        <v>1029</v>
      </c>
    </row>
    <row r="2824" ht="22.5" customHeight="1">
      <c r="B2824" s="7" t="str">
        <f>IFERROR(__xludf.DUMMYFUNCTION("""COMPUTED_VALUE"""),"")</f>
        <v/>
      </c>
      <c r="C2824" s="7" t="str">
        <f>IFERROR(__xludf.DUMMYFUNCTION("""COMPUTED_VALUE"""),"")</f>
        <v/>
      </c>
      <c r="D2824" s="7"/>
      <c r="E2824" s="7"/>
      <c r="F2824" s="9" t="str">
        <f>IFERROR(__xludf.DUMMYFUNCTION("""COMPUTED_VALUE"""),"")</f>
        <v/>
      </c>
      <c r="G2824" s="7" t="str">
        <f>IFERROR(__xludf.DUMMYFUNCTION("""COMPUTED_VALUE"""),"")</f>
        <v/>
      </c>
      <c r="H2824" s="7">
        <f t="shared" si="1"/>
        <v>1029</v>
      </c>
    </row>
    <row r="2825" ht="22.5" customHeight="1">
      <c r="B2825" s="7" t="str">
        <f>IFERROR(__xludf.DUMMYFUNCTION("""COMPUTED_VALUE"""),"")</f>
        <v/>
      </c>
      <c r="C2825" s="7" t="str">
        <f>IFERROR(__xludf.DUMMYFUNCTION("""COMPUTED_VALUE"""),"")</f>
        <v/>
      </c>
      <c r="D2825" s="7"/>
      <c r="E2825" s="7"/>
      <c r="F2825" s="9" t="str">
        <f>IFERROR(__xludf.DUMMYFUNCTION("""COMPUTED_VALUE"""),"")</f>
        <v/>
      </c>
      <c r="G2825" s="7" t="str">
        <f>IFERROR(__xludf.DUMMYFUNCTION("""COMPUTED_VALUE"""),"")</f>
        <v/>
      </c>
      <c r="H2825" s="7">
        <f t="shared" si="1"/>
        <v>1029</v>
      </c>
    </row>
    <row r="2826" ht="22.5" customHeight="1">
      <c r="B2826" s="7" t="str">
        <f>IFERROR(__xludf.DUMMYFUNCTION("""COMPUTED_VALUE"""),"")</f>
        <v/>
      </c>
      <c r="C2826" s="7" t="str">
        <f>IFERROR(__xludf.DUMMYFUNCTION("""COMPUTED_VALUE"""),"")</f>
        <v/>
      </c>
      <c r="D2826" s="7"/>
      <c r="E2826" s="7"/>
      <c r="F2826" s="9" t="str">
        <f>IFERROR(__xludf.DUMMYFUNCTION("""COMPUTED_VALUE"""),"")</f>
        <v/>
      </c>
      <c r="G2826" s="7" t="str">
        <f>IFERROR(__xludf.DUMMYFUNCTION("""COMPUTED_VALUE"""),"")</f>
        <v/>
      </c>
      <c r="H2826" s="7">
        <f t="shared" si="1"/>
        <v>1029</v>
      </c>
    </row>
    <row r="2827" ht="22.5" customHeight="1">
      <c r="B2827" s="7" t="str">
        <f>IFERROR(__xludf.DUMMYFUNCTION("""COMPUTED_VALUE"""),"")</f>
        <v/>
      </c>
      <c r="C2827" s="7" t="str">
        <f>IFERROR(__xludf.DUMMYFUNCTION("""COMPUTED_VALUE"""),"")</f>
        <v/>
      </c>
      <c r="D2827" s="7"/>
      <c r="E2827" s="7"/>
      <c r="F2827" s="9" t="str">
        <f>IFERROR(__xludf.DUMMYFUNCTION("""COMPUTED_VALUE"""),"")</f>
        <v/>
      </c>
      <c r="G2827" s="7" t="str">
        <f>IFERROR(__xludf.DUMMYFUNCTION("""COMPUTED_VALUE"""),"")</f>
        <v/>
      </c>
      <c r="H2827" s="7">
        <f t="shared" si="1"/>
        <v>1029</v>
      </c>
    </row>
    <row r="2828" ht="22.5" customHeight="1">
      <c r="B2828" s="7" t="str">
        <f>IFERROR(__xludf.DUMMYFUNCTION("""COMPUTED_VALUE"""),"")</f>
        <v/>
      </c>
      <c r="C2828" s="7" t="str">
        <f>IFERROR(__xludf.DUMMYFUNCTION("""COMPUTED_VALUE"""),"")</f>
        <v/>
      </c>
      <c r="D2828" s="7"/>
      <c r="E2828" s="7"/>
      <c r="F2828" s="9" t="str">
        <f>IFERROR(__xludf.DUMMYFUNCTION("""COMPUTED_VALUE"""),"")</f>
        <v/>
      </c>
      <c r="G2828" s="7" t="str">
        <f>IFERROR(__xludf.DUMMYFUNCTION("""COMPUTED_VALUE"""),"")</f>
        <v/>
      </c>
      <c r="H2828" s="7">
        <f t="shared" si="1"/>
        <v>1029</v>
      </c>
    </row>
    <row r="2829" ht="22.5" customHeight="1">
      <c r="B2829" s="7" t="str">
        <f>IFERROR(__xludf.DUMMYFUNCTION("""COMPUTED_VALUE"""),"")</f>
        <v/>
      </c>
      <c r="C2829" s="7" t="str">
        <f>IFERROR(__xludf.DUMMYFUNCTION("""COMPUTED_VALUE"""),"")</f>
        <v/>
      </c>
      <c r="D2829" s="7"/>
      <c r="E2829" s="7"/>
      <c r="F2829" s="9" t="str">
        <f>IFERROR(__xludf.DUMMYFUNCTION("""COMPUTED_VALUE"""),"")</f>
        <v/>
      </c>
      <c r="G2829" s="7" t="str">
        <f>IFERROR(__xludf.DUMMYFUNCTION("""COMPUTED_VALUE"""),"")</f>
        <v/>
      </c>
      <c r="H2829" s="7">
        <f t="shared" si="1"/>
        <v>1029</v>
      </c>
    </row>
    <row r="2830" ht="22.5" customHeight="1">
      <c r="B2830" s="7" t="str">
        <f>IFERROR(__xludf.DUMMYFUNCTION("""COMPUTED_VALUE"""),"")</f>
        <v/>
      </c>
      <c r="C2830" s="7" t="str">
        <f>IFERROR(__xludf.DUMMYFUNCTION("""COMPUTED_VALUE"""),"")</f>
        <v/>
      </c>
      <c r="D2830" s="7"/>
      <c r="E2830" s="7"/>
      <c r="F2830" s="9" t="str">
        <f>IFERROR(__xludf.DUMMYFUNCTION("""COMPUTED_VALUE"""),"")</f>
        <v/>
      </c>
      <c r="G2830" s="7" t="str">
        <f>IFERROR(__xludf.DUMMYFUNCTION("""COMPUTED_VALUE"""),"")</f>
        <v/>
      </c>
      <c r="H2830" s="7">
        <f t="shared" si="1"/>
        <v>1029</v>
      </c>
    </row>
    <row r="2831" ht="22.5" customHeight="1">
      <c r="B2831" s="7" t="str">
        <f>IFERROR(__xludf.DUMMYFUNCTION("""COMPUTED_VALUE"""),"")</f>
        <v/>
      </c>
      <c r="C2831" s="7" t="str">
        <f>IFERROR(__xludf.DUMMYFUNCTION("""COMPUTED_VALUE"""),"")</f>
        <v/>
      </c>
      <c r="D2831" s="7"/>
      <c r="E2831" s="7"/>
      <c r="F2831" s="9" t="str">
        <f>IFERROR(__xludf.DUMMYFUNCTION("""COMPUTED_VALUE"""),"")</f>
        <v/>
      </c>
      <c r="G2831" s="7" t="str">
        <f>IFERROR(__xludf.DUMMYFUNCTION("""COMPUTED_VALUE"""),"")</f>
        <v/>
      </c>
      <c r="H2831" s="7">
        <f t="shared" si="1"/>
        <v>1029</v>
      </c>
    </row>
    <row r="2832" ht="22.5" customHeight="1">
      <c r="B2832" s="7" t="str">
        <f>IFERROR(__xludf.DUMMYFUNCTION("""COMPUTED_VALUE"""),"")</f>
        <v/>
      </c>
      <c r="C2832" s="7" t="str">
        <f>IFERROR(__xludf.DUMMYFUNCTION("""COMPUTED_VALUE"""),"")</f>
        <v/>
      </c>
      <c r="D2832" s="7"/>
      <c r="E2832" s="7"/>
      <c r="F2832" s="9" t="str">
        <f>IFERROR(__xludf.DUMMYFUNCTION("""COMPUTED_VALUE"""),"")</f>
        <v/>
      </c>
      <c r="G2832" s="7" t="str">
        <f>IFERROR(__xludf.DUMMYFUNCTION("""COMPUTED_VALUE"""),"")</f>
        <v/>
      </c>
      <c r="H2832" s="7">
        <f t="shared" si="1"/>
        <v>1029</v>
      </c>
    </row>
    <row r="2833" ht="22.5" customHeight="1">
      <c r="B2833" s="7" t="str">
        <f>IFERROR(__xludf.DUMMYFUNCTION("""COMPUTED_VALUE"""),"")</f>
        <v/>
      </c>
      <c r="C2833" s="7" t="str">
        <f>IFERROR(__xludf.DUMMYFUNCTION("""COMPUTED_VALUE"""),"")</f>
        <v/>
      </c>
      <c r="D2833" s="7"/>
      <c r="E2833" s="7"/>
      <c r="F2833" s="9" t="str">
        <f>IFERROR(__xludf.DUMMYFUNCTION("""COMPUTED_VALUE"""),"")</f>
        <v/>
      </c>
      <c r="G2833" s="7" t="str">
        <f>IFERROR(__xludf.DUMMYFUNCTION("""COMPUTED_VALUE"""),"")</f>
        <v/>
      </c>
      <c r="H2833" s="7">
        <f t="shared" si="1"/>
        <v>1029</v>
      </c>
    </row>
    <row r="2834" ht="22.5" customHeight="1">
      <c r="B2834" s="7" t="str">
        <f>IFERROR(__xludf.DUMMYFUNCTION("""COMPUTED_VALUE"""),"")</f>
        <v/>
      </c>
      <c r="C2834" s="7" t="str">
        <f>IFERROR(__xludf.DUMMYFUNCTION("""COMPUTED_VALUE"""),"")</f>
        <v/>
      </c>
      <c r="D2834" s="7"/>
      <c r="E2834" s="7"/>
      <c r="F2834" s="9" t="str">
        <f>IFERROR(__xludf.DUMMYFUNCTION("""COMPUTED_VALUE"""),"")</f>
        <v/>
      </c>
      <c r="G2834" s="7" t="str">
        <f>IFERROR(__xludf.DUMMYFUNCTION("""COMPUTED_VALUE"""),"")</f>
        <v/>
      </c>
      <c r="H2834" s="7">
        <f t="shared" si="1"/>
        <v>1029</v>
      </c>
    </row>
    <row r="2835" ht="22.5" customHeight="1">
      <c r="B2835" s="7" t="str">
        <f>IFERROR(__xludf.DUMMYFUNCTION("""COMPUTED_VALUE"""),"")</f>
        <v/>
      </c>
      <c r="C2835" s="7" t="str">
        <f>IFERROR(__xludf.DUMMYFUNCTION("""COMPUTED_VALUE"""),"")</f>
        <v/>
      </c>
      <c r="D2835" s="7"/>
      <c r="E2835" s="7"/>
      <c r="F2835" s="9" t="str">
        <f>IFERROR(__xludf.DUMMYFUNCTION("""COMPUTED_VALUE"""),"")</f>
        <v/>
      </c>
      <c r="G2835" s="7" t="str">
        <f>IFERROR(__xludf.DUMMYFUNCTION("""COMPUTED_VALUE"""),"")</f>
        <v/>
      </c>
      <c r="H2835" s="7">
        <f t="shared" si="1"/>
        <v>1029</v>
      </c>
    </row>
    <row r="2836" ht="22.5" customHeight="1">
      <c r="B2836" s="7" t="str">
        <f>IFERROR(__xludf.DUMMYFUNCTION("""COMPUTED_VALUE"""),"")</f>
        <v/>
      </c>
      <c r="C2836" s="7" t="str">
        <f>IFERROR(__xludf.DUMMYFUNCTION("""COMPUTED_VALUE"""),"")</f>
        <v/>
      </c>
      <c r="D2836" s="7"/>
      <c r="E2836" s="7"/>
      <c r="F2836" s="9" t="str">
        <f>IFERROR(__xludf.DUMMYFUNCTION("""COMPUTED_VALUE"""),"")</f>
        <v/>
      </c>
      <c r="G2836" s="7" t="str">
        <f>IFERROR(__xludf.DUMMYFUNCTION("""COMPUTED_VALUE"""),"")</f>
        <v/>
      </c>
      <c r="H2836" s="7">
        <f t="shared" si="1"/>
        <v>1029</v>
      </c>
    </row>
    <row r="2837" ht="22.5" customHeight="1">
      <c r="B2837" s="7" t="str">
        <f>IFERROR(__xludf.DUMMYFUNCTION("""COMPUTED_VALUE"""),"")</f>
        <v/>
      </c>
      <c r="C2837" s="7" t="str">
        <f>IFERROR(__xludf.DUMMYFUNCTION("""COMPUTED_VALUE"""),"")</f>
        <v/>
      </c>
      <c r="D2837" s="7"/>
      <c r="E2837" s="7"/>
      <c r="F2837" s="9" t="str">
        <f>IFERROR(__xludf.DUMMYFUNCTION("""COMPUTED_VALUE"""),"")</f>
        <v/>
      </c>
      <c r="G2837" s="7" t="str">
        <f>IFERROR(__xludf.DUMMYFUNCTION("""COMPUTED_VALUE"""),"")</f>
        <v/>
      </c>
      <c r="H2837" s="7">
        <f t="shared" si="1"/>
        <v>1029</v>
      </c>
    </row>
    <row r="2838" ht="22.5" customHeight="1">
      <c r="B2838" s="7" t="str">
        <f>IFERROR(__xludf.DUMMYFUNCTION("""COMPUTED_VALUE"""),"")</f>
        <v/>
      </c>
      <c r="C2838" s="7" t="str">
        <f>IFERROR(__xludf.DUMMYFUNCTION("""COMPUTED_VALUE"""),"")</f>
        <v/>
      </c>
      <c r="D2838" s="7"/>
      <c r="E2838" s="7"/>
      <c r="F2838" s="9" t="str">
        <f>IFERROR(__xludf.DUMMYFUNCTION("""COMPUTED_VALUE"""),"")</f>
        <v/>
      </c>
      <c r="G2838" s="7" t="str">
        <f>IFERROR(__xludf.DUMMYFUNCTION("""COMPUTED_VALUE"""),"")</f>
        <v/>
      </c>
      <c r="H2838" s="7">
        <f t="shared" si="1"/>
        <v>1029</v>
      </c>
    </row>
    <row r="2839" ht="22.5" customHeight="1">
      <c r="B2839" s="7" t="str">
        <f>IFERROR(__xludf.DUMMYFUNCTION("""COMPUTED_VALUE"""),"")</f>
        <v/>
      </c>
      <c r="C2839" s="7" t="str">
        <f>IFERROR(__xludf.DUMMYFUNCTION("""COMPUTED_VALUE"""),"")</f>
        <v/>
      </c>
      <c r="D2839" s="7"/>
      <c r="E2839" s="7"/>
      <c r="F2839" s="9" t="str">
        <f>IFERROR(__xludf.DUMMYFUNCTION("""COMPUTED_VALUE"""),"")</f>
        <v/>
      </c>
      <c r="G2839" s="7" t="str">
        <f>IFERROR(__xludf.DUMMYFUNCTION("""COMPUTED_VALUE"""),"")</f>
        <v/>
      </c>
      <c r="H2839" s="7">
        <f t="shared" si="1"/>
        <v>1029</v>
      </c>
    </row>
    <row r="2840" ht="22.5" customHeight="1">
      <c r="B2840" s="7" t="str">
        <f>IFERROR(__xludf.DUMMYFUNCTION("""COMPUTED_VALUE"""),"")</f>
        <v/>
      </c>
      <c r="C2840" s="7" t="str">
        <f>IFERROR(__xludf.DUMMYFUNCTION("""COMPUTED_VALUE"""),"")</f>
        <v/>
      </c>
      <c r="D2840" s="7"/>
      <c r="E2840" s="7"/>
      <c r="F2840" s="9" t="str">
        <f>IFERROR(__xludf.DUMMYFUNCTION("""COMPUTED_VALUE"""),"")</f>
        <v/>
      </c>
      <c r="G2840" s="7" t="str">
        <f>IFERROR(__xludf.DUMMYFUNCTION("""COMPUTED_VALUE"""),"")</f>
        <v/>
      </c>
      <c r="H2840" s="7">
        <f t="shared" si="1"/>
        <v>1029</v>
      </c>
    </row>
    <row r="2841" ht="22.5" customHeight="1">
      <c r="B2841" s="7" t="str">
        <f>IFERROR(__xludf.DUMMYFUNCTION("""COMPUTED_VALUE"""),"")</f>
        <v/>
      </c>
      <c r="C2841" s="7" t="str">
        <f>IFERROR(__xludf.DUMMYFUNCTION("""COMPUTED_VALUE"""),"")</f>
        <v/>
      </c>
      <c r="D2841" s="7"/>
      <c r="E2841" s="7"/>
      <c r="F2841" s="9" t="str">
        <f>IFERROR(__xludf.DUMMYFUNCTION("""COMPUTED_VALUE"""),"")</f>
        <v/>
      </c>
      <c r="G2841" s="7" t="str">
        <f>IFERROR(__xludf.DUMMYFUNCTION("""COMPUTED_VALUE"""),"")</f>
        <v/>
      </c>
      <c r="H2841" s="7">
        <f t="shared" si="1"/>
        <v>1029</v>
      </c>
    </row>
    <row r="2842" ht="22.5" customHeight="1">
      <c r="B2842" s="7" t="str">
        <f>IFERROR(__xludf.DUMMYFUNCTION("""COMPUTED_VALUE"""),"")</f>
        <v/>
      </c>
      <c r="C2842" s="7" t="str">
        <f>IFERROR(__xludf.DUMMYFUNCTION("""COMPUTED_VALUE"""),"")</f>
        <v/>
      </c>
      <c r="D2842" s="7"/>
      <c r="E2842" s="7"/>
      <c r="F2842" s="9" t="str">
        <f>IFERROR(__xludf.DUMMYFUNCTION("""COMPUTED_VALUE"""),"")</f>
        <v/>
      </c>
      <c r="G2842" s="7" t="str">
        <f>IFERROR(__xludf.DUMMYFUNCTION("""COMPUTED_VALUE"""),"")</f>
        <v/>
      </c>
      <c r="H2842" s="7">
        <f t="shared" si="1"/>
        <v>1029</v>
      </c>
    </row>
    <row r="2843" ht="22.5" customHeight="1">
      <c r="B2843" s="7" t="str">
        <f>IFERROR(__xludf.DUMMYFUNCTION("""COMPUTED_VALUE"""),"")</f>
        <v/>
      </c>
      <c r="C2843" s="7" t="str">
        <f>IFERROR(__xludf.DUMMYFUNCTION("""COMPUTED_VALUE"""),"")</f>
        <v/>
      </c>
      <c r="D2843" s="7"/>
      <c r="E2843" s="7"/>
      <c r="F2843" s="9" t="str">
        <f>IFERROR(__xludf.DUMMYFUNCTION("""COMPUTED_VALUE"""),"")</f>
        <v/>
      </c>
      <c r="G2843" s="7" t="str">
        <f>IFERROR(__xludf.DUMMYFUNCTION("""COMPUTED_VALUE"""),"")</f>
        <v/>
      </c>
      <c r="H2843" s="7">
        <f t="shared" si="1"/>
        <v>1029</v>
      </c>
    </row>
    <row r="2844" ht="22.5" customHeight="1">
      <c r="B2844" s="7" t="str">
        <f>IFERROR(__xludf.DUMMYFUNCTION("""COMPUTED_VALUE"""),"")</f>
        <v/>
      </c>
      <c r="C2844" s="7" t="str">
        <f>IFERROR(__xludf.DUMMYFUNCTION("""COMPUTED_VALUE"""),"")</f>
        <v/>
      </c>
      <c r="D2844" s="7"/>
      <c r="E2844" s="7"/>
      <c r="F2844" s="9" t="str">
        <f>IFERROR(__xludf.DUMMYFUNCTION("""COMPUTED_VALUE"""),"")</f>
        <v/>
      </c>
      <c r="G2844" s="7" t="str">
        <f>IFERROR(__xludf.DUMMYFUNCTION("""COMPUTED_VALUE"""),"")</f>
        <v/>
      </c>
      <c r="H2844" s="7">
        <f t="shared" si="1"/>
        <v>1029</v>
      </c>
    </row>
    <row r="2845" ht="22.5" customHeight="1">
      <c r="B2845" s="7" t="str">
        <f>IFERROR(__xludf.DUMMYFUNCTION("""COMPUTED_VALUE"""),"")</f>
        <v/>
      </c>
      <c r="C2845" s="7" t="str">
        <f>IFERROR(__xludf.DUMMYFUNCTION("""COMPUTED_VALUE"""),"")</f>
        <v/>
      </c>
      <c r="D2845" s="7"/>
      <c r="E2845" s="7"/>
      <c r="F2845" s="9" t="str">
        <f>IFERROR(__xludf.DUMMYFUNCTION("""COMPUTED_VALUE"""),"")</f>
        <v/>
      </c>
      <c r="G2845" s="7" t="str">
        <f>IFERROR(__xludf.DUMMYFUNCTION("""COMPUTED_VALUE"""),"")</f>
        <v/>
      </c>
      <c r="H2845" s="7">
        <f t="shared" si="1"/>
        <v>1029</v>
      </c>
    </row>
    <row r="2846" ht="22.5" customHeight="1">
      <c r="B2846" s="7" t="str">
        <f>IFERROR(__xludf.DUMMYFUNCTION("""COMPUTED_VALUE"""),"")</f>
        <v/>
      </c>
      <c r="C2846" s="7" t="str">
        <f>IFERROR(__xludf.DUMMYFUNCTION("""COMPUTED_VALUE"""),"")</f>
        <v/>
      </c>
      <c r="D2846" s="7"/>
      <c r="E2846" s="7"/>
      <c r="F2846" s="9" t="str">
        <f>IFERROR(__xludf.DUMMYFUNCTION("""COMPUTED_VALUE"""),"")</f>
        <v/>
      </c>
      <c r="G2846" s="7" t="str">
        <f>IFERROR(__xludf.DUMMYFUNCTION("""COMPUTED_VALUE"""),"")</f>
        <v/>
      </c>
      <c r="H2846" s="7">
        <f t="shared" si="1"/>
        <v>1029</v>
      </c>
    </row>
    <row r="2847" ht="22.5" customHeight="1">
      <c r="B2847" s="7" t="str">
        <f>IFERROR(__xludf.DUMMYFUNCTION("""COMPUTED_VALUE"""),"")</f>
        <v/>
      </c>
      <c r="C2847" s="7" t="str">
        <f>IFERROR(__xludf.DUMMYFUNCTION("""COMPUTED_VALUE"""),"")</f>
        <v/>
      </c>
      <c r="D2847" s="7"/>
      <c r="E2847" s="7"/>
      <c r="F2847" s="9" t="str">
        <f>IFERROR(__xludf.DUMMYFUNCTION("""COMPUTED_VALUE"""),"")</f>
        <v/>
      </c>
      <c r="G2847" s="7" t="str">
        <f>IFERROR(__xludf.DUMMYFUNCTION("""COMPUTED_VALUE"""),"")</f>
        <v/>
      </c>
      <c r="H2847" s="7">
        <f t="shared" si="1"/>
        <v>1029</v>
      </c>
    </row>
    <row r="2848" ht="22.5" customHeight="1">
      <c r="B2848" s="7" t="str">
        <f>IFERROR(__xludf.DUMMYFUNCTION("""COMPUTED_VALUE"""),"")</f>
        <v/>
      </c>
      <c r="C2848" s="7" t="str">
        <f>IFERROR(__xludf.DUMMYFUNCTION("""COMPUTED_VALUE"""),"")</f>
        <v/>
      </c>
      <c r="D2848" s="7"/>
      <c r="E2848" s="7"/>
      <c r="F2848" s="9" t="str">
        <f>IFERROR(__xludf.DUMMYFUNCTION("""COMPUTED_VALUE"""),"")</f>
        <v/>
      </c>
      <c r="G2848" s="7" t="str">
        <f>IFERROR(__xludf.DUMMYFUNCTION("""COMPUTED_VALUE"""),"")</f>
        <v/>
      </c>
      <c r="H2848" s="7">
        <f t="shared" si="1"/>
        <v>1029</v>
      </c>
    </row>
    <row r="2849" ht="22.5" customHeight="1">
      <c r="B2849" s="7" t="str">
        <f>IFERROR(__xludf.DUMMYFUNCTION("""COMPUTED_VALUE"""),"")</f>
        <v/>
      </c>
      <c r="C2849" s="7" t="str">
        <f>IFERROR(__xludf.DUMMYFUNCTION("""COMPUTED_VALUE"""),"")</f>
        <v/>
      </c>
      <c r="D2849" s="7"/>
      <c r="E2849" s="7"/>
      <c r="F2849" s="9" t="str">
        <f>IFERROR(__xludf.DUMMYFUNCTION("""COMPUTED_VALUE"""),"")</f>
        <v/>
      </c>
      <c r="G2849" s="7" t="str">
        <f>IFERROR(__xludf.DUMMYFUNCTION("""COMPUTED_VALUE"""),"")</f>
        <v/>
      </c>
      <c r="H2849" s="7">
        <f t="shared" si="1"/>
        <v>1029</v>
      </c>
    </row>
    <row r="2850" ht="22.5" customHeight="1">
      <c r="B2850" s="7" t="str">
        <f>IFERROR(__xludf.DUMMYFUNCTION("""COMPUTED_VALUE"""),"")</f>
        <v/>
      </c>
      <c r="C2850" s="7" t="str">
        <f>IFERROR(__xludf.DUMMYFUNCTION("""COMPUTED_VALUE"""),"")</f>
        <v/>
      </c>
      <c r="D2850" s="7"/>
      <c r="E2850" s="7"/>
      <c r="F2850" s="9" t="str">
        <f>IFERROR(__xludf.DUMMYFUNCTION("""COMPUTED_VALUE"""),"")</f>
        <v/>
      </c>
      <c r="G2850" s="7" t="str">
        <f>IFERROR(__xludf.DUMMYFUNCTION("""COMPUTED_VALUE"""),"")</f>
        <v/>
      </c>
      <c r="H2850" s="7">
        <f t="shared" si="1"/>
        <v>1029</v>
      </c>
    </row>
    <row r="2851" ht="22.5" customHeight="1">
      <c r="B2851" s="7" t="str">
        <f>IFERROR(__xludf.DUMMYFUNCTION("""COMPUTED_VALUE"""),"")</f>
        <v/>
      </c>
      <c r="C2851" s="7" t="str">
        <f>IFERROR(__xludf.DUMMYFUNCTION("""COMPUTED_VALUE"""),"")</f>
        <v/>
      </c>
      <c r="D2851" s="7"/>
      <c r="E2851" s="7"/>
      <c r="F2851" s="9" t="str">
        <f>IFERROR(__xludf.DUMMYFUNCTION("""COMPUTED_VALUE"""),"")</f>
        <v/>
      </c>
      <c r="G2851" s="7" t="str">
        <f>IFERROR(__xludf.DUMMYFUNCTION("""COMPUTED_VALUE"""),"")</f>
        <v/>
      </c>
      <c r="H2851" s="7">
        <f t="shared" si="1"/>
        <v>1029</v>
      </c>
    </row>
    <row r="2852" ht="22.5" customHeight="1">
      <c r="B2852" s="7" t="str">
        <f>IFERROR(__xludf.DUMMYFUNCTION("""COMPUTED_VALUE"""),"")</f>
        <v/>
      </c>
      <c r="C2852" s="7" t="str">
        <f>IFERROR(__xludf.DUMMYFUNCTION("""COMPUTED_VALUE"""),"")</f>
        <v/>
      </c>
      <c r="D2852" s="7"/>
      <c r="E2852" s="7"/>
      <c r="F2852" s="9" t="str">
        <f>IFERROR(__xludf.DUMMYFUNCTION("""COMPUTED_VALUE"""),"")</f>
        <v/>
      </c>
      <c r="G2852" s="7" t="str">
        <f>IFERROR(__xludf.DUMMYFUNCTION("""COMPUTED_VALUE"""),"")</f>
        <v/>
      </c>
      <c r="H2852" s="7">
        <f t="shared" si="1"/>
        <v>1029</v>
      </c>
    </row>
    <row r="2853" ht="22.5" customHeight="1">
      <c r="B2853" s="7" t="str">
        <f>IFERROR(__xludf.DUMMYFUNCTION("""COMPUTED_VALUE"""),"")</f>
        <v/>
      </c>
      <c r="C2853" s="7" t="str">
        <f>IFERROR(__xludf.DUMMYFUNCTION("""COMPUTED_VALUE"""),"")</f>
        <v/>
      </c>
      <c r="D2853" s="7"/>
      <c r="E2853" s="7"/>
      <c r="F2853" s="9" t="str">
        <f>IFERROR(__xludf.DUMMYFUNCTION("""COMPUTED_VALUE"""),"")</f>
        <v/>
      </c>
      <c r="G2853" s="7" t="str">
        <f>IFERROR(__xludf.DUMMYFUNCTION("""COMPUTED_VALUE"""),"")</f>
        <v/>
      </c>
      <c r="H2853" s="7">
        <f t="shared" si="1"/>
        <v>1029</v>
      </c>
    </row>
    <row r="2854" ht="22.5" customHeight="1">
      <c r="B2854" s="7" t="str">
        <f>IFERROR(__xludf.DUMMYFUNCTION("""COMPUTED_VALUE"""),"")</f>
        <v/>
      </c>
      <c r="C2854" s="7" t="str">
        <f>IFERROR(__xludf.DUMMYFUNCTION("""COMPUTED_VALUE"""),"")</f>
        <v/>
      </c>
      <c r="D2854" s="7"/>
      <c r="E2854" s="7"/>
      <c r="F2854" s="9" t="str">
        <f>IFERROR(__xludf.DUMMYFUNCTION("""COMPUTED_VALUE"""),"")</f>
        <v/>
      </c>
      <c r="G2854" s="7" t="str">
        <f>IFERROR(__xludf.DUMMYFUNCTION("""COMPUTED_VALUE"""),"")</f>
        <v/>
      </c>
      <c r="H2854" s="7">
        <f t="shared" si="1"/>
        <v>1029</v>
      </c>
    </row>
    <row r="2855" ht="22.5" customHeight="1">
      <c r="B2855" s="7" t="str">
        <f>IFERROR(__xludf.DUMMYFUNCTION("""COMPUTED_VALUE"""),"")</f>
        <v/>
      </c>
      <c r="C2855" s="7" t="str">
        <f>IFERROR(__xludf.DUMMYFUNCTION("""COMPUTED_VALUE"""),"")</f>
        <v/>
      </c>
      <c r="D2855" s="7"/>
      <c r="E2855" s="7"/>
      <c r="F2855" s="9" t="str">
        <f>IFERROR(__xludf.DUMMYFUNCTION("""COMPUTED_VALUE"""),"")</f>
        <v/>
      </c>
      <c r="G2855" s="7" t="str">
        <f>IFERROR(__xludf.DUMMYFUNCTION("""COMPUTED_VALUE"""),"")</f>
        <v/>
      </c>
      <c r="H2855" s="7">
        <f t="shared" si="1"/>
        <v>1029</v>
      </c>
    </row>
    <row r="2856" ht="22.5" customHeight="1">
      <c r="B2856" s="7" t="str">
        <f>IFERROR(__xludf.DUMMYFUNCTION("""COMPUTED_VALUE"""),"")</f>
        <v/>
      </c>
      <c r="C2856" s="7" t="str">
        <f>IFERROR(__xludf.DUMMYFUNCTION("""COMPUTED_VALUE"""),"")</f>
        <v/>
      </c>
      <c r="D2856" s="7"/>
      <c r="E2856" s="7"/>
      <c r="F2856" s="9" t="str">
        <f>IFERROR(__xludf.DUMMYFUNCTION("""COMPUTED_VALUE"""),"")</f>
        <v/>
      </c>
      <c r="G2856" s="7" t="str">
        <f>IFERROR(__xludf.DUMMYFUNCTION("""COMPUTED_VALUE"""),"")</f>
        <v/>
      </c>
      <c r="H2856" s="7">
        <f t="shared" si="1"/>
        <v>1029</v>
      </c>
    </row>
    <row r="2857" ht="22.5" customHeight="1">
      <c r="B2857" s="7" t="str">
        <f>IFERROR(__xludf.DUMMYFUNCTION("""COMPUTED_VALUE"""),"")</f>
        <v/>
      </c>
      <c r="C2857" s="7" t="str">
        <f>IFERROR(__xludf.DUMMYFUNCTION("""COMPUTED_VALUE"""),"")</f>
        <v/>
      </c>
      <c r="D2857" s="7"/>
      <c r="E2857" s="7"/>
      <c r="F2857" s="9" t="str">
        <f>IFERROR(__xludf.DUMMYFUNCTION("""COMPUTED_VALUE"""),"")</f>
        <v/>
      </c>
      <c r="G2857" s="7" t="str">
        <f>IFERROR(__xludf.DUMMYFUNCTION("""COMPUTED_VALUE"""),"")</f>
        <v/>
      </c>
      <c r="H2857" s="7">
        <f t="shared" si="1"/>
        <v>1029</v>
      </c>
    </row>
    <row r="2858" ht="22.5" customHeight="1">
      <c r="B2858" s="7" t="str">
        <f>IFERROR(__xludf.DUMMYFUNCTION("""COMPUTED_VALUE"""),"")</f>
        <v/>
      </c>
      <c r="C2858" s="7" t="str">
        <f>IFERROR(__xludf.DUMMYFUNCTION("""COMPUTED_VALUE"""),"")</f>
        <v/>
      </c>
      <c r="D2858" s="7"/>
      <c r="E2858" s="7"/>
      <c r="F2858" s="9" t="str">
        <f>IFERROR(__xludf.DUMMYFUNCTION("""COMPUTED_VALUE"""),"")</f>
        <v/>
      </c>
      <c r="G2858" s="7" t="str">
        <f>IFERROR(__xludf.DUMMYFUNCTION("""COMPUTED_VALUE"""),"")</f>
        <v/>
      </c>
      <c r="H2858" s="7">
        <f t="shared" si="1"/>
        <v>1029</v>
      </c>
    </row>
    <row r="2859" ht="22.5" customHeight="1">
      <c r="B2859" s="7" t="str">
        <f>IFERROR(__xludf.DUMMYFUNCTION("""COMPUTED_VALUE"""),"")</f>
        <v/>
      </c>
      <c r="C2859" s="7" t="str">
        <f>IFERROR(__xludf.DUMMYFUNCTION("""COMPUTED_VALUE"""),"")</f>
        <v/>
      </c>
      <c r="D2859" s="7"/>
      <c r="E2859" s="7"/>
      <c r="F2859" s="9" t="str">
        <f>IFERROR(__xludf.DUMMYFUNCTION("""COMPUTED_VALUE"""),"")</f>
        <v/>
      </c>
      <c r="G2859" s="7" t="str">
        <f>IFERROR(__xludf.DUMMYFUNCTION("""COMPUTED_VALUE"""),"")</f>
        <v/>
      </c>
      <c r="H2859" s="7">
        <f t="shared" si="1"/>
        <v>1029</v>
      </c>
    </row>
    <row r="2860" ht="22.5" customHeight="1">
      <c r="B2860" s="7" t="str">
        <f>IFERROR(__xludf.DUMMYFUNCTION("""COMPUTED_VALUE"""),"")</f>
        <v/>
      </c>
      <c r="C2860" s="7" t="str">
        <f>IFERROR(__xludf.DUMMYFUNCTION("""COMPUTED_VALUE"""),"")</f>
        <v/>
      </c>
      <c r="D2860" s="7"/>
      <c r="E2860" s="7"/>
      <c r="F2860" s="9" t="str">
        <f>IFERROR(__xludf.DUMMYFUNCTION("""COMPUTED_VALUE"""),"")</f>
        <v/>
      </c>
      <c r="G2860" s="7" t="str">
        <f>IFERROR(__xludf.DUMMYFUNCTION("""COMPUTED_VALUE"""),"")</f>
        <v/>
      </c>
      <c r="H2860" s="7">
        <f t="shared" si="1"/>
        <v>1029</v>
      </c>
    </row>
    <row r="2861" ht="22.5" customHeight="1">
      <c r="B2861" s="7" t="str">
        <f>IFERROR(__xludf.DUMMYFUNCTION("""COMPUTED_VALUE"""),"")</f>
        <v/>
      </c>
      <c r="C2861" s="7" t="str">
        <f>IFERROR(__xludf.DUMMYFUNCTION("""COMPUTED_VALUE"""),"")</f>
        <v/>
      </c>
      <c r="D2861" s="7"/>
      <c r="E2861" s="7"/>
      <c r="F2861" s="9" t="str">
        <f>IFERROR(__xludf.DUMMYFUNCTION("""COMPUTED_VALUE"""),"")</f>
        <v/>
      </c>
      <c r="G2861" s="7" t="str">
        <f>IFERROR(__xludf.DUMMYFUNCTION("""COMPUTED_VALUE"""),"")</f>
        <v/>
      </c>
      <c r="H2861" s="7">
        <f t="shared" si="1"/>
        <v>1029</v>
      </c>
    </row>
    <row r="2862" ht="22.5" customHeight="1">
      <c r="B2862" s="7" t="str">
        <f>IFERROR(__xludf.DUMMYFUNCTION("""COMPUTED_VALUE"""),"")</f>
        <v/>
      </c>
      <c r="C2862" s="7" t="str">
        <f>IFERROR(__xludf.DUMMYFUNCTION("""COMPUTED_VALUE"""),"")</f>
        <v/>
      </c>
      <c r="D2862" s="7"/>
      <c r="E2862" s="7"/>
      <c r="F2862" s="9" t="str">
        <f>IFERROR(__xludf.DUMMYFUNCTION("""COMPUTED_VALUE"""),"")</f>
        <v/>
      </c>
      <c r="G2862" s="7" t="str">
        <f>IFERROR(__xludf.DUMMYFUNCTION("""COMPUTED_VALUE"""),"")</f>
        <v/>
      </c>
      <c r="H2862" s="7">
        <f t="shared" si="1"/>
        <v>1029</v>
      </c>
    </row>
    <row r="2863" ht="22.5" customHeight="1">
      <c r="B2863" s="7" t="str">
        <f>IFERROR(__xludf.DUMMYFUNCTION("""COMPUTED_VALUE"""),"")</f>
        <v/>
      </c>
      <c r="C2863" s="7" t="str">
        <f>IFERROR(__xludf.DUMMYFUNCTION("""COMPUTED_VALUE"""),"")</f>
        <v/>
      </c>
      <c r="D2863" s="7"/>
      <c r="E2863" s="7"/>
      <c r="F2863" s="9" t="str">
        <f>IFERROR(__xludf.DUMMYFUNCTION("""COMPUTED_VALUE"""),"")</f>
        <v/>
      </c>
      <c r="G2863" s="7" t="str">
        <f>IFERROR(__xludf.DUMMYFUNCTION("""COMPUTED_VALUE"""),"")</f>
        <v/>
      </c>
      <c r="H2863" s="7">
        <f t="shared" si="1"/>
        <v>1029</v>
      </c>
    </row>
    <row r="2864" ht="22.5" customHeight="1">
      <c r="B2864" s="7" t="str">
        <f>IFERROR(__xludf.DUMMYFUNCTION("""COMPUTED_VALUE"""),"")</f>
        <v/>
      </c>
      <c r="C2864" s="7" t="str">
        <f>IFERROR(__xludf.DUMMYFUNCTION("""COMPUTED_VALUE"""),"")</f>
        <v/>
      </c>
      <c r="D2864" s="7"/>
      <c r="E2864" s="7"/>
      <c r="F2864" s="9" t="str">
        <f>IFERROR(__xludf.DUMMYFUNCTION("""COMPUTED_VALUE"""),"")</f>
        <v/>
      </c>
      <c r="G2864" s="7" t="str">
        <f>IFERROR(__xludf.DUMMYFUNCTION("""COMPUTED_VALUE"""),"")</f>
        <v/>
      </c>
      <c r="H2864" s="7">
        <f t="shared" si="1"/>
        <v>1029</v>
      </c>
    </row>
    <row r="2865" ht="22.5" customHeight="1">
      <c r="B2865" s="7" t="str">
        <f>IFERROR(__xludf.DUMMYFUNCTION("""COMPUTED_VALUE"""),"")</f>
        <v/>
      </c>
      <c r="C2865" s="7" t="str">
        <f>IFERROR(__xludf.DUMMYFUNCTION("""COMPUTED_VALUE"""),"")</f>
        <v/>
      </c>
      <c r="D2865" s="7"/>
      <c r="E2865" s="7"/>
      <c r="F2865" s="9" t="str">
        <f>IFERROR(__xludf.DUMMYFUNCTION("""COMPUTED_VALUE"""),"")</f>
        <v/>
      </c>
      <c r="G2865" s="7" t="str">
        <f>IFERROR(__xludf.DUMMYFUNCTION("""COMPUTED_VALUE"""),"")</f>
        <v/>
      </c>
      <c r="H2865" s="7">
        <f t="shared" si="1"/>
        <v>1029</v>
      </c>
    </row>
    <row r="2866" ht="22.5" customHeight="1">
      <c r="B2866" s="7" t="str">
        <f>IFERROR(__xludf.DUMMYFUNCTION("""COMPUTED_VALUE"""),"")</f>
        <v/>
      </c>
      <c r="C2866" s="7" t="str">
        <f>IFERROR(__xludf.DUMMYFUNCTION("""COMPUTED_VALUE"""),"")</f>
        <v/>
      </c>
      <c r="D2866" s="7"/>
      <c r="E2866" s="7"/>
      <c r="F2866" s="9" t="str">
        <f>IFERROR(__xludf.DUMMYFUNCTION("""COMPUTED_VALUE"""),"")</f>
        <v/>
      </c>
      <c r="G2866" s="7" t="str">
        <f>IFERROR(__xludf.DUMMYFUNCTION("""COMPUTED_VALUE"""),"")</f>
        <v/>
      </c>
      <c r="H2866" s="7">
        <f t="shared" si="1"/>
        <v>1029</v>
      </c>
    </row>
    <row r="2867" ht="22.5" customHeight="1">
      <c r="B2867" s="7" t="str">
        <f>IFERROR(__xludf.DUMMYFUNCTION("""COMPUTED_VALUE"""),"")</f>
        <v/>
      </c>
      <c r="C2867" s="7" t="str">
        <f>IFERROR(__xludf.DUMMYFUNCTION("""COMPUTED_VALUE"""),"")</f>
        <v/>
      </c>
      <c r="D2867" s="7"/>
      <c r="E2867" s="7"/>
      <c r="F2867" s="9" t="str">
        <f>IFERROR(__xludf.DUMMYFUNCTION("""COMPUTED_VALUE"""),"")</f>
        <v/>
      </c>
      <c r="G2867" s="7" t="str">
        <f>IFERROR(__xludf.DUMMYFUNCTION("""COMPUTED_VALUE"""),"")</f>
        <v/>
      </c>
      <c r="H2867" s="7">
        <f t="shared" si="1"/>
        <v>1029</v>
      </c>
    </row>
    <row r="2868" ht="22.5" customHeight="1">
      <c r="B2868" s="7" t="str">
        <f>IFERROR(__xludf.DUMMYFUNCTION("""COMPUTED_VALUE"""),"")</f>
        <v/>
      </c>
      <c r="C2868" s="7" t="str">
        <f>IFERROR(__xludf.DUMMYFUNCTION("""COMPUTED_VALUE"""),"")</f>
        <v/>
      </c>
      <c r="D2868" s="7"/>
      <c r="E2868" s="7"/>
      <c r="F2868" s="9" t="str">
        <f>IFERROR(__xludf.DUMMYFUNCTION("""COMPUTED_VALUE"""),"")</f>
        <v/>
      </c>
      <c r="G2868" s="7" t="str">
        <f>IFERROR(__xludf.DUMMYFUNCTION("""COMPUTED_VALUE"""),"")</f>
        <v/>
      </c>
      <c r="H2868" s="7">
        <f t="shared" si="1"/>
        <v>1029</v>
      </c>
    </row>
    <row r="2869" ht="22.5" customHeight="1">
      <c r="B2869" s="7" t="str">
        <f>IFERROR(__xludf.DUMMYFUNCTION("""COMPUTED_VALUE"""),"")</f>
        <v/>
      </c>
      <c r="C2869" s="7" t="str">
        <f>IFERROR(__xludf.DUMMYFUNCTION("""COMPUTED_VALUE"""),"")</f>
        <v/>
      </c>
      <c r="D2869" s="7"/>
      <c r="E2869" s="7"/>
      <c r="F2869" s="9" t="str">
        <f>IFERROR(__xludf.DUMMYFUNCTION("""COMPUTED_VALUE"""),"")</f>
        <v/>
      </c>
      <c r="G2869" s="7" t="str">
        <f>IFERROR(__xludf.DUMMYFUNCTION("""COMPUTED_VALUE"""),"")</f>
        <v/>
      </c>
      <c r="H2869" s="7">
        <f t="shared" si="1"/>
        <v>1029</v>
      </c>
    </row>
    <row r="2870" ht="22.5" customHeight="1">
      <c r="B2870" s="7" t="str">
        <f>IFERROR(__xludf.DUMMYFUNCTION("""COMPUTED_VALUE"""),"")</f>
        <v/>
      </c>
      <c r="C2870" s="7" t="str">
        <f>IFERROR(__xludf.DUMMYFUNCTION("""COMPUTED_VALUE"""),"")</f>
        <v/>
      </c>
      <c r="D2870" s="7"/>
      <c r="E2870" s="7"/>
      <c r="F2870" s="9" t="str">
        <f>IFERROR(__xludf.DUMMYFUNCTION("""COMPUTED_VALUE"""),"")</f>
        <v/>
      </c>
      <c r="G2870" s="7" t="str">
        <f>IFERROR(__xludf.DUMMYFUNCTION("""COMPUTED_VALUE"""),"")</f>
        <v/>
      </c>
      <c r="H2870" s="7">
        <f t="shared" si="1"/>
        <v>1029</v>
      </c>
    </row>
    <row r="2871" ht="22.5" customHeight="1">
      <c r="B2871" s="7" t="str">
        <f>IFERROR(__xludf.DUMMYFUNCTION("""COMPUTED_VALUE"""),"")</f>
        <v/>
      </c>
      <c r="C2871" s="7" t="str">
        <f>IFERROR(__xludf.DUMMYFUNCTION("""COMPUTED_VALUE"""),"")</f>
        <v/>
      </c>
      <c r="D2871" s="7"/>
      <c r="E2871" s="7"/>
      <c r="F2871" s="9" t="str">
        <f>IFERROR(__xludf.DUMMYFUNCTION("""COMPUTED_VALUE"""),"")</f>
        <v/>
      </c>
      <c r="G2871" s="7" t="str">
        <f>IFERROR(__xludf.DUMMYFUNCTION("""COMPUTED_VALUE"""),"")</f>
        <v/>
      </c>
      <c r="H2871" s="7">
        <f t="shared" si="1"/>
        <v>1029</v>
      </c>
    </row>
    <row r="2872" ht="22.5" customHeight="1">
      <c r="B2872" s="7" t="str">
        <f>IFERROR(__xludf.DUMMYFUNCTION("""COMPUTED_VALUE"""),"")</f>
        <v/>
      </c>
      <c r="C2872" s="7" t="str">
        <f>IFERROR(__xludf.DUMMYFUNCTION("""COMPUTED_VALUE"""),"")</f>
        <v/>
      </c>
      <c r="D2872" s="7"/>
      <c r="E2872" s="7"/>
      <c r="F2872" s="9" t="str">
        <f>IFERROR(__xludf.DUMMYFUNCTION("""COMPUTED_VALUE"""),"")</f>
        <v/>
      </c>
      <c r="G2872" s="7" t="str">
        <f>IFERROR(__xludf.DUMMYFUNCTION("""COMPUTED_VALUE"""),"")</f>
        <v/>
      </c>
      <c r="H2872" s="7">
        <f t="shared" si="1"/>
        <v>1029</v>
      </c>
    </row>
    <row r="2873" ht="22.5" customHeight="1">
      <c r="B2873" s="7" t="str">
        <f>IFERROR(__xludf.DUMMYFUNCTION("""COMPUTED_VALUE"""),"")</f>
        <v/>
      </c>
      <c r="C2873" s="7" t="str">
        <f>IFERROR(__xludf.DUMMYFUNCTION("""COMPUTED_VALUE"""),"")</f>
        <v/>
      </c>
      <c r="D2873" s="7"/>
      <c r="E2873" s="7"/>
      <c r="F2873" s="9" t="str">
        <f>IFERROR(__xludf.DUMMYFUNCTION("""COMPUTED_VALUE"""),"")</f>
        <v/>
      </c>
      <c r="G2873" s="7" t="str">
        <f>IFERROR(__xludf.DUMMYFUNCTION("""COMPUTED_VALUE"""),"")</f>
        <v/>
      </c>
      <c r="H2873" s="7">
        <f t="shared" si="1"/>
        <v>1029</v>
      </c>
    </row>
    <row r="2874" ht="22.5" customHeight="1">
      <c r="B2874" s="7" t="str">
        <f>IFERROR(__xludf.DUMMYFUNCTION("""COMPUTED_VALUE"""),"")</f>
        <v/>
      </c>
      <c r="C2874" s="7" t="str">
        <f>IFERROR(__xludf.DUMMYFUNCTION("""COMPUTED_VALUE"""),"")</f>
        <v/>
      </c>
      <c r="D2874" s="7"/>
      <c r="E2874" s="7"/>
      <c r="F2874" s="9" t="str">
        <f>IFERROR(__xludf.DUMMYFUNCTION("""COMPUTED_VALUE"""),"")</f>
        <v/>
      </c>
      <c r="G2874" s="7" t="str">
        <f>IFERROR(__xludf.DUMMYFUNCTION("""COMPUTED_VALUE"""),"")</f>
        <v/>
      </c>
      <c r="H2874" s="7">
        <f t="shared" si="1"/>
        <v>1029</v>
      </c>
    </row>
    <row r="2875" ht="22.5" customHeight="1">
      <c r="B2875" s="7" t="str">
        <f>IFERROR(__xludf.DUMMYFUNCTION("""COMPUTED_VALUE"""),"")</f>
        <v/>
      </c>
      <c r="C2875" s="7" t="str">
        <f>IFERROR(__xludf.DUMMYFUNCTION("""COMPUTED_VALUE"""),"")</f>
        <v/>
      </c>
      <c r="D2875" s="7"/>
      <c r="E2875" s="7"/>
      <c r="F2875" s="9" t="str">
        <f>IFERROR(__xludf.DUMMYFUNCTION("""COMPUTED_VALUE"""),"")</f>
        <v/>
      </c>
      <c r="G2875" s="7" t="str">
        <f>IFERROR(__xludf.DUMMYFUNCTION("""COMPUTED_VALUE"""),"")</f>
        <v/>
      </c>
      <c r="H2875" s="7">
        <f t="shared" si="1"/>
        <v>1029</v>
      </c>
    </row>
    <row r="2876" ht="22.5" customHeight="1">
      <c r="B2876" s="7" t="str">
        <f>IFERROR(__xludf.DUMMYFUNCTION("""COMPUTED_VALUE"""),"")</f>
        <v/>
      </c>
      <c r="C2876" s="7" t="str">
        <f>IFERROR(__xludf.DUMMYFUNCTION("""COMPUTED_VALUE"""),"")</f>
        <v/>
      </c>
      <c r="D2876" s="7"/>
      <c r="E2876" s="7"/>
      <c r="F2876" s="9" t="str">
        <f>IFERROR(__xludf.DUMMYFUNCTION("""COMPUTED_VALUE"""),"")</f>
        <v/>
      </c>
      <c r="G2876" s="7" t="str">
        <f>IFERROR(__xludf.DUMMYFUNCTION("""COMPUTED_VALUE"""),"")</f>
        <v/>
      </c>
      <c r="H2876" s="7">
        <f t="shared" si="1"/>
        <v>1029</v>
      </c>
    </row>
    <row r="2877" ht="22.5" customHeight="1">
      <c r="B2877" s="7" t="str">
        <f>IFERROR(__xludf.DUMMYFUNCTION("""COMPUTED_VALUE"""),"")</f>
        <v/>
      </c>
      <c r="C2877" s="7" t="str">
        <f>IFERROR(__xludf.DUMMYFUNCTION("""COMPUTED_VALUE"""),"")</f>
        <v/>
      </c>
      <c r="D2877" s="7"/>
      <c r="E2877" s="7"/>
      <c r="F2877" s="9" t="str">
        <f>IFERROR(__xludf.DUMMYFUNCTION("""COMPUTED_VALUE"""),"")</f>
        <v/>
      </c>
      <c r="G2877" s="7" t="str">
        <f>IFERROR(__xludf.DUMMYFUNCTION("""COMPUTED_VALUE"""),"")</f>
        <v/>
      </c>
      <c r="H2877" s="7">
        <f t="shared" si="1"/>
        <v>1029</v>
      </c>
    </row>
    <row r="2878" ht="22.5" customHeight="1">
      <c r="B2878" s="7" t="str">
        <f>IFERROR(__xludf.DUMMYFUNCTION("""COMPUTED_VALUE"""),"")</f>
        <v/>
      </c>
      <c r="C2878" s="7" t="str">
        <f>IFERROR(__xludf.DUMMYFUNCTION("""COMPUTED_VALUE"""),"")</f>
        <v/>
      </c>
      <c r="D2878" s="7"/>
      <c r="E2878" s="7"/>
      <c r="F2878" s="9" t="str">
        <f>IFERROR(__xludf.DUMMYFUNCTION("""COMPUTED_VALUE"""),"")</f>
        <v/>
      </c>
      <c r="G2878" s="7" t="str">
        <f>IFERROR(__xludf.DUMMYFUNCTION("""COMPUTED_VALUE"""),"")</f>
        <v/>
      </c>
      <c r="H2878" s="7">
        <f t="shared" si="1"/>
        <v>1029</v>
      </c>
    </row>
    <row r="2879" ht="22.5" customHeight="1">
      <c r="B2879" s="7" t="str">
        <f>IFERROR(__xludf.DUMMYFUNCTION("""COMPUTED_VALUE"""),"")</f>
        <v/>
      </c>
      <c r="C2879" s="7" t="str">
        <f>IFERROR(__xludf.DUMMYFUNCTION("""COMPUTED_VALUE"""),"")</f>
        <v/>
      </c>
      <c r="D2879" s="7"/>
      <c r="E2879" s="7"/>
      <c r="F2879" s="9" t="str">
        <f>IFERROR(__xludf.DUMMYFUNCTION("""COMPUTED_VALUE"""),"")</f>
        <v/>
      </c>
      <c r="G2879" s="7" t="str">
        <f>IFERROR(__xludf.DUMMYFUNCTION("""COMPUTED_VALUE"""),"")</f>
        <v/>
      </c>
      <c r="H2879" s="7">
        <f t="shared" si="1"/>
        <v>1029</v>
      </c>
    </row>
    <row r="2880" ht="22.5" customHeight="1">
      <c r="B2880" s="7" t="str">
        <f>IFERROR(__xludf.DUMMYFUNCTION("""COMPUTED_VALUE"""),"")</f>
        <v/>
      </c>
      <c r="C2880" s="7" t="str">
        <f>IFERROR(__xludf.DUMMYFUNCTION("""COMPUTED_VALUE"""),"")</f>
        <v/>
      </c>
      <c r="D2880" s="7"/>
      <c r="E2880" s="7"/>
      <c r="F2880" s="9" t="str">
        <f>IFERROR(__xludf.DUMMYFUNCTION("""COMPUTED_VALUE"""),"")</f>
        <v/>
      </c>
      <c r="G2880" s="7" t="str">
        <f>IFERROR(__xludf.DUMMYFUNCTION("""COMPUTED_VALUE"""),"")</f>
        <v/>
      </c>
      <c r="H2880" s="7">
        <f t="shared" si="1"/>
        <v>1029</v>
      </c>
    </row>
    <row r="2881" ht="22.5" customHeight="1">
      <c r="B2881" s="7" t="str">
        <f>IFERROR(__xludf.DUMMYFUNCTION("""COMPUTED_VALUE"""),"")</f>
        <v/>
      </c>
      <c r="C2881" s="7" t="str">
        <f>IFERROR(__xludf.DUMMYFUNCTION("""COMPUTED_VALUE"""),"")</f>
        <v/>
      </c>
      <c r="D2881" s="7"/>
      <c r="E2881" s="7"/>
      <c r="F2881" s="9" t="str">
        <f>IFERROR(__xludf.DUMMYFUNCTION("""COMPUTED_VALUE"""),"")</f>
        <v/>
      </c>
      <c r="G2881" s="7" t="str">
        <f>IFERROR(__xludf.DUMMYFUNCTION("""COMPUTED_VALUE"""),"")</f>
        <v/>
      </c>
      <c r="H2881" s="7">
        <f t="shared" si="1"/>
        <v>1029</v>
      </c>
    </row>
    <row r="2882" ht="22.5" customHeight="1">
      <c r="B2882" s="7" t="str">
        <f>IFERROR(__xludf.DUMMYFUNCTION("""COMPUTED_VALUE"""),"")</f>
        <v/>
      </c>
      <c r="C2882" s="7" t="str">
        <f>IFERROR(__xludf.DUMMYFUNCTION("""COMPUTED_VALUE"""),"")</f>
        <v/>
      </c>
      <c r="D2882" s="7"/>
      <c r="E2882" s="7"/>
      <c r="F2882" s="9" t="str">
        <f>IFERROR(__xludf.DUMMYFUNCTION("""COMPUTED_VALUE"""),"")</f>
        <v/>
      </c>
      <c r="G2882" s="7" t="str">
        <f>IFERROR(__xludf.DUMMYFUNCTION("""COMPUTED_VALUE"""),"")</f>
        <v/>
      </c>
      <c r="H2882" s="7">
        <f t="shared" si="1"/>
        <v>1029</v>
      </c>
    </row>
    <row r="2883" ht="22.5" customHeight="1">
      <c r="B2883" s="7" t="str">
        <f>IFERROR(__xludf.DUMMYFUNCTION("""COMPUTED_VALUE"""),"")</f>
        <v/>
      </c>
      <c r="C2883" s="7" t="str">
        <f>IFERROR(__xludf.DUMMYFUNCTION("""COMPUTED_VALUE"""),"")</f>
        <v/>
      </c>
      <c r="D2883" s="7"/>
      <c r="E2883" s="7"/>
      <c r="F2883" s="9" t="str">
        <f>IFERROR(__xludf.DUMMYFUNCTION("""COMPUTED_VALUE"""),"")</f>
        <v/>
      </c>
      <c r="G2883" s="7" t="str">
        <f>IFERROR(__xludf.DUMMYFUNCTION("""COMPUTED_VALUE"""),"")</f>
        <v/>
      </c>
      <c r="H2883" s="7">
        <f t="shared" si="1"/>
        <v>1029</v>
      </c>
    </row>
    <row r="2884" ht="22.5" customHeight="1">
      <c r="B2884" s="7" t="str">
        <f>IFERROR(__xludf.DUMMYFUNCTION("""COMPUTED_VALUE"""),"")</f>
        <v/>
      </c>
      <c r="C2884" s="7" t="str">
        <f>IFERROR(__xludf.DUMMYFUNCTION("""COMPUTED_VALUE"""),"")</f>
        <v/>
      </c>
      <c r="D2884" s="7"/>
      <c r="E2884" s="7"/>
      <c r="F2884" s="9" t="str">
        <f>IFERROR(__xludf.DUMMYFUNCTION("""COMPUTED_VALUE"""),"")</f>
        <v/>
      </c>
      <c r="G2884" s="7" t="str">
        <f>IFERROR(__xludf.DUMMYFUNCTION("""COMPUTED_VALUE"""),"")</f>
        <v/>
      </c>
      <c r="H2884" s="7">
        <f t="shared" si="1"/>
        <v>1029</v>
      </c>
    </row>
    <row r="2885" ht="22.5" customHeight="1">
      <c r="B2885" s="7" t="str">
        <f>IFERROR(__xludf.DUMMYFUNCTION("""COMPUTED_VALUE"""),"")</f>
        <v/>
      </c>
      <c r="C2885" s="7" t="str">
        <f>IFERROR(__xludf.DUMMYFUNCTION("""COMPUTED_VALUE"""),"")</f>
        <v/>
      </c>
      <c r="D2885" s="7"/>
      <c r="E2885" s="7"/>
      <c r="F2885" s="9" t="str">
        <f>IFERROR(__xludf.DUMMYFUNCTION("""COMPUTED_VALUE"""),"")</f>
        <v/>
      </c>
      <c r="G2885" s="7" t="str">
        <f>IFERROR(__xludf.DUMMYFUNCTION("""COMPUTED_VALUE"""),"")</f>
        <v/>
      </c>
      <c r="H2885" s="7">
        <f t="shared" si="1"/>
        <v>1029</v>
      </c>
    </row>
    <row r="2886" ht="22.5" customHeight="1">
      <c r="B2886" s="7" t="str">
        <f>IFERROR(__xludf.DUMMYFUNCTION("""COMPUTED_VALUE"""),"")</f>
        <v/>
      </c>
      <c r="C2886" s="7" t="str">
        <f>IFERROR(__xludf.DUMMYFUNCTION("""COMPUTED_VALUE"""),"")</f>
        <v/>
      </c>
      <c r="D2886" s="7"/>
      <c r="E2886" s="7"/>
      <c r="F2886" s="9" t="str">
        <f>IFERROR(__xludf.DUMMYFUNCTION("""COMPUTED_VALUE"""),"")</f>
        <v/>
      </c>
      <c r="G2886" s="7" t="str">
        <f>IFERROR(__xludf.DUMMYFUNCTION("""COMPUTED_VALUE"""),"")</f>
        <v/>
      </c>
      <c r="H2886" s="7">
        <f t="shared" si="1"/>
        <v>1029</v>
      </c>
    </row>
    <row r="2887" ht="22.5" customHeight="1">
      <c r="B2887" s="7" t="str">
        <f>IFERROR(__xludf.DUMMYFUNCTION("""COMPUTED_VALUE"""),"")</f>
        <v/>
      </c>
      <c r="C2887" s="7" t="str">
        <f>IFERROR(__xludf.DUMMYFUNCTION("""COMPUTED_VALUE"""),"")</f>
        <v/>
      </c>
      <c r="D2887" s="7"/>
      <c r="E2887" s="7"/>
      <c r="F2887" s="9" t="str">
        <f>IFERROR(__xludf.DUMMYFUNCTION("""COMPUTED_VALUE"""),"")</f>
        <v/>
      </c>
      <c r="G2887" s="7" t="str">
        <f>IFERROR(__xludf.DUMMYFUNCTION("""COMPUTED_VALUE"""),"")</f>
        <v/>
      </c>
      <c r="H2887" s="7">
        <f t="shared" si="1"/>
        <v>1029</v>
      </c>
    </row>
    <row r="2888" ht="22.5" customHeight="1">
      <c r="B2888" s="7" t="str">
        <f>IFERROR(__xludf.DUMMYFUNCTION("""COMPUTED_VALUE"""),"")</f>
        <v/>
      </c>
      <c r="C2888" s="7" t="str">
        <f>IFERROR(__xludf.DUMMYFUNCTION("""COMPUTED_VALUE"""),"")</f>
        <v/>
      </c>
      <c r="D2888" s="7"/>
      <c r="E2888" s="7"/>
      <c r="F2888" s="9" t="str">
        <f>IFERROR(__xludf.DUMMYFUNCTION("""COMPUTED_VALUE"""),"")</f>
        <v/>
      </c>
      <c r="G2888" s="7" t="str">
        <f>IFERROR(__xludf.DUMMYFUNCTION("""COMPUTED_VALUE"""),"")</f>
        <v/>
      </c>
      <c r="H2888" s="7">
        <f t="shared" si="1"/>
        <v>1029</v>
      </c>
    </row>
    <row r="2889" ht="22.5" customHeight="1">
      <c r="B2889" s="7" t="str">
        <f>IFERROR(__xludf.DUMMYFUNCTION("""COMPUTED_VALUE"""),"")</f>
        <v/>
      </c>
      <c r="C2889" s="7" t="str">
        <f>IFERROR(__xludf.DUMMYFUNCTION("""COMPUTED_VALUE"""),"")</f>
        <v/>
      </c>
      <c r="D2889" s="7"/>
      <c r="E2889" s="7"/>
      <c r="F2889" s="9" t="str">
        <f>IFERROR(__xludf.DUMMYFUNCTION("""COMPUTED_VALUE"""),"")</f>
        <v/>
      </c>
      <c r="G2889" s="7" t="str">
        <f>IFERROR(__xludf.DUMMYFUNCTION("""COMPUTED_VALUE"""),"")</f>
        <v/>
      </c>
      <c r="H2889" s="7">
        <f t="shared" si="1"/>
        <v>1029</v>
      </c>
    </row>
    <row r="2890" ht="22.5" customHeight="1">
      <c r="B2890" s="7" t="str">
        <f>IFERROR(__xludf.DUMMYFUNCTION("""COMPUTED_VALUE"""),"")</f>
        <v/>
      </c>
      <c r="C2890" s="7" t="str">
        <f>IFERROR(__xludf.DUMMYFUNCTION("""COMPUTED_VALUE"""),"")</f>
        <v/>
      </c>
      <c r="D2890" s="7"/>
      <c r="E2890" s="7"/>
      <c r="F2890" s="9" t="str">
        <f>IFERROR(__xludf.DUMMYFUNCTION("""COMPUTED_VALUE"""),"")</f>
        <v/>
      </c>
      <c r="G2890" s="7" t="str">
        <f>IFERROR(__xludf.DUMMYFUNCTION("""COMPUTED_VALUE"""),"")</f>
        <v/>
      </c>
      <c r="H2890" s="7">
        <f t="shared" si="1"/>
        <v>1029</v>
      </c>
    </row>
    <row r="2891" ht="22.5" customHeight="1">
      <c r="B2891" s="7" t="str">
        <f>IFERROR(__xludf.DUMMYFUNCTION("""COMPUTED_VALUE"""),"")</f>
        <v/>
      </c>
      <c r="C2891" s="7" t="str">
        <f>IFERROR(__xludf.DUMMYFUNCTION("""COMPUTED_VALUE"""),"")</f>
        <v/>
      </c>
      <c r="D2891" s="7"/>
      <c r="E2891" s="7"/>
      <c r="F2891" s="9" t="str">
        <f>IFERROR(__xludf.DUMMYFUNCTION("""COMPUTED_VALUE"""),"")</f>
        <v/>
      </c>
      <c r="G2891" s="7" t="str">
        <f>IFERROR(__xludf.DUMMYFUNCTION("""COMPUTED_VALUE"""),"")</f>
        <v/>
      </c>
      <c r="H2891" s="7">
        <f t="shared" si="1"/>
        <v>1029</v>
      </c>
    </row>
    <row r="2892" ht="22.5" customHeight="1">
      <c r="B2892" s="7" t="str">
        <f>IFERROR(__xludf.DUMMYFUNCTION("""COMPUTED_VALUE"""),"")</f>
        <v/>
      </c>
      <c r="C2892" s="7" t="str">
        <f>IFERROR(__xludf.DUMMYFUNCTION("""COMPUTED_VALUE"""),"")</f>
        <v/>
      </c>
      <c r="D2892" s="7"/>
      <c r="E2892" s="7"/>
      <c r="F2892" s="9" t="str">
        <f>IFERROR(__xludf.DUMMYFUNCTION("""COMPUTED_VALUE"""),"")</f>
        <v/>
      </c>
      <c r="G2892" s="7" t="str">
        <f>IFERROR(__xludf.DUMMYFUNCTION("""COMPUTED_VALUE"""),"")</f>
        <v/>
      </c>
      <c r="H2892" s="7">
        <f t="shared" si="1"/>
        <v>1029</v>
      </c>
    </row>
    <row r="2893" ht="22.5" customHeight="1">
      <c r="B2893" s="7" t="str">
        <f>IFERROR(__xludf.DUMMYFUNCTION("""COMPUTED_VALUE"""),"")</f>
        <v/>
      </c>
      <c r="C2893" s="7" t="str">
        <f>IFERROR(__xludf.DUMMYFUNCTION("""COMPUTED_VALUE"""),"")</f>
        <v/>
      </c>
      <c r="D2893" s="7"/>
      <c r="E2893" s="7"/>
      <c r="F2893" s="9" t="str">
        <f>IFERROR(__xludf.DUMMYFUNCTION("""COMPUTED_VALUE"""),"")</f>
        <v/>
      </c>
      <c r="G2893" s="7" t="str">
        <f>IFERROR(__xludf.DUMMYFUNCTION("""COMPUTED_VALUE"""),"")</f>
        <v/>
      </c>
      <c r="H2893" s="7">
        <f t="shared" si="1"/>
        <v>1029</v>
      </c>
    </row>
    <row r="2894" ht="22.5" customHeight="1">
      <c r="B2894" s="7" t="str">
        <f>IFERROR(__xludf.DUMMYFUNCTION("""COMPUTED_VALUE"""),"")</f>
        <v/>
      </c>
      <c r="C2894" s="7" t="str">
        <f>IFERROR(__xludf.DUMMYFUNCTION("""COMPUTED_VALUE"""),"")</f>
        <v/>
      </c>
      <c r="D2894" s="7"/>
      <c r="E2894" s="7"/>
      <c r="F2894" s="9" t="str">
        <f>IFERROR(__xludf.DUMMYFUNCTION("""COMPUTED_VALUE"""),"")</f>
        <v/>
      </c>
      <c r="G2894" s="7" t="str">
        <f>IFERROR(__xludf.DUMMYFUNCTION("""COMPUTED_VALUE"""),"")</f>
        <v/>
      </c>
      <c r="H2894" s="7">
        <f t="shared" si="1"/>
        <v>1029</v>
      </c>
    </row>
    <row r="2895" ht="22.5" customHeight="1">
      <c r="B2895" s="7" t="str">
        <f>IFERROR(__xludf.DUMMYFUNCTION("""COMPUTED_VALUE"""),"")</f>
        <v/>
      </c>
      <c r="C2895" s="7" t="str">
        <f>IFERROR(__xludf.DUMMYFUNCTION("""COMPUTED_VALUE"""),"")</f>
        <v/>
      </c>
      <c r="D2895" s="7"/>
      <c r="E2895" s="7"/>
      <c r="F2895" s="9" t="str">
        <f>IFERROR(__xludf.DUMMYFUNCTION("""COMPUTED_VALUE"""),"")</f>
        <v/>
      </c>
      <c r="G2895" s="7" t="str">
        <f>IFERROR(__xludf.DUMMYFUNCTION("""COMPUTED_VALUE"""),"")</f>
        <v/>
      </c>
      <c r="H2895" s="7">
        <f t="shared" si="1"/>
        <v>1029</v>
      </c>
    </row>
    <row r="2896" ht="22.5" customHeight="1">
      <c r="B2896" s="7" t="str">
        <f>IFERROR(__xludf.DUMMYFUNCTION("""COMPUTED_VALUE"""),"")</f>
        <v/>
      </c>
      <c r="C2896" s="7" t="str">
        <f>IFERROR(__xludf.DUMMYFUNCTION("""COMPUTED_VALUE"""),"")</f>
        <v/>
      </c>
      <c r="D2896" s="7"/>
      <c r="E2896" s="7"/>
      <c r="F2896" s="9" t="str">
        <f>IFERROR(__xludf.DUMMYFUNCTION("""COMPUTED_VALUE"""),"")</f>
        <v/>
      </c>
      <c r="G2896" s="7" t="str">
        <f>IFERROR(__xludf.DUMMYFUNCTION("""COMPUTED_VALUE"""),"")</f>
        <v/>
      </c>
      <c r="H2896" s="7">
        <f t="shared" si="1"/>
        <v>1029</v>
      </c>
    </row>
    <row r="2897" ht="22.5" customHeight="1">
      <c r="B2897" s="7" t="str">
        <f>IFERROR(__xludf.DUMMYFUNCTION("""COMPUTED_VALUE"""),"")</f>
        <v/>
      </c>
      <c r="C2897" s="7" t="str">
        <f>IFERROR(__xludf.DUMMYFUNCTION("""COMPUTED_VALUE"""),"")</f>
        <v/>
      </c>
      <c r="D2897" s="7"/>
      <c r="E2897" s="7"/>
      <c r="F2897" s="9" t="str">
        <f>IFERROR(__xludf.DUMMYFUNCTION("""COMPUTED_VALUE"""),"")</f>
        <v/>
      </c>
      <c r="G2897" s="7" t="str">
        <f>IFERROR(__xludf.DUMMYFUNCTION("""COMPUTED_VALUE"""),"")</f>
        <v/>
      </c>
      <c r="H2897" s="7">
        <f t="shared" si="1"/>
        <v>1029</v>
      </c>
    </row>
    <row r="2898" ht="22.5" customHeight="1">
      <c r="B2898" s="7" t="str">
        <f>IFERROR(__xludf.DUMMYFUNCTION("""COMPUTED_VALUE"""),"")</f>
        <v/>
      </c>
      <c r="C2898" s="7" t="str">
        <f>IFERROR(__xludf.DUMMYFUNCTION("""COMPUTED_VALUE"""),"")</f>
        <v/>
      </c>
      <c r="D2898" s="7"/>
      <c r="E2898" s="7"/>
      <c r="F2898" s="9" t="str">
        <f>IFERROR(__xludf.DUMMYFUNCTION("""COMPUTED_VALUE"""),"")</f>
        <v/>
      </c>
      <c r="G2898" s="7" t="str">
        <f>IFERROR(__xludf.DUMMYFUNCTION("""COMPUTED_VALUE"""),"")</f>
        <v/>
      </c>
      <c r="H2898" s="7">
        <f t="shared" si="1"/>
        <v>1029</v>
      </c>
    </row>
    <row r="2899" ht="22.5" customHeight="1">
      <c r="B2899" s="7" t="str">
        <f>IFERROR(__xludf.DUMMYFUNCTION("""COMPUTED_VALUE"""),"")</f>
        <v/>
      </c>
      <c r="C2899" s="7" t="str">
        <f>IFERROR(__xludf.DUMMYFUNCTION("""COMPUTED_VALUE"""),"")</f>
        <v/>
      </c>
      <c r="D2899" s="7"/>
      <c r="E2899" s="7"/>
      <c r="F2899" s="9" t="str">
        <f>IFERROR(__xludf.DUMMYFUNCTION("""COMPUTED_VALUE"""),"")</f>
        <v/>
      </c>
      <c r="G2899" s="7" t="str">
        <f>IFERROR(__xludf.DUMMYFUNCTION("""COMPUTED_VALUE"""),"")</f>
        <v/>
      </c>
      <c r="H2899" s="7">
        <f t="shared" si="1"/>
        <v>1029</v>
      </c>
    </row>
    <row r="2900" ht="22.5" customHeight="1">
      <c r="B2900" s="7" t="str">
        <f>IFERROR(__xludf.DUMMYFUNCTION("""COMPUTED_VALUE"""),"")</f>
        <v/>
      </c>
      <c r="C2900" s="7" t="str">
        <f>IFERROR(__xludf.DUMMYFUNCTION("""COMPUTED_VALUE"""),"")</f>
        <v/>
      </c>
      <c r="D2900" s="7"/>
      <c r="E2900" s="7"/>
      <c r="F2900" s="9" t="str">
        <f>IFERROR(__xludf.DUMMYFUNCTION("""COMPUTED_VALUE"""),"")</f>
        <v/>
      </c>
      <c r="G2900" s="7" t="str">
        <f>IFERROR(__xludf.DUMMYFUNCTION("""COMPUTED_VALUE"""),"")</f>
        <v/>
      </c>
      <c r="H2900" s="7">
        <f t="shared" si="1"/>
        <v>1029</v>
      </c>
    </row>
    <row r="2901" ht="22.5" customHeight="1">
      <c r="B2901" s="7" t="str">
        <f>IFERROR(__xludf.DUMMYFUNCTION("""COMPUTED_VALUE"""),"")</f>
        <v/>
      </c>
      <c r="C2901" s="7" t="str">
        <f>IFERROR(__xludf.DUMMYFUNCTION("""COMPUTED_VALUE"""),"")</f>
        <v/>
      </c>
      <c r="D2901" s="7"/>
      <c r="E2901" s="7"/>
      <c r="F2901" s="9" t="str">
        <f>IFERROR(__xludf.DUMMYFUNCTION("""COMPUTED_VALUE"""),"")</f>
        <v/>
      </c>
      <c r="G2901" s="7" t="str">
        <f>IFERROR(__xludf.DUMMYFUNCTION("""COMPUTED_VALUE"""),"")</f>
        <v/>
      </c>
      <c r="H2901" s="7">
        <f t="shared" si="1"/>
        <v>1029</v>
      </c>
    </row>
    <row r="2902" ht="22.5" customHeight="1">
      <c r="B2902" s="7" t="str">
        <f>IFERROR(__xludf.DUMMYFUNCTION("""COMPUTED_VALUE"""),"")</f>
        <v/>
      </c>
      <c r="C2902" s="7" t="str">
        <f>IFERROR(__xludf.DUMMYFUNCTION("""COMPUTED_VALUE"""),"")</f>
        <v/>
      </c>
      <c r="D2902" s="7"/>
      <c r="E2902" s="7"/>
      <c r="F2902" s="9" t="str">
        <f>IFERROR(__xludf.DUMMYFUNCTION("""COMPUTED_VALUE"""),"")</f>
        <v/>
      </c>
      <c r="G2902" s="7" t="str">
        <f>IFERROR(__xludf.DUMMYFUNCTION("""COMPUTED_VALUE"""),"")</f>
        <v/>
      </c>
      <c r="H2902" s="7">
        <f t="shared" si="1"/>
        <v>1029</v>
      </c>
    </row>
    <row r="2903" ht="22.5" customHeight="1">
      <c r="B2903" s="7" t="str">
        <f>IFERROR(__xludf.DUMMYFUNCTION("""COMPUTED_VALUE"""),"")</f>
        <v/>
      </c>
      <c r="C2903" s="7" t="str">
        <f>IFERROR(__xludf.DUMMYFUNCTION("""COMPUTED_VALUE"""),"")</f>
        <v/>
      </c>
      <c r="D2903" s="7"/>
      <c r="E2903" s="7"/>
      <c r="F2903" s="9" t="str">
        <f>IFERROR(__xludf.DUMMYFUNCTION("""COMPUTED_VALUE"""),"")</f>
        <v/>
      </c>
      <c r="G2903" s="7" t="str">
        <f>IFERROR(__xludf.DUMMYFUNCTION("""COMPUTED_VALUE"""),"")</f>
        <v/>
      </c>
      <c r="H2903" s="7">
        <f t="shared" si="1"/>
        <v>1029</v>
      </c>
    </row>
    <row r="2904" ht="22.5" customHeight="1">
      <c r="B2904" s="7" t="str">
        <f>IFERROR(__xludf.DUMMYFUNCTION("""COMPUTED_VALUE"""),"")</f>
        <v/>
      </c>
      <c r="C2904" s="7" t="str">
        <f>IFERROR(__xludf.DUMMYFUNCTION("""COMPUTED_VALUE"""),"")</f>
        <v/>
      </c>
      <c r="D2904" s="7"/>
      <c r="E2904" s="7"/>
      <c r="F2904" s="9" t="str">
        <f>IFERROR(__xludf.DUMMYFUNCTION("""COMPUTED_VALUE"""),"")</f>
        <v/>
      </c>
      <c r="G2904" s="7" t="str">
        <f>IFERROR(__xludf.DUMMYFUNCTION("""COMPUTED_VALUE"""),"")</f>
        <v/>
      </c>
      <c r="H2904" s="7">
        <f t="shared" si="1"/>
        <v>1029</v>
      </c>
    </row>
    <row r="2905" ht="22.5" customHeight="1">
      <c r="B2905" s="7" t="str">
        <f>IFERROR(__xludf.DUMMYFUNCTION("""COMPUTED_VALUE"""),"")</f>
        <v/>
      </c>
      <c r="C2905" s="7" t="str">
        <f>IFERROR(__xludf.DUMMYFUNCTION("""COMPUTED_VALUE"""),"")</f>
        <v/>
      </c>
      <c r="D2905" s="7"/>
      <c r="E2905" s="7"/>
      <c r="F2905" s="9" t="str">
        <f>IFERROR(__xludf.DUMMYFUNCTION("""COMPUTED_VALUE"""),"")</f>
        <v/>
      </c>
      <c r="G2905" s="7" t="str">
        <f>IFERROR(__xludf.DUMMYFUNCTION("""COMPUTED_VALUE"""),"")</f>
        <v/>
      </c>
      <c r="H2905" s="7">
        <f t="shared" si="1"/>
        <v>1029</v>
      </c>
    </row>
    <row r="2906" ht="22.5" customHeight="1">
      <c r="B2906" s="7" t="str">
        <f>IFERROR(__xludf.DUMMYFUNCTION("""COMPUTED_VALUE"""),"")</f>
        <v/>
      </c>
      <c r="C2906" s="7" t="str">
        <f>IFERROR(__xludf.DUMMYFUNCTION("""COMPUTED_VALUE"""),"")</f>
        <v/>
      </c>
      <c r="D2906" s="7"/>
      <c r="E2906" s="7"/>
      <c r="F2906" s="9" t="str">
        <f>IFERROR(__xludf.DUMMYFUNCTION("""COMPUTED_VALUE"""),"")</f>
        <v/>
      </c>
      <c r="G2906" s="7" t="str">
        <f>IFERROR(__xludf.DUMMYFUNCTION("""COMPUTED_VALUE"""),"")</f>
        <v/>
      </c>
      <c r="H2906" s="7">
        <f t="shared" si="1"/>
        <v>1029</v>
      </c>
    </row>
    <row r="2907" ht="22.5" customHeight="1">
      <c r="B2907" s="7" t="str">
        <f>IFERROR(__xludf.DUMMYFUNCTION("""COMPUTED_VALUE"""),"")</f>
        <v/>
      </c>
      <c r="C2907" s="7" t="str">
        <f>IFERROR(__xludf.DUMMYFUNCTION("""COMPUTED_VALUE"""),"")</f>
        <v/>
      </c>
      <c r="D2907" s="7"/>
      <c r="E2907" s="7"/>
      <c r="F2907" s="9" t="str">
        <f>IFERROR(__xludf.DUMMYFUNCTION("""COMPUTED_VALUE"""),"")</f>
        <v/>
      </c>
      <c r="G2907" s="7" t="str">
        <f>IFERROR(__xludf.DUMMYFUNCTION("""COMPUTED_VALUE"""),"")</f>
        <v/>
      </c>
      <c r="H2907" s="7">
        <f t="shared" si="1"/>
        <v>1029</v>
      </c>
    </row>
    <row r="2908" ht="22.5" customHeight="1">
      <c r="B2908" s="7" t="str">
        <f>IFERROR(__xludf.DUMMYFUNCTION("""COMPUTED_VALUE"""),"")</f>
        <v/>
      </c>
      <c r="C2908" s="7" t="str">
        <f>IFERROR(__xludf.DUMMYFUNCTION("""COMPUTED_VALUE"""),"")</f>
        <v/>
      </c>
      <c r="D2908" s="7"/>
      <c r="E2908" s="7"/>
      <c r="F2908" s="9" t="str">
        <f>IFERROR(__xludf.DUMMYFUNCTION("""COMPUTED_VALUE"""),"")</f>
        <v/>
      </c>
      <c r="G2908" s="7" t="str">
        <f>IFERROR(__xludf.DUMMYFUNCTION("""COMPUTED_VALUE"""),"")</f>
        <v/>
      </c>
      <c r="H2908" s="7">
        <f t="shared" si="1"/>
        <v>1029</v>
      </c>
    </row>
    <row r="2909" ht="22.5" customHeight="1">
      <c r="B2909" s="7" t="str">
        <f>IFERROR(__xludf.DUMMYFUNCTION("""COMPUTED_VALUE"""),"")</f>
        <v/>
      </c>
      <c r="C2909" s="7" t="str">
        <f>IFERROR(__xludf.DUMMYFUNCTION("""COMPUTED_VALUE"""),"")</f>
        <v/>
      </c>
      <c r="D2909" s="7"/>
      <c r="E2909" s="7"/>
      <c r="F2909" s="9" t="str">
        <f>IFERROR(__xludf.DUMMYFUNCTION("""COMPUTED_VALUE"""),"")</f>
        <v/>
      </c>
      <c r="G2909" s="7" t="str">
        <f>IFERROR(__xludf.DUMMYFUNCTION("""COMPUTED_VALUE"""),"")</f>
        <v/>
      </c>
      <c r="H2909" s="7">
        <f t="shared" si="1"/>
        <v>1029</v>
      </c>
    </row>
    <row r="2910" ht="22.5" customHeight="1">
      <c r="B2910" s="7" t="str">
        <f>IFERROR(__xludf.DUMMYFUNCTION("""COMPUTED_VALUE"""),"")</f>
        <v/>
      </c>
      <c r="C2910" s="7" t="str">
        <f>IFERROR(__xludf.DUMMYFUNCTION("""COMPUTED_VALUE"""),"")</f>
        <v/>
      </c>
      <c r="D2910" s="7"/>
      <c r="E2910" s="7"/>
      <c r="F2910" s="9" t="str">
        <f>IFERROR(__xludf.DUMMYFUNCTION("""COMPUTED_VALUE"""),"")</f>
        <v/>
      </c>
      <c r="G2910" s="7" t="str">
        <f>IFERROR(__xludf.DUMMYFUNCTION("""COMPUTED_VALUE"""),"")</f>
        <v/>
      </c>
      <c r="H2910" s="7">
        <f t="shared" si="1"/>
        <v>1029</v>
      </c>
    </row>
    <row r="2911" ht="22.5" customHeight="1">
      <c r="B2911" s="7" t="str">
        <f>IFERROR(__xludf.DUMMYFUNCTION("""COMPUTED_VALUE"""),"")</f>
        <v/>
      </c>
      <c r="C2911" s="7" t="str">
        <f>IFERROR(__xludf.DUMMYFUNCTION("""COMPUTED_VALUE"""),"")</f>
        <v/>
      </c>
      <c r="D2911" s="7"/>
      <c r="E2911" s="7"/>
      <c r="F2911" s="9" t="str">
        <f>IFERROR(__xludf.DUMMYFUNCTION("""COMPUTED_VALUE"""),"")</f>
        <v/>
      </c>
      <c r="G2911" s="7" t="str">
        <f>IFERROR(__xludf.DUMMYFUNCTION("""COMPUTED_VALUE"""),"")</f>
        <v/>
      </c>
      <c r="H2911" s="7">
        <f t="shared" si="1"/>
        <v>1029</v>
      </c>
    </row>
    <row r="2912" ht="22.5" customHeight="1">
      <c r="B2912" s="7" t="str">
        <f>IFERROR(__xludf.DUMMYFUNCTION("""COMPUTED_VALUE"""),"")</f>
        <v/>
      </c>
      <c r="C2912" s="7" t="str">
        <f>IFERROR(__xludf.DUMMYFUNCTION("""COMPUTED_VALUE"""),"")</f>
        <v/>
      </c>
      <c r="D2912" s="7"/>
      <c r="E2912" s="7"/>
      <c r="F2912" s="9" t="str">
        <f>IFERROR(__xludf.DUMMYFUNCTION("""COMPUTED_VALUE"""),"")</f>
        <v/>
      </c>
      <c r="G2912" s="7" t="str">
        <f>IFERROR(__xludf.DUMMYFUNCTION("""COMPUTED_VALUE"""),"")</f>
        <v/>
      </c>
      <c r="H2912" s="7">
        <f t="shared" si="1"/>
        <v>1029</v>
      </c>
    </row>
    <row r="2913" ht="22.5" customHeight="1">
      <c r="B2913" s="7" t="str">
        <f>IFERROR(__xludf.DUMMYFUNCTION("""COMPUTED_VALUE"""),"")</f>
        <v/>
      </c>
      <c r="C2913" s="7" t="str">
        <f>IFERROR(__xludf.DUMMYFUNCTION("""COMPUTED_VALUE"""),"")</f>
        <v/>
      </c>
      <c r="D2913" s="7"/>
      <c r="E2913" s="7"/>
      <c r="F2913" s="9" t="str">
        <f>IFERROR(__xludf.DUMMYFUNCTION("""COMPUTED_VALUE"""),"")</f>
        <v/>
      </c>
      <c r="G2913" s="7" t="str">
        <f>IFERROR(__xludf.DUMMYFUNCTION("""COMPUTED_VALUE"""),"")</f>
        <v/>
      </c>
      <c r="H2913" s="7">
        <f t="shared" si="1"/>
        <v>1029</v>
      </c>
    </row>
    <row r="2914" ht="22.5" customHeight="1">
      <c r="B2914" s="7" t="str">
        <f>IFERROR(__xludf.DUMMYFUNCTION("""COMPUTED_VALUE"""),"")</f>
        <v/>
      </c>
      <c r="C2914" s="7" t="str">
        <f>IFERROR(__xludf.DUMMYFUNCTION("""COMPUTED_VALUE"""),"")</f>
        <v/>
      </c>
      <c r="D2914" s="7"/>
      <c r="E2914" s="7"/>
      <c r="F2914" s="9" t="str">
        <f>IFERROR(__xludf.DUMMYFUNCTION("""COMPUTED_VALUE"""),"")</f>
        <v/>
      </c>
      <c r="G2914" s="7" t="str">
        <f>IFERROR(__xludf.DUMMYFUNCTION("""COMPUTED_VALUE"""),"")</f>
        <v/>
      </c>
      <c r="H2914" s="7">
        <f t="shared" si="1"/>
        <v>1029</v>
      </c>
    </row>
    <row r="2915" ht="22.5" customHeight="1">
      <c r="B2915" s="7" t="str">
        <f>IFERROR(__xludf.DUMMYFUNCTION("""COMPUTED_VALUE"""),"")</f>
        <v/>
      </c>
      <c r="C2915" s="7" t="str">
        <f>IFERROR(__xludf.DUMMYFUNCTION("""COMPUTED_VALUE"""),"")</f>
        <v/>
      </c>
      <c r="D2915" s="7"/>
      <c r="E2915" s="7"/>
      <c r="F2915" s="9" t="str">
        <f>IFERROR(__xludf.DUMMYFUNCTION("""COMPUTED_VALUE"""),"")</f>
        <v/>
      </c>
      <c r="G2915" s="7" t="str">
        <f>IFERROR(__xludf.DUMMYFUNCTION("""COMPUTED_VALUE"""),"")</f>
        <v/>
      </c>
      <c r="H2915" s="7">
        <f t="shared" si="1"/>
        <v>1029</v>
      </c>
    </row>
    <row r="2916" ht="22.5" customHeight="1">
      <c r="B2916" s="7" t="str">
        <f>IFERROR(__xludf.DUMMYFUNCTION("""COMPUTED_VALUE"""),"")</f>
        <v/>
      </c>
      <c r="C2916" s="7" t="str">
        <f>IFERROR(__xludf.DUMMYFUNCTION("""COMPUTED_VALUE"""),"")</f>
        <v/>
      </c>
      <c r="D2916" s="7"/>
      <c r="E2916" s="7"/>
      <c r="F2916" s="9" t="str">
        <f>IFERROR(__xludf.DUMMYFUNCTION("""COMPUTED_VALUE"""),"")</f>
        <v/>
      </c>
      <c r="G2916" s="7" t="str">
        <f>IFERROR(__xludf.DUMMYFUNCTION("""COMPUTED_VALUE"""),"")</f>
        <v/>
      </c>
      <c r="H2916" s="7">
        <f t="shared" si="1"/>
        <v>1029</v>
      </c>
    </row>
    <row r="2917" ht="22.5" customHeight="1">
      <c r="B2917" s="7" t="str">
        <f>IFERROR(__xludf.DUMMYFUNCTION("""COMPUTED_VALUE"""),"")</f>
        <v/>
      </c>
      <c r="C2917" s="7" t="str">
        <f>IFERROR(__xludf.DUMMYFUNCTION("""COMPUTED_VALUE"""),"")</f>
        <v/>
      </c>
      <c r="D2917" s="7"/>
      <c r="E2917" s="7"/>
      <c r="F2917" s="9" t="str">
        <f>IFERROR(__xludf.DUMMYFUNCTION("""COMPUTED_VALUE"""),"")</f>
        <v/>
      </c>
      <c r="G2917" s="7" t="str">
        <f>IFERROR(__xludf.DUMMYFUNCTION("""COMPUTED_VALUE"""),"")</f>
        <v/>
      </c>
      <c r="H2917" s="7">
        <f t="shared" si="1"/>
        <v>1029</v>
      </c>
    </row>
    <row r="2918" ht="22.5" customHeight="1">
      <c r="B2918" s="7" t="str">
        <f>IFERROR(__xludf.DUMMYFUNCTION("""COMPUTED_VALUE"""),"")</f>
        <v/>
      </c>
      <c r="C2918" s="7" t="str">
        <f>IFERROR(__xludf.DUMMYFUNCTION("""COMPUTED_VALUE"""),"")</f>
        <v/>
      </c>
      <c r="D2918" s="7"/>
      <c r="E2918" s="7"/>
      <c r="F2918" s="9" t="str">
        <f>IFERROR(__xludf.DUMMYFUNCTION("""COMPUTED_VALUE"""),"")</f>
        <v/>
      </c>
      <c r="G2918" s="7" t="str">
        <f>IFERROR(__xludf.DUMMYFUNCTION("""COMPUTED_VALUE"""),"")</f>
        <v/>
      </c>
      <c r="H2918" s="7">
        <f t="shared" si="1"/>
        <v>1029</v>
      </c>
    </row>
    <row r="2919" ht="22.5" customHeight="1">
      <c r="B2919" s="7" t="str">
        <f>IFERROR(__xludf.DUMMYFUNCTION("""COMPUTED_VALUE"""),"")</f>
        <v/>
      </c>
      <c r="C2919" s="7" t="str">
        <f>IFERROR(__xludf.DUMMYFUNCTION("""COMPUTED_VALUE"""),"")</f>
        <v/>
      </c>
      <c r="D2919" s="7"/>
      <c r="E2919" s="7"/>
      <c r="F2919" s="9" t="str">
        <f>IFERROR(__xludf.DUMMYFUNCTION("""COMPUTED_VALUE"""),"")</f>
        <v/>
      </c>
      <c r="G2919" s="7" t="str">
        <f>IFERROR(__xludf.DUMMYFUNCTION("""COMPUTED_VALUE"""),"")</f>
        <v/>
      </c>
      <c r="H2919" s="7">
        <f t="shared" si="1"/>
        <v>1029</v>
      </c>
    </row>
    <row r="2920" ht="22.5" customHeight="1">
      <c r="B2920" s="7" t="str">
        <f>IFERROR(__xludf.DUMMYFUNCTION("""COMPUTED_VALUE"""),"")</f>
        <v/>
      </c>
      <c r="C2920" s="7" t="str">
        <f>IFERROR(__xludf.DUMMYFUNCTION("""COMPUTED_VALUE"""),"")</f>
        <v/>
      </c>
      <c r="D2920" s="7"/>
      <c r="E2920" s="7"/>
      <c r="F2920" s="9" t="str">
        <f>IFERROR(__xludf.DUMMYFUNCTION("""COMPUTED_VALUE"""),"")</f>
        <v/>
      </c>
      <c r="G2920" s="7" t="str">
        <f>IFERROR(__xludf.DUMMYFUNCTION("""COMPUTED_VALUE"""),"")</f>
        <v/>
      </c>
      <c r="H2920" s="7">
        <f t="shared" si="1"/>
        <v>1029</v>
      </c>
    </row>
    <row r="2921" ht="22.5" customHeight="1">
      <c r="B2921" s="7" t="str">
        <f>IFERROR(__xludf.DUMMYFUNCTION("""COMPUTED_VALUE"""),"")</f>
        <v/>
      </c>
      <c r="C2921" s="7" t="str">
        <f>IFERROR(__xludf.DUMMYFUNCTION("""COMPUTED_VALUE"""),"")</f>
        <v/>
      </c>
      <c r="D2921" s="7"/>
      <c r="E2921" s="7"/>
      <c r="F2921" s="9" t="str">
        <f>IFERROR(__xludf.DUMMYFUNCTION("""COMPUTED_VALUE"""),"")</f>
        <v/>
      </c>
      <c r="G2921" s="7" t="str">
        <f>IFERROR(__xludf.DUMMYFUNCTION("""COMPUTED_VALUE"""),"")</f>
        <v/>
      </c>
      <c r="H2921" s="7">
        <f t="shared" si="1"/>
        <v>1029</v>
      </c>
    </row>
    <row r="2922" ht="22.5" customHeight="1">
      <c r="B2922" s="7" t="str">
        <f>IFERROR(__xludf.DUMMYFUNCTION("""COMPUTED_VALUE"""),"")</f>
        <v/>
      </c>
      <c r="C2922" s="7" t="str">
        <f>IFERROR(__xludf.DUMMYFUNCTION("""COMPUTED_VALUE"""),"")</f>
        <v/>
      </c>
      <c r="D2922" s="7"/>
      <c r="E2922" s="7"/>
      <c r="F2922" s="9" t="str">
        <f>IFERROR(__xludf.DUMMYFUNCTION("""COMPUTED_VALUE"""),"")</f>
        <v/>
      </c>
      <c r="G2922" s="7" t="str">
        <f>IFERROR(__xludf.DUMMYFUNCTION("""COMPUTED_VALUE"""),"")</f>
        <v/>
      </c>
      <c r="H2922" s="7">
        <f t="shared" si="1"/>
        <v>1029</v>
      </c>
    </row>
    <row r="2923" ht="22.5" customHeight="1">
      <c r="B2923" s="7" t="str">
        <f>IFERROR(__xludf.DUMMYFUNCTION("""COMPUTED_VALUE"""),"")</f>
        <v/>
      </c>
      <c r="C2923" s="7" t="str">
        <f>IFERROR(__xludf.DUMMYFUNCTION("""COMPUTED_VALUE"""),"")</f>
        <v/>
      </c>
      <c r="D2923" s="7"/>
      <c r="E2923" s="7"/>
      <c r="F2923" s="9" t="str">
        <f>IFERROR(__xludf.DUMMYFUNCTION("""COMPUTED_VALUE"""),"")</f>
        <v/>
      </c>
      <c r="G2923" s="7" t="str">
        <f>IFERROR(__xludf.DUMMYFUNCTION("""COMPUTED_VALUE"""),"")</f>
        <v/>
      </c>
      <c r="H2923" s="7">
        <f t="shared" si="1"/>
        <v>1029</v>
      </c>
    </row>
    <row r="2924" ht="22.5" customHeight="1">
      <c r="B2924" s="7" t="str">
        <f>IFERROR(__xludf.DUMMYFUNCTION("""COMPUTED_VALUE"""),"")</f>
        <v/>
      </c>
      <c r="C2924" s="7" t="str">
        <f>IFERROR(__xludf.DUMMYFUNCTION("""COMPUTED_VALUE"""),"")</f>
        <v/>
      </c>
      <c r="D2924" s="7"/>
      <c r="E2924" s="7"/>
      <c r="F2924" s="9" t="str">
        <f>IFERROR(__xludf.DUMMYFUNCTION("""COMPUTED_VALUE"""),"")</f>
        <v/>
      </c>
      <c r="G2924" s="7" t="str">
        <f>IFERROR(__xludf.DUMMYFUNCTION("""COMPUTED_VALUE"""),"")</f>
        <v/>
      </c>
      <c r="H2924" s="7">
        <f t="shared" si="1"/>
        <v>1029</v>
      </c>
    </row>
    <row r="2925" ht="22.5" customHeight="1">
      <c r="B2925" s="7" t="str">
        <f>IFERROR(__xludf.DUMMYFUNCTION("""COMPUTED_VALUE"""),"")</f>
        <v/>
      </c>
      <c r="C2925" s="7" t="str">
        <f>IFERROR(__xludf.DUMMYFUNCTION("""COMPUTED_VALUE"""),"")</f>
        <v/>
      </c>
      <c r="D2925" s="7"/>
      <c r="E2925" s="7"/>
      <c r="F2925" s="9" t="str">
        <f>IFERROR(__xludf.DUMMYFUNCTION("""COMPUTED_VALUE"""),"")</f>
        <v/>
      </c>
      <c r="G2925" s="7" t="str">
        <f>IFERROR(__xludf.DUMMYFUNCTION("""COMPUTED_VALUE"""),"")</f>
        <v/>
      </c>
      <c r="H2925" s="7">
        <f t="shared" si="1"/>
        <v>1029</v>
      </c>
    </row>
    <row r="2926" ht="22.5" customHeight="1">
      <c r="B2926" s="7" t="str">
        <f>IFERROR(__xludf.DUMMYFUNCTION("""COMPUTED_VALUE"""),"")</f>
        <v/>
      </c>
      <c r="C2926" s="7" t="str">
        <f>IFERROR(__xludf.DUMMYFUNCTION("""COMPUTED_VALUE"""),"")</f>
        <v/>
      </c>
      <c r="D2926" s="7"/>
      <c r="E2926" s="7"/>
      <c r="F2926" s="9" t="str">
        <f>IFERROR(__xludf.DUMMYFUNCTION("""COMPUTED_VALUE"""),"")</f>
        <v/>
      </c>
      <c r="G2926" s="7" t="str">
        <f>IFERROR(__xludf.DUMMYFUNCTION("""COMPUTED_VALUE"""),"")</f>
        <v/>
      </c>
      <c r="H2926" s="7">
        <f t="shared" si="1"/>
        <v>1029</v>
      </c>
    </row>
    <row r="2927" ht="22.5" customHeight="1">
      <c r="B2927" s="7" t="str">
        <f>IFERROR(__xludf.DUMMYFUNCTION("""COMPUTED_VALUE"""),"")</f>
        <v/>
      </c>
      <c r="C2927" s="7" t="str">
        <f>IFERROR(__xludf.DUMMYFUNCTION("""COMPUTED_VALUE"""),"")</f>
        <v/>
      </c>
      <c r="D2927" s="7"/>
      <c r="E2927" s="7"/>
      <c r="F2927" s="9" t="str">
        <f>IFERROR(__xludf.DUMMYFUNCTION("""COMPUTED_VALUE"""),"")</f>
        <v/>
      </c>
      <c r="G2927" s="7" t="str">
        <f>IFERROR(__xludf.DUMMYFUNCTION("""COMPUTED_VALUE"""),"")</f>
        <v/>
      </c>
      <c r="H2927" s="7">
        <f t="shared" si="1"/>
        <v>1029</v>
      </c>
    </row>
    <row r="2928" ht="22.5" customHeight="1">
      <c r="B2928" s="7" t="str">
        <f>IFERROR(__xludf.DUMMYFUNCTION("""COMPUTED_VALUE"""),"")</f>
        <v/>
      </c>
      <c r="C2928" s="7" t="str">
        <f>IFERROR(__xludf.DUMMYFUNCTION("""COMPUTED_VALUE"""),"")</f>
        <v/>
      </c>
      <c r="D2928" s="7"/>
      <c r="E2928" s="7"/>
      <c r="F2928" s="9" t="str">
        <f>IFERROR(__xludf.DUMMYFUNCTION("""COMPUTED_VALUE"""),"")</f>
        <v/>
      </c>
      <c r="G2928" s="7" t="str">
        <f>IFERROR(__xludf.DUMMYFUNCTION("""COMPUTED_VALUE"""),"")</f>
        <v/>
      </c>
      <c r="H2928" s="7">
        <f t="shared" si="1"/>
        <v>1029</v>
      </c>
    </row>
    <row r="2929" ht="22.5" customHeight="1">
      <c r="B2929" s="7" t="str">
        <f>IFERROR(__xludf.DUMMYFUNCTION("""COMPUTED_VALUE"""),"")</f>
        <v/>
      </c>
      <c r="C2929" s="7" t="str">
        <f>IFERROR(__xludf.DUMMYFUNCTION("""COMPUTED_VALUE"""),"")</f>
        <v/>
      </c>
      <c r="D2929" s="7"/>
      <c r="E2929" s="7"/>
      <c r="F2929" s="9" t="str">
        <f>IFERROR(__xludf.DUMMYFUNCTION("""COMPUTED_VALUE"""),"")</f>
        <v/>
      </c>
      <c r="G2929" s="7" t="str">
        <f>IFERROR(__xludf.DUMMYFUNCTION("""COMPUTED_VALUE"""),"")</f>
        <v/>
      </c>
      <c r="H2929" s="7">
        <f t="shared" si="1"/>
        <v>1029</v>
      </c>
    </row>
    <row r="2930" ht="22.5" customHeight="1">
      <c r="B2930" s="7" t="str">
        <f>IFERROR(__xludf.DUMMYFUNCTION("""COMPUTED_VALUE"""),"")</f>
        <v/>
      </c>
      <c r="C2930" s="7" t="str">
        <f>IFERROR(__xludf.DUMMYFUNCTION("""COMPUTED_VALUE"""),"")</f>
        <v/>
      </c>
      <c r="D2930" s="7"/>
      <c r="E2930" s="7"/>
      <c r="F2930" s="9" t="str">
        <f>IFERROR(__xludf.DUMMYFUNCTION("""COMPUTED_VALUE"""),"")</f>
        <v/>
      </c>
      <c r="G2930" s="7" t="str">
        <f>IFERROR(__xludf.DUMMYFUNCTION("""COMPUTED_VALUE"""),"")</f>
        <v/>
      </c>
      <c r="H2930" s="7">
        <f t="shared" si="1"/>
        <v>1029</v>
      </c>
    </row>
    <row r="2931" ht="22.5" customHeight="1">
      <c r="B2931" s="7" t="str">
        <f>IFERROR(__xludf.DUMMYFUNCTION("""COMPUTED_VALUE"""),"")</f>
        <v/>
      </c>
      <c r="C2931" s="7" t="str">
        <f>IFERROR(__xludf.DUMMYFUNCTION("""COMPUTED_VALUE"""),"")</f>
        <v/>
      </c>
      <c r="D2931" s="7"/>
      <c r="E2931" s="7"/>
      <c r="F2931" s="9" t="str">
        <f>IFERROR(__xludf.DUMMYFUNCTION("""COMPUTED_VALUE"""),"")</f>
        <v/>
      </c>
      <c r="G2931" s="7" t="str">
        <f>IFERROR(__xludf.DUMMYFUNCTION("""COMPUTED_VALUE"""),"")</f>
        <v/>
      </c>
      <c r="H2931" s="7">
        <f t="shared" si="1"/>
        <v>1029</v>
      </c>
    </row>
    <row r="2932" ht="22.5" customHeight="1">
      <c r="B2932" s="7" t="str">
        <f>IFERROR(__xludf.DUMMYFUNCTION("""COMPUTED_VALUE"""),"")</f>
        <v/>
      </c>
      <c r="C2932" s="7" t="str">
        <f>IFERROR(__xludf.DUMMYFUNCTION("""COMPUTED_VALUE"""),"")</f>
        <v/>
      </c>
      <c r="D2932" s="7"/>
      <c r="E2932" s="7"/>
      <c r="F2932" s="9" t="str">
        <f>IFERROR(__xludf.DUMMYFUNCTION("""COMPUTED_VALUE"""),"")</f>
        <v/>
      </c>
      <c r="G2932" s="7" t="str">
        <f>IFERROR(__xludf.DUMMYFUNCTION("""COMPUTED_VALUE"""),"")</f>
        <v/>
      </c>
      <c r="H2932" s="7">
        <f t="shared" si="1"/>
        <v>1029</v>
      </c>
    </row>
    <row r="2933" ht="22.5" customHeight="1">
      <c r="B2933" s="7" t="str">
        <f>IFERROR(__xludf.DUMMYFUNCTION("""COMPUTED_VALUE"""),"")</f>
        <v/>
      </c>
      <c r="C2933" s="7" t="str">
        <f>IFERROR(__xludf.DUMMYFUNCTION("""COMPUTED_VALUE"""),"")</f>
        <v/>
      </c>
      <c r="D2933" s="7"/>
      <c r="E2933" s="7"/>
      <c r="F2933" s="9" t="str">
        <f>IFERROR(__xludf.DUMMYFUNCTION("""COMPUTED_VALUE"""),"")</f>
        <v/>
      </c>
      <c r="G2933" s="7" t="str">
        <f>IFERROR(__xludf.DUMMYFUNCTION("""COMPUTED_VALUE"""),"")</f>
        <v/>
      </c>
      <c r="H2933" s="7">
        <f t="shared" si="1"/>
        <v>1029</v>
      </c>
    </row>
    <row r="2934" ht="22.5" customHeight="1">
      <c r="B2934" s="7" t="str">
        <f>IFERROR(__xludf.DUMMYFUNCTION("""COMPUTED_VALUE"""),"")</f>
        <v/>
      </c>
      <c r="C2934" s="7" t="str">
        <f>IFERROR(__xludf.DUMMYFUNCTION("""COMPUTED_VALUE"""),"")</f>
        <v/>
      </c>
      <c r="D2934" s="7"/>
      <c r="E2934" s="7"/>
      <c r="F2934" s="9" t="str">
        <f>IFERROR(__xludf.DUMMYFUNCTION("""COMPUTED_VALUE"""),"")</f>
        <v/>
      </c>
      <c r="G2934" s="7" t="str">
        <f>IFERROR(__xludf.DUMMYFUNCTION("""COMPUTED_VALUE"""),"")</f>
        <v/>
      </c>
      <c r="H2934" s="7">
        <f t="shared" si="1"/>
        <v>1029</v>
      </c>
    </row>
    <row r="2935" ht="22.5" customHeight="1">
      <c r="B2935" s="7" t="str">
        <f>IFERROR(__xludf.DUMMYFUNCTION("""COMPUTED_VALUE"""),"")</f>
        <v/>
      </c>
      <c r="C2935" s="7" t="str">
        <f>IFERROR(__xludf.DUMMYFUNCTION("""COMPUTED_VALUE"""),"")</f>
        <v/>
      </c>
      <c r="D2935" s="7"/>
      <c r="E2935" s="7"/>
      <c r="F2935" s="9" t="str">
        <f>IFERROR(__xludf.DUMMYFUNCTION("""COMPUTED_VALUE"""),"")</f>
        <v/>
      </c>
      <c r="G2935" s="7" t="str">
        <f>IFERROR(__xludf.DUMMYFUNCTION("""COMPUTED_VALUE"""),"")</f>
        <v/>
      </c>
      <c r="H2935" s="7">
        <f t="shared" si="1"/>
        <v>1029</v>
      </c>
    </row>
    <row r="2936" ht="22.5" customHeight="1">
      <c r="B2936" s="7" t="str">
        <f>IFERROR(__xludf.DUMMYFUNCTION("""COMPUTED_VALUE"""),"")</f>
        <v/>
      </c>
      <c r="C2936" s="7" t="str">
        <f>IFERROR(__xludf.DUMMYFUNCTION("""COMPUTED_VALUE"""),"")</f>
        <v/>
      </c>
      <c r="D2936" s="7"/>
      <c r="E2936" s="7"/>
      <c r="F2936" s="9" t="str">
        <f>IFERROR(__xludf.DUMMYFUNCTION("""COMPUTED_VALUE"""),"")</f>
        <v/>
      </c>
      <c r="G2936" s="7" t="str">
        <f>IFERROR(__xludf.DUMMYFUNCTION("""COMPUTED_VALUE"""),"")</f>
        <v/>
      </c>
      <c r="H2936" s="7">
        <f t="shared" si="1"/>
        <v>1029</v>
      </c>
    </row>
    <row r="2937" ht="22.5" customHeight="1">
      <c r="B2937" s="7" t="str">
        <f>IFERROR(__xludf.DUMMYFUNCTION("""COMPUTED_VALUE"""),"")</f>
        <v/>
      </c>
      <c r="C2937" s="7" t="str">
        <f>IFERROR(__xludf.DUMMYFUNCTION("""COMPUTED_VALUE"""),"")</f>
        <v/>
      </c>
      <c r="D2937" s="7"/>
      <c r="E2937" s="7"/>
      <c r="F2937" s="9" t="str">
        <f>IFERROR(__xludf.DUMMYFUNCTION("""COMPUTED_VALUE"""),"")</f>
        <v/>
      </c>
      <c r="G2937" s="7" t="str">
        <f>IFERROR(__xludf.DUMMYFUNCTION("""COMPUTED_VALUE"""),"")</f>
        <v/>
      </c>
      <c r="H2937" s="7">
        <f t="shared" si="1"/>
        <v>1029</v>
      </c>
    </row>
    <row r="2938" ht="22.5" customHeight="1">
      <c r="B2938" s="7" t="str">
        <f>IFERROR(__xludf.DUMMYFUNCTION("""COMPUTED_VALUE"""),"")</f>
        <v/>
      </c>
      <c r="C2938" s="7" t="str">
        <f>IFERROR(__xludf.DUMMYFUNCTION("""COMPUTED_VALUE"""),"")</f>
        <v/>
      </c>
      <c r="D2938" s="7"/>
      <c r="E2938" s="7"/>
      <c r="F2938" s="9" t="str">
        <f>IFERROR(__xludf.DUMMYFUNCTION("""COMPUTED_VALUE"""),"")</f>
        <v/>
      </c>
      <c r="G2938" s="7" t="str">
        <f>IFERROR(__xludf.DUMMYFUNCTION("""COMPUTED_VALUE"""),"")</f>
        <v/>
      </c>
      <c r="H2938" s="7">
        <f t="shared" si="1"/>
        <v>1029</v>
      </c>
    </row>
    <row r="2939" ht="22.5" customHeight="1">
      <c r="B2939" s="7" t="str">
        <f>IFERROR(__xludf.DUMMYFUNCTION("""COMPUTED_VALUE"""),"")</f>
        <v/>
      </c>
      <c r="C2939" s="7" t="str">
        <f>IFERROR(__xludf.DUMMYFUNCTION("""COMPUTED_VALUE"""),"")</f>
        <v/>
      </c>
      <c r="D2939" s="7"/>
      <c r="E2939" s="7"/>
      <c r="F2939" s="9" t="str">
        <f>IFERROR(__xludf.DUMMYFUNCTION("""COMPUTED_VALUE"""),"")</f>
        <v/>
      </c>
      <c r="G2939" s="7" t="str">
        <f>IFERROR(__xludf.DUMMYFUNCTION("""COMPUTED_VALUE"""),"")</f>
        <v/>
      </c>
      <c r="H2939" s="7">
        <f t="shared" si="1"/>
        <v>1029</v>
      </c>
    </row>
    <row r="2940" ht="22.5" customHeight="1">
      <c r="B2940" s="7" t="str">
        <f>IFERROR(__xludf.DUMMYFUNCTION("""COMPUTED_VALUE"""),"")</f>
        <v/>
      </c>
      <c r="C2940" s="7" t="str">
        <f>IFERROR(__xludf.DUMMYFUNCTION("""COMPUTED_VALUE"""),"")</f>
        <v/>
      </c>
      <c r="D2940" s="7"/>
      <c r="E2940" s="7"/>
      <c r="F2940" s="9" t="str">
        <f>IFERROR(__xludf.DUMMYFUNCTION("""COMPUTED_VALUE"""),"")</f>
        <v/>
      </c>
      <c r="G2940" s="7" t="str">
        <f>IFERROR(__xludf.DUMMYFUNCTION("""COMPUTED_VALUE"""),"")</f>
        <v/>
      </c>
      <c r="H2940" s="7">
        <f t="shared" si="1"/>
        <v>1029</v>
      </c>
    </row>
    <row r="2941" ht="22.5" customHeight="1">
      <c r="B2941" s="7" t="str">
        <f>IFERROR(__xludf.DUMMYFUNCTION("""COMPUTED_VALUE"""),"")</f>
        <v/>
      </c>
      <c r="C2941" s="7" t="str">
        <f>IFERROR(__xludf.DUMMYFUNCTION("""COMPUTED_VALUE"""),"")</f>
        <v/>
      </c>
      <c r="D2941" s="7"/>
      <c r="E2941" s="7"/>
      <c r="F2941" s="9" t="str">
        <f>IFERROR(__xludf.DUMMYFUNCTION("""COMPUTED_VALUE"""),"")</f>
        <v/>
      </c>
      <c r="G2941" s="7" t="str">
        <f>IFERROR(__xludf.DUMMYFUNCTION("""COMPUTED_VALUE"""),"")</f>
        <v/>
      </c>
      <c r="H2941" s="7">
        <f t="shared" si="1"/>
        <v>1029</v>
      </c>
    </row>
    <row r="2942" ht="22.5" customHeight="1">
      <c r="B2942" s="7" t="str">
        <f>IFERROR(__xludf.DUMMYFUNCTION("""COMPUTED_VALUE"""),"")</f>
        <v/>
      </c>
      <c r="C2942" s="7" t="str">
        <f>IFERROR(__xludf.DUMMYFUNCTION("""COMPUTED_VALUE"""),"")</f>
        <v/>
      </c>
      <c r="D2942" s="7"/>
      <c r="E2942" s="7"/>
      <c r="F2942" s="9" t="str">
        <f>IFERROR(__xludf.DUMMYFUNCTION("""COMPUTED_VALUE"""),"")</f>
        <v/>
      </c>
      <c r="G2942" s="7" t="str">
        <f>IFERROR(__xludf.DUMMYFUNCTION("""COMPUTED_VALUE"""),"")</f>
        <v/>
      </c>
      <c r="H2942" s="7">
        <f t="shared" si="1"/>
        <v>1029</v>
      </c>
    </row>
    <row r="2943" ht="22.5" customHeight="1">
      <c r="B2943" s="7" t="str">
        <f>IFERROR(__xludf.DUMMYFUNCTION("""COMPUTED_VALUE"""),"")</f>
        <v/>
      </c>
      <c r="C2943" s="7" t="str">
        <f>IFERROR(__xludf.DUMMYFUNCTION("""COMPUTED_VALUE"""),"")</f>
        <v/>
      </c>
      <c r="D2943" s="7"/>
      <c r="E2943" s="7"/>
      <c r="F2943" s="9" t="str">
        <f>IFERROR(__xludf.DUMMYFUNCTION("""COMPUTED_VALUE"""),"")</f>
        <v/>
      </c>
      <c r="G2943" s="7" t="str">
        <f>IFERROR(__xludf.DUMMYFUNCTION("""COMPUTED_VALUE"""),"")</f>
        <v/>
      </c>
      <c r="H2943" s="7">
        <f t="shared" si="1"/>
        <v>1029</v>
      </c>
    </row>
    <row r="2944" ht="22.5" customHeight="1">
      <c r="B2944" s="7" t="str">
        <f>IFERROR(__xludf.DUMMYFUNCTION("""COMPUTED_VALUE"""),"")</f>
        <v/>
      </c>
      <c r="C2944" s="7" t="str">
        <f>IFERROR(__xludf.DUMMYFUNCTION("""COMPUTED_VALUE"""),"")</f>
        <v/>
      </c>
      <c r="D2944" s="7"/>
      <c r="E2944" s="7"/>
      <c r="F2944" s="9" t="str">
        <f>IFERROR(__xludf.DUMMYFUNCTION("""COMPUTED_VALUE"""),"")</f>
        <v/>
      </c>
      <c r="G2944" s="7" t="str">
        <f>IFERROR(__xludf.DUMMYFUNCTION("""COMPUTED_VALUE"""),"")</f>
        <v/>
      </c>
      <c r="H2944" s="7">
        <f t="shared" si="1"/>
        <v>1029</v>
      </c>
    </row>
    <row r="2945" ht="22.5" customHeight="1">
      <c r="B2945" s="7" t="str">
        <f>IFERROR(__xludf.DUMMYFUNCTION("""COMPUTED_VALUE"""),"")</f>
        <v/>
      </c>
      <c r="C2945" s="7" t="str">
        <f>IFERROR(__xludf.DUMMYFUNCTION("""COMPUTED_VALUE"""),"")</f>
        <v/>
      </c>
      <c r="D2945" s="7"/>
      <c r="E2945" s="7"/>
      <c r="F2945" s="9" t="str">
        <f>IFERROR(__xludf.DUMMYFUNCTION("""COMPUTED_VALUE"""),"")</f>
        <v/>
      </c>
      <c r="G2945" s="7" t="str">
        <f>IFERROR(__xludf.DUMMYFUNCTION("""COMPUTED_VALUE"""),"")</f>
        <v/>
      </c>
      <c r="H2945" s="7">
        <f t="shared" si="1"/>
        <v>1029</v>
      </c>
    </row>
    <row r="2946" ht="22.5" customHeight="1">
      <c r="B2946" s="7" t="str">
        <f>IFERROR(__xludf.DUMMYFUNCTION("""COMPUTED_VALUE"""),"")</f>
        <v/>
      </c>
      <c r="C2946" s="7" t="str">
        <f>IFERROR(__xludf.DUMMYFUNCTION("""COMPUTED_VALUE"""),"")</f>
        <v/>
      </c>
      <c r="D2946" s="7"/>
      <c r="E2946" s="7"/>
      <c r="F2946" s="9" t="str">
        <f>IFERROR(__xludf.DUMMYFUNCTION("""COMPUTED_VALUE"""),"")</f>
        <v/>
      </c>
      <c r="G2946" s="7" t="str">
        <f>IFERROR(__xludf.DUMMYFUNCTION("""COMPUTED_VALUE"""),"")</f>
        <v/>
      </c>
      <c r="H2946" s="7">
        <f t="shared" si="1"/>
        <v>1029</v>
      </c>
    </row>
    <row r="2947" ht="22.5" customHeight="1">
      <c r="B2947" s="7" t="str">
        <f>IFERROR(__xludf.DUMMYFUNCTION("""COMPUTED_VALUE"""),"")</f>
        <v/>
      </c>
      <c r="C2947" s="7" t="str">
        <f>IFERROR(__xludf.DUMMYFUNCTION("""COMPUTED_VALUE"""),"")</f>
        <v/>
      </c>
      <c r="D2947" s="7"/>
      <c r="E2947" s="7"/>
      <c r="F2947" s="9" t="str">
        <f>IFERROR(__xludf.DUMMYFUNCTION("""COMPUTED_VALUE"""),"")</f>
        <v/>
      </c>
      <c r="G2947" s="7" t="str">
        <f>IFERROR(__xludf.DUMMYFUNCTION("""COMPUTED_VALUE"""),"")</f>
        <v/>
      </c>
      <c r="H2947" s="7">
        <f t="shared" si="1"/>
        <v>1029</v>
      </c>
    </row>
    <row r="2948" ht="22.5" customHeight="1">
      <c r="B2948" s="7" t="str">
        <f>IFERROR(__xludf.DUMMYFUNCTION("""COMPUTED_VALUE"""),"")</f>
        <v/>
      </c>
      <c r="C2948" s="7" t="str">
        <f>IFERROR(__xludf.DUMMYFUNCTION("""COMPUTED_VALUE"""),"")</f>
        <v/>
      </c>
      <c r="D2948" s="7"/>
      <c r="E2948" s="7"/>
      <c r="F2948" s="9" t="str">
        <f>IFERROR(__xludf.DUMMYFUNCTION("""COMPUTED_VALUE"""),"")</f>
        <v/>
      </c>
      <c r="G2948" s="7" t="str">
        <f>IFERROR(__xludf.DUMMYFUNCTION("""COMPUTED_VALUE"""),"")</f>
        <v/>
      </c>
      <c r="H2948" s="7">
        <f t="shared" si="1"/>
        <v>1029</v>
      </c>
    </row>
    <row r="2949" ht="22.5" customHeight="1">
      <c r="B2949" s="7" t="str">
        <f>IFERROR(__xludf.DUMMYFUNCTION("""COMPUTED_VALUE"""),"")</f>
        <v/>
      </c>
      <c r="C2949" s="7" t="str">
        <f>IFERROR(__xludf.DUMMYFUNCTION("""COMPUTED_VALUE"""),"")</f>
        <v/>
      </c>
      <c r="D2949" s="7"/>
      <c r="E2949" s="7"/>
      <c r="F2949" s="9" t="str">
        <f>IFERROR(__xludf.DUMMYFUNCTION("""COMPUTED_VALUE"""),"")</f>
        <v/>
      </c>
      <c r="G2949" s="7" t="str">
        <f>IFERROR(__xludf.DUMMYFUNCTION("""COMPUTED_VALUE"""),"")</f>
        <v/>
      </c>
      <c r="H2949" s="7">
        <f t="shared" si="1"/>
        <v>1029</v>
      </c>
    </row>
    <row r="2950" ht="22.5" customHeight="1">
      <c r="B2950" s="7" t="str">
        <f>IFERROR(__xludf.DUMMYFUNCTION("""COMPUTED_VALUE"""),"")</f>
        <v/>
      </c>
      <c r="C2950" s="7" t="str">
        <f>IFERROR(__xludf.DUMMYFUNCTION("""COMPUTED_VALUE"""),"")</f>
        <v/>
      </c>
      <c r="D2950" s="7"/>
      <c r="E2950" s="7"/>
      <c r="F2950" s="9" t="str">
        <f>IFERROR(__xludf.DUMMYFUNCTION("""COMPUTED_VALUE"""),"")</f>
        <v/>
      </c>
      <c r="G2950" s="7" t="str">
        <f>IFERROR(__xludf.DUMMYFUNCTION("""COMPUTED_VALUE"""),"")</f>
        <v/>
      </c>
      <c r="H2950" s="7">
        <f t="shared" si="1"/>
        <v>1029</v>
      </c>
    </row>
    <row r="2951" ht="22.5" customHeight="1">
      <c r="B2951" s="7" t="str">
        <f>IFERROR(__xludf.DUMMYFUNCTION("""COMPUTED_VALUE"""),"")</f>
        <v/>
      </c>
      <c r="C2951" s="7" t="str">
        <f>IFERROR(__xludf.DUMMYFUNCTION("""COMPUTED_VALUE"""),"")</f>
        <v/>
      </c>
      <c r="D2951" s="7"/>
      <c r="E2951" s="7"/>
      <c r="F2951" s="9" t="str">
        <f>IFERROR(__xludf.DUMMYFUNCTION("""COMPUTED_VALUE"""),"")</f>
        <v/>
      </c>
      <c r="G2951" s="7" t="str">
        <f>IFERROR(__xludf.DUMMYFUNCTION("""COMPUTED_VALUE"""),"")</f>
        <v/>
      </c>
      <c r="H2951" s="7">
        <f t="shared" si="1"/>
        <v>1029</v>
      </c>
    </row>
    <row r="2952" ht="22.5" customHeight="1">
      <c r="B2952" s="7" t="str">
        <f>IFERROR(__xludf.DUMMYFUNCTION("""COMPUTED_VALUE"""),"")</f>
        <v/>
      </c>
      <c r="C2952" s="7" t="str">
        <f>IFERROR(__xludf.DUMMYFUNCTION("""COMPUTED_VALUE"""),"")</f>
        <v/>
      </c>
      <c r="D2952" s="7"/>
      <c r="E2952" s="7"/>
      <c r="F2952" s="9" t="str">
        <f>IFERROR(__xludf.DUMMYFUNCTION("""COMPUTED_VALUE"""),"")</f>
        <v/>
      </c>
      <c r="G2952" s="7" t="str">
        <f>IFERROR(__xludf.DUMMYFUNCTION("""COMPUTED_VALUE"""),"")</f>
        <v/>
      </c>
      <c r="H2952" s="7">
        <f t="shared" si="1"/>
        <v>1029</v>
      </c>
    </row>
    <row r="2953" ht="22.5" customHeight="1">
      <c r="B2953" s="7" t="str">
        <f>IFERROR(__xludf.DUMMYFUNCTION("""COMPUTED_VALUE"""),"")</f>
        <v/>
      </c>
      <c r="C2953" s="7" t="str">
        <f>IFERROR(__xludf.DUMMYFUNCTION("""COMPUTED_VALUE"""),"")</f>
        <v/>
      </c>
      <c r="D2953" s="7"/>
      <c r="E2953" s="7"/>
      <c r="F2953" s="9" t="str">
        <f>IFERROR(__xludf.DUMMYFUNCTION("""COMPUTED_VALUE"""),"")</f>
        <v/>
      </c>
      <c r="G2953" s="7" t="str">
        <f>IFERROR(__xludf.DUMMYFUNCTION("""COMPUTED_VALUE"""),"")</f>
        <v/>
      </c>
      <c r="H2953" s="7">
        <f t="shared" si="1"/>
        <v>1029</v>
      </c>
    </row>
    <row r="2954" ht="22.5" customHeight="1">
      <c r="B2954" s="7" t="str">
        <f>IFERROR(__xludf.DUMMYFUNCTION("""COMPUTED_VALUE"""),"")</f>
        <v/>
      </c>
      <c r="C2954" s="7" t="str">
        <f>IFERROR(__xludf.DUMMYFUNCTION("""COMPUTED_VALUE"""),"")</f>
        <v/>
      </c>
      <c r="D2954" s="7"/>
      <c r="E2954" s="7"/>
      <c r="F2954" s="9" t="str">
        <f>IFERROR(__xludf.DUMMYFUNCTION("""COMPUTED_VALUE"""),"")</f>
        <v/>
      </c>
      <c r="G2954" s="7" t="str">
        <f>IFERROR(__xludf.DUMMYFUNCTION("""COMPUTED_VALUE"""),"")</f>
        <v/>
      </c>
      <c r="H2954" s="7">
        <f t="shared" si="1"/>
        <v>1029</v>
      </c>
    </row>
    <row r="2955" ht="22.5" customHeight="1">
      <c r="B2955" s="7" t="str">
        <f>IFERROR(__xludf.DUMMYFUNCTION("""COMPUTED_VALUE"""),"")</f>
        <v/>
      </c>
      <c r="C2955" s="7" t="str">
        <f>IFERROR(__xludf.DUMMYFUNCTION("""COMPUTED_VALUE"""),"")</f>
        <v/>
      </c>
      <c r="D2955" s="7"/>
      <c r="E2955" s="7"/>
      <c r="F2955" s="9" t="str">
        <f>IFERROR(__xludf.DUMMYFUNCTION("""COMPUTED_VALUE"""),"")</f>
        <v/>
      </c>
      <c r="G2955" s="7" t="str">
        <f>IFERROR(__xludf.DUMMYFUNCTION("""COMPUTED_VALUE"""),"")</f>
        <v/>
      </c>
      <c r="H2955" s="7">
        <f t="shared" si="1"/>
        <v>1029</v>
      </c>
    </row>
    <row r="2956" ht="22.5" customHeight="1">
      <c r="B2956" s="7" t="str">
        <f>IFERROR(__xludf.DUMMYFUNCTION("""COMPUTED_VALUE"""),"")</f>
        <v/>
      </c>
      <c r="C2956" s="7" t="str">
        <f>IFERROR(__xludf.DUMMYFUNCTION("""COMPUTED_VALUE"""),"")</f>
        <v/>
      </c>
      <c r="D2956" s="7"/>
      <c r="E2956" s="7"/>
      <c r="F2956" s="9" t="str">
        <f>IFERROR(__xludf.DUMMYFUNCTION("""COMPUTED_VALUE"""),"")</f>
        <v/>
      </c>
      <c r="G2956" s="7" t="str">
        <f>IFERROR(__xludf.DUMMYFUNCTION("""COMPUTED_VALUE"""),"")</f>
        <v/>
      </c>
      <c r="H2956" s="7">
        <f t="shared" si="1"/>
        <v>1029</v>
      </c>
    </row>
    <row r="2957" ht="22.5" customHeight="1">
      <c r="B2957" s="7" t="str">
        <f>IFERROR(__xludf.DUMMYFUNCTION("""COMPUTED_VALUE"""),"")</f>
        <v/>
      </c>
      <c r="C2957" s="7" t="str">
        <f>IFERROR(__xludf.DUMMYFUNCTION("""COMPUTED_VALUE"""),"")</f>
        <v/>
      </c>
      <c r="D2957" s="7"/>
      <c r="E2957" s="7"/>
      <c r="F2957" s="9" t="str">
        <f>IFERROR(__xludf.DUMMYFUNCTION("""COMPUTED_VALUE"""),"")</f>
        <v/>
      </c>
      <c r="G2957" s="7" t="str">
        <f>IFERROR(__xludf.DUMMYFUNCTION("""COMPUTED_VALUE"""),"")</f>
        <v/>
      </c>
      <c r="H2957" s="7">
        <f t="shared" si="1"/>
        <v>1029</v>
      </c>
    </row>
    <row r="2958" ht="22.5" customHeight="1">
      <c r="B2958" s="7" t="str">
        <f>IFERROR(__xludf.DUMMYFUNCTION("""COMPUTED_VALUE"""),"")</f>
        <v/>
      </c>
      <c r="C2958" s="7" t="str">
        <f>IFERROR(__xludf.DUMMYFUNCTION("""COMPUTED_VALUE"""),"")</f>
        <v/>
      </c>
      <c r="D2958" s="7"/>
      <c r="E2958" s="7"/>
      <c r="F2958" s="9" t="str">
        <f>IFERROR(__xludf.DUMMYFUNCTION("""COMPUTED_VALUE"""),"")</f>
        <v/>
      </c>
      <c r="G2958" s="7" t="str">
        <f>IFERROR(__xludf.DUMMYFUNCTION("""COMPUTED_VALUE"""),"")</f>
        <v/>
      </c>
      <c r="H2958" s="7">
        <f t="shared" si="1"/>
        <v>1029</v>
      </c>
    </row>
    <row r="2959" ht="22.5" customHeight="1">
      <c r="B2959" s="7" t="str">
        <f>IFERROR(__xludf.DUMMYFUNCTION("""COMPUTED_VALUE"""),"")</f>
        <v/>
      </c>
      <c r="C2959" s="7" t="str">
        <f>IFERROR(__xludf.DUMMYFUNCTION("""COMPUTED_VALUE"""),"")</f>
        <v/>
      </c>
      <c r="D2959" s="7"/>
      <c r="E2959" s="7"/>
      <c r="F2959" s="9" t="str">
        <f>IFERROR(__xludf.DUMMYFUNCTION("""COMPUTED_VALUE"""),"")</f>
        <v/>
      </c>
      <c r="G2959" s="7" t="str">
        <f>IFERROR(__xludf.DUMMYFUNCTION("""COMPUTED_VALUE"""),"")</f>
        <v/>
      </c>
      <c r="H2959" s="7">
        <f t="shared" si="1"/>
        <v>1029</v>
      </c>
    </row>
    <row r="2960" ht="22.5" customHeight="1">
      <c r="B2960" s="7" t="str">
        <f>IFERROR(__xludf.DUMMYFUNCTION("""COMPUTED_VALUE"""),"")</f>
        <v/>
      </c>
      <c r="C2960" s="7" t="str">
        <f>IFERROR(__xludf.DUMMYFUNCTION("""COMPUTED_VALUE"""),"")</f>
        <v/>
      </c>
      <c r="D2960" s="7"/>
      <c r="E2960" s="7"/>
      <c r="F2960" s="9" t="str">
        <f>IFERROR(__xludf.DUMMYFUNCTION("""COMPUTED_VALUE"""),"")</f>
        <v/>
      </c>
      <c r="G2960" s="7" t="str">
        <f>IFERROR(__xludf.DUMMYFUNCTION("""COMPUTED_VALUE"""),"")</f>
        <v/>
      </c>
      <c r="H2960" s="7">
        <f t="shared" si="1"/>
        <v>1029</v>
      </c>
    </row>
    <row r="2961" ht="22.5" customHeight="1">
      <c r="B2961" s="7" t="str">
        <f>IFERROR(__xludf.DUMMYFUNCTION("""COMPUTED_VALUE"""),"")</f>
        <v/>
      </c>
      <c r="C2961" s="7" t="str">
        <f>IFERROR(__xludf.DUMMYFUNCTION("""COMPUTED_VALUE"""),"")</f>
        <v/>
      </c>
      <c r="D2961" s="7"/>
      <c r="E2961" s="7"/>
      <c r="F2961" s="9" t="str">
        <f>IFERROR(__xludf.DUMMYFUNCTION("""COMPUTED_VALUE"""),"")</f>
        <v/>
      </c>
      <c r="G2961" s="7" t="str">
        <f>IFERROR(__xludf.DUMMYFUNCTION("""COMPUTED_VALUE"""),"")</f>
        <v/>
      </c>
      <c r="H2961" s="7">
        <f t="shared" si="1"/>
        <v>1029</v>
      </c>
    </row>
    <row r="2962" ht="22.5" customHeight="1">
      <c r="B2962" s="7" t="str">
        <f>IFERROR(__xludf.DUMMYFUNCTION("""COMPUTED_VALUE"""),"")</f>
        <v/>
      </c>
      <c r="C2962" s="7" t="str">
        <f>IFERROR(__xludf.DUMMYFUNCTION("""COMPUTED_VALUE"""),"")</f>
        <v/>
      </c>
      <c r="D2962" s="7"/>
      <c r="E2962" s="7"/>
      <c r="F2962" s="9" t="str">
        <f>IFERROR(__xludf.DUMMYFUNCTION("""COMPUTED_VALUE"""),"")</f>
        <v/>
      </c>
      <c r="G2962" s="7" t="str">
        <f>IFERROR(__xludf.DUMMYFUNCTION("""COMPUTED_VALUE"""),"")</f>
        <v/>
      </c>
      <c r="H2962" s="7">
        <f t="shared" si="1"/>
        <v>1029</v>
      </c>
    </row>
    <row r="2963" ht="22.5" customHeight="1">
      <c r="B2963" s="7" t="str">
        <f>IFERROR(__xludf.DUMMYFUNCTION("""COMPUTED_VALUE"""),"")</f>
        <v/>
      </c>
      <c r="C2963" s="7" t="str">
        <f>IFERROR(__xludf.DUMMYFUNCTION("""COMPUTED_VALUE"""),"")</f>
        <v/>
      </c>
      <c r="D2963" s="7"/>
      <c r="E2963" s="7"/>
      <c r="F2963" s="9" t="str">
        <f>IFERROR(__xludf.DUMMYFUNCTION("""COMPUTED_VALUE"""),"")</f>
        <v/>
      </c>
      <c r="G2963" s="7" t="str">
        <f>IFERROR(__xludf.DUMMYFUNCTION("""COMPUTED_VALUE"""),"")</f>
        <v/>
      </c>
      <c r="H2963" s="7">
        <f t="shared" si="1"/>
        <v>1029</v>
      </c>
    </row>
    <row r="2964" ht="22.5" customHeight="1">
      <c r="B2964" s="7" t="str">
        <f>IFERROR(__xludf.DUMMYFUNCTION("""COMPUTED_VALUE"""),"")</f>
        <v/>
      </c>
      <c r="C2964" s="7" t="str">
        <f>IFERROR(__xludf.DUMMYFUNCTION("""COMPUTED_VALUE"""),"")</f>
        <v/>
      </c>
      <c r="D2964" s="7"/>
      <c r="E2964" s="7"/>
      <c r="F2964" s="9" t="str">
        <f>IFERROR(__xludf.DUMMYFUNCTION("""COMPUTED_VALUE"""),"")</f>
        <v/>
      </c>
      <c r="G2964" s="7" t="str">
        <f>IFERROR(__xludf.DUMMYFUNCTION("""COMPUTED_VALUE"""),"")</f>
        <v/>
      </c>
      <c r="H2964" s="7">
        <f t="shared" si="1"/>
        <v>1029</v>
      </c>
    </row>
    <row r="2965" ht="22.5" customHeight="1">
      <c r="B2965" s="7" t="str">
        <f>IFERROR(__xludf.DUMMYFUNCTION("""COMPUTED_VALUE"""),"")</f>
        <v/>
      </c>
      <c r="C2965" s="7" t="str">
        <f>IFERROR(__xludf.DUMMYFUNCTION("""COMPUTED_VALUE"""),"")</f>
        <v/>
      </c>
      <c r="D2965" s="7"/>
      <c r="E2965" s="7"/>
      <c r="F2965" s="9" t="str">
        <f>IFERROR(__xludf.DUMMYFUNCTION("""COMPUTED_VALUE"""),"")</f>
        <v/>
      </c>
      <c r="G2965" s="7" t="str">
        <f>IFERROR(__xludf.DUMMYFUNCTION("""COMPUTED_VALUE"""),"")</f>
        <v/>
      </c>
      <c r="H2965" s="7">
        <f t="shared" si="1"/>
        <v>1029</v>
      </c>
    </row>
    <row r="2966" ht="22.5" customHeight="1">
      <c r="B2966" s="7" t="str">
        <f>IFERROR(__xludf.DUMMYFUNCTION("""COMPUTED_VALUE"""),"")</f>
        <v/>
      </c>
      <c r="C2966" s="7" t="str">
        <f>IFERROR(__xludf.DUMMYFUNCTION("""COMPUTED_VALUE"""),"")</f>
        <v/>
      </c>
      <c r="D2966" s="7"/>
      <c r="E2966" s="7"/>
      <c r="F2966" s="9" t="str">
        <f>IFERROR(__xludf.DUMMYFUNCTION("""COMPUTED_VALUE"""),"")</f>
        <v/>
      </c>
      <c r="G2966" s="7" t="str">
        <f>IFERROR(__xludf.DUMMYFUNCTION("""COMPUTED_VALUE"""),"")</f>
        <v/>
      </c>
      <c r="H2966" s="7">
        <f t="shared" si="1"/>
        <v>1029</v>
      </c>
    </row>
    <row r="2967" ht="22.5" customHeight="1">
      <c r="B2967" s="7" t="str">
        <f>IFERROR(__xludf.DUMMYFUNCTION("""COMPUTED_VALUE"""),"")</f>
        <v/>
      </c>
      <c r="C2967" s="7" t="str">
        <f>IFERROR(__xludf.DUMMYFUNCTION("""COMPUTED_VALUE"""),"")</f>
        <v/>
      </c>
      <c r="D2967" s="7"/>
      <c r="E2967" s="7"/>
      <c r="F2967" s="9" t="str">
        <f>IFERROR(__xludf.DUMMYFUNCTION("""COMPUTED_VALUE"""),"")</f>
        <v/>
      </c>
      <c r="G2967" s="7" t="str">
        <f>IFERROR(__xludf.DUMMYFUNCTION("""COMPUTED_VALUE"""),"")</f>
        <v/>
      </c>
      <c r="H2967" s="7">
        <f t="shared" si="1"/>
        <v>1029</v>
      </c>
    </row>
    <row r="2968" ht="22.5" customHeight="1">
      <c r="B2968" s="7" t="str">
        <f>IFERROR(__xludf.DUMMYFUNCTION("""COMPUTED_VALUE"""),"")</f>
        <v/>
      </c>
      <c r="C2968" s="7" t="str">
        <f>IFERROR(__xludf.DUMMYFUNCTION("""COMPUTED_VALUE"""),"")</f>
        <v/>
      </c>
      <c r="D2968" s="7"/>
      <c r="E2968" s="7"/>
      <c r="F2968" s="9" t="str">
        <f>IFERROR(__xludf.DUMMYFUNCTION("""COMPUTED_VALUE"""),"")</f>
        <v/>
      </c>
      <c r="G2968" s="7" t="str">
        <f>IFERROR(__xludf.DUMMYFUNCTION("""COMPUTED_VALUE"""),"")</f>
        <v/>
      </c>
      <c r="H2968" s="7">
        <f t="shared" si="1"/>
        <v>1029</v>
      </c>
    </row>
    <row r="2969" ht="22.5" customHeight="1">
      <c r="B2969" s="7" t="str">
        <f>IFERROR(__xludf.DUMMYFUNCTION("""COMPUTED_VALUE"""),"")</f>
        <v/>
      </c>
      <c r="C2969" s="7" t="str">
        <f>IFERROR(__xludf.DUMMYFUNCTION("""COMPUTED_VALUE"""),"")</f>
        <v/>
      </c>
      <c r="D2969" s="7"/>
      <c r="E2969" s="7"/>
      <c r="F2969" s="9" t="str">
        <f>IFERROR(__xludf.DUMMYFUNCTION("""COMPUTED_VALUE"""),"")</f>
        <v/>
      </c>
      <c r="G2969" s="7" t="str">
        <f>IFERROR(__xludf.DUMMYFUNCTION("""COMPUTED_VALUE"""),"")</f>
        <v/>
      </c>
      <c r="H2969" s="7">
        <f t="shared" si="1"/>
        <v>1029</v>
      </c>
    </row>
    <row r="2970" ht="22.5" customHeight="1">
      <c r="B2970" s="7" t="str">
        <f>IFERROR(__xludf.DUMMYFUNCTION("""COMPUTED_VALUE"""),"")</f>
        <v/>
      </c>
      <c r="C2970" s="7" t="str">
        <f>IFERROR(__xludf.DUMMYFUNCTION("""COMPUTED_VALUE"""),"")</f>
        <v/>
      </c>
      <c r="D2970" s="7"/>
      <c r="E2970" s="7"/>
      <c r="F2970" s="9" t="str">
        <f>IFERROR(__xludf.DUMMYFUNCTION("""COMPUTED_VALUE"""),"")</f>
        <v/>
      </c>
      <c r="G2970" s="7" t="str">
        <f>IFERROR(__xludf.DUMMYFUNCTION("""COMPUTED_VALUE"""),"")</f>
        <v/>
      </c>
      <c r="H2970" s="7">
        <f t="shared" si="1"/>
        <v>1029</v>
      </c>
    </row>
    <row r="2971" ht="22.5" customHeight="1">
      <c r="B2971" s="7" t="str">
        <f>IFERROR(__xludf.DUMMYFUNCTION("""COMPUTED_VALUE"""),"")</f>
        <v/>
      </c>
      <c r="C2971" s="7" t="str">
        <f>IFERROR(__xludf.DUMMYFUNCTION("""COMPUTED_VALUE"""),"")</f>
        <v/>
      </c>
      <c r="D2971" s="7"/>
      <c r="E2971" s="7"/>
      <c r="F2971" s="9" t="str">
        <f>IFERROR(__xludf.DUMMYFUNCTION("""COMPUTED_VALUE"""),"")</f>
        <v/>
      </c>
      <c r="G2971" s="7" t="str">
        <f>IFERROR(__xludf.DUMMYFUNCTION("""COMPUTED_VALUE"""),"")</f>
        <v/>
      </c>
      <c r="H2971" s="7">
        <f t="shared" si="1"/>
        <v>1029</v>
      </c>
    </row>
    <row r="2972" ht="22.5" customHeight="1">
      <c r="B2972" s="7" t="str">
        <f>IFERROR(__xludf.DUMMYFUNCTION("""COMPUTED_VALUE"""),"")</f>
        <v/>
      </c>
      <c r="C2972" s="7" t="str">
        <f>IFERROR(__xludf.DUMMYFUNCTION("""COMPUTED_VALUE"""),"")</f>
        <v/>
      </c>
      <c r="D2972" s="7"/>
      <c r="E2972" s="7"/>
      <c r="F2972" s="9" t="str">
        <f>IFERROR(__xludf.DUMMYFUNCTION("""COMPUTED_VALUE"""),"")</f>
        <v/>
      </c>
      <c r="G2972" s="7" t="str">
        <f>IFERROR(__xludf.DUMMYFUNCTION("""COMPUTED_VALUE"""),"")</f>
        <v/>
      </c>
      <c r="H2972" s="7">
        <f t="shared" si="1"/>
        <v>1029</v>
      </c>
    </row>
    <row r="2973" ht="22.5" customHeight="1">
      <c r="B2973" s="7" t="str">
        <f>IFERROR(__xludf.DUMMYFUNCTION("""COMPUTED_VALUE"""),"")</f>
        <v/>
      </c>
      <c r="C2973" s="7" t="str">
        <f>IFERROR(__xludf.DUMMYFUNCTION("""COMPUTED_VALUE"""),"")</f>
        <v/>
      </c>
      <c r="D2973" s="7"/>
      <c r="E2973" s="7"/>
      <c r="F2973" s="9" t="str">
        <f>IFERROR(__xludf.DUMMYFUNCTION("""COMPUTED_VALUE"""),"")</f>
        <v/>
      </c>
      <c r="G2973" s="7" t="str">
        <f>IFERROR(__xludf.DUMMYFUNCTION("""COMPUTED_VALUE"""),"")</f>
        <v/>
      </c>
      <c r="H2973" s="7">
        <f t="shared" si="1"/>
        <v>1029</v>
      </c>
    </row>
    <row r="2974" ht="22.5" customHeight="1">
      <c r="B2974" s="7" t="str">
        <f>IFERROR(__xludf.DUMMYFUNCTION("""COMPUTED_VALUE"""),"")</f>
        <v/>
      </c>
      <c r="C2974" s="7" t="str">
        <f>IFERROR(__xludf.DUMMYFUNCTION("""COMPUTED_VALUE"""),"")</f>
        <v/>
      </c>
      <c r="D2974" s="7"/>
      <c r="E2974" s="7"/>
      <c r="F2974" s="9" t="str">
        <f>IFERROR(__xludf.DUMMYFUNCTION("""COMPUTED_VALUE"""),"")</f>
        <v/>
      </c>
      <c r="G2974" s="7" t="str">
        <f>IFERROR(__xludf.DUMMYFUNCTION("""COMPUTED_VALUE"""),"")</f>
        <v/>
      </c>
      <c r="H2974" s="7">
        <f t="shared" si="1"/>
        <v>1029</v>
      </c>
    </row>
    <row r="2975" ht="22.5" customHeight="1">
      <c r="B2975" s="7" t="str">
        <f>IFERROR(__xludf.DUMMYFUNCTION("""COMPUTED_VALUE"""),"")</f>
        <v/>
      </c>
      <c r="C2975" s="7" t="str">
        <f>IFERROR(__xludf.DUMMYFUNCTION("""COMPUTED_VALUE"""),"")</f>
        <v/>
      </c>
      <c r="D2975" s="7"/>
      <c r="E2975" s="7"/>
      <c r="F2975" s="9" t="str">
        <f>IFERROR(__xludf.DUMMYFUNCTION("""COMPUTED_VALUE"""),"")</f>
        <v/>
      </c>
      <c r="G2975" s="7" t="str">
        <f>IFERROR(__xludf.DUMMYFUNCTION("""COMPUTED_VALUE"""),"")</f>
        <v/>
      </c>
      <c r="H2975" s="7">
        <f t="shared" si="1"/>
        <v>1029</v>
      </c>
    </row>
    <row r="2976" ht="22.5" customHeight="1">
      <c r="B2976" s="7" t="str">
        <f>IFERROR(__xludf.DUMMYFUNCTION("""COMPUTED_VALUE"""),"")</f>
        <v/>
      </c>
      <c r="C2976" s="7" t="str">
        <f>IFERROR(__xludf.DUMMYFUNCTION("""COMPUTED_VALUE"""),"")</f>
        <v/>
      </c>
      <c r="D2976" s="7"/>
      <c r="E2976" s="7"/>
      <c r="F2976" s="9" t="str">
        <f>IFERROR(__xludf.DUMMYFUNCTION("""COMPUTED_VALUE"""),"")</f>
        <v/>
      </c>
      <c r="G2976" s="7" t="str">
        <f>IFERROR(__xludf.DUMMYFUNCTION("""COMPUTED_VALUE"""),"")</f>
        <v/>
      </c>
      <c r="H2976" s="7">
        <f t="shared" si="1"/>
        <v>1029</v>
      </c>
    </row>
    <row r="2977" ht="22.5" customHeight="1">
      <c r="B2977" s="7" t="str">
        <f>IFERROR(__xludf.DUMMYFUNCTION("""COMPUTED_VALUE"""),"")</f>
        <v/>
      </c>
      <c r="C2977" s="7" t="str">
        <f>IFERROR(__xludf.DUMMYFUNCTION("""COMPUTED_VALUE"""),"")</f>
        <v/>
      </c>
      <c r="D2977" s="7"/>
      <c r="E2977" s="7"/>
      <c r="F2977" s="9" t="str">
        <f>IFERROR(__xludf.DUMMYFUNCTION("""COMPUTED_VALUE"""),"")</f>
        <v/>
      </c>
      <c r="G2977" s="7" t="str">
        <f>IFERROR(__xludf.DUMMYFUNCTION("""COMPUTED_VALUE"""),"")</f>
        <v/>
      </c>
      <c r="H2977" s="7">
        <f t="shared" si="1"/>
        <v>1029</v>
      </c>
    </row>
    <row r="2978" ht="22.5" customHeight="1">
      <c r="B2978" s="7" t="str">
        <f>IFERROR(__xludf.DUMMYFUNCTION("""COMPUTED_VALUE"""),"")</f>
        <v/>
      </c>
      <c r="C2978" s="7" t="str">
        <f>IFERROR(__xludf.DUMMYFUNCTION("""COMPUTED_VALUE"""),"")</f>
        <v/>
      </c>
      <c r="D2978" s="7"/>
      <c r="E2978" s="7"/>
      <c r="F2978" s="9" t="str">
        <f>IFERROR(__xludf.DUMMYFUNCTION("""COMPUTED_VALUE"""),"")</f>
        <v/>
      </c>
      <c r="G2978" s="7" t="str">
        <f>IFERROR(__xludf.DUMMYFUNCTION("""COMPUTED_VALUE"""),"")</f>
        <v/>
      </c>
      <c r="H2978" s="7">
        <f t="shared" si="1"/>
        <v>1029</v>
      </c>
    </row>
    <row r="2979" ht="22.5" customHeight="1">
      <c r="B2979" s="7" t="str">
        <f>IFERROR(__xludf.DUMMYFUNCTION("""COMPUTED_VALUE"""),"")</f>
        <v/>
      </c>
      <c r="C2979" s="7" t="str">
        <f>IFERROR(__xludf.DUMMYFUNCTION("""COMPUTED_VALUE"""),"")</f>
        <v/>
      </c>
      <c r="D2979" s="7"/>
      <c r="E2979" s="7"/>
      <c r="F2979" s="9" t="str">
        <f>IFERROR(__xludf.DUMMYFUNCTION("""COMPUTED_VALUE"""),"")</f>
        <v/>
      </c>
      <c r="G2979" s="7" t="str">
        <f>IFERROR(__xludf.DUMMYFUNCTION("""COMPUTED_VALUE"""),"")</f>
        <v/>
      </c>
      <c r="H2979" s="7">
        <f t="shared" si="1"/>
        <v>1029</v>
      </c>
    </row>
    <row r="2980" ht="22.5" customHeight="1">
      <c r="B2980" s="7" t="str">
        <f>IFERROR(__xludf.DUMMYFUNCTION("""COMPUTED_VALUE"""),"")</f>
        <v/>
      </c>
      <c r="C2980" s="7" t="str">
        <f>IFERROR(__xludf.DUMMYFUNCTION("""COMPUTED_VALUE"""),"")</f>
        <v/>
      </c>
      <c r="D2980" s="7"/>
      <c r="E2980" s="7"/>
      <c r="F2980" s="9" t="str">
        <f>IFERROR(__xludf.DUMMYFUNCTION("""COMPUTED_VALUE"""),"")</f>
        <v/>
      </c>
      <c r="G2980" s="7" t="str">
        <f>IFERROR(__xludf.DUMMYFUNCTION("""COMPUTED_VALUE"""),"")</f>
        <v/>
      </c>
      <c r="H2980" s="7">
        <f t="shared" si="1"/>
        <v>1029</v>
      </c>
    </row>
    <row r="2981" ht="22.5" customHeight="1">
      <c r="B2981" s="7" t="str">
        <f>IFERROR(__xludf.DUMMYFUNCTION("""COMPUTED_VALUE"""),"")</f>
        <v/>
      </c>
      <c r="C2981" s="7" t="str">
        <f>IFERROR(__xludf.DUMMYFUNCTION("""COMPUTED_VALUE"""),"")</f>
        <v/>
      </c>
      <c r="D2981" s="7"/>
      <c r="E2981" s="7"/>
      <c r="F2981" s="9" t="str">
        <f>IFERROR(__xludf.DUMMYFUNCTION("""COMPUTED_VALUE"""),"")</f>
        <v/>
      </c>
      <c r="G2981" s="7" t="str">
        <f>IFERROR(__xludf.DUMMYFUNCTION("""COMPUTED_VALUE"""),"")</f>
        <v/>
      </c>
      <c r="H2981" s="7">
        <f t="shared" si="1"/>
        <v>1029</v>
      </c>
    </row>
    <row r="2982" ht="22.5" customHeight="1">
      <c r="B2982" s="7" t="str">
        <f>IFERROR(__xludf.DUMMYFUNCTION("""COMPUTED_VALUE"""),"")</f>
        <v/>
      </c>
      <c r="C2982" s="7" t="str">
        <f>IFERROR(__xludf.DUMMYFUNCTION("""COMPUTED_VALUE"""),"")</f>
        <v/>
      </c>
      <c r="D2982" s="7"/>
      <c r="E2982" s="7"/>
      <c r="F2982" s="9" t="str">
        <f>IFERROR(__xludf.DUMMYFUNCTION("""COMPUTED_VALUE"""),"")</f>
        <v/>
      </c>
      <c r="G2982" s="7" t="str">
        <f>IFERROR(__xludf.DUMMYFUNCTION("""COMPUTED_VALUE"""),"")</f>
        <v/>
      </c>
      <c r="H2982" s="7">
        <f t="shared" si="1"/>
        <v>1029</v>
      </c>
    </row>
    <row r="2983" ht="22.5" customHeight="1">
      <c r="B2983" s="7" t="str">
        <f>IFERROR(__xludf.DUMMYFUNCTION("""COMPUTED_VALUE"""),"")</f>
        <v/>
      </c>
      <c r="C2983" s="7" t="str">
        <f>IFERROR(__xludf.DUMMYFUNCTION("""COMPUTED_VALUE"""),"")</f>
        <v/>
      </c>
      <c r="D2983" s="7"/>
      <c r="E2983" s="7"/>
      <c r="F2983" s="9" t="str">
        <f>IFERROR(__xludf.DUMMYFUNCTION("""COMPUTED_VALUE"""),"")</f>
        <v/>
      </c>
      <c r="G2983" s="7" t="str">
        <f>IFERROR(__xludf.DUMMYFUNCTION("""COMPUTED_VALUE"""),"")</f>
        <v/>
      </c>
      <c r="H2983" s="7">
        <f t="shared" si="1"/>
        <v>1029</v>
      </c>
    </row>
    <row r="2984" ht="22.5" customHeight="1">
      <c r="B2984" s="7" t="str">
        <f>IFERROR(__xludf.DUMMYFUNCTION("""COMPUTED_VALUE"""),"")</f>
        <v/>
      </c>
      <c r="C2984" s="7" t="str">
        <f>IFERROR(__xludf.DUMMYFUNCTION("""COMPUTED_VALUE"""),"")</f>
        <v/>
      </c>
      <c r="D2984" s="7"/>
      <c r="E2984" s="7"/>
      <c r="F2984" s="9" t="str">
        <f>IFERROR(__xludf.DUMMYFUNCTION("""COMPUTED_VALUE"""),"")</f>
        <v/>
      </c>
      <c r="G2984" s="7" t="str">
        <f>IFERROR(__xludf.DUMMYFUNCTION("""COMPUTED_VALUE"""),"")</f>
        <v/>
      </c>
      <c r="H2984" s="7">
        <f t="shared" si="1"/>
        <v>1029</v>
      </c>
    </row>
    <row r="2985" ht="22.5" customHeight="1">
      <c r="B2985" s="7" t="str">
        <f>IFERROR(__xludf.DUMMYFUNCTION("""COMPUTED_VALUE"""),"")</f>
        <v/>
      </c>
      <c r="C2985" s="7" t="str">
        <f>IFERROR(__xludf.DUMMYFUNCTION("""COMPUTED_VALUE"""),"")</f>
        <v/>
      </c>
      <c r="D2985" s="7"/>
      <c r="E2985" s="7"/>
      <c r="F2985" s="9" t="str">
        <f>IFERROR(__xludf.DUMMYFUNCTION("""COMPUTED_VALUE"""),"")</f>
        <v/>
      </c>
      <c r="G2985" s="7" t="str">
        <f>IFERROR(__xludf.DUMMYFUNCTION("""COMPUTED_VALUE"""),"")</f>
        <v/>
      </c>
      <c r="H2985" s="7">
        <f t="shared" si="1"/>
        <v>1029</v>
      </c>
    </row>
    <row r="2986" ht="22.5" customHeight="1">
      <c r="B2986" s="7" t="str">
        <f>IFERROR(__xludf.DUMMYFUNCTION("""COMPUTED_VALUE"""),"")</f>
        <v/>
      </c>
      <c r="C2986" s="7" t="str">
        <f>IFERROR(__xludf.DUMMYFUNCTION("""COMPUTED_VALUE"""),"")</f>
        <v/>
      </c>
      <c r="D2986" s="7"/>
      <c r="E2986" s="7"/>
      <c r="F2986" s="9" t="str">
        <f>IFERROR(__xludf.DUMMYFUNCTION("""COMPUTED_VALUE"""),"")</f>
        <v/>
      </c>
      <c r="G2986" s="7" t="str">
        <f>IFERROR(__xludf.DUMMYFUNCTION("""COMPUTED_VALUE"""),"")</f>
        <v/>
      </c>
      <c r="H2986" s="7">
        <f t="shared" si="1"/>
        <v>1029</v>
      </c>
    </row>
    <row r="2987" ht="22.5" customHeight="1">
      <c r="B2987" s="7" t="str">
        <f>IFERROR(__xludf.DUMMYFUNCTION("""COMPUTED_VALUE"""),"")</f>
        <v/>
      </c>
      <c r="C2987" s="7" t="str">
        <f>IFERROR(__xludf.DUMMYFUNCTION("""COMPUTED_VALUE"""),"")</f>
        <v/>
      </c>
      <c r="D2987" s="7"/>
      <c r="E2987" s="7"/>
      <c r="F2987" s="9" t="str">
        <f>IFERROR(__xludf.DUMMYFUNCTION("""COMPUTED_VALUE"""),"")</f>
        <v/>
      </c>
      <c r="G2987" s="7" t="str">
        <f>IFERROR(__xludf.DUMMYFUNCTION("""COMPUTED_VALUE"""),"")</f>
        <v/>
      </c>
      <c r="H2987" s="7">
        <f t="shared" si="1"/>
        <v>1029</v>
      </c>
    </row>
    <row r="2988" ht="22.5" customHeight="1">
      <c r="B2988" s="7" t="str">
        <f>IFERROR(__xludf.DUMMYFUNCTION("""COMPUTED_VALUE"""),"")</f>
        <v/>
      </c>
      <c r="C2988" s="7" t="str">
        <f>IFERROR(__xludf.DUMMYFUNCTION("""COMPUTED_VALUE"""),"")</f>
        <v/>
      </c>
      <c r="D2988" s="7"/>
      <c r="E2988" s="7"/>
      <c r="F2988" s="9" t="str">
        <f>IFERROR(__xludf.DUMMYFUNCTION("""COMPUTED_VALUE"""),"")</f>
        <v/>
      </c>
      <c r="G2988" s="7" t="str">
        <f>IFERROR(__xludf.DUMMYFUNCTION("""COMPUTED_VALUE"""),"")</f>
        <v/>
      </c>
      <c r="H2988" s="7">
        <f t="shared" si="1"/>
        <v>1029</v>
      </c>
    </row>
    <row r="2989" ht="22.5" customHeight="1">
      <c r="B2989" s="7" t="str">
        <f>IFERROR(__xludf.DUMMYFUNCTION("""COMPUTED_VALUE"""),"")</f>
        <v/>
      </c>
      <c r="C2989" s="7" t="str">
        <f>IFERROR(__xludf.DUMMYFUNCTION("""COMPUTED_VALUE"""),"")</f>
        <v/>
      </c>
      <c r="D2989" s="7"/>
      <c r="E2989" s="7"/>
      <c r="F2989" s="9" t="str">
        <f>IFERROR(__xludf.DUMMYFUNCTION("""COMPUTED_VALUE"""),"")</f>
        <v/>
      </c>
      <c r="G2989" s="7" t="str">
        <f>IFERROR(__xludf.DUMMYFUNCTION("""COMPUTED_VALUE"""),"")</f>
        <v/>
      </c>
      <c r="H2989" s="7">
        <f t="shared" si="1"/>
        <v>1029</v>
      </c>
    </row>
    <row r="2990" ht="22.5" customHeight="1">
      <c r="B2990" s="7" t="str">
        <f>IFERROR(__xludf.DUMMYFUNCTION("""COMPUTED_VALUE"""),"")</f>
        <v/>
      </c>
      <c r="C2990" s="7" t="str">
        <f>IFERROR(__xludf.DUMMYFUNCTION("""COMPUTED_VALUE"""),"")</f>
        <v/>
      </c>
      <c r="D2990" s="7"/>
      <c r="E2990" s="7"/>
      <c r="F2990" s="9" t="str">
        <f>IFERROR(__xludf.DUMMYFUNCTION("""COMPUTED_VALUE"""),"")</f>
        <v/>
      </c>
      <c r="G2990" s="7" t="str">
        <f>IFERROR(__xludf.DUMMYFUNCTION("""COMPUTED_VALUE"""),"")</f>
        <v/>
      </c>
      <c r="H2990" s="7">
        <f t="shared" si="1"/>
        <v>1029</v>
      </c>
    </row>
    <row r="2991" ht="22.5" customHeight="1">
      <c r="B2991" s="7" t="str">
        <f>IFERROR(__xludf.DUMMYFUNCTION("""COMPUTED_VALUE"""),"")</f>
        <v/>
      </c>
      <c r="C2991" s="7" t="str">
        <f>IFERROR(__xludf.DUMMYFUNCTION("""COMPUTED_VALUE"""),"")</f>
        <v/>
      </c>
      <c r="D2991" s="7"/>
      <c r="E2991" s="7"/>
      <c r="F2991" s="9" t="str">
        <f>IFERROR(__xludf.DUMMYFUNCTION("""COMPUTED_VALUE"""),"")</f>
        <v/>
      </c>
      <c r="G2991" s="7" t="str">
        <f>IFERROR(__xludf.DUMMYFUNCTION("""COMPUTED_VALUE"""),"")</f>
        <v/>
      </c>
      <c r="H2991" s="7">
        <f t="shared" si="1"/>
        <v>1029</v>
      </c>
    </row>
    <row r="2992" ht="22.5" customHeight="1">
      <c r="B2992" s="7" t="str">
        <f>IFERROR(__xludf.DUMMYFUNCTION("""COMPUTED_VALUE"""),"")</f>
        <v/>
      </c>
      <c r="C2992" s="7" t="str">
        <f>IFERROR(__xludf.DUMMYFUNCTION("""COMPUTED_VALUE"""),"")</f>
        <v/>
      </c>
      <c r="D2992" s="7"/>
      <c r="E2992" s="7"/>
      <c r="F2992" s="9" t="str">
        <f>IFERROR(__xludf.DUMMYFUNCTION("""COMPUTED_VALUE"""),"")</f>
        <v/>
      </c>
      <c r="G2992" s="7" t="str">
        <f>IFERROR(__xludf.DUMMYFUNCTION("""COMPUTED_VALUE"""),"")</f>
        <v/>
      </c>
      <c r="H2992" s="7">
        <f t="shared" si="1"/>
        <v>1029</v>
      </c>
    </row>
    <row r="2993" ht="22.5" customHeight="1">
      <c r="B2993" s="7" t="str">
        <f>IFERROR(__xludf.DUMMYFUNCTION("""COMPUTED_VALUE"""),"")</f>
        <v/>
      </c>
      <c r="C2993" s="7" t="str">
        <f>IFERROR(__xludf.DUMMYFUNCTION("""COMPUTED_VALUE"""),"")</f>
        <v/>
      </c>
      <c r="D2993" s="7"/>
      <c r="E2993" s="7"/>
      <c r="F2993" s="9" t="str">
        <f>IFERROR(__xludf.DUMMYFUNCTION("""COMPUTED_VALUE"""),"")</f>
        <v/>
      </c>
      <c r="G2993" s="7" t="str">
        <f>IFERROR(__xludf.DUMMYFUNCTION("""COMPUTED_VALUE"""),"")</f>
        <v/>
      </c>
      <c r="H2993" s="7">
        <f t="shared" si="1"/>
        <v>1029</v>
      </c>
    </row>
    <row r="2994" ht="22.5" customHeight="1">
      <c r="B2994" s="7" t="str">
        <f>IFERROR(__xludf.DUMMYFUNCTION("""COMPUTED_VALUE"""),"")</f>
        <v/>
      </c>
      <c r="C2994" s="7" t="str">
        <f>IFERROR(__xludf.DUMMYFUNCTION("""COMPUTED_VALUE"""),"")</f>
        <v/>
      </c>
      <c r="D2994" s="7"/>
      <c r="E2994" s="7"/>
      <c r="F2994" s="9" t="str">
        <f>IFERROR(__xludf.DUMMYFUNCTION("""COMPUTED_VALUE"""),"")</f>
        <v/>
      </c>
      <c r="G2994" s="7" t="str">
        <f>IFERROR(__xludf.DUMMYFUNCTION("""COMPUTED_VALUE"""),"")</f>
        <v/>
      </c>
      <c r="H2994" s="7">
        <f t="shared" si="1"/>
        <v>1029</v>
      </c>
    </row>
    <row r="2995" ht="22.5" customHeight="1">
      <c r="B2995" s="7" t="str">
        <f>IFERROR(__xludf.DUMMYFUNCTION("""COMPUTED_VALUE"""),"")</f>
        <v/>
      </c>
      <c r="C2995" s="7" t="str">
        <f>IFERROR(__xludf.DUMMYFUNCTION("""COMPUTED_VALUE"""),"")</f>
        <v/>
      </c>
      <c r="D2995" s="7"/>
      <c r="E2995" s="7"/>
      <c r="F2995" s="9" t="str">
        <f>IFERROR(__xludf.DUMMYFUNCTION("""COMPUTED_VALUE"""),"")</f>
        <v/>
      </c>
      <c r="G2995" s="7" t="str">
        <f>IFERROR(__xludf.DUMMYFUNCTION("""COMPUTED_VALUE"""),"")</f>
        <v/>
      </c>
      <c r="H2995" s="7">
        <f t="shared" si="1"/>
        <v>1029</v>
      </c>
    </row>
    <row r="2996" ht="22.5" customHeight="1">
      <c r="B2996" s="7" t="str">
        <f>IFERROR(__xludf.DUMMYFUNCTION("""COMPUTED_VALUE"""),"")</f>
        <v/>
      </c>
      <c r="C2996" s="7" t="str">
        <f>IFERROR(__xludf.DUMMYFUNCTION("""COMPUTED_VALUE"""),"")</f>
        <v/>
      </c>
      <c r="D2996" s="7"/>
      <c r="E2996" s="7"/>
      <c r="F2996" s="9" t="str">
        <f>IFERROR(__xludf.DUMMYFUNCTION("""COMPUTED_VALUE"""),"")</f>
        <v/>
      </c>
      <c r="G2996" s="7" t="str">
        <f>IFERROR(__xludf.DUMMYFUNCTION("""COMPUTED_VALUE"""),"")</f>
        <v/>
      </c>
      <c r="H2996" s="7">
        <f t="shared" si="1"/>
        <v>1029</v>
      </c>
    </row>
    <row r="2997" ht="22.5" customHeight="1">
      <c r="B2997" s="7" t="str">
        <f>IFERROR(__xludf.DUMMYFUNCTION("""COMPUTED_VALUE"""),"")</f>
        <v/>
      </c>
      <c r="C2997" s="7" t="str">
        <f>IFERROR(__xludf.DUMMYFUNCTION("""COMPUTED_VALUE"""),"")</f>
        <v/>
      </c>
      <c r="D2997" s="7"/>
      <c r="E2997" s="7"/>
      <c r="F2997" s="9" t="str">
        <f>IFERROR(__xludf.DUMMYFUNCTION("""COMPUTED_VALUE"""),"")</f>
        <v/>
      </c>
      <c r="G2997" s="7" t="str">
        <f>IFERROR(__xludf.DUMMYFUNCTION("""COMPUTED_VALUE"""),"")</f>
        <v/>
      </c>
      <c r="H2997" s="7">
        <f t="shared" si="1"/>
        <v>1029</v>
      </c>
    </row>
    <row r="2998" ht="22.5" customHeight="1">
      <c r="B2998" s="7" t="str">
        <f>IFERROR(__xludf.DUMMYFUNCTION("""COMPUTED_VALUE"""),"")</f>
        <v/>
      </c>
      <c r="C2998" s="7" t="str">
        <f>IFERROR(__xludf.DUMMYFUNCTION("""COMPUTED_VALUE"""),"")</f>
        <v/>
      </c>
      <c r="D2998" s="7"/>
      <c r="E2998" s="7"/>
      <c r="F2998" s="9" t="str">
        <f>IFERROR(__xludf.DUMMYFUNCTION("""COMPUTED_VALUE"""),"")</f>
        <v/>
      </c>
      <c r="G2998" s="7" t="str">
        <f>IFERROR(__xludf.DUMMYFUNCTION("""COMPUTED_VALUE"""),"")</f>
        <v/>
      </c>
      <c r="H2998" s="7">
        <f t="shared" si="1"/>
        <v>1029</v>
      </c>
    </row>
    <row r="2999" ht="22.5" customHeight="1">
      <c r="B2999" s="7" t="str">
        <f>IFERROR(__xludf.DUMMYFUNCTION("""COMPUTED_VALUE"""),"")</f>
        <v/>
      </c>
      <c r="C2999" s="7" t="str">
        <f>IFERROR(__xludf.DUMMYFUNCTION("""COMPUTED_VALUE"""),"")</f>
        <v/>
      </c>
      <c r="D2999" s="7"/>
      <c r="E2999" s="7"/>
      <c r="F2999" s="9" t="str">
        <f>IFERROR(__xludf.DUMMYFUNCTION("""COMPUTED_VALUE"""),"")</f>
        <v/>
      </c>
      <c r="G2999" s="7" t="str">
        <f>IFERROR(__xludf.DUMMYFUNCTION("""COMPUTED_VALUE"""),"")</f>
        <v/>
      </c>
      <c r="H2999" s="7">
        <f t="shared" si="1"/>
        <v>1029</v>
      </c>
    </row>
    <row r="3000" ht="22.5" customHeight="1">
      <c r="B3000" s="7" t="str">
        <f>IFERROR(__xludf.DUMMYFUNCTION("""COMPUTED_VALUE"""),"")</f>
        <v/>
      </c>
      <c r="C3000" s="7" t="str">
        <f>IFERROR(__xludf.DUMMYFUNCTION("""COMPUTED_VALUE"""),"")</f>
        <v/>
      </c>
      <c r="D3000" s="7"/>
      <c r="E3000" s="7"/>
      <c r="F3000" s="9" t="str">
        <f>IFERROR(__xludf.DUMMYFUNCTION("""COMPUTED_VALUE"""),"")</f>
        <v/>
      </c>
      <c r="G3000" s="7" t="str">
        <f>IFERROR(__xludf.DUMMYFUNCTION("""COMPUTED_VALUE"""),"")</f>
        <v/>
      </c>
      <c r="H3000" s="7">
        <f t="shared" si="1"/>
        <v>1029</v>
      </c>
    </row>
    <row r="3001" ht="22.5" customHeight="1">
      <c r="B3001" s="7" t="str">
        <f>IFERROR(__xludf.DUMMYFUNCTION("""COMPUTED_VALUE"""),"")</f>
        <v/>
      </c>
      <c r="C3001" s="7" t="str">
        <f>IFERROR(__xludf.DUMMYFUNCTION("""COMPUTED_VALUE"""),"")</f>
        <v/>
      </c>
      <c r="D3001" s="7"/>
      <c r="E3001" s="7"/>
      <c r="F3001" s="9" t="str">
        <f>IFERROR(__xludf.DUMMYFUNCTION("""COMPUTED_VALUE"""),"")</f>
        <v/>
      </c>
      <c r="G3001" s="7" t="str">
        <f>IFERROR(__xludf.DUMMYFUNCTION("""COMPUTED_VALUE"""),"")</f>
        <v/>
      </c>
      <c r="H3001" s="7">
        <f t="shared" si="1"/>
        <v>1029</v>
      </c>
    </row>
    <row r="3002" ht="22.5" customHeight="1">
      <c r="B3002" s="7" t="str">
        <f>IFERROR(__xludf.DUMMYFUNCTION("""COMPUTED_VALUE"""),"")</f>
        <v/>
      </c>
      <c r="C3002" s="7" t="str">
        <f>IFERROR(__xludf.DUMMYFUNCTION("""COMPUTED_VALUE"""),"")</f>
        <v/>
      </c>
      <c r="D3002" s="7"/>
      <c r="E3002" s="7"/>
      <c r="F3002" s="9" t="str">
        <f>IFERROR(__xludf.DUMMYFUNCTION("""COMPUTED_VALUE"""),"")</f>
        <v/>
      </c>
      <c r="G3002" s="7" t="str">
        <f>IFERROR(__xludf.DUMMYFUNCTION("""COMPUTED_VALUE"""),"")</f>
        <v/>
      </c>
      <c r="H3002" s="7">
        <f t="shared" si="1"/>
        <v>1029</v>
      </c>
    </row>
    <row r="3003" ht="22.5" customHeight="1">
      <c r="B3003" s="7" t="str">
        <f>IFERROR(__xludf.DUMMYFUNCTION("""COMPUTED_VALUE"""),"")</f>
        <v/>
      </c>
      <c r="C3003" s="7" t="str">
        <f>IFERROR(__xludf.DUMMYFUNCTION("""COMPUTED_VALUE"""),"")</f>
        <v/>
      </c>
      <c r="D3003" s="7"/>
      <c r="E3003" s="7"/>
      <c r="F3003" s="9" t="str">
        <f>IFERROR(__xludf.DUMMYFUNCTION("""COMPUTED_VALUE"""),"")</f>
        <v/>
      </c>
      <c r="G3003" s="7" t="str">
        <f>IFERROR(__xludf.DUMMYFUNCTION("""COMPUTED_VALUE"""),"")</f>
        <v/>
      </c>
      <c r="H3003" s="7">
        <f t="shared" si="1"/>
        <v>1029</v>
      </c>
    </row>
    <row r="3004" ht="22.5" customHeight="1">
      <c r="B3004" s="7" t="str">
        <f>IFERROR(__xludf.DUMMYFUNCTION("""COMPUTED_VALUE"""),"")</f>
        <v/>
      </c>
      <c r="C3004" s="7" t="str">
        <f>IFERROR(__xludf.DUMMYFUNCTION("""COMPUTED_VALUE"""),"")</f>
        <v/>
      </c>
      <c r="D3004" s="7"/>
      <c r="E3004" s="7"/>
      <c r="F3004" s="9" t="str">
        <f>IFERROR(__xludf.DUMMYFUNCTION("""COMPUTED_VALUE"""),"")</f>
        <v/>
      </c>
      <c r="G3004" s="7" t="str">
        <f>IFERROR(__xludf.DUMMYFUNCTION("""COMPUTED_VALUE"""),"")</f>
        <v/>
      </c>
      <c r="H3004" s="7">
        <f t="shared" si="1"/>
        <v>1029</v>
      </c>
    </row>
    <row r="3005" ht="22.5" customHeight="1">
      <c r="B3005" s="7"/>
      <c r="C3005" s="7"/>
      <c r="D3005" s="7"/>
      <c r="E3005" s="7"/>
      <c r="F3005" s="7"/>
      <c r="G3005" s="7"/>
      <c r="H3005" s="7">
        <f t="shared" si="1"/>
        <v>1029</v>
      </c>
    </row>
    <row r="3006" ht="22.5" customHeight="1">
      <c r="B3006" s="7"/>
      <c r="C3006" s="7"/>
      <c r="D3006" s="7"/>
      <c r="E3006" s="7"/>
      <c r="F3006" s="7"/>
      <c r="G3006" s="7"/>
      <c r="H3006" s="7">
        <f t="shared" si="1"/>
        <v>1029</v>
      </c>
    </row>
    <row r="3007" ht="22.5" customHeight="1">
      <c r="B3007" s="7"/>
      <c r="C3007" s="7"/>
      <c r="D3007" s="7"/>
      <c r="E3007" s="7"/>
      <c r="F3007" s="7"/>
      <c r="G3007" s="7"/>
      <c r="H3007" s="7">
        <f t="shared" si="1"/>
        <v>1029</v>
      </c>
    </row>
    <row r="3008" ht="22.5" customHeight="1">
      <c r="B3008" s="7"/>
      <c r="C3008" s="7"/>
      <c r="D3008" s="7"/>
      <c r="E3008" s="7"/>
      <c r="F3008" s="7"/>
      <c r="G3008" s="7"/>
      <c r="H3008" s="7">
        <f t="shared" si="1"/>
        <v>1029</v>
      </c>
    </row>
    <row r="3009" ht="22.5" customHeight="1">
      <c r="B3009" s="7"/>
      <c r="C3009" s="7"/>
      <c r="D3009" s="7"/>
      <c r="E3009" s="7"/>
      <c r="F3009" s="7"/>
      <c r="G3009" s="7"/>
      <c r="H3009" s="7">
        <f t="shared" si="1"/>
        <v>1029</v>
      </c>
    </row>
    <row r="3010" ht="22.5" customHeight="1">
      <c r="B3010" s="7"/>
      <c r="C3010" s="7"/>
      <c r="D3010" s="7"/>
      <c r="E3010" s="7"/>
      <c r="F3010" s="7"/>
      <c r="G3010" s="7"/>
      <c r="H3010" s="7">
        <f t="shared" si="1"/>
        <v>1029</v>
      </c>
    </row>
    <row r="3011" ht="22.5" customHeight="1">
      <c r="B3011" s="7"/>
      <c r="C3011" s="7"/>
      <c r="D3011" s="7"/>
      <c r="E3011" s="7"/>
      <c r="F3011" s="7"/>
      <c r="G3011" s="7"/>
      <c r="H3011" s="7">
        <f t="shared" si="1"/>
        <v>1029</v>
      </c>
    </row>
    <row r="3012" ht="22.5" customHeight="1">
      <c r="B3012" s="7"/>
      <c r="C3012" s="7"/>
      <c r="D3012" s="7"/>
      <c r="E3012" s="7"/>
      <c r="F3012" s="7"/>
      <c r="G3012" s="7"/>
      <c r="H3012" s="7">
        <f t="shared" si="1"/>
        <v>1029</v>
      </c>
    </row>
    <row r="3013" ht="22.5" customHeight="1">
      <c r="B3013" s="7"/>
      <c r="C3013" s="7"/>
      <c r="D3013" s="7"/>
      <c r="E3013" s="7"/>
      <c r="F3013" s="7"/>
      <c r="G3013" s="7"/>
      <c r="H3013" s="7">
        <f t="shared" si="1"/>
        <v>1029</v>
      </c>
    </row>
    <row r="3014" ht="22.5" customHeight="1">
      <c r="B3014" s="7"/>
      <c r="C3014" s="7"/>
      <c r="D3014" s="7"/>
      <c r="E3014" s="7"/>
      <c r="F3014" s="7"/>
      <c r="G3014" s="7"/>
      <c r="H3014" s="7">
        <f t="shared" si="1"/>
        <v>1029</v>
      </c>
    </row>
    <row r="3015" ht="22.5" customHeight="1">
      <c r="B3015" s="7"/>
      <c r="C3015" s="7"/>
      <c r="D3015" s="7"/>
      <c r="E3015" s="7"/>
      <c r="F3015" s="7"/>
      <c r="G3015" s="7"/>
      <c r="H3015" s="7">
        <f t="shared" si="1"/>
        <v>1029</v>
      </c>
    </row>
    <row r="3016" ht="22.5" customHeight="1">
      <c r="B3016" s="7"/>
      <c r="C3016" s="7"/>
      <c r="D3016" s="7"/>
      <c r="E3016" s="7"/>
      <c r="F3016" s="7"/>
      <c r="G3016" s="7"/>
      <c r="H3016" s="7">
        <f t="shared" si="1"/>
        <v>1029</v>
      </c>
    </row>
    <row r="3017" ht="22.5" customHeight="1">
      <c r="B3017" s="7"/>
      <c r="C3017" s="7"/>
      <c r="D3017" s="7"/>
      <c r="E3017" s="7"/>
      <c r="F3017" s="7"/>
      <c r="G3017" s="7"/>
      <c r="H3017" s="7">
        <f t="shared" si="1"/>
        <v>1029</v>
      </c>
    </row>
    <row r="3018" ht="22.5" customHeight="1">
      <c r="B3018" s="7"/>
      <c r="C3018" s="7"/>
      <c r="D3018" s="7"/>
      <c r="E3018" s="7"/>
      <c r="F3018" s="7"/>
      <c r="G3018" s="7"/>
      <c r="H3018" s="7">
        <f t="shared" si="1"/>
        <v>1029</v>
      </c>
    </row>
    <row r="3019" ht="22.5" customHeight="1">
      <c r="B3019" s="7"/>
      <c r="C3019" s="7"/>
      <c r="D3019" s="7"/>
      <c r="E3019" s="7"/>
      <c r="F3019" s="7"/>
      <c r="G3019" s="7"/>
      <c r="H3019" s="7">
        <f t="shared" si="1"/>
        <v>1029</v>
      </c>
    </row>
    <row r="3020" ht="22.5" customHeight="1">
      <c r="B3020" s="7"/>
      <c r="C3020" s="7"/>
      <c r="D3020" s="7"/>
      <c r="E3020" s="7"/>
      <c r="F3020" s="7"/>
      <c r="G3020" s="7"/>
      <c r="H3020" s="7">
        <f t="shared" si="1"/>
        <v>1029</v>
      </c>
    </row>
    <row r="3021" ht="22.5" customHeight="1">
      <c r="B3021" s="7"/>
      <c r="C3021" s="7"/>
      <c r="D3021" s="7"/>
      <c r="E3021" s="7"/>
      <c r="F3021" s="7"/>
      <c r="G3021" s="7"/>
      <c r="H3021" s="7">
        <f t="shared" si="1"/>
        <v>1029</v>
      </c>
    </row>
    <row r="3022" ht="22.5" customHeight="1">
      <c r="B3022" s="7"/>
      <c r="C3022" s="7"/>
      <c r="D3022" s="7"/>
      <c r="E3022" s="7"/>
      <c r="F3022" s="7"/>
      <c r="G3022" s="7"/>
      <c r="H3022" s="7">
        <f t="shared" si="1"/>
        <v>1029</v>
      </c>
    </row>
    <row r="3023" ht="22.5" customHeight="1">
      <c r="B3023" s="7"/>
      <c r="C3023" s="7"/>
      <c r="D3023" s="7"/>
      <c r="E3023" s="7"/>
      <c r="F3023" s="7"/>
      <c r="G3023" s="7"/>
      <c r="H3023" s="7">
        <f t="shared" si="1"/>
        <v>1029</v>
      </c>
    </row>
    <row r="3024" ht="22.5" customHeight="1">
      <c r="B3024" s="7"/>
      <c r="C3024" s="7"/>
      <c r="D3024" s="7"/>
      <c r="E3024" s="7"/>
      <c r="F3024" s="7"/>
      <c r="G3024" s="7"/>
      <c r="H3024" s="7">
        <f t="shared" si="1"/>
        <v>1029</v>
      </c>
    </row>
    <row r="3025" ht="22.5" customHeight="1">
      <c r="B3025" s="7"/>
      <c r="C3025" s="7"/>
      <c r="D3025" s="7"/>
      <c r="E3025" s="7"/>
      <c r="F3025" s="7"/>
      <c r="G3025" s="7"/>
      <c r="H3025" s="7">
        <f t="shared" si="1"/>
        <v>1029</v>
      </c>
    </row>
    <row r="3026" ht="22.5" customHeight="1">
      <c r="B3026" s="7"/>
      <c r="C3026" s="7"/>
      <c r="D3026" s="7"/>
      <c r="E3026" s="7"/>
      <c r="F3026" s="7"/>
      <c r="G3026" s="7"/>
      <c r="H3026" s="7">
        <f t="shared" si="1"/>
        <v>1029</v>
      </c>
    </row>
    <row r="3027" ht="22.5" customHeight="1">
      <c r="B3027" s="7"/>
      <c r="C3027" s="7"/>
      <c r="D3027" s="7"/>
      <c r="E3027" s="7"/>
      <c r="F3027" s="7"/>
      <c r="G3027" s="7"/>
      <c r="H3027" s="7">
        <f t="shared" si="1"/>
        <v>1029</v>
      </c>
    </row>
    <row r="3028" ht="22.5" customHeight="1">
      <c r="B3028" s="7"/>
      <c r="C3028" s="7"/>
      <c r="D3028" s="7"/>
      <c r="E3028" s="7"/>
      <c r="F3028" s="7"/>
      <c r="G3028" s="7"/>
      <c r="H3028" s="7">
        <f t="shared" si="1"/>
        <v>1029</v>
      </c>
    </row>
    <row r="3029" ht="22.5" customHeight="1">
      <c r="B3029" s="7"/>
      <c r="C3029" s="7"/>
      <c r="D3029" s="7"/>
      <c r="E3029" s="7"/>
      <c r="F3029" s="7"/>
      <c r="G3029" s="7"/>
      <c r="H3029" s="7">
        <f t="shared" si="1"/>
        <v>1029</v>
      </c>
    </row>
    <row r="3030" ht="22.5" customHeight="1">
      <c r="B3030" s="7"/>
      <c r="C3030" s="7"/>
      <c r="D3030" s="7"/>
      <c r="E3030" s="7"/>
      <c r="F3030" s="7"/>
      <c r="G3030" s="7"/>
      <c r="H3030" s="7">
        <f t="shared" si="1"/>
        <v>1029</v>
      </c>
    </row>
    <row r="3031" ht="22.5" customHeight="1">
      <c r="B3031" s="7"/>
      <c r="C3031" s="7"/>
      <c r="D3031" s="7"/>
      <c r="E3031" s="7"/>
      <c r="F3031" s="7"/>
      <c r="G3031" s="7"/>
      <c r="H3031" s="7">
        <f t="shared" si="1"/>
        <v>1029</v>
      </c>
    </row>
    <row r="3032" ht="22.5" customHeight="1">
      <c r="B3032" s="7"/>
      <c r="C3032" s="7"/>
      <c r="D3032" s="7"/>
      <c r="E3032" s="7"/>
      <c r="F3032" s="7"/>
      <c r="G3032" s="7"/>
      <c r="H3032" s="7">
        <f t="shared" si="1"/>
        <v>1029</v>
      </c>
    </row>
    <row r="3033" ht="22.5" customHeight="1">
      <c r="B3033" s="7"/>
      <c r="C3033" s="7"/>
      <c r="D3033" s="7"/>
      <c r="E3033" s="7"/>
      <c r="F3033" s="7"/>
      <c r="G3033" s="7"/>
      <c r="H3033" s="7">
        <f t="shared" si="1"/>
        <v>1029</v>
      </c>
    </row>
    <row r="3034" ht="22.5" customHeight="1">
      <c r="B3034" s="7"/>
      <c r="C3034" s="7"/>
      <c r="D3034" s="7"/>
      <c r="E3034" s="7"/>
      <c r="F3034" s="7"/>
      <c r="G3034" s="7"/>
      <c r="H3034" s="7">
        <f t="shared" si="1"/>
        <v>1029</v>
      </c>
    </row>
    <row r="3035" ht="22.5" customHeight="1">
      <c r="B3035" s="7"/>
      <c r="C3035" s="7"/>
      <c r="D3035" s="7"/>
      <c r="E3035" s="7"/>
      <c r="F3035" s="7"/>
      <c r="G3035" s="7"/>
      <c r="H3035" s="7">
        <f t="shared" si="1"/>
        <v>1029</v>
      </c>
    </row>
    <row r="3036" ht="22.5" customHeight="1">
      <c r="B3036" s="7"/>
      <c r="C3036" s="7"/>
      <c r="D3036" s="7"/>
      <c r="E3036" s="7"/>
      <c r="F3036" s="7"/>
      <c r="G3036" s="7"/>
      <c r="H3036" s="7">
        <f t="shared" si="1"/>
        <v>1029</v>
      </c>
    </row>
    <row r="3037" ht="22.5" customHeight="1">
      <c r="B3037" s="7"/>
      <c r="C3037" s="7"/>
      <c r="D3037" s="7"/>
      <c r="E3037" s="7"/>
      <c r="F3037" s="7"/>
      <c r="G3037" s="7"/>
      <c r="H3037" s="7">
        <f t="shared" si="1"/>
        <v>1029</v>
      </c>
    </row>
    <row r="3038" ht="22.5" customHeight="1">
      <c r="B3038" s="7"/>
      <c r="C3038" s="7"/>
      <c r="D3038" s="7"/>
      <c r="E3038" s="7"/>
      <c r="F3038" s="7"/>
      <c r="G3038" s="7"/>
      <c r="H3038" s="7">
        <f t="shared" si="1"/>
        <v>1029</v>
      </c>
    </row>
    <row r="3039" ht="22.5" customHeight="1">
      <c r="B3039" s="7"/>
      <c r="C3039" s="7"/>
      <c r="D3039" s="7"/>
      <c r="E3039" s="7"/>
      <c r="F3039" s="7"/>
      <c r="G3039" s="7"/>
      <c r="H3039" s="7">
        <f t="shared" si="1"/>
        <v>1029</v>
      </c>
    </row>
    <row r="3040" ht="22.5" customHeight="1">
      <c r="B3040" s="7"/>
      <c r="C3040" s="7"/>
      <c r="D3040" s="7"/>
      <c r="E3040" s="7"/>
      <c r="F3040" s="7"/>
      <c r="G3040" s="7"/>
      <c r="H3040" s="7">
        <f t="shared" si="1"/>
        <v>1029</v>
      </c>
    </row>
    <row r="3041" ht="22.5" customHeight="1">
      <c r="B3041" s="7"/>
      <c r="C3041" s="7"/>
      <c r="D3041" s="7"/>
      <c r="E3041" s="7"/>
      <c r="F3041" s="7"/>
      <c r="G3041" s="7"/>
      <c r="H3041" s="7">
        <f t="shared" si="1"/>
        <v>1029</v>
      </c>
    </row>
    <row r="3042" ht="22.5" customHeight="1">
      <c r="B3042" s="7"/>
      <c r="C3042" s="7"/>
      <c r="D3042" s="7"/>
      <c r="E3042" s="7"/>
      <c r="F3042" s="7"/>
      <c r="G3042" s="7"/>
      <c r="H3042" s="7">
        <f t="shared" si="1"/>
        <v>1029</v>
      </c>
    </row>
    <row r="3043" ht="22.5" customHeight="1">
      <c r="B3043" s="7"/>
      <c r="C3043" s="7"/>
      <c r="D3043" s="7"/>
      <c r="E3043" s="7"/>
      <c r="F3043" s="7"/>
      <c r="G3043" s="7"/>
      <c r="H3043" s="7">
        <f t="shared" si="1"/>
        <v>1029</v>
      </c>
    </row>
    <row r="3044" ht="22.5" customHeight="1">
      <c r="B3044" s="7"/>
      <c r="C3044" s="7"/>
      <c r="D3044" s="7"/>
      <c r="E3044" s="7"/>
      <c r="F3044" s="7"/>
      <c r="G3044" s="7"/>
      <c r="H3044" s="7">
        <f t="shared" si="1"/>
        <v>1029</v>
      </c>
    </row>
    <row r="3045" ht="22.5" customHeight="1">
      <c r="B3045" s="7"/>
      <c r="C3045" s="7"/>
      <c r="D3045" s="7"/>
      <c r="E3045" s="7"/>
      <c r="F3045" s="7"/>
      <c r="G3045" s="7"/>
      <c r="H3045" s="7">
        <f t="shared" si="1"/>
        <v>1029</v>
      </c>
    </row>
    <row r="3046" ht="22.5" customHeight="1">
      <c r="B3046" s="7"/>
      <c r="C3046" s="7"/>
      <c r="D3046" s="7"/>
      <c r="E3046" s="7"/>
      <c r="F3046" s="7"/>
      <c r="G3046" s="7"/>
      <c r="H3046" s="7">
        <f t="shared" si="1"/>
        <v>1029</v>
      </c>
    </row>
    <row r="3047" ht="22.5" customHeight="1">
      <c r="B3047" s="7"/>
      <c r="C3047" s="7"/>
      <c r="D3047" s="7"/>
      <c r="E3047" s="7"/>
      <c r="F3047" s="7"/>
      <c r="G3047" s="7"/>
      <c r="H3047" s="7">
        <f t="shared" si="1"/>
        <v>1029</v>
      </c>
    </row>
    <row r="3048" ht="22.5" customHeight="1">
      <c r="B3048" s="7"/>
      <c r="C3048" s="7"/>
      <c r="D3048" s="7"/>
      <c r="E3048" s="7"/>
      <c r="F3048" s="7"/>
      <c r="G3048" s="7"/>
      <c r="H3048" s="7">
        <f t="shared" si="1"/>
        <v>1029</v>
      </c>
    </row>
    <row r="3049" ht="22.5" customHeight="1">
      <c r="B3049" s="7"/>
      <c r="C3049" s="7"/>
      <c r="D3049" s="7"/>
      <c r="E3049" s="7"/>
      <c r="F3049" s="7"/>
      <c r="G3049" s="7"/>
      <c r="H3049" s="7">
        <f t="shared" si="1"/>
        <v>1029</v>
      </c>
    </row>
    <row r="3050" ht="22.5" customHeight="1">
      <c r="B3050" s="7"/>
      <c r="C3050" s="7"/>
      <c r="D3050" s="7"/>
      <c r="E3050" s="7"/>
      <c r="F3050" s="7"/>
      <c r="G3050" s="7"/>
      <c r="H3050" s="7">
        <f t="shared" si="1"/>
        <v>1029</v>
      </c>
    </row>
    <row r="3051" ht="22.5" customHeight="1">
      <c r="B3051" s="7"/>
      <c r="C3051" s="7"/>
      <c r="D3051" s="7"/>
      <c r="E3051" s="7"/>
      <c r="F3051" s="7"/>
      <c r="G3051" s="7"/>
      <c r="H3051" s="7">
        <f t="shared" si="1"/>
        <v>1029</v>
      </c>
    </row>
    <row r="3052" ht="22.5" customHeight="1">
      <c r="B3052" s="7"/>
      <c r="C3052" s="7"/>
      <c r="D3052" s="7"/>
      <c r="E3052" s="7"/>
      <c r="F3052" s="7"/>
      <c r="G3052" s="7"/>
      <c r="H3052" s="7">
        <f t="shared" si="1"/>
        <v>1029</v>
      </c>
    </row>
    <row r="3053" ht="22.5" customHeight="1">
      <c r="B3053" s="7"/>
      <c r="C3053" s="7"/>
      <c r="D3053" s="7"/>
      <c r="E3053" s="7"/>
      <c r="F3053" s="7"/>
      <c r="G3053" s="7"/>
      <c r="H3053" s="7">
        <f t="shared" si="1"/>
        <v>1029</v>
      </c>
    </row>
    <row r="3054" ht="22.5" customHeight="1">
      <c r="B3054" s="7"/>
      <c r="C3054" s="7"/>
      <c r="D3054" s="7"/>
      <c r="E3054" s="7"/>
      <c r="F3054" s="7"/>
      <c r="G3054" s="7"/>
      <c r="H3054" s="7">
        <f t="shared" si="1"/>
        <v>1029</v>
      </c>
    </row>
    <row r="3055" ht="22.5" customHeight="1">
      <c r="B3055" s="7"/>
      <c r="C3055" s="7"/>
      <c r="D3055" s="7"/>
      <c r="E3055" s="7"/>
      <c r="F3055" s="7"/>
      <c r="G3055" s="7"/>
      <c r="H3055" s="7">
        <f t="shared" si="1"/>
        <v>1029</v>
      </c>
    </row>
    <row r="3056" ht="22.5" customHeight="1">
      <c r="B3056" s="7"/>
      <c r="C3056" s="7"/>
      <c r="D3056" s="7"/>
      <c r="E3056" s="7"/>
      <c r="F3056" s="7"/>
      <c r="G3056" s="7"/>
      <c r="H3056" s="7">
        <f t="shared" si="1"/>
        <v>1029</v>
      </c>
    </row>
    <row r="3057" ht="22.5" customHeight="1">
      <c r="B3057" s="7"/>
      <c r="C3057" s="7"/>
      <c r="D3057" s="7"/>
      <c r="E3057" s="7"/>
      <c r="F3057" s="7"/>
      <c r="G3057" s="7"/>
      <c r="H3057" s="7">
        <f t="shared" si="1"/>
        <v>1029</v>
      </c>
    </row>
    <row r="3058" ht="22.5" customHeight="1">
      <c r="B3058" s="7"/>
      <c r="C3058" s="7"/>
      <c r="D3058" s="7"/>
      <c r="E3058" s="7"/>
      <c r="F3058" s="7"/>
      <c r="G3058" s="7"/>
      <c r="H3058" s="7">
        <f t="shared" si="1"/>
        <v>1029</v>
      </c>
    </row>
    <row r="3059" ht="22.5" customHeight="1">
      <c r="B3059" s="7"/>
      <c r="C3059" s="7"/>
      <c r="D3059" s="7"/>
      <c r="E3059" s="7"/>
      <c r="F3059" s="7"/>
      <c r="G3059" s="7"/>
      <c r="H3059" s="7">
        <f t="shared" si="1"/>
        <v>1029</v>
      </c>
    </row>
    <row r="3060" ht="22.5" customHeight="1">
      <c r="B3060" s="7"/>
      <c r="C3060" s="7"/>
      <c r="D3060" s="7"/>
      <c r="E3060" s="7"/>
      <c r="F3060" s="7"/>
      <c r="G3060" s="7"/>
      <c r="H3060" s="7">
        <f t="shared" si="1"/>
        <v>1029</v>
      </c>
    </row>
    <row r="3061" ht="22.5" customHeight="1">
      <c r="B3061" s="7"/>
      <c r="C3061" s="7"/>
      <c r="D3061" s="7"/>
      <c r="E3061" s="7"/>
      <c r="F3061" s="7"/>
      <c r="G3061" s="7"/>
      <c r="H3061" s="7">
        <f t="shared" si="1"/>
        <v>1029</v>
      </c>
    </row>
    <row r="3062" ht="22.5" customHeight="1">
      <c r="B3062" s="7"/>
      <c r="C3062" s="7"/>
      <c r="D3062" s="7"/>
      <c r="E3062" s="7"/>
      <c r="F3062" s="7"/>
      <c r="G3062" s="7"/>
      <c r="H3062" s="7">
        <f t="shared" si="1"/>
        <v>1029</v>
      </c>
    </row>
    <row r="3063" ht="22.5" customHeight="1">
      <c r="B3063" s="7"/>
      <c r="C3063" s="7"/>
      <c r="D3063" s="7"/>
      <c r="E3063" s="7"/>
      <c r="F3063" s="7"/>
      <c r="G3063" s="7"/>
      <c r="H3063" s="7">
        <f t="shared" si="1"/>
        <v>1029</v>
      </c>
    </row>
    <row r="3064" ht="22.5" customHeight="1">
      <c r="B3064" s="7"/>
      <c r="C3064" s="7"/>
      <c r="D3064" s="7"/>
      <c r="E3064" s="7"/>
      <c r="F3064" s="7"/>
      <c r="G3064" s="7"/>
      <c r="H3064" s="7">
        <f t="shared" si="1"/>
        <v>1029</v>
      </c>
    </row>
    <row r="3065" ht="22.5" customHeight="1">
      <c r="B3065" s="7"/>
      <c r="C3065" s="7"/>
      <c r="D3065" s="7"/>
      <c r="E3065" s="7"/>
      <c r="F3065" s="7"/>
      <c r="G3065" s="7"/>
      <c r="H3065" s="7">
        <f t="shared" si="1"/>
        <v>1029</v>
      </c>
    </row>
    <row r="3066" ht="22.5" customHeight="1">
      <c r="B3066" s="7"/>
      <c r="C3066" s="7"/>
      <c r="D3066" s="7"/>
      <c r="E3066" s="7"/>
      <c r="F3066" s="7"/>
      <c r="G3066" s="7"/>
      <c r="H3066" s="7">
        <f t="shared" si="1"/>
        <v>1029</v>
      </c>
    </row>
    <row r="3067" ht="22.5" customHeight="1">
      <c r="B3067" s="7"/>
      <c r="C3067" s="7"/>
      <c r="D3067" s="7"/>
      <c r="E3067" s="7"/>
      <c r="F3067" s="7"/>
      <c r="G3067" s="7"/>
      <c r="H3067" s="7">
        <f t="shared" si="1"/>
        <v>1029</v>
      </c>
    </row>
    <row r="3068" ht="22.5" customHeight="1">
      <c r="B3068" s="7"/>
      <c r="C3068" s="7"/>
      <c r="D3068" s="7"/>
      <c r="E3068" s="7"/>
      <c r="F3068" s="7"/>
      <c r="G3068" s="7"/>
      <c r="H3068" s="7">
        <f t="shared" si="1"/>
        <v>1029</v>
      </c>
    </row>
    <row r="3069" ht="22.5" customHeight="1">
      <c r="B3069" s="7"/>
      <c r="C3069" s="7"/>
      <c r="D3069" s="7"/>
      <c r="E3069" s="7"/>
      <c r="F3069" s="7"/>
      <c r="G3069" s="7"/>
      <c r="H3069" s="7">
        <f t="shared" si="1"/>
        <v>1029</v>
      </c>
    </row>
    <row r="3070" ht="22.5" customHeight="1">
      <c r="B3070" s="7"/>
      <c r="C3070" s="7"/>
      <c r="D3070" s="7"/>
      <c r="E3070" s="7"/>
      <c r="F3070" s="7"/>
      <c r="G3070" s="7"/>
      <c r="H3070" s="7">
        <f t="shared" si="1"/>
        <v>1029</v>
      </c>
    </row>
    <row r="3071" ht="22.5" customHeight="1">
      <c r="B3071" s="7"/>
      <c r="C3071" s="7"/>
      <c r="D3071" s="7"/>
      <c r="E3071" s="7"/>
      <c r="F3071" s="7"/>
      <c r="G3071" s="7"/>
      <c r="H3071" s="7">
        <f t="shared" si="1"/>
        <v>1029</v>
      </c>
    </row>
    <row r="3072" ht="22.5" customHeight="1">
      <c r="B3072" s="7"/>
      <c r="C3072" s="7"/>
      <c r="D3072" s="7"/>
      <c r="E3072" s="7"/>
      <c r="F3072" s="7"/>
      <c r="G3072" s="7"/>
      <c r="H3072" s="7">
        <f t="shared" si="1"/>
        <v>1029</v>
      </c>
    </row>
    <row r="3073" ht="22.5" customHeight="1">
      <c r="B3073" s="7"/>
      <c r="C3073" s="7"/>
      <c r="D3073" s="7"/>
      <c r="E3073" s="7"/>
      <c r="F3073" s="7"/>
      <c r="G3073" s="7"/>
      <c r="H3073" s="7">
        <f t="shared" si="1"/>
        <v>1029</v>
      </c>
    </row>
    <row r="3074" ht="22.5" customHeight="1">
      <c r="B3074" s="7"/>
      <c r="C3074" s="7"/>
      <c r="D3074" s="7"/>
      <c r="E3074" s="7"/>
      <c r="F3074" s="7"/>
      <c r="G3074" s="7"/>
      <c r="H3074" s="7">
        <f t="shared" si="1"/>
        <v>1029</v>
      </c>
    </row>
    <row r="3075" ht="22.5" customHeight="1">
      <c r="B3075" s="7"/>
      <c r="C3075" s="7"/>
      <c r="D3075" s="7"/>
      <c r="E3075" s="7"/>
      <c r="F3075" s="7"/>
      <c r="G3075" s="7"/>
      <c r="H3075" s="7">
        <f t="shared" si="1"/>
        <v>1029</v>
      </c>
    </row>
    <row r="3076" ht="22.5" customHeight="1">
      <c r="B3076" s="7"/>
      <c r="C3076" s="7"/>
      <c r="D3076" s="7"/>
      <c r="E3076" s="7"/>
      <c r="F3076" s="7"/>
      <c r="G3076" s="7"/>
      <c r="H3076" s="7">
        <f t="shared" si="1"/>
        <v>1029</v>
      </c>
    </row>
    <row r="3077" ht="22.5" customHeight="1">
      <c r="B3077" s="7"/>
      <c r="C3077" s="7"/>
      <c r="D3077" s="7"/>
      <c r="E3077" s="7"/>
      <c r="F3077" s="7"/>
      <c r="G3077" s="7"/>
      <c r="H3077" s="7">
        <f t="shared" si="1"/>
        <v>1029</v>
      </c>
    </row>
    <row r="3078" ht="22.5" customHeight="1">
      <c r="B3078" s="7"/>
      <c r="C3078" s="7"/>
      <c r="D3078" s="7"/>
      <c r="E3078" s="7"/>
      <c r="F3078" s="7"/>
      <c r="G3078" s="7"/>
      <c r="H3078" s="7">
        <f t="shared" si="1"/>
        <v>1029</v>
      </c>
    </row>
    <row r="3079" ht="22.5" customHeight="1">
      <c r="B3079" s="7"/>
      <c r="C3079" s="7"/>
      <c r="D3079" s="7"/>
      <c r="E3079" s="7"/>
      <c r="F3079" s="7"/>
      <c r="G3079" s="7"/>
      <c r="H3079" s="7">
        <f t="shared" si="1"/>
        <v>1029</v>
      </c>
    </row>
    <row r="3080" ht="22.5" customHeight="1">
      <c r="B3080" s="7"/>
      <c r="C3080" s="7"/>
      <c r="D3080" s="7"/>
      <c r="E3080" s="7"/>
      <c r="F3080" s="7"/>
      <c r="G3080" s="7"/>
      <c r="H3080" s="7">
        <f t="shared" si="1"/>
        <v>1029</v>
      </c>
    </row>
    <row r="3081" ht="22.5" customHeight="1">
      <c r="B3081" s="7"/>
      <c r="C3081" s="7"/>
      <c r="D3081" s="7"/>
      <c r="E3081" s="7"/>
      <c r="F3081" s="7"/>
      <c r="G3081" s="7"/>
      <c r="H3081" s="7">
        <f t="shared" si="1"/>
        <v>1029</v>
      </c>
    </row>
    <row r="3082" ht="22.5" customHeight="1">
      <c r="B3082" s="7"/>
      <c r="C3082" s="7"/>
      <c r="D3082" s="7"/>
      <c r="E3082" s="7"/>
      <c r="F3082" s="7"/>
      <c r="G3082" s="7"/>
      <c r="H3082" s="7">
        <f t="shared" si="1"/>
        <v>1029</v>
      </c>
    </row>
    <row r="3083" ht="22.5" customHeight="1">
      <c r="B3083" s="7"/>
      <c r="C3083" s="7"/>
      <c r="D3083" s="7"/>
      <c r="E3083" s="7"/>
      <c r="F3083" s="7"/>
      <c r="G3083" s="7"/>
      <c r="H3083" s="7">
        <f t="shared" si="1"/>
        <v>1029</v>
      </c>
    </row>
    <row r="3084" ht="22.5" customHeight="1">
      <c r="B3084" s="7"/>
      <c r="C3084" s="7"/>
      <c r="D3084" s="7"/>
      <c r="E3084" s="7"/>
      <c r="F3084" s="7"/>
      <c r="G3084" s="7"/>
      <c r="H3084" s="7">
        <f t="shared" si="1"/>
        <v>1029</v>
      </c>
    </row>
    <row r="3085" ht="22.5" customHeight="1">
      <c r="B3085" s="7"/>
      <c r="C3085" s="7"/>
      <c r="D3085" s="7"/>
      <c r="E3085" s="7"/>
      <c r="F3085" s="7"/>
      <c r="G3085" s="7"/>
      <c r="H3085" s="7">
        <f t="shared" si="1"/>
        <v>1029</v>
      </c>
    </row>
    <row r="3086" ht="22.5" customHeight="1">
      <c r="B3086" s="7"/>
      <c r="C3086" s="7"/>
      <c r="D3086" s="7"/>
      <c r="E3086" s="7"/>
      <c r="F3086" s="7"/>
      <c r="G3086" s="7"/>
      <c r="H3086" s="7">
        <f t="shared" si="1"/>
        <v>1029</v>
      </c>
    </row>
    <row r="3087" ht="22.5" customHeight="1">
      <c r="B3087" s="7"/>
      <c r="C3087" s="7"/>
      <c r="D3087" s="7"/>
      <c r="E3087" s="7"/>
      <c r="F3087" s="7"/>
      <c r="G3087" s="7"/>
      <c r="H3087" s="7">
        <f t="shared" si="1"/>
        <v>1029</v>
      </c>
    </row>
    <row r="3088" ht="22.5" customHeight="1">
      <c r="B3088" s="7"/>
      <c r="C3088" s="7"/>
      <c r="D3088" s="7"/>
      <c r="E3088" s="7"/>
      <c r="F3088" s="7"/>
      <c r="G3088" s="7"/>
      <c r="H3088" s="7">
        <f t="shared" si="1"/>
        <v>1029</v>
      </c>
    </row>
    <row r="3089" ht="22.5" customHeight="1">
      <c r="B3089" s="7"/>
      <c r="C3089" s="7"/>
      <c r="D3089" s="7"/>
      <c r="E3089" s="7"/>
      <c r="F3089" s="7"/>
      <c r="G3089" s="7"/>
      <c r="H3089" s="7">
        <f t="shared" si="1"/>
        <v>1029</v>
      </c>
    </row>
    <row r="3090" ht="22.5" customHeight="1">
      <c r="B3090" s="7"/>
      <c r="C3090" s="7"/>
      <c r="D3090" s="7"/>
      <c r="E3090" s="7"/>
      <c r="F3090" s="7"/>
      <c r="G3090" s="7"/>
      <c r="H3090" s="7">
        <f t="shared" si="1"/>
        <v>1029</v>
      </c>
    </row>
    <row r="3091" ht="22.5" customHeight="1">
      <c r="B3091" s="7"/>
      <c r="C3091" s="7"/>
      <c r="D3091" s="7"/>
      <c r="E3091" s="7"/>
      <c r="F3091" s="7"/>
      <c r="G3091" s="7"/>
      <c r="H3091" s="7">
        <f t="shared" si="1"/>
        <v>1029</v>
      </c>
    </row>
    <row r="3092" ht="22.5" customHeight="1">
      <c r="B3092" s="7"/>
      <c r="C3092" s="7"/>
      <c r="D3092" s="7"/>
      <c r="E3092" s="7"/>
      <c r="F3092" s="7"/>
      <c r="G3092" s="7"/>
      <c r="H3092" s="7">
        <f t="shared" si="1"/>
        <v>1029</v>
      </c>
    </row>
    <row r="3093" ht="22.5" customHeight="1">
      <c r="B3093" s="7"/>
      <c r="C3093" s="7"/>
      <c r="D3093" s="7"/>
      <c r="E3093" s="7"/>
      <c r="F3093" s="7"/>
      <c r="G3093" s="7"/>
      <c r="H3093" s="7">
        <f t="shared" si="1"/>
        <v>1029</v>
      </c>
    </row>
    <row r="3094" ht="22.5" customHeight="1">
      <c r="B3094" s="7"/>
      <c r="C3094" s="7"/>
      <c r="D3094" s="7"/>
      <c r="E3094" s="7"/>
      <c r="F3094" s="7"/>
      <c r="G3094" s="7"/>
      <c r="H3094" s="7">
        <f t="shared" si="1"/>
        <v>1029</v>
      </c>
    </row>
    <row r="3095" ht="22.5" customHeight="1">
      <c r="B3095" s="7"/>
      <c r="C3095" s="7"/>
      <c r="D3095" s="7"/>
      <c r="E3095" s="7"/>
      <c r="F3095" s="7"/>
      <c r="G3095" s="7"/>
      <c r="H3095" s="7">
        <f t="shared" si="1"/>
        <v>1029</v>
      </c>
    </row>
    <row r="3096" ht="22.5" customHeight="1">
      <c r="B3096" s="7"/>
      <c r="C3096" s="7"/>
      <c r="D3096" s="7"/>
      <c r="E3096" s="7"/>
      <c r="F3096" s="7"/>
      <c r="G3096" s="7"/>
      <c r="H3096" s="7">
        <f t="shared" si="1"/>
        <v>1029</v>
      </c>
    </row>
    <row r="3097" ht="22.5" customHeight="1">
      <c r="B3097" s="7"/>
      <c r="C3097" s="7"/>
      <c r="D3097" s="7"/>
      <c r="E3097" s="7"/>
      <c r="F3097" s="7"/>
      <c r="G3097" s="7"/>
      <c r="H3097" s="7">
        <f t="shared" si="1"/>
        <v>1029</v>
      </c>
    </row>
    <row r="3098" ht="22.5" customHeight="1">
      <c r="B3098" s="7"/>
      <c r="C3098" s="7"/>
      <c r="D3098" s="7"/>
      <c r="E3098" s="7"/>
      <c r="F3098" s="7"/>
      <c r="G3098" s="7"/>
      <c r="H3098" s="7">
        <f t="shared" si="1"/>
        <v>1029</v>
      </c>
    </row>
    <row r="3099" ht="22.5" customHeight="1">
      <c r="B3099" s="7"/>
      <c r="C3099" s="7"/>
      <c r="D3099" s="7"/>
      <c r="E3099" s="7"/>
      <c r="F3099" s="7"/>
      <c r="G3099" s="7"/>
      <c r="H3099" s="7">
        <f t="shared" si="1"/>
        <v>1029</v>
      </c>
    </row>
    <row r="3100" ht="22.5" customHeight="1">
      <c r="B3100" s="7"/>
      <c r="C3100" s="7"/>
      <c r="D3100" s="7"/>
      <c r="E3100" s="7"/>
      <c r="F3100" s="7"/>
      <c r="G3100" s="7"/>
      <c r="H3100" s="7">
        <f t="shared" si="1"/>
        <v>1029</v>
      </c>
    </row>
    <row r="3101" ht="22.5" customHeight="1">
      <c r="B3101" s="7"/>
      <c r="C3101" s="7"/>
      <c r="D3101" s="7"/>
      <c r="E3101" s="7"/>
      <c r="F3101" s="7"/>
      <c r="G3101" s="7"/>
      <c r="H3101" s="7">
        <f t="shared" si="1"/>
        <v>1029</v>
      </c>
    </row>
    <row r="3102" ht="22.5" customHeight="1">
      <c r="B3102" s="7"/>
      <c r="C3102" s="7"/>
      <c r="D3102" s="7"/>
      <c r="E3102" s="7"/>
      <c r="F3102" s="7"/>
      <c r="G3102" s="7"/>
      <c r="H3102" s="7">
        <f t="shared" si="1"/>
        <v>1029</v>
      </c>
    </row>
    <row r="3103" ht="22.5" customHeight="1">
      <c r="B3103" s="7"/>
      <c r="C3103" s="7"/>
      <c r="D3103" s="7"/>
      <c r="E3103" s="7"/>
      <c r="F3103" s="7"/>
      <c r="G3103" s="7"/>
      <c r="H3103" s="7">
        <f t="shared" si="1"/>
        <v>1029</v>
      </c>
    </row>
    <row r="3104" ht="22.5" customHeight="1">
      <c r="B3104" s="7"/>
      <c r="C3104" s="7"/>
      <c r="D3104" s="7"/>
      <c r="E3104" s="7"/>
      <c r="F3104" s="7"/>
      <c r="G3104" s="7"/>
      <c r="H3104" s="7">
        <f t="shared" si="1"/>
        <v>1029</v>
      </c>
    </row>
    <row r="3105" ht="22.5" customHeight="1">
      <c r="B3105" s="7"/>
      <c r="C3105" s="7"/>
      <c r="D3105" s="7"/>
      <c r="E3105" s="7"/>
      <c r="F3105" s="7"/>
      <c r="G3105" s="7"/>
      <c r="H3105" s="7">
        <f t="shared" si="1"/>
        <v>1029</v>
      </c>
    </row>
    <row r="3106" ht="22.5" customHeight="1">
      <c r="B3106" s="7"/>
      <c r="C3106" s="7"/>
      <c r="D3106" s="7"/>
      <c r="E3106" s="7"/>
      <c r="F3106" s="7"/>
      <c r="G3106" s="7"/>
      <c r="H3106" s="7">
        <f t="shared" si="1"/>
        <v>1029</v>
      </c>
    </row>
    <row r="3107" ht="22.5" customHeight="1">
      <c r="B3107" s="7"/>
      <c r="C3107" s="7"/>
      <c r="D3107" s="7"/>
      <c r="E3107" s="7"/>
      <c r="F3107" s="7"/>
      <c r="G3107" s="7"/>
      <c r="H3107" s="7">
        <f t="shared" si="1"/>
        <v>1029</v>
      </c>
    </row>
    <row r="3108" ht="22.5" customHeight="1">
      <c r="B3108" s="7"/>
      <c r="C3108" s="7"/>
      <c r="D3108" s="7"/>
      <c r="E3108" s="7"/>
      <c r="F3108" s="7"/>
      <c r="G3108" s="7"/>
      <c r="H3108" s="7">
        <f t="shared" si="1"/>
        <v>1029</v>
      </c>
    </row>
    <row r="3109" ht="22.5" customHeight="1">
      <c r="B3109" s="7"/>
      <c r="C3109" s="7"/>
      <c r="D3109" s="7"/>
      <c r="E3109" s="7"/>
      <c r="F3109" s="7"/>
      <c r="G3109" s="7"/>
      <c r="H3109" s="7">
        <f t="shared" si="1"/>
        <v>1029</v>
      </c>
    </row>
    <row r="3110" ht="22.5" customHeight="1">
      <c r="B3110" s="7"/>
      <c r="C3110" s="7"/>
      <c r="D3110" s="7"/>
      <c r="E3110" s="7"/>
      <c r="F3110" s="7"/>
      <c r="G3110" s="7"/>
      <c r="H3110" s="7">
        <f t="shared" si="1"/>
        <v>1029</v>
      </c>
    </row>
    <row r="3111" ht="22.5" customHeight="1">
      <c r="B3111" s="7"/>
      <c r="C3111" s="7"/>
      <c r="D3111" s="7"/>
      <c r="E3111" s="7"/>
      <c r="F3111" s="7"/>
      <c r="G3111" s="7"/>
      <c r="H3111" s="7">
        <f t="shared" si="1"/>
        <v>1029</v>
      </c>
    </row>
    <row r="3112" ht="22.5" customHeight="1">
      <c r="B3112" s="7"/>
      <c r="C3112" s="7"/>
      <c r="D3112" s="7"/>
      <c r="E3112" s="7"/>
      <c r="F3112" s="7"/>
      <c r="G3112" s="7"/>
      <c r="H3112" s="7">
        <f t="shared" si="1"/>
        <v>1029</v>
      </c>
    </row>
    <row r="3113" ht="22.5" customHeight="1">
      <c r="B3113" s="7"/>
      <c r="C3113" s="7"/>
      <c r="D3113" s="7"/>
      <c r="E3113" s="7"/>
      <c r="F3113" s="7"/>
      <c r="G3113" s="7"/>
      <c r="H3113" s="7">
        <f t="shared" si="1"/>
        <v>1029</v>
      </c>
    </row>
    <row r="3114" ht="22.5" customHeight="1">
      <c r="B3114" s="7"/>
      <c r="C3114" s="7"/>
      <c r="D3114" s="7"/>
      <c r="E3114" s="7"/>
      <c r="F3114" s="7"/>
      <c r="G3114" s="7"/>
      <c r="H3114" s="7">
        <f t="shared" si="1"/>
        <v>1029</v>
      </c>
    </row>
    <row r="3115" ht="22.5" customHeight="1">
      <c r="B3115" s="7"/>
      <c r="C3115" s="7"/>
      <c r="D3115" s="7"/>
      <c r="E3115" s="7"/>
      <c r="F3115" s="7"/>
      <c r="G3115" s="7"/>
      <c r="H3115" s="7">
        <f t="shared" si="1"/>
        <v>1029</v>
      </c>
    </row>
    <row r="3116" ht="22.5" customHeight="1">
      <c r="B3116" s="7"/>
      <c r="C3116" s="7"/>
      <c r="D3116" s="7"/>
      <c r="E3116" s="7"/>
      <c r="F3116" s="7"/>
      <c r="G3116" s="7"/>
      <c r="H3116" s="7">
        <f t="shared" si="1"/>
        <v>1029</v>
      </c>
    </row>
    <row r="3117" ht="22.5" customHeight="1">
      <c r="B3117" s="7"/>
      <c r="C3117" s="7"/>
      <c r="D3117" s="7"/>
      <c r="E3117" s="7"/>
      <c r="F3117" s="7"/>
      <c r="G3117" s="7"/>
      <c r="H3117" s="7">
        <f t="shared" si="1"/>
        <v>1029</v>
      </c>
    </row>
    <row r="3118" ht="22.5" customHeight="1">
      <c r="B3118" s="7"/>
      <c r="C3118" s="7"/>
      <c r="D3118" s="7"/>
      <c r="E3118" s="7"/>
      <c r="F3118" s="7"/>
      <c r="G3118" s="7"/>
      <c r="H3118" s="7">
        <f t="shared" si="1"/>
        <v>1029</v>
      </c>
    </row>
    <row r="3119" ht="22.5" customHeight="1">
      <c r="B3119" s="7"/>
      <c r="C3119" s="7"/>
      <c r="D3119" s="7"/>
      <c r="E3119" s="7"/>
      <c r="F3119" s="7"/>
      <c r="G3119" s="7"/>
      <c r="H3119" s="7">
        <f t="shared" si="1"/>
        <v>1029</v>
      </c>
    </row>
    <row r="3120" ht="22.5" customHeight="1">
      <c r="B3120" s="7"/>
      <c r="C3120" s="7"/>
      <c r="D3120" s="7"/>
      <c r="E3120" s="7"/>
      <c r="F3120" s="7"/>
      <c r="G3120" s="7"/>
      <c r="H3120" s="7">
        <f t="shared" si="1"/>
        <v>1029</v>
      </c>
    </row>
    <row r="3121" ht="22.5" customHeight="1">
      <c r="B3121" s="7"/>
      <c r="C3121" s="7"/>
      <c r="D3121" s="7"/>
      <c r="E3121" s="7"/>
      <c r="F3121" s="7"/>
      <c r="G3121" s="7"/>
      <c r="H3121" s="7">
        <f t="shared" si="1"/>
        <v>1029</v>
      </c>
    </row>
    <row r="3122" ht="22.5" customHeight="1">
      <c r="B3122" s="7"/>
      <c r="C3122" s="7"/>
      <c r="D3122" s="7"/>
      <c r="E3122" s="7"/>
      <c r="F3122" s="7"/>
      <c r="G3122" s="7"/>
      <c r="H3122" s="7">
        <f t="shared" si="1"/>
        <v>1029</v>
      </c>
    </row>
    <row r="3123" ht="22.5" customHeight="1">
      <c r="B3123" s="7"/>
      <c r="C3123" s="7"/>
      <c r="D3123" s="7"/>
      <c r="E3123" s="7"/>
      <c r="F3123" s="7"/>
      <c r="G3123" s="7"/>
      <c r="H3123" s="7">
        <f t="shared" si="1"/>
        <v>1029</v>
      </c>
    </row>
    <row r="3124" ht="22.5" customHeight="1">
      <c r="B3124" s="7"/>
      <c r="C3124" s="7"/>
      <c r="D3124" s="7"/>
      <c r="E3124" s="7"/>
      <c r="F3124" s="7"/>
      <c r="G3124" s="7"/>
      <c r="H3124" s="7">
        <f t="shared" si="1"/>
        <v>1029</v>
      </c>
    </row>
    <row r="3125" ht="22.5" customHeight="1">
      <c r="B3125" s="7"/>
      <c r="C3125" s="7"/>
      <c r="D3125" s="7"/>
      <c r="E3125" s="7"/>
      <c r="F3125" s="7"/>
      <c r="G3125" s="7"/>
      <c r="H3125" s="7">
        <f t="shared" si="1"/>
        <v>1029</v>
      </c>
    </row>
    <row r="3126" ht="22.5" customHeight="1">
      <c r="B3126" s="7"/>
      <c r="C3126" s="7"/>
      <c r="D3126" s="7"/>
      <c r="E3126" s="7"/>
      <c r="F3126" s="7"/>
      <c r="G3126" s="7"/>
      <c r="H3126" s="7">
        <f t="shared" si="1"/>
        <v>1029</v>
      </c>
    </row>
    <row r="3127" ht="22.5" customHeight="1">
      <c r="B3127" s="7"/>
      <c r="C3127" s="7"/>
      <c r="D3127" s="7"/>
      <c r="E3127" s="7"/>
      <c r="F3127" s="7"/>
      <c r="G3127" s="7"/>
      <c r="H3127" s="7">
        <f t="shared" si="1"/>
        <v>1029</v>
      </c>
    </row>
    <row r="3128" ht="22.5" customHeight="1">
      <c r="B3128" s="7"/>
      <c r="C3128" s="7"/>
      <c r="D3128" s="7"/>
      <c r="E3128" s="7"/>
      <c r="F3128" s="7"/>
      <c r="G3128" s="7"/>
      <c r="H3128" s="7">
        <f t="shared" si="1"/>
        <v>1029</v>
      </c>
    </row>
    <row r="3129" ht="22.5" customHeight="1">
      <c r="B3129" s="7"/>
      <c r="C3129" s="7"/>
      <c r="D3129" s="7"/>
      <c r="E3129" s="7"/>
      <c r="F3129" s="7"/>
      <c r="G3129" s="7"/>
      <c r="H3129" s="7">
        <f t="shared" si="1"/>
        <v>1029</v>
      </c>
    </row>
    <row r="3130" ht="22.5" customHeight="1">
      <c r="B3130" s="7"/>
      <c r="C3130" s="7"/>
      <c r="D3130" s="7"/>
      <c r="E3130" s="7"/>
      <c r="F3130" s="7"/>
      <c r="G3130" s="7"/>
      <c r="H3130" s="7">
        <f t="shared" si="1"/>
        <v>1029</v>
      </c>
    </row>
    <row r="3131" ht="22.5" customHeight="1">
      <c r="B3131" s="7"/>
      <c r="C3131" s="7"/>
      <c r="D3131" s="7"/>
      <c r="E3131" s="7"/>
      <c r="F3131" s="7"/>
      <c r="G3131" s="7"/>
      <c r="H3131" s="7">
        <f t="shared" si="1"/>
        <v>1029</v>
      </c>
    </row>
    <row r="3132" ht="22.5" customHeight="1">
      <c r="B3132" s="7"/>
      <c r="C3132" s="7"/>
      <c r="D3132" s="7"/>
      <c r="E3132" s="7"/>
      <c r="F3132" s="7"/>
      <c r="G3132" s="7"/>
      <c r="H3132" s="7">
        <f t="shared" si="1"/>
        <v>1029</v>
      </c>
    </row>
    <row r="3133" ht="22.5" customHeight="1">
      <c r="B3133" s="7"/>
      <c r="C3133" s="7"/>
      <c r="D3133" s="7"/>
      <c r="E3133" s="7"/>
      <c r="F3133" s="7"/>
      <c r="G3133" s="7"/>
      <c r="H3133" s="7">
        <f t="shared" si="1"/>
        <v>1029</v>
      </c>
    </row>
    <row r="3134" ht="22.5" customHeight="1">
      <c r="B3134" s="7"/>
      <c r="C3134" s="7"/>
      <c r="D3134" s="7"/>
      <c r="E3134" s="7"/>
      <c r="F3134" s="7"/>
      <c r="G3134" s="7"/>
      <c r="H3134" s="7">
        <f t="shared" si="1"/>
        <v>1029</v>
      </c>
    </row>
    <row r="3135" ht="22.5" customHeight="1">
      <c r="B3135" s="7"/>
      <c r="C3135" s="7"/>
      <c r="D3135" s="7"/>
      <c r="E3135" s="7"/>
      <c r="F3135" s="7"/>
      <c r="G3135" s="7"/>
      <c r="H3135" s="7">
        <f t="shared" si="1"/>
        <v>1029</v>
      </c>
    </row>
    <row r="3136" ht="22.5" customHeight="1">
      <c r="B3136" s="7"/>
      <c r="C3136" s="7"/>
      <c r="D3136" s="7"/>
      <c r="E3136" s="7"/>
      <c r="F3136" s="7"/>
      <c r="G3136" s="7"/>
      <c r="H3136" s="7">
        <f t="shared" si="1"/>
        <v>1029</v>
      </c>
    </row>
    <row r="3137" ht="22.5" customHeight="1">
      <c r="B3137" s="7"/>
      <c r="C3137" s="7"/>
      <c r="D3137" s="7"/>
      <c r="E3137" s="7"/>
      <c r="F3137" s="7"/>
      <c r="G3137" s="7"/>
      <c r="H3137" s="7">
        <f t="shared" si="1"/>
        <v>1029</v>
      </c>
    </row>
    <row r="3138" ht="22.5" customHeight="1">
      <c r="B3138" s="7"/>
      <c r="C3138" s="7"/>
      <c r="D3138" s="7"/>
      <c r="E3138" s="7"/>
      <c r="F3138" s="7"/>
      <c r="G3138" s="7"/>
      <c r="H3138" s="7">
        <f t="shared" si="1"/>
        <v>1029</v>
      </c>
    </row>
    <row r="3139" ht="22.5" customHeight="1">
      <c r="B3139" s="7"/>
      <c r="C3139" s="7"/>
      <c r="D3139" s="7"/>
      <c r="E3139" s="7"/>
      <c r="F3139" s="7"/>
      <c r="G3139" s="7"/>
      <c r="H3139" s="7">
        <f t="shared" si="1"/>
        <v>1029</v>
      </c>
    </row>
    <row r="3140" ht="22.5" customHeight="1">
      <c r="B3140" s="7"/>
      <c r="C3140" s="7"/>
      <c r="D3140" s="7"/>
      <c r="E3140" s="7"/>
      <c r="F3140" s="7"/>
      <c r="G3140" s="7"/>
      <c r="H3140" s="7">
        <f t="shared" si="1"/>
        <v>1029</v>
      </c>
    </row>
    <row r="3141" ht="22.5" customHeight="1">
      <c r="B3141" s="7"/>
      <c r="C3141" s="7"/>
      <c r="D3141" s="7"/>
      <c r="E3141" s="7"/>
      <c r="F3141" s="7"/>
      <c r="G3141" s="7"/>
      <c r="H3141" s="7">
        <f t="shared" si="1"/>
        <v>1029</v>
      </c>
    </row>
    <row r="3142" ht="22.5" customHeight="1">
      <c r="B3142" s="7"/>
      <c r="C3142" s="7"/>
      <c r="D3142" s="7"/>
      <c r="E3142" s="7"/>
      <c r="F3142" s="7"/>
      <c r="G3142" s="7"/>
      <c r="H3142" s="7">
        <f t="shared" si="1"/>
        <v>1029</v>
      </c>
    </row>
    <row r="3143" ht="22.5" customHeight="1">
      <c r="B3143" s="7"/>
      <c r="C3143" s="7"/>
      <c r="D3143" s="7"/>
      <c r="E3143" s="7"/>
      <c r="F3143" s="7"/>
      <c r="G3143" s="7"/>
      <c r="H3143" s="7">
        <f t="shared" si="1"/>
        <v>1029</v>
      </c>
    </row>
    <row r="3144" ht="22.5" customHeight="1">
      <c r="B3144" s="7"/>
      <c r="C3144" s="7"/>
      <c r="D3144" s="7"/>
      <c r="E3144" s="7"/>
      <c r="F3144" s="7"/>
      <c r="G3144" s="7"/>
      <c r="H3144" s="7">
        <f t="shared" si="1"/>
        <v>1029</v>
      </c>
    </row>
    <row r="3145" ht="22.5" customHeight="1">
      <c r="B3145" s="7"/>
      <c r="C3145" s="7"/>
      <c r="D3145" s="7"/>
      <c r="E3145" s="7"/>
      <c r="F3145" s="7"/>
      <c r="G3145" s="7"/>
      <c r="H3145" s="7">
        <f t="shared" si="1"/>
        <v>1029</v>
      </c>
    </row>
    <row r="3146" ht="22.5" customHeight="1">
      <c r="B3146" s="7"/>
      <c r="C3146" s="7"/>
      <c r="D3146" s="7"/>
      <c r="E3146" s="7"/>
      <c r="F3146" s="7"/>
      <c r="G3146" s="7"/>
      <c r="H3146" s="7">
        <f t="shared" si="1"/>
        <v>1029</v>
      </c>
    </row>
    <row r="3147" ht="22.5" customHeight="1">
      <c r="B3147" s="7"/>
      <c r="C3147" s="7"/>
      <c r="D3147" s="7"/>
      <c r="E3147" s="7"/>
      <c r="F3147" s="7"/>
      <c r="G3147" s="7"/>
      <c r="H3147" s="7">
        <f t="shared" si="1"/>
        <v>1029</v>
      </c>
    </row>
    <row r="3148" ht="22.5" customHeight="1">
      <c r="B3148" s="7"/>
      <c r="C3148" s="7"/>
      <c r="D3148" s="7"/>
      <c r="E3148" s="7"/>
      <c r="F3148" s="7"/>
      <c r="G3148" s="7"/>
      <c r="H3148" s="7">
        <f t="shared" si="1"/>
        <v>1029</v>
      </c>
    </row>
    <row r="3149" ht="22.5" customHeight="1">
      <c r="B3149" s="7"/>
      <c r="C3149" s="7"/>
      <c r="D3149" s="7"/>
      <c r="E3149" s="7"/>
      <c r="F3149" s="7"/>
      <c r="G3149" s="7"/>
      <c r="H3149" s="7">
        <f t="shared" si="1"/>
        <v>1029</v>
      </c>
    </row>
    <row r="3150" ht="22.5" customHeight="1">
      <c r="B3150" s="7"/>
      <c r="C3150" s="7"/>
      <c r="D3150" s="7"/>
      <c r="E3150" s="7"/>
      <c r="F3150" s="7"/>
      <c r="G3150" s="7"/>
      <c r="H3150" s="7">
        <f t="shared" si="1"/>
        <v>1029</v>
      </c>
    </row>
    <row r="3151" ht="22.5" customHeight="1">
      <c r="B3151" s="7"/>
      <c r="C3151" s="7"/>
      <c r="D3151" s="7"/>
      <c r="E3151" s="7"/>
      <c r="F3151" s="7"/>
      <c r="G3151" s="7"/>
      <c r="H3151" s="7">
        <f t="shared" si="1"/>
        <v>1029</v>
      </c>
    </row>
    <row r="3152" ht="22.5" customHeight="1">
      <c r="B3152" s="7"/>
      <c r="C3152" s="7"/>
      <c r="D3152" s="7"/>
      <c r="E3152" s="7"/>
      <c r="F3152" s="7"/>
      <c r="G3152" s="7"/>
      <c r="H3152" s="7">
        <f t="shared" si="1"/>
        <v>1029</v>
      </c>
    </row>
    <row r="3153" ht="22.5" customHeight="1">
      <c r="B3153" s="7"/>
      <c r="C3153" s="7"/>
      <c r="D3153" s="7"/>
      <c r="E3153" s="7"/>
      <c r="F3153" s="7"/>
      <c r="G3153" s="7"/>
      <c r="H3153" s="7">
        <f t="shared" si="1"/>
        <v>1029</v>
      </c>
    </row>
    <row r="3154" ht="22.5" customHeight="1">
      <c r="B3154" s="7"/>
      <c r="C3154" s="7"/>
      <c r="D3154" s="7"/>
      <c r="E3154" s="7"/>
      <c r="F3154" s="7"/>
      <c r="G3154" s="7"/>
      <c r="H3154" s="7">
        <f t="shared" si="1"/>
        <v>1029</v>
      </c>
    </row>
    <row r="3155" ht="22.5" customHeight="1">
      <c r="B3155" s="7"/>
      <c r="C3155" s="7"/>
      <c r="D3155" s="7"/>
      <c r="E3155" s="7"/>
      <c r="F3155" s="7"/>
      <c r="G3155" s="7"/>
      <c r="H3155" s="7">
        <f t="shared" si="1"/>
        <v>1029</v>
      </c>
    </row>
    <row r="3156" ht="22.5" customHeight="1">
      <c r="B3156" s="7"/>
      <c r="C3156" s="7"/>
      <c r="D3156" s="7"/>
      <c r="E3156" s="7"/>
      <c r="F3156" s="7"/>
      <c r="G3156" s="7"/>
      <c r="H3156" s="7">
        <f t="shared" si="1"/>
        <v>1029</v>
      </c>
    </row>
    <row r="3157" ht="22.5" customHeight="1">
      <c r="B3157" s="7"/>
      <c r="C3157" s="7"/>
      <c r="D3157" s="7"/>
      <c r="E3157" s="7"/>
      <c r="F3157" s="7"/>
      <c r="G3157" s="7"/>
      <c r="H3157" s="7">
        <f t="shared" si="1"/>
        <v>1029</v>
      </c>
    </row>
    <row r="3158" ht="22.5" customHeight="1">
      <c r="B3158" s="7"/>
      <c r="C3158" s="7"/>
      <c r="D3158" s="7"/>
      <c r="E3158" s="7"/>
      <c r="F3158" s="7"/>
      <c r="G3158" s="7"/>
      <c r="H3158" s="7">
        <f t="shared" si="1"/>
        <v>1029</v>
      </c>
    </row>
    <row r="3159" ht="22.5" customHeight="1">
      <c r="B3159" s="7"/>
      <c r="C3159" s="7"/>
      <c r="D3159" s="7"/>
      <c r="E3159" s="7"/>
      <c r="F3159" s="7"/>
      <c r="G3159" s="7"/>
      <c r="H3159" s="7">
        <f t="shared" si="1"/>
        <v>1029</v>
      </c>
    </row>
    <row r="3160" ht="22.5" customHeight="1">
      <c r="B3160" s="7"/>
      <c r="C3160" s="7"/>
      <c r="D3160" s="7"/>
      <c r="E3160" s="7"/>
      <c r="F3160" s="7"/>
      <c r="G3160" s="7"/>
      <c r="H3160" s="7">
        <f t="shared" si="1"/>
        <v>1029</v>
      </c>
    </row>
    <row r="3161" ht="22.5" customHeight="1">
      <c r="B3161" s="7"/>
      <c r="C3161" s="7"/>
      <c r="D3161" s="7"/>
      <c r="E3161" s="7"/>
      <c r="F3161" s="7"/>
      <c r="G3161" s="7"/>
      <c r="H3161" s="7">
        <f t="shared" si="1"/>
        <v>1029</v>
      </c>
    </row>
    <row r="3162" ht="22.5" customHeight="1">
      <c r="B3162" s="7"/>
      <c r="C3162" s="7"/>
      <c r="D3162" s="7"/>
      <c r="E3162" s="7"/>
      <c r="F3162" s="7"/>
      <c r="G3162" s="7"/>
      <c r="H3162" s="7">
        <f t="shared" si="1"/>
        <v>1029</v>
      </c>
    </row>
    <row r="3163" ht="22.5" customHeight="1">
      <c r="B3163" s="7"/>
      <c r="C3163" s="7"/>
      <c r="D3163" s="7"/>
      <c r="E3163" s="7"/>
      <c r="F3163" s="7"/>
      <c r="G3163" s="7"/>
      <c r="H3163" s="7">
        <f t="shared" si="1"/>
        <v>1029</v>
      </c>
    </row>
    <row r="3164" ht="22.5" customHeight="1">
      <c r="B3164" s="7"/>
      <c r="C3164" s="7"/>
      <c r="D3164" s="7"/>
      <c r="E3164" s="7"/>
      <c r="F3164" s="7"/>
      <c r="G3164" s="7"/>
      <c r="H3164" s="7">
        <f t="shared" si="1"/>
        <v>1029</v>
      </c>
    </row>
    <row r="3165" ht="22.5" customHeight="1">
      <c r="B3165" s="7"/>
      <c r="C3165" s="7"/>
      <c r="D3165" s="7"/>
      <c r="E3165" s="7"/>
      <c r="F3165" s="7"/>
      <c r="G3165" s="7"/>
      <c r="H3165" s="7">
        <f t="shared" si="1"/>
        <v>1029</v>
      </c>
    </row>
    <row r="3166" ht="22.5" customHeight="1">
      <c r="B3166" s="7"/>
      <c r="C3166" s="7"/>
      <c r="D3166" s="7"/>
      <c r="E3166" s="7"/>
      <c r="F3166" s="7"/>
      <c r="G3166" s="7"/>
      <c r="H3166" s="7">
        <f t="shared" si="1"/>
        <v>1029</v>
      </c>
    </row>
    <row r="3167" ht="22.5" customHeight="1">
      <c r="B3167" s="7"/>
      <c r="C3167" s="7"/>
      <c r="D3167" s="7"/>
      <c r="E3167" s="7"/>
      <c r="F3167" s="7"/>
      <c r="G3167" s="7"/>
      <c r="H3167" s="7">
        <f t="shared" si="1"/>
        <v>1029</v>
      </c>
    </row>
    <row r="3168" ht="22.5" customHeight="1">
      <c r="B3168" s="7"/>
      <c r="C3168" s="7"/>
      <c r="D3168" s="7"/>
      <c r="E3168" s="7"/>
      <c r="F3168" s="7"/>
      <c r="G3168" s="7"/>
      <c r="H3168" s="7">
        <f t="shared" si="1"/>
        <v>1029</v>
      </c>
    </row>
    <row r="3169" ht="22.5" customHeight="1">
      <c r="B3169" s="7"/>
      <c r="C3169" s="7"/>
      <c r="D3169" s="7"/>
      <c r="E3169" s="7"/>
      <c r="F3169" s="7"/>
      <c r="G3169" s="7"/>
      <c r="H3169" s="7">
        <f t="shared" si="1"/>
        <v>1029</v>
      </c>
    </row>
    <row r="3170" ht="22.5" customHeight="1">
      <c r="B3170" s="7"/>
      <c r="C3170" s="7"/>
      <c r="D3170" s="7"/>
      <c r="E3170" s="7"/>
      <c r="F3170" s="7"/>
      <c r="G3170" s="7"/>
      <c r="H3170" s="7">
        <f t="shared" si="1"/>
        <v>1029</v>
      </c>
    </row>
    <row r="3171" ht="22.5" customHeight="1">
      <c r="B3171" s="7"/>
      <c r="C3171" s="7"/>
      <c r="D3171" s="7"/>
      <c r="E3171" s="7"/>
      <c r="F3171" s="7"/>
      <c r="G3171" s="7"/>
      <c r="H3171" s="7">
        <f t="shared" si="1"/>
        <v>1029</v>
      </c>
    </row>
    <row r="3172" ht="22.5" customHeight="1">
      <c r="B3172" s="7"/>
      <c r="C3172" s="7"/>
      <c r="D3172" s="7"/>
      <c r="E3172" s="7"/>
      <c r="F3172" s="7"/>
      <c r="G3172" s="7"/>
      <c r="H3172" s="7">
        <f t="shared" si="1"/>
        <v>1029</v>
      </c>
    </row>
    <row r="3173" ht="22.5" customHeight="1">
      <c r="B3173" s="7"/>
      <c r="C3173" s="7"/>
      <c r="D3173" s="7"/>
      <c r="E3173" s="7"/>
      <c r="F3173" s="7"/>
      <c r="G3173" s="7"/>
      <c r="H3173" s="7">
        <f t="shared" si="1"/>
        <v>1029</v>
      </c>
    </row>
    <row r="3174" ht="22.5" customHeight="1">
      <c r="B3174" s="7"/>
      <c r="C3174" s="7"/>
      <c r="D3174" s="7"/>
      <c r="E3174" s="7"/>
      <c r="F3174" s="7"/>
      <c r="G3174" s="7"/>
      <c r="H3174" s="7">
        <f t="shared" si="1"/>
        <v>1029</v>
      </c>
    </row>
    <row r="3175" ht="22.5" customHeight="1">
      <c r="B3175" s="7"/>
      <c r="C3175" s="7"/>
      <c r="D3175" s="7"/>
      <c r="E3175" s="7"/>
      <c r="F3175" s="7"/>
      <c r="G3175" s="7"/>
      <c r="H3175" s="7">
        <f t="shared" si="1"/>
        <v>1029</v>
      </c>
    </row>
    <row r="3176" ht="22.5" customHeight="1">
      <c r="B3176" s="7"/>
      <c r="C3176" s="7"/>
      <c r="D3176" s="7"/>
      <c r="E3176" s="7"/>
      <c r="F3176" s="7"/>
      <c r="G3176" s="7"/>
      <c r="H3176" s="7">
        <f t="shared" si="1"/>
        <v>1029</v>
      </c>
    </row>
    <row r="3177" ht="22.5" customHeight="1">
      <c r="B3177" s="7"/>
      <c r="C3177" s="7"/>
      <c r="D3177" s="7"/>
      <c r="E3177" s="7"/>
      <c r="F3177" s="7"/>
      <c r="G3177" s="7"/>
      <c r="H3177" s="7">
        <f t="shared" si="1"/>
        <v>1029</v>
      </c>
    </row>
    <row r="3178" ht="22.5" customHeight="1">
      <c r="B3178" s="7"/>
      <c r="C3178" s="7"/>
      <c r="D3178" s="7"/>
      <c r="E3178" s="7"/>
      <c r="F3178" s="7"/>
      <c r="G3178" s="7"/>
      <c r="H3178" s="7">
        <f t="shared" si="1"/>
        <v>1029</v>
      </c>
    </row>
    <row r="3179" ht="22.5" customHeight="1">
      <c r="B3179" s="7"/>
      <c r="C3179" s="7"/>
      <c r="D3179" s="7"/>
      <c r="E3179" s="7"/>
      <c r="F3179" s="7"/>
      <c r="G3179" s="7"/>
      <c r="H3179" s="7">
        <f t="shared" si="1"/>
        <v>1029</v>
      </c>
    </row>
    <row r="3180" ht="22.5" customHeight="1">
      <c r="B3180" s="7"/>
      <c r="C3180" s="7"/>
      <c r="D3180" s="7"/>
      <c r="E3180" s="7"/>
      <c r="F3180" s="7"/>
      <c r="G3180" s="7"/>
      <c r="H3180" s="7">
        <f t="shared" si="1"/>
        <v>1029</v>
      </c>
    </row>
    <row r="3181" ht="22.5" customHeight="1">
      <c r="B3181" s="7"/>
      <c r="C3181" s="7"/>
      <c r="D3181" s="7"/>
      <c r="E3181" s="7"/>
      <c r="F3181" s="7"/>
      <c r="G3181" s="7"/>
      <c r="H3181" s="7">
        <f t="shared" si="1"/>
        <v>1029</v>
      </c>
    </row>
    <row r="3182" ht="22.5" customHeight="1">
      <c r="B3182" s="7"/>
      <c r="C3182" s="7"/>
      <c r="D3182" s="7"/>
      <c r="E3182" s="7"/>
      <c r="F3182" s="7"/>
      <c r="G3182" s="7"/>
      <c r="H3182" s="7">
        <f t="shared" si="1"/>
        <v>1029</v>
      </c>
    </row>
    <row r="3183" ht="22.5" customHeight="1">
      <c r="B3183" s="7"/>
      <c r="C3183" s="7"/>
      <c r="D3183" s="7"/>
      <c r="E3183" s="7"/>
      <c r="F3183" s="7"/>
      <c r="G3183" s="7"/>
      <c r="H3183" s="7">
        <f t="shared" si="1"/>
        <v>1029</v>
      </c>
    </row>
    <row r="3184" ht="22.5" customHeight="1">
      <c r="B3184" s="7"/>
      <c r="C3184" s="7"/>
      <c r="D3184" s="7"/>
      <c r="E3184" s="7"/>
      <c r="F3184" s="7"/>
      <c r="G3184" s="7"/>
      <c r="H3184" s="7">
        <f t="shared" si="1"/>
        <v>1029</v>
      </c>
    </row>
    <row r="3185" ht="22.5" customHeight="1">
      <c r="B3185" s="7"/>
      <c r="C3185" s="7"/>
      <c r="D3185" s="7"/>
      <c r="E3185" s="7"/>
      <c r="F3185" s="7"/>
      <c r="G3185" s="7"/>
      <c r="H3185" s="7">
        <f t="shared" si="1"/>
        <v>1029</v>
      </c>
    </row>
    <row r="3186" ht="22.5" customHeight="1">
      <c r="B3186" s="7"/>
      <c r="C3186" s="7"/>
      <c r="D3186" s="7"/>
      <c r="E3186" s="7"/>
      <c r="F3186" s="7"/>
      <c r="G3186" s="7"/>
      <c r="H3186" s="7">
        <f t="shared" si="1"/>
        <v>1029</v>
      </c>
    </row>
    <row r="3187" ht="22.5" customHeight="1">
      <c r="B3187" s="7"/>
      <c r="C3187" s="7"/>
      <c r="D3187" s="7"/>
      <c r="E3187" s="7"/>
      <c r="F3187" s="7"/>
      <c r="G3187" s="7"/>
      <c r="H3187" s="7">
        <f t="shared" si="1"/>
        <v>1029</v>
      </c>
    </row>
    <row r="3188" ht="22.5" customHeight="1">
      <c r="B3188" s="7"/>
      <c r="C3188" s="7"/>
      <c r="D3188" s="7"/>
      <c r="E3188" s="7"/>
      <c r="F3188" s="7"/>
      <c r="G3188" s="7"/>
      <c r="H3188" s="7">
        <f t="shared" si="1"/>
        <v>1029</v>
      </c>
    </row>
    <row r="3189" ht="22.5" customHeight="1">
      <c r="B3189" s="7"/>
      <c r="C3189" s="7"/>
      <c r="D3189" s="7"/>
      <c r="E3189" s="7"/>
      <c r="F3189" s="7"/>
      <c r="G3189" s="7"/>
      <c r="H3189" s="7">
        <f t="shared" si="1"/>
        <v>1029</v>
      </c>
    </row>
    <row r="3190" ht="22.5" customHeight="1">
      <c r="B3190" s="7"/>
      <c r="C3190" s="7"/>
      <c r="D3190" s="7"/>
      <c r="E3190" s="7"/>
      <c r="F3190" s="7"/>
      <c r="G3190" s="7"/>
      <c r="H3190" s="7">
        <f t="shared" si="1"/>
        <v>1029</v>
      </c>
    </row>
    <row r="3191" ht="22.5" customHeight="1">
      <c r="B3191" s="7"/>
      <c r="C3191" s="7"/>
      <c r="D3191" s="7"/>
      <c r="E3191" s="7"/>
      <c r="F3191" s="7"/>
      <c r="G3191" s="7"/>
      <c r="H3191" s="7">
        <f t="shared" si="1"/>
        <v>1029</v>
      </c>
    </row>
    <row r="3192" ht="22.5" customHeight="1">
      <c r="B3192" s="7"/>
      <c r="C3192" s="7"/>
      <c r="D3192" s="7"/>
      <c r="E3192" s="7"/>
      <c r="F3192" s="7"/>
      <c r="G3192" s="7"/>
      <c r="H3192" s="7">
        <f t="shared" si="1"/>
        <v>1029</v>
      </c>
    </row>
    <row r="3193" ht="22.5" customHeight="1">
      <c r="B3193" s="7"/>
      <c r="C3193" s="7"/>
      <c r="D3193" s="7"/>
      <c r="E3193" s="7"/>
      <c r="F3193" s="7"/>
      <c r="G3193" s="7"/>
      <c r="H3193" s="7">
        <f t="shared" si="1"/>
        <v>1029</v>
      </c>
    </row>
    <row r="3194" ht="22.5" customHeight="1">
      <c r="B3194" s="7"/>
      <c r="C3194" s="7"/>
      <c r="D3194" s="7"/>
      <c r="E3194" s="7"/>
      <c r="F3194" s="7"/>
      <c r="G3194" s="7"/>
      <c r="H3194" s="7">
        <f t="shared" si="1"/>
        <v>1029</v>
      </c>
    </row>
    <row r="3195" ht="22.5" customHeight="1">
      <c r="B3195" s="7"/>
      <c r="C3195" s="7"/>
      <c r="D3195" s="7"/>
      <c r="E3195" s="7"/>
      <c r="F3195" s="7"/>
      <c r="G3195" s="7"/>
      <c r="H3195" s="7">
        <f t="shared" si="1"/>
        <v>1029</v>
      </c>
    </row>
    <row r="3196" ht="22.5" customHeight="1">
      <c r="B3196" s="7"/>
      <c r="C3196" s="7"/>
      <c r="D3196" s="7"/>
      <c r="E3196" s="7"/>
      <c r="F3196" s="7"/>
      <c r="G3196" s="7"/>
      <c r="H3196" s="7">
        <f t="shared" si="1"/>
        <v>1029</v>
      </c>
    </row>
    <row r="3197" ht="22.5" customHeight="1">
      <c r="B3197" s="7"/>
      <c r="C3197" s="7"/>
      <c r="D3197" s="7"/>
      <c r="E3197" s="7"/>
      <c r="F3197" s="7"/>
      <c r="G3197" s="7"/>
      <c r="H3197" s="7">
        <f t="shared" si="1"/>
        <v>1029</v>
      </c>
    </row>
    <row r="3198" ht="22.5" customHeight="1">
      <c r="B3198" s="7"/>
      <c r="C3198" s="7"/>
      <c r="D3198" s="7"/>
      <c r="E3198" s="7"/>
      <c r="F3198" s="7"/>
      <c r="G3198" s="7"/>
      <c r="H3198" s="7">
        <f t="shared" si="1"/>
        <v>1029</v>
      </c>
    </row>
    <row r="3199" ht="22.5" customHeight="1">
      <c r="B3199" s="7"/>
      <c r="C3199" s="7"/>
      <c r="D3199" s="7"/>
      <c r="E3199" s="7"/>
      <c r="F3199" s="7"/>
      <c r="G3199" s="7"/>
      <c r="H3199" s="7">
        <f t="shared" si="1"/>
        <v>1029</v>
      </c>
    </row>
    <row r="3200" ht="22.5" customHeight="1">
      <c r="B3200" s="7"/>
      <c r="C3200" s="7"/>
      <c r="D3200" s="7"/>
      <c r="E3200" s="7"/>
      <c r="F3200" s="7"/>
      <c r="G3200" s="7"/>
      <c r="H3200" s="7">
        <f t="shared" si="1"/>
        <v>1029</v>
      </c>
    </row>
    <row r="3201" ht="22.5" customHeight="1">
      <c r="B3201" s="7"/>
      <c r="C3201" s="7"/>
      <c r="D3201" s="7"/>
      <c r="E3201" s="7"/>
      <c r="F3201" s="7"/>
      <c r="G3201" s="7"/>
      <c r="H3201" s="7">
        <f t="shared" si="1"/>
        <v>1029</v>
      </c>
    </row>
    <row r="3202" ht="22.5" customHeight="1">
      <c r="B3202" s="7"/>
      <c r="C3202" s="7"/>
      <c r="D3202" s="7"/>
      <c r="E3202" s="7"/>
      <c r="F3202" s="7"/>
      <c r="G3202" s="7"/>
      <c r="H3202" s="7">
        <f t="shared" si="1"/>
        <v>1029</v>
      </c>
    </row>
    <row r="3203" ht="22.5" customHeight="1">
      <c r="B3203" s="7"/>
      <c r="C3203" s="7"/>
      <c r="D3203" s="7"/>
      <c r="E3203" s="7"/>
      <c r="F3203" s="7"/>
      <c r="G3203" s="7"/>
      <c r="H3203" s="7">
        <f t="shared" si="1"/>
        <v>1029</v>
      </c>
    </row>
    <row r="3204" ht="22.5" customHeight="1">
      <c r="B3204" s="7"/>
      <c r="C3204" s="7"/>
      <c r="D3204" s="7"/>
      <c r="E3204" s="7"/>
      <c r="F3204" s="7"/>
      <c r="G3204" s="7"/>
      <c r="H3204" s="7">
        <f t="shared" si="1"/>
        <v>1029</v>
      </c>
    </row>
    <row r="3205" ht="22.5" customHeight="1">
      <c r="B3205" s="7"/>
      <c r="C3205" s="7"/>
      <c r="D3205" s="7"/>
      <c r="E3205" s="7"/>
      <c r="F3205" s="7"/>
      <c r="G3205" s="7"/>
      <c r="H3205" s="7">
        <f t="shared" si="1"/>
        <v>1029</v>
      </c>
    </row>
    <row r="3206" ht="22.5" customHeight="1">
      <c r="B3206" s="7"/>
      <c r="C3206" s="7"/>
      <c r="D3206" s="7"/>
      <c r="E3206" s="7"/>
      <c r="F3206" s="7"/>
      <c r="G3206" s="7"/>
      <c r="H3206" s="7">
        <f t="shared" si="1"/>
        <v>1029</v>
      </c>
    </row>
    <row r="3207" ht="22.5" customHeight="1">
      <c r="B3207" s="7"/>
      <c r="C3207" s="7"/>
      <c r="D3207" s="7"/>
      <c r="E3207" s="7"/>
      <c r="F3207" s="7"/>
      <c r="G3207" s="7"/>
      <c r="H3207" s="7">
        <f t="shared" si="1"/>
        <v>1029</v>
      </c>
    </row>
    <row r="3208" ht="22.5" customHeight="1">
      <c r="B3208" s="7"/>
      <c r="C3208" s="7"/>
      <c r="D3208" s="7"/>
      <c r="E3208" s="7"/>
      <c r="F3208" s="7"/>
      <c r="G3208" s="7"/>
      <c r="H3208" s="7">
        <f t="shared" si="1"/>
        <v>1029</v>
      </c>
    </row>
    <row r="3209" ht="22.5" customHeight="1">
      <c r="B3209" s="7"/>
      <c r="C3209" s="7"/>
      <c r="D3209" s="7"/>
      <c r="E3209" s="7"/>
      <c r="F3209" s="7"/>
      <c r="G3209" s="7"/>
      <c r="H3209" s="7">
        <f t="shared" si="1"/>
        <v>1029</v>
      </c>
    </row>
    <row r="3210" ht="22.5" customHeight="1">
      <c r="B3210" s="7"/>
      <c r="C3210" s="7"/>
      <c r="D3210" s="7"/>
      <c r="E3210" s="7"/>
      <c r="F3210" s="7"/>
      <c r="G3210" s="7"/>
      <c r="H3210" s="7">
        <f t="shared" si="1"/>
        <v>1029</v>
      </c>
    </row>
    <row r="3211" ht="22.5" customHeight="1">
      <c r="B3211" s="7"/>
      <c r="C3211" s="7"/>
      <c r="D3211" s="7"/>
      <c r="E3211" s="7"/>
      <c r="F3211" s="7"/>
      <c r="G3211" s="7"/>
      <c r="H3211" s="7">
        <f t="shared" si="1"/>
        <v>1029</v>
      </c>
    </row>
    <row r="3212" ht="22.5" customHeight="1">
      <c r="B3212" s="7"/>
      <c r="C3212" s="7"/>
      <c r="D3212" s="7"/>
      <c r="E3212" s="7"/>
      <c r="F3212" s="7"/>
      <c r="G3212" s="7"/>
      <c r="H3212" s="7">
        <f t="shared" si="1"/>
        <v>1029</v>
      </c>
    </row>
    <row r="3213" ht="22.5" customHeight="1">
      <c r="B3213" s="7"/>
      <c r="C3213" s="7"/>
      <c r="D3213" s="7"/>
      <c r="E3213" s="7"/>
      <c r="F3213" s="7"/>
      <c r="G3213" s="7"/>
      <c r="H3213" s="7">
        <f t="shared" si="1"/>
        <v>1029</v>
      </c>
    </row>
    <row r="3214" ht="22.5" customHeight="1">
      <c r="B3214" s="7"/>
      <c r="C3214" s="7"/>
      <c r="D3214" s="7"/>
      <c r="E3214" s="7"/>
      <c r="F3214" s="7"/>
      <c r="G3214" s="7"/>
      <c r="H3214" s="7">
        <f t="shared" si="1"/>
        <v>1029</v>
      </c>
    </row>
    <row r="3215" ht="22.5" customHeight="1">
      <c r="B3215" s="7"/>
      <c r="C3215" s="7"/>
      <c r="D3215" s="7"/>
      <c r="E3215" s="7"/>
      <c r="F3215" s="7"/>
      <c r="G3215" s="7"/>
      <c r="H3215" s="7">
        <f t="shared" si="1"/>
        <v>1029</v>
      </c>
    </row>
    <row r="3216" ht="22.5" customHeight="1">
      <c r="B3216" s="7"/>
      <c r="C3216" s="7"/>
      <c r="D3216" s="7"/>
      <c r="E3216" s="7"/>
      <c r="F3216" s="7"/>
      <c r="G3216" s="7"/>
      <c r="H3216" s="7">
        <f t="shared" si="1"/>
        <v>1029</v>
      </c>
    </row>
    <row r="3217" ht="22.5" customHeight="1">
      <c r="B3217" s="7"/>
      <c r="C3217" s="7"/>
      <c r="D3217" s="7"/>
      <c r="E3217" s="7"/>
      <c r="F3217" s="7"/>
      <c r="G3217" s="7"/>
      <c r="H3217" s="7">
        <f t="shared" si="1"/>
        <v>1029</v>
      </c>
    </row>
    <row r="3218" ht="22.5" customHeight="1">
      <c r="B3218" s="7"/>
      <c r="C3218" s="7"/>
      <c r="D3218" s="7"/>
      <c r="E3218" s="7"/>
      <c r="F3218" s="7"/>
      <c r="G3218" s="7"/>
      <c r="H3218" s="7">
        <f t="shared" si="1"/>
        <v>1029</v>
      </c>
    </row>
    <row r="3219" ht="22.5" customHeight="1">
      <c r="B3219" s="7"/>
      <c r="C3219" s="7"/>
      <c r="D3219" s="7"/>
      <c r="E3219" s="7"/>
      <c r="F3219" s="7"/>
      <c r="G3219" s="7"/>
      <c r="H3219" s="7">
        <f t="shared" si="1"/>
        <v>1029</v>
      </c>
    </row>
    <row r="3220" ht="22.5" customHeight="1">
      <c r="B3220" s="7"/>
      <c r="C3220" s="7"/>
      <c r="D3220" s="7"/>
      <c r="E3220" s="7"/>
      <c r="F3220" s="7"/>
      <c r="G3220" s="7"/>
      <c r="H3220" s="7">
        <f t="shared" si="1"/>
        <v>1029</v>
      </c>
    </row>
    <row r="3221" ht="22.5" customHeight="1">
      <c r="B3221" s="7"/>
      <c r="C3221" s="7"/>
      <c r="D3221" s="7"/>
      <c r="E3221" s="7"/>
      <c r="F3221" s="7"/>
      <c r="G3221" s="7"/>
      <c r="H3221" s="7">
        <f t="shared" si="1"/>
        <v>1029</v>
      </c>
    </row>
    <row r="3222" ht="22.5" customHeight="1">
      <c r="B3222" s="7"/>
      <c r="C3222" s="7"/>
      <c r="D3222" s="7"/>
      <c r="E3222" s="7"/>
      <c r="F3222" s="7"/>
      <c r="G3222" s="7"/>
      <c r="H3222" s="7">
        <f t="shared" si="1"/>
        <v>1029</v>
      </c>
    </row>
    <row r="3223" ht="22.5" customHeight="1">
      <c r="B3223" s="7"/>
      <c r="C3223" s="7"/>
      <c r="D3223" s="7"/>
      <c r="E3223" s="7"/>
      <c r="F3223" s="7"/>
      <c r="G3223" s="7"/>
      <c r="H3223" s="7">
        <f t="shared" si="1"/>
        <v>1029</v>
      </c>
    </row>
    <row r="3224" ht="22.5" customHeight="1">
      <c r="B3224" s="7"/>
      <c r="C3224" s="7"/>
      <c r="D3224" s="7"/>
      <c r="E3224" s="7"/>
      <c r="F3224" s="7"/>
      <c r="G3224" s="7"/>
      <c r="H3224" s="7">
        <f t="shared" si="1"/>
        <v>1029</v>
      </c>
    </row>
    <row r="3225" ht="22.5" customHeight="1">
      <c r="B3225" s="7"/>
      <c r="C3225" s="7"/>
      <c r="D3225" s="7"/>
      <c r="E3225" s="7"/>
      <c r="F3225" s="7"/>
      <c r="G3225" s="7"/>
      <c r="H3225" s="7">
        <f t="shared" si="1"/>
        <v>1029</v>
      </c>
    </row>
    <row r="3226" ht="22.5" customHeight="1">
      <c r="B3226" s="7"/>
      <c r="C3226" s="7"/>
      <c r="D3226" s="7"/>
      <c r="E3226" s="7"/>
      <c r="F3226" s="7"/>
      <c r="G3226" s="7"/>
      <c r="H3226" s="7">
        <f t="shared" si="1"/>
        <v>1029</v>
      </c>
    </row>
    <row r="3227" ht="22.5" customHeight="1">
      <c r="B3227" s="7"/>
      <c r="C3227" s="7"/>
      <c r="D3227" s="7"/>
      <c r="E3227" s="7"/>
      <c r="F3227" s="7"/>
      <c r="G3227" s="7"/>
      <c r="H3227" s="7">
        <f t="shared" si="1"/>
        <v>1029</v>
      </c>
    </row>
    <row r="3228" ht="22.5" customHeight="1">
      <c r="B3228" s="7"/>
      <c r="C3228" s="7"/>
      <c r="D3228" s="7"/>
      <c r="E3228" s="7"/>
      <c r="F3228" s="7"/>
      <c r="G3228" s="7"/>
      <c r="H3228" s="7">
        <f t="shared" si="1"/>
        <v>1029</v>
      </c>
    </row>
    <row r="3229" ht="22.5" customHeight="1">
      <c r="B3229" s="7"/>
      <c r="C3229" s="7"/>
      <c r="D3229" s="7"/>
      <c r="E3229" s="7"/>
      <c r="F3229" s="7"/>
      <c r="G3229" s="7"/>
      <c r="H3229" s="7">
        <f t="shared" si="1"/>
        <v>1029</v>
      </c>
    </row>
    <row r="3230" ht="22.5" customHeight="1">
      <c r="B3230" s="7"/>
      <c r="C3230" s="7"/>
      <c r="D3230" s="7"/>
      <c r="E3230" s="7"/>
      <c r="F3230" s="7"/>
      <c r="G3230" s="7"/>
      <c r="H3230" s="7">
        <f t="shared" si="1"/>
        <v>1029</v>
      </c>
    </row>
    <row r="3231" ht="22.5" customHeight="1">
      <c r="B3231" s="7"/>
      <c r="C3231" s="7"/>
      <c r="D3231" s="7"/>
      <c r="E3231" s="7"/>
      <c r="F3231" s="7"/>
      <c r="G3231" s="7"/>
      <c r="H3231" s="7">
        <f t="shared" si="1"/>
        <v>1029</v>
      </c>
    </row>
    <row r="3232" ht="22.5" customHeight="1">
      <c r="B3232" s="7"/>
      <c r="C3232" s="7"/>
      <c r="D3232" s="7"/>
      <c r="E3232" s="7"/>
      <c r="F3232" s="7"/>
      <c r="G3232" s="7"/>
      <c r="H3232" s="7">
        <f t="shared" si="1"/>
        <v>1029</v>
      </c>
    </row>
    <row r="3233" ht="22.5" customHeight="1">
      <c r="B3233" s="7"/>
      <c r="C3233" s="7"/>
      <c r="D3233" s="7"/>
      <c r="E3233" s="7"/>
      <c r="F3233" s="7"/>
      <c r="G3233" s="7"/>
      <c r="H3233" s="7">
        <f t="shared" si="1"/>
        <v>1029</v>
      </c>
    </row>
    <row r="3234" ht="22.5" customHeight="1">
      <c r="B3234" s="7"/>
      <c r="C3234" s="7"/>
      <c r="D3234" s="7"/>
      <c r="E3234" s="7"/>
      <c r="F3234" s="7"/>
      <c r="G3234" s="7"/>
      <c r="H3234" s="7">
        <f t="shared" si="1"/>
        <v>1029</v>
      </c>
    </row>
    <row r="3235" ht="22.5" customHeight="1">
      <c r="B3235" s="7"/>
      <c r="C3235" s="7"/>
      <c r="D3235" s="7"/>
      <c r="E3235" s="7"/>
      <c r="F3235" s="7"/>
      <c r="G3235" s="7"/>
      <c r="H3235" s="7">
        <f t="shared" si="1"/>
        <v>1029</v>
      </c>
    </row>
    <row r="3236" ht="22.5" customHeight="1">
      <c r="B3236" s="7"/>
      <c r="C3236" s="7"/>
      <c r="D3236" s="7"/>
      <c r="E3236" s="7"/>
      <c r="F3236" s="7"/>
      <c r="G3236" s="7"/>
      <c r="H3236" s="7">
        <f t="shared" si="1"/>
        <v>1029</v>
      </c>
    </row>
    <row r="3237" ht="22.5" customHeight="1">
      <c r="B3237" s="7"/>
      <c r="C3237" s="7"/>
      <c r="D3237" s="7"/>
      <c r="E3237" s="7"/>
      <c r="F3237" s="7"/>
      <c r="G3237" s="7"/>
      <c r="H3237" s="7">
        <f t="shared" si="1"/>
        <v>1029</v>
      </c>
    </row>
    <row r="3238" ht="22.5" customHeight="1">
      <c r="B3238" s="7"/>
      <c r="C3238" s="7"/>
      <c r="D3238" s="7"/>
      <c r="E3238" s="7"/>
      <c r="F3238" s="7"/>
      <c r="G3238" s="7"/>
      <c r="H3238" s="7">
        <f t="shared" si="1"/>
        <v>1029</v>
      </c>
    </row>
    <row r="3239" ht="22.5" customHeight="1">
      <c r="B3239" s="7"/>
      <c r="C3239" s="7"/>
      <c r="D3239" s="7"/>
      <c r="E3239" s="7"/>
      <c r="F3239" s="7"/>
      <c r="G3239" s="7"/>
      <c r="H3239" s="7">
        <f t="shared" si="1"/>
        <v>1029</v>
      </c>
    </row>
    <row r="3240" ht="22.5" customHeight="1">
      <c r="B3240" s="7"/>
      <c r="C3240" s="7"/>
      <c r="D3240" s="7"/>
      <c r="E3240" s="7"/>
      <c r="F3240" s="7"/>
      <c r="G3240" s="7"/>
      <c r="H3240" s="7">
        <f t="shared" si="1"/>
        <v>1029</v>
      </c>
    </row>
    <row r="3241" ht="22.5" customHeight="1">
      <c r="B3241" s="7"/>
      <c r="C3241" s="7"/>
      <c r="D3241" s="7"/>
      <c r="E3241" s="7"/>
      <c r="F3241" s="7"/>
      <c r="G3241" s="7"/>
      <c r="H3241" s="7">
        <f t="shared" si="1"/>
        <v>1029</v>
      </c>
    </row>
    <row r="3242" ht="22.5" customHeight="1">
      <c r="B3242" s="7"/>
      <c r="C3242" s="7"/>
      <c r="D3242" s="7"/>
      <c r="E3242" s="7"/>
      <c r="F3242" s="7"/>
      <c r="G3242" s="7"/>
      <c r="H3242" s="7">
        <f t="shared" si="1"/>
        <v>1029</v>
      </c>
    </row>
    <row r="3243" ht="22.5" customHeight="1">
      <c r="B3243" s="7"/>
      <c r="C3243" s="7"/>
      <c r="D3243" s="7"/>
      <c r="E3243" s="7"/>
      <c r="F3243" s="7"/>
      <c r="G3243" s="7"/>
      <c r="H3243" s="7">
        <f t="shared" si="1"/>
        <v>1029</v>
      </c>
    </row>
    <row r="3244" ht="22.5" customHeight="1">
      <c r="B3244" s="7"/>
      <c r="C3244" s="7"/>
      <c r="D3244" s="7"/>
      <c r="E3244" s="7"/>
      <c r="F3244" s="7"/>
      <c r="G3244" s="7"/>
      <c r="H3244" s="7">
        <f t="shared" si="1"/>
        <v>1029</v>
      </c>
    </row>
    <row r="3245" ht="22.5" customHeight="1">
      <c r="B3245" s="7"/>
      <c r="C3245" s="7"/>
      <c r="D3245" s="7"/>
      <c r="E3245" s="7"/>
      <c r="F3245" s="7"/>
      <c r="G3245" s="7"/>
      <c r="H3245" s="7">
        <f t="shared" si="1"/>
        <v>1029</v>
      </c>
    </row>
    <row r="3246" ht="22.5" customHeight="1">
      <c r="B3246" s="7"/>
      <c r="C3246" s="7"/>
      <c r="D3246" s="7"/>
      <c r="E3246" s="7"/>
      <c r="F3246" s="7"/>
      <c r="G3246" s="7"/>
      <c r="H3246" s="7">
        <f t="shared" si="1"/>
        <v>1029</v>
      </c>
    </row>
    <row r="3247" ht="22.5" customHeight="1">
      <c r="B3247" s="7"/>
      <c r="C3247" s="7"/>
      <c r="D3247" s="7"/>
      <c r="E3247" s="7"/>
      <c r="F3247" s="7"/>
      <c r="G3247" s="7"/>
      <c r="H3247" s="7">
        <f t="shared" si="1"/>
        <v>1029</v>
      </c>
    </row>
    <row r="3248" ht="22.5" customHeight="1">
      <c r="B3248" s="7"/>
      <c r="C3248" s="7"/>
      <c r="D3248" s="7"/>
      <c r="E3248" s="7"/>
      <c r="F3248" s="7"/>
      <c r="G3248" s="7"/>
      <c r="H3248" s="7">
        <f t="shared" si="1"/>
        <v>1029</v>
      </c>
    </row>
    <row r="3249" ht="22.5" customHeight="1">
      <c r="B3249" s="7"/>
      <c r="C3249" s="7"/>
      <c r="D3249" s="7"/>
      <c r="E3249" s="7"/>
      <c r="F3249" s="7"/>
      <c r="G3249" s="7"/>
      <c r="H3249" s="7">
        <f t="shared" si="1"/>
        <v>1029</v>
      </c>
    </row>
    <row r="3250" ht="22.5" customHeight="1">
      <c r="B3250" s="7"/>
      <c r="C3250" s="7"/>
      <c r="D3250" s="7"/>
      <c r="E3250" s="7"/>
      <c r="F3250" s="7"/>
      <c r="G3250" s="7"/>
      <c r="H3250" s="7">
        <f t="shared" si="1"/>
        <v>1029</v>
      </c>
    </row>
    <row r="3251" ht="22.5" customHeight="1">
      <c r="B3251" s="7"/>
      <c r="C3251" s="7"/>
      <c r="D3251" s="7"/>
      <c r="E3251" s="7"/>
      <c r="F3251" s="7"/>
      <c r="G3251" s="7"/>
      <c r="H3251" s="7">
        <f t="shared" si="1"/>
        <v>1029</v>
      </c>
    </row>
    <row r="3252" ht="22.5" customHeight="1">
      <c r="B3252" s="7"/>
      <c r="C3252" s="7"/>
      <c r="D3252" s="7"/>
      <c r="E3252" s="7"/>
      <c r="F3252" s="7"/>
      <c r="G3252" s="7"/>
      <c r="H3252" s="7">
        <f t="shared" si="1"/>
        <v>1029</v>
      </c>
    </row>
    <row r="3253" ht="22.5" customHeight="1">
      <c r="B3253" s="7"/>
      <c r="C3253" s="7"/>
      <c r="D3253" s="7"/>
      <c r="E3253" s="7"/>
      <c r="F3253" s="7"/>
      <c r="G3253" s="7"/>
      <c r="H3253" s="7">
        <f t="shared" si="1"/>
        <v>1029</v>
      </c>
    </row>
    <row r="3254" ht="22.5" customHeight="1">
      <c r="B3254" s="7"/>
      <c r="C3254" s="7"/>
      <c r="D3254" s="7"/>
      <c r="E3254" s="7"/>
      <c r="F3254" s="7"/>
      <c r="G3254" s="7"/>
      <c r="H3254" s="7">
        <f t="shared" si="1"/>
        <v>1029</v>
      </c>
    </row>
    <row r="3255" ht="22.5" customHeight="1">
      <c r="B3255" s="7"/>
      <c r="C3255" s="7"/>
      <c r="D3255" s="7"/>
      <c r="E3255" s="7"/>
      <c r="F3255" s="7"/>
      <c r="G3255" s="7"/>
      <c r="H3255" s="7">
        <f t="shared" si="1"/>
        <v>1029</v>
      </c>
    </row>
    <row r="3256" ht="22.5" customHeight="1">
      <c r="B3256" s="7"/>
      <c r="C3256" s="7"/>
      <c r="D3256" s="7"/>
      <c r="E3256" s="7"/>
      <c r="F3256" s="7"/>
      <c r="G3256" s="7"/>
      <c r="H3256" s="7">
        <f t="shared" si="1"/>
        <v>1029</v>
      </c>
    </row>
    <row r="3257" ht="22.5" customHeight="1">
      <c r="B3257" s="7"/>
      <c r="C3257" s="7"/>
      <c r="D3257" s="7"/>
      <c r="E3257" s="7"/>
      <c r="F3257" s="7"/>
      <c r="G3257" s="7"/>
      <c r="H3257" s="7">
        <f t="shared" si="1"/>
        <v>1029</v>
      </c>
    </row>
    <row r="3258" ht="22.5" customHeight="1">
      <c r="B3258" s="7"/>
      <c r="C3258" s="7"/>
      <c r="D3258" s="7"/>
      <c r="E3258" s="7"/>
      <c r="F3258" s="7"/>
      <c r="G3258" s="7"/>
      <c r="H3258" s="7">
        <f t="shared" si="1"/>
        <v>1029</v>
      </c>
    </row>
    <row r="3259" ht="22.5" customHeight="1">
      <c r="B3259" s="7"/>
      <c r="C3259" s="7"/>
      <c r="D3259" s="7"/>
      <c r="E3259" s="7"/>
      <c r="F3259" s="7"/>
      <c r="G3259" s="7"/>
      <c r="H3259" s="7">
        <f t="shared" si="1"/>
        <v>1029</v>
      </c>
    </row>
    <row r="3260" ht="22.5" customHeight="1">
      <c r="B3260" s="7"/>
      <c r="C3260" s="7"/>
      <c r="D3260" s="7"/>
      <c r="E3260" s="7"/>
      <c r="F3260" s="7"/>
      <c r="G3260" s="7"/>
      <c r="H3260" s="7">
        <f t="shared" si="1"/>
        <v>1029</v>
      </c>
    </row>
    <row r="3261" ht="22.5" customHeight="1">
      <c r="B3261" s="7"/>
      <c r="C3261" s="7"/>
      <c r="D3261" s="7"/>
      <c r="E3261" s="7"/>
      <c r="F3261" s="7"/>
      <c r="G3261" s="7"/>
      <c r="H3261" s="7">
        <f t="shared" si="1"/>
        <v>1029</v>
      </c>
    </row>
    <row r="3262" ht="22.5" customHeight="1">
      <c r="B3262" s="7"/>
      <c r="C3262" s="7"/>
      <c r="D3262" s="7"/>
      <c r="E3262" s="7"/>
      <c r="F3262" s="7"/>
      <c r="G3262" s="7"/>
      <c r="H3262" s="7">
        <f t="shared" si="1"/>
        <v>1029</v>
      </c>
    </row>
    <row r="3263" ht="22.5" customHeight="1">
      <c r="B3263" s="7"/>
      <c r="C3263" s="7"/>
      <c r="D3263" s="7"/>
      <c r="E3263" s="7"/>
      <c r="F3263" s="7"/>
      <c r="G3263" s="7"/>
      <c r="H3263" s="7">
        <f t="shared" si="1"/>
        <v>1029</v>
      </c>
    </row>
    <row r="3264" ht="22.5" customHeight="1">
      <c r="B3264" s="7"/>
      <c r="C3264" s="7"/>
      <c r="D3264" s="7"/>
      <c r="E3264" s="7"/>
      <c r="F3264" s="7"/>
      <c r="G3264" s="7"/>
      <c r="H3264" s="7">
        <f t="shared" si="1"/>
        <v>1029</v>
      </c>
    </row>
    <row r="3265" ht="22.5" customHeight="1">
      <c r="B3265" s="7"/>
      <c r="C3265" s="7"/>
      <c r="D3265" s="7"/>
      <c r="E3265" s="7"/>
      <c r="F3265" s="7"/>
      <c r="G3265" s="7"/>
      <c r="H3265" s="7">
        <f t="shared" si="1"/>
        <v>1029</v>
      </c>
    </row>
    <row r="3266" ht="22.5" customHeight="1">
      <c r="B3266" s="7"/>
      <c r="C3266" s="7"/>
      <c r="D3266" s="7"/>
      <c r="E3266" s="7"/>
      <c r="F3266" s="7"/>
      <c r="G3266" s="7"/>
      <c r="H3266" s="7">
        <f t="shared" si="1"/>
        <v>1029</v>
      </c>
    </row>
    <row r="3267" ht="22.5" customHeight="1">
      <c r="B3267" s="7"/>
      <c r="C3267" s="7"/>
      <c r="D3267" s="7"/>
      <c r="E3267" s="7"/>
      <c r="F3267" s="7"/>
      <c r="G3267" s="7"/>
      <c r="H3267" s="7">
        <f t="shared" si="1"/>
        <v>1029</v>
      </c>
    </row>
    <row r="3268" ht="22.5" customHeight="1">
      <c r="B3268" s="7"/>
      <c r="C3268" s="7"/>
      <c r="D3268" s="7"/>
      <c r="E3268" s="7"/>
      <c r="F3268" s="7"/>
      <c r="G3268" s="7"/>
      <c r="H3268" s="7">
        <f t="shared" si="1"/>
        <v>1029</v>
      </c>
    </row>
    <row r="3269" ht="22.5" customHeight="1">
      <c r="B3269" s="7"/>
      <c r="C3269" s="7"/>
      <c r="D3269" s="7"/>
      <c r="E3269" s="7"/>
      <c r="F3269" s="7"/>
      <c r="G3269" s="7"/>
      <c r="H3269" s="7">
        <f t="shared" si="1"/>
        <v>1029</v>
      </c>
    </row>
    <row r="3270" ht="22.5" customHeight="1">
      <c r="B3270" s="7"/>
      <c r="C3270" s="7"/>
      <c r="D3270" s="7"/>
      <c r="E3270" s="7"/>
      <c r="F3270" s="7"/>
      <c r="G3270" s="7"/>
      <c r="H3270" s="7">
        <f t="shared" si="1"/>
        <v>1029</v>
      </c>
    </row>
    <row r="3271" ht="22.5" customHeight="1">
      <c r="B3271" s="7"/>
      <c r="C3271" s="7"/>
      <c r="D3271" s="7"/>
      <c r="E3271" s="7"/>
      <c r="F3271" s="7"/>
      <c r="G3271" s="7"/>
      <c r="H3271" s="7">
        <f t="shared" si="1"/>
        <v>1029</v>
      </c>
    </row>
    <row r="3272" ht="22.5" customHeight="1">
      <c r="B3272" s="7"/>
      <c r="C3272" s="7"/>
      <c r="D3272" s="7"/>
      <c r="E3272" s="7"/>
      <c r="F3272" s="7"/>
      <c r="G3272" s="7"/>
      <c r="H3272" s="7">
        <f t="shared" si="1"/>
        <v>1029</v>
      </c>
    </row>
    <row r="3273" ht="22.5" customHeight="1">
      <c r="B3273" s="7"/>
      <c r="C3273" s="7"/>
      <c r="D3273" s="7"/>
      <c r="E3273" s="7"/>
      <c r="F3273" s="7"/>
      <c r="G3273" s="7"/>
      <c r="H3273" s="7">
        <f t="shared" si="1"/>
        <v>1029</v>
      </c>
    </row>
    <row r="3274" ht="22.5" customHeight="1">
      <c r="B3274" s="7"/>
      <c r="C3274" s="7"/>
      <c r="D3274" s="7"/>
      <c r="E3274" s="7"/>
      <c r="F3274" s="7"/>
      <c r="G3274" s="7"/>
      <c r="H3274" s="7">
        <f t="shared" si="1"/>
        <v>1029</v>
      </c>
    </row>
    <row r="3275" ht="22.5" customHeight="1">
      <c r="B3275" s="7"/>
      <c r="C3275" s="7"/>
      <c r="D3275" s="7"/>
      <c r="E3275" s="7"/>
      <c r="F3275" s="7"/>
      <c r="G3275" s="7"/>
      <c r="H3275" s="7">
        <f t="shared" si="1"/>
        <v>1029</v>
      </c>
    </row>
    <row r="3276" ht="22.5" customHeight="1">
      <c r="B3276" s="7"/>
      <c r="C3276" s="7"/>
      <c r="D3276" s="7"/>
      <c r="E3276" s="7"/>
      <c r="F3276" s="7"/>
      <c r="G3276" s="7"/>
      <c r="H3276" s="7">
        <f t="shared" si="1"/>
        <v>1029</v>
      </c>
    </row>
    <row r="3277" ht="22.5" customHeight="1">
      <c r="B3277" s="7"/>
      <c r="C3277" s="7"/>
      <c r="D3277" s="7"/>
      <c r="E3277" s="7"/>
      <c r="F3277" s="7"/>
      <c r="G3277" s="7"/>
      <c r="H3277" s="7">
        <f t="shared" si="1"/>
        <v>1029</v>
      </c>
    </row>
    <row r="3278" ht="22.5" customHeight="1">
      <c r="B3278" s="7"/>
      <c r="C3278" s="7"/>
      <c r="D3278" s="7"/>
      <c r="E3278" s="7"/>
      <c r="F3278" s="7"/>
      <c r="G3278" s="7"/>
      <c r="H3278" s="7">
        <f t="shared" si="1"/>
        <v>1029</v>
      </c>
    </row>
    <row r="3279" ht="22.5" customHeight="1">
      <c r="B3279" s="7"/>
      <c r="C3279" s="7"/>
      <c r="D3279" s="7"/>
      <c r="E3279" s="7"/>
      <c r="F3279" s="7"/>
      <c r="G3279" s="7"/>
      <c r="H3279" s="7">
        <f t="shared" si="1"/>
        <v>1029</v>
      </c>
    </row>
    <row r="3280" ht="22.5" customHeight="1">
      <c r="B3280" s="7"/>
      <c r="C3280" s="7"/>
      <c r="D3280" s="7"/>
      <c r="E3280" s="7"/>
      <c r="F3280" s="7"/>
      <c r="G3280" s="7"/>
      <c r="H3280" s="7">
        <f t="shared" si="1"/>
        <v>1029</v>
      </c>
    </row>
    <row r="3281" ht="22.5" customHeight="1">
      <c r="B3281" s="7"/>
      <c r="C3281" s="7"/>
      <c r="D3281" s="7"/>
      <c r="E3281" s="7"/>
      <c r="F3281" s="7"/>
      <c r="G3281" s="7"/>
      <c r="H3281" s="7">
        <f t="shared" si="1"/>
        <v>1029</v>
      </c>
    </row>
    <row r="3282" ht="22.5" customHeight="1">
      <c r="B3282" s="7"/>
      <c r="C3282" s="7"/>
      <c r="D3282" s="7"/>
      <c r="E3282" s="7"/>
      <c r="F3282" s="7"/>
      <c r="G3282" s="7"/>
      <c r="H3282" s="7">
        <f t="shared" si="1"/>
        <v>1029</v>
      </c>
    </row>
    <row r="3283" ht="22.5" customHeight="1">
      <c r="B3283" s="7"/>
      <c r="C3283" s="7"/>
      <c r="D3283" s="7"/>
      <c r="E3283" s="7"/>
      <c r="F3283" s="7"/>
      <c r="G3283" s="7"/>
      <c r="H3283" s="7">
        <f t="shared" si="1"/>
        <v>1029</v>
      </c>
    </row>
    <row r="3284" ht="22.5" customHeight="1">
      <c r="B3284" s="7"/>
      <c r="C3284" s="7"/>
      <c r="D3284" s="7"/>
      <c r="E3284" s="7"/>
      <c r="F3284" s="7"/>
      <c r="G3284" s="7"/>
      <c r="H3284" s="7">
        <f t="shared" si="1"/>
        <v>1029</v>
      </c>
    </row>
    <row r="3285" ht="22.5" customHeight="1">
      <c r="B3285" s="7"/>
      <c r="C3285" s="7"/>
      <c r="D3285" s="7"/>
      <c r="E3285" s="7"/>
      <c r="F3285" s="7"/>
      <c r="G3285" s="7"/>
      <c r="H3285" s="7">
        <f t="shared" si="1"/>
        <v>1029</v>
      </c>
    </row>
    <row r="3286" ht="22.5" customHeight="1">
      <c r="B3286" s="7"/>
      <c r="C3286" s="7"/>
      <c r="D3286" s="7"/>
      <c r="E3286" s="7"/>
      <c r="F3286" s="7"/>
      <c r="G3286" s="7"/>
      <c r="H3286" s="7">
        <f t="shared" si="1"/>
        <v>1029</v>
      </c>
    </row>
    <row r="3287" ht="22.5" customHeight="1">
      <c r="B3287" s="7"/>
      <c r="C3287" s="7"/>
      <c r="D3287" s="7"/>
      <c r="E3287" s="7"/>
      <c r="F3287" s="7"/>
      <c r="G3287" s="7"/>
      <c r="H3287" s="7">
        <f t="shared" si="1"/>
        <v>1029</v>
      </c>
    </row>
    <row r="3288" ht="22.5" customHeight="1">
      <c r="B3288" s="7"/>
      <c r="C3288" s="7"/>
      <c r="D3288" s="7"/>
      <c r="E3288" s="7"/>
      <c r="F3288" s="7"/>
      <c r="G3288" s="7"/>
      <c r="H3288" s="7">
        <f t="shared" si="1"/>
        <v>1029</v>
      </c>
    </row>
    <row r="3289" ht="22.5" customHeight="1">
      <c r="B3289" s="7"/>
      <c r="C3289" s="7"/>
      <c r="D3289" s="7"/>
      <c r="E3289" s="7"/>
      <c r="F3289" s="7"/>
      <c r="G3289" s="7"/>
      <c r="H3289" s="7">
        <f t="shared" si="1"/>
        <v>1029</v>
      </c>
    </row>
    <row r="3290" ht="22.5" customHeight="1">
      <c r="B3290" s="7"/>
      <c r="C3290" s="7"/>
      <c r="D3290" s="7"/>
      <c r="E3290" s="7"/>
      <c r="F3290" s="7"/>
      <c r="G3290" s="7"/>
      <c r="H3290" s="7">
        <f t="shared" si="1"/>
        <v>1029</v>
      </c>
    </row>
    <row r="3291" ht="22.5" customHeight="1">
      <c r="B3291" s="7"/>
      <c r="C3291" s="7"/>
      <c r="D3291" s="7"/>
      <c r="E3291" s="7"/>
      <c r="F3291" s="7"/>
      <c r="G3291" s="7"/>
      <c r="H3291" s="7">
        <f t="shared" si="1"/>
        <v>1029</v>
      </c>
    </row>
    <row r="3292" ht="22.5" customHeight="1">
      <c r="B3292" s="7"/>
      <c r="C3292" s="7"/>
      <c r="D3292" s="7"/>
      <c r="E3292" s="7"/>
      <c r="F3292" s="7"/>
      <c r="G3292" s="7"/>
      <c r="H3292" s="7">
        <f t="shared" si="1"/>
        <v>1029</v>
      </c>
    </row>
    <row r="3293" ht="22.5" customHeight="1">
      <c r="B3293" s="7"/>
      <c r="C3293" s="7"/>
      <c r="D3293" s="7"/>
      <c r="E3293" s="7"/>
      <c r="F3293" s="7"/>
      <c r="G3293" s="7"/>
      <c r="H3293" s="7">
        <f t="shared" si="1"/>
        <v>1029</v>
      </c>
    </row>
    <row r="3294" ht="22.5" customHeight="1">
      <c r="B3294" s="7"/>
      <c r="C3294" s="7"/>
      <c r="D3294" s="7"/>
      <c r="E3294" s="7"/>
      <c r="F3294" s="7"/>
      <c r="G3294" s="7"/>
      <c r="H3294" s="7">
        <f t="shared" si="1"/>
        <v>1029</v>
      </c>
    </row>
    <row r="3295" ht="22.5" customHeight="1">
      <c r="B3295" s="7"/>
      <c r="C3295" s="7"/>
      <c r="D3295" s="7"/>
      <c r="E3295" s="7"/>
      <c r="F3295" s="7"/>
      <c r="G3295" s="7"/>
      <c r="H3295" s="7">
        <f t="shared" si="1"/>
        <v>1029</v>
      </c>
    </row>
    <row r="3296" ht="22.5" customHeight="1">
      <c r="B3296" s="7"/>
      <c r="C3296" s="7"/>
      <c r="D3296" s="7"/>
      <c r="E3296" s="7"/>
      <c r="F3296" s="7"/>
      <c r="G3296" s="7"/>
      <c r="H3296" s="7">
        <f t="shared" si="1"/>
        <v>1029</v>
      </c>
    </row>
    <row r="3297" ht="22.5" customHeight="1">
      <c r="B3297" s="7"/>
      <c r="C3297" s="7"/>
      <c r="D3297" s="7"/>
      <c r="E3297" s="7"/>
      <c r="F3297" s="7"/>
      <c r="G3297" s="7"/>
      <c r="H3297" s="7">
        <f t="shared" si="1"/>
        <v>1029</v>
      </c>
    </row>
    <row r="3298" ht="22.5" customHeight="1">
      <c r="B3298" s="7"/>
      <c r="C3298" s="7"/>
      <c r="D3298" s="7"/>
      <c r="E3298" s="7"/>
      <c r="F3298" s="7"/>
      <c r="G3298" s="7"/>
      <c r="H3298" s="7">
        <f t="shared" si="1"/>
        <v>1029</v>
      </c>
    </row>
    <row r="3299" ht="22.5" customHeight="1">
      <c r="B3299" s="7"/>
      <c r="C3299" s="7"/>
      <c r="D3299" s="7"/>
      <c r="E3299" s="7"/>
      <c r="F3299" s="7"/>
      <c r="G3299" s="7"/>
      <c r="H3299" s="7">
        <f t="shared" si="1"/>
        <v>1029</v>
      </c>
    </row>
    <row r="3300" ht="22.5" customHeight="1">
      <c r="B3300" s="7"/>
      <c r="C3300" s="7"/>
      <c r="D3300" s="7"/>
      <c r="E3300" s="7"/>
      <c r="F3300" s="7"/>
      <c r="G3300" s="7"/>
      <c r="H3300" s="7">
        <f t="shared" si="1"/>
        <v>1029</v>
      </c>
    </row>
    <row r="3301" ht="22.5" customHeight="1">
      <c r="B3301" s="7"/>
      <c r="C3301" s="7"/>
      <c r="D3301" s="7"/>
      <c r="E3301" s="7"/>
      <c r="F3301" s="7"/>
      <c r="G3301" s="7"/>
      <c r="H3301" s="7">
        <f t="shared" si="1"/>
        <v>1029</v>
      </c>
    </row>
    <row r="3302" ht="22.5" customHeight="1">
      <c r="B3302" s="7"/>
      <c r="C3302" s="7"/>
      <c r="D3302" s="7"/>
      <c r="E3302" s="7"/>
      <c r="F3302" s="7"/>
      <c r="G3302" s="7"/>
      <c r="H3302" s="7">
        <f t="shared" si="1"/>
        <v>1029</v>
      </c>
    </row>
    <row r="3303" ht="22.5" customHeight="1">
      <c r="B3303" s="7"/>
      <c r="C3303" s="7"/>
      <c r="D3303" s="7"/>
      <c r="E3303" s="7"/>
      <c r="F3303" s="7"/>
      <c r="G3303" s="7"/>
      <c r="H3303" s="7">
        <f t="shared" si="1"/>
        <v>1029</v>
      </c>
    </row>
    <row r="3304" ht="22.5" customHeight="1">
      <c r="B3304" s="7"/>
      <c r="C3304" s="7"/>
      <c r="D3304" s="7"/>
      <c r="E3304" s="7"/>
      <c r="F3304" s="7"/>
      <c r="G3304" s="7"/>
      <c r="H3304" s="7">
        <f t="shared" si="1"/>
        <v>1029</v>
      </c>
    </row>
    <row r="3305" ht="22.5" customHeight="1">
      <c r="B3305" s="7"/>
      <c r="C3305" s="7"/>
      <c r="D3305" s="7"/>
      <c r="E3305" s="7"/>
      <c r="F3305" s="7"/>
      <c r="G3305" s="7"/>
      <c r="H3305" s="7">
        <f t="shared" si="1"/>
        <v>1029</v>
      </c>
    </row>
    <row r="3306" ht="22.5" customHeight="1">
      <c r="B3306" s="7"/>
      <c r="C3306" s="7"/>
      <c r="D3306" s="7"/>
      <c r="E3306" s="7"/>
      <c r="F3306" s="7"/>
      <c r="G3306" s="7"/>
      <c r="H3306" s="7">
        <f t="shared" si="1"/>
        <v>1029</v>
      </c>
    </row>
    <row r="3307" ht="22.5" customHeight="1">
      <c r="B3307" s="7"/>
      <c r="C3307" s="7"/>
      <c r="D3307" s="7"/>
      <c r="E3307" s="7"/>
      <c r="F3307" s="7"/>
      <c r="G3307" s="7"/>
      <c r="H3307" s="7">
        <f t="shared" si="1"/>
        <v>1029</v>
      </c>
    </row>
    <row r="3308" ht="22.5" customHeight="1">
      <c r="B3308" s="7"/>
      <c r="C3308" s="7"/>
      <c r="D3308" s="7"/>
      <c r="E3308" s="7"/>
      <c r="F3308" s="7"/>
      <c r="G3308" s="7"/>
      <c r="H3308" s="7">
        <f t="shared" si="1"/>
        <v>1029</v>
      </c>
    </row>
    <row r="3309" ht="22.5" customHeight="1">
      <c r="B3309" s="7"/>
      <c r="C3309" s="7"/>
      <c r="D3309" s="7"/>
      <c r="E3309" s="7"/>
      <c r="F3309" s="7"/>
      <c r="G3309" s="7"/>
      <c r="H3309" s="7">
        <f t="shared" si="1"/>
        <v>1029</v>
      </c>
    </row>
    <row r="3310" ht="22.5" customHeight="1">
      <c r="B3310" s="7"/>
      <c r="C3310" s="7"/>
      <c r="D3310" s="7"/>
      <c r="E3310" s="7"/>
      <c r="F3310" s="7"/>
      <c r="G3310" s="7"/>
      <c r="H3310" s="7">
        <f t="shared" si="1"/>
        <v>1029</v>
      </c>
    </row>
    <row r="3311" ht="22.5" customHeight="1">
      <c r="B3311" s="7"/>
      <c r="C3311" s="7"/>
      <c r="D3311" s="7"/>
      <c r="E3311" s="7"/>
      <c r="F3311" s="7"/>
      <c r="G3311" s="7"/>
      <c r="H3311" s="7">
        <f t="shared" si="1"/>
        <v>1029</v>
      </c>
    </row>
    <row r="3312" ht="22.5" customHeight="1">
      <c r="B3312" s="7"/>
      <c r="C3312" s="7"/>
      <c r="D3312" s="7"/>
      <c r="E3312" s="7"/>
      <c r="F3312" s="7"/>
      <c r="G3312" s="7"/>
      <c r="H3312" s="7">
        <f t="shared" si="1"/>
        <v>1029</v>
      </c>
    </row>
    <row r="3313" ht="22.5" customHeight="1">
      <c r="B3313" s="7"/>
      <c r="C3313" s="7"/>
      <c r="D3313" s="7"/>
      <c r="E3313" s="7"/>
      <c r="F3313" s="7"/>
      <c r="G3313" s="7"/>
      <c r="H3313" s="7">
        <f t="shared" si="1"/>
        <v>1029</v>
      </c>
    </row>
    <row r="3314" ht="22.5" customHeight="1">
      <c r="B3314" s="7"/>
      <c r="C3314" s="7"/>
      <c r="D3314" s="7"/>
      <c r="E3314" s="7"/>
      <c r="F3314" s="7"/>
      <c r="G3314" s="7"/>
      <c r="H3314" s="7">
        <f t="shared" si="1"/>
        <v>1029</v>
      </c>
    </row>
    <row r="3315" ht="22.5" customHeight="1">
      <c r="B3315" s="7"/>
      <c r="C3315" s="7"/>
      <c r="D3315" s="7"/>
      <c r="E3315" s="7"/>
      <c r="F3315" s="7"/>
      <c r="G3315" s="7"/>
      <c r="H3315" s="7">
        <f t="shared" si="1"/>
        <v>1029</v>
      </c>
    </row>
    <row r="3316" ht="22.5" customHeight="1">
      <c r="B3316" s="7"/>
      <c r="C3316" s="7"/>
      <c r="D3316" s="7"/>
      <c r="E3316" s="7"/>
      <c r="F3316" s="7"/>
      <c r="G3316" s="7"/>
      <c r="H3316" s="7">
        <f t="shared" si="1"/>
        <v>1029</v>
      </c>
    </row>
    <row r="3317" ht="22.5" customHeight="1">
      <c r="B3317" s="7"/>
      <c r="C3317" s="7"/>
      <c r="D3317" s="7"/>
      <c r="E3317" s="7"/>
      <c r="F3317" s="7"/>
      <c r="G3317" s="7"/>
      <c r="H3317" s="7">
        <f t="shared" si="1"/>
        <v>1029</v>
      </c>
    </row>
    <row r="3318" ht="22.5" customHeight="1">
      <c r="B3318" s="7"/>
      <c r="C3318" s="7"/>
      <c r="D3318" s="7"/>
      <c r="E3318" s="7"/>
      <c r="F3318" s="7"/>
      <c r="G3318" s="7"/>
      <c r="H3318" s="7">
        <f t="shared" si="1"/>
        <v>1029</v>
      </c>
    </row>
    <row r="3319" ht="22.5" customHeight="1">
      <c r="B3319" s="7"/>
      <c r="C3319" s="7"/>
      <c r="D3319" s="7"/>
      <c r="E3319" s="7"/>
      <c r="F3319" s="7"/>
      <c r="G3319" s="7"/>
      <c r="H3319" s="7">
        <f t="shared" si="1"/>
        <v>1029</v>
      </c>
    </row>
    <row r="3320" ht="22.5" customHeight="1">
      <c r="B3320" s="7"/>
      <c r="C3320" s="7"/>
      <c r="D3320" s="7"/>
      <c r="E3320" s="7"/>
      <c r="F3320" s="7"/>
      <c r="G3320" s="7"/>
      <c r="H3320" s="7">
        <f t="shared" si="1"/>
        <v>1029</v>
      </c>
    </row>
    <row r="3321" ht="22.5" customHeight="1">
      <c r="B3321" s="7"/>
      <c r="C3321" s="7"/>
      <c r="D3321" s="7"/>
      <c r="E3321" s="7"/>
      <c r="F3321" s="7"/>
      <c r="G3321" s="7"/>
      <c r="H3321" s="7">
        <f t="shared" si="1"/>
        <v>1029</v>
      </c>
    </row>
    <row r="3322" ht="22.5" customHeight="1">
      <c r="B3322" s="7"/>
      <c r="C3322" s="7"/>
      <c r="D3322" s="7"/>
      <c r="E3322" s="7"/>
      <c r="F3322" s="7"/>
      <c r="G3322" s="7"/>
      <c r="H3322" s="7">
        <f t="shared" si="1"/>
        <v>1029</v>
      </c>
    </row>
    <row r="3323" ht="22.5" customHeight="1">
      <c r="B3323" s="7"/>
      <c r="C3323" s="7"/>
      <c r="D3323" s="7"/>
      <c r="E3323" s="7"/>
      <c r="F3323" s="7"/>
      <c r="G3323" s="7"/>
      <c r="H3323" s="7">
        <f t="shared" si="1"/>
        <v>1029</v>
      </c>
    </row>
    <row r="3324" ht="22.5" customHeight="1">
      <c r="B3324" s="7"/>
      <c r="C3324" s="7"/>
      <c r="D3324" s="7"/>
      <c r="E3324" s="7"/>
      <c r="F3324" s="7"/>
      <c r="G3324" s="7"/>
      <c r="H3324" s="7">
        <f t="shared" si="1"/>
        <v>1029</v>
      </c>
    </row>
    <row r="3325" ht="22.5" customHeight="1">
      <c r="B3325" s="7"/>
      <c r="C3325" s="7"/>
      <c r="D3325" s="7"/>
      <c r="E3325" s="7"/>
      <c r="F3325" s="7"/>
      <c r="G3325" s="7"/>
      <c r="H3325" s="7">
        <f t="shared" si="1"/>
        <v>1029</v>
      </c>
    </row>
    <row r="3326" ht="22.5" customHeight="1">
      <c r="B3326" s="7"/>
      <c r="C3326" s="7"/>
      <c r="D3326" s="7"/>
      <c r="E3326" s="7"/>
      <c r="F3326" s="7"/>
      <c r="G3326" s="7"/>
      <c r="H3326" s="7">
        <f t="shared" si="1"/>
        <v>1029</v>
      </c>
    </row>
    <row r="3327" ht="22.5" customHeight="1">
      <c r="B3327" s="7"/>
      <c r="C3327" s="7"/>
      <c r="D3327" s="7"/>
      <c r="E3327" s="7"/>
      <c r="F3327" s="7"/>
      <c r="G3327" s="7"/>
      <c r="H3327" s="7">
        <f t="shared" si="1"/>
        <v>1029</v>
      </c>
    </row>
    <row r="3328" ht="22.5" customHeight="1">
      <c r="B3328" s="7"/>
      <c r="C3328" s="7"/>
      <c r="D3328" s="7"/>
      <c r="E3328" s="7"/>
      <c r="F3328" s="7"/>
      <c r="G3328" s="7"/>
      <c r="H3328" s="7">
        <f t="shared" si="1"/>
        <v>1029</v>
      </c>
    </row>
    <row r="3329" ht="22.5" customHeight="1">
      <c r="B3329" s="7"/>
      <c r="C3329" s="7"/>
      <c r="D3329" s="7"/>
      <c r="E3329" s="7"/>
      <c r="F3329" s="7"/>
      <c r="G3329" s="7"/>
      <c r="H3329" s="7">
        <f t="shared" si="1"/>
        <v>1029</v>
      </c>
    </row>
    <row r="3330" ht="22.5" customHeight="1">
      <c r="B3330" s="7"/>
      <c r="C3330" s="7"/>
      <c r="D3330" s="7"/>
      <c r="E3330" s="7"/>
      <c r="F3330" s="7"/>
      <c r="G3330" s="7"/>
      <c r="H3330" s="7">
        <f t="shared" si="1"/>
        <v>1029</v>
      </c>
    </row>
    <row r="3331" ht="22.5" customHeight="1">
      <c r="B3331" s="7"/>
      <c r="C3331" s="7"/>
      <c r="D3331" s="7"/>
      <c r="E3331" s="7"/>
      <c r="F3331" s="7"/>
      <c r="G3331" s="7"/>
      <c r="H3331" s="7">
        <f t="shared" si="1"/>
        <v>1029</v>
      </c>
    </row>
    <row r="3332" ht="22.5" customHeight="1">
      <c r="B3332" s="7"/>
      <c r="C3332" s="7"/>
      <c r="D3332" s="7"/>
      <c r="E3332" s="7"/>
      <c r="F3332" s="7"/>
      <c r="G3332" s="7"/>
      <c r="H3332" s="7">
        <f t="shared" si="1"/>
        <v>1029</v>
      </c>
    </row>
    <row r="3333" ht="22.5" customHeight="1">
      <c r="B3333" s="7"/>
      <c r="C3333" s="7"/>
      <c r="D3333" s="7"/>
      <c r="E3333" s="7"/>
      <c r="F3333" s="7"/>
      <c r="G3333" s="7"/>
      <c r="H3333" s="7">
        <f t="shared" si="1"/>
        <v>1029</v>
      </c>
    </row>
    <row r="3334" ht="22.5" customHeight="1">
      <c r="B3334" s="7"/>
      <c r="C3334" s="7"/>
      <c r="D3334" s="7"/>
      <c r="E3334" s="7"/>
      <c r="F3334" s="7"/>
      <c r="G3334" s="7"/>
      <c r="H3334" s="7">
        <f t="shared" si="1"/>
        <v>1029</v>
      </c>
    </row>
    <row r="3335" ht="22.5" customHeight="1">
      <c r="B3335" s="7"/>
      <c r="C3335" s="7"/>
      <c r="D3335" s="7"/>
      <c r="E3335" s="7"/>
      <c r="F3335" s="7"/>
      <c r="G3335" s="7"/>
      <c r="H3335" s="7">
        <f t="shared" si="1"/>
        <v>1029</v>
      </c>
    </row>
    <row r="3336" ht="22.5" customHeight="1">
      <c r="B3336" s="7"/>
      <c r="C3336" s="7"/>
      <c r="D3336" s="7"/>
      <c r="E3336" s="7"/>
      <c r="F3336" s="7"/>
      <c r="G3336" s="7"/>
      <c r="H3336" s="7">
        <f t="shared" si="1"/>
        <v>1029</v>
      </c>
    </row>
    <row r="3337" ht="22.5" customHeight="1">
      <c r="B3337" s="7"/>
      <c r="C3337" s="7"/>
      <c r="D3337" s="7"/>
      <c r="E3337" s="7"/>
      <c r="F3337" s="7"/>
      <c r="G3337" s="7"/>
      <c r="H3337" s="7">
        <f t="shared" si="1"/>
        <v>1029</v>
      </c>
    </row>
    <row r="3338" ht="22.5" customHeight="1">
      <c r="B3338" s="7"/>
      <c r="C3338" s="7"/>
      <c r="D3338" s="7"/>
      <c r="E3338" s="7"/>
      <c r="F3338" s="7"/>
      <c r="G3338" s="7"/>
      <c r="H3338" s="7">
        <f t="shared" si="1"/>
        <v>1029</v>
      </c>
    </row>
    <row r="3339" ht="22.5" customHeight="1">
      <c r="B3339" s="7"/>
      <c r="C3339" s="7"/>
      <c r="D3339" s="7"/>
      <c r="E3339" s="7"/>
      <c r="F3339" s="7"/>
      <c r="G3339" s="7"/>
      <c r="H3339" s="7">
        <f t="shared" si="1"/>
        <v>1029</v>
      </c>
    </row>
    <row r="3340" ht="22.5" customHeight="1">
      <c r="B3340" s="7"/>
      <c r="C3340" s="7"/>
      <c r="D3340" s="7"/>
      <c r="E3340" s="7"/>
      <c r="F3340" s="7"/>
      <c r="G3340" s="7"/>
      <c r="H3340" s="7">
        <f t="shared" si="1"/>
        <v>1029</v>
      </c>
    </row>
    <row r="3341" ht="22.5" customHeight="1">
      <c r="B3341" s="7"/>
      <c r="C3341" s="7"/>
      <c r="D3341" s="7"/>
      <c r="E3341" s="7"/>
      <c r="F3341" s="7"/>
      <c r="G3341" s="7"/>
      <c r="H3341" s="7">
        <f t="shared" si="1"/>
        <v>1029</v>
      </c>
    </row>
    <row r="3342" ht="22.5" customHeight="1">
      <c r="B3342" s="7"/>
      <c r="C3342" s="7"/>
      <c r="D3342" s="7"/>
      <c r="E3342" s="7"/>
      <c r="F3342" s="7"/>
      <c r="G3342" s="7"/>
      <c r="H3342" s="7">
        <f t="shared" si="1"/>
        <v>1029</v>
      </c>
    </row>
    <row r="3343" ht="22.5" customHeight="1">
      <c r="B3343" s="7"/>
      <c r="C3343" s="7"/>
      <c r="D3343" s="7"/>
      <c r="E3343" s="7"/>
      <c r="F3343" s="7"/>
      <c r="G3343" s="7"/>
      <c r="H3343" s="7">
        <f t="shared" si="1"/>
        <v>1029</v>
      </c>
    </row>
    <row r="3344" ht="22.5" customHeight="1">
      <c r="B3344" s="7"/>
      <c r="C3344" s="7"/>
      <c r="D3344" s="7"/>
      <c r="E3344" s="7"/>
      <c r="F3344" s="7"/>
      <c r="G3344" s="7"/>
      <c r="H3344" s="7">
        <f t="shared" si="1"/>
        <v>1029</v>
      </c>
    </row>
    <row r="3345" ht="22.5" customHeight="1">
      <c r="B3345" s="7"/>
      <c r="C3345" s="7"/>
      <c r="D3345" s="7"/>
      <c r="E3345" s="7"/>
      <c r="F3345" s="7"/>
      <c r="G3345" s="7"/>
      <c r="H3345" s="7">
        <f t="shared" si="1"/>
        <v>1029</v>
      </c>
    </row>
    <row r="3346" ht="22.5" customHeight="1">
      <c r="B3346" s="7"/>
      <c r="C3346" s="7"/>
      <c r="D3346" s="7"/>
      <c r="E3346" s="7"/>
      <c r="F3346" s="7"/>
      <c r="G3346" s="7"/>
      <c r="H3346" s="7">
        <f t="shared" si="1"/>
        <v>1029</v>
      </c>
    </row>
    <row r="3347" ht="22.5" customHeight="1">
      <c r="B3347" s="7"/>
      <c r="C3347" s="7"/>
      <c r="D3347" s="7"/>
      <c r="E3347" s="7"/>
      <c r="F3347" s="7"/>
      <c r="G3347" s="7"/>
      <c r="H3347" s="7">
        <f t="shared" si="1"/>
        <v>1029</v>
      </c>
    </row>
    <row r="3348" ht="22.5" customHeight="1">
      <c r="B3348" s="7"/>
      <c r="C3348" s="7"/>
      <c r="D3348" s="7"/>
      <c r="E3348" s="7"/>
      <c r="F3348" s="7"/>
      <c r="G3348" s="7"/>
      <c r="H3348" s="7">
        <f t="shared" si="1"/>
        <v>1029</v>
      </c>
    </row>
    <row r="3349" ht="22.5" customHeight="1">
      <c r="B3349" s="7"/>
      <c r="C3349" s="7"/>
      <c r="D3349" s="7"/>
      <c r="E3349" s="7"/>
      <c r="F3349" s="7"/>
      <c r="G3349" s="7"/>
      <c r="H3349" s="7">
        <f t="shared" si="1"/>
        <v>1029</v>
      </c>
    </row>
    <row r="3350" ht="22.5" customHeight="1">
      <c r="B3350" s="7"/>
      <c r="C3350" s="7"/>
      <c r="D3350" s="7"/>
      <c r="E3350" s="7"/>
      <c r="F3350" s="7"/>
      <c r="G3350" s="7"/>
      <c r="H3350" s="7">
        <f t="shared" si="1"/>
        <v>1029</v>
      </c>
    </row>
    <row r="3351" ht="22.5" customHeight="1">
      <c r="B3351" s="7"/>
      <c r="C3351" s="7"/>
      <c r="D3351" s="7"/>
      <c r="E3351" s="7"/>
      <c r="F3351" s="7"/>
      <c r="G3351" s="7"/>
      <c r="H3351" s="7">
        <f t="shared" si="1"/>
        <v>1029</v>
      </c>
    </row>
    <row r="3352" ht="22.5" customHeight="1">
      <c r="B3352" s="7"/>
      <c r="C3352" s="7"/>
      <c r="D3352" s="7"/>
      <c r="E3352" s="7"/>
      <c r="F3352" s="7"/>
      <c r="G3352" s="7"/>
      <c r="H3352" s="7">
        <f t="shared" si="1"/>
        <v>1029</v>
      </c>
    </row>
    <row r="3353" ht="22.5" customHeight="1">
      <c r="B3353" s="7"/>
      <c r="C3353" s="7"/>
      <c r="D3353" s="7"/>
      <c r="E3353" s="7"/>
      <c r="F3353" s="7"/>
      <c r="G3353" s="7"/>
      <c r="H3353" s="7">
        <f t="shared" si="1"/>
        <v>1029</v>
      </c>
    </row>
    <row r="3354" ht="22.5" customHeight="1">
      <c r="B3354" s="7"/>
      <c r="C3354" s="7"/>
      <c r="D3354" s="7"/>
      <c r="E3354" s="7"/>
      <c r="F3354" s="7"/>
      <c r="G3354" s="7"/>
      <c r="H3354" s="7">
        <f t="shared" si="1"/>
        <v>1029</v>
      </c>
    </row>
    <row r="3355" ht="22.5" customHeight="1">
      <c r="B3355" s="7"/>
      <c r="C3355" s="7"/>
      <c r="D3355" s="7"/>
      <c r="E3355" s="7"/>
      <c r="F3355" s="7"/>
      <c r="G3355" s="7"/>
      <c r="H3355" s="7">
        <f t="shared" si="1"/>
        <v>1029</v>
      </c>
    </row>
    <row r="3356" ht="22.5" customHeight="1">
      <c r="B3356" s="7"/>
      <c r="C3356" s="7"/>
      <c r="D3356" s="7"/>
      <c r="E3356" s="7"/>
      <c r="F3356" s="7"/>
      <c r="G3356" s="7"/>
      <c r="H3356" s="7">
        <f t="shared" si="1"/>
        <v>1029</v>
      </c>
    </row>
    <row r="3357" ht="22.5" customHeight="1">
      <c r="B3357" s="7"/>
      <c r="C3357" s="7"/>
      <c r="D3357" s="7"/>
      <c r="E3357" s="7"/>
      <c r="F3357" s="7"/>
      <c r="G3357" s="7"/>
      <c r="H3357" s="7">
        <f t="shared" si="1"/>
        <v>1029</v>
      </c>
    </row>
    <row r="3358" ht="22.5" customHeight="1">
      <c r="B3358" s="7"/>
      <c r="C3358" s="7"/>
      <c r="D3358" s="7"/>
      <c r="E3358" s="7"/>
      <c r="F3358" s="7"/>
      <c r="G3358" s="7"/>
      <c r="H3358" s="7">
        <f t="shared" si="1"/>
        <v>1029</v>
      </c>
    </row>
    <row r="3359" ht="22.5" customHeight="1">
      <c r="B3359" s="7"/>
      <c r="C3359" s="7"/>
      <c r="D3359" s="7"/>
      <c r="E3359" s="7"/>
      <c r="F3359" s="7"/>
      <c r="G3359" s="7"/>
      <c r="H3359" s="7">
        <f t="shared" si="1"/>
        <v>1029</v>
      </c>
    </row>
    <row r="3360" ht="22.5" customHeight="1">
      <c r="B3360" s="7"/>
      <c r="C3360" s="7"/>
      <c r="D3360" s="7"/>
      <c r="E3360" s="7"/>
      <c r="F3360" s="7"/>
      <c r="G3360" s="7"/>
      <c r="H3360" s="7">
        <f t="shared" si="1"/>
        <v>1029</v>
      </c>
    </row>
    <row r="3361" ht="22.5" customHeight="1">
      <c r="B3361" s="7"/>
      <c r="C3361" s="7"/>
      <c r="D3361" s="7"/>
      <c r="E3361" s="7"/>
      <c r="F3361" s="7"/>
      <c r="G3361" s="7"/>
      <c r="H3361" s="7">
        <f t="shared" si="1"/>
        <v>1029</v>
      </c>
    </row>
    <row r="3362" ht="22.5" customHeight="1">
      <c r="B3362" s="7"/>
      <c r="C3362" s="7"/>
      <c r="D3362" s="7"/>
      <c r="E3362" s="7"/>
      <c r="F3362" s="7"/>
      <c r="G3362" s="7"/>
      <c r="H3362" s="7">
        <f t="shared" si="1"/>
        <v>1029</v>
      </c>
    </row>
    <row r="3363" ht="22.5" customHeight="1">
      <c r="B3363" s="7"/>
      <c r="C3363" s="7"/>
      <c r="D3363" s="7"/>
      <c r="E3363" s="7"/>
      <c r="F3363" s="7"/>
      <c r="G3363" s="7"/>
      <c r="H3363" s="7">
        <f t="shared" si="1"/>
        <v>1029</v>
      </c>
    </row>
    <row r="3364" ht="22.5" customHeight="1">
      <c r="B3364" s="7"/>
      <c r="C3364" s="7"/>
      <c r="D3364" s="7"/>
      <c r="E3364" s="7"/>
      <c r="F3364" s="7"/>
      <c r="G3364" s="7"/>
      <c r="H3364" s="7">
        <f t="shared" si="1"/>
        <v>1029</v>
      </c>
    </row>
    <row r="3365" ht="22.5" customHeight="1">
      <c r="B3365" s="7"/>
      <c r="C3365" s="7"/>
      <c r="D3365" s="7"/>
      <c r="E3365" s="7"/>
      <c r="F3365" s="7"/>
      <c r="G3365" s="7"/>
      <c r="H3365" s="7">
        <f t="shared" si="1"/>
        <v>1029</v>
      </c>
    </row>
    <row r="3366" ht="22.5" customHeight="1">
      <c r="B3366" s="7"/>
      <c r="C3366" s="7"/>
      <c r="D3366" s="7"/>
      <c r="E3366" s="7"/>
      <c r="F3366" s="7"/>
      <c r="G3366" s="7"/>
      <c r="H3366" s="7">
        <f t="shared" si="1"/>
        <v>1029</v>
      </c>
    </row>
    <row r="3367" ht="22.5" customHeight="1">
      <c r="B3367" s="7"/>
      <c r="C3367" s="7"/>
      <c r="D3367" s="7"/>
      <c r="E3367" s="7"/>
      <c r="F3367" s="7"/>
      <c r="G3367" s="7"/>
      <c r="H3367" s="7">
        <f t="shared" si="1"/>
        <v>1029</v>
      </c>
    </row>
    <row r="3368" ht="22.5" customHeight="1">
      <c r="B3368" s="7"/>
      <c r="C3368" s="7"/>
      <c r="D3368" s="7"/>
      <c r="E3368" s="7"/>
      <c r="F3368" s="7"/>
      <c r="G3368" s="7"/>
      <c r="H3368" s="7">
        <f t="shared" si="1"/>
        <v>1029</v>
      </c>
    </row>
    <row r="3369" ht="22.5" customHeight="1">
      <c r="B3369" s="7"/>
      <c r="C3369" s="7"/>
      <c r="D3369" s="7"/>
      <c r="E3369" s="7"/>
      <c r="F3369" s="7"/>
      <c r="G3369" s="7"/>
      <c r="H3369" s="7">
        <f t="shared" si="1"/>
        <v>1029</v>
      </c>
    </row>
    <row r="3370" ht="22.5" customHeight="1">
      <c r="B3370" s="7"/>
      <c r="C3370" s="7"/>
      <c r="D3370" s="7"/>
      <c r="E3370" s="7"/>
      <c r="F3370" s="7"/>
      <c r="G3370" s="7"/>
      <c r="H3370" s="7">
        <f t="shared" si="1"/>
        <v>1029</v>
      </c>
    </row>
    <row r="3371" ht="22.5" customHeight="1">
      <c r="B3371" s="7"/>
      <c r="C3371" s="7"/>
      <c r="D3371" s="7"/>
      <c r="E3371" s="7"/>
      <c r="F3371" s="7"/>
      <c r="G3371" s="7"/>
      <c r="H3371" s="7">
        <f t="shared" si="1"/>
        <v>1029</v>
      </c>
    </row>
    <row r="3372" ht="22.5" customHeight="1">
      <c r="B3372" s="7"/>
      <c r="C3372" s="7"/>
      <c r="D3372" s="7"/>
      <c r="E3372" s="7"/>
      <c r="F3372" s="7"/>
      <c r="G3372" s="7"/>
      <c r="H3372" s="7">
        <f t="shared" si="1"/>
        <v>1029</v>
      </c>
    </row>
    <row r="3373" ht="22.5" customHeight="1">
      <c r="B3373" s="7"/>
      <c r="C3373" s="7"/>
      <c r="D3373" s="7"/>
      <c r="E3373" s="7"/>
      <c r="F3373" s="7"/>
      <c r="G3373" s="7"/>
      <c r="H3373" s="7">
        <f t="shared" si="1"/>
        <v>1029</v>
      </c>
    </row>
    <row r="3374" ht="22.5" customHeight="1">
      <c r="B3374" s="7"/>
      <c r="C3374" s="7"/>
      <c r="D3374" s="7"/>
      <c r="E3374" s="7"/>
      <c r="F3374" s="7"/>
      <c r="G3374" s="7"/>
      <c r="H3374" s="7">
        <f t="shared" si="1"/>
        <v>1029</v>
      </c>
    </row>
    <row r="3375" ht="22.5" customHeight="1">
      <c r="B3375" s="7"/>
      <c r="C3375" s="7"/>
      <c r="D3375" s="7"/>
      <c r="E3375" s="7"/>
      <c r="F3375" s="7"/>
      <c r="G3375" s="7"/>
      <c r="H3375" s="7">
        <f t="shared" si="1"/>
        <v>1029</v>
      </c>
    </row>
    <row r="3376" ht="22.5" customHeight="1">
      <c r="B3376" s="7"/>
      <c r="C3376" s="7"/>
      <c r="D3376" s="7"/>
      <c r="E3376" s="7"/>
      <c r="F3376" s="7"/>
      <c r="G3376" s="7"/>
      <c r="H3376" s="7">
        <f t="shared" si="1"/>
        <v>1029</v>
      </c>
    </row>
    <row r="3377" ht="22.5" customHeight="1">
      <c r="B3377" s="7"/>
      <c r="C3377" s="7"/>
      <c r="D3377" s="7"/>
      <c r="E3377" s="7"/>
      <c r="F3377" s="7"/>
      <c r="G3377" s="7"/>
      <c r="H3377" s="7">
        <f t="shared" si="1"/>
        <v>1029</v>
      </c>
    </row>
    <row r="3378" ht="22.5" customHeight="1">
      <c r="B3378" s="7"/>
      <c r="C3378" s="7"/>
      <c r="D3378" s="7"/>
      <c r="E3378" s="7"/>
      <c r="F3378" s="7"/>
      <c r="G3378" s="7"/>
      <c r="H3378" s="7">
        <f t="shared" si="1"/>
        <v>1029</v>
      </c>
    </row>
    <row r="3379" ht="22.5" customHeight="1">
      <c r="B3379" s="7"/>
      <c r="C3379" s="7"/>
      <c r="D3379" s="7"/>
      <c r="E3379" s="7"/>
      <c r="F3379" s="7"/>
      <c r="G3379" s="7"/>
      <c r="H3379" s="7">
        <f t="shared" si="1"/>
        <v>1029</v>
      </c>
    </row>
    <row r="3380" ht="22.5" customHeight="1">
      <c r="B3380" s="7"/>
      <c r="C3380" s="7"/>
      <c r="D3380" s="7"/>
      <c r="E3380" s="7"/>
      <c r="F3380" s="7"/>
      <c r="G3380" s="7"/>
      <c r="H3380" s="7">
        <f t="shared" si="1"/>
        <v>1029</v>
      </c>
    </row>
    <row r="3381" ht="22.5" customHeight="1">
      <c r="B3381" s="7"/>
      <c r="C3381" s="7"/>
      <c r="D3381" s="7"/>
      <c r="E3381" s="7"/>
      <c r="F3381" s="7"/>
      <c r="G3381" s="7"/>
      <c r="H3381" s="7">
        <f t="shared" si="1"/>
        <v>1029</v>
      </c>
    </row>
    <row r="3382" ht="22.5" customHeight="1">
      <c r="B3382" s="7"/>
      <c r="C3382" s="7"/>
      <c r="D3382" s="7"/>
      <c r="E3382" s="7"/>
      <c r="F3382" s="7"/>
      <c r="G3382" s="7"/>
      <c r="H3382" s="7">
        <f t="shared" si="1"/>
        <v>1029</v>
      </c>
    </row>
    <row r="3383" ht="22.5" customHeight="1">
      <c r="B3383" s="7"/>
      <c r="C3383" s="7"/>
      <c r="D3383" s="7"/>
      <c r="E3383" s="7"/>
      <c r="F3383" s="7"/>
      <c r="G3383" s="7"/>
      <c r="H3383" s="7">
        <f t="shared" si="1"/>
        <v>1029</v>
      </c>
    </row>
    <row r="3384" ht="22.5" customHeight="1">
      <c r="B3384" s="7"/>
      <c r="C3384" s="7"/>
      <c r="D3384" s="7"/>
      <c r="E3384" s="7"/>
      <c r="F3384" s="7"/>
      <c r="G3384" s="7"/>
      <c r="H3384" s="7">
        <f t="shared" si="1"/>
        <v>1029</v>
      </c>
    </row>
    <row r="3385" ht="22.5" customHeight="1">
      <c r="B3385" s="7"/>
      <c r="C3385" s="7"/>
      <c r="D3385" s="7"/>
      <c r="E3385" s="7"/>
      <c r="F3385" s="7"/>
      <c r="G3385" s="7"/>
      <c r="H3385" s="7">
        <f t="shared" si="1"/>
        <v>1029</v>
      </c>
    </row>
    <row r="3386" ht="22.5" customHeight="1">
      <c r="B3386" s="7"/>
      <c r="C3386" s="7"/>
      <c r="D3386" s="7"/>
      <c r="E3386" s="7"/>
      <c r="F3386" s="7"/>
      <c r="G3386" s="7"/>
      <c r="H3386" s="7">
        <f t="shared" si="1"/>
        <v>1029</v>
      </c>
    </row>
    <row r="3387" ht="22.5" customHeight="1">
      <c r="B3387" s="7"/>
      <c r="C3387" s="7"/>
      <c r="D3387" s="7"/>
      <c r="E3387" s="7"/>
      <c r="F3387" s="7"/>
      <c r="G3387" s="7"/>
      <c r="H3387" s="7">
        <f t="shared" si="1"/>
        <v>1029</v>
      </c>
    </row>
    <row r="3388" ht="22.5" customHeight="1">
      <c r="B3388" s="7"/>
      <c r="C3388" s="7"/>
      <c r="D3388" s="7"/>
      <c r="E3388" s="7"/>
      <c r="F3388" s="7"/>
      <c r="G3388" s="7"/>
      <c r="H3388" s="7">
        <f t="shared" si="1"/>
        <v>1029</v>
      </c>
    </row>
    <row r="3389" ht="22.5" customHeight="1">
      <c r="B3389" s="7"/>
      <c r="C3389" s="7"/>
      <c r="D3389" s="7"/>
      <c r="E3389" s="7"/>
      <c r="F3389" s="7"/>
      <c r="G3389" s="7"/>
      <c r="H3389" s="7">
        <f t="shared" si="1"/>
        <v>1029</v>
      </c>
    </row>
    <row r="3390" ht="22.5" customHeight="1">
      <c r="B3390" s="7"/>
      <c r="C3390" s="7"/>
      <c r="D3390" s="7"/>
      <c r="E3390" s="7"/>
      <c r="F3390" s="7"/>
      <c r="G3390" s="7"/>
      <c r="H3390" s="7">
        <f t="shared" si="1"/>
        <v>1029</v>
      </c>
    </row>
    <row r="3391" ht="22.5" customHeight="1">
      <c r="B3391" s="7"/>
      <c r="C3391" s="7"/>
      <c r="D3391" s="7"/>
      <c r="E3391" s="7"/>
      <c r="F3391" s="7"/>
      <c r="G3391" s="7"/>
      <c r="H3391" s="7">
        <f t="shared" si="1"/>
        <v>1029</v>
      </c>
    </row>
    <row r="3392" ht="22.5" customHeight="1">
      <c r="B3392" s="7"/>
      <c r="C3392" s="7"/>
      <c r="D3392" s="7"/>
      <c r="E3392" s="7"/>
      <c r="F3392" s="7"/>
      <c r="G3392" s="7"/>
      <c r="H3392" s="7">
        <f t="shared" si="1"/>
        <v>1029</v>
      </c>
    </row>
    <row r="3393" ht="22.5" customHeight="1">
      <c r="B3393" s="7"/>
      <c r="C3393" s="7"/>
      <c r="D3393" s="7"/>
      <c r="E3393" s="7"/>
      <c r="F3393" s="7"/>
      <c r="G3393" s="7"/>
      <c r="H3393" s="7">
        <f t="shared" si="1"/>
        <v>1029</v>
      </c>
    </row>
    <row r="3394" ht="22.5" customHeight="1">
      <c r="B3394" s="7"/>
      <c r="C3394" s="7"/>
      <c r="D3394" s="7"/>
      <c r="E3394" s="7"/>
      <c r="F3394" s="7"/>
      <c r="G3394" s="7"/>
      <c r="H3394" s="7">
        <f t="shared" si="1"/>
        <v>1029</v>
      </c>
    </row>
    <row r="3395" ht="22.5" customHeight="1">
      <c r="B3395" s="7"/>
      <c r="C3395" s="7"/>
      <c r="D3395" s="7"/>
      <c r="E3395" s="7"/>
      <c r="F3395" s="7"/>
      <c r="G3395" s="7"/>
      <c r="H3395" s="7">
        <f t="shared" si="1"/>
        <v>1029</v>
      </c>
    </row>
    <row r="3396" ht="22.5" customHeight="1">
      <c r="B3396" s="7"/>
      <c r="C3396" s="7"/>
      <c r="D3396" s="7"/>
      <c r="E3396" s="7"/>
      <c r="F3396" s="7"/>
      <c r="G3396" s="7"/>
      <c r="H3396" s="7">
        <f t="shared" si="1"/>
        <v>1029</v>
      </c>
    </row>
    <row r="3397" ht="22.5" customHeight="1">
      <c r="B3397" s="7"/>
      <c r="C3397" s="7"/>
      <c r="D3397" s="7"/>
      <c r="E3397" s="7"/>
      <c r="F3397" s="7"/>
      <c r="G3397" s="7"/>
      <c r="H3397" s="7">
        <f t="shared" si="1"/>
        <v>1029</v>
      </c>
    </row>
    <row r="3398" ht="22.5" customHeight="1">
      <c r="B3398" s="7"/>
      <c r="C3398" s="7"/>
      <c r="D3398" s="7"/>
      <c r="E3398" s="7"/>
      <c r="F3398" s="7"/>
      <c r="G3398" s="7"/>
      <c r="H3398" s="7">
        <f t="shared" si="1"/>
        <v>1029</v>
      </c>
    </row>
    <row r="3399" ht="22.5" customHeight="1">
      <c r="B3399" s="7"/>
      <c r="C3399" s="7"/>
      <c r="D3399" s="7"/>
      <c r="E3399" s="7"/>
      <c r="F3399" s="7"/>
      <c r="G3399" s="7"/>
      <c r="H3399" s="7">
        <f t="shared" si="1"/>
        <v>1029</v>
      </c>
    </row>
    <row r="3400" ht="22.5" customHeight="1">
      <c r="B3400" s="7"/>
      <c r="C3400" s="7"/>
      <c r="D3400" s="7"/>
      <c r="E3400" s="7"/>
      <c r="F3400" s="7"/>
      <c r="G3400" s="7"/>
      <c r="H3400" s="7">
        <f t="shared" si="1"/>
        <v>1029</v>
      </c>
    </row>
    <row r="3401" ht="22.5" customHeight="1">
      <c r="B3401" s="7"/>
      <c r="C3401" s="7"/>
      <c r="D3401" s="7"/>
      <c r="E3401" s="7"/>
      <c r="F3401" s="7"/>
      <c r="G3401" s="7"/>
      <c r="H3401" s="7">
        <f t="shared" si="1"/>
        <v>1029</v>
      </c>
    </row>
    <row r="3402" ht="22.5" customHeight="1">
      <c r="B3402" s="7"/>
      <c r="C3402" s="7"/>
      <c r="D3402" s="7"/>
      <c r="E3402" s="7"/>
      <c r="F3402" s="7"/>
      <c r="G3402" s="7"/>
      <c r="H3402" s="7">
        <f t="shared" si="1"/>
        <v>1029</v>
      </c>
    </row>
    <row r="3403" ht="22.5" customHeight="1">
      <c r="B3403" s="7"/>
      <c r="C3403" s="7"/>
      <c r="D3403" s="7"/>
      <c r="E3403" s="7"/>
      <c r="F3403" s="7"/>
      <c r="G3403" s="7"/>
      <c r="H3403" s="7">
        <f t="shared" si="1"/>
        <v>1029</v>
      </c>
    </row>
    <row r="3404" ht="22.5" customHeight="1">
      <c r="B3404" s="7"/>
      <c r="C3404" s="7"/>
      <c r="D3404" s="7"/>
      <c r="E3404" s="7"/>
      <c r="F3404" s="7"/>
      <c r="G3404" s="7"/>
      <c r="H3404" s="7">
        <f t="shared" si="1"/>
        <v>1029</v>
      </c>
    </row>
    <row r="3405" ht="22.5" customHeight="1">
      <c r="B3405" s="7"/>
      <c r="C3405" s="7"/>
      <c r="D3405" s="7"/>
      <c r="E3405" s="7"/>
      <c r="F3405" s="7"/>
      <c r="G3405" s="7"/>
      <c r="H3405" s="7">
        <f t="shared" si="1"/>
        <v>1029</v>
      </c>
    </row>
    <row r="3406" ht="22.5" customHeight="1">
      <c r="B3406" s="7"/>
      <c r="C3406" s="7"/>
      <c r="D3406" s="7"/>
      <c r="E3406" s="7"/>
      <c r="F3406" s="7"/>
      <c r="G3406" s="7"/>
      <c r="H3406" s="7">
        <f t="shared" si="1"/>
        <v>1029</v>
      </c>
    </row>
    <row r="3407" ht="22.5" customHeight="1">
      <c r="B3407" s="7"/>
      <c r="C3407" s="7"/>
      <c r="D3407" s="7"/>
      <c r="E3407" s="7"/>
      <c r="F3407" s="7"/>
      <c r="G3407" s="7"/>
      <c r="H3407" s="7">
        <f t="shared" si="1"/>
        <v>1029</v>
      </c>
    </row>
    <row r="3408" ht="22.5" customHeight="1">
      <c r="B3408" s="7"/>
      <c r="C3408" s="7"/>
      <c r="D3408" s="7"/>
      <c r="E3408" s="7"/>
      <c r="F3408" s="7"/>
      <c r="G3408" s="7"/>
      <c r="H3408" s="7">
        <f t="shared" si="1"/>
        <v>1029</v>
      </c>
    </row>
    <row r="3409" ht="22.5" customHeight="1">
      <c r="B3409" s="7"/>
      <c r="C3409" s="7"/>
      <c r="D3409" s="7"/>
      <c r="E3409" s="7"/>
      <c r="F3409" s="7"/>
      <c r="G3409" s="7"/>
      <c r="H3409" s="7">
        <f t="shared" si="1"/>
        <v>1029</v>
      </c>
    </row>
    <row r="3410" ht="22.5" customHeight="1">
      <c r="B3410" s="7"/>
      <c r="C3410" s="7"/>
      <c r="D3410" s="7"/>
      <c r="E3410" s="7"/>
      <c r="F3410" s="7"/>
      <c r="G3410" s="7"/>
      <c r="H3410" s="7">
        <f t="shared" si="1"/>
        <v>1029</v>
      </c>
    </row>
    <row r="3411" ht="22.5" customHeight="1">
      <c r="B3411" s="7"/>
      <c r="C3411" s="7"/>
      <c r="D3411" s="7"/>
      <c r="E3411" s="7"/>
      <c r="F3411" s="7"/>
      <c r="G3411" s="7"/>
      <c r="H3411" s="7">
        <f t="shared" si="1"/>
        <v>1029</v>
      </c>
    </row>
    <row r="3412" ht="22.5" customHeight="1">
      <c r="B3412" s="7"/>
      <c r="C3412" s="7"/>
      <c r="D3412" s="7"/>
      <c r="E3412" s="7"/>
      <c r="F3412" s="7"/>
      <c r="G3412" s="7"/>
      <c r="H3412" s="7">
        <f t="shared" si="1"/>
        <v>1029</v>
      </c>
    </row>
    <row r="3413" ht="22.5" customHeight="1">
      <c r="B3413" s="7"/>
      <c r="C3413" s="7"/>
      <c r="D3413" s="7"/>
      <c r="E3413" s="7"/>
      <c r="F3413" s="7"/>
      <c r="G3413" s="7"/>
      <c r="H3413" s="7">
        <f t="shared" si="1"/>
        <v>1029</v>
      </c>
    </row>
    <row r="3414" ht="22.5" customHeight="1">
      <c r="B3414" s="7"/>
      <c r="C3414" s="7"/>
      <c r="D3414" s="7"/>
      <c r="E3414" s="7"/>
      <c r="F3414" s="7"/>
      <c r="G3414" s="7"/>
      <c r="H3414" s="7">
        <f t="shared" si="1"/>
        <v>1029</v>
      </c>
    </row>
    <row r="3415" ht="22.5" customHeight="1">
      <c r="B3415" s="7"/>
      <c r="C3415" s="7"/>
      <c r="D3415" s="7"/>
      <c r="E3415" s="7"/>
      <c r="F3415" s="7"/>
      <c r="G3415" s="7"/>
      <c r="H3415" s="7">
        <f t="shared" si="1"/>
        <v>1029</v>
      </c>
    </row>
    <row r="3416" ht="22.5" customHeight="1">
      <c r="B3416" s="7"/>
      <c r="C3416" s="7"/>
      <c r="D3416" s="7"/>
      <c r="E3416" s="7"/>
      <c r="F3416" s="7"/>
      <c r="G3416" s="7"/>
      <c r="H3416" s="7">
        <f t="shared" si="1"/>
        <v>1029</v>
      </c>
    </row>
    <row r="3417" ht="22.5" customHeight="1">
      <c r="B3417" s="7"/>
      <c r="C3417" s="7"/>
      <c r="D3417" s="7"/>
      <c r="E3417" s="7"/>
      <c r="F3417" s="7"/>
      <c r="G3417" s="7"/>
      <c r="H3417" s="7">
        <f t="shared" si="1"/>
        <v>1029</v>
      </c>
    </row>
    <row r="3418" ht="22.5" customHeight="1">
      <c r="B3418" s="7"/>
      <c r="C3418" s="7"/>
      <c r="D3418" s="7"/>
      <c r="E3418" s="7"/>
      <c r="F3418" s="7"/>
      <c r="G3418" s="7"/>
      <c r="H3418" s="7">
        <f t="shared" si="1"/>
        <v>1029</v>
      </c>
    </row>
    <row r="3419" ht="22.5" customHeight="1">
      <c r="B3419" s="7"/>
      <c r="C3419" s="7"/>
      <c r="D3419" s="7"/>
      <c r="E3419" s="7"/>
      <c r="F3419" s="7"/>
      <c r="G3419" s="7"/>
      <c r="H3419" s="7">
        <f t="shared" si="1"/>
        <v>1029</v>
      </c>
    </row>
    <row r="3420" ht="22.5" customHeight="1">
      <c r="B3420" s="7"/>
      <c r="C3420" s="7"/>
      <c r="D3420" s="7"/>
      <c r="E3420" s="7"/>
      <c r="F3420" s="7"/>
      <c r="G3420" s="7"/>
      <c r="H3420" s="7">
        <f t="shared" si="1"/>
        <v>1029</v>
      </c>
    </row>
    <row r="3421" ht="22.5" customHeight="1">
      <c r="B3421" s="7"/>
      <c r="C3421" s="7"/>
      <c r="D3421" s="7"/>
      <c r="E3421" s="7"/>
      <c r="F3421" s="7"/>
      <c r="G3421" s="7"/>
      <c r="H3421" s="7">
        <f t="shared" si="1"/>
        <v>1029</v>
      </c>
    </row>
    <row r="3422" ht="22.5" customHeight="1">
      <c r="B3422" s="7"/>
      <c r="C3422" s="7"/>
      <c r="D3422" s="7"/>
      <c r="E3422" s="7"/>
      <c r="F3422" s="7"/>
      <c r="G3422" s="7"/>
      <c r="H3422" s="7">
        <f t="shared" si="1"/>
        <v>1029</v>
      </c>
    </row>
    <row r="3423" ht="22.5" customHeight="1">
      <c r="B3423" s="7"/>
      <c r="C3423" s="7"/>
      <c r="D3423" s="7"/>
      <c r="E3423" s="7"/>
      <c r="F3423" s="7"/>
      <c r="G3423" s="7"/>
      <c r="H3423" s="7">
        <f t="shared" si="1"/>
        <v>1029</v>
      </c>
    </row>
    <row r="3424" ht="22.5" customHeight="1">
      <c r="B3424" s="7"/>
      <c r="C3424" s="7"/>
      <c r="D3424" s="7"/>
      <c r="E3424" s="7"/>
      <c r="F3424" s="7"/>
      <c r="G3424" s="7"/>
      <c r="H3424" s="7">
        <f t="shared" si="1"/>
        <v>1029</v>
      </c>
    </row>
    <row r="3425" ht="22.5" customHeight="1">
      <c r="B3425" s="7"/>
      <c r="C3425" s="7"/>
      <c r="D3425" s="7"/>
      <c r="E3425" s="7"/>
      <c r="F3425" s="7"/>
      <c r="G3425" s="7"/>
      <c r="H3425" s="7">
        <f t="shared" si="1"/>
        <v>1029</v>
      </c>
    </row>
    <row r="3426" ht="22.5" customHeight="1">
      <c r="B3426" s="7"/>
      <c r="C3426" s="7"/>
      <c r="D3426" s="7"/>
      <c r="E3426" s="7"/>
      <c r="F3426" s="7"/>
      <c r="G3426" s="7"/>
      <c r="H3426" s="7">
        <f t="shared" si="1"/>
        <v>1029</v>
      </c>
    </row>
    <row r="3427" ht="22.5" customHeight="1">
      <c r="B3427" s="7"/>
      <c r="C3427" s="7"/>
      <c r="D3427" s="7"/>
      <c r="E3427" s="7"/>
      <c r="F3427" s="7"/>
      <c r="G3427" s="7"/>
      <c r="H3427" s="7">
        <f t="shared" si="1"/>
        <v>1029</v>
      </c>
    </row>
    <row r="3428" ht="22.5" customHeight="1">
      <c r="B3428" s="7"/>
      <c r="C3428" s="7"/>
      <c r="D3428" s="7"/>
      <c r="E3428" s="7"/>
      <c r="F3428" s="7"/>
      <c r="G3428" s="7"/>
      <c r="H3428" s="7">
        <f t="shared" si="1"/>
        <v>1029</v>
      </c>
    </row>
    <row r="3429" ht="22.5" customHeight="1">
      <c r="B3429" s="7"/>
      <c r="C3429" s="7"/>
      <c r="D3429" s="7"/>
      <c r="E3429" s="7"/>
      <c r="F3429" s="7"/>
      <c r="G3429" s="7"/>
      <c r="H3429" s="7">
        <f t="shared" si="1"/>
        <v>1029</v>
      </c>
    </row>
    <row r="3430" ht="22.5" customHeight="1">
      <c r="B3430" s="7"/>
      <c r="C3430" s="7"/>
      <c r="D3430" s="7"/>
      <c r="E3430" s="7"/>
      <c r="F3430" s="7"/>
      <c r="G3430" s="7"/>
      <c r="H3430" s="7">
        <f t="shared" si="1"/>
        <v>1029</v>
      </c>
    </row>
    <row r="3431" ht="22.5" customHeight="1">
      <c r="B3431" s="7"/>
      <c r="C3431" s="7"/>
      <c r="D3431" s="7"/>
      <c r="E3431" s="7"/>
      <c r="F3431" s="7"/>
      <c r="G3431" s="7"/>
      <c r="H3431" s="7">
        <f t="shared" si="1"/>
        <v>1029</v>
      </c>
    </row>
    <row r="3432" ht="22.5" customHeight="1">
      <c r="B3432" s="7"/>
      <c r="C3432" s="7"/>
      <c r="D3432" s="7"/>
      <c r="E3432" s="7"/>
      <c r="F3432" s="7"/>
      <c r="G3432" s="7"/>
      <c r="H3432" s="7">
        <f t="shared" si="1"/>
        <v>1029</v>
      </c>
    </row>
    <row r="3433" ht="22.5" customHeight="1">
      <c r="B3433" s="7"/>
      <c r="C3433" s="7"/>
      <c r="D3433" s="7"/>
      <c r="E3433" s="7"/>
      <c r="F3433" s="7"/>
      <c r="G3433" s="7"/>
      <c r="H3433" s="7">
        <f t="shared" si="1"/>
        <v>1029</v>
      </c>
    </row>
    <row r="3434" ht="22.5" customHeight="1">
      <c r="B3434" s="7"/>
      <c r="C3434" s="7"/>
      <c r="D3434" s="7"/>
      <c r="E3434" s="7"/>
      <c r="F3434" s="7"/>
      <c r="G3434" s="7"/>
      <c r="H3434" s="7">
        <f t="shared" si="1"/>
        <v>1029</v>
      </c>
    </row>
    <row r="3435" ht="22.5" customHeight="1">
      <c r="B3435" s="7"/>
      <c r="C3435" s="7"/>
      <c r="D3435" s="7"/>
      <c r="E3435" s="7"/>
      <c r="F3435" s="7"/>
      <c r="G3435" s="7"/>
      <c r="H3435" s="7">
        <f t="shared" si="1"/>
        <v>1029</v>
      </c>
    </row>
    <row r="3436" ht="22.5" customHeight="1">
      <c r="B3436" s="7"/>
      <c r="C3436" s="7"/>
      <c r="D3436" s="7"/>
      <c r="E3436" s="7"/>
      <c r="F3436" s="7"/>
      <c r="G3436" s="7"/>
      <c r="H3436" s="7">
        <f t="shared" si="1"/>
        <v>1029</v>
      </c>
    </row>
    <row r="3437" ht="22.5" customHeight="1">
      <c r="B3437" s="7"/>
      <c r="C3437" s="7"/>
      <c r="D3437" s="7"/>
      <c r="E3437" s="7"/>
      <c r="F3437" s="7"/>
      <c r="G3437" s="7"/>
      <c r="H3437" s="7">
        <f t="shared" si="1"/>
        <v>1029</v>
      </c>
    </row>
    <row r="3438" ht="22.5" customHeight="1">
      <c r="B3438" s="7"/>
      <c r="C3438" s="7"/>
      <c r="D3438" s="7"/>
      <c r="E3438" s="7"/>
      <c r="F3438" s="7"/>
      <c r="G3438" s="7"/>
      <c r="H3438" s="7">
        <f t="shared" si="1"/>
        <v>1029</v>
      </c>
    </row>
    <row r="3439" ht="22.5" customHeight="1">
      <c r="B3439" s="7"/>
      <c r="C3439" s="7"/>
      <c r="D3439" s="7"/>
      <c r="E3439" s="7"/>
      <c r="F3439" s="7"/>
      <c r="G3439" s="7"/>
      <c r="H3439" s="7">
        <f t="shared" si="1"/>
        <v>1029</v>
      </c>
    </row>
    <row r="3440" ht="22.5" customHeight="1">
      <c r="B3440" s="7"/>
      <c r="C3440" s="7"/>
      <c r="D3440" s="7"/>
      <c r="E3440" s="7"/>
      <c r="F3440" s="7"/>
      <c r="G3440" s="7"/>
      <c r="H3440" s="7">
        <f t="shared" si="1"/>
        <v>1029</v>
      </c>
    </row>
    <row r="3441" ht="22.5" customHeight="1">
      <c r="B3441" s="7"/>
      <c r="C3441" s="7"/>
      <c r="D3441" s="7"/>
      <c r="E3441" s="7"/>
      <c r="F3441" s="7"/>
      <c r="G3441" s="7"/>
      <c r="H3441" s="7">
        <f t="shared" si="1"/>
        <v>1029</v>
      </c>
    </row>
    <row r="3442" ht="22.5" customHeight="1">
      <c r="B3442" s="7"/>
      <c r="C3442" s="7"/>
      <c r="D3442" s="7"/>
      <c r="E3442" s="7"/>
      <c r="F3442" s="7"/>
      <c r="G3442" s="7"/>
      <c r="H3442" s="7">
        <f t="shared" si="1"/>
        <v>1029</v>
      </c>
    </row>
    <row r="3443" ht="22.5" customHeight="1">
      <c r="B3443" s="7"/>
      <c r="C3443" s="7"/>
      <c r="D3443" s="7"/>
      <c r="E3443" s="7"/>
      <c r="F3443" s="7"/>
      <c r="G3443" s="7"/>
      <c r="H3443" s="7">
        <f t="shared" si="1"/>
        <v>1029</v>
      </c>
    </row>
    <row r="3444" ht="22.5" customHeight="1">
      <c r="B3444" s="7"/>
      <c r="C3444" s="7"/>
      <c r="D3444" s="7"/>
      <c r="E3444" s="7"/>
      <c r="F3444" s="7"/>
      <c r="G3444" s="7"/>
      <c r="H3444" s="7">
        <f t="shared" si="1"/>
        <v>1029</v>
      </c>
    </row>
    <row r="3445" ht="22.5" customHeight="1">
      <c r="B3445" s="7"/>
      <c r="C3445" s="7"/>
      <c r="D3445" s="7"/>
      <c r="E3445" s="7"/>
      <c r="F3445" s="7"/>
      <c r="G3445" s="7"/>
      <c r="H3445" s="7">
        <f t="shared" si="1"/>
        <v>1029</v>
      </c>
    </row>
    <row r="3446" ht="22.5" customHeight="1">
      <c r="B3446" s="7"/>
      <c r="C3446" s="7"/>
      <c r="D3446" s="7"/>
      <c r="E3446" s="7"/>
      <c r="F3446" s="7"/>
      <c r="G3446" s="7"/>
      <c r="H3446" s="7">
        <f t="shared" si="1"/>
        <v>1029</v>
      </c>
    </row>
    <row r="3447" ht="22.5" customHeight="1">
      <c r="B3447" s="7"/>
      <c r="C3447" s="7"/>
      <c r="D3447" s="7"/>
      <c r="E3447" s="7"/>
      <c r="F3447" s="7"/>
      <c r="G3447" s="7"/>
      <c r="H3447" s="7">
        <f t="shared" si="1"/>
        <v>1029</v>
      </c>
    </row>
    <row r="3448" ht="22.5" customHeight="1">
      <c r="B3448" s="7"/>
      <c r="C3448" s="7"/>
      <c r="D3448" s="7"/>
      <c r="E3448" s="7"/>
      <c r="F3448" s="7"/>
      <c r="G3448" s="7"/>
      <c r="H3448" s="7">
        <f t="shared" si="1"/>
        <v>1029</v>
      </c>
    </row>
    <row r="3449" ht="22.5" customHeight="1">
      <c r="B3449" s="7"/>
      <c r="C3449" s="7"/>
      <c r="D3449" s="7"/>
      <c r="E3449" s="7"/>
      <c r="F3449" s="7"/>
      <c r="G3449" s="7"/>
      <c r="H3449" s="7">
        <f t="shared" si="1"/>
        <v>1029</v>
      </c>
    </row>
    <row r="3450" ht="22.5" customHeight="1">
      <c r="B3450" s="7"/>
      <c r="C3450" s="7"/>
      <c r="D3450" s="7"/>
      <c r="E3450" s="7"/>
      <c r="F3450" s="7"/>
      <c r="G3450" s="7"/>
      <c r="H3450" s="7">
        <f t="shared" si="1"/>
        <v>1029</v>
      </c>
    </row>
    <row r="3451" ht="22.5" customHeight="1">
      <c r="B3451" s="7"/>
      <c r="C3451" s="7"/>
      <c r="D3451" s="7"/>
      <c r="E3451" s="7"/>
      <c r="F3451" s="7"/>
      <c r="G3451" s="7"/>
      <c r="H3451" s="7">
        <f t="shared" si="1"/>
        <v>1029</v>
      </c>
    </row>
    <row r="3452" ht="22.5" customHeight="1">
      <c r="B3452" s="7"/>
      <c r="C3452" s="7"/>
      <c r="D3452" s="7"/>
      <c r="E3452" s="7"/>
      <c r="F3452" s="7"/>
      <c r="G3452" s="7"/>
      <c r="H3452" s="7">
        <f t="shared" si="1"/>
        <v>1029</v>
      </c>
    </row>
    <row r="3453" ht="22.5" customHeight="1">
      <c r="B3453" s="7"/>
      <c r="C3453" s="7"/>
      <c r="D3453" s="7"/>
      <c r="E3453" s="7"/>
      <c r="F3453" s="7"/>
      <c r="G3453" s="7"/>
      <c r="H3453" s="7">
        <f t="shared" si="1"/>
        <v>1029</v>
      </c>
    </row>
    <row r="3454" ht="22.5" customHeight="1">
      <c r="B3454" s="7"/>
      <c r="C3454" s="7"/>
      <c r="D3454" s="7"/>
      <c r="E3454" s="7"/>
      <c r="F3454" s="7"/>
      <c r="G3454" s="7"/>
      <c r="H3454" s="7">
        <f t="shared" si="1"/>
        <v>1029</v>
      </c>
    </row>
    <row r="3455" ht="22.5" customHeight="1">
      <c r="B3455" s="7"/>
      <c r="C3455" s="7"/>
      <c r="D3455" s="7"/>
      <c r="E3455" s="7"/>
      <c r="F3455" s="7"/>
      <c r="G3455" s="7"/>
      <c r="H3455" s="7">
        <f t="shared" si="1"/>
        <v>1029</v>
      </c>
    </row>
    <row r="3456" ht="22.5" customHeight="1">
      <c r="B3456" s="7"/>
      <c r="C3456" s="7"/>
      <c r="D3456" s="7"/>
      <c r="E3456" s="7"/>
      <c r="F3456" s="7"/>
      <c r="G3456" s="7"/>
      <c r="H3456" s="7">
        <f t="shared" si="1"/>
        <v>1029</v>
      </c>
    </row>
    <row r="3457" ht="22.5" customHeight="1">
      <c r="B3457" s="7"/>
      <c r="C3457" s="7"/>
      <c r="D3457" s="7"/>
      <c r="E3457" s="7"/>
      <c r="F3457" s="7"/>
      <c r="G3457" s="7"/>
      <c r="H3457" s="7">
        <f t="shared" si="1"/>
        <v>1029</v>
      </c>
    </row>
    <row r="3458" ht="22.5" customHeight="1">
      <c r="B3458" s="7"/>
      <c r="C3458" s="7"/>
      <c r="D3458" s="7"/>
      <c r="E3458" s="7"/>
      <c r="F3458" s="7"/>
      <c r="G3458" s="7"/>
      <c r="H3458" s="7">
        <f t="shared" si="1"/>
        <v>1029</v>
      </c>
    </row>
    <row r="3459" ht="22.5" customHeight="1">
      <c r="B3459" s="7"/>
      <c r="C3459" s="7"/>
      <c r="D3459" s="7"/>
      <c r="E3459" s="7"/>
      <c r="F3459" s="7"/>
      <c r="G3459" s="7"/>
      <c r="H3459" s="7">
        <f t="shared" si="1"/>
        <v>1029</v>
      </c>
    </row>
    <row r="3460" ht="22.5" customHeight="1">
      <c r="B3460" s="7"/>
      <c r="C3460" s="7"/>
      <c r="D3460" s="7"/>
      <c r="E3460" s="7"/>
      <c r="F3460" s="7"/>
      <c r="G3460" s="7"/>
      <c r="H3460" s="7">
        <f t="shared" si="1"/>
        <v>1029</v>
      </c>
    </row>
    <row r="3461" ht="22.5" customHeight="1">
      <c r="B3461" s="7"/>
      <c r="C3461" s="7"/>
      <c r="D3461" s="7"/>
      <c r="E3461" s="7"/>
      <c r="F3461" s="7"/>
      <c r="G3461" s="7"/>
      <c r="H3461" s="7">
        <f t="shared" si="1"/>
        <v>1029</v>
      </c>
    </row>
    <row r="3462" ht="22.5" customHeight="1">
      <c r="B3462" s="7"/>
      <c r="C3462" s="7"/>
      <c r="D3462" s="7"/>
      <c r="E3462" s="7"/>
      <c r="F3462" s="7"/>
      <c r="G3462" s="7"/>
      <c r="H3462" s="7">
        <f t="shared" si="1"/>
        <v>1029</v>
      </c>
    </row>
    <row r="3463" ht="22.5" customHeight="1">
      <c r="B3463" s="7"/>
      <c r="C3463" s="7"/>
      <c r="D3463" s="7"/>
      <c r="E3463" s="7"/>
      <c r="F3463" s="7"/>
      <c r="G3463" s="7"/>
      <c r="H3463" s="7">
        <f t="shared" si="1"/>
        <v>1029</v>
      </c>
    </row>
    <row r="3464" ht="22.5" customHeight="1">
      <c r="B3464" s="7"/>
      <c r="C3464" s="7"/>
      <c r="D3464" s="7"/>
      <c r="E3464" s="7"/>
      <c r="F3464" s="7"/>
      <c r="G3464" s="7"/>
      <c r="H3464" s="7">
        <f t="shared" si="1"/>
        <v>1029</v>
      </c>
    </row>
    <row r="3465" ht="22.5" customHeight="1">
      <c r="B3465" s="7"/>
      <c r="C3465" s="7"/>
      <c r="D3465" s="7"/>
      <c r="E3465" s="7"/>
      <c r="F3465" s="7"/>
      <c r="G3465" s="7"/>
      <c r="H3465" s="7">
        <f t="shared" si="1"/>
        <v>1029</v>
      </c>
    </row>
    <row r="3466" ht="22.5" customHeight="1">
      <c r="B3466" s="7"/>
      <c r="C3466" s="7"/>
      <c r="D3466" s="7"/>
      <c r="E3466" s="7"/>
      <c r="F3466" s="7"/>
      <c r="G3466" s="7"/>
      <c r="H3466" s="7">
        <f t="shared" si="1"/>
        <v>1029</v>
      </c>
    </row>
    <row r="3467" ht="22.5" customHeight="1">
      <c r="B3467" s="7"/>
      <c r="C3467" s="7"/>
      <c r="D3467" s="7"/>
      <c r="E3467" s="7"/>
      <c r="F3467" s="7"/>
      <c r="G3467" s="7"/>
      <c r="H3467" s="7">
        <f t="shared" si="1"/>
        <v>1029</v>
      </c>
    </row>
    <row r="3468" ht="22.5" customHeight="1">
      <c r="B3468" s="7"/>
      <c r="C3468" s="7"/>
      <c r="D3468" s="7"/>
      <c r="E3468" s="7"/>
      <c r="F3468" s="7"/>
      <c r="G3468" s="7"/>
      <c r="H3468" s="7">
        <f t="shared" si="1"/>
        <v>1029</v>
      </c>
    </row>
    <row r="3469" ht="22.5" customHeight="1">
      <c r="B3469" s="7"/>
      <c r="C3469" s="7"/>
      <c r="D3469" s="7"/>
      <c r="E3469" s="7"/>
      <c r="F3469" s="7"/>
      <c r="G3469" s="7"/>
      <c r="H3469" s="7">
        <f t="shared" si="1"/>
        <v>1029</v>
      </c>
    </row>
    <row r="3470" ht="22.5" customHeight="1">
      <c r="B3470" s="7"/>
      <c r="C3470" s="7"/>
      <c r="D3470" s="7"/>
      <c r="E3470" s="7"/>
      <c r="F3470" s="7"/>
      <c r="G3470" s="7"/>
      <c r="H3470" s="7">
        <f t="shared" si="1"/>
        <v>1029</v>
      </c>
    </row>
    <row r="3471" ht="22.5" customHeight="1">
      <c r="B3471" s="7"/>
      <c r="C3471" s="7"/>
      <c r="D3471" s="7"/>
      <c r="E3471" s="7"/>
      <c r="F3471" s="7"/>
      <c r="G3471" s="7"/>
      <c r="H3471" s="7">
        <f t="shared" si="1"/>
        <v>1029</v>
      </c>
    </row>
    <row r="3472" ht="22.5" customHeight="1">
      <c r="B3472" s="7"/>
      <c r="C3472" s="7"/>
      <c r="D3472" s="7"/>
      <c r="E3472" s="7"/>
      <c r="F3472" s="7"/>
      <c r="G3472" s="7"/>
      <c r="H3472" s="7">
        <f t="shared" si="1"/>
        <v>1029</v>
      </c>
    </row>
    <row r="3473" ht="22.5" customHeight="1">
      <c r="B3473" s="7"/>
      <c r="C3473" s="7"/>
      <c r="D3473" s="7"/>
      <c r="E3473" s="7"/>
      <c r="F3473" s="7"/>
      <c r="G3473" s="7"/>
      <c r="H3473" s="7">
        <f t="shared" si="1"/>
        <v>1029</v>
      </c>
    </row>
    <row r="3474" ht="22.5" customHeight="1">
      <c r="B3474" s="7"/>
      <c r="C3474" s="7"/>
      <c r="D3474" s="7"/>
      <c r="E3474" s="7"/>
      <c r="F3474" s="7"/>
      <c r="G3474" s="7"/>
      <c r="H3474" s="7">
        <f t="shared" si="1"/>
        <v>1029</v>
      </c>
    </row>
    <row r="3475" ht="22.5" customHeight="1">
      <c r="B3475" s="7"/>
      <c r="C3475" s="7"/>
      <c r="D3475" s="7"/>
      <c r="E3475" s="7"/>
      <c r="F3475" s="7"/>
      <c r="G3475" s="7"/>
      <c r="H3475" s="7">
        <f t="shared" si="1"/>
        <v>1029</v>
      </c>
    </row>
    <row r="3476" ht="22.5" customHeight="1">
      <c r="B3476" s="7"/>
      <c r="C3476" s="7"/>
      <c r="D3476" s="7"/>
      <c r="E3476" s="7"/>
      <c r="F3476" s="7"/>
      <c r="G3476" s="7"/>
      <c r="H3476" s="7">
        <f t="shared" si="1"/>
        <v>1029</v>
      </c>
    </row>
    <row r="3477" ht="22.5" customHeight="1">
      <c r="B3477" s="7"/>
      <c r="C3477" s="7"/>
      <c r="D3477" s="7"/>
      <c r="E3477" s="7"/>
      <c r="F3477" s="7"/>
      <c r="G3477" s="7"/>
      <c r="H3477" s="7">
        <f t="shared" si="1"/>
        <v>1029</v>
      </c>
    </row>
    <row r="3478" ht="22.5" customHeight="1">
      <c r="B3478" s="7"/>
      <c r="C3478" s="7"/>
      <c r="D3478" s="7"/>
      <c r="E3478" s="7"/>
      <c r="F3478" s="7"/>
      <c r="G3478" s="7"/>
      <c r="H3478" s="7">
        <f t="shared" si="1"/>
        <v>1029</v>
      </c>
    </row>
    <row r="3479" ht="22.5" customHeight="1">
      <c r="B3479" s="7"/>
      <c r="C3479" s="7"/>
      <c r="D3479" s="7"/>
      <c r="E3479" s="7"/>
      <c r="F3479" s="7"/>
      <c r="G3479" s="7"/>
      <c r="H3479" s="7">
        <f t="shared" si="1"/>
        <v>1029</v>
      </c>
    </row>
    <row r="3480" ht="22.5" customHeight="1">
      <c r="B3480" s="7"/>
      <c r="C3480" s="7"/>
      <c r="D3480" s="7"/>
      <c r="E3480" s="7"/>
      <c r="F3480" s="7"/>
      <c r="G3480" s="7"/>
      <c r="H3480" s="7">
        <f t="shared" si="1"/>
        <v>1029</v>
      </c>
    </row>
    <row r="3481" ht="22.5" customHeight="1">
      <c r="B3481" s="7"/>
      <c r="C3481" s="7"/>
      <c r="D3481" s="7"/>
      <c r="E3481" s="7"/>
      <c r="F3481" s="7"/>
      <c r="G3481" s="7"/>
      <c r="H3481" s="7">
        <f t="shared" si="1"/>
        <v>1029</v>
      </c>
    </row>
    <row r="3482" ht="22.5" customHeight="1">
      <c r="B3482" s="7"/>
      <c r="C3482" s="7"/>
      <c r="D3482" s="7"/>
      <c r="E3482" s="7"/>
      <c r="F3482" s="7"/>
      <c r="G3482" s="7"/>
      <c r="H3482" s="7">
        <f t="shared" si="1"/>
        <v>1029</v>
      </c>
    </row>
    <row r="3483" ht="22.5" customHeight="1">
      <c r="B3483" s="7"/>
      <c r="C3483" s="7"/>
      <c r="D3483" s="7"/>
      <c r="E3483" s="7"/>
      <c r="F3483" s="7"/>
      <c r="G3483" s="7"/>
      <c r="H3483" s="7">
        <f t="shared" si="1"/>
        <v>1029</v>
      </c>
    </row>
    <row r="3484" ht="22.5" customHeight="1">
      <c r="B3484" s="7"/>
      <c r="C3484" s="7"/>
      <c r="D3484" s="7"/>
      <c r="E3484" s="7"/>
      <c r="F3484" s="7"/>
      <c r="G3484" s="7"/>
      <c r="H3484" s="7">
        <f t="shared" si="1"/>
        <v>1029</v>
      </c>
    </row>
    <row r="3485" ht="22.5" customHeight="1">
      <c r="B3485" s="7"/>
      <c r="C3485" s="7"/>
      <c r="D3485" s="7"/>
      <c r="E3485" s="7"/>
      <c r="F3485" s="7"/>
      <c r="G3485" s="7"/>
      <c r="H3485" s="7">
        <f t="shared" si="1"/>
        <v>1029</v>
      </c>
    </row>
    <row r="3486" ht="22.5" customHeight="1">
      <c r="B3486" s="7"/>
      <c r="C3486" s="7"/>
      <c r="D3486" s="7"/>
      <c r="E3486" s="7"/>
      <c r="F3486" s="7"/>
      <c r="G3486" s="7"/>
      <c r="H3486" s="7">
        <f t="shared" si="1"/>
        <v>1029</v>
      </c>
    </row>
    <row r="3487" ht="22.5" customHeight="1">
      <c r="B3487" s="7"/>
      <c r="C3487" s="7"/>
      <c r="D3487" s="7"/>
      <c r="E3487" s="7"/>
      <c r="F3487" s="7"/>
      <c r="G3487" s="7"/>
      <c r="H3487" s="7">
        <f t="shared" si="1"/>
        <v>1029</v>
      </c>
    </row>
    <row r="3488" ht="22.5" customHeight="1">
      <c r="B3488" s="7"/>
      <c r="C3488" s="7"/>
      <c r="D3488" s="7"/>
      <c r="E3488" s="7"/>
      <c r="F3488" s="7"/>
      <c r="G3488" s="7"/>
      <c r="H3488" s="7">
        <f t="shared" si="1"/>
        <v>1029</v>
      </c>
    </row>
    <row r="3489" ht="22.5" customHeight="1">
      <c r="B3489" s="7"/>
      <c r="C3489" s="7"/>
      <c r="D3489" s="7"/>
      <c r="E3489" s="7"/>
      <c r="F3489" s="7"/>
      <c r="G3489" s="7"/>
      <c r="H3489" s="7">
        <f t="shared" si="1"/>
        <v>1029</v>
      </c>
    </row>
    <row r="3490" ht="22.5" customHeight="1">
      <c r="B3490" s="7"/>
      <c r="C3490" s="7"/>
      <c r="D3490" s="7"/>
      <c r="E3490" s="7"/>
      <c r="F3490" s="7"/>
      <c r="G3490" s="7"/>
      <c r="H3490" s="7">
        <f t="shared" si="1"/>
        <v>1029</v>
      </c>
    </row>
    <row r="3491" ht="22.5" customHeight="1">
      <c r="B3491" s="7"/>
      <c r="C3491" s="7"/>
      <c r="D3491" s="7"/>
      <c r="E3491" s="7"/>
      <c r="F3491" s="7"/>
      <c r="G3491" s="7"/>
      <c r="H3491" s="7">
        <f t="shared" si="1"/>
        <v>1029</v>
      </c>
    </row>
    <row r="3492" ht="22.5" customHeight="1">
      <c r="B3492" s="7"/>
      <c r="C3492" s="7"/>
      <c r="D3492" s="7"/>
      <c r="E3492" s="7"/>
      <c r="F3492" s="7"/>
      <c r="G3492" s="7"/>
      <c r="H3492" s="7">
        <f t="shared" si="1"/>
        <v>1029</v>
      </c>
    </row>
    <row r="3493" ht="22.5" customHeight="1">
      <c r="B3493" s="7"/>
      <c r="C3493" s="7"/>
      <c r="D3493" s="7"/>
      <c r="E3493" s="7"/>
      <c r="F3493" s="7"/>
      <c r="G3493" s="7"/>
      <c r="H3493" s="7">
        <f t="shared" si="1"/>
        <v>1029</v>
      </c>
    </row>
    <row r="3494" ht="22.5" customHeight="1">
      <c r="B3494" s="7"/>
      <c r="C3494" s="7"/>
      <c r="D3494" s="7"/>
      <c r="E3494" s="7"/>
      <c r="F3494" s="7"/>
      <c r="G3494" s="7"/>
      <c r="H3494" s="7">
        <f t="shared" si="1"/>
        <v>1029</v>
      </c>
    </row>
    <row r="3495" ht="22.5" customHeight="1">
      <c r="B3495" s="7"/>
      <c r="C3495" s="7"/>
      <c r="D3495" s="7"/>
      <c r="E3495" s="7"/>
      <c r="F3495" s="7"/>
      <c r="G3495" s="7"/>
      <c r="H3495" s="7">
        <f t="shared" si="1"/>
        <v>1029</v>
      </c>
    </row>
    <row r="3496" ht="22.5" customHeight="1">
      <c r="B3496" s="7"/>
      <c r="C3496" s="7"/>
      <c r="D3496" s="7"/>
      <c r="E3496" s="7"/>
      <c r="F3496" s="7"/>
      <c r="G3496" s="7"/>
      <c r="H3496" s="7">
        <f t="shared" si="1"/>
        <v>1029</v>
      </c>
    </row>
    <row r="3497" ht="22.5" customHeight="1">
      <c r="B3497" s="7"/>
      <c r="C3497" s="7"/>
      <c r="D3497" s="7"/>
      <c r="E3497" s="7"/>
      <c r="F3497" s="7"/>
      <c r="G3497" s="7"/>
      <c r="H3497" s="7">
        <f t="shared" si="1"/>
        <v>1029</v>
      </c>
    </row>
    <row r="3498" ht="22.5" customHeight="1">
      <c r="B3498" s="7"/>
      <c r="C3498" s="7"/>
      <c r="D3498" s="7"/>
      <c r="E3498" s="7"/>
      <c r="F3498" s="7"/>
      <c r="G3498" s="7"/>
      <c r="H3498" s="7">
        <f t="shared" si="1"/>
        <v>1029</v>
      </c>
    </row>
    <row r="3499" ht="22.5" customHeight="1">
      <c r="B3499" s="7"/>
      <c r="C3499" s="7"/>
      <c r="D3499" s="7"/>
      <c r="E3499" s="7"/>
      <c r="F3499" s="7"/>
      <c r="G3499" s="7"/>
      <c r="H3499" s="7">
        <f t="shared" si="1"/>
        <v>1029</v>
      </c>
    </row>
    <row r="3500" ht="22.5" customHeight="1">
      <c r="B3500" s="7"/>
      <c r="C3500" s="7"/>
      <c r="D3500" s="7"/>
      <c r="E3500" s="7"/>
      <c r="F3500" s="7"/>
      <c r="G3500" s="7"/>
      <c r="H3500" s="7">
        <f t="shared" si="1"/>
        <v>1029</v>
      </c>
    </row>
    <row r="3501" ht="22.5" customHeight="1">
      <c r="B3501" s="7"/>
      <c r="C3501" s="7"/>
      <c r="D3501" s="7"/>
      <c r="E3501" s="7"/>
      <c r="F3501" s="7"/>
      <c r="G3501" s="7"/>
      <c r="H3501" s="7">
        <f t="shared" si="1"/>
        <v>1029</v>
      </c>
    </row>
    <row r="3502" ht="22.5" customHeight="1">
      <c r="B3502" s="7"/>
      <c r="C3502" s="7"/>
      <c r="D3502" s="7"/>
      <c r="E3502" s="7"/>
      <c r="F3502" s="7"/>
      <c r="G3502" s="7"/>
      <c r="H3502" s="7">
        <f t="shared" si="1"/>
        <v>1029</v>
      </c>
    </row>
    <row r="3503" ht="22.5" customHeight="1">
      <c r="B3503" s="7"/>
      <c r="C3503" s="7"/>
      <c r="D3503" s="7"/>
      <c r="E3503" s="7"/>
      <c r="F3503" s="7"/>
      <c r="G3503" s="7"/>
      <c r="H3503" s="7">
        <f t="shared" si="1"/>
        <v>1029</v>
      </c>
    </row>
    <row r="3504" ht="22.5" customHeight="1">
      <c r="B3504" s="7"/>
      <c r="C3504" s="7"/>
      <c r="D3504" s="7"/>
      <c r="E3504" s="7"/>
      <c r="F3504" s="7"/>
      <c r="G3504" s="7"/>
      <c r="H3504" s="7">
        <f t="shared" si="1"/>
        <v>1029</v>
      </c>
    </row>
    <row r="3505" ht="22.5" customHeight="1">
      <c r="B3505" s="7"/>
      <c r="C3505" s="7"/>
      <c r="D3505" s="7"/>
      <c r="E3505" s="7"/>
      <c r="F3505" s="7"/>
      <c r="G3505" s="7"/>
      <c r="H3505" s="7">
        <f t="shared" si="1"/>
        <v>1029</v>
      </c>
    </row>
    <row r="3506" ht="22.5" customHeight="1">
      <c r="B3506" s="7"/>
      <c r="C3506" s="7"/>
      <c r="D3506" s="7"/>
      <c r="E3506" s="7"/>
      <c r="F3506" s="7"/>
      <c r="G3506" s="7"/>
      <c r="H3506" s="7">
        <f t="shared" si="1"/>
        <v>1029</v>
      </c>
    </row>
    <row r="3507" ht="22.5" customHeight="1">
      <c r="B3507" s="7"/>
      <c r="C3507" s="7"/>
      <c r="D3507" s="7"/>
      <c r="E3507" s="7"/>
      <c r="F3507" s="7"/>
      <c r="G3507" s="7"/>
      <c r="H3507" s="7">
        <f t="shared" si="1"/>
        <v>1029</v>
      </c>
    </row>
    <row r="3508" ht="22.5" customHeight="1">
      <c r="B3508" s="7"/>
      <c r="C3508" s="7"/>
      <c r="D3508" s="7"/>
      <c r="E3508" s="7"/>
      <c r="F3508" s="7"/>
      <c r="G3508" s="7"/>
      <c r="H3508" s="7">
        <f t="shared" si="1"/>
        <v>1029</v>
      </c>
    </row>
    <row r="3509" ht="22.5" customHeight="1">
      <c r="B3509" s="7"/>
      <c r="C3509" s="7"/>
      <c r="D3509" s="7"/>
      <c r="E3509" s="7"/>
      <c r="F3509" s="7"/>
      <c r="G3509" s="7"/>
      <c r="H3509" s="7">
        <f t="shared" si="1"/>
        <v>1029</v>
      </c>
    </row>
    <row r="3510" ht="22.5" customHeight="1">
      <c r="B3510" s="7"/>
      <c r="C3510" s="7"/>
      <c r="D3510" s="7"/>
      <c r="E3510" s="7"/>
      <c r="F3510" s="7"/>
      <c r="G3510" s="7"/>
      <c r="H3510" s="7">
        <f t="shared" si="1"/>
        <v>1029</v>
      </c>
    </row>
    <row r="3511" ht="22.5" customHeight="1">
      <c r="B3511" s="7"/>
      <c r="C3511" s="7"/>
      <c r="D3511" s="7"/>
      <c r="E3511" s="7"/>
      <c r="F3511" s="7"/>
      <c r="G3511" s="7"/>
      <c r="H3511" s="7">
        <f t="shared" si="1"/>
        <v>1029</v>
      </c>
    </row>
    <row r="3512" ht="22.5" customHeight="1">
      <c r="B3512" s="7"/>
      <c r="C3512" s="7"/>
      <c r="D3512" s="7"/>
      <c r="E3512" s="7"/>
      <c r="F3512" s="7"/>
      <c r="G3512" s="7"/>
      <c r="H3512" s="7">
        <f t="shared" si="1"/>
        <v>1029</v>
      </c>
    </row>
    <row r="3513" ht="22.5" customHeight="1">
      <c r="B3513" s="7"/>
      <c r="C3513" s="7"/>
      <c r="D3513" s="7"/>
      <c r="E3513" s="7"/>
      <c r="F3513" s="7"/>
      <c r="G3513" s="7"/>
      <c r="H3513" s="7">
        <f t="shared" si="1"/>
        <v>1029</v>
      </c>
    </row>
    <row r="3514" ht="22.5" customHeight="1">
      <c r="B3514" s="7"/>
      <c r="C3514" s="7"/>
      <c r="D3514" s="7"/>
      <c r="E3514" s="7"/>
      <c r="F3514" s="7"/>
      <c r="G3514" s="7"/>
      <c r="H3514" s="7">
        <f t="shared" si="1"/>
        <v>1029</v>
      </c>
    </row>
    <row r="3515" ht="22.5" customHeight="1">
      <c r="B3515" s="7"/>
      <c r="C3515" s="7"/>
      <c r="D3515" s="7"/>
      <c r="E3515" s="7"/>
      <c r="F3515" s="7"/>
      <c r="G3515" s="7"/>
      <c r="H3515" s="7">
        <f t="shared" si="1"/>
        <v>1029</v>
      </c>
    </row>
    <row r="3516" ht="22.5" customHeight="1">
      <c r="B3516" s="7"/>
      <c r="C3516" s="7"/>
      <c r="D3516" s="7"/>
      <c r="E3516" s="7"/>
      <c r="F3516" s="7"/>
      <c r="G3516" s="7"/>
      <c r="H3516" s="7">
        <f t="shared" si="1"/>
        <v>1029</v>
      </c>
    </row>
    <row r="3517" ht="22.5" customHeight="1">
      <c r="B3517" s="7"/>
      <c r="C3517" s="7"/>
      <c r="D3517" s="7"/>
      <c r="E3517" s="7"/>
      <c r="F3517" s="7"/>
      <c r="G3517" s="7"/>
      <c r="H3517" s="7">
        <f t="shared" si="1"/>
        <v>1029</v>
      </c>
    </row>
    <row r="3518" ht="22.5" customHeight="1">
      <c r="B3518" s="7"/>
      <c r="C3518" s="7"/>
      <c r="D3518" s="7"/>
      <c r="E3518" s="7"/>
      <c r="F3518" s="7"/>
      <c r="G3518" s="7"/>
      <c r="H3518" s="7">
        <f t="shared" si="1"/>
        <v>1029</v>
      </c>
    </row>
    <row r="3519" ht="22.5" customHeight="1">
      <c r="B3519" s="7"/>
      <c r="C3519" s="7"/>
      <c r="D3519" s="7"/>
      <c r="E3519" s="7"/>
      <c r="F3519" s="7"/>
      <c r="G3519" s="7"/>
      <c r="H3519" s="7">
        <f t="shared" si="1"/>
        <v>1029</v>
      </c>
    </row>
    <row r="3520" ht="22.5" customHeight="1">
      <c r="B3520" s="7"/>
      <c r="C3520" s="7"/>
      <c r="D3520" s="7"/>
      <c r="E3520" s="7"/>
      <c r="F3520" s="7"/>
      <c r="G3520" s="7"/>
      <c r="H3520" s="7">
        <f t="shared" si="1"/>
        <v>1029</v>
      </c>
    </row>
    <row r="3521" ht="22.5" customHeight="1">
      <c r="B3521" s="7"/>
      <c r="C3521" s="7"/>
      <c r="D3521" s="7"/>
      <c r="E3521" s="7"/>
      <c r="F3521" s="7"/>
      <c r="G3521" s="7"/>
      <c r="H3521" s="7">
        <f t="shared" si="1"/>
        <v>1029</v>
      </c>
    </row>
    <row r="3522" ht="22.5" customHeight="1">
      <c r="B3522" s="7"/>
      <c r="C3522" s="7"/>
      <c r="D3522" s="7"/>
      <c r="E3522" s="7"/>
      <c r="F3522" s="7"/>
      <c r="G3522" s="7"/>
      <c r="H3522" s="7">
        <f t="shared" si="1"/>
        <v>1029</v>
      </c>
    </row>
    <row r="3523" ht="22.5" customHeight="1">
      <c r="B3523" s="7"/>
      <c r="C3523" s="7"/>
      <c r="D3523" s="7"/>
      <c r="E3523" s="7"/>
      <c r="F3523" s="7"/>
      <c r="G3523" s="7"/>
      <c r="H3523" s="7">
        <f t="shared" si="1"/>
        <v>1029</v>
      </c>
    </row>
    <row r="3524" ht="22.5" customHeight="1">
      <c r="B3524" s="7"/>
      <c r="C3524" s="7"/>
      <c r="D3524" s="7"/>
      <c r="E3524" s="7"/>
      <c r="F3524" s="7"/>
      <c r="G3524" s="7"/>
      <c r="H3524" s="7">
        <f t="shared" si="1"/>
        <v>1029</v>
      </c>
    </row>
    <row r="3525" ht="22.5" customHeight="1">
      <c r="B3525" s="7"/>
      <c r="C3525" s="7"/>
      <c r="D3525" s="7"/>
      <c r="E3525" s="7"/>
      <c r="F3525" s="7"/>
      <c r="G3525" s="7"/>
      <c r="H3525" s="7">
        <f t="shared" si="1"/>
        <v>1029</v>
      </c>
    </row>
    <row r="3526" ht="22.5" customHeight="1">
      <c r="B3526" s="7"/>
      <c r="C3526" s="7"/>
      <c r="D3526" s="7"/>
      <c r="E3526" s="7"/>
      <c r="F3526" s="7"/>
      <c r="G3526" s="7"/>
      <c r="H3526" s="7">
        <f t="shared" si="1"/>
        <v>1029</v>
      </c>
    </row>
    <row r="3527" ht="22.5" customHeight="1">
      <c r="B3527" s="7"/>
      <c r="C3527" s="7"/>
      <c r="D3527" s="7"/>
      <c r="E3527" s="7"/>
      <c r="F3527" s="7"/>
      <c r="G3527" s="7"/>
      <c r="H3527" s="7">
        <f t="shared" si="1"/>
        <v>1029</v>
      </c>
    </row>
    <row r="3528" ht="22.5" customHeight="1">
      <c r="B3528" s="7"/>
      <c r="C3528" s="7"/>
      <c r="D3528" s="7"/>
      <c r="E3528" s="7"/>
      <c r="F3528" s="7"/>
      <c r="G3528" s="7"/>
      <c r="H3528" s="7">
        <f t="shared" si="1"/>
        <v>1029</v>
      </c>
    </row>
    <row r="3529" ht="22.5" customHeight="1">
      <c r="B3529" s="7"/>
      <c r="C3529" s="7"/>
      <c r="D3529" s="7"/>
      <c r="E3529" s="7"/>
      <c r="F3529" s="7"/>
      <c r="G3529" s="7"/>
      <c r="H3529" s="7">
        <f t="shared" si="1"/>
        <v>1029</v>
      </c>
    </row>
    <row r="3530" ht="22.5" customHeight="1">
      <c r="B3530" s="7"/>
      <c r="C3530" s="7"/>
      <c r="D3530" s="7"/>
      <c r="E3530" s="7"/>
      <c r="F3530" s="7"/>
      <c r="G3530" s="7"/>
      <c r="H3530" s="7">
        <f t="shared" si="1"/>
        <v>1029</v>
      </c>
    </row>
    <row r="3531" ht="22.5" customHeight="1">
      <c r="B3531" s="7"/>
      <c r="C3531" s="7"/>
      <c r="D3531" s="7"/>
      <c r="E3531" s="7"/>
      <c r="F3531" s="7"/>
      <c r="G3531" s="7"/>
      <c r="H3531" s="7">
        <f t="shared" si="1"/>
        <v>1029</v>
      </c>
    </row>
    <row r="3532" ht="22.5" customHeight="1">
      <c r="B3532" s="7"/>
      <c r="C3532" s="7"/>
      <c r="D3532" s="7"/>
      <c r="E3532" s="7"/>
      <c r="F3532" s="7"/>
      <c r="G3532" s="7"/>
      <c r="H3532" s="7">
        <f t="shared" si="1"/>
        <v>1029</v>
      </c>
    </row>
    <row r="3533" ht="22.5" customHeight="1">
      <c r="B3533" s="7"/>
      <c r="C3533" s="7"/>
      <c r="D3533" s="7"/>
      <c r="E3533" s="7"/>
      <c r="F3533" s="7"/>
      <c r="G3533" s="7"/>
      <c r="H3533" s="7">
        <f t="shared" si="1"/>
        <v>1029</v>
      </c>
    </row>
    <row r="3534" ht="22.5" customHeight="1">
      <c r="B3534" s="7"/>
      <c r="C3534" s="7"/>
      <c r="D3534" s="7"/>
      <c r="E3534" s="7"/>
      <c r="F3534" s="7"/>
      <c r="G3534" s="7"/>
      <c r="H3534" s="7">
        <f t="shared" si="1"/>
        <v>1029</v>
      </c>
    </row>
    <row r="3535" ht="22.5" customHeight="1">
      <c r="B3535" s="7"/>
      <c r="C3535" s="7"/>
      <c r="D3535" s="7"/>
      <c r="E3535" s="7"/>
      <c r="F3535" s="7"/>
      <c r="G3535" s="7"/>
      <c r="H3535" s="7">
        <f t="shared" si="1"/>
        <v>1029</v>
      </c>
    </row>
    <row r="3536" ht="22.5" customHeight="1">
      <c r="B3536" s="7"/>
      <c r="C3536" s="7"/>
      <c r="D3536" s="7"/>
      <c r="E3536" s="7"/>
      <c r="F3536" s="7"/>
      <c r="G3536" s="7"/>
      <c r="H3536" s="7">
        <f t="shared" si="1"/>
        <v>1029</v>
      </c>
    </row>
    <row r="3537" ht="22.5" customHeight="1">
      <c r="B3537" s="7"/>
      <c r="C3537" s="7"/>
      <c r="D3537" s="7"/>
      <c r="E3537" s="7"/>
      <c r="F3537" s="7"/>
      <c r="G3537" s="7"/>
      <c r="H3537" s="7">
        <f t="shared" si="1"/>
        <v>1029</v>
      </c>
    </row>
    <row r="3538" ht="22.5" customHeight="1">
      <c r="B3538" s="7"/>
      <c r="C3538" s="7"/>
      <c r="D3538" s="7"/>
      <c r="E3538" s="7"/>
      <c r="F3538" s="7"/>
      <c r="G3538" s="7"/>
      <c r="H3538" s="7">
        <f t="shared" si="1"/>
        <v>1029</v>
      </c>
    </row>
    <row r="3539" ht="22.5" customHeight="1">
      <c r="B3539" s="7"/>
      <c r="C3539" s="7"/>
      <c r="D3539" s="7"/>
      <c r="E3539" s="7"/>
      <c r="F3539" s="7"/>
      <c r="G3539" s="7"/>
      <c r="H3539" s="7">
        <f t="shared" si="1"/>
        <v>1029</v>
      </c>
    </row>
    <row r="3540" ht="22.5" customHeight="1">
      <c r="B3540" s="7"/>
      <c r="C3540" s="7"/>
      <c r="D3540" s="7"/>
      <c r="E3540" s="7"/>
      <c r="F3540" s="7"/>
      <c r="G3540" s="7"/>
      <c r="H3540" s="7">
        <f t="shared" si="1"/>
        <v>1029</v>
      </c>
    </row>
    <row r="3541" ht="22.5" customHeight="1">
      <c r="B3541" s="7"/>
      <c r="C3541" s="7"/>
      <c r="D3541" s="7"/>
      <c r="E3541" s="7"/>
      <c r="F3541" s="7"/>
      <c r="G3541" s="7"/>
      <c r="H3541" s="7">
        <f t="shared" si="1"/>
        <v>1029</v>
      </c>
    </row>
    <row r="3542" ht="22.5" customHeight="1">
      <c r="B3542" s="7"/>
      <c r="C3542" s="7"/>
      <c r="D3542" s="7"/>
      <c r="E3542" s="7"/>
      <c r="F3542" s="7"/>
      <c r="G3542" s="7"/>
      <c r="H3542" s="7">
        <f t="shared" si="1"/>
        <v>1029</v>
      </c>
    </row>
    <row r="3543" ht="22.5" customHeight="1">
      <c r="B3543" s="7"/>
      <c r="C3543" s="7"/>
      <c r="D3543" s="7"/>
      <c r="E3543" s="7"/>
      <c r="F3543" s="7"/>
      <c r="G3543" s="7"/>
      <c r="H3543" s="7">
        <f t="shared" si="1"/>
        <v>1029</v>
      </c>
    </row>
    <row r="3544" ht="22.5" customHeight="1">
      <c r="B3544" s="7"/>
      <c r="C3544" s="7"/>
      <c r="D3544" s="7"/>
      <c r="E3544" s="7"/>
      <c r="F3544" s="7"/>
      <c r="G3544" s="7"/>
      <c r="H3544" s="7">
        <f t="shared" si="1"/>
        <v>1029</v>
      </c>
    </row>
    <row r="3545" ht="22.5" customHeight="1">
      <c r="B3545" s="7"/>
      <c r="C3545" s="7"/>
      <c r="D3545" s="7"/>
      <c r="E3545" s="7"/>
      <c r="F3545" s="7"/>
      <c r="G3545" s="7"/>
      <c r="H3545" s="7">
        <f t="shared" si="1"/>
        <v>1029</v>
      </c>
    </row>
    <row r="3546" ht="22.5" customHeight="1">
      <c r="B3546" s="7"/>
      <c r="C3546" s="7"/>
      <c r="D3546" s="7"/>
      <c r="E3546" s="7"/>
      <c r="F3546" s="7"/>
      <c r="G3546" s="7"/>
      <c r="H3546" s="7">
        <f t="shared" si="1"/>
        <v>1029</v>
      </c>
    </row>
    <row r="3547" ht="22.5" customHeight="1">
      <c r="B3547" s="7"/>
      <c r="C3547" s="7"/>
      <c r="D3547" s="7"/>
      <c r="E3547" s="7"/>
      <c r="F3547" s="7"/>
      <c r="G3547" s="7"/>
      <c r="H3547" s="7">
        <f t="shared" si="1"/>
        <v>1029</v>
      </c>
    </row>
    <row r="3548" ht="22.5" customHeight="1">
      <c r="B3548" s="7"/>
      <c r="C3548" s="7"/>
      <c r="D3548" s="7"/>
      <c r="E3548" s="7"/>
      <c r="F3548" s="7"/>
      <c r="G3548" s="7"/>
      <c r="H3548" s="7">
        <f t="shared" si="1"/>
        <v>1029</v>
      </c>
    </row>
    <row r="3549" ht="22.5" customHeight="1">
      <c r="B3549" s="7"/>
      <c r="C3549" s="7"/>
      <c r="D3549" s="7"/>
      <c r="E3549" s="7"/>
      <c r="F3549" s="7"/>
      <c r="G3549" s="7"/>
      <c r="H3549" s="7">
        <f t="shared" si="1"/>
        <v>1029</v>
      </c>
    </row>
    <row r="3550" ht="22.5" customHeight="1">
      <c r="B3550" s="7"/>
      <c r="C3550" s="7"/>
      <c r="D3550" s="7"/>
      <c r="E3550" s="7"/>
      <c r="F3550" s="7"/>
      <c r="G3550" s="7"/>
      <c r="H3550" s="7">
        <f t="shared" si="1"/>
        <v>1029</v>
      </c>
    </row>
    <row r="3551" ht="22.5" customHeight="1">
      <c r="B3551" s="7"/>
      <c r="C3551" s="7"/>
      <c r="D3551" s="7"/>
      <c r="E3551" s="7"/>
      <c r="F3551" s="7"/>
      <c r="G3551" s="7"/>
      <c r="H3551" s="7">
        <f t="shared" si="1"/>
        <v>1029</v>
      </c>
    </row>
    <row r="3552" ht="22.5" customHeight="1">
      <c r="B3552" s="7"/>
      <c r="C3552" s="7"/>
      <c r="D3552" s="7"/>
      <c r="E3552" s="7"/>
      <c r="F3552" s="7"/>
      <c r="G3552" s="7"/>
      <c r="H3552" s="7">
        <f t="shared" si="1"/>
        <v>1029</v>
      </c>
    </row>
    <row r="3553" ht="22.5" customHeight="1">
      <c r="B3553" s="7"/>
      <c r="C3553" s="7"/>
      <c r="D3553" s="7"/>
      <c r="E3553" s="7"/>
      <c r="F3553" s="7"/>
      <c r="G3553" s="7"/>
      <c r="H3553" s="7">
        <f t="shared" si="1"/>
        <v>1029</v>
      </c>
    </row>
    <row r="3554" ht="22.5" customHeight="1">
      <c r="B3554" s="7"/>
      <c r="C3554" s="7"/>
      <c r="D3554" s="7"/>
      <c r="E3554" s="7"/>
      <c r="F3554" s="7"/>
      <c r="G3554" s="7"/>
      <c r="H3554" s="7">
        <f t="shared" si="1"/>
        <v>1029</v>
      </c>
    </row>
    <row r="3555" ht="22.5" customHeight="1">
      <c r="B3555" s="7"/>
      <c r="C3555" s="7"/>
      <c r="D3555" s="7"/>
      <c r="E3555" s="7"/>
      <c r="F3555" s="7"/>
      <c r="G3555" s="7"/>
      <c r="H3555" s="7">
        <f t="shared" si="1"/>
        <v>1029</v>
      </c>
    </row>
    <row r="3556" ht="22.5" customHeight="1">
      <c r="B3556" s="7"/>
      <c r="C3556" s="7"/>
      <c r="D3556" s="7"/>
      <c r="E3556" s="7"/>
      <c r="F3556" s="7"/>
      <c r="G3556" s="7"/>
      <c r="H3556" s="7">
        <f t="shared" si="1"/>
        <v>1029</v>
      </c>
    </row>
    <row r="3557" ht="22.5" customHeight="1">
      <c r="B3557" s="7"/>
      <c r="C3557" s="7"/>
      <c r="D3557" s="7"/>
      <c r="E3557" s="7"/>
      <c r="F3557" s="7"/>
      <c r="G3557" s="7"/>
      <c r="H3557" s="7">
        <f t="shared" si="1"/>
        <v>1029</v>
      </c>
    </row>
    <row r="3558" ht="22.5" customHeight="1">
      <c r="B3558" s="7"/>
      <c r="C3558" s="7"/>
      <c r="D3558" s="7"/>
      <c r="E3558" s="7"/>
      <c r="F3558" s="7"/>
      <c r="G3558" s="7"/>
      <c r="H3558" s="7">
        <f t="shared" si="1"/>
        <v>1029</v>
      </c>
    </row>
    <row r="3559" ht="22.5" customHeight="1">
      <c r="B3559" s="7"/>
      <c r="C3559" s="7"/>
      <c r="D3559" s="7"/>
      <c r="E3559" s="7"/>
      <c r="F3559" s="7"/>
      <c r="G3559" s="7"/>
      <c r="H3559" s="7">
        <f t="shared" si="1"/>
        <v>1029</v>
      </c>
    </row>
    <row r="3560" ht="22.5" customHeight="1">
      <c r="B3560" s="7"/>
      <c r="C3560" s="7"/>
      <c r="D3560" s="7"/>
      <c r="E3560" s="7"/>
      <c r="F3560" s="7"/>
      <c r="G3560" s="7"/>
      <c r="H3560" s="7">
        <f t="shared" si="1"/>
        <v>1029</v>
      </c>
    </row>
    <row r="3561" ht="22.5" customHeight="1">
      <c r="B3561" s="7"/>
      <c r="C3561" s="7"/>
      <c r="D3561" s="7"/>
      <c r="E3561" s="7"/>
      <c r="F3561" s="7"/>
      <c r="G3561" s="7"/>
      <c r="H3561" s="7">
        <f t="shared" si="1"/>
        <v>1029</v>
      </c>
    </row>
    <row r="3562" ht="22.5" customHeight="1">
      <c r="B3562" s="7"/>
      <c r="C3562" s="7"/>
      <c r="D3562" s="7"/>
      <c r="E3562" s="7"/>
      <c r="F3562" s="7"/>
      <c r="G3562" s="7"/>
      <c r="H3562" s="7">
        <f t="shared" si="1"/>
        <v>1029</v>
      </c>
    </row>
    <row r="3563" ht="22.5" customHeight="1">
      <c r="B3563" s="7"/>
      <c r="C3563" s="7"/>
      <c r="D3563" s="7"/>
      <c r="E3563" s="7"/>
      <c r="F3563" s="7"/>
      <c r="G3563" s="7"/>
      <c r="H3563" s="7">
        <f t="shared" si="1"/>
        <v>1029</v>
      </c>
    </row>
    <row r="3564" ht="22.5" customHeight="1">
      <c r="B3564" s="7"/>
      <c r="C3564" s="7"/>
      <c r="D3564" s="7"/>
      <c r="E3564" s="7"/>
      <c r="F3564" s="7"/>
      <c r="G3564" s="7"/>
      <c r="H3564" s="7">
        <f t="shared" si="1"/>
        <v>1029</v>
      </c>
    </row>
    <row r="3565" ht="22.5" customHeight="1">
      <c r="B3565" s="7"/>
      <c r="C3565" s="7"/>
      <c r="D3565" s="7"/>
      <c r="E3565" s="7"/>
      <c r="F3565" s="7"/>
      <c r="G3565" s="7"/>
      <c r="H3565" s="7">
        <f t="shared" si="1"/>
        <v>1029</v>
      </c>
    </row>
    <row r="3566" ht="22.5" customHeight="1">
      <c r="B3566" s="7"/>
      <c r="C3566" s="7"/>
      <c r="D3566" s="7"/>
      <c r="E3566" s="7"/>
      <c r="F3566" s="7"/>
      <c r="G3566" s="7"/>
      <c r="H3566" s="7">
        <f t="shared" si="1"/>
        <v>1029</v>
      </c>
    </row>
    <row r="3567" ht="22.5" customHeight="1">
      <c r="B3567" s="7"/>
      <c r="C3567" s="7"/>
      <c r="D3567" s="7"/>
      <c r="E3567" s="7"/>
      <c r="F3567" s="7"/>
      <c r="G3567" s="7"/>
      <c r="H3567" s="7">
        <f t="shared" si="1"/>
        <v>1029</v>
      </c>
    </row>
    <row r="3568" ht="22.5" customHeight="1">
      <c r="B3568" s="7"/>
      <c r="C3568" s="7"/>
      <c r="D3568" s="7"/>
      <c r="E3568" s="7"/>
      <c r="F3568" s="7"/>
      <c r="G3568" s="7"/>
      <c r="H3568" s="7">
        <f t="shared" si="1"/>
        <v>1029</v>
      </c>
    </row>
    <row r="3569" ht="22.5" customHeight="1">
      <c r="B3569" s="7"/>
      <c r="C3569" s="7"/>
      <c r="D3569" s="7"/>
      <c r="E3569" s="7"/>
      <c r="F3569" s="7"/>
      <c r="G3569" s="7"/>
      <c r="H3569" s="7">
        <f t="shared" si="1"/>
        <v>1029</v>
      </c>
    </row>
    <row r="3570" ht="22.5" customHeight="1">
      <c r="B3570" s="7"/>
      <c r="C3570" s="7"/>
      <c r="D3570" s="7"/>
      <c r="E3570" s="7"/>
      <c r="F3570" s="7"/>
      <c r="G3570" s="7"/>
      <c r="H3570" s="7">
        <f t="shared" si="1"/>
        <v>1029</v>
      </c>
    </row>
    <row r="3571" ht="22.5" customHeight="1">
      <c r="B3571" s="7"/>
      <c r="C3571" s="7"/>
      <c r="D3571" s="7"/>
      <c r="E3571" s="7"/>
      <c r="F3571" s="7"/>
      <c r="G3571" s="7"/>
      <c r="H3571" s="7">
        <f t="shared" si="1"/>
        <v>1029</v>
      </c>
    </row>
    <row r="3572" ht="22.5" customHeight="1">
      <c r="B3572" s="7"/>
      <c r="C3572" s="7"/>
      <c r="D3572" s="7"/>
      <c r="E3572" s="7"/>
      <c r="F3572" s="7"/>
      <c r="G3572" s="7"/>
      <c r="H3572" s="7">
        <f t="shared" si="1"/>
        <v>1029</v>
      </c>
    </row>
    <row r="3573" ht="22.5" customHeight="1">
      <c r="B3573" s="7"/>
      <c r="C3573" s="7"/>
      <c r="D3573" s="7"/>
      <c r="E3573" s="7"/>
      <c r="F3573" s="7"/>
      <c r="G3573" s="7"/>
      <c r="H3573" s="7">
        <f t="shared" si="1"/>
        <v>1029</v>
      </c>
    </row>
    <row r="3574" ht="22.5" customHeight="1">
      <c r="B3574" s="7"/>
      <c r="C3574" s="7"/>
      <c r="D3574" s="7"/>
      <c r="E3574" s="7"/>
      <c r="F3574" s="7"/>
      <c r="G3574" s="7"/>
      <c r="H3574" s="7">
        <f t="shared" si="1"/>
        <v>1029</v>
      </c>
    </row>
    <row r="3575" ht="22.5" customHeight="1">
      <c r="B3575" s="7"/>
      <c r="C3575" s="7"/>
      <c r="D3575" s="7"/>
      <c r="E3575" s="7"/>
      <c r="F3575" s="7"/>
      <c r="G3575" s="7"/>
      <c r="H3575" s="7">
        <f t="shared" si="1"/>
        <v>1029</v>
      </c>
    </row>
    <row r="3576" ht="22.5" customHeight="1">
      <c r="B3576" s="7"/>
      <c r="C3576" s="7"/>
      <c r="D3576" s="7"/>
      <c r="E3576" s="7"/>
      <c r="F3576" s="7"/>
      <c r="G3576" s="7"/>
      <c r="H3576" s="7">
        <f t="shared" si="1"/>
        <v>1029</v>
      </c>
    </row>
    <row r="3577" ht="22.5" customHeight="1">
      <c r="B3577" s="7"/>
      <c r="C3577" s="7"/>
      <c r="D3577" s="7"/>
      <c r="E3577" s="7"/>
      <c r="F3577" s="7"/>
      <c r="G3577" s="7"/>
      <c r="H3577" s="7">
        <f t="shared" si="1"/>
        <v>1029</v>
      </c>
    </row>
    <row r="3578" ht="22.5" customHeight="1">
      <c r="B3578" s="7"/>
      <c r="C3578" s="7"/>
      <c r="D3578" s="7"/>
      <c r="E3578" s="7"/>
      <c r="F3578" s="7"/>
      <c r="G3578" s="7"/>
      <c r="H3578" s="7">
        <f t="shared" si="1"/>
        <v>1029</v>
      </c>
    </row>
    <row r="3579" ht="22.5" customHeight="1">
      <c r="B3579" s="7"/>
      <c r="C3579" s="7"/>
      <c r="D3579" s="7"/>
      <c r="E3579" s="7"/>
      <c r="F3579" s="7"/>
      <c r="G3579" s="7"/>
      <c r="H3579" s="7">
        <f t="shared" si="1"/>
        <v>1029</v>
      </c>
    </row>
    <row r="3580" ht="22.5" customHeight="1">
      <c r="B3580" s="7"/>
      <c r="C3580" s="7"/>
      <c r="D3580" s="7"/>
      <c r="E3580" s="7"/>
      <c r="F3580" s="7"/>
      <c r="G3580" s="7"/>
      <c r="H3580" s="7">
        <f t="shared" si="1"/>
        <v>1029</v>
      </c>
    </row>
    <row r="3581" ht="22.5" customHeight="1">
      <c r="B3581" s="7"/>
      <c r="C3581" s="7"/>
      <c r="D3581" s="7"/>
      <c r="E3581" s="7"/>
      <c r="F3581" s="7"/>
      <c r="G3581" s="7"/>
      <c r="H3581" s="7">
        <f t="shared" si="1"/>
        <v>1029</v>
      </c>
    </row>
    <row r="3582" ht="22.5" customHeight="1">
      <c r="B3582" s="7"/>
      <c r="C3582" s="7"/>
      <c r="D3582" s="7"/>
      <c r="E3582" s="7"/>
      <c r="F3582" s="7"/>
      <c r="G3582" s="7"/>
      <c r="H3582" s="7">
        <f t="shared" si="1"/>
        <v>1029</v>
      </c>
    </row>
    <row r="3583" ht="22.5" customHeight="1">
      <c r="B3583" s="7"/>
      <c r="C3583" s="7"/>
      <c r="D3583" s="7"/>
      <c r="E3583" s="7"/>
      <c r="F3583" s="7"/>
      <c r="G3583" s="7"/>
      <c r="H3583" s="7">
        <f t="shared" si="1"/>
        <v>1029</v>
      </c>
    </row>
    <row r="3584" ht="22.5" customHeight="1">
      <c r="B3584" s="7"/>
      <c r="C3584" s="7"/>
      <c r="D3584" s="7"/>
      <c r="E3584" s="7"/>
      <c r="F3584" s="7"/>
      <c r="G3584" s="7"/>
      <c r="H3584" s="7">
        <f t="shared" si="1"/>
        <v>1029</v>
      </c>
    </row>
    <row r="3585" ht="22.5" customHeight="1">
      <c r="B3585" s="7"/>
      <c r="C3585" s="7"/>
      <c r="D3585" s="7"/>
      <c r="E3585" s="7"/>
      <c r="F3585" s="7"/>
      <c r="G3585" s="7"/>
      <c r="H3585" s="7">
        <f t="shared" si="1"/>
        <v>1029</v>
      </c>
    </row>
    <row r="3586" ht="22.5" customHeight="1">
      <c r="B3586" s="7"/>
      <c r="C3586" s="7"/>
      <c r="D3586" s="7"/>
      <c r="E3586" s="7"/>
      <c r="F3586" s="7"/>
      <c r="G3586" s="7"/>
      <c r="H3586" s="7">
        <f t="shared" si="1"/>
        <v>1029</v>
      </c>
    </row>
    <row r="3587" ht="22.5" customHeight="1">
      <c r="B3587" s="7"/>
      <c r="C3587" s="7"/>
      <c r="D3587" s="7"/>
      <c r="E3587" s="7"/>
      <c r="F3587" s="7"/>
      <c r="G3587" s="7"/>
      <c r="H3587" s="7">
        <f t="shared" si="1"/>
        <v>1029</v>
      </c>
    </row>
    <row r="3588" ht="22.5" customHeight="1">
      <c r="B3588" s="7"/>
      <c r="C3588" s="7"/>
      <c r="D3588" s="7"/>
      <c r="E3588" s="7"/>
      <c r="F3588" s="7"/>
      <c r="G3588" s="7"/>
      <c r="H3588" s="7">
        <f t="shared" si="1"/>
        <v>1029</v>
      </c>
    </row>
    <row r="3589" ht="22.5" customHeight="1">
      <c r="B3589" s="7"/>
      <c r="C3589" s="7"/>
      <c r="D3589" s="7"/>
      <c r="E3589" s="7"/>
      <c r="F3589" s="7"/>
      <c r="G3589" s="7"/>
      <c r="H3589" s="7">
        <f t="shared" si="1"/>
        <v>1029</v>
      </c>
    </row>
    <row r="3590" ht="22.5" customHeight="1">
      <c r="B3590" s="7"/>
      <c r="C3590" s="7"/>
      <c r="D3590" s="7"/>
      <c r="E3590" s="7"/>
      <c r="F3590" s="7"/>
      <c r="G3590" s="7"/>
      <c r="H3590" s="7">
        <f t="shared" si="1"/>
        <v>1029</v>
      </c>
    </row>
    <row r="3591" ht="22.5" customHeight="1">
      <c r="B3591" s="7"/>
      <c r="C3591" s="7"/>
      <c r="D3591" s="7"/>
      <c r="E3591" s="7"/>
      <c r="F3591" s="7"/>
      <c r="G3591" s="7"/>
      <c r="H3591" s="7">
        <f t="shared" si="1"/>
        <v>1029</v>
      </c>
    </row>
    <row r="3592" ht="22.5" customHeight="1">
      <c r="B3592" s="7"/>
      <c r="C3592" s="7"/>
      <c r="D3592" s="7"/>
      <c r="E3592" s="7"/>
      <c r="F3592" s="7"/>
      <c r="G3592" s="7"/>
      <c r="H3592" s="7">
        <f t="shared" si="1"/>
        <v>1029</v>
      </c>
    </row>
    <row r="3593" ht="22.5" customHeight="1">
      <c r="B3593" s="7"/>
      <c r="C3593" s="7"/>
      <c r="D3593" s="7"/>
      <c r="E3593" s="7"/>
      <c r="F3593" s="7"/>
      <c r="G3593" s="7"/>
      <c r="H3593" s="7">
        <f t="shared" si="1"/>
        <v>1029</v>
      </c>
    </row>
    <row r="3594" ht="22.5" customHeight="1">
      <c r="B3594" s="7"/>
      <c r="C3594" s="7"/>
      <c r="D3594" s="7"/>
      <c r="E3594" s="7"/>
      <c r="F3594" s="7"/>
      <c r="G3594" s="7"/>
      <c r="H3594" s="7">
        <f t="shared" si="1"/>
        <v>1029</v>
      </c>
    </row>
    <row r="3595" ht="22.5" customHeight="1">
      <c r="B3595" s="7"/>
      <c r="C3595" s="7"/>
      <c r="D3595" s="7"/>
      <c r="E3595" s="7"/>
      <c r="F3595" s="7"/>
      <c r="G3595" s="7"/>
      <c r="H3595" s="7">
        <f t="shared" si="1"/>
        <v>1029</v>
      </c>
    </row>
    <row r="3596" ht="22.5" customHeight="1">
      <c r="B3596" s="7"/>
      <c r="C3596" s="7"/>
      <c r="D3596" s="7"/>
      <c r="E3596" s="7"/>
      <c r="F3596" s="7"/>
      <c r="G3596" s="7"/>
      <c r="H3596" s="7">
        <f t="shared" si="1"/>
        <v>1029</v>
      </c>
    </row>
    <row r="3597" ht="22.5" customHeight="1">
      <c r="B3597" s="7"/>
      <c r="C3597" s="7"/>
      <c r="D3597" s="7"/>
      <c r="E3597" s="7"/>
      <c r="F3597" s="7"/>
      <c r="G3597" s="7"/>
      <c r="H3597" s="7">
        <f t="shared" si="1"/>
        <v>1029</v>
      </c>
    </row>
    <row r="3598" ht="22.5" customHeight="1">
      <c r="B3598" s="7"/>
      <c r="C3598" s="7"/>
      <c r="D3598" s="7"/>
      <c r="E3598" s="7"/>
      <c r="F3598" s="7"/>
      <c r="G3598" s="7"/>
      <c r="H3598" s="7">
        <f t="shared" si="1"/>
        <v>1029</v>
      </c>
    </row>
    <row r="3599" ht="22.5" customHeight="1">
      <c r="B3599" s="7"/>
      <c r="C3599" s="7"/>
      <c r="D3599" s="7"/>
      <c r="E3599" s="7"/>
      <c r="F3599" s="7"/>
      <c r="G3599" s="7"/>
      <c r="H3599" s="7">
        <f t="shared" si="1"/>
        <v>1029</v>
      </c>
    </row>
    <row r="3600" ht="22.5" customHeight="1">
      <c r="B3600" s="7"/>
      <c r="C3600" s="7"/>
      <c r="D3600" s="7"/>
      <c r="E3600" s="7"/>
      <c r="F3600" s="7"/>
      <c r="G3600" s="7"/>
      <c r="H3600" s="7">
        <f t="shared" si="1"/>
        <v>1029</v>
      </c>
    </row>
    <row r="3601" ht="22.5" customHeight="1">
      <c r="B3601" s="7"/>
      <c r="C3601" s="7"/>
      <c r="D3601" s="7"/>
      <c r="E3601" s="7"/>
      <c r="F3601" s="7"/>
      <c r="G3601" s="7"/>
      <c r="H3601" s="7">
        <f t="shared" si="1"/>
        <v>1029</v>
      </c>
    </row>
    <row r="3602" ht="22.5" customHeight="1">
      <c r="B3602" s="7"/>
      <c r="C3602" s="7"/>
      <c r="D3602" s="7"/>
      <c r="E3602" s="7"/>
      <c r="F3602" s="7"/>
      <c r="G3602" s="7"/>
      <c r="H3602" s="7">
        <f t="shared" si="1"/>
        <v>1029</v>
      </c>
    </row>
    <row r="3603" ht="22.5" customHeight="1">
      <c r="B3603" s="7"/>
      <c r="C3603" s="7"/>
      <c r="D3603" s="7"/>
      <c r="E3603" s="7"/>
      <c r="F3603" s="7"/>
      <c r="G3603" s="7"/>
      <c r="H3603" s="7">
        <f t="shared" si="1"/>
        <v>1029</v>
      </c>
    </row>
    <row r="3604" ht="22.5" customHeight="1">
      <c r="B3604" s="7"/>
      <c r="C3604" s="7"/>
      <c r="D3604" s="7"/>
      <c r="E3604" s="7"/>
      <c r="F3604" s="7"/>
      <c r="G3604" s="7"/>
      <c r="H3604" s="7">
        <f t="shared" si="1"/>
        <v>1029</v>
      </c>
    </row>
    <row r="3605" ht="22.5" customHeight="1">
      <c r="B3605" s="7"/>
      <c r="C3605" s="7"/>
      <c r="D3605" s="7"/>
      <c r="E3605" s="7"/>
      <c r="F3605" s="7"/>
      <c r="G3605" s="7"/>
      <c r="H3605" s="7">
        <f t="shared" si="1"/>
        <v>1029</v>
      </c>
    </row>
    <row r="3606" ht="22.5" customHeight="1">
      <c r="B3606" s="7"/>
      <c r="C3606" s="7"/>
      <c r="D3606" s="7"/>
      <c r="E3606" s="7"/>
      <c r="F3606" s="7"/>
      <c r="G3606" s="7"/>
      <c r="H3606" s="7">
        <f t="shared" si="1"/>
        <v>1029</v>
      </c>
    </row>
    <row r="3607" ht="22.5" customHeight="1">
      <c r="B3607" s="7"/>
      <c r="C3607" s="7"/>
      <c r="D3607" s="7"/>
      <c r="E3607" s="7"/>
      <c r="F3607" s="7"/>
      <c r="G3607" s="7"/>
      <c r="H3607" s="7">
        <f t="shared" si="1"/>
        <v>1029</v>
      </c>
    </row>
    <row r="3608" ht="22.5" customHeight="1">
      <c r="B3608" s="7"/>
      <c r="C3608" s="7"/>
      <c r="D3608" s="7"/>
      <c r="E3608" s="7"/>
      <c r="F3608" s="7"/>
      <c r="G3608" s="7"/>
      <c r="H3608" s="7">
        <f t="shared" si="1"/>
        <v>1029</v>
      </c>
    </row>
    <row r="3609" ht="22.5" customHeight="1">
      <c r="B3609" s="7"/>
      <c r="C3609" s="7"/>
      <c r="D3609" s="7"/>
      <c r="E3609" s="7"/>
      <c r="F3609" s="7"/>
      <c r="G3609" s="7"/>
      <c r="H3609" s="7">
        <f t="shared" si="1"/>
        <v>1029</v>
      </c>
    </row>
    <row r="3610" ht="22.5" customHeight="1">
      <c r="B3610" s="7"/>
      <c r="C3610" s="7"/>
      <c r="D3610" s="7"/>
      <c r="E3610" s="7"/>
      <c r="F3610" s="7"/>
      <c r="G3610" s="7"/>
      <c r="H3610" s="7">
        <f t="shared" si="1"/>
        <v>1029</v>
      </c>
    </row>
    <row r="3611" ht="22.5" customHeight="1">
      <c r="B3611" s="7"/>
      <c r="C3611" s="7"/>
      <c r="D3611" s="7"/>
      <c r="E3611" s="7"/>
      <c r="F3611" s="7"/>
      <c r="G3611" s="7"/>
      <c r="H3611" s="7">
        <f t="shared" si="1"/>
        <v>1029</v>
      </c>
    </row>
    <row r="3612" ht="22.5" customHeight="1">
      <c r="B3612" s="7"/>
      <c r="C3612" s="7"/>
      <c r="D3612" s="7"/>
      <c r="E3612" s="7"/>
      <c r="F3612" s="7"/>
      <c r="G3612" s="7"/>
      <c r="H3612" s="7">
        <f t="shared" si="1"/>
        <v>1029</v>
      </c>
    </row>
    <row r="3613" ht="22.5" customHeight="1">
      <c r="B3613" s="7"/>
      <c r="C3613" s="7"/>
      <c r="D3613" s="7"/>
      <c r="E3613" s="7"/>
      <c r="F3613" s="7"/>
      <c r="G3613" s="7"/>
      <c r="H3613" s="7">
        <f t="shared" si="1"/>
        <v>1029</v>
      </c>
    </row>
    <row r="3614" ht="22.5" customHeight="1">
      <c r="B3614" s="7"/>
      <c r="C3614" s="7"/>
      <c r="D3614" s="7"/>
      <c r="E3614" s="7"/>
      <c r="F3614" s="7"/>
      <c r="G3614" s="7"/>
      <c r="H3614" s="7">
        <f t="shared" si="1"/>
        <v>1029</v>
      </c>
    </row>
    <row r="3615" ht="22.5" customHeight="1">
      <c r="B3615" s="7"/>
      <c r="C3615" s="7"/>
      <c r="D3615" s="7"/>
      <c r="E3615" s="7"/>
      <c r="F3615" s="7"/>
      <c r="G3615" s="7"/>
      <c r="H3615" s="7">
        <f t="shared" si="1"/>
        <v>1029</v>
      </c>
    </row>
    <row r="3616" ht="22.5" customHeight="1">
      <c r="B3616" s="7"/>
      <c r="C3616" s="7"/>
      <c r="D3616" s="7"/>
      <c r="E3616" s="7"/>
      <c r="F3616" s="7"/>
      <c r="G3616" s="7"/>
      <c r="H3616" s="7">
        <f t="shared" si="1"/>
        <v>1029</v>
      </c>
    </row>
    <row r="3617" ht="22.5" customHeight="1">
      <c r="B3617" s="7"/>
      <c r="C3617" s="7"/>
      <c r="D3617" s="7"/>
      <c r="E3617" s="7"/>
      <c r="F3617" s="7"/>
      <c r="G3617" s="7"/>
      <c r="H3617" s="7">
        <f t="shared" si="1"/>
        <v>1029</v>
      </c>
    </row>
    <row r="3618" ht="22.5" customHeight="1">
      <c r="B3618" s="7"/>
      <c r="C3618" s="7"/>
      <c r="D3618" s="7"/>
      <c r="E3618" s="7"/>
      <c r="F3618" s="7"/>
      <c r="G3618" s="7"/>
      <c r="H3618" s="7">
        <f t="shared" si="1"/>
        <v>1029</v>
      </c>
    </row>
    <row r="3619" ht="22.5" customHeight="1">
      <c r="B3619" s="7"/>
      <c r="C3619" s="7"/>
      <c r="D3619" s="7"/>
      <c r="E3619" s="7"/>
      <c r="F3619" s="7"/>
      <c r="G3619" s="7"/>
      <c r="H3619" s="7">
        <f t="shared" si="1"/>
        <v>1029</v>
      </c>
    </row>
    <row r="3620" ht="22.5" customHeight="1">
      <c r="B3620" s="7"/>
      <c r="C3620" s="7"/>
      <c r="D3620" s="7"/>
      <c r="E3620" s="7"/>
      <c r="F3620" s="7"/>
      <c r="G3620" s="7"/>
      <c r="H3620" s="7">
        <f t="shared" si="1"/>
        <v>1029</v>
      </c>
    </row>
    <row r="3621" ht="22.5" customHeight="1">
      <c r="B3621" s="7"/>
      <c r="C3621" s="7"/>
      <c r="D3621" s="7"/>
      <c r="E3621" s="7"/>
      <c r="F3621" s="7"/>
      <c r="G3621" s="7"/>
      <c r="H3621" s="7">
        <f t="shared" si="1"/>
        <v>1029</v>
      </c>
    </row>
    <row r="3622" ht="22.5" customHeight="1">
      <c r="B3622" s="7"/>
      <c r="C3622" s="7"/>
      <c r="D3622" s="7"/>
      <c r="E3622" s="7"/>
      <c r="F3622" s="7"/>
      <c r="G3622" s="7"/>
      <c r="H3622" s="7">
        <f t="shared" si="1"/>
        <v>1029</v>
      </c>
    </row>
    <row r="3623" ht="22.5" customHeight="1">
      <c r="B3623" s="7"/>
      <c r="C3623" s="7"/>
      <c r="D3623" s="7"/>
      <c r="E3623" s="7"/>
      <c r="F3623" s="7"/>
      <c r="G3623" s="7"/>
      <c r="H3623" s="7">
        <f t="shared" si="1"/>
        <v>1029</v>
      </c>
    </row>
    <row r="3624" ht="22.5" customHeight="1">
      <c r="B3624" s="7"/>
      <c r="C3624" s="7"/>
      <c r="D3624" s="7"/>
      <c r="E3624" s="7"/>
      <c r="F3624" s="7"/>
      <c r="G3624" s="7"/>
      <c r="H3624" s="7">
        <f t="shared" si="1"/>
        <v>1029</v>
      </c>
    </row>
    <row r="3625" ht="22.5" customHeight="1">
      <c r="B3625" s="7"/>
      <c r="C3625" s="7"/>
      <c r="D3625" s="7"/>
      <c r="E3625" s="7"/>
      <c r="F3625" s="7"/>
      <c r="G3625" s="7"/>
      <c r="H3625" s="7">
        <f t="shared" si="1"/>
        <v>1029</v>
      </c>
    </row>
    <row r="3626" ht="22.5" customHeight="1">
      <c r="B3626" s="7"/>
      <c r="C3626" s="7"/>
      <c r="D3626" s="7"/>
      <c r="E3626" s="7"/>
      <c r="F3626" s="7"/>
      <c r="G3626" s="7"/>
      <c r="H3626" s="7">
        <f t="shared" si="1"/>
        <v>1029</v>
      </c>
    </row>
    <row r="3627" ht="22.5" customHeight="1">
      <c r="B3627" s="7"/>
      <c r="C3627" s="7"/>
      <c r="D3627" s="7"/>
      <c r="E3627" s="7"/>
      <c r="F3627" s="7"/>
      <c r="G3627" s="7"/>
      <c r="H3627" s="7">
        <f t="shared" si="1"/>
        <v>1029</v>
      </c>
    </row>
    <row r="3628" ht="22.5" customHeight="1">
      <c r="B3628" s="7"/>
      <c r="C3628" s="7"/>
      <c r="D3628" s="7"/>
      <c r="E3628" s="7"/>
      <c r="F3628" s="7"/>
      <c r="G3628" s="7"/>
      <c r="H3628" s="7">
        <f t="shared" si="1"/>
        <v>1029</v>
      </c>
    </row>
    <row r="3629" ht="22.5" customHeight="1">
      <c r="B3629" s="7"/>
      <c r="C3629" s="7"/>
      <c r="D3629" s="7"/>
      <c r="E3629" s="7"/>
      <c r="F3629" s="7"/>
      <c r="G3629" s="7"/>
      <c r="H3629" s="7">
        <f t="shared" si="1"/>
        <v>1029</v>
      </c>
    </row>
    <row r="3630" ht="22.5" customHeight="1">
      <c r="B3630" s="7"/>
      <c r="C3630" s="7"/>
      <c r="D3630" s="7"/>
      <c r="E3630" s="7"/>
      <c r="F3630" s="7"/>
      <c r="G3630" s="7"/>
      <c r="H3630" s="7">
        <f t="shared" si="1"/>
        <v>1029</v>
      </c>
    </row>
    <row r="3631" ht="22.5" customHeight="1">
      <c r="B3631" s="7"/>
      <c r="C3631" s="7"/>
      <c r="D3631" s="7"/>
      <c r="E3631" s="7"/>
      <c r="F3631" s="7"/>
      <c r="G3631" s="7"/>
      <c r="H3631" s="7">
        <f t="shared" si="1"/>
        <v>1029</v>
      </c>
    </row>
    <row r="3632" ht="22.5" customHeight="1">
      <c r="B3632" s="7"/>
      <c r="C3632" s="7"/>
      <c r="D3632" s="7"/>
      <c r="E3632" s="7"/>
      <c r="F3632" s="7"/>
      <c r="G3632" s="7"/>
      <c r="H3632" s="7">
        <f t="shared" si="1"/>
        <v>1029</v>
      </c>
    </row>
    <row r="3633" ht="22.5" customHeight="1">
      <c r="B3633" s="7"/>
      <c r="C3633" s="7"/>
      <c r="D3633" s="7"/>
      <c r="E3633" s="7"/>
      <c r="F3633" s="7"/>
      <c r="G3633" s="7"/>
      <c r="H3633" s="7">
        <f t="shared" si="1"/>
        <v>1029</v>
      </c>
    </row>
    <row r="3634" ht="22.5" customHeight="1">
      <c r="B3634" s="7"/>
      <c r="C3634" s="7"/>
      <c r="D3634" s="7"/>
      <c r="E3634" s="7"/>
      <c r="F3634" s="7"/>
      <c r="G3634" s="7"/>
      <c r="H3634" s="7">
        <f t="shared" si="1"/>
        <v>1029</v>
      </c>
    </row>
    <row r="3635" ht="22.5" customHeight="1">
      <c r="B3635" s="7"/>
      <c r="C3635" s="7"/>
      <c r="D3635" s="7"/>
      <c r="E3635" s="7"/>
      <c r="F3635" s="7"/>
      <c r="G3635" s="7"/>
      <c r="H3635" s="7">
        <f t="shared" si="1"/>
        <v>1029</v>
      </c>
    </row>
    <row r="3636" ht="22.5" customHeight="1">
      <c r="B3636" s="7"/>
      <c r="C3636" s="7"/>
      <c r="D3636" s="7"/>
      <c r="E3636" s="7"/>
      <c r="F3636" s="7"/>
      <c r="G3636" s="7"/>
      <c r="H3636" s="7">
        <f t="shared" si="1"/>
        <v>1029</v>
      </c>
    </row>
    <row r="3637" ht="22.5" customHeight="1">
      <c r="B3637" s="7"/>
      <c r="C3637" s="7"/>
      <c r="D3637" s="7"/>
      <c r="E3637" s="7"/>
      <c r="F3637" s="7"/>
      <c r="G3637" s="7"/>
      <c r="H3637" s="7">
        <f t="shared" si="1"/>
        <v>1029</v>
      </c>
    </row>
    <row r="3638" ht="22.5" customHeight="1">
      <c r="B3638" s="7"/>
      <c r="C3638" s="7"/>
      <c r="D3638" s="7"/>
      <c r="E3638" s="7"/>
      <c r="F3638" s="7"/>
      <c r="G3638" s="7"/>
      <c r="H3638" s="7">
        <f t="shared" si="1"/>
        <v>1029</v>
      </c>
    </row>
    <row r="3639" ht="22.5" customHeight="1">
      <c r="B3639" s="7"/>
      <c r="C3639" s="7"/>
      <c r="D3639" s="7"/>
      <c r="E3639" s="7"/>
      <c r="F3639" s="7"/>
      <c r="G3639" s="7"/>
      <c r="H3639" s="7">
        <f t="shared" si="1"/>
        <v>1029</v>
      </c>
    </row>
    <row r="3640" ht="22.5" customHeight="1">
      <c r="B3640" s="7"/>
      <c r="C3640" s="7"/>
      <c r="D3640" s="7"/>
      <c r="E3640" s="7"/>
      <c r="F3640" s="7"/>
      <c r="G3640" s="7"/>
      <c r="H3640" s="7">
        <f t="shared" si="1"/>
        <v>1029</v>
      </c>
    </row>
    <row r="3641" ht="22.5" customHeight="1">
      <c r="B3641" s="7"/>
      <c r="C3641" s="7"/>
      <c r="D3641" s="7"/>
      <c r="E3641" s="7"/>
      <c r="F3641" s="7"/>
      <c r="G3641" s="7"/>
      <c r="H3641" s="7">
        <f t="shared" si="1"/>
        <v>1029</v>
      </c>
    </row>
    <row r="3642" ht="22.5" customHeight="1">
      <c r="B3642" s="7"/>
      <c r="C3642" s="7"/>
      <c r="D3642" s="7"/>
      <c r="E3642" s="7"/>
      <c r="F3642" s="7"/>
      <c r="G3642" s="7"/>
      <c r="H3642" s="7">
        <f t="shared" si="1"/>
        <v>1029</v>
      </c>
    </row>
    <row r="3643" ht="22.5" customHeight="1">
      <c r="B3643" s="7"/>
      <c r="C3643" s="7"/>
      <c r="D3643" s="7"/>
      <c r="E3643" s="7"/>
      <c r="F3643" s="7"/>
      <c r="G3643" s="7"/>
      <c r="H3643" s="7">
        <f t="shared" si="1"/>
        <v>1029</v>
      </c>
    </row>
    <row r="3644" ht="22.5" customHeight="1">
      <c r="B3644" s="7"/>
      <c r="C3644" s="7"/>
      <c r="D3644" s="7"/>
      <c r="E3644" s="7"/>
      <c r="F3644" s="7"/>
      <c r="G3644" s="7"/>
      <c r="H3644" s="7">
        <f t="shared" si="1"/>
        <v>1029</v>
      </c>
    </row>
    <row r="3645" ht="22.5" customHeight="1">
      <c r="B3645" s="7"/>
      <c r="C3645" s="7"/>
      <c r="D3645" s="7"/>
      <c r="E3645" s="7"/>
      <c r="F3645" s="7"/>
      <c r="G3645" s="7"/>
      <c r="H3645" s="7">
        <f t="shared" si="1"/>
        <v>1029</v>
      </c>
    </row>
    <row r="3646" ht="22.5" customHeight="1">
      <c r="B3646" s="7"/>
      <c r="C3646" s="7"/>
      <c r="D3646" s="7"/>
      <c r="E3646" s="7"/>
      <c r="F3646" s="7"/>
      <c r="G3646" s="7"/>
      <c r="H3646" s="7">
        <f t="shared" si="1"/>
        <v>1029</v>
      </c>
    </row>
    <row r="3647" ht="22.5" customHeight="1">
      <c r="B3647" s="7"/>
      <c r="C3647" s="7"/>
      <c r="D3647" s="7"/>
      <c r="E3647" s="7"/>
      <c r="F3647" s="7"/>
      <c r="G3647" s="7"/>
      <c r="H3647" s="7">
        <f t="shared" si="1"/>
        <v>1029</v>
      </c>
    </row>
    <row r="3648" ht="22.5" customHeight="1">
      <c r="B3648" s="7"/>
      <c r="C3648" s="7"/>
      <c r="D3648" s="7"/>
      <c r="E3648" s="7"/>
      <c r="F3648" s="7"/>
      <c r="G3648" s="7"/>
      <c r="H3648" s="7">
        <f t="shared" si="1"/>
        <v>1029</v>
      </c>
    </row>
    <row r="3649" ht="22.5" customHeight="1">
      <c r="B3649" s="7"/>
      <c r="C3649" s="7"/>
      <c r="D3649" s="7"/>
      <c r="E3649" s="7"/>
      <c r="F3649" s="7"/>
      <c r="G3649" s="7"/>
      <c r="H3649" s="7">
        <f t="shared" si="1"/>
        <v>1029</v>
      </c>
    </row>
    <row r="3650" ht="22.5" customHeight="1">
      <c r="B3650" s="7"/>
      <c r="C3650" s="7"/>
      <c r="D3650" s="7"/>
      <c r="E3650" s="7"/>
      <c r="F3650" s="7"/>
      <c r="G3650" s="7"/>
      <c r="H3650" s="7">
        <f t="shared" si="1"/>
        <v>1029</v>
      </c>
    </row>
    <row r="3651" ht="22.5" customHeight="1">
      <c r="B3651" s="7"/>
      <c r="C3651" s="7"/>
      <c r="D3651" s="7"/>
      <c r="E3651" s="7"/>
      <c r="F3651" s="7"/>
      <c r="G3651" s="7"/>
      <c r="H3651" s="7">
        <f t="shared" si="1"/>
        <v>1029</v>
      </c>
    </row>
    <row r="3652" ht="22.5" customHeight="1">
      <c r="B3652" s="7"/>
      <c r="C3652" s="7"/>
      <c r="D3652" s="7"/>
      <c r="E3652" s="7"/>
      <c r="F3652" s="7"/>
      <c r="G3652" s="7"/>
      <c r="H3652" s="7">
        <f t="shared" si="1"/>
        <v>1029</v>
      </c>
    </row>
    <row r="3653" ht="22.5" customHeight="1">
      <c r="B3653" s="7"/>
      <c r="C3653" s="7"/>
      <c r="D3653" s="7"/>
      <c r="E3653" s="7"/>
      <c r="F3653" s="7"/>
      <c r="G3653" s="7"/>
      <c r="H3653" s="7">
        <f t="shared" si="1"/>
        <v>1029</v>
      </c>
    </row>
    <row r="3654" ht="22.5" customHeight="1">
      <c r="B3654" s="7"/>
      <c r="C3654" s="7"/>
      <c r="D3654" s="7"/>
      <c r="E3654" s="7"/>
      <c r="F3654" s="7"/>
      <c r="G3654" s="7"/>
      <c r="H3654" s="7">
        <f t="shared" si="1"/>
        <v>1029</v>
      </c>
    </row>
    <row r="3655" ht="22.5" customHeight="1">
      <c r="B3655" s="7"/>
      <c r="C3655" s="7"/>
      <c r="D3655" s="7"/>
      <c r="E3655" s="7"/>
      <c r="F3655" s="7"/>
      <c r="G3655" s="7"/>
      <c r="H3655" s="7">
        <f t="shared" si="1"/>
        <v>1029</v>
      </c>
    </row>
    <row r="3656" ht="22.5" customHeight="1">
      <c r="B3656" s="7"/>
      <c r="C3656" s="7"/>
      <c r="D3656" s="7"/>
      <c r="E3656" s="7"/>
      <c r="F3656" s="7"/>
      <c r="G3656" s="7"/>
      <c r="H3656" s="7">
        <f t="shared" si="1"/>
        <v>1029</v>
      </c>
    </row>
    <row r="3657" ht="22.5" customHeight="1">
      <c r="B3657" s="7"/>
      <c r="C3657" s="7"/>
      <c r="D3657" s="7"/>
      <c r="E3657" s="7"/>
      <c r="F3657" s="7"/>
      <c r="G3657" s="7"/>
      <c r="H3657" s="7">
        <f t="shared" si="1"/>
        <v>1029</v>
      </c>
    </row>
    <row r="3658" ht="22.5" customHeight="1">
      <c r="B3658" s="7"/>
      <c r="C3658" s="7"/>
      <c r="D3658" s="7"/>
      <c r="E3658" s="7"/>
      <c r="F3658" s="7"/>
      <c r="G3658" s="7"/>
      <c r="H3658" s="7">
        <f t="shared" si="1"/>
        <v>1029</v>
      </c>
    </row>
    <row r="3659" ht="22.5" customHeight="1">
      <c r="B3659" s="7"/>
      <c r="C3659" s="7"/>
      <c r="D3659" s="7"/>
      <c r="E3659" s="7"/>
      <c r="F3659" s="7"/>
      <c r="G3659" s="7"/>
      <c r="H3659" s="7">
        <f t="shared" si="1"/>
        <v>1029</v>
      </c>
    </row>
    <row r="3660" ht="22.5" customHeight="1">
      <c r="B3660" s="7"/>
      <c r="C3660" s="7"/>
      <c r="D3660" s="7"/>
      <c r="E3660" s="7"/>
      <c r="F3660" s="7"/>
      <c r="G3660" s="7"/>
      <c r="H3660" s="7">
        <f t="shared" si="1"/>
        <v>1029</v>
      </c>
    </row>
    <row r="3661" ht="22.5" customHeight="1">
      <c r="B3661" s="7"/>
      <c r="C3661" s="7"/>
      <c r="D3661" s="7"/>
      <c r="E3661" s="7"/>
      <c r="F3661" s="7"/>
      <c r="G3661" s="7"/>
      <c r="H3661" s="7">
        <f t="shared" si="1"/>
        <v>1029</v>
      </c>
    </row>
    <row r="3662" ht="22.5" customHeight="1">
      <c r="B3662" s="7"/>
      <c r="C3662" s="7"/>
      <c r="D3662" s="7"/>
      <c r="E3662" s="7"/>
      <c r="F3662" s="7"/>
      <c r="G3662" s="7"/>
      <c r="H3662" s="7">
        <f t="shared" si="1"/>
        <v>1029</v>
      </c>
    </row>
    <row r="3663" ht="22.5" customHeight="1">
      <c r="B3663" s="7"/>
      <c r="C3663" s="7"/>
      <c r="D3663" s="7"/>
      <c r="E3663" s="7"/>
      <c r="F3663" s="7"/>
      <c r="G3663" s="7"/>
      <c r="H3663" s="7">
        <f t="shared" si="1"/>
        <v>1029</v>
      </c>
    </row>
    <row r="3664" ht="22.5" customHeight="1">
      <c r="B3664" s="7"/>
      <c r="C3664" s="7"/>
      <c r="D3664" s="7"/>
      <c r="E3664" s="7"/>
      <c r="F3664" s="7"/>
      <c r="G3664" s="7"/>
      <c r="H3664" s="7">
        <f t="shared" si="1"/>
        <v>1029</v>
      </c>
    </row>
    <row r="3665" ht="22.5" customHeight="1">
      <c r="B3665" s="7"/>
      <c r="C3665" s="7"/>
      <c r="D3665" s="7"/>
      <c r="E3665" s="7"/>
      <c r="F3665" s="7"/>
      <c r="G3665" s="7"/>
      <c r="H3665" s="7">
        <f t="shared" si="1"/>
        <v>1029</v>
      </c>
    </row>
    <row r="3666" ht="22.5" customHeight="1">
      <c r="B3666" s="7"/>
      <c r="C3666" s="7"/>
      <c r="D3666" s="7"/>
      <c r="E3666" s="7"/>
      <c r="F3666" s="7"/>
      <c r="G3666" s="7"/>
      <c r="H3666" s="7">
        <f t="shared" si="1"/>
        <v>1029</v>
      </c>
    </row>
    <row r="3667" ht="22.5" customHeight="1">
      <c r="B3667" s="7"/>
      <c r="C3667" s="7"/>
      <c r="D3667" s="7"/>
      <c r="E3667" s="7"/>
      <c r="F3667" s="7"/>
      <c r="G3667" s="7"/>
      <c r="H3667" s="7">
        <f t="shared" si="1"/>
        <v>1029</v>
      </c>
    </row>
    <row r="3668" ht="22.5" customHeight="1">
      <c r="B3668" s="7"/>
      <c r="C3668" s="7"/>
      <c r="D3668" s="7"/>
      <c r="E3668" s="7"/>
      <c r="F3668" s="7"/>
      <c r="G3668" s="7"/>
      <c r="H3668" s="7">
        <f t="shared" si="1"/>
        <v>1029</v>
      </c>
    </row>
    <row r="3669" ht="22.5" customHeight="1">
      <c r="B3669" s="7"/>
      <c r="C3669" s="7"/>
      <c r="D3669" s="7"/>
      <c r="E3669" s="7"/>
      <c r="F3669" s="7"/>
      <c r="G3669" s="7"/>
      <c r="H3669" s="7">
        <f t="shared" si="1"/>
        <v>1029</v>
      </c>
    </row>
    <row r="3670" ht="22.5" customHeight="1">
      <c r="B3670" s="7"/>
      <c r="C3670" s="7"/>
      <c r="D3670" s="7"/>
      <c r="E3670" s="7"/>
      <c r="F3670" s="7"/>
      <c r="G3670" s="7"/>
      <c r="H3670" s="7">
        <f t="shared" si="1"/>
        <v>1029</v>
      </c>
    </row>
    <row r="3671" ht="22.5" customHeight="1">
      <c r="B3671" s="7"/>
      <c r="C3671" s="7"/>
      <c r="D3671" s="7"/>
      <c r="E3671" s="7"/>
      <c r="F3671" s="7"/>
      <c r="G3671" s="7"/>
      <c r="H3671" s="7">
        <f t="shared" si="1"/>
        <v>1029</v>
      </c>
    </row>
    <row r="3672" ht="22.5" customHeight="1">
      <c r="B3672" s="7"/>
      <c r="C3672" s="7"/>
      <c r="D3672" s="7"/>
      <c r="E3672" s="7"/>
      <c r="F3672" s="7"/>
      <c r="G3672" s="7"/>
      <c r="H3672" s="7">
        <f t="shared" si="1"/>
        <v>1029</v>
      </c>
    </row>
    <row r="3673" ht="22.5" customHeight="1">
      <c r="B3673" s="7"/>
      <c r="C3673" s="7"/>
      <c r="D3673" s="7"/>
      <c r="E3673" s="7"/>
      <c r="F3673" s="7"/>
      <c r="G3673" s="7"/>
      <c r="H3673" s="7">
        <f t="shared" si="1"/>
        <v>1029</v>
      </c>
    </row>
    <row r="3674" ht="22.5" customHeight="1">
      <c r="B3674" s="7"/>
      <c r="C3674" s="7"/>
      <c r="D3674" s="7"/>
      <c r="E3674" s="7"/>
      <c r="F3674" s="7"/>
      <c r="G3674" s="7"/>
      <c r="H3674" s="7">
        <f t="shared" si="1"/>
        <v>1029</v>
      </c>
    </row>
    <row r="3675" ht="22.5" customHeight="1">
      <c r="B3675" s="7"/>
      <c r="C3675" s="7"/>
      <c r="D3675" s="7"/>
      <c r="E3675" s="7"/>
      <c r="F3675" s="7"/>
      <c r="G3675" s="7"/>
      <c r="H3675" s="7">
        <f t="shared" si="1"/>
        <v>1029</v>
      </c>
    </row>
    <row r="3676" ht="22.5" customHeight="1">
      <c r="B3676" s="7"/>
      <c r="C3676" s="7"/>
      <c r="D3676" s="7"/>
      <c r="E3676" s="7"/>
      <c r="F3676" s="7"/>
      <c r="G3676" s="7"/>
      <c r="H3676" s="7">
        <f t="shared" si="1"/>
        <v>1029</v>
      </c>
    </row>
    <row r="3677" ht="22.5" customHeight="1">
      <c r="B3677" s="7"/>
      <c r="C3677" s="7"/>
      <c r="D3677" s="7"/>
      <c r="E3677" s="7"/>
      <c r="F3677" s="7"/>
      <c r="G3677" s="7"/>
      <c r="H3677" s="7">
        <f t="shared" si="1"/>
        <v>1029</v>
      </c>
    </row>
    <row r="3678" ht="22.5" customHeight="1">
      <c r="B3678" s="7"/>
      <c r="C3678" s="7"/>
      <c r="D3678" s="7"/>
      <c r="E3678" s="7"/>
      <c r="F3678" s="7"/>
      <c r="G3678" s="7"/>
      <c r="H3678" s="7">
        <f t="shared" si="1"/>
        <v>1029</v>
      </c>
    </row>
    <row r="3679" ht="22.5" customHeight="1">
      <c r="B3679" s="7"/>
      <c r="C3679" s="7"/>
      <c r="D3679" s="7"/>
      <c r="E3679" s="7"/>
      <c r="F3679" s="7"/>
      <c r="G3679" s="7"/>
      <c r="H3679" s="7">
        <f t="shared" si="1"/>
        <v>1029</v>
      </c>
    </row>
    <row r="3680" ht="22.5" customHeight="1">
      <c r="B3680" s="7"/>
      <c r="C3680" s="7"/>
      <c r="D3680" s="7"/>
      <c r="E3680" s="7"/>
      <c r="F3680" s="7"/>
      <c r="G3680" s="7"/>
      <c r="H3680" s="7">
        <f t="shared" si="1"/>
        <v>1029</v>
      </c>
    </row>
    <row r="3681" ht="22.5" customHeight="1">
      <c r="B3681" s="7"/>
      <c r="C3681" s="7"/>
      <c r="D3681" s="7"/>
      <c r="E3681" s="7"/>
      <c r="F3681" s="7"/>
      <c r="G3681" s="7"/>
      <c r="H3681" s="7">
        <f t="shared" si="1"/>
        <v>1029</v>
      </c>
    </row>
    <row r="3682" ht="22.5" customHeight="1">
      <c r="B3682" s="7"/>
      <c r="C3682" s="7"/>
      <c r="D3682" s="7"/>
      <c r="E3682" s="7"/>
      <c r="F3682" s="7"/>
      <c r="G3682" s="7"/>
      <c r="H3682" s="7">
        <f t="shared" si="1"/>
        <v>1029</v>
      </c>
    </row>
    <row r="3683" ht="22.5" customHeight="1">
      <c r="B3683" s="7"/>
      <c r="C3683" s="7"/>
      <c r="D3683" s="7"/>
      <c r="E3683" s="7"/>
      <c r="F3683" s="7"/>
      <c r="G3683" s="7"/>
      <c r="H3683" s="7">
        <f t="shared" si="1"/>
        <v>1029</v>
      </c>
    </row>
    <row r="3684" ht="22.5" customHeight="1">
      <c r="B3684" s="7"/>
      <c r="C3684" s="7"/>
      <c r="D3684" s="7"/>
      <c r="E3684" s="7"/>
      <c r="F3684" s="7"/>
      <c r="G3684" s="7"/>
      <c r="H3684" s="7">
        <f t="shared" si="1"/>
        <v>1029</v>
      </c>
    </row>
    <row r="3685" ht="22.5" customHeight="1">
      <c r="B3685" s="7"/>
      <c r="C3685" s="7"/>
      <c r="D3685" s="7"/>
      <c r="E3685" s="7"/>
      <c r="F3685" s="7"/>
      <c r="G3685" s="7"/>
      <c r="H3685" s="7">
        <f t="shared" si="1"/>
        <v>1029</v>
      </c>
    </row>
    <row r="3686" ht="22.5" customHeight="1">
      <c r="B3686" s="7"/>
      <c r="C3686" s="7"/>
      <c r="D3686" s="7"/>
      <c r="E3686" s="7"/>
      <c r="F3686" s="7"/>
      <c r="G3686" s="7"/>
      <c r="H3686" s="7">
        <f t="shared" si="1"/>
        <v>1029</v>
      </c>
    </row>
    <row r="3687" ht="22.5" customHeight="1">
      <c r="B3687" s="7"/>
      <c r="C3687" s="7"/>
      <c r="D3687" s="7"/>
      <c r="E3687" s="7"/>
      <c r="F3687" s="7"/>
      <c r="G3687" s="7"/>
      <c r="H3687" s="7">
        <f t="shared" si="1"/>
        <v>1029</v>
      </c>
    </row>
    <row r="3688" ht="22.5" customHeight="1">
      <c r="B3688" s="7"/>
      <c r="C3688" s="7"/>
      <c r="D3688" s="7"/>
      <c r="E3688" s="7"/>
      <c r="F3688" s="7"/>
      <c r="G3688" s="7"/>
      <c r="H3688" s="7">
        <f t="shared" si="1"/>
        <v>1029</v>
      </c>
    </row>
    <row r="3689" ht="22.5" customHeight="1">
      <c r="B3689" s="7"/>
      <c r="C3689" s="7"/>
      <c r="D3689" s="7"/>
      <c r="E3689" s="7"/>
      <c r="F3689" s="7"/>
      <c r="G3689" s="7"/>
      <c r="H3689" s="7">
        <f t="shared" si="1"/>
        <v>1029</v>
      </c>
    </row>
    <row r="3690" ht="22.5" customHeight="1">
      <c r="B3690" s="7"/>
      <c r="C3690" s="7"/>
      <c r="D3690" s="7"/>
      <c r="E3690" s="7"/>
      <c r="F3690" s="7"/>
      <c r="G3690" s="7"/>
      <c r="H3690" s="7">
        <f t="shared" si="1"/>
        <v>1029</v>
      </c>
    </row>
    <row r="3691" ht="22.5" customHeight="1">
      <c r="B3691" s="7"/>
      <c r="C3691" s="7"/>
      <c r="D3691" s="7"/>
      <c r="E3691" s="7"/>
      <c r="F3691" s="7"/>
      <c r="G3691" s="7"/>
      <c r="H3691" s="7">
        <f t="shared" si="1"/>
        <v>1029</v>
      </c>
    </row>
    <row r="3692" ht="22.5" customHeight="1">
      <c r="B3692" s="7"/>
      <c r="C3692" s="7"/>
      <c r="D3692" s="7"/>
      <c r="E3692" s="7"/>
      <c r="F3692" s="7"/>
      <c r="G3692" s="7"/>
      <c r="H3692" s="7">
        <f t="shared" si="1"/>
        <v>1029</v>
      </c>
    </row>
    <row r="3693" ht="22.5" customHeight="1">
      <c r="B3693" s="7"/>
      <c r="C3693" s="7"/>
      <c r="D3693" s="7"/>
      <c r="E3693" s="7"/>
      <c r="F3693" s="7"/>
      <c r="G3693" s="7"/>
      <c r="H3693" s="7">
        <f t="shared" si="1"/>
        <v>1029</v>
      </c>
    </row>
    <row r="3694" ht="22.5" customHeight="1">
      <c r="B3694" s="7"/>
      <c r="C3694" s="7"/>
      <c r="D3694" s="7"/>
      <c r="E3694" s="7"/>
      <c r="F3694" s="7"/>
      <c r="G3694" s="7"/>
      <c r="H3694" s="7">
        <f t="shared" si="1"/>
        <v>1029</v>
      </c>
    </row>
    <row r="3695" ht="22.5" customHeight="1">
      <c r="B3695" s="7"/>
      <c r="C3695" s="7"/>
      <c r="D3695" s="7"/>
      <c r="E3695" s="7"/>
      <c r="F3695" s="7"/>
      <c r="G3695" s="7"/>
      <c r="H3695" s="7">
        <f t="shared" si="1"/>
        <v>1029</v>
      </c>
    </row>
    <row r="3696" ht="22.5" customHeight="1">
      <c r="B3696" s="7"/>
      <c r="C3696" s="7"/>
      <c r="D3696" s="7"/>
      <c r="E3696" s="7"/>
      <c r="F3696" s="7"/>
      <c r="G3696" s="7"/>
      <c r="H3696" s="7">
        <f t="shared" si="1"/>
        <v>1029</v>
      </c>
    </row>
    <row r="3697" ht="22.5" customHeight="1">
      <c r="B3697" s="7"/>
      <c r="C3697" s="7"/>
      <c r="D3697" s="7"/>
      <c r="E3697" s="7"/>
      <c r="F3697" s="7"/>
      <c r="G3697" s="7"/>
      <c r="H3697" s="7">
        <f t="shared" si="1"/>
        <v>1029</v>
      </c>
    </row>
    <row r="3698" ht="22.5" customHeight="1">
      <c r="B3698" s="7"/>
      <c r="C3698" s="7"/>
      <c r="D3698" s="7"/>
      <c r="E3698" s="7"/>
      <c r="F3698" s="7"/>
      <c r="G3698" s="7"/>
      <c r="H3698" s="7">
        <f t="shared" si="1"/>
        <v>1029</v>
      </c>
    </row>
    <row r="3699" ht="22.5" customHeight="1">
      <c r="B3699" s="7"/>
      <c r="C3699" s="7"/>
      <c r="D3699" s="7"/>
      <c r="E3699" s="7"/>
      <c r="F3699" s="7"/>
      <c r="G3699" s="7"/>
      <c r="H3699" s="7">
        <f t="shared" si="1"/>
        <v>1029</v>
      </c>
    </row>
    <row r="3700" ht="22.5" customHeight="1">
      <c r="B3700" s="7"/>
      <c r="C3700" s="7"/>
      <c r="D3700" s="7"/>
      <c r="E3700" s="7"/>
      <c r="F3700" s="7"/>
      <c r="G3700" s="7"/>
      <c r="H3700" s="7">
        <f t="shared" si="1"/>
        <v>1029</v>
      </c>
    </row>
    <row r="3701" ht="22.5" customHeight="1">
      <c r="B3701" s="7"/>
      <c r="C3701" s="7"/>
      <c r="D3701" s="7"/>
      <c r="E3701" s="7"/>
      <c r="F3701" s="7"/>
      <c r="G3701" s="7"/>
      <c r="H3701" s="7">
        <f t="shared" si="1"/>
        <v>1029</v>
      </c>
    </row>
    <row r="3702" ht="22.5" customHeight="1">
      <c r="B3702" s="7"/>
      <c r="C3702" s="7"/>
      <c r="D3702" s="7"/>
      <c r="E3702" s="7"/>
      <c r="F3702" s="7"/>
      <c r="G3702" s="7"/>
      <c r="H3702" s="7">
        <f t="shared" si="1"/>
        <v>1029</v>
      </c>
    </row>
    <row r="3703" ht="22.5" customHeight="1">
      <c r="B3703" s="7"/>
      <c r="C3703" s="7"/>
      <c r="D3703" s="7"/>
      <c r="E3703" s="7"/>
      <c r="F3703" s="7"/>
      <c r="G3703" s="7"/>
      <c r="H3703" s="7">
        <f t="shared" si="1"/>
        <v>1029</v>
      </c>
    </row>
    <row r="3704" ht="22.5" customHeight="1">
      <c r="B3704" s="7"/>
      <c r="C3704" s="7"/>
      <c r="D3704" s="7"/>
      <c r="E3704" s="7"/>
      <c r="F3704" s="7"/>
      <c r="G3704" s="7"/>
      <c r="H3704" s="7">
        <f t="shared" si="1"/>
        <v>1029</v>
      </c>
    </row>
    <row r="3705" ht="22.5" customHeight="1">
      <c r="B3705" s="7"/>
      <c r="C3705" s="7"/>
      <c r="D3705" s="7"/>
      <c r="E3705" s="7"/>
      <c r="F3705" s="7"/>
      <c r="G3705" s="7"/>
      <c r="H3705" s="7">
        <f t="shared" si="1"/>
        <v>1029</v>
      </c>
    </row>
    <row r="3706" ht="22.5" customHeight="1">
      <c r="B3706" s="7"/>
      <c r="C3706" s="7"/>
      <c r="D3706" s="7"/>
      <c r="E3706" s="7"/>
      <c r="F3706" s="7"/>
      <c r="G3706" s="7"/>
      <c r="H3706" s="7">
        <f t="shared" si="1"/>
        <v>1029</v>
      </c>
    </row>
    <row r="3707" ht="22.5" customHeight="1">
      <c r="B3707" s="7"/>
      <c r="C3707" s="7"/>
      <c r="D3707" s="7"/>
      <c r="E3707" s="7"/>
      <c r="F3707" s="7"/>
      <c r="G3707" s="7"/>
      <c r="H3707" s="7">
        <f t="shared" si="1"/>
        <v>1029</v>
      </c>
    </row>
    <row r="3708" ht="22.5" customHeight="1">
      <c r="B3708" s="7"/>
      <c r="C3708" s="7"/>
      <c r="D3708" s="7"/>
      <c r="E3708" s="7"/>
      <c r="F3708" s="7"/>
      <c r="G3708" s="7"/>
      <c r="H3708" s="7">
        <f t="shared" si="1"/>
        <v>1029</v>
      </c>
    </row>
    <row r="3709" ht="22.5" customHeight="1">
      <c r="B3709" s="7"/>
      <c r="C3709" s="7"/>
      <c r="D3709" s="7"/>
      <c r="E3709" s="7"/>
      <c r="F3709" s="7"/>
      <c r="G3709" s="7"/>
      <c r="H3709" s="7">
        <f t="shared" si="1"/>
        <v>1029</v>
      </c>
    </row>
    <row r="3710" ht="22.5" customHeight="1">
      <c r="B3710" s="7"/>
      <c r="C3710" s="7"/>
      <c r="D3710" s="7"/>
      <c r="E3710" s="7"/>
      <c r="F3710" s="7"/>
      <c r="G3710" s="7"/>
      <c r="H3710" s="7">
        <f t="shared" si="1"/>
        <v>1029</v>
      </c>
    </row>
    <row r="3711" ht="22.5" customHeight="1">
      <c r="B3711" s="7"/>
      <c r="C3711" s="7"/>
      <c r="D3711" s="7"/>
      <c r="E3711" s="7"/>
      <c r="F3711" s="7"/>
      <c r="G3711" s="7"/>
      <c r="H3711" s="7">
        <f t="shared" si="1"/>
        <v>1029</v>
      </c>
    </row>
    <row r="3712" ht="22.5" customHeight="1">
      <c r="B3712" s="7"/>
      <c r="C3712" s="7"/>
      <c r="D3712" s="7"/>
      <c r="E3712" s="7"/>
      <c r="F3712" s="7"/>
      <c r="G3712" s="7"/>
      <c r="H3712" s="7">
        <f t="shared" si="1"/>
        <v>1029</v>
      </c>
    </row>
    <row r="3713" ht="22.5" customHeight="1">
      <c r="B3713" s="7"/>
      <c r="C3713" s="7"/>
      <c r="D3713" s="7"/>
      <c r="E3713" s="7"/>
      <c r="F3713" s="7"/>
      <c r="G3713" s="7"/>
      <c r="H3713" s="7">
        <f t="shared" si="1"/>
        <v>1029</v>
      </c>
    </row>
    <row r="3714" ht="22.5" customHeight="1">
      <c r="B3714" s="7"/>
      <c r="C3714" s="7"/>
      <c r="D3714" s="7"/>
      <c r="E3714" s="7"/>
      <c r="F3714" s="7"/>
      <c r="G3714" s="7"/>
      <c r="H3714" s="7">
        <f t="shared" si="1"/>
        <v>1029</v>
      </c>
    </row>
    <row r="3715" ht="22.5" customHeight="1">
      <c r="B3715" s="7"/>
      <c r="C3715" s="7"/>
      <c r="D3715" s="7"/>
      <c r="E3715" s="7"/>
      <c r="F3715" s="7"/>
      <c r="G3715" s="7"/>
      <c r="H3715" s="7">
        <f t="shared" si="1"/>
        <v>1029</v>
      </c>
    </row>
    <row r="3716" ht="22.5" customHeight="1">
      <c r="B3716" s="7"/>
      <c r="C3716" s="7"/>
      <c r="D3716" s="7"/>
      <c r="E3716" s="7"/>
      <c r="F3716" s="7"/>
      <c r="G3716" s="7"/>
      <c r="H3716" s="7">
        <f t="shared" si="1"/>
        <v>1029</v>
      </c>
    </row>
    <row r="3717" ht="22.5" customHeight="1">
      <c r="B3717" s="7"/>
      <c r="C3717" s="7"/>
      <c r="D3717" s="7"/>
      <c r="E3717" s="7"/>
      <c r="F3717" s="7"/>
      <c r="G3717" s="7"/>
      <c r="H3717" s="7">
        <f t="shared" si="1"/>
        <v>1029</v>
      </c>
    </row>
    <row r="3718" ht="22.5" customHeight="1">
      <c r="B3718" s="7"/>
      <c r="C3718" s="7"/>
      <c r="D3718" s="7"/>
      <c r="E3718" s="7"/>
      <c r="F3718" s="7"/>
      <c r="G3718" s="7"/>
      <c r="H3718" s="7">
        <f t="shared" si="1"/>
        <v>1029</v>
      </c>
    </row>
    <row r="3719" ht="22.5" customHeight="1">
      <c r="B3719" s="7"/>
      <c r="C3719" s="7"/>
      <c r="D3719" s="7"/>
      <c r="E3719" s="7"/>
      <c r="F3719" s="7"/>
      <c r="G3719" s="7"/>
      <c r="H3719" s="7">
        <f t="shared" si="1"/>
        <v>1029</v>
      </c>
    </row>
    <row r="3720" ht="22.5" customHeight="1">
      <c r="B3720" s="7"/>
      <c r="C3720" s="7"/>
      <c r="D3720" s="7"/>
      <c r="E3720" s="7"/>
      <c r="F3720" s="7"/>
      <c r="G3720" s="7"/>
      <c r="H3720" s="7">
        <f t="shared" si="1"/>
        <v>1029</v>
      </c>
    </row>
    <row r="3721" ht="22.5" customHeight="1">
      <c r="B3721" s="7"/>
      <c r="C3721" s="7"/>
      <c r="D3721" s="7"/>
      <c r="E3721" s="7"/>
      <c r="F3721" s="7"/>
      <c r="G3721" s="7"/>
      <c r="H3721" s="7">
        <f t="shared" si="1"/>
        <v>1029</v>
      </c>
    </row>
    <row r="3722" ht="22.5" customHeight="1">
      <c r="B3722" s="7"/>
      <c r="C3722" s="7"/>
      <c r="D3722" s="7"/>
      <c r="E3722" s="7"/>
      <c r="F3722" s="7"/>
      <c r="G3722" s="7"/>
      <c r="H3722" s="7">
        <f t="shared" si="1"/>
        <v>1029</v>
      </c>
    </row>
    <row r="3723" ht="22.5" customHeight="1">
      <c r="B3723" s="7"/>
      <c r="C3723" s="7"/>
      <c r="D3723" s="7"/>
      <c r="E3723" s="7"/>
      <c r="F3723" s="7"/>
      <c r="G3723" s="7"/>
      <c r="H3723" s="7">
        <f t="shared" si="1"/>
        <v>1029</v>
      </c>
    </row>
    <row r="3724" ht="22.5" customHeight="1">
      <c r="B3724" s="7"/>
      <c r="C3724" s="7"/>
      <c r="D3724" s="7"/>
      <c r="E3724" s="7"/>
      <c r="F3724" s="7"/>
      <c r="G3724" s="7"/>
      <c r="H3724" s="7">
        <f t="shared" si="1"/>
        <v>1029</v>
      </c>
    </row>
    <row r="3725" ht="22.5" customHeight="1">
      <c r="B3725" s="7"/>
      <c r="C3725" s="7"/>
      <c r="D3725" s="7"/>
      <c r="E3725" s="7"/>
      <c r="F3725" s="7"/>
      <c r="G3725" s="7"/>
      <c r="H3725" s="7">
        <f t="shared" si="1"/>
        <v>1029</v>
      </c>
    </row>
    <row r="3726" ht="22.5" customHeight="1">
      <c r="B3726" s="7"/>
      <c r="C3726" s="7"/>
      <c r="D3726" s="7"/>
      <c r="E3726" s="7"/>
      <c r="F3726" s="7"/>
      <c r="G3726" s="7"/>
      <c r="H3726" s="7">
        <f t="shared" si="1"/>
        <v>1029</v>
      </c>
    </row>
    <row r="3727" ht="22.5" customHeight="1">
      <c r="B3727" s="7"/>
      <c r="C3727" s="7"/>
      <c r="D3727" s="7"/>
      <c r="E3727" s="7"/>
      <c r="F3727" s="7"/>
      <c r="G3727" s="7"/>
      <c r="H3727" s="7">
        <f t="shared" si="1"/>
        <v>1029</v>
      </c>
    </row>
    <row r="3728" ht="22.5" customHeight="1">
      <c r="B3728" s="7"/>
      <c r="C3728" s="7"/>
      <c r="D3728" s="7"/>
      <c r="E3728" s="7"/>
      <c r="F3728" s="7"/>
      <c r="G3728" s="7"/>
      <c r="H3728" s="7">
        <f t="shared" si="1"/>
        <v>1029</v>
      </c>
    </row>
    <row r="3729" ht="22.5" customHeight="1">
      <c r="B3729" s="7"/>
      <c r="C3729" s="7"/>
      <c r="D3729" s="7"/>
      <c r="E3729" s="7"/>
      <c r="F3729" s="7"/>
      <c r="G3729" s="7"/>
      <c r="H3729" s="7">
        <f t="shared" si="1"/>
        <v>1029</v>
      </c>
    </row>
    <row r="3730" ht="22.5" customHeight="1">
      <c r="B3730" s="7"/>
      <c r="C3730" s="7"/>
      <c r="D3730" s="7"/>
      <c r="E3730" s="7"/>
      <c r="F3730" s="7"/>
      <c r="G3730" s="7"/>
      <c r="H3730" s="7">
        <f t="shared" si="1"/>
        <v>1029</v>
      </c>
    </row>
    <row r="3731" ht="22.5" customHeight="1">
      <c r="B3731" s="7"/>
      <c r="C3731" s="7"/>
      <c r="D3731" s="7"/>
      <c r="E3731" s="7"/>
      <c r="F3731" s="7"/>
      <c r="G3731" s="7"/>
      <c r="H3731" s="7">
        <f t="shared" si="1"/>
        <v>1029</v>
      </c>
    </row>
    <row r="3732" ht="22.5" customHeight="1">
      <c r="B3732" s="7"/>
      <c r="C3732" s="7"/>
      <c r="D3732" s="7"/>
      <c r="E3732" s="7"/>
      <c r="F3732" s="7"/>
      <c r="G3732" s="7"/>
      <c r="H3732" s="7">
        <f t="shared" si="1"/>
        <v>1029</v>
      </c>
    </row>
    <row r="3733" ht="22.5" customHeight="1">
      <c r="B3733" s="7"/>
      <c r="C3733" s="7"/>
      <c r="D3733" s="7"/>
      <c r="E3733" s="7"/>
      <c r="F3733" s="7"/>
      <c r="G3733" s="7"/>
      <c r="H3733" s="7">
        <f t="shared" si="1"/>
        <v>1029</v>
      </c>
    </row>
    <row r="3734" ht="22.5" customHeight="1">
      <c r="B3734" s="7"/>
      <c r="C3734" s="7"/>
      <c r="D3734" s="7"/>
      <c r="E3734" s="7"/>
      <c r="F3734" s="7"/>
      <c r="G3734" s="7"/>
      <c r="H3734" s="7">
        <f t="shared" si="1"/>
        <v>1029</v>
      </c>
    </row>
    <row r="3735" ht="22.5" customHeight="1">
      <c r="B3735" s="7"/>
      <c r="C3735" s="7"/>
      <c r="D3735" s="7"/>
      <c r="E3735" s="7"/>
      <c r="F3735" s="7"/>
      <c r="G3735" s="7"/>
      <c r="H3735" s="7">
        <f t="shared" si="1"/>
        <v>1029</v>
      </c>
    </row>
    <row r="3736" ht="22.5" customHeight="1">
      <c r="B3736" s="7"/>
      <c r="C3736" s="7"/>
      <c r="D3736" s="7"/>
      <c r="E3736" s="7"/>
      <c r="F3736" s="7"/>
      <c r="G3736" s="7"/>
      <c r="H3736" s="7">
        <f t="shared" si="1"/>
        <v>1029</v>
      </c>
    </row>
    <row r="3737" ht="22.5" customHeight="1">
      <c r="B3737" s="7"/>
      <c r="C3737" s="7"/>
      <c r="D3737" s="7"/>
      <c r="E3737" s="7"/>
      <c r="F3737" s="7"/>
      <c r="G3737" s="7"/>
      <c r="H3737" s="7">
        <f t="shared" si="1"/>
        <v>1029</v>
      </c>
    </row>
    <row r="3738" ht="22.5" customHeight="1">
      <c r="B3738" s="7"/>
      <c r="C3738" s="7"/>
      <c r="D3738" s="7"/>
      <c r="E3738" s="7"/>
      <c r="F3738" s="7"/>
      <c r="G3738" s="7"/>
      <c r="H3738" s="7">
        <f t="shared" si="1"/>
        <v>1029</v>
      </c>
    </row>
    <row r="3739" ht="22.5" customHeight="1">
      <c r="B3739" s="7"/>
      <c r="C3739" s="7"/>
      <c r="D3739" s="7"/>
      <c r="E3739" s="7"/>
      <c r="F3739" s="7"/>
      <c r="G3739" s="7"/>
      <c r="H3739" s="7">
        <f t="shared" si="1"/>
        <v>1029</v>
      </c>
    </row>
    <row r="3740" ht="22.5" customHeight="1">
      <c r="B3740" s="7"/>
      <c r="C3740" s="7"/>
      <c r="D3740" s="7"/>
      <c r="E3740" s="7"/>
      <c r="F3740" s="7"/>
      <c r="G3740" s="7"/>
      <c r="H3740" s="7">
        <f t="shared" si="1"/>
        <v>1029</v>
      </c>
    </row>
    <row r="3741" ht="22.5" customHeight="1">
      <c r="B3741" s="7"/>
      <c r="C3741" s="7"/>
      <c r="D3741" s="7"/>
      <c r="E3741" s="7"/>
      <c r="F3741" s="7"/>
      <c r="G3741" s="7"/>
      <c r="H3741" s="7">
        <f t="shared" si="1"/>
        <v>1029</v>
      </c>
    </row>
    <row r="3742" ht="22.5" customHeight="1">
      <c r="B3742" s="7"/>
      <c r="C3742" s="7"/>
      <c r="D3742" s="7"/>
      <c r="E3742" s="7"/>
      <c r="F3742" s="7"/>
      <c r="G3742" s="7"/>
      <c r="H3742" s="7">
        <f t="shared" si="1"/>
        <v>1029</v>
      </c>
    </row>
    <row r="3743" ht="22.5" customHeight="1">
      <c r="B3743" s="7"/>
      <c r="C3743" s="7"/>
      <c r="D3743" s="7"/>
      <c r="E3743" s="7"/>
      <c r="F3743" s="7"/>
      <c r="G3743" s="7"/>
      <c r="H3743" s="7">
        <f t="shared" si="1"/>
        <v>1029</v>
      </c>
    </row>
    <row r="3744" ht="22.5" customHeight="1">
      <c r="B3744" s="7"/>
      <c r="C3744" s="7"/>
      <c r="D3744" s="7"/>
      <c r="E3744" s="7"/>
      <c r="F3744" s="7"/>
      <c r="G3744" s="7"/>
      <c r="H3744" s="7">
        <f t="shared" si="1"/>
        <v>1029</v>
      </c>
    </row>
    <row r="3745" ht="22.5" customHeight="1">
      <c r="B3745" s="7"/>
      <c r="C3745" s="7"/>
      <c r="D3745" s="7"/>
      <c r="E3745" s="7"/>
      <c r="F3745" s="7"/>
      <c r="G3745" s="7"/>
      <c r="H3745" s="7">
        <f t="shared" si="1"/>
        <v>1029</v>
      </c>
    </row>
    <row r="3746" ht="22.5" customHeight="1">
      <c r="B3746" s="7"/>
      <c r="C3746" s="7"/>
      <c r="D3746" s="7"/>
      <c r="E3746" s="7"/>
      <c r="F3746" s="7"/>
      <c r="G3746" s="7"/>
      <c r="H3746" s="7">
        <f t="shared" si="1"/>
        <v>1029</v>
      </c>
    </row>
    <row r="3747" ht="22.5" customHeight="1">
      <c r="B3747" s="7"/>
      <c r="C3747" s="7"/>
      <c r="D3747" s="7"/>
      <c r="E3747" s="7"/>
      <c r="F3747" s="7"/>
      <c r="G3747" s="7"/>
      <c r="H3747" s="7">
        <f t="shared" si="1"/>
        <v>1029</v>
      </c>
    </row>
    <row r="3748" ht="22.5" customHeight="1">
      <c r="B3748" s="7"/>
      <c r="C3748" s="7"/>
      <c r="D3748" s="7"/>
      <c r="E3748" s="7"/>
      <c r="F3748" s="7"/>
      <c r="G3748" s="7"/>
      <c r="H3748" s="7">
        <f t="shared" si="1"/>
        <v>1029</v>
      </c>
    </row>
    <row r="3749" ht="22.5" customHeight="1">
      <c r="B3749" s="7"/>
      <c r="C3749" s="7"/>
      <c r="D3749" s="7"/>
      <c r="E3749" s="7"/>
      <c r="F3749" s="7"/>
      <c r="G3749" s="7"/>
      <c r="H3749" s="7">
        <f t="shared" si="1"/>
        <v>1029</v>
      </c>
    </row>
    <row r="3750" ht="22.5" customHeight="1">
      <c r="B3750" s="7"/>
      <c r="C3750" s="7"/>
      <c r="D3750" s="7"/>
      <c r="E3750" s="7"/>
      <c r="F3750" s="7"/>
      <c r="G3750" s="7"/>
      <c r="H3750" s="7">
        <f t="shared" si="1"/>
        <v>1029</v>
      </c>
    </row>
    <row r="3751" ht="22.5" customHeight="1">
      <c r="B3751" s="7"/>
      <c r="C3751" s="7"/>
      <c r="D3751" s="7"/>
      <c r="E3751" s="7"/>
      <c r="F3751" s="7"/>
      <c r="G3751" s="7"/>
      <c r="H3751" s="7">
        <f t="shared" si="1"/>
        <v>1029</v>
      </c>
    </row>
    <row r="3752" ht="22.5" customHeight="1">
      <c r="B3752" s="7"/>
      <c r="C3752" s="7"/>
      <c r="D3752" s="7"/>
      <c r="E3752" s="7"/>
      <c r="F3752" s="7"/>
      <c r="G3752" s="7"/>
      <c r="H3752" s="7">
        <f t="shared" si="1"/>
        <v>1029</v>
      </c>
    </row>
    <row r="3753" ht="22.5" customHeight="1">
      <c r="B3753" s="7"/>
      <c r="C3753" s="7"/>
      <c r="D3753" s="7"/>
      <c r="E3753" s="7"/>
      <c r="F3753" s="7"/>
      <c r="G3753" s="7"/>
      <c r="H3753" s="7">
        <f t="shared" si="1"/>
        <v>1029</v>
      </c>
    </row>
    <row r="3754" ht="22.5" customHeight="1">
      <c r="B3754" s="7"/>
      <c r="C3754" s="7"/>
      <c r="D3754" s="7"/>
      <c r="E3754" s="7"/>
      <c r="F3754" s="7"/>
      <c r="G3754" s="7"/>
      <c r="H3754" s="7">
        <f t="shared" si="1"/>
        <v>1029</v>
      </c>
    </row>
    <row r="3755" ht="22.5" customHeight="1">
      <c r="B3755" s="7"/>
      <c r="C3755" s="7"/>
      <c r="D3755" s="7"/>
      <c r="E3755" s="7"/>
      <c r="F3755" s="7"/>
      <c r="G3755" s="7"/>
      <c r="H3755" s="7">
        <f t="shared" si="1"/>
        <v>1029</v>
      </c>
    </row>
    <row r="3756" ht="22.5" customHeight="1">
      <c r="B3756" s="7"/>
      <c r="C3756" s="7"/>
      <c r="D3756" s="7"/>
      <c r="E3756" s="7"/>
      <c r="F3756" s="7"/>
      <c r="G3756" s="7"/>
      <c r="H3756" s="7">
        <f t="shared" si="1"/>
        <v>1029</v>
      </c>
    </row>
    <row r="3757" ht="22.5" customHeight="1">
      <c r="B3757" s="7"/>
      <c r="C3757" s="7"/>
      <c r="D3757" s="7"/>
      <c r="E3757" s="7"/>
      <c r="F3757" s="7"/>
      <c r="G3757" s="7"/>
      <c r="H3757" s="7">
        <f t="shared" si="1"/>
        <v>1029</v>
      </c>
    </row>
    <row r="3758" ht="22.5" customHeight="1">
      <c r="B3758" s="7"/>
      <c r="C3758" s="7"/>
      <c r="D3758" s="7"/>
      <c r="E3758" s="7"/>
      <c r="F3758" s="7"/>
      <c r="G3758" s="7"/>
      <c r="H3758" s="7">
        <f t="shared" si="1"/>
        <v>1029</v>
      </c>
    </row>
    <row r="3759" ht="22.5" customHeight="1">
      <c r="B3759" s="7"/>
      <c r="C3759" s="7"/>
      <c r="D3759" s="7"/>
      <c r="E3759" s="7"/>
      <c r="F3759" s="7"/>
      <c r="G3759" s="7"/>
      <c r="H3759" s="7">
        <f t="shared" si="1"/>
        <v>1029</v>
      </c>
    </row>
    <row r="3760" ht="22.5" customHeight="1">
      <c r="B3760" s="7"/>
      <c r="C3760" s="7"/>
      <c r="D3760" s="7"/>
      <c r="E3760" s="7"/>
      <c r="F3760" s="7"/>
      <c r="G3760" s="7"/>
      <c r="H3760" s="7">
        <f t="shared" si="1"/>
        <v>1029</v>
      </c>
    </row>
    <row r="3761" ht="22.5" customHeight="1">
      <c r="B3761" s="7"/>
      <c r="C3761" s="7"/>
      <c r="D3761" s="7"/>
      <c r="E3761" s="7"/>
      <c r="F3761" s="7"/>
      <c r="G3761" s="7"/>
      <c r="H3761" s="7">
        <f t="shared" si="1"/>
        <v>1029</v>
      </c>
    </row>
    <row r="3762" ht="22.5" customHeight="1">
      <c r="B3762" s="7"/>
      <c r="C3762" s="7"/>
      <c r="D3762" s="7"/>
      <c r="E3762" s="7"/>
      <c r="F3762" s="7"/>
      <c r="G3762" s="7"/>
      <c r="H3762" s="7">
        <f t="shared" si="1"/>
        <v>1029</v>
      </c>
    </row>
    <row r="3763" ht="22.5" customHeight="1">
      <c r="B3763" s="7"/>
      <c r="C3763" s="7"/>
      <c r="D3763" s="7"/>
      <c r="E3763" s="7"/>
      <c r="F3763" s="7"/>
      <c r="G3763" s="7"/>
      <c r="H3763" s="7">
        <f t="shared" si="1"/>
        <v>1029</v>
      </c>
    </row>
    <row r="3764" ht="22.5" customHeight="1">
      <c r="B3764" s="7"/>
      <c r="C3764" s="7"/>
      <c r="D3764" s="7"/>
      <c r="E3764" s="7"/>
      <c r="F3764" s="7"/>
      <c r="G3764" s="7"/>
      <c r="H3764" s="7">
        <f t="shared" si="1"/>
        <v>1029</v>
      </c>
    </row>
    <row r="3765" ht="22.5" customHeight="1">
      <c r="B3765" s="7"/>
      <c r="C3765" s="7"/>
      <c r="D3765" s="7"/>
      <c r="E3765" s="7"/>
      <c r="F3765" s="7"/>
      <c r="G3765" s="7"/>
      <c r="H3765" s="7">
        <f t="shared" si="1"/>
        <v>1029</v>
      </c>
    </row>
    <row r="3766" ht="22.5" customHeight="1">
      <c r="B3766" s="7"/>
      <c r="C3766" s="7"/>
      <c r="D3766" s="7"/>
      <c r="E3766" s="7"/>
      <c r="F3766" s="7"/>
      <c r="G3766" s="7"/>
      <c r="H3766" s="7">
        <f t="shared" si="1"/>
        <v>1029</v>
      </c>
    </row>
    <row r="3767" ht="22.5" customHeight="1">
      <c r="B3767" s="7"/>
      <c r="C3767" s="7"/>
      <c r="D3767" s="7"/>
      <c r="E3767" s="7"/>
      <c r="F3767" s="7"/>
      <c r="G3767" s="7"/>
      <c r="H3767" s="7">
        <f t="shared" si="1"/>
        <v>1029</v>
      </c>
    </row>
    <row r="3768" ht="22.5" customHeight="1">
      <c r="B3768" s="7"/>
      <c r="C3768" s="7"/>
      <c r="D3768" s="7"/>
      <c r="E3768" s="7"/>
      <c r="F3768" s="7"/>
      <c r="G3768" s="7"/>
      <c r="H3768" s="7">
        <f t="shared" si="1"/>
        <v>1029</v>
      </c>
    </row>
    <row r="3769" ht="22.5" customHeight="1">
      <c r="B3769" s="7"/>
      <c r="C3769" s="7"/>
      <c r="D3769" s="7"/>
      <c r="E3769" s="7"/>
      <c r="F3769" s="7"/>
      <c r="G3769" s="7"/>
      <c r="H3769" s="7">
        <f t="shared" si="1"/>
        <v>1029</v>
      </c>
    </row>
    <row r="3770" ht="22.5" customHeight="1">
      <c r="B3770" s="7"/>
      <c r="C3770" s="7"/>
      <c r="D3770" s="7"/>
      <c r="E3770" s="7"/>
      <c r="F3770" s="7"/>
      <c r="G3770" s="7"/>
      <c r="H3770" s="7">
        <f t="shared" si="1"/>
        <v>1029</v>
      </c>
    </row>
    <row r="3771" ht="22.5" customHeight="1">
      <c r="B3771" s="7"/>
      <c r="C3771" s="7"/>
      <c r="D3771" s="7"/>
      <c r="E3771" s="7"/>
      <c r="F3771" s="7"/>
      <c r="G3771" s="7"/>
      <c r="H3771" s="7">
        <f t="shared" si="1"/>
        <v>1029</v>
      </c>
    </row>
    <row r="3772" ht="22.5" customHeight="1">
      <c r="B3772" s="7"/>
      <c r="C3772" s="7"/>
      <c r="D3772" s="7"/>
      <c r="E3772" s="7"/>
      <c r="F3772" s="7"/>
      <c r="G3772" s="7"/>
      <c r="H3772" s="7">
        <f t="shared" si="1"/>
        <v>1029</v>
      </c>
    </row>
    <row r="3773" ht="22.5" customHeight="1">
      <c r="B3773" s="7"/>
      <c r="C3773" s="7"/>
      <c r="D3773" s="7"/>
      <c r="E3773" s="7"/>
      <c r="F3773" s="7"/>
      <c r="G3773" s="7"/>
      <c r="H3773" s="7">
        <f t="shared" si="1"/>
        <v>1029</v>
      </c>
    </row>
    <row r="3774" ht="22.5" customHeight="1">
      <c r="B3774" s="7"/>
      <c r="C3774" s="7"/>
      <c r="D3774" s="7"/>
      <c r="E3774" s="7"/>
      <c r="F3774" s="7"/>
      <c r="G3774" s="7"/>
      <c r="H3774" s="7">
        <f t="shared" si="1"/>
        <v>1029</v>
      </c>
    </row>
    <row r="3775" ht="22.5" customHeight="1">
      <c r="B3775" s="7"/>
      <c r="C3775" s="7"/>
      <c r="D3775" s="7"/>
      <c r="E3775" s="7"/>
      <c r="F3775" s="7"/>
      <c r="G3775" s="7"/>
      <c r="H3775" s="7">
        <f t="shared" si="1"/>
        <v>1029</v>
      </c>
    </row>
    <row r="3776" ht="22.5" customHeight="1">
      <c r="B3776" s="7"/>
      <c r="C3776" s="7"/>
      <c r="D3776" s="7"/>
      <c r="E3776" s="7"/>
      <c r="F3776" s="7"/>
      <c r="G3776" s="7"/>
      <c r="H3776" s="7">
        <f t="shared" si="1"/>
        <v>1029</v>
      </c>
    </row>
    <row r="3777" ht="22.5" customHeight="1">
      <c r="B3777" s="7"/>
      <c r="C3777" s="7"/>
      <c r="D3777" s="7"/>
      <c r="E3777" s="7"/>
      <c r="F3777" s="7"/>
      <c r="G3777" s="7"/>
      <c r="H3777" s="7">
        <f t="shared" si="1"/>
        <v>1029</v>
      </c>
    </row>
    <row r="3778" ht="22.5" customHeight="1">
      <c r="B3778" s="7"/>
      <c r="C3778" s="7"/>
      <c r="D3778" s="7"/>
      <c r="E3778" s="7"/>
      <c r="F3778" s="7"/>
      <c r="G3778" s="7"/>
      <c r="H3778" s="7">
        <f t="shared" si="1"/>
        <v>1029</v>
      </c>
    </row>
    <row r="3779" ht="22.5" customHeight="1">
      <c r="B3779" s="7"/>
      <c r="C3779" s="7"/>
      <c r="D3779" s="7"/>
      <c r="E3779" s="7"/>
      <c r="F3779" s="7"/>
      <c r="G3779" s="7"/>
      <c r="H3779" s="7">
        <f t="shared" si="1"/>
        <v>1029</v>
      </c>
    </row>
    <row r="3780" ht="22.5" customHeight="1">
      <c r="B3780" s="7"/>
      <c r="C3780" s="7"/>
      <c r="D3780" s="7"/>
      <c r="E3780" s="7"/>
      <c r="F3780" s="7"/>
      <c r="G3780" s="7"/>
      <c r="H3780" s="7">
        <f t="shared" si="1"/>
        <v>1029</v>
      </c>
    </row>
    <row r="3781" ht="22.5" customHeight="1">
      <c r="B3781" s="7"/>
      <c r="C3781" s="7"/>
      <c r="D3781" s="7"/>
      <c r="E3781" s="7"/>
      <c r="F3781" s="7"/>
      <c r="G3781" s="7"/>
      <c r="H3781" s="7">
        <f t="shared" si="1"/>
        <v>1029</v>
      </c>
    </row>
    <row r="3782" ht="22.5" customHeight="1">
      <c r="B3782" s="7"/>
      <c r="C3782" s="7"/>
      <c r="D3782" s="7"/>
      <c r="E3782" s="7"/>
      <c r="F3782" s="7"/>
      <c r="G3782" s="7"/>
      <c r="H3782" s="7">
        <f t="shared" si="1"/>
        <v>1029</v>
      </c>
    </row>
    <row r="3783" ht="22.5" customHeight="1">
      <c r="B3783" s="7"/>
      <c r="C3783" s="7"/>
      <c r="D3783" s="7"/>
      <c r="E3783" s="7"/>
      <c r="F3783" s="7"/>
      <c r="G3783" s="7"/>
      <c r="H3783" s="7">
        <f t="shared" si="1"/>
        <v>1029</v>
      </c>
    </row>
    <row r="3784" ht="22.5" customHeight="1">
      <c r="B3784" s="7"/>
      <c r="C3784" s="7"/>
      <c r="D3784" s="7"/>
      <c r="E3784" s="7"/>
      <c r="F3784" s="7"/>
      <c r="G3784" s="7"/>
      <c r="H3784" s="7">
        <f t="shared" si="1"/>
        <v>1029</v>
      </c>
    </row>
    <row r="3785" ht="22.5" customHeight="1">
      <c r="B3785" s="7"/>
      <c r="C3785" s="7"/>
      <c r="D3785" s="7"/>
      <c r="E3785" s="7"/>
      <c r="F3785" s="7"/>
      <c r="G3785" s="7"/>
      <c r="H3785" s="7">
        <f t="shared" si="1"/>
        <v>1029</v>
      </c>
    </row>
    <row r="3786" ht="22.5" customHeight="1">
      <c r="B3786" s="7"/>
      <c r="C3786" s="7"/>
      <c r="D3786" s="7"/>
      <c r="E3786" s="7"/>
      <c r="F3786" s="7"/>
      <c r="G3786" s="7"/>
      <c r="H3786" s="7">
        <f t="shared" si="1"/>
        <v>1029</v>
      </c>
    </row>
    <row r="3787" ht="22.5" customHeight="1">
      <c r="B3787" s="7"/>
      <c r="C3787" s="7"/>
      <c r="D3787" s="7"/>
      <c r="E3787" s="7"/>
      <c r="F3787" s="7"/>
      <c r="G3787" s="7"/>
      <c r="H3787" s="7">
        <f t="shared" si="1"/>
        <v>1029</v>
      </c>
    </row>
    <row r="3788" ht="22.5" customHeight="1">
      <c r="B3788" s="7"/>
      <c r="C3788" s="7"/>
      <c r="D3788" s="7"/>
      <c r="E3788" s="7"/>
      <c r="F3788" s="7"/>
      <c r="G3788" s="7"/>
      <c r="H3788" s="7">
        <f t="shared" si="1"/>
        <v>1029</v>
      </c>
    </row>
    <row r="3789" ht="22.5" customHeight="1">
      <c r="B3789" s="7"/>
      <c r="C3789" s="7"/>
      <c r="D3789" s="7"/>
      <c r="E3789" s="7"/>
      <c r="F3789" s="7"/>
      <c r="G3789" s="7"/>
      <c r="H3789" s="7">
        <f t="shared" si="1"/>
        <v>1029</v>
      </c>
    </row>
    <row r="3790" ht="22.5" customHeight="1">
      <c r="B3790" s="7"/>
      <c r="C3790" s="7"/>
      <c r="D3790" s="7"/>
      <c r="E3790" s="7"/>
      <c r="F3790" s="7"/>
      <c r="G3790" s="7"/>
      <c r="H3790" s="7">
        <f t="shared" si="1"/>
        <v>1029</v>
      </c>
    </row>
    <row r="3791" ht="22.5" customHeight="1">
      <c r="B3791" s="7"/>
      <c r="C3791" s="7"/>
      <c r="D3791" s="7"/>
      <c r="E3791" s="7"/>
      <c r="F3791" s="7"/>
      <c r="G3791" s="7"/>
      <c r="H3791" s="7">
        <f t="shared" si="1"/>
        <v>1029</v>
      </c>
    </row>
    <row r="3792" ht="22.5" customHeight="1">
      <c r="B3792" s="7"/>
      <c r="C3792" s="7"/>
      <c r="D3792" s="7"/>
      <c r="E3792" s="7"/>
      <c r="F3792" s="7"/>
      <c r="G3792" s="7"/>
      <c r="H3792" s="7">
        <f t="shared" si="1"/>
        <v>1029</v>
      </c>
    </row>
    <row r="3793" ht="22.5" customHeight="1">
      <c r="B3793" s="7"/>
      <c r="C3793" s="7"/>
      <c r="D3793" s="7"/>
      <c r="E3793" s="7"/>
      <c r="F3793" s="7"/>
      <c r="G3793" s="7"/>
      <c r="H3793" s="7">
        <f t="shared" si="1"/>
        <v>1029</v>
      </c>
    </row>
    <row r="3794" ht="22.5" customHeight="1">
      <c r="B3794" s="7"/>
      <c r="C3794" s="7"/>
      <c r="D3794" s="7"/>
      <c r="E3794" s="7"/>
      <c r="F3794" s="7"/>
      <c r="G3794" s="7"/>
      <c r="H3794" s="7">
        <f t="shared" si="1"/>
        <v>1029</v>
      </c>
    </row>
    <row r="3795" ht="22.5" customHeight="1">
      <c r="B3795" s="7"/>
      <c r="C3795" s="7"/>
      <c r="D3795" s="7"/>
      <c r="E3795" s="7"/>
      <c r="F3795" s="7"/>
      <c r="G3795" s="7"/>
      <c r="H3795" s="7">
        <f t="shared" si="1"/>
        <v>1029</v>
      </c>
    </row>
    <row r="3796" ht="22.5" customHeight="1">
      <c r="B3796" s="7"/>
      <c r="C3796" s="7"/>
      <c r="D3796" s="7"/>
      <c r="E3796" s="7"/>
      <c r="F3796" s="7"/>
      <c r="G3796" s="7"/>
      <c r="H3796" s="7">
        <f t="shared" si="1"/>
        <v>1029</v>
      </c>
    </row>
    <row r="3797" ht="22.5" customHeight="1">
      <c r="B3797" s="7"/>
      <c r="C3797" s="7"/>
      <c r="D3797" s="7"/>
      <c r="E3797" s="7"/>
      <c r="F3797" s="7"/>
      <c r="G3797" s="7"/>
      <c r="H3797" s="7">
        <f t="shared" si="1"/>
        <v>1029</v>
      </c>
    </row>
    <row r="3798" ht="22.5" customHeight="1">
      <c r="B3798" s="7"/>
      <c r="C3798" s="7"/>
      <c r="D3798" s="7"/>
      <c r="E3798" s="7"/>
      <c r="F3798" s="7"/>
      <c r="G3798" s="7"/>
      <c r="H3798" s="7">
        <f t="shared" si="1"/>
        <v>1029</v>
      </c>
    </row>
    <row r="3799" ht="22.5" customHeight="1">
      <c r="B3799" s="7"/>
      <c r="C3799" s="7"/>
      <c r="D3799" s="7"/>
      <c r="E3799" s="7"/>
      <c r="F3799" s="7"/>
      <c r="G3799" s="7"/>
      <c r="H3799" s="7">
        <f t="shared" si="1"/>
        <v>1029</v>
      </c>
    </row>
    <row r="3800" ht="22.5" customHeight="1">
      <c r="B3800" s="7"/>
      <c r="C3800" s="7"/>
      <c r="D3800" s="7"/>
      <c r="E3800" s="7"/>
      <c r="F3800" s="7"/>
      <c r="G3800" s="7"/>
      <c r="H3800" s="7">
        <f t="shared" si="1"/>
        <v>1029</v>
      </c>
    </row>
    <row r="3801" ht="22.5" customHeight="1">
      <c r="B3801" s="7"/>
      <c r="C3801" s="7"/>
      <c r="D3801" s="7"/>
      <c r="E3801" s="7"/>
      <c r="F3801" s="7"/>
      <c r="G3801" s="7"/>
      <c r="H3801" s="7">
        <f t="shared" si="1"/>
        <v>1029</v>
      </c>
    </row>
    <row r="3802" ht="22.5" customHeight="1">
      <c r="B3802" s="7"/>
      <c r="C3802" s="7"/>
      <c r="D3802" s="7"/>
      <c r="E3802" s="7"/>
      <c r="F3802" s="7"/>
      <c r="G3802" s="7"/>
      <c r="H3802" s="7">
        <f t="shared" si="1"/>
        <v>1029</v>
      </c>
    </row>
    <row r="3803" ht="22.5" customHeight="1">
      <c r="B3803" s="7"/>
      <c r="C3803" s="7"/>
      <c r="D3803" s="7"/>
      <c r="E3803" s="7"/>
      <c r="F3803" s="7"/>
      <c r="G3803" s="7"/>
      <c r="H3803" s="7">
        <f t="shared" si="1"/>
        <v>1029</v>
      </c>
    </row>
    <row r="3804" ht="22.5" customHeight="1">
      <c r="B3804" s="7"/>
      <c r="C3804" s="7"/>
      <c r="D3804" s="7"/>
      <c r="E3804" s="7"/>
      <c r="F3804" s="7"/>
      <c r="G3804" s="7"/>
      <c r="H3804" s="7">
        <f t="shared" si="1"/>
        <v>1029</v>
      </c>
    </row>
    <row r="3805" ht="22.5" customHeight="1">
      <c r="B3805" s="7"/>
      <c r="C3805" s="7"/>
      <c r="D3805" s="7"/>
      <c r="E3805" s="7"/>
      <c r="F3805" s="7"/>
      <c r="G3805" s="7"/>
      <c r="H3805" s="7">
        <f t="shared" si="1"/>
        <v>1029</v>
      </c>
    </row>
    <row r="3806" ht="22.5" customHeight="1">
      <c r="B3806" s="7"/>
      <c r="C3806" s="7"/>
      <c r="D3806" s="7"/>
      <c r="E3806" s="7"/>
      <c r="F3806" s="7"/>
      <c r="G3806" s="7"/>
      <c r="H3806" s="7">
        <f t="shared" si="1"/>
        <v>1029</v>
      </c>
    </row>
    <row r="3807" ht="22.5" customHeight="1">
      <c r="B3807" s="7"/>
      <c r="C3807" s="7"/>
      <c r="D3807" s="7"/>
      <c r="E3807" s="7"/>
      <c r="F3807" s="7"/>
      <c r="G3807" s="7"/>
      <c r="H3807" s="7">
        <f t="shared" si="1"/>
        <v>1029</v>
      </c>
    </row>
    <row r="3808" ht="22.5" customHeight="1">
      <c r="B3808" s="7"/>
      <c r="C3808" s="7"/>
      <c r="D3808" s="7"/>
      <c r="E3808" s="7"/>
      <c r="F3808" s="7"/>
      <c r="G3808" s="7"/>
      <c r="H3808" s="7">
        <f t="shared" si="1"/>
        <v>1029</v>
      </c>
    </row>
    <row r="3809" ht="22.5" customHeight="1">
      <c r="B3809" s="7"/>
      <c r="C3809" s="7"/>
      <c r="D3809" s="7"/>
      <c r="E3809" s="7"/>
      <c r="F3809" s="7"/>
      <c r="G3809" s="7"/>
      <c r="H3809" s="7">
        <f t="shared" si="1"/>
        <v>1029</v>
      </c>
    </row>
    <row r="3810" ht="22.5" customHeight="1">
      <c r="B3810" s="7"/>
      <c r="C3810" s="7"/>
      <c r="D3810" s="7"/>
      <c r="E3810" s="7"/>
      <c r="F3810" s="7"/>
      <c r="G3810" s="7"/>
      <c r="H3810" s="7">
        <f t="shared" si="1"/>
        <v>1029</v>
      </c>
    </row>
    <row r="3811" ht="22.5" customHeight="1">
      <c r="B3811" s="7"/>
      <c r="C3811" s="7"/>
      <c r="D3811" s="7"/>
      <c r="E3811" s="7"/>
      <c r="F3811" s="7"/>
      <c r="G3811" s="7"/>
      <c r="H3811" s="7">
        <f t="shared" si="1"/>
        <v>1029</v>
      </c>
    </row>
    <row r="3812" ht="22.5" customHeight="1">
      <c r="B3812" s="7"/>
      <c r="C3812" s="7"/>
      <c r="D3812" s="7"/>
      <c r="E3812" s="7"/>
      <c r="F3812" s="7"/>
      <c r="G3812" s="7"/>
      <c r="H3812" s="7">
        <f t="shared" si="1"/>
        <v>1029</v>
      </c>
    </row>
    <row r="3813" ht="22.5" customHeight="1">
      <c r="B3813" s="7"/>
      <c r="C3813" s="7"/>
      <c r="D3813" s="7"/>
      <c r="E3813" s="7"/>
      <c r="F3813" s="7"/>
      <c r="G3813" s="7"/>
      <c r="H3813" s="7">
        <f t="shared" si="1"/>
        <v>1029</v>
      </c>
    </row>
    <row r="3814" ht="22.5" customHeight="1">
      <c r="B3814" s="7"/>
      <c r="C3814" s="7"/>
      <c r="D3814" s="7"/>
      <c r="E3814" s="7"/>
      <c r="F3814" s="7"/>
      <c r="G3814" s="7"/>
      <c r="H3814" s="7">
        <f t="shared" si="1"/>
        <v>1029</v>
      </c>
    </row>
    <row r="3815" ht="22.5" customHeight="1">
      <c r="B3815" s="7"/>
      <c r="C3815" s="7"/>
      <c r="D3815" s="7"/>
      <c r="E3815" s="7"/>
      <c r="F3815" s="7"/>
      <c r="G3815" s="7"/>
      <c r="H3815" s="7">
        <f t="shared" si="1"/>
        <v>1029</v>
      </c>
    </row>
    <row r="3816" ht="22.5" customHeight="1">
      <c r="B3816" s="7"/>
      <c r="C3816" s="7"/>
      <c r="D3816" s="7"/>
      <c r="E3816" s="7"/>
      <c r="F3816" s="7"/>
      <c r="G3816" s="7"/>
      <c r="H3816" s="7">
        <f t="shared" si="1"/>
        <v>1029</v>
      </c>
    </row>
    <row r="3817" ht="22.5" customHeight="1">
      <c r="B3817" s="7"/>
      <c r="C3817" s="7"/>
      <c r="D3817" s="7"/>
      <c r="E3817" s="7"/>
      <c r="F3817" s="7"/>
      <c r="G3817" s="7"/>
      <c r="H3817" s="7">
        <f t="shared" si="1"/>
        <v>1029</v>
      </c>
    </row>
    <row r="3818" ht="22.5" customHeight="1">
      <c r="B3818" s="7"/>
      <c r="C3818" s="7"/>
      <c r="D3818" s="7"/>
      <c r="E3818" s="7"/>
      <c r="F3818" s="7"/>
      <c r="G3818" s="7"/>
      <c r="H3818" s="7">
        <f t="shared" si="1"/>
        <v>1029</v>
      </c>
    </row>
    <row r="3819" ht="22.5" customHeight="1">
      <c r="B3819" s="7"/>
      <c r="C3819" s="7"/>
      <c r="D3819" s="7"/>
      <c r="E3819" s="7"/>
      <c r="F3819" s="7"/>
      <c r="G3819" s="7"/>
      <c r="H3819" s="7">
        <f t="shared" si="1"/>
        <v>1029</v>
      </c>
    </row>
    <row r="3820" ht="22.5" customHeight="1">
      <c r="B3820" s="7"/>
      <c r="C3820" s="7"/>
      <c r="D3820" s="7"/>
      <c r="E3820" s="7"/>
      <c r="F3820" s="7"/>
      <c r="G3820" s="7"/>
      <c r="H3820" s="7">
        <f t="shared" si="1"/>
        <v>1029</v>
      </c>
    </row>
    <row r="3821" ht="22.5" customHeight="1">
      <c r="B3821" s="7"/>
      <c r="C3821" s="7"/>
      <c r="D3821" s="7"/>
      <c r="E3821" s="7"/>
      <c r="F3821" s="7"/>
      <c r="G3821" s="7"/>
      <c r="H3821" s="7">
        <f t="shared" si="1"/>
        <v>1029</v>
      </c>
    </row>
    <row r="3822" ht="22.5" customHeight="1">
      <c r="B3822" s="7"/>
      <c r="C3822" s="7"/>
      <c r="D3822" s="7"/>
      <c r="E3822" s="7"/>
      <c r="F3822" s="7"/>
      <c r="G3822" s="7"/>
      <c r="H3822" s="7">
        <f t="shared" si="1"/>
        <v>1029</v>
      </c>
    </row>
    <row r="3823" ht="22.5" customHeight="1">
      <c r="B3823" s="7"/>
      <c r="C3823" s="7"/>
      <c r="D3823" s="7"/>
      <c r="E3823" s="7"/>
      <c r="F3823" s="7"/>
      <c r="G3823" s="7"/>
      <c r="H3823" s="7">
        <f t="shared" si="1"/>
        <v>1029</v>
      </c>
    </row>
    <row r="3824" ht="22.5" customHeight="1">
      <c r="B3824" s="7"/>
      <c r="C3824" s="7"/>
      <c r="D3824" s="7"/>
      <c r="E3824" s="7"/>
      <c r="F3824" s="7"/>
      <c r="G3824" s="7"/>
      <c r="H3824" s="7">
        <f t="shared" si="1"/>
        <v>1029</v>
      </c>
    </row>
    <row r="3825" ht="22.5" customHeight="1">
      <c r="B3825" s="7"/>
      <c r="C3825" s="7"/>
      <c r="D3825" s="7"/>
      <c r="E3825" s="7"/>
      <c r="F3825" s="7"/>
      <c r="G3825" s="7"/>
      <c r="H3825" s="7">
        <f t="shared" si="1"/>
        <v>1029</v>
      </c>
    </row>
    <row r="3826" ht="22.5" customHeight="1">
      <c r="B3826" s="7"/>
      <c r="C3826" s="7"/>
      <c r="D3826" s="7"/>
      <c r="E3826" s="7"/>
      <c r="F3826" s="7"/>
      <c r="G3826" s="7"/>
      <c r="H3826" s="7">
        <f t="shared" si="1"/>
        <v>1029</v>
      </c>
    </row>
    <row r="3827" ht="22.5" customHeight="1">
      <c r="B3827" s="7"/>
      <c r="C3827" s="7"/>
      <c r="D3827" s="7"/>
      <c r="E3827" s="7"/>
      <c r="F3827" s="7"/>
      <c r="G3827" s="7"/>
      <c r="H3827" s="7">
        <f t="shared" si="1"/>
        <v>1029</v>
      </c>
    </row>
    <row r="3828" ht="22.5" customHeight="1">
      <c r="B3828" s="7"/>
      <c r="C3828" s="7"/>
      <c r="D3828" s="7"/>
      <c r="E3828" s="7"/>
      <c r="F3828" s="7"/>
      <c r="G3828" s="7"/>
      <c r="H3828" s="7">
        <f t="shared" si="1"/>
        <v>1029</v>
      </c>
    </row>
    <row r="3829" ht="22.5" customHeight="1">
      <c r="B3829" s="7"/>
      <c r="C3829" s="7"/>
      <c r="D3829" s="7"/>
      <c r="E3829" s="7"/>
      <c r="F3829" s="7"/>
      <c r="G3829" s="7"/>
      <c r="H3829" s="7">
        <f t="shared" si="1"/>
        <v>1029</v>
      </c>
    </row>
    <row r="3830" ht="22.5" customHeight="1">
      <c r="B3830" s="7"/>
      <c r="C3830" s="7"/>
      <c r="D3830" s="7"/>
      <c r="E3830" s="7"/>
      <c r="F3830" s="7"/>
      <c r="G3830" s="7"/>
      <c r="H3830" s="7">
        <f t="shared" si="1"/>
        <v>1029</v>
      </c>
    </row>
    <row r="3831" ht="22.5" customHeight="1">
      <c r="B3831" s="7"/>
      <c r="C3831" s="7"/>
      <c r="D3831" s="7"/>
      <c r="E3831" s="7"/>
      <c r="F3831" s="7"/>
      <c r="G3831" s="7"/>
      <c r="H3831" s="7">
        <f t="shared" si="1"/>
        <v>1029</v>
      </c>
    </row>
    <row r="3832" ht="22.5" customHeight="1">
      <c r="B3832" s="7"/>
      <c r="C3832" s="7"/>
      <c r="D3832" s="7"/>
      <c r="E3832" s="7"/>
      <c r="F3832" s="7"/>
      <c r="G3832" s="7"/>
      <c r="H3832" s="7">
        <f t="shared" si="1"/>
        <v>1029</v>
      </c>
    </row>
    <row r="3833" ht="22.5" customHeight="1">
      <c r="B3833" s="7"/>
      <c r="C3833" s="7"/>
      <c r="D3833" s="7"/>
      <c r="E3833" s="7"/>
      <c r="F3833" s="7"/>
      <c r="G3833" s="7"/>
      <c r="H3833" s="7">
        <f t="shared" si="1"/>
        <v>1029</v>
      </c>
    </row>
    <row r="3834" ht="22.5" customHeight="1">
      <c r="B3834" s="7"/>
      <c r="C3834" s="7"/>
      <c r="D3834" s="7"/>
      <c r="E3834" s="7"/>
      <c r="F3834" s="7"/>
      <c r="G3834" s="7"/>
      <c r="H3834" s="7">
        <f t="shared" si="1"/>
        <v>1029</v>
      </c>
    </row>
    <row r="3835" ht="22.5" customHeight="1">
      <c r="B3835" s="7"/>
      <c r="C3835" s="7"/>
      <c r="D3835" s="7"/>
      <c r="E3835" s="7"/>
      <c r="F3835" s="7"/>
      <c r="G3835" s="7"/>
      <c r="H3835" s="7">
        <f t="shared" si="1"/>
        <v>1029</v>
      </c>
    </row>
    <row r="3836" ht="22.5" customHeight="1">
      <c r="B3836" s="7"/>
      <c r="C3836" s="7"/>
      <c r="D3836" s="7"/>
      <c r="E3836" s="7"/>
      <c r="F3836" s="7"/>
      <c r="G3836" s="7"/>
      <c r="H3836" s="7">
        <f t="shared" si="1"/>
        <v>1029</v>
      </c>
    </row>
    <row r="3837" ht="22.5" customHeight="1">
      <c r="B3837" s="7"/>
      <c r="C3837" s="7"/>
      <c r="D3837" s="7"/>
      <c r="E3837" s="7"/>
      <c r="F3837" s="7"/>
      <c r="G3837" s="7"/>
      <c r="H3837" s="7">
        <f t="shared" si="1"/>
        <v>1029</v>
      </c>
    </row>
    <row r="3838" ht="22.5" customHeight="1">
      <c r="B3838" s="7"/>
      <c r="C3838" s="7"/>
      <c r="D3838" s="7"/>
      <c r="E3838" s="7"/>
      <c r="F3838" s="7"/>
      <c r="G3838" s="7"/>
      <c r="H3838" s="7">
        <f t="shared" si="1"/>
        <v>1029</v>
      </c>
    </row>
    <row r="3839" ht="22.5" customHeight="1">
      <c r="B3839" s="7"/>
      <c r="C3839" s="7"/>
      <c r="D3839" s="7"/>
      <c r="E3839" s="7"/>
      <c r="F3839" s="7"/>
      <c r="G3839" s="7"/>
      <c r="H3839" s="7">
        <f t="shared" si="1"/>
        <v>1029</v>
      </c>
    </row>
    <row r="3840" ht="22.5" customHeight="1">
      <c r="B3840" s="7"/>
      <c r="C3840" s="7"/>
      <c r="D3840" s="7"/>
      <c r="E3840" s="7"/>
      <c r="F3840" s="7"/>
      <c r="G3840" s="7"/>
      <c r="H3840" s="7">
        <f t="shared" si="1"/>
        <v>1029</v>
      </c>
    </row>
    <row r="3841" ht="22.5" customHeight="1">
      <c r="B3841" s="7"/>
      <c r="C3841" s="7"/>
      <c r="D3841" s="7"/>
      <c r="E3841" s="7"/>
      <c r="F3841" s="7"/>
      <c r="G3841" s="7"/>
      <c r="H3841" s="7">
        <f t="shared" si="1"/>
        <v>1029</v>
      </c>
    </row>
    <row r="3842" ht="22.5" customHeight="1">
      <c r="B3842" s="7"/>
      <c r="C3842" s="7"/>
      <c r="D3842" s="7"/>
      <c r="E3842" s="7"/>
      <c r="F3842" s="7"/>
      <c r="G3842" s="7"/>
      <c r="H3842" s="7">
        <f t="shared" si="1"/>
        <v>1029</v>
      </c>
    </row>
    <row r="3843" ht="22.5" customHeight="1">
      <c r="B3843" s="7"/>
      <c r="C3843" s="7"/>
      <c r="D3843" s="7"/>
      <c r="E3843" s="7"/>
      <c r="F3843" s="7"/>
      <c r="G3843" s="7"/>
      <c r="H3843" s="7">
        <f t="shared" si="1"/>
        <v>1029</v>
      </c>
    </row>
    <row r="3844" ht="22.5" customHeight="1">
      <c r="B3844" s="7"/>
      <c r="C3844" s="7"/>
      <c r="D3844" s="7"/>
      <c r="E3844" s="7"/>
      <c r="F3844" s="7"/>
      <c r="G3844" s="7"/>
      <c r="H3844" s="7">
        <f t="shared" si="1"/>
        <v>1029</v>
      </c>
    </row>
    <row r="3845" ht="22.5" customHeight="1">
      <c r="B3845" s="7"/>
      <c r="C3845" s="7"/>
      <c r="D3845" s="7"/>
      <c r="E3845" s="7"/>
      <c r="F3845" s="7"/>
      <c r="G3845" s="7"/>
      <c r="H3845" s="7">
        <f t="shared" si="1"/>
        <v>1029</v>
      </c>
    </row>
    <row r="3846" ht="22.5" customHeight="1">
      <c r="B3846" s="7"/>
      <c r="C3846" s="7"/>
      <c r="D3846" s="7"/>
      <c r="E3846" s="7"/>
      <c r="F3846" s="7"/>
      <c r="G3846" s="7"/>
      <c r="H3846" s="7">
        <f t="shared" si="1"/>
        <v>1029</v>
      </c>
    </row>
    <row r="3847" ht="22.5" customHeight="1">
      <c r="B3847" s="7"/>
      <c r="C3847" s="7"/>
      <c r="D3847" s="7"/>
      <c r="E3847" s="7"/>
      <c r="F3847" s="7"/>
      <c r="G3847" s="7"/>
      <c r="H3847" s="7">
        <f t="shared" si="1"/>
        <v>1029</v>
      </c>
    </row>
    <row r="3848" ht="22.5" customHeight="1">
      <c r="B3848" s="7"/>
      <c r="C3848" s="7"/>
      <c r="D3848" s="7"/>
      <c r="E3848" s="7"/>
      <c r="F3848" s="7"/>
      <c r="G3848" s="7"/>
      <c r="H3848" s="7">
        <f t="shared" si="1"/>
        <v>1029</v>
      </c>
    </row>
    <row r="3849" ht="22.5" customHeight="1">
      <c r="B3849" s="7"/>
      <c r="C3849" s="7"/>
      <c r="D3849" s="7"/>
      <c r="E3849" s="7"/>
      <c r="F3849" s="7"/>
      <c r="G3849" s="7"/>
      <c r="H3849" s="7">
        <f t="shared" si="1"/>
        <v>1029</v>
      </c>
    </row>
    <row r="3850" ht="22.5" customHeight="1">
      <c r="B3850" s="7"/>
      <c r="C3850" s="7"/>
      <c r="D3850" s="7"/>
      <c r="E3850" s="7"/>
      <c r="F3850" s="7"/>
      <c r="G3850" s="7"/>
      <c r="H3850" s="7">
        <f t="shared" si="1"/>
        <v>1029</v>
      </c>
    </row>
    <row r="3851" ht="22.5" customHeight="1">
      <c r="B3851" s="7"/>
      <c r="C3851" s="7"/>
      <c r="D3851" s="7"/>
      <c r="E3851" s="7"/>
      <c r="F3851" s="7"/>
      <c r="G3851" s="7"/>
      <c r="H3851" s="7">
        <f t="shared" si="1"/>
        <v>1029</v>
      </c>
    </row>
    <row r="3852" ht="22.5" customHeight="1">
      <c r="B3852" s="7"/>
      <c r="C3852" s="7"/>
      <c r="D3852" s="7"/>
      <c r="E3852" s="7"/>
      <c r="F3852" s="7"/>
      <c r="G3852" s="7"/>
      <c r="H3852" s="7">
        <f t="shared" si="1"/>
        <v>1029</v>
      </c>
    </row>
    <row r="3853" ht="22.5" customHeight="1">
      <c r="B3853" s="7"/>
      <c r="C3853" s="7"/>
      <c r="D3853" s="7"/>
      <c r="E3853" s="7"/>
      <c r="F3853" s="7"/>
      <c r="G3853" s="7"/>
      <c r="H3853" s="7">
        <f t="shared" si="1"/>
        <v>1029</v>
      </c>
    </row>
    <row r="3854" ht="22.5" customHeight="1">
      <c r="B3854" s="7"/>
      <c r="C3854" s="7"/>
      <c r="D3854" s="7"/>
      <c r="E3854" s="7"/>
      <c r="F3854" s="7"/>
      <c r="G3854" s="7"/>
      <c r="H3854" s="7">
        <f t="shared" si="1"/>
        <v>1029</v>
      </c>
    </row>
    <row r="3855" ht="22.5" customHeight="1">
      <c r="B3855" s="7"/>
      <c r="C3855" s="7"/>
      <c r="D3855" s="7"/>
      <c r="E3855" s="7"/>
      <c r="F3855" s="7"/>
      <c r="G3855" s="7"/>
      <c r="H3855" s="7">
        <f t="shared" si="1"/>
        <v>1029</v>
      </c>
    </row>
    <row r="3856" ht="22.5" customHeight="1">
      <c r="B3856" s="7"/>
      <c r="C3856" s="7"/>
      <c r="D3856" s="7"/>
      <c r="E3856" s="7"/>
      <c r="F3856" s="7"/>
      <c r="G3856" s="7"/>
      <c r="H3856" s="7">
        <f t="shared" si="1"/>
        <v>1029</v>
      </c>
    </row>
    <row r="3857" ht="22.5" customHeight="1">
      <c r="B3857" s="7"/>
      <c r="C3857" s="7"/>
      <c r="D3857" s="7"/>
      <c r="E3857" s="7"/>
      <c r="F3857" s="7"/>
      <c r="G3857" s="7"/>
      <c r="H3857" s="7">
        <f t="shared" si="1"/>
        <v>1029</v>
      </c>
    </row>
    <row r="3858" ht="22.5" customHeight="1">
      <c r="B3858" s="7"/>
      <c r="C3858" s="7"/>
      <c r="D3858" s="7"/>
      <c r="E3858" s="7"/>
      <c r="F3858" s="7"/>
      <c r="G3858" s="7"/>
      <c r="H3858" s="7">
        <f t="shared" si="1"/>
        <v>1029</v>
      </c>
    </row>
    <row r="3859" ht="22.5" customHeight="1">
      <c r="B3859" s="7"/>
      <c r="C3859" s="7"/>
      <c r="D3859" s="7"/>
      <c r="E3859" s="7"/>
      <c r="F3859" s="7"/>
      <c r="G3859" s="7"/>
      <c r="H3859" s="7">
        <f t="shared" si="1"/>
        <v>1029</v>
      </c>
    </row>
    <row r="3860" ht="22.5" customHeight="1">
      <c r="B3860" s="7"/>
      <c r="C3860" s="7"/>
      <c r="D3860" s="7"/>
      <c r="E3860" s="7"/>
      <c r="F3860" s="7"/>
      <c r="G3860" s="7"/>
      <c r="H3860" s="7">
        <f t="shared" si="1"/>
        <v>1029</v>
      </c>
    </row>
    <row r="3861" ht="22.5" customHeight="1">
      <c r="B3861" s="7"/>
      <c r="C3861" s="7"/>
      <c r="D3861" s="7"/>
      <c r="E3861" s="7"/>
      <c r="F3861" s="7"/>
      <c r="G3861" s="7"/>
      <c r="H3861" s="7">
        <f t="shared" si="1"/>
        <v>1029</v>
      </c>
    </row>
    <row r="3862" ht="22.5" customHeight="1">
      <c r="B3862" s="7"/>
      <c r="C3862" s="7"/>
      <c r="D3862" s="7"/>
      <c r="E3862" s="7"/>
      <c r="F3862" s="7"/>
      <c r="G3862" s="7"/>
      <c r="H3862" s="7">
        <f t="shared" si="1"/>
        <v>1029</v>
      </c>
    </row>
    <row r="3863" ht="22.5" customHeight="1">
      <c r="B3863" s="7"/>
      <c r="C3863" s="7"/>
      <c r="D3863" s="7"/>
      <c r="E3863" s="7"/>
      <c r="F3863" s="7"/>
      <c r="G3863" s="7"/>
      <c r="H3863" s="7">
        <f t="shared" si="1"/>
        <v>1029</v>
      </c>
    </row>
    <row r="3864" ht="22.5" customHeight="1">
      <c r="B3864" s="7"/>
      <c r="C3864" s="7"/>
      <c r="D3864" s="7"/>
      <c r="E3864" s="7"/>
      <c r="F3864" s="7"/>
      <c r="G3864" s="7"/>
      <c r="H3864" s="7">
        <f t="shared" si="1"/>
        <v>1029</v>
      </c>
    </row>
    <row r="3865" ht="22.5" customHeight="1">
      <c r="B3865" s="7"/>
      <c r="C3865" s="7"/>
      <c r="D3865" s="7"/>
      <c r="E3865" s="7"/>
      <c r="F3865" s="7"/>
      <c r="G3865" s="7"/>
      <c r="H3865" s="7">
        <f t="shared" si="1"/>
        <v>1029</v>
      </c>
    </row>
    <row r="3866" ht="22.5" customHeight="1">
      <c r="B3866" s="7"/>
      <c r="C3866" s="7"/>
      <c r="D3866" s="7"/>
      <c r="E3866" s="7"/>
      <c r="F3866" s="7"/>
      <c r="G3866" s="7"/>
      <c r="H3866" s="7">
        <f t="shared" si="1"/>
        <v>1029</v>
      </c>
    </row>
    <row r="3867" ht="22.5" customHeight="1">
      <c r="B3867" s="7"/>
      <c r="C3867" s="7"/>
      <c r="D3867" s="7"/>
      <c r="E3867" s="7"/>
      <c r="F3867" s="7"/>
      <c r="G3867" s="7"/>
      <c r="H3867" s="7">
        <f t="shared" si="1"/>
        <v>1029</v>
      </c>
    </row>
    <row r="3868" ht="22.5" customHeight="1">
      <c r="B3868" s="7"/>
      <c r="C3868" s="7"/>
      <c r="D3868" s="7"/>
      <c r="E3868" s="7"/>
      <c r="F3868" s="7"/>
      <c r="G3868" s="7"/>
      <c r="H3868" s="7">
        <f t="shared" si="1"/>
        <v>1029</v>
      </c>
    </row>
    <row r="3869" ht="22.5" customHeight="1">
      <c r="B3869" s="7"/>
      <c r="C3869" s="7"/>
      <c r="D3869" s="7"/>
      <c r="E3869" s="7"/>
      <c r="F3869" s="7"/>
      <c r="G3869" s="7"/>
      <c r="H3869" s="7">
        <f t="shared" si="1"/>
        <v>1029</v>
      </c>
    </row>
    <row r="3870" ht="22.5" customHeight="1">
      <c r="B3870" s="7"/>
      <c r="C3870" s="7"/>
      <c r="D3870" s="7"/>
      <c r="E3870" s="7"/>
      <c r="F3870" s="7"/>
      <c r="G3870" s="7"/>
      <c r="H3870" s="7">
        <f t="shared" si="1"/>
        <v>1029</v>
      </c>
    </row>
    <row r="3871" ht="22.5" customHeight="1">
      <c r="B3871" s="7"/>
      <c r="C3871" s="7"/>
      <c r="D3871" s="7"/>
      <c r="E3871" s="7"/>
      <c r="F3871" s="7"/>
      <c r="G3871" s="7"/>
      <c r="H3871" s="7">
        <f t="shared" si="1"/>
        <v>1029</v>
      </c>
    </row>
    <row r="3872" ht="22.5" customHeight="1">
      <c r="B3872" s="7"/>
      <c r="C3872" s="7"/>
      <c r="D3872" s="7"/>
      <c r="E3872" s="7"/>
      <c r="F3872" s="7"/>
      <c r="G3872" s="7"/>
      <c r="H3872" s="7">
        <f t="shared" si="1"/>
        <v>1029</v>
      </c>
    </row>
    <row r="3873" ht="22.5" customHeight="1">
      <c r="B3873" s="7"/>
      <c r="C3873" s="7"/>
      <c r="D3873" s="7"/>
      <c r="E3873" s="7"/>
      <c r="F3873" s="7"/>
      <c r="G3873" s="7"/>
      <c r="H3873" s="7">
        <f t="shared" si="1"/>
        <v>1029</v>
      </c>
    </row>
    <row r="3874" ht="22.5" customHeight="1">
      <c r="B3874" s="7"/>
      <c r="C3874" s="7"/>
      <c r="D3874" s="7"/>
      <c r="E3874" s="7"/>
      <c r="F3874" s="7"/>
      <c r="G3874" s="7"/>
      <c r="H3874" s="7">
        <f t="shared" si="1"/>
        <v>1029</v>
      </c>
    </row>
    <row r="3875" ht="22.5" customHeight="1">
      <c r="B3875" s="7"/>
      <c r="C3875" s="7"/>
      <c r="D3875" s="7"/>
      <c r="E3875" s="7"/>
      <c r="F3875" s="7"/>
      <c r="G3875" s="7"/>
      <c r="H3875" s="7">
        <f t="shared" si="1"/>
        <v>1029</v>
      </c>
    </row>
    <row r="3876" ht="22.5" customHeight="1">
      <c r="B3876" s="7"/>
      <c r="C3876" s="7"/>
      <c r="D3876" s="7"/>
      <c r="E3876" s="7"/>
      <c r="F3876" s="7"/>
      <c r="G3876" s="7"/>
      <c r="H3876" s="7">
        <f t="shared" si="1"/>
        <v>1029</v>
      </c>
    </row>
    <row r="3877" ht="22.5" customHeight="1">
      <c r="B3877" s="7"/>
      <c r="C3877" s="7"/>
      <c r="D3877" s="7"/>
      <c r="E3877" s="7"/>
      <c r="F3877" s="7"/>
      <c r="G3877" s="7"/>
      <c r="H3877" s="7">
        <f t="shared" si="1"/>
        <v>1029</v>
      </c>
    </row>
    <row r="3878" ht="22.5" customHeight="1">
      <c r="B3878" s="7"/>
      <c r="C3878" s="7"/>
      <c r="D3878" s="7"/>
      <c r="E3878" s="7"/>
      <c r="F3878" s="7"/>
      <c r="G3878" s="7"/>
      <c r="H3878" s="7">
        <f t="shared" si="1"/>
        <v>1029</v>
      </c>
    </row>
    <row r="3879" ht="22.5" customHeight="1">
      <c r="B3879" s="7"/>
      <c r="C3879" s="7"/>
      <c r="D3879" s="7"/>
      <c r="E3879" s="7"/>
      <c r="F3879" s="7"/>
      <c r="G3879" s="7"/>
      <c r="H3879" s="7">
        <f t="shared" si="1"/>
        <v>1029</v>
      </c>
    </row>
    <row r="3880" ht="22.5" customHeight="1">
      <c r="B3880" s="7"/>
      <c r="C3880" s="7"/>
      <c r="D3880" s="7"/>
      <c r="E3880" s="7"/>
      <c r="F3880" s="7"/>
      <c r="G3880" s="7"/>
      <c r="H3880" s="7">
        <f t="shared" si="1"/>
        <v>1029</v>
      </c>
    </row>
    <row r="3881" ht="22.5" customHeight="1">
      <c r="B3881" s="7"/>
      <c r="C3881" s="7"/>
      <c r="D3881" s="7"/>
      <c r="E3881" s="7"/>
      <c r="F3881" s="7"/>
      <c r="G3881" s="7"/>
      <c r="H3881" s="7">
        <f t="shared" si="1"/>
        <v>1029</v>
      </c>
    </row>
    <row r="3882" ht="22.5" customHeight="1">
      <c r="B3882" s="7"/>
      <c r="C3882" s="7"/>
      <c r="D3882" s="7"/>
      <c r="E3882" s="7"/>
      <c r="F3882" s="7"/>
      <c r="G3882" s="7"/>
      <c r="H3882" s="7">
        <f t="shared" si="1"/>
        <v>1029</v>
      </c>
    </row>
    <row r="3883" ht="22.5" customHeight="1">
      <c r="B3883" s="7"/>
      <c r="C3883" s="7"/>
      <c r="D3883" s="7"/>
      <c r="E3883" s="7"/>
      <c r="F3883" s="7"/>
      <c r="G3883" s="7"/>
      <c r="H3883" s="7">
        <f t="shared" si="1"/>
        <v>1029</v>
      </c>
    </row>
    <row r="3884" ht="22.5" customHeight="1">
      <c r="B3884" s="7"/>
      <c r="C3884" s="7"/>
      <c r="D3884" s="7"/>
      <c r="E3884" s="7"/>
      <c r="F3884" s="7"/>
      <c r="G3884" s="7"/>
      <c r="H3884" s="7">
        <f t="shared" si="1"/>
        <v>1029</v>
      </c>
    </row>
    <row r="3885" ht="22.5" customHeight="1">
      <c r="B3885" s="7"/>
      <c r="C3885" s="7"/>
      <c r="D3885" s="7"/>
      <c r="E3885" s="7"/>
      <c r="F3885" s="7"/>
      <c r="G3885" s="7"/>
      <c r="H3885" s="7">
        <f t="shared" si="1"/>
        <v>1029</v>
      </c>
    </row>
    <row r="3886" ht="22.5" customHeight="1">
      <c r="B3886" s="7"/>
      <c r="C3886" s="7"/>
      <c r="D3886" s="7"/>
      <c r="E3886" s="7"/>
      <c r="F3886" s="7"/>
      <c r="G3886" s="7"/>
      <c r="H3886" s="7">
        <f t="shared" si="1"/>
        <v>1029</v>
      </c>
    </row>
    <row r="3887" ht="22.5" customHeight="1">
      <c r="B3887" s="7"/>
      <c r="C3887" s="7"/>
      <c r="D3887" s="7"/>
      <c r="E3887" s="7"/>
      <c r="F3887" s="7"/>
      <c r="G3887" s="7"/>
      <c r="H3887" s="7">
        <f t="shared" si="1"/>
        <v>1029</v>
      </c>
    </row>
    <row r="3888" ht="22.5" customHeight="1">
      <c r="B3888" s="7"/>
      <c r="C3888" s="7"/>
      <c r="D3888" s="7"/>
      <c r="E3888" s="7"/>
      <c r="F3888" s="7"/>
      <c r="G3888" s="7"/>
      <c r="H3888" s="7">
        <f t="shared" si="1"/>
        <v>1029</v>
      </c>
    </row>
    <row r="3889" ht="22.5" customHeight="1">
      <c r="B3889" s="7"/>
      <c r="C3889" s="7"/>
      <c r="D3889" s="7"/>
      <c r="E3889" s="7"/>
      <c r="F3889" s="7"/>
      <c r="G3889" s="7"/>
      <c r="H3889" s="7">
        <f t="shared" si="1"/>
        <v>1029</v>
      </c>
    </row>
    <row r="3890" ht="22.5" customHeight="1">
      <c r="B3890" s="7"/>
      <c r="C3890" s="7"/>
      <c r="D3890" s="7"/>
      <c r="E3890" s="7"/>
      <c r="F3890" s="7"/>
      <c r="G3890" s="7"/>
      <c r="H3890" s="7">
        <f t="shared" si="1"/>
        <v>1029</v>
      </c>
    </row>
    <row r="3891" ht="22.5" customHeight="1">
      <c r="B3891" s="7"/>
      <c r="C3891" s="7"/>
      <c r="D3891" s="7"/>
      <c r="E3891" s="7"/>
      <c r="F3891" s="7"/>
      <c r="G3891" s="7"/>
      <c r="H3891" s="7">
        <f t="shared" si="1"/>
        <v>1029</v>
      </c>
    </row>
    <row r="3892" ht="22.5" customHeight="1">
      <c r="B3892" s="7"/>
      <c r="C3892" s="7"/>
      <c r="D3892" s="7"/>
      <c r="E3892" s="7"/>
      <c r="F3892" s="7"/>
      <c r="G3892" s="7"/>
      <c r="H3892" s="7">
        <f t="shared" si="1"/>
        <v>1029</v>
      </c>
    </row>
    <row r="3893" ht="22.5" customHeight="1">
      <c r="B3893" s="7"/>
      <c r="C3893" s="7"/>
      <c r="D3893" s="7"/>
      <c r="E3893" s="7"/>
      <c r="F3893" s="7"/>
      <c r="G3893" s="7"/>
      <c r="H3893" s="7">
        <f t="shared" si="1"/>
        <v>1029</v>
      </c>
    </row>
    <row r="3894" ht="22.5" customHeight="1">
      <c r="B3894" s="7"/>
      <c r="C3894" s="7"/>
      <c r="D3894" s="7"/>
      <c r="E3894" s="7"/>
      <c r="F3894" s="7"/>
      <c r="G3894" s="7"/>
      <c r="H3894" s="7">
        <f t="shared" si="1"/>
        <v>1029</v>
      </c>
    </row>
    <row r="3895" ht="22.5" customHeight="1">
      <c r="B3895" s="7"/>
      <c r="C3895" s="7"/>
      <c r="D3895" s="7"/>
      <c r="E3895" s="7"/>
      <c r="F3895" s="7"/>
      <c r="G3895" s="7"/>
      <c r="H3895" s="7">
        <f t="shared" si="1"/>
        <v>1029</v>
      </c>
    </row>
    <row r="3896" ht="22.5" customHeight="1">
      <c r="B3896" s="7"/>
      <c r="C3896" s="7"/>
      <c r="D3896" s="7"/>
      <c r="E3896" s="7"/>
      <c r="F3896" s="7"/>
      <c r="G3896" s="7"/>
      <c r="H3896" s="7">
        <f t="shared" si="1"/>
        <v>1029</v>
      </c>
    </row>
    <row r="3897" ht="22.5" customHeight="1">
      <c r="B3897" s="7"/>
      <c r="C3897" s="7"/>
      <c r="D3897" s="7"/>
      <c r="E3897" s="7"/>
      <c r="F3897" s="7"/>
      <c r="G3897" s="7"/>
      <c r="H3897" s="7">
        <f t="shared" si="1"/>
        <v>1029</v>
      </c>
    </row>
    <row r="3898" ht="22.5" customHeight="1">
      <c r="B3898" s="7"/>
      <c r="C3898" s="7"/>
      <c r="D3898" s="7"/>
      <c r="E3898" s="7"/>
      <c r="F3898" s="7"/>
      <c r="G3898" s="7"/>
      <c r="H3898" s="7">
        <f t="shared" si="1"/>
        <v>1029</v>
      </c>
    </row>
    <row r="3899" ht="22.5" customHeight="1">
      <c r="B3899" s="7"/>
      <c r="C3899" s="7"/>
      <c r="D3899" s="7"/>
      <c r="E3899" s="7"/>
      <c r="F3899" s="7"/>
      <c r="G3899" s="7"/>
      <c r="H3899" s="7">
        <f t="shared" si="1"/>
        <v>1029</v>
      </c>
    </row>
    <row r="3900" ht="22.5" customHeight="1">
      <c r="B3900" s="7"/>
      <c r="C3900" s="7"/>
      <c r="D3900" s="7"/>
      <c r="E3900" s="7"/>
      <c r="F3900" s="7"/>
      <c r="G3900" s="7"/>
      <c r="H3900" s="7">
        <f t="shared" si="1"/>
        <v>1029</v>
      </c>
    </row>
    <row r="3901" ht="22.5" customHeight="1">
      <c r="B3901" s="7"/>
      <c r="C3901" s="7"/>
      <c r="D3901" s="7"/>
      <c r="E3901" s="7"/>
      <c r="F3901" s="7"/>
      <c r="G3901" s="7"/>
      <c r="H3901" s="7">
        <f t="shared" si="1"/>
        <v>1029</v>
      </c>
    </row>
    <row r="3902" ht="22.5" customHeight="1">
      <c r="B3902" s="7"/>
      <c r="C3902" s="7"/>
      <c r="D3902" s="7"/>
      <c r="E3902" s="7"/>
      <c r="F3902" s="7"/>
      <c r="G3902" s="7"/>
      <c r="H3902" s="7">
        <f t="shared" si="1"/>
        <v>1029</v>
      </c>
    </row>
    <row r="3903" ht="22.5" customHeight="1">
      <c r="B3903" s="7"/>
      <c r="C3903" s="7"/>
      <c r="D3903" s="7"/>
      <c r="E3903" s="7"/>
      <c r="F3903" s="7"/>
      <c r="G3903" s="7"/>
      <c r="H3903" s="7">
        <f t="shared" si="1"/>
        <v>1029</v>
      </c>
    </row>
    <row r="3904" ht="22.5" customHeight="1">
      <c r="B3904" s="7"/>
      <c r="C3904" s="7"/>
      <c r="D3904" s="7"/>
      <c r="E3904" s="7"/>
      <c r="F3904" s="7"/>
      <c r="G3904" s="7"/>
      <c r="H3904" s="7">
        <f t="shared" si="1"/>
        <v>1029</v>
      </c>
    </row>
    <row r="3905" ht="22.5" customHeight="1">
      <c r="B3905" s="7"/>
      <c r="C3905" s="7"/>
      <c r="D3905" s="7"/>
      <c r="E3905" s="7"/>
      <c r="F3905" s="7"/>
      <c r="G3905" s="7"/>
      <c r="H3905" s="7">
        <f t="shared" si="1"/>
        <v>1029</v>
      </c>
    </row>
    <row r="3906" ht="22.5" customHeight="1">
      <c r="B3906" s="7"/>
      <c r="C3906" s="7"/>
      <c r="D3906" s="7"/>
      <c r="E3906" s="7"/>
      <c r="F3906" s="7"/>
      <c r="G3906" s="7"/>
      <c r="H3906" s="7">
        <f t="shared" si="1"/>
        <v>1029</v>
      </c>
    </row>
    <row r="3907" ht="22.5" customHeight="1">
      <c r="B3907" s="7"/>
      <c r="C3907" s="7"/>
      <c r="D3907" s="7"/>
      <c r="E3907" s="7"/>
      <c r="F3907" s="7"/>
      <c r="G3907" s="7"/>
      <c r="H3907" s="7">
        <f t="shared" si="1"/>
        <v>1029</v>
      </c>
    </row>
    <row r="3908" ht="22.5" customHeight="1">
      <c r="B3908" s="7"/>
      <c r="C3908" s="7"/>
      <c r="D3908" s="7"/>
      <c r="E3908" s="7"/>
      <c r="F3908" s="7"/>
      <c r="G3908" s="7"/>
      <c r="H3908" s="7">
        <f t="shared" si="1"/>
        <v>1029</v>
      </c>
    </row>
    <row r="3909" ht="22.5" customHeight="1">
      <c r="B3909" s="7"/>
      <c r="C3909" s="7"/>
      <c r="D3909" s="7"/>
      <c r="E3909" s="7"/>
      <c r="F3909" s="7"/>
      <c r="G3909" s="7"/>
      <c r="H3909" s="7">
        <f t="shared" si="1"/>
        <v>1029</v>
      </c>
    </row>
    <row r="3910" ht="22.5" customHeight="1">
      <c r="B3910" s="7"/>
      <c r="C3910" s="7"/>
      <c r="D3910" s="7"/>
      <c r="E3910" s="7"/>
      <c r="F3910" s="7"/>
      <c r="G3910" s="7"/>
      <c r="H3910" s="7">
        <f t="shared" si="1"/>
        <v>1029</v>
      </c>
    </row>
    <row r="3911" ht="22.5" customHeight="1">
      <c r="B3911" s="7"/>
      <c r="C3911" s="7"/>
      <c r="D3911" s="7"/>
      <c r="E3911" s="7"/>
      <c r="F3911" s="7"/>
      <c r="G3911" s="7"/>
      <c r="H3911" s="7">
        <f t="shared" si="1"/>
        <v>1029</v>
      </c>
    </row>
    <row r="3912" ht="22.5" customHeight="1">
      <c r="B3912" s="7"/>
      <c r="C3912" s="7"/>
      <c r="D3912" s="7"/>
      <c r="E3912" s="7"/>
      <c r="F3912" s="7"/>
      <c r="G3912" s="7"/>
      <c r="H3912" s="7">
        <f t="shared" si="1"/>
        <v>1029</v>
      </c>
    </row>
    <row r="3913" ht="22.5" customHeight="1">
      <c r="B3913" s="7"/>
      <c r="C3913" s="7"/>
      <c r="D3913" s="7"/>
      <c r="E3913" s="7"/>
      <c r="F3913" s="7"/>
      <c r="G3913" s="7"/>
      <c r="H3913" s="7">
        <f t="shared" si="1"/>
        <v>1029</v>
      </c>
    </row>
    <row r="3914" ht="22.5" customHeight="1">
      <c r="B3914" s="7"/>
      <c r="C3914" s="7"/>
      <c r="D3914" s="7"/>
      <c r="E3914" s="7"/>
      <c r="F3914" s="7"/>
      <c r="G3914" s="7"/>
      <c r="H3914" s="7">
        <f t="shared" si="1"/>
        <v>1029</v>
      </c>
    </row>
    <row r="3915" ht="22.5" customHeight="1">
      <c r="B3915" s="7"/>
      <c r="C3915" s="7"/>
      <c r="D3915" s="7"/>
      <c r="E3915" s="7"/>
      <c r="F3915" s="7"/>
      <c r="G3915" s="7"/>
      <c r="H3915" s="7">
        <f t="shared" si="1"/>
        <v>1029</v>
      </c>
    </row>
    <row r="3916" ht="22.5" customHeight="1">
      <c r="B3916" s="7"/>
      <c r="C3916" s="7"/>
      <c r="D3916" s="7"/>
      <c r="E3916" s="7"/>
      <c r="F3916" s="7"/>
      <c r="G3916" s="7"/>
      <c r="H3916" s="7">
        <f t="shared" si="1"/>
        <v>1029</v>
      </c>
    </row>
    <row r="3917" ht="22.5" customHeight="1">
      <c r="B3917" s="7"/>
      <c r="C3917" s="7"/>
      <c r="D3917" s="7"/>
      <c r="E3917" s="7"/>
      <c r="F3917" s="7"/>
      <c r="G3917" s="7"/>
      <c r="H3917" s="7">
        <f t="shared" si="1"/>
        <v>1029</v>
      </c>
    </row>
    <row r="3918" ht="22.5" customHeight="1">
      <c r="B3918" s="7"/>
      <c r="C3918" s="7"/>
      <c r="D3918" s="7"/>
      <c r="E3918" s="7"/>
      <c r="F3918" s="7"/>
      <c r="G3918" s="7"/>
      <c r="H3918" s="7">
        <f t="shared" si="1"/>
        <v>1029</v>
      </c>
    </row>
    <row r="3919" ht="22.5" customHeight="1">
      <c r="B3919" s="7"/>
      <c r="C3919" s="7"/>
      <c r="D3919" s="7"/>
      <c r="E3919" s="7"/>
      <c r="F3919" s="7"/>
      <c r="G3919" s="7"/>
      <c r="H3919" s="7">
        <f t="shared" si="1"/>
        <v>1029</v>
      </c>
    </row>
    <row r="3920" ht="22.5" customHeight="1">
      <c r="B3920" s="7"/>
      <c r="C3920" s="7"/>
      <c r="D3920" s="7"/>
      <c r="E3920" s="7"/>
      <c r="F3920" s="7"/>
      <c r="G3920" s="7"/>
      <c r="H3920" s="7">
        <f t="shared" si="1"/>
        <v>1029</v>
      </c>
    </row>
    <row r="3921" ht="22.5" customHeight="1">
      <c r="B3921" s="7"/>
      <c r="C3921" s="7"/>
      <c r="D3921" s="7"/>
      <c r="E3921" s="7"/>
      <c r="F3921" s="7"/>
      <c r="G3921" s="7"/>
      <c r="H3921" s="7">
        <f t="shared" si="1"/>
        <v>1029</v>
      </c>
    </row>
    <row r="3922" ht="22.5" customHeight="1">
      <c r="B3922" s="7"/>
      <c r="C3922" s="7"/>
      <c r="D3922" s="7"/>
      <c r="E3922" s="7"/>
      <c r="F3922" s="7"/>
      <c r="G3922" s="7"/>
      <c r="H3922" s="7">
        <f t="shared" si="1"/>
        <v>1029</v>
      </c>
    </row>
    <row r="3923" ht="22.5" customHeight="1">
      <c r="B3923" s="7"/>
      <c r="C3923" s="7"/>
      <c r="D3923" s="7"/>
      <c r="E3923" s="7"/>
      <c r="F3923" s="7"/>
      <c r="G3923" s="7"/>
      <c r="H3923" s="7">
        <f t="shared" si="1"/>
        <v>1029</v>
      </c>
    </row>
    <row r="3924" ht="22.5" customHeight="1">
      <c r="B3924" s="7"/>
      <c r="C3924" s="7"/>
      <c r="D3924" s="7"/>
      <c r="E3924" s="7"/>
      <c r="F3924" s="7"/>
      <c r="G3924" s="7"/>
      <c r="H3924" s="7">
        <f t="shared" si="1"/>
        <v>1029</v>
      </c>
    </row>
    <row r="3925" ht="22.5" customHeight="1">
      <c r="B3925" s="7"/>
      <c r="C3925" s="7"/>
      <c r="D3925" s="7"/>
      <c r="E3925" s="7"/>
      <c r="F3925" s="7"/>
      <c r="G3925" s="7"/>
      <c r="H3925" s="7">
        <f t="shared" si="1"/>
        <v>1029</v>
      </c>
    </row>
    <row r="3926" ht="22.5" customHeight="1">
      <c r="B3926" s="7"/>
      <c r="C3926" s="7"/>
      <c r="D3926" s="7"/>
      <c r="E3926" s="7"/>
      <c r="F3926" s="7"/>
      <c r="G3926" s="7"/>
      <c r="H3926" s="7">
        <f t="shared" si="1"/>
        <v>1029</v>
      </c>
    </row>
    <row r="3927" ht="22.5" customHeight="1">
      <c r="B3927" s="7"/>
      <c r="C3927" s="7"/>
      <c r="D3927" s="7"/>
      <c r="E3927" s="7"/>
      <c r="F3927" s="7"/>
      <c r="G3927" s="7"/>
      <c r="H3927" s="7">
        <f t="shared" si="1"/>
        <v>1029</v>
      </c>
    </row>
    <row r="3928" ht="22.5" customHeight="1">
      <c r="B3928" s="7"/>
      <c r="C3928" s="7"/>
      <c r="D3928" s="7"/>
      <c r="E3928" s="7"/>
      <c r="F3928" s="7"/>
      <c r="G3928" s="7"/>
      <c r="H3928" s="7">
        <f t="shared" si="1"/>
        <v>1029</v>
      </c>
    </row>
    <row r="3929" ht="22.5" customHeight="1">
      <c r="B3929" s="7"/>
      <c r="C3929" s="7"/>
      <c r="D3929" s="7"/>
      <c r="E3929" s="7"/>
      <c r="F3929" s="7"/>
      <c r="G3929" s="7"/>
      <c r="H3929" s="7">
        <f t="shared" si="1"/>
        <v>1029</v>
      </c>
    </row>
    <row r="3930" ht="22.5" customHeight="1">
      <c r="B3930" s="7"/>
      <c r="C3930" s="7"/>
      <c r="D3930" s="7"/>
      <c r="E3930" s="7"/>
      <c r="F3930" s="7"/>
      <c r="G3930" s="7"/>
      <c r="H3930" s="7">
        <f t="shared" si="1"/>
        <v>1029</v>
      </c>
    </row>
    <row r="3931" ht="22.5" customHeight="1">
      <c r="B3931" s="7"/>
      <c r="C3931" s="7"/>
      <c r="D3931" s="7"/>
      <c r="E3931" s="7"/>
      <c r="F3931" s="7"/>
      <c r="G3931" s="7"/>
      <c r="H3931" s="7">
        <f t="shared" si="1"/>
        <v>1029</v>
      </c>
    </row>
    <row r="3932" ht="22.5" customHeight="1">
      <c r="B3932" s="7"/>
      <c r="C3932" s="7"/>
      <c r="D3932" s="7"/>
      <c r="E3932" s="7"/>
      <c r="F3932" s="7"/>
      <c r="G3932" s="7"/>
      <c r="H3932" s="7">
        <f t="shared" si="1"/>
        <v>1029</v>
      </c>
    </row>
    <row r="3933" ht="22.5" customHeight="1">
      <c r="B3933" s="7"/>
      <c r="C3933" s="7"/>
      <c r="D3933" s="7"/>
      <c r="E3933" s="7"/>
      <c r="F3933" s="7"/>
      <c r="G3933" s="7"/>
      <c r="H3933" s="7">
        <f t="shared" si="1"/>
        <v>1029</v>
      </c>
    </row>
    <row r="3934" ht="22.5" customHeight="1">
      <c r="B3934" s="7"/>
      <c r="C3934" s="7"/>
      <c r="D3934" s="7"/>
      <c r="E3934" s="7"/>
      <c r="F3934" s="7"/>
      <c r="G3934" s="7"/>
      <c r="H3934" s="7">
        <f t="shared" si="1"/>
        <v>1029</v>
      </c>
    </row>
    <row r="3935" ht="22.5" customHeight="1">
      <c r="B3935" s="7"/>
      <c r="C3935" s="7"/>
      <c r="D3935" s="7"/>
      <c r="E3935" s="7"/>
      <c r="F3935" s="7"/>
      <c r="G3935" s="7"/>
      <c r="H3935" s="7">
        <f t="shared" si="1"/>
        <v>1029</v>
      </c>
    </row>
    <row r="3936" ht="22.5" customHeight="1">
      <c r="B3936" s="7"/>
      <c r="C3936" s="7"/>
      <c r="D3936" s="7"/>
      <c r="E3936" s="7"/>
      <c r="F3936" s="7"/>
      <c r="G3936" s="7"/>
      <c r="H3936" s="7">
        <f t="shared" si="1"/>
        <v>1029</v>
      </c>
    </row>
    <row r="3937" ht="22.5" customHeight="1">
      <c r="B3937" s="7"/>
      <c r="C3937" s="7"/>
      <c r="D3937" s="7"/>
      <c r="E3937" s="7"/>
      <c r="F3937" s="7"/>
      <c r="G3937" s="7"/>
      <c r="H3937" s="7">
        <f t="shared" si="1"/>
        <v>1029</v>
      </c>
    </row>
    <row r="3938" ht="22.5" customHeight="1">
      <c r="B3938" s="7"/>
      <c r="C3938" s="7"/>
      <c r="D3938" s="7"/>
      <c r="E3938" s="7"/>
      <c r="F3938" s="7"/>
      <c r="G3938" s="7"/>
      <c r="H3938" s="7">
        <f t="shared" si="1"/>
        <v>1029</v>
      </c>
    </row>
    <row r="3939" ht="22.5" customHeight="1">
      <c r="B3939" s="7"/>
      <c r="C3939" s="7"/>
      <c r="D3939" s="7"/>
      <c r="E3939" s="7"/>
      <c r="F3939" s="7"/>
      <c r="G3939" s="7"/>
      <c r="H3939" s="7">
        <f t="shared" si="1"/>
        <v>1029</v>
      </c>
    </row>
    <row r="3940" ht="22.5" customHeight="1">
      <c r="B3940" s="7"/>
      <c r="C3940" s="7"/>
      <c r="D3940" s="7"/>
      <c r="E3940" s="7"/>
      <c r="F3940" s="7"/>
      <c r="G3940" s="7"/>
      <c r="H3940" s="7">
        <f t="shared" si="1"/>
        <v>1029</v>
      </c>
    </row>
    <row r="3941" ht="22.5" customHeight="1">
      <c r="B3941" s="7"/>
      <c r="C3941" s="7"/>
      <c r="D3941" s="7"/>
      <c r="E3941" s="7"/>
      <c r="F3941" s="7"/>
      <c r="G3941" s="7"/>
      <c r="H3941" s="7">
        <f t="shared" si="1"/>
        <v>1029</v>
      </c>
    </row>
    <row r="3942" ht="22.5" customHeight="1">
      <c r="B3942" s="7"/>
      <c r="C3942" s="7"/>
      <c r="D3942" s="7"/>
      <c r="E3942" s="7"/>
      <c r="F3942" s="7"/>
      <c r="G3942" s="7"/>
      <c r="H3942" s="7">
        <f t="shared" si="1"/>
        <v>1029</v>
      </c>
    </row>
    <row r="3943" ht="22.5" customHeight="1">
      <c r="B3943" s="7"/>
      <c r="C3943" s="7"/>
      <c r="D3943" s="7"/>
      <c r="E3943" s="7"/>
      <c r="F3943" s="7"/>
      <c r="G3943" s="7"/>
      <c r="H3943" s="7">
        <f t="shared" si="1"/>
        <v>1029</v>
      </c>
    </row>
    <row r="3944" ht="22.5" customHeight="1">
      <c r="B3944" s="7"/>
      <c r="C3944" s="7"/>
      <c r="D3944" s="7"/>
      <c r="E3944" s="7"/>
      <c r="F3944" s="7"/>
      <c r="G3944" s="7"/>
      <c r="H3944" s="7">
        <f t="shared" si="1"/>
        <v>1029</v>
      </c>
    </row>
    <row r="3945" ht="22.5" customHeight="1">
      <c r="B3945" s="7"/>
      <c r="C3945" s="7"/>
      <c r="D3945" s="7"/>
      <c r="E3945" s="7"/>
      <c r="F3945" s="7"/>
      <c r="G3945" s="7"/>
      <c r="H3945" s="7">
        <f t="shared" si="1"/>
        <v>1029</v>
      </c>
    </row>
    <row r="3946" ht="22.5" customHeight="1">
      <c r="B3946" s="7"/>
      <c r="C3946" s="7"/>
      <c r="D3946" s="7"/>
      <c r="E3946" s="7"/>
      <c r="F3946" s="7"/>
      <c r="G3946" s="7"/>
      <c r="H3946" s="7">
        <f t="shared" si="1"/>
        <v>1029</v>
      </c>
    </row>
    <row r="3947" ht="22.5" customHeight="1">
      <c r="B3947" s="7"/>
      <c r="C3947" s="7"/>
      <c r="D3947" s="7"/>
      <c r="E3947" s="7"/>
      <c r="F3947" s="7"/>
      <c r="G3947" s="7"/>
      <c r="H3947" s="7">
        <f t="shared" si="1"/>
        <v>1029</v>
      </c>
    </row>
    <row r="3948" ht="22.5" customHeight="1">
      <c r="B3948" s="7"/>
      <c r="C3948" s="7"/>
      <c r="D3948" s="7"/>
      <c r="E3948" s="7"/>
      <c r="F3948" s="7"/>
      <c r="G3948" s="7"/>
      <c r="H3948" s="7">
        <f t="shared" si="1"/>
        <v>1029</v>
      </c>
    </row>
    <row r="3949" ht="22.5" customHeight="1">
      <c r="B3949" s="7"/>
      <c r="C3949" s="7"/>
      <c r="D3949" s="7"/>
      <c r="E3949" s="7"/>
      <c r="F3949" s="7"/>
      <c r="G3949" s="7"/>
      <c r="H3949" s="7">
        <f t="shared" si="1"/>
        <v>1029</v>
      </c>
    </row>
    <row r="3950" ht="22.5" customHeight="1">
      <c r="B3950" s="7"/>
      <c r="C3950" s="7"/>
      <c r="D3950" s="7"/>
      <c r="E3950" s="7"/>
      <c r="F3950" s="7"/>
      <c r="G3950" s="7"/>
      <c r="H3950" s="7">
        <f t="shared" si="1"/>
        <v>1029</v>
      </c>
    </row>
    <row r="3951" ht="22.5" customHeight="1">
      <c r="B3951" s="7"/>
      <c r="C3951" s="7"/>
      <c r="D3951" s="7"/>
      <c r="E3951" s="7"/>
      <c r="F3951" s="7"/>
      <c r="G3951" s="7"/>
      <c r="H3951" s="7">
        <f t="shared" si="1"/>
        <v>1029</v>
      </c>
    </row>
    <row r="3952" ht="22.5" customHeight="1">
      <c r="B3952" s="7"/>
      <c r="C3952" s="7"/>
      <c r="D3952" s="7"/>
      <c r="E3952" s="7"/>
      <c r="F3952" s="7"/>
      <c r="G3952" s="7"/>
      <c r="H3952" s="7">
        <f t="shared" si="1"/>
        <v>1029</v>
      </c>
    </row>
    <row r="3953" ht="22.5" customHeight="1">
      <c r="B3953" s="7"/>
      <c r="C3953" s="7"/>
      <c r="D3953" s="7"/>
      <c r="E3953" s="7"/>
      <c r="F3953" s="7"/>
      <c r="G3953" s="7"/>
      <c r="H3953" s="7">
        <f t="shared" si="1"/>
        <v>1029</v>
      </c>
    </row>
    <row r="3954" ht="22.5" customHeight="1">
      <c r="B3954" s="7"/>
      <c r="C3954" s="7"/>
      <c r="D3954" s="7"/>
      <c r="E3954" s="7"/>
      <c r="F3954" s="7"/>
      <c r="G3954" s="7"/>
      <c r="H3954" s="7">
        <f t="shared" si="1"/>
        <v>1029</v>
      </c>
    </row>
    <row r="3955" ht="22.5" customHeight="1">
      <c r="B3955" s="7"/>
      <c r="C3955" s="7"/>
      <c r="D3955" s="7"/>
      <c r="E3955" s="7"/>
      <c r="F3955" s="7"/>
      <c r="G3955" s="7"/>
      <c r="H3955" s="7">
        <f t="shared" si="1"/>
        <v>1029</v>
      </c>
    </row>
    <row r="3956" ht="22.5" customHeight="1">
      <c r="B3956" s="7"/>
      <c r="C3956" s="7"/>
      <c r="D3956" s="7"/>
      <c r="E3956" s="7"/>
      <c r="F3956" s="7"/>
      <c r="G3956" s="7"/>
      <c r="H3956" s="7">
        <f t="shared" si="1"/>
        <v>1029</v>
      </c>
    </row>
    <row r="3957" ht="22.5" customHeight="1">
      <c r="B3957" s="7"/>
      <c r="C3957" s="7"/>
      <c r="D3957" s="7"/>
      <c r="E3957" s="7"/>
      <c r="F3957" s="7"/>
      <c r="G3957" s="7"/>
      <c r="H3957" s="7">
        <f t="shared" si="1"/>
        <v>1029</v>
      </c>
    </row>
    <row r="3958" ht="22.5" customHeight="1">
      <c r="B3958" s="7"/>
      <c r="C3958" s="7"/>
      <c r="D3958" s="7"/>
      <c r="E3958" s="7"/>
      <c r="F3958" s="7"/>
      <c r="G3958" s="7"/>
      <c r="H3958" s="7">
        <f t="shared" si="1"/>
        <v>1029</v>
      </c>
    </row>
    <row r="3959" ht="22.5" customHeight="1">
      <c r="B3959" s="7"/>
      <c r="C3959" s="7"/>
      <c r="D3959" s="7"/>
      <c r="E3959" s="7"/>
      <c r="F3959" s="7"/>
      <c r="G3959" s="7"/>
      <c r="H3959" s="7">
        <f t="shared" si="1"/>
        <v>1029</v>
      </c>
    </row>
    <row r="3960" ht="22.5" customHeight="1">
      <c r="B3960" s="7"/>
      <c r="C3960" s="7"/>
      <c r="D3960" s="7"/>
      <c r="E3960" s="7"/>
      <c r="F3960" s="7"/>
      <c r="G3960" s="7"/>
      <c r="H3960" s="7">
        <f t="shared" si="1"/>
        <v>1029</v>
      </c>
    </row>
    <row r="3961" ht="22.5" customHeight="1">
      <c r="B3961" s="7"/>
      <c r="C3961" s="7"/>
      <c r="D3961" s="7"/>
      <c r="E3961" s="7"/>
      <c r="F3961" s="7"/>
      <c r="G3961" s="7"/>
      <c r="H3961" s="7">
        <f t="shared" si="1"/>
        <v>1029</v>
      </c>
    </row>
    <row r="3962" ht="22.5" customHeight="1">
      <c r="B3962" s="7"/>
      <c r="C3962" s="7"/>
      <c r="D3962" s="7"/>
      <c r="E3962" s="7"/>
      <c r="F3962" s="7"/>
      <c r="G3962" s="7"/>
      <c r="H3962" s="7">
        <f t="shared" si="1"/>
        <v>1029</v>
      </c>
    </row>
    <row r="3963" ht="22.5" customHeight="1">
      <c r="B3963" s="7"/>
      <c r="C3963" s="7"/>
      <c r="D3963" s="7"/>
      <c r="E3963" s="7"/>
      <c r="F3963" s="7"/>
      <c r="G3963" s="7"/>
      <c r="H3963" s="7">
        <f t="shared" si="1"/>
        <v>1029</v>
      </c>
    </row>
    <row r="3964" ht="22.5" customHeight="1">
      <c r="B3964" s="7"/>
      <c r="C3964" s="7"/>
      <c r="D3964" s="7"/>
      <c r="E3964" s="7"/>
      <c r="F3964" s="7"/>
      <c r="G3964" s="7"/>
      <c r="H3964" s="7">
        <f t="shared" si="1"/>
        <v>1029</v>
      </c>
    </row>
    <row r="3965" ht="22.5" customHeight="1">
      <c r="B3965" s="7"/>
      <c r="C3965" s="7"/>
      <c r="D3965" s="7"/>
      <c r="E3965" s="7"/>
      <c r="F3965" s="7"/>
      <c r="G3965" s="7"/>
      <c r="H3965" s="7">
        <f t="shared" si="1"/>
        <v>1029</v>
      </c>
    </row>
    <row r="3966" ht="22.5" customHeight="1">
      <c r="B3966" s="7"/>
      <c r="C3966" s="7"/>
      <c r="D3966" s="7"/>
      <c r="E3966" s="7"/>
      <c r="F3966" s="7"/>
      <c r="G3966" s="7"/>
      <c r="H3966" s="7">
        <f t="shared" si="1"/>
        <v>1029</v>
      </c>
    </row>
    <row r="3967" ht="22.5" customHeight="1">
      <c r="B3967" s="7"/>
      <c r="C3967" s="7"/>
      <c r="D3967" s="7"/>
      <c r="E3967" s="7"/>
      <c r="F3967" s="7"/>
      <c r="G3967" s="7"/>
      <c r="H3967" s="7">
        <f t="shared" si="1"/>
        <v>1029</v>
      </c>
    </row>
    <row r="3968" ht="22.5" customHeight="1">
      <c r="B3968" s="7"/>
      <c r="C3968" s="7"/>
      <c r="D3968" s="7"/>
      <c r="E3968" s="7"/>
      <c r="F3968" s="7"/>
      <c r="G3968" s="7"/>
      <c r="H3968" s="7">
        <f t="shared" si="1"/>
        <v>1029</v>
      </c>
    </row>
    <row r="3969" ht="22.5" customHeight="1">
      <c r="B3969" s="7"/>
      <c r="C3969" s="7"/>
      <c r="D3969" s="7"/>
      <c r="E3969" s="7"/>
      <c r="F3969" s="7"/>
      <c r="G3969" s="7"/>
      <c r="H3969" s="7">
        <f t="shared" si="1"/>
        <v>1029</v>
      </c>
    </row>
    <row r="3970" ht="22.5" customHeight="1">
      <c r="B3970" s="7"/>
      <c r="C3970" s="7"/>
      <c r="D3970" s="7"/>
      <c r="E3970" s="7"/>
      <c r="F3970" s="7"/>
      <c r="G3970" s="7"/>
      <c r="H3970" s="7">
        <f t="shared" si="1"/>
        <v>1029</v>
      </c>
    </row>
    <row r="3971" ht="22.5" customHeight="1">
      <c r="B3971" s="7"/>
      <c r="C3971" s="7"/>
      <c r="D3971" s="7"/>
      <c r="E3971" s="7"/>
      <c r="F3971" s="7"/>
      <c r="G3971" s="7"/>
      <c r="H3971" s="7">
        <f t="shared" si="1"/>
        <v>1029</v>
      </c>
    </row>
    <row r="3972" ht="22.5" customHeight="1">
      <c r="B3972" s="7"/>
      <c r="C3972" s="7"/>
      <c r="D3972" s="7"/>
      <c r="E3972" s="7"/>
      <c r="F3972" s="7"/>
      <c r="G3972" s="7"/>
      <c r="H3972" s="7">
        <f t="shared" si="1"/>
        <v>1029</v>
      </c>
    </row>
    <row r="3973" ht="22.5" customHeight="1">
      <c r="B3973" s="7"/>
      <c r="C3973" s="7"/>
      <c r="D3973" s="7"/>
      <c r="E3973" s="7"/>
      <c r="F3973" s="7"/>
      <c r="G3973" s="7"/>
      <c r="H3973" s="7">
        <f t="shared" si="1"/>
        <v>1029</v>
      </c>
    </row>
    <row r="3974" ht="22.5" customHeight="1">
      <c r="B3974" s="7"/>
      <c r="C3974" s="7"/>
      <c r="D3974" s="7"/>
      <c r="E3974" s="7"/>
      <c r="F3974" s="7"/>
      <c r="G3974" s="7"/>
      <c r="H3974" s="7">
        <f t="shared" si="1"/>
        <v>1029</v>
      </c>
    </row>
    <row r="3975" ht="22.5" customHeight="1">
      <c r="B3975" s="7"/>
      <c r="C3975" s="7"/>
      <c r="D3975" s="7"/>
      <c r="E3975" s="7"/>
      <c r="F3975" s="7"/>
      <c r="G3975" s="7"/>
      <c r="H3975" s="7">
        <f t="shared" si="1"/>
        <v>1029</v>
      </c>
    </row>
    <row r="3976" ht="22.5" customHeight="1">
      <c r="B3976" s="7"/>
      <c r="C3976" s="7"/>
      <c r="D3976" s="7"/>
      <c r="E3976" s="7"/>
      <c r="F3976" s="7"/>
      <c r="G3976" s="7"/>
      <c r="H3976" s="7">
        <f t="shared" si="1"/>
        <v>1029</v>
      </c>
    </row>
    <row r="3977" ht="22.5" customHeight="1">
      <c r="B3977" s="7"/>
      <c r="C3977" s="7"/>
      <c r="D3977" s="7"/>
      <c r="E3977" s="7"/>
      <c r="F3977" s="7"/>
      <c r="G3977" s="7"/>
      <c r="H3977" s="7">
        <f t="shared" si="1"/>
        <v>1029</v>
      </c>
    </row>
    <row r="3978" ht="22.5" customHeight="1">
      <c r="B3978" s="7"/>
      <c r="C3978" s="7"/>
      <c r="D3978" s="7"/>
      <c r="E3978" s="7"/>
      <c r="F3978" s="7"/>
      <c r="G3978" s="7"/>
      <c r="H3978" s="7">
        <f t="shared" si="1"/>
        <v>1029</v>
      </c>
    </row>
    <row r="3979" ht="22.5" customHeight="1">
      <c r="B3979" s="7"/>
      <c r="C3979" s="7"/>
      <c r="D3979" s="7"/>
      <c r="E3979" s="7"/>
      <c r="F3979" s="7"/>
      <c r="G3979" s="7"/>
      <c r="H3979" s="7">
        <f t="shared" si="1"/>
        <v>1029</v>
      </c>
    </row>
    <row r="3980" ht="22.5" customHeight="1">
      <c r="B3980" s="7"/>
      <c r="C3980" s="7"/>
      <c r="D3980" s="7"/>
      <c r="E3980" s="7"/>
      <c r="F3980" s="7"/>
      <c r="G3980" s="7"/>
      <c r="H3980" s="7">
        <f t="shared" si="1"/>
        <v>1029</v>
      </c>
    </row>
    <row r="3981" ht="22.5" customHeight="1">
      <c r="B3981" s="7"/>
      <c r="C3981" s="7"/>
      <c r="D3981" s="7"/>
      <c r="E3981" s="7"/>
      <c r="F3981" s="7"/>
      <c r="G3981" s="7"/>
      <c r="H3981" s="7">
        <f t="shared" si="1"/>
        <v>1029</v>
      </c>
    </row>
    <row r="3982" ht="22.5" customHeight="1">
      <c r="B3982" s="7"/>
      <c r="C3982" s="7"/>
      <c r="D3982" s="7"/>
      <c r="E3982" s="7"/>
      <c r="F3982" s="7"/>
      <c r="G3982" s="7"/>
      <c r="H3982" s="7">
        <f t="shared" si="1"/>
        <v>1029</v>
      </c>
    </row>
    <row r="3983" ht="22.5" customHeight="1">
      <c r="B3983" s="7"/>
      <c r="C3983" s="7"/>
      <c r="D3983" s="7"/>
      <c r="E3983" s="7"/>
      <c r="F3983" s="7"/>
      <c r="G3983" s="7"/>
      <c r="H3983" s="7">
        <f t="shared" si="1"/>
        <v>1029</v>
      </c>
    </row>
    <row r="3984" ht="22.5" customHeight="1">
      <c r="B3984" s="7"/>
      <c r="C3984" s="7"/>
      <c r="D3984" s="7"/>
      <c r="E3984" s="7"/>
      <c r="F3984" s="7"/>
      <c r="G3984" s="7"/>
      <c r="H3984" s="7">
        <f t="shared" si="1"/>
        <v>1029</v>
      </c>
    </row>
    <row r="3985" ht="22.5" customHeight="1">
      <c r="B3985" s="7"/>
      <c r="C3985" s="7"/>
      <c r="D3985" s="7"/>
      <c r="E3985" s="7"/>
      <c r="F3985" s="7"/>
      <c r="G3985" s="7"/>
      <c r="H3985" s="7">
        <f t="shared" si="1"/>
        <v>1029</v>
      </c>
    </row>
    <row r="3986" ht="22.5" customHeight="1">
      <c r="B3986" s="7"/>
      <c r="C3986" s="7"/>
      <c r="D3986" s="7"/>
      <c r="E3986" s="7"/>
      <c r="F3986" s="7"/>
      <c r="G3986" s="7"/>
      <c r="H3986" s="7">
        <f t="shared" si="1"/>
        <v>1029</v>
      </c>
    </row>
    <row r="3987" ht="22.5" customHeight="1">
      <c r="B3987" s="7"/>
      <c r="C3987" s="7"/>
      <c r="D3987" s="7"/>
      <c r="E3987" s="7"/>
      <c r="F3987" s="7"/>
      <c r="G3987" s="7"/>
      <c r="H3987" s="7">
        <f t="shared" si="1"/>
        <v>1029</v>
      </c>
    </row>
    <row r="3988" ht="22.5" customHeight="1">
      <c r="B3988" s="7"/>
      <c r="C3988" s="7"/>
      <c r="D3988" s="7"/>
      <c r="E3988" s="7"/>
      <c r="F3988" s="7"/>
      <c r="G3988" s="7"/>
      <c r="H3988" s="7">
        <f t="shared" si="1"/>
        <v>1029</v>
      </c>
    </row>
    <row r="3989" ht="22.5" customHeight="1">
      <c r="B3989" s="7"/>
      <c r="C3989" s="7"/>
      <c r="D3989" s="7"/>
      <c r="E3989" s="7"/>
      <c r="F3989" s="7"/>
      <c r="G3989" s="7"/>
      <c r="H3989" s="7">
        <f t="shared" si="1"/>
        <v>1029</v>
      </c>
    </row>
    <row r="3990" ht="22.5" customHeight="1">
      <c r="B3990" s="7"/>
      <c r="C3990" s="7"/>
      <c r="D3990" s="7"/>
      <c r="E3990" s="7"/>
      <c r="F3990" s="7"/>
      <c r="G3990" s="7"/>
      <c r="H3990" s="7">
        <f t="shared" si="1"/>
        <v>1029</v>
      </c>
    </row>
    <row r="3991" ht="22.5" customHeight="1">
      <c r="B3991" s="7"/>
      <c r="C3991" s="7"/>
      <c r="D3991" s="7"/>
      <c r="E3991" s="7"/>
      <c r="F3991" s="7"/>
      <c r="G3991" s="7"/>
      <c r="H3991" s="7">
        <f t="shared" si="1"/>
        <v>1029</v>
      </c>
    </row>
    <row r="3992" ht="22.5" customHeight="1">
      <c r="B3992" s="7"/>
      <c r="C3992" s="7"/>
      <c r="D3992" s="7"/>
      <c r="E3992" s="7"/>
      <c r="F3992" s="7"/>
      <c r="G3992" s="7"/>
      <c r="H3992" s="7">
        <f t="shared" si="1"/>
        <v>1029</v>
      </c>
    </row>
    <row r="3993" ht="22.5" customHeight="1">
      <c r="B3993" s="7"/>
      <c r="C3993" s="7"/>
      <c r="D3993" s="7"/>
      <c r="E3993" s="7"/>
      <c r="F3993" s="7"/>
      <c r="G3993" s="7"/>
      <c r="H3993" s="7">
        <f t="shared" si="1"/>
        <v>1029</v>
      </c>
    </row>
    <row r="3994" ht="22.5" customHeight="1">
      <c r="B3994" s="7"/>
      <c r="C3994" s="7"/>
      <c r="D3994" s="7"/>
      <c r="E3994" s="7"/>
      <c r="F3994" s="7"/>
      <c r="G3994" s="7"/>
      <c r="H3994" s="7">
        <f t="shared" si="1"/>
        <v>1029</v>
      </c>
    </row>
    <row r="3995" ht="22.5" customHeight="1">
      <c r="B3995" s="7"/>
      <c r="C3995" s="7"/>
      <c r="D3995" s="7"/>
      <c r="E3995" s="7"/>
      <c r="F3995" s="7"/>
      <c r="G3995" s="7"/>
      <c r="H3995" s="7">
        <f t="shared" si="1"/>
        <v>1029</v>
      </c>
    </row>
    <row r="3996" ht="22.5" customHeight="1">
      <c r="B3996" s="7"/>
      <c r="C3996" s="7"/>
      <c r="D3996" s="7"/>
      <c r="E3996" s="7"/>
      <c r="F3996" s="7"/>
      <c r="G3996" s="7"/>
      <c r="H3996" s="7">
        <f t="shared" si="1"/>
        <v>1029</v>
      </c>
    </row>
    <row r="3997" ht="22.5" customHeight="1">
      <c r="B3997" s="7"/>
      <c r="C3997" s="7"/>
      <c r="D3997" s="7"/>
      <c r="E3997" s="7"/>
      <c r="F3997" s="7"/>
      <c r="G3997" s="7"/>
      <c r="H3997" s="7">
        <f t="shared" si="1"/>
        <v>1029</v>
      </c>
    </row>
    <row r="3998" ht="22.5" customHeight="1">
      <c r="B3998" s="7"/>
      <c r="C3998" s="7"/>
      <c r="D3998" s="7"/>
      <c r="E3998" s="7"/>
      <c r="F3998" s="7"/>
      <c r="G3998" s="7"/>
      <c r="H3998" s="7">
        <f t="shared" si="1"/>
        <v>1029</v>
      </c>
    </row>
    <row r="3999" ht="22.5" customHeight="1">
      <c r="B3999" s="7"/>
      <c r="C3999" s="7"/>
      <c r="D3999" s="7"/>
      <c r="E3999" s="7"/>
      <c r="F3999" s="7"/>
      <c r="G3999" s="7"/>
      <c r="H3999" s="7">
        <f t="shared" si="1"/>
        <v>1029</v>
      </c>
    </row>
    <row r="4000" ht="22.5" customHeight="1">
      <c r="B4000" s="7"/>
      <c r="C4000" s="7"/>
      <c r="D4000" s="7"/>
      <c r="E4000" s="7"/>
      <c r="F4000" s="7"/>
      <c r="G4000" s="7"/>
      <c r="H4000" s="7">
        <f t="shared" si="1"/>
        <v>1029</v>
      </c>
    </row>
    <row r="4001" ht="22.5" customHeight="1">
      <c r="B4001" s="7"/>
      <c r="C4001" s="7"/>
      <c r="D4001" s="7"/>
      <c r="E4001" s="7"/>
      <c r="F4001" s="7"/>
      <c r="G4001" s="7"/>
      <c r="H4001" s="7">
        <f t="shared" si="1"/>
        <v>1029</v>
      </c>
    </row>
    <row r="4002" ht="22.5" customHeight="1">
      <c r="B4002" s="7"/>
      <c r="C4002" s="7"/>
      <c r="D4002" s="7"/>
      <c r="E4002" s="7"/>
      <c r="F4002" s="7"/>
      <c r="G4002" s="7"/>
      <c r="H4002" s="7">
        <f t="shared" si="1"/>
        <v>1029</v>
      </c>
    </row>
    <row r="4003" ht="22.5" customHeight="1">
      <c r="B4003" s="7"/>
      <c r="C4003" s="7"/>
      <c r="D4003" s="7"/>
      <c r="E4003" s="7"/>
      <c r="F4003" s="7"/>
      <c r="G4003" s="7"/>
      <c r="H4003" s="7">
        <f t="shared" si="1"/>
        <v>1029</v>
      </c>
    </row>
    <row r="4004" ht="22.5" customHeight="1">
      <c r="B4004" s="7"/>
      <c r="C4004" s="7"/>
      <c r="D4004" s="7"/>
      <c r="E4004" s="7"/>
      <c r="F4004" s="7"/>
      <c r="G4004" s="7"/>
      <c r="H4004" s="7">
        <f t="shared" si="1"/>
        <v>1029</v>
      </c>
    </row>
    <row r="4005" ht="22.5" customHeight="1">
      <c r="B4005" s="7"/>
      <c r="C4005" s="7"/>
      <c r="D4005" s="7"/>
      <c r="E4005" s="7"/>
      <c r="F4005" s="7"/>
      <c r="G4005" s="7"/>
      <c r="H4005" s="7">
        <f t="shared" si="1"/>
        <v>1029</v>
      </c>
    </row>
    <row r="4006" ht="22.5" customHeight="1">
      <c r="B4006" s="7"/>
      <c r="C4006" s="7"/>
      <c r="D4006" s="7"/>
      <c r="E4006" s="7"/>
      <c r="F4006" s="7"/>
      <c r="G4006" s="7"/>
      <c r="H4006" s="7">
        <f t="shared" si="1"/>
        <v>1029</v>
      </c>
    </row>
    <row r="4007" ht="22.5" customHeight="1">
      <c r="B4007" s="7"/>
      <c r="C4007" s="7"/>
      <c r="D4007" s="7"/>
      <c r="E4007" s="7"/>
      <c r="F4007" s="7"/>
      <c r="G4007" s="7"/>
      <c r="H4007" s="7">
        <f t="shared" si="1"/>
        <v>1029</v>
      </c>
    </row>
    <row r="4008" ht="22.5" customHeight="1">
      <c r="B4008" s="7"/>
      <c r="C4008" s="7"/>
      <c r="D4008" s="7"/>
      <c r="E4008" s="7"/>
      <c r="F4008" s="7"/>
      <c r="G4008" s="7"/>
      <c r="H4008" s="7">
        <f t="shared" si="1"/>
        <v>1029</v>
      </c>
    </row>
    <row r="4009" ht="22.5" customHeight="1">
      <c r="B4009" s="7"/>
      <c r="C4009" s="7"/>
      <c r="D4009" s="7"/>
      <c r="E4009" s="7"/>
      <c r="F4009" s="7"/>
      <c r="G4009" s="7"/>
      <c r="H4009" s="7">
        <f t="shared" si="1"/>
        <v>1029</v>
      </c>
    </row>
    <row r="4010" ht="22.5" customHeight="1">
      <c r="B4010" s="7"/>
      <c r="C4010" s="7"/>
      <c r="D4010" s="7"/>
      <c r="E4010" s="7"/>
      <c r="F4010" s="7"/>
      <c r="G4010" s="7"/>
      <c r="H4010" s="7">
        <f t="shared" si="1"/>
        <v>1029</v>
      </c>
    </row>
    <row r="4011" ht="22.5" customHeight="1">
      <c r="B4011" s="7"/>
      <c r="C4011" s="7"/>
      <c r="D4011" s="7"/>
      <c r="E4011" s="7"/>
      <c r="F4011" s="7"/>
      <c r="G4011" s="7"/>
      <c r="H4011" s="7">
        <f t="shared" si="1"/>
        <v>1029</v>
      </c>
    </row>
    <row r="4012" ht="22.5" customHeight="1">
      <c r="B4012" s="7"/>
      <c r="C4012" s="7"/>
      <c r="D4012" s="7"/>
      <c r="E4012" s="7"/>
      <c r="F4012" s="7"/>
      <c r="G4012" s="7"/>
      <c r="H4012" s="7">
        <f t="shared" si="1"/>
        <v>1029</v>
      </c>
    </row>
    <row r="4013" ht="22.5" customHeight="1">
      <c r="B4013" s="7"/>
      <c r="C4013" s="7"/>
      <c r="D4013" s="7"/>
      <c r="E4013" s="7"/>
      <c r="F4013" s="7"/>
      <c r="G4013" s="7"/>
      <c r="H4013" s="7">
        <f t="shared" si="1"/>
        <v>1029</v>
      </c>
    </row>
    <row r="4014" ht="22.5" customHeight="1">
      <c r="B4014" s="7"/>
      <c r="C4014" s="7"/>
      <c r="D4014" s="7"/>
      <c r="E4014" s="7"/>
      <c r="F4014" s="7"/>
      <c r="G4014" s="7"/>
      <c r="H4014" s="7">
        <f t="shared" si="1"/>
        <v>1029</v>
      </c>
    </row>
    <row r="4015" ht="22.5" customHeight="1">
      <c r="B4015" s="7"/>
      <c r="C4015" s="7"/>
      <c r="D4015" s="7"/>
      <c r="E4015" s="7"/>
      <c r="F4015" s="7"/>
      <c r="G4015" s="7"/>
      <c r="H4015" s="7">
        <f t="shared" si="1"/>
        <v>1029</v>
      </c>
    </row>
    <row r="4016" ht="22.5" customHeight="1">
      <c r="B4016" s="7"/>
      <c r="C4016" s="7"/>
      <c r="D4016" s="7"/>
      <c r="E4016" s="7"/>
      <c r="F4016" s="7"/>
      <c r="G4016" s="7"/>
      <c r="H4016" s="7">
        <f t="shared" si="1"/>
        <v>1029</v>
      </c>
    </row>
    <row r="4017" ht="22.5" customHeight="1">
      <c r="B4017" s="7"/>
      <c r="C4017" s="7"/>
      <c r="D4017" s="7"/>
      <c r="E4017" s="7"/>
      <c r="F4017" s="7"/>
      <c r="G4017" s="7"/>
      <c r="H4017" s="7">
        <f t="shared" si="1"/>
        <v>1029</v>
      </c>
    </row>
    <row r="4018" ht="22.5" customHeight="1">
      <c r="B4018" s="7"/>
      <c r="C4018" s="7"/>
      <c r="D4018" s="7"/>
      <c r="E4018" s="7"/>
      <c r="F4018" s="7"/>
      <c r="G4018" s="7"/>
      <c r="H4018" s="7">
        <f t="shared" si="1"/>
        <v>1029</v>
      </c>
    </row>
    <row r="4019" ht="22.5" customHeight="1">
      <c r="B4019" s="7"/>
      <c r="C4019" s="7"/>
      <c r="D4019" s="7"/>
      <c r="E4019" s="7"/>
      <c r="F4019" s="7"/>
      <c r="G4019" s="7"/>
      <c r="H4019" s="7">
        <f t="shared" si="1"/>
        <v>1029</v>
      </c>
    </row>
    <row r="4020" ht="22.5" customHeight="1">
      <c r="B4020" s="7"/>
      <c r="C4020" s="7"/>
      <c r="D4020" s="7"/>
      <c r="E4020" s="7"/>
      <c r="F4020" s="7"/>
      <c r="G4020" s="7"/>
      <c r="H4020" s="7">
        <f t="shared" si="1"/>
        <v>1029</v>
      </c>
    </row>
    <row r="4021" ht="22.5" customHeight="1">
      <c r="B4021" s="7"/>
      <c r="C4021" s="7"/>
      <c r="D4021" s="7"/>
      <c r="E4021" s="7"/>
      <c r="F4021" s="7"/>
      <c r="G4021" s="7"/>
      <c r="H4021" s="7">
        <f t="shared" si="1"/>
        <v>1029</v>
      </c>
    </row>
    <row r="4022" ht="22.5" customHeight="1">
      <c r="B4022" s="7"/>
      <c r="C4022" s="7"/>
      <c r="D4022" s="7"/>
      <c r="E4022" s="7"/>
      <c r="F4022" s="7"/>
      <c r="G4022" s="7"/>
      <c r="H4022" s="7">
        <f t="shared" si="1"/>
        <v>1029</v>
      </c>
    </row>
    <row r="4023" ht="22.5" customHeight="1">
      <c r="B4023" s="7"/>
      <c r="C4023" s="7"/>
      <c r="D4023" s="7"/>
      <c r="E4023" s="7"/>
      <c r="F4023" s="7"/>
      <c r="G4023" s="7"/>
      <c r="H4023" s="7">
        <f t="shared" si="1"/>
        <v>1029</v>
      </c>
    </row>
    <row r="4024" ht="22.5" customHeight="1">
      <c r="B4024" s="7"/>
      <c r="C4024" s="7"/>
      <c r="D4024" s="7"/>
      <c r="E4024" s="7"/>
      <c r="F4024" s="7"/>
      <c r="G4024" s="7"/>
      <c r="H4024" s="7">
        <f t="shared" si="1"/>
        <v>1029</v>
      </c>
    </row>
    <row r="4025" ht="22.5" customHeight="1">
      <c r="B4025" s="7"/>
      <c r="C4025" s="7"/>
      <c r="D4025" s="7"/>
      <c r="E4025" s="7"/>
      <c r="F4025" s="7"/>
      <c r="G4025" s="7"/>
      <c r="H4025" s="7">
        <f t="shared" si="1"/>
        <v>1029</v>
      </c>
    </row>
    <row r="4026" ht="22.5" customHeight="1">
      <c r="B4026" s="7"/>
      <c r="C4026" s="7"/>
      <c r="D4026" s="7"/>
      <c r="E4026" s="7"/>
      <c r="F4026" s="7"/>
      <c r="G4026" s="7"/>
      <c r="H4026" s="7">
        <f t="shared" si="1"/>
        <v>1029</v>
      </c>
    </row>
    <row r="4027" ht="22.5" customHeight="1">
      <c r="B4027" s="7"/>
      <c r="C4027" s="7"/>
      <c r="D4027" s="7"/>
      <c r="E4027" s="7"/>
      <c r="F4027" s="7"/>
      <c r="G4027" s="7"/>
      <c r="H4027" s="7">
        <f t="shared" si="1"/>
        <v>1029</v>
      </c>
    </row>
    <row r="4028" ht="22.5" customHeight="1">
      <c r="B4028" s="7"/>
      <c r="C4028" s="7"/>
      <c r="D4028" s="7"/>
      <c r="E4028" s="7"/>
      <c r="F4028" s="7"/>
      <c r="G4028" s="7"/>
      <c r="H4028" s="7">
        <f t="shared" si="1"/>
        <v>1029</v>
      </c>
    </row>
    <row r="4029" ht="22.5" customHeight="1">
      <c r="B4029" s="7"/>
      <c r="C4029" s="7"/>
      <c r="D4029" s="7"/>
      <c r="E4029" s="7"/>
      <c r="F4029" s="7"/>
      <c r="G4029" s="7"/>
      <c r="H4029" s="7">
        <f t="shared" si="1"/>
        <v>1029</v>
      </c>
    </row>
    <row r="4030" ht="22.5" customHeight="1">
      <c r="B4030" s="7"/>
      <c r="C4030" s="7"/>
      <c r="D4030" s="7"/>
      <c r="E4030" s="7"/>
      <c r="F4030" s="7"/>
      <c r="G4030" s="7"/>
      <c r="H4030" s="7">
        <f t="shared" si="1"/>
        <v>1029</v>
      </c>
    </row>
    <row r="4031" ht="22.5" customHeight="1">
      <c r="B4031" s="7"/>
      <c r="C4031" s="7"/>
      <c r="D4031" s="7"/>
      <c r="E4031" s="7"/>
      <c r="F4031" s="7"/>
      <c r="G4031" s="7"/>
      <c r="H4031" s="7">
        <f t="shared" si="1"/>
        <v>1029</v>
      </c>
    </row>
    <row r="4032" ht="22.5" customHeight="1">
      <c r="B4032" s="7"/>
      <c r="C4032" s="7"/>
      <c r="D4032" s="7"/>
      <c r="E4032" s="7"/>
      <c r="F4032" s="7"/>
      <c r="G4032" s="7"/>
      <c r="H4032" s="7">
        <f t="shared" si="1"/>
        <v>1029</v>
      </c>
    </row>
    <row r="4033" ht="22.5" customHeight="1">
      <c r="B4033" s="7"/>
      <c r="C4033" s="7"/>
      <c r="D4033" s="7"/>
      <c r="E4033" s="7"/>
      <c r="F4033" s="7"/>
      <c r="G4033" s="7"/>
      <c r="H4033" s="7">
        <f t="shared" si="1"/>
        <v>1029</v>
      </c>
    </row>
    <row r="4034" ht="22.5" customHeight="1">
      <c r="B4034" s="7"/>
      <c r="C4034" s="7"/>
      <c r="D4034" s="7"/>
      <c r="E4034" s="7"/>
      <c r="F4034" s="7"/>
      <c r="G4034" s="7"/>
      <c r="H4034" s="7">
        <f t="shared" si="1"/>
        <v>1029</v>
      </c>
    </row>
    <row r="4035" ht="22.5" customHeight="1">
      <c r="B4035" s="7"/>
      <c r="C4035" s="7"/>
      <c r="D4035" s="7"/>
      <c r="E4035" s="7"/>
      <c r="F4035" s="7"/>
      <c r="G4035" s="7"/>
      <c r="H4035" s="7">
        <f t="shared" si="1"/>
        <v>1029</v>
      </c>
    </row>
    <row r="4036" ht="22.5" customHeight="1">
      <c r="B4036" s="7"/>
      <c r="C4036" s="7"/>
      <c r="D4036" s="7"/>
      <c r="E4036" s="7"/>
      <c r="F4036" s="7"/>
      <c r="G4036" s="7"/>
      <c r="H4036" s="7">
        <f t="shared" si="1"/>
        <v>1029</v>
      </c>
    </row>
    <row r="4037" ht="22.5" customHeight="1">
      <c r="B4037" s="7"/>
      <c r="C4037" s="7"/>
      <c r="D4037" s="7"/>
      <c r="E4037" s="7"/>
      <c r="F4037" s="7"/>
      <c r="G4037" s="7"/>
      <c r="H4037" s="7">
        <f t="shared" si="1"/>
        <v>1029</v>
      </c>
    </row>
    <row r="4038" ht="22.5" customHeight="1">
      <c r="B4038" s="7"/>
      <c r="C4038" s="7"/>
      <c r="D4038" s="7"/>
      <c r="E4038" s="7"/>
      <c r="F4038" s="7"/>
      <c r="G4038" s="7"/>
      <c r="H4038" s="7">
        <f t="shared" si="1"/>
        <v>1029</v>
      </c>
    </row>
    <row r="4039" ht="22.5" customHeight="1">
      <c r="B4039" s="7"/>
      <c r="C4039" s="7"/>
      <c r="D4039" s="7"/>
      <c r="E4039" s="7"/>
      <c r="F4039" s="7"/>
      <c r="G4039" s="7"/>
      <c r="H4039" s="7">
        <f t="shared" si="1"/>
        <v>1029</v>
      </c>
    </row>
    <row r="4040" ht="22.5" customHeight="1">
      <c r="B4040" s="7"/>
      <c r="C4040" s="7"/>
      <c r="D4040" s="7"/>
      <c r="E4040" s="7"/>
      <c r="F4040" s="7"/>
      <c r="G4040" s="7"/>
      <c r="H4040" s="7">
        <f t="shared" si="1"/>
        <v>1029</v>
      </c>
    </row>
    <row r="4041" ht="22.5" customHeight="1">
      <c r="B4041" s="7"/>
      <c r="C4041" s="7"/>
      <c r="D4041" s="7"/>
      <c r="E4041" s="7"/>
      <c r="F4041" s="7"/>
      <c r="G4041" s="7"/>
      <c r="H4041" s="7">
        <f t="shared" si="1"/>
        <v>1029</v>
      </c>
    </row>
    <row r="4042" ht="22.5" customHeight="1">
      <c r="B4042" s="7"/>
      <c r="C4042" s="7"/>
      <c r="D4042" s="7"/>
      <c r="E4042" s="7"/>
      <c r="F4042" s="7"/>
      <c r="G4042" s="7"/>
      <c r="H4042" s="7">
        <f t="shared" si="1"/>
        <v>1029</v>
      </c>
    </row>
    <row r="4043" ht="22.5" customHeight="1">
      <c r="B4043" s="7"/>
      <c r="C4043" s="7"/>
      <c r="D4043" s="7"/>
      <c r="E4043" s="7"/>
      <c r="F4043" s="7"/>
      <c r="G4043" s="7"/>
      <c r="H4043" s="7">
        <f t="shared" si="1"/>
        <v>1029</v>
      </c>
    </row>
    <row r="4044" ht="22.5" customHeight="1">
      <c r="B4044" s="7"/>
      <c r="C4044" s="7"/>
      <c r="D4044" s="7"/>
      <c r="E4044" s="7"/>
      <c r="F4044" s="7"/>
      <c r="G4044" s="7"/>
      <c r="H4044" s="7">
        <f t="shared" si="1"/>
        <v>1029</v>
      </c>
    </row>
    <row r="4045" ht="22.5" customHeight="1">
      <c r="B4045" s="7"/>
      <c r="C4045" s="7"/>
      <c r="D4045" s="7"/>
      <c r="E4045" s="7"/>
      <c r="F4045" s="7"/>
      <c r="G4045" s="7"/>
      <c r="H4045" s="7">
        <f t="shared" si="1"/>
        <v>1029</v>
      </c>
    </row>
    <row r="4046" ht="22.5" customHeight="1">
      <c r="B4046" s="7"/>
      <c r="C4046" s="7"/>
      <c r="D4046" s="7"/>
      <c r="E4046" s="7"/>
      <c r="F4046" s="7"/>
      <c r="G4046" s="7"/>
      <c r="H4046" s="7">
        <f t="shared" si="1"/>
        <v>1029</v>
      </c>
    </row>
    <row r="4047" ht="22.5" customHeight="1">
      <c r="B4047" s="7"/>
      <c r="C4047" s="7"/>
      <c r="D4047" s="7"/>
      <c r="E4047" s="7"/>
      <c r="F4047" s="7"/>
      <c r="G4047" s="7"/>
      <c r="H4047" s="7">
        <f t="shared" si="1"/>
        <v>1029</v>
      </c>
    </row>
    <row r="4048" ht="22.5" customHeight="1">
      <c r="B4048" s="7"/>
      <c r="C4048" s="7"/>
      <c r="D4048" s="7"/>
      <c r="E4048" s="7"/>
      <c r="F4048" s="7"/>
      <c r="G4048" s="7"/>
      <c r="H4048" s="7">
        <f t="shared" si="1"/>
        <v>1029</v>
      </c>
    </row>
    <row r="4049" ht="22.5" customHeight="1">
      <c r="B4049" s="7"/>
      <c r="C4049" s="7"/>
      <c r="D4049" s="7"/>
      <c r="E4049" s="7"/>
      <c r="F4049" s="7"/>
      <c r="G4049" s="7"/>
      <c r="H4049" s="7">
        <f t="shared" si="1"/>
        <v>1029</v>
      </c>
    </row>
    <row r="4050" ht="22.5" customHeight="1">
      <c r="B4050" s="7"/>
      <c r="C4050" s="7"/>
      <c r="D4050" s="7"/>
      <c r="E4050" s="7"/>
      <c r="F4050" s="7"/>
      <c r="G4050" s="7"/>
      <c r="H4050" s="7">
        <f t="shared" si="1"/>
        <v>1029</v>
      </c>
    </row>
    <row r="4051" ht="22.5" customHeight="1">
      <c r="B4051" s="7"/>
      <c r="C4051" s="7"/>
      <c r="D4051" s="7"/>
      <c r="E4051" s="7"/>
      <c r="F4051" s="7"/>
      <c r="G4051" s="7"/>
      <c r="H4051" s="7">
        <f t="shared" si="1"/>
        <v>1029</v>
      </c>
    </row>
    <row r="4052" ht="22.5" customHeight="1">
      <c r="B4052" s="7"/>
      <c r="C4052" s="7"/>
      <c r="D4052" s="7"/>
      <c r="E4052" s="7"/>
      <c r="F4052" s="7"/>
      <c r="G4052" s="7"/>
      <c r="H4052" s="7">
        <f t="shared" si="1"/>
        <v>1029</v>
      </c>
    </row>
    <row r="4053" ht="22.5" customHeight="1">
      <c r="B4053" s="7"/>
      <c r="C4053" s="7"/>
      <c r="D4053" s="7"/>
      <c r="E4053" s="7"/>
      <c r="F4053" s="7"/>
      <c r="G4053" s="7"/>
      <c r="H4053" s="7">
        <f t="shared" si="1"/>
        <v>1029</v>
      </c>
    </row>
    <row r="4054" ht="22.5" customHeight="1">
      <c r="B4054" s="7"/>
      <c r="C4054" s="7"/>
      <c r="D4054" s="7"/>
      <c r="E4054" s="7"/>
      <c r="F4054" s="7"/>
      <c r="G4054" s="7"/>
      <c r="H4054" s="7">
        <f t="shared" si="1"/>
        <v>1029</v>
      </c>
    </row>
    <row r="4055" ht="22.5" customHeight="1">
      <c r="B4055" s="7"/>
      <c r="C4055" s="7"/>
      <c r="D4055" s="7"/>
      <c r="E4055" s="7"/>
      <c r="F4055" s="7"/>
      <c r="G4055" s="7"/>
      <c r="H4055" s="7">
        <f t="shared" si="1"/>
        <v>1029</v>
      </c>
    </row>
    <row r="4056" ht="22.5" customHeight="1">
      <c r="B4056" s="7"/>
      <c r="C4056" s="7"/>
      <c r="D4056" s="7"/>
      <c r="E4056" s="7"/>
      <c r="F4056" s="7"/>
      <c r="G4056" s="7"/>
      <c r="H4056" s="7">
        <f t="shared" si="1"/>
        <v>1029</v>
      </c>
    </row>
    <row r="4057" ht="22.5" customHeight="1">
      <c r="B4057" s="7"/>
      <c r="C4057" s="7"/>
      <c r="D4057" s="7"/>
      <c r="E4057" s="7"/>
      <c r="F4057" s="7"/>
      <c r="G4057" s="7"/>
      <c r="H4057" s="7">
        <f t="shared" si="1"/>
        <v>1029</v>
      </c>
    </row>
    <row r="4058" ht="22.5" customHeight="1">
      <c r="B4058" s="7"/>
      <c r="C4058" s="7"/>
      <c r="D4058" s="7"/>
      <c r="E4058" s="7"/>
      <c r="F4058" s="7"/>
      <c r="G4058" s="7"/>
      <c r="H4058" s="7">
        <f t="shared" si="1"/>
        <v>1029</v>
      </c>
    </row>
    <row r="4059" ht="22.5" customHeight="1">
      <c r="B4059" s="7"/>
      <c r="C4059" s="7"/>
      <c r="D4059" s="7"/>
      <c r="E4059" s="7"/>
      <c r="F4059" s="7"/>
      <c r="G4059" s="7"/>
      <c r="H4059" s="7">
        <f t="shared" si="1"/>
        <v>1029</v>
      </c>
    </row>
    <row r="4060" ht="22.5" customHeight="1">
      <c r="B4060" s="7"/>
      <c r="C4060" s="7"/>
      <c r="D4060" s="7"/>
      <c r="E4060" s="7"/>
      <c r="F4060" s="7"/>
      <c r="G4060" s="7"/>
      <c r="H4060" s="7">
        <f t="shared" si="1"/>
        <v>1029</v>
      </c>
    </row>
    <row r="4061" ht="22.5" customHeight="1">
      <c r="B4061" s="7"/>
      <c r="C4061" s="7"/>
      <c r="D4061" s="7"/>
      <c r="E4061" s="7"/>
      <c r="F4061" s="7"/>
      <c r="G4061" s="7"/>
      <c r="H4061" s="7">
        <f t="shared" si="1"/>
        <v>1029</v>
      </c>
    </row>
    <row r="4062" ht="22.5" customHeight="1">
      <c r="B4062" s="7"/>
      <c r="C4062" s="7"/>
      <c r="D4062" s="7"/>
      <c r="E4062" s="7"/>
      <c r="F4062" s="7"/>
      <c r="G4062" s="7"/>
      <c r="H4062" s="7">
        <f t="shared" si="1"/>
        <v>1029</v>
      </c>
    </row>
    <row r="4063" ht="22.5" customHeight="1">
      <c r="B4063" s="7"/>
      <c r="C4063" s="7"/>
      <c r="D4063" s="7"/>
      <c r="E4063" s="7"/>
      <c r="F4063" s="7"/>
      <c r="G4063" s="7"/>
      <c r="H4063" s="7">
        <f t="shared" si="1"/>
        <v>1029</v>
      </c>
    </row>
    <row r="4064" ht="22.5" customHeight="1">
      <c r="B4064" s="7"/>
      <c r="C4064" s="7"/>
      <c r="D4064" s="7"/>
      <c r="E4064" s="7"/>
      <c r="F4064" s="7"/>
      <c r="G4064" s="7"/>
      <c r="H4064" s="7">
        <f t="shared" si="1"/>
        <v>1029</v>
      </c>
    </row>
    <row r="4065" ht="22.5" customHeight="1">
      <c r="B4065" s="7"/>
      <c r="C4065" s="7"/>
      <c r="D4065" s="7"/>
      <c r="E4065" s="7"/>
      <c r="F4065" s="7"/>
      <c r="G4065" s="7"/>
      <c r="H4065" s="7">
        <f t="shared" si="1"/>
        <v>1029</v>
      </c>
    </row>
    <row r="4066" ht="22.5" customHeight="1">
      <c r="B4066" s="7"/>
      <c r="C4066" s="7"/>
      <c r="D4066" s="7"/>
      <c r="E4066" s="7"/>
      <c r="F4066" s="7"/>
      <c r="G4066" s="7"/>
      <c r="H4066" s="7">
        <f t="shared" si="1"/>
        <v>1029</v>
      </c>
    </row>
    <row r="4067" ht="22.5" customHeight="1">
      <c r="B4067" s="7"/>
      <c r="C4067" s="7"/>
      <c r="D4067" s="7"/>
      <c r="E4067" s="7"/>
      <c r="F4067" s="7"/>
      <c r="G4067" s="7"/>
      <c r="H4067" s="7">
        <f t="shared" si="1"/>
        <v>1029</v>
      </c>
    </row>
    <row r="4068" ht="22.5" customHeight="1">
      <c r="B4068" s="7"/>
      <c r="C4068" s="7"/>
      <c r="D4068" s="7"/>
      <c r="E4068" s="7"/>
      <c r="F4068" s="7"/>
      <c r="G4068" s="7"/>
      <c r="H4068" s="7">
        <f t="shared" si="1"/>
        <v>1029</v>
      </c>
    </row>
    <row r="4069" ht="22.5" customHeight="1">
      <c r="B4069" s="7"/>
      <c r="C4069" s="7"/>
      <c r="D4069" s="7"/>
      <c r="E4069" s="7"/>
      <c r="F4069" s="7"/>
      <c r="G4069" s="7"/>
      <c r="H4069" s="7">
        <f t="shared" si="1"/>
        <v>1029</v>
      </c>
    </row>
    <row r="4070" ht="22.5" customHeight="1">
      <c r="B4070" s="7"/>
      <c r="C4070" s="7"/>
      <c r="D4070" s="7"/>
      <c r="E4070" s="7"/>
      <c r="F4070" s="7"/>
      <c r="G4070" s="7"/>
      <c r="H4070" s="7">
        <f t="shared" si="1"/>
        <v>1029</v>
      </c>
    </row>
    <row r="4071" ht="22.5" customHeight="1">
      <c r="B4071" s="7"/>
      <c r="C4071" s="7"/>
      <c r="D4071" s="7"/>
      <c r="E4071" s="7"/>
      <c r="F4071" s="7"/>
      <c r="G4071" s="7"/>
      <c r="H4071" s="7">
        <f t="shared" si="1"/>
        <v>1029</v>
      </c>
    </row>
    <row r="4072" ht="22.5" customHeight="1">
      <c r="B4072" s="7"/>
      <c r="C4072" s="7"/>
      <c r="D4072" s="7"/>
      <c r="E4072" s="7"/>
      <c r="F4072" s="7"/>
      <c r="G4072" s="7"/>
      <c r="H4072" s="7">
        <f t="shared" si="1"/>
        <v>1029</v>
      </c>
    </row>
    <row r="4073" ht="22.5" customHeight="1">
      <c r="B4073" s="7"/>
      <c r="C4073" s="7"/>
      <c r="D4073" s="7"/>
      <c r="E4073" s="7"/>
      <c r="F4073" s="7"/>
      <c r="G4073" s="7"/>
      <c r="H4073" s="7">
        <f t="shared" si="1"/>
        <v>1029</v>
      </c>
    </row>
    <row r="4074" ht="22.5" customHeight="1">
      <c r="B4074" s="7"/>
      <c r="C4074" s="7"/>
      <c r="D4074" s="7"/>
      <c r="E4074" s="7"/>
      <c r="F4074" s="7"/>
      <c r="G4074" s="7"/>
      <c r="H4074" s="7">
        <f t="shared" si="1"/>
        <v>1029</v>
      </c>
    </row>
    <row r="4075" ht="22.5" customHeight="1">
      <c r="B4075" s="7"/>
      <c r="C4075" s="7"/>
      <c r="D4075" s="7"/>
      <c r="E4075" s="7"/>
      <c r="F4075" s="7"/>
      <c r="G4075" s="7"/>
      <c r="H4075" s="7">
        <f t="shared" si="1"/>
        <v>1029</v>
      </c>
    </row>
    <row r="4076" ht="22.5" customHeight="1">
      <c r="B4076" s="7"/>
      <c r="C4076" s="7"/>
      <c r="D4076" s="7"/>
      <c r="E4076" s="7"/>
      <c r="F4076" s="7"/>
      <c r="G4076" s="7"/>
      <c r="H4076" s="7">
        <f t="shared" si="1"/>
        <v>1029</v>
      </c>
    </row>
    <row r="4077" ht="22.5" customHeight="1">
      <c r="B4077" s="7"/>
      <c r="C4077" s="7"/>
      <c r="D4077" s="7"/>
      <c r="E4077" s="7"/>
      <c r="F4077" s="7"/>
      <c r="G4077" s="7"/>
      <c r="H4077" s="7">
        <f t="shared" si="1"/>
        <v>1029</v>
      </c>
    </row>
    <row r="4078" ht="22.5" customHeight="1">
      <c r="B4078" s="7"/>
      <c r="C4078" s="7"/>
      <c r="D4078" s="7"/>
      <c r="E4078" s="7"/>
      <c r="F4078" s="7"/>
      <c r="G4078" s="7"/>
      <c r="H4078" s="7">
        <f t="shared" si="1"/>
        <v>1029</v>
      </c>
    </row>
    <row r="4079" ht="22.5" customHeight="1">
      <c r="B4079" s="7"/>
      <c r="C4079" s="7"/>
      <c r="D4079" s="7"/>
      <c r="E4079" s="7"/>
      <c r="F4079" s="7"/>
      <c r="G4079" s="7"/>
      <c r="H4079" s="7">
        <f t="shared" si="1"/>
        <v>1029</v>
      </c>
    </row>
    <row r="4080" ht="22.5" customHeight="1">
      <c r="B4080" s="7"/>
      <c r="C4080" s="7"/>
      <c r="D4080" s="7"/>
      <c r="E4080" s="7"/>
      <c r="F4080" s="7"/>
      <c r="G4080" s="7"/>
      <c r="H4080" s="7">
        <f t="shared" si="1"/>
        <v>1029</v>
      </c>
    </row>
    <row r="4081" ht="22.5" customHeight="1">
      <c r="B4081" s="7"/>
      <c r="C4081" s="7"/>
      <c r="D4081" s="7"/>
      <c r="E4081" s="7"/>
      <c r="F4081" s="7"/>
      <c r="G4081" s="7"/>
      <c r="H4081" s="7">
        <f t="shared" si="1"/>
        <v>1029</v>
      </c>
    </row>
    <row r="4082" ht="22.5" customHeight="1">
      <c r="B4082" s="7"/>
      <c r="C4082" s="7"/>
      <c r="D4082" s="7"/>
      <c r="E4082" s="7"/>
      <c r="F4082" s="7"/>
      <c r="G4082" s="7"/>
      <c r="H4082" s="7">
        <f t="shared" si="1"/>
        <v>1029</v>
      </c>
    </row>
    <row r="4083" ht="22.5" customHeight="1">
      <c r="B4083" s="7"/>
      <c r="C4083" s="7"/>
      <c r="D4083" s="7"/>
      <c r="E4083" s="7"/>
      <c r="F4083" s="7"/>
      <c r="G4083" s="7"/>
      <c r="H4083" s="7">
        <f t="shared" si="1"/>
        <v>1029</v>
      </c>
    </row>
    <row r="4084" ht="22.5" customHeight="1">
      <c r="B4084" s="7"/>
      <c r="C4084" s="7"/>
      <c r="D4084" s="7"/>
      <c r="E4084" s="7"/>
      <c r="F4084" s="7"/>
      <c r="G4084" s="7"/>
      <c r="H4084" s="7">
        <f t="shared" si="1"/>
        <v>1029</v>
      </c>
    </row>
    <row r="4085" ht="22.5" customHeight="1">
      <c r="B4085" s="7"/>
      <c r="C4085" s="7"/>
      <c r="D4085" s="7"/>
      <c r="E4085" s="7"/>
      <c r="F4085" s="7"/>
      <c r="G4085" s="7"/>
      <c r="H4085" s="7">
        <f t="shared" si="1"/>
        <v>1029</v>
      </c>
    </row>
    <row r="4086" ht="22.5" customHeight="1">
      <c r="B4086" s="7"/>
      <c r="C4086" s="7"/>
      <c r="D4086" s="7"/>
      <c r="E4086" s="7"/>
      <c r="F4086" s="7"/>
      <c r="G4086" s="7"/>
      <c r="H4086" s="7">
        <f t="shared" si="1"/>
        <v>1029</v>
      </c>
    </row>
    <row r="4087" ht="22.5" customHeight="1">
      <c r="B4087" s="7"/>
      <c r="C4087" s="7"/>
      <c r="D4087" s="7"/>
      <c r="E4087" s="7"/>
      <c r="F4087" s="7"/>
      <c r="G4087" s="7"/>
      <c r="H4087" s="7">
        <f t="shared" si="1"/>
        <v>1029</v>
      </c>
    </row>
    <row r="4088" ht="22.5" customHeight="1">
      <c r="B4088" s="7"/>
      <c r="C4088" s="7"/>
      <c r="D4088" s="7"/>
      <c r="E4088" s="7"/>
      <c r="F4088" s="7"/>
      <c r="G4088" s="7"/>
      <c r="H4088" s="7">
        <f t="shared" si="1"/>
        <v>1029</v>
      </c>
    </row>
    <row r="4089" ht="22.5" customHeight="1">
      <c r="B4089" s="7"/>
      <c r="C4089" s="7"/>
      <c r="D4089" s="7"/>
      <c r="E4089" s="7"/>
      <c r="F4089" s="7"/>
      <c r="G4089" s="7"/>
      <c r="H4089" s="7">
        <f t="shared" si="1"/>
        <v>1029</v>
      </c>
    </row>
    <row r="4090" ht="22.5" customHeight="1">
      <c r="B4090" s="7"/>
      <c r="C4090" s="7"/>
      <c r="D4090" s="7"/>
      <c r="E4090" s="7"/>
      <c r="F4090" s="7"/>
      <c r="G4090" s="7"/>
      <c r="H4090" s="7">
        <f t="shared" si="1"/>
        <v>1029</v>
      </c>
    </row>
    <row r="4091" ht="22.5" customHeight="1">
      <c r="B4091" s="7"/>
      <c r="C4091" s="7"/>
      <c r="D4091" s="7"/>
      <c r="E4091" s="7"/>
      <c r="F4091" s="7"/>
      <c r="G4091" s="7"/>
      <c r="H4091" s="7">
        <f t="shared" si="1"/>
        <v>1029</v>
      </c>
    </row>
    <row r="4092" ht="22.5" customHeight="1">
      <c r="B4092" s="7"/>
      <c r="C4092" s="7"/>
      <c r="D4092" s="7"/>
      <c r="E4092" s="7"/>
      <c r="F4092" s="7"/>
      <c r="G4092" s="7"/>
      <c r="H4092" s="7">
        <f t="shared" si="1"/>
        <v>1029</v>
      </c>
    </row>
    <row r="4093" ht="22.5" customHeight="1">
      <c r="B4093" s="7"/>
      <c r="C4093" s="7"/>
      <c r="D4093" s="7"/>
      <c r="E4093" s="7"/>
      <c r="F4093" s="7"/>
      <c r="G4093" s="7"/>
      <c r="H4093" s="7">
        <f t="shared" si="1"/>
        <v>1029</v>
      </c>
    </row>
    <row r="4094" ht="22.5" customHeight="1">
      <c r="B4094" s="7"/>
      <c r="C4094" s="7"/>
      <c r="D4094" s="7"/>
      <c r="E4094" s="7"/>
      <c r="F4094" s="7"/>
      <c r="G4094" s="7"/>
      <c r="H4094" s="7">
        <f t="shared" si="1"/>
        <v>1029</v>
      </c>
    </row>
    <row r="4095" ht="22.5" customHeight="1">
      <c r="B4095" s="7"/>
      <c r="C4095" s="7"/>
      <c r="D4095" s="7"/>
      <c r="E4095" s="7"/>
      <c r="F4095" s="7"/>
      <c r="G4095" s="7"/>
      <c r="H4095" s="7">
        <f t="shared" si="1"/>
        <v>1029</v>
      </c>
    </row>
    <row r="4096" ht="22.5" customHeight="1">
      <c r="B4096" s="7"/>
      <c r="C4096" s="7"/>
      <c r="D4096" s="7"/>
      <c r="E4096" s="7"/>
      <c r="F4096" s="7"/>
      <c r="G4096" s="7"/>
      <c r="H4096" s="7">
        <f t="shared" si="1"/>
        <v>1029</v>
      </c>
    </row>
    <row r="4097" ht="22.5" customHeight="1">
      <c r="B4097" s="7"/>
      <c r="C4097" s="7"/>
      <c r="D4097" s="7"/>
      <c r="E4097" s="7"/>
      <c r="F4097" s="7"/>
      <c r="G4097" s="7"/>
      <c r="H4097" s="7">
        <f t="shared" si="1"/>
        <v>1029</v>
      </c>
    </row>
    <row r="4098" ht="22.5" customHeight="1">
      <c r="B4098" s="7"/>
      <c r="C4098" s="7"/>
      <c r="D4098" s="7"/>
      <c r="E4098" s="7"/>
      <c r="F4098" s="7"/>
      <c r="G4098" s="7"/>
      <c r="H4098" s="7">
        <f t="shared" si="1"/>
        <v>1029</v>
      </c>
    </row>
    <row r="4099" ht="22.5" customHeight="1">
      <c r="B4099" s="7"/>
      <c r="C4099" s="7"/>
      <c r="D4099" s="7"/>
      <c r="E4099" s="7"/>
      <c r="F4099" s="7"/>
      <c r="G4099" s="7"/>
      <c r="H4099" s="7">
        <f t="shared" si="1"/>
        <v>1029</v>
      </c>
    </row>
    <row r="4100" ht="22.5" customHeight="1">
      <c r="B4100" s="7"/>
      <c r="C4100" s="7"/>
      <c r="D4100" s="7"/>
      <c r="E4100" s="7"/>
      <c r="F4100" s="7"/>
      <c r="G4100" s="7"/>
      <c r="H4100" s="7">
        <f t="shared" si="1"/>
        <v>1029</v>
      </c>
    </row>
    <row r="4101" ht="22.5" customHeight="1">
      <c r="B4101" s="7"/>
      <c r="C4101" s="7"/>
      <c r="D4101" s="7"/>
      <c r="E4101" s="7"/>
      <c r="F4101" s="7"/>
      <c r="G4101" s="7"/>
      <c r="H4101" s="7">
        <f t="shared" si="1"/>
        <v>1029</v>
      </c>
    </row>
    <row r="4102" ht="22.5" customHeight="1">
      <c r="B4102" s="7"/>
      <c r="C4102" s="7"/>
      <c r="D4102" s="7"/>
      <c r="E4102" s="7"/>
      <c r="F4102" s="7"/>
      <c r="G4102" s="7"/>
      <c r="H4102" s="7">
        <f t="shared" si="1"/>
        <v>1029</v>
      </c>
    </row>
    <row r="4103" ht="22.5" customHeight="1">
      <c r="B4103" s="7"/>
      <c r="C4103" s="7"/>
      <c r="D4103" s="7"/>
      <c r="E4103" s="7"/>
      <c r="F4103" s="7"/>
      <c r="G4103" s="7"/>
      <c r="H4103" s="7">
        <f t="shared" si="1"/>
        <v>1029</v>
      </c>
    </row>
    <row r="4104" ht="22.5" customHeight="1">
      <c r="B4104" s="7"/>
      <c r="C4104" s="7"/>
      <c r="D4104" s="7"/>
      <c r="E4104" s="7"/>
      <c r="F4104" s="7"/>
      <c r="G4104" s="7"/>
      <c r="H4104" s="7">
        <f t="shared" si="1"/>
        <v>1029</v>
      </c>
    </row>
    <row r="4105" ht="22.5" customHeight="1">
      <c r="B4105" s="7"/>
      <c r="C4105" s="7"/>
      <c r="D4105" s="7"/>
      <c r="E4105" s="7"/>
      <c r="F4105" s="7"/>
      <c r="G4105" s="7"/>
      <c r="H4105" s="7">
        <f t="shared" si="1"/>
        <v>1029</v>
      </c>
    </row>
    <row r="4106" ht="22.5" customHeight="1">
      <c r="B4106" s="7"/>
      <c r="C4106" s="7"/>
      <c r="D4106" s="7"/>
      <c r="E4106" s="7"/>
      <c r="F4106" s="7"/>
      <c r="G4106" s="7"/>
      <c r="H4106" s="7">
        <f t="shared" si="1"/>
        <v>1029</v>
      </c>
    </row>
    <row r="4107" ht="22.5" customHeight="1">
      <c r="B4107" s="7"/>
      <c r="C4107" s="7"/>
      <c r="D4107" s="7"/>
      <c r="E4107" s="7"/>
      <c r="F4107" s="7"/>
      <c r="G4107" s="7"/>
      <c r="H4107" s="7">
        <f t="shared" si="1"/>
        <v>1029</v>
      </c>
    </row>
    <row r="4108" ht="22.5" customHeight="1">
      <c r="B4108" s="7"/>
      <c r="C4108" s="7"/>
      <c r="D4108" s="7"/>
      <c r="E4108" s="7"/>
      <c r="F4108" s="7"/>
      <c r="G4108" s="7"/>
      <c r="H4108" s="7">
        <f t="shared" si="1"/>
        <v>1029</v>
      </c>
    </row>
    <row r="4109" ht="22.5" customHeight="1">
      <c r="B4109" s="7"/>
      <c r="C4109" s="7"/>
      <c r="D4109" s="7"/>
      <c r="E4109" s="7"/>
      <c r="F4109" s="7"/>
      <c r="G4109" s="7"/>
      <c r="H4109" s="7">
        <f t="shared" si="1"/>
        <v>1029</v>
      </c>
    </row>
    <row r="4110" ht="22.5" customHeight="1">
      <c r="B4110" s="7"/>
      <c r="C4110" s="7"/>
      <c r="D4110" s="7"/>
      <c r="E4110" s="7"/>
      <c r="F4110" s="7"/>
      <c r="G4110" s="7"/>
      <c r="H4110" s="7">
        <f t="shared" si="1"/>
        <v>1029</v>
      </c>
    </row>
    <row r="4111" ht="22.5" customHeight="1">
      <c r="B4111" s="7"/>
      <c r="C4111" s="7"/>
      <c r="D4111" s="7"/>
      <c r="E4111" s="7"/>
      <c r="F4111" s="7"/>
      <c r="G4111" s="7"/>
      <c r="H4111" s="7">
        <f t="shared" si="1"/>
        <v>1029</v>
      </c>
    </row>
    <row r="4112" ht="22.5" customHeight="1">
      <c r="B4112" s="7"/>
      <c r="C4112" s="7"/>
      <c r="D4112" s="7"/>
      <c r="E4112" s="7"/>
      <c r="F4112" s="7"/>
      <c r="G4112" s="7"/>
      <c r="H4112" s="7">
        <f t="shared" si="1"/>
        <v>1029</v>
      </c>
    </row>
    <row r="4113" ht="22.5" customHeight="1">
      <c r="B4113" s="7"/>
      <c r="C4113" s="7"/>
      <c r="D4113" s="7"/>
      <c r="E4113" s="7"/>
      <c r="F4113" s="7"/>
      <c r="G4113" s="7"/>
      <c r="H4113" s="7">
        <f t="shared" si="1"/>
        <v>1029</v>
      </c>
    </row>
    <row r="4114" ht="22.5" customHeight="1">
      <c r="B4114" s="7"/>
      <c r="C4114" s="7"/>
      <c r="D4114" s="7"/>
      <c r="E4114" s="7"/>
      <c r="F4114" s="7"/>
      <c r="G4114" s="7"/>
      <c r="H4114" s="7">
        <f t="shared" si="1"/>
        <v>1029</v>
      </c>
    </row>
    <row r="4115" ht="22.5" customHeight="1">
      <c r="B4115" s="7"/>
      <c r="C4115" s="7"/>
      <c r="D4115" s="7"/>
      <c r="E4115" s="7"/>
      <c r="F4115" s="7"/>
      <c r="G4115" s="7"/>
      <c r="H4115" s="7">
        <f t="shared" si="1"/>
        <v>1029</v>
      </c>
    </row>
    <row r="4116" ht="22.5" customHeight="1">
      <c r="B4116" s="7"/>
      <c r="C4116" s="7"/>
      <c r="D4116" s="7"/>
      <c r="E4116" s="7"/>
      <c r="F4116" s="7"/>
      <c r="G4116" s="7"/>
      <c r="H4116" s="7">
        <f t="shared" si="1"/>
        <v>1029</v>
      </c>
    </row>
    <row r="4117" ht="22.5" customHeight="1">
      <c r="B4117" s="7"/>
      <c r="C4117" s="7"/>
      <c r="D4117" s="7"/>
      <c r="E4117" s="7"/>
      <c r="F4117" s="7"/>
      <c r="G4117" s="7"/>
      <c r="H4117" s="7">
        <f t="shared" si="1"/>
        <v>1029</v>
      </c>
    </row>
    <row r="4118" ht="22.5" customHeight="1">
      <c r="B4118" s="7"/>
      <c r="C4118" s="7"/>
      <c r="D4118" s="7"/>
      <c r="E4118" s="7"/>
      <c r="F4118" s="7"/>
      <c r="G4118" s="7"/>
      <c r="H4118" s="7">
        <f t="shared" si="1"/>
        <v>1029</v>
      </c>
    </row>
    <row r="4119" ht="22.5" customHeight="1">
      <c r="B4119" s="7"/>
      <c r="C4119" s="7"/>
      <c r="D4119" s="7"/>
      <c r="E4119" s="7"/>
      <c r="F4119" s="7"/>
      <c r="G4119" s="7"/>
      <c r="H4119" s="7">
        <f t="shared" si="1"/>
        <v>1029</v>
      </c>
    </row>
    <row r="4120" ht="22.5" customHeight="1">
      <c r="B4120" s="7"/>
      <c r="C4120" s="7"/>
      <c r="D4120" s="7"/>
      <c r="E4120" s="7"/>
      <c r="F4120" s="7"/>
      <c r="G4120" s="7"/>
      <c r="H4120" s="7">
        <f t="shared" si="1"/>
        <v>1029</v>
      </c>
    </row>
    <row r="4121" ht="22.5" customHeight="1">
      <c r="B4121" s="7"/>
      <c r="C4121" s="7"/>
      <c r="D4121" s="7"/>
      <c r="E4121" s="7"/>
      <c r="F4121" s="7"/>
      <c r="G4121" s="7"/>
      <c r="H4121" s="7">
        <f t="shared" si="1"/>
        <v>1029</v>
      </c>
    </row>
    <row r="4122" ht="22.5" customHeight="1">
      <c r="B4122" s="7"/>
      <c r="C4122" s="7"/>
      <c r="D4122" s="7"/>
      <c r="E4122" s="7"/>
      <c r="F4122" s="7"/>
      <c r="G4122" s="7"/>
      <c r="H4122" s="7">
        <f t="shared" si="1"/>
        <v>1029</v>
      </c>
    </row>
    <row r="4123" ht="22.5" customHeight="1">
      <c r="B4123" s="7"/>
      <c r="C4123" s="7"/>
      <c r="D4123" s="7"/>
      <c r="E4123" s="7"/>
      <c r="F4123" s="7"/>
      <c r="G4123" s="7"/>
      <c r="H4123" s="7">
        <f t="shared" si="1"/>
        <v>1029</v>
      </c>
    </row>
    <row r="4124" ht="22.5" customHeight="1">
      <c r="B4124" s="7"/>
      <c r="C4124" s="7"/>
      <c r="D4124" s="7"/>
      <c r="E4124" s="7"/>
      <c r="F4124" s="7"/>
      <c r="G4124" s="7"/>
      <c r="H4124" s="7">
        <f t="shared" si="1"/>
        <v>1029</v>
      </c>
    </row>
    <row r="4125" ht="22.5" customHeight="1">
      <c r="B4125" s="7"/>
      <c r="C4125" s="7"/>
      <c r="D4125" s="7"/>
      <c r="E4125" s="7"/>
      <c r="F4125" s="7"/>
      <c r="G4125" s="7"/>
      <c r="H4125" s="7">
        <f t="shared" si="1"/>
        <v>1029</v>
      </c>
    </row>
    <row r="4126" ht="22.5" customHeight="1">
      <c r="B4126" s="7"/>
      <c r="C4126" s="7"/>
      <c r="D4126" s="7"/>
      <c r="E4126" s="7"/>
      <c r="F4126" s="7"/>
      <c r="G4126" s="7"/>
      <c r="H4126" s="7">
        <f t="shared" si="1"/>
        <v>1029</v>
      </c>
    </row>
    <row r="4127" ht="22.5" customHeight="1">
      <c r="B4127" s="7"/>
      <c r="C4127" s="7"/>
      <c r="D4127" s="7"/>
      <c r="E4127" s="7"/>
      <c r="F4127" s="7"/>
      <c r="G4127" s="7"/>
      <c r="H4127" s="7">
        <f t="shared" si="1"/>
        <v>1029</v>
      </c>
    </row>
    <row r="4128" ht="22.5" customHeight="1">
      <c r="B4128" s="7"/>
      <c r="C4128" s="7"/>
      <c r="D4128" s="7"/>
      <c r="E4128" s="7"/>
      <c r="F4128" s="7"/>
      <c r="G4128" s="7"/>
      <c r="H4128" s="7">
        <f t="shared" si="1"/>
        <v>1029</v>
      </c>
    </row>
    <row r="4129" ht="22.5" customHeight="1">
      <c r="B4129" s="7"/>
      <c r="C4129" s="7"/>
      <c r="D4129" s="7"/>
      <c r="E4129" s="7"/>
      <c r="F4129" s="7"/>
      <c r="G4129" s="7"/>
      <c r="H4129" s="7">
        <f t="shared" si="1"/>
        <v>1029</v>
      </c>
    </row>
    <row r="4130" ht="22.5" customHeight="1">
      <c r="B4130" s="7"/>
      <c r="C4130" s="7"/>
      <c r="D4130" s="7"/>
      <c r="E4130" s="7"/>
      <c r="F4130" s="7"/>
      <c r="G4130" s="7"/>
      <c r="H4130" s="7">
        <f t="shared" si="1"/>
        <v>1029</v>
      </c>
    </row>
    <row r="4131" ht="22.5" customHeight="1">
      <c r="B4131" s="7"/>
      <c r="C4131" s="7"/>
      <c r="D4131" s="7"/>
      <c r="E4131" s="7"/>
      <c r="F4131" s="7"/>
      <c r="G4131" s="7"/>
      <c r="H4131" s="7">
        <f t="shared" si="1"/>
        <v>1029</v>
      </c>
    </row>
    <row r="4132" ht="22.5" customHeight="1">
      <c r="B4132" s="7"/>
      <c r="C4132" s="7"/>
      <c r="D4132" s="7"/>
      <c r="E4132" s="7"/>
      <c r="F4132" s="7"/>
      <c r="G4132" s="7"/>
      <c r="H4132" s="7">
        <f t="shared" si="1"/>
        <v>1029</v>
      </c>
    </row>
    <row r="4133" ht="22.5" customHeight="1">
      <c r="B4133" s="7"/>
      <c r="C4133" s="7"/>
      <c r="D4133" s="7"/>
      <c r="E4133" s="7"/>
      <c r="F4133" s="7"/>
      <c r="G4133" s="7"/>
      <c r="H4133" s="7">
        <f t="shared" si="1"/>
        <v>1029</v>
      </c>
    </row>
    <row r="4134" ht="22.5" customHeight="1">
      <c r="B4134" s="7"/>
      <c r="C4134" s="7"/>
      <c r="D4134" s="7"/>
      <c r="E4134" s="7"/>
      <c r="F4134" s="7"/>
      <c r="G4134" s="7"/>
      <c r="H4134" s="7">
        <f t="shared" si="1"/>
        <v>1029</v>
      </c>
    </row>
    <row r="4135" ht="22.5" customHeight="1">
      <c r="B4135" s="7"/>
      <c r="C4135" s="7"/>
      <c r="D4135" s="7"/>
      <c r="E4135" s="7"/>
      <c r="F4135" s="7"/>
      <c r="G4135" s="7"/>
      <c r="H4135" s="7">
        <f t="shared" si="1"/>
        <v>1029</v>
      </c>
    </row>
    <row r="4136" ht="22.5" customHeight="1">
      <c r="B4136" s="7"/>
      <c r="C4136" s="7"/>
      <c r="D4136" s="7"/>
      <c r="E4136" s="7"/>
      <c r="F4136" s="7"/>
      <c r="G4136" s="7"/>
      <c r="H4136" s="7">
        <f t="shared" si="1"/>
        <v>1029</v>
      </c>
    </row>
    <row r="4137" ht="22.5" customHeight="1">
      <c r="B4137" s="7"/>
      <c r="C4137" s="7"/>
      <c r="D4137" s="7"/>
      <c r="E4137" s="7"/>
      <c r="F4137" s="7"/>
      <c r="G4137" s="7"/>
      <c r="H4137" s="7">
        <f t="shared" si="1"/>
        <v>1029</v>
      </c>
    </row>
    <row r="4138" ht="22.5" customHeight="1">
      <c r="B4138" s="7"/>
      <c r="C4138" s="7"/>
      <c r="D4138" s="7"/>
      <c r="E4138" s="7"/>
      <c r="F4138" s="7"/>
      <c r="G4138" s="7"/>
      <c r="H4138" s="7">
        <f t="shared" si="1"/>
        <v>1029</v>
      </c>
    </row>
    <row r="4139" ht="22.5" customHeight="1">
      <c r="B4139" s="7"/>
      <c r="C4139" s="7"/>
      <c r="D4139" s="7"/>
      <c r="E4139" s="7"/>
      <c r="F4139" s="7"/>
      <c r="G4139" s="7"/>
      <c r="H4139" s="7">
        <f t="shared" si="1"/>
        <v>1029</v>
      </c>
    </row>
    <row r="4140" ht="22.5" customHeight="1">
      <c r="B4140" s="7"/>
      <c r="C4140" s="7"/>
      <c r="D4140" s="7"/>
      <c r="E4140" s="7"/>
      <c r="F4140" s="7"/>
      <c r="G4140" s="7"/>
      <c r="H4140" s="7">
        <f t="shared" si="1"/>
        <v>1029</v>
      </c>
    </row>
    <row r="4141" ht="22.5" customHeight="1">
      <c r="B4141" s="7"/>
      <c r="C4141" s="7"/>
      <c r="D4141" s="7"/>
      <c r="E4141" s="7"/>
      <c r="F4141" s="7"/>
      <c r="G4141" s="7"/>
      <c r="H4141" s="7">
        <f t="shared" si="1"/>
        <v>1029</v>
      </c>
    </row>
    <row r="4142" ht="22.5" customHeight="1">
      <c r="B4142" s="7"/>
      <c r="C4142" s="7"/>
      <c r="D4142" s="7"/>
      <c r="E4142" s="7"/>
      <c r="F4142" s="7"/>
      <c r="G4142" s="7"/>
      <c r="H4142" s="7">
        <f t="shared" si="1"/>
        <v>1029</v>
      </c>
    </row>
    <row r="4143" ht="22.5" customHeight="1">
      <c r="B4143" s="7"/>
      <c r="C4143" s="7"/>
      <c r="D4143" s="7"/>
      <c r="E4143" s="7"/>
      <c r="F4143" s="7"/>
      <c r="G4143" s="7"/>
      <c r="H4143" s="7">
        <f t="shared" si="1"/>
        <v>1029</v>
      </c>
    </row>
    <row r="4144" ht="22.5" customHeight="1">
      <c r="B4144" s="7"/>
      <c r="C4144" s="7"/>
      <c r="D4144" s="7"/>
      <c r="E4144" s="7"/>
      <c r="F4144" s="7"/>
      <c r="G4144" s="7"/>
      <c r="H4144" s="7">
        <f t="shared" si="1"/>
        <v>1029</v>
      </c>
    </row>
    <row r="4145" ht="22.5" customHeight="1">
      <c r="B4145" s="7"/>
      <c r="C4145" s="7"/>
      <c r="D4145" s="7"/>
      <c r="E4145" s="7"/>
      <c r="F4145" s="7"/>
      <c r="G4145" s="7"/>
      <c r="H4145" s="7">
        <f t="shared" si="1"/>
        <v>1029</v>
      </c>
    </row>
    <row r="4146" ht="22.5" customHeight="1">
      <c r="B4146" s="7"/>
      <c r="C4146" s="7"/>
      <c r="D4146" s="7"/>
      <c r="E4146" s="7"/>
      <c r="F4146" s="7"/>
      <c r="G4146" s="7"/>
      <c r="H4146" s="7">
        <f t="shared" si="1"/>
        <v>1029</v>
      </c>
    </row>
    <row r="4147" ht="22.5" customHeight="1">
      <c r="B4147" s="7"/>
      <c r="C4147" s="7"/>
      <c r="D4147" s="7"/>
      <c r="E4147" s="7"/>
      <c r="F4147" s="7"/>
      <c r="G4147" s="7"/>
      <c r="H4147" s="7">
        <f t="shared" si="1"/>
        <v>1029</v>
      </c>
    </row>
    <row r="4148" ht="22.5" customHeight="1">
      <c r="B4148" s="7"/>
      <c r="C4148" s="7"/>
      <c r="D4148" s="7"/>
      <c r="E4148" s="7"/>
      <c r="F4148" s="7"/>
      <c r="G4148" s="7"/>
      <c r="H4148" s="7">
        <f t="shared" si="1"/>
        <v>1029</v>
      </c>
    </row>
    <row r="4149" ht="22.5" customHeight="1">
      <c r="B4149" s="7"/>
      <c r="C4149" s="7"/>
      <c r="D4149" s="7"/>
      <c r="E4149" s="7"/>
      <c r="F4149" s="7"/>
      <c r="G4149" s="7"/>
      <c r="H4149" s="7">
        <f t="shared" si="1"/>
        <v>1029</v>
      </c>
    </row>
    <row r="4150" ht="22.5" customHeight="1">
      <c r="B4150" s="7"/>
      <c r="C4150" s="7"/>
      <c r="D4150" s="7"/>
      <c r="E4150" s="7"/>
      <c r="F4150" s="7"/>
      <c r="G4150" s="7"/>
      <c r="H4150" s="7">
        <f t="shared" si="1"/>
        <v>1029</v>
      </c>
    </row>
    <row r="4151" ht="22.5" customHeight="1">
      <c r="B4151" s="7"/>
      <c r="C4151" s="7"/>
      <c r="D4151" s="7"/>
      <c r="E4151" s="7"/>
      <c r="F4151" s="7"/>
      <c r="G4151" s="7"/>
      <c r="H4151" s="7">
        <f t="shared" si="1"/>
        <v>1029</v>
      </c>
    </row>
    <row r="4152" ht="22.5" customHeight="1">
      <c r="B4152" s="7"/>
      <c r="C4152" s="7"/>
      <c r="D4152" s="7"/>
      <c r="E4152" s="7"/>
      <c r="F4152" s="7"/>
      <c r="G4152" s="7"/>
      <c r="H4152" s="7">
        <f t="shared" si="1"/>
        <v>1029</v>
      </c>
    </row>
    <row r="4153" ht="22.5" customHeight="1">
      <c r="B4153" s="7"/>
      <c r="C4153" s="7"/>
      <c r="D4153" s="7"/>
      <c r="E4153" s="7"/>
      <c r="F4153" s="7"/>
      <c r="G4153" s="7"/>
      <c r="H4153" s="7">
        <f t="shared" si="1"/>
        <v>1029</v>
      </c>
    </row>
    <row r="4154" ht="22.5" customHeight="1">
      <c r="B4154" s="7"/>
      <c r="C4154" s="7"/>
      <c r="D4154" s="7"/>
      <c r="E4154" s="7"/>
      <c r="F4154" s="7"/>
      <c r="G4154" s="7"/>
      <c r="H4154" s="7">
        <f t="shared" si="1"/>
        <v>1029</v>
      </c>
    </row>
    <row r="4155" ht="22.5" customHeight="1">
      <c r="B4155" s="7"/>
      <c r="C4155" s="7"/>
      <c r="D4155" s="7"/>
      <c r="E4155" s="7"/>
      <c r="F4155" s="7"/>
      <c r="G4155" s="7"/>
      <c r="H4155" s="7">
        <f t="shared" si="1"/>
        <v>1029</v>
      </c>
    </row>
    <row r="4156" ht="22.5" customHeight="1">
      <c r="B4156" s="7"/>
      <c r="C4156" s="7"/>
      <c r="D4156" s="7"/>
      <c r="E4156" s="7"/>
      <c r="F4156" s="7"/>
      <c r="G4156" s="7"/>
      <c r="H4156" s="7">
        <f t="shared" si="1"/>
        <v>1029</v>
      </c>
    </row>
    <row r="4157" ht="22.5" customHeight="1">
      <c r="B4157" s="7"/>
      <c r="C4157" s="7"/>
      <c r="D4157" s="7"/>
      <c r="E4157" s="7"/>
      <c r="F4157" s="7"/>
      <c r="G4157" s="7"/>
      <c r="H4157" s="7">
        <f t="shared" si="1"/>
        <v>1029</v>
      </c>
    </row>
    <row r="4158" ht="22.5" customHeight="1">
      <c r="B4158" s="7"/>
      <c r="C4158" s="7"/>
      <c r="D4158" s="7"/>
      <c r="E4158" s="7"/>
      <c r="F4158" s="7"/>
      <c r="G4158" s="7"/>
      <c r="H4158" s="7">
        <f t="shared" si="1"/>
        <v>1029</v>
      </c>
    </row>
    <row r="4159" ht="22.5" customHeight="1">
      <c r="B4159" s="7"/>
      <c r="C4159" s="7"/>
      <c r="D4159" s="7"/>
      <c r="E4159" s="7"/>
      <c r="F4159" s="7"/>
      <c r="G4159" s="7"/>
      <c r="H4159" s="7">
        <f t="shared" si="1"/>
        <v>1029</v>
      </c>
    </row>
    <row r="4160" ht="22.5" customHeight="1">
      <c r="B4160" s="7"/>
      <c r="C4160" s="7"/>
      <c r="D4160" s="7"/>
      <c r="E4160" s="7"/>
      <c r="F4160" s="7"/>
      <c r="G4160" s="7"/>
      <c r="H4160" s="7">
        <f t="shared" si="1"/>
        <v>1029</v>
      </c>
    </row>
    <row r="4161" ht="22.5" customHeight="1">
      <c r="B4161" s="7"/>
      <c r="C4161" s="7"/>
      <c r="D4161" s="7"/>
      <c r="E4161" s="7"/>
      <c r="F4161" s="7"/>
      <c r="G4161" s="7"/>
      <c r="H4161" s="7">
        <f t="shared" si="1"/>
        <v>1029</v>
      </c>
    </row>
    <row r="4162" ht="22.5" customHeight="1">
      <c r="B4162" s="7"/>
      <c r="C4162" s="7"/>
      <c r="D4162" s="7"/>
      <c r="E4162" s="7"/>
      <c r="F4162" s="7"/>
      <c r="G4162" s="7"/>
      <c r="H4162" s="7">
        <f t="shared" si="1"/>
        <v>1029</v>
      </c>
    </row>
    <row r="4163" ht="22.5" customHeight="1">
      <c r="B4163" s="7"/>
      <c r="C4163" s="7"/>
      <c r="D4163" s="7"/>
      <c r="E4163" s="7"/>
      <c r="F4163" s="7"/>
      <c r="G4163" s="7"/>
      <c r="H4163" s="7">
        <f t="shared" si="1"/>
        <v>1029</v>
      </c>
    </row>
    <row r="4164" ht="22.5" customHeight="1">
      <c r="B4164" s="7"/>
      <c r="C4164" s="7"/>
      <c r="D4164" s="7"/>
      <c r="E4164" s="7"/>
      <c r="F4164" s="7"/>
      <c r="G4164" s="7"/>
      <c r="H4164" s="7">
        <f t="shared" si="1"/>
        <v>1029</v>
      </c>
    </row>
    <row r="4165" ht="22.5" customHeight="1">
      <c r="B4165" s="7"/>
      <c r="C4165" s="7"/>
      <c r="D4165" s="7"/>
      <c r="E4165" s="7"/>
      <c r="F4165" s="7"/>
      <c r="G4165" s="7"/>
      <c r="H4165" s="7">
        <f t="shared" si="1"/>
        <v>1029</v>
      </c>
    </row>
    <row r="4166" ht="22.5" customHeight="1">
      <c r="B4166" s="7"/>
      <c r="C4166" s="7"/>
      <c r="D4166" s="7"/>
      <c r="E4166" s="7"/>
      <c r="F4166" s="7"/>
      <c r="G4166" s="7"/>
      <c r="H4166" s="7">
        <f t="shared" si="1"/>
        <v>1029</v>
      </c>
    </row>
    <row r="4167" ht="22.5" customHeight="1">
      <c r="B4167" s="7"/>
      <c r="C4167" s="7"/>
      <c r="D4167" s="7"/>
      <c r="E4167" s="7"/>
      <c r="F4167" s="7"/>
      <c r="G4167" s="7"/>
      <c r="H4167" s="7">
        <f t="shared" si="1"/>
        <v>1029</v>
      </c>
    </row>
    <row r="4168" ht="22.5" customHeight="1">
      <c r="B4168" s="7"/>
      <c r="C4168" s="7"/>
      <c r="D4168" s="7"/>
      <c r="E4168" s="7"/>
      <c r="F4168" s="7"/>
      <c r="G4168" s="7"/>
      <c r="H4168" s="7">
        <f t="shared" si="1"/>
        <v>1029</v>
      </c>
    </row>
    <row r="4169" ht="22.5" customHeight="1">
      <c r="B4169" s="7"/>
      <c r="C4169" s="7"/>
      <c r="D4169" s="7"/>
      <c r="E4169" s="7"/>
      <c r="F4169" s="7"/>
      <c r="G4169" s="7"/>
      <c r="H4169" s="7">
        <f t="shared" si="1"/>
        <v>1029</v>
      </c>
    </row>
    <row r="4170" ht="22.5" customHeight="1">
      <c r="B4170" s="7"/>
      <c r="C4170" s="7"/>
      <c r="D4170" s="7"/>
      <c r="E4170" s="7"/>
      <c r="F4170" s="7"/>
      <c r="G4170" s="7"/>
      <c r="H4170" s="7">
        <f t="shared" si="1"/>
        <v>1029</v>
      </c>
    </row>
    <row r="4171" ht="22.5" customHeight="1">
      <c r="B4171" s="7"/>
      <c r="C4171" s="7"/>
      <c r="D4171" s="7"/>
      <c r="E4171" s="7"/>
      <c r="F4171" s="7"/>
      <c r="G4171" s="7"/>
      <c r="H4171" s="7">
        <f t="shared" si="1"/>
        <v>1029</v>
      </c>
    </row>
    <row r="4172" ht="22.5" customHeight="1">
      <c r="B4172" s="7"/>
      <c r="C4172" s="7"/>
      <c r="D4172" s="7"/>
      <c r="E4172" s="7"/>
      <c r="F4172" s="7"/>
      <c r="G4172" s="7"/>
      <c r="H4172" s="7">
        <f t="shared" si="1"/>
        <v>1029</v>
      </c>
    </row>
    <row r="4173" ht="22.5" customHeight="1">
      <c r="B4173" s="7"/>
      <c r="C4173" s="7"/>
      <c r="D4173" s="7"/>
      <c r="E4173" s="7"/>
      <c r="F4173" s="7"/>
      <c r="G4173" s="7"/>
      <c r="H4173" s="7">
        <f t="shared" si="1"/>
        <v>1029</v>
      </c>
    </row>
    <row r="4174" ht="22.5" customHeight="1">
      <c r="B4174" s="7"/>
      <c r="C4174" s="7"/>
      <c r="D4174" s="7"/>
      <c r="E4174" s="7"/>
      <c r="F4174" s="7"/>
      <c r="G4174" s="7"/>
      <c r="H4174" s="7">
        <f t="shared" si="1"/>
        <v>1029</v>
      </c>
    </row>
    <row r="4175" ht="22.5" customHeight="1">
      <c r="B4175" s="7"/>
      <c r="C4175" s="7"/>
      <c r="D4175" s="7"/>
      <c r="E4175" s="7"/>
      <c r="F4175" s="7"/>
      <c r="G4175" s="7"/>
      <c r="H4175" s="7">
        <f t="shared" si="1"/>
        <v>1029</v>
      </c>
    </row>
    <row r="4176" ht="22.5" customHeight="1">
      <c r="B4176" s="7"/>
      <c r="C4176" s="7"/>
      <c r="D4176" s="7"/>
      <c r="E4176" s="7"/>
      <c r="F4176" s="7"/>
      <c r="G4176" s="7"/>
      <c r="H4176" s="7">
        <f t="shared" si="1"/>
        <v>1029</v>
      </c>
    </row>
    <row r="4177" ht="22.5" customHeight="1">
      <c r="B4177" s="7"/>
      <c r="C4177" s="7"/>
      <c r="D4177" s="7"/>
      <c r="E4177" s="7"/>
      <c r="F4177" s="7"/>
      <c r="G4177" s="7"/>
      <c r="H4177" s="7">
        <f t="shared" si="1"/>
        <v>1029</v>
      </c>
    </row>
    <row r="4178" ht="22.5" customHeight="1">
      <c r="B4178" s="7"/>
      <c r="C4178" s="7"/>
      <c r="D4178" s="7"/>
      <c r="E4178" s="7"/>
      <c r="F4178" s="7"/>
      <c r="G4178" s="7"/>
      <c r="H4178" s="7">
        <f t="shared" si="1"/>
        <v>1029</v>
      </c>
    </row>
    <row r="4179" ht="22.5" customHeight="1">
      <c r="B4179" s="7"/>
      <c r="C4179" s="7"/>
      <c r="D4179" s="7"/>
      <c r="E4179" s="7"/>
      <c r="F4179" s="7"/>
      <c r="G4179" s="7"/>
      <c r="H4179" s="7">
        <f t="shared" si="1"/>
        <v>1029</v>
      </c>
    </row>
    <row r="4180" ht="22.5" customHeight="1">
      <c r="B4180" s="7"/>
      <c r="C4180" s="7"/>
      <c r="D4180" s="7"/>
      <c r="E4180" s="7"/>
      <c r="F4180" s="7"/>
      <c r="G4180" s="7"/>
      <c r="H4180" s="7">
        <f t="shared" si="1"/>
        <v>1029</v>
      </c>
    </row>
    <row r="4181" ht="22.5" customHeight="1">
      <c r="B4181" s="7"/>
      <c r="C4181" s="7"/>
      <c r="D4181" s="7"/>
      <c r="E4181" s="7"/>
      <c r="F4181" s="7"/>
      <c r="G4181" s="7"/>
      <c r="H4181" s="7">
        <f t="shared" si="1"/>
        <v>1029</v>
      </c>
    </row>
    <row r="4182" ht="22.5" customHeight="1">
      <c r="B4182" s="7"/>
      <c r="C4182" s="7"/>
      <c r="D4182" s="7"/>
      <c r="E4182" s="7"/>
      <c r="F4182" s="7"/>
      <c r="G4182" s="7"/>
      <c r="H4182" s="7">
        <f t="shared" si="1"/>
        <v>1029</v>
      </c>
    </row>
    <row r="4183" ht="22.5" customHeight="1">
      <c r="B4183" s="7"/>
      <c r="C4183" s="7"/>
      <c r="D4183" s="7"/>
      <c r="E4183" s="7"/>
      <c r="F4183" s="7"/>
      <c r="G4183" s="7"/>
      <c r="H4183" s="7">
        <f t="shared" si="1"/>
        <v>1029</v>
      </c>
    </row>
    <row r="4184" ht="22.5" customHeight="1">
      <c r="B4184" s="7"/>
      <c r="C4184" s="7"/>
      <c r="D4184" s="7"/>
      <c r="E4184" s="7"/>
      <c r="F4184" s="7"/>
      <c r="G4184" s="7"/>
      <c r="H4184" s="7">
        <f t="shared" si="1"/>
        <v>1029</v>
      </c>
    </row>
    <row r="4185" ht="22.5" customHeight="1">
      <c r="B4185" s="7"/>
      <c r="C4185" s="7"/>
      <c r="D4185" s="7"/>
      <c r="E4185" s="7"/>
      <c r="F4185" s="7"/>
      <c r="G4185" s="7"/>
      <c r="H4185" s="7">
        <f t="shared" si="1"/>
        <v>1029</v>
      </c>
    </row>
    <row r="4186" ht="22.5" customHeight="1">
      <c r="B4186" s="7"/>
      <c r="C4186" s="7"/>
      <c r="D4186" s="7"/>
      <c r="E4186" s="7"/>
      <c r="F4186" s="7"/>
      <c r="G4186" s="7"/>
      <c r="H4186" s="7">
        <f t="shared" si="1"/>
        <v>1029</v>
      </c>
    </row>
    <row r="4187" ht="22.5" customHeight="1">
      <c r="B4187" s="7"/>
      <c r="C4187" s="7"/>
      <c r="D4187" s="7"/>
      <c r="E4187" s="7"/>
      <c r="F4187" s="7"/>
      <c r="G4187" s="7"/>
      <c r="H4187" s="7">
        <f t="shared" si="1"/>
        <v>1029</v>
      </c>
    </row>
    <row r="4188" ht="22.5" customHeight="1">
      <c r="B4188" s="7"/>
      <c r="C4188" s="7"/>
      <c r="D4188" s="7"/>
      <c r="E4188" s="7"/>
      <c r="F4188" s="7"/>
      <c r="G4188" s="7"/>
      <c r="H4188" s="7">
        <f t="shared" si="1"/>
        <v>1029</v>
      </c>
    </row>
    <row r="4189" ht="22.5" customHeight="1">
      <c r="B4189" s="7"/>
      <c r="C4189" s="7"/>
      <c r="D4189" s="7"/>
      <c r="E4189" s="7"/>
      <c r="F4189" s="7"/>
      <c r="G4189" s="7"/>
      <c r="H4189" s="7">
        <f t="shared" si="1"/>
        <v>1029</v>
      </c>
    </row>
    <row r="4190" ht="22.5" customHeight="1">
      <c r="B4190" s="7"/>
      <c r="C4190" s="7"/>
      <c r="D4190" s="7"/>
      <c r="E4190" s="7"/>
      <c r="F4190" s="7"/>
      <c r="G4190" s="7"/>
      <c r="H4190" s="7">
        <f t="shared" si="1"/>
        <v>1029</v>
      </c>
    </row>
    <row r="4191" ht="22.5" customHeight="1">
      <c r="B4191" s="7"/>
      <c r="C4191" s="7"/>
      <c r="D4191" s="7"/>
      <c r="E4191" s="7"/>
      <c r="F4191" s="7"/>
      <c r="G4191" s="7"/>
      <c r="H4191" s="7">
        <f t="shared" si="1"/>
        <v>1029</v>
      </c>
    </row>
    <row r="4192" ht="22.5" customHeight="1">
      <c r="B4192" s="7"/>
      <c r="C4192" s="7"/>
      <c r="D4192" s="7"/>
      <c r="E4192" s="7"/>
      <c r="F4192" s="7"/>
      <c r="G4192" s="7"/>
      <c r="H4192" s="7">
        <f t="shared" si="1"/>
        <v>1029</v>
      </c>
    </row>
    <row r="4193" ht="22.5" customHeight="1">
      <c r="B4193" s="7"/>
      <c r="C4193" s="7"/>
      <c r="D4193" s="7"/>
      <c r="E4193" s="7"/>
      <c r="F4193" s="7"/>
      <c r="G4193" s="7"/>
      <c r="H4193" s="7">
        <f t="shared" si="1"/>
        <v>1029</v>
      </c>
    </row>
    <row r="4194" ht="22.5" customHeight="1">
      <c r="B4194" s="7"/>
      <c r="C4194" s="7"/>
      <c r="D4194" s="7"/>
      <c r="E4194" s="7"/>
      <c r="F4194" s="7"/>
      <c r="G4194" s="7"/>
      <c r="H4194" s="7">
        <f t="shared" si="1"/>
        <v>1029</v>
      </c>
    </row>
    <row r="4195" ht="22.5" customHeight="1">
      <c r="B4195" s="7"/>
      <c r="C4195" s="7"/>
      <c r="D4195" s="7"/>
      <c r="E4195" s="7"/>
      <c r="F4195" s="7"/>
      <c r="G4195" s="7"/>
      <c r="H4195" s="7">
        <f t="shared" si="1"/>
        <v>1029</v>
      </c>
    </row>
    <row r="4196" ht="22.5" customHeight="1">
      <c r="B4196" s="7"/>
      <c r="C4196" s="7"/>
      <c r="D4196" s="7"/>
      <c r="E4196" s="7"/>
      <c r="F4196" s="7"/>
      <c r="G4196" s="7"/>
      <c r="H4196" s="7">
        <f t="shared" si="1"/>
        <v>1029</v>
      </c>
    </row>
    <row r="4197" ht="22.5" customHeight="1">
      <c r="B4197" s="7"/>
      <c r="C4197" s="7"/>
      <c r="D4197" s="7"/>
      <c r="E4197" s="7"/>
      <c r="F4197" s="7"/>
      <c r="G4197" s="7"/>
      <c r="H4197" s="7">
        <f t="shared" si="1"/>
        <v>1029</v>
      </c>
    </row>
    <row r="4198" ht="22.5" customHeight="1">
      <c r="B4198" s="7"/>
      <c r="C4198" s="7"/>
      <c r="D4198" s="7"/>
      <c r="E4198" s="7"/>
      <c r="F4198" s="7"/>
      <c r="G4198" s="7"/>
      <c r="H4198" s="7">
        <f t="shared" si="1"/>
        <v>1029</v>
      </c>
    </row>
    <row r="4199" ht="22.5" customHeight="1">
      <c r="B4199" s="7"/>
      <c r="C4199" s="7"/>
      <c r="D4199" s="7"/>
      <c r="E4199" s="7"/>
      <c r="F4199" s="7"/>
      <c r="G4199" s="7"/>
      <c r="H4199" s="7">
        <f t="shared" si="1"/>
        <v>1029</v>
      </c>
    </row>
    <row r="4200" ht="22.5" customHeight="1">
      <c r="B4200" s="7"/>
      <c r="C4200" s="7"/>
      <c r="D4200" s="7"/>
      <c r="E4200" s="7"/>
      <c r="F4200" s="7"/>
      <c r="G4200" s="7"/>
      <c r="H4200" s="7">
        <f t="shared" si="1"/>
        <v>1029</v>
      </c>
    </row>
    <row r="4201" ht="22.5" customHeight="1">
      <c r="B4201" s="7"/>
      <c r="C4201" s="7"/>
      <c r="D4201" s="7"/>
      <c r="E4201" s="7"/>
      <c r="F4201" s="7"/>
      <c r="G4201" s="7"/>
      <c r="H4201" s="7">
        <f t="shared" si="1"/>
        <v>1029</v>
      </c>
    </row>
    <row r="4202" ht="22.5" customHeight="1">
      <c r="B4202" s="7"/>
      <c r="C4202" s="7"/>
      <c r="D4202" s="7"/>
      <c r="E4202" s="7"/>
      <c r="F4202" s="7"/>
      <c r="G4202" s="7"/>
      <c r="H4202" s="7">
        <f t="shared" si="1"/>
        <v>1029</v>
      </c>
    </row>
    <row r="4203" ht="22.5" customHeight="1">
      <c r="B4203" s="7"/>
      <c r="C4203" s="7"/>
      <c r="D4203" s="7"/>
      <c r="E4203" s="7"/>
      <c r="F4203" s="7"/>
      <c r="G4203" s="7"/>
      <c r="H4203" s="7">
        <f t="shared" si="1"/>
        <v>1029</v>
      </c>
    </row>
    <row r="4204" ht="22.5" customHeight="1">
      <c r="B4204" s="7"/>
      <c r="C4204" s="7"/>
      <c r="D4204" s="7"/>
      <c r="E4204" s="7"/>
      <c r="F4204" s="7"/>
      <c r="G4204" s="7"/>
      <c r="H4204" s="7">
        <f t="shared" si="1"/>
        <v>1029</v>
      </c>
    </row>
    <row r="4205" ht="22.5" customHeight="1">
      <c r="B4205" s="7"/>
      <c r="C4205" s="7"/>
      <c r="D4205" s="7"/>
      <c r="E4205" s="7"/>
      <c r="F4205" s="7"/>
      <c r="G4205" s="7"/>
      <c r="H4205" s="7">
        <f t="shared" si="1"/>
        <v>1029</v>
      </c>
    </row>
    <row r="4206" ht="22.5" customHeight="1">
      <c r="B4206" s="7"/>
      <c r="C4206" s="7"/>
      <c r="D4206" s="7"/>
      <c r="E4206" s="7"/>
      <c r="F4206" s="7"/>
      <c r="G4206" s="7"/>
      <c r="H4206" s="7">
        <f t="shared" si="1"/>
        <v>1029</v>
      </c>
    </row>
    <row r="4207" ht="22.5" customHeight="1">
      <c r="B4207" s="7"/>
      <c r="C4207" s="7"/>
      <c r="D4207" s="7"/>
      <c r="E4207" s="7"/>
      <c r="F4207" s="7"/>
      <c r="G4207" s="7"/>
      <c r="H4207" s="7">
        <f t="shared" si="1"/>
        <v>1029</v>
      </c>
    </row>
    <row r="4208" ht="22.5" customHeight="1">
      <c r="B4208" s="7"/>
      <c r="C4208" s="7"/>
      <c r="D4208" s="7"/>
      <c r="E4208" s="7"/>
      <c r="F4208" s="7"/>
      <c r="G4208" s="7"/>
      <c r="H4208" s="7">
        <f t="shared" si="1"/>
        <v>1029</v>
      </c>
    </row>
    <row r="4209" ht="22.5" customHeight="1">
      <c r="B4209" s="7"/>
      <c r="C4209" s="7"/>
      <c r="D4209" s="7"/>
      <c r="E4209" s="7"/>
      <c r="F4209" s="7"/>
      <c r="G4209" s="7"/>
      <c r="H4209" s="7">
        <f t="shared" si="1"/>
        <v>1029</v>
      </c>
    </row>
    <row r="4210" ht="22.5" customHeight="1">
      <c r="B4210" s="7"/>
      <c r="C4210" s="7"/>
      <c r="D4210" s="7"/>
      <c r="E4210" s="7"/>
      <c r="F4210" s="7"/>
      <c r="G4210" s="7"/>
      <c r="H4210" s="7">
        <f t="shared" si="1"/>
        <v>1029</v>
      </c>
    </row>
    <row r="4211" ht="22.5" customHeight="1">
      <c r="B4211" s="7"/>
      <c r="C4211" s="7"/>
      <c r="D4211" s="7"/>
      <c r="E4211" s="7"/>
      <c r="F4211" s="7"/>
      <c r="G4211" s="7"/>
      <c r="H4211" s="7">
        <f t="shared" si="1"/>
        <v>1029</v>
      </c>
    </row>
    <row r="4212" ht="22.5" customHeight="1">
      <c r="B4212" s="7"/>
      <c r="C4212" s="7"/>
      <c r="D4212" s="7"/>
      <c r="E4212" s="7"/>
      <c r="F4212" s="7"/>
      <c r="G4212" s="7"/>
      <c r="H4212" s="7">
        <f t="shared" si="1"/>
        <v>1029</v>
      </c>
    </row>
    <row r="4213" ht="22.5" customHeight="1">
      <c r="B4213" s="7"/>
      <c r="C4213" s="7"/>
      <c r="D4213" s="7"/>
      <c r="E4213" s="7"/>
      <c r="F4213" s="7"/>
      <c r="G4213" s="7"/>
      <c r="H4213" s="7">
        <f t="shared" si="1"/>
        <v>1029</v>
      </c>
    </row>
    <row r="4214" ht="22.5" customHeight="1">
      <c r="B4214" s="7"/>
      <c r="C4214" s="7"/>
      <c r="D4214" s="7"/>
      <c r="E4214" s="7"/>
      <c r="F4214" s="7"/>
      <c r="G4214" s="7"/>
      <c r="H4214" s="7">
        <f t="shared" si="1"/>
        <v>1029</v>
      </c>
    </row>
    <row r="4215" ht="22.5" customHeight="1">
      <c r="B4215" s="7"/>
      <c r="C4215" s="7"/>
      <c r="D4215" s="7"/>
      <c r="E4215" s="7"/>
      <c r="F4215" s="7"/>
      <c r="G4215" s="7"/>
      <c r="H4215" s="7">
        <f t="shared" si="1"/>
        <v>1029</v>
      </c>
    </row>
    <row r="4216" ht="22.5" customHeight="1">
      <c r="B4216" s="7"/>
      <c r="C4216" s="7"/>
      <c r="D4216" s="7"/>
      <c r="E4216" s="7"/>
      <c r="F4216" s="7"/>
      <c r="G4216" s="7"/>
      <c r="H4216" s="7">
        <f t="shared" si="1"/>
        <v>1029</v>
      </c>
    </row>
    <row r="4217" ht="22.5" customHeight="1">
      <c r="B4217" s="7"/>
      <c r="C4217" s="7"/>
      <c r="D4217" s="7"/>
      <c r="E4217" s="7"/>
      <c r="F4217" s="7"/>
      <c r="G4217" s="7"/>
      <c r="H4217" s="7">
        <f t="shared" si="1"/>
        <v>1029</v>
      </c>
    </row>
    <row r="4218" ht="22.5" customHeight="1">
      <c r="B4218" s="7"/>
      <c r="C4218" s="7"/>
      <c r="D4218" s="7"/>
      <c r="E4218" s="7"/>
      <c r="F4218" s="7"/>
      <c r="G4218" s="7"/>
      <c r="H4218" s="7">
        <f t="shared" si="1"/>
        <v>1029</v>
      </c>
    </row>
    <row r="4219" ht="22.5" customHeight="1">
      <c r="B4219" s="7"/>
      <c r="C4219" s="7"/>
      <c r="D4219" s="7"/>
      <c r="E4219" s="7"/>
      <c r="F4219" s="7"/>
      <c r="G4219" s="7"/>
      <c r="H4219" s="7">
        <f t="shared" si="1"/>
        <v>1029</v>
      </c>
    </row>
    <row r="4220" ht="22.5" customHeight="1">
      <c r="B4220" s="7"/>
      <c r="C4220" s="7"/>
      <c r="D4220" s="7"/>
      <c r="E4220" s="7"/>
      <c r="F4220" s="7"/>
      <c r="G4220" s="7"/>
      <c r="H4220" s="7">
        <f t="shared" si="1"/>
        <v>1029</v>
      </c>
    </row>
    <row r="4221" ht="22.5" customHeight="1">
      <c r="B4221" s="7"/>
      <c r="C4221" s="7"/>
      <c r="D4221" s="7"/>
      <c r="E4221" s="7"/>
      <c r="F4221" s="7"/>
      <c r="G4221" s="7"/>
      <c r="H4221" s="7">
        <f t="shared" si="1"/>
        <v>1029</v>
      </c>
    </row>
    <row r="4222" ht="22.5" customHeight="1">
      <c r="B4222" s="7"/>
      <c r="C4222" s="7"/>
      <c r="D4222" s="7"/>
      <c r="E4222" s="7"/>
      <c r="F4222" s="7"/>
      <c r="G4222" s="7"/>
      <c r="H4222" s="7">
        <f t="shared" si="1"/>
        <v>1029</v>
      </c>
    </row>
    <row r="4223" ht="22.5" customHeight="1">
      <c r="B4223" s="7"/>
      <c r="C4223" s="7"/>
      <c r="D4223" s="7"/>
      <c r="E4223" s="7"/>
      <c r="F4223" s="7"/>
      <c r="G4223" s="7"/>
      <c r="H4223" s="7">
        <f t="shared" si="1"/>
        <v>1029</v>
      </c>
    </row>
    <row r="4224" ht="22.5" customHeight="1">
      <c r="B4224" s="7"/>
      <c r="C4224" s="7"/>
      <c r="D4224" s="7"/>
      <c r="E4224" s="7"/>
      <c r="F4224" s="7"/>
      <c r="G4224" s="7"/>
      <c r="H4224" s="7">
        <f t="shared" si="1"/>
        <v>1029</v>
      </c>
    </row>
    <row r="4225" ht="22.5" customHeight="1">
      <c r="B4225" s="7"/>
      <c r="C4225" s="7"/>
      <c r="D4225" s="7"/>
      <c r="E4225" s="7"/>
      <c r="F4225" s="7"/>
      <c r="G4225" s="7"/>
      <c r="H4225" s="7">
        <f t="shared" si="1"/>
        <v>1029</v>
      </c>
    </row>
    <row r="4226" ht="22.5" customHeight="1">
      <c r="B4226" s="7"/>
      <c r="C4226" s="7"/>
      <c r="D4226" s="7"/>
      <c r="E4226" s="7"/>
      <c r="F4226" s="7"/>
      <c r="G4226" s="7"/>
      <c r="H4226" s="7">
        <f t="shared" si="1"/>
        <v>1029</v>
      </c>
    </row>
    <row r="4227" ht="22.5" customHeight="1">
      <c r="B4227" s="7"/>
      <c r="C4227" s="7"/>
      <c r="D4227" s="7"/>
      <c r="E4227" s="7"/>
      <c r="F4227" s="7"/>
      <c r="G4227" s="7"/>
      <c r="H4227" s="7">
        <f t="shared" si="1"/>
        <v>1029</v>
      </c>
    </row>
    <row r="4228" ht="22.5" customHeight="1">
      <c r="B4228" s="7"/>
      <c r="C4228" s="7"/>
      <c r="D4228" s="7"/>
      <c r="E4228" s="7"/>
      <c r="F4228" s="7"/>
      <c r="G4228" s="7"/>
      <c r="H4228" s="7">
        <f t="shared" si="1"/>
        <v>1029</v>
      </c>
    </row>
    <row r="4229" ht="22.5" customHeight="1">
      <c r="B4229" s="7"/>
      <c r="C4229" s="7"/>
      <c r="D4229" s="7"/>
      <c r="E4229" s="7"/>
      <c r="F4229" s="7"/>
      <c r="G4229" s="7"/>
      <c r="H4229" s="7">
        <f t="shared" si="1"/>
        <v>1029</v>
      </c>
    </row>
    <row r="4230" ht="22.5" customHeight="1">
      <c r="B4230" s="7"/>
      <c r="C4230" s="7"/>
      <c r="D4230" s="7"/>
      <c r="E4230" s="7"/>
      <c r="F4230" s="7"/>
      <c r="G4230" s="7"/>
      <c r="H4230" s="7">
        <f t="shared" si="1"/>
        <v>1029</v>
      </c>
    </row>
    <row r="4231" ht="22.5" customHeight="1">
      <c r="B4231" s="7"/>
      <c r="C4231" s="7"/>
      <c r="D4231" s="7"/>
      <c r="E4231" s="7"/>
      <c r="F4231" s="7"/>
      <c r="G4231" s="7"/>
      <c r="H4231" s="7">
        <f t="shared" si="1"/>
        <v>1029</v>
      </c>
    </row>
    <row r="4232" ht="22.5" customHeight="1">
      <c r="B4232" s="7"/>
      <c r="C4232" s="7"/>
      <c r="D4232" s="7"/>
      <c r="E4232" s="7"/>
      <c r="F4232" s="7"/>
      <c r="G4232" s="7"/>
      <c r="H4232" s="7">
        <f t="shared" si="1"/>
        <v>1029</v>
      </c>
    </row>
    <row r="4233" ht="22.5" customHeight="1">
      <c r="B4233" s="7"/>
      <c r="C4233" s="7"/>
      <c r="D4233" s="7"/>
      <c r="E4233" s="7"/>
      <c r="F4233" s="7"/>
      <c r="G4233" s="7"/>
      <c r="H4233" s="7">
        <f t="shared" si="1"/>
        <v>1029</v>
      </c>
    </row>
    <row r="4234" ht="22.5" customHeight="1">
      <c r="B4234" s="7"/>
      <c r="C4234" s="7"/>
      <c r="D4234" s="7"/>
      <c r="E4234" s="7"/>
      <c r="F4234" s="7"/>
      <c r="G4234" s="7"/>
      <c r="H4234" s="7">
        <f t="shared" si="1"/>
        <v>1029</v>
      </c>
    </row>
    <row r="4235" ht="22.5" customHeight="1">
      <c r="B4235" s="7"/>
      <c r="C4235" s="7"/>
      <c r="D4235" s="7"/>
      <c r="E4235" s="7"/>
      <c r="F4235" s="7"/>
      <c r="G4235" s="7"/>
      <c r="H4235" s="7">
        <f t="shared" si="1"/>
        <v>1029</v>
      </c>
    </row>
    <row r="4236" ht="22.5" customHeight="1">
      <c r="B4236" s="7"/>
      <c r="C4236" s="7"/>
      <c r="D4236" s="7"/>
      <c r="E4236" s="7"/>
      <c r="F4236" s="7"/>
      <c r="G4236" s="7"/>
      <c r="H4236" s="7">
        <f t="shared" si="1"/>
        <v>1029</v>
      </c>
    </row>
    <row r="4237" ht="22.5" customHeight="1">
      <c r="B4237" s="7"/>
      <c r="C4237" s="7"/>
      <c r="D4237" s="7"/>
      <c r="E4237" s="7"/>
      <c r="F4237" s="7"/>
      <c r="G4237" s="7"/>
      <c r="H4237" s="7">
        <f t="shared" si="1"/>
        <v>1029</v>
      </c>
    </row>
    <row r="4238" ht="22.5" customHeight="1">
      <c r="B4238" s="7"/>
      <c r="C4238" s="7"/>
      <c r="D4238" s="7"/>
      <c r="E4238" s="7"/>
      <c r="F4238" s="7"/>
      <c r="G4238" s="7"/>
      <c r="H4238" s="7">
        <f t="shared" si="1"/>
        <v>1029</v>
      </c>
    </row>
    <row r="4239" ht="22.5" customHeight="1">
      <c r="B4239" s="7"/>
      <c r="C4239" s="7"/>
      <c r="D4239" s="7"/>
      <c r="E4239" s="7"/>
      <c r="F4239" s="7"/>
      <c r="G4239" s="7"/>
      <c r="H4239" s="7">
        <f t="shared" si="1"/>
        <v>1029</v>
      </c>
    </row>
    <row r="4240" ht="22.5" customHeight="1">
      <c r="B4240" s="7"/>
      <c r="C4240" s="7"/>
      <c r="D4240" s="7"/>
      <c r="E4240" s="7"/>
      <c r="F4240" s="7"/>
      <c r="G4240" s="7"/>
      <c r="H4240" s="7">
        <f t="shared" si="1"/>
        <v>1029</v>
      </c>
    </row>
    <row r="4241" ht="22.5" customHeight="1">
      <c r="B4241" s="7"/>
      <c r="C4241" s="7"/>
      <c r="D4241" s="7"/>
      <c r="E4241" s="7"/>
      <c r="F4241" s="7"/>
      <c r="G4241" s="7"/>
      <c r="H4241" s="7">
        <f t="shared" si="1"/>
        <v>1029</v>
      </c>
    </row>
    <row r="4242" ht="22.5" customHeight="1">
      <c r="B4242" s="7"/>
      <c r="C4242" s="7"/>
      <c r="D4242" s="7"/>
      <c r="E4242" s="7"/>
      <c r="F4242" s="7"/>
      <c r="G4242" s="7"/>
      <c r="H4242" s="7">
        <f t="shared" si="1"/>
        <v>1029</v>
      </c>
    </row>
    <row r="4243" ht="22.5" customHeight="1">
      <c r="B4243" s="7"/>
      <c r="C4243" s="7"/>
      <c r="D4243" s="7"/>
      <c r="E4243" s="7"/>
      <c r="F4243" s="7"/>
      <c r="G4243" s="7"/>
      <c r="H4243" s="7">
        <f t="shared" si="1"/>
        <v>1029</v>
      </c>
    </row>
    <row r="4244" ht="22.5" customHeight="1">
      <c r="B4244" s="7"/>
      <c r="C4244" s="7"/>
      <c r="D4244" s="7"/>
      <c r="E4244" s="7"/>
      <c r="F4244" s="7"/>
      <c r="G4244" s="7"/>
      <c r="H4244" s="7">
        <f t="shared" si="1"/>
        <v>1029</v>
      </c>
    </row>
    <row r="4245" ht="22.5" customHeight="1">
      <c r="B4245" s="7"/>
      <c r="C4245" s="7"/>
      <c r="D4245" s="7"/>
      <c r="E4245" s="7"/>
      <c r="F4245" s="7"/>
      <c r="G4245" s="7"/>
      <c r="H4245" s="7">
        <f t="shared" si="1"/>
        <v>1029</v>
      </c>
    </row>
    <row r="4246" ht="22.5" customHeight="1">
      <c r="B4246" s="7"/>
      <c r="C4246" s="7"/>
      <c r="D4246" s="7"/>
      <c r="E4246" s="7"/>
      <c r="F4246" s="7"/>
      <c r="G4246" s="7"/>
      <c r="H4246" s="7">
        <f t="shared" si="1"/>
        <v>1029</v>
      </c>
    </row>
    <row r="4247" ht="22.5" customHeight="1">
      <c r="B4247" s="7"/>
      <c r="C4247" s="7"/>
      <c r="D4247" s="7"/>
      <c r="E4247" s="7"/>
      <c r="F4247" s="7"/>
      <c r="G4247" s="7"/>
      <c r="H4247" s="7">
        <f t="shared" si="1"/>
        <v>1029</v>
      </c>
    </row>
    <row r="4248" ht="22.5" customHeight="1">
      <c r="B4248" s="7"/>
      <c r="C4248" s="7"/>
      <c r="D4248" s="7"/>
      <c r="E4248" s="7"/>
      <c r="F4248" s="7"/>
      <c r="G4248" s="7"/>
      <c r="H4248" s="7">
        <f t="shared" si="1"/>
        <v>1029</v>
      </c>
    </row>
    <row r="4249" ht="22.5" customHeight="1">
      <c r="B4249" s="7"/>
      <c r="C4249" s="7"/>
      <c r="D4249" s="7"/>
      <c r="E4249" s="7"/>
      <c r="F4249" s="7"/>
      <c r="G4249" s="7"/>
      <c r="H4249" s="7">
        <f t="shared" si="1"/>
        <v>1029</v>
      </c>
    </row>
    <row r="4250" ht="22.5" customHeight="1">
      <c r="B4250" s="7"/>
      <c r="C4250" s="7"/>
      <c r="D4250" s="7"/>
      <c r="E4250" s="7"/>
      <c r="F4250" s="7"/>
      <c r="G4250" s="7"/>
      <c r="H4250" s="7">
        <f t="shared" si="1"/>
        <v>1029</v>
      </c>
    </row>
    <row r="4251" ht="22.5" customHeight="1">
      <c r="B4251" s="7"/>
      <c r="C4251" s="7"/>
      <c r="D4251" s="7"/>
      <c r="E4251" s="7"/>
      <c r="F4251" s="7"/>
      <c r="G4251" s="7"/>
      <c r="H4251" s="7">
        <f t="shared" si="1"/>
        <v>1029</v>
      </c>
    </row>
    <row r="4252" ht="22.5" customHeight="1">
      <c r="B4252" s="7"/>
      <c r="C4252" s="7"/>
      <c r="D4252" s="7"/>
      <c r="E4252" s="7"/>
      <c r="F4252" s="7"/>
      <c r="G4252" s="7"/>
      <c r="H4252" s="7">
        <f t="shared" si="1"/>
        <v>1029</v>
      </c>
    </row>
    <row r="4253" ht="22.5" customHeight="1">
      <c r="B4253" s="7"/>
      <c r="C4253" s="7"/>
      <c r="D4253" s="7"/>
      <c r="E4253" s="7"/>
      <c r="F4253" s="7"/>
      <c r="G4253" s="7"/>
      <c r="H4253" s="7">
        <f t="shared" si="1"/>
        <v>1029</v>
      </c>
    </row>
    <row r="4254" ht="22.5" customHeight="1">
      <c r="B4254" s="7"/>
      <c r="C4254" s="7"/>
      <c r="D4254" s="7"/>
      <c r="E4254" s="7"/>
      <c r="F4254" s="7"/>
      <c r="G4254" s="7"/>
      <c r="H4254" s="7">
        <f t="shared" si="1"/>
        <v>1029</v>
      </c>
    </row>
    <row r="4255" ht="22.5" customHeight="1">
      <c r="B4255" s="7"/>
      <c r="C4255" s="7"/>
      <c r="D4255" s="7"/>
      <c r="E4255" s="7"/>
      <c r="F4255" s="7"/>
      <c r="G4255" s="7"/>
      <c r="H4255" s="7">
        <f t="shared" si="1"/>
        <v>1029</v>
      </c>
    </row>
    <row r="4256" ht="22.5" customHeight="1">
      <c r="B4256" s="7"/>
      <c r="C4256" s="7"/>
      <c r="D4256" s="7"/>
      <c r="E4256" s="7"/>
      <c r="F4256" s="7"/>
      <c r="G4256" s="7"/>
      <c r="H4256" s="7">
        <f t="shared" si="1"/>
        <v>1029</v>
      </c>
    </row>
    <row r="4257" ht="22.5" customHeight="1">
      <c r="B4257" s="7"/>
      <c r="C4257" s="7"/>
      <c r="D4257" s="7"/>
      <c r="E4257" s="7"/>
      <c r="F4257" s="7"/>
      <c r="G4257" s="7"/>
      <c r="H4257" s="7">
        <f t="shared" si="1"/>
        <v>1029</v>
      </c>
    </row>
    <row r="4258" ht="22.5" customHeight="1">
      <c r="B4258" s="7"/>
      <c r="C4258" s="7"/>
      <c r="D4258" s="7"/>
      <c r="E4258" s="7"/>
      <c r="F4258" s="7"/>
      <c r="G4258" s="7"/>
      <c r="H4258" s="7">
        <f t="shared" si="1"/>
        <v>1029</v>
      </c>
    </row>
    <row r="4259" ht="22.5" customHeight="1">
      <c r="B4259" s="7"/>
      <c r="C4259" s="7"/>
      <c r="D4259" s="7"/>
      <c r="E4259" s="7"/>
      <c r="F4259" s="7"/>
      <c r="G4259" s="7"/>
      <c r="H4259" s="7">
        <f t="shared" si="1"/>
        <v>1029</v>
      </c>
    </row>
    <row r="4260" ht="22.5" customHeight="1">
      <c r="B4260" s="7"/>
      <c r="C4260" s="7"/>
      <c r="D4260" s="7"/>
      <c r="E4260" s="7"/>
      <c r="F4260" s="7"/>
      <c r="G4260" s="7"/>
      <c r="H4260" s="7">
        <f t="shared" si="1"/>
        <v>1029</v>
      </c>
    </row>
    <row r="4261" ht="22.5" customHeight="1">
      <c r="B4261" s="7"/>
      <c r="C4261" s="7"/>
      <c r="D4261" s="7"/>
      <c r="E4261" s="7"/>
      <c r="F4261" s="7"/>
      <c r="G4261" s="7"/>
      <c r="H4261" s="7">
        <f t="shared" si="1"/>
        <v>1029</v>
      </c>
    </row>
    <row r="4262" ht="22.5" customHeight="1">
      <c r="B4262" s="7"/>
      <c r="C4262" s="7"/>
      <c r="D4262" s="7"/>
      <c r="E4262" s="7"/>
      <c r="F4262" s="7"/>
      <c r="G4262" s="7"/>
      <c r="H4262" s="7">
        <f t="shared" si="1"/>
        <v>1029</v>
      </c>
    </row>
    <row r="4263" ht="22.5" customHeight="1">
      <c r="B4263" s="7"/>
      <c r="C4263" s="7"/>
      <c r="D4263" s="7"/>
      <c r="E4263" s="7"/>
      <c r="F4263" s="7"/>
      <c r="G4263" s="7"/>
      <c r="H4263" s="7">
        <f t="shared" si="1"/>
        <v>1029</v>
      </c>
    </row>
    <row r="4264" ht="22.5" customHeight="1">
      <c r="B4264" s="7"/>
      <c r="C4264" s="7"/>
      <c r="D4264" s="7"/>
      <c r="E4264" s="7"/>
      <c r="F4264" s="7"/>
      <c r="G4264" s="7"/>
      <c r="H4264" s="7">
        <f t="shared" si="1"/>
        <v>1029</v>
      </c>
    </row>
    <row r="4265" ht="22.5" customHeight="1">
      <c r="B4265" s="7"/>
      <c r="C4265" s="7"/>
      <c r="D4265" s="7"/>
      <c r="E4265" s="7"/>
      <c r="F4265" s="7"/>
      <c r="G4265" s="7"/>
      <c r="H4265" s="7">
        <f t="shared" si="1"/>
        <v>1029</v>
      </c>
    </row>
    <row r="4266" ht="22.5" customHeight="1">
      <c r="B4266" s="7"/>
      <c r="C4266" s="7"/>
      <c r="D4266" s="7"/>
      <c r="E4266" s="7"/>
      <c r="F4266" s="7"/>
      <c r="G4266" s="7"/>
      <c r="H4266" s="7">
        <f t="shared" si="1"/>
        <v>1029</v>
      </c>
    </row>
    <row r="4267" ht="22.5" customHeight="1">
      <c r="B4267" s="7"/>
      <c r="C4267" s="7"/>
      <c r="D4267" s="7"/>
      <c r="E4267" s="7"/>
      <c r="F4267" s="7"/>
      <c r="G4267" s="7"/>
      <c r="H4267" s="7">
        <f t="shared" si="1"/>
        <v>1029</v>
      </c>
    </row>
    <row r="4268" ht="22.5" customHeight="1">
      <c r="B4268" s="7"/>
      <c r="C4268" s="7"/>
      <c r="D4268" s="7"/>
      <c r="E4268" s="7"/>
      <c r="F4268" s="7"/>
      <c r="G4268" s="7"/>
      <c r="H4268" s="7">
        <f t="shared" si="1"/>
        <v>1029</v>
      </c>
    </row>
    <row r="4269" ht="22.5" customHeight="1">
      <c r="B4269" s="7"/>
      <c r="C4269" s="7"/>
      <c r="D4269" s="7"/>
      <c r="E4269" s="7"/>
      <c r="F4269" s="7"/>
      <c r="G4269" s="7"/>
      <c r="H4269" s="7">
        <f t="shared" si="1"/>
        <v>1029</v>
      </c>
    </row>
    <row r="4270" ht="22.5" customHeight="1">
      <c r="B4270" s="7"/>
      <c r="C4270" s="7"/>
      <c r="D4270" s="7"/>
      <c r="E4270" s="7"/>
      <c r="F4270" s="7"/>
      <c r="G4270" s="7"/>
      <c r="H4270" s="7">
        <f t="shared" si="1"/>
        <v>1029</v>
      </c>
    </row>
    <row r="4271" ht="22.5" customHeight="1">
      <c r="B4271" s="7"/>
      <c r="C4271" s="7"/>
      <c r="D4271" s="7"/>
      <c r="E4271" s="7"/>
      <c r="F4271" s="7"/>
      <c r="G4271" s="7"/>
      <c r="H4271" s="7">
        <f t="shared" si="1"/>
        <v>1029</v>
      </c>
    </row>
    <row r="4272" ht="22.5" customHeight="1">
      <c r="B4272" s="7"/>
      <c r="C4272" s="7"/>
      <c r="D4272" s="7"/>
      <c r="E4272" s="7"/>
      <c r="F4272" s="7"/>
      <c r="G4272" s="7"/>
      <c r="H4272" s="7">
        <f t="shared" si="1"/>
        <v>1029</v>
      </c>
    </row>
    <row r="4273" ht="22.5" customHeight="1">
      <c r="B4273" s="7"/>
      <c r="C4273" s="7"/>
      <c r="D4273" s="7"/>
      <c r="E4273" s="7"/>
      <c r="F4273" s="7"/>
      <c r="G4273" s="7"/>
      <c r="H4273" s="7">
        <f t="shared" si="1"/>
        <v>1029</v>
      </c>
    </row>
    <row r="4274" ht="22.5" customHeight="1">
      <c r="B4274" s="7"/>
      <c r="C4274" s="7"/>
      <c r="D4274" s="7"/>
      <c r="E4274" s="7"/>
      <c r="F4274" s="7"/>
      <c r="G4274" s="7"/>
      <c r="H4274" s="7">
        <f t="shared" si="1"/>
        <v>1029</v>
      </c>
    </row>
    <row r="4275" ht="22.5" customHeight="1">
      <c r="B4275" s="7"/>
      <c r="C4275" s="7"/>
      <c r="D4275" s="7"/>
      <c r="E4275" s="7"/>
      <c r="F4275" s="7"/>
      <c r="G4275" s="7"/>
      <c r="H4275" s="7">
        <f t="shared" si="1"/>
        <v>1029</v>
      </c>
    </row>
    <row r="4276" ht="22.5" customHeight="1">
      <c r="B4276" s="7"/>
      <c r="C4276" s="7"/>
      <c r="D4276" s="7"/>
      <c r="E4276" s="7"/>
      <c r="F4276" s="7"/>
      <c r="G4276" s="7"/>
      <c r="H4276" s="7">
        <f t="shared" si="1"/>
        <v>1029</v>
      </c>
    </row>
    <row r="4277" ht="22.5" customHeight="1">
      <c r="B4277" s="7"/>
      <c r="C4277" s="7"/>
      <c r="D4277" s="7"/>
      <c r="E4277" s="7"/>
      <c r="F4277" s="7"/>
      <c r="G4277" s="7"/>
      <c r="H4277" s="7">
        <f t="shared" si="1"/>
        <v>1029</v>
      </c>
    </row>
    <row r="4278" ht="22.5" customHeight="1">
      <c r="B4278" s="7"/>
      <c r="C4278" s="7"/>
      <c r="D4278" s="7"/>
      <c r="E4278" s="7"/>
      <c r="F4278" s="7"/>
      <c r="G4278" s="7"/>
      <c r="H4278" s="7">
        <f t="shared" si="1"/>
        <v>1029</v>
      </c>
    </row>
    <row r="4279" ht="22.5" customHeight="1">
      <c r="B4279" s="7"/>
      <c r="C4279" s="7"/>
      <c r="D4279" s="7"/>
      <c r="E4279" s="7"/>
      <c r="F4279" s="7"/>
      <c r="G4279" s="7"/>
      <c r="H4279" s="7">
        <f t="shared" si="1"/>
        <v>1029</v>
      </c>
    </row>
    <row r="4280" ht="22.5" customHeight="1">
      <c r="B4280" s="7"/>
      <c r="C4280" s="7"/>
      <c r="D4280" s="7"/>
      <c r="E4280" s="7"/>
      <c r="F4280" s="7"/>
      <c r="G4280" s="7"/>
      <c r="H4280" s="7">
        <f t="shared" si="1"/>
        <v>1029</v>
      </c>
    </row>
    <row r="4281" ht="22.5" customHeight="1">
      <c r="B4281" s="7"/>
      <c r="C4281" s="7"/>
      <c r="D4281" s="7"/>
      <c r="E4281" s="7"/>
      <c r="F4281" s="7"/>
      <c r="G4281" s="7"/>
      <c r="H4281" s="7">
        <f t="shared" si="1"/>
        <v>1029</v>
      </c>
    </row>
    <row r="4282" ht="22.5" customHeight="1">
      <c r="B4282" s="7"/>
      <c r="C4282" s="7"/>
      <c r="D4282" s="7"/>
      <c r="E4282" s="7"/>
      <c r="F4282" s="7"/>
      <c r="G4282" s="7"/>
      <c r="H4282" s="7">
        <f t="shared" si="1"/>
        <v>1029</v>
      </c>
    </row>
    <row r="4283" ht="22.5" customHeight="1">
      <c r="B4283" s="7"/>
      <c r="C4283" s="7"/>
      <c r="D4283" s="7"/>
      <c r="E4283" s="7"/>
      <c r="F4283" s="7"/>
      <c r="G4283" s="7"/>
      <c r="H4283" s="7">
        <f t="shared" si="1"/>
        <v>1029</v>
      </c>
    </row>
    <row r="4284" ht="22.5" customHeight="1">
      <c r="B4284" s="7"/>
      <c r="C4284" s="7"/>
      <c r="D4284" s="7"/>
      <c r="E4284" s="7"/>
      <c r="F4284" s="7"/>
      <c r="G4284" s="7"/>
      <c r="H4284" s="7">
        <f t="shared" si="1"/>
        <v>1029</v>
      </c>
    </row>
    <row r="4285" ht="22.5" customHeight="1">
      <c r="B4285" s="7"/>
      <c r="C4285" s="7"/>
      <c r="D4285" s="7"/>
      <c r="E4285" s="7"/>
      <c r="F4285" s="7"/>
      <c r="G4285" s="7"/>
      <c r="H4285" s="7">
        <f t="shared" si="1"/>
        <v>1029</v>
      </c>
    </row>
    <row r="4286" ht="22.5" customHeight="1">
      <c r="B4286" s="7"/>
      <c r="C4286" s="7"/>
      <c r="D4286" s="7"/>
      <c r="E4286" s="7"/>
      <c r="F4286" s="7"/>
      <c r="G4286" s="7"/>
      <c r="H4286" s="7">
        <f t="shared" si="1"/>
        <v>1029</v>
      </c>
    </row>
    <row r="4287" ht="22.5" customHeight="1">
      <c r="B4287" s="7"/>
      <c r="C4287" s="7"/>
      <c r="D4287" s="7"/>
      <c r="E4287" s="7"/>
      <c r="F4287" s="7"/>
      <c r="G4287" s="7"/>
      <c r="H4287" s="7">
        <f t="shared" si="1"/>
        <v>1029</v>
      </c>
    </row>
    <row r="4288" ht="22.5" customHeight="1">
      <c r="B4288" s="7"/>
      <c r="C4288" s="7"/>
      <c r="D4288" s="7"/>
      <c r="E4288" s="7"/>
      <c r="F4288" s="7"/>
      <c r="G4288" s="7"/>
      <c r="H4288" s="7">
        <f t="shared" si="1"/>
        <v>1029</v>
      </c>
    </row>
    <row r="4289" ht="22.5" customHeight="1">
      <c r="B4289" s="7"/>
      <c r="C4289" s="7"/>
      <c r="D4289" s="7"/>
      <c r="E4289" s="7"/>
      <c r="F4289" s="7"/>
      <c r="G4289" s="7"/>
      <c r="H4289" s="7">
        <f t="shared" si="1"/>
        <v>1029</v>
      </c>
    </row>
    <row r="4290" ht="22.5" customHeight="1">
      <c r="B4290" s="7"/>
      <c r="C4290" s="7"/>
      <c r="D4290" s="7"/>
      <c r="E4290" s="7"/>
      <c r="F4290" s="7"/>
      <c r="G4290" s="7"/>
      <c r="H4290" s="7">
        <f t="shared" si="1"/>
        <v>1029</v>
      </c>
    </row>
    <row r="4291" ht="22.5" customHeight="1">
      <c r="B4291" s="7"/>
      <c r="C4291" s="7"/>
      <c r="D4291" s="7"/>
      <c r="E4291" s="7"/>
      <c r="F4291" s="7"/>
      <c r="G4291" s="7"/>
      <c r="H4291" s="7">
        <f t="shared" si="1"/>
        <v>1029</v>
      </c>
    </row>
    <row r="4292" ht="22.5" customHeight="1">
      <c r="B4292" s="7"/>
      <c r="C4292" s="7"/>
      <c r="D4292" s="7"/>
      <c r="E4292" s="7"/>
      <c r="F4292" s="7"/>
      <c r="G4292" s="7"/>
      <c r="H4292" s="7">
        <f t="shared" si="1"/>
        <v>1029</v>
      </c>
    </row>
    <row r="4293" ht="22.5" customHeight="1">
      <c r="B4293" s="7"/>
      <c r="C4293" s="7"/>
      <c r="D4293" s="7"/>
      <c r="E4293" s="7"/>
      <c r="F4293" s="7"/>
      <c r="G4293" s="7"/>
      <c r="H4293" s="7">
        <f t="shared" si="1"/>
        <v>1029</v>
      </c>
    </row>
    <row r="4294" ht="22.5" customHeight="1">
      <c r="B4294" s="7"/>
      <c r="C4294" s="7"/>
      <c r="D4294" s="7"/>
      <c r="E4294" s="7"/>
      <c r="F4294" s="7"/>
      <c r="G4294" s="7"/>
      <c r="H4294" s="7">
        <f t="shared" si="1"/>
        <v>1029</v>
      </c>
    </row>
    <row r="4295" ht="22.5" customHeight="1">
      <c r="B4295" s="7"/>
      <c r="C4295" s="7"/>
      <c r="D4295" s="7"/>
      <c r="E4295" s="7"/>
      <c r="F4295" s="7"/>
      <c r="G4295" s="7"/>
      <c r="H4295" s="7">
        <f t="shared" si="1"/>
        <v>1029</v>
      </c>
    </row>
    <row r="4296" ht="22.5" customHeight="1">
      <c r="B4296" s="7"/>
      <c r="C4296" s="7"/>
      <c r="D4296" s="7"/>
      <c r="E4296" s="7"/>
      <c r="F4296" s="7"/>
      <c r="G4296" s="7"/>
      <c r="H4296" s="7">
        <f t="shared" si="1"/>
        <v>1029</v>
      </c>
    </row>
    <row r="4297" ht="22.5" customHeight="1">
      <c r="B4297" s="7"/>
      <c r="C4297" s="7"/>
      <c r="D4297" s="7"/>
      <c r="E4297" s="7"/>
      <c r="F4297" s="7"/>
      <c r="G4297" s="7"/>
      <c r="H4297" s="7">
        <f t="shared" si="1"/>
        <v>1029</v>
      </c>
    </row>
    <row r="4298" ht="22.5" customHeight="1">
      <c r="B4298" s="7"/>
      <c r="C4298" s="7"/>
      <c r="D4298" s="7"/>
      <c r="E4298" s="7"/>
      <c r="F4298" s="7"/>
      <c r="G4298" s="7"/>
      <c r="H4298" s="7">
        <f t="shared" si="1"/>
        <v>1029</v>
      </c>
    </row>
    <row r="4299" ht="22.5" customHeight="1">
      <c r="B4299" s="7"/>
      <c r="C4299" s="7"/>
      <c r="D4299" s="7"/>
      <c r="E4299" s="7"/>
      <c r="F4299" s="7"/>
      <c r="G4299" s="7"/>
      <c r="H4299" s="7">
        <f t="shared" si="1"/>
        <v>1029</v>
      </c>
    </row>
    <row r="4300" ht="22.5" customHeight="1">
      <c r="B4300" s="7"/>
      <c r="C4300" s="7"/>
      <c r="D4300" s="7"/>
      <c r="E4300" s="7"/>
      <c r="F4300" s="7"/>
      <c r="G4300" s="7"/>
      <c r="H4300" s="7">
        <f t="shared" si="1"/>
        <v>1029</v>
      </c>
    </row>
    <row r="4301" ht="22.5" customHeight="1">
      <c r="B4301" s="7"/>
      <c r="C4301" s="7"/>
      <c r="D4301" s="7"/>
      <c r="E4301" s="7"/>
      <c r="F4301" s="7"/>
      <c r="G4301" s="7"/>
      <c r="H4301" s="7">
        <f t="shared" si="1"/>
        <v>1029</v>
      </c>
    </row>
    <row r="4302" ht="22.5" customHeight="1">
      <c r="B4302" s="7"/>
      <c r="C4302" s="7"/>
      <c r="D4302" s="7"/>
      <c r="E4302" s="7"/>
      <c r="F4302" s="7"/>
      <c r="G4302" s="7"/>
      <c r="H4302" s="7">
        <f t="shared" si="1"/>
        <v>1029</v>
      </c>
    </row>
    <row r="4303" ht="22.5" customHeight="1">
      <c r="B4303" s="7"/>
      <c r="C4303" s="7"/>
      <c r="D4303" s="7"/>
      <c r="E4303" s="7"/>
      <c r="F4303" s="7"/>
      <c r="G4303" s="7"/>
      <c r="H4303" s="7">
        <f t="shared" si="1"/>
        <v>1029</v>
      </c>
    </row>
    <row r="4304" ht="22.5" customHeight="1">
      <c r="B4304" s="7"/>
      <c r="C4304" s="7"/>
      <c r="D4304" s="7"/>
      <c r="E4304" s="7"/>
      <c r="F4304" s="7"/>
      <c r="G4304" s="7"/>
      <c r="H4304" s="7">
        <f t="shared" si="1"/>
        <v>1029</v>
      </c>
    </row>
    <row r="4305" ht="22.5" customHeight="1">
      <c r="B4305" s="7"/>
      <c r="C4305" s="7"/>
      <c r="D4305" s="7"/>
      <c r="E4305" s="7"/>
      <c r="F4305" s="7"/>
      <c r="G4305" s="7"/>
      <c r="H4305" s="7">
        <f t="shared" si="1"/>
        <v>1029</v>
      </c>
    </row>
    <row r="4306" ht="22.5" customHeight="1">
      <c r="B4306" s="7"/>
      <c r="C4306" s="7"/>
      <c r="D4306" s="7"/>
      <c r="E4306" s="7"/>
      <c r="F4306" s="7"/>
      <c r="G4306" s="7"/>
      <c r="H4306" s="7">
        <f t="shared" si="1"/>
        <v>1029</v>
      </c>
    </row>
    <row r="4307" ht="22.5" customHeight="1">
      <c r="B4307" s="7"/>
      <c r="C4307" s="7"/>
      <c r="D4307" s="7"/>
      <c r="E4307" s="7"/>
      <c r="F4307" s="7"/>
      <c r="G4307" s="7"/>
      <c r="H4307" s="7">
        <f t="shared" si="1"/>
        <v>1029</v>
      </c>
    </row>
    <row r="4308" ht="22.5" customHeight="1">
      <c r="B4308" s="7"/>
      <c r="C4308" s="7"/>
      <c r="D4308" s="7"/>
      <c r="E4308" s="7"/>
      <c r="F4308" s="7"/>
      <c r="G4308" s="7"/>
      <c r="H4308" s="7">
        <f t="shared" si="1"/>
        <v>1029</v>
      </c>
    </row>
    <row r="4309" ht="22.5" customHeight="1">
      <c r="B4309" s="7"/>
      <c r="C4309" s="7"/>
      <c r="D4309" s="7"/>
      <c r="E4309" s="7"/>
      <c r="F4309" s="7"/>
      <c r="G4309" s="7"/>
      <c r="H4309" s="7">
        <f t="shared" si="1"/>
        <v>1029</v>
      </c>
    </row>
    <row r="4310" ht="22.5" customHeight="1">
      <c r="B4310" s="7"/>
      <c r="C4310" s="7"/>
      <c r="D4310" s="7"/>
      <c r="E4310" s="7"/>
      <c r="F4310" s="7"/>
      <c r="G4310" s="7"/>
      <c r="H4310" s="7">
        <f t="shared" si="1"/>
        <v>1029</v>
      </c>
    </row>
    <row r="4311" ht="22.5" customHeight="1">
      <c r="B4311" s="7"/>
      <c r="C4311" s="7"/>
      <c r="D4311" s="7"/>
      <c r="E4311" s="7"/>
      <c r="F4311" s="7"/>
      <c r="G4311" s="7"/>
      <c r="H4311" s="7">
        <f t="shared" si="1"/>
        <v>1029</v>
      </c>
    </row>
    <row r="4312" ht="22.5" customHeight="1">
      <c r="B4312" s="7"/>
      <c r="C4312" s="7"/>
      <c r="D4312" s="7"/>
      <c r="E4312" s="7"/>
      <c r="F4312" s="7"/>
      <c r="G4312" s="7"/>
      <c r="H4312" s="7">
        <f t="shared" si="1"/>
        <v>1029</v>
      </c>
    </row>
    <row r="4313" ht="22.5" customHeight="1">
      <c r="B4313" s="7"/>
      <c r="C4313" s="7"/>
      <c r="D4313" s="7"/>
      <c r="E4313" s="7"/>
      <c r="F4313" s="7"/>
      <c r="G4313" s="7"/>
      <c r="H4313" s="7">
        <f t="shared" si="1"/>
        <v>1029</v>
      </c>
    </row>
    <row r="4314" ht="22.5" customHeight="1">
      <c r="B4314" s="7"/>
      <c r="C4314" s="7"/>
      <c r="D4314" s="7"/>
      <c r="E4314" s="7"/>
      <c r="F4314" s="7"/>
      <c r="G4314" s="7"/>
      <c r="H4314" s="7">
        <f t="shared" si="1"/>
        <v>1029</v>
      </c>
    </row>
    <row r="4315" ht="22.5" customHeight="1">
      <c r="B4315" s="7"/>
      <c r="C4315" s="7"/>
      <c r="D4315" s="7"/>
      <c r="E4315" s="7"/>
      <c r="F4315" s="7"/>
      <c r="G4315" s="7"/>
      <c r="H4315" s="7">
        <f t="shared" si="1"/>
        <v>1029</v>
      </c>
    </row>
    <row r="4316" ht="22.5" customHeight="1">
      <c r="B4316" s="7"/>
      <c r="C4316" s="7"/>
      <c r="D4316" s="7"/>
      <c r="E4316" s="7"/>
      <c r="F4316" s="7"/>
      <c r="G4316" s="7"/>
      <c r="H4316" s="7">
        <f t="shared" si="1"/>
        <v>1029</v>
      </c>
    </row>
    <row r="4317" ht="22.5" customHeight="1">
      <c r="B4317" s="7"/>
      <c r="C4317" s="7"/>
      <c r="D4317" s="7"/>
      <c r="E4317" s="7"/>
      <c r="F4317" s="7"/>
      <c r="G4317" s="7"/>
      <c r="H4317" s="7">
        <f t="shared" si="1"/>
        <v>1029</v>
      </c>
    </row>
    <row r="4318" ht="22.5" customHeight="1">
      <c r="B4318" s="7"/>
      <c r="C4318" s="7"/>
      <c r="D4318" s="7"/>
      <c r="E4318" s="7"/>
      <c r="F4318" s="7"/>
      <c r="G4318" s="7"/>
      <c r="H4318" s="7">
        <f t="shared" si="1"/>
        <v>1029</v>
      </c>
    </row>
    <row r="4319" ht="22.5" customHeight="1">
      <c r="B4319" s="7"/>
      <c r="C4319" s="7"/>
      <c r="D4319" s="7"/>
      <c r="E4319" s="7"/>
      <c r="F4319" s="7"/>
      <c r="G4319" s="7"/>
      <c r="H4319" s="7">
        <f t="shared" si="1"/>
        <v>1029</v>
      </c>
    </row>
    <row r="4320" ht="22.5" customHeight="1">
      <c r="B4320" s="7"/>
      <c r="C4320" s="7"/>
      <c r="D4320" s="7"/>
      <c r="E4320" s="7"/>
      <c r="F4320" s="7"/>
      <c r="G4320" s="7"/>
      <c r="H4320" s="7">
        <f t="shared" si="1"/>
        <v>1029</v>
      </c>
    </row>
    <row r="4321" ht="22.5" customHeight="1">
      <c r="B4321" s="7"/>
      <c r="C4321" s="7"/>
      <c r="D4321" s="7"/>
      <c r="E4321" s="7"/>
      <c r="F4321" s="7"/>
      <c r="G4321" s="7"/>
      <c r="H4321" s="7">
        <f t="shared" si="1"/>
        <v>1029</v>
      </c>
    </row>
    <row r="4322" ht="22.5" customHeight="1">
      <c r="B4322" s="7"/>
      <c r="C4322" s="7"/>
      <c r="D4322" s="7"/>
      <c r="E4322" s="7"/>
      <c r="F4322" s="7"/>
      <c r="G4322" s="7"/>
      <c r="H4322" s="7">
        <f t="shared" si="1"/>
        <v>1029</v>
      </c>
    </row>
    <row r="4323" ht="22.5" customHeight="1">
      <c r="B4323" s="7"/>
      <c r="C4323" s="7"/>
      <c r="D4323" s="7"/>
      <c r="E4323" s="7"/>
      <c r="F4323" s="7"/>
      <c r="G4323" s="7"/>
      <c r="H4323" s="7">
        <f t="shared" si="1"/>
        <v>1029</v>
      </c>
    </row>
    <row r="4324" ht="22.5" customHeight="1">
      <c r="B4324" s="7"/>
      <c r="C4324" s="7"/>
      <c r="D4324" s="7"/>
      <c r="E4324" s="7"/>
      <c r="F4324" s="7"/>
      <c r="G4324" s="7"/>
      <c r="H4324" s="7">
        <f t="shared" si="1"/>
        <v>1029</v>
      </c>
    </row>
    <row r="4325" ht="22.5" customHeight="1">
      <c r="B4325" s="7"/>
      <c r="C4325" s="7"/>
      <c r="D4325" s="7"/>
      <c r="E4325" s="7"/>
      <c r="F4325" s="7"/>
      <c r="G4325" s="7"/>
      <c r="H4325" s="7">
        <f t="shared" si="1"/>
        <v>1029</v>
      </c>
    </row>
    <row r="4326" ht="22.5" customHeight="1">
      <c r="B4326" s="7"/>
      <c r="C4326" s="7"/>
      <c r="D4326" s="7"/>
      <c r="E4326" s="7"/>
      <c r="F4326" s="7"/>
      <c r="G4326" s="7"/>
      <c r="H4326" s="7">
        <f t="shared" si="1"/>
        <v>1029</v>
      </c>
    </row>
    <row r="4327" ht="22.5" customHeight="1">
      <c r="B4327" s="7"/>
      <c r="C4327" s="7"/>
      <c r="D4327" s="7"/>
      <c r="E4327" s="7"/>
      <c r="F4327" s="7"/>
      <c r="G4327" s="7"/>
      <c r="H4327" s="7">
        <f t="shared" si="1"/>
        <v>1029</v>
      </c>
    </row>
    <row r="4328" ht="22.5" customHeight="1">
      <c r="B4328" s="7"/>
      <c r="C4328" s="7"/>
      <c r="D4328" s="7"/>
      <c r="E4328" s="7"/>
      <c r="F4328" s="7"/>
      <c r="G4328" s="7"/>
      <c r="H4328" s="7">
        <f t="shared" si="1"/>
        <v>1029</v>
      </c>
    </row>
    <row r="4329" ht="22.5" customHeight="1">
      <c r="B4329" s="7"/>
      <c r="C4329" s="7"/>
      <c r="D4329" s="7"/>
      <c r="E4329" s="7"/>
      <c r="F4329" s="7"/>
      <c r="G4329" s="7"/>
      <c r="H4329" s="7">
        <f t="shared" si="1"/>
        <v>1029</v>
      </c>
    </row>
    <row r="4330" ht="22.5" customHeight="1">
      <c r="B4330" s="7"/>
      <c r="C4330" s="7"/>
      <c r="D4330" s="7"/>
      <c r="E4330" s="7"/>
      <c r="F4330" s="7"/>
      <c r="G4330" s="7"/>
      <c r="H4330" s="7">
        <f t="shared" si="1"/>
        <v>1029</v>
      </c>
    </row>
    <row r="4331" ht="22.5" customHeight="1">
      <c r="B4331" s="7"/>
      <c r="C4331" s="7"/>
      <c r="D4331" s="7"/>
      <c r="E4331" s="7"/>
      <c r="F4331" s="7"/>
      <c r="G4331" s="7"/>
      <c r="H4331" s="7">
        <f t="shared" si="1"/>
        <v>1029</v>
      </c>
    </row>
    <row r="4332" ht="22.5" customHeight="1">
      <c r="B4332" s="7"/>
      <c r="C4332" s="7"/>
      <c r="D4332" s="7"/>
      <c r="E4332" s="7"/>
      <c r="F4332" s="7"/>
      <c r="G4332" s="7"/>
      <c r="H4332" s="7">
        <f t="shared" si="1"/>
        <v>1029</v>
      </c>
    </row>
    <row r="4333" ht="22.5" customHeight="1">
      <c r="B4333" s="7"/>
      <c r="C4333" s="7"/>
      <c r="D4333" s="7"/>
      <c r="E4333" s="7"/>
      <c r="F4333" s="7"/>
      <c r="G4333" s="7"/>
      <c r="H4333" s="7">
        <f t="shared" si="1"/>
        <v>1029</v>
      </c>
    </row>
    <row r="4334" ht="22.5" customHeight="1">
      <c r="B4334" s="7"/>
      <c r="C4334" s="7"/>
      <c r="D4334" s="7"/>
      <c r="E4334" s="7"/>
      <c r="F4334" s="7"/>
      <c r="G4334" s="7"/>
      <c r="H4334" s="7">
        <f t="shared" si="1"/>
        <v>1029</v>
      </c>
    </row>
    <row r="4335" ht="22.5" customHeight="1">
      <c r="B4335" s="7"/>
      <c r="C4335" s="7"/>
      <c r="D4335" s="7"/>
      <c r="E4335" s="7"/>
      <c r="F4335" s="7"/>
      <c r="G4335" s="7"/>
      <c r="H4335" s="7">
        <f t="shared" si="1"/>
        <v>1029</v>
      </c>
    </row>
    <row r="4336" ht="22.5" customHeight="1">
      <c r="B4336" s="7"/>
      <c r="C4336" s="7"/>
      <c r="D4336" s="7"/>
      <c r="E4336" s="7"/>
      <c r="F4336" s="7"/>
      <c r="G4336" s="7"/>
      <c r="H4336" s="7">
        <f t="shared" si="1"/>
        <v>1029</v>
      </c>
    </row>
    <row r="4337" ht="22.5" customHeight="1">
      <c r="B4337" s="7"/>
      <c r="C4337" s="7"/>
      <c r="D4337" s="7"/>
      <c r="E4337" s="7"/>
      <c r="F4337" s="7"/>
      <c r="G4337" s="7"/>
      <c r="H4337" s="7">
        <f t="shared" si="1"/>
        <v>1029</v>
      </c>
    </row>
    <row r="4338" ht="22.5" customHeight="1">
      <c r="B4338" s="7"/>
      <c r="C4338" s="7"/>
      <c r="D4338" s="7"/>
      <c r="E4338" s="7"/>
      <c r="F4338" s="7"/>
      <c r="G4338" s="7"/>
      <c r="H4338" s="7">
        <f t="shared" si="1"/>
        <v>1029</v>
      </c>
    </row>
    <row r="4339" ht="22.5" customHeight="1">
      <c r="B4339" s="7"/>
      <c r="C4339" s="7"/>
      <c r="D4339" s="7"/>
      <c r="E4339" s="7"/>
      <c r="F4339" s="7"/>
      <c r="G4339" s="7"/>
      <c r="H4339" s="7">
        <f t="shared" si="1"/>
        <v>1029</v>
      </c>
    </row>
    <row r="4340" ht="22.5" customHeight="1">
      <c r="B4340" s="7"/>
      <c r="C4340" s="7"/>
      <c r="D4340" s="7"/>
      <c r="E4340" s="7"/>
      <c r="F4340" s="7"/>
      <c r="G4340" s="7"/>
      <c r="H4340" s="7">
        <f t="shared" si="1"/>
        <v>1029</v>
      </c>
    </row>
    <row r="4341" ht="22.5" customHeight="1">
      <c r="B4341" s="7"/>
      <c r="C4341" s="7"/>
      <c r="D4341" s="7"/>
      <c r="E4341" s="7"/>
      <c r="F4341" s="7"/>
      <c r="G4341" s="7"/>
      <c r="H4341" s="7">
        <f t="shared" si="1"/>
        <v>1029</v>
      </c>
    </row>
    <row r="4342" ht="22.5" customHeight="1">
      <c r="B4342" s="7"/>
      <c r="C4342" s="7"/>
      <c r="D4342" s="7"/>
      <c r="E4342" s="7"/>
      <c r="F4342" s="7"/>
      <c r="G4342" s="7"/>
      <c r="H4342" s="7">
        <f t="shared" si="1"/>
        <v>1029</v>
      </c>
    </row>
    <row r="4343" ht="22.5" customHeight="1">
      <c r="B4343" s="7"/>
      <c r="C4343" s="7"/>
      <c r="D4343" s="7"/>
      <c r="E4343" s="7"/>
      <c r="F4343" s="7"/>
      <c r="G4343" s="7"/>
      <c r="H4343" s="7">
        <f t="shared" si="1"/>
        <v>1029</v>
      </c>
    </row>
    <row r="4344" ht="22.5" customHeight="1">
      <c r="B4344" s="7"/>
      <c r="C4344" s="7"/>
      <c r="D4344" s="7"/>
      <c r="E4344" s="7"/>
      <c r="F4344" s="7"/>
      <c r="G4344" s="7"/>
      <c r="H4344" s="7">
        <f t="shared" si="1"/>
        <v>1029</v>
      </c>
    </row>
    <row r="4345" ht="22.5" customHeight="1">
      <c r="B4345" s="7"/>
      <c r="C4345" s="7"/>
      <c r="D4345" s="7"/>
      <c r="E4345" s="7"/>
      <c r="F4345" s="7"/>
      <c r="G4345" s="7"/>
      <c r="H4345" s="7">
        <f t="shared" si="1"/>
        <v>1029</v>
      </c>
    </row>
    <row r="4346" ht="22.5" customHeight="1">
      <c r="B4346" s="7"/>
      <c r="C4346" s="7"/>
      <c r="D4346" s="7"/>
      <c r="E4346" s="7"/>
      <c r="F4346" s="7"/>
      <c r="G4346" s="7"/>
      <c r="H4346" s="7">
        <f t="shared" si="1"/>
        <v>1029</v>
      </c>
    </row>
    <row r="4347" ht="22.5" customHeight="1">
      <c r="B4347" s="7"/>
      <c r="C4347" s="7"/>
      <c r="D4347" s="7"/>
      <c r="E4347" s="7"/>
      <c r="F4347" s="7"/>
      <c r="G4347" s="7"/>
      <c r="H4347" s="7">
        <f t="shared" si="1"/>
        <v>1029</v>
      </c>
    </row>
    <row r="4348" ht="22.5" customHeight="1">
      <c r="B4348" s="7"/>
      <c r="C4348" s="7"/>
      <c r="D4348" s="7"/>
      <c r="E4348" s="7"/>
      <c r="F4348" s="7"/>
      <c r="G4348" s="7"/>
      <c r="H4348" s="7">
        <f t="shared" si="1"/>
        <v>1029</v>
      </c>
    </row>
    <row r="4349" ht="22.5" customHeight="1">
      <c r="B4349" s="7"/>
      <c r="C4349" s="7"/>
      <c r="D4349" s="7"/>
      <c r="E4349" s="7"/>
      <c r="F4349" s="7"/>
      <c r="G4349" s="7"/>
      <c r="H4349" s="7">
        <f t="shared" si="1"/>
        <v>1029</v>
      </c>
    </row>
    <row r="4350" ht="22.5" customHeight="1">
      <c r="B4350" s="7"/>
      <c r="C4350" s="7"/>
      <c r="D4350" s="7"/>
      <c r="E4350" s="7"/>
      <c r="F4350" s="7"/>
      <c r="G4350" s="7"/>
      <c r="H4350" s="7">
        <f t="shared" si="1"/>
        <v>1029</v>
      </c>
    </row>
    <row r="4351" ht="22.5" customHeight="1">
      <c r="B4351" s="7"/>
      <c r="C4351" s="7"/>
      <c r="D4351" s="7"/>
      <c r="E4351" s="7"/>
      <c r="F4351" s="7"/>
      <c r="G4351" s="7"/>
      <c r="H4351" s="7">
        <f t="shared" si="1"/>
        <v>1029</v>
      </c>
    </row>
    <row r="4352" ht="22.5" customHeight="1">
      <c r="B4352" s="7"/>
      <c r="C4352" s="7"/>
      <c r="D4352" s="7"/>
      <c r="E4352" s="7"/>
      <c r="F4352" s="7"/>
      <c r="G4352" s="7"/>
      <c r="H4352" s="7">
        <f t="shared" si="1"/>
        <v>1029</v>
      </c>
    </row>
    <row r="4353" ht="22.5" customHeight="1">
      <c r="B4353" s="7"/>
      <c r="C4353" s="7"/>
      <c r="D4353" s="7"/>
      <c r="E4353" s="7"/>
      <c r="F4353" s="7"/>
      <c r="G4353" s="7"/>
      <c r="H4353" s="7">
        <f t="shared" si="1"/>
        <v>1029</v>
      </c>
    </row>
    <row r="4354" ht="22.5" customHeight="1">
      <c r="B4354" s="7"/>
      <c r="C4354" s="7"/>
      <c r="D4354" s="7"/>
      <c r="E4354" s="7"/>
      <c r="F4354" s="7"/>
      <c r="G4354" s="7"/>
      <c r="H4354" s="7">
        <f t="shared" si="1"/>
        <v>1029</v>
      </c>
    </row>
    <row r="4355" ht="22.5" customHeight="1">
      <c r="B4355" s="7"/>
      <c r="C4355" s="7"/>
      <c r="D4355" s="7"/>
      <c r="E4355" s="7"/>
      <c r="F4355" s="7"/>
      <c r="G4355" s="7"/>
      <c r="H4355" s="7">
        <f t="shared" si="1"/>
        <v>1029</v>
      </c>
    </row>
    <row r="4356" ht="22.5" customHeight="1">
      <c r="B4356" s="7"/>
      <c r="C4356" s="7"/>
      <c r="D4356" s="7"/>
      <c r="E4356" s="7"/>
      <c r="F4356" s="7"/>
      <c r="G4356" s="7"/>
      <c r="H4356" s="7">
        <f t="shared" si="1"/>
        <v>1029</v>
      </c>
    </row>
    <row r="4357" ht="22.5" customHeight="1">
      <c r="B4357" s="7"/>
      <c r="C4357" s="7"/>
      <c r="D4357" s="7"/>
      <c r="E4357" s="7"/>
      <c r="F4357" s="7"/>
      <c r="G4357" s="7"/>
      <c r="H4357" s="7">
        <f t="shared" si="1"/>
        <v>1029</v>
      </c>
    </row>
    <row r="4358" ht="22.5" customHeight="1">
      <c r="B4358" s="7"/>
      <c r="C4358" s="7"/>
      <c r="D4358" s="7"/>
      <c r="E4358" s="7"/>
      <c r="F4358" s="7"/>
      <c r="G4358" s="7"/>
      <c r="H4358" s="7">
        <f t="shared" si="1"/>
        <v>1029</v>
      </c>
    </row>
    <row r="4359" ht="22.5" customHeight="1">
      <c r="B4359" s="7"/>
      <c r="C4359" s="7"/>
      <c r="D4359" s="7"/>
      <c r="E4359" s="7"/>
      <c r="F4359" s="7"/>
      <c r="G4359" s="7"/>
      <c r="H4359" s="7">
        <f t="shared" si="1"/>
        <v>1029</v>
      </c>
    </row>
    <row r="4360" ht="22.5" customHeight="1">
      <c r="B4360" s="7"/>
      <c r="C4360" s="7"/>
      <c r="D4360" s="7"/>
      <c r="E4360" s="7"/>
      <c r="F4360" s="7"/>
      <c r="G4360" s="7"/>
      <c r="H4360" s="7">
        <f t="shared" si="1"/>
        <v>1029</v>
      </c>
    </row>
    <row r="4361" ht="22.5" customHeight="1">
      <c r="B4361" s="7"/>
      <c r="C4361" s="7"/>
      <c r="D4361" s="7"/>
      <c r="E4361" s="7"/>
      <c r="F4361" s="7"/>
      <c r="G4361" s="7"/>
      <c r="H4361" s="7">
        <f t="shared" si="1"/>
        <v>1029</v>
      </c>
    </row>
    <row r="4362" ht="22.5" customHeight="1">
      <c r="B4362" s="7"/>
      <c r="C4362" s="7"/>
      <c r="D4362" s="7"/>
      <c r="E4362" s="7"/>
      <c r="F4362" s="7"/>
      <c r="G4362" s="7"/>
      <c r="H4362" s="7">
        <f t="shared" si="1"/>
        <v>1029</v>
      </c>
    </row>
    <row r="4363" ht="22.5" customHeight="1">
      <c r="B4363" s="7"/>
      <c r="C4363" s="7"/>
      <c r="D4363" s="7"/>
      <c r="E4363" s="7"/>
      <c r="F4363" s="7"/>
      <c r="G4363" s="7"/>
      <c r="H4363" s="7">
        <f t="shared" si="1"/>
        <v>1029</v>
      </c>
    </row>
    <row r="4364" ht="22.5" customHeight="1">
      <c r="B4364" s="7"/>
      <c r="C4364" s="7"/>
      <c r="D4364" s="7"/>
      <c r="E4364" s="7"/>
      <c r="F4364" s="7"/>
      <c r="G4364" s="7"/>
      <c r="H4364" s="7">
        <f t="shared" si="1"/>
        <v>1029</v>
      </c>
    </row>
    <row r="4365" ht="22.5" customHeight="1">
      <c r="B4365" s="7"/>
      <c r="C4365" s="7"/>
      <c r="D4365" s="7"/>
      <c r="E4365" s="7"/>
      <c r="F4365" s="7"/>
      <c r="G4365" s="7"/>
      <c r="H4365" s="7">
        <f t="shared" si="1"/>
        <v>1029</v>
      </c>
    </row>
    <row r="4366" ht="22.5" customHeight="1">
      <c r="B4366" s="7"/>
      <c r="C4366" s="7"/>
      <c r="D4366" s="7"/>
      <c r="E4366" s="7"/>
      <c r="F4366" s="7"/>
      <c r="G4366" s="7"/>
      <c r="H4366" s="7">
        <f t="shared" si="1"/>
        <v>1029</v>
      </c>
    </row>
    <row r="4367" ht="22.5" customHeight="1">
      <c r="B4367" s="7"/>
      <c r="C4367" s="7"/>
      <c r="D4367" s="7"/>
      <c r="E4367" s="7"/>
      <c r="F4367" s="7"/>
      <c r="G4367" s="7"/>
      <c r="H4367" s="7">
        <f t="shared" si="1"/>
        <v>1029</v>
      </c>
    </row>
    <row r="4368" ht="22.5" customHeight="1">
      <c r="B4368" s="7"/>
      <c r="C4368" s="7"/>
      <c r="D4368" s="7"/>
      <c r="E4368" s="7"/>
      <c r="F4368" s="7"/>
      <c r="G4368" s="7"/>
      <c r="H4368" s="7">
        <f t="shared" si="1"/>
        <v>1029</v>
      </c>
    </row>
    <row r="4369" ht="22.5" customHeight="1">
      <c r="B4369" s="7"/>
      <c r="C4369" s="7"/>
      <c r="D4369" s="7"/>
      <c r="E4369" s="7"/>
      <c r="F4369" s="7"/>
      <c r="G4369" s="7"/>
      <c r="H4369" s="7">
        <f t="shared" si="1"/>
        <v>1029</v>
      </c>
    </row>
    <row r="4370" ht="22.5" customHeight="1">
      <c r="B4370" s="7"/>
      <c r="C4370" s="7"/>
      <c r="D4370" s="7"/>
      <c r="E4370" s="7"/>
      <c r="F4370" s="7"/>
      <c r="G4370" s="7"/>
      <c r="H4370" s="7">
        <f t="shared" si="1"/>
        <v>1029</v>
      </c>
    </row>
    <row r="4371" ht="22.5" customHeight="1">
      <c r="B4371" s="7"/>
      <c r="C4371" s="7"/>
      <c r="D4371" s="7"/>
      <c r="E4371" s="7"/>
      <c r="F4371" s="7"/>
      <c r="G4371" s="7"/>
      <c r="H4371" s="7">
        <f t="shared" si="1"/>
        <v>1029</v>
      </c>
    </row>
    <row r="4372" ht="22.5" customHeight="1">
      <c r="B4372" s="7"/>
      <c r="C4372" s="7"/>
      <c r="D4372" s="7"/>
      <c r="E4372" s="7"/>
      <c r="F4372" s="7"/>
      <c r="G4372" s="7"/>
      <c r="H4372" s="7">
        <f t="shared" si="1"/>
        <v>1029</v>
      </c>
    </row>
    <row r="4373" ht="22.5" customHeight="1">
      <c r="B4373" s="7"/>
      <c r="C4373" s="7"/>
      <c r="D4373" s="7"/>
      <c r="E4373" s="7"/>
      <c r="F4373" s="7"/>
      <c r="G4373" s="7"/>
      <c r="H4373" s="7">
        <f t="shared" si="1"/>
        <v>1029</v>
      </c>
    </row>
    <row r="4374" ht="22.5" customHeight="1">
      <c r="B4374" s="7"/>
      <c r="C4374" s="7"/>
      <c r="D4374" s="7"/>
      <c r="E4374" s="7"/>
      <c r="F4374" s="7"/>
      <c r="G4374" s="7"/>
      <c r="H4374" s="7">
        <f t="shared" si="1"/>
        <v>1029</v>
      </c>
    </row>
    <row r="4375" ht="22.5" customHeight="1">
      <c r="B4375" s="7"/>
      <c r="C4375" s="7"/>
      <c r="D4375" s="7"/>
      <c r="E4375" s="7"/>
      <c r="F4375" s="7"/>
      <c r="G4375" s="7"/>
      <c r="H4375" s="7">
        <f t="shared" si="1"/>
        <v>1029</v>
      </c>
    </row>
    <row r="4376" ht="22.5" customHeight="1">
      <c r="B4376" s="7"/>
      <c r="C4376" s="7"/>
      <c r="D4376" s="7"/>
      <c r="E4376" s="7"/>
      <c r="F4376" s="7"/>
      <c r="G4376" s="7"/>
      <c r="H4376" s="7">
        <f t="shared" si="1"/>
        <v>1029</v>
      </c>
    </row>
    <row r="4377" ht="22.5" customHeight="1">
      <c r="B4377" s="7"/>
      <c r="C4377" s="7"/>
      <c r="D4377" s="7"/>
      <c r="E4377" s="7"/>
      <c r="F4377" s="7"/>
      <c r="G4377" s="7"/>
      <c r="H4377" s="7">
        <f t="shared" si="1"/>
        <v>1029</v>
      </c>
    </row>
    <row r="4378" ht="22.5" customHeight="1">
      <c r="B4378" s="7"/>
      <c r="C4378" s="7"/>
      <c r="D4378" s="7"/>
      <c r="E4378" s="7"/>
      <c r="F4378" s="7"/>
      <c r="G4378" s="7"/>
      <c r="H4378" s="7">
        <f t="shared" si="1"/>
        <v>1029</v>
      </c>
    </row>
    <row r="4379" ht="22.5" customHeight="1">
      <c r="B4379" s="7"/>
      <c r="C4379" s="7"/>
      <c r="D4379" s="7"/>
      <c r="E4379" s="7"/>
      <c r="F4379" s="7"/>
      <c r="G4379" s="7"/>
      <c r="H4379" s="7">
        <f t="shared" si="1"/>
        <v>1029</v>
      </c>
    </row>
    <row r="4380" ht="22.5" customHeight="1">
      <c r="B4380" s="7"/>
      <c r="C4380" s="7"/>
      <c r="D4380" s="7"/>
      <c r="E4380" s="7"/>
      <c r="F4380" s="7"/>
      <c r="G4380" s="7"/>
      <c r="H4380" s="7">
        <f t="shared" si="1"/>
        <v>1029</v>
      </c>
    </row>
    <row r="4381" ht="22.5" customHeight="1">
      <c r="B4381" s="7"/>
      <c r="C4381" s="7"/>
      <c r="D4381" s="7"/>
      <c r="E4381" s="7"/>
      <c r="F4381" s="7"/>
      <c r="G4381" s="7"/>
      <c r="H4381" s="7">
        <f t="shared" si="1"/>
        <v>1029</v>
      </c>
    </row>
    <row r="4382" ht="22.5" customHeight="1">
      <c r="B4382" s="7"/>
      <c r="C4382" s="7"/>
      <c r="D4382" s="7"/>
      <c r="E4382" s="7"/>
      <c r="F4382" s="7"/>
      <c r="G4382" s="7"/>
      <c r="H4382" s="7">
        <f t="shared" si="1"/>
        <v>1029</v>
      </c>
    </row>
    <row r="4383" ht="22.5" customHeight="1">
      <c r="B4383" s="7"/>
      <c r="C4383" s="7"/>
      <c r="D4383" s="7"/>
      <c r="E4383" s="7"/>
      <c r="F4383" s="7"/>
      <c r="G4383" s="7"/>
      <c r="H4383" s="7">
        <f t="shared" si="1"/>
        <v>1029</v>
      </c>
    </row>
    <row r="4384" ht="22.5" customHeight="1">
      <c r="B4384" s="7"/>
      <c r="C4384" s="7"/>
      <c r="D4384" s="7"/>
      <c r="E4384" s="7"/>
      <c r="F4384" s="7"/>
      <c r="G4384" s="7"/>
      <c r="H4384" s="7">
        <f t="shared" si="1"/>
        <v>1029</v>
      </c>
    </row>
    <row r="4385" ht="22.5" customHeight="1">
      <c r="B4385" s="7"/>
      <c r="C4385" s="7"/>
      <c r="D4385" s="7"/>
      <c r="E4385" s="7"/>
      <c r="F4385" s="7"/>
      <c r="G4385" s="7"/>
      <c r="H4385" s="7">
        <f t="shared" si="1"/>
        <v>1029</v>
      </c>
    </row>
    <row r="4386" ht="22.5" customHeight="1">
      <c r="B4386" s="7"/>
      <c r="C4386" s="7"/>
      <c r="D4386" s="7"/>
      <c r="E4386" s="7"/>
      <c r="F4386" s="7"/>
      <c r="G4386" s="7"/>
      <c r="H4386" s="7">
        <f t="shared" si="1"/>
        <v>1029</v>
      </c>
    </row>
    <row r="4387" ht="22.5" customHeight="1">
      <c r="B4387" s="7"/>
      <c r="C4387" s="7"/>
      <c r="D4387" s="7"/>
      <c r="E4387" s="7"/>
      <c r="F4387" s="7"/>
      <c r="G4387" s="7"/>
      <c r="H4387" s="7">
        <f t="shared" si="1"/>
        <v>1029</v>
      </c>
    </row>
    <row r="4388" ht="22.5" customHeight="1">
      <c r="B4388" s="7"/>
      <c r="C4388" s="7"/>
      <c r="D4388" s="7"/>
      <c r="E4388" s="7"/>
      <c r="F4388" s="7"/>
      <c r="G4388" s="7"/>
      <c r="H4388" s="7">
        <f t="shared" si="1"/>
        <v>1029</v>
      </c>
    </row>
    <row r="4389" ht="22.5" customHeight="1">
      <c r="B4389" s="7"/>
      <c r="C4389" s="7"/>
      <c r="D4389" s="7"/>
      <c r="E4389" s="7"/>
      <c r="F4389" s="7"/>
      <c r="G4389" s="7"/>
      <c r="H4389" s="7">
        <f t="shared" si="1"/>
        <v>1029</v>
      </c>
    </row>
    <row r="4390" ht="22.5" customHeight="1">
      <c r="B4390" s="7"/>
      <c r="C4390" s="7"/>
      <c r="D4390" s="7"/>
      <c r="E4390" s="7"/>
      <c r="F4390" s="7"/>
      <c r="G4390" s="7"/>
      <c r="H4390" s="7">
        <f t="shared" si="1"/>
        <v>1029</v>
      </c>
    </row>
    <row r="4391" ht="22.5" customHeight="1">
      <c r="B4391" s="7"/>
      <c r="C4391" s="7"/>
      <c r="D4391" s="7"/>
      <c r="E4391" s="7"/>
      <c r="F4391" s="7"/>
      <c r="G4391" s="7"/>
      <c r="H4391" s="7">
        <f t="shared" si="1"/>
        <v>1029</v>
      </c>
    </row>
    <row r="4392" ht="22.5" customHeight="1">
      <c r="B4392" s="7"/>
      <c r="C4392" s="7"/>
      <c r="D4392" s="7"/>
      <c r="E4392" s="7"/>
      <c r="F4392" s="7"/>
      <c r="G4392" s="7"/>
      <c r="H4392" s="7">
        <f t="shared" si="1"/>
        <v>1029</v>
      </c>
    </row>
    <row r="4393" ht="22.5" customHeight="1">
      <c r="B4393" s="7"/>
      <c r="C4393" s="7"/>
      <c r="D4393" s="7"/>
      <c r="E4393" s="7"/>
      <c r="F4393" s="7"/>
      <c r="G4393" s="7"/>
      <c r="H4393" s="7">
        <f t="shared" si="1"/>
        <v>1029</v>
      </c>
    </row>
    <row r="4394" ht="22.5" customHeight="1">
      <c r="B4394" s="7"/>
      <c r="C4394" s="7"/>
      <c r="D4394" s="7"/>
      <c r="E4394" s="7"/>
      <c r="F4394" s="7"/>
      <c r="G4394" s="7"/>
      <c r="H4394" s="7">
        <f t="shared" si="1"/>
        <v>1029</v>
      </c>
    </row>
    <row r="4395" ht="22.5" customHeight="1">
      <c r="B4395" s="7"/>
      <c r="C4395" s="7"/>
      <c r="D4395" s="7"/>
      <c r="E4395" s="7"/>
      <c r="F4395" s="7"/>
      <c r="G4395" s="7"/>
      <c r="H4395" s="7">
        <f t="shared" si="1"/>
        <v>1029</v>
      </c>
    </row>
    <row r="4396" ht="22.5" customHeight="1">
      <c r="B4396" s="7"/>
      <c r="C4396" s="7"/>
      <c r="D4396" s="7"/>
      <c r="E4396" s="7"/>
      <c r="F4396" s="7"/>
      <c r="G4396" s="7"/>
      <c r="H4396" s="7">
        <f t="shared" si="1"/>
        <v>1029</v>
      </c>
    </row>
    <row r="4397" ht="22.5" customHeight="1">
      <c r="B4397" s="7"/>
      <c r="C4397" s="7"/>
      <c r="D4397" s="7"/>
      <c r="E4397" s="7"/>
      <c r="F4397" s="7"/>
      <c r="G4397" s="7"/>
      <c r="H4397" s="7">
        <f t="shared" si="1"/>
        <v>1029</v>
      </c>
    </row>
    <row r="4398" ht="22.5" customHeight="1">
      <c r="B4398" s="7"/>
      <c r="C4398" s="7"/>
      <c r="D4398" s="7"/>
      <c r="E4398" s="7"/>
      <c r="F4398" s="7"/>
      <c r="G4398" s="7"/>
      <c r="H4398" s="7">
        <f t="shared" si="1"/>
        <v>1029</v>
      </c>
    </row>
    <row r="4399" ht="22.5" customHeight="1">
      <c r="B4399" s="7"/>
      <c r="C4399" s="7"/>
      <c r="D4399" s="7"/>
      <c r="E4399" s="7"/>
      <c r="F4399" s="7"/>
      <c r="G4399" s="7"/>
      <c r="H4399" s="7">
        <f t="shared" si="1"/>
        <v>1029</v>
      </c>
    </row>
    <row r="4400" ht="22.5" customHeight="1">
      <c r="B4400" s="7"/>
      <c r="C4400" s="7"/>
      <c r="D4400" s="7"/>
      <c r="E4400" s="7"/>
      <c r="F4400" s="7"/>
      <c r="G4400" s="7"/>
      <c r="H4400" s="7">
        <f t="shared" si="1"/>
        <v>1029</v>
      </c>
    </row>
    <row r="4401" ht="22.5" customHeight="1">
      <c r="B4401" s="7"/>
      <c r="C4401" s="7"/>
      <c r="D4401" s="7"/>
      <c r="E4401" s="7"/>
      <c r="F4401" s="7"/>
      <c r="G4401" s="7"/>
      <c r="H4401" s="7">
        <f t="shared" si="1"/>
        <v>1029</v>
      </c>
    </row>
    <row r="4402" ht="22.5" customHeight="1">
      <c r="B4402" s="7"/>
      <c r="C4402" s="7"/>
      <c r="D4402" s="7"/>
      <c r="E4402" s="7"/>
      <c r="F4402" s="7"/>
      <c r="G4402" s="7"/>
      <c r="H4402" s="7">
        <f t="shared" si="1"/>
        <v>1029</v>
      </c>
    </row>
    <row r="4403" ht="22.5" customHeight="1">
      <c r="B4403" s="7"/>
      <c r="C4403" s="7"/>
      <c r="D4403" s="7"/>
      <c r="E4403" s="7"/>
      <c r="F4403" s="7"/>
      <c r="G4403" s="7"/>
      <c r="H4403" s="7">
        <f t="shared" si="1"/>
        <v>1029</v>
      </c>
    </row>
    <row r="4404" ht="22.5" customHeight="1">
      <c r="B4404" s="7"/>
      <c r="C4404" s="7"/>
      <c r="D4404" s="7"/>
      <c r="E4404" s="7"/>
      <c r="F4404" s="7"/>
      <c r="G4404" s="7"/>
      <c r="H4404" s="7">
        <f t="shared" si="1"/>
        <v>1029</v>
      </c>
    </row>
    <row r="4405" ht="22.5" customHeight="1">
      <c r="B4405" s="7"/>
      <c r="C4405" s="7"/>
      <c r="D4405" s="7"/>
      <c r="E4405" s="7"/>
      <c r="F4405" s="7"/>
      <c r="G4405" s="7"/>
      <c r="H4405" s="7">
        <f t="shared" si="1"/>
        <v>1029</v>
      </c>
    </row>
    <row r="4406" ht="22.5" customHeight="1">
      <c r="B4406" s="7"/>
      <c r="C4406" s="7"/>
      <c r="D4406" s="7"/>
      <c r="E4406" s="7"/>
      <c r="F4406" s="7"/>
      <c r="G4406" s="7"/>
      <c r="H4406" s="7">
        <f t="shared" si="1"/>
        <v>1029</v>
      </c>
    </row>
    <row r="4407" ht="22.5" customHeight="1">
      <c r="B4407" s="7"/>
      <c r="C4407" s="7"/>
      <c r="D4407" s="7"/>
      <c r="E4407" s="7"/>
      <c r="F4407" s="7"/>
      <c r="G4407" s="7"/>
      <c r="H4407" s="7">
        <f t="shared" si="1"/>
        <v>1029</v>
      </c>
    </row>
    <row r="4408" ht="22.5" customHeight="1">
      <c r="B4408" s="7"/>
      <c r="C4408" s="7"/>
      <c r="D4408" s="7"/>
      <c r="E4408" s="7"/>
      <c r="F4408" s="7"/>
      <c r="G4408" s="7"/>
      <c r="H4408" s="7">
        <f t="shared" si="1"/>
        <v>1029</v>
      </c>
    </row>
    <row r="4409" ht="22.5" customHeight="1">
      <c r="B4409" s="7"/>
      <c r="C4409" s="7"/>
      <c r="D4409" s="7"/>
      <c r="E4409" s="7"/>
      <c r="F4409" s="7"/>
      <c r="G4409" s="7"/>
      <c r="H4409" s="7">
        <f t="shared" si="1"/>
        <v>1029</v>
      </c>
    </row>
    <row r="4410" ht="22.5" customHeight="1">
      <c r="B4410" s="7"/>
      <c r="C4410" s="7"/>
      <c r="D4410" s="7"/>
      <c r="E4410" s="7"/>
      <c r="F4410" s="7"/>
      <c r="G4410" s="7"/>
      <c r="H4410" s="7">
        <f t="shared" si="1"/>
        <v>1029</v>
      </c>
    </row>
    <row r="4411" ht="22.5" customHeight="1">
      <c r="B4411" s="7"/>
      <c r="C4411" s="7"/>
      <c r="D4411" s="7"/>
      <c r="E4411" s="7"/>
      <c r="F4411" s="7"/>
      <c r="G4411" s="7"/>
      <c r="H4411" s="7">
        <f t="shared" si="1"/>
        <v>1029</v>
      </c>
    </row>
    <row r="4412" ht="22.5" customHeight="1">
      <c r="B4412" s="7"/>
      <c r="C4412" s="7"/>
      <c r="D4412" s="7"/>
      <c r="E4412" s="7"/>
      <c r="F4412" s="7"/>
      <c r="G4412" s="7"/>
      <c r="H4412" s="7">
        <f t="shared" si="1"/>
        <v>1029</v>
      </c>
    </row>
    <row r="4413" ht="22.5" customHeight="1">
      <c r="B4413" s="7"/>
      <c r="C4413" s="7"/>
      <c r="D4413" s="7"/>
      <c r="E4413" s="7"/>
      <c r="F4413" s="7"/>
      <c r="G4413" s="7"/>
      <c r="H4413" s="7">
        <f t="shared" si="1"/>
        <v>1029</v>
      </c>
    </row>
    <row r="4414" ht="22.5" customHeight="1">
      <c r="B4414" s="7"/>
      <c r="C4414" s="7"/>
      <c r="D4414" s="7"/>
      <c r="E4414" s="7"/>
      <c r="F4414" s="7"/>
      <c r="G4414" s="7"/>
      <c r="H4414" s="7">
        <f t="shared" si="1"/>
        <v>1029</v>
      </c>
    </row>
    <row r="4415" ht="22.5" customHeight="1">
      <c r="B4415" s="7"/>
      <c r="C4415" s="7"/>
      <c r="D4415" s="7"/>
      <c r="E4415" s="7"/>
      <c r="F4415" s="7"/>
      <c r="G4415" s="7"/>
      <c r="H4415" s="7">
        <f t="shared" si="1"/>
        <v>1029</v>
      </c>
    </row>
    <row r="4416" ht="22.5" customHeight="1">
      <c r="B4416" s="7"/>
      <c r="C4416" s="7"/>
      <c r="D4416" s="7"/>
      <c r="E4416" s="7"/>
      <c r="F4416" s="7"/>
      <c r="G4416" s="7"/>
      <c r="H4416" s="7">
        <f t="shared" si="1"/>
        <v>1029</v>
      </c>
    </row>
    <row r="4417" ht="22.5" customHeight="1">
      <c r="B4417" s="7"/>
      <c r="C4417" s="7"/>
      <c r="D4417" s="7"/>
      <c r="E4417" s="7"/>
      <c r="F4417" s="7"/>
      <c r="G4417" s="7"/>
      <c r="H4417" s="7">
        <f t="shared" si="1"/>
        <v>1029</v>
      </c>
    </row>
    <row r="4418" ht="22.5" customHeight="1">
      <c r="B4418" s="7"/>
      <c r="C4418" s="7"/>
      <c r="D4418" s="7"/>
      <c r="E4418" s="7"/>
      <c r="F4418" s="7"/>
      <c r="G4418" s="7"/>
      <c r="H4418" s="7">
        <f t="shared" si="1"/>
        <v>1029</v>
      </c>
    </row>
    <row r="4419" ht="22.5" customHeight="1">
      <c r="B4419" s="7"/>
      <c r="C4419" s="7"/>
      <c r="D4419" s="7"/>
      <c r="E4419" s="7"/>
      <c r="F4419" s="7"/>
      <c r="G4419" s="7"/>
      <c r="H4419" s="7">
        <f t="shared" si="1"/>
        <v>1029</v>
      </c>
    </row>
    <row r="4420" ht="22.5" customHeight="1">
      <c r="B4420" s="7"/>
      <c r="C4420" s="7"/>
      <c r="D4420" s="7"/>
      <c r="E4420" s="7"/>
      <c r="F4420" s="7"/>
      <c r="G4420" s="7"/>
      <c r="H4420" s="7">
        <f t="shared" si="1"/>
        <v>1029</v>
      </c>
    </row>
    <row r="4421" ht="22.5" customHeight="1">
      <c r="B4421" s="7"/>
      <c r="C4421" s="7"/>
      <c r="D4421" s="7"/>
      <c r="E4421" s="7"/>
      <c r="F4421" s="7"/>
      <c r="G4421" s="7"/>
      <c r="H4421" s="7">
        <f t="shared" si="1"/>
        <v>1029</v>
      </c>
    </row>
    <row r="4422" ht="22.5" customHeight="1">
      <c r="B4422" s="7"/>
      <c r="C4422" s="7"/>
      <c r="D4422" s="7"/>
      <c r="E4422" s="7"/>
      <c r="F4422" s="7"/>
      <c r="G4422" s="7"/>
      <c r="H4422" s="7">
        <f t="shared" si="1"/>
        <v>1029</v>
      </c>
    </row>
    <row r="4423" ht="22.5" customHeight="1">
      <c r="B4423" s="7"/>
      <c r="C4423" s="7"/>
      <c r="D4423" s="7"/>
      <c r="E4423" s="7"/>
      <c r="F4423" s="7"/>
      <c r="G4423" s="7"/>
      <c r="H4423" s="7">
        <f t="shared" si="1"/>
        <v>1029</v>
      </c>
    </row>
    <row r="4424" ht="22.5" customHeight="1">
      <c r="B4424" s="7"/>
      <c r="C4424" s="7"/>
      <c r="D4424" s="7"/>
      <c r="E4424" s="7"/>
      <c r="F4424" s="7"/>
      <c r="G4424" s="7"/>
      <c r="H4424" s="7">
        <f t="shared" si="1"/>
        <v>1029</v>
      </c>
    </row>
    <row r="4425" ht="22.5" customHeight="1">
      <c r="B4425" s="7"/>
      <c r="C4425" s="7"/>
      <c r="D4425" s="7"/>
      <c r="E4425" s="7"/>
      <c r="F4425" s="7"/>
      <c r="G4425" s="7"/>
      <c r="H4425" s="7">
        <f t="shared" si="1"/>
        <v>1029</v>
      </c>
    </row>
    <row r="4426" ht="22.5" customHeight="1">
      <c r="B4426" s="7"/>
      <c r="C4426" s="7"/>
      <c r="D4426" s="7"/>
      <c r="E4426" s="7"/>
      <c r="F4426" s="7"/>
      <c r="G4426" s="7"/>
      <c r="H4426" s="7">
        <f t="shared" si="1"/>
        <v>1029</v>
      </c>
    </row>
    <row r="4427" ht="22.5" customHeight="1">
      <c r="B4427" s="7"/>
      <c r="C4427" s="7"/>
      <c r="D4427" s="7"/>
      <c r="E4427" s="7"/>
      <c r="F4427" s="7"/>
      <c r="G4427" s="7"/>
      <c r="H4427" s="7">
        <f t="shared" si="1"/>
        <v>1029</v>
      </c>
    </row>
    <row r="4428" ht="22.5" customHeight="1">
      <c r="B4428" s="7"/>
      <c r="C4428" s="7"/>
      <c r="D4428" s="7"/>
      <c r="E4428" s="7"/>
      <c r="F4428" s="7"/>
      <c r="G4428" s="7"/>
      <c r="H4428" s="7">
        <f t="shared" si="1"/>
        <v>1029</v>
      </c>
    </row>
    <row r="4429" ht="22.5" customHeight="1">
      <c r="B4429" s="7"/>
      <c r="C4429" s="7"/>
      <c r="D4429" s="7"/>
      <c r="E4429" s="7"/>
      <c r="F4429" s="7"/>
      <c r="G4429" s="7"/>
      <c r="H4429" s="7">
        <f t="shared" si="1"/>
        <v>1029</v>
      </c>
    </row>
    <row r="4430" ht="22.5" customHeight="1">
      <c r="B4430" s="7"/>
      <c r="C4430" s="7"/>
      <c r="D4430" s="7"/>
      <c r="E4430" s="7"/>
      <c r="F4430" s="7"/>
      <c r="G4430" s="7"/>
      <c r="H4430" s="7">
        <f t="shared" si="1"/>
        <v>1029</v>
      </c>
    </row>
    <row r="4431" ht="22.5" customHeight="1">
      <c r="B4431" s="7"/>
      <c r="C4431" s="7"/>
      <c r="D4431" s="7"/>
      <c r="E4431" s="7"/>
      <c r="F4431" s="7"/>
      <c r="G4431" s="7"/>
      <c r="H4431" s="7">
        <f t="shared" si="1"/>
        <v>1029</v>
      </c>
    </row>
    <row r="4432" ht="22.5" customHeight="1">
      <c r="B4432" s="7"/>
      <c r="C4432" s="7"/>
      <c r="D4432" s="7"/>
      <c r="E4432" s="7"/>
      <c r="F4432" s="7"/>
      <c r="G4432" s="7"/>
      <c r="H4432" s="7">
        <f t="shared" si="1"/>
        <v>1029</v>
      </c>
    </row>
    <row r="4433" ht="22.5" customHeight="1">
      <c r="B4433" s="7"/>
      <c r="C4433" s="7"/>
      <c r="D4433" s="7"/>
      <c r="E4433" s="7"/>
      <c r="F4433" s="7"/>
      <c r="G4433" s="7"/>
      <c r="H4433" s="7">
        <f t="shared" si="1"/>
        <v>1029</v>
      </c>
    </row>
    <row r="4434" ht="22.5" customHeight="1">
      <c r="B4434" s="7"/>
      <c r="C4434" s="7"/>
      <c r="D4434" s="7"/>
      <c r="E4434" s="7"/>
      <c r="F4434" s="7"/>
      <c r="G4434" s="7"/>
      <c r="H4434" s="7">
        <f t="shared" si="1"/>
        <v>1029</v>
      </c>
    </row>
    <row r="4435" ht="22.5" customHeight="1">
      <c r="B4435" s="7"/>
      <c r="C4435" s="7"/>
      <c r="D4435" s="7"/>
      <c r="E4435" s="7"/>
      <c r="F4435" s="7"/>
      <c r="G4435" s="7"/>
      <c r="H4435" s="7">
        <f t="shared" si="1"/>
        <v>1029</v>
      </c>
    </row>
    <row r="4436" ht="22.5" customHeight="1">
      <c r="B4436" s="7"/>
      <c r="C4436" s="7"/>
      <c r="D4436" s="7"/>
      <c r="E4436" s="7"/>
      <c r="F4436" s="7"/>
      <c r="G4436" s="7"/>
      <c r="H4436" s="7">
        <f t="shared" si="1"/>
        <v>1029</v>
      </c>
    </row>
    <row r="4437" ht="22.5" customHeight="1">
      <c r="B4437" s="7"/>
      <c r="C4437" s="7"/>
      <c r="D4437" s="7"/>
      <c r="E4437" s="7"/>
      <c r="F4437" s="7"/>
      <c r="G4437" s="7"/>
      <c r="H4437" s="7">
        <f t="shared" si="1"/>
        <v>1029</v>
      </c>
    </row>
    <row r="4438" ht="22.5" customHeight="1">
      <c r="B4438" s="7"/>
      <c r="C4438" s="7"/>
      <c r="D4438" s="7"/>
      <c r="E4438" s="7"/>
      <c r="F4438" s="7"/>
      <c r="G4438" s="7"/>
      <c r="H4438" s="7">
        <f t="shared" si="1"/>
        <v>1029</v>
      </c>
    </row>
    <row r="4439" ht="22.5" customHeight="1">
      <c r="B4439" s="7"/>
      <c r="C4439" s="7"/>
      <c r="D4439" s="7"/>
      <c r="E4439" s="7"/>
      <c r="F4439" s="7"/>
      <c r="G4439" s="7"/>
      <c r="H4439" s="7">
        <f t="shared" si="1"/>
        <v>1029</v>
      </c>
    </row>
    <row r="4440" ht="22.5" customHeight="1">
      <c r="B4440" s="7"/>
      <c r="C4440" s="7"/>
      <c r="D4440" s="7"/>
      <c r="E4440" s="7"/>
      <c r="F4440" s="7"/>
      <c r="G4440" s="7"/>
      <c r="H4440" s="7">
        <f t="shared" si="1"/>
        <v>1029</v>
      </c>
    </row>
    <row r="4441" ht="22.5" customHeight="1">
      <c r="B4441" s="7"/>
      <c r="C4441" s="7"/>
      <c r="D4441" s="7"/>
      <c r="E4441" s="7"/>
      <c r="F4441" s="7"/>
      <c r="G4441" s="7"/>
      <c r="H4441" s="7">
        <f t="shared" si="1"/>
        <v>1029</v>
      </c>
    </row>
    <row r="4442" ht="22.5" customHeight="1">
      <c r="B4442" s="7"/>
      <c r="C4442" s="7"/>
      <c r="D4442" s="7"/>
      <c r="E4442" s="7"/>
      <c r="F4442" s="7"/>
      <c r="G4442" s="7"/>
      <c r="H4442" s="7">
        <f t="shared" si="1"/>
        <v>1029</v>
      </c>
    </row>
    <row r="4443" ht="22.5" customHeight="1">
      <c r="B4443" s="7"/>
      <c r="C4443" s="7"/>
      <c r="D4443" s="7"/>
      <c r="E4443" s="7"/>
      <c r="F4443" s="7"/>
      <c r="G4443" s="7"/>
      <c r="H4443" s="7">
        <f t="shared" si="1"/>
        <v>1029</v>
      </c>
    </row>
    <row r="4444" ht="22.5" customHeight="1">
      <c r="B4444" s="7"/>
      <c r="C4444" s="7"/>
      <c r="D4444" s="7"/>
      <c r="E4444" s="7"/>
      <c r="F4444" s="7"/>
      <c r="G4444" s="7"/>
      <c r="H4444" s="7">
        <f t="shared" si="1"/>
        <v>1029</v>
      </c>
    </row>
    <row r="4445" ht="22.5" customHeight="1">
      <c r="B4445" s="7"/>
      <c r="C4445" s="7"/>
      <c r="D4445" s="7"/>
      <c r="E4445" s="7"/>
      <c r="F4445" s="7"/>
      <c r="G4445" s="7"/>
      <c r="H4445" s="7">
        <f t="shared" si="1"/>
        <v>1029</v>
      </c>
    </row>
    <row r="4446" ht="22.5" customHeight="1">
      <c r="B4446" s="7"/>
      <c r="C4446" s="7"/>
      <c r="D4446" s="7"/>
      <c r="E4446" s="7"/>
      <c r="F4446" s="7"/>
      <c r="G4446" s="7"/>
      <c r="H4446" s="7">
        <f t="shared" si="1"/>
        <v>1029</v>
      </c>
    </row>
    <row r="4447" ht="22.5" customHeight="1">
      <c r="B4447" s="7"/>
      <c r="C4447" s="7"/>
      <c r="D4447" s="7"/>
      <c r="E4447" s="7"/>
      <c r="F4447" s="7"/>
      <c r="G4447" s="7"/>
      <c r="H4447" s="7">
        <f t="shared" si="1"/>
        <v>1029</v>
      </c>
    </row>
    <row r="4448" ht="22.5" customHeight="1">
      <c r="B4448" s="7"/>
      <c r="C4448" s="7"/>
      <c r="D4448" s="7"/>
      <c r="E4448" s="7"/>
      <c r="F4448" s="7"/>
      <c r="G4448" s="7"/>
      <c r="H4448" s="7">
        <f t="shared" si="1"/>
        <v>1029</v>
      </c>
    </row>
    <row r="4449" ht="22.5" customHeight="1">
      <c r="B4449" s="7"/>
      <c r="C4449" s="7"/>
      <c r="D4449" s="7"/>
      <c r="E4449" s="7"/>
      <c r="F4449" s="7"/>
      <c r="G4449" s="7"/>
      <c r="H4449" s="7">
        <f t="shared" si="1"/>
        <v>1029</v>
      </c>
    </row>
    <row r="4450" ht="22.5" customHeight="1">
      <c r="B4450" s="7"/>
      <c r="C4450" s="7"/>
      <c r="D4450" s="7"/>
      <c r="E4450" s="7"/>
      <c r="F4450" s="7"/>
      <c r="G4450" s="7"/>
      <c r="H4450" s="7">
        <f t="shared" si="1"/>
        <v>1029</v>
      </c>
    </row>
    <row r="4451" ht="22.5" customHeight="1">
      <c r="B4451" s="7"/>
      <c r="C4451" s="7"/>
      <c r="D4451" s="7"/>
      <c r="E4451" s="7"/>
      <c r="F4451" s="7"/>
      <c r="G4451" s="7"/>
      <c r="H4451" s="7">
        <f t="shared" si="1"/>
        <v>1029</v>
      </c>
    </row>
    <row r="4452" ht="22.5" customHeight="1">
      <c r="B4452" s="7"/>
      <c r="C4452" s="7"/>
      <c r="D4452" s="7"/>
      <c r="E4452" s="7"/>
      <c r="F4452" s="7"/>
      <c r="G4452" s="7"/>
      <c r="H4452" s="7">
        <f t="shared" si="1"/>
        <v>1029</v>
      </c>
    </row>
    <row r="4453" ht="22.5" customHeight="1">
      <c r="B4453" s="7"/>
      <c r="C4453" s="7"/>
      <c r="D4453" s="7"/>
      <c r="E4453" s="7"/>
      <c r="F4453" s="7"/>
      <c r="G4453" s="7"/>
      <c r="H4453" s="7">
        <f t="shared" si="1"/>
        <v>1029</v>
      </c>
    </row>
    <row r="4454" ht="22.5" customHeight="1">
      <c r="B4454" s="7"/>
      <c r="C4454" s="7"/>
      <c r="D4454" s="7"/>
      <c r="E4454" s="7"/>
      <c r="F4454" s="7"/>
      <c r="G4454" s="7"/>
      <c r="H4454" s="7">
        <f t="shared" si="1"/>
        <v>1029</v>
      </c>
    </row>
    <row r="4455" ht="22.5" customHeight="1">
      <c r="B4455" s="7"/>
      <c r="C4455" s="7"/>
      <c r="D4455" s="7"/>
      <c r="E4455" s="7"/>
      <c r="F4455" s="7"/>
      <c r="G4455" s="7"/>
      <c r="H4455" s="7">
        <f t="shared" si="1"/>
        <v>1029</v>
      </c>
    </row>
    <row r="4456" ht="22.5" customHeight="1">
      <c r="B4456" s="7"/>
      <c r="C4456" s="7"/>
      <c r="D4456" s="7"/>
      <c r="E4456" s="7"/>
      <c r="F4456" s="7"/>
      <c r="G4456" s="7"/>
      <c r="H4456" s="7">
        <f t="shared" si="1"/>
        <v>1029</v>
      </c>
    </row>
    <row r="4457" ht="22.5" customHeight="1">
      <c r="B4457" s="7"/>
      <c r="C4457" s="7"/>
      <c r="D4457" s="7"/>
      <c r="E4457" s="7"/>
      <c r="F4457" s="7"/>
      <c r="G4457" s="7"/>
      <c r="H4457" s="7">
        <f t="shared" si="1"/>
        <v>1029</v>
      </c>
    </row>
    <row r="4458" ht="22.5" customHeight="1">
      <c r="B4458" s="7"/>
      <c r="C4458" s="7"/>
      <c r="D4458" s="7"/>
      <c r="E4458" s="7"/>
      <c r="F4458" s="7"/>
      <c r="G4458" s="7"/>
      <c r="H4458" s="7">
        <f t="shared" si="1"/>
        <v>1029</v>
      </c>
    </row>
    <row r="4459" ht="22.5" customHeight="1">
      <c r="B4459" s="7"/>
      <c r="C4459" s="7"/>
      <c r="D4459" s="7"/>
      <c r="E4459" s="7"/>
      <c r="F4459" s="7"/>
      <c r="G4459" s="7"/>
      <c r="H4459" s="7">
        <f t="shared" si="1"/>
        <v>1029</v>
      </c>
    </row>
    <row r="4460" ht="22.5" customHeight="1">
      <c r="B4460" s="7"/>
      <c r="C4460" s="7"/>
      <c r="D4460" s="7"/>
      <c r="E4460" s="7"/>
      <c r="F4460" s="7"/>
      <c r="G4460" s="7"/>
      <c r="H4460" s="7">
        <f t="shared" si="1"/>
        <v>1029</v>
      </c>
    </row>
    <row r="4461" ht="22.5" customHeight="1">
      <c r="B4461" s="7"/>
      <c r="C4461" s="7"/>
      <c r="D4461" s="7"/>
      <c r="E4461" s="7"/>
      <c r="F4461" s="7"/>
      <c r="G4461" s="7"/>
      <c r="H4461" s="7">
        <f t="shared" si="1"/>
        <v>1029</v>
      </c>
    </row>
    <row r="4462" ht="22.5" customHeight="1">
      <c r="B4462" s="7"/>
      <c r="C4462" s="7"/>
      <c r="D4462" s="7"/>
      <c r="E4462" s="7"/>
      <c r="F4462" s="7"/>
      <c r="G4462" s="7"/>
      <c r="H4462" s="7">
        <f t="shared" si="1"/>
        <v>1029</v>
      </c>
    </row>
    <row r="4463" ht="22.5" customHeight="1">
      <c r="B4463" s="7"/>
      <c r="C4463" s="7"/>
      <c r="D4463" s="7"/>
      <c r="E4463" s="7"/>
      <c r="F4463" s="7"/>
      <c r="G4463" s="7"/>
      <c r="H4463" s="7">
        <f t="shared" si="1"/>
        <v>1029</v>
      </c>
    </row>
    <row r="4464" ht="22.5" customHeight="1">
      <c r="B4464" s="7"/>
      <c r="C4464" s="7"/>
      <c r="D4464" s="7"/>
      <c r="E4464" s="7"/>
      <c r="F4464" s="7"/>
      <c r="G4464" s="7"/>
      <c r="H4464" s="7">
        <f t="shared" si="1"/>
        <v>1029</v>
      </c>
    </row>
    <row r="4465" ht="22.5" customHeight="1">
      <c r="B4465" s="7"/>
      <c r="C4465" s="7"/>
      <c r="D4465" s="7"/>
      <c r="E4465" s="7"/>
      <c r="F4465" s="7"/>
      <c r="G4465" s="7"/>
      <c r="H4465" s="7">
        <f t="shared" si="1"/>
        <v>1029</v>
      </c>
    </row>
    <row r="4466" ht="22.5" customHeight="1">
      <c r="B4466" s="7"/>
      <c r="C4466" s="7"/>
      <c r="D4466" s="7"/>
      <c r="E4466" s="7"/>
      <c r="F4466" s="7"/>
      <c r="G4466" s="7"/>
      <c r="H4466" s="7">
        <f t="shared" si="1"/>
        <v>1029</v>
      </c>
    </row>
    <row r="4467" ht="22.5" customHeight="1">
      <c r="B4467" s="7"/>
      <c r="C4467" s="7"/>
      <c r="D4467" s="7"/>
      <c r="E4467" s="7"/>
      <c r="F4467" s="7"/>
      <c r="G4467" s="7"/>
      <c r="H4467" s="7">
        <f t="shared" si="1"/>
        <v>1029</v>
      </c>
    </row>
    <row r="4468" ht="22.5" customHeight="1">
      <c r="B4468" s="7"/>
      <c r="C4468" s="7"/>
      <c r="D4468" s="7"/>
      <c r="E4468" s="7"/>
      <c r="F4468" s="7"/>
      <c r="G4468" s="7"/>
      <c r="H4468" s="7">
        <f t="shared" si="1"/>
        <v>1029</v>
      </c>
    </row>
    <row r="4469" ht="22.5" customHeight="1">
      <c r="B4469" s="7"/>
      <c r="C4469" s="7"/>
      <c r="D4469" s="7"/>
      <c r="E4469" s="7"/>
      <c r="F4469" s="7"/>
      <c r="G4469" s="7"/>
      <c r="H4469" s="7">
        <f t="shared" si="1"/>
        <v>1029</v>
      </c>
    </row>
    <row r="4470" ht="22.5" customHeight="1">
      <c r="B4470" s="7"/>
      <c r="C4470" s="7"/>
      <c r="D4470" s="7"/>
      <c r="E4470" s="7"/>
      <c r="F4470" s="7"/>
      <c r="G4470" s="7"/>
      <c r="H4470" s="7">
        <f t="shared" si="1"/>
        <v>1029</v>
      </c>
    </row>
    <row r="4471" ht="22.5" customHeight="1">
      <c r="B4471" s="7"/>
      <c r="C4471" s="7"/>
      <c r="D4471" s="7"/>
      <c r="E4471" s="7"/>
      <c r="F4471" s="7"/>
      <c r="G4471" s="7"/>
      <c r="H4471" s="7">
        <f t="shared" si="1"/>
        <v>1029</v>
      </c>
    </row>
    <row r="4472" ht="22.5" customHeight="1">
      <c r="B4472" s="7"/>
      <c r="C4472" s="7"/>
      <c r="D4472" s="7"/>
      <c r="E4472" s="7"/>
      <c r="F4472" s="7"/>
      <c r="G4472" s="7"/>
      <c r="H4472" s="7">
        <f t="shared" si="1"/>
        <v>1029</v>
      </c>
    </row>
    <row r="4473" ht="22.5" customHeight="1">
      <c r="B4473" s="7"/>
      <c r="C4473" s="7"/>
      <c r="D4473" s="7"/>
      <c r="E4473" s="7"/>
      <c r="F4473" s="7"/>
      <c r="G4473" s="7"/>
      <c r="H4473" s="7">
        <f t="shared" si="1"/>
        <v>1029</v>
      </c>
    </row>
    <row r="4474" ht="22.5" customHeight="1">
      <c r="B4474" s="7"/>
      <c r="C4474" s="7"/>
      <c r="D4474" s="7"/>
      <c r="E4474" s="7"/>
      <c r="F4474" s="7"/>
      <c r="G4474" s="7"/>
      <c r="H4474" s="7">
        <f t="shared" si="1"/>
        <v>1029</v>
      </c>
    </row>
    <row r="4475" ht="22.5" customHeight="1">
      <c r="B4475" s="7"/>
      <c r="C4475" s="7"/>
      <c r="D4475" s="7"/>
      <c r="E4475" s="7"/>
      <c r="F4475" s="7"/>
      <c r="G4475" s="7"/>
      <c r="H4475" s="7">
        <f t="shared" si="1"/>
        <v>1029</v>
      </c>
    </row>
    <row r="4476" ht="22.5" customHeight="1">
      <c r="B4476" s="7"/>
      <c r="C4476" s="7"/>
      <c r="D4476" s="7"/>
      <c r="E4476" s="7"/>
      <c r="F4476" s="7"/>
      <c r="G4476" s="7"/>
      <c r="H4476" s="7">
        <f t="shared" si="1"/>
        <v>1029</v>
      </c>
    </row>
    <row r="4477" ht="22.5" customHeight="1">
      <c r="B4477" s="7"/>
      <c r="C4477" s="7"/>
      <c r="D4477" s="7"/>
      <c r="E4477" s="7"/>
      <c r="F4477" s="7"/>
      <c r="G4477" s="7"/>
      <c r="H4477" s="7">
        <f t="shared" si="1"/>
        <v>1029</v>
      </c>
    </row>
    <row r="4478" ht="22.5" customHeight="1">
      <c r="B4478" s="7"/>
      <c r="C4478" s="7"/>
      <c r="D4478" s="7"/>
      <c r="E4478" s="7"/>
      <c r="F4478" s="7"/>
      <c r="G4478" s="7"/>
      <c r="H4478" s="7">
        <f t="shared" si="1"/>
        <v>1029</v>
      </c>
    </row>
    <row r="4479" ht="22.5" customHeight="1">
      <c r="B4479" s="7"/>
      <c r="C4479" s="7"/>
      <c r="D4479" s="7"/>
      <c r="E4479" s="7"/>
      <c r="F4479" s="7"/>
      <c r="G4479" s="7"/>
      <c r="H4479" s="7">
        <f t="shared" si="1"/>
        <v>1029</v>
      </c>
    </row>
    <row r="4480" ht="22.5" customHeight="1">
      <c r="B4480" s="7"/>
      <c r="C4480" s="7"/>
      <c r="D4480" s="7"/>
      <c r="E4480" s="7"/>
      <c r="F4480" s="7"/>
      <c r="G4480" s="7"/>
      <c r="H4480" s="7">
        <f t="shared" si="1"/>
        <v>1029</v>
      </c>
    </row>
    <row r="4481" ht="22.5" customHeight="1">
      <c r="B4481" s="7"/>
      <c r="C4481" s="7"/>
      <c r="D4481" s="7"/>
      <c r="E4481" s="7"/>
      <c r="F4481" s="7"/>
      <c r="G4481" s="7"/>
      <c r="H4481" s="7">
        <f t="shared" si="1"/>
        <v>1029</v>
      </c>
    </row>
    <row r="4482" ht="22.5" customHeight="1">
      <c r="B4482" s="7"/>
      <c r="C4482" s="7"/>
      <c r="D4482" s="7"/>
      <c r="E4482" s="7"/>
      <c r="F4482" s="7"/>
      <c r="G4482" s="7"/>
      <c r="H4482" s="7">
        <f t="shared" si="1"/>
        <v>1029</v>
      </c>
    </row>
    <row r="4483" ht="22.5" customHeight="1">
      <c r="B4483" s="7"/>
      <c r="C4483" s="7"/>
      <c r="D4483" s="7"/>
      <c r="E4483" s="7"/>
      <c r="F4483" s="7"/>
      <c r="G4483" s="7"/>
      <c r="H4483" s="7">
        <f t="shared" si="1"/>
        <v>1029</v>
      </c>
    </row>
    <row r="4484" ht="22.5" customHeight="1">
      <c r="B4484" s="7"/>
      <c r="C4484" s="7"/>
      <c r="D4484" s="7"/>
      <c r="E4484" s="7"/>
      <c r="F4484" s="7"/>
      <c r="G4484" s="7"/>
      <c r="H4484" s="7">
        <f t="shared" si="1"/>
        <v>1029</v>
      </c>
    </row>
    <row r="4485" ht="22.5" customHeight="1">
      <c r="B4485" s="7"/>
      <c r="C4485" s="7"/>
      <c r="D4485" s="7"/>
      <c r="E4485" s="7"/>
      <c r="F4485" s="7"/>
      <c r="G4485" s="7"/>
      <c r="H4485" s="7">
        <f t="shared" si="1"/>
        <v>1029</v>
      </c>
    </row>
    <row r="4486" ht="22.5" customHeight="1">
      <c r="B4486" s="7"/>
      <c r="C4486" s="7"/>
      <c r="D4486" s="7"/>
      <c r="E4486" s="7"/>
      <c r="F4486" s="7"/>
      <c r="G4486" s="7"/>
      <c r="H4486" s="7">
        <f t="shared" si="1"/>
        <v>1029</v>
      </c>
    </row>
    <row r="4487" ht="22.5" customHeight="1">
      <c r="B4487" s="7"/>
      <c r="C4487" s="7"/>
      <c r="D4487" s="7"/>
      <c r="E4487" s="7"/>
      <c r="F4487" s="7"/>
      <c r="G4487" s="7"/>
      <c r="H4487" s="7">
        <f t="shared" si="1"/>
        <v>1029</v>
      </c>
    </row>
    <row r="4488" ht="22.5" customHeight="1">
      <c r="B4488" s="7"/>
      <c r="C4488" s="7"/>
      <c r="D4488" s="7"/>
      <c r="E4488" s="7"/>
      <c r="F4488" s="7"/>
      <c r="G4488" s="7"/>
      <c r="H4488" s="7">
        <f t="shared" si="1"/>
        <v>1029</v>
      </c>
    </row>
    <row r="4489" ht="22.5" customHeight="1">
      <c r="B4489" s="7"/>
      <c r="C4489" s="7"/>
      <c r="D4489" s="7"/>
      <c r="E4489" s="7"/>
      <c r="F4489" s="7"/>
      <c r="G4489" s="7"/>
      <c r="H4489" s="7">
        <f t="shared" si="1"/>
        <v>1029</v>
      </c>
    </row>
    <row r="4490" ht="22.5" customHeight="1">
      <c r="B4490" s="7"/>
      <c r="C4490" s="7"/>
      <c r="D4490" s="7"/>
      <c r="E4490" s="7"/>
      <c r="F4490" s="7"/>
      <c r="G4490" s="7"/>
      <c r="H4490" s="7">
        <f t="shared" si="1"/>
        <v>1029</v>
      </c>
    </row>
    <row r="4491" ht="22.5" customHeight="1">
      <c r="B4491" s="7"/>
      <c r="C4491" s="7"/>
      <c r="D4491" s="7"/>
      <c r="E4491" s="7"/>
      <c r="F4491" s="7"/>
      <c r="G4491" s="7"/>
      <c r="H4491" s="7">
        <f t="shared" si="1"/>
        <v>1029</v>
      </c>
    </row>
    <row r="4492" ht="22.5" customHeight="1">
      <c r="B4492" s="7"/>
      <c r="C4492" s="7"/>
      <c r="D4492" s="7"/>
      <c r="E4492" s="7"/>
      <c r="F4492" s="7"/>
      <c r="G4492" s="7"/>
      <c r="H4492" s="7">
        <f t="shared" si="1"/>
        <v>1029</v>
      </c>
    </row>
    <row r="4493" ht="22.5" customHeight="1">
      <c r="B4493" s="7"/>
      <c r="C4493" s="7"/>
      <c r="D4493" s="7"/>
      <c r="E4493" s="7"/>
      <c r="F4493" s="7"/>
      <c r="G4493" s="7"/>
      <c r="H4493" s="7">
        <f t="shared" si="1"/>
        <v>1029</v>
      </c>
    </row>
    <row r="4494" ht="22.5" customHeight="1">
      <c r="B4494" s="7"/>
      <c r="C4494" s="7"/>
      <c r="D4494" s="7"/>
      <c r="E4494" s="7"/>
      <c r="F4494" s="7"/>
      <c r="G4494" s="7"/>
      <c r="H4494" s="7">
        <f t="shared" si="1"/>
        <v>1029</v>
      </c>
    </row>
    <row r="4495" ht="22.5" customHeight="1">
      <c r="B4495" s="7"/>
      <c r="C4495" s="7"/>
      <c r="D4495" s="7"/>
      <c r="E4495" s="7"/>
      <c r="F4495" s="7"/>
      <c r="G4495" s="7"/>
      <c r="H4495" s="7">
        <f t="shared" si="1"/>
        <v>1029</v>
      </c>
    </row>
    <row r="4496" ht="22.5" customHeight="1">
      <c r="B4496" s="7"/>
      <c r="C4496" s="7"/>
      <c r="D4496" s="7"/>
      <c r="E4496" s="7"/>
      <c r="F4496" s="7"/>
      <c r="G4496" s="7"/>
      <c r="H4496" s="7">
        <f t="shared" si="1"/>
        <v>1029</v>
      </c>
    </row>
    <row r="4497" ht="22.5" customHeight="1">
      <c r="B4497" s="7"/>
      <c r="C4497" s="7"/>
      <c r="D4497" s="7"/>
      <c r="E4497" s="7"/>
      <c r="F4497" s="7"/>
      <c r="G4497" s="7"/>
      <c r="H4497" s="7">
        <f t="shared" si="1"/>
        <v>1029</v>
      </c>
    </row>
    <row r="4498" ht="22.5" customHeight="1">
      <c r="B4498" s="7"/>
      <c r="C4498" s="7"/>
      <c r="D4498" s="7"/>
      <c r="E4498" s="7"/>
      <c r="F4498" s="7"/>
      <c r="G4498" s="7"/>
      <c r="H4498" s="7">
        <f t="shared" si="1"/>
        <v>1029</v>
      </c>
    </row>
    <row r="4499" ht="22.5" customHeight="1">
      <c r="B4499" s="7"/>
      <c r="C4499" s="7"/>
      <c r="D4499" s="7"/>
      <c r="E4499" s="7"/>
      <c r="F4499" s="7"/>
      <c r="G4499" s="7"/>
      <c r="H4499" s="7">
        <f t="shared" si="1"/>
        <v>1029</v>
      </c>
    </row>
    <row r="4500" ht="22.5" customHeight="1">
      <c r="B4500" s="7"/>
      <c r="C4500" s="7"/>
      <c r="D4500" s="7"/>
      <c r="E4500" s="7"/>
      <c r="F4500" s="7"/>
      <c r="G4500" s="7"/>
      <c r="H4500" s="7">
        <f t="shared" si="1"/>
        <v>1029</v>
      </c>
    </row>
    <row r="4501" ht="22.5" customHeight="1">
      <c r="B4501" s="7"/>
      <c r="C4501" s="7"/>
      <c r="D4501" s="7"/>
      <c r="E4501" s="7"/>
      <c r="F4501" s="7"/>
      <c r="G4501" s="7"/>
      <c r="H4501" s="7">
        <f t="shared" si="1"/>
        <v>1029</v>
      </c>
    </row>
    <row r="4502" ht="22.5" customHeight="1">
      <c r="B4502" s="7"/>
      <c r="C4502" s="7"/>
      <c r="D4502" s="7"/>
      <c r="E4502" s="7"/>
      <c r="F4502" s="7"/>
      <c r="G4502" s="7"/>
      <c r="H4502" s="7">
        <f t="shared" si="1"/>
        <v>1029</v>
      </c>
    </row>
    <row r="4503" ht="22.5" customHeight="1">
      <c r="B4503" s="7"/>
      <c r="C4503" s="7"/>
      <c r="D4503" s="7"/>
      <c r="E4503" s="7"/>
      <c r="F4503" s="7"/>
      <c r="G4503" s="7"/>
      <c r="H4503" s="7">
        <f t="shared" si="1"/>
        <v>1029</v>
      </c>
    </row>
    <row r="4504" ht="22.5" customHeight="1">
      <c r="B4504" s="7"/>
      <c r="C4504" s="7"/>
      <c r="D4504" s="7"/>
      <c r="E4504" s="7"/>
      <c r="F4504" s="7"/>
      <c r="G4504" s="7"/>
      <c r="H4504" s="7">
        <f t="shared" si="1"/>
        <v>1029</v>
      </c>
    </row>
    <row r="4505" ht="22.5" customHeight="1">
      <c r="B4505" s="7"/>
      <c r="C4505" s="7"/>
      <c r="D4505" s="7"/>
      <c r="E4505" s="7"/>
      <c r="F4505" s="7"/>
      <c r="G4505" s="7"/>
      <c r="H4505" s="7">
        <f t="shared" si="1"/>
        <v>1029</v>
      </c>
    </row>
    <row r="4506" ht="22.5" customHeight="1">
      <c r="B4506" s="7"/>
      <c r="C4506" s="7"/>
      <c r="D4506" s="7"/>
      <c r="E4506" s="7"/>
      <c r="F4506" s="7"/>
      <c r="G4506" s="7"/>
      <c r="H4506" s="7">
        <f t="shared" si="1"/>
        <v>1029</v>
      </c>
    </row>
    <row r="4507" ht="22.5" customHeight="1">
      <c r="B4507" s="7"/>
      <c r="C4507" s="7"/>
      <c r="D4507" s="7"/>
      <c r="E4507" s="7"/>
      <c r="F4507" s="7"/>
      <c r="G4507" s="7"/>
      <c r="H4507" s="7">
        <f t="shared" si="1"/>
        <v>1029</v>
      </c>
    </row>
    <row r="4508" ht="22.5" customHeight="1">
      <c r="B4508" s="7"/>
      <c r="C4508" s="7"/>
      <c r="D4508" s="7"/>
      <c r="E4508" s="7"/>
      <c r="F4508" s="7"/>
      <c r="G4508" s="7"/>
      <c r="H4508" s="7">
        <f t="shared" si="1"/>
        <v>1029</v>
      </c>
    </row>
    <row r="4509" ht="22.5" customHeight="1">
      <c r="B4509" s="7"/>
      <c r="C4509" s="7"/>
      <c r="D4509" s="7"/>
      <c r="E4509" s="7"/>
      <c r="F4509" s="7"/>
      <c r="G4509" s="7"/>
      <c r="H4509" s="7">
        <f t="shared" si="1"/>
        <v>1029</v>
      </c>
    </row>
    <row r="4510" ht="22.5" customHeight="1">
      <c r="B4510" s="7"/>
      <c r="C4510" s="7"/>
      <c r="D4510" s="7"/>
      <c r="E4510" s="7"/>
      <c r="F4510" s="7"/>
      <c r="G4510" s="7"/>
      <c r="H4510" s="7">
        <f t="shared" si="1"/>
        <v>1029</v>
      </c>
    </row>
    <row r="4511" ht="22.5" customHeight="1">
      <c r="B4511" s="7"/>
      <c r="C4511" s="7"/>
      <c r="D4511" s="7"/>
      <c r="E4511" s="7"/>
      <c r="F4511" s="7"/>
      <c r="G4511" s="7"/>
      <c r="H4511" s="7">
        <f t="shared" si="1"/>
        <v>1029</v>
      </c>
    </row>
    <row r="4512" ht="22.5" customHeight="1">
      <c r="B4512" s="7"/>
      <c r="C4512" s="7"/>
      <c r="D4512" s="7"/>
      <c r="E4512" s="7"/>
      <c r="F4512" s="7"/>
      <c r="G4512" s="7"/>
      <c r="H4512" s="7">
        <f t="shared" si="1"/>
        <v>1029</v>
      </c>
    </row>
    <row r="4513" ht="22.5" customHeight="1">
      <c r="B4513" s="7"/>
      <c r="C4513" s="7"/>
      <c r="D4513" s="7"/>
      <c r="E4513" s="7"/>
      <c r="F4513" s="7"/>
      <c r="G4513" s="7"/>
      <c r="H4513" s="7">
        <f t="shared" si="1"/>
        <v>1029</v>
      </c>
    </row>
    <row r="4514" ht="22.5" customHeight="1">
      <c r="B4514" s="7"/>
      <c r="C4514" s="7"/>
      <c r="D4514" s="7"/>
      <c r="E4514" s="7"/>
      <c r="F4514" s="7"/>
      <c r="G4514" s="7"/>
      <c r="H4514" s="7">
        <f t="shared" si="1"/>
        <v>1029</v>
      </c>
    </row>
    <row r="4515" ht="22.5" customHeight="1">
      <c r="B4515" s="7"/>
      <c r="C4515" s="7"/>
      <c r="D4515" s="7"/>
      <c r="E4515" s="7"/>
      <c r="F4515" s="7"/>
      <c r="G4515" s="7"/>
      <c r="H4515" s="7">
        <f t="shared" si="1"/>
        <v>1029</v>
      </c>
    </row>
    <row r="4516" ht="22.5" customHeight="1">
      <c r="B4516" s="7"/>
      <c r="C4516" s="7"/>
      <c r="D4516" s="7"/>
      <c r="E4516" s="7"/>
      <c r="F4516" s="7"/>
      <c r="G4516" s="7"/>
      <c r="H4516" s="7">
        <f t="shared" si="1"/>
        <v>1029</v>
      </c>
    </row>
    <row r="4517" ht="22.5" customHeight="1">
      <c r="B4517" s="7"/>
      <c r="C4517" s="7"/>
      <c r="D4517" s="7"/>
      <c r="E4517" s="7"/>
      <c r="F4517" s="7"/>
      <c r="G4517" s="7"/>
      <c r="H4517" s="7">
        <f t="shared" si="1"/>
        <v>1029</v>
      </c>
    </row>
    <row r="4518" ht="22.5" customHeight="1">
      <c r="B4518" s="7"/>
      <c r="C4518" s="7"/>
      <c r="D4518" s="7"/>
      <c r="E4518" s="7"/>
      <c r="F4518" s="7"/>
      <c r="G4518" s="7"/>
      <c r="H4518" s="7">
        <f t="shared" si="1"/>
        <v>1029</v>
      </c>
    </row>
    <row r="4519" ht="22.5" customHeight="1">
      <c r="B4519" s="7"/>
      <c r="C4519" s="7"/>
      <c r="D4519" s="7"/>
      <c r="E4519" s="7"/>
      <c r="F4519" s="7"/>
      <c r="G4519" s="7"/>
      <c r="H4519" s="7">
        <f t="shared" si="1"/>
        <v>1029</v>
      </c>
    </row>
    <row r="4520" ht="22.5" customHeight="1">
      <c r="B4520" s="7"/>
      <c r="C4520" s="7"/>
      <c r="D4520" s="7"/>
      <c r="E4520" s="7"/>
      <c r="F4520" s="7"/>
      <c r="G4520" s="7"/>
      <c r="H4520" s="7">
        <f t="shared" si="1"/>
        <v>1029</v>
      </c>
    </row>
    <row r="4521" ht="22.5" customHeight="1">
      <c r="B4521" s="7"/>
      <c r="C4521" s="7"/>
      <c r="D4521" s="7"/>
      <c r="E4521" s="7"/>
      <c r="F4521" s="7"/>
      <c r="G4521" s="7"/>
      <c r="H4521" s="7">
        <f t="shared" si="1"/>
        <v>1029</v>
      </c>
    </row>
    <row r="4522" ht="22.5" customHeight="1">
      <c r="B4522" s="7"/>
      <c r="C4522" s="7"/>
      <c r="D4522" s="7"/>
      <c r="E4522" s="7"/>
      <c r="F4522" s="7"/>
      <c r="G4522" s="7"/>
      <c r="H4522" s="7">
        <f t="shared" si="1"/>
        <v>1029</v>
      </c>
    </row>
    <row r="4523" ht="22.5" customHeight="1">
      <c r="B4523" s="7"/>
      <c r="C4523" s="7"/>
      <c r="D4523" s="7"/>
      <c r="E4523" s="7"/>
      <c r="F4523" s="7"/>
      <c r="G4523" s="7"/>
      <c r="H4523" s="7">
        <f t="shared" si="1"/>
        <v>1029</v>
      </c>
    </row>
    <row r="4524" ht="22.5" customHeight="1">
      <c r="B4524" s="7"/>
      <c r="C4524" s="7"/>
      <c r="D4524" s="7"/>
      <c r="E4524" s="7"/>
      <c r="F4524" s="7"/>
      <c r="G4524" s="7"/>
      <c r="H4524" s="7">
        <f t="shared" si="1"/>
        <v>1029</v>
      </c>
    </row>
    <row r="4525" ht="22.5" customHeight="1">
      <c r="B4525" s="7"/>
      <c r="C4525" s="7"/>
      <c r="D4525" s="7"/>
      <c r="E4525" s="7"/>
      <c r="F4525" s="7"/>
      <c r="G4525" s="7"/>
      <c r="H4525" s="7">
        <f t="shared" si="1"/>
        <v>1029</v>
      </c>
    </row>
    <row r="4526" ht="22.5" customHeight="1">
      <c r="B4526" s="7"/>
      <c r="C4526" s="7"/>
      <c r="D4526" s="7"/>
      <c r="E4526" s="7"/>
      <c r="F4526" s="7"/>
      <c r="G4526" s="7"/>
      <c r="H4526" s="7">
        <f t="shared" si="1"/>
        <v>1029</v>
      </c>
    </row>
    <row r="4527" ht="22.5" customHeight="1">
      <c r="B4527" s="7"/>
      <c r="C4527" s="7"/>
      <c r="D4527" s="7"/>
      <c r="E4527" s="7"/>
      <c r="F4527" s="7"/>
      <c r="G4527" s="7"/>
      <c r="H4527" s="7">
        <f t="shared" si="1"/>
        <v>1029</v>
      </c>
    </row>
    <row r="4528" ht="22.5" customHeight="1">
      <c r="B4528" s="7"/>
      <c r="C4528" s="7"/>
      <c r="D4528" s="7"/>
      <c r="E4528" s="7"/>
      <c r="F4528" s="7"/>
      <c r="G4528" s="7"/>
      <c r="H4528" s="7">
        <f t="shared" si="1"/>
        <v>1029</v>
      </c>
    </row>
    <row r="4529" ht="22.5" customHeight="1">
      <c r="B4529" s="7"/>
      <c r="C4529" s="7"/>
      <c r="D4529" s="7"/>
      <c r="E4529" s="7"/>
      <c r="F4529" s="7"/>
      <c r="G4529" s="7"/>
      <c r="H4529" s="7">
        <f t="shared" si="1"/>
        <v>1029</v>
      </c>
    </row>
    <row r="4530" ht="22.5" customHeight="1">
      <c r="B4530" s="7"/>
      <c r="C4530" s="7"/>
      <c r="D4530" s="7"/>
      <c r="E4530" s="7"/>
      <c r="F4530" s="7"/>
      <c r="G4530" s="7"/>
      <c r="H4530" s="7">
        <f t="shared" si="1"/>
        <v>1029</v>
      </c>
    </row>
    <row r="4531" ht="22.5" customHeight="1">
      <c r="B4531" s="7"/>
      <c r="C4531" s="7"/>
      <c r="D4531" s="7"/>
      <c r="E4531" s="7"/>
      <c r="F4531" s="7"/>
      <c r="G4531" s="7"/>
      <c r="H4531" s="7">
        <f t="shared" si="1"/>
        <v>1029</v>
      </c>
    </row>
    <row r="4532" ht="22.5" customHeight="1">
      <c r="B4532" s="7"/>
      <c r="C4532" s="7"/>
      <c r="D4532" s="7"/>
      <c r="E4532" s="7"/>
      <c r="F4532" s="7"/>
      <c r="G4532" s="7"/>
      <c r="H4532" s="7">
        <f t="shared" si="1"/>
        <v>1029</v>
      </c>
    </row>
    <row r="4533" ht="22.5" customHeight="1">
      <c r="B4533" s="7"/>
      <c r="C4533" s="7"/>
      <c r="D4533" s="7"/>
      <c r="E4533" s="7"/>
      <c r="F4533" s="7"/>
      <c r="G4533" s="7"/>
      <c r="H4533" s="7">
        <f t="shared" si="1"/>
        <v>1029</v>
      </c>
    </row>
    <row r="4534" ht="22.5" customHeight="1">
      <c r="B4534" s="7"/>
      <c r="C4534" s="7"/>
      <c r="D4534" s="7"/>
      <c r="E4534" s="7"/>
      <c r="F4534" s="7"/>
      <c r="G4534" s="7"/>
      <c r="H4534" s="7">
        <f t="shared" si="1"/>
        <v>1029</v>
      </c>
    </row>
    <row r="4535" ht="22.5" customHeight="1">
      <c r="B4535" s="7"/>
      <c r="C4535" s="7"/>
      <c r="D4535" s="7"/>
      <c r="E4535" s="7"/>
      <c r="F4535" s="7"/>
      <c r="G4535" s="7"/>
      <c r="H4535" s="7">
        <f t="shared" si="1"/>
        <v>1029</v>
      </c>
    </row>
    <row r="4536" ht="22.5" customHeight="1">
      <c r="B4536" s="7"/>
      <c r="C4536" s="7"/>
      <c r="D4536" s="7"/>
      <c r="E4536" s="7"/>
      <c r="F4536" s="7"/>
      <c r="G4536" s="7"/>
      <c r="H4536" s="7">
        <f t="shared" si="1"/>
        <v>1029</v>
      </c>
    </row>
    <row r="4537" ht="22.5" customHeight="1">
      <c r="B4537" s="7"/>
      <c r="C4537" s="7"/>
      <c r="D4537" s="7"/>
      <c r="E4537" s="7"/>
      <c r="F4537" s="7"/>
      <c r="G4537" s="7"/>
      <c r="H4537" s="7">
        <f t="shared" si="1"/>
        <v>1029</v>
      </c>
    </row>
    <row r="4538" ht="22.5" customHeight="1">
      <c r="B4538" s="7"/>
      <c r="C4538" s="7"/>
      <c r="D4538" s="7"/>
      <c r="E4538" s="7"/>
      <c r="F4538" s="7"/>
      <c r="G4538" s="7"/>
      <c r="H4538" s="7">
        <f t="shared" si="1"/>
        <v>1029</v>
      </c>
    </row>
    <row r="4539" ht="22.5" customHeight="1">
      <c r="B4539" s="7"/>
      <c r="C4539" s="7"/>
      <c r="D4539" s="7"/>
      <c r="E4539" s="7"/>
      <c r="F4539" s="7"/>
      <c r="G4539" s="7"/>
      <c r="H4539" s="7">
        <f t="shared" si="1"/>
        <v>1029</v>
      </c>
    </row>
    <row r="4540" ht="22.5" customHeight="1">
      <c r="B4540" s="7"/>
      <c r="C4540" s="7"/>
      <c r="D4540" s="7"/>
      <c r="E4540" s="7"/>
      <c r="F4540" s="7"/>
      <c r="G4540" s="7"/>
      <c r="H4540" s="7">
        <f t="shared" si="1"/>
        <v>1029</v>
      </c>
    </row>
    <row r="4541" ht="22.5" customHeight="1">
      <c r="B4541" s="7"/>
      <c r="C4541" s="7"/>
      <c r="D4541" s="7"/>
      <c r="E4541" s="7"/>
      <c r="F4541" s="7"/>
      <c r="G4541" s="7"/>
      <c r="H4541" s="7">
        <f t="shared" si="1"/>
        <v>1029</v>
      </c>
    </row>
    <row r="4542" ht="22.5" customHeight="1">
      <c r="B4542" s="7"/>
      <c r="C4542" s="7"/>
      <c r="D4542" s="7"/>
      <c r="E4542" s="7"/>
      <c r="F4542" s="7"/>
      <c r="G4542" s="7"/>
      <c r="H4542" s="7">
        <f t="shared" si="1"/>
        <v>1029</v>
      </c>
    </row>
    <row r="4543" ht="22.5" customHeight="1">
      <c r="B4543" s="7"/>
      <c r="C4543" s="7"/>
      <c r="D4543" s="7"/>
      <c r="E4543" s="7"/>
      <c r="F4543" s="7"/>
      <c r="G4543" s="7"/>
      <c r="H4543" s="7">
        <f t="shared" si="1"/>
        <v>1029</v>
      </c>
    </row>
    <row r="4544" ht="22.5" customHeight="1">
      <c r="B4544" s="7"/>
      <c r="C4544" s="7"/>
      <c r="D4544" s="7"/>
      <c r="E4544" s="7"/>
      <c r="F4544" s="7"/>
      <c r="G4544" s="7"/>
      <c r="H4544" s="7">
        <f t="shared" si="1"/>
        <v>1029</v>
      </c>
    </row>
    <row r="4545" ht="22.5" customHeight="1">
      <c r="B4545" s="7"/>
      <c r="C4545" s="7"/>
      <c r="D4545" s="7"/>
      <c r="E4545" s="7"/>
      <c r="F4545" s="7"/>
      <c r="G4545" s="7"/>
      <c r="H4545" s="7">
        <f t="shared" si="1"/>
        <v>1029</v>
      </c>
    </row>
    <row r="4546" ht="22.5" customHeight="1">
      <c r="B4546" s="7"/>
      <c r="C4546" s="7"/>
      <c r="D4546" s="7"/>
      <c r="E4546" s="7"/>
      <c r="F4546" s="7"/>
      <c r="G4546" s="7"/>
      <c r="H4546" s="7">
        <f t="shared" si="1"/>
        <v>1029</v>
      </c>
    </row>
    <row r="4547" ht="22.5" customHeight="1">
      <c r="B4547" s="7"/>
      <c r="C4547" s="7"/>
      <c r="D4547" s="7"/>
      <c r="E4547" s="7"/>
      <c r="F4547" s="7"/>
      <c r="G4547" s="7"/>
      <c r="H4547" s="7">
        <f t="shared" si="1"/>
        <v>1029</v>
      </c>
    </row>
    <row r="4548" ht="22.5" customHeight="1">
      <c r="B4548" s="7"/>
      <c r="C4548" s="7"/>
      <c r="D4548" s="7"/>
      <c r="E4548" s="7"/>
      <c r="F4548" s="7"/>
      <c r="G4548" s="7"/>
      <c r="H4548" s="7">
        <f t="shared" si="1"/>
        <v>1029</v>
      </c>
    </row>
    <row r="4549" ht="22.5" customHeight="1">
      <c r="B4549" s="7"/>
      <c r="C4549" s="7"/>
      <c r="D4549" s="7"/>
      <c r="E4549" s="7"/>
      <c r="F4549" s="7"/>
      <c r="G4549" s="7"/>
      <c r="H4549" s="7">
        <f t="shared" si="1"/>
        <v>1029</v>
      </c>
    </row>
    <row r="4550" ht="22.5" customHeight="1">
      <c r="B4550" s="7"/>
      <c r="C4550" s="7"/>
      <c r="D4550" s="7"/>
      <c r="E4550" s="7"/>
      <c r="F4550" s="7"/>
      <c r="G4550" s="7"/>
      <c r="H4550" s="7">
        <f t="shared" si="1"/>
        <v>1029</v>
      </c>
    </row>
    <row r="4551" ht="22.5" customHeight="1">
      <c r="B4551" s="7"/>
      <c r="C4551" s="7"/>
      <c r="D4551" s="7"/>
      <c r="E4551" s="7"/>
      <c r="F4551" s="7"/>
      <c r="G4551" s="7"/>
      <c r="H4551" s="7">
        <f t="shared" si="1"/>
        <v>1029</v>
      </c>
    </row>
    <row r="4552" ht="22.5" customHeight="1">
      <c r="B4552" s="7"/>
      <c r="C4552" s="7"/>
      <c r="D4552" s="7"/>
      <c r="E4552" s="7"/>
      <c r="F4552" s="7"/>
      <c r="G4552" s="7"/>
      <c r="H4552" s="7">
        <f t="shared" si="1"/>
        <v>1029</v>
      </c>
    </row>
    <row r="4553" ht="22.5" customHeight="1">
      <c r="B4553" s="7"/>
      <c r="C4553" s="7"/>
      <c r="D4553" s="7"/>
      <c r="E4553" s="7"/>
      <c r="F4553" s="7"/>
      <c r="G4553" s="7"/>
      <c r="H4553" s="7">
        <f t="shared" si="1"/>
        <v>1029</v>
      </c>
    </row>
    <row r="4554" ht="22.5" customHeight="1">
      <c r="B4554" s="7"/>
      <c r="C4554" s="7"/>
      <c r="D4554" s="7"/>
      <c r="E4554" s="7"/>
      <c r="F4554" s="7"/>
      <c r="G4554" s="7"/>
      <c r="H4554" s="7">
        <f t="shared" si="1"/>
        <v>1029</v>
      </c>
    </row>
    <row r="4555" ht="22.5" customHeight="1">
      <c r="B4555" s="7"/>
      <c r="C4555" s="7"/>
      <c r="D4555" s="7"/>
      <c r="E4555" s="7"/>
      <c r="F4555" s="7"/>
      <c r="G4555" s="7"/>
      <c r="H4555" s="7">
        <f t="shared" si="1"/>
        <v>1029</v>
      </c>
    </row>
    <row r="4556" ht="22.5" customHeight="1">
      <c r="B4556" s="7"/>
      <c r="C4556" s="7"/>
      <c r="D4556" s="7"/>
      <c r="E4556" s="7"/>
      <c r="F4556" s="7"/>
      <c r="G4556" s="7"/>
      <c r="H4556" s="7">
        <f t="shared" si="1"/>
        <v>1029</v>
      </c>
    </row>
    <row r="4557" ht="22.5" customHeight="1">
      <c r="B4557" s="7"/>
      <c r="C4557" s="7"/>
      <c r="D4557" s="7"/>
      <c r="E4557" s="7"/>
      <c r="F4557" s="7"/>
      <c r="G4557" s="7"/>
      <c r="H4557" s="7">
        <f t="shared" si="1"/>
        <v>1029</v>
      </c>
    </row>
    <row r="4558" ht="22.5" customHeight="1">
      <c r="B4558" s="7"/>
      <c r="C4558" s="7"/>
      <c r="D4558" s="7"/>
      <c r="E4558" s="7"/>
      <c r="F4558" s="7"/>
      <c r="G4558" s="7"/>
      <c r="H4558" s="7">
        <f t="shared" si="1"/>
        <v>1029</v>
      </c>
    </row>
    <row r="4559" ht="22.5" customHeight="1">
      <c r="B4559" s="7"/>
      <c r="C4559" s="7"/>
      <c r="D4559" s="7"/>
      <c r="E4559" s="7"/>
      <c r="F4559" s="7"/>
      <c r="G4559" s="7"/>
      <c r="H4559" s="7">
        <f t="shared" si="1"/>
        <v>1029</v>
      </c>
    </row>
    <row r="4560" ht="22.5" customHeight="1">
      <c r="B4560" s="7"/>
      <c r="C4560" s="7"/>
      <c r="D4560" s="7"/>
      <c r="E4560" s="7"/>
      <c r="F4560" s="7"/>
      <c r="G4560" s="7"/>
      <c r="H4560" s="7">
        <f t="shared" si="1"/>
        <v>1029</v>
      </c>
    </row>
    <row r="4561" ht="22.5" customHeight="1">
      <c r="B4561" s="7"/>
      <c r="C4561" s="7"/>
      <c r="D4561" s="7"/>
      <c r="E4561" s="7"/>
      <c r="F4561" s="7"/>
      <c r="G4561" s="7"/>
      <c r="H4561" s="7">
        <f t="shared" si="1"/>
        <v>1029</v>
      </c>
    </row>
    <row r="4562" ht="22.5" customHeight="1">
      <c r="B4562" s="7"/>
      <c r="C4562" s="7"/>
      <c r="D4562" s="7"/>
      <c r="E4562" s="7"/>
      <c r="F4562" s="7"/>
      <c r="G4562" s="7"/>
      <c r="H4562" s="7">
        <f t="shared" si="1"/>
        <v>1029</v>
      </c>
    </row>
    <row r="4563" ht="22.5" customHeight="1">
      <c r="B4563" s="7"/>
      <c r="C4563" s="7"/>
      <c r="D4563" s="7"/>
      <c r="E4563" s="7"/>
      <c r="F4563" s="7"/>
      <c r="G4563" s="7"/>
      <c r="H4563" s="7">
        <f t="shared" si="1"/>
        <v>1029</v>
      </c>
    </row>
    <row r="4564" ht="22.5" customHeight="1">
      <c r="B4564" s="7"/>
      <c r="C4564" s="7"/>
      <c r="D4564" s="7"/>
      <c r="E4564" s="7"/>
      <c r="F4564" s="7"/>
      <c r="G4564" s="7"/>
      <c r="H4564" s="7">
        <f t="shared" si="1"/>
        <v>1029</v>
      </c>
    </row>
    <row r="4565" ht="22.5" customHeight="1">
      <c r="B4565" s="7"/>
      <c r="C4565" s="7"/>
      <c r="D4565" s="7"/>
      <c r="E4565" s="7"/>
      <c r="F4565" s="7"/>
      <c r="G4565" s="7"/>
      <c r="H4565" s="7">
        <f t="shared" si="1"/>
        <v>1029</v>
      </c>
    </row>
    <row r="4566" ht="22.5" customHeight="1">
      <c r="B4566" s="7"/>
      <c r="C4566" s="7"/>
      <c r="D4566" s="7"/>
      <c r="E4566" s="7"/>
      <c r="F4566" s="7"/>
      <c r="G4566" s="7"/>
      <c r="H4566" s="7">
        <f t="shared" si="1"/>
        <v>1029</v>
      </c>
    </row>
    <row r="4567" ht="22.5" customHeight="1">
      <c r="B4567" s="7"/>
      <c r="C4567" s="7"/>
      <c r="D4567" s="7"/>
      <c r="E4567" s="7"/>
      <c r="F4567" s="7"/>
      <c r="G4567" s="7"/>
      <c r="H4567" s="7">
        <f t="shared" si="1"/>
        <v>1029</v>
      </c>
    </row>
    <row r="4568" ht="22.5" customHeight="1">
      <c r="B4568" s="7"/>
      <c r="C4568" s="7"/>
      <c r="D4568" s="7"/>
      <c r="E4568" s="7"/>
      <c r="F4568" s="7"/>
      <c r="G4568" s="7"/>
      <c r="H4568" s="7">
        <f t="shared" si="1"/>
        <v>1029</v>
      </c>
    </row>
    <row r="4569" ht="22.5" customHeight="1">
      <c r="B4569" s="7"/>
      <c r="C4569" s="7"/>
      <c r="D4569" s="7"/>
      <c r="E4569" s="7"/>
      <c r="F4569" s="7"/>
      <c r="G4569" s="7"/>
      <c r="H4569" s="7">
        <f t="shared" si="1"/>
        <v>1029</v>
      </c>
    </row>
    <row r="4570" ht="22.5" customHeight="1">
      <c r="B4570" s="7"/>
      <c r="C4570" s="7"/>
      <c r="D4570" s="7"/>
      <c r="E4570" s="7"/>
      <c r="F4570" s="7"/>
      <c r="G4570" s="7"/>
      <c r="H4570" s="7">
        <f t="shared" si="1"/>
        <v>1029</v>
      </c>
    </row>
    <row r="4571" ht="22.5" customHeight="1">
      <c r="B4571" s="7"/>
      <c r="C4571" s="7"/>
      <c r="D4571" s="7"/>
      <c r="E4571" s="7"/>
      <c r="F4571" s="7"/>
      <c r="G4571" s="7"/>
      <c r="H4571" s="7">
        <f t="shared" si="1"/>
        <v>1029</v>
      </c>
    </row>
    <row r="4572" ht="22.5" customHeight="1">
      <c r="B4572" s="7"/>
      <c r="C4572" s="7"/>
      <c r="D4572" s="7"/>
      <c r="E4572" s="7"/>
      <c r="F4572" s="7"/>
      <c r="G4572" s="7"/>
      <c r="H4572" s="7">
        <f t="shared" si="1"/>
        <v>1029</v>
      </c>
    </row>
    <row r="4573" ht="22.5" customHeight="1">
      <c r="B4573" s="7"/>
      <c r="C4573" s="7"/>
      <c r="D4573" s="7"/>
      <c r="E4573" s="7"/>
      <c r="F4573" s="7"/>
      <c r="G4573" s="7"/>
      <c r="H4573" s="7">
        <f t="shared" si="1"/>
        <v>1029</v>
      </c>
    </row>
    <row r="4574" ht="22.5" customHeight="1">
      <c r="B4574" s="7"/>
      <c r="C4574" s="7"/>
      <c r="D4574" s="7"/>
      <c r="E4574" s="7"/>
      <c r="F4574" s="7"/>
      <c r="G4574" s="7"/>
      <c r="H4574" s="7">
        <f t="shared" si="1"/>
        <v>1029</v>
      </c>
    </row>
    <row r="4575" ht="22.5" customHeight="1">
      <c r="B4575" s="7"/>
      <c r="C4575" s="7"/>
      <c r="D4575" s="7"/>
      <c r="E4575" s="7"/>
      <c r="F4575" s="7"/>
      <c r="G4575" s="7"/>
      <c r="H4575" s="7">
        <f t="shared" si="1"/>
        <v>1029</v>
      </c>
    </row>
    <row r="4576" ht="22.5" customHeight="1">
      <c r="B4576" s="7"/>
      <c r="C4576" s="7"/>
      <c r="D4576" s="7"/>
      <c r="E4576" s="7"/>
      <c r="F4576" s="7"/>
      <c r="G4576" s="7"/>
      <c r="H4576" s="7">
        <f t="shared" si="1"/>
        <v>1029</v>
      </c>
    </row>
    <row r="4577" ht="22.5" customHeight="1">
      <c r="B4577" s="7"/>
      <c r="C4577" s="7"/>
      <c r="D4577" s="7"/>
      <c r="E4577" s="7"/>
      <c r="F4577" s="7"/>
      <c r="G4577" s="7"/>
      <c r="H4577" s="7">
        <f t="shared" si="1"/>
        <v>1029</v>
      </c>
    </row>
    <row r="4578" ht="22.5" customHeight="1">
      <c r="B4578" s="7"/>
      <c r="C4578" s="7"/>
      <c r="D4578" s="7"/>
      <c r="E4578" s="7"/>
      <c r="F4578" s="7"/>
      <c r="G4578" s="7"/>
      <c r="H4578" s="7">
        <f t="shared" si="1"/>
        <v>1029</v>
      </c>
    </row>
    <row r="4579" ht="22.5" customHeight="1">
      <c r="B4579" s="7"/>
      <c r="C4579" s="7"/>
      <c r="D4579" s="7"/>
      <c r="E4579" s="7"/>
      <c r="F4579" s="7"/>
      <c r="G4579" s="7"/>
      <c r="H4579" s="7">
        <f t="shared" si="1"/>
        <v>1029</v>
      </c>
    </row>
    <row r="4580" ht="22.5" customHeight="1">
      <c r="B4580" s="7"/>
      <c r="C4580" s="7"/>
      <c r="D4580" s="7"/>
      <c r="E4580" s="7"/>
      <c r="F4580" s="7"/>
      <c r="G4580" s="7"/>
      <c r="H4580" s="7">
        <f t="shared" si="1"/>
        <v>1029</v>
      </c>
    </row>
    <row r="4581" ht="22.5" customHeight="1">
      <c r="B4581" s="7"/>
      <c r="C4581" s="7"/>
      <c r="D4581" s="7"/>
      <c r="E4581" s="7"/>
      <c r="F4581" s="7"/>
      <c r="G4581" s="7"/>
      <c r="H4581" s="7">
        <f t="shared" si="1"/>
        <v>1029</v>
      </c>
    </row>
    <row r="4582" ht="22.5" customHeight="1">
      <c r="B4582" s="7"/>
      <c r="C4582" s="7"/>
      <c r="D4582" s="7"/>
      <c r="E4582" s="7"/>
      <c r="F4582" s="7"/>
      <c r="G4582" s="7"/>
      <c r="H4582" s="7">
        <f t="shared" si="1"/>
        <v>1029</v>
      </c>
    </row>
    <row r="4583" ht="22.5" customHeight="1">
      <c r="B4583" s="7"/>
      <c r="C4583" s="7"/>
      <c r="D4583" s="7"/>
      <c r="E4583" s="7"/>
      <c r="F4583" s="7"/>
      <c r="G4583" s="7"/>
      <c r="H4583" s="7">
        <f t="shared" si="1"/>
        <v>1029</v>
      </c>
    </row>
    <row r="4584" ht="22.5" customHeight="1">
      <c r="B4584" s="7"/>
      <c r="C4584" s="7"/>
      <c r="D4584" s="7"/>
      <c r="E4584" s="7"/>
      <c r="F4584" s="7"/>
      <c r="G4584" s="7"/>
      <c r="H4584" s="7">
        <f t="shared" si="1"/>
        <v>1029</v>
      </c>
    </row>
    <row r="4585" ht="22.5" customHeight="1">
      <c r="B4585" s="7"/>
      <c r="C4585" s="7"/>
      <c r="D4585" s="7"/>
      <c r="E4585" s="7"/>
      <c r="F4585" s="7"/>
      <c r="G4585" s="7"/>
      <c r="H4585" s="7">
        <f t="shared" si="1"/>
        <v>1029</v>
      </c>
    </row>
    <row r="4586" ht="22.5" customHeight="1">
      <c r="B4586" s="7"/>
      <c r="C4586" s="7"/>
      <c r="D4586" s="7"/>
      <c r="E4586" s="7"/>
      <c r="F4586" s="7"/>
      <c r="G4586" s="7"/>
      <c r="H4586" s="7">
        <f t="shared" si="1"/>
        <v>1029</v>
      </c>
    </row>
    <row r="4587" ht="22.5" customHeight="1">
      <c r="B4587" s="7"/>
      <c r="C4587" s="7"/>
      <c r="D4587" s="7"/>
      <c r="E4587" s="7"/>
      <c r="F4587" s="7"/>
      <c r="G4587" s="7"/>
      <c r="H4587" s="7">
        <f t="shared" si="1"/>
        <v>1029</v>
      </c>
    </row>
    <row r="4588" ht="22.5" customHeight="1">
      <c r="B4588" s="7"/>
      <c r="C4588" s="7"/>
      <c r="D4588" s="7"/>
      <c r="E4588" s="7"/>
      <c r="F4588" s="7"/>
      <c r="G4588" s="7"/>
      <c r="H4588" s="7">
        <f t="shared" si="1"/>
        <v>1029</v>
      </c>
    </row>
    <row r="4589" ht="22.5" customHeight="1">
      <c r="B4589" s="7"/>
      <c r="C4589" s="7"/>
      <c r="D4589" s="7"/>
      <c r="E4589" s="7"/>
      <c r="F4589" s="7"/>
      <c r="G4589" s="7"/>
      <c r="H4589" s="7">
        <f t="shared" si="1"/>
        <v>1029</v>
      </c>
    </row>
    <row r="4590" ht="22.5" customHeight="1">
      <c r="B4590" s="7"/>
      <c r="C4590" s="7"/>
      <c r="D4590" s="7"/>
      <c r="E4590" s="7"/>
      <c r="F4590" s="7"/>
      <c r="G4590" s="7"/>
      <c r="H4590" s="7">
        <f t="shared" si="1"/>
        <v>1029</v>
      </c>
    </row>
    <row r="4591" ht="22.5" customHeight="1">
      <c r="B4591" s="7"/>
      <c r="C4591" s="7"/>
      <c r="D4591" s="7"/>
      <c r="E4591" s="7"/>
      <c r="F4591" s="7"/>
      <c r="G4591" s="7"/>
      <c r="H4591" s="7">
        <f t="shared" si="1"/>
        <v>1029</v>
      </c>
    </row>
    <row r="4592" ht="22.5" customHeight="1">
      <c r="B4592" s="7"/>
      <c r="C4592" s="7"/>
      <c r="D4592" s="7"/>
      <c r="E4592" s="7"/>
      <c r="F4592" s="7"/>
      <c r="G4592" s="7"/>
      <c r="H4592" s="7">
        <f t="shared" si="1"/>
        <v>1029</v>
      </c>
    </row>
    <row r="4593" ht="22.5" customHeight="1">
      <c r="B4593" s="7"/>
      <c r="C4593" s="7"/>
      <c r="D4593" s="7"/>
      <c r="E4593" s="7"/>
      <c r="F4593" s="7"/>
      <c r="G4593" s="7"/>
      <c r="H4593" s="7">
        <f t="shared" si="1"/>
        <v>1029</v>
      </c>
    </row>
    <row r="4594" ht="22.5" customHeight="1">
      <c r="B4594" s="7"/>
      <c r="C4594" s="7"/>
      <c r="D4594" s="7"/>
      <c r="E4594" s="7"/>
      <c r="F4594" s="7"/>
      <c r="G4594" s="7"/>
      <c r="H4594" s="7">
        <f t="shared" si="1"/>
        <v>1029</v>
      </c>
    </row>
    <row r="4595" ht="22.5" customHeight="1">
      <c r="B4595" s="7"/>
      <c r="C4595" s="7"/>
      <c r="D4595" s="7"/>
      <c r="E4595" s="7"/>
      <c r="F4595" s="7"/>
      <c r="G4595" s="7"/>
      <c r="H4595" s="7">
        <f t="shared" si="1"/>
        <v>1029</v>
      </c>
    </row>
    <row r="4596" ht="22.5" customHeight="1">
      <c r="B4596" s="7"/>
      <c r="C4596" s="7"/>
      <c r="D4596" s="7"/>
      <c r="E4596" s="7"/>
      <c r="F4596" s="7"/>
      <c r="G4596" s="7"/>
      <c r="H4596" s="7">
        <f t="shared" si="1"/>
        <v>1029</v>
      </c>
    </row>
    <row r="4597" ht="22.5" customHeight="1">
      <c r="B4597" s="7"/>
      <c r="C4597" s="7"/>
      <c r="D4597" s="7"/>
      <c r="E4597" s="7"/>
      <c r="F4597" s="7"/>
      <c r="G4597" s="7"/>
      <c r="H4597" s="7">
        <f t="shared" si="1"/>
        <v>1029</v>
      </c>
    </row>
    <row r="4598" ht="22.5" customHeight="1">
      <c r="B4598" s="7"/>
      <c r="C4598" s="7"/>
      <c r="D4598" s="7"/>
      <c r="E4598" s="7"/>
      <c r="F4598" s="7"/>
      <c r="G4598" s="7"/>
      <c r="H4598" s="7">
        <f t="shared" si="1"/>
        <v>1029</v>
      </c>
    </row>
    <row r="4599" ht="22.5" customHeight="1">
      <c r="B4599" s="7"/>
      <c r="C4599" s="7"/>
      <c r="D4599" s="7"/>
      <c r="E4599" s="7"/>
      <c r="F4599" s="7"/>
      <c r="G4599" s="7"/>
      <c r="H4599" s="7">
        <f t="shared" si="1"/>
        <v>1029</v>
      </c>
    </row>
    <row r="4600" ht="22.5" customHeight="1">
      <c r="B4600" s="7"/>
      <c r="C4600" s="7"/>
      <c r="D4600" s="7"/>
      <c r="E4600" s="7"/>
      <c r="F4600" s="7"/>
      <c r="G4600" s="7"/>
      <c r="H4600" s="7">
        <f t="shared" si="1"/>
        <v>1029</v>
      </c>
    </row>
    <row r="4601" ht="22.5" customHeight="1">
      <c r="B4601" s="7"/>
      <c r="C4601" s="7"/>
      <c r="D4601" s="7"/>
      <c r="E4601" s="7"/>
      <c r="F4601" s="7"/>
      <c r="G4601" s="7"/>
      <c r="H4601" s="7">
        <f t="shared" si="1"/>
        <v>1029</v>
      </c>
    </row>
    <row r="4602" ht="22.5" customHeight="1">
      <c r="B4602" s="7"/>
      <c r="C4602" s="7"/>
      <c r="D4602" s="7"/>
      <c r="E4602" s="7"/>
      <c r="F4602" s="7"/>
      <c r="G4602" s="7"/>
      <c r="H4602" s="7">
        <f t="shared" si="1"/>
        <v>1029</v>
      </c>
    </row>
    <row r="4603" ht="22.5" customHeight="1">
      <c r="B4603" s="7"/>
      <c r="C4603" s="7"/>
      <c r="D4603" s="7"/>
      <c r="E4603" s="7"/>
      <c r="F4603" s="7"/>
      <c r="G4603" s="7"/>
      <c r="H4603" s="7">
        <f t="shared" si="1"/>
        <v>1029</v>
      </c>
    </row>
    <row r="4604" ht="22.5" customHeight="1">
      <c r="B4604" s="7"/>
      <c r="C4604" s="7"/>
      <c r="D4604" s="7"/>
      <c r="E4604" s="7"/>
      <c r="F4604" s="7"/>
      <c r="G4604" s="7"/>
      <c r="H4604" s="7">
        <f t="shared" si="1"/>
        <v>1029</v>
      </c>
    </row>
    <row r="4605" ht="22.5" customHeight="1">
      <c r="B4605" s="7"/>
      <c r="C4605" s="7"/>
      <c r="D4605" s="7"/>
      <c r="E4605" s="7"/>
      <c r="F4605" s="7"/>
      <c r="G4605" s="7"/>
      <c r="H4605" s="7">
        <f t="shared" si="1"/>
        <v>1029</v>
      </c>
    </row>
    <row r="4606" ht="22.5" customHeight="1">
      <c r="B4606" s="7"/>
      <c r="C4606" s="7"/>
      <c r="D4606" s="7"/>
      <c r="E4606" s="7"/>
      <c r="F4606" s="7"/>
      <c r="G4606" s="7"/>
      <c r="H4606" s="7">
        <f t="shared" si="1"/>
        <v>1029</v>
      </c>
    </row>
    <row r="4607" ht="22.5" customHeight="1">
      <c r="B4607" s="7"/>
      <c r="C4607" s="7"/>
      <c r="D4607" s="7"/>
      <c r="E4607" s="7"/>
      <c r="F4607" s="7"/>
      <c r="G4607" s="7"/>
      <c r="H4607" s="7">
        <f t="shared" si="1"/>
        <v>1029</v>
      </c>
    </row>
    <row r="4608" ht="22.5" customHeight="1">
      <c r="B4608" s="7"/>
      <c r="C4608" s="7"/>
      <c r="D4608" s="7"/>
      <c r="E4608" s="7"/>
      <c r="F4608" s="7"/>
      <c r="G4608" s="7"/>
      <c r="H4608" s="7">
        <f t="shared" si="1"/>
        <v>1029</v>
      </c>
    </row>
    <row r="4609" ht="22.5" customHeight="1">
      <c r="B4609" s="7"/>
      <c r="C4609" s="7"/>
      <c r="D4609" s="7"/>
      <c r="E4609" s="7"/>
      <c r="F4609" s="7"/>
      <c r="G4609" s="7"/>
      <c r="H4609" s="7">
        <f t="shared" si="1"/>
        <v>1029</v>
      </c>
    </row>
    <row r="4610" ht="22.5" customHeight="1">
      <c r="B4610" s="7"/>
      <c r="C4610" s="7"/>
      <c r="D4610" s="7"/>
      <c r="E4610" s="7"/>
      <c r="F4610" s="7"/>
      <c r="G4610" s="7"/>
      <c r="H4610" s="7">
        <f t="shared" si="1"/>
        <v>1029</v>
      </c>
    </row>
    <row r="4611" ht="22.5" customHeight="1">
      <c r="B4611" s="7"/>
      <c r="C4611" s="7"/>
      <c r="D4611" s="7"/>
      <c r="E4611" s="7"/>
      <c r="F4611" s="7"/>
      <c r="G4611" s="7"/>
      <c r="H4611" s="7">
        <f t="shared" si="1"/>
        <v>1029</v>
      </c>
    </row>
    <row r="4612" ht="22.5" customHeight="1">
      <c r="B4612" s="7"/>
      <c r="C4612" s="7"/>
      <c r="D4612" s="7"/>
      <c r="E4612" s="7"/>
      <c r="F4612" s="7"/>
      <c r="G4612" s="7"/>
      <c r="H4612" s="7">
        <f t="shared" si="1"/>
        <v>1029</v>
      </c>
    </row>
    <row r="4613" ht="22.5" customHeight="1">
      <c r="B4613" s="7"/>
      <c r="C4613" s="7"/>
      <c r="D4613" s="7"/>
      <c r="E4613" s="7"/>
      <c r="F4613" s="7"/>
      <c r="G4613" s="7"/>
      <c r="H4613" s="7">
        <f t="shared" si="1"/>
        <v>1029</v>
      </c>
    </row>
    <row r="4614" ht="22.5" customHeight="1">
      <c r="B4614" s="7"/>
      <c r="C4614" s="7"/>
      <c r="D4614" s="7"/>
      <c r="E4614" s="7"/>
      <c r="F4614" s="7"/>
      <c r="G4614" s="7"/>
      <c r="H4614" s="7">
        <f t="shared" si="1"/>
        <v>1029</v>
      </c>
    </row>
    <row r="4615" ht="22.5" customHeight="1">
      <c r="B4615" s="7"/>
      <c r="C4615" s="7"/>
      <c r="D4615" s="7"/>
      <c r="E4615" s="7"/>
      <c r="F4615" s="7"/>
      <c r="G4615" s="7"/>
      <c r="H4615" s="7">
        <f t="shared" si="1"/>
        <v>1029</v>
      </c>
    </row>
    <row r="4616" ht="22.5" customHeight="1">
      <c r="B4616" s="7"/>
      <c r="C4616" s="7"/>
      <c r="D4616" s="7"/>
      <c r="E4616" s="7"/>
      <c r="F4616" s="7"/>
      <c r="G4616" s="7"/>
      <c r="H4616" s="7">
        <f t="shared" si="1"/>
        <v>1029</v>
      </c>
    </row>
    <row r="4617" ht="22.5" customHeight="1">
      <c r="B4617" s="7"/>
      <c r="C4617" s="7"/>
      <c r="D4617" s="7"/>
      <c r="E4617" s="7"/>
      <c r="F4617" s="7"/>
      <c r="G4617" s="7"/>
      <c r="H4617" s="7">
        <f t="shared" si="1"/>
        <v>1029</v>
      </c>
    </row>
    <row r="4618" ht="22.5" customHeight="1">
      <c r="B4618" s="7"/>
      <c r="C4618" s="7"/>
      <c r="D4618" s="7"/>
      <c r="E4618" s="7"/>
      <c r="F4618" s="7"/>
      <c r="G4618" s="7"/>
      <c r="H4618" s="7">
        <f t="shared" si="1"/>
        <v>1029</v>
      </c>
    </row>
    <row r="4619" ht="22.5" customHeight="1">
      <c r="B4619" s="7"/>
      <c r="C4619" s="7"/>
      <c r="D4619" s="7"/>
      <c r="E4619" s="7"/>
      <c r="F4619" s="7"/>
      <c r="G4619" s="7"/>
      <c r="H4619" s="7">
        <f t="shared" si="1"/>
        <v>1029</v>
      </c>
    </row>
    <row r="4620" ht="22.5" customHeight="1">
      <c r="B4620" s="7"/>
      <c r="C4620" s="7"/>
      <c r="D4620" s="7"/>
      <c r="E4620" s="7"/>
      <c r="F4620" s="7"/>
      <c r="G4620" s="7"/>
      <c r="H4620" s="7">
        <f t="shared" si="1"/>
        <v>1029</v>
      </c>
    </row>
    <row r="4621" ht="22.5" customHeight="1">
      <c r="B4621" s="7"/>
      <c r="C4621" s="7"/>
      <c r="D4621" s="7"/>
      <c r="E4621" s="7"/>
      <c r="F4621" s="7"/>
      <c r="G4621" s="7"/>
      <c r="H4621" s="7">
        <f t="shared" si="1"/>
        <v>1029</v>
      </c>
    </row>
    <row r="4622" ht="22.5" customHeight="1">
      <c r="B4622" s="7"/>
      <c r="C4622" s="7"/>
      <c r="D4622" s="7"/>
      <c r="E4622" s="7"/>
      <c r="F4622" s="7"/>
      <c r="G4622" s="7"/>
      <c r="H4622" s="7">
        <f t="shared" si="1"/>
        <v>1029</v>
      </c>
    </row>
    <row r="4623" ht="22.5" customHeight="1">
      <c r="B4623" s="7"/>
      <c r="C4623" s="7"/>
      <c r="D4623" s="7"/>
      <c r="E4623" s="7"/>
      <c r="F4623" s="7"/>
      <c r="G4623" s="7"/>
      <c r="H4623" s="7">
        <f t="shared" si="1"/>
        <v>1029</v>
      </c>
    </row>
    <row r="4624" ht="22.5" customHeight="1">
      <c r="B4624" s="7"/>
      <c r="C4624" s="7"/>
      <c r="D4624" s="7"/>
      <c r="E4624" s="7"/>
      <c r="F4624" s="7"/>
      <c r="G4624" s="7"/>
      <c r="H4624" s="7">
        <f t="shared" si="1"/>
        <v>1029</v>
      </c>
    </row>
    <row r="4625" ht="22.5" customHeight="1">
      <c r="B4625" s="7"/>
      <c r="C4625" s="7"/>
      <c r="D4625" s="7"/>
      <c r="E4625" s="7"/>
      <c r="F4625" s="7"/>
      <c r="G4625" s="7"/>
      <c r="H4625" s="7">
        <f t="shared" si="1"/>
        <v>1029</v>
      </c>
    </row>
    <row r="4626" ht="22.5" customHeight="1">
      <c r="B4626" s="7"/>
      <c r="C4626" s="7"/>
      <c r="D4626" s="7"/>
      <c r="E4626" s="7"/>
      <c r="F4626" s="7"/>
      <c r="G4626" s="7"/>
      <c r="H4626" s="7">
        <f t="shared" si="1"/>
        <v>1029</v>
      </c>
    </row>
    <row r="4627" ht="22.5" customHeight="1">
      <c r="B4627" s="7"/>
      <c r="C4627" s="7"/>
      <c r="D4627" s="7"/>
      <c r="E4627" s="7"/>
      <c r="F4627" s="7"/>
      <c r="G4627" s="7"/>
      <c r="H4627" s="7">
        <f t="shared" si="1"/>
        <v>1029</v>
      </c>
    </row>
    <row r="4628" ht="22.5" customHeight="1">
      <c r="B4628" s="7"/>
      <c r="C4628" s="7"/>
      <c r="D4628" s="7"/>
      <c r="E4628" s="7"/>
      <c r="F4628" s="7"/>
      <c r="G4628" s="7"/>
      <c r="H4628" s="7">
        <f t="shared" si="1"/>
        <v>1029</v>
      </c>
    </row>
    <row r="4629" ht="22.5" customHeight="1">
      <c r="B4629" s="7"/>
      <c r="C4629" s="7"/>
      <c r="D4629" s="7"/>
      <c r="E4629" s="7"/>
      <c r="F4629" s="7"/>
      <c r="G4629" s="7"/>
      <c r="H4629" s="7">
        <f t="shared" si="1"/>
        <v>1029</v>
      </c>
    </row>
    <row r="4630" ht="22.5" customHeight="1">
      <c r="B4630" s="7"/>
      <c r="C4630" s="7"/>
      <c r="D4630" s="7"/>
      <c r="E4630" s="7"/>
      <c r="F4630" s="7"/>
      <c r="G4630" s="7"/>
      <c r="H4630" s="7">
        <f t="shared" si="1"/>
        <v>1029</v>
      </c>
    </row>
    <row r="4631" ht="22.5" customHeight="1">
      <c r="B4631" s="7"/>
      <c r="C4631" s="7"/>
      <c r="D4631" s="7"/>
      <c r="E4631" s="7"/>
      <c r="F4631" s="7"/>
      <c r="G4631" s="7"/>
      <c r="H4631" s="7">
        <f t="shared" si="1"/>
        <v>1029</v>
      </c>
    </row>
    <row r="4632" ht="22.5" customHeight="1">
      <c r="B4632" s="7"/>
      <c r="C4632" s="7"/>
      <c r="D4632" s="7"/>
      <c r="E4632" s="7"/>
      <c r="F4632" s="7"/>
      <c r="G4632" s="7"/>
      <c r="H4632" s="7">
        <f t="shared" si="1"/>
        <v>1029</v>
      </c>
    </row>
    <row r="4633" ht="22.5" customHeight="1">
      <c r="B4633" s="7"/>
      <c r="C4633" s="7"/>
      <c r="D4633" s="7"/>
      <c r="E4633" s="7"/>
      <c r="F4633" s="7"/>
      <c r="G4633" s="7"/>
      <c r="H4633" s="7">
        <f t="shared" si="1"/>
        <v>1029</v>
      </c>
    </row>
    <row r="4634" ht="22.5" customHeight="1">
      <c r="B4634" s="7"/>
      <c r="C4634" s="7"/>
      <c r="D4634" s="7"/>
      <c r="E4634" s="7"/>
      <c r="F4634" s="7"/>
      <c r="G4634" s="7"/>
      <c r="H4634" s="7">
        <f t="shared" si="1"/>
        <v>1029</v>
      </c>
    </row>
    <row r="4635" ht="22.5" customHeight="1">
      <c r="B4635" s="7"/>
      <c r="C4635" s="7"/>
      <c r="D4635" s="7"/>
      <c r="E4635" s="7"/>
      <c r="F4635" s="7"/>
      <c r="G4635" s="7"/>
      <c r="H4635" s="7">
        <f t="shared" si="1"/>
        <v>1029</v>
      </c>
    </row>
    <row r="4636" ht="22.5" customHeight="1">
      <c r="B4636" s="7"/>
      <c r="C4636" s="7"/>
      <c r="D4636" s="7"/>
      <c r="E4636" s="7"/>
      <c r="F4636" s="7"/>
      <c r="G4636" s="7"/>
      <c r="H4636" s="7">
        <f t="shared" si="1"/>
        <v>1029</v>
      </c>
    </row>
    <row r="4637" ht="22.5" customHeight="1">
      <c r="B4637" s="7"/>
      <c r="C4637" s="7"/>
      <c r="D4637" s="7"/>
      <c r="E4637" s="7"/>
      <c r="F4637" s="7"/>
      <c r="G4637" s="7"/>
      <c r="H4637" s="7">
        <f t="shared" si="1"/>
        <v>1029</v>
      </c>
    </row>
    <row r="4638" ht="22.5" customHeight="1">
      <c r="B4638" s="7"/>
      <c r="C4638" s="7"/>
      <c r="D4638" s="7"/>
      <c r="E4638" s="7"/>
      <c r="F4638" s="7"/>
      <c r="G4638" s="7"/>
      <c r="H4638" s="7">
        <f t="shared" si="1"/>
        <v>1029</v>
      </c>
    </row>
    <row r="4639" ht="22.5" customHeight="1">
      <c r="B4639" s="7"/>
      <c r="C4639" s="7"/>
      <c r="D4639" s="7"/>
      <c r="E4639" s="7"/>
      <c r="F4639" s="7"/>
      <c r="G4639" s="7"/>
      <c r="H4639" s="7">
        <f t="shared" si="1"/>
        <v>1029</v>
      </c>
    </row>
    <row r="4640" ht="22.5" customHeight="1">
      <c r="B4640" s="7"/>
      <c r="C4640" s="7"/>
      <c r="D4640" s="7"/>
      <c r="E4640" s="7"/>
      <c r="F4640" s="7"/>
      <c r="G4640" s="7"/>
      <c r="H4640" s="7">
        <f t="shared" si="1"/>
        <v>1029</v>
      </c>
    </row>
    <row r="4641" ht="22.5" customHeight="1">
      <c r="B4641" s="7"/>
      <c r="C4641" s="7"/>
      <c r="D4641" s="7"/>
      <c r="E4641" s="7"/>
      <c r="F4641" s="7"/>
      <c r="G4641" s="7"/>
      <c r="H4641" s="7">
        <f t="shared" si="1"/>
        <v>1029</v>
      </c>
    </row>
    <row r="4642" ht="22.5" customHeight="1">
      <c r="B4642" s="7"/>
      <c r="C4642" s="7"/>
      <c r="D4642" s="7"/>
      <c r="E4642" s="7"/>
      <c r="F4642" s="7"/>
      <c r="G4642" s="7"/>
      <c r="H4642" s="7">
        <f t="shared" si="1"/>
        <v>1029</v>
      </c>
    </row>
    <row r="4643" ht="22.5" customHeight="1">
      <c r="B4643" s="7"/>
      <c r="C4643" s="7"/>
      <c r="D4643" s="7"/>
      <c r="E4643" s="7"/>
      <c r="F4643" s="7"/>
      <c r="G4643" s="7"/>
      <c r="H4643" s="7">
        <f t="shared" si="1"/>
        <v>1029</v>
      </c>
    </row>
    <row r="4644" ht="22.5" customHeight="1">
      <c r="B4644" s="7"/>
      <c r="C4644" s="7"/>
      <c r="D4644" s="7"/>
      <c r="E4644" s="7"/>
      <c r="F4644" s="7"/>
      <c r="G4644" s="7"/>
      <c r="H4644" s="7">
        <f t="shared" si="1"/>
        <v>1029</v>
      </c>
    </row>
    <row r="4645" ht="22.5" customHeight="1">
      <c r="B4645" s="7"/>
      <c r="C4645" s="7"/>
      <c r="D4645" s="7"/>
      <c r="E4645" s="7"/>
      <c r="F4645" s="7"/>
      <c r="G4645" s="7"/>
      <c r="H4645" s="7">
        <f t="shared" si="1"/>
        <v>1029</v>
      </c>
    </row>
    <row r="4646" ht="22.5" customHeight="1">
      <c r="B4646" s="7"/>
      <c r="C4646" s="7"/>
      <c r="D4646" s="7"/>
      <c r="E4646" s="7"/>
      <c r="F4646" s="7"/>
      <c r="G4646" s="7"/>
      <c r="H4646" s="7">
        <f t="shared" si="1"/>
        <v>1029</v>
      </c>
    </row>
    <row r="4647" ht="22.5" customHeight="1">
      <c r="B4647" s="7"/>
      <c r="C4647" s="7"/>
      <c r="D4647" s="7"/>
      <c r="E4647" s="7"/>
      <c r="F4647" s="7"/>
      <c r="G4647" s="7"/>
      <c r="H4647" s="7">
        <f t="shared" si="1"/>
        <v>1029</v>
      </c>
    </row>
    <row r="4648" ht="22.5" customHeight="1">
      <c r="B4648" s="7"/>
      <c r="C4648" s="7"/>
      <c r="D4648" s="7"/>
      <c r="E4648" s="7"/>
      <c r="F4648" s="7"/>
      <c r="G4648" s="7"/>
      <c r="H4648" s="7">
        <f t="shared" si="1"/>
        <v>1029</v>
      </c>
    </row>
    <row r="4649" ht="22.5" customHeight="1">
      <c r="B4649" s="7"/>
      <c r="C4649" s="7"/>
      <c r="D4649" s="7"/>
      <c r="E4649" s="7"/>
      <c r="F4649" s="7"/>
      <c r="G4649" s="7"/>
      <c r="H4649" s="7">
        <f t="shared" si="1"/>
        <v>1029</v>
      </c>
    </row>
    <row r="4650" ht="22.5" customHeight="1">
      <c r="B4650" s="7"/>
      <c r="C4650" s="7"/>
      <c r="D4650" s="7"/>
      <c r="E4650" s="7"/>
      <c r="F4650" s="7"/>
      <c r="G4650" s="7"/>
      <c r="H4650" s="7">
        <f t="shared" si="1"/>
        <v>1029</v>
      </c>
    </row>
    <row r="4651" ht="22.5" customHeight="1">
      <c r="B4651" s="7"/>
      <c r="C4651" s="7"/>
      <c r="D4651" s="7"/>
      <c r="E4651" s="7"/>
      <c r="F4651" s="7"/>
      <c r="G4651" s="7"/>
      <c r="H4651" s="7">
        <f t="shared" si="1"/>
        <v>1029</v>
      </c>
    </row>
    <row r="4652" ht="22.5" customHeight="1">
      <c r="B4652" s="7"/>
      <c r="C4652" s="7"/>
      <c r="D4652" s="7"/>
      <c r="E4652" s="7"/>
      <c r="F4652" s="7"/>
      <c r="G4652" s="7"/>
      <c r="H4652" s="7">
        <f t="shared" si="1"/>
        <v>1029</v>
      </c>
    </row>
    <row r="4653" ht="22.5" customHeight="1">
      <c r="B4653" s="7"/>
      <c r="C4653" s="7"/>
      <c r="D4653" s="7"/>
      <c r="E4653" s="7"/>
      <c r="F4653" s="7"/>
      <c r="G4653" s="7"/>
      <c r="H4653" s="7">
        <f t="shared" si="1"/>
        <v>1029</v>
      </c>
    </row>
    <row r="4654" ht="22.5" customHeight="1">
      <c r="B4654" s="7"/>
      <c r="C4654" s="7"/>
      <c r="D4654" s="7"/>
      <c r="E4654" s="7"/>
      <c r="F4654" s="7"/>
      <c r="G4654" s="7"/>
      <c r="H4654" s="7">
        <f t="shared" si="1"/>
        <v>1029</v>
      </c>
    </row>
    <row r="4655" ht="22.5" customHeight="1">
      <c r="B4655" s="7"/>
      <c r="C4655" s="7"/>
      <c r="D4655" s="7"/>
      <c r="E4655" s="7"/>
      <c r="F4655" s="7"/>
      <c r="G4655" s="7"/>
      <c r="H4655" s="7">
        <f t="shared" si="1"/>
        <v>1029</v>
      </c>
    </row>
    <row r="4656" ht="22.5" customHeight="1">
      <c r="B4656" s="7"/>
      <c r="C4656" s="7"/>
      <c r="D4656" s="7"/>
      <c r="E4656" s="7"/>
      <c r="F4656" s="7"/>
      <c r="G4656" s="7"/>
      <c r="H4656" s="7">
        <f t="shared" si="1"/>
        <v>1029</v>
      </c>
    </row>
    <row r="4657" ht="22.5" customHeight="1">
      <c r="B4657" s="7"/>
      <c r="C4657" s="7"/>
      <c r="D4657" s="7"/>
      <c r="E4657" s="7"/>
      <c r="F4657" s="7"/>
      <c r="G4657" s="7"/>
      <c r="H4657" s="7">
        <f t="shared" si="1"/>
        <v>1029</v>
      </c>
    </row>
    <row r="4658" ht="22.5" customHeight="1">
      <c r="B4658" s="7"/>
      <c r="C4658" s="7"/>
      <c r="D4658" s="7"/>
      <c r="E4658" s="7"/>
      <c r="F4658" s="7"/>
      <c r="G4658" s="7"/>
      <c r="H4658" s="7">
        <f t="shared" si="1"/>
        <v>1029</v>
      </c>
    </row>
    <row r="4659" ht="22.5" customHeight="1">
      <c r="B4659" s="7"/>
      <c r="C4659" s="7"/>
      <c r="D4659" s="7"/>
      <c r="E4659" s="7"/>
      <c r="F4659" s="7"/>
      <c r="G4659" s="7"/>
      <c r="H4659" s="7">
        <f t="shared" si="1"/>
        <v>1029</v>
      </c>
    </row>
    <row r="4660" ht="22.5" customHeight="1">
      <c r="B4660" s="7"/>
      <c r="C4660" s="7"/>
      <c r="D4660" s="7"/>
      <c r="E4660" s="7"/>
      <c r="F4660" s="7"/>
      <c r="G4660" s="7"/>
      <c r="H4660" s="7">
        <f t="shared" si="1"/>
        <v>1029</v>
      </c>
    </row>
    <row r="4661" ht="22.5" customHeight="1">
      <c r="B4661" s="7"/>
      <c r="C4661" s="7"/>
      <c r="D4661" s="7"/>
      <c r="E4661" s="7"/>
      <c r="F4661" s="7"/>
      <c r="G4661" s="7"/>
      <c r="H4661" s="7">
        <f t="shared" si="1"/>
        <v>1029</v>
      </c>
    </row>
    <row r="4662" ht="22.5" customHeight="1">
      <c r="B4662" s="7"/>
      <c r="C4662" s="7"/>
      <c r="D4662" s="7"/>
      <c r="E4662" s="7"/>
      <c r="F4662" s="7"/>
      <c r="G4662" s="7"/>
      <c r="H4662" s="7">
        <f t="shared" si="1"/>
        <v>1029</v>
      </c>
    </row>
    <row r="4663" ht="22.5" customHeight="1">
      <c r="B4663" s="7"/>
      <c r="C4663" s="7"/>
      <c r="D4663" s="7"/>
      <c r="E4663" s="7"/>
      <c r="F4663" s="7"/>
      <c r="G4663" s="7"/>
      <c r="H4663" s="7">
        <f t="shared" si="1"/>
        <v>1029</v>
      </c>
    </row>
    <row r="4664" ht="22.5" customHeight="1">
      <c r="B4664" s="7"/>
      <c r="C4664" s="7"/>
      <c r="D4664" s="7"/>
      <c r="E4664" s="7"/>
      <c r="F4664" s="7"/>
      <c r="G4664" s="7"/>
      <c r="H4664" s="7">
        <f t="shared" si="1"/>
        <v>1029</v>
      </c>
    </row>
    <row r="4665" ht="22.5" customHeight="1">
      <c r="B4665" s="7"/>
      <c r="C4665" s="7"/>
      <c r="D4665" s="7"/>
      <c r="E4665" s="7"/>
      <c r="F4665" s="7"/>
      <c r="G4665" s="7"/>
      <c r="H4665" s="7">
        <f t="shared" si="1"/>
        <v>1029</v>
      </c>
    </row>
    <row r="4666" ht="22.5" customHeight="1">
      <c r="B4666" s="7"/>
      <c r="C4666" s="7"/>
      <c r="D4666" s="7"/>
      <c r="E4666" s="7"/>
      <c r="F4666" s="7"/>
      <c r="G4666" s="7"/>
      <c r="H4666" s="7">
        <f t="shared" si="1"/>
        <v>1029</v>
      </c>
    </row>
    <row r="4667" ht="22.5" customHeight="1">
      <c r="B4667" s="7"/>
      <c r="C4667" s="7"/>
      <c r="D4667" s="7"/>
      <c r="E4667" s="7"/>
      <c r="F4667" s="7"/>
      <c r="G4667" s="7"/>
      <c r="H4667" s="7">
        <f t="shared" si="1"/>
        <v>1029</v>
      </c>
    </row>
    <row r="4668" ht="22.5" customHeight="1">
      <c r="B4668" s="7"/>
      <c r="C4668" s="7"/>
      <c r="D4668" s="7"/>
      <c r="E4668" s="7"/>
      <c r="F4668" s="7"/>
      <c r="G4668" s="7"/>
      <c r="H4668" s="7">
        <f t="shared" si="1"/>
        <v>1029</v>
      </c>
    </row>
    <row r="4669" ht="22.5" customHeight="1">
      <c r="B4669" s="7"/>
      <c r="C4669" s="7"/>
      <c r="D4669" s="7"/>
      <c r="E4669" s="7"/>
      <c r="F4669" s="7"/>
      <c r="G4669" s="7"/>
      <c r="H4669" s="7">
        <f t="shared" si="1"/>
        <v>1029</v>
      </c>
    </row>
    <row r="4670" ht="22.5" customHeight="1">
      <c r="B4670" s="7"/>
      <c r="C4670" s="7"/>
      <c r="D4670" s="7"/>
      <c r="E4670" s="7"/>
      <c r="F4670" s="7"/>
      <c r="G4670" s="7"/>
      <c r="H4670" s="7">
        <f t="shared" si="1"/>
        <v>1029</v>
      </c>
    </row>
    <row r="4671" ht="22.5" customHeight="1">
      <c r="B4671" s="7"/>
      <c r="C4671" s="7"/>
      <c r="D4671" s="7"/>
      <c r="E4671" s="7"/>
      <c r="F4671" s="7"/>
      <c r="G4671" s="7"/>
      <c r="H4671" s="7">
        <f t="shared" si="1"/>
        <v>1029</v>
      </c>
    </row>
    <row r="4672" ht="22.5" customHeight="1">
      <c r="B4672" s="7"/>
      <c r="C4672" s="7"/>
      <c r="D4672" s="7"/>
      <c r="E4672" s="7"/>
      <c r="F4672" s="7"/>
      <c r="G4672" s="7"/>
      <c r="H4672" s="7">
        <f t="shared" si="1"/>
        <v>1029</v>
      </c>
    </row>
    <row r="4673" ht="22.5" customHeight="1">
      <c r="B4673" s="7"/>
      <c r="C4673" s="7"/>
      <c r="D4673" s="7"/>
      <c r="E4673" s="7"/>
      <c r="F4673" s="7"/>
      <c r="G4673" s="7"/>
      <c r="H4673" s="7">
        <f t="shared" si="1"/>
        <v>1029</v>
      </c>
    </row>
    <row r="4674" ht="22.5" customHeight="1">
      <c r="B4674" s="7"/>
      <c r="C4674" s="7"/>
      <c r="D4674" s="7"/>
      <c r="E4674" s="7"/>
      <c r="F4674" s="7"/>
      <c r="G4674" s="7"/>
      <c r="H4674" s="7">
        <f t="shared" si="1"/>
        <v>1029</v>
      </c>
    </row>
    <row r="4675" ht="22.5" customHeight="1">
      <c r="B4675" s="7"/>
      <c r="C4675" s="7"/>
      <c r="D4675" s="7"/>
      <c r="E4675" s="7"/>
      <c r="F4675" s="7"/>
      <c r="G4675" s="7"/>
      <c r="H4675" s="7">
        <f t="shared" si="1"/>
        <v>1029</v>
      </c>
    </row>
    <row r="4676" ht="22.5" customHeight="1">
      <c r="B4676" s="7"/>
      <c r="C4676" s="7"/>
      <c r="D4676" s="7"/>
      <c r="E4676" s="7"/>
      <c r="F4676" s="7"/>
      <c r="G4676" s="7"/>
      <c r="H4676" s="7">
        <f t="shared" si="1"/>
        <v>1029</v>
      </c>
    </row>
    <row r="4677" ht="22.5" customHeight="1">
      <c r="B4677" s="7"/>
      <c r="C4677" s="7"/>
      <c r="D4677" s="7"/>
      <c r="E4677" s="7"/>
      <c r="F4677" s="7"/>
      <c r="G4677" s="7"/>
      <c r="H4677" s="7">
        <f t="shared" si="1"/>
        <v>1029</v>
      </c>
    </row>
    <row r="4678" ht="22.5" customHeight="1">
      <c r="B4678" s="7"/>
      <c r="C4678" s="7"/>
      <c r="D4678" s="7"/>
      <c r="E4678" s="7"/>
      <c r="F4678" s="7"/>
      <c r="G4678" s="7"/>
      <c r="H4678" s="7">
        <f t="shared" si="1"/>
        <v>1029</v>
      </c>
    </row>
    <row r="4679" ht="22.5" customHeight="1">
      <c r="B4679" s="7"/>
      <c r="C4679" s="7"/>
      <c r="D4679" s="7"/>
      <c r="E4679" s="7"/>
      <c r="F4679" s="7"/>
      <c r="G4679" s="7"/>
      <c r="H4679" s="7">
        <f t="shared" si="1"/>
        <v>1029</v>
      </c>
    </row>
    <row r="4680" ht="22.5" customHeight="1">
      <c r="B4680" s="7"/>
      <c r="C4680" s="7"/>
      <c r="D4680" s="7"/>
      <c r="E4680" s="7"/>
      <c r="F4680" s="7"/>
      <c r="G4680" s="7"/>
      <c r="H4680" s="7">
        <f t="shared" si="1"/>
        <v>1029</v>
      </c>
    </row>
    <row r="4681" ht="22.5" customHeight="1">
      <c r="B4681" s="7"/>
      <c r="C4681" s="7"/>
      <c r="D4681" s="7"/>
      <c r="E4681" s="7"/>
      <c r="F4681" s="7"/>
      <c r="G4681" s="7"/>
      <c r="H4681" s="7">
        <f t="shared" si="1"/>
        <v>1029</v>
      </c>
    </row>
    <row r="4682" ht="22.5" customHeight="1">
      <c r="B4682" s="7"/>
      <c r="C4682" s="7"/>
      <c r="D4682" s="7"/>
      <c r="E4682" s="7"/>
      <c r="F4682" s="7"/>
      <c r="G4682" s="7"/>
      <c r="H4682" s="7">
        <f t="shared" si="1"/>
        <v>1029</v>
      </c>
    </row>
    <row r="4683" ht="22.5" customHeight="1">
      <c r="B4683" s="7"/>
      <c r="C4683" s="7"/>
      <c r="D4683" s="7"/>
      <c r="E4683" s="7"/>
      <c r="F4683" s="7"/>
      <c r="G4683" s="7"/>
      <c r="H4683" s="7">
        <f t="shared" si="1"/>
        <v>1029</v>
      </c>
    </row>
    <row r="4684" ht="22.5" customHeight="1">
      <c r="B4684" s="7"/>
      <c r="C4684" s="7"/>
      <c r="D4684" s="7"/>
      <c r="E4684" s="7"/>
      <c r="F4684" s="7"/>
      <c r="G4684" s="7"/>
      <c r="H4684" s="7">
        <f t="shared" si="1"/>
        <v>1029</v>
      </c>
    </row>
    <row r="4685" ht="22.5" customHeight="1">
      <c r="B4685" s="7"/>
      <c r="C4685" s="7"/>
      <c r="D4685" s="7"/>
      <c r="E4685" s="7"/>
      <c r="F4685" s="7"/>
      <c r="G4685" s="7"/>
      <c r="H4685" s="7">
        <f t="shared" si="1"/>
        <v>1029</v>
      </c>
    </row>
    <row r="4686" ht="22.5" customHeight="1">
      <c r="B4686" s="7"/>
      <c r="C4686" s="7"/>
      <c r="D4686" s="7"/>
      <c r="E4686" s="7"/>
      <c r="F4686" s="7"/>
      <c r="G4686" s="7"/>
      <c r="H4686" s="7">
        <f t="shared" si="1"/>
        <v>1029</v>
      </c>
    </row>
    <row r="4687" ht="22.5" customHeight="1">
      <c r="B4687" s="7"/>
      <c r="C4687" s="7"/>
      <c r="D4687" s="7"/>
      <c r="E4687" s="7"/>
      <c r="F4687" s="7"/>
      <c r="G4687" s="7"/>
      <c r="H4687" s="7">
        <f t="shared" si="1"/>
        <v>1029</v>
      </c>
    </row>
    <row r="4688" ht="22.5" customHeight="1">
      <c r="B4688" s="7"/>
      <c r="C4688" s="7"/>
      <c r="D4688" s="7"/>
      <c r="E4688" s="7"/>
      <c r="F4688" s="7"/>
      <c r="G4688" s="7"/>
      <c r="H4688" s="7">
        <f t="shared" si="1"/>
        <v>1029</v>
      </c>
    </row>
    <row r="4689" ht="22.5" customHeight="1">
      <c r="B4689" s="7"/>
      <c r="C4689" s="7"/>
      <c r="D4689" s="7"/>
      <c r="E4689" s="7"/>
      <c r="F4689" s="7"/>
      <c r="G4689" s="7"/>
      <c r="H4689" s="7">
        <f t="shared" si="1"/>
        <v>1029</v>
      </c>
    </row>
    <row r="4690" ht="22.5" customHeight="1">
      <c r="B4690" s="7"/>
      <c r="C4690" s="7"/>
      <c r="D4690" s="7"/>
      <c r="E4690" s="7"/>
      <c r="F4690" s="7"/>
      <c r="G4690" s="7"/>
      <c r="H4690" s="7">
        <f t="shared" si="1"/>
        <v>1029</v>
      </c>
    </row>
    <row r="4691" ht="22.5" customHeight="1">
      <c r="B4691" s="7"/>
      <c r="C4691" s="7"/>
      <c r="D4691" s="7"/>
      <c r="E4691" s="7"/>
      <c r="F4691" s="7"/>
      <c r="G4691" s="7"/>
      <c r="H4691" s="7">
        <f t="shared" si="1"/>
        <v>1029</v>
      </c>
    </row>
    <row r="4692" ht="22.5" customHeight="1">
      <c r="B4692" s="7"/>
      <c r="C4692" s="7"/>
      <c r="D4692" s="7"/>
      <c r="E4692" s="7"/>
      <c r="F4692" s="7"/>
      <c r="G4692" s="7"/>
      <c r="H4692" s="7">
        <f t="shared" si="1"/>
        <v>1029</v>
      </c>
    </row>
    <row r="4693" ht="22.5" customHeight="1">
      <c r="B4693" s="7"/>
      <c r="C4693" s="7"/>
      <c r="D4693" s="7"/>
      <c r="E4693" s="7"/>
      <c r="F4693" s="7"/>
      <c r="G4693" s="7"/>
      <c r="H4693" s="7">
        <f t="shared" si="1"/>
        <v>1029</v>
      </c>
    </row>
    <row r="4694" ht="22.5" customHeight="1">
      <c r="B4694" s="7"/>
      <c r="C4694" s="7"/>
      <c r="D4694" s="7"/>
      <c r="E4694" s="7"/>
      <c r="F4694" s="7"/>
      <c r="G4694" s="7"/>
      <c r="H4694" s="7">
        <f t="shared" si="1"/>
        <v>1029</v>
      </c>
    </row>
    <row r="4695" ht="22.5" customHeight="1">
      <c r="B4695" s="7"/>
      <c r="C4695" s="7"/>
      <c r="D4695" s="7"/>
      <c r="E4695" s="7"/>
      <c r="F4695" s="7"/>
      <c r="G4695" s="7"/>
      <c r="H4695" s="7">
        <f t="shared" si="1"/>
        <v>1029</v>
      </c>
    </row>
    <row r="4696" ht="22.5" customHeight="1">
      <c r="B4696" s="7"/>
      <c r="C4696" s="7"/>
      <c r="D4696" s="7"/>
      <c r="E4696" s="7"/>
      <c r="F4696" s="7"/>
      <c r="G4696" s="7"/>
      <c r="H4696" s="7">
        <f t="shared" si="1"/>
        <v>1029</v>
      </c>
    </row>
    <row r="4697" ht="22.5" customHeight="1">
      <c r="B4697" s="7"/>
      <c r="C4697" s="7"/>
      <c r="D4697" s="7"/>
      <c r="E4697" s="7"/>
      <c r="F4697" s="7"/>
      <c r="G4697" s="7"/>
      <c r="H4697" s="7">
        <f t="shared" si="1"/>
        <v>1029</v>
      </c>
    </row>
    <row r="4698" ht="22.5" customHeight="1">
      <c r="B4698" s="7"/>
      <c r="C4698" s="7"/>
      <c r="D4698" s="7"/>
      <c r="E4698" s="7"/>
      <c r="F4698" s="7"/>
      <c r="G4698" s="7"/>
      <c r="H4698" s="7">
        <f t="shared" si="1"/>
        <v>1029</v>
      </c>
    </row>
    <row r="4699" ht="22.5" customHeight="1">
      <c r="B4699" s="7"/>
      <c r="C4699" s="7"/>
      <c r="D4699" s="7"/>
      <c r="E4699" s="7"/>
      <c r="F4699" s="7"/>
      <c r="G4699" s="7"/>
      <c r="H4699" s="7">
        <f t="shared" si="1"/>
        <v>1029</v>
      </c>
    </row>
    <row r="4700" ht="22.5" customHeight="1">
      <c r="B4700" s="7"/>
      <c r="C4700" s="7"/>
      <c r="D4700" s="7"/>
      <c r="E4700" s="7"/>
      <c r="F4700" s="7"/>
      <c r="G4700" s="7"/>
      <c r="H4700" s="7">
        <f t="shared" si="1"/>
        <v>1029</v>
      </c>
    </row>
    <row r="4701" ht="22.5" customHeight="1">
      <c r="B4701" s="7"/>
      <c r="C4701" s="7"/>
      <c r="D4701" s="7"/>
      <c r="E4701" s="7"/>
      <c r="F4701" s="7"/>
      <c r="G4701" s="7"/>
      <c r="H4701" s="7">
        <f t="shared" si="1"/>
        <v>1029</v>
      </c>
    </row>
    <row r="4702" ht="22.5" customHeight="1">
      <c r="B4702" s="7"/>
      <c r="C4702" s="7"/>
      <c r="D4702" s="7"/>
      <c r="E4702" s="7"/>
      <c r="F4702" s="7"/>
      <c r="G4702" s="7"/>
      <c r="H4702" s="7">
        <f t="shared" si="1"/>
        <v>1029</v>
      </c>
    </row>
    <row r="4703" ht="22.5" customHeight="1">
      <c r="B4703" s="7"/>
      <c r="C4703" s="7"/>
      <c r="D4703" s="7"/>
      <c r="E4703" s="7"/>
      <c r="F4703" s="7"/>
      <c r="G4703" s="7"/>
      <c r="H4703" s="7">
        <f t="shared" si="1"/>
        <v>1029</v>
      </c>
    </row>
    <row r="4704" ht="22.5" customHeight="1">
      <c r="B4704" s="7"/>
      <c r="C4704" s="7"/>
      <c r="D4704" s="7"/>
      <c r="E4704" s="7"/>
      <c r="F4704" s="7"/>
      <c r="G4704" s="7"/>
      <c r="H4704" s="7">
        <f t="shared" si="1"/>
        <v>1029</v>
      </c>
    </row>
    <row r="4705" ht="22.5" customHeight="1">
      <c r="B4705" s="7"/>
      <c r="C4705" s="7"/>
      <c r="D4705" s="7"/>
      <c r="E4705" s="7"/>
      <c r="F4705" s="7"/>
      <c r="G4705" s="7"/>
      <c r="H4705" s="7">
        <f t="shared" si="1"/>
        <v>1029</v>
      </c>
    </row>
    <row r="4706" ht="22.5" customHeight="1">
      <c r="B4706" s="7"/>
      <c r="C4706" s="7"/>
      <c r="D4706" s="7"/>
      <c r="E4706" s="7"/>
      <c r="F4706" s="7"/>
      <c r="G4706" s="7"/>
      <c r="H4706" s="7">
        <f t="shared" si="1"/>
        <v>1029</v>
      </c>
    </row>
    <row r="4707" ht="22.5" customHeight="1">
      <c r="B4707" s="7"/>
      <c r="C4707" s="7"/>
      <c r="D4707" s="7"/>
      <c r="E4707" s="7"/>
      <c r="F4707" s="7"/>
      <c r="G4707" s="7"/>
      <c r="H4707" s="7">
        <f t="shared" si="1"/>
        <v>1029</v>
      </c>
    </row>
    <row r="4708" ht="22.5" customHeight="1">
      <c r="B4708" s="7"/>
      <c r="C4708" s="7"/>
      <c r="D4708" s="7"/>
      <c r="E4708" s="7"/>
      <c r="F4708" s="7"/>
      <c r="G4708" s="7"/>
      <c r="H4708" s="7">
        <f t="shared" si="1"/>
        <v>1029</v>
      </c>
    </row>
    <row r="4709" ht="22.5" customHeight="1">
      <c r="B4709" s="7"/>
      <c r="C4709" s="7"/>
      <c r="D4709" s="7"/>
      <c r="E4709" s="7"/>
      <c r="F4709" s="7"/>
      <c r="G4709" s="7"/>
      <c r="H4709" s="7">
        <f t="shared" si="1"/>
        <v>1029</v>
      </c>
    </row>
    <row r="4710" ht="22.5" customHeight="1">
      <c r="B4710" s="7"/>
      <c r="C4710" s="7"/>
      <c r="D4710" s="7"/>
      <c r="E4710" s="7"/>
      <c r="F4710" s="7"/>
      <c r="G4710" s="7"/>
      <c r="H4710" s="7">
        <f t="shared" si="1"/>
        <v>1029</v>
      </c>
    </row>
    <row r="4711" ht="22.5" customHeight="1">
      <c r="B4711" s="7"/>
      <c r="C4711" s="7"/>
      <c r="D4711" s="7"/>
      <c r="E4711" s="7"/>
      <c r="F4711" s="7"/>
      <c r="G4711" s="7"/>
      <c r="H4711" s="7">
        <f t="shared" si="1"/>
        <v>1029</v>
      </c>
    </row>
    <row r="4712" ht="22.5" customHeight="1">
      <c r="B4712" s="7"/>
      <c r="C4712" s="7"/>
      <c r="D4712" s="7"/>
      <c r="E4712" s="7"/>
      <c r="F4712" s="7"/>
      <c r="G4712" s="7"/>
      <c r="H4712" s="7">
        <f t="shared" si="1"/>
        <v>1029</v>
      </c>
    </row>
    <row r="4713" ht="22.5" customHeight="1">
      <c r="B4713" s="7"/>
      <c r="C4713" s="7"/>
      <c r="D4713" s="7"/>
      <c r="E4713" s="7"/>
      <c r="F4713" s="7"/>
      <c r="G4713" s="7"/>
      <c r="H4713" s="7">
        <f t="shared" si="1"/>
        <v>1029</v>
      </c>
    </row>
    <row r="4714" ht="22.5" customHeight="1">
      <c r="B4714" s="7"/>
      <c r="C4714" s="7"/>
      <c r="D4714" s="7"/>
      <c r="E4714" s="7"/>
      <c r="F4714" s="7"/>
      <c r="G4714" s="7"/>
      <c r="H4714" s="7">
        <f t="shared" si="1"/>
        <v>1029</v>
      </c>
    </row>
    <row r="4715" ht="22.5" customHeight="1">
      <c r="B4715" s="7"/>
      <c r="C4715" s="7"/>
      <c r="D4715" s="7"/>
      <c r="E4715" s="7"/>
      <c r="F4715" s="7"/>
      <c r="G4715" s="7"/>
      <c r="H4715" s="7">
        <f t="shared" si="1"/>
        <v>1029</v>
      </c>
    </row>
    <row r="4716" ht="22.5" customHeight="1">
      <c r="B4716" s="7"/>
      <c r="C4716" s="7"/>
      <c r="D4716" s="7"/>
      <c r="E4716" s="7"/>
      <c r="F4716" s="7"/>
      <c r="G4716" s="7"/>
      <c r="H4716" s="7">
        <f t="shared" si="1"/>
        <v>1029</v>
      </c>
    </row>
    <row r="4717" ht="22.5" customHeight="1">
      <c r="B4717" s="7"/>
      <c r="C4717" s="7"/>
      <c r="D4717" s="7"/>
      <c r="E4717" s="7"/>
      <c r="F4717" s="7"/>
      <c r="G4717" s="7"/>
      <c r="H4717" s="7">
        <f t="shared" si="1"/>
        <v>1029</v>
      </c>
    </row>
    <row r="4718" ht="22.5" customHeight="1">
      <c r="B4718" s="7"/>
      <c r="C4718" s="7"/>
      <c r="D4718" s="7"/>
      <c r="E4718" s="7"/>
      <c r="F4718" s="7"/>
      <c r="G4718" s="7"/>
      <c r="H4718" s="7">
        <f t="shared" si="1"/>
        <v>1029</v>
      </c>
    </row>
    <row r="4719" ht="22.5" customHeight="1">
      <c r="B4719" s="7"/>
      <c r="C4719" s="7"/>
      <c r="D4719" s="7"/>
      <c r="E4719" s="7"/>
      <c r="F4719" s="7"/>
      <c r="G4719" s="7"/>
      <c r="H4719" s="7">
        <f t="shared" si="1"/>
        <v>1029</v>
      </c>
    </row>
    <row r="4720" ht="22.5" customHeight="1">
      <c r="B4720" s="7"/>
      <c r="C4720" s="7"/>
      <c r="D4720" s="7"/>
      <c r="E4720" s="7"/>
      <c r="F4720" s="7"/>
      <c r="G4720" s="7"/>
      <c r="H4720" s="7">
        <f t="shared" si="1"/>
        <v>1029</v>
      </c>
    </row>
    <row r="4721" ht="22.5" customHeight="1">
      <c r="B4721" s="7"/>
      <c r="C4721" s="7"/>
      <c r="D4721" s="7"/>
      <c r="E4721" s="7"/>
      <c r="F4721" s="7"/>
      <c r="G4721" s="7"/>
      <c r="H4721" s="7">
        <f t="shared" si="1"/>
        <v>1029</v>
      </c>
    </row>
    <row r="4722" ht="22.5" customHeight="1">
      <c r="B4722" s="7"/>
      <c r="C4722" s="7"/>
      <c r="D4722" s="7"/>
      <c r="E4722" s="7"/>
      <c r="F4722" s="7"/>
      <c r="G4722" s="7"/>
      <c r="H4722" s="7">
        <f t="shared" si="1"/>
        <v>1029</v>
      </c>
    </row>
    <row r="4723" ht="22.5" customHeight="1">
      <c r="B4723" s="7"/>
      <c r="C4723" s="7"/>
      <c r="D4723" s="7"/>
      <c r="E4723" s="7"/>
      <c r="F4723" s="7"/>
      <c r="G4723" s="7"/>
      <c r="H4723" s="7">
        <f t="shared" si="1"/>
        <v>1029</v>
      </c>
    </row>
    <row r="4724" ht="22.5" customHeight="1">
      <c r="B4724" s="7"/>
      <c r="C4724" s="7"/>
      <c r="D4724" s="7"/>
      <c r="E4724" s="7"/>
      <c r="F4724" s="7"/>
      <c r="G4724" s="7"/>
      <c r="H4724" s="7">
        <f t="shared" si="1"/>
        <v>1029</v>
      </c>
    </row>
    <row r="4725" ht="22.5" customHeight="1">
      <c r="B4725" s="7"/>
      <c r="C4725" s="7"/>
      <c r="D4725" s="7"/>
      <c r="E4725" s="7"/>
      <c r="F4725" s="7"/>
      <c r="G4725" s="7"/>
      <c r="H4725" s="7">
        <f t="shared" si="1"/>
        <v>1029</v>
      </c>
    </row>
    <row r="4726" ht="22.5" customHeight="1">
      <c r="B4726" s="7"/>
      <c r="C4726" s="7"/>
      <c r="D4726" s="7"/>
      <c r="E4726" s="7"/>
      <c r="F4726" s="7"/>
      <c r="G4726" s="7"/>
      <c r="H4726" s="7">
        <f t="shared" si="1"/>
        <v>1029</v>
      </c>
    </row>
    <row r="4727" ht="22.5" customHeight="1">
      <c r="B4727" s="7"/>
      <c r="C4727" s="7"/>
      <c r="D4727" s="7"/>
      <c r="E4727" s="7"/>
      <c r="F4727" s="7"/>
      <c r="G4727" s="7"/>
      <c r="H4727" s="7">
        <f t="shared" si="1"/>
        <v>1029</v>
      </c>
    </row>
    <row r="4728" ht="22.5" customHeight="1">
      <c r="B4728" s="7"/>
      <c r="C4728" s="7"/>
      <c r="D4728" s="7"/>
      <c r="E4728" s="7"/>
      <c r="F4728" s="7"/>
      <c r="G4728" s="7"/>
      <c r="H4728" s="7">
        <f t="shared" si="1"/>
        <v>1029</v>
      </c>
    </row>
    <row r="4729" ht="22.5" customHeight="1">
      <c r="B4729" s="7"/>
      <c r="C4729" s="7"/>
      <c r="D4729" s="7"/>
      <c r="E4729" s="7"/>
      <c r="F4729" s="7"/>
      <c r="G4729" s="7"/>
      <c r="H4729" s="7">
        <f t="shared" si="1"/>
        <v>1029</v>
      </c>
    </row>
    <row r="4730" ht="22.5" customHeight="1">
      <c r="B4730" s="7"/>
      <c r="C4730" s="7"/>
      <c r="D4730" s="7"/>
      <c r="E4730" s="7"/>
      <c r="F4730" s="7"/>
      <c r="G4730" s="7"/>
      <c r="H4730" s="7">
        <f t="shared" si="1"/>
        <v>1029</v>
      </c>
    </row>
    <row r="4731" ht="22.5" customHeight="1">
      <c r="B4731" s="7"/>
      <c r="C4731" s="7"/>
      <c r="D4731" s="7"/>
      <c r="E4731" s="7"/>
      <c r="F4731" s="7"/>
      <c r="G4731" s="7"/>
      <c r="H4731" s="7">
        <f t="shared" si="1"/>
        <v>1029</v>
      </c>
    </row>
    <row r="4732" ht="22.5" customHeight="1">
      <c r="B4732" s="7"/>
      <c r="C4732" s="7"/>
      <c r="D4732" s="7"/>
      <c r="E4732" s="7"/>
      <c r="F4732" s="7"/>
      <c r="G4732" s="7"/>
      <c r="H4732" s="7">
        <f t="shared" si="1"/>
        <v>1029</v>
      </c>
    </row>
    <row r="4733" ht="22.5" customHeight="1">
      <c r="B4733" s="7"/>
      <c r="C4733" s="7"/>
      <c r="D4733" s="7"/>
      <c r="E4733" s="7"/>
      <c r="F4733" s="7"/>
      <c r="G4733" s="7"/>
      <c r="H4733" s="7">
        <f t="shared" si="1"/>
        <v>1029</v>
      </c>
    </row>
    <row r="4734" ht="22.5" customHeight="1">
      <c r="B4734" s="7"/>
      <c r="C4734" s="7"/>
      <c r="D4734" s="7"/>
      <c r="E4734" s="7"/>
      <c r="F4734" s="7"/>
      <c r="G4734" s="7"/>
      <c r="H4734" s="7">
        <f t="shared" si="1"/>
        <v>1029</v>
      </c>
    </row>
    <row r="4735" ht="22.5" customHeight="1">
      <c r="B4735" s="7"/>
      <c r="C4735" s="7"/>
      <c r="D4735" s="7"/>
      <c r="E4735" s="7"/>
      <c r="F4735" s="7"/>
      <c r="G4735" s="7"/>
      <c r="H4735" s="7">
        <f t="shared" si="1"/>
        <v>1029</v>
      </c>
    </row>
    <row r="4736" ht="22.5" customHeight="1">
      <c r="B4736" s="7"/>
      <c r="C4736" s="7"/>
      <c r="D4736" s="7"/>
      <c r="E4736" s="7"/>
      <c r="F4736" s="7"/>
      <c r="G4736" s="7"/>
      <c r="H4736" s="7">
        <f t="shared" si="1"/>
        <v>1029</v>
      </c>
    </row>
    <row r="4737" ht="22.5" customHeight="1">
      <c r="B4737" s="7"/>
      <c r="C4737" s="7"/>
      <c r="D4737" s="7"/>
      <c r="E4737" s="7"/>
      <c r="F4737" s="7"/>
      <c r="G4737" s="7"/>
      <c r="H4737" s="7">
        <f t="shared" si="1"/>
        <v>1029</v>
      </c>
    </row>
    <row r="4738" ht="22.5" customHeight="1">
      <c r="B4738" s="7"/>
      <c r="C4738" s="7"/>
      <c r="D4738" s="7"/>
      <c r="E4738" s="7"/>
      <c r="F4738" s="7"/>
      <c r="G4738" s="7"/>
      <c r="H4738" s="7">
        <f t="shared" si="1"/>
        <v>1029</v>
      </c>
    </row>
    <row r="4739" ht="22.5" customHeight="1">
      <c r="B4739" s="7"/>
      <c r="C4739" s="7"/>
      <c r="D4739" s="7"/>
      <c r="E4739" s="7"/>
      <c r="F4739" s="7"/>
      <c r="G4739" s="7"/>
      <c r="H4739" s="7">
        <f t="shared" si="1"/>
        <v>1029</v>
      </c>
    </row>
    <row r="4740" ht="22.5" customHeight="1">
      <c r="B4740" s="7"/>
      <c r="C4740" s="7"/>
      <c r="D4740" s="7"/>
      <c r="E4740" s="7"/>
      <c r="F4740" s="7"/>
      <c r="G4740" s="7"/>
      <c r="H4740" s="7">
        <f t="shared" si="1"/>
        <v>1029</v>
      </c>
    </row>
    <row r="4741" ht="22.5" customHeight="1">
      <c r="B4741" s="7"/>
      <c r="C4741" s="7"/>
      <c r="D4741" s="7"/>
      <c r="E4741" s="7"/>
      <c r="F4741" s="7"/>
      <c r="G4741" s="7"/>
      <c r="H4741" s="7">
        <f t="shared" si="1"/>
        <v>1029</v>
      </c>
    </row>
    <row r="4742" ht="22.5" customHeight="1">
      <c r="B4742" s="7"/>
      <c r="C4742" s="7"/>
      <c r="D4742" s="7"/>
      <c r="E4742" s="7"/>
      <c r="F4742" s="7"/>
      <c r="G4742" s="7"/>
      <c r="H4742" s="7">
        <f t="shared" si="1"/>
        <v>1029</v>
      </c>
    </row>
    <row r="4743" ht="22.5" customHeight="1">
      <c r="B4743" s="7"/>
      <c r="C4743" s="7"/>
      <c r="D4743" s="7"/>
      <c r="E4743" s="7"/>
      <c r="F4743" s="7"/>
      <c r="G4743" s="7"/>
      <c r="H4743" s="7">
        <f t="shared" si="1"/>
        <v>1029</v>
      </c>
    </row>
    <row r="4744" ht="22.5" customHeight="1">
      <c r="B4744" s="7"/>
      <c r="C4744" s="7"/>
      <c r="D4744" s="7"/>
      <c r="E4744" s="7"/>
      <c r="F4744" s="7"/>
      <c r="G4744" s="7"/>
      <c r="H4744" s="7">
        <f t="shared" si="1"/>
        <v>1029</v>
      </c>
    </row>
    <row r="4745" ht="22.5" customHeight="1">
      <c r="B4745" s="7"/>
      <c r="C4745" s="7"/>
      <c r="D4745" s="7"/>
      <c r="E4745" s="7"/>
      <c r="F4745" s="7"/>
      <c r="G4745" s="7"/>
      <c r="H4745" s="7">
        <f t="shared" si="1"/>
        <v>1029</v>
      </c>
    </row>
    <row r="4746" ht="22.5" customHeight="1">
      <c r="B4746" s="7"/>
      <c r="C4746" s="7"/>
      <c r="D4746" s="7"/>
      <c r="E4746" s="7"/>
      <c r="F4746" s="7"/>
      <c r="G4746" s="7"/>
      <c r="H4746" s="7">
        <f t="shared" si="1"/>
        <v>1029</v>
      </c>
    </row>
    <row r="4747" ht="22.5" customHeight="1">
      <c r="B4747" s="7"/>
      <c r="C4747" s="7"/>
      <c r="D4747" s="7"/>
      <c r="E4747" s="7"/>
      <c r="F4747" s="7"/>
      <c r="G4747" s="7"/>
      <c r="H4747" s="7">
        <f t="shared" si="1"/>
        <v>1029</v>
      </c>
    </row>
    <row r="4748" ht="22.5" customHeight="1">
      <c r="B4748" s="7"/>
      <c r="C4748" s="7"/>
      <c r="D4748" s="7"/>
      <c r="E4748" s="7"/>
      <c r="F4748" s="7"/>
      <c r="G4748" s="7"/>
      <c r="H4748" s="7">
        <f t="shared" si="1"/>
        <v>1029</v>
      </c>
    </row>
    <row r="4749" ht="22.5" customHeight="1">
      <c r="B4749" s="7"/>
      <c r="C4749" s="7"/>
      <c r="D4749" s="7"/>
      <c r="E4749" s="7"/>
      <c r="F4749" s="7"/>
      <c r="G4749" s="7"/>
      <c r="H4749" s="7">
        <f t="shared" si="1"/>
        <v>1029</v>
      </c>
    </row>
    <row r="4750" ht="22.5" customHeight="1">
      <c r="B4750" s="7"/>
      <c r="C4750" s="7"/>
      <c r="D4750" s="7"/>
      <c r="E4750" s="7"/>
      <c r="F4750" s="7"/>
      <c r="G4750" s="7"/>
      <c r="H4750" s="7">
        <f t="shared" si="1"/>
        <v>1029</v>
      </c>
    </row>
    <row r="4751" ht="22.5" customHeight="1">
      <c r="B4751" s="7"/>
      <c r="C4751" s="7"/>
      <c r="D4751" s="7"/>
      <c r="E4751" s="7"/>
      <c r="F4751" s="7"/>
      <c r="G4751" s="7"/>
      <c r="H4751" s="7">
        <f t="shared" si="1"/>
        <v>1029</v>
      </c>
    </row>
    <row r="4752" ht="22.5" customHeight="1">
      <c r="B4752" s="7"/>
      <c r="C4752" s="7"/>
      <c r="D4752" s="7"/>
      <c r="E4752" s="7"/>
      <c r="F4752" s="7"/>
      <c r="G4752" s="7"/>
      <c r="H4752" s="7">
        <f t="shared" si="1"/>
        <v>1029</v>
      </c>
    </row>
    <row r="4753" ht="22.5" customHeight="1">
      <c r="B4753" s="7"/>
      <c r="C4753" s="7"/>
      <c r="D4753" s="7"/>
      <c r="E4753" s="7"/>
      <c r="F4753" s="7"/>
      <c r="G4753" s="7"/>
      <c r="H4753" s="7">
        <f t="shared" si="1"/>
        <v>1029</v>
      </c>
    </row>
    <row r="4754" ht="22.5" customHeight="1">
      <c r="B4754" s="7"/>
      <c r="C4754" s="7"/>
      <c r="D4754" s="7"/>
      <c r="E4754" s="7"/>
      <c r="F4754" s="7"/>
      <c r="G4754" s="7"/>
      <c r="H4754" s="7">
        <f t="shared" si="1"/>
        <v>1029</v>
      </c>
    </row>
    <row r="4755" ht="22.5" customHeight="1">
      <c r="B4755" s="7"/>
      <c r="C4755" s="7"/>
      <c r="D4755" s="7"/>
      <c r="E4755" s="7"/>
      <c r="F4755" s="7"/>
      <c r="G4755" s="7"/>
      <c r="H4755" s="7">
        <f t="shared" si="1"/>
        <v>1029</v>
      </c>
    </row>
    <row r="4756" ht="22.5" customHeight="1">
      <c r="B4756" s="7"/>
      <c r="C4756" s="7"/>
      <c r="D4756" s="7"/>
      <c r="E4756" s="7"/>
      <c r="F4756" s="7"/>
      <c r="G4756" s="7"/>
      <c r="H4756" s="7">
        <f t="shared" si="1"/>
        <v>1029</v>
      </c>
    </row>
    <row r="4757" ht="22.5" customHeight="1">
      <c r="B4757" s="7"/>
      <c r="C4757" s="7"/>
      <c r="D4757" s="7"/>
      <c r="E4757" s="7"/>
      <c r="F4757" s="7"/>
      <c r="G4757" s="7"/>
      <c r="H4757" s="7">
        <f t="shared" si="1"/>
        <v>1029</v>
      </c>
    </row>
    <row r="4758" ht="22.5" customHeight="1">
      <c r="B4758" s="7"/>
      <c r="C4758" s="7"/>
      <c r="D4758" s="7"/>
      <c r="E4758" s="7"/>
      <c r="F4758" s="7"/>
      <c r="G4758" s="7"/>
      <c r="H4758" s="7">
        <f t="shared" si="1"/>
        <v>1029</v>
      </c>
    </row>
    <row r="4759" ht="22.5" customHeight="1">
      <c r="B4759" s="7"/>
      <c r="C4759" s="7"/>
      <c r="D4759" s="7"/>
      <c r="E4759" s="7"/>
      <c r="F4759" s="7"/>
      <c r="G4759" s="7"/>
      <c r="H4759" s="7">
        <f t="shared" si="1"/>
        <v>1029</v>
      </c>
    </row>
    <row r="4760" ht="22.5" customHeight="1">
      <c r="B4760" s="7"/>
      <c r="C4760" s="7"/>
      <c r="D4760" s="7"/>
      <c r="E4760" s="7"/>
      <c r="F4760" s="7"/>
      <c r="G4760" s="7"/>
      <c r="H4760" s="7">
        <f t="shared" si="1"/>
        <v>1029</v>
      </c>
    </row>
    <row r="4761" ht="22.5" customHeight="1">
      <c r="B4761" s="7"/>
      <c r="C4761" s="7"/>
      <c r="D4761" s="7"/>
      <c r="E4761" s="7"/>
      <c r="F4761" s="7"/>
      <c r="G4761" s="7"/>
      <c r="H4761" s="7">
        <f t="shared" si="1"/>
        <v>1029</v>
      </c>
    </row>
    <row r="4762" ht="22.5" customHeight="1">
      <c r="B4762" s="7"/>
      <c r="C4762" s="7"/>
      <c r="D4762" s="7"/>
      <c r="E4762" s="7"/>
      <c r="F4762" s="7"/>
      <c r="G4762" s="7"/>
      <c r="H4762" s="7">
        <f t="shared" si="1"/>
        <v>1029</v>
      </c>
    </row>
    <row r="4763" ht="22.5" customHeight="1">
      <c r="B4763" s="7"/>
      <c r="C4763" s="7"/>
      <c r="D4763" s="7"/>
      <c r="E4763" s="7"/>
      <c r="F4763" s="7"/>
      <c r="G4763" s="7"/>
      <c r="H4763" s="7">
        <f t="shared" si="1"/>
        <v>1029</v>
      </c>
    </row>
    <row r="4764" ht="22.5" customHeight="1">
      <c r="B4764" s="7"/>
      <c r="C4764" s="7"/>
      <c r="D4764" s="7"/>
      <c r="E4764" s="7"/>
      <c r="F4764" s="7"/>
      <c r="G4764" s="7"/>
      <c r="H4764" s="7">
        <f t="shared" si="1"/>
        <v>1029</v>
      </c>
    </row>
    <row r="4765" ht="22.5" customHeight="1">
      <c r="B4765" s="7"/>
      <c r="C4765" s="7"/>
      <c r="D4765" s="7"/>
      <c r="E4765" s="7"/>
      <c r="F4765" s="7"/>
      <c r="G4765" s="7"/>
      <c r="H4765" s="7">
        <f t="shared" si="1"/>
        <v>1029</v>
      </c>
    </row>
    <row r="4766" ht="22.5" customHeight="1">
      <c r="B4766" s="7"/>
      <c r="C4766" s="7"/>
      <c r="D4766" s="7"/>
      <c r="E4766" s="7"/>
      <c r="F4766" s="7"/>
      <c r="G4766" s="7"/>
      <c r="H4766" s="7">
        <f t="shared" si="1"/>
        <v>1029</v>
      </c>
    </row>
    <row r="4767" ht="22.5" customHeight="1">
      <c r="B4767" s="7"/>
      <c r="C4767" s="7"/>
      <c r="D4767" s="7"/>
      <c r="E4767" s="7"/>
      <c r="F4767" s="7"/>
      <c r="G4767" s="7"/>
      <c r="H4767" s="7">
        <f t="shared" si="1"/>
        <v>1029</v>
      </c>
    </row>
    <row r="4768" ht="22.5" customHeight="1">
      <c r="B4768" s="7"/>
      <c r="C4768" s="7"/>
      <c r="D4768" s="7"/>
      <c r="E4768" s="7"/>
      <c r="F4768" s="7"/>
      <c r="G4768" s="7"/>
      <c r="H4768" s="7">
        <f t="shared" si="1"/>
        <v>1029</v>
      </c>
    </row>
    <row r="4769" ht="22.5" customHeight="1">
      <c r="B4769" s="7"/>
      <c r="C4769" s="7"/>
      <c r="D4769" s="7"/>
      <c r="E4769" s="7"/>
      <c r="F4769" s="7"/>
      <c r="G4769" s="7"/>
      <c r="H4769" s="7">
        <f t="shared" si="1"/>
        <v>1029</v>
      </c>
    </row>
    <row r="4770" ht="22.5" customHeight="1">
      <c r="B4770" s="7"/>
      <c r="C4770" s="7"/>
      <c r="D4770" s="7"/>
      <c r="E4770" s="7"/>
      <c r="F4770" s="7"/>
      <c r="G4770" s="7"/>
      <c r="H4770" s="7">
        <f t="shared" si="1"/>
        <v>1029</v>
      </c>
    </row>
    <row r="4771" ht="22.5" customHeight="1">
      <c r="B4771" s="7"/>
      <c r="C4771" s="7"/>
      <c r="D4771" s="7"/>
      <c r="E4771" s="7"/>
      <c r="F4771" s="7"/>
      <c r="G4771" s="7"/>
      <c r="H4771" s="7">
        <f t="shared" si="1"/>
        <v>1029</v>
      </c>
    </row>
    <row r="4772" ht="22.5" customHeight="1">
      <c r="B4772" s="7"/>
      <c r="C4772" s="7"/>
      <c r="D4772" s="7"/>
      <c r="E4772" s="7"/>
      <c r="F4772" s="7"/>
      <c r="G4772" s="7"/>
      <c r="H4772" s="7">
        <f t="shared" si="1"/>
        <v>1029</v>
      </c>
    </row>
    <row r="4773" ht="22.5" customHeight="1">
      <c r="B4773" s="7"/>
      <c r="C4773" s="7"/>
      <c r="D4773" s="7"/>
      <c r="E4773" s="7"/>
      <c r="F4773" s="7"/>
      <c r="G4773" s="7"/>
      <c r="H4773" s="7">
        <f t="shared" si="1"/>
        <v>1029</v>
      </c>
    </row>
    <row r="4774" ht="22.5" customHeight="1">
      <c r="B4774" s="7"/>
      <c r="C4774" s="7"/>
      <c r="D4774" s="7"/>
      <c r="E4774" s="7"/>
      <c r="F4774" s="7"/>
      <c r="G4774" s="7"/>
      <c r="H4774" s="7">
        <f t="shared" si="1"/>
        <v>1029</v>
      </c>
    </row>
    <row r="4775" ht="22.5" customHeight="1">
      <c r="B4775" s="7"/>
      <c r="C4775" s="7"/>
      <c r="D4775" s="7"/>
      <c r="E4775" s="7"/>
      <c r="F4775" s="7"/>
      <c r="G4775" s="7"/>
      <c r="H4775" s="7">
        <f t="shared" si="1"/>
        <v>1029</v>
      </c>
    </row>
    <row r="4776" ht="22.5" customHeight="1">
      <c r="B4776" s="7"/>
      <c r="C4776" s="7"/>
      <c r="D4776" s="7"/>
      <c r="E4776" s="7"/>
      <c r="F4776" s="7"/>
      <c r="G4776" s="7"/>
      <c r="H4776" s="7">
        <f t="shared" si="1"/>
        <v>1029</v>
      </c>
    </row>
    <row r="4777" ht="22.5" customHeight="1">
      <c r="B4777" s="7"/>
      <c r="C4777" s="7"/>
      <c r="D4777" s="7"/>
      <c r="E4777" s="7"/>
      <c r="F4777" s="7"/>
      <c r="G4777" s="7"/>
      <c r="H4777" s="7">
        <f t="shared" si="1"/>
        <v>1029</v>
      </c>
    </row>
    <row r="4778" ht="22.5" customHeight="1">
      <c r="B4778" s="7"/>
      <c r="C4778" s="7"/>
      <c r="D4778" s="7"/>
      <c r="E4778" s="7"/>
      <c r="F4778" s="7"/>
      <c r="G4778" s="7"/>
      <c r="H4778" s="7">
        <f t="shared" si="1"/>
        <v>1029</v>
      </c>
    </row>
    <row r="4779" ht="22.5" customHeight="1">
      <c r="B4779" s="7"/>
      <c r="C4779" s="7"/>
      <c r="D4779" s="7"/>
      <c r="E4779" s="7"/>
      <c r="F4779" s="7"/>
      <c r="G4779" s="7"/>
      <c r="H4779" s="7">
        <f t="shared" si="1"/>
        <v>1029</v>
      </c>
    </row>
    <row r="4780" ht="22.5" customHeight="1">
      <c r="B4780" s="7"/>
      <c r="C4780" s="7"/>
      <c r="D4780" s="7"/>
      <c r="E4780" s="7"/>
      <c r="F4780" s="7"/>
      <c r="G4780" s="7"/>
      <c r="H4780" s="7">
        <f t="shared" si="1"/>
        <v>1029</v>
      </c>
    </row>
    <row r="4781" ht="22.5" customHeight="1">
      <c r="B4781" s="7"/>
      <c r="C4781" s="7"/>
      <c r="D4781" s="7"/>
      <c r="E4781" s="7"/>
      <c r="F4781" s="7"/>
      <c r="G4781" s="7"/>
      <c r="H4781" s="7">
        <f t="shared" si="1"/>
        <v>1029</v>
      </c>
    </row>
    <row r="4782" ht="22.5" customHeight="1">
      <c r="B4782" s="7"/>
      <c r="C4782" s="7"/>
      <c r="D4782" s="7"/>
      <c r="E4782" s="7"/>
      <c r="F4782" s="7"/>
      <c r="G4782" s="7"/>
      <c r="H4782" s="7">
        <f t="shared" si="1"/>
        <v>1029</v>
      </c>
    </row>
    <row r="4783" ht="22.5" customHeight="1">
      <c r="B4783" s="7"/>
      <c r="C4783" s="7"/>
      <c r="D4783" s="7"/>
      <c r="E4783" s="7"/>
      <c r="F4783" s="7"/>
      <c r="G4783" s="7"/>
      <c r="H4783" s="7">
        <f t="shared" si="1"/>
        <v>1029</v>
      </c>
    </row>
    <row r="4784" ht="22.5" customHeight="1">
      <c r="B4784" s="7"/>
      <c r="C4784" s="7"/>
      <c r="D4784" s="7"/>
      <c r="E4784" s="7"/>
      <c r="F4784" s="7"/>
      <c r="G4784" s="7"/>
      <c r="H4784" s="7">
        <f t="shared" si="1"/>
        <v>1029</v>
      </c>
    </row>
    <row r="4785" ht="22.5" customHeight="1">
      <c r="B4785" s="7"/>
      <c r="C4785" s="7"/>
      <c r="D4785" s="7"/>
      <c r="E4785" s="7"/>
      <c r="F4785" s="7"/>
      <c r="G4785" s="7"/>
      <c r="H4785" s="7">
        <f t="shared" si="1"/>
        <v>1029</v>
      </c>
    </row>
    <row r="4786" ht="22.5" customHeight="1">
      <c r="B4786" s="7"/>
      <c r="C4786" s="7"/>
      <c r="D4786" s="7"/>
      <c r="E4786" s="7"/>
      <c r="F4786" s="7"/>
      <c r="G4786" s="7"/>
      <c r="H4786" s="7">
        <f t="shared" si="1"/>
        <v>1029</v>
      </c>
    </row>
    <row r="4787" ht="22.5" customHeight="1">
      <c r="B4787" s="7"/>
      <c r="C4787" s="7"/>
      <c r="D4787" s="7"/>
      <c r="E4787" s="7"/>
      <c r="F4787" s="7"/>
      <c r="G4787" s="7"/>
      <c r="H4787" s="7">
        <f t="shared" si="1"/>
        <v>1029</v>
      </c>
    </row>
    <row r="4788" ht="22.5" customHeight="1">
      <c r="B4788" s="7"/>
      <c r="C4788" s="7"/>
      <c r="D4788" s="7"/>
      <c r="E4788" s="7"/>
      <c r="F4788" s="7"/>
      <c r="G4788" s="7"/>
      <c r="H4788" s="7">
        <f t="shared" si="1"/>
        <v>1029</v>
      </c>
    </row>
    <row r="4789" ht="22.5" customHeight="1">
      <c r="B4789" s="7"/>
      <c r="C4789" s="7"/>
      <c r="D4789" s="7"/>
      <c r="E4789" s="7"/>
      <c r="F4789" s="7"/>
      <c r="G4789" s="7"/>
      <c r="H4789" s="7">
        <f t="shared" si="1"/>
        <v>1029</v>
      </c>
    </row>
    <row r="4790" ht="22.5" customHeight="1">
      <c r="B4790" s="7"/>
      <c r="C4790" s="7"/>
      <c r="D4790" s="7"/>
      <c r="E4790" s="7"/>
      <c r="F4790" s="7"/>
      <c r="G4790" s="7"/>
      <c r="H4790" s="7">
        <f t="shared" si="1"/>
        <v>1029</v>
      </c>
    </row>
    <row r="4791" ht="22.5" customHeight="1">
      <c r="B4791" s="7"/>
      <c r="C4791" s="7"/>
      <c r="D4791" s="7"/>
      <c r="E4791" s="7"/>
      <c r="F4791" s="7"/>
      <c r="G4791" s="7"/>
      <c r="H4791" s="7">
        <f t="shared" si="1"/>
        <v>1029</v>
      </c>
    </row>
    <row r="4792" ht="22.5" customHeight="1">
      <c r="B4792" s="7"/>
      <c r="C4792" s="7"/>
      <c r="D4792" s="7"/>
      <c r="E4792" s="7"/>
      <c r="F4792" s="7"/>
      <c r="G4792" s="7"/>
      <c r="H4792" s="7">
        <f t="shared" si="1"/>
        <v>1029</v>
      </c>
    </row>
    <row r="4793" ht="22.5" customHeight="1">
      <c r="B4793" s="7"/>
      <c r="C4793" s="7"/>
      <c r="D4793" s="7"/>
      <c r="E4793" s="7"/>
      <c r="F4793" s="7"/>
      <c r="G4793" s="7"/>
      <c r="H4793" s="7">
        <f t="shared" si="1"/>
        <v>1029</v>
      </c>
    </row>
    <row r="4794" ht="22.5" customHeight="1">
      <c r="B4794" s="7"/>
      <c r="C4794" s="7"/>
      <c r="D4794" s="7"/>
      <c r="E4794" s="7"/>
      <c r="F4794" s="7"/>
      <c r="G4794" s="7"/>
      <c r="H4794" s="7">
        <f t="shared" si="1"/>
        <v>1029</v>
      </c>
    </row>
    <row r="4795" ht="22.5" customHeight="1">
      <c r="B4795" s="7"/>
      <c r="C4795" s="7"/>
      <c r="D4795" s="7"/>
      <c r="E4795" s="7"/>
      <c r="F4795" s="7"/>
      <c r="G4795" s="7"/>
      <c r="H4795" s="7">
        <f t="shared" si="1"/>
        <v>1029</v>
      </c>
    </row>
    <row r="4796" ht="22.5" customHeight="1">
      <c r="B4796" s="7"/>
      <c r="C4796" s="7"/>
      <c r="D4796" s="7"/>
      <c r="E4796" s="7"/>
      <c r="F4796" s="7"/>
      <c r="G4796" s="7"/>
      <c r="H4796" s="7">
        <f t="shared" si="1"/>
        <v>1029</v>
      </c>
    </row>
    <row r="4797" ht="22.5" customHeight="1">
      <c r="B4797" s="7"/>
      <c r="C4797" s="7"/>
      <c r="D4797" s="7"/>
      <c r="E4797" s="7"/>
      <c r="F4797" s="7"/>
      <c r="G4797" s="7"/>
      <c r="H4797" s="7">
        <f t="shared" si="1"/>
        <v>1029</v>
      </c>
    </row>
    <row r="4798" ht="22.5" customHeight="1">
      <c r="B4798" s="7"/>
      <c r="C4798" s="7"/>
      <c r="D4798" s="7"/>
      <c r="E4798" s="7"/>
      <c r="F4798" s="7"/>
      <c r="G4798" s="7"/>
      <c r="H4798" s="7">
        <f t="shared" si="1"/>
        <v>1029</v>
      </c>
    </row>
    <row r="4799" ht="22.5" customHeight="1">
      <c r="B4799" s="7"/>
      <c r="C4799" s="7"/>
      <c r="D4799" s="7"/>
      <c r="E4799" s="7"/>
      <c r="F4799" s="7"/>
      <c r="G4799" s="7"/>
      <c r="H4799" s="7">
        <f t="shared" si="1"/>
        <v>1029</v>
      </c>
    </row>
    <row r="4800" ht="22.5" customHeight="1">
      <c r="B4800" s="7"/>
      <c r="C4800" s="7"/>
      <c r="D4800" s="7"/>
      <c r="E4800" s="7"/>
      <c r="F4800" s="7"/>
      <c r="G4800" s="7"/>
      <c r="H4800" s="7">
        <f t="shared" si="1"/>
        <v>1029</v>
      </c>
    </row>
    <row r="4801" ht="22.5" customHeight="1">
      <c r="B4801" s="7"/>
      <c r="C4801" s="7"/>
      <c r="D4801" s="7"/>
      <c r="E4801" s="7"/>
      <c r="F4801" s="7"/>
      <c r="G4801" s="7"/>
      <c r="H4801" s="7">
        <f t="shared" si="1"/>
        <v>1029</v>
      </c>
    </row>
    <row r="4802" ht="22.5" customHeight="1">
      <c r="B4802" s="7"/>
      <c r="C4802" s="7"/>
      <c r="D4802" s="7"/>
      <c r="E4802" s="7"/>
      <c r="F4802" s="7"/>
      <c r="G4802" s="7"/>
      <c r="H4802" s="7">
        <f t="shared" si="1"/>
        <v>1029</v>
      </c>
    </row>
    <row r="4803" ht="22.5" customHeight="1">
      <c r="B4803" s="7"/>
      <c r="C4803" s="7"/>
      <c r="D4803" s="7"/>
      <c r="E4803" s="7"/>
      <c r="F4803" s="7"/>
      <c r="G4803" s="7"/>
      <c r="H4803" s="7">
        <f t="shared" si="1"/>
        <v>1029</v>
      </c>
    </row>
    <row r="4804" ht="22.5" customHeight="1">
      <c r="B4804" s="7"/>
      <c r="C4804" s="7"/>
      <c r="D4804" s="7"/>
      <c r="E4804" s="7"/>
      <c r="F4804" s="7"/>
      <c r="G4804" s="7"/>
      <c r="H4804" s="7">
        <f t="shared" si="1"/>
        <v>1029</v>
      </c>
    </row>
    <row r="4805" ht="22.5" customHeight="1">
      <c r="B4805" s="7"/>
      <c r="C4805" s="7"/>
      <c r="D4805" s="7"/>
      <c r="E4805" s="7"/>
      <c r="F4805" s="7"/>
      <c r="G4805" s="7"/>
      <c r="H4805" s="7">
        <f t="shared" si="1"/>
        <v>1029</v>
      </c>
    </row>
    <row r="4806" ht="22.5" customHeight="1">
      <c r="B4806" s="7"/>
      <c r="C4806" s="7"/>
      <c r="D4806" s="7"/>
      <c r="E4806" s="7"/>
      <c r="F4806" s="7"/>
      <c r="G4806" s="7"/>
      <c r="H4806" s="7">
        <f t="shared" si="1"/>
        <v>1029</v>
      </c>
    </row>
    <row r="4807" ht="22.5" customHeight="1">
      <c r="B4807" s="7"/>
      <c r="C4807" s="7"/>
      <c r="D4807" s="7"/>
      <c r="E4807" s="7"/>
      <c r="F4807" s="7"/>
      <c r="G4807" s="7"/>
      <c r="H4807" s="7">
        <f t="shared" si="1"/>
        <v>1029</v>
      </c>
    </row>
    <row r="4808" ht="22.5" customHeight="1">
      <c r="B4808" s="7"/>
      <c r="C4808" s="7"/>
      <c r="D4808" s="7"/>
      <c r="E4808" s="7"/>
      <c r="F4808" s="7"/>
      <c r="G4808" s="7"/>
      <c r="H4808" s="7">
        <f t="shared" si="1"/>
        <v>1029</v>
      </c>
    </row>
    <row r="4809" ht="22.5" customHeight="1">
      <c r="B4809" s="7"/>
      <c r="C4809" s="7"/>
      <c r="D4809" s="7"/>
      <c r="E4809" s="7"/>
      <c r="F4809" s="7"/>
      <c r="G4809" s="7"/>
      <c r="H4809" s="7">
        <f t="shared" si="1"/>
        <v>1029</v>
      </c>
    </row>
    <row r="4810" ht="22.5" customHeight="1">
      <c r="B4810" s="7"/>
      <c r="C4810" s="7"/>
      <c r="D4810" s="7"/>
      <c r="E4810" s="7"/>
      <c r="F4810" s="7"/>
      <c r="G4810" s="7"/>
      <c r="H4810" s="7">
        <f t="shared" si="1"/>
        <v>1029</v>
      </c>
    </row>
    <row r="4811" ht="22.5" customHeight="1">
      <c r="B4811" s="7"/>
      <c r="C4811" s="7"/>
      <c r="D4811" s="7"/>
      <c r="E4811" s="7"/>
      <c r="F4811" s="7"/>
      <c r="G4811" s="7"/>
      <c r="H4811" s="7">
        <f t="shared" si="1"/>
        <v>1029</v>
      </c>
    </row>
    <row r="4812" ht="22.5" customHeight="1">
      <c r="B4812" s="7"/>
      <c r="C4812" s="7"/>
      <c r="D4812" s="7"/>
      <c r="E4812" s="7"/>
      <c r="F4812" s="7"/>
      <c r="G4812" s="7"/>
      <c r="H4812" s="7">
        <f t="shared" si="1"/>
        <v>1029</v>
      </c>
    </row>
    <row r="4813" ht="22.5" customHeight="1">
      <c r="B4813" s="7"/>
      <c r="C4813" s="7"/>
      <c r="D4813" s="7"/>
      <c r="E4813" s="7"/>
      <c r="F4813" s="7"/>
      <c r="G4813" s="7"/>
      <c r="H4813" s="7">
        <f t="shared" si="1"/>
        <v>1029</v>
      </c>
    </row>
    <row r="4814" ht="22.5" customHeight="1">
      <c r="B4814" s="7"/>
      <c r="C4814" s="7"/>
      <c r="D4814" s="7"/>
      <c r="E4814" s="7"/>
      <c r="F4814" s="7"/>
      <c r="G4814" s="7"/>
      <c r="H4814" s="7">
        <f t="shared" si="1"/>
        <v>1029</v>
      </c>
    </row>
    <row r="4815" ht="22.5" customHeight="1">
      <c r="B4815" s="7"/>
      <c r="C4815" s="7"/>
      <c r="D4815" s="7"/>
      <c r="E4815" s="7"/>
      <c r="F4815" s="7"/>
      <c r="G4815" s="7"/>
      <c r="H4815" s="7">
        <f t="shared" si="1"/>
        <v>1029</v>
      </c>
    </row>
    <row r="4816" ht="22.5" customHeight="1">
      <c r="B4816" s="7"/>
      <c r="C4816" s="7"/>
      <c r="D4816" s="7"/>
      <c r="E4816" s="7"/>
      <c r="F4816" s="7"/>
      <c r="G4816" s="7"/>
      <c r="H4816" s="7">
        <f t="shared" si="1"/>
        <v>1029</v>
      </c>
    </row>
    <row r="4817" ht="22.5" customHeight="1">
      <c r="B4817" s="7"/>
      <c r="C4817" s="7"/>
      <c r="D4817" s="7"/>
      <c r="E4817" s="7"/>
      <c r="F4817" s="7"/>
      <c r="G4817" s="7"/>
      <c r="H4817" s="7">
        <f t="shared" si="1"/>
        <v>1029</v>
      </c>
    </row>
    <row r="4818" ht="22.5" customHeight="1">
      <c r="B4818" s="7"/>
      <c r="C4818" s="7"/>
      <c r="D4818" s="7"/>
      <c r="E4818" s="7"/>
      <c r="F4818" s="7"/>
      <c r="G4818" s="7"/>
      <c r="H4818" s="7">
        <f t="shared" si="1"/>
        <v>1029</v>
      </c>
    </row>
    <row r="4819" ht="22.5" customHeight="1">
      <c r="B4819" s="7"/>
      <c r="C4819" s="7"/>
      <c r="D4819" s="7"/>
      <c r="E4819" s="7"/>
      <c r="F4819" s="7"/>
      <c r="G4819" s="7"/>
      <c r="H4819" s="7">
        <f t="shared" si="1"/>
        <v>1029</v>
      </c>
    </row>
    <row r="4820" ht="22.5" customHeight="1">
      <c r="B4820" s="7"/>
      <c r="C4820" s="7"/>
      <c r="D4820" s="7"/>
      <c r="E4820" s="7"/>
      <c r="F4820" s="7"/>
      <c r="G4820" s="7"/>
      <c r="H4820" s="7">
        <f t="shared" si="1"/>
        <v>1029</v>
      </c>
    </row>
    <row r="4821" ht="22.5" customHeight="1">
      <c r="B4821" s="7"/>
      <c r="C4821" s="7"/>
      <c r="D4821" s="7"/>
      <c r="E4821" s="7"/>
      <c r="F4821" s="7"/>
      <c r="G4821" s="7"/>
      <c r="H4821" s="7">
        <f t="shared" si="1"/>
        <v>1029</v>
      </c>
    </row>
    <row r="4822" ht="22.5" customHeight="1">
      <c r="B4822" s="7"/>
      <c r="C4822" s="7"/>
      <c r="D4822" s="7"/>
      <c r="E4822" s="7"/>
      <c r="F4822" s="7"/>
      <c r="G4822" s="7"/>
      <c r="H4822" s="7">
        <f t="shared" si="1"/>
        <v>1029</v>
      </c>
    </row>
    <row r="4823" ht="22.5" customHeight="1">
      <c r="B4823" s="7"/>
      <c r="C4823" s="7"/>
      <c r="D4823" s="7"/>
      <c r="E4823" s="7"/>
      <c r="F4823" s="7"/>
      <c r="G4823" s="7"/>
      <c r="H4823" s="7">
        <f t="shared" si="1"/>
        <v>1029</v>
      </c>
    </row>
    <row r="4824" ht="22.5" customHeight="1">
      <c r="B4824" s="7"/>
      <c r="C4824" s="7"/>
      <c r="D4824" s="7"/>
      <c r="E4824" s="7"/>
      <c r="F4824" s="7"/>
      <c r="G4824" s="7"/>
      <c r="H4824" s="7">
        <f t="shared" si="1"/>
        <v>1029</v>
      </c>
    </row>
    <row r="4825" ht="22.5" customHeight="1">
      <c r="B4825" s="7"/>
      <c r="C4825" s="7"/>
      <c r="D4825" s="7"/>
      <c r="E4825" s="7"/>
      <c r="F4825" s="7"/>
      <c r="G4825" s="7"/>
      <c r="H4825" s="7">
        <f t="shared" si="1"/>
        <v>1029</v>
      </c>
    </row>
    <row r="4826" ht="22.5" customHeight="1">
      <c r="B4826" s="7"/>
      <c r="C4826" s="7"/>
      <c r="D4826" s="7"/>
      <c r="E4826" s="7"/>
      <c r="F4826" s="7"/>
      <c r="G4826" s="7"/>
      <c r="H4826" s="7">
        <f t="shared" si="1"/>
        <v>1029</v>
      </c>
    </row>
    <row r="4827" ht="22.5" customHeight="1">
      <c r="B4827" s="7"/>
      <c r="C4827" s="7"/>
      <c r="D4827" s="7"/>
      <c r="E4827" s="7"/>
      <c r="F4827" s="7"/>
      <c r="G4827" s="7"/>
      <c r="H4827" s="7">
        <f t="shared" si="1"/>
        <v>1029</v>
      </c>
    </row>
    <row r="4828" ht="22.5" customHeight="1">
      <c r="B4828" s="7"/>
      <c r="C4828" s="7"/>
      <c r="D4828" s="7"/>
      <c r="E4828" s="7"/>
      <c r="F4828" s="7"/>
      <c r="G4828" s="7"/>
      <c r="H4828" s="7">
        <f t="shared" si="1"/>
        <v>1029</v>
      </c>
    </row>
    <row r="4829" ht="22.5" customHeight="1">
      <c r="B4829" s="7"/>
      <c r="C4829" s="7"/>
      <c r="D4829" s="7"/>
      <c r="E4829" s="7"/>
      <c r="F4829" s="7"/>
      <c r="G4829" s="7"/>
      <c r="H4829" s="7">
        <f t="shared" si="1"/>
        <v>1029</v>
      </c>
    </row>
    <row r="4830" ht="22.5" customHeight="1">
      <c r="B4830" s="7"/>
      <c r="C4830" s="7"/>
      <c r="D4830" s="7"/>
      <c r="E4830" s="7"/>
      <c r="F4830" s="7"/>
      <c r="G4830" s="7"/>
      <c r="H4830" s="7">
        <f t="shared" si="1"/>
        <v>1029</v>
      </c>
    </row>
    <row r="4831" ht="22.5" customHeight="1">
      <c r="B4831" s="7"/>
      <c r="C4831" s="7"/>
      <c r="D4831" s="7"/>
      <c r="E4831" s="7"/>
      <c r="F4831" s="7"/>
      <c r="G4831" s="7"/>
      <c r="H4831" s="7">
        <f t="shared" si="1"/>
        <v>1029</v>
      </c>
    </row>
    <row r="4832" ht="22.5" customHeight="1">
      <c r="B4832" s="7"/>
      <c r="C4832" s="7"/>
      <c r="D4832" s="7"/>
      <c r="E4832" s="7"/>
      <c r="F4832" s="7"/>
      <c r="G4832" s="7"/>
      <c r="H4832" s="7">
        <f t="shared" si="1"/>
        <v>1029</v>
      </c>
    </row>
    <row r="4833" ht="22.5" customHeight="1">
      <c r="B4833" s="7"/>
      <c r="C4833" s="7"/>
      <c r="D4833" s="7"/>
      <c r="E4833" s="7"/>
      <c r="F4833" s="7"/>
      <c r="G4833" s="7"/>
      <c r="H4833" s="7">
        <f t="shared" si="1"/>
        <v>1029</v>
      </c>
    </row>
    <row r="4834" ht="22.5" customHeight="1">
      <c r="B4834" s="7"/>
      <c r="C4834" s="7"/>
      <c r="D4834" s="7"/>
      <c r="E4834" s="7"/>
      <c r="F4834" s="7"/>
      <c r="G4834" s="7"/>
      <c r="H4834" s="7">
        <f t="shared" si="1"/>
        <v>1029</v>
      </c>
    </row>
    <row r="4835" ht="22.5" customHeight="1">
      <c r="B4835" s="7"/>
      <c r="C4835" s="7"/>
      <c r="D4835" s="7"/>
      <c r="E4835" s="7"/>
      <c r="F4835" s="7"/>
      <c r="G4835" s="7"/>
      <c r="H4835" s="7">
        <f t="shared" si="1"/>
        <v>1029</v>
      </c>
    </row>
    <row r="4836" ht="22.5" customHeight="1">
      <c r="B4836" s="7"/>
      <c r="C4836" s="7"/>
      <c r="D4836" s="7"/>
      <c r="E4836" s="7"/>
      <c r="F4836" s="7"/>
      <c r="G4836" s="7"/>
      <c r="H4836" s="7">
        <f t="shared" si="1"/>
        <v>1029</v>
      </c>
    </row>
    <row r="4837" ht="22.5" customHeight="1">
      <c r="B4837" s="7"/>
      <c r="C4837" s="7"/>
      <c r="D4837" s="7"/>
      <c r="E4837" s="7"/>
      <c r="F4837" s="7"/>
      <c r="G4837" s="7"/>
      <c r="H4837" s="7">
        <f t="shared" si="1"/>
        <v>1029</v>
      </c>
    </row>
    <row r="4838" ht="22.5" customHeight="1">
      <c r="B4838" s="7"/>
      <c r="C4838" s="7"/>
      <c r="D4838" s="7"/>
      <c r="E4838" s="7"/>
      <c r="F4838" s="7"/>
      <c r="G4838" s="7"/>
      <c r="H4838" s="7">
        <f t="shared" si="1"/>
        <v>1029</v>
      </c>
    </row>
    <row r="4839" ht="22.5" customHeight="1">
      <c r="B4839" s="7"/>
      <c r="C4839" s="7"/>
      <c r="D4839" s="7"/>
      <c r="E4839" s="7"/>
      <c r="F4839" s="7"/>
      <c r="G4839" s="7"/>
      <c r="H4839" s="7">
        <f t="shared" si="1"/>
        <v>1029</v>
      </c>
    </row>
    <row r="4840" ht="22.5" customHeight="1">
      <c r="B4840" s="7"/>
      <c r="C4840" s="7"/>
      <c r="D4840" s="7"/>
      <c r="E4840" s="7"/>
      <c r="F4840" s="7"/>
      <c r="G4840" s="7"/>
      <c r="H4840" s="7">
        <f t="shared" si="1"/>
        <v>1029</v>
      </c>
    </row>
    <row r="4841" ht="22.5" customHeight="1">
      <c r="B4841" s="7"/>
      <c r="C4841" s="7"/>
      <c r="D4841" s="7"/>
      <c r="E4841" s="7"/>
      <c r="F4841" s="7"/>
      <c r="G4841" s="7"/>
      <c r="H4841" s="7">
        <f t="shared" si="1"/>
        <v>1029</v>
      </c>
    </row>
    <row r="4842" ht="22.5" customHeight="1">
      <c r="B4842" s="7"/>
      <c r="C4842" s="7"/>
      <c r="D4842" s="7"/>
      <c r="E4842" s="7"/>
      <c r="F4842" s="7"/>
      <c r="G4842" s="7"/>
      <c r="H4842" s="7">
        <f t="shared" si="1"/>
        <v>1029</v>
      </c>
    </row>
    <row r="4843" ht="22.5" customHeight="1">
      <c r="B4843" s="7"/>
      <c r="C4843" s="7"/>
      <c r="D4843" s="7"/>
      <c r="E4843" s="7"/>
      <c r="F4843" s="7"/>
      <c r="G4843" s="7"/>
      <c r="H4843" s="7">
        <f t="shared" si="1"/>
        <v>1029</v>
      </c>
    </row>
    <row r="4844" ht="22.5" customHeight="1">
      <c r="B4844" s="7"/>
      <c r="C4844" s="7"/>
      <c r="D4844" s="7"/>
      <c r="E4844" s="7"/>
      <c r="F4844" s="7"/>
      <c r="G4844" s="7"/>
      <c r="H4844" s="7">
        <f t="shared" si="1"/>
        <v>1029</v>
      </c>
    </row>
    <row r="4845" ht="22.5" customHeight="1">
      <c r="B4845" s="7"/>
      <c r="C4845" s="7"/>
      <c r="D4845" s="7"/>
      <c r="E4845" s="7"/>
      <c r="F4845" s="7"/>
      <c r="G4845" s="7"/>
      <c r="H4845" s="7">
        <f t="shared" si="1"/>
        <v>1029</v>
      </c>
    </row>
    <row r="4846" ht="22.5" customHeight="1">
      <c r="B4846" s="7"/>
      <c r="C4846" s="7"/>
      <c r="D4846" s="7"/>
      <c r="E4846" s="7"/>
      <c r="F4846" s="7"/>
      <c r="G4846" s="7"/>
      <c r="H4846" s="7">
        <f t="shared" si="1"/>
        <v>1029</v>
      </c>
    </row>
    <row r="4847" ht="22.5" customHeight="1">
      <c r="B4847" s="7"/>
      <c r="C4847" s="7"/>
      <c r="D4847" s="7"/>
      <c r="E4847" s="7"/>
      <c r="F4847" s="7"/>
      <c r="G4847" s="7"/>
      <c r="H4847" s="7">
        <f t="shared" si="1"/>
        <v>1029</v>
      </c>
    </row>
    <row r="4848" ht="22.5" customHeight="1">
      <c r="B4848" s="7"/>
      <c r="C4848" s="7"/>
      <c r="D4848" s="7"/>
      <c r="E4848" s="7"/>
      <c r="F4848" s="7"/>
      <c r="G4848" s="7"/>
      <c r="H4848" s="7">
        <f t="shared" si="1"/>
        <v>1029</v>
      </c>
    </row>
    <row r="4849" ht="22.5" customHeight="1">
      <c r="B4849" s="7"/>
      <c r="C4849" s="7"/>
      <c r="D4849" s="7"/>
      <c r="E4849" s="7"/>
      <c r="F4849" s="7"/>
      <c r="G4849" s="7"/>
      <c r="H4849" s="7">
        <f t="shared" si="1"/>
        <v>1029</v>
      </c>
    </row>
    <row r="4850" ht="22.5" customHeight="1">
      <c r="B4850" s="7"/>
      <c r="C4850" s="7"/>
      <c r="D4850" s="7"/>
      <c r="E4850" s="7"/>
      <c r="F4850" s="7"/>
      <c r="G4850" s="7"/>
      <c r="H4850" s="7">
        <f t="shared" si="1"/>
        <v>1029</v>
      </c>
    </row>
    <row r="4851" ht="22.5" customHeight="1">
      <c r="B4851" s="7"/>
      <c r="C4851" s="7"/>
      <c r="D4851" s="7"/>
      <c r="E4851" s="7"/>
      <c r="F4851" s="7"/>
      <c r="G4851" s="7"/>
      <c r="H4851" s="7">
        <f t="shared" si="1"/>
        <v>1029</v>
      </c>
    </row>
    <row r="4852" ht="22.5" customHeight="1">
      <c r="B4852" s="7"/>
      <c r="C4852" s="7"/>
      <c r="D4852" s="7"/>
      <c r="E4852" s="7"/>
      <c r="F4852" s="7"/>
      <c r="G4852" s="7"/>
      <c r="H4852" s="7">
        <f t="shared" si="1"/>
        <v>1029</v>
      </c>
    </row>
    <row r="4853" ht="22.5" customHeight="1">
      <c r="B4853" s="7"/>
      <c r="C4853" s="7"/>
      <c r="D4853" s="7"/>
      <c r="E4853" s="7"/>
      <c r="F4853" s="7"/>
      <c r="G4853" s="7"/>
      <c r="H4853" s="7">
        <f t="shared" si="1"/>
        <v>1029</v>
      </c>
    </row>
    <row r="4854" ht="22.5" customHeight="1">
      <c r="B4854" s="7"/>
      <c r="C4854" s="7"/>
      <c r="D4854" s="7"/>
      <c r="E4854" s="7"/>
      <c r="F4854" s="7"/>
      <c r="G4854" s="7"/>
      <c r="H4854" s="7">
        <f t="shared" si="1"/>
        <v>1029</v>
      </c>
    </row>
    <row r="4855" ht="22.5" customHeight="1">
      <c r="B4855" s="7"/>
      <c r="C4855" s="7"/>
      <c r="D4855" s="7"/>
      <c r="E4855" s="7"/>
      <c r="F4855" s="7"/>
      <c r="G4855" s="7"/>
      <c r="H4855" s="7">
        <f t="shared" si="1"/>
        <v>1029</v>
      </c>
    </row>
    <row r="4856" ht="22.5" customHeight="1">
      <c r="B4856" s="7"/>
      <c r="C4856" s="7"/>
      <c r="D4856" s="7"/>
      <c r="E4856" s="7"/>
      <c r="F4856" s="7"/>
      <c r="G4856" s="7"/>
      <c r="H4856" s="7">
        <f t="shared" si="1"/>
        <v>1029</v>
      </c>
    </row>
    <row r="4857" ht="22.5" customHeight="1">
      <c r="B4857" s="7"/>
      <c r="C4857" s="7"/>
      <c r="D4857" s="7"/>
      <c r="E4857" s="7"/>
      <c r="F4857" s="7"/>
      <c r="G4857" s="7"/>
      <c r="H4857" s="7">
        <f t="shared" si="1"/>
        <v>1029</v>
      </c>
    </row>
    <row r="4858" ht="22.5" customHeight="1">
      <c r="B4858" s="7"/>
      <c r="C4858" s="7"/>
      <c r="D4858" s="7"/>
      <c r="E4858" s="7"/>
      <c r="F4858" s="7"/>
      <c r="G4858" s="7"/>
      <c r="H4858" s="7">
        <f t="shared" si="1"/>
        <v>1029</v>
      </c>
    </row>
    <row r="4859" ht="22.5" customHeight="1">
      <c r="B4859" s="7"/>
      <c r="C4859" s="7"/>
      <c r="D4859" s="7"/>
      <c r="E4859" s="7"/>
      <c r="F4859" s="7"/>
      <c r="G4859" s="7"/>
      <c r="H4859" s="7">
        <f t="shared" si="1"/>
        <v>1029</v>
      </c>
    </row>
    <row r="4860" ht="22.5" customHeight="1">
      <c r="B4860" s="7"/>
      <c r="C4860" s="7"/>
      <c r="D4860" s="7"/>
      <c r="E4860" s="7"/>
      <c r="F4860" s="7"/>
      <c r="G4860" s="7"/>
      <c r="H4860" s="7">
        <f t="shared" si="1"/>
        <v>1029</v>
      </c>
    </row>
    <row r="4861" ht="22.5" customHeight="1">
      <c r="B4861" s="7"/>
      <c r="C4861" s="7"/>
      <c r="D4861" s="7"/>
      <c r="E4861" s="7"/>
      <c r="F4861" s="7"/>
      <c r="G4861" s="7"/>
      <c r="H4861" s="7">
        <f t="shared" si="1"/>
        <v>1029</v>
      </c>
    </row>
    <row r="4862" ht="22.5" customHeight="1">
      <c r="B4862" s="7"/>
      <c r="C4862" s="7"/>
      <c r="D4862" s="7"/>
      <c r="E4862" s="7"/>
      <c r="F4862" s="7"/>
      <c r="G4862" s="7"/>
      <c r="H4862" s="7">
        <f t="shared" si="1"/>
        <v>1029</v>
      </c>
    </row>
    <row r="4863" ht="22.5" customHeight="1">
      <c r="B4863" s="7"/>
      <c r="C4863" s="7"/>
      <c r="D4863" s="7"/>
      <c r="E4863" s="7"/>
      <c r="F4863" s="7"/>
      <c r="G4863" s="7"/>
      <c r="H4863" s="7">
        <f t="shared" si="1"/>
        <v>1029</v>
      </c>
    </row>
    <row r="4864" ht="22.5" customHeight="1">
      <c r="B4864" s="7"/>
      <c r="C4864" s="7"/>
      <c r="D4864" s="7"/>
      <c r="E4864" s="7"/>
      <c r="F4864" s="7"/>
      <c r="G4864" s="7"/>
      <c r="H4864" s="7">
        <f t="shared" si="1"/>
        <v>1029</v>
      </c>
    </row>
    <row r="4865" ht="22.5" customHeight="1">
      <c r="B4865" s="7"/>
      <c r="C4865" s="7"/>
      <c r="D4865" s="7"/>
      <c r="E4865" s="7"/>
      <c r="F4865" s="7"/>
      <c r="G4865" s="7"/>
      <c r="H4865" s="7">
        <f t="shared" si="1"/>
        <v>1029</v>
      </c>
    </row>
    <row r="4866" ht="22.5" customHeight="1">
      <c r="B4866" s="7"/>
      <c r="C4866" s="7"/>
      <c r="D4866" s="7"/>
      <c r="E4866" s="7"/>
      <c r="F4866" s="7"/>
      <c r="G4866" s="7"/>
      <c r="H4866" s="7">
        <f t="shared" si="1"/>
        <v>1029</v>
      </c>
    </row>
    <row r="4867" ht="22.5" customHeight="1">
      <c r="B4867" s="7"/>
      <c r="C4867" s="7"/>
      <c r="D4867" s="7"/>
      <c r="E4867" s="7"/>
      <c r="F4867" s="7"/>
      <c r="G4867" s="7"/>
      <c r="H4867" s="7">
        <f t="shared" si="1"/>
        <v>1029</v>
      </c>
    </row>
    <row r="4868" ht="22.5" customHeight="1">
      <c r="B4868" s="7"/>
      <c r="C4868" s="7"/>
      <c r="D4868" s="7"/>
      <c r="E4868" s="7"/>
      <c r="F4868" s="7"/>
      <c r="G4868" s="7"/>
      <c r="H4868" s="7">
        <f t="shared" si="1"/>
        <v>1029</v>
      </c>
    </row>
    <row r="4869" ht="22.5" customHeight="1">
      <c r="B4869" s="7"/>
      <c r="C4869" s="7"/>
      <c r="D4869" s="7"/>
      <c r="E4869" s="7"/>
      <c r="F4869" s="7"/>
      <c r="G4869" s="7"/>
      <c r="H4869" s="7">
        <f t="shared" si="1"/>
        <v>1029</v>
      </c>
    </row>
    <row r="4870" ht="22.5" customHeight="1">
      <c r="B4870" s="7"/>
      <c r="C4870" s="7"/>
      <c r="D4870" s="7"/>
      <c r="E4870" s="7"/>
      <c r="F4870" s="7"/>
      <c r="G4870" s="7"/>
      <c r="H4870" s="7">
        <f t="shared" si="1"/>
        <v>1029</v>
      </c>
    </row>
    <row r="4871" ht="22.5" customHeight="1">
      <c r="B4871" s="7"/>
      <c r="C4871" s="7"/>
      <c r="D4871" s="7"/>
      <c r="E4871" s="7"/>
      <c r="F4871" s="7"/>
      <c r="G4871" s="7"/>
      <c r="H4871" s="7">
        <f t="shared" si="1"/>
        <v>1029</v>
      </c>
    </row>
    <row r="4872" ht="22.5" customHeight="1">
      <c r="B4872" s="7"/>
      <c r="C4872" s="7"/>
      <c r="D4872" s="7"/>
      <c r="E4872" s="7"/>
      <c r="F4872" s="7"/>
      <c r="G4872" s="7"/>
      <c r="H4872" s="7">
        <f t="shared" si="1"/>
        <v>1029</v>
      </c>
    </row>
    <row r="4873" ht="22.5" customHeight="1">
      <c r="B4873" s="7"/>
      <c r="C4873" s="7"/>
      <c r="D4873" s="7"/>
      <c r="E4873" s="7"/>
      <c r="F4873" s="7"/>
      <c r="G4873" s="7"/>
      <c r="H4873" s="7">
        <f t="shared" si="1"/>
        <v>1029</v>
      </c>
    </row>
    <row r="4874" ht="22.5" customHeight="1">
      <c r="B4874" s="7"/>
      <c r="C4874" s="7"/>
      <c r="D4874" s="7"/>
      <c r="E4874" s="7"/>
      <c r="F4874" s="7"/>
      <c r="G4874" s="7"/>
      <c r="H4874" s="7">
        <f t="shared" si="1"/>
        <v>1029</v>
      </c>
    </row>
    <row r="4875" ht="22.5" customHeight="1">
      <c r="B4875" s="7"/>
      <c r="C4875" s="7"/>
      <c r="D4875" s="7"/>
      <c r="E4875" s="7"/>
      <c r="F4875" s="7"/>
      <c r="G4875" s="7"/>
      <c r="H4875" s="7">
        <f t="shared" si="1"/>
        <v>1029</v>
      </c>
    </row>
    <row r="4876" ht="22.5" customHeight="1">
      <c r="B4876" s="7"/>
      <c r="C4876" s="7"/>
      <c r="D4876" s="7"/>
      <c r="E4876" s="7"/>
      <c r="F4876" s="7"/>
      <c r="G4876" s="7"/>
      <c r="H4876" s="7">
        <f t="shared" si="1"/>
        <v>1029</v>
      </c>
    </row>
    <row r="4877" ht="22.5" customHeight="1">
      <c r="B4877" s="7"/>
      <c r="C4877" s="7"/>
      <c r="D4877" s="7"/>
      <c r="E4877" s="7"/>
      <c r="F4877" s="7"/>
      <c r="G4877" s="7"/>
      <c r="H4877" s="7">
        <f t="shared" si="1"/>
        <v>1029</v>
      </c>
    </row>
    <row r="4878" ht="22.5" customHeight="1">
      <c r="B4878" s="7"/>
      <c r="C4878" s="7"/>
      <c r="D4878" s="7"/>
      <c r="E4878" s="7"/>
      <c r="F4878" s="7"/>
      <c r="G4878" s="7"/>
      <c r="H4878" s="7">
        <f t="shared" si="1"/>
        <v>1029</v>
      </c>
    </row>
    <row r="4879" ht="22.5" customHeight="1">
      <c r="B4879" s="7"/>
      <c r="C4879" s="7"/>
      <c r="D4879" s="7"/>
      <c r="E4879" s="7"/>
      <c r="F4879" s="7"/>
      <c r="G4879" s="7"/>
      <c r="H4879" s="7">
        <f t="shared" si="1"/>
        <v>1029</v>
      </c>
    </row>
    <row r="4880" ht="22.5" customHeight="1">
      <c r="B4880" s="7"/>
      <c r="C4880" s="7"/>
      <c r="D4880" s="7"/>
      <c r="E4880" s="7"/>
      <c r="F4880" s="7"/>
      <c r="G4880" s="7"/>
      <c r="H4880" s="7">
        <f t="shared" si="1"/>
        <v>1029</v>
      </c>
    </row>
    <row r="4881" ht="22.5" customHeight="1">
      <c r="B4881" s="7"/>
      <c r="C4881" s="7"/>
      <c r="D4881" s="7"/>
      <c r="E4881" s="7"/>
      <c r="F4881" s="7"/>
      <c r="G4881" s="7"/>
      <c r="H4881" s="7">
        <f t="shared" si="1"/>
        <v>1029</v>
      </c>
    </row>
    <row r="4882" ht="22.5" customHeight="1">
      <c r="B4882" s="7"/>
      <c r="C4882" s="7"/>
      <c r="D4882" s="7"/>
      <c r="E4882" s="7"/>
      <c r="F4882" s="7"/>
      <c r="G4882" s="7"/>
      <c r="H4882" s="7">
        <f t="shared" si="1"/>
        <v>1029</v>
      </c>
    </row>
    <row r="4883" ht="22.5" customHeight="1">
      <c r="B4883" s="7"/>
      <c r="C4883" s="7"/>
      <c r="D4883" s="7"/>
      <c r="E4883" s="7"/>
      <c r="F4883" s="7"/>
      <c r="G4883" s="7"/>
      <c r="H4883" s="7">
        <f t="shared" si="1"/>
        <v>1029</v>
      </c>
    </row>
    <row r="4884" ht="22.5" customHeight="1">
      <c r="B4884" s="7"/>
      <c r="C4884" s="7"/>
      <c r="D4884" s="7"/>
      <c r="E4884" s="7"/>
      <c r="F4884" s="7"/>
      <c r="G4884" s="7"/>
      <c r="H4884" s="7">
        <f t="shared" si="1"/>
        <v>1029</v>
      </c>
    </row>
    <row r="4885" ht="22.5" customHeight="1">
      <c r="B4885" s="7"/>
      <c r="C4885" s="7"/>
      <c r="D4885" s="7"/>
      <c r="E4885" s="7"/>
      <c r="F4885" s="7"/>
      <c r="G4885" s="7"/>
      <c r="H4885" s="7">
        <f t="shared" si="1"/>
        <v>1029</v>
      </c>
    </row>
    <row r="4886" ht="22.5" customHeight="1">
      <c r="B4886" s="7"/>
      <c r="C4886" s="7"/>
      <c r="D4886" s="7"/>
      <c r="E4886" s="7"/>
      <c r="F4886" s="7"/>
      <c r="G4886" s="7"/>
      <c r="H4886" s="7">
        <f t="shared" si="1"/>
        <v>1029</v>
      </c>
    </row>
    <row r="4887" ht="22.5" customHeight="1">
      <c r="B4887" s="7"/>
      <c r="C4887" s="7"/>
      <c r="D4887" s="7"/>
      <c r="E4887" s="7"/>
      <c r="F4887" s="7"/>
      <c r="G4887" s="7"/>
      <c r="H4887" s="7">
        <f t="shared" si="1"/>
        <v>1029</v>
      </c>
    </row>
    <row r="4888" ht="22.5" customHeight="1">
      <c r="B4888" s="7"/>
      <c r="C4888" s="7"/>
      <c r="D4888" s="7"/>
      <c r="E4888" s="7"/>
      <c r="F4888" s="7"/>
      <c r="G4888" s="7"/>
      <c r="H4888" s="7">
        <f t="shared" si="1"/>
        <v>1029</v>
      </c>
    </row>
    <row r="4889" ht="22.5" customHeight="1">
      <c r="B4889" s="7"/>
      <c r="C4889" s="7"/>
      <c r="D4889" s="7"/>
      <c r="E4889" s="7"/>
      <c r="F4889" s="7"/>
      <c r="G4889" s="7"/>
      <c r="H4889" s="7">
        <f t="shared" si="1"/>
        <v>1029</v>
      </c>
    </row>
    <row r="4890" ht="22.5" customHeight="1">
      <c r="B4890" s="7"/>
      <c r="C4890" s="7"/>
      <c r="D4890" s="7"/>
      <c r="E4890" s="7"/>
      <c r="F4890" s="7"/>
      <c r="G4890" s="7"/>
      <c r="H4890" s="7">
        <f t="shared" si="1"/>
        <v>1029</v>
      </c>
    </row>
    <row r="4891" ht="22.5" customHeight="1">
      <c r="B4891" s="7"/>
      <c r="C4891" s="7"/>
      <c r="D4891" s="7"/>
      <c r="E4891" s="7"/>
      <c r="F4891" s="7"/>
      <c r="G4891" s="7"/>
      <c r="H4891" s="7">
        <f t="shared" si="1"/>
        <v>1029</v>
      </c>
    </row>
    <row r="4892" ht="22.5" customHeight="1">
      <c r="B4892" s="7"/>
      <c r="C4892" s="7"/>
      <c r="D4892" s="7"/>
      <c r="E4892" s="7"/>
      <c r="F4892" s="7"/>
      <c r="G4892" s="7"/>
      <c r="H4892" s="7">
        <f t="shared" si="1"/>
        <v>1029</v>
      </c>
    </row>
    <row r="4893" ht="22.5" customHeight="1">
      <c r="B4893" s="7"/>
      <c r="C4893" s="7"/>
      <c r="D4893" s="7"/>
      <c r="E4893" s="7"/>
      <c r="F4893" s="7"/>
      <c r="G4893" s="7"/>
      <c r="H4893" s="7">
        <f t="shared" si="1"/>
        <v>1029</v>
      </c>
    </row>
    <row r="4894" ht="22.5" customHeight="1">
      <c r="B4894" s="7"/>
      <c r="C4894" s="7"/>
      <c r="D4894" s="7"/>
      <c r="E4894" s="7"/>
      <c r="F4894" s="7"/>
      <c r="G4894" s="7"/>
      <c r="H4894" s="7">
        <f t="shared" si="1"/>
        <v>1029</v>
      </c>
    </row>
    <row r="4895" ht="22.5" customHeight="1">
      <c r="B4895" s="7"/>
      <c r="C4895" s="7"/>
      <c r="D4895" s="7"/>
      <c r="E4895" s="7"/>
      <c r="F4895" s="7"/>
      <c r="G4895" s="7"/>
      <c r="H4895" s="7">
        <f t="shared" si="1"/>
        <v>1029</v>
      </c>
    </row>
    <row r="4896" ht="22.5" customHeight="1">
      <c r="B4896" s="7"/>
      <c r="C4896" s="7"/>
      <c r="D4896" s="7"/>
      <c r="E4896" s="7"/>
      <c r="F4896" s="7"/>
      <c r="G4896" s="7"/>
      <c r="H4896" s="7">
        <f t="shared" si="1"/>
        <v>1029</v>
      </c>
    </row>
    <row r="4897" ht="22.5" customHeight="1">
      <c r="B4897" s="7"/>
      <c r="C4897" s="7"/>
      <c r="D4897" s="7"/>
      <c r="E4897" s="7"/>
      <c r="F4897" s="7"/>
      <c r="G4897" s="7"/>
      <c r="H4897" s="7">
        <f t="shared" si="1"/>
        <v>1029</v>
      </c>
    </row>
    <row r="4898" ht="22.5" customHeight="1">
      <c r="B4898" s="7"/>
      <c r="C4898" s="7"/>
      <c r="D4898" s="7"/>
      <c r="E4898" s="7"/>
      <c r="F4898" s="7"/>
      <c r="G4898" s="7"/>
      <c r="H4898" s="7">
        <f t="shared" si="1"/>
        <v>1029</v>
      </c>
    </row>
    <row r="4899" ht="22.5" customHeight="1">
      <c r="B4899" s="7"/>
      <c r="C4899" s="7"/>
      <c r="D4899" s="7"/>
      <c r="E4899" s="7"/>
      <c r="F4899" s="7"/>
      <c r="G4899" s="7"/>
      <c r="H4899" s="7">
        <f t="shared" si="1"/>
        <v>1029</v>
      </c>
    </row>
    <row r="4900" ht="22.5" customHeight="1">
      <c r="B4900" s="7"/>
      <c r="C4900" s="7"/>
      <c r="D4900" s="7"/>
      <c r="E4900" s="7"/>
      <c r="F4900" s="7"/>
      <c r="G4900" s="7"/>
      <c r="H4900" s="7">
        <f t="shared" si="1"/>
        <v>1029</v>
      </c>
    </row>
    <row r="4901" ht="22.5" customHeight="1">
      <c r="B4901" s="7"/>
      <c r="C4901" s="7"/>
      <c r="D4901" s="7"/>
      <c r="E4901" s="7"/>
      <c r="F4901" s="7"/>
      <c r="G4901" s="7"/>
      <c r="H4901" s="7">
        <f t="shared" si="1"/>
        <v>1029</v>
      </c>
    </row>
    <row r="4902" ht="22.5" customHeight="1">
      <c r="B4902" s="7"/>
      <c r="C4902" s="7"/>
      <c r="D4902" s="7"/>
      <c r="E4902" s="7"/>
      <c r="F4902" s="7"/>
      <c r="G4902" s="7"/>
      <c r="H4902" s="7">
        <f t="shared" si="1"/>
        <v>1029</v>
      </c>
    </row>
    <row r="4903" ht="22.5" customHeight="1">
      <c r="B4903" s="7"/>
      <c r="C4903" s="7"/>
      <c r="D4903" s="7"/>
      <c r="E4903" s="7"/>
      <c r="F4903" s="7"/>
      <c r="G4903" s="7"/>
      <c r="H4903" s="7">
        <f t="shared" si="1"/>
        <v>1029</v>
      </c>
    </row>
    <row r="4904" ht="22.5" customHeight="1">
      <c r="B4904" s="7"/>
      <c r="C4904" s="7"/>
      <c r="D4904" s="7"/>
      <c r="E4904" s="7"/>
      <c r="F4904" s="7"/>
      <c r="G4904" s="7"/>
      <c r="H4904" s="7">
        <f t="shared" si="1"/>
        <v>1029</v>
      </c>
    </row>
    <row r="4905" ht="22.5" customHeight="1">
      <c r="B4905" s="7"/>
      <c r="C4905" s="7"/>
      <c r="D4905" s="7"/>
      <c r="E4905" s="7"/>
      <c r="F4905" s="7"/>
      <c r="G4905" s="7"/>
      <c r="H4905" s="7">
        <f t="shared" si="1"/>
        <v>1029</v>
      </c>
    </row>
    <row r="4906" ht="22.5" customHeight="1">
      <c r="B4906" s="7"/>
      <c r="C4906" s="7"/>
      <c r="D4906" s="7"/>
      <c r="E4906" s="7"/>
      <c r="F4906" s="7"/>
      <c r="G4906" s="7"/>
      <c r="H4906" s="7">
        <f t="shared" si="1"/>
        <v>1029</v>
      </c>
    </row>
    <row r="4907" ht="22.5" customHeight="1">
      <c r="B4907" s="7"/>
      <c r="C4907" s="7"/>
      <c r="D4907" s="7"/>
      <c r="E4907" s="7"/>
      <c r="F4907" s="7"/>
      <c r="G4907" s="7"/>
      <c r="H4907" s="7">
        <f t="shared" si="1"/>
        <v>1029</v>
      </c>
    </row>
    <row r="4908" ht="22.5" customHeight="1">
      <c r="B4908" s="7"/>
      <c r="C4908" s="7"/>
      <c r="D4908" s="7"/>
      <c r="E4908" s="7"/>
      <c r="F4908" s="7"/>
      <c r="G4908" s="7"/>
      <c r="H4908" s="7">
        <f t="shared" si="1"/>
        <v>1029</v>
      </c>
    </row>
    <row r="4909" ht="22.5" customHeight="1">
      <c r="B4909" s="7"/>
      <c r="C4909" s="7"/>
      <c r="D4909" s="7"/>
      <c r="E4909" s="7"/>
      <c r="F4909" s="7"/>
      <c r="G4909" s="7"/>
      <c r="H4909" s="7">
        <f t="shared" si="1"/>
        <v>1029</v>
      </c>
    </row>
    <row r="4910" ht="22.5" customHeight="1">
      <c r="B4910" s="7"/>
      <c r="C4910" s="7"/>
      <c r="D4910" s="7"/>
      <c r="E4910" s="7"/>
      <c r="F4910" s="7"/>
      <c r="G4910" s="7"/>
      <c r="H4910" s="7">
        <f t="shared" si="1"/>
        <v>1029</v>
      </c>
    </row>
    <row r="4911" ht="22.5" customHeight="1">
      <c r="B4911" s="7"/>
      <c r="C4911" s="7"/>
      <c r="D4911" s="7"/>
      <c r="E4911" s="7"/>
      <c r="F4911" s="7"/>
      <c r="G4911" s="7"/>
      <c r="H4911" s="7">
        <f t="shared" si="1"/>
        <v>1029</v>
      </c>
    </row>
    <row r="4912" ht="22.5" customHeight="1">
      <c r="B4912" s="7"/>
      <c r="C4912" s="7"/>
      <c r="D4912" s="7"/>
      <c r="E4912" s="7"/>
      <c r="F4912" s="7"/>
      <c r="G4912" s="7"/>
      <c r="H4912" s="7">
        <f t="shared" si="1"/>
        <v>1029</v>
      </c>
    </row>
    <row r="4913" ht="22.5" customHeight="1">
      <c r="B4913" s="7"/>
      <c r="C4913" s="7"/>
      <c r="D4913" s="7"/>
      <c r="E4913" s="7"/>
      <c r="F4913" s="7"/>
      <c r="G4913" s="7"/>
      <c r="H4913" s="7">
        <f t="shared" si="1"/>
        <v>1029</v>
      </c>
    </row>
    <row r="4914" ht="22.5" customHeight="1">
      <c r="B4914" s="7"/>
      <c r="C4914" s="7"/>
      <c r="D4914" s="7"/>
      <c r="E4914" s="7"/>
      <c r="F4914" s="7"/>
      <c r="G4914" s="7"/>
      <c r="H4914" s="7">
        <f t="shared" si="1"/>
        <v>1029</v>
      </c>
    </row>
    <row r="4915" ht="22.5" customHeight="1">
      <c r="B4915" s="7"/>
      <c r="C4915" s="7"/>
      <c r="D4915" s="7"/>
      <c r="E4915" s="7"/>
      <c r="F4915" s="7"/>
      <c r="G4915" s="7"/>
      <c r="H4915" s="7">
        <f t="shared" si="1"/>
        <v>1029</v>
      </c>
    </row>
    <row r="4916" ht="22.5" customHeight="1">
      <c r="B4916" s="7"/>
      <c r="C4916" s="7"/>
      <c r="D4916" s="7"/>
      <c r="E4916" s="7"/>
      <c r="F4916" s="7"/>
      <c r="G4916" s="7"/>
      <c r="H4916" s="7">
        <f t="shared" si="1"/>
        <v>1029</v>
      </c>
    </row>
    <row r="4917" ht="22.5" customHeight="1">
      <c r="B4917" s="7"/>
      <c r="C4917" s="7"/>
      <c r="D4917" s="7"/>
      <c r="E4917" s="7"/>
      <c r="F4917" s="7"/>
      <c r="G4917" s="7"/>
      <c r="H4917" s="7">
        <f t="shared" si="1"/>
        <v>1029</v>
      </c>
    </row>
    <row r="4918" ht="22.5" customHeight="1">
      <c r="B4918" s="7"/>
      <c r="C4918" s="7"/>
      <c r="D4918" s="7"/>
      <c r="E4918" s="7"/>
      <c r="F4918" s="7"/>
      <c r="G4918" s="7"/>
      <c r="H4918" s="7">
        <f t="shared" si="1"/>
        <v>1029</v>
      </c>
    </row>
    <row r="4919" ht="22.5" customHeight="1">
      <c r="B4919" s="7"/>
      <c r="C4919" s="7"/>
      <c r="D4919" s="7"/>
      <c r="E4919" s="7"/>
      <c r="F4919" s="7"/>
      <c r="G4919" s="7"/>
      <c r="H4919" s="7">
        <f t="shared" si="1"/>
        <v>1029</v>
      </c>
    </row>
    <row r="4920" ht="22.5" customHeight="1">
      <c r="B4920" s="7"/>
      <c r="C4920" s="7"/>
      <c r="D4920" s="7"/>
      <c r="E4920" s="7"/>
      <c r="F4920" s="7"/>
      <c r="G4920" s="7"/>
      <c r="H4920" s="7">
        <f t="shared" si="1"/>
        <v>1029</v>
      </c>
    </row>
    <row r="4921" ht="22.5" customHeight="1">
      <c r="B4921" s="7"/>
      <c r="C4921" s="7"/>
      <c r="D4921" s="7"/>
      <c r="E4921" s="7"/>
      <c r="F4921" s="7"/>
      <c r="G4921" s="7"/>
      <c r="H4921" s="7">
        <f t="shared" si="1"/>
        <v>1029</v>
      </c>
    </row>
    <row r="4922" ht="22.5" customHeight="1">
      <c r="B4922" s="7"/>
      <c r="C4922" s="7"/>
      <c r="D4922" s="7"/>
      <c r="E4922" s="7"/>
      <c r="F4922" s="7"/>
      <c r="G4922" s="7"/>
      <c r="H4922" s="7">
        <f t="shared" si="1"/>
        <v>1029</v>
      </c>
    </row>
    <row r="4923" ht="22.5" customHeight="1">
      <c r="B4923" s="7"/>
      <c r="C4923" s="7"/>
      <c r="D4923" s="7"/>
      <c r="E4923" s="7"/>
      <c r="F4923" s="7"/>
      <c r="G4923" s="7"/>
      <c r="H4923" s="7">
        <f t="shared" si="1"/>
        <v>1029</v>
      </c>
    </row>
    <row r="4924" ht="22.5" customHeight="1">
      <c r="B4924" s="7"/>
      <c r="C4924" s="7"/>
      <c r="D4924" s="7"/>
      <c r="E4924" s="7"/>
      <c r="F4924" s="7"/>
      <c r="G4924" s="7"/>
      <c r="H4924" s="7">
        <f t="shared" si="1"/>
        <v>1029</v>
      </c>
    </row>
    <row r="4925" ht="22.5" customHeight="1">
      <c r="B4925" s="7"/>
      <c r="C4925" s="7"/>
      <c r="D4925" s="7"/>
      <c r="E4925" s="7"/>
      <c r="F4925" s="7"/>
      <c r="G4925" s="7"/>
      <c r="H4925" s="7">
        <f t="shared" si="1"/>
        <v>1029</v>
      </c>
    </row>
    <row r="4926" ht="22.5" customHeight="1">
      <c r="B4926" s="7"/>
      <c r="C4926" s="7"/>
      <c r="D4926" s="7"/>
      <c r="E4926" s="7"/>
      <c r="F4926" s="7"/>
      <c r="G4926" s="7"/>
      <c r="H4926" s="7">
        <f t="shared" si="1"/>
        <v>1029</v>
      </c>
    </row>
    <row r="4927" ht="22.5" customHeight="1">
      <c r="B4927" s="7"/>
      <c r="C4927" s="7"/>
      <c r="D4927" s="7"/>
      <c r="E4927" s="7"/>
      <c r="F4927" s="7"/>
      <c r="G4927" s="7"/>
      <c r="H4927" s="7">
        <f t="shared" si="1"/>
        <v>1029</v>
      </c>
    </row>
    <row r="4928" ht="22.5" customHeight="1">
      <c r="B4928" s="7"/>
      <c r="C4928" s="7"/>
      <c r="D4928" s="7"/>
      <c r="E4928" s="7"/>
      <c r="F4928" s="7"/>
      <c r="G4928" s="7"/>
      <c r="H4928" s="7">
        <f t="shared" si="1"/>
        <v>1029</v>
      </c>
    </row>
    <row r="4929" ht="22.5" customHeight="1">
      <c r="B4929" s="7"/>
      <c r="C4929" s="7"/>
      <c r="D4929" s="7"/>
      <c r="E4929" s="7"/>
      <c r="F4929" s="7"/>
      <c r="G4929" s="7"/>
      <c r="H4929" s="7">
        <f t="shared" si="1"/>
        <v>1029</v>
      </c>
    </row>
    <row r="4930" ht="22.5" customHeight="1">
      <c r="B4930" s="7"/>
      <c r="C4930" s="7"/>
      <c r="D4930" s="7"/>
      <c r="E4930" s="7"/>
      <c r="F4930" s="7"/>
      <c r="G4930" s="7"/>
      <c r="H4930" s="7">
        <f t="shared" si="1"/>
        <v>1029</v>
      </c>
    </row>
    <row r="4931" ht="22.5" customHeight="1">
      <c r="B4931" s="7"/>
      <c r="C4931" s="7"/>
      <c r="D4931" s="7"/>
      <c r="E4931" s="7"/>
      <c r="F4931" s="7"/>
      <c r="G4931" s="7"/>
      <c r="H4931" s="7">
        <f t="shared" si="1"/>
        <v>1029</v>
      </c>
    </row>
    <row r="4932" ht="22.5" customHeight="1">
      <c r="B4932" s="7"/>
      <c r="C4932" s="7"/>
      <c r="D4932" s="7"/>
      <c r="E4932" s="7"/>
      <c r="F4932" s="7"/>
      <c r="G4932" s="7"/>
      <c r="H4932" s="7">
        <f t="shared" si="1"/>
        <v>1029</v>
      </c>
    </row>
    <row r="4933" ht="22.5" customHeight="1">
      <c r="B4933" s="7"/>
      <c r="C4933" s="7"/>
      <c r="D4933" s="7"/>
      <c r="E4933" s="7"/>
      <c r="F4933" s="7"/>
      <c r="G4933" s="7"/>
      <c r="H4933" s="7">
        <f t="shared" si="1"/>
        <v>1029</v>
      </c>
    </row>
    <row r="4934" ht="22.5" customHeight="1">
      <c r="B4934" s="7"/>
      <c r="C4934" s="7"/>
      <c r="D4934" s="7"/>
      <c r="E4934" s="7"/>
      <c r="F4934" s="7"/>
      <c r="G4934" s="7"/>
      <c r="H4934" s="7">
        <f t="shared" si="1"/>
        <v>1029</v>
      </c>
    </row>
    <row r="4935" ht="22.5" customHeight="1">
      <c r="B4935" s="7"/>
      <c r="C4935" s="7"/>
      <c r="D4935" s="7"/>
      <c r="E4935" s="7"/>
      <c r="F4935" s="7"/>
      <c r="G4935" s="7"/>
      <c r="H4935" s="7">
        <f t="shared" si="1"/>
        <v>1029</v>
      </c>
    </row>
    <row r="4936" ht="22.5" customHeight="1">
      <c r="B4936" s="7"/>
      <c r="C4936" s="7"/>
      <c r="D4936" s="7"/>
      <c r="E4936" s="7"/>
      <c r="F4936" s="7"/>
      <c r="G4936" s="7"/>
      <c r="H4936" s="7">
        <f t="shared" si="1"/>
        <v>1029</v>
      </c>
    </row>
    <row r="4937" ht="22.5" customHeight="1">
      <c r="B4937" s="7"/>
      <c r="C4937" s="7"/>
      <c r="D4937" s="7"/>
      <c r="E4937" s="7"/>
      <c r="F4937" s="7"/>
      <c r="G4937" s="7"/>
      <c r="H4937" s="7">
        <f t="shared" si="1"/>
        <v>1029</v>
      </c>
    </row>
    <row r="4938" ht="22.5" customHeight="1">
      <c r="B4938" s="7"/>
      <c r="C4938" s="7"/>
      <c r="D4938" s="7"/>
      <c r="E4938" s="7"/>
      <c r="F4938" s="7"/>
      <c r="G4938" s="7"/>
      <c r="H4938" s="7">
        <f t="shared" si="1"/>
        <v>1029</v>
      </c>
    </row>
    <row r="4939" ht="22.5" customHeight="1">
      <c r="B4939" s="7"/>
      <c r="C4939" s="7"/>
      <c r="D4939" s="7"/>
      <c r="E4939" s="7"/>
      <c r="F4939" s="7"/>
      <c r="G4939" s="7"/>
      <c r="H4939" s="7">
        <f t="shared" si="1"/>
        <v>1029</v>
      </c>
    </row>
    <row r="4940" ht="22.5" customHeight="1">
      <c r="B4940" s="7"/>
      <c r="C4940" s="7"/>
      <c r="D4940" s="7"/>
      <c r="E4940" s="7"/>
      <c r="F4940" s="7"/>
      <c r="G4940" s="7"/>
      <c r="H4940" s="7">
        <f t="shared" si="1"/>
        <v>1029</v>
      </c>
    </row>
    <row r="4941" ht="22.5" customHeight="1">
      <c r="B4941" s="7"/>
      <c r="C4941" s="7"/>
      <c r="D4941" s="7"/>
      <c r="E4941" s="7"/>
      <c r="F4941" s="7"/>
      <c r="G4941" s="7"/>
      <c r="H4941" s="7">
        <f t="shared" si="1"/>
        <v>1029</v>
      </c>
    </row>
    <row r="4942" ht="22.5" customHeight="1">
      <c r="B4942" s="7"/>
      <c r="C4942" s="7"/>
      <c r="D4942" s="7"/>
      <c r="E4942" s="7"/>
      <c r="F4942" s="7"/>
      <c r="G4942" s="7"/>
      <c r="H4942" s="7">
        <f t="shared" si="1"/>
        <v>1029</v>
      </c>
    </row>
    <row r="4943" ht="22.5" customHeight="1">
      <c r="B4943" s="7"/>
      <c r="C4943" s="7"/>
      <c r="D4943" s="7"/>
      <c r="E4943" s="7"/>
      <c r="F4943" s="7"/>
      <c r="G4943" s="7"/>
      <c r="H4943" s="7">
        <f t="shared" si="1"/>
        <v>1029</v>
      </c>
    </row>
    <row r="4944" ht="22.5" customHeight="1">
      <c r="B4944" s="7"/>
      <c r="C4944" s="7"/>
      <c r="D4944" s="7"/>
      <c r="E4944" s="7"/>
      <c r="F4944" s="7"/>
      <c r="G4944" s="7"/>
      <c r="H4944" s="7">
        <f t="shared" si="1"/>
        <v>1029</v>
      </c>
    </row>
    <row r="4945" ht="22.5" customHeight="1">
      <c r="B4945" s="7"/>
      <c r="C4945" s="7"/>
      <c r="D4945" s="7"/>
      <c r="E4945" s="7"/>
      <c r="F4945" s="7"/>
      <c r="G4945" s="7"/>
      <c r="H4945" s="7">
        <f t="shared" si="1"/>
        <v>1029</v>
      </c>
    </row>
    <row r="4946" ht="22.5" customHeight="1">
      <c r="B4946" s="7"/>
      <c r="C4946" s="7"/>
      <c r="D4946" s="7"/>
      <c r="E4946" s="7"/>
      <c r="F4946" s="7"/>
      <c r="G4946" s="7"/>
      <c r="H4946" s="7">
        <f t="shared" si="1"/>
        <v>1029</v>
      </c>
    </row>
    <row r="4947" ht="22.5" customHeight="1">
      <c r="B4947" s="7"/>
      <c r="C4947" s="7"/>
      <c r="D4947" s="7"/>
      <c r="E4947" s="7"/>
      <c r="F4947" s="7"/>
      <c r="G4947" s="7"/>
      <c r="H4947" s="7">
        <f t="shared" si="1"/>
        <v>1029</v>
      </c>
    </row>
    <row r="4948" ht="22.5" customHeight="1">
      <c r="B4948" s="7"/>
      <c r="C4948" s="7"/>
      <c r="D4948" s="7"/>
      <c r="E4948" s="7"/>
      <c r="F4948" s="7"/>
      <c r="G4948" s="7"/>
      <c r="H4948" s="7">
        <f t="shared" si="1"/>
        <v>1029</v>
      </c>
    </row>
    <row r="4949" ht="22.5" customHeight="1">
      <c r="B4949" s="7"/>
      <c r="C4949" s="7"/>
      <c r="D4949" s="7"/>
      <c r="E4949" s="7"/>
      <c r="F4949" s="7"/>
      <c r="G4949" s="7"/>
      <c r="H4949" s="7">
        <f t="shared" si="1"/>
        <v>1029</v>
      </c>
    </row>
    <row r="4950" ht="22.5" customHeight="1">
      <c r="B4950" s="7"/>
      <c r="C4950" s="7"/>
      <c r="D4950" s="7"/>
      <c r="E4950" s="7"/>
      <c r="F4950" s="7"/>
      <c r="G4950" s="7"/>
      <c r="H4950" s="7">
        <f t="shared" si="1"/>
        <v>1029</v>
      </c>
    </row>
    <row r="4951" ht="22.5" customHeight="1">
      <c r="B4951" s="7"/>
      <c r="C4951" s="7"/>
      <c r="D4951" s="7"/>
      <c r="E4951" s="7"/>
      <c r="F4951" s="7"/>
      <c r="G4951" s="7"/>
      <c r="H4951" s="7">
        <f t="shared" si="1"/>
        <v>1029</v>
      </c>
    </row>
    <row r="4952" ht="22.5" customHeight="1">
      <c r="B4952" s="7"/>
      <c r="C4952" s="7"/>
      <c r="D4952" s="7"/>
      <c r="E4952" s="7"/>
      <c r="F4952" s="7"/>
      <c r="G4952" s="7"/>
      <c r="H4952" s="7">
        <f t="shared" si="1"/>
        <v>1029</v>
      </c>
    </row>
    <row r="4953" ht="22.5" customHeight="1">
      <c r="B4953" s="7"/>
      <c r="C4953" s="7"/>
      <c r="D4953" s="7"/>
      <c r="E4953" s="7"/>
      <c r="F4953" s="7"/>
      <c r="G4953" s="7"/>
      <c r="H4953" s="7">
        <f t="shared" si="1"/>
        <v>1029</v>
      </c>
    </row>
    <row r="4954" ht="22.5" customHeight="1">
      <c r="B4954" s="7"/>
      <c r="C4954" s="7"/>
      <c r="D4954" s="7"/>
      <c r="E4954" s="7"/>
      <c r="F4954" s="7"/>
      <c r="G4954" s="7"/>
      <c r="H4954" s="7">
        <f t="shared" si="1"/>
        <v>1029</v>
      </c>
    </row>
    <row r="4955" ht="22.5" customHeight="1">
      <c r="B4955" s="7"/>
      <c r="C4955" s="7"/>
      <c r="D4955" s="7"/>
      <c r="E4955" s="7"/>
      <c r="F4955" s="7"/>
      <c r="G4955" s="7"/>
      <c r="H4955" s="7">
        <f t="shared" si="1"/>
        <v>1029</v>
      </c>
    </row>
    <row r="4956" ht="22.5" customHeight="1">
      <c r="B4956" s="7"/>
      <c r="C4956" s="7"/>
      <c r="D4956" s="7"/>
      <c r="E4956" s="7"/>
      <c r="F4956" s="7"/>
      <c r="G4956" s="7"/>
      <c r="H4956" s="7">
        <f t="shared" si="1"/>
        <v>1029</v>
      </c>
    </row>
    <row r="4957" ht="22.5" customHeight="1">
      <c r="B4957" s="7"/>
      <c r="C4957" s="7"/>
      <c r="D4957" s="7"/>
      <c r="E4957" s="7"/>
      <c r="F4957" s="7"/>
      <c r="G4957" s="7"/>
      <c r="H4957" s="7">
        <f t="shared" si="1"/>
        <v>1029</v>
      </c>
    </row>
    <row r="4958" ht="22.5" customHeight="1">
      <c r="B4958" s="7"/>
      <c r="C4958" s="7"/>
      <c r="D4958" s="7"/>
      <c r="E4958" s="7"/>
      <c r="F4958" s="7"/>
      <c r="G4958" s="7"/>
      <c r="H4958" s="7">
        <f t="shared" si="1"/>
        <v>1029</v>
      </c>
    </row>
    <row r="4959" ht="22.5" customHeight="1">
      <c r="B4959" s="7"/>
      <c r="C4959" s="7"/>
      <c r="D4959" s="7"/>
      <c r="E4959" s="7"/>
      <c r="F4959" s="7"/>
      <c r="G4959" s="7"/>
      <c r="H4959" s="7">
        <f t="shared" si="1"/>
        <v>1029</v>
      </c>
    </row>
    <row r="4960" ht="22.5" customHeight="1">
      <c r="B4960" s="7"/>
      <c r="C4960" s="7"/>
      <c r="D4960" s="7"/>
      <c r="E4960" s="7"/>
      <c r="F4960" s="7"/>
      <c r="G4960" s="7"/>
      <c r="H4960" s="7">
        <f t="shared" si="1"/>
        <v>1029</v>
      </c>
    </row>
    <row r="4961" ht="22.5" customHeight="1">
      <c r="B4961" s="7"/>
      <c r="C4961" s="7"/>
      <c r="D4961" s="7"/>
      <c r="E4961" s="7"/>
      <c r="F4961" s="7"/>
      <c r="G4961" s="7"/>
      <c r="H4961" s="7">
        <f t="shared" si="1"/>
        <v>1029</v>
      </c>
    </row>
    <row r="4962" ht="22.5" customHeight="1">
      <c r="B4962" s="7"/>
      <c r="C4962" s="7"/>
      <c r="D4962" s="7"/>
      <c r="E4962" s="7"/>
      <c r="F4962" s="7"/>
      <c r="G4962" s="7"/>
      <c r="H4962" s="7">
        <f t="shared" si="1"/>
        <v>1029</v>
      </c>
    </row>
    <row r="4963" ht="22.5" customHeight="1">
      <c r="B4963" s="7"/>
      <c r="C4963" s="7"/>
      <c r="D4963" s="7"/>
      <c r="E4963" s="7"/>
      <c r="F4963" s="7"/>
      <c r="G4963" s="7"/>
      <c r="H4963" s="7">
        <f t="shared" si="1"/>
        <v>1029</v>
      </c>
    </row>
    <row r="4964" ht="22.5" customHeight="1">
      <c r="B4964" s="7"/>
      <c r="C4964" s="7"/>
      <c r="D4964" s="7"/>
      <c r="E4964" s="7"/>
      <c r="F4964" s="7"/>
      <c r="G4964" s="7"/>
      <c r="H4964" s="7">
        <f t="shared" si="1"/>
        <v>1029</v>
      </c>
    </row>
    <row r="4965" ht="22.5" customHeight="1">
      <c r="B4965" s="7"/>
      <c r="C4965" s="7"/>
      <c r="D4965" s="7"/>
      <c r="E4965" s="7"/>
      <c r="F4965" s="7"/>
      <c r="G4965" s="7"/>
      <c r="H4965" s="7">
        <f t="shared" si="1"/>
        <v>1029</v>
      </c>
    </row>
    <row r="4966" ht="22.5" customHeight="1">
      <c r="B4966" s="7"/>
      <c r="C4966" s="7"/>
      <c r="D4966" s="7"/>
      <c r="E4966" s="7"/>
      <c r="F4966" s="7"/>
      <c r="G4966" s="7"/>
      <c r="H4966" s="7">
        <f t="shared" si="1"/>
        <v>1029</v>
      </c>
    </row>
    <row r="4967" ht="22.5" customHeight="1">
      <c r="B4967" s="7"/>
      <c r="C4967" s="7"/>
      <c r="D4967" s="7"/>
      <c r="E4967" s="7"/>
      <c r="F4967" s="7"/>
      <c r="G4967" s="7"/>
      <c r="H4967" s="7">
        <f t="shared" si="1"/>
        <v>1029</v>
      </c>
    </row>
    <row r="4968" ht="22.5" customHeight="1">
      <c r="B4968" s="7"/>
      <c r="C4968" s="7"/>
      <c r="D4968" s="7"/>
      <c r="E4968" s="7"/>
      <c r="F4968" s="7"/>
      <c r="G4968" s="7"/>
      <c r="H4968" s="7">
        <f t="shared" si="1"/>
        <v>1029</v>
      </c>
    </row>
    <row r="4969" ht="22.5" customHeight="1">
      <c r="B4969" s="7"/>
      <c r="C4969" s="7"/>
      <c r="D4969" s="7"/>
      <c r="E4969" s="7"/>
      <c r="F4969" s="7"/>
      <c r="G4969" s="7"/>
      <c r="H4969" s="7">
        <f t="shared" si="1"/>
        <v>1029</v>
      </c>
    </row>
    <row r="4970" ht="22.5" customHeight="1">
      <c r="B4970" s="7"/>
      <c r="C4970" s="7"/>
      <c r="D4970" s="7"/>
      <c r="E4970" s="7"/>
      <c r="F4970" s="7"/>
      <c r="G4970" s="7"/>
      <c r="H4970" s="7">
        <f t="shared" si="1"/>
        <v>1029</v>
      </c>
    </row>
    <row r="4971" ht="22.5" customHeight="1">
      <c r="B4971" s="7"/>
      <c r="C4971" s="7"/>
      <c r="D4971" s="7"/>
      <c r="E4971" s="7"/>
      <c r="F4971" s="7"/>
      <c r="G4971" s="7"/>
      <c r="H4971" s="7">
        <f t="shared" si="1"/>
        <v>1029</v>
      </c>
    </row>
    <row r="4972" ht="22.5" customHeight="1">
      <c r="B4972" s="7"/>
      <c r="C4972" s="7"/>
      <c r="D4972" s="7"/>
      <c r="E4972" s="7"/>
      <c r="F4972" s="7"/>
      <c r="G4972" s="7"/>
      <c r="H4972" s="7">
        <f t="shared" si="1"/>
        <v>1029</v>
      </c>
    </row>
    <row r="4973" ht="22.5" customHeight="1">
      <c r="B4973" s="7"/>
      <c r="C4973" s="7"/>
      <c r="D4973" s="7"/>
      <c r="E4973" s="7"/>
      <c r="F4973" s="7"/>
      <c r="G4973" s="7"/>
      <c r="H4973" s="7">
        <f t="shared" si="1"/>
        <v>1029</v>
      </c>
    </row>
    <row r="4974" ht="22.5" customHeight="1">
      <c r="B4974" s="7"/>
      <c r="C4974" s="7"/>
      <c r="D4974" s="7"/>
      <c r="E4974" s="7"/>
      <c r="F4974" s="7"/>
      <c r="G4974" s="7"/>
      <c r="H4974" s="7">
        <f t="shared" si="1"/>
        <v>1029</v>
      </c>
    </row>
    <row r="4975" ht="22.5" customHeight="1">
      <c r="B4975" s="7"/>
      <c r="C4975" s="7"/>
      <c r="D4975" s="7"/>
      <c r="E4975" s="7"/>
      <c r="F4975" s="7"/>
      <c r="G4975" s="7"/>
      <c r="H4975" s="7">
        <f t="shared" si="1"/>
        <v>1029</v>
      </c>
    </row>
    <row r="4976" ht="22.5" customHeight="1">
      <c r="B4976" s="7"/>
      <c r="C4976" s="7"/>
      <c r="D4976" s="7"/>
      <c r="E4976" s="7"/>
      <c r="F4976" s="7"/>
      <c r="G4976" s="7"/>
      <c r="H4976" s="7">
        <f t="shared" si="1"/>
        <v>1029</v>
      </c>
    </row>
    <row r="4977" ht="22.5" customHeight="1">
      <c r="B4977" s="7"/>
      <c r="C4977" s="7"/>
      <c r="D4977" s="7"/>
      <c r="E4977" s="7"/>
      <c r="F4977" s="7"/>
      <c r="G4977" s="7"/>
      <c r="H4977" s="7">
        <f t="shared" si="1"/>
        <v>1029</v>
      </c>
    </row>
    <row r="4978" ht="22.5" customHeight="1">
      <c r="B4978" s="7"/>
      <c r="C4978" s="7"/>
      <c r="D4978" s="7"/>
      <c r="E4978" s="7"/>
      <c r="F4978" s="7"/>
      <c r="G4978" s="7"/>
      <c r="H4978" s="7">
        <f t="shared" si="1"/>
        <v>1029</v>
      </c>
    </row>
    <row r="4979" ht="22.5" customHeight="1">
      <c r="B4979" s="7"/>
      <c r="C4979" s="7"/>
      <c r="D4979" s="7"/>
      <c r="E4979" s="7"/>
      <c r="F4979" s="7"/>
      <c r="G4979" s="7"/>
      <c r="H4979" s="7">
        <f t="shared" si="1"/>
        <v>1029</v>
      </c>
    </row>
    <row r="4980" ht="22.5" customHeight="1">
      <c r="B4980" s="7"/>
      <c r="C4980" s="7"/>
      <c r="D4980" s="7"/>
      <c r="E4980" s="7"/>
      <c r="F4980" s="7"/>
      <c r="G4980" s="7"/>
      <c r="H4980" s="7">
        <f t="shared" si="1"/>
        <v>1029</v>
      </c>
    </row>
    <row r="4981" ht="22.5" customHeight="1">
      <c r="B4981" s="7"/>
      <c r="C4981" s="7"/>
      <c r="D4981" s="7"/>
      <c r="E4981" s="7"/>
      <c r="F4981" s="7"/>
      <c r="G4981" s="7"/>
      <c r="H4981" s="7">
        <f t="shared" si="1"/>
        <v>1029</v>
      </c>
    </row>
    <row r="4982" ht="22.5" customHeight="1">
      <c r="B4982" s="7"/>
      <c r="C4982" s="7"/>
      <c r="D4982" s="7"/>
      <c r="E4982" s="7"/>
      <c r="F4982" s="7"/>
      <c r="G4982" s="7"/>
      <c r="H4982" s="7">
        <f t="shared" si="1"/>
        <v>1029</v>
      </c>
    </row>
    <row r="4983" ht="22.5" customHeight="1">
      <c r="B4983" s="7"/>
      <c r="C4983" s="7"/>
      <c r="D4983" s="7"/>
      <c r="E4983" s="7"/>
      <c r="F4983" s="7"/>
      <c r="G4983" s="7"/>
      <c r="H4983" s="7">
        <f t="shared" si="1"/>
        <v>1029</v>
      </c>
    </row>
    <row r="4984" ht="22.5" customHeight="1">
      <c r="B4984" s="7"/>
      <c r="C4984" s="7"/>
      <c r="D4984" s="7"/>
      <c r="E4984" s="7"/>
      <c r="F4984" s="7"/>
      <c r="G4984" s="7"/>
      <c r="H4984" s="7">
        <f t="shared" si="1"/>
        <v>1029</v>
      </c>
    </row>
    <row r="4985" ht="22.5" customHeight="1">
      <c r="B4985" s="7"/>
      <c r="C4985" s="7"/>
      <c r="D4985" s="7"/>
      <c r="E4985" s="7"/>
      <c r="F4985" s="7"/>
      <c r="G4985" s="7"/>
      <c r="H4985" s="7">
        <f t="shared" si="1"/>
        <v>1029</v>
      </c>
    </row>
    <row r="4986" ht="22.5" customHeight="1">
      <c r="B4986" s="7"/>
      <c r="C4986" s="7"/>
      <c r="D4986" s="7"/>
      <c r="E4986" s="7"/>
      <c r="F4986" s="7"/>
      <c r="G4986" s="7"/>
      <c r="H4986" s="7">
        <f t="shared" si="1"/>
        <v>1029</v>
      </c>
    </row>
    <row r="4987" ht="22.5" customHeight="1">
      <c r="B4987" s="7"/>
      <c r="C4987" s="7"/>
      <c r="D4987" s="7"/>
      <c r="E4987" s="7"/>
      <c r="F4987" s="7"/>
      <c r="G4987" s="7"/>
      <c r="H4987" s="7">
        <f t="shared" si="1"/>
        <v>1029</v>
      </c>
    </row>
    <row r="4988" ht="22.5" customHeight="1">
      <c r="B4988" s="7"/>
      <c r="C4988" s="7"/>
      <c r="D4988" s="7"/>
      <c r="E4988" s="7"/>
      <c r="F4988" s="7"/>
      <c r="G4988" s="7"/>
      <c r="H4988" s="7">
        <f t="shared" si="1"/>
        <v>1029</v>
      </c>
    </row>
    <row r="4989" ht="22.5" customHeight="1">
      <c r="B4989" s="7"/>
      <c r="C4989" s="7"/>
      <c r="D4989" s="7"/>
      <c r="E4989" s="7"/>
      <c r="F4989" s="7"/>
      <c r="G4989" s="7"/>
      <c r="H4989" s="7">
        <f t="shared" si="1"/>
        <v>1029</v>
      </c>
    </row>
    <row r="4990" ht="22.5" customHeight="1">
      <c r="B4990" s="7"/>
      <c r="C4990" s="7"/>
      <c r="D4990" s="7"/>
      <c r="E4990" s="7"/>
      <c r="F4990" s="7"/>
      <c r="G4990" s="7"/>
      <c r="H4990" s="7">
        <f t="shared" si="1"/>
        <v>1029</v>
      </c>
    </row>
    <row r="4991" ht="22.5" customHeight="1">
      <c r="B4991" s="7"/>
      <c r="C4991" s="7"/>
      <c r="D4991" s="7"/>
      <c r="E4991" s="7"/>
      <c r="F4991" s="7"/>
      <c r="G4991" s="7"/>
      <c r="H4991" s="7">
        <f t="shared" si="1"/>
        <v>1029</v>
      </c>
    </row>
    <row r="4992" ht="22.5" customHeight="1">
      <c r="B4992" s="7"/>
      <c r="C4992" s="7"/>
      <c r="D4992" s="7"/>
      <c r="E4992" s="7"/>
      <c r="F4992" s="7"/>
      <c r="G4992" s="7"/>
      <c r="H4992" s="7">
        <f t="shared" si="1"/>
        <v>1029</v>
      </c>
    </row>
    <row r="4993" ht="22.5" customHeight="1">
      <c r="B4993" s="7"/>
      <c r="C4993" s="7"/>
      <c r="D4993" s="7"/>
      <c r="E4993" s="7"/>
      <c r="F4993" s="7"/>
      <c r="G4993" s="7"/>
      <c r="H4993" s="7">
        <f t="shared" si="1"/>
        <v>1029</v>
      </c>
    </row>
    <row r="4994" ht="22.5" customHeight="1">
      <c r="B4994" s="7"/>
      <c r="C4994" s="7"/>
      <c r="D4994" s="7"/>
      <c r="E4994" s="7"/>
      <c r="F4994" s="7"/>
      <c r="G4994" s="7"/>
      <c r="H4994" s="7">
        <f t="shared" si="1"/>
        <v>1029</v>
      </c>
    </row>
    <row r="4995" ht="22.5" customHeight="1">
      <c r="B4995" s="7"/>
      <c r="C4995" s="7"/>
      <c r="D4995" s="7"/>
      <c r="E4995" s="7"/>
      <c r="F4995" s="7"/>
      <c r="G4995" s="7"/>
      <c r="H4995" s="7">
        <f t="shared" si="1"/>
        <v>1029</v>
      </c>
    </row>
    <row r="4996" ht="22.5" customHeight="1">
      <c r="B4996" s="7"/>
      <c r="C4996" s="7"/>
      <c r="D4996" s="7"/>
      <c r="E4996" s="7"/>
      <c r="F4996" s="7"/>
      <c r="G4996" s="7"/>
      <c r="H4996" s="7">
        <f t="shared" si="1"/>
        <v>1029</v>
      </c>
    </row>
    <row r="4997" ht="22.5" customHeight="1">
      <c r="B4997" s="7"/>
      <c r="C4997" s="7"/>
      <c r="D4997" s="7"/>
      <c r="E4997" s="7"/>
      <c r="F4997" s="7"/>
      <c r="G4997" s="7"/>
      <c r="H4997" s="7">
        <f t="shared" si="1"/>
        <v>1029</v>
      </c>
    </row>
    <row r="4998" ht="22.5" customHeight="1">
      <c r="B4998" s="7"/>
      <c r="C4998" s="7"/>
      <c r="D4998" s="7"/>
      <c r="E4998" s="7"/>
      <c r="F4998" s="7"/>
      <c r="G4998" s="7"/>
      <c r="H4998" s="7">
        <f t="shared" si="1"/>
        <v>1029</v>
      </c>
    </row>
    <row r="4999" ht="22.5" customHeight="1">
      <c r="B4999" s="7"/>
      <c r="C4999" s="7"/>
      <c r="D4999" s="7"/>
      <c r="E4999" s="7"/>
      <c r="F4999" s="7"/>
      <c r="G4999" s="7"/>
      <c r="H4999" s="7">
        <f t="shared" si="1"/>
        <v>1029</v>
      </c>
    </row>
    <row r="5000" ht="22.5" customHeight="1">
      <c r="B5000" s="7"/>
      <c r="C5000" s="7"/>
      <c r="D5000" s="7"/>
      <c r="E5000" s="7"/>
      <c r="F5000" s="7"/>
      <c r="G5000" s="7"/>
      <c r="H5000" s="7">
        <f t="shared" si="1"/>
        <v>1029</v>
      </c>
    </row>
    <row r="5001" ht="22.5" customHeight="1">
      <c r="B5001" s="7"/>
      <c r="C5001" s="7"/>
      <c r="D5001" s="7"/>
      <c r="E5001" s="7"/>
      <c r="F5001" s="7"/>
      <c r="G5001" s="7"/>
      <c r="H5001" s="7">
        <f t="shared" si="1"/>
        <v>1029</v>
      </c>
    </row>
    <row r="5002" ht="22.5" customHeight="1">
      <c r="B5002" s="7"/>
      <c r="C5002" s="7"/>
      <c r="D5002" s="7"/>
      <c r="E5002" s="7"/>
      <c r="F5002" s="7"/>
      <c r="G5002" s="7"/>
      <c r="H5002" s="7">
        <f t="shared" si="1"/>
        <v>1029</v>
      </c>
    </row>
    <row r="5003" ht="22.5" customHeight="1">
      <c r="B5003" s="7"/>
      <c r="C5003" s="7"/>
      <c r="D5003" s="7"/>
      <c r="E5003" s="7"/>
      <c r="F5003" s="7"/>
      <c r="G5003" s="7"/>
      <c r="H5003" s="7">
        <f t="shared" si="1"/>
        <v>1029</v>
      </c>
    </row>
    <row r="5004" ht="22.5" customHeight="1">
      <c r="B5004" s="7"/>
      <c r="C5004" s="7"/>
      <c r="D5004" s="7"/>
      <c r="E5004" s="7"/>
      <c r="F5004" s="7"/>
      <c r="G5004" s="7"/>
      <c r="H5004" s="7">
        <f t="shared" si="1"/>
        <v>1029</v>
      </c>
    </row>
    <row r="5005" ht="22.5" customHeight="1">
      <c r="B5005" s="7"/>
      <c r="C5005" s="7"/>
      <c r="D5005" s="7"/>
      <c r="E5005" s="7"/>
      <c r="F5005" s="7"/>
      <c r="G5005" s="7"/>
      <c r="H5005" s="7">
        <f t="shared" si="1"/>
        <v>1029</v>
      </c>
    </row>
    <row r="5006" ht="22.5" customHeight="1">
      <c r="B5006" s="7"/>
      <c r="C5006" s="7"/>
      <c r="D5006" s="7"/>
      <c r="E5006" s="7"/>
      <c r="F5006" s="7"/>
      <c r="G5006" s="7"/>
      <c r="H5006" s="7">
        <f t="shared" si="1"/>
        <v>1029</v>
      </c>
    </row>
    <row r="5007" ht="22.5" customHeight="1">
      <c r="B5007" s="7"/>
      <c r="C5007" s="7"/>
      <c r="D5007" s="7"/>
      <c r="E5007" s="7"/>
      <c r="F5007" s="7"/>
      <c r="G5007" s="7"/>
      <c r="H5007" s="7">
        <f t="shared" si="1"/>
        <v>1029</v>
      </c>
    </row>
    <row r="5008" ht="22.5" customHeight="1">
      <c r="B5008" s="7"/>
      <c r="C5008" s="7"/>
      <c r="D5008" s="7"/>
      <c r="E5008" s="7"/>
      <c r="F5008" s="7"/>
      <c r="G5008" s="7"/>
      <c r="H5008" s="7">
        <f t="shared" si="1"/>
        <v>1029</v>
      </c>
    </row>
    <row r="5009" ht="22.5" customHeight="1">
      <c r="B5009" s="7"/>
      <c r="C5009" s="7"/>
      <c r="D5009" s="7"/>
      <c r="E5009" s="7"/>
      <c r="F5009" s="7"/>
      <c r="G5009" s="7"/>
      <c r="H5009" s="7">
        <f t="shared" si="1"/>
        <v>1029</v>
      </c>
    </row>
    <row r="5010" ht="22.5" customHeight="1">
      <c r="B5010" s="7"/>
      <c r="C5010" s="7"/>
      <c r="D5010" s="7"/>
      <c r="E5010" s="7"/>
      <c r="F5010" s="7"/>
      <c r="G5010" s="7"/>
      <c r="H5010" s="7">
        <f t="shared" si="1"/>
        <v>1029</v>
      </c>
    </row>
    <row r="5011" ht="22.5" customHeight="1">
      <c r="B5011" s="7"/>
      <c r="C5011" s="7"/>
      <c r="D5011" s="7"/>
      <c r="E5011" s="7"/>
      <c r="F5011" s="7"/>
      <c r="G5011" s="7"/>
      <c r="H5011" s="7">
        <f t="shared" si="1"/>
        <v>1029</v>
      </c>
    </row>
    <row r="5012" ht="22.5" customHeight="1">
      <c r="B5012" s="7"/>
      <c r="C5012" s="7"/>
      <c r="D5012" s="7"/>
      <c r="E5012" s="7"/>
      <c r="F5012" s="7"/>
      <c r="G5012" s="7"/>
      <c r="H5012" s="7">
        <f t="shared" si="1"/>
        <v>1029</v>
      </c>
    </row>
    <row r="5013" ht="22.5" customHeight="1">
      <c r="B5013" s="7"/>
      <c r="C5013" s="7"/>
      <c r="D5013" s="7"/>
      <c r="E5013" s="7"/>
      <c r="F5013" s="7"/>
      <c r="G5013" s="7"/>
      <c r="H5013" s="7">
        <f t="shared" si="1"/>
        <v>1029</v>
      </c>
    </row>
    <row r="5014" ht="22.5" customHeight="1">
      <c r="B5014" s="7"/>
      <c r="C5014" s="7"/>
      <c r="D5014" s="7"/>
      <c r="E5014" s="7"/>
      <c r="F5014" s="7"/>
      <c r="G5014" s="7"/>
      <c r="H5014" s="7">
        <f t="shared" si="1"/>
        <v>1029</v>
      </c>
    </row>
    <row r="5015" ht="22.5" customHeight="1">
      <c r="B5015" s="7"/>
      <c r="C5015" s="7"/>
      <c r="D5015" s="7"/>
      <c r="E5015" s="7"/>
      <c r="F5015" s="7"/>
      <c r="G5015" s="7"/>
      <c r="H5015" s="7">
        <f t="shared" si="1"/>
        <v>1029</v>
      </c>
    </row>
    <row r="5016" ht="22.5" customHeight="1">
      <c r="B5016" s="7"/>
      <c r="C5016" s="7"/>
      <c r="D5016" s="7"/>
      <c r="E5016" s="7"/>
      <c r="F5016" s="7"/>
      <c r="G5016" s="7"/>
      <c r="H5016" s="7">
        <f t="shared" si="1"/>
        <v>1029</v>
      </c>
    </row>
    <row r="5017" ht="22.5" customHeight="1">
      <c r="B5017" s="7"/>
      <c r="C5017" s="7"/>
      <c r="D5017" s="7"/>
      <c r="E5017" s="7"/>
      <c r="F5017" s="7"/>
      <c r="G5017" s="7"/>
      <c r="H5017" s="7">
        <f t="shared" si="1"/>
        <v>1029</v>
      </c>
    </row>
    <row r="5018" ht="22.5" customHeight="1">
      <c r="B5018" s="7"/>
      <c r="C5018" s="7"/>
      <c r="D5018" s="7"/>
      <c r="E5018" s="7"/>
      <c r="F5018" s="7"/>
      <c r="G5018" s="7"/>
      <c r="H5018" s="7">
        <f t="shared" si="1"/>
        <v>1029</v>
      </c>
    </row>
    <row r="5019" ht="22.5" customHeight="1">
      <c r="B5019" s="7"/>
      <c r="C5019" s="7"/>
      <c r="D5019" s="7"/>
      <c r="E5019" s="7"/>
      <c r="F5019" s="7"/>
      <c r="G5019" s="7"/>
      <c r="H5019" s="7">
        <f t="shared" si="1"/>
        <v>1029</v>
      </c>
    </row>
    <row r="5020" ht="22.5" customHeight="1">
      <c r="B5020" s="7"/>
      <c r="C5020" s="7"/>
      <c r="D5020" s="7"/>
      <c r="E5020" s="7"/>
      <c r="F5020" s="7"/>
      <c r="G5020" s="7"/>
      <c r="H5020" s="7">
        <f t="shared" si="1"/>
        <v>1029</v>
      </c>
    </row>
    <row r="5021" ht="22.5" customHeight="1">
      <c r="B5021" s="7"/>
      <c r="C5021" s="7"/>
      <c r="D5021" s="7"/>
      <c r="E5021" s="7"/>
      <c r="F5021" s="7"/>
      <c r="G5021" s="7"/>
      <c r="H5021" s="7">
        <f t="shared" si="1"/>
        <v>1029</v>
      </c>
    </row>
    <row r="5022" ht="22.5" customHeight="1">
      <c r="B5022" s="7"/>
      <c r="C5022" s="7"/>
      <c r="D5022" s="7"/>
      <c r="E5022" s="7"/>
      <c r="F5022" s="7"/>
      <c r="G5022" s="7"/>
      <c r="H5022" s="7">
        <f t="shared" si="1"/>
        <v>1029</v>
      </c>
    </row>
    <row r="5023" ht="22.5" customHeight="1">
      <c r="B5023" s="7"/>
      <c r="C5023" s="7"/>
      <c r="D5023" s="7"/>
      <c r="E5023" s="7"/>
      <c r="F5023" s="7"/>
      <c r="G5023" s="7"/>
      <c r="H5023" s="7">
        <f t="shared" si="1"/>
        <v>1029</v>
      </c>
    </row>
    <row r="5024" ht="22.5" customHeight="1">
      <c r="B5024" s="7"/>
      <c r="C5024" s="7"/>
      <c r="D5024" s="7"/>
      <c r="E5024" s="7"/>
      <c r="F5024" s="7"/>
      <c r="G5024" s="7"/>
      <c r="H5024" s="7">
        <f t="shared" si="1"/>
        <v>1029</v>
      </c>
    </row>
    <row r="5025" ht="22.5" customHeight="1">
      <c r="B5025" s="7"/>
      <c r="C5025" s="7"/>
      <c r="D5025" s="7"/>
      <c r="E5025" s="7"/>
      <c r="F5025" s="7"/>
      <c r="G5025" s="7"/>
      <c r="H5025" s="7">
        <f t="shared" si="1"/>
        <v>1029</v>
      </c>
    </row>
    <row r="5026" ht="22.5" customHeight="1">
      <c r="B5026" s="7"/>
      <c r="C5026" s="7"/>
      <c r="D5026" s="7"/>
      <c r="E5026" s="7"/>
      <c r="F5026" s="7"/>
      <c r="G5026" s="7"/>
      <c r="H5026" s="7">
        <f t="shared" si="1"/>
        <v>1029</v>
      </c>
    </row>
    <row r="5027" ht="22.5" customHeight="1">
      <c r="B5027" s="7"/>
      <c r="C5027" s="7"/>
      <c r="D5027" s="7"/>
      <c r="E5027" s="7"/>
      <c r="F5027" s="7"/>
      <c r="G5027" s="7"/>
      <c r="H5027" s="7">
        <f t="shared" si="1"/>
        <v>1029</v>
      </c>
    </row>
    <row r="5028" ht="22.5" customHeight="1">
      <c r="B5028" s="7"/>
      <c r="C5028" s="7"/>
      <c r="D5028" s="7"/>
      <c r="E5028" s="7"/>
      <c r="F5028" s="7"/>
      <c r="G5028" s="7"/>
      <c r="H5028" s="7">
        <f t="shared" si="1"/>
        <v>1029</v>
      </c>
    </row>
    <row r="5029" ht="22.5" customHeight="1">
      <c r="B5029" s="7"/>
      <c r="C5029" s="7"/>
      <c r="D5029" s="7"/>
      <c r="E5029" s="7"/>
      <c r="F5029" s="7"/>
      <c r="G5029" s="7"/>
      <c r="H5029" s="7">
        <f t="shared" si="1"/>
        <v>1029</v>
      </c>
    </row>
    <row r="5030" ht="22.5" customHeight="1">
      <c r="B5030" s="7"/>
      <c r="C5030" s="7"/>
      <c r="D5030" s="7"/>
      <c r="E5030" s="7"/>
      <c r="F5030" s="7"/>
      <c r="G5030" s="7"/>
      <c r="H5030" s="7">
        <f t="shared" si="1"/>
        <v>1029</v>
      </c>
    </row>
    <row r="5031" ht="22.5" customHeight="1">
      <c r="B5031" s="7"/>
      <c r="C5031" s="7"/>
      <c r="D5031" s="7"/>
      <c r="E5031" s="7"/>
      <c r="F5031" s="7"/>
      <c r="G5031" s="7"/>
      <c r="H5031" s="7">
        <f t="shared" si="1"/>
        <v>1029</v>
      </c>
    </row>
    <row r="5032" ht="22.5" customHeight="1">
      <c r="B5032" s="7"/>
      <c r="C5032" s="7"/>
      <c r="D5032" s="7"/>
      <c r="E5032" s="7"/>
      <c r="F5032" s="7"/>
      <c r="G5032" s="7"/>
      <c r="H5032" s="7">
        <f t="shared" si="1"/>
        <v>1029</v>
      </c>
    </row>
    <row r="5033" ht="22.5" customHeight="1">
      <c r="B5033" s="7"/>
      <c r="C5033" s="7"/>
      <c r="D5033" s="7"/>
      <c r="E5033" s="7"/>
      <c r="F5033" s="7"/>
      <c r="G5033" s="7"/>
      <c r="H5033" s="7">
        <f t="shared" si="1"/>
        <v>1029</v>
      </c>
    </row>
    <row r="5034" ht="22.5" customHeight="1">
      <c r="B5034" s="7"/>
      <c r="C5034" s="7"/>
      <c r="D5034" s="7"/>
      <c r="E5034" s="7"/>
      <c r="F5034" s="7"/>
      <c r="G5034" s="7"/>
      <c r="H5034" s="7">
        <f t="shared" si="1"/>
        <v>1029</v>
      </c>
    </row>
    <row r="5035" ht="22.5" customHeight="1">
      <c r="B5035" s="7"/>
      <c r="C5035" s="7"/>
      <c r="D5035" s="7"/>
      <c r="E5035" s="7"/>
      <c r="F5035" s="7"/>
      <c r="G5035" s="7"/>
      <c r="H5035" s="7">
        <f t="shared" si="1"/>
        <v>1029</v>
      </c>
    </row>
    <row r="5036" ht="22.5" customHeight="1">
      <c r="B5036" s="7"/>
      <c r="C5036" s="7"/>
      <c r="D5036" s="7"/>
      <c r="E5036" s="7"/>
      <c r="F5036" s="7"/>
      <c r="G5036" s="7"/>
      <c r="H5036" s="7">
        <f t="shared" si="1"/>
        <v>1029</v>
      </c>
    </row>
    <row r="5037" ht="22.5" customHeight="1">
      <c r="B5037" s="7"/>
      <c r="C5037" s="7"/>
      <c r="D5037" s="7"/>
      <c r="E5037" s="7"/>
      <c r="F5037" s="7"/>
      <c r="G5037" s="7"/>
      <c r="H5037" s="7">
        <f t="shared" si="1"/>
        <v>1029</v>
      </c>
    </row>
    <row r="5038" ht="22.5" customHeight="1">
      <c r="B5038" s="7"/>
      <c r="C5038" s="7"/>
      <c r="D5038" s="7"/>
      <c r="E5038" s="7"/>
      <c r="F5038" s="7"/>
      <c r="G5038" s="7"/>
      <c r="H5038" s="7">
        <f t="shared" si="1"/>
        <v>1029</v>
      </c>
    </row>
    <row r="5039" ht="22.5" customHeight="1">
      <c r="B5039" s="7"/>
      <c r="C5039" s="7"/>
      <c r="D5039" s="7"/>
      <c r="E5039" s="7"/>
      <c r="F5039" s="7"/>
      <c r="G5039" s="7"/>
      <c r="H5039" s="7">
        <f t="shared" si="1"/>
        <v>1029</v>
      </c>
    </row>
    <row r="5040" ht="22.5" customHeight="1">
      <c r="B5040" s="7"/>
      <c r="C5040" s="7"/>
      <c r="D5040" s="7"/>
      <c r="E5040" s="7"/>
      <c r="F5040" s="7"/>
      <c r="G5040" s="7"/>
      <c r="H5040" s="7">
        <f t="shared" si="1"/>
        <v>1029</v>
      </c>
    </row>
    <row r="5041" ht="22.5" customHeight="1">
      <c r="B5041" s="7"/>
      <c r="C5041" s="7"/>
      <c r="D5041" s="7"/>
      <c r="E5041" s="7"/>
      <c r="F5041" s="7"/>
      <c r="G5041" s="7"/>
      <c r="H5041" s="7">
        <f t="shared" si="1"/>
        <v>1029</v>
      </c>
    </row>
    <row r="5042" ht="22.5" customHeight="1">
      <c r="B5042" s="7"/>
      <c r="C5042" s="7"/>
      <c r="D5042" s="7"/>
      <c r="E5042" s="7"/>
      <c r="F5042" s="7"/>
      <c r="G5042" s="7"/>
      <c r="H5042" s="7">
        <f t="shared" si="1"/>
        <v>1029</v>
      </c>
    </row>
    <row r="5043" ht="22.5" customHeight="1">
      <c r="B5043" s="7"/>
      <c r="C5043" s="7"/>
      <c r="D5043" s="7"/>
      <c r="E5043" s="7"/>
      <c r="F5043" s="7"/>
      <c r="G5043" s="7"/>
      <c r="H5043" s="7">
        <f t="shared" si="1"/>
        <v>1029</v>
      </c>
    </row>
    <row r="5044" ht="22.5" customHeight="1">
      <c r="B5044" s="7"/>
      <c r="C5044" s="7"/>
      <c r="D5044" s="7"/>
      <c r="E5044" s="7"/>
      <c r="F5044" s="7"/>
      <c r="G5044" s="7"/>
      <c r="H5044" s="7">
        <f t="shared" si="1"/>
        <v>1029</v>
      </c>
    </row>
    <row r="5045" ht="22.5" customHeight="1">
      <c r="B5045" s="7"/>
      <c r="C5045" s="7"/>
      <c r="D5045" s="7"/>
      <c r="E5045" s="7"/>
      <c r="F5045" s="7"/>
      <c r="G5045" s="7"/>
      <c r="H5045" s="7">
        <f t="shared" si="1"/>
        <v>1029</v>
      </c>
    </row>
    <row r="5046" ht="22.5" customHeight="1">
      <c r="B5046" s="7"/>
      <c r="C5046" s="7"/>
      <c r="D5046" s="7"/>
      <c r="E5046" s="7"/>
      <c r="F5046" s="7"/>
      <c r="G5046" s="7"/>
      <c r="H5046" s="7">
        <f t="shared" si="1"/>
        <v>1029</v>
      </c>
    </row>
    <row r="5047" ht="22.5" customHeight="1">
      <c r="B5047" s="7"/>
      <c r="C5047" s="7"/>
      <c r="D5047" s="7"/>
      <c r="E5047" s="7"/>
      <c r="F5047" s="7"/>
      <c r="G5047" s="7"/>
      <c r="H5047" s="7">
        <f t="shared" si="1"/>
        <v>1029</v>
      </c>
    </row>
    <row r="5048" ht="22.5" customHeight="1">
      <c r="B5048" s="7"/>
      <c r="C5048" s="7"/>
      <c r="D5048" s="7"/>
      <c r="E5048" s="7"/>
      <c r="F5048" s="7"/>
      <c r="G5048" s="7"/>
      <c r="H5048" s="7">
        <f t="shared" si="1"/>
        <v>1029</v>
      </c>
    </row>
    <row r="5049" ht="22.5" customHeight="1">
      <c r="B5049" s="7"/>
      <c r="C5049" s="7"/>
      <c r="D5049" s="7"/>
      <c r="E5049" s="7"/>
      <c r="F5049" s="7"/>
      <c r="G5049" s="7"/>
      <c r="H5049" s="7">
        <f t="shared" si="1"/>
        <v>1029</v>
      </c>
    </row>
    <row r="5050" ht="22.5" customHeight="1">
      <c r="B5050" s="7"/>
      <c r="C5050" s="7"/>
      <c r="D5050" s="7"/>
      <c r="E5050" s="7"/>
      <c r="F5050" s="7"/>
      <c r="G5050" s="7"/>
      <c r="H5050" s="7">
        <f t="shared" si="1"/>
        <v>1029</v>
      </c>
    </row>
    <row r="5051" ht="22.5" customHeight="1">
      <c r="B5051" s="7"/>
      <c r="C5051" s="7"/>
      <c r="D5051" s="7"/>
      <c r="E5051" s="7"/>
      <c r="F5051" s="7"/>
      <c r="G5051" s="7"/>
      <c r="H5051" s="7">
        <f t="shared" si="1"/>
        <v>1029</v>
      </c>
    </row>
    <row r="5052" ht="22.5" customHeight="1">
      <c r="B5052" s="7"/>
      <c r="C5052" s="7"/>
      <c r="D5052" s="7"/>
      <c r="E5052" s="7"/>
      <c r="F5052" s="7"/>
      <c r="G5052" s="7"/>
      <c r="H5052" s="7">
        <f t="shared" si="1"/>
        <v>1029</v>
      </c>
    </row>
    <row r="5053" ht="22.5" customHeight="1">
      <c r="B5053" s="7"/>
      <c r="C5053" s="7"/>
      <c r="D5053" s="7"/>
      <c r="E5053" s="7"/>
      <c r="F5053" s="7"/>
      <c r="G5053" s="7"/>
      <c r="H5053" s="7">
        <f t="shared" si="1"/>
        <v>1029</v>
      </c>
    </row>
    <row r="5054" ht="22.5" customHeight="1">
      <c r="B5054" s="7"/>
      <c r="C5054" s="7"/>
      <c r="D5054" s="7"/>
      <c r="E5054" s="7"/>
      <c r="F5054" s="7"/>
      <c r="G5054" s="7"/>
      <c r="H5054" s="7">
        <f t="shared" si="1"/>
        <v>1029</v>
      </c>
    </row>
    <row r="5055" ht="22.5" customHeight="1">
      <c r="B5055" s="7"/>
      <c r="C5055" s="7"/>
      <c r="D5055" s="7"/>
      <c r="E5055" s="7"/>
      <c r="F5055" s="7"/>
      <c r="G5055" s="7"/>
      <c r="H5055" s="7">
        <f t="shared" si="1"/>
        <v>1029</v>
      </c>
    </row>
    <row r="5056" ht="22.5" customHeight="1">
      <c r="B5056" s="7"/>
      <c r="C5056" s="7"/>
      <c r="D5056" s="7"/>
      <c r="E5056" s="7"/>
      <c r="F5056" s="7"/>
      <c r="G5056" s="7"/>
      <c r="H5056" s="7">
        <f t="shared" si="1"/>
        <v>1029</v>
      </c>
    </row>
    <row r="5057" ht="22.5" customHeight="1">
      <c r="B5057" s="7"/>
      <c r="C5057" s="7"/>
      <c r="D5057" s="7"/>
      <c r="E5057" s="7"/>
      <c r="F5057" s="7"/>
      <c r="G5057" s="7"/>
      <c r="H5057" s="7">
        <f t="shared" si="1"/>
        <v>1029</v>
      </c>
    </row>
    <row r="5058" ht="22.5" customHeight="1">
      <c r="B5058" s="7"/>
      <c r="C5058" s="7"/>
      <c r="D5058" s="7"/>
      <c r="E5058" s="7"/>
      <c r="F5058" s="7"/>
      <c r="G5058" s="7"/>
      <c r="H5058" s="7">
        <f t="shared" si="1"/>
        <v>1029</v>
      </c>
    </row>
    <row r="5059" ht="22.5" customHeight="1">
      <c r="B5059" s="7"/>
      <c r="C5059" s="7"/>
      <c r="D5059" s="7"/>
      <c r="E5059" s="7"/>
      <c r="F5059" s="7"/>
      <c r="G5059" s="7"/>
      <c r="H5059" s="7">
        <f t="shared" si="1"/>
        <v>1029</v>
      </c>
    </row>
    <row r="5060" ht="22.5" customHeight="1">
      <c r="B5060" s="7"/>
      <c r="C5060" s="7"/>
      <c r="D5060" s="7"/>
      <c r="E5060" s="7"/>
      <c r="F5060" s="7"/>
      <c r="G5060" s="7"/>
      <c r="H5060" s="7">
        <f t="shared" si="1"/>
        <v>1029</v>
      </c>
    </row>
    <row r="5061" ht="22.5" customHeight="1">
      <c r="B5061" s="7"/>
      <c r="C5061" s="7"/>
      <c r="D5061" s="7"/>
      <c r="E5061" s="7"/>
      <c r="F5061" s="7"/>
      <c r="G5061" s="7"/>
      <c r="H5061" s="7">
        <f t="shared" si="1"/>
        <v>1029</v>
      </c>
    </row>
    <row r="5062" ht="22.5" customHeight="1">
      <c r="B5062" s="7"/>
      <c r="C5062" s="7"/>
      <c r="D5062" s="7"/>
      <c r="E5062" s="7"/>
      <c r="F5062" s="7"/>
      <c r="G5062" s="7"/>
      <c r="H5062" s="7">
        <f t="shared" si="1"/>
        <v>1029</v>
      </c>
    </row>
    <row r="5063" ht="22.5" customHeight="1">
      <c r="B5063" s="7"/>
      <c r="C5063" s="7"/>
      <c r="D5063" s="7"/>
      <c r="E5063" s="7"/>
      <c r="F5063" s="7"/>
      <c r="G5063" s="7"/>
      <c r="H5063" s="7">
        <f t="shared" si="1"/>
        <v>1029</v>
      </c>
    </row>
    <row r="5064" ht="22.5" customHeight="1">
      <c r="B5064" s="7"/>
      <c r="C5064" s="7"/>
      <c r="D5064" s="7"/>
      <c r="E5064" s="7"/>
      <c r="F5064" s="7"/>
      <c r="G5064" s="7"/>
      <c r="H5064" s="7">
        <f t="shared" si="1"/>
        <v>1029</v>
      </c>
    </row>
    <row r="5065" ht="22.5" customHeight="1">
      <c r="B5065" s="7"/>
      <c r="C5065" s="7"/>
      <c r="D5065" s="7"/>
      <c r="E5065" s="7"/>
      <c r="F5065" s="7"/>
      <c r="G5065" s="7"/>
      <c r="H5065" s="7">
        <f t="shared" si="1"/>
        <v>1029</v>
      </c>
    </row>
    <row r="5066" ht="22.5" customHeight="1">
      <c r="B5066" s="7"/>
      <c r="C5066" s="7"/>
      <c r="D5066" s="7"/>
      <c r="E5066" s="7"/>
      <c r="F5066" s="7"/>
      <c r="G5066" s="7"/>
      <c r="H5066" s="7">
        <f t="shared" si="1"/>
        <v>1029</v>
      </c>
    </row>
    <row r="5067" ht="22.5" customHeight="1">
      <c r="B5067" s="7"/>
      <c r="C5067" s="7"/>
      <c r="D5067" s="7"/>
      <c r="E5067" s="7"/>
      <c r="F5067" s="7"/>
      <c r="G5067" s="7"/>
      <c r="H5067" s="7">
        <f t="shared" si="1"/>
        <v>1029</v>
      </c>
    </row>
    <row r="5068" ht="22.5" customHeight="1">
      <c r="B5068" s="7"/>
      <c r="C5068" s="7"/>
      <c r="D5068" s="7"/>
      <c r="E5068" s="7"/>
      <c r="F5068" s="7"/>
      <c r="G5068" s="7"/>
      <c r="H5068" s="7">
        <f t="shared" si="1"/>
        <v>1029</v>
      </c>
    </row>
    <row r="5069" ht="22.5" customHeight="1">
      <c r="B5069" s="7"/>
      <c r="C5069" s="7"/>
      <c r="D5069" s="7"/>
      <c r="E5069" s="7"/>
      <c r="F5069" s="7"/>
      <c r="G5069" s="7"/>
      <c r="H5069" s="7">
        <f t="shared" si="1"/>
        <v>1029</v>
      </c>
    </row>
    <row r="5070" ht="22.5" customHeight="1">
      <c r="B5070" s="7"/>
      <c r="C5070" s="7"/>
      <c r="D5070" s="7"/>
      <c r="E5070" s="7"/>
      <c r="F5070" s="7"/>
      <c r="G5070" s="7"/>
      <c r="H5070" s="7">
        <f t="shared" si="1"/>
        <v>1029</v>
      </c>
    </row>
    <row r="5071" ht="22.5" customHeight="1">
      <c r="B5071" s="7"/>
      <c r="C5071" s="7"/>
      <c r="D5071" s="7"/>
      <c r="E5071" s="7"/>
      <c r="F5071" s="7"/>
      <c r="G5071" s="7"/>
      <c r="H5071" s="7">
        <f t="shared" si="1"/>
        <v>1029</v>
      </c>
    </row>
    <row r="5072" ht="22.5" customHeight="1">
      <c r="B5072" s="7"/>
      <c r="C5072" s="7"/>
      <c r="D5072" s="7"/>
      <c r="E5072" s="7"/>
      <c r="F5072" s="7"/>
      <c r="G5072" s="7"/>
      <c r="H5072" s="7">
        <f t="shared" si="1"/>
        <v>1029</v>
      </c>
    </row>
    <row r="5073" ht="22.5" customHeight="1">
      <c r="B5073" s="7"/>
      <c r="C5073" s="7"/>
      <c r="D5073" s="7"/>
      <c r="E5073" s="7"/>
      <c r="F5073" s="7"/>
      <c r="G5073" s="7"/>
      <c r="H5073" s="7">
        <f t="shared" si="1"/>
        <v>1029</v>
      </c>
    </row>
    <row r="5074" ht="22.5" customHeight="1">
      <c r="B5074" s="7"/>
      <c r="C5074" s="7"/>
      <c r="D5074" s="7"/>
      <c r="E5074" s="7"/>
      <c r="F5074" s="7"/>
      <c r="G5074" s="7"/>
      <c r="H5074" s="7">
        <f t="shared" si="1"/>
        <v>1029</v>
      </c>
    </row>
    <row r="5075" ht="22.5" customHeight="1">
      <c r="B5075" s="7"/>
      <c r="C5075" s="7"/>
      <c r="D5075" s="7"/>
      <c r="E5075" s="7"/>
      <c r="F5075" s="7"/>
      <c r="G5075" s="7"/>
      <c r="H5075" s="7">
        <f t="shared" si="1"/>
        <v>1029</v>
      </c>
    </row>
    <row r="5076" ht="22.5" customHeight="1">
      <c r="B5076" s="7"/>
      <c r="C5076" s="7"/>
      <c r="D5076" s="7"/>
      <c r="E5076" s="7"/>
      <c r="F5076" s="7"/>
      <c r="G5076" s="7"/>
      <c r="H5076" s="7">
        <f t="shared" si="1"/>
        <v>1029</v>
      </c>
    </row>
    <row r="5077" ht="22.5" customHeight="1">
      <c r="B5077" s="7"/>
      <c r="C5077" s="7"/>
      <c r="D5077" s="7"/>
      <c r="E5077" s="7"/>
      <c r="F5077" s="7"/>
      <c r="G5077" s="7"/>
      <c r="H5077" s="7">
        <f t="shared" si="1"/>
        <v>1029</v>
      </c>
    </row>
    <row r="5078" ht="22.5" customHeight="1">
      <c r="B5078" s="7"/>
      <c r="C5078" s="7"/>
      <c r="D5078" s="7"/>
      <c r="E5078" s="7"/>
      <c r="F5078" s="7"/>
      <c r="G5078" s="7"/>
      <c r="H5078" s="7">
        <f t="shared" si="1"/>
        <v>1029</v>
      </c>
    </row>
    <row r="5079" ht="22.5" customHeight="1">
      <c r="B5079" s="7"/>
      <c r="C5079" s="7"/>
      <c r="D5079" s="7"/>
      <c r="E5079" s="7"/>
      <c r="F5079" s="7"/>
      <c r="G5079" s="7"/>
      <c r="H5079" s="7">
        <f t="shared" si="1"/>
        <v>1029</v>
      </c>
    </row>
    <row r="5080" ht="22.5" customHeight="1">
      <c r="B5080" s="7"/>
      <c r="C5080" s="7"/>
      <c r="D5080" s="7"/>
      <c r="E5080" s="7"/>
      <c r="F5080" s="7"/>
      <c r="G5080" s="7"/>
      <c r="H5080" s="7">
        <f t="shared" si="1"/>
        <v>1029</v>
      </c>
    </row>
    <row r="5081" ht="22.5" customHeight="1">
      <c r="B5081" s="7"/>
      <c r="C5081" s="7"/>
      <c r="D5081" s="7"/>
      <c r="E5081" s="7"/>
      <c r="F5081" s="7"/>
      <c r="G5081" s="7"/>
      <c r="H5081" s="7">
        <f t="shared" si="1"/>
        <v>1029</v>
      </c>
    </row>
    <row r="5082" ht="22.5" customHeight="1">
      <c r="B5082" s="7"/>
      <c r="C5082" s="7"/>
      <c r="D5082" s="7"/>
      <c r="E5082" s="7"/>
      <c r="F5082" s="7"/>
      <c r="G5082" s="7"/>
      <c r="H5082" s="7">
        <f t="shared" si="1"/>
        <v>1029</v>
      </c>
    </row>
    <row r="5083" ht="22.5" customHeight="1">
      <c r="B5083" s="7"/>
      <c r="C5083" s="7"/>
      <c r="D5083" s="7"/>
      <c r="E5083" s="7"/>
      <c r="F5083" s="7"/>
      <c r="G5083" s="7"/>
      <c r="H5083" s="7">
        <f t="shared" si="1"/>
        <v>1029</v>
      </c>
    </row>
    <row r="5084" ht="22.5" customHeight="1">
      <c r="B5084" s="7"/>
      <c r="C5084" s="7"/>
      <c r="D5084" s="7"/>
      <c r="E5084" s="7"/>
      <c r="F5084" s="7"/>
      <c r="G5084" s="7"/>
      <c r="H5084" s="7">
        <f t="shared" si="1"/>
        <v>1029</v>
      </c>
    </row>
    <row r="5085" ht="22.5" customHeight="1">
      <c r="B5085" s="7"/>
      <c r="C5085" s="7"/>
      <c r="D5085" s="7"/>
      <c r="E5085" s="7"/>
      <c r="F5085" s="7"/>
      <c r="G5085" s="7"/>
      <c r="H5085" s="7">
        <f t="shared" si="1"/>
        <v>1029</v>
      </c>
    </row>
    <row r="5086" ht="22.5" customHeight="1">
      <c r="B5086" s="7"/>
      <c r="C5086" s="7"/>
      <c r="D5086" s="7"/>
      <c r="E5086" s="7"/>
      <c r="F5086" s="7"/>
      <c r="G5086" s="7"/>
      <c r="H5086" s="7">
        <f t="shared" si="1"/>
        <v>1029</v>
      </c>
    </row>
    <row r="5087" ht="22.5" customHeight="1">
      <c r="B5087" s="7"/>
      <c r="C5087" s="7"/>
      <c r="D5087" s="7"/>
      <c r="E5087" s="7"/>
      <c r="F5087" s="7"/>
      <c r="G5087" s="7"/>
      <c r="H5087" s="7">
        <f t="shared" si="1"/>
        <v>1029</v>
      </c>
    </row>
    <row r="5088" ht="22.5" customHeight="1">
      <c r="B5088" s="7"/>
      <c r="C5088" s="7"/>
      <c r="D5088" s="7"/>
      <c r="E5088" s="7"/>
      <c r="F5088" s="7"/>
      <c r="G5088" s="7"/>
      <c r="H5088" s="7">
        <f t="shared" si="1"/>
        <v>1029</v>
      </c>
    </row>
    <row r="5089" ht="22.5" customHeight="1">
      <c r="B5089" s="7"/>
      <c r="C5089" s="7"/>
      <c r="D5089" s="7"/>
      <c r="E5089" s="7"/>
      <c r="F5089" s="7"/>
      <c r="G5089" s="7"/>
      <c r="H5089" s="7">
        <f t="shared" si="1"/>
        <v>1029</v>
      </c>
    </row>
    <row r="5090" ht="22.5" customHeight="1">
      <c r="B5090" s="7"/>
      <c r="C5090" s="7"/>
      <c r="D5090" s="7"/>
      <c r="E5090" s="7"/>
      <c r="F5090" s="7"/>
      <c r="G5090" s="7"/>
      <c r="H5090" s="7">
        <f t="shared" si="1"/>
        <v>1029</v>
      </c>
    </row>
    <row r="5091" ht="22.5" customHeight="1">
      <c r="B5091" s="7"/>
      <c r="C5091" s="7"/>
      <c r="D5091" s="7"/>
      <c r="E5091" s="7"/>
      <c r="F5091" s="7"/>
      <c r="G5091" s="7"/>
      <c r="H5091" s="7">
        <f t="shared" si="1"/>
        <v>1029</v>
      </c>
    </row>
    <row r="5092" ht="22.5" customHeight="1">
      <c r="B5092" s="7"/>
      <c r="C5092" s="7"/>
      <c r="D5092" s="7"/>
      <c r="E5092" s="7"/>
      <c r="F5092" s="7"/>
      <c r="G5092" s="7"/>
      <c r="H5092" s="7">
        <f t="shared" si="1"/>
        <v>1029</v>
      </c>
    </row>
    <row r="5093" ht="22.5" customHeight="1">
      <c r="B5093" s="7"/>
      <c r="C5093" s="7"/>
      <c r="D5093" s="7"/>
      <c r="E5093" s="7"/>
      <c r="F5093" s="7"/>
      <c r="G5093" s="7"/>
      <c r="H5093" s="7">
        <f t="shared" si="1"/>
        <v>1029</v>
      </c>
    </row>
    <row r="5094" ht="22.5" customHeight="1">
      <c r="B5094" s="7"/>
      <c r="C5094" s="7"/>
      <c r="D5094" s="7"/>
      <c r="E5094" s="7"/>
      <c r="F5094" s="7"/>
      <c r="G5094" s="7"/>
      <c r="H5094" s="7">
        <f t="shared" si="1"/>
        <v>1029</v>
      </c>
    </row>
    <row r="5095" ht="22.5" customHeight="1">
      <c r="B5095" s="7"/>
      <c r="C5095" s="7"/>
      <c r="D5095" s="7"/>
      <c r="E5095" s="7"/>
      <c r="F5095" s="7"/>
      <c r="G5095" s="7"/>
      <c r="H5095" s="7">
        <f t="shared" si="1"/>
        <v>1029</v>
      </c>
    </row>
    <row r="5096" ht="22.5" customHeight="1">
      <c r="B5096" s="7"/>
      <c r="C5096" s="7"/>
      <c r="D5096" s="7"/>
      <c r="E5096" s="7"/>
      <c r="F5096" s="7"/>
      <c r="G5096" s="7"/>
      <c r="H5096" s="7">
        <f t="shared" si="1"/>
        <v>1029</v>
      </c>
    </row>
    <row r="5097" ht="22.5" customHeight="1">
      <c r="B5097" s="7"/>
      <c r="C5097" s="7"/>
      <c r="D5097" s="7"/>
      <c r="E5097" s="7"/>
      <c r="F5097" s="7"/>
      <c r="G5097" s="7"/>
      <c r="H5097" s="7">
        <f t="shared" si="1"/>
        <v>1029</v>
      </c>
    </row>
    <row r="5098" ht="22.5" customHeight="1">
      <c r="B5098" s="7"/>
      <c r="C5098" s="7"/>
      <c r="D5098" s="7"/>
      <c r="E5098" s="7"/>
      <c r="F5098" s="7"/>
      <c r="G5098" s="7"/>
      <c r="H5098" s="7">
        <f t="shared" si="1"/>
        <v>1029</v>
      </c>
    </row>
    <row r="5099" ht="22.5" customHeight="1">
      <c r="B5099" s="7"/>
      <c r="C5099" s="7"/>
      <c r="D5099" s="7"/>
      <c r="E5099" s="7"/>
      <c r="F5099" s="7"/>
      <c r="G5099" s="7"/>
      <c r="H5099" s="7">
        <f t="shared" si="1"/>
        <v>1029</v>
      </c>
    </row>
    <row r="5100" ht="22.5" customHeight="1">
      <c r="B5100" s="7"/>
      <c r="C5100" s="7"/>
      <c r="D5100" s="7"/>
      <c r="E5100" s="7"/>
      <c r="F5100" s="7"/>
      <c r="G5100" s="7"/>
      <c r="H5100" s="7">
        <f t="shared" si="1"/>
        <v>1029</v>
      </c>
    </row>
    <row r="5101" ht="22.5" customHeight="1">
      <c r="B5101" s="7"/>
      <c r="C5101" s="7"/>
      <c r="D5101" s="7"/>
      <c r="E5101" s="7"/>
      <c r="F5101" s="7"/>
      <c r="G5101" s="7"/>
      <c r="H5101" s="7">
        <f t="shared" si="1"/>
        <v>1029</v>
      </c>
    </row>
    <row r="5102" ht="22.5" customHeight="1">
      <c r="B5102" s="7"/>
      <c r="C5102" s="7"/>
      <c r="D5102" s="7"/>
      <c r="E5102" s="7"/>
      <c r="F5102" s="7"/>
      <c r="G5102" s="7"/>
      <c r="H5102" s="7">
        <f t="shared" si="1"/>
        <v>1029</v>
      </c>
    </row>
    <row r="5103" ht="22.5" customHeight="1">
      <c r="B5103" s="7"/>
      <c r="C5103" s="7"/>
      <c r="D5103" s="7"/>
      <c r="E5103" s="7"/>
      <c r="F5103" s="7"/>
      <c r="G5103" s="7"/>
      <c r="H5103" s="7">
        <f t="shared" si="1"/>
        <v>1029</v>
      </c>
    </row>
    <row r="5104" ht="22.5" customHeight="1">
      <c r="B5104" s="7"/>
      <c r="C5104" s="7"/>
      <c r="D5104" s="7"/>
      <c r="E5104" s="7"/>
      <c r="F5104" s="7"/>
      <c r="G5104" s="7"/>
      <c r="H5104" s="7">
        <f t="shared" si="1"/>
        <v>1029</v>
      </c>
    </row>
    <row r="5105" ht="22.5" customHeight="1">
      <c r="B5105" s="7"/>
      <c r="C5105" s="7"/>
      <c r="D5105" s="7"/>
      <c r="E5105" s="7"/>
      <c r="F5105" s="7"/>
      <c r="G5105" s="7"/>
      <c r="H5105" s="7">
        <f t="shared" si="1"/>
        <v>1029</v>
      </c>
    </row>
    <row r="5106" ht="22.5" customHeight="1">
      <c r="B5106" s="7"/>
      <c r="C5106" s="7"/>
      <c r="D5106" s="7"/>
      <c r="E5106" s="7"/>
      <c r="F5106" s="7"/>
      <c r="G5106" s="7"/>
      <c r="H5106" s="7">
        <f t="shared" si="1"/>
        <v>1029</v>
      </c>
    </row>
    <row r="5107" ht="22.5" customHeight="1">
      <c r="B5107" s="7"/>
      <c r="C5107" s="7"/>
      <c r="D5107" s="7"/>
      <c r="E5107" s="7"/>
      <c r="F5107" s="7"/>
      <c r="G5107" s="7"/>
      <c r="H5107" s="7">
        <f t="shared" si="1"/>
        <v>1029</v>
      </c>
    </row>
    <row r="5108" ht="22.5" customHeight="1">
      <c r="B5108" s="7"/>
      <c r="C5108" s="7"/>
      <c r="D5108" s="7"/>
      <c r="E5108" s="7"/>
      <c r="F5108" s="7"/>
      <c r="G5108" s="7"/>
      <c r="H5108" s="7">
        <f t="shared" si="1"/>
        <v>1029</v>
      </c>
    </row>
    <row r="5109" ht="22.5" customHeight="1">
      <c r="B5109" s="7"/>
      <c r="C5109" s="7"/>
      <c r="D5109" s="7"/>
      <c r="E5109" s="7"/>
      <c r="F5109" s="7"/>
      <c r="G5109" s="7"/>
      <c r="H5109" s="7">
        <f t="shared" si="1"/>
        <v>1029</v>
      </c>
    </row>
    <row r="5110" ht="22.5" customHeight="1">
      <c r="B5110" s="7"/>
      <c r="C5110" s="7"/>
      <c r="D5110" s="7"/>
      <c r="E5110" s="7"/>
      <c r="F5110" s="7"/>
      <c r="G5110" s="7"/>
      <c r="H5110" s="7">
        <f t="shared" si="1"/>
        <v>1029</v>
      </c>
    </row>
    <row r="5111" ht="22.5" customHeight="1">
      <c r="B5111" s="7"/>
      <c r="C5111" s="7"/>
      <c r="D5111" s="7"/>
      <c r="E5111" s="7"/>
      <c r="F5111" s="7"/>
      <c r="G5111" s="7"/>
      <c r="H5111" s="7">
        <f t="shared" si="1"/>
        <v>1029</v>
      </c>
    </row>
    <row r="5112" ht="22.5" customHeight="1">
      <c r="B5112" s="7"/>
      <c r="C5112" s="7"/>
      <c r="D5112" s="7"/>
      <c r="E5112" s="7"/>
      <c r="F5112" s="7"/>
      <c r="G5112" s="7"/>
      <c r="H5112" s="7">
        <f t="shared" si="1"/>
        <v>1029</v>
      </c>
    </row>
    <row r="5113" ht="22.5" customHeight="1">
      <c r="B5113" s="7"/>
      <c r="C5113" s="7"/>
      <c r="D5113" s="7"/>
      <c r="E5113" s="7"/>
      <c r="F5113" s="7"/>
      <c r="G5113" s="7"/>
      <c r="H5113" s="7">
        <f t="shared" si="1"/>
        <v>1029</v>
      </c>
    </row>
    <row r="5114" ht="22.5" customHeight="1">
      <c r="B5114" s="7"/>
      <c r="C5114" s="7"/>
      <c r="D5114" s="7"/>
      <c r="E5114" s="7"/>
      <c r="F5114" s="7"/>
      <c r="G5114" s="7"/>
      <c r="H5114" s="7">
        <f t="shared" si="1"/>
        <v>1029</v>
      </c>
    </row>
    <row r="5115" ht="22.5" customHeight="1">
      <c r="B5115" s="7"/>
      <c r="C5115" s="7"/>
      <c r="D5115" s="7"/>
      <c r="E5115" s="7"/>
      <c r="F5115" s="7"/>
      <c r="G5115" s="7"/>
      <c r="H5115" s="7">
        <f t="shared" si="1"/>
        <v>1029</v>
      </c>
    </row>
    <row r="5116" ht="22.5" customHeight="1">
      <c r="B5116" s="7"/>
      <c r="C5116" s="7"/>
      <c r="D5116" s="7"/>
      <c r="E5116" s="7"/>
      <c r="F5116" s="7"/>
      <c r="G5116" s="7"/>
      <c r="H5116" s="7">
        <f t="shared" si="1"/>
        <v>1029</v>
      </c>
    </row>
    <row r="5117" ht="22.5" customHeight="1">
      <c r="B5117" s="7"/>
      <c r="C5117" s="7"/>
      <c r="D5117" s="7"/>
      <c r="E5117" s="7"/>
      <c r="F5117" s="7"/>
      <c r="G5117" s="7"/>
      <c r="H5117" s="7">
        <f t="shared" si="1"/>
        <v>1029</v>
      </c>
    </row>
    <row r="5118" ht="22.5" customHeight="1">
      <c r="B5118" s="7"/>
      <c r="C5118" s="7"/>
      <c r="D5118" s="7"/>
      <c r="E5118" s="7"/>
      <c r="F5118" s="7"/>
      <c r="G5118" s="7"/>
      <c r="H5118" s="7">
        <f t="shared" si="1"/>
        <v>1029</v>
      </c>
    </row>
    <row r="5119" ht="22.5" customHeight="1">
      <c r="B5119" s="7"/>
      <c r="C5119" s="7"/>
      <c r="D5119" s="7"/>
      <c r="E5119" s="7"/>
      <c r="F5119" s="7"/>
      <c r="G5119" s="7"/>
      <c r="H5119" s="7">
        <f t="shared" si="1"/>
        <v>1029</v>
      </c>
    </row>
    <row r="5120" ht="22.5" customHeight="1">
      <c r="B5120" s="7"/>
      <c r="C5120" s="7"/>
      <c r="D5120" s="7"/>
      <c r="E5120" s="7"/>
      <c r="F5120" s="7"/>
      <c r="G5120" s="7"/>
      <c r="H5120" s="7">
        <f t="shared" si="1"/>
        <v>1029</v>
      </c>
    </row>
    <row r="5121" ht="22.5" customHeight="1">
      <c r="B5121" s="7"/>
      <c r="C5121" s="7"/>
      <c r="D5121" s="7"/>
      <c r="E5121" s="7"/>
      <c r="F5121" s="7"/>
      <c r="G5121" s="7"/>
      <c r="H5121" s="7">
        <f t="shared" si="1"/>
        <v>1029</v>
      </c>
    </row>
    <row r="5122" ht="22.5" customHeight="1">
      <c r="B5122" s="7"/>
      <c r="C5122" s="7"/>
      <c r="D5122" s="7"/>
      <c r="E5122" s="7"/>
      <c r="F5122" s="7"/>
      <c r="G5122" s="7"/>
      <c r="H5122" s="7">
        <f t="shared" si="1"/>
        <v>1029</v>
      </c>
    </row>
    <row r="5123" ht="22.5" customHeight="1">
      <c r="B5123" s="7"/>
      <c r="C5123" s="7"/>
      <c r="D5123" s="7"/>
      <c r="E5123" s="7"/>
      <c r="F5123" s="7"/>
      <c r="G5123" s="7"/>
      <c r="H5123" s="7">
        <f t="shared" si="1"/>
        <v>1029</v>
      </c>
    </row>
    <row r="5124" ht="22.5" customHeight="1">
      <c r="B5124" s="7"/>
      <c r="C5124" s="7"/>
      <c r="D5124" s="7"/>
      <c r="E5124" s="7"/>
      <c r="F5124" s="7"/>
      <c r="G5124" s="7"/>
      <c r="H5124" s="7">
        <f t="shared" si="1"/>
        <v>1029</v>
      </c>
    </row>
    <row r="5125" ht="22.5" customHeight="1">
      <c r="B5125" s="7"/>
      <c r="C5125" s="7"/>
      <c r="D5125" s="7"/>
      <c r="E5125" s="7"/>
      <c r="F5125" s="7"/>
      <c r="G5125" s="7"/>
      <c r="H5125" s="7">
        <f t="shared" si="1"/>
        <v>1029</v>
      </c>
    </row>
    <row r="5126" ht="22.5" customHeight="1">
      <c r="B5126" s="7"/>
      <c r="C5126" s="7"/>
      <c r="D5126" s="7"/>
      <c r="E5126" s="7"/>
      <c r="F5126" s="7"/>
      <c r="G5126" s="7"/>
      <c r="H5126" s="7">
        <f t="shared" si="1"/>
        <v>1029</v>
      </c>
    </row>
    <row r="5127" ht="22.5" customHeight="1">
      <c r="B5127" s="7"/>
      <c r="C5127" s="7"/>
      <c r="D5127" s="7"/>
      <c r="E5127" s="7"/>
      <c r="F5127" s="7"/>
      <c r="G5127" s="7"/>
      <c r="H5127" s="7">
        <f t="shared" si="1"/>
        <v>1029</v>
      </c>
    </row>
    <row r="5128" ht="22.5" customHeight="1">
      <c r="B5128" s="7"/>
      <c r="C5128" s="7"/>
      <c r="D5128" s="7"/>
      <c r="E5128" s="7"/>
      <c r="F5128" s="7"/>
      <c r="G5128" s="7"/>
      <c r="H5128" s="7">
        <f t="shared" si="1"/>
        <v>1029</v>
      </c>
    </row>
    <row r="5129" ht="22.5" customHeight="1">
      <c r="B5129" s="7"/>
      <c r="C5129" s="7"/>
      <c r="D5129" s="7"/>
      <c r="E5129" s="7"/>
      <c r="F5129" s="7"/>
      <c r="G5129" s="7"/>
      <c r="H5129" s="7">
        <f t="shared" si="1"/>
        <v>1029</v>
      </c>
    </row>
    <row r="5130" ht="22.5" customHeight="1">
      <c r="B5130" s="7"/>
      <c r="C5130" s="7"/>
      <c r="D5130" s="7"/>
      <c r="E5130" s="7"/>
      <c r="F5130" s="7"/>
      <c r="G5130" s="7"/>
      <c r="H5130" s="7">
        <f t="shared" si="1"/>
        <v>1029</v>
      </c>
    </row>
    <row r="5131" ht="22.5" customHeight="1">
      <c r="B5131" s="7"/>
      <c r="C5131" s="7"/>
      <c r="D5131" s="7"/>
      <c r="E5131" s="7"/>
      <c r="F5131" s="7"/>
      <c r="G5131" s="7"/>
      <c r="H5131" s="7">
        <f t="shared" si="1"/>
        <v>1029</v>
      </c>
    </row>
    <row r="5132" ht="22.5" customHeight="1">
      <c r="B5132" s="7"/>
      <c r="C5132" s="7"/>
      <c r="D5132" s="7"/>
      <c r="E5132" s="7"/>
      <c r="F5132" s="7"/>
      <c r="G5132" s="7"/>
      <c r="H5132" s="7">
        <f t="shared" si="1"/>
        <v>1029</v>
      </c>
    </row>
    <row r="5133" ht="22.5" customHeight="1">
      <c r="B5133" s="7"/>
      <c r="C5133" s="7"/>
      <c r="D5133" s="7"/>
      <c r="E5133" s="7"/>
      <c r="F5133" s="7"/>
      <c r="G5133" s="7"/>
      <c r="H5133" s="7">
        <f t="shared" si="1"/>
        <v>1029</v>
      </c>
    </row>
    <row r="5134" ht="22.5" customHeight="1">
      <c r="B5134" s="7"/>
      <c r="C5134" s="7"/>
      <c r="D5134" s="7"/>
      <c r="E5134" s="7"/>
      <c r="F5134" s="7"/>
      <c r="G5134" s="7"/>
      <c r="H5134" s="7">
        <f t="shared" si="1"/>
        <v>1029</v>
      </c>
    </row>
    <row r="5135" ht="22.5" customHeight="1">
      <c r="B5135" s="7"/>
      <c r="C5135" s="7"/>
      <c r="D5135" s="7"/>
      <c r="E5135" s="7"/>
      <c r="F5135" s="7"/>
      <c r="G5135" s="7"/>
      <c r="H5135" s="7">
        <f t="shared" si="1"/>
        <v>1029</v>
      </c>
    </row>
    <row r="5136" ht="22.5" customHeight="1">
      <c r="B5136" s="7"/>
      <c r="C5136" s="7"/>
      <c r="D5136" s="7"/>
      <c r="E5136" s="7"/>
      <c r="F5136" s="7"/>
      <c r="G5136" s="7"/>
      <c r="H5136" s="7">
        <f t="shared" si="1"/>
        <v>1029</v>
      </c>
    </row>
    <row r="5137" ht="22.5" customHeight="1">
      <c r="B5137" s="7"/>
      <c r="C5137" s="7"/>
      <c r="D5137" s="7"/>
      <c r="E5137" s="7"/>
      <c r="F5137" s="7"/>
      <c r="G5137" s="7"/>
      <c r="H5137" s="7">
        <f t="shared" si="1"/>
        <v>1029</v>
      </c>
    </row>
    <row r="5138" ht="22.5" customHeight="1">
      <c r="B5138" s="7"/>
      <c r="C5138" s="7"/>
      <c r="D5138" s="7"/>
      <c r="E5138" s="7"/>
      <c r="F5138" s="7"/>
      <c r="G5138" s="7"/>
      <c r="H5138" s="7">
        <f t="shared" si="1"/>
        <v>1029</v>
      </c>
    </row>
    <row r="5139" ht="22.5" customHeight="1">
      <c r="B5139" s="7"/>
      <c r="C5139" s="7"/>
      <c r="D5139" s="7"/>
      <c r="E5139" s="7"/>
      <c r="F5139" s="7"/>
      <c r="G5139" s="7"/>
      <c r="H5139" s="7">
        <f t="shared" si="1"/>
        <v>1029</v>
      </c>
    </row>
    <row r="5140" ht="22.5" customHeight="1">
      <c r="B5140" s="7"/>
      <c r="C5140" s="7"/>
      <c r="D5140" s="7"/>
      <c r="E5140" s="7"/>
      <c r="F5140" s="7"/>
      <c r="G5140" s="7"/>
      <c r="H5140" s="7">
        <f t="shared" si="1"/>
        <v>1029</v>
      </c>
    </row>
    <row r="5141" ht="22.5" customHeight="1">
      <c r="B5141" s="7"/>
      <c r="C5141" s="7"/>
      <c r="D5141" s="7"/>
      <c r="E5141" s="7"/>
      <c r="F5141" s="7"/>
      <c r="G5141" s="7"/>
      <c r="H5141" s="7">
        <f t="shared" si="1"/>
        <v>1029</v>
      </c>
    </row>
    <row r="5142" ht="22.5" customHeight="1">
      <c r="B5142" s="7"/>
      <c r="C5142" s="7"/>
      <c r="D5142" s="7"/>
      <c r="E5142" s="7"/>
      <c r="F5142" s="7"/>
      <c r="G5142" s="7"/>
      <c r="H5142" s="7">
        <f t="shared" si="1"/>
        <v>1029</v>
      </c>
    </row>
    <row r="5143" ht="22.5" customHeight="1">
      <c r="B5143" s="7"/>
      <c r="C5143" s="7"/>
      <c r="D5143" s="7"/>
      <c r="E5143" s="7"/>
      <c r="F5143" s="7"/>
      <c r="G5143" s="7"/>
      <c r="H5143" s="7">
        <f t="shared" si="1"/>
        <v>1029</v>
      </c>
    </row>
    <row r="5144" ht="22.5" customHeight="1">
      <c r="B5144" s="7"/>
      <c r="C5144" s="7"/>
      <c r="D5144" s="7"/>
      <c r="E5144" s="7"/>
      <c r="F5144" s="7"/>
      <c r="G5144" s="7"/>
      <c r="H5144" s="7">
        <f t="shared" si="1"/>
        <v>1029</v>
      </c>
    </row>
    <row r="5145" ht="22.5" customHeight="1">
      <c r="B5145" s="7"/>
      <c r="C5145" s="7"/>
      <c r="D5145" s="7"/>
      <c r="E5145" s="7"/>
      <c r="F5145" s="7"/>
      <c r="G5145" s="7"/>
      <c r="H5145" s="7">
        <f t="shared" si="1"/>
        <v>1029</v>
      </c>
    </row>
    <row r="5146" ht="22.5" customHeight="1">
      <c r="B5146" s="7"/>
      <c r="C5146" s="7"/>
      <c r="D5146" s="7"/>
      <c r="E5146" s="7"/>
      <c r="F5146" s="7"/>
      <c r="G5146" s="7"/>
      <c r="H5146" s="7">
        <f t="shared" si="1"/>
        <v>1029</v>
      </c>
    </row>
    <row r="5147" ht="22.5" customHeight="1">
      <c r="B5147" s="7"/>
      <c r="C5147" s="7"/>
      <c r="D5147" s="7"/>
      <c r="E5147" s="7"/>
      <c r="F5147" s="7"/>
      <c r="G5147" s="7"/>
      <c r="H5147" s="7">
        <f t="shared" si="1"/>
        <v>1029</v>
      </c>
    </row>
    <row r="5148" ht="22.5" customHeight="1">
      <c r="B5148" s="7"/>
      <c r="C5148" s="7"/>
      <c r="D5148" s="7"/>
      <c r="E5148" s="7"/>
      <c r="F5148" s="7"/>
      <c r="G5148" s="7"/>
      <c r="H5148" s="7">
        <f t="shared" si="1"/>
        <v>1029</v>
      </c>
    </row>
    <row r="5149" ht="22.5" customHeight="1">
      <c r="B5149" s="7"/>
      <c r="C5149" s="7"/>
      <c r="D5149" s="7"/>
      <c r="E5149" s="7"/>
      <c r="F5149" s="7"/>
      <c r="G5149" s="7"/>
      <c r="H5149" s="7">
        <f t="shared" si="1"/>
        <v>1029</v>
      </c>
    </row>
    <row r="5150" ht="22.5" customHeight="1">
      <c r="B5150" s="7"/>
      <c r="C5150" s="7"/>
      <c r="D5150" s="7"/>
      <c r="E5150" s="7"/>
      <c r="F5150" s="7"/>
      <c r="G5150" s="7"/>
      <c r="H5150" s="7">
        <f t="shared" si="1"/>
        <v>1029</v>
      </c>
    </row>
    <row r="5151" ht="22.5" customHeight="1">
      <c r="B5151" s="7"/>
      <c r="C5151" s="7"/>
      <c r="D5151" s="7"/>
      <c r="E5151" s="7"/>
      <c r="F5151" s="7"/>
      <c r="G5151" s="7"/>
      <c r="H5151" s="7">
        <f t="shared" si="1"/>
        <v>1029</v>
      </c>
    </row>
    <row r="5152" ht="22.5" customHeight="1">
      <c r="B5152" s="7"/>
      <c r="C5152" s="7"/>
      <c r="D5152" s="7"/>
      <c r="E5152" s="7"/>
      <c r="F5152" s="7"/>
      <c r="G5152" s="7"/>
      <c r="H5152" s="7">
        <f t="shared" si="1"/>
        <v>1029</v>
      </c>
    </row>
    <row r="5153" ht="22.5" customHeight="1">
      <c r="B5153" s="7"/>
      <c r="C5153" s="7"/>
      <c r="D5153" s="7"/>
      <c r="E5153" s="7"/>
      <c r="F5153" s="7"/>
      <c r="G5153" s="7"/>
      <c r="H5153" s="7">
        <f t="shared" si="1"/>
        <v>1029</v>
      </c>
    </row>
    <row r="5154" ht="22.5" customHeight="1">
      <c r="B5154" s="7"/>
      <c r="C5154" s="7"/>
      <c r="D5154" s="7"/>
      <c r="E5154" s="7"/>
      <c r="F5154" s="7"/>
      <c r="G5154" s="7"/>
      <c r="H5154" s="7">
        <f t="shared" si="1"/>
        <v>1029</v>
      </c>
    </row>
    <row r="5155" ht="22.5" customHeight="1">
      <c r="B5155" s="7"/>
      <c r="C5155" s="7"/>
      <c r="D5155" s="7"/>
      <c r="E5155" s="7"/>
      <c r="F5155" s="7"/>
      <c r="G5155" s="7"/>
      <c r="H5155" s="7">
        <f t="shared" si="1"/>
        <v>1029</v>
      </c>
    </row>
    <row r="5156" ht="22.5" customHeight="1">
      <c r="B5156" s="7"/>
      <c r="C5156" s="7"/>
      <c r="D5156" s="7"/>
      <c r="E5156" s="7"/>
      <c r="F5156" s="7"/>
      <c r="G5156" s="7"/>
      <c r="H5156" s="7">
        <f t="shared" si="1"/>
        <v>1029</v>
      </c>
    </row>
    <row r="5157" ht="22.5" customHeight="1">
      <c r="B5157" s="7"/>
      <c r="C5157" s="7"/>
      <c r="D5157" s="7"/>
      <c r="E5157" s="7"/>
      <c r="F5157" s="7"/>
      <c r="G5157" s="7"/>
      <c r="H5157" s="7">
        <f t="shared" si="1"/>
        <v>1029</v>
      </c>
    </row>
    <row r="5158" ht="22.5" customHeight="1">
      <c r="B5158" s="7"/>
      <c r="C5158" s="7"/>
      <c r="D5158" s="7"/>
      <c r="E5158" s="7"/>
      <c r="F5158" s="7"/>
      <c r="G5158" s="7"/>
      <c r="H5158" s="7">
        <f t="shared" si="1"/>
        <v>1029</v>
      </c>
    </row>
    <row r="5159" ht="22.5" customHeight="1">
      <c r="B5159" s="7"/>
      <c r="C5159" s="7"/>
      <c r="D5159" s="7"/>
      <c r="E5159" s="7"/>
      <c r="F5159" s="7"/>
      <c r="G5159" s="7"/>
      <c r="H5159" s="7">
        <f t="shared" si="1"/>
        <v>1029</v>
      </c>
    </row>
    <row r="5160" ht="22.5" customHeight="1">
      <c r="B5160" s="7"/>
      <c r="C5160" s="7"/>
      <c r="D5160" s="7"/>
      <c r="E5160" s="7"/>
      <c r="F5160" s="7"/>
      <c r="G5160" s="7"/>
      <c r="H5160" s="7">
        <f t="shared" si="1"/>
        <v>1029</v>
      </c>
    </row>
    <row r="5161" ht="22.5" customHeight="1">
      <c r="B5161" s="7"/>
      <c r="C5161" s="7"/>
      <c r="D5161" s="7"/>
      <c r="E5161" s="7"/>
      <c r="F5161" s="7"/>
      <c r="G5161" s="7"/>
      <c r="H5161" s="7">
        <f t="shared" si="1"/>
        <v>1029</v>
      </c>
    </row>
    <row r="5162" ht="22.5" customHeight="1">
      <c r="B5162" s="7"/>
      <c r="C5162" s="7"/>
      <c r="D5162" s="7"/>
      <c r="E5162" s="7"/>
      <c r="F5162" s="7"/>
      <c r="G5162" s="7"/>
      <c r="H5162" s="7">
        <f t="shared" si="1"/>
        <v>1029</v>
      </c>
    </row>
    <row r="5163" ht="22.5" customHeight="1">
      <c r="B5163" s="7"/>
      <c r="C5163" s="7"/>
      <c r="D5163" s="7"/>
      <c r="E5163" s="7"/>
      <c r="F5163" s="7"/>
      <c r="G5163" s="7"/>
      <c r="H5163" s="7">
        <f t="shared" si="1"/>
        <v>1029</v>
      </c>
    </row>
    <row r="5164" ht="22.5" customHeight="1">
      <c r="B5164" s="7"/>
      <c r="C5164" s="7"/>
      <c r="D5164" s="7"/>
      <c r="E5164" s="7"/>
      <c r="F5164" s="7"/>
      <c r="G5164" s="7"/>
      <c r="H5164" s="7">
        <f t="shared" si="1"/>
        <v>1029</v>
      </c>
    </row>
    <row r="5165" ht="22.5" customHeight="1">
      <c r="B5165" s="7"/>
      <c r="C5165" s="7"/>
      <c r="D5165" s="7"/>
      <c r="E5165" s="7"/>
      <c r="F5165" s="7"/>
      <c r="G5165" s="7"/>
      <c r="H5165" s="7">
        <f t="shared" si="1"/>
        <v>1029</v>
      </c>
    </row>
    <row r="5166" ht="22.5" customHeight="1">
      <c r="B5166" s="7"/>
      <c r="C5166" s="7"/>
      <c r="D5166" s="7"/>
      <c r="E5166" s="7"/>
      <c r="F5166" s="7"/>
      <c r="G5166" s="7"/>
      <c r="H5166" s="7">
        <f t="shared" si="1"/>
        <v>1029</v>
      </c>
    </row>
    <row r="5167" ht="22.5" customHeight="1">
      <c r="B5167" s="7"/>
      <c r="C5167" s="7"/>
      <c r="D5167" s="7"/>
      <c r="E5167" s="7"/>
      <c r="F5167" s="7"/>
      <c r="G5167" s="7"/>
      <c r="H5167" s="7">
        <f t="shared" si="1"/>
        <v>1029</v>
      </c>
    </row>
    <row r="5168" ht="22.5" customHeight="1">
      <c r="B5168" s="7"/>
      <c r="C5168" s="7"/>
      <c r="D5168" s="7"/>
      <c r="E5168" s="7"/>
      <c r="F5168" s="7"/>
      <c r="G5168" s="7"/>
      <c r="H5168" s="7">
        <f t="shared" si="1"/>
        <v>1029</v>
      </c>
    </row>
    <row r="5169" ht="22.5" customHeight="1">
      <c r="B5169" s="7"/>
      <c r="C5169" s="7"/>
      <c r="D5169" s="7"/>
      <c r="E5169" s="7"/>
      <c r="F5169" s="7"/>
      <c r="G5169" s="7"/>
      <c r="H5169" s="7">
        <f t="shared" si="1"/>
        <v>1029</v>
      </c>
    </row>
    <row r="5170" ht="22.5" customHeight="1">
      <c r="B5170" s="7"/>
      <c r="C5170" s="7"/>
      <c r="D5170" s="7"/>
      <c r="E5170" s="7"/>
      <c r="F5170" s="7"/>
      <c r="G5170" s="7"/>
      <c r="H5170" s="7">
        <f t="shared" si="1"/>
        <v>1029</v>
      </c>
    </row>
    <row r="5171" ht="22.5" customHeight="1">
      <c r="B5171" s="7"/>
      <c r="C5171" s="7"/>
      <c r="D5171" s="7"/>
      <c r="E5171" s="7"/>
      <c r="F5171" s="7"/>
      <c r="G5171" s="7"/>
      <c r="H5171" s="7">
        <f t="shared" si="1"/>
        <v>1029</v>
      </c>
    </row>
    <row r="5172" ht="22.5" customHeight="1">
      <c r="B5172" s="7"/>
      <c r="C5172" s="7"/>
      <c r="D5172" s="7"/>
      <c r="E5172" s="7"/>
      <c r="F5172" s="7"/>
      <c r="G5172" s="7"/>
      <c r="H5172" s="7">
        <f t="shared" si="1"/>
        <v>1029</v>
      </c>
    </row>
    <row r="5173" ht="22.5" customHeight="1">
      <c r="B5173" s="7"/>
      <c r="C5173" s="7"/>
      <c r="D5173" s="7"/>
      <c r="E5173" s="7"/>
      <c r="F5173" s="7"/>
      <c r="G5173" s="7"/>
      <c r="H5173" s="7">
        <f t="shared" si="1"/>
        <v>1029</v>
      </c>
    </row>
    <row r="5174" ht="22.5" customHeight="1">
      <c r="B5174" s="7"/>
      <c r="C5174" s="7"/>
      <c r="D5174" s="7"/>
      <c r="E5174" s="7"/>
      <c r="F5174" s="7"/>
      <c r="G5174" s="7"/>
      <c r="H5174" s="7">
        <f t="shared" si="1"/>
        <v>1029</v>
      </c>
    </row>
    <row r="5175" ht="22.5" customHeight="1">
      <c r="B5175" s="7"/>
      <c r="C5175" s="7"/>
      <c r="D5175" s="7"/>
      <c r="E5175" s="7"/>
      <c r="F5175" s="7"/>
      <c r="G5175" s="7"/>
      <c r="H5175" s="7">
        <f t="shared" si="1"/>
        <v>1029</v>
      </c>
    </row>
    <row r="5176" ht="22.5" customHeight="1">
      <c r="B5176" s="7"/>
      <c r="C5176" s="7"/>
      <c r="D5176" s="7"/>
      <c r="E5176" s="7"/>
      <c r="F5176" s="7"/>
      <c r="G5176" s="7"/>
      <c r="H5176" s="7">
        <f t="shared" si="1"/>
        <v>1029</v>
      </c>
    </row>
    <row r="5177" ht="22.5" customHeight="1">
      <c r="B5177" s="7"/>
      <c r="C5177" s="7"/>
      <c r="D5177" s="7"/>
      <c r="E5177" s="7"/>
      <c r="F5177" s="7"/>
      <c r="G5177" s="7"/>
      <c r="H5177" s="7">
        <f t="shared" si="1"/>
        <v>1029</v>
      </c>
    </row>
    <row r="5178" ht="22.5" customHeight="1">
      <c r="B5178" s="7"/>
      <c r="C5178" s="7"/>
      <c r="D5178" s="7"/>
      <c r="E5178" s="7"/>
      <c r="F5178" s="7"/>
      <c r="G5178" s="7"/>
      <c r="H5178" s="7">
        <f t="shared" si="1"/>
        <v>1029</v>
      </c>
    </row>
    <row r="5179" ht="22.5" customHeight="1">
      <c r="B5179" s="7"/>
      <c r="C5179" s="7"/>
      <c r="D5179" s="7"/>
      <c r="E5179" s="7"/>
      <c r="F5179" s="7"/>
      <c r="G5179" s="7"/>
      <c r="H5179" s="7">
        <f t="shared" si="1"/>
        <v>1029</v>
      </c>
    </row>
    <row r="5180" ht="22.5" customHeight="1">
      <c r="B5180" s="7"/>
      <c r="C5180" s="7"/>
      <c r="D5180" s="7"/>
      <c r="E5180" s="7"/>
      <c r="F5180" s="7"/>
      <c r="G5180" s="7"/>
      <c r="H5180" s="7">
        <f t="shared" si="1"/>
        <v>1029</v>
      </c>
    </row>
    <row r="5181" ht="22.5" customHeight="1">
      <c r="B5181" s="7"/>
      <c r="C5181" s="7"/>
      <c r="D5181" s="7"/>
      <c r="E5181" s="7"/>
      <c r="F5181" s="7"/>
      <c r="G5181" s="7"/>
      <c r="H5181" s="7">
        <f t="shared" si="1"/>
        <v>1029</v>
      </c>
    </row>
    <row r="5182" ht="22.5" customHeight="1">
      <c r="B5182" s="7"/>
      <c r="C5182" s="7"/>
      <c r="D5182" s="7"/>
      <c r="E5182" s="7"/>
      <c r="F5182" s="7"/>
      <c r="G5182" s="7"/>
      <c r="H5182" s="7">
        <f t="shared" si="1"/>
        <v>1029</v>
      </c>
    </row>
    <row r="5183" ht="22.5" customHeight="1">
      <c r="B5183" s="7"/>
      <c r="C5183" s="7"/>
      <c r="D5183" s="7"/>
      <c r="E5183" s="7"/>
      <c r="F5183" s="7"/>
      <c r="G5183" s="7"/>
      <c r="H5183" s="7">
        <f t="shared" si="1"/>
        <v>1029</v>
      </c>
    </row>
    <row r="5184" ht="22.5" customHeight="1">
      <c r="B5184" s="7"/>
      <c r="C5184" s="7"/>
      <c r="D5184" s="7"/>
      <c r="E5184" s="7"/>
      <c r="F5184" s="7"/>
      <c r="G5184" s="7"/>
      <c r="H5184" s="7">
        <f t="shared" si="1"/>
        <v>1029</v>
      </c>
    </row>
    <row r="5185" ht="22.5" customHeight="1">
      <c r="B5185" s="7"/>
      <c r="C5185" s="7"/>
      <c r="D5185" s="7"/>
      <c r="E5185" s="7"/>
      <c r="F5185" s="7"/>
      <c r="G5185" s="7"/>
      <c r="H5185" s="7">
        <f t="shared" si="1"/>
        <v>1029</v>
      </c>
    </row>
    <row r="5186" ht="22.5" customHeight="1">
      <c r="B5186" s="7"/>
      <c r="C5186" s="7"/>
      <c r="D5186" s="7"/>
      <c r="E5186" s="7"/>
      <c r="F5186" s="7"/>
      <c r="G5186" s="7"/>
      <c r="H5186" s="7">
        <f t="shared" si="1"/>
        <v>1029</v>
      </c>
    </row>
    <row r="5187" ht="22.5" customHeight="1">
      <c r="B5187" s="7"/>
      <c r="C5187" s="7"/>
      <c r="D5187" s="7"/>
      <c r="E5187" s="7"/>
      <c r="F5187" s="7"/>
      <c r="G5187" s="7"/>
      <c r="H5187" s="7">
        <f t="shared" si="1"/>
        <v>1029</v>
      </c>
    </row>
    <row r="5188" ht="22.5" customHeight="1">
      <c r="B5188" s="7"/>
      <c r="C5188" s="7"/>
      <c r="D5188" s="7"/>
      <c r="E5188" s="7"/>
      <c r="F5188" s="7"/>
      <c r="G5188" s="7"/>
      <c r="H5188" s="7">
        <f t="shared" si="1"/>
        <v>1029</v>
      </c>
    </row>
    <row r="5189" ht="22.5" customHeight="1">
      <c r="B5189" s="7"/>
      <c r="C5189" s="7"/>
      <c r="D5189" s="7"/>
      <c r="E5189" s="7"/>
      <c r="F5189" s="7"/>
      <c r="G5189" s="7"/>
      <c r="H5189" s="7">
        <f t="shared" si="1"/>
        <v>1029</v>
      </c>
    </row>
    <row r="5190" ht="22.5" customHeight="1">
      <c r="B5190" s="7"/>
      <c r="C5190" s="7"/>
      <c r="D5190" s="7"/>
      <c r="E5190" s="7"/>
      <c r="F5190" s="7"/>
      <c r="G5190" s="7"/>
      <c r="H5190" s="7">
        <f t="shared" si="1"/>
        <v>1029</v>
      </c>
    </row>
    <row r="5191" ht="22.5" customHeight="1">
      <c r="B5191" s="7"/>
      <c r="C5191" s="7"/>
      <c r="D5191" s="7"/>
      <c r="E5191" s="7"/>
      <c r="F5191" s="7"/>
      <c r="G5191" s="7"/>
      <c r="H5191" s="7">
        <f t="shared" si="1"/>
        <v>1029</v>
      </c>
    </row>
    <row r="5192" ht="22.5" customHeight="1">
      <c r="B5192" s="7"/>
      <c r="C5192" s="7"/>
      <c r="D5192" s="7"/>
      <c r="E5192" s="7"/>
      <c r="F5192" s="7"/>
      <c r="G5192" s="7"/>
      <c r="H5192" s="7">
        <f t="shared" si="1"/>
        <v>1029</v>
      </c>
    </row>
    <row r="5193" ht="22.5" customHeight="1">
      <c r="B5193" s="7"/>
      <c r="C5193" s="7"/>
      <c r="D5193" s="7"/>
      <c r="E5193" s="7"/>
      <c r="F5193" s="7"/>
      <c r="G5193" s="7"/>
      <c r="H5193" s="7">
        <f t="shared" si="1"/>
        <v>1029</v>
      </c>
    </row>
    <row r="5194" ht="22.5" customHeight="1">
      <c r="B5194" s="7"/>
      <c r="C5194" s="7"/>
      <c r="D5194" s="7"/>
      <c r="E5194" s="7"/>
      <c r="F5194" s="7"/>
      <c r="G5194" s="7"/>
      <c r="H5194" s="7">
        <f t="shared" si="1"/>
        <v>1029</v>
      </c>
    </row>
    <row r="5195" ht="22.5" customHeight="1">
      <c r="B5195" s="7"/>
      <c r="C5195" s="7"/>
      <c r="D5195" s="7"/>
      <c r="E5195" s="7"/>
      <c r="F5195" s="7"/>
      <c r="G5195" s="7"/>
      <c r="H5195" s="7">
        <f t="shared" si="1"/>
        <v>1029</v>
      </c>
    </row>
    <row r="5196" ht="22.5" customHeight="1">
      <c r="B5196" s="7"/>
      <c r="C5196" s="7"/>
      <c r="D5196" s="7"/>
      <c r="E5196" s="7"/>
      <c r="F5196" s="7"/>
      <c r="G5196" s="7"/>
      <c r="H5196" s="7">
        <f t="shared" si="1"/>
        <v>1029</v>
      </c>
    </row>
    <row r="5197" ht="22.5" customHeight="1">
      <c r="B5197" s="7"/>
      <c r="C5197" s="7"/>
      <c r="D5197" s="7"/>
      <c r="E5197" s="7"/>
      <c r="F5197" s="7"/>
      <c r="G5197" s="7"/>
      <c r="H5197" s="7">
        <f t="shared" si="1"/>
        <v>1029</v>
      </c>
    </row>
    <row r="5198" ht="22.5" customHeight="1">
      <c r="B5198" s="7"/>
      <c r="C5198" s="7"/>
      <c r="D5198" s="7"/>
      <c r="E5198" s="7"/>
      <c r="F5198" s="7"/>
      <c r="G5198" s="7"/>
      <c r="H5198" s="7">
        <f t="shared" si="1"/>
        <v>1029</v>
      </c>
    </row>
    <row r="5199" ht="22.5" customHeight="1">
      <c r="B5199" s="7"/>
      <c r="C5199" s="7"/>
      <c r="D5199" s="7"/>
      <c r="E5199" s="7"/>
      <c r="F5199" s="7"/>
      <c r="G5199" s="7"/>
      <c r="H5199" s="7">
        <f t="shared" si="1"/>
        <v>1029</v>
      </c>
    </row>
    <row r="5200" ht="22.5" customHeight="1">
      <c r="B5200" s="7"/>
      <c r="C5200" s="7"/>
      <c r="D5200" s="7"/>
      <c r="E5200" s="7"/>
      <c r="F5200" s="7"/>
      <c r="G5200" s="7"/>
      <c r="H5200" s="7">
        <f t="shared" si="1"/>
        <v>1029</v>
      </c>
    </row>
    <row r="5201" ht="22.5" customHeight="1">
      <c r="B5201" s="7"/>
      <c r="C5201" s="7"/>
      <c r="D5201" s="7"/>
      <c r="E5201" s="7"/>
      <c r="F5201" s="7"/>
      <c r="G5201" s="7"/>
      <c r="H5201" s="7">
        <f t="shared" si="1"/>
        <v>1029</v>
      </c>
    </row>
    <row r="5202" ht="22.5" customHeight="1">
      <c r="B5202" s="7"/>
      <c r="C5202" s="7"/>
      <c r="D5202" s="7"/>
      <c r="E5202" s="7"/>
      <c r="F5202" s="7"/>
      <c r="G5202" s="7"/>
      <c r="H5202" s="7">
        <f t="shared" si="1"/>
        <v>1029</v>
      </c>
    </row>
    <row r="5203" ht="22.5" customHeight="1">
      <c r="B5203" s="7"/>
      <c r="C5203" s="7"/>
      <c r="D5203" s="7"/>
      <c r="E5203" s="7"/>
      <c r="F5203" s="7"/>
      <c r="G5203" s="7"/>
      <c r="H5203" s="7">
        <f t="shared" si="1"/>
        <v>1029</v>
      </c>
    </row>
    <row r="5204" ht="22.5" customHeight="1">
      <c r="B5204" s="7"/>
      <c r="C5204" s="7"/>
      <c r="D5204" s="7"/>
      <c r="E5204" s="7"/>
      <c r="F5204" s="7"/>
      <c r="G5204" s="7"/>
      <c r="H5204" s="7">
        <f t="shared" si="1"/>
        <v>1029</v>
      </c>
    </row>
    <row r="5205" ht="22.5" customHeight="1">
      <c r="B5205" s="7"/>
      <c r="C5205" s="7"/>
      <c r="D5205" s="7"/>
      <c r="E5205" s="7"/>
      <c r="F5205" s="7"/>
      <c r="G5205" s="7"/>
      <c r="H5205" s="7">
        <f t="shared" si="1"/>
        <v>1029</v>
      </c>
    </row>
    <row r="5206" ht="22.5" customHeight="1">
      <c r="B5206" s="7"/>
      <c r="C5206" s="7"/>
      <c r="D5206" s="7"/>
      <c r="E5206" s="7"/>
      <c r="F5206" s="7"/>
      <c r="G5206" s="7"/>
      <c r="H5206" s="7">
        <f t="shared" si="1"/>
        <v>1029</v>
      </c>
    </row>
    <row r="5207" ht="22.5" customHeight="1">
      <c r="B5207" s="7"/>
      <c r="C5207" s="7"/>
      <c r="D5207" s="7"/>
      <c r="E5207" s="7"/>
      <c r="F5207" s="7"/>
      <c r="G5207" s="7"/>
      <c r="H5207" s="7">
        <f t="shared" si="1"/>
        <v>1029</v>
      </c>
    </row>
    <row r="5208" ht="22.5" customHeight="1">
      <c r="B5208" s="7"/>
      <c r="C5208" s="7"/>
      <c r="D5208" s="7"/>
      <c r="E5208" s="7"/>
      <c r="F5208" s="7"/>
      <c r="G5208" s="7"/>
      <c r="H5208" s="7">
        <f t="shared" si="1"/>
        <v>1029</v>
      </c>
    </row>
    <row r="5209" ht="22.5" customHeight="1">
      <c r="B5209" s="7"/>
      <c r="C5209" s="7"/>
      <c r="D5209" s="7"/>
      <c r="E5209" s="7"/>
      <c r="F5209" s="7"/>
      <c r="G5209" s="7"/>
      <c r="H5209" s="7">
        <f t="shared" si="1"/>
        <v>1029</v>
      </c>
    </row>
    <row r="5210" ht="22.5" customHeight="1">
      <c r="B5210" s="7"/>
      <c r="C5210" s="7"/>
      <c r="D5210" s="7"/>
      <c r="E5210" s="7"/>
      <c r="F5210" s="7"/>
      <c r="G5210" s="7"/>
      <c r="H5210" s="7">
        <f t="shared" si="1"/>
        <v>1029</v>
      </c>
    </row>
    <row r="5211" ht="22.5" customHeight="1">
      <c r="B5211" s="7"/>
      <c r="C5211" s="7"/>
      <c r="D5211" s="7"/>
      <c r="E5211" s="7"/>
      <c r="F5211" s="7"/>
      <c r="G5211" s="7"/>
      <c r="H5211" s="7">
        <f t="shared" si="1"/>
        <v>1029</v>
      </c>
    </row>
    <row r="5212" ht="22.5" customHeight="1">
      <c r="B5212" s="7"/>
      <c r="C5212" s="7"/>
      <c r="D5212" s="7"/>
      <c r="E5212" s="7"/>
      <c r="F5212" s="7"/>
      <c r="G5212" s="7"/>
      <c r="H5212" s="7">
        <f t="shared" si="1"/>
        <v>1029</v>
      </c>
    </row>
    <row r="5213" ht="22.5" customHeight="1">
      <c r="B5213" s="7"/>
      <c r="C5213" s="7"/>
      <c r="D5213" s="7"/>
      <c r="E5213" s="7"/>
      <c r="F5213" s="7"/>
      <c r="G5213" s="7"/>
      <c r="H5213" s="7">
        <f t="shared" si="1"/>
        <v>1029</v>
      </c>
    </row>
    <row r="5214" ht="22.5" customHeight="1">
      <c r="B5214" s="7"/>
      <c r="C5214" s="7"/>
      <c r="D5214" s="7"/>
      <c r="E5214" s="7"/>
      <c r="F5214" s="7"/>
      <c r="G5214" s="7"/>
      <c r="H5214" s="7">
        <f t="shared" si="1"/>
        <v>1029</v>
      </c>
    </row>
    <row r="5215" ht="22.5" customHeight="1">
      <c r="B5215" s="7"/>
      <c r="C5215" s="7"/>
      <c r="D5215" s="7"/>
      <c r="E5215" s="7"/>
      <c r="F5215" s="7"/>
      <c r="G5215" s="7"/>
      <c r="H5215" s="7">
        <f t="shared" si="1"/>
        <v>1029</v>
      </c>
    </row>
    <row r="5216" ht="22.5" customHeight="1">
      <c r="B5216" s="7"/>
      <c r="C5216" s="7"/>
      <c r="D5216" s="7"/>
      <c r="E5216" s="7"/>
      <c r="F5216" s="7"/>
      <c r="G5216" s="7"/>
      <c r="H5216" s="7">
        <f t="shared" si="1"/>
        <v>1029</v>
      </c>
    </row>
    <row r="5217" ht="22.5" customHeight="1">
      <c r="B5217" s="7"/>
      <c r="C5217" s="7"/>
      <c r="D5217" s="7"/>
      <c r="E5217" s="7"/>
      <c r="F5217" s="7"/>
      <c r="G5217" s="7"/>
      <c r="H5217" s="7">
        <f t="shared" si="1"/>
        <v>1029</v>
      </c>
    </row>
    <row r="5218" ht="22.5" customHeight="1">
      <c r="B5218" s="7"/>
      <c r="C5218" s="7"/>
      <c r="D5218" s="7"/>
      <c r="E5218" s="7"/>
      <c r="F5218" s="7"/>
      <c r="G5218" s="7"/>
      <c r="H5218" s="7">
        <f t="shared" si="1"/>
        <v>1029</v>
      </c>
    </row>
    <row r="5219" ht="22.5" customHeight="1">
      <c r="B5219" s="7"/>
      <c r="C5219" s="7"/>
      <c r="D5219" s="7"/>
      <c r="E5219" s="7"/>
      <c r="F5219" s="7"/>
      <c r="G5219" s="7"/>
      <c r="H5219" s="7">
        <f t="shared" si="1"/>
        <v>1029</v>
      </c>
    </row>
    <row r="5220" ht="22.5" customHeight="1">
      <c r="B5220" s="7"/>
      <c r="C5220" s="7"/>
      <c r="D5220" s="7"/>
      <c r="E5220" s="7"/>
      <c r="F5220" s="7"/>
      <c r="G5220" s="7"/>
      <c r="H5220" s="7">
        <f t="shared" si="1"/>
        <v>1029</v>
      </c>
    </row>
    <row r="5221" ht="22.5" customHeight="1">
      <c r="B5221" s="7"/>
      <c r="C5221" s="7"/>
      <c r="D5221" s="7"/>
      <c r="E5221" s="7"/>
      <c r="F5221" s="7"/>
      <c r="G5221" s="7"/>
      <c r="H5221" s="7">
        <f t="shared" si="1"/>
        <v>1029</v>
      </c>
    </row>
    <row r="5222" ht="22.5" customHeight="1">
      <c r="B5222" s="7"/>
      <c r="C5222" s="7"/>
      <c r="D5222" s="7"/>
      <c r="E5222" s="7"/>
      <c r="F5222" s="7"/>
      <c r="G5222" s="7"/>
      <c r="H5222" s="7">
        <f t="shared" si="1"/>
        <v>1029</v>
      </c>
    </row>
    <row r="5223" ht="22.5" customHeight="1">
      <c r="B5223" s="7"/>
      <c r="C5223" s="7"/>
      <c r="D5223" s="7"/>
      <c r="E5223" s="7"/>
      <c r="F5223" s="7"/>
      <c r="G5223" s="7"/>
      <c r="H5223" s="7">
        <f t="shared" si="1"/>
        <v>1029</v>
      </c>
    </row>
    <row r="5224" ht="22.5" customHeight="1">
      <c r="B5224" s="7"/>
      <c r="C5224" s="7"/>
      <c r="D5224" s="7"/>
      <c r="E5224" s="7"/>
      <c r="F5224" s="7"/>
      <c r="G5224" s="7"/>
      <c r="H5224" s="7">
        <f t="shared" si="1"/>
        <v>1029</v>
      </c>
    </row>
    <row r="5225" ht="22.5" customHeight="1">
      <c r="B5225" s="7"/>
      <c r="C5225" s="7"/>
      <c r="D5225" s="7"/>
      <c r="E5225" s="7"/>
      <c r="F5225" s="7"/>
      <c r="G5225" s="7"/>
      <c r="H5225" s="7">
        <f t="shared" si="1"/>
        <v>1029</v>
      </c>
    </row>
    <row r="5226" ht="22.5" customHeight="1">
      <c r="B5226" s="7"/>
      <c r="C5226" s="7"/>
      <c r="D5226" s="7"/>
      <c r="E5226" s="7"/>
      <c r="F5226" s="7"/>
      <c r="G5226" s="7"/>
      <c r="H5226" s="7">
        <f t="shared" si="1"/>
        <v>1029</v>
      </c>
    </row>
    <row r="5227" ht="22.5" customHeight="1">
      <c r="B5227" s="7"/>
      <c r="C5227" s="7"/>
      <c r="D5227" s="7"/>
      <c r="E5227" s="7"/>
      <c r="F5227" s="7"/>
      <c r="G5227" s="7"/>
      <c r="H5227" s="7">
        <f t="shared" si="1"/>
        <v>1029</v>
      </c>
    </row>
    <row r="5228" ht="22.5" customHeight="1">
      <c r="B5228" s="7"/>
      <c r="C5228" s="7"/>
      <c r="D5228" s="7"/>
      <c r="E5228" s="7"/>
      <c r="F5228" s="7"/>
      <c r="G5228" s="7"/>
      <c r="H5228" s="7">
        <f t="shared" si="1"/>
        <v>1029</v>
      </c>
    </row>
    <row r="5229" ht="22.5" customHeight="1">
      <c r="B5229" s="7"/>
      <c r="C5229" s="7"/>
      <c r="D5229" s="7"/>
      <c r="E5229" s="7"/>
      <c r="F5229" s="7"/>
      <c r="G5229" s="7"/>
      <c r="H5229" s="7">
        <f t="shared" si="1"/>
        <v>1029</v>
      </c>
    </row>
    <row r="5230" ht="22.5" customHeight="1">
      <c r="B5230" s="7"/>
      <c r="C5230" s="7"/>
      <c r="D5230" s="7"/>
      <c r="E5230" s="7"/>
      <c r="F5230" s="7"/>
      <c r="G5230" s="7"/>
      <c r="H5230" s="7">
        <f t="shared" si="1"/>
        <v>1029</v>
      </c>
    </row>
    <row r="5231" ht="22.5" customHeight="1">
      <c r="B5231" s="7"/>
      <c r="C5231" s="7"/>
      <c r="D5231" s="7"/>
      <c r="E5231" s="7"/>
      <c r="F5231" s="7"/>
      <c r="G5231" s="7"/>
      <c r="H5231" s="7">
        <f t="shared" si="1"/>
        <v>1029</v>
      </c>
    </row>
    <row r="5232" ht="22.5" customHeight="1">
      <c r="B5232" s="7"/>
      <c r="C5232" s="7"/>
      <c r="D5232" s="7"/>
      <c r="E5232" s="7"/>
      <c r="F5232" s="7"/>
      <c r="G5232" s="7"/>
      <c r="H5232" s="7">
        <f t="shared" si="1"/>
        <v>1029</v>
      </c>
    </row>
    <row r="5233" ht="22.5" customHeight="1">
      <c r="B5233" s="7"/>
      <c r="C5233" s="7"/>
      <c r="D5233" s="7"/>
      <c r="E5233" s="7"/>
      <c r="F5233" s="7"/>
      <c r="G5233" s="7"/>
      <c r="H5233" s="7">
        <f t="shared" si="1"/>
        <v>1029</v>
      </c>
    </row>
    <row r="5234" ht="22.5" customHeight="1">
      <c r="B5234" s="7"/>
      <c r="C5234" s="7"/>
      <c r="D5234" s="7"/>
      <c r="E5234" s="7"/>
      <c r="F5234" s="7"/>
      <c r="G5234" s="7"/>
      <c r="H5234" s="7">
        <f t="shared" si="1"/>
        <v>1029</v>
      </c>
    </row>
    <row r="5235" ht="22.5" customHeight="1">
      <c r="B5235" s="7"/>
      <c r="C5235" s="7"/>
      <c r="D5235" s="7"/>
      <c r="E5235" s="7"/>
      <c r="F5235" s="7"/>
      <c r="G5235" s="7"/>
      <c r="H5235" s="7">
        <f t="shared" si="1"/>
        <v>1029</v>
      </c>
    </row>
    <row r="5236" ht="22.5" customHeight="1">
      <c r="B5236" s="7"/>
      <c r="C5236" s="7"/>
      <c r="D5236" s="7"/>
      <c r="E5236" s="7"/>
      <c r="F5236" s="7"/>
      <c r="G5236" s="7"/>
      <c r="H5236" s="7">
        <f t="shared" si="1"/>
        <v>1029</v>
      </c>
    </row>
    <row r="5237" ht="22.5" customHeight="1">
      <c r="B5237" s="7"/>
      <c r="C5237" s="7"/>
      <c r="D5237" s="7"/>
      <c r="E5237" s="7"/>
      <c r="F5237" s="7"/>
      <c r="G5237" s="7"/>
      <c r="H5237" s="7">
        <f t="shared" si="1"/>
        <v>1029</v>
      </c>
    </row>
    <row r="5238" ht="22.5" customHeight="1">
      <c r="B5238" s="7"/>
      <c r="C5238" s="7"/>
      <c r="D5238" s="7"/>
      <c r="E5238" s="7"/>
      <c r="F5238" s="7"/>
      <c r="G5238" s="7"/>
      <c r="H5238" s="7">
        <f t="shared" si="1"/>
        <v>1029</v>
      </c>
    </row>
    <row r="5239" ht="22.5" customHeight="1">
      <c r="B5239" s="7"/>
      <c r="C5239" s="7"/>
      <c r="D5239" s="7"/>
      <c r="E5239" s="7"/>
      <c r="F5239" s="7"/>
      <c r="G5239" s="7"/>
      <c r="H5239" s="7">
        <f t="shared" si="1"/>
        <v>1029</v>
      </c>
    </row>
    <row r="5240" ht="22.5" customHeight="1">
      <c r="B5240" s="7"/>
      <c r="C5240" s="7"/>
      <c r="D5240" s="7"/>
      <c r="E5240" s="7"/>
      <c r="F5240" s="7"/>
      <c r="G5240" s="7"/>
      <c r="H5240" s="7">
        <f t="shared" si="1"/>
        <v>1029</v>
      </c>
    </row>
    <row r="5241" ht="22.5" customHeight="1">
      <c r="B5241" s="7"/>
      <c r="C5241" s="7"/>
      <c r="D5241" s="7"/>
      <c r="E5241" s="7"/>
      <c r="F5241" s="7"/>
      <c r="G5241" s="7"/>
      <c r="H5241" s="7">
        <f t="shared" si="1"/>
        <v>1029</v>
      </c>
    </row>
    <row r="5242" ht="22.5" customHeight="1">
      <c r="B5242" s="7"/>
      <c r="C5242" s="7"/>
      <c r="D5242" s="7"/>
      <c r="E5242" s="7"/>
      <c r="F5242" s="7"/>
      <c r="G5242" s="7"/>
      <c r="H5242" s="7">
        <f t="shared" si="1"/>
        <v>1029</v>
      </c>
    </row>
    <row r="5243" ht="22.5" customHeight="1">
      <c r="B5243" s="7"/>
      <c r="C5243" s="7"/>
      <c r="D5243" s="7"/>
      <c r="E5243" s="7"/>
      <c r="F5243" s="7"/>
      <c r="G5243" s="7"/>
      <c r="H5243" s="7">
        <f t="shared" si="1"/>
        <v>1029</v>
      </c>
    </row>
    <row r="5244" ht="22.5" customHeight="1">
      <c r="B5244" s="7"/>
      <c r="C5244" s="7"/>
      <c r="D5244" s="7"/>
      <c r="E5244" s="7"/>
      <c r="F5244" s="7"/>
      <c r="G5244" s="7"/>
      <c r="H5244" s="7">
        <f t="shared" si="1"/>
        <v>1029</v>
      </c>
    </row>
    <row r="5245" ht="22.5" customHeight="1">
      <c r="B5245" s="7"/>
      <c r="C5245" s="7"/>
      <c r="D5245" s="7"/>
      <c r="E5245" s="7"/>
      <c r="F5245" s="7"/>
      <c r="G5245" s="7"/>
      <c r="H5245" s="7">
        <f t="shared" si="1"/>
        <v>1029</v>
      </c>
    </row>
    <row r="5246" ht="22.5" customHeight="1">
      <c r="B5246" s="7"/>
      <c r="C5246" s="7"/>
      <c r="D5246" s="7"/>
      <c r="E5246" s="7"/>
      <c r="F5246" s="7"/>
      <c r="G5246" s="7"/>
      <c r="H5246" s="7">
        <f t="shared" si="1"/>
        <v>1029</v>
      </c>
    </row>
    <row r="5247" ht="22.5" customHeight="1">
      <c r="B5247" s="7"/>
      <c r="C5247" s="7"/>
      <c r="D5247" s="7"/>
      <c r="E5247" s="7"/>
      <c r="F5247" s="7"/>
      <c r="G5247" s="7"/>
      <c r="H5247" s="7">
        <f t="shared" si="1"/>
        <v>1029</v>
      </c>
    </row>
    <row r="5248" ht="22.5" customHeight="1">
      <c r="B5248" s="7"/>
      <c r="C5248" s="7"/>
      <c r="D5248" s="7"/>
      <c r="E5248" s="7"/>
      <c r="F5248" s="7"/>
      <c r="G5248" s="7"/>
      <c r="H5248" s="7">
        <f t="shared" si="1"/>
        <v>1029</v>
      </c>
    </row>
    <row r="5249" ht="22.5" customHeight="1">
      <c r="B5249" s="7"/>
      <c r="C5249" s="7"/>
      <c r="D5249" s="7"/>
      <c r="E5249" s="7"/>
      <c r="F5249" s="7"/>
      <c r="G5249" s="7"/>
      <c r="H5249" s="7">
        <f t="shared" si="1"/>
        <v>1029</v>
      </c>
    </row>
    <row r="5250" ht="22.5" customHeight="1">
      <c r="B5250" s="7"/>
      <c r="C5250" s="7"/>
      <c r="D5250" s="7"/>
      <c r="E5250" s="7"/>
      <c r="F5250" s="7"/>
      <c r="G5250" s="7"/>
      <c r="H5250" s="7">
        <f t="shared" si="1"/>
        <v>1029</v>
      </c>
    </row>
    <row r="5251" ht="22.5" customHeight="1">
      <c r="B5251" s="7"/>
      <c r="C5251" s="7"/>
      <c r="D5251" s="7"/>
      <c r="E5251" s="7"/>
      <c r="F5251" s="7"/>
      <c r="G5251" s="7"/>
      <c r="H5251" s="7">
        <f t="shared" si="1"/>
        <v>1029</v>
      </c>
    </row>
    <row r="5252" ht="22.5" customHeight="1">
      <c r="B5252" s="7"/>
      <c r="C5252" s="7"/>
      <c r="D5252" s="7"/>
      <c r="E5252" s="7"/>
      <c r="F5252" s="7"/>
      <c r="G5252" s="7"/>
      <c r="H5252" s="7">
        <f t="shared" si="1"/>
        <v>1029</v>
      </c>
    </row>
    <row r="5253" ht="22.5" customHeight="1">
      <c r="B5253" s="7"/>
      <c r="C5253" s="7"/>
      <c r="D5253" s="7"/>
      <c r="E5253" s="7"/>
      <c r="F5253" s="7"/>
      <c r="G5253" s="7"/>
      <c r="H5253" s="7">
        <f t="shared" si="1"/>
        <v>1029</v>
      </c>
    </row>
    <row r="5254" ht="22.5" customHeight="1">
      <c r="B5254" s="7"/>
      <c r="C5254" s="7"/>
      <c r="D5254" s="7"/>
      <c r="E5254" s="7"/>
      <c r="F5254" s="7"/>
      <c r="G5254" s="7"/>
      <c r="H5254" s="7">
        <f t="shared" si="1"/>
        <v>1029</v>
      </c>
    </row>
    <row r="5255" ht="22.5" customHeight="1">
      <c r="B5255" s="7"/>
      <c r="C5255" s="7"/>
      <c r="D5255" s="7"/>
      <c r="E5255" s="7"/>
      <c r="F5255" s="7"/>
      <c r="G5255" s="7"/>
      <c r="H5255" s="7">
        <f t="shared" si="1"/>
        <v>1029</v>
      </c>
    </row>
    <row r="5256" ht="22.5" customHeight="1">
      <c r="B5256" s="7"/>
      <c r="C5256" s="7"/>
      <c r="D5256" s="7"/>
      <c r="E5256" s="7"/>
      <c r="F5256" s="7"/>
      <c r="G5256" s="7"/>
      <c r="H5256" s="7">
        <f t="shared" si="1"/>
        <v>1029</v>
      </c>
    </row>
    <row r="5257" ht="22.5" customHeight="1">
      <c r="B5257" s="7"/>
      <c r="C5257" s="7"/>
      <c r="D5257" s="7"/>
      <c r="E5257" s="7"/>
      <c r="F5257" s="7"/>
      <c r="G5257" s="7"/>
      <c r="H5257" s="7">
        <f t="shared" si="1"/>
        <v>1029</v>
      </c>
    </row>
    <row r="5258" ht="22.5" customHeight="1">
      <c r="B5258" s="7"/>
      <c r="C5258" s="7"/>
      <c r="D5258" s="7"/>
      <c r="E5258" s="7"/>
      <c r="F5258" s="7"/>
      <c r="G5258" s="7"/>
      <c r="H5258" s="7">
        <f t="shared" si="1"/>
        <v>1029</v>
      </c>
    </row>
    <row r="5259" ht="22.5" customHeight="1">
      <c r="B5259" s="7"/>
      <c r="C5259" s="7"/>
      <c r="D5259" s="7"/>
      <c r="E5259" s="7"/>
      <c r="F5259" s="7"/>
      <c r="G5259" s="7"/>
      <c r="H5259" s="7">
        <f t="shared" si="1"/>
        <v>1029</v>
      </c>
    </row>
    <row r="5260" ht="22.5" customHeight="1">
      <c r="B5260" s="7"/>
      <c r="C5260" s="7"/>
      <c r="D5260" s="7"/>
      <c r="E5260" s="7"/>
      <c r="F5260" s="7"/>
      <c r="G5260" s="7"/>
      <c r="H5260" s="7">
        <f t="shared" si="1"/>
        <v>1029</v>
      </c>
    </row>
    <row r="5261" ht="22.5" customHeight="1">
      <c r="B5261" s="7"/>
      <c r="C5261" s="7"/>
      <c r="D5261" s="7"/>
      <c r="E5261" s="7"/>
      <c r="F5261" s="7"/>
      <c r="G5261" s="7"/>
      <c r="H5261" s="7">
        <f t="shared" si="1"/>
        <v>1029</v>
      </c>
    </row>
    <row r="5262" ht="22.5" customHeight="1">
      <c r="B5262" s="7"/>
      <c r="C5262" s="7"/>
      <c r="D5262" s="7"/>
      <c r="E5262" s="7"/>
      <c r="F5262" s="7"/>
      <c r="G5262" s="7"/>
      <c r="H5262" s="7">
        <f t="shared" si="1"/>
        <v>1029</v>
      </c>
    </row>
    <row r="5263" ht="22.5" customHeight="1">
      <c r="B5263" s="7"/>
      <c r="C5263" s="7"/>
      <c r="D5263" s="7"/>
      <c r="E5263" s="7"/>
      <c r="F5263" s="7"/>
      <c r="G5263" s="7"/>
      <c r="H5263" s="7">
        <f t="shared" si="1"/>
        <v>1029</v>
      </c>
    </row>
    <row r="5264" ht="22.5" customHeight="1">
      <c r="B5264" s="7"/>
      <c r="C5264" s="7"/>
      <c r="D5264" s="7"/>
      <c r="E5264" s="7"/>
      <c r="F5264" s="7"/>
      <c r="G5264" s="7"/>
      <c r="H5264" s="7">
        <f t="shared" si="1"/>
        <v>1029</v>
      </c>
    </row>
    <row r="5265" ht="22.5" customHeight="1">
      <c r="B5265" s="7"/>
      <c r="C5265" s="7"/>
      <c r="D5265" s="7"/>
      <c r="E5265" s="7"/>
      <c r="F5265" s="7"/>
      <c r="G5265" s="7"/>
      <c r="H5265" s="7">
        <f t="shared" si="1"/>
        <v>1029</v>
      </c>
    </row>
    <row r="5266" ht="22.5" customHeight="1">
      <c r="B5266" s="7"/>
      <c r="C5266" s="7"/>
      <c r="D5266" s="7"/>
      <c r="E5266" s="7"/>
      <c r="F5266" s="7"/>
      <c r="G5266" s="7"/>
      <c r="H5266" s="7">
        <f t="shared" si="1"/>
        <v>1029</v>
      </c>
    </row>
    <row r="5267" ht="22.5" customHeight="1">
      <c r="B5267" s="7"/>
      <c r="C5267" s="7"/>
      <c r="D5267" s="7"/>
      <c r="E5267" s="7"/>
      <c r="F5267" s="7"/>
      <c r="G5267" s="7"/>
      <c r="H5267" s="7">
        <f t="shared" si="1"/>
        <v>1029</v>
      </c>
    </row>
    <row r="5268" ht="22.5" customHeight="1">
      <c r="B5268" s="7"/>
      <c r="C5268" s="7"/>
      <c r="D5268" s="7"/>
      <c r="E5268" s="7"/>
      <c r="F5268" s="7"/>
      <c r="G5268" s="7"/>
      <c r="H5268" s="7">
        <f t="shared" si="1"/>
        <v>1029</v>
      </c>
    </row>
    <row r="5269" ht="22.5" customHeight="1">
      <c r="B5269" s="7"/>
      <c r="C5269" s="7"/>
      <c r="D5269" s="7"/>
      <c r="E5269" s="7"/>
      <c r="F5269" s="7"/>
      <c r="G5269" s="7"/>
      <c r="H5269" s="7">
        <f t="shared" si="1"/>
        <v>1029</v>
      </c>
    </row>
    <row r="5270" ht="22.5" customHeight="1">
      <c r="B5270" s="7"/>
      <c r="C5270" s="7"/>
      <c r="D5270" s="7"/>
      <c r="E5270" s="7"/>
      <c r="F5270" s="7"/>
      <c r="G5270" s="7"/>
      <c r="H5270" s="7">
        <f t="shared" si="1"/>
        <v>1029</v>
      </c>
    </row>
    <row r="5271" ht="22.5" customHeight="1">
      <c r="B5271" s="7"/>
      <c r="C5271" s="7"/>
      <c r="D5271" s="7"/>
      <c r="E5271" s="7"/>
      <c r="F5271" s="7"/>
      <c r="G5271" s="7"/>
      <c r="H5271" s="7">
        <f t="shared" si="1"/>
        <v>1029</v>
      </c>
    </row>
    <row r="5272" ht="22.5" customHeight="1">
      <c r="B5272" s="7"/>
      <c r="C5272" s="7"/>
      <c r="D5272" s="7"/>
      <c r="E5272" s="7"/>
      <c r="F5272" s="7"/>
      <c r="G5272" s="7"/>
      <c r="H5272" s="7">
        <f t="shared" si="1"/>
        <v>1029</v>
      </c>
    </row>
    <row r="5273" ht="22.5" customHeight="1">
      <c r="B5273" s="7"/>
      <c r="C5273" s="7"/>
      <c r="D5273" s="7"/>
      <c r="E5273" s="7"/>
      <c r="F5273" s="7"/>
      <c r="G5273" s="7"/>
      <c r="H5273" s="7">
        <f t="shared" si="1"/>
        <v>1029</v>
      </c>
    </row>
    <row r="5274" ht="22.5" customHeight="1">
      <c r="B5274" s="7"/>
      <c r="C5274" s="7"/>
      <c r="D5274" s="7"/>
      <c r="E5274" s="7"/>
      <c r="F5274" s="7"/>
      <c r="G5274" s="7"/>
      <c r="H5274" s="7">
        <f t="shared" si="1"/>
        <v>1029</v>
      </c>
    </row>
    <row r="5275" ht="22.5" customHeight="1">
      <c r="B5275" s="7"/>
      <c r="C5275" s="7"/>
      <c r="D5275" s="7"/>
      <c r="E5275" s="7"/>
      <c r="F5275" s="7"/>
      <c r="G5275" s="7"/>
      <c r="H5275" s="7">
        <f t="shared" si="1"/>
        <v>1029</v>
      </c>
    </row>
    <row r="5276" ht="22.5" customHeight="1">
      <c r="B5276" s="7"/>
      <c r="C5276" s="7"/>
      <c r="D5276" s="7"/>
      <c r="E5276" s="7"/>
      <c r="F5276" s="7"/>
      <c r="G5276" s="7"/>
      <c r="H5276" s="7">
        <f t="shared" si="1"/>
        <v>1029</v>
      </c>
    </row>
    <row r="5277" ht="22.5" customHeight="1">
      <c r="B5277" s="7"/>
      <c r="C5277" s="7"/>
      <c r="D5277" s="7"/>
      <c r="E5277" s="7"/>
      <c r="F5277" s="7"/>
      <c r="G5277" s="7"/>
      <c r="H5277" s="7">
        <f t="shared" si="1"/>
        <v>1029</v>
      </c>
    </row>
    <row r="5278" ht="22.5" customHeight="1">
      <c r="B5278" s="7"/>
      <c r="C5278" s="7"/>
      <c r="D5278" s="7"/>
      <c r="E5278" s="7"/>
      <c r="F5278" s="7"/>
      <c r="G5278" s="7"/>
      <c r="H5278" s="7">
        <f t="shared" si="1"/>
        <v>1029</v>
      </c>
    </row>
    <row r="5279" ht="22.5" customHeight="1">
      <c r="B5279" s="7"/>
      <c r="C5279" s="7"/>
      <c r="D5279" s="7"/>
      <c r="E5279" s="7"/>
      <c r="F5279" s="7"/>
      <c r="G5279" s="7"/>
      <c r="H5279" s="7">
        <f t="shared" si="1"/>
        <v>1029</v>
      </c>
    </row>
    <row r="5280" ht="22.5" customHeight="1">
      <c r="B5280" s="7"/>
      <c r="C5280" s="7"/>
      <c r="D5280" s="7"/>
      <c r="E5280" s="7"/>
      <c r="F5280" s="7"/>
      <c r="G5280" s="7"/>
      <c r="H5280" s="7">
        <f t="shared" si="1"/>
        <v>1029</v>
      </c>
    </row>
    <row r="5281" ht="22.5" customHeight="1">
      <c r="B5281" s="7"/>
      <c r="C5281" s="7"/>
      <c r="D5281" s="7"/>
      <c r="E5281" s="7"/>
      <c r="F5281" s="7"/>
      <c r="G5281" s="7"/>
      <c r="H5281" s="7">
        <f t="shared" si="1"/>
        <v>1029</v>
      </c>
    </row>
    <row r="5282" ht="22.5" customHeight="1">
      <c r="B5282" s="7"/>
      <c r="C5282" s="7"/>
      <c r="D5282" s="7"/>
      <c r="E5282" s="7"/>
      <c r="F5282" s="7"/>
      <c r="G5282" s="7"/>
      <c r="H5282" s="7">
        <f t="shared" si="1"/>
        <v>1029</v>
      </c>
    </row>
    <row r="5283" ht="22.5" customHeight="1">
      <c r="B5283" s="7"/>
      <c r="C5283" s="7"/>
      <c r="D5283" s="7"/>
      <c r="E5283" s="7"/>
      <c r="F5283" s="7"/>
      <c r="G5283" s="7"/>
      <c r="H5283" s="7">
        <f t="shared" si="1"/>
        <v>1029</v>
      </c>
    </row>
    <row r="5284" ht="22.5" customHeight="1">
      <c r="B5284" s="7"/>
      <c r="C5284" s="7"/>
      <c r="D5284" s="7"/>
      <c r="E5284" s="7"/>
      <c r="F5284" s="7"/>
      <c r="G5284" s="7"/>
      <c r="H5284" s="7">
        <f t="shared" si="1"/>
        <v>1029</v>
      </c>
    </row>
    <row r="5285" ht="22.5" customHeight="1">
      <c r="B5285" s="7"/>
      <c r="C5285" s="7"/>
      <c r="D5285" s="7"/>
      <c r="E5285" s="7"/>
      <c r="F5285" s="7"/>
      <c r="G5285" s="7"/>
      <c r="H5285" s="7">
        <f t="shared" si="1"/>
        <v>1029</v>
      </c>
    </row>
    <row r="5286" ht="22.5" customHeight="1">
      <c r="B5286" s="7"/>
      <c r="C5286" s="7"/>
      <c r="D5286" s="7"/>
      <c r="E5286" s="7"/>
      <c r="F5286" s="7"/>
      <c r="G5286" s="7"/>
      <c r="H5286" s="7">
        <f t="shared" si="1"/>
        <v>1029</v>
      </c>
    </row>
    <row r="5287" ht="22.5" customHeight="1">
      <c r="B5287" s="7"/>
      <c r="C5287" s="7"/>
      <c r="D5287" s="7"/>
      <c r="E5287" s="7"/>
      <c r="F5287" s="7"/>
      <c r="G5287" s="7"/>
      <c r="H5287" s="7">
        <f t="shared" si="1"/>
        <v>1029</v>
      </c>
    </row>
    <row r="5288" ht="22.5" customHeight="1">
      <c r="B5288" s="7"/>
      <c r="C5288" s="7"/>
      <c r="D5288" s="7"/>
      <c r="E5288" s="7"/>
      <c r="F5288" s="7"/>
      <c r="G5288" s="7"/>
      <c r="H5288" s="7">
        <f t="shared" si="1"/>
        <v>1029</v>
      </c>
    </row>
    <row r="5289" ht="22.5" customHeight="1">
      <c r="B5289" s="7"/>
      <c r="C5289" s="7"/>
      <c r="D5289" s="7"/>
      <c r="E5289" s="7"/>
      <c r="F5289" s="7"/>
      <c r="G5289" s="7"/>
      <c r="H5289" s="7">
        <f t="shared" si="1"/>
        <v>1029</v>
      </c>
    </row>
    <row r="5290" ht="22.5" customHeight="1">
      <c r="B5290" s="7"/>
      <c r="C5290" s="7"/>
      <c r="D5290" s="7"/>
      <c r="E5290" s="7"/>
      <c r="F5290" s="7"/>
      <c r="G5290" s="7"/>
      <c r="H5290" s="7">
        <f t="shared" si="1"/>
        <v>1029</v>
      </c>
    </row>
    <row r="5291" ht="22.5" customHeight="1">
      <c r="B5291" s="7"/>
      <c r="C5291" s="7"/>
      <c r="D5291" s="7"/>
      <c r="E5291" s="7"/>
      <c r="F5291" s="7"/>
      <c r="G5291" s="7"/>
      <c r="H5291" s="7">
        <f t="shared" si="1"/>
        <v>1029</v>
      </c>
    </row>
    <row r="5292" ht="22.5" customHeight="1">
      <c r="B5292" s="7"/>
      <c r="C5292" s="7"/>
      <c r="D5292" s="7"/>
      <c r="E5292" s="7"/>
      <c r="F5292" s="7"/>
      <c r="G5292" s="7"/>
      <c r="H5292" s="7">
        <f t="shared" si="1"/>
        <v>1029</v>
      </c>
    </row>
    <row r="5293" ht="22.5" customHeight="1">
      <c r="B5293" s="7"/>
      <c r="C5293" s="7"/>
      <c r="D5293" s="7"/>
      <c r="E5293" s="7"/>
      <c r="F5293" s="7"/>
      <c r="G5293" s="7"/>
      <c r="H5293" s="7">
        <f t="shared" si="1"/>
        <v>1029</v>
      </c>
    </row>
    <row r="5294" ht="22.5" customHeight="1">
      <c r="B5294" s="7"/>
      <c r="C5294" s="7"/>
      <c r="D5294" s="7"/>
      <c r="E5294" s="7"/>
      <c r="F5294" s="7"/>
      <c r="G5294" s="7"/>
      <c r="H5294" s="7">
        <f t="shared" si="1"/>
        <v>1029</v>
      </c>
    </row>
    <row r="5295" ht="22.5" customHeight="1">
      <c r="B5295" s="7"/>
      <c r="C5295" s="7"/>
      <c r="D5295" s="7"/>
      <c r="E5295" s="7"/>
      <c r="F5295" s="7"/>
      <c r="G5295" s="7"/>
      <c r="H5295" s="7">
        <f t="shared" si="1"/>
        <v>1029</v>
      </c>
    </row>
    <row r="5296" ht="22.5" customHeight="1">
      <c r="B5296" s="7"/>
      <c r="C5296" s="7"/>
      <c r="D5296" s="7"/>
      <c r="E5296" s="7"/>
      <c r="F5296" s="7"/>
      <c r="G5296" s="7"/>
      <c r="H5296" s="7">
        <f t="shared" si="1"/>
        <v>1029</v>
      </c>
    </row>
    <row r="5297" ht="22.5" customHeight="1">
      <c r="B5297" s="7"/>
      <c r="C5297" s="7"/>
      <c r="D5297" s="7"/>
      <c r="E5297" s="7"/>
      <c r="F5297" s="7"/>
      <c r="G5297" s="7"/>
      <c r="H5297" s="7">
        <f t="shared" si="1"/>
        <v>1029</v>
      </c>
    </row>
    <row r="5298" ht="22.5" customHeight="1">
      <c r="B5298" s="7"/>
      <c r="C5298" s="7"/>
      <c r="D5298" s="7"/>
      <c r="E5298" s="7"/>
      <c r="F5298" s="7"/>
      <c r="G5298" s="7"/>
      <c r="H5298" s="7">
        <f t="shared" si="1"/>
        <v>1029</v>
      </c>
    </row>
    <row r="5299" ht="22.5" customHeight="1">
      <c r="B5299" s="7"/>
      <c r="C5299" s="7"/>
      <c r="D5299" s="7"/>
      <c r="E5299" s="7"/>
      <c r="F5299" s="7"/>
      <c r="G5299" s="7"/>
      <c r="H5299" s="7">
        <f t="shared" si="1"/>
        <v>1029</v>
      </c>
    </row>
    <row r="5300" ht="22.5" customHeight="1">
      <c r="B5300" s="7"/>
      <c r="C5300" s="7"/>
      <c r="D5300" s="7"/>
      <c r="E5300" s="7"/>
      <c r="F5300" s="7"/>
      <c r="G5300" s="7"/>
      <c r="H5300" s="7">
        <f t="shared" si="1"/>
        <v>1029</v>
      </c>
    </row>
    <row r="5301" ht="22.5" customHeight="1">
      <c r="B5301" s="7"/>
      <c r="C5301" s="7"/>
      <c r="D5301" s="7"/>
      <c r="E5301" s="7"/>
      <c r="F5301" s="7"/>
      <c r="G5301" s="7"/>
      <c r="H5301" s="7">
        <f t="shared" si="1"/>
        <v>1029</v>
      </c>
    </row>
    <row r="5302" ht="22.5" customHeight="1">
      <c r="B5302" s="7"/>
      <c r="C5302" s="7"/>
      <c r="D5302" s="7"/>
      <c r="E5302" s="7"/>
      <c r="F5302" s="7"/>
      <c r="G5302" s="7"/>
      <c r="H5302" s="7">
        <f t="shared" si="1"/>
        <v>1029</v>
      </c>
    </row>
    <row r="5303" ht="22.5" customHeight="1">
      <c r="B5303" s="7"/>
      <c r="C5303" s="7"/>
      <c r="D5303" s="7"/>
      <c r="E5303" s="7"/>
      <c r="F5303" s="7"/>
      <c r="G5303" s="7"/>
      <c r="H5303" s="7">
        <f t="shared" si="1"/>
        <v>1029</v>
      </c>
    </row>
    <row r="5304" ht="22.5" customHeight="1">
      <c r="B5304" s="7"/>
      <c r="C5304" s="7"/>
      <c r="D5304" s="7"/>
      <c r="E5304" s="7"/>
      <c r="F5304" s="7"/>
      <c r="G5304" s="7"/>
      <c r="H5304" s="7">
        <f t="shared" si="1"/>
        <v>1029</v>
      </c>
    </row>
    <row r="5305" ht="22.5" customHeight="1">
      <c r="B5305" s="7"/>
      <c r="C5305" s="7"/>
      <c r="D5305" s="7"/>
      <c r="E5305" s="7"/>
      <c r="F5305" s="7"/>
      <c r="G5305" s="7"/>
      <c r="H5305" s="7">
        <f t="shared" si="1"/>
        <v>1029</v>
      </c>
    </row>
    <row r="5306" ht="22.5" customHeight="1">
      <c r="B5306" s="7"/>
      <c r="C5306" s="7"/>
      <c r="D5306" s="7"/>
      <c r="E5306" s="7"/>
      <c r="F5306" s="7"/>
      <c r="G5306" s="7"/>
      <c r="H5306" s="7">
        <f t="shared" si="1"/>
        <v>1029</v>
      </c>
    </row>
    <row r="5307" ht="22.5" customHeight="1">
      <c r="B5307" s="7"/>
      <c r="C5307" s="7"/>
      <c r="D5307" s="7"/>
      <c r="E5307" s="7"/>
      <c r="F5307" s="7"/>
      <c r="G5307" s="7"/>
      <c r="H5307" s="7">
        <f t="shared" si="1"/>
        <v>1029</v>
      </c>
    </row>
    <row r="5308" ht="22.5" customHeight="1">
      <c r="B5308" s="7"/>
      <c r="C5308" s="7"/>
      <c r="D5308" s="7"/>
      <c r="E5308" s="7"/>
      <c r="F5308" s="7"/>
      <c r="G5308" s="7"/>
      <c r="H5308" s="7">
        <f t="shared" si="1"/>
        <v>1029</v>
      </c>
    </row>
    <row r="5309" ht="22.5" customHeight="1">
      <c r="B5309" s="7"/>
      <c r="C5309" s="7"/>
      <c r="D5309" s="7"/>
      <c r="E5309" s="7"/>
      <c r="F5309" s="7"/>
      <c r="G5309" s="7"/>
      <c r="H5309" s="7">
        <f t="shared" si="1"/>
        <v>1029</v>
      </c>
    </row>
    <row r="5310" ht="22.5" customHeight="1">
      <c r="B5310" s="7"/>
      <c r="C5310" s="7"/>
      <c r="D5310" s="7"/>
      <c r="E5310" s="7"/>
      <c r="F5310" s="7"/>
      <c r="G5310" s="7"/>
      <c r="H5310" s="7">
        <f t="shared" si="1"/>
        <v>1029</v>
      </c>
    </row>
    <row r="5311" ht="22.5" customHeight="1">
      <c r="B5311" s="7"/>
      <c r="C5311" s="7"/>
      <c r="D5311" s="7"/>
      <c r="E5311" s="7"/>
      <c r="F5311" s="7"/>
      <c r="G5311" s="7"/>
      <c r="H5311" s="7">
        <f t="shared" si="1"/>
        <v>1029</v>
      </c>
    </row>
    <row r="5312" ht="22.5" customHeight="1">
      <c r="B5312" s="7"/>
      <c r="C5312" s="7"/>
      <c r="D5312" s="7"/>
      <c r="E5312" s="7"/>
      <c r="F5312" s="7"/>
      <c r="G5312" s="7"/>
      <c r="H5312" s="7">
        <f t="shared" si="1"/>
        <v>1029</v>
      </c>
    </row>
    <row r="5313" ht="22.5" customHeight="1">
      <c r="B5313" s="7"/>
      <c r="C5313" s="7"/>
      <c r="D5313" s="7"/>
      <c r="E5313" s="7"/>
      <c r="F5313" s="7"/>
      <c r="G5313" s="7"/>
      <c r="H5313" s="7">
        <f t="shared" si="1"/>
        <v>1029</v>
      </c>
    </row>
    <row r="5314" ht="22.5" customHeight="1">
      <c r="B5314" s="7"/>
      <c r="C5314" s="7"/>
      <c r="D5314" s="7"/>
      <c r="E5314" s="7"/>
      <c r="F5314" s="7"/>
      <c r="G5314" s="7"/>
      <c r="H5314" s="7">
        <f t="shared" si="1"/>
        <v>1029</v>
      </c>
    </row>
    <row r="5315" ht="22.5" customHeight="1">
      <c r="B5315" s="7"/>
      <c r="C5315" s="7"/>
      <c r="D5315" s="7"/>
      <c r="E5315" s="7"/>
      <c r="F5315" s="7"/>
      <c r="G5315" s="7"/>
      <c r="H5315" s="7">
        <f t="shared" si="1"/>
        <v>1029</v>
      </c>
    </row>
    <row r="5316" ht="22.5" customHeight="1">
      <c r="B5316" s="7"/>
      <c r="C5316" s="7"/>
      <c r="D5316" s="7"/>
      <c r="E5316" s="7"/>
      <c r="F5316" s="7"/>
      <c r="G5316" s="7"/>
      <c r="H5316" s="7">
        <f t="shared" si="1"/>
        <v>1029</v>
      </c>
    </row>
    <row r="5317" ht="22.5" customHeight="1">
      <c r="B5317" s="7"/>
      <c r="C5317" s="7"/>
      <c r="D5317" s="7"/>
      <c r="E5317" s="7"/>
      <c r="F5317" s="7"/>
      <c r="G5317" s="7"/>
      <c r="H5317" s="7">
        <f t="shared" si="1"/>
        <v>1029</v>
      </c>
    </row>
    <row r="5318" ht="22.5" customHeight="1">
      <c r="B5318" s="7"/>
      <c r="C5318" s="7"/>
      <c r="D5318" s="7"/>
      <c r="E5318" s="7"/>
      <c r="F5318" s="7"/>
      <c r="G5318" s="7"/>
      <c r="H5318" s="7">
        <f t="shared" si="1"/>
        <v>1029</v>
      </c>
    </row>
    <row r="5319" ht="22.5" customHeight="1">
      <c r="B5319" s="7"/>
      <c r="C5319" s="7"/>
      <c r="D5319" s="7"/>
      <c r="E5319" s="7"/>
      <c r="F5319" s="7"/>
      <c r="G5319" s="7"/>
      <c r="H5319" s="7">
        <f t="shared" si="1"/>
        <v>1029</v>
      </c>
    </row>
    <row r="5320" ht="22.5" customHeight="1">
      <c r="B5320" s="7"/>
      <c r="C5320" s="7"/>
      <c r="D5320" s="7"/>
      <c r="E5320" s="7"/>
      <c r="F5320" s="7"/>
      <c r="G5320" s="7"/>
      <c r="H5320" s="7">
        <f t="shared" si="1"/>
        <v>1029</v>
      </c>
    </row>
    <row r="5321" ht="22.5" customHeight="1">
      <c r="B5321" s="7"/>
      <c r="C5321" s="7"/>
      <c r="D5321" s="7"/>
      <c r="E5321" s="7"/>
      <c r="F5321" s="7"/>
      <c r="G5321" s="7"/>
      <c r="H5321" s="7">
        <f t="shared" si="1"/>
        <v>1029</v>
      </c>
    </row>
    <row r="5322" ht="22.5" customHeight="1">
      <c r="B5322" s="7"/>
      <c r="C5322" s="7"/>
      <c r="D5322" s="7"/>
      <c r="E5322" s="7"/>
      <c r="F5322" s="7"/>
      <c r="G5322" s="7"/>
      <c r="H5322" s="7">
        <f t="shared" si="1"/>
        <v>1029</v>
      </c>
    </row>
    <row r="5323" ht="22.5" customHeight="1">
      <c r="B5323" s="7"/>
      <c r="C5323" s="7"/>
      <c r="D5323" s="7"/>
      <c r="E5323" s="7"/>
      <c r="F5323" s="7"/>
      <c r="G5323" s="7"/>
      <c r="H5323" s="7">
        <f t="shared" si="1"/>
        <v>1029</v>
      </c>
    </row>
    <row r="5324" ht="22.5" customHeight="1">
      <c r="B5324" s="7"/>
      <c r="C5324" s="7"/>
      <c r="D5324" s="7"/>
      <c r="E5324" s="7"/>
      <c r="F5324" s="7"/>
      <c r="G5324" s="7"/>
      <c r="H5324" s="7">
        <f t="shared" si="1"/>
        <v>1029</v>
      </c>
    </row>
    <row r="5325" ht="22.5" customHeight="1">
      <c r="B5325" s="7"/>
      <c r="C5325" s="7"/>
      <c r="D5325" s="7"/>
      <c r="E5325" s="7"/>
      <c r="F5325" s="7"/>
      <c r="G5325" s="7"/>
      <c r="H5325" s="7">
        <f t="shared" si="1"/>
        <v>1029</v>
      </c>
    </row>
    <row r="5326" ht="22.5" customHeight="1">
      <c r="B5326" s="7"/>
      <c r="C5326" s="7"/>
      <c r="D5326" s="7"/>
      <c r="E5326" s="7"/>
      <c r="F5326" s="7"/>
      <c r="G5326" s="7"/>
      <c r="H5326" s="7">
        <f t="shared" si="1"/>
        <v>1029</v>
      </c>
    </row>
    <row r="5327" ht="22.5" customHeight="1">
      <c r="B5327" s="7"/>
      <c r="C5327" s="7"/>
      <c r="D5327" s="7"/>
      <c r="E5327" s="7"/>
      <c r="F5327" s="7"/>
      <c r="G5327" s="7"/>
      <c r="H5327" s="7">
        <f t="shared" si="1"/>
        <v>1029</v>
      </c>
    </row>
    <row r="5328" ht="22.5" customHeight="1">
      <c r="B5328" s="7"/>
      <c r="C5328" s="7"/>
      <c r="D5328" s="7"/>
      <c r="E5328" s="7"/>
      <c r="F5328" s="7"/>
      <c r="G5328" s="7"/>
      <c r="H5328" s="7">
        <f t="shared" si="1"/>
        <v>1029</v>
      </c>
    </row>
    <row r="5329" ht="22.5" customHeight="1">
      <c r="B5329" s="7"/>
      <c r="C5329" s="7"/>
      <c r="D5329" s="7"/>
      <c r="E5329" s="7"/>
      <c r="F5329" s="7"/>
      <c r="G5329" s="7"/>
      <c r="H5329" s="7">
        <f t="shared" si="1"/>
        <v>1029</v>
      </c>
    </row>
    <row r="5330" ht="22.5" customHeight="1">
      <c r="B5330" s="7"/>
      <c r="C5330" s="7"/>
      <c r="D5330" s="7"/>
      <c r="E5330" s="7"/>
      <c r="F5330" s="7"/>
      <c r="G5330" s="7"/>
      <c r="H5330" s="7">
        <f t="shared" si="1"/>
        <v>1029</v>
      </c>
    </row>
    <row r="5331" ht="22.5" customHeight="1">
      <c r="B5331" s="7"/>
      <c r="C5331" s="7"/>
      <c r="D5331" s="7"/>
      <c r="E5331" s="7"/>
      <c r="F5331" s="7"/>
      <c r="G5331" s="7"/>
      <c r="H5331" s="7">
        <f t="shared" si="1"/>
        <v>1029</v>
      </c>
    </row>
    <row r="5332" ht="22.5" customHeight="1">
      <c r="B5332" s="7"/>
      <c r="C5332" s="7"/>
      <c r="D5332" s="7"/>
      <c r="E5332" s="7"/>
      <c r="F5332" s="7"/>
      <c r="G5332" s="7"/>
      <c r="H5332" s="7">
        <f t="shared" si="1"/>
        <v>1029</v>
      </c>
    </row>
    <row r="5333" ht="22.5" customHeight="1">
      <c r="B5333" s="7"/>
      <c r="C5333" s="7"/>
      <c r="D5333" s="7"/>
      <c r="E5333" s="7"/>
      <c r="F5333" s="7"/>
      <c r="G5333" s="7"/>
      <c r="H5333" s="7">
        <f t="shared" si="1"/>
        <v>1029</v>
      </c>
    </row>
    <row r="5334" ht="22.5" customHeight="1">
      <c r="B5334" s="7"/>
      <c r="C5334" s="7"/>
      <c r="D5334" s="7"/>
      <c r="E5334" s="7"/>
      <c r="F5334" s="7"/>
      <c r="G5334" s="7"/>
      <c r="H5334" s="7">
        <f t="shared" si="1"/>
        <v>1029</v>
      </c>
    </row>
    <row r="5335" ht="22.5" customHeight="1">
      <c r="B5335" s="7"/>
      <c r="C5335" s="7"/>
      <c r="D5335" s="7"/>
      <c r="E5335" s="7"/>
      <c r="F5335" s="7"/>
      <c r="G5335" s="7"/>
      <c r="H5335" s="7">
        <f t="shared" si="1"/>
        <v>1029</v>
      </c>
    </row>
    <row r="5336" ht="22.5" customHeight="1">
      <c r="B5336" s="7"/>
      <c r="C5336" s="7"/>
      <c r="D5336" s="7"/>
      <c r="E5336" s="7"/>
      <c r="F5336" s="7"/>
      <c r="G5336" s="7"/>
      <c r="H5336" s="7">
        <f t="shared" si="1"/>
        <v>1029</v>
      </c>
    </row>
    <row r="5337" ht="22.5" customHeight="1">
      <c r="B5337" s="7"/>
      <c r="C5337" s="7"/>
      <c r="D5337" s="7"/>
      <c r="E5337" s="7"/>
      <c r="F5337" s="7"/>
      <c r="G5337" s="7"/>
      <c r="H5337" s="7">
        <f t="shared" si="1"/>
        <v>1029</v>
      </c>
    </row>
    <row r="5338" ht="22.5" customHeight="1">
      <c r="B5338" s="7"/>
      <c r="C5338" s="7"/>
      <c r="D5338" s="7"/>
      <c r="E5338" s="7"/>
      <c r="F5338" s="7"/>
      <c r="G5338" s="7"/>
      <c r="H5338" s="7">
        <f t="shared" si="1"/>
        <v>1029</v>
      </c>
    </row>
    <row r="5339" ht="22.5" customHeight="1">
      <c r="B5339" s="7"/>
      <c r="C5339" s="7"/>
      <c r="D5339" s="7"/>
      <c r="E5339" s="7"/>
      <c r="F5339" s="7"/>
      <c r="G5339" s="7"/>
      <c r="H5339" s="7">
        <f t="shared" si="1"/>
        <v>1029</v>
      </c>
    </row>
    <row r="5340" ht="22.5" customHeight="1">
      <c r="B5340" s="7"/>
      <c r="C5340" s="7"/>
      <c r="D5340" s="7"/>
      <c r="E5340" s="7"/>
      <c r="F5340" s="7"/>
      <c r="G5340" s="7"/>
      <c r="H5340" s="7">
        <f t="shared" si="1"/>
        <v>1029</v>
      </c>
    </row>
    <row r="5341" ht="22.5" customHeight="1">
      <c r="B5341" s="7"/>
      <c r="C5341" s="7"/>
      <c r="D5341" s="7"/>
      <c r="E5341" s="7"/>
      <c r="F5341" s="7"/>
      <c r="G5341" s="7"/>
      <c r="H5341" s="7">
        <f t="shared" si="1"/>
        <v>1029</v>
      </c>
    </row>
    <row r="5342" ht="22.5" customHeight="1">
      <c r="B5342" s="7"/>
      <c r="C5342" s="7"/>
      <c r="D5342" s="7"/>
      <c r="E5342" s="7"/>
      <c r="F5342" s="7"/>
      <c r="G5342" s="7"/>
      <c r="H5342" s="7">
        <f t="shared" si="1"/>
        <v>1029</v>
      </c>
    </row>
    <row r="5343" ht="22.5" customHeight="1">
      <c r="B5343" s="7"/>
      <c r="C5343" s="7"/>
      <c r="D5343" s="7"/>
      <c r="E5343" s="7"/>
      <c r="F5343" s="7"/>
      <c r="G5343" s="7"/>
      <c r="H5343" s="7">
        <f t="shared" si="1"/>
        <v>1029</v>
      </c>
    </row>
    <row r="5344" ht="22.5" customHeight="1">
      <c r="B5344" s="7"/>
      <c r="C5344" s="7"/>
      <c r="D5344" s="7"/>
      <c r="E5344" s="7"/>
      <c r="F5344" s="7"/>
      <c r="G5344" s="7"/>
      <c r="H5344" s="7">
        <f t="shared" si="1"/>
        <v>1029</v>
      </c>
    </row>
    <row r="5345" ht="22.5" customHeight="1">
      <c r="B5345" s="7"/>
      <c r="C5345" s="7"/>
      <c r="D5345" s="7"/>
      <c r="E5345" s="7"/>
      <c r="F5345" s="7"/>
      <c r="G5345" s="7"/>
      <c r="H5345" s="7">
        <f t="shared" si="1"/>
        <v>1029</v>
      </c>
    </row>
    <row r="5346" ht="22.5" customHeight="1">
      <c r="B5346" s="7"/>
      <c r="C5346" s="7"/>
      <c r="D5346" s="7"/>
      <c r="E5346" s="7"/>
      <c r="F5346" s="7"/>
      <c r="G5346" s="7"/>
      <c r="H5346" s="7">
        <f t="shared" si="1"/>
        <v>1029</v>
      </c>
    </row>
    <row r="5347" ht="22.5" customHeight="1">
      <c r="B5347" s="7"/>
      <c r="C5347" s="7"/>
      <c r="D5347" s="7"/>
      <c r="E5347" s="7"/>
      <c r="F5347" s="7"/>
      <c r="G5347" s="7"/>
      <c r="H5347" s="7">
        <f t="shared" si="1"/>
        <v>1029</v>
      </c>
    </row>
    <row r="5348" ht="22.5" customHeight="1">
      <c r="B5348" s="7"/>
      <c r="C5348" s="7"/>
      <c r="D5348" s="7"/>
      <c r="E5348" s="7"/>
      <c r="F5348" s="7"/>
      <c r="G5348" s="7"/>
      <c r="H5348" s="7">
        <f t="shared" si="1"/>
        <v>1029</v>
      </c>
    </row>
    <row r="5349" ht="22.5" customHeight="1">
      <c r="B5349" s="7"/>
      <c r="C5349" s="7"/>
      <c r="D5349" s="7"/>
      <c r="E5349" s="7"/>
      <c r="F5349" s="7"/>
      <c r="G5349" s="7"/>
      <c r="H5349" s="7">
        <f t="shared" si="1"/>
        <v>1029</v>
      </c>
    </row>
    <row r="5350" ht="22.5" customHeight="1">
      <c r="B5350" s="7"/>
      <c r="C5350" s="7"/>
      <c r="D5350" s="7"/>
      <c r="E5350" s="7"/>
      <c r="F5350" s="7"/>
      <c r="G5350" s="7"/>
      <c r="H5350" s="7">
        <f t="shared" si="1"/>
        <v>1029</v>
      </c>
    </row>
    <row r="5351" ht="22.5" customHeight="1">
      <c r="B5351" s="7"/>
      <c r="C5351" s="7"/>
      <c r="D5351" s="7"/>
      <c r="E5351" s="7"/>
      <c r="F5351" s="7"/>
      <c r="G5351" s="7"/>
      <c r="H5351" s="7">
        <f t="shared" si="1"/>
        <v>1029</v>
      </c>
    </row>
    <row r="5352" ht="22.5" customHeight="1">
      <c r="B5352" s="7"/>
      <c r="C5352" s="7"/>
      <c r="D5352" s="7"/>
      <c r="E5352" s="7"/>
      <c r="F5352" s="7"/>
      <c r="G5352" s="7"/>
      <c r="H5352" s="7">
        <f t="shared" si="1"/>
        <v>1029</v>
      </c>
    </row>
    <row r="5353" ht="22.5" customHeight="1">
      <c r="B5353" s="7"/>
      <c r="C5353" s="7"/>
      <c r="D5353" s="7"/>
      <c r="E5353" s="7"/>
      <c r="F5353" s="7"/>
      <c r="G5353" s="7"/>
      <c r="H5353" s="7">
        <f t="shared" si="1"/>
        <v>1029</v>
      </c>
    </row>
    <row r="5354" ht="22.5" customHeight="1">
      <c r="B5354" s="7"/>
      <c r="C5354" s="7"/>
      <c r="D5354" s="7"/>
      <c r="E5354" s="7"/>
      <c r="F5354" s="7"/>
      <c r="G5354" s="7"/>
      <c r="H5354" s="7">
        <f t="shared" si="1"/>
        <v>1029</v>
      </c>
    </row>
    <row r="5355" ht="22.5" customHeight="1">
      <c r="B5355" s="7"/>
      <c r="C5355" s="7"/>
      <c r="D5355" s="7"/>
      <c r="E5355" s="7"/>
      <c r="F5355" s="7"/>
      <c r="G5355" s="7"/>
      <c r="H5355" s="7">
        <f t="shared" si="1"/>
        <v>1029</v>
      </c>
    </row>
    <row r="5356" ht="22.5" customHeight="1">
      <c r="B5356" s="7"/>
      <c r="C5356" s="7"/>
      <c r="D5356" s="7"/>
      <c r="E5356" s="7"/>
      <c r="F5356" s="7"/>
      <c r="G5356" s="7"/>
      <c r="H5356" s="7">
        <f t="shared" si="1"/>
        <v>1029</v>
      </c>
    </row>
    <row r="5357" ht="22.5" customHeight="1">
      <c r="B5357" s="7"/>
      <c r="C5357" s="7"/>
      <c r="D5357" s="7"/>
      <c r="E5357" s="7"/>
      <c r="F5357" s="7"/>
      <c r="G5357" s="7"/>
      <c r="H5357" s="7">
        <f t="shared" si="1"/>
        <v>1029</v>
      </c>
    </row>
    <row r="5358" ht="22.5" customHeight="1">
      <c r="B5358" s="7"/>
      <c r="C5358" s="7"/>
      <c r="D5358" s="7"/>
      <c r="E5358" s="7"/>
      <c r="F5358" s="7"/>
      <c r="G5358" s="7"/>
      <c r="H5358" s="7">
        <f t="shared" si="1"/>
        <v>1029</v>
      </c>
    </row>
    <row r="5359" ht="22.5" customHeight="1">
      <c r="B5359" s="7"/>
      <c r="C5359" s="7"/>
      <c r="D5359" s="7"/>
      <c r="E5359" s="7"/>
      <c r="F5359" s="7"/>
      <c r="G5359" s="7"/>
      <c r="H5359" s="7">
        <f t="shared" si="1"/>
        <v>1029</v>
      </c>
    </row>
    <row r="5360" ht="22.5" customHeight="1">
      <c r="B5360" s="7"/>
      <c r="C5360" s="7"/>
      <c r="D5360" s="7"/>
      <c r="E5360" s="7"/>
      <c r="F5360" s="7"/>
      <c r="G5360" s="7"/>
      <c r="H5360" s="7">
        <f t="shared" si="1"/>
        <v>1029</v>
      </c>
    </row>
    <row r="5361" ht="22.5" customHeight="1">
      <c r="B5361" s="7"/>
      <c r="C5361" s="7"/>
      <c r="D5361" s="7"/>
      <c r="E5361" s="7"/>
      <c r="F5361" s="7"/>
      <c r="G5361" s="7"/>
      <c r="H5361" s="7">
        <f t="shared" si="1"/>
        <v>1029</v>
      </c>
    </row>
    <row r="5362" ht="22.5" customHeight="1">
      <c r="B5362" s="7"/>
      <c r="C5362" s="7"/>
      <c r="D5362" s="7"/>
      <c r="E5362" s="7"/>
      <c r="F5362" s="7"/>
      <c r="G5362" s="7"/>
      <c r="H5362" s="7">
        <f t="shared" si="1"/>
        <v>1029</v>
      </c>
    </row>
    <row r="5363" ht="22.5" customHeight="1">
      <c r="B5363" s="7"/>
      <c r="C5363" s="7"/>
      <c r="D5363" s="7"/>
      <c r="E5363" s="7"/>
      <c r="F5363" s="7"/>
      <c r="G5363" s="7"/>
      <c r="H5363" s="7">
        <f t="shared" si="1"/>
        <v>1029</v>
      </c>
    </row>
    <row r="5364" ht="22.5" customHeight="1">
      <c r="B5364" s="7"/>
      <c r="C5364" s="7"/>
      <c r="D5364" s="7"/>
      <c r="E5364" s="7"/>
      <c r="F5364" s="7"/>
      <c r="G5364" s="7"/>
      <c r="H5364" s="7">
        <f t="shared" si="1"/>
        <v>1029</v>
      </c>
    </row>
    <row r="5365" ht="22.5" customHeight="1">
      <c r="B5365" s="7"/>
      <c r="C5365" s="7"/>
      <c r="D5365" s="7"/>
      <c r="E5365" s="7"/>
      <c r="F5365" s="7"/>
      <c r="G5365" s="7"/>
      <c r="H5365" s="7">
        <f t="shared" si="1"/>
        <v>1029</v>
      </c>
    </row>
    <row r="5366" ht="22.5" customHeight="1">
      <c r="B5366" s="7"/>
      <c r="C5366" s="7"/>
      <c r="D5366" s="7"/>
      <c r="E5366" s="7"/>
      <c r="F5366" s="7"/>
      <c r="G5366" s="7"/>
      <c r="H5366" s="7">
        <f t="shared" si="1"/>
        <v>1029</v>
      </c>
    </row>
    <row r="5367" ht="22.5" customHeight="1">
      <c r="B5367" s="7"/>
      <c r="C5367" s="7"/>
      <c r="D5367" s="7"/>
      <c r="E5367" s="7"/>
      <c r="F5367" s="7"/>
      <c r="G5367" s="7"/>
      <c r="H5367" s="7">
        <f t="shared" si="1"/>
        <v>1029</v>
      </c>
    </row>
    <row r="5368" ht="22.5" customHeight="1">
      <c r="B5368" s="7"/>
      <c r="C5368" s="7"/>
      <c r="D5368" s="7"/>
      <c r="E5368" s="7"/>
      <c r="F5368" s="7"/>
      <c r="G5368" s="7"/>
      <c r="H5368" s="7">
        <f t="shared" si="1"/>
        <v>1029</v>
      </c>
    </row>
    <row r="5369" ht="22.5" customHeight="1">
      <c r="B5369" s="7"/>
      <c r="C5369" s="7"/>
      <c r="D5369" s="7"/>
      <c r="E5369" s="7"/>
      <c r="F5369" s="7"/>
      <c r="G5369" s="7"/>
      <c r="H5369" s="7">
        <f t="shared" si="1"/>
        <v>1029</v>
      </c>
    </row>
    <row r="5370" ht="22.5" customHeight="1">
      <c r="B5370" s="7"/>
      <c r="C5370" s="7"/>
      <c r="D5370" s="7"/>
      <c r="E5370" s="7"/>
      <c r="F5370" s="7"/>
      <c r="G5370" s="7"/>
      <c r="H5370" s="7">
        <f t="shared" si="1"/>
        <v>1029</v>
      </c>
    </row>
    <row r="5371" ht="22.5" customHeight="1">
      <c r="B5371" s="7"/>
      <c r="C5371" s="7"/>
      <c r="D5371" s="7"/>
      <c r="E5371" s="7"/>
      <c r="F5371" s="7"/>
      <c r="G5371" s="7"/>
      <c r="H5371" s="7">
        <f t="shared" si="1"/>
        <v>1029</v>
      </c>
    </row>
    <row r="5372" ht="22.5" customHeight="1">
      <c r="B5372" s="7"/>
      <c r="C5372" s="7"/>
      <c r="D5372" s="7"/>
      <c r="E5372" s="7"/>
      <c r="F5372" s="7"/>
      <c r="G5372" s="7"/>
      <c r="H5372" s="7">
        <f t="shared" si="1"/>
        <v>1029</v>
      </c>
    </row>
    <row r="5373" ht="22.5" customHeight="1">
      <c r="B5373" s="7"/>
      <c r="C5373" s="7"/>
      <c r="D5373" s="7"/>
      <c r="E5373" s="7"/>
      <c r="F5373" s="7"/>
      <c r="G5373" s="7"/>
      <c r="H5373" s="7">
        <f t="shared" si="1"/>
        <v>1029</v>
      </c>
    </row>
    <row r="5374" ht="22.5" customHeight="1">
      <c r="B5374" s="7"/>
      <c r="C5374" s="7"/>
      <c r="D5374" s="7"/>
      <c r="E5374" s="7"/>
      <c r="F5374" s="7"/>
      <c r="G5374" s="7"/>
      <c r="H5374" s="7">
        <f t="shared" si="1"/>
        <v>1029</v>
      </c>
    </row>
    <row r="5375" ht="22.5" customHeight="1">
      <c r="B5375" s="7"/>
      <c r="C5375" s="7"/>
      <c r="D5375" s="7"/>
      <c r="E5375" s="7"/>
      <c r="F5375" s="7"/>
      <c r="G5375" s="7"/>
      <c r="H5375" s="7">
        <f t="shared" si="1"/>
        <v>1029</v>
      </c>
    </row>
    <row r="5376" ht="22.5" customHeight="1">
      <c r="B5376" s="7"/>
      <c r="C5376" s="7"/>
      <c r="D5376" s="7"/>
      <c r="E5376" s="7"/>
      <c r="F5376" s="7"/>
      <c r="G5376" s="7"/>
      <c r="H5376" s="7">
        <f t="shared" si="1"/>
        <v>1029</v>
      </c>
    </row>
    <row r="5377" ht="22.5" customHeight="1">
      <c r="B5377" s="7"/>
      <c r="C5377" s="7"/>
      <c r="D5377" s="7"/>
      <c r="E5377" s="7"/>
      <c r="F5377" s="7"/>
      <c r="G5377" s="7"/>
      <c r="H5377" s="7">
        <f t="shared" si="1"/>
        <v>1029</v>
      </c>
    </row>
    <row r="5378" ht="22.5" customHeight="1">
      <c r="B5378" s="7"/>
      <c r="C5378" s="7"/>
      <c r="D5378" s="7"/>
      <c r="E5378" s="7"/>
      <c r="F5378" s="7"/>
      <c r="G5378" s="7"/>
      <c r="H5378" s="7">
        <f t="shared" si="1"/>
        <v>1029</v>
      </c>
    </row>
    <row r="5379" ht="22.5" customHeight="1">
      <c r="B5379" s="7"/>
      <c r="C5379" s="7"/>
      <c r="D5379" s="7"/>
      <c r="E5379" s="7"/>
      <c r="F5379" s="7"/>
      <c r="G5379" s="7"/>
      <c r="H5379" s="7">
        <f t="shared" si="1"/>
        <v>1029</v>
      </c>
    </row>
    <row r="5380" ht="22.5" customHeight="1">
      <c r="B5380" s="7"/>
      <c r="C5380" s="7"/>
      <c r="D5380" s="7"/>
      <c r="E5380" s="7"/>
      <c r="F5380" s="7"/>
      <c r="G5380" s="7"/>
      <c r="H5380" s="7">
        <f t="shared" si="1"/>
        <v>1029</v>
      </c>
    </row>
    <row r="5381" ht="22.5" customHeight="1">
      <c r="B5381" s="7"/>
      <c r="C5381" s="7"/>
      <c r="D5381" s="7"/>
      <c r="E5381" s="7"/>
      <c r="F5381" s="7"/>
      <c r="G5381" s="7"/>
      <c r="H5381" s="7">
        <f t="shared" si="1"/>
        <v>1029</v>
      </c>
    </row>
    <row r="5382" ht="22.5" customHeight="1">
      <c r="B5382" s="7"/>
      <c r="C5382" s="7"/>
      <c r="D5382" s="7"/>
      <c r="E5382" s="7"/>
      <c r="F5382" s="7"/>
      <c r="G5382" s="7"/>
      <c r="H5382" s="7">
        <f t="shared" si="1"/>
        <v>1029</v>
      </c>
    </row>
    <row r="5383" ht="22.5" customHeight="1">
      <c r="B5383" s="7"/>
      <c r="C5383" s="7"/>
      <c r="D5383" s="7"/>
      <c r="E5383" s="7"/>
      <c r="F5383" s="7"/>
      <c r="G5383" s="7"/>
      <c r="H5383" s="7">
        <f t="shared" si="1"/>
        <v>1029</v>
      </c>
    </row>
    <row r="5384" ht="22.5" customHeight="1">
      <c r="B5384" s="7"/>
      <c r="C5384" s="7"/>
      <c r="D5384" s="7"/>
      <c r="E5384" s="7"/>
      <c r="F5384" s="7"/>
      <c r="G5384" s="7"/>
      <c r="H5384" s="7">
        <f t="shared" si="1"/>
        <v>1029</v>
      </c>
    </row>
    <row r="5385" ht="22.5" customHeight="1">
      <c r="B5385" s="7"/>
      <c r="C5385" s="7"/>
      <c r="D5385" s="7"/>
      <c r="E5385" s="7"/>
      <c r="F5385" s="7"/>
      <c r="G5385" s="7"/>
      <c r="H5385" s="7">
        <f t="shared" si="1"/>
        <v>1029</v>
      </c>
    </row>
    <row r="5386" ht="22.5" customHeight="1">
      <c r="B5386" s="7"/>
      <c r="C5386" s="7"/>
      <c r="D5386" s="7"/>
      <c r="E5386" s="7"/>
      <c r="F5386" s="7"/>
      <c r="G5386" s="7"/>
      <c r="H5386" s="7">
        <f t="shared" si="1"/>
        <v>1029</v>
      </c>
    </row>
    <row r="5387" ht="22.5" customHeight="1">
      <c r="B5387" s="7"/>
      <c r="C5387" s="7"/>
      <c r="D5387" s="7"/>
      <c r="E5387" s="7"/>
      <c r="F5387" s="7"/>
      <c r="G5387" s="7"/>
      <c r="H5387" s="7">
        <f t="shared" si="1"/>
        <v>1029</v>
      </c>
    </row>
    <row r="5388" ht="22.5" customHeight="1">
      <c r="B5388" s="7"/>
      <c r="C5388" s="7"/>
      <c r="D5388" s="7"/>
      <c r="E5388" s="7"/>
      <c r="F5388" s="7"/>
      <c r="G5388" s="7"/>
      <c r="H5388" s="7">
        <f t="shared" si="1"/>
        <v>1029</v>
      </c>
    </row>
    <row r="5389" ht="22.5" customHeight="1">
      <c r="B5389" s="7"/>
      <c r="C5389" s="7"/>
      <c r="D5389" s="7"/>
      <c r="E5389" s="7"/>
      <c r="F5389" s="7"/>
      <c r="G5389" s="7"/>
      <c r="H5389" s="7">
        <f t="shared" si="1"/>
        <v>1029</v>
      </c>
    </row>
    <row r="5390" ht="22.5" customHeight="1">
      <c r="B5390" s="7"/>
      <c r="C5390" s="7"/>
      <c r="D5390" s="7"/>
      <c r="E5390" s="7"/>
      <c r="F5390" s="7"/>
      <c r="G5390" s="7"/>
      <c r="H5390" s="7">
        <f t="shared" si="1"/>
        <v>1029</v>
      </c>
    </row>
    <row r="5391" ht="22.5" customHeight="1">
      <c r="B5391" s="7"/>
      <c r="C5391" s="7"/>
      <c r="D5391" s="7"/>
      <c r="E5391" s="7"/>
      <c r="F5391" s="7"/>
      <c r="G5391" s="7"/>
      <c r="H5391" s="7">
        <f t="shared" si="1"/>
        <v>1029</v>
      </c>
    </row>
    <row r="5392" ht="22.5" customHeight="1">
      <c r="B5392" s="7"/>
      <c r="C5392" s="7"/>
      <c r="D5392" s="7"/>
      <c r="E5392" s="7"/>
      <c r="F5392" s="7"/>
      <c r="G5392" s="7"/>
      <c r="H5392" s="7">
        <f t="shared" si="1"/>
        <v>1029</v>
      </c>
    </row>
    <row r="5393" ht="22.5" customHeight="1">
      <c r="B5393" s="7"/>
      <c r="C5393" s="7"/>
      <c r="D5393" s="7"/>
      <c r="E5393" s="7"/>
      <c r="F5393" s="7"/>
      <c r="G5393" s="7"/>
      <c r="H5393" s="7">
        <f t="shared" si="1"/>
        <v>1029</v>
      </c>
    </row>
    <row r="5394" ht="22.5" customHeight="1">
      <c r="B5394" s="7"/>
      <c r="C5394" s="7"/>
      <c r="D5394" s="7"/>
      <c r="E5394" s="7"/>
      <c r="F5394" s="7"/>
      <c r="G5394" s="7"/>
      <c r="H5394" s="7">
        <f t="shared" si="1"/>
        <v>1029</v>
      </c>
    </row>
    <row r="5395" ht="22.5" customHeight="1">
      <c r="B5395" s="7"/>
      <c r="C5395" s="7"/>
      <c r="D5395" s="7"/>
      <c r="E5395" s="7"/>
      <c r="F5395" s="7"/>
      <c r="G5395" s="7"/>
      <c r="H5395" s="7">
        <f t="shared" si="1"/>
        <v>1029</v>
      </c>
    </row>
    <row r="5396" ht="22.5" customHeight="1">
      <c r="B5396" s="7"/>
      <c r="C5396" s="7"/>
      <c r="D5396" s="7"/>
      <c r="E5396" s="7"/>
      <c r="F5396" s="7"/>
      <c r="G5396" s="7"/>
      <c r="H5396" s="7">
        <f t="shared" si="1"/>
        <v>1029</v>
      </c>
    </row>
    <row r="5397" ht="22.5" customHeight="1">
      <c r="B5397" s="7"/>
      <c r="C5397" s="7"/>
      <c r="D5397" s="7"/>
      <c r="E5397" s="7"/>
      <c r="F5397" s="7"/>
      <c r="G5397" s="7"/>
      <c r="H5397" s="7">
        <f t="shared" si="1"/>
        <v>1029</v>
      </c>
    </row>
    <row r="5398" ht="22.5" customHeight="1">
      <c r="B5398" s="7"/>
      <c r="C5398" s="7"/>
      <c r="D5398" s="7"/>
      <c r="E5398" s="7"/>
      <c r="F5398" s="7"/>
      <c r="G5398" s="7"/>
      <c r="H5398" s="7">
        <f t="shared" si="1"/>
        <v>1029</v>
      </c>
    </row>
    <row r="5399" ht="22.5" customHeight="1">
      <c r="B5399" s="7"/>
      <c r="C5399" s="7"/>
      <c r="D5399" s="7"/>
      <c r="E5399" s="7"/>
      <c r="F5399" s="7"/>
      <c r="G5399" s="7"/>
      <c r="H5399" s="7">
        <f t="shared" si="1"/>
        <v>1029</v>
      </c>
    </row>
    <row r="5400" ht="22.5" customHeight="1">
      <c r="B5400" s="7"/>
      <c r="C5400" s="7"/>
      <c r="D5400" s="7"/>
      <c r="E5400" s="7"/>
      <c r="F5400" s="7"/>
      <c r="G5400" s="7"/>
      <c r="H5400" s="7">
        <f t="shared" si="1"/>
        <v>1029</v>
      </c>
    </row>
    <row r="5401" ht="22.5" customHeight="1">
      <c r="B5401" s="7"/>
      <c r="C5401" s="7"/>
      <c r="D5401" s="7"/>
      <c r="E5401" s="7"/>
      <c r="F5401" s="7"/>
      <c r="G5401" s="7"/>
      <c r="H5401" s="7">
        <f t="shared" si="1"/>
        <v>1029</v>
      </c>
    </row>
    <row r="5402" ht="22.5" customHeight="1">
      <c r="B5402" s="7"/>
      <c r="C5402" s="7"/>
      <c r="D5402" s="7"/>
      <c r="E5402" s="7"/>
      <c r="F5402" s="7"/>
      <c r="G5402" s="7"/>
      <c r="H5402" s="7">
        <f t="shared" si="1"/>
        <v>1029</v>
      </c>
    </row>
    <row r="5403" ht="22.5" customHeight="1">
      <c r="B5403" s="7"/>
      <c r="C5403" s="7"/>
      <c r="D5403" s="7"/>
      <c r="E5403" s="7"/>
      <c r="F5403" s="7"/>
      <c r="G5403" s="7"/>
      <c r="H5403" s="7">
        <f t="shared" si="1"/>
        <v>1029</v>
      </c>
    </row>
    <row r="5404" ht="22.5" customHeight="1">
      <c r="B5404" s="7"/>
      <c r="C5404" s="7"/>
      <c r="D5404" s="7"/>
      <c r="E5404" s="7"/>
      <c r="F5404" s="7"/>
      <c r="G5404" s="7"/>
      <c r="H5404" s="7">
        <f t="shared" si="1"/>
        <v>1029</v>
      </c>
    </row>
    <row r="5405" ht="22.5" customHeight="1">
      <c r="B5405" s="7"/>
      <c r="C5405" s="7"/>
      <c r="D5405" s="7"/>
      <c r="E5405" s="7"/>
      <c r="F5405" s="7"/>
      <c r="G5405" s="7"/>
      <c r="H5405" s="7">
        <f t="shared" si="1"/>
        <v>1029</v>
      </c>
    </row>
    <row r="5406" ht="22.5" customHeight="1">
      <c r="B5406" s="7"/>
      <c r="C5406" s="7"/>
      <c r="D5406" s="7"/>
      <c r="E5406" s="7"/>
      <c r="F5406" s="7"/>
      <c r="G5406" s="7"/>
      <c r="H5406" s="7">
        <f t="shared" si="1"/>
        <v>1029</v>
      </c>
    </row>
    <row r="5407" ht="22.5" customHeight="1">
      <c r="B5407" s="7"/>
      <c r="C5407" s="7"/>
      <c r="D5407" s="7"/>
      <c r="E5407" s="7"/>
      <c r="F5407" s="7"/>
      <c r="G5407" s="7"/>
      <c r="H5407" s="7">
        <f t="shared" si="1"/>
        <v>1029</v>
      </c>
    </row>
    <row r="5408" ht="22.5" customHeight="1">
      <c r="B5408" s="7"/>
      <c r="C5408" s="7"/>
      <c r="D5408" s="7"/>
      <c r="E5408" s="7"/>
      <c r="F5408" s="7"/>
      <c r="G5408" s="7"/>
      <c r="H5408" s="7">
        <f t="shared" si="1"/>
        <v>1029</v>
      </c>
    </row>
    <row r="5409" ht="22.5" customHeight="1">
      <c r="B5409" s="7"/>
      <c r="C5409" s="7"/>
      <c r="D5409" s="7"/>
      <c r="E5409" s="7"/>
      <c r="F5409" s="7"/>
      <c r="G5409" s="7"/>
      <c r="H5409" s="7">
        <f t="shared" si="1"/>
        <v>1029</v>
      </c>
    </row>
    <row r="5410" ht="22.5" customHeight="1">
      <c r="B5410" s="7"/>
      <c r="C5410" s="7"/>
      <c r="D5410" s="7"/>
      <c r="E5410" s="7"/>
      <c r="F5410" s="7"/>
      <c r="G5410" s="7"/>
      <c r="H5410" s="7">
        <f t="shared" si="1"/>
        <v>1029</v>
      </c>
    </row>
    <row r="5411" ht="22.5" customHeight="1">
      <c r="B5411" s="7"/>
      <c r="C5411" s="7"/>
      <c r="D5411" s="7"/>
      <c r="E5411" s="7"/>
      <c r="F5411" s="7"/>
      <c r="G5411" s="7"/>
      <c r="H5411" s="7">
        <f t="shared" si="1"/>
        <v>1029</v>
      </c>
    </row>
    <row r="5412" ht="22.5" customHeight="1">
      <c r="B5412" s="7"/>
      <c r="C5412" s="7"/>
      <c r="D5412" s="7"/>
      <c r="E5412" s="7"/>
      <c r="F5412" s="7"/>
      <c r="G5412" s="7"/>
      <c r="H5412" s="7">
        <f t="shared" si="1"/>
        <v>1029</v>
      </c>
    </row>
    <row r="5413" ht="22.5" customHeight="1">
      <c r="B5413" s="7"/>
      <c r="C5413" s="7"/>
      <c r="D5413" s="7"/>
      <c r="E5413" s="7"/>
      <c r="F5413" s="7"/>
      <c r="G5413" s="7"/>
      <c r="H5413" s="7">
        <f t="shared" si="1"/>
        <v>1029</v>
      </c>
    </row>
    <row r="5414" ht="22.5" customHeight="1">
      <c r="B5414" s="7"/>
      <c r="C5414" s="7"/>
      <c r="D5414" s="7"/>
      <c r="E5414" s="7"/>
      <c r="F5414" s="7"/>
      <c r="G5414" s="7"/>
      <c r="H5414" s="7">
        <f t="shared" si="1"/>
        <v>1029</v>
      </c>
    </row>
    <row r="5415" ht="22.5" customHeight="1">
      <c r="B5415" s="7"/>
      <c r="C5415" s="7"/>
      <c r="D5415" s="7"/>
      <c r="E5415" s="7"/>
      <c r="F5415" s="7"/>
      <c r="G5415" s="7"/>
      <c r="H5415" s="7">
        <f t="shared" si="1"/>
        <v>1029</v>
      </c>
    </row>
    <row r="5416" ht="22.5" customHeight="1">
      <c r="B5416" s="7"/>
      <c r="C5416" s="7"/>
      <c r="D5416" s="7"/>
      <c r="E5416" s="7"/>
      <c r="F5416" s="7"/>
      <c r="G5416" s="7"/>
      <c r="H5416" s="7">
        <f t="shared" si="1"/>
        <v>1029</v>
      </c>
    </row>
    <row r="5417" ht="22.5" customHeight="1">
      <c r="B5417" s="7"/>
      <c r="C5417" s="7"/>
      <c r="D5417" s="7"/>
      <c r="E5417" s="7"/>
      <c r="F5417" s="7"/>
      <c r="G5417" s="7"/>
      <c r="H5417" s="7">
        <f t="shared" si="1"/>
        <v>1029</v>
      </c>
    </row>
    <row r="5418" ht="22.5" customHeight="1">
      <c r="B5418" s="7"/>
      <c r="C5418" s="7"/>
      <c r="D5418" s="7"/>
      <c r="E5418" s="7"/>
      <c r="F5418" s="7"/>
      <c r="G5418" s="7"/>
      <c r="H5418" s="7">
        <f t="shared" si="1"/>
        <v>1029</v>
      </c>
    </row>
    <row r="5419" ht="22.5" customHeight="1">
      <c r="B5419" s="7"/>
      <c r="C5419" s="7"/>
      <c r="D5419" s="7"/>
      <c r="E5419" s="7"/>
      <c r="F5419" s="7"/>
      <c r="G5419" s="7"/>
      <c r="H5419" s="7">
        <f t="shared" si="1"/>
        <v>1029</v>
      </c>
    </row>
    <row r="5420" ht="22.5" customHeight="1">
      <c r="B5420" s="7"/>
      <c r="C5420" s="7"/>
      <c r="D5420" s="7"/>
      <c r="E5420" s="7"/>
      <c r="F5420" s="7"/>
      <c r="G5420" s="7"/>
      <c r="H5420" s="7">
        <f t="shared" si="1"/>
        <v>1029</v>
      </c>
    </row>
    <row r="5421" ht="22.5" customHeight="1">
      <c r="B5421" s="7"/>
      <c r="C5421" s="7"/>
      <c r="D5421" s="7"/>
      <c r="E5421" s="7"/>
      <c r="F5421" s="7"/>
      <c r="G5421" s="7"/>
      <c r="H5421" s="7">
        <f t="shared" si="1"/>
        <v>1029</v>
      </c>
    </row>
    <row r="5422" ht="22.5" customHeight="1">
      <c r="B5422" s="7"/>
      <c r="C5422" s="7"/>
      <c r="D5422" s="7"/>
      <c r="E5422" s="7"/>
      <c r="F5422" s="7"/>
      <c r="G5422" s="7"/>
      <c r="H5422" s="7">
        <f t="shared" si="1"/>
        <v>1029</v>
      </c>
    </row>
    <row r="5423" ht="22.5" customHeight="1">
      <c r="B5423" s="7"/>
      <c r="C5423" s="7"/>
      <c r="D5423" s="7"/>
      <c r="E5423" s="7"/>
      <c r="F5423" s="7"/>
      <c r="G5423" s="7"/>
      <c r="H5423" s="7">
        <f t="shared" si="1"/>
        <v>1029</v>
      </c>
    </row>
    <row r="5424" ht="22.5" customHeight="1">
      <c r="B5424" s="7"/>
      <c r="C5424" s="7"/>
      <c r="D5424" s="7"/>
      <c r="E5424" s="7"/>
      <c r="F5424" s="7"/>
      <c r="G5424" s="7"/>
      <c r="H5424" s="7">
        <f t="shared" si="1"/>
        <v>1029</v>
      </c>
    </row>
    <row r="5425" ht="22.5" customHeight="1">
      <c r="B5425" s="7"/>
      <c r="C5425" s="7"/>
      <c r="D5425" s="7"/>
      <c r="E5425" s="7"/>
      <c r="F5425" s="7"/>
      <c r="G5425" s="7"/>
      <c r="H5425" s="7">
        <f t="shared" si="1"/>
        <v>1029</v>
      </c>
    </row>
    <row r="5426" ht="22.5" customHeight="1">
      <c r="B5426" s="7"/>
      <c r="C5426" s="7"/>
      <c r="D5426" s="7"/>
      <c r="E5426" s="7"/>
      <c r="F5426" s="7"/>
      <c r="G5426" s="7"/>
      <c r="H5426" s="7">
        <f t="shared" si="1"/>
        <v>1029</v>
      </c>
    </row>
    <row r="5427" ht="22.5" customHeight="1">
      <c r="B5427" s="7"/>
      <c r="C5427" s="7"/>
      <c r="D5427" s="7"/>
      <c r="E5427" s="7"/>
      <c r="F5427" s="7"/>
      <c r="G5427" s="7"/>
      <c r="H5427" s="7">
        <f t="shared" si="1"/>
        <v>1029</v>
      </c>
    </row>
    <row r="5428" ht="22.5" customHeight="1">
      <c r="B5428" s="7"/>
      <c r="C5428" s="7"/>
      <c r="D5428" s="7"/>
      <c r="E5428" s="7"/>
      <c r="F5428" s="7"/>
      <c r="G5428" s="7"/>
      <c r="H5428" s="7">
        <f t="shared" si="1"/>
        <v>1029</v>
      </c>
    </row>
    <row r="5429" ht="22.5" customHeight="1">
      <c r="B5429" s="7"/>
      <c r="C5429" s="7"/>
      <c r="D5429" s="7"/>
      <c r="E5429" s="7"/>
      <c r="F5429" s="7"/>
      <c r="G5429" s="7"/>
      <c r="H5429" s="7">
        <f t="shared" si="1"/>
        <v>1029</v>
      </c>
    </row>
    <row r="5430" ht="22.5" customHeight="1">
      <c r="B5430" s="7"/>
      <c r="C5430" s="7"/>
      <c r="D5430" s="7"/>
      <c r="E5430" s="7"/>
      <c r="F5430" s="7"/>
      <c r="G5430" s="7"/>
      <c r="H5430" s="7">
        <f t="shared" si="1"/>
        <v>1029</v>
      </c>
    </row>
    <row r="5431" ht="22.5" customHeight="1">
      <c r="B5431" s="7"/>
      <c r="C5431" s="7"/>
      <c r="D5431" s="7"/>
      <c r="E5431" s="7"/>
      <c r="F5431" s="7"/>
      <c r="G5431" s="7"/>
      <c r="H5431" s="7">
        <f t="shared" si="1"/>
        <v>1029</v>
      </c>
    </row>
    <row r="5432" ht="22.5" customHeight="1">
      <c r="B5432" s="7"/>
      <c r="C5432" s="7"/>
      <c r="D5432" s="7"/>
      <c r="E5432" s="7"/>
      <c r="F5432" s="7"/>
      <c r="G5432" s="7"/>
      <c r="H5432" s="7">
        <f t="shared" si="1"/>
        <v>1029</v>
      </c>
    </row>
    <row r="5433" ht="22.5" customHeight="1">
      <c r="B5433" s="7"/>
      <c r="C5433" s="7"/>
      <c r="D5433" s="7"/>
      <c r="E5433" s="7"/>
      <c r="F5433" s="7"/>
      <c r="G5433" s="7"/>
      <c r="H5433" s="7">
        <f t="shared" si="1"/>
        <v>1029</v>
      </c>
    </row>
    <row r="5434" ht="22.5" customHeight="1">
      <c r="B5434" s="7"/>
      <c r="C5434" s="7"/>
      <c r="D5434" s="7"/>
      <c r="E5434" s="7"/>
      <c r="F5434" s="7"/>
      <c r="G5434" s="7"/>
      <c r="H5434" s="7">
        <f t="shared" si="1"/>
        <v>1029</v>
      </c>
    </row>
    <row r="5435" ht="22.5" customHeight="1">
      <c r="B5435" s="7"/>
      <c r="C5435" s="7"/>
      <c r="D5435" s="7"/>
      <c r="E5435" s="7"/>
      <c r="F5435" s="7"/>
      <c r="G5435" s="7"/>
      <c r="H5435" s="7">
        <f t="shared" si="1"/>
        <v>1029</v>
      </c>
    </row>
    <row r="5436" ht="22.5" customHeight="1">
      <c r="B5436" s="7"/>
      <c r="C5436" s="7"/>
      <c r="D5436" s="7"/>
      <c r="E5436" s="7"/>
      <c r="F5436" s="7"/>
      <c r="G5436" s="7"/>
      <c r="H5436" s="7">
        <f t="shared" si="1"/>
        <v>1029</v>
      </c>
    </row>
    <row r="5437" ht="22.5" customHeight="1">
      <c r="B5437" s="7"/>
      <c r="C5437" s="7"/>
      <c r="D5437" s="7"/>
      <c r="E5437" s="7"/>
      <c r="F5437" s="7"/>
      <c r="G5437" s="7"/>
      <c r="H5437" s="7">
        <f t="shared" si="1"/>
        <v>1029</v>
      </c>
    </row>
    <row r="5438" ht="22.5" customHeight="1">
      <c r="B5438" s="7"/>
      <c r="C5438" s="7"/>
      <c r="D5438" s="7"/>
      <c r="E5438" s="7"/>
      <c r="F5438" s="7"/>
      <c r="G5438" s="7"/>
      <c r="H5438" s="7">
        <f t="shared" si="1"/>
        <v>1029</v>
      </c>
    </row>
    <row r="5439" ht="22.5" customHeight="1">
      <c r="B5439" s="7"/>
      <c r="C5439" s="7"/>
      <c r="D5439" s="7"/>
      <c r="E5439" s="7"/>
      <c r="F5439" s="7"/>
      <c r="G5439" s="7"/>
      <c r="H5439" s="7">
        <f t="shared" si="1"/>
        <v>1029</v>
      </c>
    </row>
    <row r="5440" ht="22.5" customHeight="1">
      <c r="B5440" s="7"/>
      <c r="C5440" s="7"/>
      <c r="D5440" s="7"/>
      <c r="E5440" s="7"/>
      <c r="F5440" s="7"/>
      <c r="G5440" s="7"/>
      <c r="H5440" s="7">
        <f t="shared" si="1"/>
        <v>1029</v>
      </c>
    </row>
    <row r="5441" ht="22.5" customHeight="1">
      <c r="B5441" s="7"/>
      <c r="C5441" s="7"/>
      <c r="D5441" s="7"/>
      <c r="E5441" s="7"/>
      <c r="F5441" s="7"/>
      <c r="G5441" s="7"/>
      <c r="H5441" s="7">
        <f t="shared" si="1"/>
        <v>1029</v>
      </c>
    </row>
    <row r="5442" ht="22.5" customHeight="1">
      <c r="B5442" s="7"/>
      <c r="C5442" s="7"/>
      <c r="D5442" s="7"/>
      <c r="E5442" s="7"/>
      <c r="F5442" s="7"/>
      <c r="G5442" s="7"/>
      <c r="H5442" s="7">
        <f t="shared" si="1"/>
        <v>1029</v>
      </c>
    </row>
    <row r="5443" ht="22.5" customHeight="1">
      <c r="B5443" s="7"/>
      <c r="C5443" s="7"/>
      <c r="D5443" s="7"/>
      <c r="E5443" s="7"/>
      <c r="F5443" s="7"/>
      <c r="G5443" s="7"/>
      <c r="H5443" s="7">
        <f t="shared" si="1"/>
        <v>1029</v>
      </c>
    </row>
    <row r="5444" ht="22.5" customHeight="1">
      <c r="B5444" s="7"/>
      <c r="C5444" s="7"/>
      <c r="D5444" s="7"/>
      <c r="E5444" s="7"/>
      <c r="F5444" s="7"/>
      <c r="G5444" s="7"/>
      <c r="H5444" s="7">
        <f t="shared" si="1"/>
        <v>1029</v>
      </c>
    </row>
    <row r="5445" ht="22.5" customHeight="1">
      <c r="B5445" s="7"/>
      <c r="C5445" s="7"/>
      <c r="D5445" s="7"/>
      <c r="E5445" s="7"/>
      <c r="F5445" s="7"/>
      <c r="G5445" s="7"/>
      <c r="H5445" s="7">
        <f t="shared" si="1"/>
        <v>1029</v>
      </c>
    </row>
    <row r="5446" ht="22.5" customHeight="1">
      <c r="B5446" s="7"/>
      <c r="C5446" s="7"/>
      <c r="D5446" s="7"/>
      <c r="E5446" s="7"/>
      <c r="F5446" s="7"/>
      <c r="G5446" s="7"/>
      <c r="H5446" s="7">
        <f t="shared" si="1"/>
        <v>1029</v>
      </c>
    </row>
    <row r="5447" ht="22.5" customHeight="1">
      <c r="B5447" s="7"/>
      <c r="C5447" s="7"/>
      <c r="D5447" s="7"/>
      <c r="E5447" s="7"/>
      <c r="F5447" s="7"/>
      <c r="G5447" s="7"/>
      <c r="H5447" s="7">
        <f t="shared" si="1"/>
        <v>1029</v>
      </c>
    </row>
    <row r="5448" ht="22.5" customHeight="1">
      <c r="B5448" s="7"/>
      <c r="C5448" s="7"/>
      <c r="D5448" s="7"/>
      <c r="E5448" s="7"/>
      <c r="F5448" s="7"/>
      <c r="G5448" s="7"/>
      <c r="H5448" s="7">
        <f t="shared" si="1"/>
        <v>1029</v>
      </c>
    </row>
    <row r="5449" ht="22.5" customHeight="1">
      <c r="B5449" s="7"/>
      <c r="C5449" s="7"/>
      <c r="D5449" s="7"/>
      <c r="E5449" s="7"/>
      <c r="F5449" s="7"/>
      <c r="G5449" s="7"/>
      <c r="H5449" s="7">
        <f t="shared" si="1"/>
        <v>1029</v>
      </c>
    </row>
    <row r="5450" ht="22.5" customHeight="1">
      <c r="B5450" s="7"/>
      <c r="C5450" s="7"/>
      <c r="D5450" s="7"/>
      <c r="E5450" s="7"/>
      <c r="F5450" s="7"/>
      <c r="G5450" s="7"/>
      <c r="H5450" s="7">
        <f t="shared" si="1"/>
        <v>1029</v>
      </c>
    </row>
    <row r="5451" ht="22.5" customHeight="1">
      <c r="B5451" s="7"/>
      <c r="C5451" s="7"/>
      <c r="D5451" s="7"/>
      <c r="E5451" s="7"/>
      <c r="F5451" s="7"/>
      <c r="G5451" s="7"/>
      <c r="H5451" s="7">
        <f t="shared" si="1"/>
        <v>1029</v>
      </c>
    </row>
    <row r="5452" ht="22.5" customHeight="1">
      <c r="B5452" s="7"/>
      <c r="C5452" s="7"/>
      <c r="D5452" s="7"/>
      <c r="E5452" s="7"/>
      <c r="F5452" s="7"/>
      <c r="G5452" s="7"/>
      <c r="H5452" s="7">
        <f t="shared" si="1"/>
        <v>1029</v>
      </c>
    </row>
    <row r="5453" ht="22.5" customHeight="1">
      <c r="B5453" s="7"/>
      <c r="C5453" s="7"/>
      <c r="D5453" s="7"/>
      <c r="E5453" s="7"/>
      <c r="F5453" s="7"/>
      <c r="G5453" s="7"/>
      <c r="H5453" s="7">
        <f t="shared" si="1"/>
        <v>1029</v>
      </c>
    </row>
    <row r="5454" ht="22.5" customHeight="1">
      <c r="B5454" s="7"/>
      <c r="C5454" s="7"/>
      <c r="D5454" s="7"/>
      <c r="E5454" s="7"/>
      <c r="F5454" s="7"/>
      <c r="G5454" s="7"/>
      <c r="H5454" s="7">
        <f t="shared" si="1"/>
        <v>1029</v>
      </c>
    </row>
    <row r="5455" ht="22.5" customHeight="1">
      <c r="B5455" s="7"/>
      <c r="C5455" s="7"/>
      <c r="D5455" s="7"/>
      <c r="E5455" s="7"/>
      <c r="F5455" s="7"/>
      <c r="G5455" s="7"/>
      <c r="H5455" s="7">
        <f t="shared" si="1"/>
        <v>1029</v>
      </c>
    </row>
    <row r="5456" ht="22.5" customHeight="1">
      <c r="B5456" s="7"/>
      <c r="C5456" s="7"/>
      <c r="D5456" s="7"/>
      <c r="E5456" s="7"/>
      <c r="F5456" s="7"/>
      <c r="G5456" s="7"/>
      <c r="H5456" s="7">
        <f t="shared" si="1"/>
        <v>1029</v>
      </c>
    </row>
    <row r="5457" ht="22.5" customHeight="1">
      <c r="B5457" s="7"/>
      <c r="C5457" s="7"/>
      <c r="D5457" s="7"/>
      <c r="E5457" s="7"/>
      <c r="F5457" s="7"/>
      <c r="G5457" s="7"/>
      <c r="H5457" s="7">
        <f t="shared" si="1"/>
        <v>1029</v>
      </c>
    </row>
    <row r="5458" ht="22.5" customHeight="1">
      <c r="B5458" s="7"/>
      <c r="C5458" s="7"/>
      <c r="D5458" s="7"/>
      <c r="E5458" s="7"/>
      <c r="F5458" s="7"/>
      <c r="G5458" s="7"/>
      <c r="H5458" s="7">
        <f t="shared" si="1"/>
        <v>1029</v>
      </c>
    </row>
    <row r="5459" ht="22.5" customHeight="1">
      <c r="B5459" s="7"/>
      <c r="C5459" s="7"/>
      <c r="D5459" s="7"/>
      <c r="E5459" s="7"/>
      <c r="F5459" s="7"/>
      <c r="G5459" s="7"/>
      <c r="H5459" s="7">
        <f t="shared" si="1"/>
        <v>1029</v>
      </c>
    </row>
    <row r="5460" ht="22.5" customHeight="1">
      <c r="B5460" s="7"/>
      <c r="C5460" s="7"/>
      <c r="D5460" s="7"/>
      <c r="E5460" s="7"/>
      <c r="F5460" s="7"/>
      <c r="G5460" s="7"/>
      <c r="H5460" s="7">
        <f t="shared" si="1"/>
        <v>1029</v>
      </c>
    </row>
    <row r="5461" ht="22.5" customHeight="1">
      <c r="B5461" s="7"/>
      <c r="C5461" s="7"/>
      <c r="D5461" s="7"/>
      <c r="E5461" s="7"/>
      <c r="F5461" s="7"/>
      <c r="G5461" s="7"/>
      <c r="H5461" s="7">
        <f t="shared" si="1"/>
        <v>1029</v>
      </c>
    </row>
    <row r="5462" ht="22.5" customHeight="1">
      <c r="B5462" s="7"/>
      <c r="C5462" s="7"/>
      <c r="D5462" s="7"/>
      <c r="E5462" s="7"/>
      <c r="F5462" s="7"/>
      <c r="G5462" s="7"/>
      <c r="H5462" s="7">
        <f t="shared" si="1"/>
        <v>1029</v>
      </c>
    </row>
    <row r="5463" ht="22.5" customHeight="1">
      <c r="B5463" s="7"/>
      <c r="C5463" s="7"/>
      <c r="D5463" s="7"/>
      <c r="E5463" s="7"/>
      <c r="F5463" s="7"/>
      <c r="G5463" s="7"/>
      <c r="H5463" s="7">
        <f t="shared" si="1"/>
        <v>1029</v>
      </c>
    </row>
    <row r="5464" ht="22.5" customHeight="1">
      <c r="B5464" s="7"/>
      <c r="C5464" s="7"/>
      <c r="D5464" s="7"/>
      <c r="E5464" s="7"/>
      <c r="F5464" s="7"/>
      <c r="G5464" s="7"/>
      <c r="H5464" s="7">
        <f t="shared" si="1"/>
        <v>1029</v>
      </c>
    </row>
    <row r="5465" ht="22.5" customHeight="1">
      <c r="B5465" s="7"/>
      <c r="C5465" s="7"/>
      <c r="D5465" s="7"/>
      <c r="E5465" s="7"/>
      <c r="F5465" s="7"/>
      <c r="G5465" s="7"/>
      <c r="H5465" s="7">
        <f t="shared" si="1"/>
        <v>1029</v>
      </c>
    </row>
    <row r="5466" ht="22.5" customHeight="1">
      <c r="B5466" s="7"/>
      <c r="C5466" s="7"/>
      <c r="D5466" s="7"/>
      <c r="E5466" s="7"/>
      <c r="F5466" s="7"/>
      <c r="G5466" s="7"/>
      <c r="H5466" s="7">
        <f t="shared" si="1"/>
        <v>1029</v>
      </c>
    </row>
    <row r="5467" ht="22.5" customHeight="1">
      <c r="B5467" s="7"/>
      <c r="C5467" s="7"/>
      <c r="D5467" s="7"/>
      <c r="E5467" s="7"/>
      <c r="F5467" s="7"/>
      <c r="G5467" s="7"/>
      <c r="H5467" s="7">
        <f t="shared" si="1"/>
        <v>1029</v>
      </c>
    </row>
    <row r="5468" ht="22.5" customHeight="1">
      <c r="B5468" s="7"/>
      <c r="C5468" s="7"/>
      <c r="D5468" s="7"/>
      <c r="E5468" s="7"/>
      <c r="F5468" s="7"/>
      <c r="G5468" s="7"/>
      <c r="H5468" s="7">
        <f t="shared" si="1"/>
        <v>1029</v>
      </c>
    </row>
    <row r="5469" ht="22.5" customHeight="1">
      <c r="B5469" s="7"/>
      <c r="C5469" s="7"/>
      <c r="D5469" s="7"/>
      <c r="E5469" s="7"/>
      <c r="F5469" s="7"/>
      <c r="G5469" s="7"/>
      <c r="H5469" s="7">
        <f t="shared" si="1"/>
        <v>1029</v>
      </c>
    </row>
    <row r="5470" ht="22.5" customHeight="1">
      <c r="B5470" s="7"/>
      <c r="C5470" s="7"/>
      <c r="D5470" s="7"/>
      <c r="E5470" s="7"/>
      <c r="F5470" s="7"/>
      <c r="G5470" s="7"/>
      <c r="H5470" s="7">
        <f t="shared" si="1"/>
        <v>1029</v>
      </c>
    </row>
    <row r="5471" ht="22.5" customHeight="1">
      <c r="B5471" s="7"/>
      <c r="C5471" s="7"/>
      <c r="D5471" s="7"/>
      <c r="E5471" s="7"/>
      <c r="F5471" s="7"/>
      <c r="G5471" s="7"/>
      <c r="H5471" s="7">
        <f t="shared" si="1"/>
        <v>1029</v>
      </c>
    </row>
    <row r="5472" ht="22.5" customHeight="1">
      <c r="B5472" s="7"/>
      <c r="C5472" s="7"/>
      <c r="D5472" s="7"/>
      <c r="E5472" s="7"/>
      <c r="F5472" s="7"/>
      <c r="G5472" s="7"/>
      <c r="H5472" s="7">
        <f t="shared" si="1"/>
        <v>1029</v>
      </c>
    </row>
    <row r="5473" ht="22.5" customHeight="1">
      <c r="B5473" s="7"/>
      <c r="C5473" s="7"/>
      <c r="D5473" s="7"/>
      <c r="E5473" s="7"/>
      <c r="F5473" s="7"/>
      <c r="G5473" s="7"/>
      <c r="H5473" s="7">
        <f t="shared" si="1"/>
        <v>1029</v>
      </c>
    </row>
    <row r="5474" ht="22.5" customHeight="1">
      <c r="B5474" s="7"/>
      <c r="C5474" s="7"/>
      <c r="D5474" s="7"/>
      <c r="E5474" s="7"/>
      <c r="F5474" s="7"/>
      <c r="G5474" s="7"/>
      <c r="H5474" s="7">
        <f t="shared" si="1"/>
        <v>1029</v>
      </c>
    </row>
    <row r="5475" ht="22.5" customHeight="1">
      <c r="B5475" s="7"/>
      <c r="C5475" s="7"/>
      <c r="D5475" s="7"/>
      <c r="E5475" s="7"/>
      <c r="F5475" s="7"/>
      <c r="G5475" s="7"/>
      <c r="H5475" s="7">
        <f t="shared" si="1"/>
        <v>1029</v>
      </c>
    </row>
    <row r="5476" ht="22.5" customHeight="1">
      <c r="B5476" s="7"/>
      <c r="C5476" s="7"/>
      <c r="D5476" s="7"/>
      <c r="E5476" s="7"/>
      <c r="F5476" s="7"/>
      <c r="G5476" s="7"/>
      <c r="H5476" s="7">
        <f t="shared" si="1"/>
        <v>1029</v>
      </c>
    </row>
    <row r="5477" ht="22.5" customHeight="1">
      <c r="B5477" s="7"/>
      <c r="C5477" s="7"/>
      <c r="D5477" s="7"/>
      <c r="E5477" s="7"/>
      <c r="F5477" s="7"/>
      <c r="G5477" s="7"/>
      <c r="H5477" s="7">
        <f t="shared" si="1"/>
        <v>1029</v>
      </c>
    </row>
    <row r="5478" ht="22.5" customHeight="1">
      <c r="B5478" s="7"/>
      <c r="C5478" s="7"/>
      <c r="D5478" s="7"/>
      <c r="E5478" s="7"/>
      <c r="F5478" s="7"/>
      <c r="G5478" s="7"/>
      <c r="H5478" s="7">
        <f t="shared" si="1"/>
        <v>1029</v>
      </c>
    </row>
    <row r="5479" ht="22.5" customHeight="1">
      <c r="B5479" s="7"/>
      <c r="C5479" s="7"/>
      <c r="D5479" s="7"/>
      <c r="E5479" s="7"/>
      <c r="F5479" s="7"/>
      <c r="G5479" s="7"/>
      <c r="H5479" s="7">
        <f t="shared" si="1"/>
        <v>1029</v>
      </c>
    </row>
    <row r="5480" ht="22.5" customHeight="1">
      <c r="B5480" s="7"/>
      <c r="C5480" s="7"/>
      <c r="D5480" s="7"/>
      <c r="E5480" s="7"/>
      <c r="F5480" s="7"/>
      <c r="G5480" s="7"/>
      <c r="H5480" s="7">
        <f t="shared" si="1"/>
        <v>1029</v>
      </c>
    </row>
    <row r="5481" ht="22.5" customHeight="1">
      <c r="B5481" s="7"/>
      <c r="C5481" s="7"/>
      <c r="D5481" s="7"/>
      <c r="E5481" s="7"/>
      <c r="F5481" s="7"/>
      <c r="G5481" s="7"/>
      <c r="H5481" s="7">
        <f t="shared" si="1"/>
        <v>1029</v>
      </c>
    </row>
    <row r="5482" ht="22.5" customHeight="1">
      <c r="B5482" s="7"/>
      <c r="C5482" s="7"/>
      <c r="D5482" s="7"/>
      <c r="E5482" s="7"/>
      <c r="F5482" s="7"/>
      <c r="G5482" s="7"/>
      <c r="H5482" s="7">
        <f t="shared" si="1"/>
        <v>1029</v>
      </c>
    </row>
    <row r="5483" ht="22.5" customHeight="1">
      <c r="B5483" s="7"/>
      <c r="C5483" s="7"/>
      <c r="D5483" s="7"/>
      <c r="E5483" s="7"/>
      <c r="F5483" s="7"/>
      <c r="G5483" s="7"/>
      <c r="H5483" s="7">
        <f t="shared" si="1"/>
        <v>1029</v>
      </c>
    </row>
    <row r="5484" ht="22.5" customHeight="1">
      <c r="B5484" s="7"/>
      <c r="C5484" s="7"/>
      <c r="D5484" s="7"/>
      <c r="E5484" s="7"/>
      <c r="F5484" s="7"/>
      <c r="G5484" s="7"/>
      <c r="H5484" s="7">
        <f t="shared" si="1"/>
        <v>1029</v>
      </c>
    </row>
    <row r="5485" ht="22.5" customHeight="1">
      <c r="B5485" s="7"/>
      <c r="C5485" s="7"/>
      <c r="D5485" s="7"/>
      <c r="E5485" s="7"/>
      <c r="F5485" s="7"/>
      <c r="G5485" s="7"/>
      <c r="H5485" s="7">
        <f t="shared" si="1"/>
        <v>1029</v>
      </c>
    </row>
    <row r="5486" ht="22.5" customHeight="1">
      <c r="B5486" s="7"/>
      <c r="C5486" s="7"/>
      <c r="D5486" s="7"/>
      <c r="E5486" s="7"/>
      <c r="F5486" s="7"/>
      <c r="G5486" s="7"/>
      <c r="H5486" s="7">
        <f t="shared" si="1"/>
        <v>1029</v>
      </c>
    </row>
    <row r="5487" ht="22.5" customHeight="1">
      <c r="B5487" s="7"/>
      <c r="C5487" s="7"/>
      <c r="D5487" s="7"/>
      <c r="E5487" s="7"/>
      <c r="F5487" s="7"/>
      <c r="G5487" s="7"/>
      <c r="H5487" s="7">
        <f t="shared" si="1"/>
        <v>1029</v>
      </c>
    </row>
    <row r="5488" ht="22.5" customHeight="1">
      <c r="B5488" s="7"/>
      <c r="C5488" s="7"/>
      <c r="D5488" s="7"/>
      <c r="E5488" s="7"/>
      <c r="F5488" s="7"/>
      <c r="G5488" s="7"/>
      <c r="H5488" s="7">
        <f t="shared" si="1"/>
        <v>1029</v>
      </c>
    </row>
    <row r="5489" ht="22.5" customHeight="1">
      <c r="B5489" s="7"/>
      <c r="C5489" s="7"/>
      <c r="D5489" s="7"/>
      <c r="E5489" s="7"/>
      <c r="F5489" s="7"/>
      <c r="G5489" s="7"/>
      <c r="H5489" s="7">
        <f t="shared" si="1"/>
        <v>1029</v>
      </c>
    </row>
    <row r="5490" ht="22.5" customHeight="1">
      <c r="B5490" s="7"/>
      <c r="C5490" s="7"/>
      <c r="D5490" s="7"/>
      <c r="E5490" s="7"/>
      <c r="F5490" s="7"/>
      <c r="G5490" s="7"/>
      <c r="H5490" s="7">
        <f t="shared" si="1"/>
        <v>1029</v>
      </c>
    </row>
    <row r="5491" ht="22.5" customHeight="1">
      <c r="B5491" s="7"/>
      <c r="C5491" s="7"/>
      <c r="D5491" s="7"/>
      <c r="E5491" s="7"/>
      <c r="F5491" s="7"/>
      <c r="G5491" s="7"/>
      <c r="H5491" s="7">
        <f t="shared" si="1"/>
        <v>1029</v>
      </c>
    </row>
    <row r="5492" ht="22.5" customHeight="1">
      <c r="B5492" s="7"/>
      <c r="C5492" s="7"/>
      <c r="D5492" s="7"/>
      <c r="E5492" s="7"/>
      <c r="F5492" s="7"/>
      <c r="G5492" s="7"/>
      <c r="H5492" s="7">
        <f t="shared" si="1"/>
        <v>1029</v>
      </c>
    </row>
    <row r="5493" ht="22.5" customHeight="1">
      <c r="B5493" s="7"/>
      <c r="C5493" s="7"/>
      <c r="D5493" s="7"/>
      <c r="E5493" s="7"/>
      <c r="F5493" s="7"/>
      <c r="G5493" s="7"/>
      <c r="H5493" s="7">
        <f t="shared" si="1"/>
        <v>1029</v>
      </c>
    </row>
    <row r="5494" ht="22.5" customHeight="1">
      <c r="B5494" s="7"/>
      <c r="C5494" s="7"/>
      <c r="D5494" s="7"/>
      <c r="E5494" s="7"/>
      <c r="F5494" s="7"/>
      <c r="G5494" s="7"/>
      <c r="H5494" s="7">
        <f t="shared" si="1"/>
        <v>1029</v>
      </c>
    </row>
    <row r="5495" ht="22.5" customHeight="1">
      <c r="B5495" s="7"/>
      <c r="C5495" s="7"/>
      <c r="D5495" s="7"/>
      <c r="E5495" s="7"/>
      <c r="F5495" s="7"/>
      <c r="G5495" s="7"/>
      <c r="H5495" s="7">
        <f t="shared" si="1"/>
        <v>1029</v>
      </c>
    </row>
    <row r="5496" ht="22.5" customHeight="1">
      <c r="B5496" s="7"/>
      <c r="C5496" s="7"/>
      <c r="D5496" s="7"/>
      <c r="E5496" s="7"/>
      <c r="F5496" s="7"/>
      <c r="G5496" s="7"/>
      <c r="H5496" s="7">
        <f t="shared" si="1"/>
        <v>1029</v>
      </c>
    </row>
    <row r="5497" ht="22.5" customHeight="1">
      <c r="B5497" s="7"/>
      <c r="C5497" s="7"/>
      <c r="D5497" s="7"/>
      <c r="E5497" s="7"/>
      <c r="F5497" s="7"/>
      <c r="G5497" s="7"/>
      <c r="H5497" s="7">
        <f t="shared" si="1"/>
        <v>1029</v>
      </c>
    </row>
    <row r="5498" ht="22.5" customHeight="1">
      <c r="B5498" s="7"/>
      <c r="C5498" s="7"/>
      <c r="D5498" s="7"/>
      <c r="E5498" s="7"/>
      <c r="F5498" s="7"/>
      <c r="G5498" s="7"/>
      <c r="H5498" s="7">
        <f t="shared" si="1"/>
        <v>1029</v>
      </c>
    </row>
    <row r="5499" ht="22.5" customHeight="1">
      <c r="B5499" s="7"/>
      <c r="C5499" s="7"/>
      <c r="D5499" s="7"/>
      <c r="E5499" s="7"/>
      <c r="F5499" s="7"/>
      <c r="G5499" s="7"/>
      <c r="H5499" s="7">
        <f t="shared" si="1"/>
        <v>1029</v>
      </c>
    </row>
    <row r="5500" ht="22.5" customHeight="1">
      <c r="B5500" s="7"/>
      <c r="C5500" s="7"/>
      <c r="D5500" s="7"/>
      <c r="E5500" s="7"/>
      <c r="F5500" s="7"/>
      <c r="G5500" s="7"/>
      <c r="H5500" s="7">
        <f t="shared" si="1"/>
        <v>1029</v>
      </c>
    </row>
    <row r="5501" ht="22.5" customHeight="1">
      <c r="B5501" s="7"/>
      <c r="C5501" s="7"/>
      <c r="D5501" s="7"/>
      <c r="E5501" s="7"/>
      <c r="F5501" s="7"/>
      <c r="G5501" s="7"/>
      <c r="H5501" s="7">
        <f t="shared" si="1"/>
        <v>1029</v>
      </c>
    </row>
    <row r="5502" ht="22.5" customHeight="1">
      <c r="B5502" s="7"/>
      <c r="C5502" s="7"/>
      <c r="D5502" s="7"/>
      <c r="E5502" s="7"/>
      <c r="F5502" s="7"/>
      <c r="G5502" s="7"/>
      <c r="H5502" s="7">
        <f t="shared" si="1"/>
        <v>1029</v>
      </c>
    </row>
    <row r="5503" ht="22.5" customHeight="1">
      <c r="B5503" s="7"/>
      <c r="C5503" s="7"/>
      <c r="D5503" s="7"/>
      <c r="E5503" s="7"/>
      <c r="F5503" s="7"/>
      <c r="G5503" s="7"/>
      <c r="H5503" s="7">
        <f t="shared" si="1"/>
        <v>1029</v>
      </c>
    </row>
    <row r="5504" ht="22.5" customHeight="1">
      <c r="B5504" s="7"/>
      <c r="C5504" s="7"/>
      <c r="D5504" s="7"/>
      <c r="E5504" s="7"/>
      <c r="F5504" s="7"/>
      <c r="G5504" s="7"/>
      <c r="H5504" s="7">
        <f t="shared" si="1"/>
        <v>1029</v>
      </c>
    </row>
    <row r="5505" ht="22.5" customHeight="1">
      <c r="B5505" s="7"/>
      <c r="C5505" s="7"/>
      <c r="D5505" s="7"/>
      <c r="E5505" s="7"/>
      <c r="F5505" s="7"/>
      <c r="G5505" s="7"/>
      <c r="H5505" s="7">
        <f t="shared" si="1"/>
        <v>1029</v>
      </c>
    </row>
    <row r="5506" ht="22.5" customHeight="1">
      <c r="B5506" s="7"/>
      <c r="C5506" s="7"/>
      <c r="D5506" s="7"/>
      <c r="E5506" s="7"/>
      <c r="F5506" s="7"/>
      <c r="G5506" s="7"/>
      <c r="H5506" s="7">
        <f t="shared" si="1"/>
        <v>1029</v>
      </c>
    </row>
    <row r="5507" ht="22.5" customHeight="1">
      <c r="B5507" s="7"/>
      <c r="C5507" s="7"/>
      <c r="D5507" s="7"/>
      <c r="E5507" s="7"/>
      <c r="F5507" s="7"/>
      <c r="G5507" s="7"/>
      <c r="H5507" s="7">
        <f t="shared" si="1"/>
        <v>1029</v>
      </c>
    </row>
    <row r="5508" ht="22.5" customHeight="1">
      <c r="B5508" s="7"/>
      <c r="C5508" s="7"/>
      <c r="D5508" s="7"/>
      <c r="E5508" s="7"/>
      <c r="F5508" s="7"/>
      <c r="G5508" s="7"/>
      <c r="H5508" s="7">
        <f t="shared" si="1"/>
        <v>1029</v>
      </c>
    </row>
    <row r="5509" ht="22.5" customHeight="1">
      <c r="B5509" s="7"/>
      <c r="C5509" s="7"/>
      <c r="D5509" s="7"/>
      <c r="E5509" s="7"/>
      <c r="F5509" s="7"/>
      <c r="G5509" s="7"/>
      <c r="H5509" s="7">
        <f t="shared" si="1"/>
        <v>1029</v>
      </c>
    </row>
    <row r="5510" ht="22.5" customHeight="1">
      <c r="B5510" s="7"/>
      <c r="C5510" s="7"/>
      <c r="D5510" s="7"/>
      <c r="E5510" s="7"/>
      <c r="F5510" s="7"/>
      <c r="G5510" s="7"/>
      <c r="H5510" s="7">
        <f t="shared" si="1"/>
        <v>1029</v>
      </c>
    </row>
    <row r="5511" ht="22.5" customHeight="1">
      <c r="B5511" s="7"/>
      <c r="C5511" s="7"/>
      <c r="D5511" s="7"/>
      <c r="E5511" s="7"/>
      <c r="F5511" s="7"/>
      <c r="G5511" s="7"/>
      <c r="H5511" s="7">
        <f t="shared" si="1"/>
        <v>1029</v>
      </c>
    </row>
    <row r="5512" ht="22.5" customHeight="1">
      <c r="B5512" s="7"/>
      <c r="C5512" s="7"/>
      <c r="D5512" s="7"/>
      <c r="E5512" s="7"/>
      <c r="F5512" s="7"/>
      <c r="G5512" s="7"/>
      <c r="H5512" s="7">
        <f t="shared" si="1"/>
        <v>1029</v>
      </c>
    </row>
    <row r="5513" ht="22.5" customHeight="1">
      <c r="B5513" s="7"/>
      <c r="C5513" s="7"/>
      <c r="D5513" s="7"/>
      <c r="E5513" s="7"/>
      <c r="F5513" s="7"/>
      <c r="G5513" s="7"/>
      <c r="H5513" s="7">
        <f t="shared" si="1"/>
        <v>1029</v>
      </c>
    </row>
    <row r="5514" ht="22.5" customHeight="1">
      <c r="B5514" s="7"/>
      <c r="C5514" s="7"/>
      <c r="D5514" s="7"/>
      <c r="E5514" s="7"/>
      <c r="F5514" s="7"/>
      <c r="G5514" s="7"/>
      <c r="H5514" s="7">
        <f t="shared" si="1"/>
        <v>1029</v>
      </c>
    </row>
    <row r="5515" ht="22.5" customHeight="1">
      <c r="B5515" s="7"/>
      <c r="C5515" s="7"/>
      <c r="D5515" s="7"/>
      <c r="E5515" s="7"/>
      <c r="F5515" s="7"/>
      <c r="G5515" s="7"/>
      <c r="H5515" s="7">
        <f t="shared" si="1"/>
        <v>1029</v>
      </c>
    </row>
    <row r="5516" ht="22.5" customHeight="1">
      <c r="B5516" s="7"/>
      <c r="C5516" s="7"/>
      <c r="D5516" s="7"/>
      <c r="E5516" s="7"/>
      <c r="F5516" s="7"/>
      <c r="G5516" s="7"/>
      <c r="H5516" s="7">
        <f t="shared" si="1"/>
        <v>1029</v>
      </c>
    </row>
    <row r="5517" ht="22.5" customHeight="1">
      <c r="B5517" s="7"/>
      <c r="C5517" s="7"/>
      <c r="D5517" s="7"/>
      <c r="E5517" s="7"/>
      <c r="F5517" s="7"/>
      <c r="G5517" s="7"/>
      <c r="H5517" s="7">
        <f t="shared" si="1"/>
        <v>1029</v>
      </c>
    </row>
    <row r="5518" ht="22.5" customHeight="1">
      <c r="B5518" s="7"/>
      <c r="C5518" s="7"/>
      <c r="D5518" s="7"/>
      <c r="E5518" s="7"/>
      <c r="F5518" s="7"/>
      <c r="G5518" s="7"/>
      <c r="H5518" s="7">
        <f t="shared" si="1"/>
        <v>1029</v>
      </c>
    </row>
    <row r="5519" ht="22.5" customHeight="1">
      <c r="B5519" s="7"/>
      <c r="C5519" s="7"/>
      <c r="D5519" s="7"/>
      <c r="E5519" s="7"/>
      <c r="F5519" s="7"/>
      <c r="G5519" s="7"/>
      <c r="H5519" s="7">
        <f t="shared" si="1"/>
        <v>1029</v>
      </c>
    </row>
    <row r="5520" ht="22.5" customHeight="1">
      <c r="B5520" s="7"/>
      <c r="C5520" s="7"/>
      <c r="D5520" s="7"/>
      <c r="E5520" s="7"/>
      <c r="F5520" s="7"/>
      <c r="G5520" s="7"/>
      <c r="H5520" s="7">
        <f t="shared" si="1"/>
        <v>1029</v>
      </c>
    </row>
    <row r="5521" ht="22.5" customHeight="1">
      <c r="B5521" s="7"/>
      <c r="C5521" s="7"/>
      <c r="D5521" s="7"/>
      <c r="E5521" s="7"/>
      <c r="F5521" s="7"/>
      <c r="G5521" s="7"/>
      <c r="H5521" s="7">
        <f t="shared" si="1"/>
        <v>1029</v>
      </c>
    </row>
    <row r="5522" ht="22.5" customHeight="1">
      <c r="B5522" s="7"/>
      <c r="C5522" s="7"/>
      <c r="D5522" s="7"/>
      <c r="E5522" s="7"/>
      <c r="F5522" s="7"/>
      <c r="G5522" s="7"/>
      <c r="H5522" s="7">
        <f t="shared" si="1"/>
        <v>1029</v>
      </c>
    </row>
    <row r="5523" ht="22.5" customHeight="1">
      <c r="B5523" s="7"/>
      <c r="C5523" s="7"/>
      <c r="D5523" s="7"/>
      <c r="E5523" s="7"/>
      <c r="F5523" s="7"/>
      <c r="G5523" s="7"/>
      <c r="H5523" s="7">
        <f t="shared" si="1"/>
        <v>1029</v>
      </c>
    </row>
    <row r="5524" ht="22.5" customHeight="1">
      <c r="B5524" s="7"/>
      <c r="C5524" s="7"/>
      <c r="D5524" s="7"/>
      <c r="E5524" s="7"/>
      <c r="F5524" s="7"/>
      <c r="G5524" s="7"/>
      <c r="H5524" s="7">
        <f t="shared" si="1"/>
        <v>1029</v>
      </c>
    </row>
    <row r="5525" ht="22.5" customHeight="1">
      <c r="B5525" s="7"/>
      <c r="C5525" s="7"/>
      <c r="D5525" s="7"/>
      <c r="E5525" s="7"/>
      <c r="F5525" s="7"/>
      <c r="G5525" s="7"/>
      <c r="H5525" s="7">
        <f t="shared" si="1"/>
        <v>1029</v>
      </c>
    </row>
    <row r="5526" ht="22.5" customHeight="1">
      <c r="B5526" s="7"/>
      <c r="C5526" s="7"/>
      <c r="D5526" s="7"/>
      <c r="E5526" s="7"/>
      <c r="F5526" s="7"/>
      <c r="G5526" s="7"/>
      <c r="H5526" s="7">
        <f t="shared" si="1"/>
        <v>1029</v>
      </c>
    </row>
    <row r="5527" ht="22.5" customHeight="1">
      <c r="B5527" s="7"/>
      <c r="C5527" s="7"/>
      <c r="D5527" s="7"/>
      <c r="E5527" s="7"/>
      <c r="F5527" s="7"/>
      <c r="G5527" s="7"/>
      <c r="H5527" s="7">
        <f t="shared" si="1"/>
        <v>1029</v>
      </c>
    </row>
    <row r="5528" ht="22.5" customHeight="1">
      <c r="B5528" s="7"/>
      <c r="C5528" s="7"/>
      <c r="D5528" s="7"/>
      <c r="E5528" s="7"/>
      <c r="F5528" s="7"/>
      <c r="G5528" s="7"/>
      <c r="H5528" s="7">
        <f t="shared" si="1"/>
        <v>1029</v>
      </c>
    </row>
    <row r="5529" ht="22.5" customHeight="1">
      <c r="B5529" s="7"/>
      <c r="C5529" s="7"/>
      <c r="D5529" s="7"/>
      <c r="E5529" s="7"/>
      <c r="F5529" s="7"/>
      <c r="G5529" s="7"/>
      <c r="H5529" s="7">
        <f t="shared" si="1"/>
        <v>1029</v>
      </c>
    </row>
    <row r="5530" ht="22.5" customHeight="1">
      <c r="B5530" s="7"/>
      <c r="C5530" s="7"/>
      <c r="D5530" s="7"/>
      <c r="E5530" s="7"/>
      <c r="F5530" s="7"/>
      <c r="G5530" s="7"/>
      <c r="H5530" s="7">
        <f t="shared" si="1"/>
        <v>1029</v>
      </c>
    </row>
    <row r="5531" ht="22.5" customHeight="1">
      <c r="B5531" s="7"/>
      <c r="C5531" s="7"/>
      <c r="D5531" s="7"/>
      <c r="E5531" s="7"/>
      <c r="F5531" s="7"/>
      <c r="G5531" s="7"/>
      <c r="H5531" s="7">
        <f t="shared" si="1"/>
        <v>1029</v>
      </c>
    </row>
    <row r="5532" ht="22.5" customHeight="1">
      <c r="B5532" s="7"/>
      <c r="C5532" s="7"/>
      <c r="D5532" s="7"/>
      <c r="E5532" s="7"/>
      <c r="F5532" s="7"/>
      <c r="G5532" s="7"/>
      <c r="H5532" s="7">
        <f t="shared" si="1"/>
        <v>1029</v>
      </c>
    </row>
    <row r="5533" ht="22.5" customHeight="1">
      <c r="B5533" s="7"/>
      <c r="C5533" s="7"/>
      <c r="D5533" s="7"/>
      <c r="E5533" s="7"/>
      <c r="F5533" s="7"/>
      <c r="G5533" s="7"/>
      <c r="H5533" s="7">
        <f t="shared" si="1"/>
        <v>1029</v>
      </c>
    </row>
    <row r="5534" ht="22.5" customHeight="1">
      <c r="B5534" s="7"/>
      <c r="C5534" s="7"/>
      <c r="D5534" s="7"/>
      <c r="E5534" s="7"/>
      <c r="F5534" s="7"/>
      <c r="G5534" s="7"/>
      <c r="H5534" s="7">
        <f t="shared" si="1"/>
        <v>1029</v>
      </c>
    </row>
    <row r="5535" ht="22.5" customHeight="1">
      <c r="B5535" s="7"/>
      <c r="C5535" s="7"/>
      <c r="D5535" s="7"/>
      <c r="E5535" s="7"/>
      <c r="F5535" s="7"/>
      <c r="G5535" s="7"/>
      <c r="H5535" s="7">
        <f t="shared" si="1"/>
        <v>1029</v>
      </c>
    </row>
    <row r="5536" ht="22.5" customHeight="1">
      <c r="B5536" s="7"/>
      <c r="C5536" s="7"/>
      <c r="D5536" s="7"/>
      <c r="E5536" s="7"/>
      <c r="F5536" s="7"/>
      <c r="G5536" s="7"/>
      <c r="H5536" s="7">
        <f t="shared" si="1"/>
        <v>1029</v>
      </c>
    </row>
    <row r="5537" ht="22.5" customHeight="1">
      <c r="B5537" s="7"/>
      <c r="C5537" s="7"/>
      <c r="D5537" s="7"/>
      <c r="E5537" s="7"/>
      <c r="F5537" s="7"/>
      <c r="G5537" s="7"/>
      <c r="H5537" s="7">
        <f t="shared" si="1"/>
        <v>1029</v>
      </c>
    </row>
    <row r="5538" ht="22.5" customHeight="1">
      <c r="B5538" s="7"/>
      <c r="C5538" s="7"/>
      <c r="D5538" s="7"/>
      <c r="E5538" s="7"/>
      <c r="F5538" s="7"/>
      <c r="G5538" s="7"/>
      <c r="H5538" s="7">
        <f t="shared" si="1"/>
        <v>1029</v>
      </c>
    </row>
    <row r="5539" ht="22.5" customHeight="1">
      <c r="B5539" s="7"/>
      <c r="C5539" s="7"/>
      <c r="D5539" s="7"/>
      <c r="E5539" s="7"/>
      <c r="F5539" s="7"/>
      <c r="G5539" s="7"/>
      <c r="H5539" s="7">
        <f t="shared" si="1"/>
        <v>1029</v>
      </c>
    </row>
    <row r="5540" ht="22.5" customHeight="1">
      <c r="B5540" s="7"/>
      <c r="C5540" s="7"/>
      <c r="D5540" s="7"/>
      <c r="E5540" s="7"/>
      <c r="F5540" s="7"/>
      <c r="G5540" s="7"/>
      <c r="H5540" s="7">
        <f t="shared" si="1"/>
        <v>1029</v>
      </c>
    </row>
    <row r="5541" ht="22.5" customHeight="1">
      <c r="B5541" s="7"/>
      <c r="C5541" s="7"/>
      <c r="D5541" s="7"/>
      <c r="E5541" s="7"/>
      <c r="F5541" s="7"/>
      <c r="G5541" s="7"/>
      <c r="H5541" s="7">
        <f t="shared" si="1"/>
        <v>1029</v>
      </c>
    </row>
    <row r="5542" ht="22.5" customHeight="1">
      <c r="B5542" s="7"/>
      <c r="C5542" s="7"/>
      <c r="D5542" s="7"/>
      <c r="E5542" s="7"/>
      <c r="F5542" s="7"/>
      <c r="G5542" s="7"/>
      <c r="H5542" s="7">
        <f t="shared" si="1"/>
        <v>1029</v>
      </c>
    </row>
    <row r="5543" ht="22.5" customHeight="1">
      <c r="B5543" s="7"/>
      <c r="C5543" s="7"/>
      <c r="D5543" s="7"/>
      <c r="E5543" s="7"/>
      <c r="F5543" s="7"/>
      <c r="G5543" s="7"/>
      <c r="H5543" s="7">
        <f t="shared" si="1"/>
        <v>1029</v>
      </c>
    </row>
    <row r="5544" ht="22.5" customHeight="1">
      <c r="B5544" s="7"/>
      <c r="C5544" s="7"/>
      <c r="D5544" s="7"/>
      <c r="E5544" s="7"/>
      <c r="F5544" s="7"/>
      <c r="G5544" s="7"/>
      <c r="H5544" s="7">
        <f t="shared" si="1"/>
        <v>1029</v>
      </c>
    </row>
    <row r="5545" ht="22.5" customHeight="1">
      <c r="B5545" s="7"/>
      <c r="C5545" s="7"/>
      <c r="D5545" s="7"/>
      <c r="E5545" s="7"/>
      <c r="F5545" s="7"/>
      <c r="G5545" s="7"/>
      <c r="H5545" s="7">
        <f t="shared" si="1"/>
        <v>1029</v>
      </c>
    </row>
    <row r="5546" ht="22.5" customHeight="1">
      <c r="B5546" s="7"/>
      <c r="C5546" s="7"/>
      <c r="D5546" s="7"/>
      <c r="E5546" s="7"/>
      <c r="F5546" s="7"/>
      <c r="G5546" s="7"/>
      <c r="H5546" s="7">
        <f t="shared" si="1"/>
        <v>1029</v>
      </c>
    </row>
    <row r="5547" ht="22.5" customHeight="1">
      <c r="B5547" s="7"/>
      <c r="C5547" s="7"/>
      <c r="D5547" s="7"/>
      <c r="E5547" s="7"/>
      <c r="F5547" s="7"/>
      <c r="G5547" s="7"/>
      <c r="H5547" s="7">
        <f t="shared" si="1"/>
        <v>1029</v>
      </c>
    </row>
    <row r="5548" ht="22.5" customHeight="1">
      <c r="B5548" s="7"/>
      <c r="C5548" s="7"/>
      <c r="D5548" s="7"/>
      <c r="E5548" s="7"/>
      <c r="F5548" s="7"/>
      <c r="G5548" s="7"/>
      <c r="H5548" s="7">
        <f t="shared" si="1"/>
        <v>1029</v>
      </c>
    </row>
    <row r="5549" ht="22.5" customHeight="1">
      <c r="B5549" s="7"/>
      <c r="C5549" s="7"/>
      <c r="D5549" s="7"/>
      <c r="E5549" s="7"/>
      <c r="F5549" s="7"/>
      <c r="G5549" s="7"/>
      <c r="H5549" s="7">
        <f t="shared" si="1"/>
        <v>1029</v>
      </c>
    </row>
    <row r="5550" ht="22.5" customHeight="1">
      <c r="B5550" s="7"/>
      <c r="C5550" s="7"/>
      <c r="D5550" s="7"/>
      <c r="E5550" s="7"/>
      <c r="F5550" s="7"/>
      <c r="G5550" s="7"/>
      <c r="H5550" s="7">
        <f t="shared" si="1"/>
        <v>1029</v>
      </c>
    </row>
    <row r="5551" ht="22.5" customHeight="1">
      <c r="B5551" s="7"/>
      <c r="C5551" s="7"/>
      <c r="D5551" s="7"/>
      <c r="E5551" s="7"/>
      <c r="F5551" s="7"/>
      <c r="G5551" s="7"/>
      <c r="H5551" s="7">
        <f t="shared" si="1"/>
        <v>1029</v>
      </c>
    </row>
    <row r="5552" ht="22.5" customHeight="1">
      <c r="B5552" s="7"/>
      <c r="C5552" s="7"/>
      <c r="D5552" s="7"/>
      <c r="E5552" s="7"/>
      <c r="F5552" s="7"/>
      <c r="G5552" s="7"/>
      <c r="H5552" s="7">
        <f t="shared" si="1"/>
        <v>1029</v>
      </c>
    </row>
    <row r="5553" ht="22.5" customHeight="1">
      <c r="B5553" s="7"/>
      <c r="C5553" s="7"/>
      <c r="D5553" s="7"/>
      <c r="E5553" s="7"/>
      <c r="F5553" s="7"/>
      <c r="G5553" s="7"/>
      <c r="H5553" s="7">
        <f t="shared" si="1"/>
        <v>1029</v>
      </c>
    </row>
    <row r="5554" ht="22.5" customHeight="1">
      <c r="B5554" s="7"/>
      <c r="C5554" s="7"/>
      <c r="D5554" s="7"/>
      <c r="E5554" s="7"/>
      <c r="F5554" s="7"/>
      <c r="G5554" s="7"/>
      <c r="H5554" s="7">
        <f t="shared" si="1"/>
        <v>1029</v>
      </c>
    </row>
    <row r="5555" ht="22.5" customHeight="1">
      <c r="B5555" s="7"/>
      <c r="C5555" s="7"/>
      <c r="D5555" s="7"/>
      <c r="E5555" s="7"/>
      <c r="F5555" s="7"/>
      <c r="G5555" s="7"/>
      <c r="H5555" s="7">
        <f t="shared" si="1"/>
        <v>1029</v>
      </c>
    </row>
    <row r="5556" ht="22.5" customHeight="1">
      <c r="B5556" s="7"/>
      <c r="C5556" s="7"/>
      <c r="D5556" s="7"/>
      <c r="E5556" s="7"/>
      <c r="F5556" s="7"/>
      <c r="G5556" s="7"/>
      <c r="H5556" s="7">
        <f t="shared" si="1"/>
        <v>1029</v>
      </c>
    </row>
    <row r="5557" ht="22.5" customHeight="1">
      <c r="B5557" s="7"/>
      <c r="C5557" s="7"/>
      <c r="D5557" s="7"/>
      <c r="E5557" s="7"/>
      <c r="F5557" s="7"/>
      <c r="G5557" s="7"/>
      <c r="H5557" s="7">
        <f t="shared" si="1"/>
        <v>1029</v>
      </c>
    </row>
    <row r="5558" ht="22.5" customHeight="1">
      <c r="B5558" s="7"/>
      <c r="C5558" s="7"/>
      <c r="D5558" s="7"/>
      <c r="E5558" s="7"/>
      <c r="F5558" s="7"/>
      <c r="G5558" s="7"/>
      <c r="H5558" s="7">
        <f t="shared" si="1"/>
        <v>1029</v>
      </c>
    </row>
    <row r="5559" ht="22.5" customHeight="1">
      <c r="B5559" s="7"/>
      <c r="C5559" s="7"/>
      <c r="D5559" s="7"/>
      <c r="E5559" s="7"/>
      <c r="F5559" s="7"/>
      <c r="G5559" s="7"/>
      <c r="H5559" s="7">
        <f t="shared" si="1"/>
        <v>1029</v>
      </c>
    </row>
    <row r="5560" ht="22.5" customHeight="1">
      <c r="B5560" s="7"/>
      <c r="C5560" s="7"/>
      <c r="D5560" s="7"/>
      <c r="E5560" s="7"/>
      <c r="F5560" s="7"/>
      <c r="G5560" s="7"/>
      <c r="H5560" s="7">
        <f t="shared" si="1"/>
        <v>1029</v>
      </c>
    </row>
    <row r="5561" ht="22.5" customHeight="1">
      <c r="B5561" s="7"/>
      <c r="C5561" s="7"/>
      <c r="D5561" s="7"/>
      <c r="E5561" s="7"/>
      <c r="F5561" s="7"/>
      <c r="G5561" s="7"/>
      <c r="H5561" s="7">
        <f t="shared" si="1"/>
        <v>1029</v>
      </c>
    </row>
    <row r="5562" ht="22.5" customHeight="1">
      <c r="B5562" s="7"/>
      <c r="C5562" s="7"/>
      <c r="D5562" s="7"/>
      <c r="E5562" s="7"/>
      <c r="F5562" s="7"/>
      <c r="G5562" s="7"/>
      <c r="H5562" s="7">
        <f t="shared" si="1"/>
        <v>1029</v>
      </c>
    </row>
    <row r="5563" ht="22.5" customHeight="1">
      <c r="B5563" s="7"/>
      <c r="C5563" s="7"/>
      <c r="D5563" s="7"/>
      <c r="E5563" s="7"/>
      <c r="F5563" s="7"/>
      <c r="G5563" s="7"/>
      <c r="H5563" s="7">
        <f t="shared" si="1"/>
        <v>1029</v>
      </c>
    </row>
    <row r="5564" ht="22.5" customHeight="1">
      <c r="B5564" s="7"/>
      <c r="C5564" s="7"/>
      <c r="D5564" s="7"/>
      <c r="E5564" s="7"/>
      <c r="F5564" s="7"/>
      <c r="G5564" s="7"/>
      <c r="H5564" s="7">
        <f t="shared" si="1"/>
        <v>1029</v>
      </c>
    </row>
    <row r="5565" ht="22.5" customHeight="1">
      <c r="B5565" s="7"/>
      <c r="C5565" s="7"/>
      <c r="D5565" s="7"/>
      <c r="E5565" s="7"/>
      <c r="F5565" s="7"/>
      <c r="G5565" s="7"/>
      <c r="H5565" s="7">
        <f t="shared" si="1"/>
        <v>1029</v>
      </c>
    </row>
    <row r="5566" ht="22.5" customHeight="1">
      <c r="B5566" s="7"/>
      <c r="C5566" s="7"/>
      <c r="D5566" s="7"/>
      <c r="E5566" s="7"/>
      <c r="F5566" s="7"/>
      <c r="G5566" s="7"/>
      <c r="H5566" s="7">
        <f t="shared" si="1"/>
        <v>1029</v>
      </c>
    </row>
    <row r="5567" ht="22.5" customHeight="1">
      <c r="B5567" s="7"/>
      <c r="C5567" s="7"/>
      <c r="D5567" s="7"/>
      <c r="E5567" s="7"/>
      <c r="F5567" s="7"/>
      <c r="G5567" s="7"/>
      <c r="H5567" s="7">
        <f t="shared" si="1"/>
        <v>1029</v>
      </c>
    </row>
    <row r="5568" ht="22.5" customHeight="1">
      <c r="B5568" s="7"/>
      <c r="C5568" s="7"/>
      <c r="D5568" s="7"/>
      <c r="E5568" s="7"/>
      <c r="F5568" s="7"/>
      <c r="G5568" s="7"/>
      <c r="H5568" s="7">
        <f t="shared" si="1"/>
        <v>1029</v>
      </c>
    </row>
    <row r="5569" ht="22.5" customHeight="1">
      <c r="B5569" s="7"/>
      <c r="C5569" s="7"/>
      <c r="D5569" s="7"/>
      <c r="E5569" s="7"/>
      <c r="F5569" s="7"/>
      <c r="G5569" s="7"/>
      <c r="H5569" s="7">
        <f t="shared" si="1"/>
        <v>1029</v>
      </c>
    </row>
    <row r="5570" ht="22.5" customHeight="1">
      <c r="B5570" s="7"/>
      <c r="C5570" s="7"/>
      <c r="D5570" s="7"/>
      <c r="E5570" s="7"/>
      <c r="F5570" s="7"/>
      <c r="G5570" s="7"/>
      <c r="H5570" s="7">
        <f t="shared" si="1"/>
        <v>1029</v>
      </c>
    </row>
    <row r="5571" ht="22.5" customHeight="1">
      <c r="B5571" s="7"/>
      <c r="C5571" s="7"/>
      <c r="D5571" s="7"/>
      <c r="E5571" s="7"/>
      <c r="F5571" s="7"/>
      <c r="G5571" s="7"/>
      <c r="H5571" s="7">
        <f t="shared" si="1"/>
        <v>1029</v>
      </c>
    </row>
    <row r="5572" ht="22.5" customHeight="1">
      <c r="B5572" s="7"/>
      <c r="C5572" s="7"/>
      <c r="D5572" s="7"/>
      <c r="E5572" s="7"/>
      <c r="F5572" s="7"/>
      <c r="G5572" s="7"/>
      <c r="H5572" s="7">
        <f t="shared" si="1"/>
        <v>1029</v>
      </c>
    </row>
    <row r="5573" ht="22.5" customHeight="1">
      <c r="B5573" s="7"/>
      <c r="C5573" s="7"/>
      <c r="D5573" s="7"/>
      <c r="E5573" s="7"/>
      <c r="F5573" s="7"/>
      <c r="G5573" s="7"/>
      <c r="H5573" s="7">
        <f t="shared" si="1"/>
        <v>1029</v>
      </c>
    </row>
    <row r="5574" ht="22.5" customHeight="1">
      <c r="B5574" s="7"/>
      <c r="C5574" s="7"/>
      <c r="D5574" s="7"/>
      <c r="E5574" s="7"/>
      <c r="F5574" s="7"/>
      <c r="G5574" s="7"/>
      <c r="H5574" s="7">
        <f t="shared" si="1"/>
        <v>1029</v>
      </c>
    </row>
    <row r="5575" ht="22.5" customHeight="1">
      <c r="B5575" s="7"/>
      <c r="C5575" s="7"/>
      <c r="D5575" s="7"/>
      <c r="E5575" s="7"/>
      <c r="F5575" s="7"/>
      <c r="G5575" s="7"/>
      <c r="H5575" s="7">
        <f t="shared" si="1"/>
        <v>1029</v>
      </c>
    </row>
    <row r="5576" ht="22.5" customHeight="1">
      <c r="B5576" s="7"/>
      <c r="C5576" s="7"/>
      <c r="D5576" s="7"/>
      <c r="E5576" s="7"/>
      <c r="F5576" s="7"/>
      <c r="G5576" s="7"/>
      <c r="H5576" s="7">
        <f t="shared" si="1"/>
        <v>1029</v>
      </c>
    </row>
    <row r="5577" ht="22.5" customHeight="1">
      <c r="B5577" s="7"/>
      <c r="C5577" s="7"/>
      <c r="D5577" s="7"/>
      <c r="E5577" s="7"/>
      <c r="F5577" s="7"/>
      <c r="G5577" s="7"/>
      <c r="H5577" s="7">
        <f t="shared" si="1"/>
        <v>1029</v>
      </c>
    </row>
    <row r="5578" ht="22.5" customHeight="1">
      <c r="B5578" s="7"/>
      <c r="C5578" s="7"/>
      <c r="D5578" s="7"/>
      <c r="E5578" s="7"/>
      <c r="F5578" s="7"/>
      <c r="G5578" s="7"/>
      <c r="H5578" s="7">
        <f t="shared" si="1"/>
        <v>1029</v>
      </c>
    </row>
    <row r="5579" ht="22.5" customHeight="1">
      <c r="B5579" s="7"/>
      <c r="C5579" s="7"/>
      <c r="D5579" s="7"/>
      <c r="E5579" s="7"/>
      <c r="F5579" s="7"/>
      <c r="G5579" s="7"/>
      <c r="H5579" s="7">
        <f t="shared" si="1"/>
        <v>1029</v>
      </c>
    </row>
    <row r="5580" ht="22.5" customHeight="1">
      <c r="B5580" s="7"/>
      <c r="C5580" s="7"/>
      <c r="D5580" s="7"/>
      <c r="E5580" s="7"/>
      <c r="F5580" s="7"/>
      <c r="G5580" s="7"/>
      <c r="H5580" s="7">
        <f t="shared" si="1"/>
        <v>1029</v>
      </c>
    </row>
    <row r="5581" ht="22.5" customHeight="1">
      <c r="B5581" s="7"/>
      <c r="C5581" s="7"/>
      <c r="D5581" s="7"/>
      <c r="E5581" s="7"/>
      <c r="F5581" s="7"/>
      <c r="G5581" s="7"/>
      <c r="H5581" s="7">
        <f t="shared" si="1"/>
        <v>1029</v>
      </c>
    </row>
    <row r="5582" ht="22.5" customHeight="1">
      <c r="B5582" s="7"/>
      <c r="C5582" s="7"/>
      <c r="D5582" s="7"/>
      <c r="E5582" s="7"/>
      <c r="F5582" s="7"/>
      <c r="G5582" s="7"/>
      <c r="H5582" s="7">
        <f t="shared" si="1"/>
        <v>1029</v>
      </c>
    </row>
    <row r="5583" ht="22.5" customHeight="1">
      <c r="B5583" s="7"/>
      <c r="C5583" s="7"/>
      <c r="D5583" s="7"/>
      <c r="E5583" s="7"/>
      <c r="F5583" s="7"/>
      <c r="G5583" s="7"/>
      <c r="H5583" s="7">
        <f t="shared" si="1"/>
        <v>1029</v>
      </c>
    </row>
    <row r="5584" ht="22.5" customHeight="1">
      <c r="B5584" s="7"/>
      <c r="C5584" s="7"/>
      <c r="D5584" s="7"/>
      <c r="E5584" s="7"/>
      <c r="F5584" s="7"/>
      <c r="G5584" s="7"/>
      <c r="H5584" s="7">
        <f t="shared" si="1"/>
        <v>1029</v>
      </c>
    </row>
    <row r="5585" ht="22.5" customHeight="1">
      <c r="B5585" s="7"/>
      <c r="C5585" s="7"/>
      <c r="D5585" s="7"/>
      <c r="E5585" s="7"/>
      <c r="F5585" s="7"/>
      <c r="G5585" s="7"/>
      <c r="H5585" s="7">
        <f t="shared" si="1"/>
        <v>1029</v>
      </c>
    </row>
    <row r="5586" ht="22.5" customHeight="1">
      <c r="B5586" s="7"/>
      <c r="C5586" s="7"/>
      <c r="D5586" s="7"/>
      <c r="E5586" s="7"/>
      <c r="F5586" s="7"/>
      <c r="G5586" s="7"/>
      <c r="H5586" s="7">
        <f t="shared" si="1"/>
        <v>1029</v>
      </c>
    </row>
    <row r="5587" ht="22.5" customHeight="1">
      <c r="B5587" s="7"/>
      <c r="C5587" s="7"/>
      <c r="D5587" s="7"/>
      <c r="E5587" s="7"/>
      <c r="F5587" s="7"/>
      <c r="G5587" s="7"/>
      <c r="H5587" s="7">
        <f t="shared" si="1"/>
        <v>1029</v>
      </c>
    </row>
    <row r="5588" ht="22.5" customHeight="1">
      <c r="B5588" s="7"/>
      <c r="C5588" s="7"/>
      <c r="D5588" s="7"/>
      <c r="E5588" s="7"/>
      <c r="F5588" s="7"/>
      <c r="G5588" s="7"/>
      <c r="H5588" s="7">
        <f t="shared" si="1"/>
        <v>1029</v>
      </c>
    </row>
    <row r="5589" ht="22.5" customHeight="1">
      <c r="B5589" s="7"/>
      <c r="C5589" s="7"/>
      <c r="D5589" s="7"/>
      <c r="E5589" s="7"/>
      <c r="F5589" s="7"/>
      <c r="G5589" s="7"/>
      <c r="H5589" s="7">
        <f t="shared" si="1"/>
        <v>1029</v>
      </c>
    </row>
    <row r="5590" ht="22.5" customHeight="1">
      <c r="B5590" s="7"/>
      <c r="C5590" s="7"/>
      <c r="D5590" s="7"/>
      <c r="E5590" s="7"/>
      <c r="F5590" s="7"/>
      <c r="G5590" s="7"/>
      <c r="H5590" s="7">
        <f t="shared" si="1"/>
        <v>1029</v>
      </c>
    </row>
    <row r="5591" ht="22.5" customHeight="1">
      <c r="B5591" s="7"/>
      <c r="C5591" s="7"/>
      <c r="D5591" s="7"/>
      <c r="E5591" s="7"/>
      <c r="F5591" s="7"/>
      <c r="G5591" s="7"/>
      <c r="H5591" s="7">
        <f t="shared" si="1"/>
        <v>1029</v>
      </c>
    </row>
    <row r="5592" ht="22.5" customHeight="1">
      <c r="B5592" s="7"/>
      <c r="C5592" s="7"/>
      <c r="D5592" s="7"/>
      <c r="E5592" s="7"/>
      <c r="F5592" s="7"/>
      <c r="G5592" s="7"/>
      <c r="H5592" s="7">
        <f t="shared" si="1"/>
        <v>1029</v>
      </c>
    </row>
    <row r="5593" ht="22.5" customHeight="1">
      <c r="B5593" s="7"/>
      <c r="C5593" s="7"/>
      <c r="D5593" s="7"/>
      <c r="E5593" s="7"/>
      <c r="F5593" s="7"/>
      <c r="G5593" s="7"/>
      <c r="H5593" s="7">
        <f t="shared" si="1"/>
        <v>1029</v>
      </c>
    </row>
    <row r="5594" ht="22.5" customHeight="1">
      <c r="B5594" s="7"/>
      <c r="C5594" s="7"/>
      <c r="D5594" s="7"/>
      <c r="E5594" s="7"/>
      <c r="F5594" s="7"/>
      <c r="G5594" s="7"/>
      <c r="H5594" s="7">
        <f t="shared" si="1"/>
        <v>1029</v>
      </c>
    </row>
    <row r="5595" ht="22.5" customHeight="1">
      <c r="B5595" s="7"/>
      <c r="C5595" s="7"/>
      <c r="D5595" s="7"/>
      <c r="E5595" s="7"/>
      <c r="F5595" s="7"/>
      <c r="G5595" s="7"/>
      <c r="H5595" s="7">
        <f t="shared" si="1"/>
        <v>1029</v>
      </c>
    </row>
    <row r="5596" ht="22.5" customHeight="1">
      <c r="B5596" s="7"/>
      <c r="C5596" s="7"/>
      <c r="D5596" s="7"/>
      <c r="E5596" s="7"/>
      <c r="F5596" s="7"/>
      <c r="G5596" s="7"/>
      <c r="H5596" s="7">
        <f t="shared" si="1"/>
        <v>1029</v>
      </c>
    </row>
    <row r="5597" ht="22.5" customHeight="1">
      <c r="B5597" s="7"/>
      <c r="C5597" s="7"/>
      <c r="D5597" s="7"/>
      <c r="E5597" s="7"/>
      <c r="F5597" s="7"/>
      <c r="G5597" s="7"/>
      <c r="H5597" s="7">
        <f t="shared" si="1"/>
        <v>1029</v>
      </c>
    </row>
    <row r="5598" ht="22.5" customHeight="1">
      <c r="B5598" s="7"/>
      <c r="C5598" s="7"/>
      <c r="D5598" s="7"/>
      <c r="E5598" s="7"/>
      <c r="F5598" s="7"/>
      <c r="G5598" s="7"/>
      <c r="H5598" s="7">
        <f t="shared" si="1"/>
        <v>1029</v>
      </c>
    </row>
    <row r="5599" ht="22.5" customHeight="1">
      <c r="B5599" s="7"/>
      <c r="C5599" s="7"/>
      <c r="D5599" s="7"/>
      <c r="E5599" s="7"/>
      <c r="F5599" s="7"/>
      <c r="G5599" s="7"/>
      <c r="H5599" s="7">
        <f t="shared" si="1"/>
        <v>1029</v>
      </c>
    </row>
    <row r="5600" ht="22.5" customHeight="1">
      <c r="B5600" s="7"/>
      <c r="C5600" s="7"/>
      <c r="D5600" s="7"/>
      <c r="E5600" s="7"/>
      <c r="F5600" s="7"/>
      <c r="G5600" s="7"/>
      <c r="H5600" s="7">
        <f t="shared" si="1"/>
        <v>1029</v>
      </c>
    </row>
    <row r="5601" ht="22.5" customHeight="1">
      <c r="B5601" s="7"/>
      <c r="C5601" s="7"/>
      <c r="D5601" s="7"/>
      <c r="E5601" s="7"/>
      <c r="F5601" s="7"/>
      <c r="G5601" s="7"/>
      <c r="H5601" s="7">
        <f t="shared" si="1"/>
        <v>1029</v>
      </c>
    </row>
    <row r="5602" ht="22.5" customHeight="1">
      <c r="B5602" s="7"/>
      <c r="C5602" s="7"/>
      <c r="D5602" s="7"/>
      <c r="E5602" s="7"/>
      <c r="F5602" s="7"/>
      <c r="G5602" s="7"/>
      <c r="H5602" s="7">
        <f t="shared" si="1"/>
        <v>1029</v>
      </c>
    </row>
    <row r="5603" ht="22.5" customHeight="1">
      <c r="B5603" s="7"/>
      <c r="C5603" s="7"/>
      <c r="D5603" s="7"/>
      <c r="E5603" s="7"/>
      <c r="F5603" s="7"/>
      <c r="G5603" s="7"/>
      <c r="H5603" s="7">
        <f t="shared" si="1"/>
        <v>1029</v>
      </c>
    </row>
    <row r="5604" ht="22.5" customHeight="1">
      <c r="B5604" s="7"/>
      <c r="C5604" s="7"/>
      <c r="D5604" s="7"/>
      <c r="E5604" s="7"/>
      <c r="F5604" s="7"/>
      <c r="G5604" s="7"/>
      <c r="H5604" s="7">
        <f t="shared" si="1"/>
        <v>1029</v>
      </c>
    </row>
    <row r="5605" ht="22.5" customHeight="1">
      <c r="B5605" s="7"/>
      <c r="C5605" s="7"/>
      <c r="D5605" s="7"/>
      <c r="E5605" s="7"/>
      <c r="F5605" s="7"/>
      <c r="G5605" s="7"/>
      <c r="H5605" s="7">
        <f t="shared" si="1"/>
        <v>1029</v>
      </c>
    </row>
    <row r="5606" ht="22.5" customHeight="1">
      <c r="B5606" s="7"/>
      <c r="C5606" s="7"/>
      <c r="D5606" s="7"/>
      <c r="E5606" s="7"/>
      <c r="F5606" s="7"/>
      <c r="G5606" s="7"/>
      <c r="H5606" s="7">
        <f t="shared" si="1"/>
        <v>1029</v>
      </c>
    </row>
    <row r="5607" ht="22.5" customHeight="1">
      <c r="B5607" s="7"/>
      <c r="C5607" s="7"/>
      <c r="D5607" s="7"/>
      <c r="E5607" s="7"/>
      <c r="F5607" s="7"/>
      <c r="G5607" s="7"/>
      <c r="H5607" s="7">
        <f t="shared" si="1"/>
        <v>1029</v>
      </c>
    </row>
    <row r="5608" ht="22.5" customHeight="1">
      <c r="B5608" s="7"/>
      <c r="C5608" s="7"/>
      <c r="D5608" s="7"/>
      <c r="E5608" s="7"/>
      <c r="F5608" s="7"/>
      <c r="G5608" s="7"/>
      <c r="H5608" s="7">
        <f t="shared" si="1"/>
        <v>1029</v>
      </c>
    </row>
    <row r="5609" ht="22.5" customHeight="1">
      <c r="B5609" s="7"/>
      <c r="C5609" s="7"/>
      <c r="D5609" s="7"/>
      <c r="E5609" s="7"/>
      <c r="F5609" s="7"/>
      <c r="G5609" s="7"/>
      <c r="H5609" s="7">
        <f t="shared" si="1"/>
        <v>1029</v>
      </c>
    </row>
    <row r="5610" ht="22.5" customHeight="1">
      <c r="B5610" s="7"/>
      <c r="C5610" s="7"/>
      <c r="D5610" s="7"/>
      <c r="E5610" s="7"/>
      <c r="F5610" s="7"/>
      <c r="G5610" s="7"/>
      <c r="H5610" s="7">
        <f t="shared" si="1"/>
        <v>1029</v>
      </c>
    </row>
    <row r="5611" ht="22.5" customHeight="1">
      <c r="B5611" s="7"/>
      <c r="C5611" s="7"/>
      <c r="D5611" s="7"/>
      <c r="E5611" s="7"/>
      <c r="F5611" s="7"/>
      <c r="G5611" s="7"/>
      <c r="H5611" s="7">
        <f t="shared" si="1"/>
        <v>1029</v>
      </c>
    </row>
    <row r="5612" ht="22.5" customHeight="1">
      <c r="B5612" s="7"/>
      <c r="C5612" s="7"/>
      <c r="D5612" s="7"/>
      <c r="E5612" s="7"/>
      <c r="F5612" s="7"/>
      <c r="G5612" s="7"/>
      <c r="H5612" s="7">
        <f t="shared" si="1"/>
        <v>1029</v>
      </c>
    </row>
    <row r="5613" ht="22.5" customHeight="1">
      <c r="B5613" s="7"/>
      <c r="C5613" s="7"/>
      <c r="D5613" s="7"/>
      <c r="E5613" s="7"/>
      <c r="F5613" s="7"/>
      <c r="G5613" s="7"/>
      <c r="H5613" s="7">
        <f t="shared" si="1"/>
        <v>1029</v>
      </c>
    </row>
    <row r="5614" ht="22.5" customHeight="1">
      <c r="B5614" s="7"/>
      <c r="C5614" s="7"/>
      <c r="D5614" s="7"/>
      <c r="E5614" s="7"/>
      <c r="F5614" s="7"/>
      <c r="G5614" s="7"/>
      <c r="H5614" s="7">
        <f t="shared" si="1"/>
        <v>1029</v>
      </c>
    </row>
    <row r="5615" ht="22.5" customHeight="1">
      <c r="B5615" s="7"/>
      <c r="C5615" s="7"/>
      <c r="D5615" s="7"/>
      <c r="E5615" s="7"/>
      <c r="F5615" s="7"/>
      <c r="G5615" s="7"/>
      <c r="H5615" s="7">
        <f t="shared" si="1"/>
        <v>1029</v>
      </c>
    </row>
    <row r="5616" ht="22.5" customHeight="1">
      <c r="B5616" s="7"/>
      <c r="C5616" s="7"/>
      <c r="D5616" s="7"/>
      <c r="E5616" s="7"/>
      <c r="F5616" s="7"/>
      <c r="G5616" s="7"/>
      <c r="H5616" s="7">
        <f t="shared" si="1"/>
        <v>1029</v>
      </c>
    </row>
    <row r="5617" ht="22.5" customHeight="1">
      <c r="B5617" s="7"/>
      <c r="C5617" s="7"/>
      <c r="D5617" s="7"/>
      <c r="E5617" s="7"/>
      <c r="F5617" s="7"/>
      <c r="G5617" s="7"/>
      <c r="H5617" s="7">
        <f t="shared" si="1"/>
        <v>1029</v>
      </c>
    </row>
    <row r="5618" ht="22.5" customHeight="1">
      <c r="B5618" s="7"/>
      <c r="C5618" s="7"/>
      <c r="D5618" s="7"/>
      <c r="E5618" s="7"/>
      <c r="F5618" s="7"/>
      <c r="G5618" s="7"/>
      <c r="H5618" s="7">
        <f t="shared" si="1"/>
        <v>1029</v>
      </c>
    </row>
    <row r="5619" ht="22.5" customHeight="1">
      <c r="B5619" s="7"/>
      <c r="C5619" s="7"/>
      <c r="D5619" s="7"/>
      <c r="E5619" s="7"/>
      <c r="F5619" s="7"/>
      <c r="G5619" s="7"/>
      <c r="H5619" s="7">
        <f t="shared" si="1"/>
        <v>1029</v>
      </c>
    </row>
    <row r="5620" ht="22.5" customHeight="1">
      <c r="B5620" s="7"/>
      <c r="C5620" s="7"/>
      <c r="D5620" s="7"/>
      <c r="E5620" s="7"/>
      <c r="F5620" s="7"/>
      <c r="G5620" s="7"/>
      <c r="H5620" s="7">
        <f t="shared" si="1"/>
        <v>1029</v>
      </c>
    </row>
    <row r="5621" ht="22.5" customHeight="1">
      <c r="B5621" s="7"/>
      <c r="C5621" s="7"/>
      <c r="D5621" s="7"/>
      <c r="E5621" s="7"/>
      <c r="F5621" s="7"/>
      <c r="G5621" s="7"/>
      <c r="H5621" s="7">
        <f t="shared" si="1"/>
        <v>1029</v>
      </c>
    </row>
    <row r="5622" ht="22.5" customHeight="1">
      <c r="B5622" s="7"/>
      <c r="C5622" s="7"/>
      <c r="D5622" s="7"/>
      <c r="E5622" s="7"/>
      <c r="F5622" s="7"/>
      <c r="G5622" s="7"/>
      <c r="H5622" s="7">
        <f t="shared" si="1"/>
        <v>1029</v>
      </c>
    </row>
    <row r="5623" ht="22.5" customHeight="1">
      <c r="B5623" s="7"/>
      <c r="C5623" s="7"/>
      <c r="D5623" s="7"/>
      <c r="E5623" s="7"/>
      <c r="F5623" s="7"/>
      <c r="G5623" s="7"/>
      <c r="H5623" s="7">
        <f t="shared" si="1"/>
        <v>1029</v>
      </c>
    </row>
    <row r="5624" ht="22.5" customHeight="1">
      <c r="B5624" s="7"/>
      <c r="C5624" s="7"/>
      <c r="D5624" s="7"/>
      <c r="E5624" s="7"/>
      <c r="F5624" s="7"/>
      <c r="G5624" s="7"/>
      <c r="H5624" s="7">
        <f t="shared" si="1"/>
        <v>1029</v>
      </c>
    </row>
    <row r="5625" ht="22.5" customHeight="1">
      <c r="B5625" s="7"/>
      <c r="C5625" s="7"/>
      <c r="D5625" s="7"/>
      <c r="E5625" s="7"/>
      <c r="F5625" s="7"/>
      <c r="G5625" s="7"/>
      <c r="H5625" s="7">
        <f t="shared" si="1"/>
        <v>1029</v>
      </c>
    </row>
    <row r="5626" ht="22.5" customHeight="1">
      <c r="B5626" s="7"/>
      <c r="C5626" s="7"/>
      <c r="D5626" s="7"/>
      <c r="E5626" s="7"/>
      <c r="F5626" s="7"/>
      <c r="G5626" s="7"/>
      <c r="H5626" s="7">
        <f t="shared" si="1"/>
        <v>1029</v>
      </c>
    </row>
    <row r="5627" ht="22.5" customHeight="1">
      <c r="B5627" s="7"/>
      <c r="C5627" s="7"/>
      <c r="D5627" s="7"/>
      <c r="E5627" s="7"/>
      <c r="F5627" s="7"/>
      <c r="G5627" s="7"/>
      <c r="H5627" s="7">
        <f t="shared" si="1"/>
        <v>1029</v>
      </c>
    </row>
    <row r="5628" ht="22.5" customHeight="1">
      <c r="B5628" s="7"/>
      <c r="C5628" s="7"/>
      <c r="D5628" s="7"/>
      <c r="E5628" s="7"/>
      <c r="F5628" s="7"/>
      <c r="G5628" s="7"/>
      <c r="H5628" s="7">
        <f t="shared" si="1"/>
        <v>1029</v>
      </c>
    </row>
    <row r="5629" ht="22.5" customHeight="1">
      <c r="B5629" s="7"/>
      <c r="C5629" s="7"/>
      <c r="D5629" s="7"/>
      <c r="E5629" s="7"/>
      <c r="F5629" s="7"/>
      <c r="G5629" s="7"/>
      <c r="H5629" s="7">
        <f t="shared" si="1"/>
        <v>1029</v>
      </c>
    </row>
    <row r="5630" ht="22.5" customHeight="1">
      <c r="B5630" s="7"/>
      <c r="C5630" s="7"/>
      <c r="D5630" s="7"/>
      <c r="E5630" s="7"/>
      <c r="F5630" s="7"/>
      <c r="G5630" s="7"/>
      <c r="H5630" s="7">
        <f t="shared" si="1"/>
        <v>1029</v>
      </c>
    </row>
    <row r="5631" ht="22.5" customHeight="1">
      <c r="B5631" s="7"/>
      <c r="C5631" s="7"/>
      <c r="D5631" s="7"/>
      <c r="E5631" s="7"/>
      <c r="F5631" s="7"/>
      <c r="G5631" s="7"/>
      <c r="H5631" s="7">
        <f t="shared" si="1"/>
        <v>1029</v>
      </c>
    </row>
    <row r="5632" ht="22.5" customHeight="1">
      <c r="B5632" s="7"/>
      <c r="C5632" s="7"/>
      <c r="D5632" s="7"/>
      <c r="E5632" s="7"/>
      <c r="F5632" s="7"/>
      <c r="G5632" s="7"/>
      <c r="H5632" s="7">
        <f t="shared" si="1"/>
        <v>1029</v>
      </c>
    </row>
    <row r="5633" ht="22.5" customHeight="1">
      <c r="B5633" s="7"/>
      <c r="C5633" s="7"/>
      <c r="D5633" s="7"/>
      <c r="E5633" s="7"/>
      <c r="F5633" s="7"/>
      <c r="G5633" s="7"/>
      <c r="H5633" s="7">
        <f t="shared" si="1"/>
        <v>1029</v>
      </c>
    </row>
    <row r="5634" ht="22.5" customHeight="1">
      <c r="B5634" s="7"/>
      <c r="C5634" s="7"/>
      <c r="D5634" s="7"/>
      <c r="E5634" s="7"/>
      <c r="F5634" s="7"/>
      <c r="G5634" s="7"/>
      <c r="H5634" s="7">
        <f t="shared" si="1"/>
        <v>1029</v>
      </c>
    </row>
    <row r="5635" ht="22.5" customHeight="1">
      <c r="B5635" s="7"/>
      <c r="C5635" s="7"/>
      <c r="D5635" s="7"/>
      <c r="E5635" s="7"/>
      <c r="F5635" s="7"/>
      <c r="G5635" s="7"/>
      <c r="H5635" s="7">
        <f t="shared" si="1"/>
        <v>1029</v>
      </c>
    </row>
    <row r="5636" ht="22.5" customHeight="1">
      <c r="B5636" s="7"/>
      <c r="C5636" s="7"/>
      <c r="D5636" s="7"/>
      <c r="E5636" s="7"/>
      <c r="F5636" s="7"/>
      <c r="G5636" s="7"/>
      <c r="H5636" s="7">
        <f t="shared" si="1"/>
        <v>1029</v>
      </c>
    </row>
    <row r="5637" ht="22.5" customHeight="1">
      <c r="B5637" s="7"/>
      <c r="C5637" s="7"/>
      <c r="D5637" s="7"/>
      <c r="E5637" s="7"/>
      <c r="F5637" s="7"/>
      <c r="G5637" s="7"/>
      <c r="H5637" s="7">
        <f t="shared" si="1"/>
        <v>1029</v>
      </c>
    </row>
    <row r="5638" ht="22.5" customHeight="1">
      <c r="B5638" s="7"/>
      <c r="C5638" s="7"/>
      <c r="D5638" s="7"/>
      <c r="E5638" s="7"/>
      <c r="F5638" s="7"/>
      <c r="G5638" s="7"/>
      <c r="H5638" s="7">
        <f t="shared" si="1"/>
        <v>1029</v>
      </c>
    </row>
    <row r="5639" ht="22.5" customHeight="1">
      <c r="B5639" s="7"/>
      <c r="C5639" s="7"/>
      <c r="D5639" s="7"/>
      <c r="E5639" s="7"/>
      <c r="F5639" s="7"/>
      <c r="G5639" s="7"/>
      <c r="H5639" s="7">
        <f t="shared" si="1"/>
        <v>1029</v>
      </c>
    </row>
    <row r="5640" ht="22.5" customHeight="1">
      <c r="B5640" s="7"/>
      <c r="C5640" s="7"/>
      <c r="D5640" s="7"/>
      <c r="E5640" s="7"/>
      <c r="F5640" s="7"/>
      <c r="G5640" s="7"/>
      <c r="H5640" s="7">
        <f t="shared" si="1"/>
        <v>1029</v>
      </c>
    </row>
    <row r="5641" ht="22.5" customHeight="1">
      <c r="B5641" s="7"/>
      <c r="C5641" s="7"/>
      <c r="D5641" s="7"/>
      <c r="E5641" s="7"/>
      <c r="F5641" s="7"/>
      <c r="G5641" s="7"/>
      <c r="H5641" s="7">
        <f t="shared" si="1"/>
        <v>1029</v>
      </c>
    </row>
    <row r="5642" ht="22.5" customHeight="1">
      <c r="B5642" s="7"/>
      <c r="C5642" s="7"/>
      <c r="D5642" s="7"/>
      <c r="E5642" s="7"/>
      <c r="F5642" s="7"/>
      <c r="G5642" s="7"/>
      <c r="H5642" s="7">
        <f t="shared" si="1"/>
        <v>1029</v>
      </c>
    </row>
    <row r="5643" ht="22.5" customHeight="1">
      <c r="B5643" s="7"/>
      <c r="C5643" s="7"/>
      <c r="D5643" s="7"/>
      <c r="E5643" s="7"/>
      <c r="F5643" s="7"/>
      <c r="G5643" s="7"/>
      <c r="H5643" s="7">
        <f t="shared" si="1"/>
        <v>1029</v>
      </c>
    </row>
    <row r="5644" ht="22.5" customHeight="1">
      <c r="B5644" s="7"/>
      <c r="C5644" s="7"/>
      <c r="D5644" s="7"/>
      <c r="E5644" s="7"/>
      <c r="F5644" s="7"/>
      <c r="G5644" s="7"/>
      <c r="H5644" s="7">
        <f t="shared" si="1"/>
        <v>1029</v>
      </c>
    </row>
    <row r="5645" ht="22.5" customHeight="1">
      <c r="B5645" s="7"/>
      <c r="C5645" s="7"/>
      <c r="D5645" s="7"/>
      <c r="E5645" s="7"/>
      <c r="F5645" s="7"/>
      <c r="G5645" s="7"/>
      <c r="H5645" s="7">
        <f t="shared" si="1"/>
        <v>1029</v>
      </c>
    </row>
    <row r="5646" ht="22.5" customHeight="1">
      <c r="B5646" s="7"/>
      <c r="C5646" s="7"/>
      <c r="D5646" s="7"/>
      <c r="E5646" s="7"/>
      <c r="F5646" s="7"/>
      <c r="G5646" s="7"/>
      <c r="H5646" s="7">
        <f t="shared" si="1"/>
        <v>1029</v>
      </c>
    </row>
    <row r="5647" ht="22.5" customHeight="1">
      <c r="B5647" s="7"/>
      <c r="C5647" s="7"/>
      <c r="D5647" s="7"/>
      <c r="E5647" s="7"/>
      <c r="F5647" s="7"/>
      <c r="G5647" s="7"/>
      <c r="H5647" s="7">
        <f t="shared" si="1"/>
        <v>1029</v>
      </c>
    </row>
    <row r="5648" ht="22.5" customHeight="1">
      <c r="B5648" s="7"/>
      <c r="C5648" s="7"/>
      <c r="D5648" s="7"/>
      <c r="E5648" s="7"/>
      <c r="F5648" s="7"/>
      <c r="G5648" s="7"/>
      <c r="H5648" s="7">
        <f t="shared" si="1"/>
        <v>1029</v>
      </c>
    </row>
    <row r="5649" ht="22.5" customHeight="1">
      <c r="B5649" s="7"/>
      <c r="C5649" s="7"/>
      <c r="D5649" s="7"/>
      <c r="E5649" s="7"/>
      <c r="F5649" s="7"/>
      <c r="G5649" s="7"/>
      <c r="H5649" s="7">
        <f t="shared" si="1"/>
        <v>1029</v>
      </c>
    </row>
    <row r="5650" ht="22.5" customHeight="1">
      <c r="B5650" s="7"/>
      <c r="C5650" s="7"/>
      <c r="D5650" s="7"/>
      <c r="E5650" s="7"/>
      <c r="F5650" s="7"/>
      <c r="G5650" s="7"/>
      <c r="H5650" s="7">
        <f t="shared" si="1"/>
        <v>1029</v>
      </c>
    </row>
    <row r="5651" ht="22.5" customHeight="1">
      <c r="B5651" s="7"/>
      <c r="C5651" s="7"/>
      <c r="D5651" s="7"/>
      <c r="E5651" s="7"/>
      <c r="F5651" s="7"/>
      <c r="G5651" s="7"/>
      <c r="H5651" s="7">
        <f t="shared" si="1"/>
        <v>1029</v>
      </c>
    </row>
    <row r="5652" ht="22.5" customHeight="1">
      <c r="B5652" s="7"/>
      <c r="C5652" s="7"/>
      <c r="D5652" s="7"/>
      <c r="E5652" s="7"/>
      <c r="F5652" s="7"/>
      <c r="G5652" s="7"/>
      <c r="H5652" s="7">
        <f t="shared" si="1"/>
        <v>1029</v>
      </c>
    </row>
    <row r="5653" ht="22.5" customHeight="1">
      <c r="B5653" s="7"/>
      <c r="C5653" s="7"/>
      <c r="D5653" s="7"/>
      <c r="E5653" s="7"/>
      <c r="F5653" s="7"/>
      <c r="G5653" s="7"/>
      <c r="H5653" s="7">
        <f t="shared" si="1"/>
        <v>1029</v>
      </c>
    </row>
    <row r="5654" ht="22.5" customHeight="1">
      <c r="B5654" s="7"/>
      <c r="C5654" s="7"/>
      <c r="D5654" s="7"/>
      <c r="E5654" s="7"/>
      <c r="F5654" s="7"/>
      <c r="G5654" s="7"/>
      <c r="H5654" s="7">
        <f t="shared" si="1"/>
        <v>1029</v>
      </c>
    </row>
    <row r="5655" ht="22.5" customHeight="1">
      <c r="B5655" s="7"/>
      <c r="C5655" s="7"/>
      <c r="D5655" s="7"/>
      <c r="E5655" s="7"/>
      <c r="F5655" s="7"/>
      <c r="G5655" s="7"/>
      <c r="H5655" s="7">
        <f t="shared" si="1"/>
        <v>1029</v>
      </c>
    </row>
    <row r="5656" ht="22.5" customHeight="1">
      <c r="B5656" s="7"/>
      <c r="C5656" s="7"/>
      <c r="D5656" s="7"/>
      <c r="E5656" s="7"/>
      <c r="F5656" s="7"/>
      <c r="G5656" s="7"/>
      <c r="H5656" s="7">
        <f t="shared" si="1"/>
        <v>1029</v>
      </c>
    </row>
    <row r="5657" ht="22.5" customHeight="1">
      <c r="B5657" s="7"/>
      <c r="C5657" s="7"/>
      <c r="D5657" s="7"/>
      <c r="E5657" s="7"/>
      <c r="F5657" s="7"/>
      <c r="G5657" s="7"/>
      <c r="H5657" s="7">
        <f t="shared" si="1"/>
        <v>1029</v>
      </c>
    </row>
    <row r="5658" ht="22.5" customHeight="1">
      <c r="B5658" s="7"/>
      <c r="C5658" s="7"/>
      <c r="D5658" s="7"/>
      <c r="E5658" s="7"/>
      <c r="F5658" s="7"/>
      <c r="G5658" s="7"/>
      <c r="H5658" s="7">
        <f t="shared" si="1"/>
        <v>1029</v>
      </c>
    </row>
    <row r="5659" ht="22.5" customHeight="1">
      <c r="B5659" s="7"/>
      <c r="C5659" s="7"/>
      <c r="D5659" s="7"/>
      <c r="E5659" s="7"/>
      <c r="F5659" s="7"/>
      <c r="G5659" s="7"/>
      <c r="H5659" s="7">
        <f t="shared" si="1"/>
        <v>1029</v>
      </c>
    </row>
    <row r="5660" ht="22.5" customHeight="1">
      <c r="B5660" s="7"/>
      <c r="C5660" s="7"/>
      <c r="D5660" s="7"/>
      <c r="E5660" s="7"/>
      <c r="F5660" s="7"/>
      <c r="G5660" s="7"/>
      <c r="H5660" s="7">
        <f t="shared" si="1"/>
        <v>1029</v>
      </c>
    </row>
    <row r="5661" ht="22.5" customHeight="1">
      <c r="B5661" s="7"/>
      <c r="C5661" s="7"/>
      <c r="D5661" s="7"/>
      <c r="E5661" s="7"/>
      <c r="F5661" s="7"/>
      <c r="G5661" s="7"/>
      <c r="H5661" s="7">
        <f t="shared" si="1"/>
        <v>1029</v>
      </c>
    </row>
    <row r="5662" ht="22.5" customHeight="1">
      <c r="B5662" s="7"/>
      <c r="C5662" s="7"/>
      <c r="D5662" s="7"/>
      <c r="E5662" s="7"/>
      <c r="F5662" s="7"/>
      <c r="G5662" s="7"/>
      <c r="H5662" s="7">
        <f t="shared" si="1"/>
        <v>1029</v>
      </c>
    </row>
    <row r="5663" ht="22.5" customHeight="1">
      <c r="B5663" s="7"/>
      <c r="C5663" s="7"/>
      <c r="D5663" s="7"/>
      <c r="E5663" s="7"/>
      <c r="F5663" s="7"/>
      <c r="G5663" s="7"/>
      <c r="H5663" s="7">
        <f t="shared" si="1"/>
        <v>1029</v>
      </c>
    </row>
    <row r="5664" ht="22.5" customHeight="1">
      <c r="B5664" s="7"/>
      <c r="C5664" s="7"/>
      <c r="D5664" s="7"/>
      <c r="E5664" s="7"/>
      <c r="F5664" s="7"/>
      <c r="G5664" s="7"/>
      <c r="H5664" s="7">
        <f t="shared" si="1"/>
        <v>1029</v>
      </c>
    </row>
    <row r="5665" ht="22.5" customHeight="1">
      <c r="B5665" s="7"/>
      <c r="C5665" s="7"/>
      <c r="D5665" s="7"/>
      <c r="E5665" s="7"/>
      <c r="F5665" s="7"/>
      <c r="G5665" s="7"/>
      <c r="H5665" s="7">
        <f t="shared" si="1"/>
        <v>1029</v>
      </c>
    </row>
    <row r="5666" ht="22.5" customHeight="1">
      <c r="B5666" s="7"/>
      <c r="C5666" s="7"/>
      <c r="D5666" s="7"/>
      <c r="E5666" s="7"/>
      <c r="F5666" s="7"/>
      <c r="G5666" s="7"/>
      <c r="H5666" s="7">
        <f t="shared" si="1"/>
        <v>1029</v>
      </c>
    </row>
    <row r="5667" ht="22.5" customHeight="1">
      <c r="B5667" s="7"/>
      <c r="C5667" s="7"/>
      <c r="D5667" s="7"/>
      <c r="E5667" s="7"/>
      <c r="F5667" s="7"/>
      <c r="G5667" s="7"/>
      <c r="H5667" s="7">
        <f t="shared" si="1"/>
        <v>1029</v>
      </c>
    </row>
    <row r="5668" ht="22.5" customHeight="1">
      <c r="B5668" s="7"/>
      <c r="C5668" s="7"/>
      <c r="D5668" s="7"/>
      <c r="E5668" s="7"/>
      <c r="F5668" s="7"/>
      <c r="G5668" s="7"/>
      <c r="H5668" s="7">
        <f t="shared" si="1"/>
        <v>1029</v>
      </c>
    </row>
    <row r="5669" ht="22.5" customHeight="1">
      <c r="B5669" s="7"/>
      <c r="C5669" s="7"/>
      <c r="D5669" s="7"/>
      <c r="E5669" s="7"/>
      <c r="F5669" s="7"/>
      <c r="G5669" s="7"/>
      <c r="H5669" s="7">
        <f t="shared" si="1"/>
        <v>1029</v>
      </c>
    </row>
    <row r="5670" ht="22.5" customHeight="1">
      <c r="B5670" s="7"/>
      <c r="C5670" s="7"/>
      <c r="D5670" s="7"/>
      <c r="E5670" s="7"/>
      <c r="F5670" s="7"/>
      <c r="G5670" s="7"/>
      <c r="H5670" s="7">
        <f t="shared" si="1"/>
        <v>1029</v>
      </c>
    </row>
    <row r="5671" ht="22.5" customHeight="1">
      <c r="B5671" s="7"/>
      <c r="C5671" s="7"/>
      <c r="D5671" s="7"/>
      <c r="E5671" s="7"/>
      <c r="F5671" s="7"/>
      <c r="G5671" s="7"/>
      <c r="H5671" s="7">
        <f t="shared" si="1"/>
        <v>1029</v>
      </c>
    </row>
    <row r="5672" ht="22.5" customHeight="1">
      <c r="B5672" s="7"/>
      <c r="C5672" s="7"/>
      <c r="D5672" s="7"/>
      <c r="E5672" s="7"/>
      <c r="F5672" s="7"/>
      <c r="G5672" s="7"/>
      <c r="H5672" s="7">
        <f t="shared" si="1"/>
        <v>1029</v>
      </c>
    </row>
    <row r="5673" ht="22.5" customHeight="1">
      <c r="B5673" s="7"/>
      <c r="C5673" s="7"/>
      <c r="D5673" s="7"/>
      <c r="E5673" s="7"/>
      <c r="F5673" s="7"/>
      <c r="G5673" s="7"/>
      <c r="H5673" s="7">
        <f t="shared" si="1"/>
        <v>1029</v>
      </c>
    </row>
    <row r="5674" ht="22.5" customHeight="1">
      <c r="B5674" s="7"/>
      <c r="C5674" s="7"/>
      <c r="D5674" s="7"/>
      <c r="E5674" s="7"/>
      <c r="F5674" s="7"/>
      <c r="G5674" s="7"/>
      <c r="H5674" s="7">
        <f t="shared" si="1"/>
        <v>1029</v>
      </c>
    </row>
    <row r="5675" ht="22.5" customHeight="1">
      <c r="B5675" s="7"/>
      <c r="C5675" s="7"/>
      <c r="D5675" s="7"/>
      <c r="E5675" s="7"/>
      <c r="F5675" s="7"/>
      <c r="G5675" s="7"/>
      <c r="H5675" s="7">
        <f t="shared" si="1"/>
        <v>1029</v>
      </c>
    </row>
    <row r="5676" ht="22.5" customHeight="1">
      <c r="B5676" s="7"/>
      <c r="C5676" s="7"/>
      <c r="D5676" s="7"/>
      <c r="E5676" s="7"/>
      <c r="F5676" s="7"/>
      <c r="G5676" s="7"/>
      <c r="H5676" s="7">
        <f t="shared" si="1"/>
        <v>1029</v>
      </c>
    </row>
    <row r="5677" ht="22.5" customHeight="1">
      <c r="B5677" s="7"/>
      <c r="C5677" s="7"/>
      <c r="D5677" s="7"/>
      <c r="E5677" s="7"/>
      <c r="F5677" s="7"/>
      <c r="G5677" s="7"/>
      <c r="H5677" s="7">
        <f t="shared" si="1"/>
        <v>1029</v>
      </c>
    </row>
    <row r="5678" ht="22.5" customHeight="1">
      <c r="B5678" s="7"/>
      <c r="C5678" s="7"/>
      <c r="D5678" s="7"/>
      <c r="E5678" s="7"/>
      <c r="F5678" s="7"/>
      <c r="G5678" s="7"/>
      <c r="H5678" s="7">
        <f t="shared" si="1"/>
        <v>1029</v>
      </c>
    </row>
    <row r="5679" ht="22.5" customHeight="1">
      <c r="B5679" s="7"/>
      <c r="C5679" s="7"/>
      <c r="D5679" s="7"/>
      <c r="E5679" s="7"/>
      <c r="F5679" s="7"/>
      <c r="G5679" s="7"/>
      <c r="H5679" s="7">
        <f t="shared" si="1"/>
        <v>1029</v>
      </c>
    </row>
    <row r="5680" ht="22.5" customHeight="1">
      <c r="B5680" s="7"/>
      <c r="C5680" s="7"/>
      <c r="D5680" s="7"/>
      <c r="E5680" s="7"/>
      <c r="F5680" s="7"/>
      <c r="G5680" s="7"/>
      <c r="H5680" s="7">
        <f t="shared" si="1"/>
        <v>1029</v>
      </c>
    </row>
    <row r="5681" ht="22.5" customHeight="1">
      <c r="B5681" s="7"/>
      <c r="C5681" s="7"/>
      <c r="D5681" s="7"/>
      <c r="E5681" s="7"/>
      <c r="F5681" s="7"/>
      <c r="G5681" s="7"/>
      <c r="H5681" s="7">
        <f t="shared" si="1"/>
        <v>1029</v>
      </c>
    </row>
    <row r="5682" ht="22.5" customHeight="1">
      <c r="B5682" s="7"/>
      <c r="C5682" s="7"/>
      <c r="D5682" s="7"/>
      <c r="E5682" s="7"/>
      <c r="F5682" s="7"/>
      <c r="G5682" s="7"/>
      <c r="H5682" s="7">
        <f t="shared" si="1"/>
        <v>1029</v>
      </c>
    </row>
    <row r="5683" ht="22.5" customHeight="1">
      <c r="B5683" s="7"/>
      <c r="C5683" s="7"/>
      <c r="D5683" s="7"/>
      <c r="E5683" s="7"/>
      <c r="F5683" s="7"/>
      <c r="G5683" s="7"/>
      <c r="H5683" s="7">
        <f t="shared" si="1"/>
        <v>1029</v>
      </c>
    </row>
    <row r="5684" ht="22.5" customHeight="1">
      <c r="B5684" s="7"/>
      <c r="C5684" s="7"/>
      <c r="D5684" s="7"/>
      <c r="E5684" s="7"/>
      <c r="F5684" s="7"/>
      <c r="G5684" s="7"/>
      <c r="H5684" s="7">
        <f t="shared" si="1"/>
        <v>1029</v>
      </c>
    </row>
    <row r="5685" ht="22.5" customHeight="1">
      <c r="B5685" s="7"/>
      <c r="C5685" s="7"/>
      <c r="D5685" s="7"/>
      <c r="E5685" s="7"/>
      <c r="F5685" s="7"/>
      <c r="G5685" s="7"/>
      <c r="H5685" s="7">
        <f t="shared" si="1"/>
        <v>1029</v>
      </c>
    </row>
    <row r="5686" ht="22.5" customHeight="1">
      <c r="B5686" s="7"/>
      <c r="C5686" s="7"/>
      <c r="D5686" s="7"/>
      <c r="E5686" s="7"/>
      <c r="F5686" s="7"/>
      <c r="G5686" s="7"/>
      <c r="H5686" s="7">
        <f t="shared" si="1"/>
        <v>1029</v>
      </c>
    </row>
    <row r="5687" ht="22.5" customHeight="1">
      <c r="B5687" s="7"/>
      <c r="C5687" s="7"/>
      <c r="D5687" s="7"/>
      <c r="E5687" s="7"/>
      <c r="F5687" s="7"/>
      <c r="G5687" s="7"/>
      <c r="H5687" s="7">
        <f t="shared" si="1"/>
        <v>1029</v>
      </c>
    </row>
    <row r="5688" ht="22.5" customHeight="1">
      <c r="B5688" s="7"/>
      <c r="C5688" s="7"/>
      <c r="D5688" s="7"/>
      <c r="E5688" s="7"/>
      <c r="F5688" s="7"/>
      <c r="G5688" s="7"/>
      <c r="H5688" s="7">
        <f t="shared" si="1"/>
        <v>1029</v>
      </c>
    </row>
    <row r="5689" ht="22.5" customHeight="1">
      <c r="B5689" s="7"/>
      <c r="C5689" s="7"/>
      <c r="D5689" s="7"/>
      <c r="E5689" s="7"/>
      <c r="F5689" s="7"/>
      <c r="G5689" s="7"/>
      <c r="H5689" s="7">
        <f t="shared" si="1"/>
        <v>1029</v>
      </c>
    </row>
    <row r="5690" ht="22.5" customHeight="1">
      <c r="B5690" s="7"/>
      <c r="C5690" s="7"/>
      <c r="D5690" s="7"/>
      <c r="E5690" s="7"/>
      <c r="F5690" s="7"/>
      <c r="G5690" s="7"/>
      <c r="H5690" s="7">
        <f t="shared" si="1"/>
        <v>1029</v>
      </c>
    </row>
    <row r="5691" ht="22.5" customHeight="1">
      <c r="B5691" s="7"/>
      <c r="C5691" s="7"/>
      <c r="D5691" s="7"/>
      <c r="E5691" s="7"/>
      <c r="F5691" s="7"/>
      <c r="G5691" s="7"/>
      <c r="H5691" s="7">
        <f t="shared" si="1"/>
        <v>1029</v>
      </c>
    </row>
    <row r="5692" ht="22.5" customHeight="1">
      <c r="B5692" s="7"/>
      <c r="C5692" s="7"/>
      <c r="D5692" s="7"/>
      <c r="E5692" s="7"/>
      <c r="F5692" s="7"/>
      <c r="G5692" s="7"/>
      <c r="H5692" s="7">
        <f t="shared" si="1"/>
        <v>1029</v>
      </c>
    </row>
    <row r="5693" ht="22.5" customHeight="1">
      <c r="B5693" s="7"/>
      <c r="C5693" s="7"/>
      <c r="D5693" s="7"/>
      <c r="E5693" s="7"/>
      <c r="F5693" s="7"/>
      <c r="G5693" s="7"/>
      <c r="H5693" s="7">
        <f t="shared" si="1"/>
        <v>1029</v>
      </c>
    </row>
    <row r="5694" ht="22.5" customHeight="1">
      <c r="B5694" s="7"/>
      <c r="C5694" s="7"/>
      <c r="D5694" s="7"/>
      <c r="E5694" s="7"/>
      <c r="F5694" s="7"/>
      <c r="G5694" s="7"/>
      <c r="H5694" s="7">
        <f t="shared" si="1"/>
        <v>1029</v>
      </c>
    </row>
    <row r="5695" ht="22.5" customHeight="1">
      <c r="B5695" s="7"/>
      <c r="C5695" s="7"/>
      <c r="D5695" s="7"/>
      <c r="E5695" s="7"/>
      <c r="F5695" s="7"/>
      <c r="G5695" s="7"/>
      <c r="H5695" s="7">
        <f t="shared" si="1"/>
        <v>1029</v>
      </c>
    </row>
    <row r="5696" ht="22.5" customHeight="1">
      <c r="B5696" s="7"/>
      <c r="C5696" s="7"/>
      <c r="D5696" s="7"/>
      <c r="E5696" s="7"/>
      <c r="F5696" s="7"/>
      <c r="G5696" s="7"/>
      <c r="H5696" s="7">
        <f t="shared" si="1"/>
        <v>1029</v>
      </c>
    </row>
    <row r="5697" ht="22.5" customHeight="1">
      <c r="B5697" s="7"/>
      <c r="C5697" s="7"/>
      <c r="D5697" s="7"/>
      <c r="E5697" s="7"/>
      <c r="F5697" s="7"/>
      <c r="G5697" s="7"/>
      <c r="H5697" s="7">
        <f t="shared" si="1"/>
        <v>1029</v>
      </c>
    </row>
    <row r="5698" ht="22.5" customHeight="1">
      <c r="B5698" s="7"/>
      <c r="C5698" s="7"/>
      <c r="D5698" s="7"/>
      <c r="E5698" s="7"/>
      <c r="F5698" s="7"/>
      <c r="G5698" s="7"/>
      <c r="H5698" s="7">
        <f t="shared" si="1"/>
        <v>1029</v>
      </c>
    </row>
    <row r="5699" ht="22.5" customHeight="1">
      <c r="B5699" s="7"/>
      <c r="C5699" s="7"/>
      <c r="D5699" s="7"/>
      <c r="E5699" s="7"/>
      <c r="F5699" s="7"/>
      <c r="G5699" s="7"/>
      <c r="H5699" s="7">
        <f t="shared" si="1"/>
        <v>1029</v>
      </c>
    </row>
    <row r="5700" ht="22.5" customHeight="1">
      <c r="B5700" s="7"/>
      <c r="C5700" s="7"/>
      <c r="D5700" s="7"/>
      <c r="E5700" s="7"/>
      <c r="F5700" s="7"/>
      <c r="G5700" s="7"/>
      <c r="H5700" s="7">
        <f t="shared" si="1"/>
        <v>1029</v>
      </c>
    </row>
    <row r="5701" ht="22.5" customHeight="1">
      <c r="B5701" s="7"/>
      <c r="C5701" s="7"/>
      <c r="D5701" s="7"/>
      <c r="E5701" s="7"/>
      <c r="F5701" s="7"/>
      <c r="G5701" s="7"/>
      <c r="H5701" s="7">
        <f t="shared" si="1"/>
        <v>1029</v>
      </c>
    </row>
    <row r="5702" ht="22.5" customHeight="1">
      <c r="B5702" s="7"/>
      <c r="C5702" s="7"/>
      <c r="D5702" s="7"/>
      <c r="E5702" s="7"/>
      <c r="F5702" s="7"/>
      <c r="G5702" s="7"/>
      <c r="H5702" s="7">
        <f t="shared" si="1"/>
        <v>1029</v>
      </c>
    </row>
    <row r="5703" ht="22.5" customHeight="1">
      <c r="B5703" s="7"/>
      <c r="C5703" s="7"/>
      <c r="D5703" s="7"/>
      <c r="E5703" s="7"/>
      <c r="F5703" s="7"/>
      <c r="G5703" s="7"/>
      <c r="H5703" s="7">
        <f t="shared" si="1"/>
        <v>1029</v>
      </c>
    </row>
    <row r="5704" ht="22.5" customHeight="1">
      <c r="B5704" s="7"/>
      <c r="C5704" s="7"/>
      <c r="D5704" s="7"/>
      <c r="E5704" s="7"/>
      <c r="F5704" s="7"/>
      <c r="G5704" s="7"/>
      <c r="H5704" s="7">
        <f t="shared" si="1"/>
        <v>1029</v>
      </c>
    </row>
    <row r="5705" ht="22.5" customHeight="1">
      <c r="B5705" s="7"/>
      <c r="C5705" s="7"/>
      <c r="D5705" s="7"/>
      <c r="E5705" s="7"/>
      <c r="F5705" s="7"/>
      <c r="G5705" s="7"/>
      <c r="H5705" s="7">
        <f t="shared" si="1"/>
        <v>1029</v>
      </c>
    </row>
    <row r="5706" ht="22.5" customHeight="1">
      <c r="B5706" s="7"/>
      <c r="C5706" s="7"/>
      <c r="D5706" s="7"/>
      <c r="E5706" s="7"/>
      <c r="F5706" s="7"/>
      <c r="G5706" s="7"/>
      <c r="H5706" s="7">
        <f t="shared" si="1"/>
        <v>1029</v>
      </c>
    </row>
    <row r="5707" ht="22.5" customHeight="1">
      <c r="B5707" s="7"/>
      <c r="C5707" s="7"/>
      <c r="D5707" s="7"/>
      <c r="E5707" s="7"/>
      <c r="F5707" s="7"/>
      <c r="G5707" s="7"/>
      <c r="H5707" s="7">
        <f t="shared" si="1"/>
        <v>1029</v>
      </c>
    </row>
    <row r="5708" ht="22.5" customHeight="1">
      <c r="B5708" s="7"/>
      <c r="C5708" s="7"/>
      <c r="D5708" s="7"/>
      <c r="E5708" s="7"/>
      <c r="F5708" s="7"/>
      <c r="G5708" s="7"/>
      <c r="H5708" s="7">
        <f t="shared" si="1"/>
        <v>1029</v>
      </c>
    </row>
    <row r="5709" ht="22.5" customHeight="1">
      <c r="B5709" s="7"/>
      <c r="C5709" s="7"/>
      <c r="D5709" s="7"/>
      <c r="E5709" s="7"/>
      <c r="F5709" s="7"/>
      <c r="G5709" s="7"/>
      <c r="H5709" s="7">
        <f t="shared" si="1"/>
        <v>1029</v>
      </c>
    </row>
    <row r="5710" ht="22.5" customHeight="1">
      <c r="B5710" s="7"/>
      <c r="C5710" s="7"/>
      <c r="D5710" s="7"/>
      <c r="E5710" s="7"/>
      <c r="F5710" s="7"/>
      <c r="G5710" s="7"/>
      <c r="H5710" s="7">
        <f t="shared" si="1"/>
        <v>1029</v>
      </c>
    </row>
    <row r="5711" ht="22.5" customHeight="1">
      <c r="B5711" s="7"/>
      <c r="C5711" s="7"/>
      <c r="D5711" s="7"/>
      <c r="E5711" s="7"/>
      <c r="F5711" s="7"/>
      <c r="G5711" s="7"/>
      <c r="H5711" s="7">
        <f t="shared" si="1"/>
        <v>1029</v>
      </c>
    </row>
    <row r="5712" ht="22.5" customHeight="1">
      <c r="B5712" s="7"/>
      <c r="C5712" s="7"/>
      <c r="D5712" s="7"/>
      <c r="E5712" s="7"/>
      <c r="F5712" s="7"/>
      <c r="G5712" s="7"/>
      <c r="H5712" s="7">
        <f t="shared" si="1"/>
        <v>1029</v>
      </c>
    </row>
    <row r="5713" ht="22.5" customHeight="1">
      <c r="B5713" s="7"/>
      <c r="C5713" s="7"/>
      <c r="D5713" s="7"/>
      <c r="E5713" s="7"/>
      <c r="F5713" s="7"/>
      <c r="G5713" s="7"/>
      <c r="H5713" s="7">
        <f t="shared" si="1"/>
        <v>1029</v>
      </c>
    </row>
    <row r="5714" ht="22.5" customHeight="1">
      <c r="B5714" s="7"/>
      <c r="C5714" s="7"/>
      <c r="D5714" s="7"/>
      <c r="E5714" s="7"/>
      <c r="F5714" s="7"/>
      <c r="G5714" s="7"/>
      <c r="H5714" s="7">
        <f t="shared" si="1"/>
        <v>1029</v>
      </c>
    </row>
    <row r="5715" ht="22.5" customHeight="1">
      <c r="B5715" s="7"/>
      <c r="C5715" s="7"/>
      <c r="D5715" s="7"/>
      <c r="E5715" s="7"/>
      <c r="F5715" s="7"/>
      <c r="G5715" s="7"/>
      <c r="H5715" s="7">
        <f t="shared" si="1"/>
        <v>1029</v>
      </c>
    </row>
    <row r="5716" ht="22.5" customHeight="1">
      <c r="B5716" s="7"/>
      <c r="C5716" s="7"/>
      <c r="D5716" s="7"/>
      <c r="E5716" s="7"/>
      <c r="F5716" s="7"/>
      <c r="G5716" s="7"/>
      <c r="H5716" s="7">
        <f t="shared" si="1"/>
        <v>1029</v>
      </c>
    </row>
    <row r="5717" ht="22.5" customHeight="1">
      <c r="B5717" s="7"/>
      <c r="C5717" s="7"/>
      <c r="D5717" s="7"/>
      <c r="E5717" s="7"/>
      <c r="F5717" s="7"/>
      <c r="G5717" s="7"/>
      <c r="H5717" s="7">
        <f t="shared" si="1"/>
        <v>1029</v>
      </c>
    </row>
    <row r="5718" ht="22.5" customHeight="1">
      <c r="B5718" s="7"/>
      <c r="C5718" s="7"/>
      <c r="D5718" s="7"/>
      <c r="E5718" s="7"/>
      <c r="F5718" s="7"/>
      <c r="G5718" s="7"/>
      <c r="H5718" s="7">
        <f t="shared" si="1"/>
        <v>1029</v>
      </c>
    </row>
    <row r="5719" ht="22.5" customHeight="1">
      <c r="B5719" s="7"/>
      <c r="C5719" s="7"/>
      <c r="D5719" s="7"/>
      <c r="E5719" s="7"/>
      <c r="F5719" s="7"/>
      <c r="G5719" s="7"/>
      <c r="H5719" s="7">
        <f t="shared" si="1"/>
        <v>1029</v>
      </c>
    </row>
    <row r="5720" ht="22.5" customHeight="1">
      <c r="B5720" s="7"/>
      <c r="C5720" s="7"/>
      <c r="D5720" s="7"/>
      <c r="E5720" s="7"/>
      <c r="F5720" s="7"/>
      <c r="G5720" s="7"/>
      <c r="H5720" s="7">
        <f t="shared" si="1"/>
        <v>1029</v>
      </c>
    </row>
    <row r="5721" ht="22.5" customHeight="1">
      <c r="B5721" s="7"/>
      <c r="C5721" s="7"/>
      <c r="D5721" s="7"/>
      <c r="E5721" s="7"/>
      <c r="F5721" s="7"/>
      <c r="G5721" s="7"/>
      <c r="H5721" s="7">
        <f t="shared" si="1"/>
        <v>1029</v>
      </c>
    </row>
    <row r="5722" ht="22.5" customHeight="1">
      <c r="B5722" s="7"/>
      <c r="C5722" s="7"/>
      <c r="D5722" s="7"/>
      <c r="E5722" s="7"/>
      <c r="F5722" s="7"/>
      <c r="G5722" s="7"/>
      <c r="H5722" s="7">
        <f t="shared" si="1"/>
        <v>1029</v>
      </c>
    </row>
    <row r="5723" ht="22.5" customHeight="1">
      <c r="B5723" s="7"/>
      <c r="C5723" s="7"/>
      <c r="D5723" s="7"/>
      <c r="E5723" s="7"/>
      <c r="F5723" s="7"/>
      <c r="G5723" s="7"/>
      <c r="H5723" s="7">
        <f t="shared" si="1"/>
        <v>1029</v>
      </c>
    </row>
    <row r="5724" ht="22.5" customHeight="1">
      <c r="B5724" s="7"/>
      <c r="C5724" s="7"/>
      <c r="D5724" s="7"/>
      <c r="E5724" s="7"/>
      <c r="F5724" s="7"/>
      <c r="G5724" s="7"/>
      <c r="H5724" s="7">
        <f t="shared" si="1"/>
        <v>1029</v>
      </c>
    </row>
    <row r="5725" ht="22.5" customHeight="1">
      <c r="B5725" s="7"/>
      <c r="C5725" s="7"/>
      <c r="D5725" s="7"/>
      <c r="E5725" s="7"/>
      <c r="F5725" s="7"/>
      <c r="G5725" s="7"/>
      <c r="H5725" s="7">
        <f t="shared" si="1"/>
        <v>1029</v>
      </c>
    </row>
    <row r="5726" ht="22.5" customHeight="1">
      <c r="B5726" s="7"/>
      <c r="C5726" s="7"/>
      <c r="D5726" s="7"/>
      <c r="E5726" s="7"/>
      <c r="F5726" s="7"/>
      <c r="G5726" s="7"/>
      <c r="H5726" s="7">
        <f t="shared" si="1"/>
        <v>1029</v>
      </c>
    </row>
    <row r="5727" ht="22.5" customHeight="1">
      <c r="B5727" s="7"/>
      <c r="C5727" s="7"/>
      <c r="D5727" s="7"/>
      <c r="E5727" s="7"/>
      <c r="F5727" s="7"/>
      <c r="G5727" s="7"/>
      <c r="H5727" s="7">
        <f t="shared" si="1"/>
        <v>1029</v>
      </c>
    </row>
    <row r="5728" ht="22.5" customHeight="1">
      <c r="B5728" s="7"/>
      <c r="C5728" s="7"/>
      <c r="D5728" s="7"/>
      <c r="E5728" s="7"/>
      <c r="F5728" s="7"/>
      <c r="G5728" s="7"/>
      <c r="H5728" s="7">
        <f t="shared" si="1"/>
        <v>1029</v>
      </c>
    </row>
    <row r="5729" ht="22.5" customHeight="1">
      <c r="B5729" s="7"/>
      <c r="C5729" s="7"/>
      <c r="D5729" s="7"/>
      <c r="E5729" s="7"/>
      <c r="F5729" s="7"/>
      <c r="G5729" s="7"/>
      <c r="H5729" s="7">
        <f t="shared" si="1"/>
        <v>1029</v>
      </c>
    </row>
    <row r="5730" ht="22.5" customHeight="1">
      <c r="B5730" s="7"/>
      <c r="C5730" s="7"/>
      <c r="D5730" s="7"/>
      <c r="E5730" s="7"/>
      <c r="F5730" s="7"/>
      <c r="G5730" s="7"/>
      <c r="H5730" s="7">
        <f t="shared" si="1"/>
        <v>1029</v>
      </c>
    </row>
    <row r="5731" ht="22.5" customHeight="1">
      <c r="B5731" s="7"/>
      <c r="C5731" s="7"/>
      <c r="D5731" s="7"/>
      <c r="E5731" s="7"/>
      <c r="F5731" s="7"/>
      <c r="G5731" s="7"/>
      <c r="H5731" s="7">
        <f t="shared" si="1"/>
        <v>1029</v>
      </c>
    </row>
    <row r="5732" ht="22.5" customHeight="1">
      <c r="B5732" s="7"/>
      <c r="C5732" s="7"/>
      <c r="D5732" s="7"/>
      <c r="E5732" s="7"/>
      <c r="F5732" s="7"/>
      <c r="G5732" s="7"/>
      <c r="H5732" s="7">
        <f t="shared" si="1"/>
        <v>1029</v>
      </c>
    </row>
    <row r="5733" ht="22.5" customHeight="1">
      <c r="B5733" s="7"/>
      <c r="C5733" s="7"/>
      <c r="D5733" s="7"/>
      <c r="E5733" s="7"/>
      <c r="F5733" s="7"/>
      <c r="G5733" s="7"/>
      <c r="H5733" s="7">
        <f t="shared" si="1"/>
        <v>1029</v>
      </c>
    </row>
    <row r="5734" ht="22.5" customHeight="1">
      <c r="B5734" s="7"/>
      <c r="C5734" s="7"/>
      <c r="D5734" s="7"/>
      <c r="E5734" s="7"/>
      <c r="F5734" s="7"/>
      <c r="G5734" s="7"/>
      <c r="H5734" s="7">
        <f t="shared" si="1"/>
        <v>1029</v>
      </c>
    </row>
    <row r="5735" ht="22.5" customHeight="1">
      <c r="B5735" s="7"/>
      <c r="C5735" s="7"/>
      <c r="D5735" s="7"/>
      <c r="E5735" s="7"/>
      <c r="F5735" s="7"/>
      <c r="G5735" s="7"/>
      <c r="H5735" s="7">
        <f t="shared" si="1"/>
        <v>1029</v>
      </c>
    </row>
    <row r="5736" ht="22.5" customHeight="1">
      <c r="B5736" s="7"/>
      <c r="C5736" s="7"/>
      <c r="D5736" s="7"/>
      <c r="E5736" s="7"/>
      <c r="F5736" s="7"/>
      <c r="G5736" s="7"/>
      <c r="H5736" s="7">
        <f t="shared" si="1"/>
        <v>1029</v>
      </c>
    </row>
    <row r="5737" ht="22.5" customHeight="1">
      <c r="B5737" s="7"/>
      <c r="C5737" s="7"/>
      <c r="D5737" s="7"/>
      <c r="E5737" s="7"/>
      <c r="F5737" s="7"/>
      <c r="G5737" s="7"/>
      <c r="H5737" s="7">
        <f t="shared" si="1"/>
        <v>1029</v>
      </c>
    </row>
    <row r="5738" ht="22.5" customHeight="1">
      <c r="B5738" s="7"/>
      <c r="C5738" s="7"/>
      <c r="D5738" s="7"/>
      <c r="E5738" s="7"/>
      <c r="F5738" s="7"/>
      <c r="G5738" s="7"/>
      <c r="H5738" s="7">
        <f t="shared" si="1"/>
        <v>1029</v>
      </c>
    </row>
    <row r="5739" ht="22.5" customHeight="1">
      <c r="B5739" s="7"/>
      <c r="C5739" s="7"/>
      <c r="D5739" s="7"/>
      <c r="E5739" s="7"/>
      <c r="F5739" s="7"/>
      <c r="G5739" s="7"/>
      <c r="H5739" s="7">
        <f t="shared" si="1"/>
        <v>1029</v>
      </c>
    </row>
    <row r="5740" ht="22.5" customHeight="1">
      <c r="B5740" s="7"/>
      <c r="C5740" s="7"/>
      <c r="D5740" s="7"/>
      <c r="E5740" s="7"/>
      <c r="F5740" s="7"/>
      <c r="G5740" s="7"/>
      <c r="H5740" s="7">
        <f t="shared" si="1"/>
        <v>1029</v>
      </c>
    </row>
    <row r="5741" ht="22.5" customHeight="1">
      <c r="B5741" s="7"/>
      <c r="C5741" s="7"/>
      <c r="D5741" s="7"/>
      <c r="E5741" s="7"/>
      <c r="F5741" s="7"/>
      <c r="G5741" s="7"/>
      <c r="H5741" s="7">
        <f t="shared" si="1"/>
        <v>1029</v>
      </c>
    </row>
    <row r="5742" ht="22.5" customHeight="1">
      <c r="B5742" s="7"/>
      <c r="C5742" s="7"/>
      <c r="D5742" s="7"/>
      <c r="E5742" s="7"/>
      <c r="F5742" s="7"/>
      <c r="G5742" s="7"/>
      <c r="H5742" s="7">
        <f t="shared" si="1"/>
        <v>1029</v>
      </c>
    </row>
    <row r="5743" ht="22.5" customHeight="1">
      <c r="B5743" s="7"/>
      <c r="C5743" s="7"/>
      <c r="D5743" s="7"/>
      <c r="E5743" s="7"/>
      <c r="F5743" s="7"/>
      <c r="G5743" s="7"/>
      <c r="H5743" s="7">
        <f t="shared" si="1"/>
        <v>1029</v>
      </c>
    </row>
    <row r="5744" ht="22.5" customHeight="1">
      <c r="B5744" s="7"/>
      <c r="C5744" s="7"/>
      <c r="D5744" s="7"/>
      <c r="E5744" s="7"/>
      <c r="F5744" s="7"/>
      <c r="G5744" s="7"/>
      <c r="H5744" s="7">
        <f t="shared" si="1"/>
        <v>1029</v>
      </c>
    </row>
    <row r="5745" ht="22.5" customHeight="1">
      <c r="B5745" s="7"/>
      <c r="C5745" s="7"/>
      <c r="D5745" s="7"/>
      <c r="E5745" s="7"/>
      <c r="F5745" s="7"/>
      <c r="G5745" s="7"/>
      <c r="H5745" s="7">
        <f t="shared" si="1"/>
        <v>1029</v>
      </c>
    </row>
    <row r="5746" ht="22.5" customHeight="1">
      <c r="B5746" s="7"/>
      <c r="C5746" s="7"/>
      <c r="D5746" s="7"/>
      <c r="E5746" s="7"/>
      <c r="F5746" s="7"/>
      <c r="G5746" s="7"/>
      <c r="H5746" s="7">
        <f t="shared" si="1"/>
        <v>1029</v>
      </c>
    </row>
    <row r="5747" ht="22.5" customHeight="1">
      <c r="B5747" s="7"/>
      <c r="C5747" s="7"/>
      <c r="D5747" s="7"/>
      <c r="E5747" s="7"/>
      <c r="F5747" s="7"/>
      <c r="G5747" s="7"/>
      <c r="H5747" s="7">
        <f t="shared" si="1"/>
        <v>1029</v>
      </c>
    </row>
    <row r="5748" ht="22.5" customHeight="1">
      <c r="B5748" s="7"/>
      <c r="C5748" s="7"/>
      <c r="D5748" s="7"/>
      <c r="E5748" s="7"/>
      <c r="F5748" s="7"/>
      <c r="G5748" s="7"/>
      <c r="H5748" s="7">
        <f t="shared" si="1"/>
        <v>1029</v>
      </c>
    </row>
    <row r="5749" ht="22.5" customHeight="1">
      <c r="B5749" s="7"/>
      <c r="C5749" s="7"/>
      <c r="D5749" s="7"/>
      <c r="E5749" s="7"/>
      <c r="F5749" s="7"/>
      <c r="G5749" s="7"/>
      <c r="H5749" s="7">
        <f t="shared" si="1"/>
        <v>1029</v>
      </c>
    </row>
    <row r="5750" ht="22.5" customHeight="1">
      <c r="B5750" s="7"/>
      <c r="C5750" s="7"/>
      <c r="D5750" s="7"/>
      <c r="E5750" s="7"/>
      <c r="F5750" s="7"/>
      <c r="G5750" s="7"/>
      <c r="H5750" s="7">
        <f t="shared" si="1"/>
        <v>1029</v>
      </c>
    </row>
    <row r="5751" ht="22.5" customHeight="1">
      <c r="B5751" s="7"/>
      <c r="C5751" s="7"/>
      <c r="D5751" s="7"/>
      <c r="E5751" s="7"/>
      <c r="F5751" s="7"/>
      <c r="G5751" s="7"/>
      <c r="H5751" s="7">
        <f t="shared" si="1"/>
        <v>1029</v>
      </c>
    </row>
    <row r="5752" ht="22.5" customHeight="1">
      <c r="B5752" s="7"/>
      <c r="C5752" s="7"/>
      <c r="D5752" s="7"/>
      <c r="E5752" s="7"/>
      <c r="F5752" s="7"/>
      <c r="G5752" s="7"/>
      <c r="H5752" s="7">
        <f t="shared" si="1"/>
        <v>1029</v>
      </c>
    </row>
    <row r="5753" ht="22.5" customHeight="1">
      <c r="B5753" s="7"/>
      <c r="C5753" s="7"/>
      <c r="D5753" s="7"/>
      <c r="E5753" s="7"/>
      <c r="F5753" s="7"/>
      <c r="G5753" s="7"/>
      <c r="H5753" s="7">
        <f t="shared" si="1"/>
        <v>1029</v>
      </c>
    </row>
    <row r="5754" ht="22.5" customHeight="1">
      <c r="B5754" s="7"/>
      <c r="C5754" s="7"/>
      <c r="D5754" s="7"/>
      <c r="E5754" s="7"/>
      <c r="F5754" s="7"/>
      <c r="G5754" s="7"/>
      <c r="H5754" s="7">
        <f t="shared" si="1"/>
        <v>1029</v>
      </c>
    </row>
    <row r="5755" ht="22.5" customHeight="1">
      <c r="B5755" s="7"/>
      <c r="C5755" s="7"/>
      <c r="D5755" s="7"/>
      <c r="E5755" s="7"/>
      <c r="F5755" s="7"/>
      <c r="G5755" s="7"/>
      <c r="H5755" s="7">
        <f t="shared" si="1"/>
        <v>1029</v>
      </c>
    </row>
    <row r="5756" ht="22.5" customHeight="1">
      <c r="B5756" s="7"/>
      <c r="C5756" s="7"/>
      <c r="D5756" s="7"/>
      <c r="E5756" s="7"/>
      <c r="F5756" s="7"/>
      <c r="G5756" s="7"/>
      <c r="H5756" s="7">
        <f t="shared" si="1"/>
        <v>1029</v>
      </c>
    </row>
    <row r="5757" ht="22.5" customHeight="1">
      <c r="B5757" s="7"/>
      <c r="C5757" s="7"/>
      <c r="D5757" s="7"/>
      <c r="E5757" s="7"/>
      <c r="F5757" s="7"/>
      <c r="G5757" s="7"/>
      <c r="H5757" s="7">
        <f t="shared" si="1"/>
        <v>1029</v>
      </c>
    </row>
    <row r="5758" ht="22.5" customHeight="1">
      <c r="B5758" s="7"/>
      <c r="C5758" s="7"/>
      <c r="D5758" s="7"/>
      <c r="E5758" s="7"/>
      <c r="F5758" s="7"/>
      <c r="G5758" s="7"/>
      <c r="H5758" s="7">
        <f t="shared" si="1"/>
        <v>1029</v>
      </c>
    </row>
    <row r="5759" ht="22.5" customHeight="1">
      <c r="B5759" s="7"/>
      <c r="C5759" s="7"/>
      <c r="D5759" s="7"/>
      <c r="E5759" s="7"/>
      <c r="F5759" s="7"/>
      <c r="G5759" s="7"/>
      <c r="H5759" s="7">
        <f t="shared" si="1"/>
        <v>1029</v>
      </c>
    </row>
    <row r="5760" ht="22.5" customHeight="1">
      <c r="B5760" s="7"/>
      <c r="C5760" s="7"/>
      <c r="D5760" s="7"/>
      <c r="E5760" s="7"/>
      <c r="F5760" s="7"/>
      <c r="G5760" s="7"/>
      <c r="H5760" s="7">
        <f t="shared" si="1"/>
        <v>1029</v>
      </c>
    </row>
    <row r="5761" ht="22.5" customHeight="1">
      <c r="B5761" s="7"/>
      <c r="C5761" s="7"/>
      <c r="D5761" s="7"/>
      <c r="E5761" s="7"/>
      <c r="F5761" s="7"/>
      <c r="G5761" s="7"/>
      <c r="H5761" s="7">
        <f t="shared" si="1"/>
        <v>1029</v>
      </c>
    </row>
    <row r="5762" ht="22.5" customHeight="1">
      <c r="B5762" s="7"/>
      <c r="C5762" s="7"/>
      <c r="D5762" s="7"/>
      <c r="E5762" s="7"/>
      <c r="F5762" s="7"/>
      <c r="G5762" s="7"/>
      <c r="H5762" s="7">
        <f t="shared" si="1"/>
        <v>1029</v>
      </c>
    </row>
    <row r="5763" ht="22.5" customHeight="1">
      <c r="B5763" s="7"/>
      <c r="C5763" s="7"/>
      <c r="D5763" s="7"/>
      <c r="E5763" s="7"/>
      <c r="F5763" s="7"/>
      <c r="G5763" s="7"/>
      <c r="H5763" s="7">
        <f t="shared" si="1"/>
        <v>1029</v>
      </c>
    </row>
    <row r="5764" ht="22.5" customHeight="1">
      <c r="B5764" s="7"/>
      <c r="C5764" s="7"/>
      <c r="D5764" s="7"/>
      <c r="E5764" s="7"/>
      <c r="F5764" s="7"/>
      <c r="G5764" s="7"/>
      <c r="H5764" s="7">
        <f t="shared" si="1"/>
        <v>1029</v>
      </c>
    </row>
    <row r="5765" ht="22.5" customHeight="1">
      <c r="B5765" s="7"/>
      <c r="C5765" s="7"/>
      <c r="D5765" s="7"/>
      <c r="E5765" s="7"/>
      <c r="F5765" s="7"/>
      <c r="G5765" s="7"/>
      <c r="H5765" s="7">
        <f t="shared" si="1"/>
        <v>1029</v>
      </c>
    </row>
    <row r="5766" ht="22.5" customHeight="1">
      <c r="B5766" s="7"/>
      <c r="C5766" s="7"/>
      <c r="D5766" s="7"/>
      <c r="E5766" s="7"/>
      <c r="F5766" s="7"/>
      <c r="G5766" s="7"/>
      <c r="H5766" s="7">
        <f t="shared" si="1"/>
        <v>1029</v>
      </c>
    </row>
    <row r="5767" ht="22.5" customHeight="1">
      <c r="B5767" s="7"/>
      <c r="C5767" s="7"/>
      <c r="D5767" s="7"/>
      <c r="E5767" s="7"/>
      <c r="F5767" s="7"/>
      <c r="G5767" s="7"/>
      <c r="H5767" s="7">
        <f t="shared" si="1"/>
        <v>1029</v>
      </c>
    </row>
    <row r="5768" ht="22.5" customHeight="1">
      <c r="B5768" s="7"/>
      <c r="C5768" s="7"/>
      <c r="D5768" s="7"/>
      <c r="E5768" s="7"/>
      <c r="F5768" s="7"/>
      <c r="G5768" s="7"/>
      <c r="H5768" s="7">
        <f t="shared" si="1"/>
        <v>1029</v>
      </c>
    </row>
    <row r="5769" ht="22.5" customHeight="1">
      <c r="B5769" s="7"/>
      <c r="C5769" s="7"/>
      <c r="D5769" s="7"/>
      <c r="E5769" s="7"/>
      <c r="F5769" s="7"/>
      <c r="G5769" s="7"/>
      <c r="H5769" s="7">
        <f t="shared" si="1"/>
        <v>1029</v>
      </c>
    </row>
    <row r="5770" ht="22.5" customHeight="1">
      <c r="B5770" s="7"/>
      <c r="C5770" s="7"/>
      <c r="D5770" s="7"/>
      <c r="E5770" s="7"/>
      <c r="F5770" s="7"/>
      <c r="G5770" s="7"/>
      <c r="H5770" s="7">
        <f t="shared" si="1"/>
        <v>1029</v>
      </c>
    </row>
    <row r="5771" ht="22.5" customHeight="1">
      <c r="B5771" s="7"/>
      <c r="C5771" s="7"/>
      <c r="D5771" s="7"/>
      <c r="E5771" s="7"/>
      <c r="F5771" s="7"/>
      <c r="G5771" s="7"/>
      <c r="H5771" s="7">
        <f t="shared" si="1"/>
        <v>1029</v>
      </c>
    </row>
    <row r="5772" ht="22.5" customHeight="1">
      <c r="B5772" s="7"/>
      <c r="C5772" s="7"/>
      <c r="D5772" s="7"/>
      <c r="E5772" s="7"/>
      <c r="F5772" s="7"/>
      <c r="G5772" s="7"/>
      <c r="H5772" s="7">
        <f t="shared" si="1"/>
        <v>1029</v>
      </c>
    </row>
    <row r="5773" ht="22.5" customHeight="1">
      <c r="B5773" s="7"/>
      <c r="C5773" s="7"/>
      <c r="D5773" s="7"/>
      <c r="E5773" s="7"/>
      <c r="F5773" s="7"/>
      <c r="G5773" s="7"/>
      <c r="H5773" s="7">
        <f t="shared" si="1"/>
        <v>1029</v>
      </c>
    </row>
    <row r="5774" ht="22.5" customHeight="1">
      <c r="B5774" s="7"/>
      <c r="C5774" s="7"/>
      <c r="D5774" s="7"/>
      <c r="E5774" s="7"/>
      <c r="F5774" s="7"/>
      <c r="G5774" s="7"/>
      <c r="H5774" s="7">
        <f t="shared" si="1"/>
        <v>1029</v>
      </c>
    </row>
    <row r="5775" ht="22.5" customHeight="1">
      <c r="B5775" s="7"/>
      <c r="C5775" s="7"/>
      <c r="D5775" s="7"/>
      <c r="E5775" s="7"/>
      <c r="F5775" s="7"/>
      <c r="G5775" s="7"/>
      <c r="H5775" s="7">
        <f t="shared" si="1"/>
        <v>1029</v>
      </c>
    </row>
    <row r="5776" ht="22.5" customHeight="1">
      <c r="B5776" s="7"/>
      <c r="C5776" s="7"/>
      <c r="D5776" s="7"/>
      <c r="E5776" s="7"/>
      <c r="F5776" s="7"/>
      <c r="G5776" s="7"/>
      <c r="H5776" s="7">
        <f t="shared" si="1"/>
        <v>1029</v>
      </c>
    </row>
    <row r="5777" ht="22.5" customHeight="1">
      <c r="B5777" s="7"/>
      <c r="C5777" s="7"/>
      <c r="D5777" s="7"/>
      <c r="E5777" s="7"/>
      <c r="F5777" s="7"/>
      <c r="G5777" s="7"/>
      <c r="H5777" s="7">
        <f t="shared" si="1"/>
        <v>1029</v>
      </c>
    </row>
    <row r="5778" ht="22.5" customHeight="1">
      <c r="B5778" s="7"/>
      <c r="C5778" s="7"/>
      <c r="D5778" s="7"/>
      <c r="E5778" s="7"/>
      <c r="F5778" s="7"/>
      <c r="G5778" s="7"/>
      <c r="H5778" s="7">
        <f t="shared" si="1"/>
        <v>1029</v>
      </c>
    </row>
    <row r="5779" ht="22.5" customHeight="1">
      <c r="B5779" s="7"/>
      <c r="C5779" s="7"/>
      <c r="D5779" s="7"/>
      <c r="E5779" s="7"/>
      <c r="F5779" s="7"/>
      <c r="G5779" s="7"/>
      <c r="H5779" s="7">
        <f t="shared" si="1"/>
        <v>1029</v>
      </c>
    </row>
    <row r="5780" ht="22.5" customHeight="1">
      <c r="B5780" s="7"/>
      <c r="C5780" s="7"/>
      <c r="D5780" s="7"/>
      <c r="E5780" s="7"/>
      <c r="F5780" s="7"/>
      <c r="G5780" s="7"/>
      <c r="H5780" s="7">
        <f t="shared" si="1"/>
        <v>1029</v>
      </c>
    </row>
    <row r="5781" ht="22.5" customHeight="1">
      <c r="B5781" s="7"/>
      <c r="C5781" s="7"/>
      <c r="D5781" s="7"/>
      <c r="E5781" s="7"/>
      <c r="F5781" s="7"/>
      <c r="G5781" s="7"/>
      <c r="H5781" s="7">
        <f t="shared" si="1"/>
        <v>1029</v>
      </c>
    </row>
    <row r="5782" ht="22.5" customHeight="1">
      <c r="B5782" s="7"/>
      <c r="C5782" s="7"/>
      <c r="D5782" s="7"/>
      <c r="E5782" s="7"/>
      <c r="F5782" s="7"/>
      <c r="G5782" s="7"/>
      <c r="H5782" s="7">
        <f t="shared" si="1"/>
        <v>1029</v>
      </c>
    </row>
    <row r="5783" ht="22.5" customHeight="1">
      <c r="B5783" s="7"/>
      <c r="C5783" s="7"/>
      <c r="D5783" s="7"/>
      <c r="E5783" s="7"/>
      <c r="F5783" s="7"/>
      <c r="G5783" s="7"/>
      <c r="H5783" s="7">
        <f t="shared" si="1"/>
        <v>1029</v>
      </c>
    </row>
    <row r="5784" ht="22.5" customHeight="1">
      <c r="B5784" s="7"/>
      <c r="C5784" s="7"/>
      <c r="D5784" s="7"/>
      <c r="E5784" s="7"/>
      <c r="F5784" s="7"/>
      <c r="G5784" s="7"/>
      <c r="H5784" s="7">
        <f t="shared" si="1"/>
        <v>1029</v>
      </c>
    </row>
    <row r="5785" ht="22.5" customHeight="1">
      <c r="B5785" s="7"/>
      <c r="C5785" s="7"/>
      <c r="D5785" s="7"/>
      <c r="E5785" s="7"/>
      <c r="F5785" s="7"/>
      <c r="G5785" s="7"/>
      <c r="H5785" s="7">
        <f t="shared" si="1"/>
        <v>1029</v>
      </c>
    </row>
    <row r="5786" ht="22.5" customHeight="1">
      <c r="B5786" s="7"/>
      <c r="C5786" s="7"/>
      <c r="D5786" s="7"/>
      <c r="E5786" s="7"/>
      <c r="F5786" s="7"/>
      <c r="G5786" s="7"/>
      <c r="H5786" s="7">
        <f t="shared" si="1"/>
        <v>1029</v>
      </c>
    </row>
    <row r="5787" ht="22.5" customHeight="1">
      <c r="B5787" s="7"/>
      <c r="C5787" s="7"/>
      <c r="D5787" s="7"/>
      <c r="E5787" s="7"/>
      <c r="F5787" s="7"/>
      <c r="G5787" s="7"/>
      <c r="H5787" s="7">
        <f t="shared" si="1"/>
        <v>1029</v>
      </c>
    </row>
    <row r="5788" ht="22.5" customHeight="1">
      <c r="B5788" s="7"/>
      <c r="C5788" s="7"/>
      <c r="D5788" s="7"/>
      <c r="E5788" s="7"/>
      <c r="F5788" s="7"/>
      <c r="G5788" s="7"/>
      <c r="H5788" s="7">
        <f t="shared" si="1"/>
        <v>1029</v>
      </c>
    </row>
    <row r="5789" ht="22.5" customHeight="1">
      <c r="B5789" s="7"/>
      <c r="C5789" s="7"/>
      <c r="D5789" s="7"/>
      <c r="E5789" s="7"/>
      <c r="F5789" s="7"/>
      <c r="G5789" s="7"/>
      <c r="H5789" s="7">
        <f t="shared" si="1"/>
        <v>1029</v>
      </c>
    </row>
    <row r="5790" ht="22.5" customHeight="1">
      <c r="B5790" s="7"/>
      <c r="C5790" s="7"/>
      <c r="D5790" s="7"/>
      <c r="E5790" s="7"/>
      <c r="F5790" s="7"/>
      <c r="G5790" s="7"/>
      <c r="H5790" s="7">
        <f t="shared" si="1"/>
        <v>1029</v>
      </c>
    </row>
    <row r="5791" ht="22.5" customHeight="1">
      <c r="B5791" s="7"/>
      <c r="C5791" s="7"/>
      <c r="D5791" s="7"/>
      <c r="E5791" s="7"/>
      <c r="F5791" s="7"/>
      <c r="G5791" s="7"/>
      <c r="H5791" s="7">
        <f t="shared" si="1"/>
        <v>1029</v>
      </c>
    </row>
    <row r="5792" ht="22.5" customHeight="1">
      <c r="B5792" s="7"/>
      <c r="C5792" s="7"/>
      <c r="D5792" s="7"/>
      <c r="E5792" s="7"/>
      <c r="F5792" s="7"/>
      <c r="G5792" s="7"/>
      <c r="H5792" s="7">
        <f t="shared" si="1"/>
        <v>1029</v>
      </c>
    </row>
    <row r="5793" ht="22.5" customHeight="1">
      <c r="B5793" s="7"/>
      <c r="C5793" s="7"/>
      <c r="D5793" s="7"/>
      <c r="E5793" s="7"/>
      <c r="F5793" s="7"/>
      <c r="G5793" s="7"/>
      <c r="H5793" s="7">
        <f t="shared" si="1"/>
        <v>1029</v>
      </c>
    </row>
    <row r="5794" ht="22.5" customHeight="1">
      <c r="B5794" s="7"/>
      <c r="C5794" s="7"/>
      <c r="D5794" s="7"/>
      <c r="E5794" s="7"/>
      <c r="F5794" s="7"/>
      <c r="G5794" s="7"/>
      <c r="H5794" s="7">
        <f t="shared" si="1"/>
        <v>1029</v>
      </c>
    </row>
    <row r="5795" ht="22.5" customHeight="1">
      <c r="B5795" s="7"/>
      <c r="C5795" s="7"/>
      <c r="D5795" s="7"/>
      <c r="E5795" s="7"/>
      <c r="F5795" s="7"/>
      <c r="G5795" s="7"/>
      <c r="H5795" s="7">
        <f t="shared" si="1"/>
        <v>1029</v>
      </c>
    </row>
    <row r="5796" ht="22.5" customHeight="1">
      <c r="B5796" s="7"/>
      <c r="C5796" s="7"/>
      <c r="D5796" s="7"/>
      <c r="E5796" s="7"/>
      <c r="F5796" s="7"/>
      <c r="G5796" s="7"/>
      <c r="H5796" s="7">
        <f t="shared" si="1"/>
        <v>1029</v>
      </c>
    </row>
    <row r="5797" ht="22.5" customHeight="1">
      <c r="B5797" s="7"/>
      <c r="C5797" s="7"/>
      <c r="D5797" s="7"/>
      <c r="E5797" s="7"/>
      <c r="F5797" s="7"/>
      <c r="G5797" s="7"/>
      <c r="H5797" s="7">
        <f t="shared" si="1"/>
        <v>1029</v>
      </c>
    </row>
    <row r="5798" ht="22.5" customHeight="1">
      <c r="B5798" s="7"/>
      <c r="C5798" s="7"/>
      <c r="D5798" s="7"/>
      <c r="E5798" s="7"/>
      <c r="F5798" s="7"/>
      <c r="G5798" s="7"/>
      <c r="H5798" s="7">
        <f t="shared" si="1"/>
        <v>1029</v>
      </c>
    </row>
    <row r="5799" ht="22.5" customHeight="1">
      <c r="B5799" s="7"/>
      <c r="C5799" s="7"/>
      <c r="D5799" s="7"/>
      <c r="E5799" s="7"/>
      <c r="F5799" s="7"/>
      <c r="G5799" s="7"/>
      <c r="H5799" s="7">
        <f t="shared" si="1"/>
        <v>1029</v>
      </c>
    </row>
    <row r="5800" ht="22.5" customHeight="1">
      <c r="B5800" s="7"/>
      <c r="C5800" s="7"/>
      <c r="D5800" s="7"/>
      <c r="E5800" s="7"/>
      <c r="F5800" s="7"/>
      <c r="G5800" s="7"/>
      <c r="H5800" s="7">
        <f t="shared" si="1"/>
        <v>1029</v>
      </c>
    </row>
    <row r="5801" ht="22.5" customHeight="1">
      <c r="B5801" s="7"/>
      <c r="C5801" s="7"/>
      <c r="D5801" s="7"/>
      <c r="E5801" s="7"/>
      <c r="F5801" s="7"/>
      <c r="G5801" s="7"/>
      <c r="H5801" s="7">
        <f t="shared" si="1"/>
        <v>1029</v>
      </c>
    </row>
    <row r="5802" ht="22.5" customHeight="1">
      <c r="B5802" s="7"/>
      <c r="C5802" s="7"/>
      <c r="D5802" s="7"/>
      <c r="E5802" s="7"/>
      <c r="F5802" s="7"/>
      <c r="G5802" s="7"/>
      <c r="H5802" s="7">
        <f t="shared" si="1"/>
        <v>1029</v>
      </c>
    </row>
    <row r="5803" ht="22.5" customHeight="1">
      <c r="B5803" s="7"/>
      <c r="C5803" s="7"/>
      <c r="D5803" s="7"/>
      <c r="E5803" s="7"/>
      <c r="F5803" s="7"/>
      <c r="G5803" s="7"/>
      <c r="H5803" s="7">
        <f t="shared" si="1"/>
        <v>1029</v>
      </c>
    </row>
    <row r="5804" ht="22.5" customHeight="1">
      <c r="B5804" s="7"/>
      <c r="C5804" s="7"/>
      <c r="D5804" s="7"/>
      <c r="E5804" s="7"/>
      <c r="F5804" s="7"/>
      <c r="G5804" s="7"/>
      <c r="H5804" s="7">
        <f t="shared" si="1"/>
        <v>1029</v>
      </c>
    </row>
    <row r="5805" ht="22.5" customHeight="1">
      <c r="B5805" s="7"/>
      <c r="C5805" s="7"/>
      <c r="D5805" s="7"/>
      <c r="E5805" s="7"/>
      <c r="F5805" s="7"/>
      <c r="G5805" s="7"/>
      <c r="H5805" s="7">
        <f t="shared" si="1"/>
        <v>1029</v>
      </c>
    </row>
    <row r="5806" ht="22.5" customHeight="1">
      <c r="B5806" s="7"/>
      <c r="C5806" s="7"/>
      <c r="D5806" s="7"/>
      <c r="E5806" s="7"/>
      <c r="F5806" s="7"/>
      <c r="G5806" s="7"/>
      <c r="H5806" s="7">
        <f t="shared" si="1"/>
        <v>1029</v>
      </c>
    </row>
    <row r="5807" ht="22.5" customHeight="1">
      <c r="B5807" s="7"/>
      <c r="C5807" s="7"/>
      <c r="D5807" s="7"/>
      <c r="E5807" s="7"/>
      <c r="F5807" s="7"/>
      <c r="G5807" s="7"/>
      <c r="H5807" s="7">
        <f t="shared" si="1"/>
        <v>1029</v>
      </c>
    </row>
    <row r="5808" ht="22.5" customHeight="1">
      <c r="B5808" s="7"/>
      <c r="C5808" s="7"/>
      <c r="D5808" s="7"/>
      <c r="E5808" s="7"/>
      <c r="F5808" s="7"/>
      <c r="G5808" s="7"/>
      <c r="H5808" s="7">
        <f t="shared" si="1"/>
        <v>1029</v>
      </c>
    </row>
    <row r="5809" ht="22.5" customHeight="1">
      <c r="B5809" s="7"/>
      <c r="C5809" s="7"/>
      <c r="D5809" s="7"/>
      <c r="E5809" s="7"/>
      <c r="F5809" s="7"/>
      <c r="G5809" s="7"/>
      <c r="H5809" s="7">
        <f t="shared" si="1"/>
        <v>1029</v>
      </c>
    </row>
    <row r="5810" ht="22.5" customHeight="1">
      <c r="B5810" s="7"/>
      <c r="C5810" s="7"/>
      <c r="D5810" s="7"/>
      <c r="E5810" s="7"/>
      <c r="F5810" s="7"/>
      <c r="G5810" s="7"/>
      <c r="H5810" s="7">
        <f t="shared" si="1"/>
        <v>1029</v>
      </c>
    </row>
    <row r="5811" ht="22.5" customHeight="1">
      <c r="B5811" s="7"/>
      <c r="C5811" s="7"/>
      <c r="D5811" s="7"/>
      <c r="E5811" s="7"/>
      <c r="F5811" s="7"/>
      <c r="G5811" s="7"/>
      <c r="H5811" s="7">
        <f t="shared" si="1"/>
        <v>1029</v>
      </c>
    </row>
    <row r="5812" ht="22.5" customHeight="1">
      <c r="B5812" s="7"/>
      <c r="C5812" s="7"/>
      <c r="D5812" s="7"/>
      <c r="E5812" s="7"/>
      <c r="F5812" s="7"/>
      <c r="G5812" s="7"/>
      <c r="H5812" s="7">
        <f t="shared" si="1"/>
        <v>1029</v>
      </c>
    </row>
    <row r="5813" ht="22.5" customHeight="1">
      <c r="B5813" s="7"/>
      <c r="C5813" s="7"/>
      <c r="D5813" s="7"/>
      <c r="E5813" s="7"/>
      <c r="F5813" s="7"/>
      <c r="G5813" s="7"/>
      <c r="H5813" s="7">
        <f t="shared" si="1"/>
        <v>1029</v>
      </c>
    </row>
    <row r="5814" ht="22.5" customHeight="1">
      <c r="B5814" s="7"/>
      <c r="C5814" s="7"/>
      <c r="D5814" s="7"/>
      <c r="E5814" s="7"/>
      <c r="F5814" s="7"/>
      <c r="G5814" s="7"/>
      <c r="H5814" s="7">
        <f t="shared" si="1"/>
        <v>1029</v>
      </c>
    </row>
    <row r="5815" ht="22.5" customHeight="1">
      <c r="B5815" s="7"/>
      <c r="C5815" s="7"/>
      <c r="D5815" s="7"/>
      <c r="E5815" s="7"/>
      <c r="F5815" s="7"/>
      <c r="G5815" s="7"/>
      <c r="H5815" s="7">
        <f t="shared" si="1"/>
        <v>1029</v>
      </c>
    </row>
    <row r="5816" ht="22.5" customHeight="1">
      <c r="B5816" s="7"/>
      <c r="C5816" s="7"/>
      <c r="D5816" s="7"/>
      <c r="E5816" s="7"/>
      <c r="F5816" s="7"/>
      <c r="G5816" s="7"/>
      <c r="H5816" s="7">
        <f t="shared" si="1"/>
        <v>1029</v>
      </c>
    </row>
    <row r="5817" ht="22.5" customHeight="1">
      <c r="B5817" s="7"/>
      <c r="C5817" s="7"/>
      <c r="D5817" s="7"/>
      <c r="E5817" s="7"/>
      <c r="F5817" s="7"/>
      <c r="G5817" s="7"/>
      <c r="H5817" s="7">
        <f t="shared" si="1"/>
        <v>1029</v>
      </c>
    </row>
    <row r="5818" ht="22.5" customHeight="1">
      <c r="B5818" s="7"/>
      <c r="C5818" s="7"/>
      <c r="D5818" s="7"/>
      <c r="E5818" s="7"/>
      <c r="F5818" s="7"/>
      <c r="G5818" s="7"/>
      <c r="H5818" s="7">
        <f t="shared" si="1"/>
        <v>1029</v>
      </c>
    </row>
    <row r="5819" ht="22.5" customHeight="1">
      <c r="B5819" s="7"/>
      <c r="C5819" s="7"/>
      <c r="D5819" s="7"/>
      <c r="E5819" s="7"/>
      <c r="F5819" s="7"/>
      <c r="G5819" s="7"/>
      <c r="H5819" s="7">
        <f t="shared" si="1"/>
        <v>1029</v>
      </c>
    </row>
    <row r="5820" ht="22.5" customHeight="1">
      <c r="B5820" s="7"/>
      <c r="C5820" s="7"/>
      <c r="D5820" s="7"/>
      <c r="E5820" s="7"/>
      <c r="F5820" s="7"/>
      <c r="G5820" s="7"/>
      <c r="H5820" s="7">
        <f t="shared" si="1"/>
        <v>1029</v>
      </c>
    </row>
    <row r="5821" ht="22.5" customHeight="1">
      <c r="B5821" s="7"/>
      <c r="C5821" s="7"/>
      <c r="D5821" s="7"/>
      <c r="E5821" s="7"/>
      <c r="F5821" s="7"/>
      <c r="G5821" s="7"/>
      <c r="H5821" s="7">
        <f t="shared" si="1"/>
        <v>1029</v>
      </c>
    </row>
    <row r="5822" ht="22.5" customHeight="1">
      <c r="B5822" s="7"/>
      <c r="C5822" s="7"/>
      <c r="D5822" s="7"/>
      <c r="E5822" s="7"/>
      <c r="F5822" s="7"/>
      <c r="G5822" s="7"/>
      <c r="H5822" s="7">
        <f t="shared" si="1"/>
        <v>1029</v>
      </c>
    </row>
    <row r="5823" ht="22.5" customHeight="1">
      <c r="B5823" s="7"/>
      <c r="C5823" s="7"/>
      <c r="D5823" s="7"/>
      <c r="E5823" s="7"/>
      <c r="F5823" s="7"/>
      <c r="G5823" s="7"/>
      <c r="H5823" s="7">
        <f t="shared" si="1"/>
        <v>1029</v>
      </c>
    </row>
    <row r="5824" ht="22.5" customHeight="1">
      <c r="B5824" s="7"/>
      <c r="C5824" s="7"/>
      <c r="D5824" s="7"/>
      <c r="E5824" s="7"/>
      <c r="F5824" s="7"/>
      <c r="G5824" s="7"/>
      <c r="H5824" s="7">
        <f t="shared" si="1"/>
        <v>1029</v>
      </c>
    </row>
    <row r="5825" ht="22.5" customHeight="1">
      <c r="B5825" s="7"/>
      <c r="C5825" s="7"/>
      <c r="D5825" s="7"/>
      <c r="E5825" s="7"/>
      <c r="F5825" s="7"/>
      <c r="G5825" s="7"/>
      <c r="H5825" s="7">
        <f t="shared" si="1"/>
        <v>1029</v>
      </c>
    </row>
    <row r="5826" ht="22.5" customHeight="1">
      <c r="B5826" s="7"/>
      <c r="C5826" s="7"/>
      <c r="D5826" s="7"/>
      <c r="E5826" s="7"/>
      <c r="F5826" s="7"/>
      <c r="G5826" s="7"/>
      <c r="H5826" s="7">
        <f t="shared" si="1"/>
        <v>1029</v>
      </c>
    </row>
    <row r="5827" ht="22.5" customHeight="1">
      <c r="B5827" s="7"/>
      <c r="C5827" s="7"/>
      <c r="D5827" s="7"/>
      <c r="E5827" s="7"/>
      <c r="F5827" s="7"/>
      <c r="G5827" s="7"/>
      <c r="H5827" s="7">
        <f t="shared" si="1"/>
        <v>1029</v>
      </c>
    </row>
    <row r="5828" ht="22.5" customHeight="1">
      <c r="B5828" s="7"/>
      <c r="C5828" s="7"/>
      <c r="D5828" s="7"/>
      <c r="E5828" s="7"/>
      <c r="F5828" s="7"/>
      <c r="G5828" s="7"/>
      <c r="H5828" s="7">
        <f t="shared" si="1"/>
        <v>1029</v>
      </c>
    </row>
    <row r="5829" ht="22.5" customHeight="1">
      <c r="B5829" s="7"/>
      <c r="C5829" s="7"/>
      <c r="D5829" s="7"/>
      <c r="E5829" s="7"/>
      <c r="F5829" s="7"/>
      <c r="G5829" s="7"/>
      <c r="H5829" s="7">
        <f t="shared" si="1"/>
        <v>1029</v>
      </c>
    </row>
    <row r="5830" ht="22.5" customHeight="1">
      <c r="B5830" s="7"/>
      <c r="C5830" s="7"/>
      <c r="D5830" s="7"/>
      <c r="E5830" s="7"/>
      <c r="F5830" s="7"/>
      <c r="G5830" s="7"/>
      <c r="H5830" s="7">
        <f t="shared" si="1"/>
        <v>1029</v>
      </c>
    </row>
    <row r="5831" ht="22.5" customHeight="1">
      <c r="B5831" s="7"/>
      <c r="C5831" s="7"/>
      <c r="D5831" s="7"/>
      <c r="E5831" s="7"/>
      <c r="F5831" s="7"/>
      <c r="G5831" s="7"/>
      <c r="H5831" s="7">
        <f t="shared" si="1"/>
        <v>1029</v>
      </c>
    </row>
    <row r="5832" ht="22.5" customHeight="1">
      <c r="B5832" s="7"/>
      <c r="C5832" s="7"/>
      <c r="D5832" s="7"/>
      <c r="E5832" s="7"/>
      <c r="F5832" s="7"/>
      <c r="G5832" s="7"/>
      <c r="H5832" s="7">
        <f t="shared" si="1"/>
        <v>1029</v>
      </c>
    </row>
    <row r="5833" ht="22.5" customHeight="1">
      <c r="B5833" s="7"/>
      <c r="C5833" s="7"/>
      <c r="D5833" s="7"/>
      <c r="E5833" s="7"/>
      <c r="F5833" s="7"/>
      <c r="G5833" s="7"/>
      <c r="H5833" s="7">
        <f t="shared" si="1"/>
        <v>1029</v>
      </c>
    </row>
    <row r="5834" ht="22.5" customHeight="1">
      <c r="B5834" s="7"/>
      <c r="C5834" s="7"/>
      <c r="D5834" s="7"/>
      <c r="E5834" s="7"/>
      <c r="F5834" s="7"/>
      <c r="G5834" s="7"/>
      <c r="H5834" s="7">
        <f t="shared" si="1"/>
        <v>1029</v>
      </c>
    </row>
    <row r="5835" ht="22.5" customHeight="1">
      <c r="B5835" s="7"/>
      <c r="C5835" s="7"/>
      <c r="D5835" s="7"/>
      <c r="E5835" s="7"/>
      <c r="F5835" s="7"/>
      <c r="G5835" s="7"/>
      <c r="H5835" s="7">
        <f t="shared" si="1"/>
        <v>1029</v>
      </c>
    </row>
    <row r="5836" ht="22.5" customHeight="1">
      <c r="B5836" s="7"/>
      <c r="C5836" s="7"/>
      <c r="D5836" s="7"/>
      <c r="E5836" s="7"/>
      <c r="F5836" s="7"/>
      <c r="G5836" s="7"/>
      <c r="H5836" s="7">
        <f t="shared" si="1"/>
        <v>1029</v>
      </c>
    </row>
    <row r="5837" ht="22.5" customHeight="1">
      <c r="B5837" s="7"/>
      <c r="C5837" s="7"/>
      <c r="D5837" s="7"/>
      <c r="E5837" s="7"/>
      <c r="F5837" s="7"/>
      <c r="G5837" s="7"/>
      <c r="H5837" s="7">
        <f t="shared" si="1"/>
        <v>1029</v>
      </c>
    </row>
    <row r="5838" ht="22.5" customHeight="1">
      <c r="B5838" s="7"/>
      <c r="C5838" s="7"/>
      <c r="D5838" s="7"/>
      <c r="E5838" s="7"/>
      <c r="F5838" s="7"/>
      <c r="G5838" s="7"/>
      <c r="H5838" s="7">
        <f t="shared" si="1"/>
        <v>1029</v>
      </c>
    </row>
    <row r="5839" ht="22.5" customHeight="1">
      <c r="B5839" s="7"/>
      <c r="C5839" s="7"/>
      <c r="D5839" s="7"/>
      <c r="E5839" s="7"/>
      <c r="F5839" s="7"/>
      <c r="G5839" s="7"/>
      <c r="H5839" s="7">
        <f t="shared" si="1"/>
        <v>1029</v>
      </c>
    </row>
    <row r="5840" ht="22.5" customHeight="1">
      <c r="B5840" s="7"/>
      <c r="C5840" s="7"/>
      <c r="D5840" s="7"/>
      <c r="E5840" s="7"/>
      <c r="F5840" s="7"/>
      <c r="G5840" s="7"/>
      <c r="H5840" s="7">
        <f t="shared" si="1"/>
        <v>1029</v>
      </c>
    </row>
    <row r="5841" ht="22.5" customHeight="1">
      <c r="B5841" s="7"/>
      <c r="C5841" s="7"/>
      <c r="D5841" s="7"/>
      <c r="E5841" s="7"/>
      <c r="F5841" s="7"/>
      <c r="G5841" s="7"/>
      <c r="H5841" s="7">
        <f t="shared" si="1"/>
        <v>1029</v>
      </c>
    </row>
    <row r="5842" ht="22.5" customHeight="1">
      <c r="B5842" s="7"/>
      <c r="C5842" s="7"/>
      <c r="D5842" s="7"/>
      <c r="E5842" s="7"/>
      <c r="F5842" s="7"/>
      <c r="G5842" s="7"/>
      <c r="H5842" s="7">
        <f t="shared" si="1"/>
        <v>1029</v>
      </c>
    </row>
    <row r="5843" ht="22.5" customHeight="1">
      <c r="B5843" s="7"/>
      <c r="C5843" s="7"/>
      <c r="D5843" s="7"/>
      <c r="E5843" s="7"/>
      <c r="F5843" s="7"/>
      <c r="G5843" s="7"/>
      <c r="H5843" s="7">
        <f t="shared" si="1"/>
        <v>1029</v>
      </c>
    </row>
    <row r="5844" ht="22.5" customHeight="1">
      <c r="B5844" s="7"/>
      <c r="C5844" s="7"/>
      <c r="D5844" s="7"/>
      <c r="E5844" s="7"/>
      <c r="F5844" s="7"/>
      <c r="G5844" s="7"/>
      <c r="H5844" s="7">
        <f t="shared" si="1"/>
        <v>1029</v>
      </c>
    </row>
    <row r="5845" ht="22.5" customHeight="1">
      <c r="B5845" s="7"/>
      <c r="C5845" s="7"/>
      <c r="D5845" s="7"/>
      <c r="E5845" s="7"/>
      <c r="F5845" s="7"/>
      <c r="G5845" s="7"/>
      <c r="H5845" s="7">
        <f t="shared" si="1"/>
        <v>1029</v>
      </c>
    </row>
    <row r="5846" ht="22.5" customHeight="1">
      <c r="B5846" s="7"/>
      <c r="C5846" s="7"/>
      <c r="D5846" s="7"/>
      <c r="E5846" s="7"/>
      <c r="F5846" s="7"/>
      <c r="G5846" s="7"/>
      <c r="H5846" s="7">
        <f t="shared" si="1"/>
        <v>1029</v>
      </c>
    </row>
    <row r="5847" ht="22.5" customHeight="1">
      <c r="B5847" s="7"/>
      <c r="C5847" s="7"/>
      <c r="D5847" s="7"/>
      <c r="E5847" s="7"/>
      <c r="F5847" s="7"/>
      <c r="G5847" s="7"/>
      <c r="H5847" s="7">
        <f t="shared" si="1"/>
        <v>1029</v>
      </c>
    </row>
    <row r="5848" ht="22.5" customHeight="1">
      <c r="B5848" s="7"/>
      <c r="C5848" s="7"/>
      <c r="D5848" s="7"/>
      <c r="E5848" s="7"/>
      <c r="F5848" s="7"/>
      <c r="G5848" s="7"/>
      <c r="H5848" s="7">
        <f t="shared" si="1"/>
        <v>1029</v>
      </c>
    </row>
    <row r="5849" ht="22.5" customHeight="1">
      <c r="B5849" s="7"/>
      <c r="C5849" s="7"/>
      <c r="D5849" s="7"/>
      <c r="E5849" s="7"/>
      <c r="F5849" s="7"/>
      <c r="G5849" s="7"/>
      <c r="H5849" s="7">
        <f t="shared" si="1"/>
        <v>1029</v>
      </c>
    </row>
    <row r="5850" ht="22.5" customHeight="1">
      <c r="B5850" s="7"/>
      <c r="C5850" s="7"/>
      <c r="D5850" s="7"/>
      <c r="E5850" s="7"/>
      <c r="F5850" s="7"/>
      <c r="G5850" s="7"/>
      <c r="H5850" s="7">
        <f t="shared" si="1"/>
        <v>1029</v>
      </c>
    </row>
    <row r="5851" ht="22.5" customHeight="1">
      <c r="B5851" s="7"/>
      <c r="C5851" s="7"/>
      <c r="D5851" s="7"/>
      <c r="E5851" s="7"/>
      <c r="F5851" s="7"/>
      <c r="G5851" s="7"/>
      <c r="H5851" s="7">
        <f t="shared" si="1"/>
        <v>1029</v>
      </c>
    </row>
    <row r="5852" ht="22.5" customHeight="1">
      <c r="B5852" s="7"/>
      <c r="C5852" s="7"/>
      <c r="D5852" s="7"/>
      <c r="E5852" s="7"/>
      <c r="F5852" s="7"/>
      <c r="G5852" s="7"/>
      <c r="H5852" s="7">
        <f t="shared" si="1"/>
        <v>1029</v>
      </c>
    </row>
    <row r="5853" ht="22.5" customHeight="1">
      <c r="B5853" s="7"/>
      <c r="C5853" s="7"/>
      <c r="D5853" s="7"/>
      <c r="E5853" s="7"/>
      <c r="F5853" s="7"/>
      <c r="G5853" s="7"/>
      <c r="H5853" s="7">
        <f t="shared" si="1"/>
        <v>1029</v>
      </c>
    </row>
    <row r="5854" ht="22.5" customHeight="1">
      <c r="B5854" s="7"/>
      <c r="C5854" s="7"/>
      <c r="D5854" s="7"/>
      <c r="E5854" s="7"/>
      <c r="F5854" s="7"/>
      <c r="G5854" s="7"/>
      <c r="H5854" s="7">
        <f t="shared" si="1"/>
        <v>1029</v>
      </c>
    </row>
    <row r="5855" ht="22.5" customHeight="1">
      <c r="B5855" s="7"/>
      <c r="C5855" s="7"/>
      <c r="D5855" s="7"/>
      <c r="E5855" s="7"/>
      <c r="F5855" s="7"/>
      <c r="G5855" s="7"/>
      <c r="H5855" s="7">
        <f t="shared" si="1"/>
        <v>1029</v>
      </c>
    </row>
    <row r="5856" ht="22.5" customHeight="1">
      <c r="B5856" s="7"/>
      <c r="C5856" s="7"/>
      <c r="D5856" s="7"/>
      <c r="E5856" s="7"/>
      <c r="F5856" s="7"/>
      <c r="G5856" s="7"/>
      <c r="H5856" s="7">
        <f t="shared" si="1"/>
        <v>1029</v>
      </c>
    </row>
    <row r="5857" ht="22.5" customHeight="1">
      <c r="B5857" s="7"/>
      <c r="C5857" s="7"/>
      <c r="D5857" s="7"/>
      <c r="E5857" s="7"/>
      <c r="F5857" s="7"/>
      <c r="G5857" s="7"/>
      <c r="H5857" s="7">
        <f t="shared" si="1"/>
        <v>1029</v>
      </c>
    </row>
    <row r="5858" ht="22.5" customHeight="1">
      <c r="B5858" s="7"/>
      <c r="C5858" s="7"/>
      <c r="D5858" s="7"/>
      <c r="E5858" s="7"/>
      <c r="F5858" s="7"/>
      <c r="G5858" s="7"/>
      <c r="H5858" s="7">
        <f t="shared" si="1"/>
        <v>1029</v>
      </c>
    </row>
    <row r="5859" ht="22.5" customHeight="1">
      <c r="B5859" s="7"/>
      <c r="C5859" s="7"/>
      <c r="D5859" s="7"/>
      <c r="E5859" s="7"/>
      <c r="F5859" s="7"/>
      <c r="G5859" s="7"/>
      <c r="H5859" s="7">
        <f t="shared" si="1"/>
        <v>1029</v>
      </c>
    </row>
    <row r="5860" ht="22.5" customHeight="1">
      <c r="B5860" s="7"/>
      <c r="C5860" s="7"/>
      <c r="D5860" s="7"/>
      <c r="E5860" s="7"/>
      <c r="F5860" s="7"/>
      <c r="G5860" s="7"/>
      <c r="H5860" s="7">
        <f t="shared" si="1"/>
        <v>1029</v>
      </c>
    </row>
    <row r="5861" ht="22.5" customHeight="1">
      <c r="B5861" s="7"/>
      <c r="C5861" s="7"/>
      <c r="D5861" s="7"/>
      <c r="E5861" s="7"/>
      <c r="F5861" s="7"/>
      <c r="G5861" s="7"/>
      <c r="H5861" s="7">
        <f t="shared" si="1"/>
        <v>1029</v>
      </c>
    </row>
    <row r="5862" ht="22.5" customHeight="1">
      <c r="B5862" s="7"/>
      <c r="C5862" s="7"/>
      <c r="D5862" s="7"/>
      <c r="E5862" s="7"/>
      <c r="F5862" s="7"/>
      <c r="G5862" s="7"/>
      <c r="H5862" s="7">
        <f t="shared" si="1"/>
        <v>1029</v>
      </c>
    </row>
    <row r="5863" ht="22.5" customHeight="1">
      <c r="B5863" s="7"/>
      <c r="C5863" s="7"/>
      <c r="D5863" s="7"/>
      <c r="E5863" s="7"/>
      <c r="F5863" s="7"/>
      <c r="G5863" s="7"/>
      <c r="H5863" s="7">
        <f t="shared" si="1"/>
        <v>1029</v>
      </c>
    </row>
    <row r="5864" ht="22.5" customHeight="1">
      <c r="B5864" s="7"/>
      <c r="C5864" s="7"/>
      <c r="D5864" s="7"/>
      <c r="E5864" s="7"/>
      <c r="F5864" s="7"/>
      <c r="G5864" s="7"/>
      <c r="H5864" s="7">
        <f t="shared" si="1"/>
        <v>1029</v>
      </c>
    </row>
    <row r="5865" ht="22.5" customHeight="1">
      <c r="B5865" s="7"/>
      <c r="C5865" s="7"/>
      <c r="D5865" s="7"/>
      <c r="E5865" s="7"/>
      <c r="F5865" s="7"/>
      <c r="G5865" s="7"/>
      <c r="H5865" s="7">
        <f t="shared" si="1"/>
        <v>1029</v>
      </c>
    </row>
    <row r="5866" ht="22.5" customHeight="1">
      <c r="B5866" s="7"/>
      <c r="C5866" s="7"/>
      <c r="D5866" s="7"/>
      <c r="E5866" s="7"/>
      <c r="F5866" s="7"/>
      <c r="G5866" s="7"/>
      <c r="H5866" s="7">
        <f t="shared" si="1"/>
        <v>1029</v>
      </c>
    </row>
    <row r="5867" ht="22.5" customHeight="1">
      <c r="B5867" s="7"/>
      <c r="C5867" s="7"/>
      <c r="D5867" s="7"/>
      <c r="E5867" s="7"/>
      <c r="F5867" s="7"/>
      <c r="G5867" s="7"/>
      <c r="H5867" s="7">
        <f t="shared" si="1"/>
        <v>1029</v>
      </c>
    </row>
    <row r="5868" ht="22.5" customHeight="1">
      <c r="B5868" s="7"/>
      <c r="C5868" s="7"/>
      <c r="D5868" s="7"/>
      <c r="E5868" s="7"/>
      <c r="F5868" s="7"/>
      <c r="G5868" s="7"/>
      <c r="H5868" s="7">
        <f t="shared" si="1"/>
        <v>1029</v>
      </c>
    </row>
    <row r="5869" ht="22.5" customHeight="1">
      <c r="B5869" s="7"/>
      <c r="C5869" s="7"/>
      <c r="D5869" s="7"/>
      <c r="E5869" s="7"/>
      <c r="F5869" s="7"/>
      <c r="G5869" s="7"/>
      <c r="H5869" s="7">
        <f t="shared" si="1"/>
        <v>1029</v>
      </c>
    </row>
    <row r="5870" ht="22.5" customHeight="1">
      <c r="B5870" s="7"/>
      <c r="C5870" s="7"/>
      <c r="D5870" s="7"/>
      <c r="E5870" s="7"/>
      <c r="F5870" s="7"/>
      <c r="G5870" s="7"/>
      <c r="H5870" s="7">
        <f t="shared" si="1"/>
        <v>1029</v>
      </c>
    </row>
    <row r="5871" ht="22.5" customHeight="1">
      <c r="B5871" s="7"/>
      <c r="C5871" s="7"/>
      <c r="D5871" s="7"/>
      <c r="E5871" s="7"/>
      <c r="F5871" s="7"/>
      <c r="G5871" s="7"/>
      <c r="H5871" s="7">
        <f t="shared" si="1"/>
        <v>1029</v>
      </c>
    </row>
    <row r="5872" ht="22.5" customHeight="1">
      <c r="B5872" s="7"/>
      <c r="C5872" s="7"/>
      <c r="D5872" s="7"/>
      <c r="E5872" s="7"/>
      <c r="F5872" s="7"/>
      <c r="G5872" s="7"/>
      <c r="H5872" s="7">
        <f t="shared" si="1"/>
        <v>1029</v>
      </c>
    </row>
    <row r="5873" ht="22.5" customHeight="1">
      <c r="B5873" s="7"/>
      <c r="C5873" s="7"/>
      <c r="D5873" s="7"/>
      <c r="E5873" s="7"/>
      <c r="F5873" s="7"/>
      <c r="G5873" s="7"/>
      <c r="H5873" s="7">
        <f t="shared" si="1"/>
        <v>1029</v>
      </c>
    </row>
    <row r="5874" ht="22.5" customHeight="1">
      <c r="B5874" s="7"/>
      <c r="C5874" s="7"/>
      <c r="D5874" s="7"/>
      <c r="E5874" s="7"/>
      <c r="F5874" s="7"/>
      <c r="G5874" s="7"/>
      <c r="H5874" s="7">
        <f t="shared" si="1"/>
        <v>1029</v>
      </c>
    </row>
    <row r="5875" ht="22.5" customHeight="1">
      <c r="B5875" s="7"/>
      <c r="C5875" s="7"/>
      <c r="D5875" s="7"/>
      <c r="E5875" s="7"/>
      <c r="F5875" s="7"/>
      <c r="G5875" s="7"/>
      <c r="H5875" s="7">
        <f t="shared" si="1"/>
        <v>1029</v>
      </c>
    </row>
    <row r="5876" ht="22.5" customHeight="1">
      <c r="B5876" s="7"/>
      <c r="C5876" s="7"/>
      <c r="D5876" s="7"/>
      <c r="E5876" s="7"/>
      <c r="F5876" s="7"/>
      <c r="G5876" s="7"/>
      <c r="H5876" s="7">
        <f t="shared" si="1"/>
        <v>1029</v>
      </c>
    </row>
    <row r="5877" ht="22.5" customHeight="1">
      <c r="B5877" s="7"/>
      <c r="C5877" s="7"/>
      <c r="D5877" s="7"/>
      <c r="E5877" s="7"/>
      <c r="F5877" s="7"/>
      <c r="G5877" s="7"/>
      <c r="H5877" s="7">
        <f t="shared" si="1"/>
        <v>1029</v>
      </c>
    </row>
    <row r="5878" ht="22.5" customHeight="1">
      <c r="B5878" s="7"/>
      <c r="C5878" s="7"/>
      <c r="D5878" s="7"/>
      <c r="E5878" s="7"/>
      <c r="F5878" s="7"/>
      <c r="G5878" s="7"/>
      <c r="H5878" s="7">
        <f t="shared" si="1"/>
        <v>1029</v>
      </c>
    </row>
    <row r="5879" ht="22.5" customHeight="1">
      <c r="B5879" s="7"/>
      <c r="C5879" s="7"/>
      <c r="D5879" s="7"/>
      <c r="E5879" s="7"/>
      <c r="F5879" s="7"/>
      <c r="G5879" s="7"/>
      <c r="H5879" s="7">
        <f t="shared" si="1"/>
        <v>1029</v>
      </c>
    </row>
    <row r="5880" ht="22.5" customHeight="1">
      <c r="B5880" s="7"/>
      <c r="C5880" s="7"/>
      <c r="D5880" s="7"/>
      <c r="E5880" s="7"/>
      <c r="F5880" s="7"/>
      <c r="G5880" s="7"/>
      <c r="H5880" s="7">
        <f t="shared" si="1"/>
        <v>1029</v>
      </c>
    </row>
    <row r="5881" ht="22.5" customHeight="1">
      <c r="B5881" s="7"/>
      <c r="C5881" s="7"/>
      <c r="D5881" s="7"/>
      <c r="E5881" s="7"/>
      <c r="F5881" s="7"/>
      <c r="G5881" s="7"/>
      <c r="H5881" s="7">
        <f t="shared" si="1"/>
        <v>1029</v>
      </c>
    </row>
    <row r="5882" ht="22.5" customHeight="1">
      <c r="B5882" s="7"/>
      <c r="C5882" s="7"/>
      <c r="D5882" s="7"/>
      <c r="E5882" s="7"/>
      <c r="F5882" s="7"/>
      <c r="G5882" s="7"/>
      <c r="H5882" s="7">
        <f t="shared" si="1"/>
        <v>1029</v>
      </c>
    </row>
    <row r="5883" ht="22.5" customHeight="1">
      <c r="B5883" s="7"/>
      <c r="C5883" s="7"/>
      <c r="D5883" s="7"/>
      <c r="E5883" s="7"/>
      <c r="F5883" s="7"/>
      <c r="G5883" s="7"/>
      <c r="H5883" s="7">
        <f t="shared" si="1"/>
        <v>1029</v>
      </c>
    </row>
    <row r="5884" ht="22.5" customHeight="1">
      <c r="B5884" s="7"/>
      <c r="C5884" s="7"/>
      <c r="D5884" s="7"/>
      <c r="E5884" s="7"/>
      <c r="F5884" s="7"/>
      <c r="G5884" s="7"/>
      <c r="H5884" s="7">
        <f t="shared" si="1"/>
        <v>1029</v>
      </c>
    </row>
    <row r="5885" ht="22.5" customHeight="1">
      <c r="B5885" s="7"/>
      <c r="C5885" s="7"/>
      <c r="D5885" s="7"/>
      <c r="E5885" s="7"/>
      <c r="F5885" s="7"/>
      <c r="G5885" s="7"/>
      <c r="H5885" s="7">
        <f t="shared" si="1"/>
        <v>1029</v>
      </c>
    </row>
    <row r="5886" ht="22.5" customHeight="1">
      <c r="B5886" s="7"/>
      <c r="C5886" s="7"/>
      <c r="D5886" s="7"/>
      <c r="E5886" s="7"/>
      <c r="F5886" s="7"/>
      <c r="G5886" s="7"/>
      <c r="H5886" s="7">
        <f t="shared" si="1"/>
        <v>1029</v>
      </c>
    </row>
    <row r="5887" ht="22.5" customHeight="1">
      <c r="B5887" s="7"/>
      <c r="C5887" s="7"/>
      <c r="D5887" s="7"/>
      <c r="E5887" s="7"/>
      <c r="F5887" s="7"/>
      <c r="G5887" s="7"/>
      <c r="H5887" s="7">
        <f t="shared" si="1"/>
        <v>1029</v>
      </c>
    </row>
    <row r="5888" ht="22.5" customHeight="1">
      <c r="B5888" s="7"/>
      <c r="C5888" s="7"/>
      <c r="D5888" s="7"/>
      <c r="E5888" s="7"/>
      <c r="F5888" s="7"/>
      <c r="G5888" s="7"/>
      <c r="H5888" s="7">
        <f t="shared" si="1"/>
        <v>1029</v>
      </c>
    </row>
    <row r="5889" ht="22.5" customHeight="1">
      <c r="B5889" s="7"/>
      <c r="C5889" s="7"/>
      <c r="D5889" s="7"/>
      <c r="E5889" s="7"/>
      <c r="F5889" s="7"/>
      <c r="G5889" s="7"/>
      <c r="H5889" s="7">
        <f t="shared" si="1"/>
        <v>1029</v>
      </c>
    </row>
    <row r="5890" ht="22.5" customHeight="1">
      <c r="B5890" s="7"/>
      <c r="C5890" s="7"/>
      <c r="D5890" s="7"/>
      <c r="E5890" s="7"/>
      <c r="F5890" s="7"/>
      <c r="G5890" s="7"/>
      <c r="H5890" s="7">
        <f t="shared" si="1"/>
        <v>1029</v>
      </c>
    </row>
    <row r="5891" ht="22.5" customHeight="1">
      <c r="B5891" s="7"/>
      <c r="C5891" s="7"/>
      <c r="D5891" s="7"/>
      <c r="E5891" s="7"/>
      <c r="F5891" s="7"/>
      <c r="G5891" s="7"/>
      <c r="H5891" s="7">
        <f t="shared" si="1"/>
        <v>1029</v>
      </c>
    </row>
    <row r="5892" ht="22.5" customHeight="1">
      <c r="B5892" s="7"/>
      <c r="C5892" s="7"/>
      <c r="D5892" s="7"/>
      <c r="E5892" s="7"/>
      <c r="F5892" s="7"/>
      <c r="G5892" s="7"/>
      <c r="H5892" s="7">
        <f t="shared" si="1"/>
        <v>1029</v>
      </c>
    </row>
    <row r="5893" ht="22.5" customHeight="1">
      <c r="B5893" s="7"/>
      <c r="C5893" s="7"/>
      <c r="D5893" s="7"/>
      <c r="E5893" s="7"/>
      <c r="F5893" s="7"/>
      <c r="G5893" s="7"/>
      <c r="H5893" s="7">
        <f t="shared" si="1"/>
        <v>1029</v>
      </c>
    </row>
    <row r="5894" ht="22.5" customHeight="1">
      <c r="B5894" s="7"/>
      <c r="C5894" s="7"/>
      <c r="D5894" s="7"/>
      <c r="E5894" s="7"/>
      <c r="F5894" s="7"/>
      <c r="G5894" s="7"/>
      <c r="H5894" s="7">
        <f t="shared" si="1"/>
        <v>1029</v>
      </c>
    </row>
    <row r="5895" ht="22.5" customHeight="1">
      <c r="B5895" s="7"/>
      <c r="C5895" s="7"/>
      <c r="D5895" s="7"/>
      <c r="E5895" s="7"/>
      <c r="F5895" s="7"/>
      <c r="G5895" s="7"/>
      <c r="H5895" s="7">
        <f t="shared" si="1"/>
        <v>1029</v>
      </c>
    </row>
    <row r="5896" ht="22.5" customHeight="1">
      <c r="B5896" s="7"/>
      <c r="C5896" s="7"/>
      <c r="D5896" s="7"/>
      <c r="E5896" s="7"/>
      <c r="F5896" s="7"/>
      <c r="G5896" s="7"/>
      <c r="H5896" s="7">
        <f t="shared" si="1"/>
        <v>1029</v>
      </c>
    </row>
    <row r="5897" ht="22.5" customHeight="1">
      <c r="B5897" s="7"/>
      <c r="C5897" s="7"/>
      <c r="D5897" s="7"/>
      <c r="E5897" s="7"/>
      <c r="F5897" s="7"/>
      <c r="G5897" s="7"/>
      <c r="H5897" s="7">
        <f t="shared" si="1"/>
        <v>1029</v>
      </c>
    </row>
    <row r="5898" ht="22.5" customHeight="1">
      <c r="B5898" s="7"/>
      <c r="C5898" s="7"/>
      <c r="D5898" s="7"/>
      <c r="E5898" s="7"/>
      <c r="F5898" s="7"/>
      <c r="G5898" s="7"/>
      <c r="H5898" s="7">
        <f t="shared" si="1"/>
        <v>1029</v>
      </c>
    </row>
    <row r="5899" ht="22.5" customHeight="1">
      <c r="B5899" s="7"/>
      <c r="C5899" s="7"/>
      <c r="D5899" s="7"/>
      <c r="E5899" s="7"/>
      <c r="F5899" s="7"/>
      <c r="G5899" s="7"/>
      <c r="H5899" s="7">
        <f t="shared" si="1"/>
        <v>1029</v>
      </c>
    </row>
    <row r="5900" ht="22.5" customHeight="1">
      <c r="B5900" s="7"/>
      <c r="C5900" s="7"/>
      <c r="D5900" s="7"/>
      <c r="E5900" s="7"/>
      <c r="F5900" s="7"/>
      <c r="G5900" s="7"/>
      <c r="H5900" s="7">
        <f t="shared" si="1"/>
        <v>1029</v>
      </c>
    </row>
    <row r="5901" ht="22.5" customHeight="1">
      <c r="B5901" s="7"/>
      <c r="C5901" s="7"/>
      <c r="D5901" s="7"/>
      <c r="E5901" s="7"/>
      <c r="F5901" s="7"/>
      <c r="G5901" s="7"/>
      <c r="H5901" s="7">
        <f t="shared" si="1"/>
        <v>1029</v>
      </c>
    </row>
    <row r="5902" ht="22.5" customHeight="1">
      <c r="B5902" s="7"/>
      <c r="C5902" s="7"/>
      <c r="D5902" s="7"/>
      <c r="E5902" s="7"/>
      <c r="F5902" s="7"/>
      <c r="G5902" s="7"/>
      <c r="H5902" s="7">
        <f t="shared" si="1"/>
        <v>1029</v>
      </c>
    </row>
    <row r="5903" ht="22.5" customHeight="1">
      <c r="B5903" s="7"/>
      <c r="C5903" s="7"/>
      <c r="D5903" s="7"/>
      <c r="E5903" s="7"/>
      <c r="F5903" s="7"/>
      <c r="G5903" s="7"/>
      <c r="H5903" s="7">
        <f t="shared" si="1"/>
        <v>1029</v>
      </c>
    </row>
    <row r="5904" ht="22.5" customHeight="1">
      <c r="B5904" s="7"/>
      <c r="C5904" s="7"/>
      <c r="D5904" s="7"/>
      <c r="E5904" s="7"/>
      <c r="F5904" s="7"/>
      <c r="G5904" s="7"/>
      <c r="H5904" s="7">
        <f t="shared" si="1"/>
        <v>1029</v>
      </c>
    </row>
    <row r="5905" ht="22.5" customHeight="1">
      <c r="B5905" s="7"/>
      <c r="C5905" s="7"/>
      <c r="D5905" s="7"/>
      <c r="E5905" s="7"/>
      <c r="F5905" s="7"/>
      <c r="G5905" s="7"/>
      <c r="H5905" s="7">
        <f t="shared" si="1"/>
        <v>1029</v>
      </c>
    </row>
    <row r="5906" ht="22.5" customHeight="1">
      <c r="B5906" s="7"/>
      <c r="C5906" s="7"/>
      <c r="D5906" s="7"/>
      <c r="E5906" s="7"/>
      <c r="F5906" s="7"/>
      <c r="G5906" s="7"/>
      <c r="H5906" s="7">
        <f t="shared" si="1"/>
        <v>1029</v>
      </c>
    </row>
    <row r="5907" ht="22.5" customHeight="1">
      <c r="B5907" s="7"/>
      <c r="C5907" s="7"/>
      <c r="D5907" s="7"/>
      <c r="E5907" s="7"/>
      <c r="F5907" s="7"/>
      <c r="G5907" s="7"/>
      <c r="H5907" s="7">
        <f t="shared" si="1"/>
        <v>1029</v>
      </c>
    </row>
    <row r="5908" ht="22.5" customHeight="1">
      <c r="B5908" s="7"/>
      <c r="C5908" s="7"/>
      <c r="D5908" s="7"/>
      <c r="E5908" s="7"/>
      <c r="F5908" s="7"/>
      <c r="G5908" s="7"/>
      <c r="H5908" s="7">
        <f t="shared" si="1"/>
        <v>1029</v>
      </c>
    </row>
    <row r="5909" ht="22.5" customHeight="1">
      <c r="B5909" s="7"/>
      <c r="C5909" s="7"/>
      <c r="D5909" s="7"/>
      <c r="E5909" s="7"/>
      <c r="F5909" s="7"/>
      <c r="G5909" s="7"/>
      <c r="H5909" s="7">
        <f t="shared" si="1"/>
        <v>1029</v>
      </c>
    </row>
    <row r="5910" ht="22.5" customHeight="1">
      <c r="B5910" s="7"/>
      <c r="C5910" s="7"/>
      <c r="D5910" s="7"/>
      <c r="E5910" s="7"/>
      <c r="F5910" s="7"/>
      <c r="G5910" s="7"/>
      <c r="H5910" s="7">
        <f t="shared" si="1"/>
        <v>1029</v>
      </c>
    </row>
    <row r="5911" ht="22.5" customHeight="1">
      <c r="B5911" s="7"/>
      <c r="C5911" s="7"/>
      <c r="D5911" s="7"/>
      <c r="E5911" s="7"/>
      <c r="F5911" s="7"/>
      <c r="G5911" s="7"/>
      <c r="H5911" s="7">
        <f t="shared" si="1"/>
        <v>1029</v>
      </c>
    </row>
    <row r="5912" ht="22.5" customHeight="1">
      <c r="B5912" s="7"/>
      <c r="C5912" s="7"/>
      <c r="D5912" s="7"/>
      <c r="E5912" s="7"/>
      <c r="F5912" s="7"/>
      <c r="G5912" s="7"/>
      <c r="H5912" s="7">
        <f t="shared" si="1"/>
        <v>1029</v>
      </c>
    </row>
    <row r="5913" ht="22.5" customHeight="1">
      <c r="B5913" s="7"/>
      <c r="C5913" s="7"/>
      <c r="D5913" s="7"/>
      <c r="E5913" s="7"/>
      <c r="F5913" s="7"/>
      <c r="G5913" s="7"/>
      <c r="H5913" s="7">
        <f t="shared" si="1"/>
        <v>1029</v>
      </c>
    </row>
    <row r="5914" ht="22.5" customHeight="1">
      <c r="B5914" s="7"/>
      <c r="C5914" s="7"/>
      <c r="D5914" s="7"/>
      <c r="E5914" s="7"/>
      <c r="F5914" s="7"/>
      <c r="G5914" s="7"/>
      <c r="H5914" s="7">
        <f t="shared" si="1"/>
        <v>1029</v>
      </c>
    </row>
    <row r="5915" ht="22.5" customHeight="1">
      <c r="B5915" s="7"/>
      <c r="C5915" s="7"/>
      <c r="D5915" s="7"/>
      <c r="E5915" s="7"/>
      <c r="F5915" s="7"/>
      <c r="G5915" s="7"/>
      <c r="H5915" s="7">
        <f t="shared" si="1"/>
        <v>1029</v>
      </c>
    </row>
    <row r="5916" ht="22.5" customHeight="1">
      <c r="B5916" s="7"/>
      <c r="C5916" s="7"/>
      <c r="D5916" s="7"/>
      <c r="E5916" s="7"/>
      <c r="F5916" s="7"/>
      <c r="G5916" s="7"/>
      <c r="H5916" s="7">
        <f t="shared" si="1"/>
        <v>1029</v>
      </c>
    </row>
    <row r="5917" ht="22.5" customHeight="1">
      <c r="B5917" s="7"/>
      <c r="C5917" s="7"/>
      <c r="D5917" s="7"/>
      <c r="E5917" s="7"/>
      <c r="F5917" s="7"/>
      <c r="G5917" s="7"/>
      <c r="H5917" s="7">
        <f t="shared" si="1"/>
        <v>1029</v>
      </c>
    </row>
    <row r="5918" ht="22.5" customHeight="1">
      <c r="B5918" s="7"/>
      <c r="C5918" s="7"/>
      <c r="D5918" s="7"/>
      <c r="E5918" s="7"/>
      <c r="F5918" s="7"/>
      <c r="G5918" s="7"/>
      <c r="H5918" s="7">
        <f t="shared" si="1"/>
        <v>1029</v>
      </c>
    </row>
    <row r="5919" ht="22.5" customHeight="1">
      <c r="B5919" s="7"/>
      <c r="C5919" s="7"/>
      <c r="D5919" s="7"/>
      <c r="E5919" s="7"/>
      <c r="F5919" s="7"/>
      <c r="G5919" s="7"/>
      <c r="H5919" s="7">
        <f t="shared" si="1"/>
        <v>1029</v>
      </c>
    </row>
    <row r="5920" ht="22.5" customHeight="1">
      <c r="B5920" s="7"/>
      <c r="C5920" s="7"/>
      <c r="D5920" s="7"/>
      <c r="E5920" s="7"/>
      <c r="F5920" s="7"/>
      <c r="G5920" s="7"/>
      <c r="H5920" s="7">
        <f t="shared" si="1"/>
        <v>1029</v>
      </c>
    </row>
    <row r="5921" ht="22.5" customHeight="1">
      <c r="B5921" s="7"/>
      <c r="C5921" s="7"/>
      <c r="D5921" s="7"/>
      <c r="E5921" s="7"/>
      <c r="F5921" s="7"/>
      <c r="G5921" s="7"/>
      <c r="H5921" s="7">
        <f t="shared" si="1"/>
        <v>1029</v>
      </c>
    </row>
    <row r="5922" ht="22.5" customHeight="1">
      <c r="B5922" s="7"/>
      <c r="C5922" s="7"/>
      <c r="D5922" s="7"/>
      <c r="E5922" s="7"/>
      <c r="F5922" s="7"/>
      <c r="G5922" s="7"/>
      <c r="H5922" s="7">
        <f t="shared" si="1"/>
        <v>1029</v>
      </c>
    </row>
    <row r="5923" ht="22.5" customHeight="1">
      <c r="B5923" s="7"/>
      <c r="C5923" s="7"/>
      <c r="D5923" s="7"/>
      <c r="E5923" s="7"/>
      <c r="F5923" s="7"/>
      <c r="G5923" s="7"/>
      <c r="H5923" s="7">
        <f t="shared" si="1"/>
        <v>1029</v>
      </c>
    </row>
    <row r="5924" ht="22.5" customHeight="1">
      <c r="B5924" s="7"/>
      <c r="C5924" s="7"/>
      <c r="D5924" s="7"/>
      <c r="E5924" s="7"/>
      <c r="F5924" s="7"/>
      <c r="G5924" s="7"/>
      <c r="H5924" s="7">
        <f t="shared" si="1"/>
        <v>1029</v>
      </c>
    </row>
    <row r="5925" ht="22.5" customHeight="1">
      <c r="B5925" s="7"/>
      <c r="C5925" s="7"/>
      <c r="D5925" s="7"/>
      <c r="E5925" s="7"/>
      <c r="F5925" s="7"/>
      <c r="G5925" s="7"/>
      <c r="H5925" s="7">
        <f t="shared" si="1"/>
        <v>1029</v>
      </c>
    </row>
    <row r="5926" ht="22.5" customHeight="1">
      <c r="B5926" s="7"/>
      <c r="C5926" s="7"/>
      <c r="D5926" s="7"/>
      <c r="E5926" s="7"/>
      <c r="F5926" s="7"/>
      <c r="G5926" s="7"/>
      <c r="H5926" s="7">
        <f t="shared" si="1"/>
        <v>1029</v>
      </c>
    </row>
    <row r="5927" ht="22.5" customHeight="1">
      <c r="B5927" s="7"/>
      <c r="C5927" s="7"/>
      <c r="D5927" s="7"/>
      <c r="E5927" s="7"/>
      <c r="F5927" s="7"/>
      <c r="G5927" s="7"/>
      <c r="H5927" s="7">
        <f t="shared" si="1"/>
        <v>1029</v>
      </c>
    </row>
    <row r="5928" ht="22.5" customHeight="1">
      <c r="B5928" s="7"/>
      <c r="C5928" s="7"/>
      <c r="D5928" s="7"/>
      <c r="E5928" s="7"/>
      <c r="F5928" s="7"/>
      <c r="G5928" s="7"/>
      <c r="H5928" s="7">
        <f t="shared" si="1"/>
        <v>1029</v>
      </c>
    </row>
    <row r="5929" ht="22.5" customHeight="1">
      <c r="B5929" s="7"/>
      <c r="C5929" s="7"/>
      <c r="D5929" s="7"/>
      <c r="E5929" s="7"/>
      <c r="F5929" s="7"/>
      <c r="G5929" s="7"/>
      <c r="H5929" s="7">
        <f t="shared" si="1"/>
        <v>1029</v>
      </c>
    </row>
    <row r="5930" ht="22.5" customHeight="1">
      <c r="B5930" s="7"/>
      <c r="C5930" s="7"/>
      <c r="D5930" s="7"/>
      <c r="E5930" s="7"/>
      <c r="F5930" s="7"/>
      <c r="G5930" s="7"/>
      <c r="H5930" s="7">
        <f t="shared" si="1"/>
        <v>1029</v>
      </c>
    </row>
    <row r="5931" ht="22.5" customHeight="1">
      <c r="B5931" s="7"/>
      <c r="C5931" s="7"/>
      <c r="D5931" s="7"/>
      <c r="E5931" s="7"/>
      <c r="F5931" s="7"/>
      <c r="G5931" s="7"/>
      <c r="H5931" s="7">
        <f t="shared" si="1"/>
        <v>1029</v>
      </c>
    </row>
    <row r="5932" ht="22.5" customHeight="1">
      <c r="B5932" s="7"/>
      <c r="C5932" s="7"/>
      <c r="D5932" s="7"/>
      <c r="E5932" s="7"/>
      <c r="F5932" s="7"/>
      <c r="G5932" s="7"/>
      <c r="H5932" s="7">
        <f t="shared" si="1"/>
        <v>1029</v>
      </c>
    </row>
    <row r="5933" ht="22.5" customHeight="1">
      <c r="B5933" s="7"/>
      <c r="C5933" s="7"/>
      <c r="D5933" s="7"/>
      <c r="E5933" s="7"/>
      <c r="F5933" s="7"/>
      <c r="G5933" s="7"/>
      <c r="H5933" s="7">
        <f t="shared" si="1"/>
        <v>1029</v>
      </c>
    </row>
    <row r="5934" ht="22.5" customHeight="1">
      <c r="B5934" s="7"/>
      <c r="C5934" s="7"/>
      <c r="D5934" s="7"/>
      <c r="E5934" s="7"/>
      <c r="F5934" s="7"/>
      <c r="G5934" s="7"/>
      <c r="H5934" s="7">
        <f t="shared" si="1"/>
        <v>1029</v>
      </c>
    </row>
    <row r="5935" ht="22.5" customHeight="1">
      <c r="B5935" s="7"/>
      <c r="C5935" s="7"/>
      <c r="D5935" s="7"/>
      <c r="E5935" s="7"/>
      <c r="F5935" s="7"/>
      <c r="G5935" s="7"/>
      <c r="H5935" s="7">
        <f t="shared" si="1"/>
        <v>1029</v>
      </c>
    </row>
    <row r="5936" ht="22.5" customHeight="1">
      <c r="B5936" s="7"/>
      <c r="C5936" s="7"/>
      <c r="D5936" s="7"/>
      <c r="E5936" s="7"/>
      <c r="F5936" s="7"/>
      <c r="G5936" s="7"/>
      <c r="H5936" s="7">
        <f t="shared" si="1"/>
        <v>1029</v>
      </c>
    </row>
    <row r="5937" ht="22.5" customHeight="1">
      <c r="B5937" s="7"/>
      <c r="C5937" s="7"/>
      <c r="D5937" s="7"/>
      <c r="E5937" s="7"/>
      <c r="F5937" s="7"/>
      <c r="G5937" s="7"/>
      <c r="H5937" s="7">
        <f t="shared" si="1"/>
        <v>1029</v>
      </c>
    </row>
    <row r="5938" ht="22.5" customHeight="1">
      <c r="B5938" s="7"/>
      <c r="C5938" s="7"/>
      <c r="D5938" s="7"/>
      <c r="E5938" s="7"/>
      <c r="F5938" s="7"/>
      <c r="G5938" s="7"/>
      <c r="H5938" s="7">
        <f t="shared" si="1"/>
        <v>1029</v>
      </c>
    </row>
    <row r="5939" ht="22.5" customHeight="1">
      <c r="B5939" s="7"/>
      <c r="C5939" s="7"/>
      <c r="D5939" s="7"/>
      <c r="E5939" s="7"/>
      <c r="F5939" s="7"/>
      <c r="G5939" s="7"/>
      <c r="H5939" s="7">
        <f t="shared" si="1"/>
        <v>1029</v>
      </c>
    </row>
    <row r="5940" ht="22.5" customHeight="1">
      <c r="B5940" s="7"/>
      <c r="C5940" s="7"/>
      <c r="D5940" s="7"/>
      <c r="E5940" s="7"/>
      <c r="F5940" s="7"/>
      <c r="G5940" s="7"/>
      <c r="H5940" s="7">
        <f t="shared" si="1"/>
        <v>1029</v>
      </c>
    </row>
    <row r="5941" ht="22.5" customHeight="1">
      <c r="B5941" s="7"/>
      <c r="C5941" s="7"/>
      <c r="D5941" s="7"/>
      <c r="E5941" s="7"/>
      <c r="F5941" s="7"/>
      <c r="G5941" s="7"/>
      <c r="H5941" s="7">
        <f t="shared" si="1"/>
        <v>1029</v>
      </c>
    </row>
    <row r="5942" ht="22.5" customHeight="1">
      <c r="B5942" s="7"/>
      <c r="C5942" s="7"/>
      <c r="D5942" s="7"/>
      <c r="E5942" s="7"/>
      <c r="F5942" s="7"/>
      <c r="G5942" s="7"/>
      <c r="H5942" s="7">
        <f t="shared" si="1"/>
        <v>1029</v>
      </c>
    </row>
    <row r="5943" ht="22.5" customHeight="1">
      <c r="B5943" s="7"/>
      <c r="C5943" s="7"/>
      <c r="D5943" s="7"/>
      <c r="E5943" s="7"/>
      <c r="F5943" s="7"/>
      <c r="G5943" s="7"/>
      <c r="H5943" s="7">
        <f t="shared" si="1"/>
        <v>1029</v>
      </c>
    </row>
    <row r="5944" ht="22.5" customHeight="1">
      <c r="B5944" s="7"/>
      <c r="C5944" s="7"/>
      <c r="D5944" s="7"/>
      <c r="E5944" s="7"/>
      <c r="F5944" s="7"/>
      <c r="G5944" s="7"/>
      <c r="H5944" s="7">
        <f t="shared" si="1"/>
        <v>1029</v>
      </c>
    </row>
    <row r="5945" ht="22.5" customHeight="1">
      <c r="B5945" s="7"/>
      <c r="C5945" s="7"/>
      <c r="D5945" s="7"/>
      <c r="E5945" s="7"/>
      <c r="F5945" s="7"/>
      <c r="G5945" s="7"/>
      <c r="H5945" s="7">
        <f t="shared" si="1"/>
        <v>1029</v>
      </c>
    </row>
    <row r="5946" ht="22.5" customHeight="1">
      <c r="B5946" s="7"/>
      <c r="C5946" s="7"/>
      <c r="D5946" s="7"/>
      <c r="E5946" s="7"/>
      <c r="F5946" s="7"/>
      <c r="G5946" s="7"/>
      <c r="H5946" s="7">
        <f t="shared" si="1"/>
        <v>1029</v>
      </c>
    </row>
    <row r="5947" ht="22.5" customHeight="1">
      <c r="B5947" s="7"/>
      <c r="C5947" s="7"/>
      <c r="D5947" s="7"/>
      <c r="E5947" s="7"/>
      <c r="F5947" s="7"/>
      <c r="G5947" s="7"/>
      <c r="H5947" s="7">
        <f t="shared" si="1"/>
        <v>1029</v>
      </c>
    </row>
    <row r="5948" ht="22.5" customHeight="1">
      <c r="B5948" s="7"/>
      <c r="C5948" s="7"/>
      <c r="D5948" s="7"/>
      <c r="E5948" s="7"/>
      <c r="F5948" s="7"/>
      <c r="G5948" s="7"/>
      <c r="H5948" s="7">
        <f t="shared" si="1"/>
        <v>1029</v>
      </c>
    </row>
    <row r="5949" ht="22.5" customHeight="1">
      <c r="B5949" s="7"/>
      <c r="C5949" s="7"/>
      <c r="D5949" s="7"/>
      <c r="E5949" s="7"/>
      <c r="F5949" s="7"/>
      <c r="G5949" s="7"/>
      <c r="H5949" s="7">
        <f t="shared" si="1"/>
        <v>1029</v>
      </c>
    </row>
    <row r="5950" ht="22.5" customHeight="1">
      <c r="B5950" s="7"/>
      <c r="C5950" s="7"/>
      <c r="D5950" s="7"/>
      <c r="E5950" s="7"/>
      <c r="F5950" s="7"/>
      <c r="G5950" s="7"/>
      <c r="H5950" s="7">
        <f t="shared" si="1"/>
        <v>1029</v>
      </c>
    </row>
    <row r="5951" ht="22.5" customHeight="1">
      <c r="B5951" s="7"/>
      <c r="C5951" s="7"/>
      <c r="D5951" s="7"/>
      <c r="E5951" s="7"/>
      <c r="F5951" s="7"/>
      <c r="G5951" s="7"/>
      <c r="H5951" s="7">
        <f t="shared" si="1"/>
        <v>1029</v>
      </c>
    </row>
    <row r="5952" ht="22.5" customHeight="1">
      <c r="B5952" s="7"/>
      <c r="C5952" s="7"/>
      <c r="D5952" s="7"/>
      <c r="E5952" s="7"/>
      <c r="F5952" s="7"/>
      <c r="G5952" s="7"/>
      <c r="H5952" s="7">
        <f t="shared" si="1"/>
        <v>1029</v>
      </c>
    </row>
    <row r="5953" ht="22.5" customHeight="1">
      <c r="B5953" s="7"/>
      <c r="C5953" s="7"/>
      <c r="D5953" s="7"/>
      <c r="E5953" s="7"/>
      <c r="F5953" s="7"/>
      <c r="G5953" s="7"/>
      <c r="H5953" s="7">
        <f t="shared" si="1"/>
        <v>1029</v>
      </c>
    </row>
    <row r="5954" ht="22.5" customHeight="1">
      <c r="B5954" s="7"/>
      <c r="C5954" s="7"/>
      <c r="D5954" s="7"/>
      <c r="E5954" s="7"/>
      <c r="F5954" s="7"/>
      <c r="G5954" s="7"/>
      <c r="H5954" s="7">
        <f t="shared" si="1"/>
        <v>1029</v>
      </c>
    </row>
    <row r="5955" ht="22.5" customHeight="1">
      <c r="B5955" s="7"/>
      <c r="C5955" s="7"/>
      <c r="D5955" s="7"/>
      <c r="E5955" s="7"/>
      <c r="F5955" s="7"/>
      <c r="G5955" s="7"/>
      <c r="H5955" s="7">
        <f t="shared" si="1"/>
        <v>1029</v>
      </c>
    </row>
    <row r="5956" ht="22.5" customHeight="1">
      <c r="B5956" s="7"/>
      <c r="C5956" s="7"/>
      <c r="D5956" s="7"/>
      <c r="E5956" s="7"/>
      <c r="F5956" s="7"/>
      <c r="G5956" s="7"/>
      <c r="H5956" s="7">
        <f t="shared" si="1"/>
        <v>1029</v>
      </c>
    </row>
    <row r="5957" ht="22.5" customHeight="1">
      <c r="B5957" s="7"/>
      <c r="C5957" s="7"/>
      <c r="D5957" s="7"/>
      <c r="E5957" s="7"/>
      <c r="F5957" s="7"/>
      <c r="G5957" s="7"/>
      <c r="H5957" s="7">
        <f t="shared" si="1"/>
        <v>1029</v>
      </c>
    </row>
    <row r="5958" ht="22.5" customHeight="1">
      <c r="B5958" s="7"/>
      <c r="C5958" s="7"/>
      <c r="D5958" s="7"/>
      <c r="E5958" s="7"/>
      <c r="F5958" s="7"/>
      <c r="G5958" s="7"/>
      <c r="H5958" s="7">
        <f t="shared" si="1"/>
        <v>1029</v>
      </c>
    </row>
    <row r="5959" ht="22.5" customHeight="1">
      <c r="B5959" s="7"/>
      <c r="C5959" s="7"/>
      <c r="D5959" s="7"/>
      <c r="E5959" s="7"/>
      <c r="F5959" s="7"/>
      <c r="G5959" s="7"/>
      <c r="H5959" s="7">
        <f t="shared" si="1"/>
        <v>1029</v>
      </c>
    </row>
    <row r="5960" ht="22.5" customHeight="1">
      <c r="B5960" s="7"/>
      <c r="C5960" s="7"/>
      <c r="D5960" s="7"/>
      <c r="E5960" s="7"/>
      <c r="F5960" s="7"/>
      <c r="G5960" s="7"/>
      <c r="H5960" s="7">
        <f t="shared" si="1"/>
        <v>1029</v>
      </c>
    </row>
    <row r="5961" ht="22.5" customHeight="1">
      <c r="B5961" s="7"/>
      <c r="C5961" s="7"/>
      <c r="D5961" s="7"/>
      <c r="E5961" s="7"/>
      <c r="F5961" s="7"/>
      <c r="G5961" s="7"/>
      <c r="H5961" s="7">
        <f t="shared" si="1"/>
        <v>1029</v>
      </c>
    </row>
    <row r="5962" ht="22.5" customHeight="1">
      <c r="B5962" s="7"/>
      <c r="C5962" s="7"/>
      <c r="D5962" s="7"/>
      <c r="E5962" s="7"/>
      <c r="F5962" s="7"/>
      <c r="G5962" s="7"/>
      <c r="H5962" s="7">
        <f t="shared" si="1"/>
        <v>1029</v>
      </c>
    </row>
    <row r="5963" ht="22.5" customHeight="1">
      <c r="B5963" s="7"/>
      <c r="C5963" s="7"/>
      <c r="D5963" s="7"/>
      <c r="E5963" s="7"/>
      <c r="F5963" s="7"/>
      <c r="G5963" s="7"/>
      <c r="H5963" s="7">
        <f t="shared" si="1"/>
        <v>1029</v>
      </c>
    </row>
    <row r="5964" ht="22.5" customHeight="1">
      <c r="B5964" s="7"/>
      <c r="C5964" s="7"/>
      <c r="D5964" s="7"/>
      <c r="E5964" s="7"/>
      <c r="F5964" s="7"/>
      <c r="G5964" s="7"/>
      <c r="H5964" s="7">
        <f t="shared" si="1"/>
        <v>1029</v>
      </c>
    </row>
    <row r="5965" ht="22.5" customHeight="1">
      <c r="B5965" s="7"/>
      <c r="C5965" s="7"/>
      <c r="D5965" s="7"/>
      <c r="E5965" s="7"/>
      <c r="F5965" s="7"/>
      <c r="G5965" s="7"/>
      <c r="H5965" s="7">
        <f t="shared" si="1"/>
        <v>1029</v>
      </c>
    </row>
    <row r="5966" ht="22.5" customHeight="1">
      <c r="B5966" s="7"/>
      <c r="C5966" s="7"/>
      <c r="D5966" s="7"/>
      <c r="E5966" s="7"/>
      <c r="F5966" s="7"/>
      <c r="G5966" s="7"/>
      <c r="H5966" s="7">
        <f t="shared" si="1"/>
        <v>1029</v>
      </c>
    </row>
    <row r="5967" ht="22.5" customHeight="1">
      <c r="B5967" s="7"/>
      <c r="C5967" s="7"/>
      <c r="D5967" s="7"/>
      <c r="E5967" s="7"/>
      <c r="F5967" s="7"/>
      <c r="G5967" s="7"/>
      <c r="H5967" s="7">
        <f t="shared" si="1"/>
        <v>1029</v>
      </c>
    </row>
    <row r="5968" ht="22.5" customHeight="1">
      <c r="B5968" s="7"/>
      <c r="C5968" s="7"/>
      <c r="D5968" s="7"/>
      <c r="E5968" s="7"/>
      <c r="F5968" s="7"/>
      <c r="G5968" s="7"/>
      <c r="H5968" s="7">
        <f t="shared" si="1"/>
        <v>1029</v>
      </c>
    </row>
    <row r="5969" ht="22.5" customHeight="1">
      <c r="B5969" s="7"/>
      <c r="C5969" s="7"/>
      <c r="D5969" s="7"/>
      <c r="E5969" s="7"/>
      <c r="F5969" s="7"/>
      <c r="G5969" s="7"/>
      <c r="H5969" s="7">
        <f t="shared" si="1"/>
        <v>1029</v>
      </c>
    </row>
    <row r="5970" ht="22.5" customHeight="1">
      <c r="B5970" s="7"/>
      <c r="C5970" s="7"/>
      <c r="D5970" s="7"/>
      <c r="E5970" s="7"/>
      <c r="F5970" s="7"/>
      <c r="G5970" s="7"/>
      <c r="H5970" s="7">
        <f t="shared" si="1"/>
        <v>1029</v>
      </c>
    </row>
    <row r="5971" ht="22.5" customHeight="1">
      <c r="B5971" s="7"/>
      <c r="C5971" s="7"/>
      <c r="D5971" s="7"/>
      <c r="E5971" s="7"/>
      <c r="F5971" s="7"/>
      <c r="G5971" s="7"/>
      <c r="H5971" s="7">
        <f t="shared" si="1"/>
        <v>1029</v>
      </c>
    </row>
    <row r="5972" ht="22.5" customHeight="1">
      <c r="B5972" s="7"/>
      <c r="C5972" s="7"/>
      <c r="D5972" s="7"/>
      <c r="E5972" s="7"/>
      <c r="F5972" s="7"/>
      <c r="G5972" s="7"/>
      <c r="H5972" s="7">
        <f t="shared" si="1"/>
        <v>1029</v>
      </c>
    </row>
    <row r="5973" ht="22.5" customHeight="1">
      <c r="B5973" s="7"/>
      <c r="C5973" s="7"/>
      <c r="D5973" s="7"/>
      <c r="E5973" s="7"/>
      <c r="F5973" s="7"/>
      <c r="G5973" s="7"/>
      <c r="H5973" s="7">
        <f t="shared" si="1"/>
        <v>1029</v>
      </c>
    </row>
    <row r="5974" ht="22.5" customHeight="1">
      <c r="B5974" s="7"/>
      <c r="C5974" s="7"/>
      <c r="D5974" s="7"/>
      <c r="E5974" s="7"/>
      <c r="F5974" s="7"/>
      <c r="G5974" s="7"/>
      <c r="H5974" s="7">
        <f t="shared" si="1"/>
        <v>1029</v>
      </c>
    </row>
    <row r="5975" ht="22.5" customHeight="1">
      <c r="B5975" s="7"/>
      <c r="C5975" s="7"/>
      <c r="D5975" s="7"/>
      <c r="E5975" s="7"/>
      <c r="F5975" s="7"/>
      <c r="G5975" s="7"/>
      <c r="H5975" s="7">
        <f t="shared" si="1"/>
        <v>1029</v>
      </c>
    </row>
    <row r="5976" ht="22.5" customHeight="1">
      <c r="B5976" s="7"/>
      <c r="C5976" s="7"/>
      <c r="D5976" s="7"/>
      <c r="E5976" s="7"/>
      <c r="F5976" s="7"/>
      <c r="G5976" s="7"/>
      <c r="H5976" s="7">
        <f t="shared" si="1"/>
        <v>1029</v>
      </c>
    </row>
    <row r="5977" ht="22.5" customHeight="1">
      <c r="B5977" s="7"/>
      <c r="C5977" s="7"/>
      <c r="D5977" s="7"/>
      <c r="E5977" s="7"/>
      <c r="F5977" s="7"/>
      <c r="G5977" s="7"/>
      <c r="H5977" s="7">
        <f t="shared" si="1"/>
        <v>1029</v>
      </c>
    </row>
    <row r="5978" ht="22.5" customHeight="1">
      <c r="B5978" s="7"/>
      <c r="C5978" s="7"/>
      <c r="D5978" s="7"/>
      <c r="E5978" s="7"/>
      <c r="F5978" s="7"/>
      <c r="G5978" s="7"/>
      <c r="H5978" s="7">
        <f t="shared" si="1"/>
        <v>1029</v>
      </c>
    </row>
    <row r="5979" ht="22.5" customHeight="1">
      <c r="B5979" s="7"/>
      <c r="C5979" s="7"/>
      <c r="D5979" s="7"/>
      <c r="E5979" s="7"/>
      <c r="F5979" s="7"/>
      <c r="G5979" s="7"/>
      <c r="H5979" s="7">
        <f t="shared" si="1"/>
        <v>1029</v>
      </c>
    </row>
    <row r="5980" ht="22.5" customHeight="1">
      <c r="B5980" s="7"/>
      <c r="C5980" s="7"/>
      <c r="D5980" s="7"/>
      <c r="E5980" s="7"/>
      <c r="F5980" s="7"/>
      <c r="G5980" s="7"/>
      <c r="H5980" s="7">
        <f t="shared" si="1"/>
        <v>1029</v>
      </c>
    </row>
    <row r="5981" ht="22.5" customHeight="1">
      <c r="B5981" s="7"/>
      <c r="C5981" s="7"/>
      <c r="D5981" s="7"/>
      <c r="E5981" s="7"/>
      <c r="F5981" s="7"/>
      <c r="G5981" s="7"/>
      <c r="H5981" s="7">
        <f t="shared" si="1"/>
        <v>1029</v>
      </c>
    </row>
    <row r="5982" ht="22.5" customHeight="1">
      <c r="B5982" s="7"/>
      <c r="C5982" s="7"/>
      <c r="D5982" s="7"/>
      <c r="E5982" s="7"/>
      <c r="F5982" s="7"/>
      <c r="G5982" s="7"/>
      <c r="H5982" s="7">
        <f t="shared" si="1"/>
        <v>1029</v>
      </c>
    </row>
    <row r="5983" ht="22.5" customHeight="1">
      <c r="B5983" s="7"/>
      <c r="C5983" s="7"/>
      <c r="D5983" s="7"/>
      <c r="E5983" s="7"/>
      <c r="F5983" s="7"/>
      <c r="G5983" s="7"/>
      <c r="H5983" s="7">
        <f t="shared" si="1"/>
        <v>1029</v>
      </c>
    </row>
    <row r="5984" ht="22.5" customHeight="1">
      <c r="B5984" s="7"/>
      <c r="C5984" s="7"/>
      <c r="D5984" s="7"/>
      <c r="E5984" s="7"/>
      <c r="F5984" s="7"/>
      <c r="G5984" s="7"/>
      <c r="H5984" s="7">
        <f t="shared" si="1"/>
        <v>1029</v>
      </c>
    </row>
    <row r="5985" ht="22.5" customHeight="1">
      <c r="B5985" s="7"/>
      <c r="C5985" s="7"/>
      <c r="D5985" s="7"/>
      <c r="E5985" s="7"/>
      <c r="F5985" s="7"/>
      <c r="G5985" s="7"/>
      <c r="H5985" s="7">
        <f t="shared" si="1"/>
        <v>1029</v>
      </c>
    </row>
    <row r="5986" ht="22.5" customHeight="1">
      <c r="B5986" s="7"/>
      <c r="C5986" s="7"/>
      <c r="D5986" s="7"/>
      <c r="E5986" s="7"/>
      <c r="F5986" s="7"/>
      <c r="G5986" s="7"/>
      <c r="H5986" s="7">
        <f t="shared" si="1"/>
        <v>1029</v>
      </c>
    </row>
    <row r="5987" ht="22.5" customHeight="1">
      <c r="B5987" s="7"/>
      <c r="C5987" s="7"/>
      <c r="D5987" s="7"/>
      <c r="E5987" s="7"/>
      <c r="F5987" s="7"/>
      <c r="G5987" s="7"/>
      <c r="H5987" s="7">
        <f t="shared" si="1"/>
        <v>1029</v>
      </c>
    </row>
    <row r="5988" ht="22.5" customHeight="1">
      <c r="B5988" s="7"/>
      <c r="C5988" s="7"/>
      <c r="D5988" s="7"/>
      <c r="E5988" s="7"/>
      <c r="F5988" s="7"/>
      <c r="G5988" s="7"/>
      <c r="H5988" s="7">
        <f t="shared" si="1"/>
        <v>1029</v>
      </c>
    </row>
    <row r="5989" ht="22.5" customHeight="1">
      <c r="B5989" s="7"/>
      <c r="C5989" s="7"/>
      <c r="D5989" s="7"/>
      <c r="E5989" s="7"/>
      <c r="F5989" s="7"/>
      <c r="G5989" s="7"/>
      <c r="H5989" s="7">
        <f t="shared" si="1"/>
        <v>1029</v>
      </c>
    </row>
    <row r="5990" ht="22.5" customHeight="1">
      <c r="B5990" s="7"/>
      <c r="C5990" s="7"/>
      <c r="D5990" s="7"/>
      <c r="E5990" s="7"/>
      <c r="F5990" s="7"/>
      <c r="G5990" s="7"/>
      <c r="H5990" s="7">
        <f t="shared" si="1"/>
        <v>1029</v>
      </c>
    </row>
    <row r="5991" ht="22.5" customHeight="1">
      <c r="B5991" s="7"/>
      <c r="C5991" s="7"/>
      <c r="D5991" s="7"/>
      <c r="E5991" s="7"/>
      <c r="F5991" s="7"/>
      <c r="G5991" s="7"/>
      <c r="H5991" s="7">
        <f t="shared" si="1"/>
        <v>1029</v>
      </c>
    </row>
    <row r="5992" ht="22.5" customHeight="1">
      <c r="B5992" s="7"/>
      <c r="C5992" s="7"/>
      <c r="D5992" s="7"/>
      <c r="E5992" s="7"/>
      <c r="F5992" s="7"/>
      <c r="G5992" s="7"/>
      <c r="H5992" s="7">
        <f t="shared" si="1"/>
        <v>1029</v>
      </c>
    </row>
    <row r="5993" ht="22.5" customHeight="1">
      <c r="B5993" s="7"/>
      <c r="C5993" s="7"/>
      <c r="D5993" s="7"/>
      <c r="E5993" s="7"/>
      <c r="F5993" s="7"/>
      <c r="G5993" s="7"/>
      <c r="H5993" s="7">
        <f t="shared" si="1"/>
        <v>1029</v>
      </c>
    </row>
    <row r="5994" ht="22.5" customHeight="1">
      <c r="B5994" s="7"/>
      <c r="C5994" s="7"/>
      <c r="D5994" s="7"/>
      <c r="E5994" s="7"/>
      <c r="F5994" s="7"/>
      <c r="G5994" s="7"/>
      <c r="H5994" s="7">
        <f t="shared" si="1"/>
        <v>1029</v>
      </c>
    </row>
    <row r="5995" ht="22.5" customHeight="1">
      <c r="B5995" s="7"/>
      <c r="C5995" s="7"/>
      <c r="D5995" s="7"/>
      <c r="E5995" s="7"/>
      <c r="F5995" s="7"/>
      <c r="G5995" s="7"/>
      <c r="H5995" s="7">
        <f t="shared" si="1"/>
        <v>1029</v>
      </c>
    </row>
    <row r="5996" ht="22.5" customHeight="1">
      <c r="B5996" s="7"/>
      <c r="C5996" s="7"/>
      <c r="D5996" s="7"/>
      <c r="E5996" s="7"/>
      <c r="F5996" s="7"/>
      <c r="G5996" s="7"/>
      <c r="H5996" s="7">
        <f t="shared" si="1"/>
        <v>1029</v>
      </c>
    </row>
    <row r="5997" ht="22.5" customHeight="1">
      <c r="B5997" s="7"/>
      <c r="C5997" s="7"/>
      <c r="D5997" s="7"/>
      <c r="E5997" s="7"/>
      <c r="F5997" s="7"/>
      <c r="G5997" s="7"/>
      <c r="H5997" s="7">
        <f t="shared" si="1"/>
        <v>1029</v>
      </c>
    </row>
    <row r="5998" ht="22.5" customHeight="1">
      <c r="B5998" s="7"/>
      <c r="C5998" s="7"/>
      <c r="D5998" s="7"/>
      <c r="E5998" s="7"/>
      <c r="F5998" s="7"/>
      <c r="G5998" s="7"/>
      <c r="H5998" s="7">
        <f t="shared" si="1"/>
        <v>1029</v>
      </c>
    </row>
    <row r="5999" ht="22.5" customHeight="1">
      <c r="B5999" s="7"/>
      <c r="C5999" s="7"/>
      <c r="D5999" s="7"/>
      <c r="E5999" s="7"/>
      <c r="F5999" s="7"/>
      <c r="G5999" s="7"/>
      <c r="H5999" s="7">
        <f t="shared" si="1"/>
        <v>1029</v>
      </c>
    </row>
    <row r="6000" ht="22.5" customHeight="1">
      <c r="B6000" s="7"/>
      <c r="C6000" s="7"/>
      <c r="D6000" s="7"/>
      <c r="E6000" s="7"/>
      <c r="F6000" s="7"/>
      <c r="G6000" s="7"/>
      <c r="H6000" s="7">
        <f t="shared" si="1"/>
        <v>1029</v>
      </c>
    </row>
    <row r="6001" ht="22.5" customHeight="1">
      <c r="B6001" s="7"/>
      <c r="C6001" s="7"/>
      <c r="D6001" s="7"/>
      <c r="E6001" s="7"/>
      <c r="F6001" s="7"/>
      <c r="G6001" s="7"/>
      <c r="H6001" s="7">
        <f t="shared" si="1"/>
        <v>1029</v>
      </c>
    </row>
    <row r="6002" ht="22.5" customHeight="1">
      <c r="B6002" s="7"/>
      <c r="C6002" s="7"/>
      <c r="D6002" s="7"/>
      <c r="E6002" s="7"/>
      <c r="F6002" s="7"/>
      <c r="G6002" s="7"/>
      <c r="H6002" s="7">
        <f t="shared" si="1"/>
        <v>1029</v>
      </c>
    </row>
    <row r="6003" ht="22.5" customHeight="1">
      <c r="B6003" s="7"/>
      <c r="C6003" s="7"/>
      <c r="D6003" s="7"/>
      <c r="E6003" s="7"/>
      <c r="F6003" s="7"/>
      <c r="G6003" s="7"/>
      <c r="H6003" s="7">
        <f t="shared" si="1"/>
        <v>1029</v>
      </c>
    </row>
    <row r="6004" ht="22.5" customHeight="1">
      <c r="B6004" s="7"/>
      <c r="C6004" s="7"/>
      <c r="D6004" s="7"/>
      <c r="E6004" s="7"/>
      <c r="F6004" s="7"/>
      <c r="G6004" s="7"/>
      <c r="H6004" s="7">
        <f t="shared" si="1"/>
        <v>1029</v>
      </c>
    </row>
    <row r="6005" ht="22.5" customHeight="1">
      <c r="B6005" s="7"/>
      <c r="C6005" s="7"/>
      <c r="D6005" s="7"/>
      <c r="E6005" s="7"/>
      <c r="F6005" s="7"/>
      <c r="G6005" s="7"/>
      <c r="H6005" s="7">
        <f t="shared" si="1"/>
        <v>1029</v>
      </c>
    </row>
    <row r="6006" ht="22.5" customHeight="1">
      <c r="B6006" s="7"/>
      <c r="C6006" s="7"/>
      <c r="D6006" s="7"/>
      <c r="E6006" s="7"/>
      <c r="F6006" s="7"/>
      <c r="G6006" s="7"/>
      <c r="H6006" s="7">
        <f t="shared" si="1"/>
        <v>1029</v>
      </c>
    </row>
    <row r="6007" ht="22.5" customHeight="1">
      <c r="B6007" s="7"/>
      <c r="C6007" s="7"/>
      <c r="D6007" s="7"/>
      <c r="E6007" s="7"/>
      <c r="F6007" s="7"/>
      <c r="G6007" s="7"/>
      <c r="H6007" s="7">
        <f t="shared" si="1"/>
        <v>1029</v>
      </c>
    </row>
    <row r="6008" ht="22.5" customHeight="1">
      <c r="B6008" s="7"/>
      <c r="C6008" s="7"/>
      <c r="D6008" s="7"/>
      <c r="E6008" s="7"/>
      <c r="F6008" s="7"/>
      <c r="G6008" s="7"/>
      <c r="H6008" s="7">
        <f t="shared" si="1"/>
        <v>1029</v>
      </c>
    </row>
    <row r="6009" ht="22.5" customHeight="1">
      <c r="B6009" s="7"/>
      <c r="C6009" s="7"/>
      <c r="D6009" s="7"/>
      <c r="E6009" s="7"/>
      <c r="F6009" s="7"/>
      <c r="G6009" s="7"/>
      <c r="H6009" s="7">
        <f t="shared" si="1"/>
        <v>1029</v>
      </c>
    </row>
    <row r="6010" ht="22.5" customHeight="1">
      <c r="B6010" s="7"/>
      <c r="C6010" s="7"/>
      <c r="D6010" s="7"/>
      <c r="E6010" s="7"/>
      <c r="F6010" s="7"/>
      <c r="G6010" s="7"/>
      <c r="H6010" s="7">
        <f t="shared" si="1"/>
        <v>1029</v>
      </c>
    </row>
    <row r="6011" ht="22.5" customHeight="1">
      <c r="B6011" s="7"/>
      <c r="C6011" s="7"/>
      <c r="D6011" s="7"/>
      <c r="E6011" s="7"/>
      <c r="F6011" s="7"/>
      <c r="G6011" s="7"/>
      <c r="H6011" s="7">
        <f t="shared" si="1"/>
        <v>1029</v>
      </c>
    </row>
    <row r="6012" ht="22.5" customHeight="1">
      <c r="B6012" s="7"/>
      <c r="C6012" s="7"/>
      <c r="D6012" s="7"/>
      <c r="E6012" s="7"/>
      <c r="F6012" s="7"/>
      <c r="G6012" s="7"/>
      <c r="H6012" s="7">
        <f t="shared" si="1"/>
        <v>1029</v>
      </c>
    </row>
    <row r="6013" ht="22.5" customHeight="1">
      <c r="B6013" s="7"/>
      <c r="C6013" s="7"/>
      <c r="D6013" s="7"/>
      <c r="E6013" s="7"/>
      <c r="F6013" s="7"/>
      <c r="G6013" s="7"/>
      <c r="H6013" s="7">
        <f t="shared" si="1"/>
        <v>1029</v>
      </c>
    </row>
    <row r="6014" ht="22.5" customHeight="1">
      <c r="B6014" s="7"/>
      <c r="C6014" s="7"/>
      <c r="D6014" s="7"/>
      <c r="E6014" s="7"/>
      <c r="F6014" s="7"/>
      <c r="G6014" s="7"/>
      <c r="H6014" s="7">
        <f t="shared" si="1"/>
        <v>1029</v>
      </c>
    </row>
    <row r="6015" ht="22.5" customHeight="1">
      <c r="B6015" s="7"/>
      <c r="C6015" s="7"/>
      <c r="D6015" s="7"/>
      <c r="E6015" s="7"/>
      <c r="F6015" s="7"/>
      <c r="G6015" s="7"/>
      <c r="H6015" s="7">
        <f t="shared" si="1"/>
        <v>1029</v>
      </c>
    </row>
    <row r="6016" ht="22.5" customHeight="1">
      <c r="B6016" s="7"/>
      <c r="C6016" s="7"/>
      <c r="D6016" s="7"/>
      <c r="E6016" s="7"/>
      <c r="F6016" s="7"/>
      <c r="G6016" s="7"/>
      <c r="H6016" s="7">
        <f t="shared" si="1"/>
        <v>1029</v>
      </c>
    </row>
    <row r="6017" ht="22.5" customHeight="1">
      <c r="B6017" s="7"/>
      <c r="C6017" s="7"/>
      <c r="D6017" s="7"/>
      <c r="E6017" s="7"/>
      <c r="F6017" s="7"/>
      <c r="G6017" s="7"/>
      <c r="H6017" s="7">
        <f t="shared" si="1"/>
        <v>1029</v>
      </c>
    </row>
    <row r="6018" ht="22.5" customHeight="1">
      <c r="B6018" s="7"/>
      <c r="C6018" s="7"/>
      <c r="D6018" s="7"/>
      <c r="E6018" s="7"/>
      <c r="F6018" s="7"/>
      <c r="G6018" s="7"/>
      <c r="H6018" s="7">
        <f t="shared" si="1"/>
        <v>1029</v>
      </c>
    </row>
    <row r="6019" ht="22.5" customHeight="1">
      <c r="B6019" s="7"/>
      <c r="C6019" s="7"/>
      <c r="D6019" s="7"/>
      <c r="E6019" s="7"/>
      <c r="F6019" s="7"/>
      <c r="G6019" s="7"/>
      <c r="H6019" s="7">
        <f t="shared" si="1"/>
        <v>1029</v>
      </c>
    </row>
    <row r="6020" ht="22.5" customHeight="1">
      <c r="B6020" s="7"/>
      <c r="C6020" s="7"/>
      <c r="D6020" s="7"/>
      <c r="E6020" s="7"/>
      <c r="F6020" s="7"/>
      <c r="G6020" s="7"/>
      <c r="H6020" s="7">
        <f t="shared" si="1"/>
        <v>1029</v>
      </c>
    </row>
    <row r="6021" ht="22.5" customHeight="1">
      <c r="B6021" s="7"/>
      <c r="C6021" s="7"/>
      <c r="D6021" s="7"/>
      <c r="E6021" s="7"/>
      <c r="F6021" s="7"/>
      <c r="G6021" s="7"/>
      <c r="H6021" s="7">
        <f t="shared" si="1"/>
        <v>1029</v>
      </c>
    </row>
    <row r="6022" ht="22.5" customHeight="1">
      <c r="B6022" s="7"/>
      <c r="C6022" s="7"/>
      <c r="D6022" s="7"/>
      <c r="E6022" s="7"/>
      <c r="F6022" s="7"/>
      <c r="G6022" s="7"/>
      <c r="H6022" s="7">
        <f t="shared" si="1"/>
        <v>1029</v>
      </c>
    </row>
    <row r="6023" ht="22.5" customHeight="1">
      <c r="B6023" s="7"/>
      <c r="C6023" s="7"/>
      <c r="D6023" s="7"/>
      <c r="E6023" s="7"/>
      <c r="F6023" s="7"/>
      <c r="G6023" s="7"/>
      <c r="H6023" s="7">
        <f t="shared" si="1"/>
        <v>1029</v>
      </c>
    </row>
    <row r="6024" ht="22.5" customHeight="1">
      <c r="B6024" s="7"/>
      <c r="C6024" s="7"/>
      <c r="D6024" s="7"/>
      <c r="E6024" s="7"/>
      <c r="F6024" s="7"/>
      <c r="G6024" s="7"/>
      <c r="H6024" s="7">
        <f t="shared" si="1"/>
        <v>1029</v>
      </c>
    </row>
    <row r="6025" ht="22.5" customHeight="1">
      <c r="B6025" s="7"/>
      <c r="C6025" s="7"/>
      <c r="D6025" s="7"/>
      <c r="E6025" s="7"/>
      <c r="F6025" s="7"/>
      <c r="G6025" s="7"/>
      <c r="H6025" s="7">
        <f t="shared" si="1"/>
        <v>1029</v>
      </c>
    </row>
    <row r="6026" ht="22.5" customHeight="1">
      <c r="B6026" s="7"/>
      <c r="C6026" s="7"/>
      <c r="D6026" s="7"/>
      <c r="E6026" s="7"/>
      <c r="F6026" s="7"/>
      <c r="G6026" s="7"/>
      <c r="H6026" s="7">
        <f t="shared" si="1"/>
        <v>1029</v>
      </c>
    </row>
    <row r="6027" ht="22.5" customHeight="1">
      <c r="B6027" s="7"/>
      <c r="C6027" s="7"/>
      <c r="D6027" s="7"/>
      <c r="E6027" s="7"/>
      <c r="F6027" s="7"/>
      <c r="G6027" s="7"/>
      <c r="H6027" s="7">
        <f t="shared" si="1"/>
        <v>1029</v>
      </c>
    </row>
    <row r="6028" ht="22.5" customHeight="1">
      <c r="B6028" s="7"/>
      <c r="C6028" s="7"/>
      <c r="D6028" s="7"/>
      <c r="E6028" s="7"/>
      <c r="F6028" s="7"/>
      <c r="G6028" s="7"/>
      <c r="H6028" s="7">
        <f t="shared" si="1"/>
        <v>1029</v>
      </c>
    </row>
    <row r="6029" ht="22.5" customHeight="1">
      <c r="B6029" s="7"/>
      <c r="C6029" s="7"/>
      <c r="D6029" s="7"/>
      <c r="E6029" s="7"/>
      <c r="F6029" s="7"/>
      <c r="G6029" s="7"/>
      <c r="H6029" s="7">
        <f t="shared" si="1"/>
        <v>1029</v>
      </c>
    </row>
    <row r="6030" ht="22.5" customHeight="1">
      <c r="B6030" s="7"/>
      <c r="C6030" s="7"/>
      <c r="D6030" s="7"/>
      <c r="E6030" s="7"/>
      <c r="F6030" s="7"/>
      <c r="G6030" s="7"/>
      <c r="H6030" s="7">
        <f t="shared" si="1"/>
        <v>1029</v>
      </c>
    </row>
    <row r="6031" ht="22.5" customHeight="1">
      <c r="B6031" s="7"/>
      <c r="C6031" s="7"/>
      <c r="D6031" s="7"/>
      <c r="E6031" s="7"/>
      <c r="F6031" s="7"/>
      <c r="G6031" s="7"/>
      <c r="H6031" s="7">
        <f t="shared" si="1"/>
        <v>1029</v>
      </c>
    </row>
    <row r="6032" ht="22.5" customHeight="1">
      <c r="B6032" s="7"/>
      <c r="C6032" s="7"/>
      <c r="D6032" s="7"/>
      <c r="E6032" s="7"/>
      <c r="F6032" s="7"/>
      <c r="G6032" s="7"/>
      <c r="H6032" s="7">
        <f t="shared" si="1"/>
        <v>1029</v>
      </c>
    </row>
    <row r="6033" ht="22.5" customHeight="1">
      <c r="B6033" s="7"/>
      <c r="C6033" s="7"/>
      <c r="D6033" s="7"/>
      <c r="E6033" s="7"/>
      <c r="F6033" s="7"/>
      <c r="G6033" s="7"/>
      <c r="H6033" s="7">
        <f t="shared" si="1"/>
        <v>1029</v>
      </c>
    </row>
    <row r="6034" ht="22.5" customHeight="1">
      <c r="B6034" s="7"/>
      <c r="C6034" s="7"/>
      <c r="D6034" s="7"/>
      <c r="E6034" s="7"/>
      <c r="F6034" s="7"/>
      <c r="G6034" s="7"/>
      <c r="H6034" s="7">
        <f t="shared" si="1"/>
        <v>1029</v>
      </c>
    </row>
    <row r="6035" ht="22.5" customHeight="1">
      <c r="B6035" s="7"/>
      <c r="C6035" s="7"/>
      <c r="D6035" s="7"/>
      <c r="E6035" s="7"/>
      <c r="F6035" s="7"/>
      <c r="G6035" s="7"/>
      <c r="H6035" s="7">
        <f t="shared" si="1"/>
        <v>1029</v>
      </c>
    </row>
    <row r="6036" ht="22.5" customHeight="1">
      <c r="B6036" s="7"/>
      <c r="C6036" s="7"/>
      <c r="D6036" s="7"/>
      <c r="E6036" s="7"/>
      <c r="F6036" s="7"/>
      <c r="G6036" s="7"/>
      <c r="H6036" s="7">
        <f t="shared" si="1"/>
        <v>1029</v>
      </c>
    </row>
    <row r="6037" ht="22.5" customHeight="1">
      <c r="B6037" s="7"/>
      <c r="C6037" s="7"/>
      <c r="D6037" s="7"/>
      <c r="E6037" s="7"/>
      <c r="F6037" s="7"/>
      <c r="G6037" s="7"/>
      <c r="H6037" s="7">
        <f t="shared" si="1"/>
        <v>1029</v>
      </c>
    </row>
    <row r="6038" ht="22.5" customHeight="1">
      <c r="B6038" s="7"/>
      <c r="C6038" s="7"/>
      <c r="D6038" s="7"/>
      <c r="E6038" s="7"/>
      <c r="F6038" s="7"/>
      <c r="G6038" s="7"/>
      <c r="H6038" s="7">
        <f t="shared" si="1"/>
        <v>1029</v>
      </c>
    </row>
    <row r="6039" ht="22.5" customHeight="1">
      <c r="B6039" s="7"/>
      <c r="C6039" s="7"/>
      <c r="D6039" s="7"/>
      <c r="E6039" s="7"/>
      <c r="F6039" s="7"/>
      <c r="G6039" s="7"/>
      <c r="H6039" s="7">
        <f t="shared" si="1"/>
        <v>1029</v>
      </c>
    </row>
    <row r="6040" ht="22.5" customHeight="1">
      <c r="B6040" s="7"/>
      <c r="C6040" s="7"/>
      <c r="D6040" s="7"/>
      <c r="E6040" s="7"/>
      <c r="F6040" s="7"/>
      <c r="G6040" s="7"/>
      <c r="H6040" s="7">
        <f t="shared" si="1"/>
        <v>1029</v>
      </c>
    </row>
    <row r="6041" ht="22.5" customHeight="1">
      <c r="B6041" s="7"/>
      <c r="C6041" s="7"/>
      <c r="D6041" s="7"/>
      <c r="E6041" s="7"/>
      <c r="F6041" s="7"/>
      <c r="G6041" s="7"/>
      <c r="H6041" s="7">
        <f t="shared" si="1"/>
        <v>1029</v>
      </c>
    </row>
    <row r="6042" ht="22.5" customHeight="1">
      <c r="B6042" s="7"/>
      <c r="C6042" s="7"/>
      <c r="D6042" s="7"/>
      <c r="E6042" s="7"/>
      <c r="F6042" s="7"/>
      <c r="G6042" s="7"/>
      <c r="H6042" s="7">
        <f t="shared" si="1"/>
        <v>1029</v>
      </c>
    </row>
    <row r="6043" ht="22.5" customHeight="1">
      <c r="B6043" s="7"/>
      <c r="C6043" s="7"/>
      <c r="D6043" s="7"/>
      <c r="E6043" s="7"/>
      <c r="F6043" s="7"/>
      <c r="G6043" s="7"/>
      <c r="H6043" s="7">
        <f t="shared" si="1"/>
        <v>1029</v>
      </c>
    </row>
    <row r="6044" ht="22.5" customHeight="1">
      <c r="B6044" s="7"/>
      <c r="C6044" s="7"/>
      <c r="D6044" s="7"/>
      <c r="E6044" s="7"/>
      <c r="F6044" s="7"/>
      <c r="G6044" s="7"/>
      <c r="H6044" s="7">
        <f t="shared" si="1"/>
        <v>1029</v>
      </c>
    </row>
    <row r="6045" ht="22.5" customHeight="1">
      <c r="B6045" s="7"/>
      <c r="C6045" s="7"/>
      <c r="D6045" s="7"/>
      <c r="E6045" s="7"/>
      <c r="F6045" s="7"/>
      <c r="G6045" s="7"/>
      <c r="H6045" s="7">
        <f t="shared" si="1"/>
        <v>1029</v>
      </c>
    </row>
    <row r="6046" ht="22.5" customHeight="1">
      <c r="B6046" s="7"/>
      <c r="C6046" s="7"/>
      <c r="D6046" s="7"/>
      <c r="E6046" s="7"/>
      <c r="F6046" s="7"/>
      <c r="G6046" s="7"/>
      <c r="H6046" s="7">
        <f t="shared" si="1"/>
        <v>1029</v>
      </c>
    </row>
    <row r="6047" ht="22.5" customHeight="1">
      <c r="B6047" s="7"/>
      <c r="C6047" s="7"/>
      <c r="D6047" s="7"/>
      <c r="E6047" s="7"/>
      <c r="F6047" s="7"/>
      <c r="G6047" s="7"/>
      <c r="H6047" s="7">
        <f t="shared" si="1"/>
        <v>1029</v>
      </c>
    </row>
    <row r="6048" ht="22.5" customHeight="1">
      <c r="B6048" s="7"/>
      <c r="C6048" s="7"/>
      <c r="D6048" s="7"/>
      <c r="E6048" s="7"/>
      <c r="F6048" s="7"/>
      <c r="G6048" s="7"/>
      <c r="H6048" s="7">
        <f t="shared" si="1"/>
        <v>1029</v>
      </c>
    </row>
    <row r="6049" ht="22.5" customHeight="1">
      <c r="B6049" s="7"/>
      <c r="C6049" s="7"/>
      <c r="D6049" s="7"/>
      <c r="E6049" s="7"/>
      <c r="F6049" s="7"/>
      <c r="G6049" s="7"/>
      <c r="H6049" s="7">
        <f t="shared" si="1"/>
        <v>1029</v>
      </c>
    </row>
    <row r="6050" ht="22.5" customHeight="1">
      <c r="B6050" s="7"/>
      <c r="C6050" s="7"/>
      <c r="D6050" s="7"/>
      <c r="E6050" s="7"/>
      <c r="F6050" s="7"/>
      <c r="G6050" s="7"/>
      <c r="H6050" s="7">
        <f t="shared" si="1"/>
        <v>1029</v>
      </c>
    </row>
    <row r="6051" ht="22.5" customHeight="1">
      <c r="B6051" s="7"/>
      <c r="C6051" s="7"/>
      <c r="D6051" s="7"/>
      <c r="E6051" s="7"/>
      <c r="F6051" s="7"/>
      <c r="G6051" s="7"/>
      <c r="H6051" s="7">
        <f t="shared" si="1"/>
        <v>1029</v>
      </c>
    </row>
    <row r="6052" ht="22.5" customHeight="1">
      <c r="B6052" s="7"/>
      <c r="C6052" s="7"/>
      <c r="D6052" s="7"/>
      <c r="E6052" s="7"/>
      <c r="F6052" s="7"/>
      <c r="G6052" s="7"/>
      <c r="H6052" s="7">
        <f t="shared" si="1"/>
        <v>1029</v>
      </c>
    </row>
    <row r="6053" ht="22.5" customHeight="1">
      <c r="B6053" s="7"/>
      <c r="C6053" s="7"/>
      <c r="D6053" s="7"/>
      <c r="E6053" s="7"/>
      <c r="F6053" s="7"/>
      <c r="G6053" s="7"/>
      <c r="H6053" s="7">
        <f t="shared" si="1"/>
        <v>1029</v>
      </c>
    </row>
    <row r="6054" ht="22.5" customHeight="1">
      <c r="B6054" s="7"/>
      <c r="C6054" s="7"/>
      <c r="D6054" s="7"/>
      <c r="E6054" s="7"/>
      <c r="F6054" s="7"/>
      <c r="G6054" s="7"/>
      <c r="H6054" s="7">
        <f t="shared" si="1"/>
        <v>1029</v>
      </c>
    </row>
    <row r="6055" ht="22.5" customHeight="1">
      <c r="B6055" s="7"/>
      <c r="C6055" s="7"/>
      <c r="D6055" s="7"/>
      <c r="E6055" s="7"/>
      <c r="F6055" s="7"/>
      <c r="G6055" s="7"/>
      <c r="H6055" s="7">
        <f t="shared" si="1"/>
        <v>1029</v>
      </c>
    </row>
    <row r="6056" ht="22.5" customHeight="1">
      <c r="B6056" s="7"/>
      <c r="C6056" s="7"/>
      <c r="D6056" s="7"/>
      <c r="E6056" s="7"/>
      <c r="F6056" s="7"/>
      <c r="G6056" s="7"/>
      <c r="H6056" s="7">
        <f t="shared" si="1"/>
        <v>1029</v>
      </c>
    </row>
    <row r="6057" ht="22.5" customHeight="1">
      <c r="B6057" s="7"/>
      <c r="C6057" s="7"/>
      <c r="D6057" s="7"/>
      <c r="E6057" s="7"/>
      <c r="F6057" s="7"/>
      <c r="G6057" s="7"/>
      <c r="H6057" s="7">
        <f t="shared" si="1"/>
        <v>1029</v>
      </c>
    </row>
    <row r="6058" ht="22.5" customHeight="1">
      <c r="B6058" s="7"/>
      <c r="C6058" s="7"/>
      <c r="D6058" s="7"/>
      <c r="E6058" s="7"/>
      <c r="F6058" s="7"/>
      <c r="G6058" s="7"/>
      <c r="H6058" s="7">
        <f t="shared" si="1"/>
        <v>1029</v>
      </c>
    </row>
    <row r="6059" ht="22.5" customHeight="1">
      <c r="B6059" s="7"/>
      <c r="C6059" s="7"/>
      <c r="D6059" s="7"/>
      <c r="E6059" s="7"/>
      <c r="F6059" s="7"/>
      <c r="G6059" s="7"/>
      <c r="H6059" s="7">
        <f t="shared" si="1"/>
        <v>1029</v>
      </c>
    </row>
    <row r="6060" ht="22.5" customHeight="1">
      <c r="B6060" s="7"/>
      <c r="C6060" s="7"/>
      <c r="D6060" s="7"/>
      <c r="E6060" s="7"/>
      <c r="F6060" s="7"/>
      <c r="G6060" s="7"/>
      <c r="H6060" s="7">
        <f t="shared" si="1"/>
        <v>1029</v>
      </c>
    </row>
    <row r="6061" ht="22.5" customHeight="1">
      <c r="B6061" s="7"/>
      <c r="C6061" s="7"/>
      <c r="D6061" s="7"/>
      <c r="E6061" s="7"/>
      <c r="F6061" s="7"/>
      <c r="G6061" s="7"/>
      <c r="H6061" s="7">
        <f t="shared" si="1"/>
        <v>1029</v>
      </c>
    </row>
    <row r="6062" ht="22.5" customHeight="1">
      <c r="B6062" s="7"/>
      <c r="C6062" s="7"/>
      <c r="D6062" s="7"/>
      <c r="E6062" s="7"/>
      <c r="F6062" s="7"/>
      <c r="G6062" s="7"/>
      <c r="H6062" s="7">
        <f t="shared" si="1"/>
        <v>1029</v>
      </c>
    </row>
    <row r="6063" ht="22.5" customHeight="1">
      <c r="B6063" s="7"/>
      <c r="C6063" s="7"/>
      <c r="D6063" s="7"/>
      <c r="E6063" s="7"/>
      <c r="F6063" s="7"/>
      <c r="G6063" s="7"/>
      <c r="H6063" s="7">
        <f t="shared" si="1"/>
        <v>1029</v>
      </c>
    </row>
    <row r="6064" ht="22.5" customHeight="1">
      <c r="B6064" s="7"/>
      <c r="C6064" s="7"/>
      <c r="D6064" s="7"/>
      <c r="E6064" s="7"/>
      <c r="F6064" s="7"/>
      <c r="G6064" s="7"/>
      <c r="H6064" s="7">
        <f t="shared" si="1"/>
        <v>1029</v>
      </c>
    </row>
    <row r="6065" ht="22.5" customHeight="1">
      <c r="B6065" s="7"/>
      <c r="C6065" s="7"/>
      <c r="D6065" s="7"/>
      <c r="E6065" s="7"/>
      <c r="F6065" s="7"/>
      <c r="G6065" s="7"/>
      <c r="H6065" s="7">
        <f t="shared" si="1"/>
        <v>1029</v>
      </c>
    </row>
    <row r="6066" ht="22.5" customHeight="1">
      <c r="B6066" s="7"/>
      <c r="C6066" s="7"/>
      <c r="D6066" s="7"/>
      <c r="E6066" s="7"/>
      <c r="F6066" s="7"/>
      <c r="G6066" s="7"/>
      <c r="H6066" s="7">
        <f t="shared" si="1"/>
        <v>1029</v>
      </c>
    </row>
    <row r="6067" ht="22.5" customHeight="1">
      <c r="B6067" s="7"/>
      <c r="C6067" s="7"/>
      <c r="D6067" s="7"/>
      <c r="E6067" s="7"/>
      <c r="F6067" s="7"/>
      <c r="G6067" s="7"/>
      <c r="H6067" s="7">
        <f t="shared" si="1"/>
        <v>1029</v>
      </c>
    </row>
    <row r="6068" ht="22.5" customHeight="1">
      <c r="B6068" s="7"/>
      <c r="C6068" s="7"/>
      <c r="D6068" s="7"/>
      <c r="E6068" s="7"/>
      <c r="F6068" s="7"/>
      <c r="G6068" s="7"/>
      <c r="H6068" s="7">
        <f t="shared" si="1"/>
        <v>1029</v>
      </c>
    </row>
    <row r="6069" ht="22.5" customHeight="1">
      <c r="B6069" s="7"/>
      <c r="C6069" s="7"/>
      <c r="D6069" s="7"/>
      <c r="E6069" s="7"/>
      <c r="F6069" s="7"/>
      <c r="G6069" s="7"/>
      <c r="H6069" s="7">
        <f t="shared" si="1"/>
        <v>1029</v>
      </c>
    </row>
    <row r="6070" ht="22.5" customHeight="1">
      <c r="B6070" s="7"/>
      <c r="C6070" s="7"/>
      <c r="D6070" s="7"/>
      <c r="E6070" s="7"/>
      <c r="F6070" s="7"/>
      <c r="G6070" s="7"/>
      <c r="H6070" s="7">
        <f t="shared" si="1"/>
        <v>1029</v>
      </c>
    </row>
    <row r="6071" ht="22.5" customHeight="1">
      <c r="B6071" s="7"/>
      <c r="C6071" s="7"/>
      <c r="D6071" s="7"/>
      <c r="E6071" s="7"/>
      <c r="F6071" s="7"/>
      <c r="G6071" s="7"/>
      <c r="H6071" s="7">
        <f t="shared" si="1"/>
        <v>1029</v>
      </c>
    </row>
    <row r="6072" ht="22.5" customHeight="1">
      <c r="B6072" s="7"/>
      <c r="C6072" s="7"/>
      <c r="D6072" s="7"/>
      <c r="E6072" s="7"/>
      <c r="F6072" s="7"/>
      <c r="G6072" s="7"/>
      <c r="H6072" s="7">
        <f t="shared" si="1"/>
        <v>1029</v>
      </c>
    </row>
    <row r="6073" ht="22.5" customHeight="1">
      <c r="B6073" s="7"/>
      <c r="C6073" s="7"/>
      <c r="D6073" s="7"/>
      <c r="E6073" s="7"/>
      <c r="F6073" s="7"/>
      <c r="G6073" s="7"/>
      <c r="H6073" s="7">
        <f t="shared" si="1"/>
        <v>1029</v>
      </c>
    </row>
    <row r="6074" ht="22.5" customHeight="1">
      <c r="B6074" s="7"/>
      <c r="C6074" s="7"/>
      <c r="D6074" s="7"/>
      <c r="E6074" s="7"/>
      <c r="F6074" s="7"/>
      <c r="G6074" s="7"/>
      <c r="H6074" s="7">
        <f t="shared" si="1"/>
        <v>1029</v>
      </c>
    </row>
    <row r="6075" ht="22.5" customHeight="1">
      <c r="B6075" s="7"/>
      <c r="C6075" s="7"/>
      <c r="D6075" s="7"/>
      <c r="E6075" s="7"/>
      <c r="F6075" s="7"/>
      <c r="G6075" s="7"/>
      <c r="H6075" s="7">
        <f t="shared" si="1"/>
        <v>1029</v>
      </c>
    </row>
    <row r="6076" ht="22.5" customHeight="1">
      <c r="B6076" s="7"/>
      <c r="C6076" s="7"/>
      <c r="D6076" s="7"/>
      <c r="E6076" s="7"/>
      <c r="F6076" s="7"/>
      <c r="G6076" s="7"/>
      <c r="H6076" s="7">
        <f t="shared" si="1"/>
        <v>1029</v>
      </c>
    </row>
    <row r="6077" ht="22.5" customHeight="1">
      <c r="B6077" s="7"/>
      <c r="C6077" s="7"/>
      <c r="D6077" s="7"/>
      <c r="E6077" s="7"/>
      <c r="F6077" s="7"/>
      <c r="G6077" s="7"/>
      <c r="H6077" s="7">
        <f t="shared" si="1"/>
        <v>1029</v>
      </c>
    </row>
    <row r="6078" ht="22.5" customHeight="1">
      <c r="B6078" s="7"/>
      <c r="C6078" s="7"/>
      <c r="D6078" s="7"/>
      <c r="E6078" s="7"/>
      <c r="F6078" s="7"/>
      <c r="G6078" s="7"/>
      <c r="H6078" s="7">
        <f t="shared" si="1"/>
        <v>1029</v>
      </c>
    </row>
    <row r="6079" ht="22.5" customHeight="1">
      <c r="B6079" s="7"/>
      <c r="C6079" s="7"/>
      <c r="D6079" s="7"/>
      <c r="E6079" s="7"/>
      <c r="F6079" s="7"/>
      <c r="G6079" s="7"/>
      <c r="H6079" s="7">
        <f t="shared" si="1"/>
        <v>1029</v>
      </c>
    </row>
    <row r="6080" ht="22.5" customHeight="1">
      <c r="B6080" s="7"/>
      <c r="C6080" s="7"/>
      <c r="D6080" s="7"/>
      <c r="E6080" s="7"/>
      <c r="F6080" s="7"/>
      <c r="G6080" s="7"/>
      <c r="H6080" s="7">
        <f t="shared" si="1"/>
        <v>1029</v>
      </c>
    </row>
    <row r="6081" ht="22.5" customHeight="1">
      <c r="B6081" s="7"/>
      <c r="C6081" s="7"/>
      <c r="D6081" s="7"/>
      <c r="E6081" s="7"/>
      <c r="F6081" s="7"/>
      <c r="G6081" s="7"/>
      <c r="H6081" s="7">
        <f t="shared" si="1"/>
        <v>1029</v>
      </c>
    </row>
    <row r="6082" ht="22.5" customHeight="1">
      <c r="B6082" s="7"/>
      <c r="C6082" s="7"/>
      <c r="D6082" s="7"/>
      <c r="E6082" s="7"/>
      <c r="F6082" s="7"/>
      <c r="G6082" s="7"/>
      <c r="H6082" s="7">
        <f t="shared" si="1"/>
        <v>1029</v>
      </c>
    </row>
    <row r="6083" ht="22.5" customHeight="1">
      <c r="B6083" s="7"/>
      <c r="C6083" s="7"/>
      <c r="D6083" s="7"/>
      <c r="E6083" s="7"/>
      <c r="F6083" s="7"/>
      <c r="G6083" s="7"/>
      <c r="H6083" s="7">
        <f t="shared" si="1"/>
        <v>1029</v>
      </c>
    </row>
    <row r="6084" ht="22.5" customHeight="1">
      <c r="B6084" s="7"/>
      <c r="C6084" s="7"/>
      <c r="D6084" s="7"/>
      <c r="E6084" s="7"/>
      <c r="F6084" s="7"/>
      <c r="G6084" s="7"/>
      <c r="H6084" s="7">
        <f t="shared" si="1"/>
        <v>1029</v>
      </c>
    </row>
    <row r="6085" ht="22.5" customHeight="1">
      <c r="B6085" s="7"/>
      <c r="C6085" s="7"/>
      <c r="D6085" s="7"/>
      <c r="E6085" s="7"/>
      <c r="F6085" s="7"/>
      <c r="G6085" s="7"/>
      <c r="H6085" s="7">
        <f t="shared" si="1"/>
        <v>1029</v>
      </c>
    </row>
    <row r="6086" ht="22.5" customHeight="1">
      <c r="B6086" s="7"/>
      <c r="C6086" s="7"/>
      <c r="D6086" s="7"/>
      <c r="E6086" s="7"/>
      <c r="F6086" s="7"/>
      <c r="G6086" s="7"/>
      <c r="H6086" s="7">
        <f t="shared" si="1"/>
        <v>1029</v>
      </c>
    </row>
    <row r="6087" ht="22.5" customHeight="1">
      <c r="B6087" s="7"/>
      <c r="C6087" s="7"/>
      <c r="D6087" s="7"/>
      <c r="E6087" s="7"/>
      <c r="F6087" s="7"/>
      <c r="G6087" s="7"/>
      <c r="H6087" s="7">
        <f t="shared" si="1"/>
        <v>1029</v>
      </c>
    </row>
    <row r="6088" ht="22.5" customHeight="1">
      <c r="B6088" s="7"/>
      <c r="C6088" s="7"/>
      <c r="D6088" s="7"/>
      <c r="E6088" s="7"/>
      <c r="F6088" s="7"/>
      <c r="G6088" s="7"/>
      <c r="H6088" s="7">
        <f t="shared" si="1"/>
        <v>1029</v>
      </c>
    </row>
    <row r="6089" ht="22.5" customHeight="1">
      <c r="B6089" s="7"/>
      <c r="C6089" s="7"/>
      <c r="D6089" s="7"/>
      <c r="E6089" s="7"/>
      <c r="F6089" s="7"/>
      <c r="G6089" s="7"/>
      <c r="H6089" s="7">
        <f t="shared" si="1"/>
        <v>1029</v>
      </c>
    </row>
    <row r="6090" ht="22.5" customHeight="1">
      <c r="B6090" s="7"/>
      <c r="C6090" s="7"/>
      <c r="D6090" s="7"/>
      <c r="E6090" s="7"/>
      <c r="F6090" s="7"/>
      <c r="G6090" s="7"/>
      <c r="H6090" s="7">
        <f t="shared" si="1"/>
        <v>1029</v>
      </c>
    </row>
    <row r="6091" ht="22.5" customHeight="1">
      <c r="B6091" s="7"/>
      <c r="C6091" s="7"/>
      <c r="D6091" s="7"/>
      <c r="E6091" s="7"/>
      <c r="F6091" s="7"/>
      <c r="G6091" s="7"/>
      <c r="H6091" s="7">
        <f t="shared" si="1"/>
        <v>1029</v>
      </c>
    </row>
    <row r="6092" ht="22.5" customHeight="1">
      <c r="B6092" s="7"/>
      <c r="C6092" s="7"/>
      <c r="D6092" s="7"/>
      <c r="E6092" s="7"/>
      <c r="F6092" s="7"/>
      <c r="G6092" s="7"/>
      <c r="H6092" s="7">
        <f t="shared" si="1"/>
        <v>1029</v>
      </c>
    </row>
    <row r="6093" ht="22.5" customHeight="1">
      <c r="B6093" s="7"/>
      <c r="C6093" s="7"/>
      <c r="D6093" s="7"/>
      <c r="E6093" s="7"/>
      <c r="F6093" s="7"/>
      <c r="G6093" s="7"/>
      <c r="H6093" s="7">
        <f t="shared" si="1"/>
        <v>1029</v>
      </c>
    </row>
    <row r="6094" ht="22.5" customHeight="1">
      <c r="B6094" s="7"/>
      <c r="C6094" s="7"/>
      <c r="D6094" s="7"/>
      <c r="E6094" s="7"/>
      <c r="F6094" s="7"/>
      <c r="G6094" s="7"/>
      <c r="H6094" s="7">
        <f t="shared" si="1"/>
        <v>1029</v>
      </c>
    </row>
    <row r="6095" ht="22.5" customHeight="1">
      <c r="B6095" s="7"/>
      <c r="C6095" s="7"/>
      <c r="D6095" s="7"/>
      <c r="E6095" s="7"/>
      <c r="F6095" s="7"/>
      <c r="G6095" s="7"/>
      <c r="H6095" s="7">
        <f t="shared" si="1"/>
        <v>1029</v>
      </c>
    </row>
    <row r="6096" ht="22.5" customHeight="1">
      <c r="B6096" s="7"/>
      <c r="C6096" s="7"/>
      <c r="D6096" s="7"/>
      <c r="E6096" s="7"/>
      <c r="F6096" s="7"/>
      <c r="G6096" s="7"/>
      <c r="H6096" s="7">
        <f t="shared" si="1"/>
        <v>1029</v>
      </c>
    </row>
    <row r="6097" ht="22.5" customHeight="1">
      <c r="B6097" s="7"/>
      <c r="C6097" s="7"/>
      <c r="D6097" s="7"/>
      <c r="E6097" s="7"/>
      <c r="F6097" s="7"/>
      <c r="G6097" s="7"/>
      <c r="H6097" s="7">
        <f t="shared" si="1"/>
        <v>1029</v>
      </c>
    </row>
    <row r="6098" ht="22.5" customHeight="1">
      <c r="B6098" s="7"/>
      <c r="C6098" s="7"/>
      <c r="D6098" s="7"/>
      <c r="E6098" s="7"/>
      <c r="F6098" s="7"/>
      <c r="G6098" s="7"/>
      <c r="H6098" s="7">
        <f t="shared" si="1"/>
        <v>1029</v>
      </c>
    </row>
    <row r="6099" ht="22.5" customHeight="1">
      <c r="B6099" s="7"/>
      <c r="C6099" s="7"/>
      <c r="D6099" s="7"/>
      <c r="E6099" s="7"/>
      <c r="F6099" s="7"/>
      <c r="G6099" s="7"/>
      <c r="H6099" s="7">
        <f t="shared" si="1"/>
        <v>1029</v>
      </c>
    </row>
    <row r="6100" ht="22.5" customHeight="1">
      <c r="B6100" s="7"/>
      <c r="C6100" s="7"/>
      <c r="D6100" s="7"/>
      <c r="E6100" s="7"/>
      <c r="F6100" s="7"/>
      <c r="G6100" s="7"/>
      <c r="H6100" s="7">
        <f t="shared" si="1"/>
        <v>1029</v>
      </c>
    </row>
    <row r="6101" ht="22.5" customHeight="1">
      <c r="B6101" s="7"/>
      <c r="C6101" s="7"/>
      <c r="D6101" s="7"/>
      <c r="E6101" s="7"/>
      <c r="F6101" s="7"/>
      <c r="G6101" s="7"/>
      <c r="H6101" s="7">
        <f t="shared" si="1"/>
        <v>1029</v>
      </c>
    </row>
    <row r="6102" ht="22.5" customHeight="1">
      <c r="B6102" s="7"/>
      <c r="C6102" s="7"/>
      <c r="D6102" s="7"/>
      <c r="E6102" s="7"/>
      <c r="F6102" s="7"/>
      <c r="G6102" s="7"/>
      <c r="H6102" s="7">
        <f t="shared" si="1"/>
        <v>1029</v>
      </c>
    </row>
    <row r="6103" ht="22.5" customHeight="1">
      <c r="B6103" s="7"/>
      <c r="C6103" s="7"/>
      <c r="D6103" s="7"/>
      <c r="E6103" s="7"/>
      <c r="F6103" s="7"/>
      <c r="G6103" s="7"/>
      <c r="H6103" s="7">
        <f t="shared" si="1"/>
        <v>1029</v>
      </c>
    </row>
    <row r="6104" ht="22.5" customHeight="1">
      <c r="B6104" s="7"/>
      <c r="C6104" s="7"/>
      <c r="D6104" s="7"/>
      <c r="E6104" s="7"/>
      <c r="F6104" s="7"/>
      <c r="G6104" s="7"/>
      <c r="H6104" s="7">
        <f t="shared" si="1"/>
        <v>1029</v>
      </c>
    </row>
    <row r="6105" ht="22.5" customHeight="1">
      <c r="B6105" s="7"/>
      <c r="C6105" s="7"/>
      <c r="D6105" s="7"/>
      <c r="E6105" s="7"/>
      <c r="F6105" s="7"/>
      <c r="G6105" s="7"/>
      <c r="H6105" s="7">
        <f t="shared" si="1"/>
        <v>1029</v>
      </c>
    </row>
    <row r="6106" ht="22.5" customHeight="1">
      <c r="B6106" s="7"/>
      <c r="C6106" s="7"/>
      <c r="D6106" s="7"/>
      <c r="E6106" s="7"/>
      <c r="F6106" s="7"/>
      <c r="G6106" s="7"/>
      <c r="H6106" s="7">
        <f t="shared" si="1"/>
        <v>1029</v>
      </c>
    </row>
    <row r="6107" ht="22.5" customHeight="1">
      <c r="B6107" s="7"/>
      <c r="C6107" s="7"/>
      <c r="D6107" s="7"/>
      <c r="E6107" s="7"/>
      <c r="F6107" s="7"/>
      <c r="G6107" s="7"/>
      <c r="H6107" s="7">
        <f t="shared" si="1"/>
        <v>1029</v>
      </c>
    </row>
    <row r="6108" ht="22.5" customHeight="1">
      <c r="B6108" s="7"/>
      <c r="C6108" s="7"/>
      <c r="D6108" s="7"/>
      <c r="E6108" s="7"/>
      <c r="F6108" s="7"/>
      <c r="G6108" s="7"/>
      <c r="H6108" s="7">
        <f t="shared" si="1"/>
        <v>1029</v>
      </c>
    </row>
    <row r="6109" ht="22.5" customHeight="1">
      <c r="B6109" s="7"/>
      <c r="C6109" s="7"/>
      <c r="D6109" s="7"/>
      <c r="E6109" s="7"/>
      <c r="F6109" s="7"/>
      <c r="G6109" s="7"/>
      <c r="H6109" s="7">
        <f t="shared" si="1"/>
        <v>1029</v>
      </c>
    </row>
    <row r="6110" ht="22.5" customHeight="1">
      <c r="B6110" s="7"/>
      <c r="C6110" s="7"/>
      <c r="D6110" s="7"/>
      <c r="E6110" s="7"/>
      <c r="F6110" s="7"/>
      <c r="G6110" s="7"/>
      <c r="H6110" s="7">
        <f t="shared" si="1"/>
        <v>1029</v>
      </c>
    </row>
    <row r="6111" ht="22.5" customHeight="1">
      <c r="B6111" s="7"/>
      <c r="C6111" s="7"/>
      <c r="D6111" s="7"/>
      <c r="E6111" s="7"/>
      <c r="F6111" s="7"/>
      <c r="G6111" s="7"/>
      <c r="H6111" s="7">
        <f t="shared" si="1"/>
        <v>1029</v>
      </c>
    </row>
    <row r="6112" ht="22.5" customHeight="1">
      <c r="B6112" s="7"/>
      <c r="C6112" s="7"/>
      <c r="D6112" s="7"/>
      <c r="E6112" s="7"/>
      <c r="F6112" s="7"/>
      <c r="G6112" s="7"/>
      <c r="H6112" s="7">
        <f t="shared" si="1"/>
        <v>1029</v>
      </c>
    </row>
    <row r="6113" ht="22.5" customHeight="1">
      <c r="B6113" s="7"/>
      <c r="C6113" s="7"/>
      <c r="D6113" s="7"/>
      <c r="E6113" s="7"/>
      <c r="F6113" s="7"/>
      <c r="G6113" s="7"/>
      <c r="H6113" s="7">
        <f t="shared" si="1"/>
        <v>1029</v>
      </c>
    </row>
    <row r="6114" ht="22.5" customHeight="1">
      <c r="B6114" s="7"/>
      <c r="C6114" s="7"/>
      <c r="D6114" s="7"/>
      <c r="E6114" s="7"/>
      <c r="F6114" s="7"/>
      <c r="G6114" s="7"/>
      <c r="H6114" s="7">
        <f t="shared" si="1"/>
        <v>1029</v>
      </c>
    </row>
    <row r="6115" ht="22.5" customHeight="1">
      <c r="B6115" s="7"/>
      <c r="C6115" s="7"/>
      <c r="D6115" s="7"/>
      <c r="E6115" s="7"/>
      <c r="F6115" s="7"/>
      <c r="G6115" s="7"/>
      <c r="H6115" s="7">
        <f t="shared" si="1"/>
        <v>1029</v>
      </c>
    </row>
    <row r="6116" ht="22.5" customHeight="1">
      <c r="B6116" s="7"/>
      <c r="C6116" s="7"/>
      <c r="D6116" s="7"/>
      <c r="E6116" s="7"/>
      <c r="F6116" s="7"/>
      <c r="G6116" s="7"/>
      <c r="H6116" s="7">
        <f t="shared" si="1"/>
        <v>1029</v>
      </c>
    </row>
    <row r="6117" ht="22.5" customHeight="1">
      <c r="B6117" s="7"/>
      <c r="C6117" s="7"/>
      <c r="D6117" s="7"/>
      <c r="E6117" s="7"/>
      <c r="F6117" s="7"/>
      <c r="G6117" s="7"/>
      <c r="H6117" s="7">
        <f t="shared" si="1"/>
        <v>1029</v>
      </c>
    </row>
    <row r="6118" ht="22.5" customHeight="1">
      <c r="B6118" s="7"/>
      <c r="C6118" s="7"/>
      <c r="D6118" s="7"/>
      <c r="E6118" s="7"/>
      <c r="F6118" s="7"/>
      <c r="G6118" s="7"/>
      <c r="H6118" s="7">
        <f t="shared" si="1"/>
        <v>1029</v>
      </c>
    </row>
    <row r="6119" ht="22.5" customHeight="1">
      <c r="B6119" s="7"/>
      <c r="C6119" s="7"/>
      <c r="D6119" s="7"/>
      <c r="E6119" s="7"/>
      <c r="F6119" s="7"/>
      <c r="G6119" s="7"/>
      <c r="H6119" s="7">
        <f t="shared" si="1"/>
        <v>1029</v>
      </c>
    </row>
    <row r="6120" ht="22.5" customHeight="1">
      <c r="B6120" s="7"/>
      <c r="C6120" s="7"/>
      <c r="D6120" s="7"/>
      <c r="E6120" s="7"/>
      <c r="F6120" s="7"/>
      <c r="G6120" s="7"/>
      <c r="H6120" s="7">
        <f t="shared" si="1"/>
        <v>1029</v>
      </c>
    </row>
    <row r="6121" ht="22.5" customHeight="1">
      <c r="B6121" s="7"/>
      <c r="C6121" s="7"/>
      <c r="D6121" s="7"/>
      <c r="E6121" s="7"/>
      <c r="F6121" s="7"/>
      <c r="G6121" s="7"/>
      <c r="H6121" s="7">
        <f t="shared" si="1"/>
        <v>1029</v>
      </c>
    </row>
    <row r="6122" ht="22.5" customHeight="1">
      <c r="B6122" s="7"/>
      <c r="C6122" s="7"/>
      <c r="D6122" s="7"/>
      <c r="E6122" s="7"/>
      <c r="F6122" s="7"/>
      <c r="G6122" s="7"/>
      <c r="H6122" s="7">
        <f t="shared" si="1"/>
        <v>1029</v>
      </c>
    </row>
    <row r="6123" ht="22.5" customHeight="1">
      <c r="B6123" s="7"/>
      <c r="C6123" s="7"/>
      <c r="D6123" s="7"/>
      <c r="E6123" s="7"/>
      <c r="F6123" s="7"/>
      <c r="G6123" s="7"/>
      <c r="H6123" s="7">
        <f t="shared" si="1"/>
        <v>1029</v>
      </c>
    </row>
    <row r="6124" ht="22.5" customHeight="1">
      <c r="B6124" s="7"/>
      <c r="C6124" s="7"/>
      <c r="D6124" s="7"/>
      <c r="E6124" s="7"/>
      <c r="F6124" s="7"/>
      <c r="G6124" s="7"/>
      <c r="H6124" s="7">
        <f t="shared" si="1"/>
        <v>1029</v>
      </c>
    </row>
    <row r="6125" ht="22.5" customHeight="1">
      <c r="B6125" s="7"/>
      <c r="C6125" s="7"/>
      <c r="D6125" s="7"/>
      <c r="E6125" s="7"/>
      <c r="F6125" s="7"/>
      <c r="G6125" s="7"/>
      <c r="H6125" s="7">
        <f t="shared" si="1"/>
        <v>1029</v>
      </c>
    </row>
    <row r="6126" ht="22.5" customHeight="1">
      <c r="B6126" s="7"/>
      <c r="C6126" s="7"/>
      <c r="D6126" s="7"/>
      <c r="E6126" s="7"/>
      <c r="F6126" s="7"/>
      <c r="G6126" s="7"/>
      <c r="H6126" s="7">
        <f t="shared" si="1"/>
        <v>1029</v>
      </c>
    </row>
    <row r="6127" ht="22.5" customHeight="1">
      <c r="B6127" s="7"/>
      <c r="C6127" s="7"/>
      <c r="D6127" s="7"/>
      <c r="E6127" s="7"/>
      <c r="F6127" s="7"/>
      <c r="G6127" s="7"/>
      <c r="H6127" s="7">
        <f t="shared" si="1"/>
        <v>1029</v>
      </c>
    </row>
    <row r="6128" ht="22.5" customHeight="1">
      <c r="B6128" s="7"/>
      <c r="C6128" s="7"/>
      <c r="D6128" s="7"/>
      <c r="E6128" s="7"/>
      <c r="F6128" s="7"/>
      <c r="G6128" s="7"/>
      <c r="H6128" s="7">
        <f t="shared" si="1"/>
        <v>1029</v>
      </c>
    </row>
    <row r="6129" ht="22.5" customHeight="1">
      <c r="B6129" s="7"/>
      <c r="C6129" s="7"/>
      <c r="D6129" s="7"/>
      <c r="E6129" s="7"/>
      <c r="F6129" s="7"/>
      <c r="G6129" s="7"/>
      <c r="H6129" s="7">
        <f t="shared" si="1"/>
        <v>1029</v>
      </c>
    </row>
    <row r="6130" ht="22.5" customHeight="1">
      <c r="B6130" s="7"/>
      <c r="C6130" s="7"/>
      <c r="D6130" s="7"/>
      <c r="E6130" s="7"/>
      <c r="F6130" s="7"/>
      <c r="G6130" s="7"/>
      <c r="H6130" s="7">
        <f t="shared" si="1"/>
        <v>1029</v>
      </c>
    </row>
    <row r="6131" ht="22.5" customHeight="1">
      <c r="B6131" s="7"/>
      <c r="C6131" s="7"/>
      <c r="D6131" s="7"/>
      <c r="E6131" s="7"/>
      <c r="F6131" s="7"/>
      <c r="G6131" s="7"/>
      <c r="H6131" s="7">
        <f t="shared" si="1"/>
        <v>1029</v>
      </c>
    </row>
    <row r="6132" ht="22.5" customHeight="1">
      <c r="B6132" s="7"/>
      <c r="C6132" s="7"/>
      <c r="D6132" s="7"/>
      <c r="E6132" s="7"/>
      <c r="F6132" s="7"/>
      <c r="G6132" s="7"/>
      <c r="H6132" s="7">
        <f t="shared" si="1"/>
        <v>1029</v>
      </c>
    </row>
    <row r="6133" ht="22.5" customHeight="1">
      <c r="B6133" s="7"/>
      <c r="C6133" s="7"/>
      <c r="D6133" s="7"/>
      <c r="E6133" s="7"/>
      <c r="F6133" s="7"/>
      <c r="G6133" s="7"/>
      <c r="H6133" s="7">
        <f t="shared" si="1"/>
        <v>1029</v>
      </c>
    </row>
    <row r="6134" ht="22.5" customHeight="1">
      <c r="B6134" s="7"/>
      <c r="C6134" s="7"/>
      <c r="D6134" s="7"/>
      <c r="E6134" s="7"/>
      <c r="F6134" s="7"/>
      <c r="G6134" s="7"/>
      <c r="H6134" s="7">
        <f t="shared" si="1"/>
        <v>1029</v>
      </c>
    </row>
    <row r="6135" ht="22.5" customHeight="1">
      <c r="B6135" s="7"/>
      <c r="C6135" s="7"/>
      <c r="D6135" s="7"/>
      <c r="E6135" s="7"/>
      <c r="F6135" s="7"/>
      <c r="G6135" s="7"/>
      <c r="H6135" s="7">
        <f t="shared" si="1"/>
        <v>1029</v>
      </c>
    </row>
    <row r="6136" ht="22.5" customHeight="1">
      <c r="B6136" s="7"/>
      <c r="C6136" s="7"/>
      <c r="D6136" s="7"/>
      <c r="E6136" s="7"/>
      <c r="F6136" s="7"/>
      <c r="G6136" s="7"/>
      <c r="H6136" s="7">
        <f t="shared" si="1"/>
        <v>1029</v>
      </c>
    </row>
    <row r="6137" ht="22.5" customHeight="1">
      <c r="B6137" s="7"/>
      <c r="C6137" s="7"/>
      <c r="D6137" s="7"/>
      <c r="E6137" s="7"/>
      <c r="F6137" s="7"/>
      <c r="G6137" s="7"/>
      <c r="H6137" s="7">
        <f t="shared" si="1"/>
        <v>1029</v>
      </c>
    </row>
    <row r="6138" ht="22.5" customHeight="1">
      <c r="B6138" s="7"/>
      <c r="C6138" s="7"/>
      <c r="D6138" s="7"/>
      <c r="E6138" s="7"/>
      <c r="F6138" s="7"/>
      <c r="G6138" s="7"/>
      <c r="H6138" s="7">
        <f t="shared" si="1"/>
        <v>1029</v>
      </c>
    </row>
    <row r="6139" ht="22.5" customHeight="1">
      <c r="B6139" s="7"/>
      <c r="C6139" s="7"/>
      <c r="D6139" s="7"/>
      <c r="E6139" s="7"/>
      <c r="F6139" s="7"/>
      <c r="G6139" s="7"/>
      <c r="H6139" s="7">
        <f t="shared" si="1"/>
        <v>1029</v>
      </c>
    </row>
    <row r="6140" ht="22.5" customHeight="1">
      <c r="B6140" s="7"/>
      <c r="C6140" s="7"/>
      <c r="D6140" s="7"/>
      <c r="E6140" s="7"/>
      <c r="F6140" s="7"/>
      <c r="G6140" s="7"/>
      <c r="H6140" s="7">
        <f t="shared" si="1"/>
        <v>1029</v>
      </c>
    </row>
    <row r="6141" ht="22.5" customHeight="1">
      <c r="B6141" s="7"/>
      <c r="C6141" s="7"/>
      <c r="D6141" s="7"/>
      <c r="E6141" s="7"/>
      <c r="F6141" s="7"/>
      <c r="G6141" s="7"/>
      <c r="H6141" s="7">
        <f t="shared" si="1"/>
        <v>1029</v>
      </c>
    </row>
    <row r="6142" ht="22.5" customHeight="1">
      <c r="B6142" s="7"/>
      <c r="C6142" s="7"/>
      <c r="D6142" s="7"/>
      <c r="E6142" s="7"/>
      <c r="F6142" s="7"/>
      <c r="G6142" s="7"/>
      <c r="H6142" s="7">
        <f t="shared" si="1"/>
        <v>1029</v>
      </c>
    </row>
    <row r="6143" ht="22.5" customHeight="1">
      <c r="B6143" s="7"/>
      <c r="C6143" s="7"/>
      <c r="D6143" s="7"/>
      <c r="E6143" s="7"/>
      <c r="F6143" s="7"/>
      <c r="G6143" s="7"/>
      <c r="H6143" s="7">
        <f t="shared" si="1"/>
        <v>1029</v>
      </c>
    </row>
    <row r="6144" ht="22.5" customHeight="1">
      <c r="B6144" s="7"/>
      <c r="C6144" s="7"/>
      <c r="D6144" s="7"/>
      <c r="E6144" s="7"/>
      <c r="F6144" s="7"/>
      <c r="G6144" s="7"/>
      <c r="H6144" s="7">
        <f t="shared" si="1"/>
        <v>1029</v>
      </c>
    </row>
    <row r="6145" ht="22.5" customHeight="1">
      <c r="B6145" s="7"/>
      <c r="C6145" s="7"/>
      <c r="D6145" s="7"/>
      <c r="E6145" s="7"/>
      <c r="F6145" s="7"/>
      <c r="G6145" s="7"/>
      <c r="H6145" s="7">
        <f t="shared" si="1"/>
        <v>1029</v>
      </c>
    </row>
    <row r="6146" ht="22.5" customHeight="1">
      <c r="B6146" s="7"/>
      <c r="C6146" s="7"/>
      <c r="D6146" s="7"/>
      <c r="E6146" s="7"/>
      <c r="F6146" s="7"/>
      <c r="G6146" s="7"/>
      <c r="H6146" s="7">
        <f t="shared" si="1"/>
        <v>1029</v>
      </c>
    </row>
    <row r="6147" ht="22.5" customHeight="1">
      <c r="B6147" s="7"/>
      <c r="C6147" s="7"/>
      <c r="D6147" s="7"/>
      <c r="E6147" s="7"/>
      <c r="F6147" s="7"/>
      <c r="G6147" s="7"/>
      <c r="H6147" s="7">
        <f t="shared" si="1"/>
        <v>1029</v>
      </c>
    </row>
    <row r="6148" ht="22.5" customHeight="1">
      <c r="B6148" s="7"/>
      <c r="C6148" s="7"/>
      <c r="D6148" s="7"/>
      <c r="E6148" s="7"/>
      <c r="F6148" s="7"/>
      <c r="G6148" s="7"/>
      <c r="H6148" s="7">
        <f t="shared" si="1"/>
        <v>1029</v>
      </c>
    </row>
    <row r="6149" ht="22.5" customHeight="1">
      <c r="B6149" s="7"/>
      <c r="C6149" s="7"/>
      <c r="D6149" s="7"/>
      <c r="E6149" s="7"/>
      <c r="F6149" s="7"/>
      <c r="G6149" s="7"/>
      <c r="H6149" s="7">
        <f t="shared" si="1"/>
        <v>1029</v>
      </c>
    </row>
    <row r="6150" ht="22.5" customHeight="1">
      <c r="B6150" s="7"/>
      <c r="C6150" s="7"/>
      <c r="D6150" s="7"/>
      <c r="E6150" s="7"/>
      <c r="F6150" s="7"/>
      <c r="G6150" s="7"/>
      <c r="H6150" s="7">
        <f t="shared" si="1"/>
        <v>1029</v>
      </c>
    </row>
    <row r="6151" ht="22.5" customHeight="1">
      <c r="B6151" s="7"/>
      <c r="C6151" s="7"/>
      <c r="D6151" s="7"/>
      <c r="E6151" s="7"/>
      <c r="F6151" s="7"/>
      <c r="G6151" s="7"/>
      <c r="H6151" s="7">
        <f t="shared" si="1"/>
        <v>1029</v>
      </c>
    </row>
    <row r="6152" ht="22.5" customHeight="1">
      <c r="B6152" s="7"/>
      <c r="C6152" s="7"/>
      <c r="D6152" s="7"/>
      <c r="E6152" s="7"/>
      <c r="F6152" s="7"/>
      <c r="G6152" s="7"/>
      <c r="H6152" s="7">
        <f t="shared" si="1"/>
        <v>1029</v>
      </c>
    </row>
    <row r="6153" ht="22.5" customHeight="1">
      <c r="B6153" s="7"/>
      <c r="C6153" s="7"/>
      <c r="D6153" s="7"/>
      <c r="E6153" s="7"/>
      <c r="F6153" s="7"/>
      <c r="G6153" s="7"/>
      <c r="H6153" s="7">
        <f t="shared" si="1"/>
        <v>1029</v>
      </c>
    </row>
    <row r="6154" ht="22.5" customHeight="1">
      <c r="B6154" s="7"/>
      <c r="C6154" s="7"/>
      <c r="D6154" s="7"/>
      <c r="E6154" s="7"/>
      <c r="F6154" s="7"/>
      <c r="G6154" s="7"/>
      <c r="H6154" s="7">
        <f t="shared" si="1"/>
        <v>1029</v>
      </c>
    </row>
    <row r="6155" ht="22.5" customHeight="1">
      <c r="B6155" s="7"/>
      <c r="C6155" s="7"/>
      <c r="D6155" s="7"/>
      <c r="E6155" s="7"/>
      <c r="F6155" s="7"/>
      <c r="G6155" s="7"/>
      <c r="H6155" s="7">
        <f t="shared" si="1"/>
        <v>1029</v>
      </c>
    </row>
    <row r="6156" ht="22.5" customHeight="1">
      <c r="B6156" s="7"/>
      <c r="C6156" s="7"/>
      <c r="D6156" s="7"/>
      <c r="E6156" s="7"/>
      <c r="F6156" s="7"/>
      <c r="G6156" s="7"/>
      <c r="H6156" s="7">
        <f t="shared" si="1"/>
        <v>1029</v>
      </c>
    </row>
    <row r="6157" ht="22.5" customHeight="1">
      <c r="B6157" s="7"/>
      <c r="C6157" s="7"/>
      <c r="D6157" s="7"/>
      <c r="E6157" s="7"/>
      <c r="F6157" s="7"/>
      <c r="G6157" s="7"/>
      <c r="H6157" s="7">
        <f t="shared" si="1"/>
        <v>1029</v>
      </c>
    </row>
    <row r="6158" ht="22.5" customHeight="1">
      <c r="B6158" s="7"/>
      <c r="C6158" s="7"/>
      <c r="D6158" s="7"/>
      <c r="E6158" s="7"/>
      <c r="F6158" s="7"/>
      <c r="G6158" s="7"/>
      <c r="H6158" s="7">
        <f t="shared" si="1"/>
        <v>1029</v>
      </c>
    </row>
    <row r="6159" ht="22.5" customHeight="1">
      <c r="B6159" s="7"/>
      <c r="C6159" s="7"/>
      <c r="D6159" s="7"/>
      <c r="E6159" s="7"/>
      <c r="F6159" s="7"/>
      <c r="G6159" s="7"/>
      <c r="H6159" s="7">
        <f t="shared" si="1"/>
        <v>1029</v>
      </c>
    </row>
    <row r="6160" ht="22.5" customHeight="1">
      <c r="B6160" s="7"/>
      <c r="C6160" s="7"/>
      <c r="D6160" s="7"/>
      <c r="E6160" s="7"/>
      <c r="F6160" s="7"/>
      <c r="G6160" s="7"/>
      <c r="H6160" s="7">
        <f t="shared" si="1"/>
        <v>1029</v>
      </c>
    </row>
    <row r="6161" ht="22.5" customHeight="1">
      <c r="B6161" s="7"/>
      <c r="C6161" s="7"/>
      <c r="D6161" s="7"/>
      <c r="E6161" s="7"/>
      <c r="F6161" s="7"/>
      <c r="G6161" s="7"/>
      <c r="H6161" s="7">
        <f t="shared" si="1"/>
        <v>1029</v>
      </c>
    </row>
    <row r="6162" ht="22.5" customHeight="1">
      <c r="B6162" s="7"/>
      <c r="C6162" s="7"/>
      <c r="D6162" s="7"/>
      <c r="E6162" s="7"/>
      <c r="F6162" s="7"/>
      <c r="G6162" s="7"/>
      <c r="H6162" s="7">
        <f t="shared" si="1"/>
        <v>1029</v>
      </c>
    </row>
    <row r="6163" ht="22.5" customHeight="1">
      <c r="B6163" s="7"/>
      <c r="C6163" s="7"/>
      <c r="D6163" s="7"/>
      <c r="E6163" s="7"/>
      <c r="F6163" s="7"/>
      <c r="G6163" s="7"/>
      <c r="H6163" s="7">
        <f t="shared" si="1"/>
        <v>1029</v>
      </c>
    </row>
    <row r="6164" ht="22.5" customHeight="1">
      <c r="B6164" s="7"/>
      <c r="C6164" s="7"/>
      <c r="D6164" s="7"/>
      <c r="E6164" s="7"/>
      <c r="F6164" s="7"/>
      <c r="G6164" s="7"/>
      <c r="H6164" s="7">
        <f t="shared" si="1"/>
        <v>1029</v>
      </c>
    </row>
    <row r="6165" ht="22.5" customHeight="1">
      <c r="B6165" s="7"/>
      <c r="C6165" s="7"/>
      <c r="D6165" s="7"/>
      <c r="E6165" s="7"/>
      <c r="F6165" s="7"/>
      <c r="G6165" s="7"/>
      <c r="H6165" s="7">
        <f t="shared" si="1"/>
        <v>1029</v>
      </c>
    </row>
    <row r="6166" ht="22.5" customHeight="1">
      <c r="B6166" s="7"/>
      <c r="C6166" s="7"/>
      <c r="D6166" s="7"/>
      <c r="E6166" s="7"/>
      <c r="F6166" s="7"/>
      <c r="G6166" s="7"/>
      <c r="H6166" s="7">
        <f t="shared" si="1"/>
        <v>1029</v>
      </c>
    </row>
    <row r="6167" ht="22.5" customHeight="1">
      <c r="B6167" s="7"/>
      <c r="C6167" s="7"/>
      <c r="D6167" s="7"/>
      <c r="E6167" s="7"/>
      <c r="F6167" s="7"/>
      <c r="G6167" s="7"/>
      <c r="H6167" s="7">
        <f t="shared" si="1"/>
        <v>1029</v>
      </c>
    </row>
    <row r="6168" ht="22.5" customHeight="1">
      <c r="B6168" s="7"/>
      <c r="C6168" s="7"/>
      <c r="D6168" s="7"/>
      <c r="E6168" s="7"/>
      <c r="F6168" s="7"/>
      <c r="G6168" s="7"/>
      <c r="H6168" s="7">
        <f t="shared" si="1"/>
        <v>1029</v>
      </c>
    </row>
    <row r="6169" ht="22.5" customHeight="1">
      <c r="B6169" s="7"/>
      <c r="C6169" s="7"/>
      <c r="D6169" s="7"/>
      <c r="E6169" s="7"/>
      <c r="F6169" s="7"/>
      <c r="G6169" s="7"/>
      <c r="H6169" s="7">
        <f t="shared" si="1"/>
        <v>1029</v>
      </c>
    </row>
    <row r="6170" ht="22.5" customHeight="1">
      <c r="B6170" s="7"/>
      <c r="C6170" s="7"/>
      <c r="D6170" s="7"/>
      <c r="E6170" s="7"/>
      <c r="F6170" s="7"/>
      <c r="G6170" s="7"/>
      <c r="H6170" s="7">
        <f t="shared" si="1"/>
        <v>1029</v>
      </c>
    </row>
    <row r="6171" ht="22.5" customHeight="1">
      <c r="B6171" s="7"/>
      <c r="C6171" s="7"/>
      <c r="D6171" s="7"/>
      <c r="E6171" s="7"/>
      <c r="F6171" s="7"/>
      <c r="G6171" s="7"/>
      <c r="H6171" s="7">
        <f t="shared" si="1"/>
        <v>1029</v>
      </c>
    </row>
    <row r="6172" ht="22.5" customHeight="1">
      <c r="B6172" s="7"/>
      <c r="C6172" s="7"/>
      <c r="D6172" s="7"/>
      <c r="E6172" s="7"/>
      <c r="F6172" s="7"/>
      <c r="G6172" s="7"/>
      <c r="H6172" s="7">
        <f t="shared" si="1"/>
        <v>1029</v>
      </c>
    </row>
    <row r="6173" ht="22.5" customHeight="1">
      <c r="B6173" s="7"/>
      <c r="C6173" s="7"/>
      <c r="D6173" s="7"/>
      <c r="E6173" s="7"/>
      <c r="F6173" s="7"/>
      <c r="G6173" s="7"/>
      <c r="H6173" s="7">
        <f t="shared" si="1"/>
        <v>1029</v>
      </c>
    </row>
    <row r="6174" ht="22.5" customHeight="1">
      <c r="B6174" s="7"/>
      <c r="C6174" s="7"/>
      <c r="D6174" s="7"/>
      <c r="E6174" s="7"/>
      <c r="F6174" s="7"/>
      <c r="G6174" s="7"/>
      <c r="H6174" s="7">
        <f t="shared" si="1"/>
        <v>1029</v>
      </c>
    </row>
    <row r="6175" ht="22.5" customHeight="1">
      <c r="B6175" s="7"/>
      <c r="C6175" s="7"/>
      <c r="D6175" s="7"/>
      <c r="E6175" s="7"/>
      <c r="F6175" s="7"/>
      <c r="G6175" s="7"/>
      <c r="H6175" s="7">
        <f t="shared" si="1"/>
        <v>1029</v>
      </c>
    </row>
    <row r="6176" ht="22.5" customHeight="1">
      <c r="B6176" s="7"/>
      <c r="C6176" s="7"/>
      <c r="D6176" s="7"/>
      <c r="E6176" s="7"/>
      <c r="F6176" s="7"/>
      <c r="G6176" s="7"/>
      <c r="H6176" s="7">
        <f t="shared" si="1"/>
        <v>1029</v>
      </c>
    </row>
    <row r="6177" ht="22.5" customHeight="1">
      <c r="B6177" s="7"/>
      <c r="C6177" s="7"/>
      <c r="D6177" s="7"/>
      <c r="E6177" s="7"/>
      <c r="F6177" s="7"/>
      <c r="G6177" s="7"/>
      <c r="H6177" s="7">
        <f t="shared" si="1"/>
        <v>1029</v>
      </c>
    </row>
    <row r="6178" ht="22.5" customHeight="1">
      <c r="B6178" s="7"/>
      <c r="C6178" s="7"/>
      <c r="D6178" s="7"/>
      <c r="E6178" s="7"/>
      <c r="F6178" s="7"/>
      <c r="G6178" s="7"/>
      <c r="H6178" s="7">
        <f t="shared" si="1"/>
        <v>1029</v>
      </c>
    </row>
    <row r="6179" ht="22.5" customHeight="1">
      <c r="B6179" s="7"/>
      <c r="C6179" s="7"/>
      <c r="D6179" s="7"/>
      <c r="E6179" s="7"/>
      <c r="F6179" s="7"/>
      <c r="G6179" s="7"/>
      <c r="H6179" s="7">
        <f t="shared" si="1"/>
        <v>1029</v>
      </c>
    </row>
    <row r="6180" ht="22.5" customHeight="1">
      <c r="B6180" s="7"/>
      <c r="C6180" s="7"/>
      <c r="D6180" s="7"/>
      <c r="E6180" s="7"/>
      <c r="F6180" s="7"/>
      <c r="G6180" s="7"/>
      <c r="H6180" s="7">
        <f t="shared" si="1"/>
        <v>1029</v>
      </c>
    </row>
    <row r="6181" ht="22.5" customHeight="1">
      <c r="B6181" s="7"/>
      <c r="C6181" s="7"/>
      <c r="D6181" s="7"/>
      <c r="E6181" s="7"/>
      <c r="F6181" s="7"/>
      <c r="G6181" s="7"/>
      <c r="H6181" s="7">
        <f t="shared" si="1"/>
        <v>1029</v>
      </c>
    </row>
    <row r="6182" ht="22.5" customHeight="1">
      <c r="B6182" s="7"/>
      <c r="C6182" s="7"/>
      <c r="D6182" s="7"/>
      <c r="E6182" s="7"/>
      <c r="F6182" s="7"/>
      <c r="G6182" s="7"/>
      <c r="H6182" s="7">
        <f t="shared" si="1"/>
        <v>1029</v>
      </c>
    </row>
    <row r="6183" ht="22.5" customHeight="1">
      <c r="B6183" s="7"/>
      <c r="C6183" s="7"/>
      <c r="D6183" s="7"/>
      <c r="E6183" s="7"/>
      <c r="F6183" s="7"/>
      <c r="G6183" s="7"/>
      <c r="H6183" s="7">
        <f t="shared" si="1"/>
        <v>1029</v>
      </c>
    </row>
    <row r="6184" ht="22.5" customHeight="1">
      <c r="B6184" s="7"/>
      <c r="C6184" s="7"/>
      <c r="D6184" s="7"/>
      <c r="E6184" s="7"/>
      <c r="F6184" s="7"/>
      <c r="G6184" s="7"/>
      <c r="H6184" s="7">
        <f t="shared" si="1"/>
        <v>1029</v>
      </c>
    </row>
    <row r="6185" ht="22.5" customHeight="1">
      <c r="B6185" s="7"/>
      <c r="C6185" s="7"/>
      <c r="D6185" s="7"/>
      <c r="E6185" s="7"/>
      <c r="F6185" s="7"/>
      <c r="G6185" s="7"/>
      <c r="H6185" s="7">
        <f t="shared" si="1"/>
        <v>1029</v>
      </c>
    </row>
    <row r="6186" ht="22.5" customHeight="1">
      <c r="B6186" s="7"/>
      <c r="C6186" s="7"/>
      <c r="D6186" s="7"/>
      <c r="E6186" s="7"/>
      <c r="F6186" s="7"/>
      <c r="G6186" s="7"/>
      <c r="H6186" s="7">
        <f t="shared" si="1"/>
        <v>1029</v>
      </c>
    </row>
    <row r="6187" ht="22.5" customHeight="1">
      <c r="B6187" s="7"/>
      <c r="C6187" s="7"/>
      <c r="D6187" s="7"/>
      <c r="E6187" s="7"/>
      <c r="F6187" s="7"/>
      <c r="G6187" s="7"/>
      <c r="H6187" s="7">
        <f t="shared" si="1"/>
        <v>1029</v>
      </c>
    </row>
    <row r="6188" ht="22.5" customHeight="1">
      <c r="B6188" s="7"/>
      <c r="C6188" s="7"/>
      <c r="D6188" s="7"/>
      <c r="E6188" s="7"/>
      <c r="F6188" s="7"/>
      <c r="G6188" s="7"/>
      <c r="H6188" s="7">
        <f t="shared" si="1"/>
        <v>1029</v>
      </c>
    </row>
    <row r="6189" ht="22.5" customHeight="1">
      <c r="B6189" s="7"/>
      <c r="C6189" s="7"/>
      <c r="D6189" s="7"/>
      <c r="E6189" s="7"/>
      <c r="F6189" s="7"/>
      <c r="G6189" s="7"/>
      <c r="H6189" s="7">
        <f t="shared" si="1"/>
        <v>1029</v>
      </c>
    </row>
    <row r="6190" ht="22.5" customHeight="1">
      <c r="B6190" s="7"/>
      <c r="C6190" s="7"/>
      <c r="D6190" s="7"/>
      <c r="E6190" s="7"/>
      <c r="F6190" s="7"/>
      <c r="G6190" s="7"/>
      <c r="H6190" s="7">
        <f t="shared" si="1"/>
        <v>1029</v>
      </c>
    </row>
    <row r="6191" ht="22.5" customHeight="1">
      <c r="B6191" s="7"/>
      <c r="C6191" s="7"/>
      <c r="D6191" s="7"/>
      <c r="E6191" s="7"/>
      <c r="F6191" s="7"/>
      <c r="G6191" s="7"/>
      <c r="H6191" s="7">
        <f t="shared" si="1"/>
        <v>1029</v>
      </c>
    </row>
    <row r="6192" ht="22.5" customHeight="1">
      <c r="B6192" s="7"/>
      <c r="C6192" s="7"/>
      <c r="D6192" s="7"/>
      <c r="E6192" s="7"/>
      <c r="F6192" s="7"/>
      <c r="G6192" s="7"/>
      <c r="H6192" s="7">
        <f t="shared" si="1"/>
        <v>1029</v>
      </c>
    </row>
    <row r="6193" ht="22.5" customHeight="1">
      <c r="B6193" s="7"/>
      <c r="C6193" s="7"/>
      <c r="D6193" s="7"/>
      <c r="E6193" s="7"/>
      <c r="F6193" s="7"/>
      <c r="G6193" s="7"/>
      <c r="H6193" s="7">
        <f t="shared" si="1"/>
        <v>1029</v>
      </c>
    </row>
    <row r="6194" ht="22.5" customHeight="1">
      <c r="B6194" s="7"/>
      <c r="C6194" s="7"/>
      <c r="D6194" s="7"/>
      <c r="E6194" s="7"/>
      <c r="F6194" s="7"/>
      <c r="G6194" s="7"/>
      <c r="H6194" s="7">
        <f t="shared" si="1"/>
        <v>1029</v>
      </c>
    </row>
    <row r="6195" ht="22.5" customHeight="1">
      <c r="B6195" s="7"/>
      <c r="C6195" s="7"/>
      <c r="D6195" s="7"/>
      <c r="E6195" s="7"/>
      <c r="F6195" s="7"/>
      <c r="G6195" s="7"/>
      <c r="H6195" s="7">
        <f t="shared" si="1"/>
        <v>1029</v>
      </c>
    </row>
    <row r="6196" ht="22.5" customHeight="1">
      <c r="B6196" s="7"/>
      <c r="C6196" s="7"/>
      <c r="D6196" s="7"/>
      <c r="E6196" s="7"/>
      <c r="F6196" s="7"/>
      <c r="G6196" s="7"/>
      <c r="H6196" s="7">
        <f t="shared" si="1"/>
        <v>1029</v>
      </c>
    </row>
    <row r="6197" ht="22.5" customHeight="1">
      <c r="B6197" s="7"/>
      <c r="C6197" s="7"/>
      <c r="D6197" s="7"/>
      <c r="E6197" s="7"/>
      <c r="F6197" s="7"/>
      <c r="G6197" s="7"/>
      <c r="H6197" s="7">
        <f t="shared" si="1"/>
        <v>1029</v>
      </c>
    </row>
    <row r="6198" ht="22.5" customHeight="1">
      <c r="B6198" s="7"/>
      <c r="C6198" s="7"/>
      <c r="D6198" s="7"/>
      <c r="E6198" s="7"/>
      <c r="F6198" s="7"/>
      <c r="G6198" s="7"/>
      <c r="H6198" s="7">
        <f t="shared" si="1"/>
        <v>1029</v>
      </c>
    </row>
    <row r="6199" ht="22.5" customHeight="1">
      <c r="B6199" s="7"/>
      <c r="C6199" s="7"/>
      <c r="D6199" s="7"/>
      <c r="E6199" s="7"/>
      <c r="F6199" s="7"/>
      <c r="G6199" s="7"/>
      <c r="H6199" s="7">
        <f t="shared" si="1"/>
        <v>1029</v>
      </c>
    </row>
    <row r="6200" ht="22.5" customHeight="1">
      <c r="B6200" s="7"/>
      <c r="C6200" s="7"/>
      <c r="D6200" s="7"/>
      <c r="E6200" s="7"/>
      <c r="F6200" s="7"/>
      <c r="G6200" s="7"/>
      <c r="H6200" s="7">
        <f t="shared" si="1"/>
        <v>1029</v>
      </c>
    </row>
    <row r="6201" ht="22.5" customHeight="1">
      <c r="B6201" s="7"/>
      <c r="C6201" s="7"/>
      <c r="D6201" s="7"/>
      <c r="E6201" s="7"/>
      <c r="F6201" s="7"/>
      <c r="G6201" s="7"/>
      <c r="H6201" s="7">
        <f t="shared" si="1"/>
        <v>1029</v>
      </c>
    </row>
    <row r="6202" ht="22.5" customHeight="1">
      <c r="B6202" s="7"/>
      <c r="C6202" s="7"/>
      <c r="D6202" s="7"/>
      <c r="E6202" s="7"/>
      <c r="F6202" s="7"/>
      <c r="G6202" s="7"/>
      <c r="H6202" s="7">
        <f t="shared" si="1"/>
        <v>1029</v>
      </c>
    </row>
    <row r="6203" ht="22.5" customHeight="1">
      <c r="B6203" s="7"/>
      <c r="C6203" s="7"/>
      <c r="D6203" s="7"/>
      <c r="E6203" s="7"/>
      <c r="F6203" s="7"/>
      <c r="G6203" s="7"/>
      <c r="H6203" s="7">
        <f t="shared" si="1"/>
        <v>1029</v>
      </c>
    </row>
    <row r="6204" ht="22.5" customHeight="1">
      <c r="B6204" s="7"/>
      <c r="C6204" s="7"/>
      <c r="D6204" s="7"/>
      <c r="E6204" s="7"/>
      <c r="F6204" s="7"/>
      <c r="G6204" s="7"/>
      <c r="H6204" s="7">
        <f t="shared" si="1"/>
        <v>1029</v>
      </c>
    </row>
    <row r="6205" ht="22.5" customHeight="1">
      <c r="B6205" s="7"/>
      <c r="C6205" s="7"/>
      <c r="D6205" s="7"/>
      <c r="E6205" s="7"/>
      <c r="F6205" s="7"/>
      <c r="G6205" s="7"/>
      <c r="H6205" s="7">
        <f t="shared" si="1"/>
        <v>1029</v>
      </c>
    </row>
    <row r="6206" ht="22.5" customHeight="1">
      <c r="B6206" s="7"/>
      <c r="C6206" s="7"/>
      <c r="D6206" s="7"/>
      <c r="E6206" s="7"/>
      <c r="F6206" s="7"/>
      <c r="G6206" s="7"/>
      <c r="H6206" s="7">
        <f t="shared" si="1"/>
        <v>1029</v>
      </c>
    </row>
    <row r="6207" ht="22.5" customHeight="1">
      <c r="B6207" s="7"/>
      <c r="C6207" s="7"/>
      <c r="D6207" s="7"/>
      <c r="E6207" s="7"/>
      <c r="F6207" s="7"/>
      <c r="G6207" s="7"/>
      <c r="H6207" s="7">
        <f t="shared" si="1"/>
        <v>1029</v>
      </c>
    </row>
    <row r="6208" ht="22.5" customHeight="1">
      <c r="B6208" s="7"/>
      <c r="C6208" s="7"/>
      <c r="D6208" s="7"/>
      <c r="E6208" s="7"/>
      <c r="F6208" s="7"/>
      <c r="G6208" s="7"/>
      <c r="H6208" s="7">
        <f t="shared" si="1"/>
        <v>1029</v>
      </c>
    </row>
    <row r="6209" ht="22.5" customHeight="1">
      <c r="B6209" s="7"/>
      <c r="C6209" s="7"/>
      <c r="D6209" s="7"/>
      <c r="E6209" s="7"/>
      <c r="F6209" s="7"/>
      <c r="G6209" s="7"/>
      <c r="H6209" s="7">
        <f t="shared" si="1"/>
        <v>1029</v>
      </c>
    </row>
    <row r="6210" ht="22.5" customHeight="1">
      <c r="B6210" s="7"/>
      <c r="C6210" s="7"/>
      <c r="D6210" s="7"/>
      <c r="E6210" s="7"/>
      <c r="F6210" s="7"/>
      <c r="G6210" s="7"/>
      <c r="H6210" s="7">
        <f t="shared" si="1"/>
        <v>1029</v>
      </c>
    </row>
    <row r="6211" ht="22.5" customHeight="1">
      <c r="B6211" s="7"/>
      <c r="C6211" s="7"/>
      <c r="D6211" s="7"/>
      <c r="E6211" s="7"/>
      <c r="F6211" s="7"/>
      <c r="G6211" s="7"/>
      <c r="H6211" s="7">
        <f t="shared" si="1"/>
        <v>1029</v>
      </c>
    </row>
    <row r="6212" ht="22.5" customHeight="1">
      <c r="B6212" s="7"/>
      <c r="C6212" s="7"/>
      <c r="D6212" s="7"/>
      <c r="E6212" s="7"/>
      <c r="F6212" s="7"/>
      <c r="G6212" s="7"/>
      <c r="H6212" s="7">
        <f t="shared" si="1"/>
        <v>1029</v>
      </c>
    </row>
    <row r="6213" ht="22.5" customHeight="1">
      <c r="B6213" s="7"/>
      <c r="C6213" s="7"/>
      <c r="D6213" s="7"/>
      <c r="E6213" s="7"/>
      <c r="F6213" s="7"/>
      <c r="G6213" s="7"/>
      <c r="H6213" s="7">
        <f t="shared" si="1"/>
        <v>1029</v>
      </c>
    </row>
    <row r="6214" ht="22.5" customHeight="1">
      <c r="B6214" s="7"/>
      <c r="C6214" s="7"/>
      <c r="D6214" s="7"/>
      <c r="E6214" s="7"/>
      <c r="F6214" s="7"/>
      <c r="G6214" s="7"/>
      <c r="H6214" s="7">
        <f t="shared" si="1"/>
        <v>1029</v>
      </c>
    </row>
    <row r="6215" ht="22.5" customHeight="1">
      <c r="B6215" s="7"/>
      <c r="C6215" s="7"/>
      <c r="D6215" s="7"/>
      <c r="E6215" s="7"/>
      <c r="F6215" s="7"/>
      <c r="G6215" s="7"/>
      <c r="H6215" s="7">
        <f t="shared" si="1"/>
        <v>1029</v>
      </c>
    </row>
    <row r="6216" ht="22.5" customHeight="1">
      <c r="B6216" s="7"/>
      <c r="C6216" s="7"/>
      <c r="D6216" s="7"/>
      <c r="E6216" s="7"/>
      <c r="F6216" s="7"/>
      <c r="G6216" s="7"/>
      <c r="H6216" s="7">
        <f t="shared" si="1"/>
        <v>1029</v>
      </c>
    </row>
    <row r="6217" ht="22.5" customHeight="1">
      <c r="B6217" s="7"/>
      <c r="C6217" s="7"/>
      <c r="D6217" s="7"/>
      <c r="E6217" s="7"/>
      <c r="F6217" s="7"/>
      <c r="G6217" s="7"/>
      <c r="H6217" s="7">
        <f t="shared" si="1"/>
        <v>1029</v>
      </c>
    </row>
    <row r="6218" ht="22.5" customHeight="1">
      <c r="B6218" s="7"/>
      <c r="C6218" s="7"/>
      <c r="D6218" s="7"/>
      <c r="E6218" s="7"/>
      <c r="F6218" s="7"/>
      <c r="G6218" s="7"/>
      <c r="H6218" s="7">
        <f t="shared" si="1"/>
        <v>1029</v>
      </c>
    </row>
    <row r="6219" ht="22.5" customHeight="1">
      <c r="B6219" s="7"/>
      <c r="C6219" s="7"/>
      <c r="D6219" s="7"/>
      <c r="E6219" s="7"/>
      <c r="F6219" s="7"/>
      <c r="G6219" s="7"/>
      <c r="H6219" s="7">
        <f t="shared" si="1"/>
        <v>1029</v>
      </c>
    </row>
    <row r="6220" ht="22.5" customHeight="1">
      <c r="B6220" s="7"/>
      <c r="C6220" s="7"/>
      <c r="D6220" s="7"/>
      <c r="E6220" s="7"/>
      <c r="F6220" s="7"/>
      <c r="G6220" s="7"/>
      <c r="H6220" s="7">
        <f t="shared" si="1"/>
        <v>1029</v>
      </c>
    </row>
    <row r="6221" ht="22.5" customHeight="1">
      <c r="B6221" s="7"/>
      <c r="C6221" s="7"/>
      <c r="D6221" s="7"/>
      <c r="E6221" s="7"/>
      <c r="F6221" s="7"/>
      <c r="G6221" s="7"/>
      <c r="H6221" s="7">
        <f t="shared" si="1"/>
        <v>1029</v>
      </c>
    </row>
    <row r="6222" ht="22.5" customHeight="1">
      <c r="B6222" s="7"/>
      <c r="C6222" s="7"/>
      <c r="D6222" s="7"/>
      <c r="E6222" s="7"/>
      <c r="F6222" s="7"/>
      <c r="G6222" s="7"/>
      <c r="H6222" s="7">
        <f t="shared" si="1"/>
        <v>1029</v>
      </c>
    </row>
    <row r="6223" ht="22.5" customHeight="1">
      <c r="B6223" s="7"/>
      <c r="C6223" s="7"/>
      <c r="D6223" s="7"/>
      <c r="E6223" s="7"/>
      <c r="F6223" s="7"/>
      <c r="G6223" s="7"/>
      <c r="H6223" s="7">
        <f t="shared" si="1"/>
        <v>1029</v>
      </c>
    </row>
    <row r="6224" ht="22.5" customHeight="1">
      <c r="B6224" s="7"/>
      <c r="C6224" s="7"/>
      <c r="D6224" s="7"/>
      <c r="E6224" s="7"/>
      <c r="F6224" s="7"/>
      <c r="G6224" s="7"/>
      <c r="H6224" s="7">
        <f t="shared" si="1"/>
        <v>1029</v>
      </c>
    </row>
    <row r="6225" ht="22.5" customHeight="1">
      <c r="B6225" s="7"/>
      <c r="C6225" s="7"/>
      <c r="D6225" s="7"/>
      <c r="E6225" s="7"/>
      <c r="F6225" s="7"/>
      <c r="G6225" s="7"/>
      <c r="H6225" s="7">
        <f t="shared" si="1"/>
        <v>1029</v>
      </c>
    </row>
    <row r="6226" ht="22.5" customHeight="1">
      <c r="B6226" s="7"/>
      <c r="C6226" s="7"/>
      <c r="D6226" s="7"/>
      <c r="E6226" s="7"/>
      <c r="F6226" s="7"/>
      <c r="G6226" s="7"/>
      <c r="H6226" s="7">
        <f t="shared" si="1"/>
        <v>1029</v>
      </c>
    </row>
    <row r="6227" ht="22.5" customHeight="1">
      <c r="B6227" s="7"/>
      <c r="C6227" s="7"/>
      <c r="D6227" s="7"/>
      <c r="E6227" s="7"/>
      <c r="F6227" s="7"/>
      <c r="G6227" s="7"/>
      <c r="H6227" s="7">
        <f t="shared" si="1"/>
        <v>1029</v>
      </c>
    </row>
    <row r="6228" ht="22.5" customHeight="1">
      <c r="B6228" s="7"/>
      <c r="C6228" s="7"/>
      <c r="D6228" s="7"/>
      <c r="E6228" s="7"/>
      <c r="F6228" s="7"/>
      <c r="G6228" s="7"/>
      <c r="H6228" s="7">
        <f t="shared" si="1"/>
        <v>1029</v>
      </c>
    </row>
    <row r="6229" ht="22.5" customHeight="1">
      <c r="B6229" s="7"/>
      <c r="C6229" s="7"/>
      <c r="D6229" s="7"/>
      <c r="E6229" s="7"/>
      <c r="F6229" s="7"/>
      <c r="G6229" s="7"/>
      <c r="H6229" s="7">
        <f t="shared" si="1"/>
        <v>1029</v>
      </c>
    </row>
    <row r="6230" ht="22.5" customHeight="1">
      <c r="B6230" s="7"/>
      <c r="C6230" s="7"/>
      <c r="D6230" s="7"/>
      <c r="E6230" s="7"/>
      <c r="F6230" s="7"/>
      <c r="G6230" s="7"/>
      <c r="H6230" s="7">
        <f t="shared" si="1"/>
        <v>1029</v>
      </c>
    </row>
    <row r="6231" ht="22.5" customHeight="1">
      <c r="B6231" s="7"/>
      <c r="C6231" s="7"/>
      <c r="D6231" s="7"/>
      <c r="E6231" s="7"/>
      <c r="F6231" s="7"/>
      <c r="G6231" s="7"/>
      <c r="H6231" s="7">
        <f t="shared" si="1"/>
        <v>1029</v>
      </c>
    </row>
    <row r="6232" ht="22.5" customHeight="1">
      <c r="B6232" s="7"/>
      <c r="C6232" s="7"/>
      <c r="D6232" s="7"/>
      <c r="E6232" s="7"/>
      <c r="F6232" s="7"/>
      <c r="G6232" s="7"/>
      <c r="H6232" s="7">
        <f t="shared" si="1"/>
        <v>1029</v>
      </c>
    </row>
    <row r="6233" ht="22.5" customHeight="1">
      <c r="B6233" s="7"/>
      <c r="C6233" s="7"/>
      <c r="D6233" s="7"/>
      <c r="E6233" s="7"/>
      <c r="F6233" s="7"/>
      <c r="G6233" s="7"/>
      <c r="H6233" s="7">
        <f t="shared" si="1"/>
        <v>1029</v>
      </c>
    </row>
    <row r="6234" ht="22.5" customHeight="1">
      <c r="B6234" s="7"/>
      <c r="C6234" s="7"/>
      <c r="D6234" s="7"/>
      <c r="E6234" s="7"/>
      <c r="F6234" s="7"/>
      <c r="G6234" s="7"/>
      <c r="H6234" s="7">
        <f t="shared" si="1"/>
        <v>1029</v>
      </c>
    </row>
    <row r="6235" ht="22.5" customHeight="1">
      <c r="B6235" s="7"/>
      <c r="C6235" s="7"/>
      <c r="D6235" s="7"/>
      <c r="E6235" s="7"/>
      <c r="F6235" s="7"/>
      <c r="G6235" s="7"/>
      <c r="H6235" s="7">
        <f t="shared" si="1"/>
        <v>1029</v>
      </c>
    </row>
    <row r="6236" ht="22.5" customHeight="1">
      <c r="B6236" s="7"/>
      <c r="C6236" s="7"/>
      <c r="D6236" s="7"/>
      <c r="E6236" s="7"/>
      <c r="F6236" s="7"/>
      <c r="G6236" s="7"/>
      <c r="H6236" s="7">
        <f t="shared" si="1"/>
        <v>1029</v>
      </c>
    </row>
    <row r="6237" ht="22.5" customHeight="1">
      <c r="B6237" s="7"/>
      <c r="C6237" s="7"/>
      <c r="D6237" s="7"/>
      <c r="E6237" s="7"/>
      <c r="F6237" s="7"/>
      <c r="G6237" s="7"/>
      <c r="H6237" s="7">
        <f t="shared" si="1"/>
        <v>1029</v>
      </c>
    </row>
    <row r="6238" ht="22.5" customHeight="1">
      <c r="B6238" s="7"/>
      <c r="C6238" s="7"/>
      <c r="D6238" s="7"/>
      <c r="E6238" s="7"/>
      <c r="F6238" s="7"/>
      <c r="G6238" s="7"/>
      <c r="H6238" s="7">
        <f t="shared" si="1"/>
        <v>1029</v>
      </c>
    </row>
    <row r="6239" ht="22.5" customHeight="1">
      <c r="B6239" s="7"/>
      <c r="C6239" s="7"/>
      <c r="D6239" s="7"/>
      <c r="E6239" s="7"/>
      <c r="F6239" s="7"/>
      <c r="G6239" s="7"/>
      <c r="H6239" s="7">
        <f t="shared" si="1"/>
        <v>1029</v>
      </c>
    </row>
    <row r="6240" ht="22.5" customHeight="1">
      <c r="B6240" s="7"/>
      <c r="C6240" s="7"/>
      <c r="D6240" s="7"/>
      <c r="E6240" s="7"/>
      <c r="F6240" s="7"/>
      <c r="G6240" s="7"/>
      <c r="H6240" s="7">
        <f t="shared" si="1"/>
        <v>1029</v>
      </c>
    </row>
    <row r="6241" ht="22.5" customHeight="1">
      <c r="B6241" s="7"/>
      <c r="C6241" s="7"/>
      <c r="D6241" s="7"/>
      <c r="E6241" s="7"/>
      <c r="F6241" s="7"/>
      <c r="G6241" s="7"/>
      <c r="H6241" s="7">
        <f t="shared" si="1"/>
        <v>1029</v>
      </c>
    </row>
    <row r="6242" ht="22.5" customHeight="1">
      <c r="B6242" s="7"/>
      <c r="C6242" s="7"/>
      <c r="D6242" s="7"/>
      <c r="E6242" s="7"/>
      <c r="F6242" s="7"/>
      <c r="G6242" s="7"/>
      <c r="H6242" s="7">
        <f t="shared" si="1"/>
        <v>1029</v>
      </c>
    </row>
    <row r="6243" ht="22.5" customHeight="1">
      <c r="B6243" s="7"/>
      <c r="C6243" s="7"/>
      <c r="D6243" s="7"/>
      <c r="E6243" s="7"/>
      <c r="F6243" s="7"/>
      <c r="G6243" s="7"/>
      <c r="H6243" s="7">
        <f t="shared" si="1"/>
        <v>1029</v>
      </c>
    </row>
    <row r="6244" ht="22.5" customHeight="1">
      <c r="B6244" s="7"/>
      <c r="C6244" s="7"/>
      <c r="D6244" s="7"/>
      <c r="E6244" s="7"/>
      <c r="F6244" s="7"/>
      <c r="G6244" s="7"/>
      <c r="H6244" s="7">
        <f t="shared" si="1"/>
        <v>1029</v>
      </c>
    </row>
    <row r="6245" ht="22.5" customHeight="1">
      <c r="B6245" s="7"/>
      <c r="C6245" s="7"/>
      <c r="D6245" s="7"/>
      <c r="E6245" s="7"/>
      <c r="F6245" s="7"/>
      <c r="G6245" s="7"/>
      <c r="H6245" s="7">
        <f t="shared" si="1"/>
        <v>1029</v>
      </c>
    </row>
    <row r="6246" ht="22.5" customHeight="1">
      <c r="B6246" s="7"/>
      <c r="C6246" s="7"/>
      <c r="D6246" s="7"/>
      <c r="E6246" s="7"/>
      <c r="F6246" s="7"/>
      <c r="G6246" s="7"/>
      <c r="H6246" s="7">
        <f t="shared" si="1"/>
        <v>1029</v>
      </c>
    </row>
    <row r="6247" ht="22.5" customHeight="1">
      <c r="B6247" s="7"/>
      <c r="C6247" s="7"/>
      <c r="D6247" s="7"/>
      <c r="E6247" s="7"/>
      <c r="F6247" s="7"/>
      <c r="G6247" s="7"/>
      <c r="H6247" s="7">
        <f t="shared" si="1"/>
        <v>1029</v>
      </c>
    </row>
    <row r="6248" ht="22.5" customHeight="1">
      <c r="B6248" s="7"/>
      <c r="C6248" s="7"/>
      <c r="D6248" s="7"/>
      <c r="E6248" s="7"/>
      <c r="F6248" s="7"/>
      <c r="G6248" s="7"/>
      <c r="H6248" s="7">
        <f t="shared" si="1"/>
        <v>1029</v>
      </c>
    </row>
    <row r="6249" ht="22.5" customHeight="1">
      <c r="B6249" s="7"/>
      <c r="C6249" s="7"/>
      <c r="D6249" s="7"/>
      <c r="E6249" s="7"/>
      <c r="F6249" s="7"/>
      <c r="G6249" s="7"/>
      <c r="H6249" s="7">
        <f t="shared" si="1"/>
        <v>1029</v>
      </c>
    </row>
    <row r="6250" ht="22.5" customHeight="1">
      <c r="B6250" s="7"/>
      <c r="C6250" s="7"/>
      <c r="D6250" s="7"/>
      <c r="E6250" s="7"/>
      <c r="F6250" s="7"/>
      <c r="G6250" s="7"/>
      <c r="H6250" s="7">
        <f t="shared" si="1"/>
        <v>1029</v>
      </c>
    </row>
    <row r="6251" ht="22.5" customHeight="1">
      <c r="B6251" s="7"/>
      <c r="C6251" s="7"/>
      <c r="D6251" s="7"/>
      <c r="E6251" s="7"/>
      <c r="F6251" s="7"/>
      <c r="G6251" s="7"/>
      <c r="H6251" s="7">
        <f t="shared" si="1"/>
        <v>1029</v>
      </c>
    </row>
    <row r="6252" ht="22.5" customHeight="1">
      <c r="B6252" s="7"/>
      <c r="C6252" s="7"/>
      <c r="D6252" s="7"/>
      <c r="E6252" s="7"/>
      <c r="F6252" s="7"/>
      <c r="G6252" s="7"/>
      <c r="H6252" s="7">
        <f t="shared" si="1"/>
        <v>1029</v>
      </c>
    </row>
    <row r="6253" ht="22.5" customHeight="1">
      <c r="B6253" s="7"/>
      <c r="C6253" s="7"/>
      <c r="D6253" s="7"/>
      <c r="E6253" s="7"/>
      <c r="F6253" s="7"/>
      <c r="G6253" s="7"/>
      <c r="H6253" s="7">
        <f t="shared" si="1"/>
        <v>1029</v>
      </c>
    </row>
    <row r="6254" ht="22.5" customHeight="1">
      <c r="B6254" s="7"/>
      <c r="C6254" s="7"/>
      <c r="D6254" s="7"/>
      <c r="E6254" s="7"/>
      <c r="F6254" s="7"/>
      <c r="G6254" s="7"/>
      <c r="H6254" s="7">
        <f t="shared" si="1"/>
        <v>1029</v>
      </c>
    </row>
    <row r="6255" ht="22.5" customHeight="1">
      <c r="B6255" s="7"/>
      <c r="C6255" s="7"/>
      <c r="D6255" s="7"/>
      <c r="E6255" s="7"/>
      <c r="F6255" s="7"/>
      <c r="G6255" s="7"/>
      <c r="H6255" s="7">
        <f t="shared" si="1"/>
        <v>1029</v>
      </c>
    </row>
    <row r="6256" ht="22.5" customHeight="1">
      <c r="B6256" s="7"/>
      <c r="C6256" s="7"/>
      <c r="D6256" s="7"/>
      <c r="E6256" s="7"/>
      <c r="F6256" s="7"/>
      <c r="G6256" s="7"/>
      <c r="H6256" s="7">
        <f t="shared" si="1"/>
        <v>1029</v>
      </c>
    </row>
    <row r="6257" ht="22.5" customHeight="1">
      <c r="B6257" s="7"/>
      <c r="C6257" s="7"/>
      <c r="D6257" s="7"/>
      <c r="E6257" s="7"/>
      <c r="F6257" s="7"/>
      <c r="G6257" s="7"/>
      <c r="H6257" s="7">
        <f t="shared" si="1"/>
        <v>1029</v>
      </c>
    </row>
    <row r="6258" ht="22.5" customHeight="1">
      <c r="B6258" s="7"/>
      <c r="C6258" s="7"/>
      <c r="D6258" s="7"/>
      <c r="E6258" s="7"/>
      <c r="F6258" s="7"/>
      <c r="G6258" s="7"/>
      <c r="H6258" s="7">
        <f t="shared" si="1"/>
        <v>1029</v>
      </c>
    </row>
    <row r="6259" ht="22.5" customHeight="1">
      <c r="B6259" s="7"/>
      <c r="C6259" s="7"/>
      <c r="D6259" s="7"/>
      <c r="E6259" s="7"/>
      <c r="F6259" s="7"/>
      <c r="G6259" s="7"/>
      <c r="H6259" s="7">
        <f t="shared" si="1"/>
        <v>1029</v>
      </c>
    </row>
    <row r="6260" ht="22.5" customHeight="1">
      <c r="B6260" s="7"/>
      <c r="C6260" s="7"/>
      <c r="D6260" s="7"/>
      <c r="E6260" s="7"/>
      <c r="F6260" s="7"/>
      <c r="G6260" s="7"/>
      <c r="H6260" s="7">
        <f t="shared" si="1"/>
        <v>1029</v>
      </c>
    </row>
    <row r="6261" ht="22.5" customHeight="1">
      <c r="B6261" s="7"/>
      <c r="C6261" s="7"/>
      <c r="D6261" s="7"/>
      <c r="E6261" s="7"/>
      <c r="F6261" s="7"/>
      <c r="G6261" s="7"/>
      <c r="H6261" s="7">
        <f t="shared" si="1"/>
        <v>1029</v>
      </c>
    </row>
    <row r="6262" ht="22.5" customHeight="1">
      <c r="B6262" s="7"/>
      <c r="C6262" s="7"/>
      <c r="D6262" s="7"/>
      <c r="E6262" s="7"/>
      <c r="F6262" s="7"/>
      <c r="G6262" s="7"/>
      <c r="H6262" s="7">
        <f t="shared" si="1"/>
        <v>1029</v>
      </c>
    </row>
    <row r="6263" ht="22.5" customHeight="1">
      <c r="B6263" s="7"/>
      <c r="C6263" s="7"/>
      <c r="D6263" s="7"/>
      <c r="E6263" s="7"/>
      <c r="F6263" s="7"/>
      <c r="G6263" s="7"/>
      <c r="H6263" s="7">
        <f t="shared" si="1"/>
        <v>1029</v>
      </c>
    </row>
    <row r="6264" ht="22.5" customHeight="1">
      <c r="B6264" s="7"/>
      <c r="C6264" s="7"/>
      <c r="D6264" s="7"/>
      <c r="E6264" s="7"/>
      <c r="F6264" s="7"/>
      <c r="G6264" s="7"/>
      <c r="H6264" s="7">
        <f t="shared" si="1"/>
        <v>1029</v>
      </c>
    </row>
    <row r="6265" ht="22.5" customHeight="1">
      <c r="B6265" s="7"/>
      <c r="C6265" s="7"/>
      <c r="D6265" s="7"/>
      <c r="E6265" s="7"/>
      <c r="F6265" s="7"/>
      <c r="G6265" s="7"/>
      <c r="H6265" s="7">
        <f t="shared" si="1"/>
        <v>1029</v>
      </c>
    </row>
    <row r="6266" ht="22.5" customHeight="1">
      <c r="B6266" s="7"/>
      <c r="C6266" s="7"/>
      <c r="D6266" s="7"/>
      <c r="E6266" s="7"/>
      <c r="F6266" s="7"/>
      <c r="G6266" s="7"/>
      <c r="H6266" s="7">
        <f t="shared" si="1"/>
        <v>1029</v>
      </c>
    </row>
    <row r="6267" ht="22.5" customHeight="1">
      <c r="B6267" s="7"/>
      <c r="C6267" s="7"/>
      <c r="D6267" s="7"/>
      <c r="E6267" s="7"/>
      <c r="F6267" s="7"/>
      <c r="G6267" s="7"/>
      <c r="H6267" s="7">
        <f t="shared" si="1"/>
        <v>1029</v>
      </c>
    </row>
    <row r="6268" ht="22.5" customHeight="1">
      <c r="B6268" s="7"/>
      <c r="C6268" s="7"/>
      <c r="D6268" s="7"/>
      <c r="E6268" s="7"/>
      <c r="F6268" s="7"/>
      <c r="G6268" s="7"/>
      <c r="H6268" s="7">
        <f t="shared" si="1"/>
        <v>1029</v>
      </c>
    </row>
    <row r="6269" ht="22.5" customHeight="1">
      <c r="B6269" s="7"/>
      <c r="C6269" s="7"/>
      <c r="D6269" s="7"/>
      <c r="E6269" s="7"/>
      <c r="F6269" s="7"/>
      <c r="G6269" s="7"/>
      <c r="H6269" s="7">
        <f t="shared" si="1"/>
        <v>1029</v>
      </c>
    </row>
    <row r="6270" ht="22.5" customHeight="1">
      <c r="B6270" s="7"/>
      <c r="C6270" s="7"/>
      <c r="D6270" s="7"/>
      <c r="E6270" s="7"/>
      <c r="F6270" s="7"/>
      <c r="G6270" s="7"/>
      <c r="H6270" s="7">
        <f t="shared" si="1"/>
        <v>1029</v>
      </c>
    </row>
    <row r="6271" ht="22.5" customHeight="1">
      <c r="B6271" s="7"/>
      <c r="C6271" s="7"/>
      <c r="D6271" s="7"/>
      <c r="E6271" s="7"/>
      <c r="F6271" s="7"/>
      <c r="G6271" s="7"/>
      <c r="H6271" s="7">
        <f t="shared" si="1"/>
        <v>1029</v>
      </c>
    </row>
    <row r="6272" ht="22.5" customHeight="1">
      <c r="B6272" s="7"/>
      <c r="C6272" s="7"/>
      <c r="D6272" s="7"/>
      <c r="E6272" s="7"/>
      <c r="F6272" s="7"/>
      <c r="G6272" s="7"/>
      <c r="H6272" s="7">
        <f t="shared" si="1"/>
        <v>1029</v>
      </c>
    </row>
    <row r="6273" ht="22.5" customHeight="1">
      <c r="B6273" s="7"/>
      <c r="C6273" s="7"/>
      <c r="D6273" s="7"/>
      <c r="E6273" s="7"/>
      <c r="F6273" s="7"/>
      <c r="G6273" s="7"/>
      <c r="H6273" s="7">
        <f t="shared" si="1"/>
        <v>1029</v>
      </c>
    </row>
    <row r="6274" ht="22.5" customHeight="1">
      <c r="B6274" s="7"/>
      <c r="C6274" s="7"/>
      <c r="D6274" s="7"/>
      <c r="E6274" s="7"/>
      <c r="F6274" s="7"/>
      <c r="G6274" s="7"/>
      <c r="H6274" s="7">
        <f t="shared" si="1"/>
        <v>1029</v>
      </c>
    </row>
    <row r="6275" ht="22.5" customHeight="1">
      <c r="B6275" s="7"/>
      <c r="C6275" s="7"/>
      <c r="D6275" s="7"/>
      <c r="E6275" s="7"/>
      <c r="F6275" s="7"/>
      <c r="G6275" s="7"/>
      <c r="H6275" s="7">
        <f t="shared" si="1"/>
        <v>1029</v>
      </c>
    </row>
    <row r="6276" ht="22.5" customHeight="1">
      <c r="B6276" s="7"/>
      <c r="C6276" s="7"/>
      <c r="D6276" s="7"/>
      <c r="E6276" s="7"/>
      <c r="F6276" s="7"/>
      <c r="G6276" s="7"/>
      <c r="H6276" s="7">
        <f t="shared" si="1"/>
        <v>1029</v>
      </c>
    </row>
    <row r="6277" ht="22.5" customHeight="1">
      <c r="B6277" s="7"/>
      <c r="C6277" s="7"/>
      <c r="D6277" s="7"/>
      <c r="E6277" s="7"/>
      <c r="F6277" s="7"/>
      <c r="G6277" s="7"/>
      <c r="H6277" s="7">
        <f t="shared" si="1"/>
        <v>1029</v>
      </c>
    </row>
    <row r="6278" ht="22.5" customHeight="1">
      <c r="B6278" s="7"/>
      <c r="C6278" s="7"/>
      <c r="D6278" s="7"/>
      <c r="E6278" s="7"/>
      <c r="F6278" s="7"/>
      <c r="G6278" s="7"/>
      <c r="H6278" s="7">
        <f t="shared" si="1"/>
        <v>1029</v>
      </c>
    </row>
    <row r="6279" ht="22.5" customHeight="1">
      <c r="B6279" s="7"/>
      <c r="C6279" s="7"/>
      <c r="D6279" s="7"/>
      <c r="E6279" s="7"/>
      <c r="F6279" s="7"/>
      <c r="G6279" s="7"/>
      <c r="H6279" s="7">
        <f t="shared" si="1"/>
        <v>1029</v>
      </c>
    </row>
    <row r="6280" ht="22.5" customHeight="1">
      <c r="B6280" s="7"/>
      <c r="C6280" s="7"/>
      <c r="D6280" s="7"/>
      <c r="E6280" s="7"/>
      <c r="F6280" s="7"/>
      <c r="G6280" s="7"/>
      <c r="H6280" s="7">
        <f t="shared" si="1"/>
        <v>1029</v>
      </c>
    </row>
    <row r="6281" ht="22.5" customHeight="1">
      <c r="B6281" s="7"/>
      <c r="C6281" s="7"/>
      <c r="D6281" s="7"/>
      <c r="E6281" s="7"/>
      <c r="F6281" s="7"/>
      <c r="G6281" s="7"/>
      <c r="H6281" s="7">
        <f t="shared" si="1"/>
        <v>1029</v>
      </c>
    </row>
    <row r="6282" ht="22.5" customHeight="1">
      <c r="B6282" s="7"/>
      <c r="C6282" s="7"/>
      <c r="D6282" s="7"/>
      <c r="E6282" s="7"/>
      <c r="F6282" s="7"/>
      <c r="G6282" s="7"/>
      <c r="H6282" s="7">
        <f t="shared" si="1"/>
        <v>1029</v>
      </c>
    </row>
    <row r="6283" ht="22.5" customHeight="1">
      <c r="B6283" s="7"/>
      <c r="C6283" s="7"/>
      <c r="D6283" s="7"/>
      <c r="E6283" s="7"/>
      <c r="F6283" s="7"/>
      <c r="G6283" s="7"/>
      <c r="H6283" s="7">
        <f t="shared" si="1"/>
        <v>1029</v>
      </c>
    </row>
    <row r="6284" ht="22.5" customHeight="1">
      <c r="B6284" s="7"/>
      <c r="C6284" s="7"/>
      <c r="D6284" s="7"/>
      <c r="E6284" s="7"/>
      <c r="F6284" s="7"/>
      <c r="G6284" s="7"/>
      <c r="H6284" s="7">
        <f t="shared" si="1"/>
        <v>1029</v>
      </c>
    </row>
    <row r="6285" ht="22.5" customHeight="1">
      <c r="B6285" s="7"/>
      <c r="C6285" s="7"/>
      <c r="D6285" s="7"/>
      <c r="E6285" s="7"/>
      <c r="F6285" s="7"/>
      <c r="G6285" s="7"/>
      <c r="H6285" s="7">
        <f t="shared" si="1"/>
        <v>1029</v>
      </c>
    </row>
    <row r="6286" ht="22.5" customHeight="1">
      <c r="B6286" s="7"/>
      <c r="C6286" s="7"/>
      <c r="D6286" s="7"/>
      <c r="E6286" s="7"/>
      <c r="F6286" s="7"/>
      <c r="G6286" s="7"/>
      <c r="H6286" s="7">
        <f t="shared" si="1"/>
        <v>1029</v>
      </c>
    </row>
    <row r="6287" ht="22.5" customHeight="1">
      <c r="B6287" s="7"/>
      <c r="C6287" s="7"/>
      <c r="D6287" s="7"/>
      <c r="E6287" s="7"/>
      <c r="F6287" s="7"/>
      <c r="G6287" s="7"/>
      <c r="H6287" s="7">
        <f t="shared" si="1"/>
        <v>1029</v>
      </c>
    </row>
    <row r="6288" ht="22.5" customHeight="1">
      <c r="B6288" s="7"/>
      <c r="C6288" s="7"/>
      <c r="D6288" s="7"/>
      <c r="E6288" s="7"/>
      <c r="F6288" s="7"/>
      <c r="G6288" s="7"/>
      <c r="H6288" s="7">
        <f t="shared" si="1"/>
        <v>1029</v>
      </c>
    </row>
    <row r="6289" ht="22.5" customHeight="1">
      <c r="B6289" s="7"/>
      <c r="C6289" s="7"/>
      <c r="D6289" s="7"/>
      <c r="E6289" s="7"/>
      <c r="F6289" s="7"/>
      <c r="G6289" s="7"/>
      <c r="H6289" s="7">
        <f t="shared" si="1"/>
        <v>1029</v>
      </c>
    </row>
    <row r="6290" ht="22.5" customHeight="1">
      <c r="B6290" s="7"/>
      <c r="C6290" s="7"/>
      <c r="D6290" s="7"/>
      <c r="E6290" s="7"/>
      <c r="F6290" s="7"/>
      <c r="G6290" s="7"/>
      <c r="H6290" s="7">
        <f t="shared" si="1"/>
        <v>1029</v>
      </c>
    </row>
    <row r="6291" ht="22.5" customHeight="1">
      <c r="B6291" s="7"/>
      <c r="C6291" s="7"/>
      <c r="D6291" s="7"/>
      <c r="E6291" s="7"/>
      <c r="F6291" s="7"/>
      <c r="G6291" s="7"/>
      <c r="H6291" s="7">
        <f t="shared" si="1"/>
        <v>1029</v>
      </c>
    </row>
    <row r="6292" ht="22.5" customHeight="1">
      <c r="B6292" s="7"/>
      <c r="C6292" s="7"/>
      <c r="D6292" s="7"/>
      <c r="E6292" s="7"/>
      <c r="F6292" s="7"/>
      <c r="G6292" s="7"/>
      <c r="H6292" s="7">
        <f t="shared" si="1"/>
        <v>1029</v>
      </c>
    </row>
    <row r="6293" ht="22.5" customHeight="1">
      <c r="B6293" s="7"/>
      <c r="C6293" s="7"/>
      <c r="D6293" s="7"/>
      <c r="E6293" s="7"/>
      <c r="F6293" s="7"/>
      <c r="G6293" s="7"/>
      <c r="H6293" s="7">
        <f t="shared" si="1"/>
        <v>1029</v>
      </c>
    </row>
    <row r="6294" ht="22.5" customHeight="1">
      <c r="B6294" s="7"/>
      <c r="C6294" s="7"/>
      <c r="D6294" s="7"/>
      <c r="E6294" s="7"/>
      <c r="F6294" s="7"/>
      <c r="G6294" s="7"/>
      <c r="H6294" s="7">
        <f t="shared" si="1"/>
        <v>1029</v>
      </c>
    </row>
    <row r="6295" ht="22.5" customHeight="1">
      <c r="B6295" s="7"/>
      <c r="C6295" s="7"/>
      <c r="D6295" s="7"/>
      <c r="E6295" s="7"/>
      <c r="F6295" s="7"/>
      <c r="G6295" s="7"/>
      <c r="H6295" s="7">
        <f t="shared" si="1"/>
        <v>1029</v>
      </c>
    </row>
    <row r="6296" ht="22.5" customHeight="1">
      <c r="B6296" s="7"/>
      <c r="C6296" s="7"/>
      <c r="D6296" s="7"/>
      <c r="E6296" s="7"/>
      <c r="F6296" s="7"/>
      <c r="G6296" s="7"/>
      <c r="H6296" s="7">
        <f t="shared" si="1"/>
        <v>1029</v>
      </c>
    </row>
    <row r="6297" ht="22.5" customHeight="1">
      <c r="B6297" s="7"/>
      <c r="C6297" s="7"/>
      <c r="D6297" s="7"/>
      <c r="E6297" s="7"/>
      <c r="F6297" s="7"/>
      <c r="G6297" s="7"/>
      <c r="H6297" s="7">
        <f t="shared" si="1"/>
        <v>1029</v>
      </c>
    </row>
    <row r="6298" ht="22.5" customHeight="1">
      <c r="B6298" s="7"/>
      <c r="C6298" s="7"/>
      <c r="D6298" s="7"/>
      <c r="E6298" s="7"/>
      <c r="F6298" s="7"/>
      <c r="G6298" s="7"/>
      <c r="H6298" s="7">
        <f t="shared" si="1"/>
        <v>1029</v>
      </c>
    </row>
    <row r="6299" ht="22.5" customHeight="1">
      <c r="B6299" s="7"/>
      <c r="C6299" s="7"/>
      <c r="D6299" s="7"/>
      <c r="E6299" s="7"/>
      <c r="F6299" s="7"/>
      <c r="G6299" s="7"/>
      <c r="H6299" s="7">
        <f t="shared" si="1"/>
        <v>1029</v>
      </c>
    </row>
    <row r="6300" ht="22.5" customHeight="1">
      <c r="B6300" s="7"/>
      <c r="C6300" s="7"/>
      <c r="D6300" s="7"/>
      <c r="E6300" s="7"/>
      <c r="F6300" s="7"/>
      <c r="G6300" s="7"/>
      <c r="H6300" s="7">
        <f t="shared" si="1"/>
        <v>1029</v>
      </c>
    </row>
    <row r="6301" ht="22.5" customHeight="1">
      <c r="B6301" s="7"/>
      <c r="C6301" s="7"/>
      <c r="D6301" s="7"/>
      <c r="E6301" s="7"/>
      <c r="F6301" s="7"/>
      <c r="G6301" s="7"/>
      <c r="H6301" s="7">
        <f t="shared" si="1"/>
        <v>1029</v>
      </c>
    </row>
    <row r="6302" ht="22.5" customHeight="1">
      <c r="B6302" s="7"/>
      <c r="C6302" s="7"/>
      <c r="D6302" s="7"/>
      <c r="E6302" s="7"/>
      <c r="F6302" s="7"/>
      <c r="G6302" s="7"/>
      <c r="H6302" s="7">
        <f t="shared" si="1"/>
        <v>1029</v>
      </c>
    </row>
    <row r="6303" ht="22.5" customHeight="1">
      <c r="B6303" s="7"/>
      <c r="C6303" s="7"/>
      <c r="D6303" s="7"/>
      <c r="E6303" s="7"/>
      <c r="F6303" s="7"/>
      <c r="G6303" s="7"/>
      <c r="H6303" s="7">
        <f t="shared" si="1"/>
        <v>1029</v>
      </c>
    </row>
    <row r="6304" ht="22.5" customHeight="1">
      <c r="B6304" s="7"/>
      <c r="C6304" s="7"/>
      <c r="D6304" s="7"/>
      <c r="E6304" s="7"/>
      <c r="F6304" s="7"/>
      <c r="G6304" s="7"/>
      <c r="H6304" s="7">
        <f t="shared" si="1"/>
        <v>1029</v>
      </c>
    </row>
    <row r="6305" ht="22.5" customHeight="1">
      <c r="B6305" s="7"/>
      <c r="C6305" s="7"/>
      <c r="D6305" s="7"/>
      <c r="E6305" s="7"/>
      <c r="F6305" s="7"/>
      <c r="G6305" s="7"/>
      <c r="H6305" s="7">
        <f t="shared" si="1"/>
        <v>1029</v>
      </c>
    </row>
    <row r="6306" ht="22.5" customHeight="1">
      <c r="B6306" s="7"/>
      <c r="C6306" s="7"/>
      <c r="D6306" s="7"/>
      <c r="E6306" s="7"/>
      <c r="F6306" s="7"/>
      <c r="G6306" s="7"/>
      <c r="H6306" s="7">
        <f t="shared" si="1"/>
        <v>1029</v>
      </c>
    </row>
    <row r="6307" ht="22.5" customHeight="1">
      <c r="B6307" s="7"/>
      <c r="C6307" s="7"/>
      <c r="D6307" s="7"/>
      <c r="E6307" s="7"/>
      <c r="F6307" s="7"/>
      <c r="G6307" s="7"/>
      <c r="H6307" s="7">
        <f t="shared" si="1"/>
        <v>1029</v>
      </c>
    </row>
    <row r="6308" ht="22.5" customHeight="1">
      <c r="B6308" s="7"/>
      <c r="C6308" s="7"/>
      <c r="D6308" s="7"/>
      <c r="E6308" s="7"/>
      <c r="F6308" s="7"/>
      <c r="G6308" s="7"/>
      <c r="H6308" s="7">
        <f t="shared" si="1"/>
        <v>1029</v>
      </c>
    </row>
    <row r="6309" ht="22.5" customHeight="1">
      <c r="B6309" s="7"/>
      <c r="C6309" s="7"/>
      <c r="D6309" s="7"/>
      <c r="E6309" s="7"/>
      <c r="F6309" s="7"/>
      <c r="G6309" s="7"/>
      <c r="H6309" s="7">
        <f t="shared" si="1"/>
        <v>1029</v>
      </c>
    </row>
    <row r="6310" ht="22.5" customHeight="1">
      <c r="B6310" s="7"/>
      <c r="C6310" s="7"/>
      <c r="D6310" s="7"/>
      <c r="E6310" s="7"/>
      <c r="F6310" s="7"/>
      <c r="G6310" s="7"/>
      <c r="H6310" s="7">
        <f t="shared" si="1"/>
        <v>1029</v>
      </c>
    </row>
    <row r="6311" ht="22.5" customHeight="1">
      <c r="B6311" s="7"/>
      <c r="C6311" s="7"/>
      <c r="D6311" s="7"/>
      <c r="E6311" s="7"/>
      <c r="F6311" s="7"/>
      <c r="G6311" s="7"/>
      <c r="H6311" s="7">
        <f t="shared" si="1"/>
        <v>1029</v>
      </c>
    </row>
    <row r="6312" ht="22.5" customHeight="1">
      <c r="B6312" s="7"/>
      <c r="C6312" s="7"/>
      <c r="D6312" s="7"/>
      <c r="E6312" s="7"/>
      <c r="F6312" s="7"/>
      <c r="G6312" s="7"/>
      <c r="H6312" s="7">
        <f t="shared" si="1"/>
        <v>1029</v>
      </c>
    </row>
    <row r="6313" ht="22.5" customHeight="1">
      <c r="B6313" s="7"/>
      <c r="C6313" s="7"/>
      <c r="D6313" s="7"/>
      <c r="E6313" s="7"/>
      <c r="F6313" s="7"/>
      <c r="G6313" s="7"/>
      <c r="H6313" s="7">
        <f t="shared" si="1"/>
        <v>1029</v>
      </c>
    </row>
    <row r="6314" ht="22.5" customHeight="1">
      <c r="B6314" s="7"/>
      <c r="C6314" s="7"/>
      <c r="D6314" s="7"/>
      <c r="E6314" s="7"/>
      <c r="F6314" s="7"/>
      <c r="G6314" s="7"/>
      <c r="H6314" s="7">
        <f t="shared" si="1"/>
        <v>1029</v>
      </c>
    </row>
    <row r="6315" ht="22.5" customHeight="1">
      <c r="B6315" s="7"/>
      <c r="C6315" s="7"/>
      <c r="D6315" s="7"/>
      <c r="E6315" s="7"/>
      <c r="F6315" s="7"/>
      <c r="G6315" s="7"/>
      <c r="H6315" s="7">
        <f t="shared" si="1"/>
        <v>1029</v>
      </c>
    </row>
    <row r="6316" ht="22.5" customHeight="1">
      <c r="B6316" s="7"/>
      <c r="C6316" s="7"/>
      <c r="D6316" s="7"/>
      <c r="E6316" s="7"/>
      <c r="F6316" s="7"/>
      <c r="G6316" s="7"/>
      <c r="H6316" s="7">
        <f t="shared" si="1"/>
        <v>1029</v>
      </c>
    </row>
    <row r="6317" ht="22.5" customHeight="1">
      <c r="B6317" s="7"/>
      <c r="C6317" s="7"/>
      <c r="D6317" s="7"/>
      <c r="E6317" s="7"/>
      <c r="F6317" s="7"/>
      <c r="G6317" s="7"/>
      <c r="H6317" s="7">
        <f t="shared" si="1"/>
        <v>1029</v>
      </c>
    </row>
    <row r="6318" ht="22.5" customHeight="1">
      <c r="B6318" s="7"/>
      <c r="C6318" s="7"/>
      <c r="D6318" s="7"/>
      <c r="E6318" s="7"/>
      <c r="F6318" s="7"/>
      <c r="G6318" s="7"/>
      <c r="H6318" s="7">
        <f t="shared" si="1"/>
        <v>1029</v>
      </c>
    </row>
    <row r="6319" ht="22.5" customHeight="1">
      <c r="B6319" s="7"/>
      <c r="C6319" s="7"/>
      <c r="D6319" s="7"/>
      <c r="E6319" s="7"/>
      <c r="F6319" s="7"/>
      <c r="G6319" s="7"/>
      <c r="H6319" s="7">
        <f t="shared" si="1"/>
        <v>1029</v>
      </c>
    </row>
    <row r="6320" ht="22.5" customHeight="1">
      <c r="B6320" s="7"/>
      <c r="C6320" s="7"/>
      <c r="D6320" s="7"/>
      <c r="E6320" s="7"/>
      <c r="F6320" s="7"/>
      <c r="G6320" s="7"/>
      <c r="H6320" s="7">
        <f t="shared" si="1"/>
        <v>1029</v>
      </c>
    </row>
    <row r="6321" ht="22.5" customHeight="1">
      <c r="B6321" s="7"/>
      <c r="C6321" s="7"/>
      <c r="D6321" s="7"/>
      <c r="E6321" s="7"/>
      <c r="F6321" s="7"/>
      <c r="G6321" s="7"/>
      <c r="H6321" s="7">
        <f t="shared" si="1"/>
        <v>1029</v>
      </c>
    </row>
    <row r="6322" ht="22.5" customHeight="1">
      <c r="B6322" s="7"/>
      <c r="C6322" s="7"/>
      <c r="D6322" s="7"/>
      <c r="E6322" s="7"/>
      <c r="F6322" s="7"/>
      <c r="G6322" s="7"/>
      <c r="H6322" s="7">
        <f t="shared" si="1"/>
        <v>1029</v>
      </c>
    </row>
    <row r="6323" ht="22.5" customHeight="1">
      <c r="B6323" s="7"/>
      <c r="C6323" s="7"/>
      <c r="D6323" s="7"/>
      <c r="E6323" s="7"/>
      <c r="F6323" s="7"/>
      <c r="G6323" s="7"/>
      <c r="H6323" s="7">
        <f t="shared" si="1"/>
        <v>1029</v>
      </c>
    </row>
    <row r="6324" ht="22.5" customHeight="1">
      <c r="B6324" s="7"/>
      <c r="C6324" s="7"/>
      <c r="D6324" s="7"/>
      <c r="E6324" s="7"/>
      <c r="F6324" s="7"/>
      <c r="G6324" s="7"/>
      <c r="H6324" s="7">
        <f t="shared" si="1"/>
        <v>1029</v>
      </c>
    </row>
    <row r="6325" ht="22.5" customHeight="1">
      <c r="B6325" s="7"/>
      <c r="C6325" s="7"/>
      <c r="D6325" s="7"/>
      <c r="E6325" s="7"/>
      <c r="F6325" s="7"/>
      <c r="G6325" s="7"/>
      <c r="H6325" s="7">
        <f t="shared" si="1"/>
        <v>1029</v>
      </c>
    </row>
    <row r="6326" ht="22.5" customHeight="1">
      <c r="B6326" s="7"/>
      <c r="C6326" s="7"/>
      <c r="D6326" s="7"/>
      <c r="E6326" s="7"/>
      <c r="F6326" s="7"/>
      <c r="G6326" s="7"/>
      <c r="H6326" s="7">
        <f t="shared" si="1"/>
        <v>1029</v>
      </c>
    </row>
    <row r="6327" ht="22.5" customHeight="1">
      <c r="B6327" s="7"/>
      <c r="C6327" s="7"/>
      <c r="D6327" s="7"/>
      <c r="E6327" s="7"/>
      <c r="F6327" s="7"/>
      <c r="G6327" s="7"/>
      <c r="H6327" s="7">
        <f t="shared" si="1"/>
        <v>1029</v>
      </c>
    </row>
    <row r="6328" ht="22.5" customHeight="1">
      <c r="B6328" s="7"/>
      <c r="C6328" s="7"/>
      <c r="D6328" s="7"/>
      <c r="E6328" s="7"/>
      <c r="F6328" s="7"/>
      <c r="G6328" s="7"/>
      <c r="H6328" s="7">
        <f t="shared" si="1"/>
        <v>1029</v>
      </c>
    </row>
    <row r="6329" ht="22.5" customHeight="1">
      <c r="B6329" s="7"/>
      <c r="C6329" s="7"/>
      <c r="D6329" s="7"/>
      <c r="E6329" s="7"/>
      <c r="F6329" s="7"/>
      <c r="G6329" s="7"/>
      <c r="H6329" s="7">
        <f t="shared" si="1"/>
        <v>1029</v>
      </c>
    </row>
    <row r="6330" ht="22.5" customHeight="1">
      <c r="B6330" s="7"/>
      <c r="C6330" s="7"/>
      <c r="D6330" s="7"/>
      <c r="E6330" s="7"/>
      <c r="F6330" s="7"/>
      <c r="G6330" s="7"/>
      <c r="H6330" s="7">
        <f t="shared" si="1"/>
        <v>1029</v>
      </c>
    </row>
    <row r="6331" ht="22.5" customHeight="1">
      <c r="B6331" s="7"/>
      <c r="C6331" s="7"/>
      <c r="D6331" s="7"/>
      <c r="E6331" s="7"/>
      <c r="F6331" s="7"/>
      <c r="G6331" s="7"/>
      <c r="H6331" s="7">
        <f t="shared" si="1"/>
        <v>1029</v>
      </c>
    </row>
    <row r="6332" ht="22.5" customHeight="1">
      <c r="B6332" s="7"/>
      <c r="C6332" s="7"/>
      <c r="D6332" s="7"/>
      <c r="E6332" s="7"/>
      <c r="F6332" s="7"/>
      <c r="G6332" s="7"/>
      <c r="H6332" s="7">
        <f t="shared" si="1"/>
        <v>1029</v>
      </c>
    </row>
    <row r="6333" ht="22.5" customHeight="1">
      <c r="B6333" s="7"/>
      <c r="C6333" s="7"/>
      <c r="D6333" s="7"/>
      <c r="E6333" s="7"/>
      <c r="F6333" s="7"/>
      <c r="G6333" s="7"/>
      <c r="H6333" s="7">
        <f t="shared" si="1"/>
        <v>1029</v>
      </c>
    </row>
    <row r="6334" ht="22.5" customHeight="1">
      <c r="B6334" s="7"/>
      <c r="C6334" s="7"/>
      <c r="D6334" s="7"/>
      <c r="E6334" s="7"/>
      <c r="F6334" s="7"/>
      <c r="G6334" s="7"/>
      <c r="H6334" s="7">
        <f t="shared" si="1"/>
        <v>1029</v>
      </c>
    </row>
    <row r="6335" ht="22.5" customHeight="1">
      <c r="B6335" s="7"/>
      <c r="C6335" s="7"/>
      <c r="D6335" s="7"/>
      <c r="E6335" s="7"/>
      <c r="F6335" s="7"/>
      <c r="G6335" s="7"/>
      <c r="H6335" s="7">
        <f t="shared" si="1"/>
        <v>1029</v>
      </c>
    </row>
    <row r="6336" ht="22.5" customHeight="1">
      <c r="B6336" s="7"/>
      <c r="C6336" s="7"/>
      <c r="D6336" s="7"/>
      <c r="E6336" s="7"/>
      <c r="F6336" s="7"/>
      <c r="G6336" s="7"/>
      <c r="H6336" s="7">
        <f t="shared" si="1"/>
        <v>1029</v>
      </c>
    </row>
    <row r="6337" ht="22.5" customHeight="1">
      <c r="B6337" s="7"/>
      <c r="C6337" s="7"/>
      <c r="D6337" s="7"/>
      <c r="E6337" s="7"/>
      <c r="F6337" s="7"/>
      <c r="G6337" s="7"/>
      <c r="H6337" s="7">
        <f t="shared" si="1"/>
        <v>1029</v>
      </c>
    </row>
    <row r="6338" ht="22.5" customHeight="1">
      <c r="B6338" s="7"/>
      <c r="C6338" s="7"/>
      <c r="D6338" s="7"/>
      <c r="E6338" s="7"/>
      <c r="F6338" s="7"/>
      <c r="G6338" s="7"/>
      <c r="H6338" s="7">
        <f t="shared" si="1"/>
        <v>1029</v>
      </c>
    </row>
    <row r="6339" ht="22.5" customHeight="1">
      <c r="B6339" s="7"/>
      <c r="C6339" s="7"/>
      <c r="D6339" s="7"/>
      <c r="E6339" s="7"/>
      <c r="F6339" s="7"/>
      <c r="G6339" s="7"/>
      <c r="H6339" s="7">
        <f t="shared" si="1"/>
        <v>1029</v>
      </c>
    </row>
    <row r="6340" ht="22.5" customHeight="1">
      <c r="B6340" s="7"/>
      <c r="C6340" s="7"/>
      <c r="D6340" s="7"/>
      <c r="E6340" s="7"/>
      <c r="F6340" s="7"/>
      <c r="G6340" s="7"/>
      <c r="H6340" s="7">
        <f t="shared" si="1"/>
        <v>1029</v>
      </c>
    </row>
    <row r="6341" ht="22.5" customHeight="1">
      <c r="B6341" s="7"/>
      <c r="C6341" s="7"/>
      <c r="D6341" s="7"/>
      <c r="E6341" s="7"/>
      <c r="F6341" s="7"/>
      <c r="G6341" s="7"/>
      <c r="H6341" s="7">
        <f t="shared" si="1"/>
        <v>1029</v>
      </c>
    </row>
    <row r="6342" ht="22.5" customHeight="1">
      <c r="B6342" s="7"/>
      <c r="C6342" s="7"/>
      <c r="D6342" s="7"/>
      <c r="E6342" s="7"/>
      <c r="F6342" s="7"/>
      <c r="G6342" s="7"/>
      <c r="H6342" s="7">
        <f t="shared" si="1"/>
        <v>1029</v>
      </c>
    </row>
    <row r="6343" ht="22.5" customHeight="1">
      <c r="B6343" s="7"/>
      <c r="C6343" s="7"/>
      <c r="D6343" s="7"/>
      <c r="E6343" s="7"/>
      <c r="F6343" s="7"/>
      <c r="G6343" s="7"/>
      <c r="H6343" s="7">
        <f t="shared" si="1"/>
        <v>1029</v>
      </c>
    </row>
    <row r="6344" ht="22.5" customHeight="1">
      <c r="B6344" s="7"/>
      <c r="C6344" s="7"/>
      <c r="D6344" s="7"/>
      <c r="E6344" s="7"/>
      <c r="F6344" s="7"/>
      <c r="G6344" s="7"/>
      <c r="H6344" s="7">
        <f t="shared" si="1"/>
        <v>1029</v>
      </c>
    </row>
    <row r="6345" ht="22.5" customHeight="1">
      <c r="B6345" s="7"/>
      <c r="C6345" s="7"/>
      <c r="D6345" s="7"/>
      <c r="E6345" s="7"/>
      <c r="F6345" s="7"/>
      <c r="G6345" s="7"/>
      <c r="H6345" s="7">
        <f t="shared" si="1"/>
        <v>1029</v>
      </c>
    </row>
    <row r="6346" ht="22.5" customHeight="1">
      <c r="B6346" s="7"/>
      <c r="C6346" s="7"/>
      <c r="D6346" s="7"/>
      <c r="E6346" s="7"/>
      <c r="F6346" s="7"/>
      <c r="G6346" s="7"/>
      <c r="H6346" s="7">
        <f t="shared" si="1"/>
        <v>1029</v>
      </c>
    </row>
    <row r="6347" ht="22.5" customHeight="1">
      <c r="B6347" s="7"/>
      <c r="C6347" s="7"/>
      <c r="D6347" s="7"/>
      <c r="E6347" s="7"/>
      <c r="F6347" s="7"/>
      <c r="G6347" s="7"/>
      <c r="H6347" s="7">
        <f t="shared" si="1"/>
        <v>1029</v>
      </c>
    </row>
    <row r="6348" ht="22.5" customHeight="1">
      <c r="B6348" s="7"/>
      <c r="C6348" s="7"/>
      <c r="D6348" s="7"/>
      <c r="E6348" s="7"/>
      <c r="F6348" s="7"/>
      <c r="G6348" s="7"/>
      <c r="H6348" s="7">
        <f t="shared" si="1"/>
        <v>1029</v>
      </c>
    </row>
    <row r="6349" ht="22.5" customHeight="1">
      <c r="B6349" s="7"/>
      <c r="C6349" s="7"/>
      <c r="D6349" s="7"/>
      <c r="E6349" s="7"/>
      <c r="F6349" s="7"/>
      <c r="G6349" s="7"/>
      <c r="H6349" s="7">
        <f t="shared" si="1"/>
        <v>1029</v>
      </c>
    </row>
    <row r="6350" ht="22.5" customHeight="1">
      <c r="B6350" s="7"/>
      <c r="C6350" s="7"/>
      <c r="D6350" s="7"/>
      <c r="E6350" s="7"/>
      <c r="F6350" s="7"/>
      <c r="G6350" s="7"/>
      <c r="H6350" s="7">
        <f t="shared" si="1"/>
        <v>1029</v>
      </c>
    </row>
    <row r="6351" ht="22.5" customHeight="1">
      <c r="B6351" s="7"/>
      <c r="C6351" s="7"/>
      <c r="D6351" s="7"/>
      <c r="E6351" s="7"/>
      <c r="F6351" s="7"/>
      <c r="G6351" s="7"/>
      <c r="H6351" s="7">
        <f t="shared" si="1"/>
        <v>1029</v>
      </c>
    </row>
    <row r="6352" ht="22.5" customHeight="1">
      <c r="B6352" s="7"/>
      <c r="C6352" s="7"/>
      <c r="D6352" s="7"/>
      <c r="E6352" s="7"/>
      <c r="F6352" s="7"/>
      <c r="G6352" s="7"/>
      <c r="H6352" s="7">
        <f t="shared" si="1"/>
        <v>1029</v>
      </c>
    </row>
    <row r="6353" ht="22.5" customHeight="1">
      <c r="B6353" s="7"/>
      <c r="C6353" s="7"/>
      <c r="D6353" s="7"/>
      <c r="E6353" s="7"/>
      <c r="F6353" s="7"/>
      <c r="G6353" s="7"/>
      <c r="H6353" s="7">
        <f t="shared" si="1"/>
        <v>1029</v>
      </c>
    </row>
    <row r="6354" ht="22.5" customHeight="1">
      <c r="B6354" s="7"/>
      <c r="C6354" s="7"/>
      <c r="D6354" s="7"/>
      <c r="E6354" s="7"/>
      <c r="F6354" s="7"/>
      <c r="G6354" s="7"/>
      <c r="H6354" s="7">
        <f t="shared" si="1"/>
        <v>1029</v>
      </c>
    </row>
    <row r="6355" ht="22.5" customHeight="1">
      <c r="B6355" s="7"/>
      <c r="C6355" s="7"/>
      <c r="D6355" s="7"/>
      <c r="E6355" s="7"/>
      <c r="F6355" s="7"/>
      <c r="G6355" s="7"/>
      <c r="H6355" s="7">
        <f t="shared" si="1"/>
        <v>1029</v>
      </c>
    </row>
    <row r="6356" ht="22.5" customHeight="1">
      <c r="B6356" s="7"/>
      <c r="C6356" s="7"/>
      <c r="D6356" s="7"/>
      <c r="E6356" s="7"/>
      <c r="F6356" s="7"/>
      <c r="G6356" s="7"/>
      <c r="H6356" s="7">
        <f t="shared" si="1"/>
        <v>1029</v>
      </c>
    </row>
    <row r="6357" ht="22.5" customHeight="1">
      <c r="B6357" s="7"/>
      <c r="C6357" s="7"/>
      <c r="D6357" s="7"/>
      <c r="E6357" s="7"/>
      <c r="F6357" s="7"/>
      <c r="G6357" s="7"/>
      <c r="H6357" s="7">
        <f t="shared" si="1"/>
        <v>1029</v>
      </c>
    </row>
    <row r="6358" ht="22.5" customHeight="1">
      <c r="B6358" s="7"/>
      <c r="C6358" s="7"/>
      <c r="D6358" s="7"/>
      <c r="E6358" s="7"/>
      <c r="F6358" s="7"/>
      <c r="G6358" s="7"/>
      <c r="H6358" s="7">
        <f t="shared" si="1"/>
        <v>1029</v>
      </c>
    </row>
    <row r="6359" ht="22.5" customHeight="1">
      <c r="B6359" s="7"/>
      <c r="C6359" s="7"/>
      <c r="D6359" s="7"/>
      <c r="E6359" s="7"/>
      <c r="F6359" s="7"/>
      <c r="G6359" s="7"/>
      <c r="H6359" s="7">
        <f t="shared" si="1"/>
        <v>1029</v>
      </c>
    </row>
    <row r="6360" ht="22.5" customHeight="1">
      <c r="B6360" s="7"/>
      <c r="C6360" s="7"/>
      <c r="D6360" s="7"/>
      <c r="E6360" s="7"/>
      <c r="F6360" s="7"/>
      <c r="G6360" s="7"/>
      <c r="H6360" s="7">
        <f t="shared" si="1"/>
        <v>1029</v>
      </c>
    </row>
    <row r="6361" ht="22.5" customHeight="1">
      <c r="B6361" s="7"/>
      <c r="C6361" s="7"/>
      <c r="D6361" s="7"/>
      <c r="E6361" s="7"/>
      <c r="F6361" s="7"/>
      <c r="G6361" s="7"/>
      <c r="H6361" s="7">
        <f t="shared" si="1"/>
        <v>1029</v>
      </c>
    </row>
    <row r="6362" ht="22.5" customHeight="1">
      <c r="B6362" s="7"/>
      <c r="C6362" s="7"/>
      <c r="D6362" s="7"/>
      <c r="E6362" s="7"/>
      <c r="F6362" s="7"/>
      <c r="G6362" s="7"/>
      <c r="H6362" s="7">
        <f t="shared" si="1"/>
        <v>1029</v>
      </c>
    </row>
    <row r="6363" ht="22.5" customHeight="1">
      <c r="B6363" s="7"/>
      <c r="C6363" s="7"/>
      <c r="D6363" s="7"/>
      <c r="E6363" s="7"/>
      <c r="F6363" s="7"/>
      <c r="G6363" s="7"/>
      <c r="H6363" s="7">
        <f t="shared" si="1"/>
        <v>1029</v>
      </c>
    </row>
    <row r="6364" ht="22.5" customHeight="1">
      <c r="B6364" s="7"/>
      <c r="C6364" s="7"/>
      <c r="D6364" s="7"/>
      <c r="E6364" s="7"/>
      <c r="F6364" s="7"/>
      <c r="G6364" s="7"/>
      <c r="H6364" s="7">
        <f t="shared" si="1"/>
        <v>1029</v>
      </c>
    </row>
    <row r="6365" ht="22.5" customHeight="1">
      <c r="B6365" s="7"/>
      <c r="C6365" s="7"/>
      <c r="D6365" s="7"/>
      <c r="E6365" s="7"/>
      <c r="F6365" s="7"/>
      <c r="G6365" s="7"/>
      <c r="H6365" s="7">
        <f t="shared" si="1"/>
        <v>1029</v>
      </c>
    </row>
    <row r="6366" ht="22.5" customHeight="1">
      <c r="B6366" s="7"/>
      <c r="C6366" s="7"/>
      <c r="D6366" s="7"/>
      <c r="E6366" s="7"/>
      <c r="F6366" s="7"/>
      <c r="G6366" s="7"/>
      <c r="H6366" s="7">
        <f t="shared" si="1"/>
        <v>1029</v>
      </c>
    </row>
    <row r="6367" ht="22.5" customHeight="1">
      <c r="B6367" s="7"/>
      <c r="C6367" s="7"/>
      <c r="D6367" s="7"/>
      <c r="E6367" s="7"/>
      <c r="F6367" s="7"/>
      <c r="G6367" s="7"/>
      <c r="H6367" s="7">
        <f t="shared" si="1"/>
        <v>1029</v>
      </c>
    </row>
    <row r="6368" ht="22.5" customHeight="1">
      <c r="B6368" s="7"/>
      <c r="C6368" s="7"/>
      <c r="D6368" s="7"/>
      <c r="E6368" s="7"/>
      <c r="F6368" s="7"/>
      <c r="G6368" s="7"/>
      <c r="H6368" s="7">
        <f t="shared" si="1"/>
        <v>1029</v>
      </c>
    </row>
    <row r="6369" ht="22.5" customHeight="1">
      <c r="B6369" s="7"/>
      <c r="C6369" s="7"/>
      <c r="D6369" s="7"/>
      <c r="E6369" s="7"/>
      <c r="F6369" s="7"/>
      <c r="G6369" s="7"/>
      <c r="H6369" s="7">
        <f t="shared" si="1"/>
        <v>1029</v>
      </c>
    </row>
    <row r="6370" ht="22.5" customHeight="1">
      <c r="B6370" s="7"/>
      <c r="C6370" s="7"/>
      <c r="D6370" s="7"/>
      <c r="E6370" s="7"/>
      <c r="F6370" s="7"/>
      <c r="G6370" s="7"/>
      <c r="H6370" s="7">
        <f t="shared" si="1"/>
        <v>1029</v>
      </c>
    </row>
    <row r="6371" ht="22.5" customHeight="1">
      <c r="B6371" s="7"/>
      <c r="C6371" s="7"/>
      <c r="D6371" s="7"/>
      <c r="E6371" s="7"/>
      <c r="F6371" s="7"/>
      <c r="G6371" s="7"/>
      <c r="H6371" s="7">
        <f t="shared" si="1"/>
        <v>1029</v>
      </c>
    </row>
    <row r="6372" ht="22.5" customHeight="1">
      <c r="B6372" s="7"/>
      <c r="C6372" s="7"/>
      <c r="D6372" s="7"/>
      <c r="E6372" s="7"/>
      <c r="F6372" s="7"/>
      <c r="G6372" s="7"/>
      <c r="H6372" s="7">
        <f t="shared" si="1"/>
        <v>1029</v>
      </c>
    </row>
    <row r="6373" ht="22.5" customHeight="1">
      <c r="B6373" s="7"/>
      <c r="C6373" s="7"/>
      <c r="D6373" s="7"/>
      <c r="E6373" s="7"/>
      <c r="F6373" s="7"/>
      <c r="G6373" s="7"/>
      <c r="H6373" s="7">
        <f t="shared" si="1"/>
        <v>1029</v>
      </c>
    </row>
    <row r="6374" ht="22.5" customHeight="1">
      <c r="B6374" s="7"/>
      <c r="C6374" s="7"/>
      <c r="D6374" s="7"/>
      <c r="E6374" s="7"/>
      <c r="F6374" s="7"/>
      <c r="G6374" s="7"/>
      <c r="H6374" s="7">
        <f t="shared" si="1"/>
        <v>1029</v>
      </c>
    </row>
    <row r="6375" ht="22.5" customHeight="1">
      <c r="B6375" s="7"/>
      <c r="C6375" s="7"/>
      <c r="D6375" s="7"/>
      <c r="E6375" s="7"/>
      <c r="F6375" s="7"/>
      <c r="G6375" s="7"/>
      <c r="H6375" s="7">
        <f t="shared" si="1"/>
        <v>1029</v>
      </c>
    </row>
    <row r="6376" ht="22.5" customHeight="1">
      <c r="B6376" s="7"/>
      <c r="C6376" s="7"/>
      <c r="D6376" s="7"/>
      <c r="E6376" s="7"/>
      <c r="F6376" s="7"/>
      <c r="G6376" s="7"/>
      <c r="H6376" s="7">
        <f t="shared" si="1"/>
        <v>1029</v>
      </c>
    </row>
    <row r="6377" ht="22.5" customHeight="1">
      <c r="B6377" s="7"/>
      <c r="C6377" s="7"/>
      <c r="D6377" s="7"/>
      <c r="E6377" s="7"/>
      <c r="F6377" s="7"/>
      <c r="G6377" s="7"/>
      <c r="H6377" s="7">
        <f t="shared" si="1"/>
        <v>1029</v>
      </c>
    </row>
    <row r="6378" ht="22.5" customHeight="1">
      <c r="B6378" s="7"/>
      <c r="C6378" s="7"/>
      <c r="D6378" s="7"/>
      <c r="E6378" s="7"/>
      <c r="F6378" s="7"/>
      <c r="G6378" s="7"/>
      <c r="H6378" s="7">
        <f t="shared" si="1"/>
        <v>1029</v>
      </c>
    </row>
    <row r="6379" ht="22.5" customHeight="1">
      <c r="B6379" s="7"/>
      <c r="C6379" s="7"/>
      <c r="D6379" s="7"/>
      <c r="E6379" s="7"/>
      <c r="F6379" s="7"/>
      <c r="G6379" s="7"/>
      <c r="H6379" s="7">
        <f t="shared" si="1"/>
        <v>1029</v>
      </c>
    </row>
    <row r="6380" ht="22.5" customHeight="1">
      <c r="B6380" s="7"/>
      <c r="C6380" s="7"/>
      <c r="D6380" s="7"/>
      <c r="E6380" s="7"/>
      <c r="F6380" s="7"/>
      <c r="G6380" s="7"/>
      <c r="H6380" s="7">
        <f t="shared" si="1"/>
        <v>1029</v>
      </c>
    </row>
    <row r="6381" ht="22.5" customHeight="1">
      <c r="B6381" s="7"/>
      <c r="C6381" s="7"/>
      <c r="D6381" s="7"/>
      <c r="E6381" s="7"/>
      <c r="F6381" s="7"/>
      <c r="G6381" s="7"/>
      <c r="H6381" s="7">
        <f t="shared" si="1"/>
        <v>1029</v>
      </c>
    </row>
    <row r="6382" ht="22.5" customHeight="1">
      <c r="B6382" s="7"/>
      <c r="C6382" s="7"/>
      <c r="D6382" s="7"/>
      <c r="E6382" s="7"/>
      <c r="F6382" s="7"/>
      <c r="G6382" s="7"/>
      <c r="H6382" s="7">
        <f t="shared" si="1"/>
        <v>1029</v>
      </c>
    </row>
    <row r="6383" ht="22.5" customHeight="1">
      <c r="B6383" s="7"/>
      <c r="C6383" s="7"/>
      <c r="D6383" s="7"/>
      <c r="E6383" s="7"/>
      <c r="F6383" s="7"/>
      <c r="G6383" s="7"/>
      <c r="H6383" s="7">
        <f t="shared" si="1"/>
        <v>1029</v>
      </c>
    </row>
    <row r="6384" ht="22.5" customHeight="1">
      <c r="B6384" s="7"/>
      <c r="C6384" s="7"/>
      <c r="D6384" s="7"/>
      <c r="E6384" s="7"/>
      <c r="F6384" s="7"/>
      <c r="G6384" s="7"/>
      <c r="H6384" s="7">
        <f t="shared" si="1"/>
        <v>1029</v>
      </c>
    </row>
    <row r="6385" ht="22.5" customHeight="1">
      <c r="B6385" s="7"/>
      <c r="C6385" s="7"/>
      <c r="D6385" s="7"/>
      <c r="E6385" s="7"/>
      <c r="F6385" s="7"/>
      <c r="G6385" s="7"/>
      <c r="H6385" s="7">
        <f t="shared" si="1"/>
        <v>1029</v>
      </c>
    </row>
    <row r="6386" ht="22.5" customHeight="1">
      <c r="B6386" s="7"/>
      <c r="C6386" s="7"/>
      <c r="D6386" s="7"/>
      <c r="E6386" s="7"/>
      <c r="F6386" s="7"/>
      <c r="G6386" s="7"/>
      <c r="H6386" s="7">
        <f t="shared" si="1"/>
        <v>1029</v>
      </c>
    </row>
    <row r="6387" ht="22.5" customHeight="1">
      <c r="B6387" s="7"/>
      <c r="C6387" s="7"/>
      <c r="D6387" s="7"/>
      <c r="E6387" s="7"/>
      <c r="F6387" s="7"/>
      <c r="G6387" s="7"/>
      <c r="H6387" s="7">
        <f t="shared" si="1"/>
        <v>1029</v>
      </c>
    </row>
    <row r="6388" ht="22.5" customHeight="1">
      <c r="B6388" s="7"/>
      <c r="C6388" s="7"/>
      <c r="D6388" s="7"/>
      <c r="E6388" s="7"/>
      <c r="F6388" s="7"/>
      <c r="G6388" s="7"/>
      <c r="H6388" s="7">
        <f t="shared" si="1"/>
        <v>1029</v>
      </c>
    </row>
    <row r="6389" ht="22.5" customHeight="1">
      <c r="B6389" s="7"/>
      <c r="C6389" s="7"/>
      <c r="D6389" s="7"/>
      <c r="E6389" s="7"/>
      <c r="F6389" s="7"/>
      <c r="G6389" s="7"/>
      <c r="H6389" s="7">
        <f t="shared" si="1"/>
        <v>1029</v>
      </c>
    </row>
    <row r="6390" ht="22.5" customHeight="1">
      <c r="B6390" s="7"/>
      <c r="C6390" s="7"/>
      <c r="D6390" s="7"/>
      <c r="E6390" s="7"/>
      <c r="F6390" s="7"/>
      <c r="G6390" s="7"/>
      <c r="H6390" s="7">
        <f t="shared" si="1"/>
        <v>1029</v>
      </c>
    </row>
    <row r="6391" ht="22.5" customHeight="1">
      <c r="B6391" s="7"/>
      <c r="C6391" s="7"/>
      <c r="D6391" s="7"/>
      <c r="E6391" s="7"/>
      <c r="F6391" s="7"/>
      <c r="G6391" s="7"/>
      <c r="H6391" s="7">
        <f t="shared" si="1"/>
        <v>1029</v>
      </c>
    </row>
    <row r="6392" ht="22.5" customHeight="1">
      <c r="B6392" s="7"/>
      <c r="C6392" s="7"/>
      <c r="D6392" s="7"/>
      <c r="E6392" s="7"/>
      <c r="F6392" s="7"/>
      <c r="G6392" s="7"/>
      <c r="H6392" s="7">
        <f t="shared" si="1"/>
        <v>1029</v>
      </c>
    </row>
    <row r="6393" ht="22.5" customHeight="1">
      <c r="B6393" s="7"/>
      <c r="C6393" s="7"/>
      <c r="D6393" s="7"/>
      <c r="E6393" s="7"/>
      <c r="F6393" s="7"/>
      <c r="G6393" s="7"/>
      <c r="H6393" s="7">
        <f t="shared" si="1"/>
        <v>1029</v>
      </c>
    </row>
    <row r="6394" ht="22.5" customHeight="1">
      <c r="B6394" s="7"/>
      <c r="C6394" s="7"/>
      <c r="D6394" s="7"/>
      <c r="E6394" s="7"/>
      <c r="F6394" s="7"/>
      <c r="G6394" s="7"/>
      <c r="H6394" s="7">
        <f t="shared" si="1"/>
        <v>1029</v>
      </c>
    </row>
    <row r="6395" ht="22.5" customHeight="1">
      <c r="B6395" s="7"/>
      <c r="C6395" s="7"/>
      <c r="D6395" s="7"/>
      <c r="E6395" s="7"/>
      <c r="F6395" s="7"/>
      <c r="G6395" s="7"/>
      <c r="H6395" s="7">
        <f t="shared" si="1"/>
        <v>1029</v>
      </c>
    </row>
    <row r="6396" ht="22.5" customHeight="1">
      <c r="B6396" s="7"/>
      <c r="C6396" s="7"/>
      <c r="D6396" s="7"/>
      <c r="E6396" s="7"/>
      <c r="F6396" s="7"/>
      <c r="G6396" s="7"/>
      <c r="H6396" s="7">
        <f t="shared" si="1"/>
        <v>1029</v>
      </c>
    </row>
    <row r="6397" ht="22.5" customHeight="1">
      <c r="B6397" s="7"/>
      <c r="C6397" s="7"/>
      <c r="D6397" s="7"/>
      <c r="E6397" s="7"/>
      <c r="F6397" s="7"/>
      <c r="G6397" s="7"/>
      <c r="H6397" s="7">
        <f t="shared" si="1"/>
        <v>1029</v>
      </c>
    </row>
    <row r="6398" ht="22.5" customHeight="1">
      <c r="B6398" s="7"/>
      <c r="C6398" s="7"/>
      <c r="D6398" s="7"/>
      <c r="E6398" s="7"/>
      <c r="F6398" s="7"/>
      <c r="G6398" s="7"/>
      <c r="H6398" s="7">
        <f t="shared" si="1"/>
        <v>1029</v>
      </c>
    </row>
    <row r="6399" ht="22.5" customHeight="1">
      <c r="B6399" s="7"/>
      <c r="C6399" s="7"/>
      <c r="D6399" s="7"/>
      <c r="E6399" s="7"/>
      <c r="F6399" s="7"/>
      <c r="G6399" s="7"/>
      <c r="H6399" s="7">
        <f t="shared" si="1"/>
        <v>1029</v>
      </c>
    </row>
    <row r="6400" ht="22.5" customHeight="1">
      <c r="B6400" s="7"/>
      <c r="C6400" s="7"/>
      <c r="D6400" s="7"/>
      <c r="E6400" s="7"/>
      <c r="F6400" s="7"/>
      <c r="G6400" s="7"/>
      <c r="H6400" s="7">
        <f t="shared" si="1"/>
        <v>1029</v>
      </c>
    </row>
    <row r="6401" ht="22.5" customHeight="1">
      <c r="B6401" s="7"/>
      <c r="C6401" s="7"/>
      <c r="D6401" s="7"/>
      <c r="E6401" s="7"/>
      <c r="F6401" s="7"/>
      <c r="G6401" s="7"/>
      <c r="H6401" s="7">
        <f t="shared" si="1"/>
        <v>1029</v>
      </c>
    </row>
    <row r="6402" ht="22.5" customHeight="1">
      <c r="B6402" s="7"/>
      <c r="C6402" s="7"/>
      <c r="D6402" s="7"/>
      <c r="E6402" s="7"/>
      <c r="F6402" s="7"/>
      <c r="G6402" s="7"/>
      <c r="H6402" s="7">
        <f t="shared" si="1"/>
        <v>1029</v>
      </c>
    </row>
    <row r="6403" ht="22.5" customHeight="1">
      <c r="B6403" s="7"/>
      <c r="C6403" s="7"/>
      <c r="D6403" s="7"/>
      <c r="E6403" s="7"/>
      <c r="F6403" s="7"/>
      <c r="G6403" s="7"/>
      <c r="H6403" s="7">
        <f t="shared" si="1"/>
        <v>1029</v>
      </c>
    </row>
    <row r="6404" ht="22.5" customHeight="1">
      <c r="B6404" s="7"/>
      <c r="C6404" s="7"/>
      <c r="D6404" s="7"/>
      <c r="E6404" s="7"/>
      <c r="F6404" s="7"/>
      <c r="G6404" s="7"/>
      <c r="H6404" s="7">
        <f t="shared" si="1"/>
        <v>1029</v>
      </c>
    </row>
    <row r="6405" ht="22.5" customHeight="1">
      <c r="B6405" s="7"/>
      <c r="C6405" s="7"/>
      <c r="D6405" s="7"/>
      <c r="E6405" s="7"/>
      <c r="F6405" s="7"/>
      <c r="G6405" s="7"/>
      <c r="H6405" s="7">
        <f t="shared" si="1"/>
        <v>1029</v>
      </c>
    </row>
    <row r="6406" ht="22.5" customHeight="1">
      <c r="B6406" s="7"/>
      <c r="C6406" s="7"/>
      <c r="D6406" s="7"/>
      <c r="E6406" s="7"/>
      <c r="F6406" s="7"/>
      <c r="G6406" s="7"/>
      <c r="H6406" s="7">
        <f t="shared" si="1"/>
        <v>1029</v>
      </c>
    </row>
    <row r="6407" ht="22.5" customHeight="1">
      <c r="B6407" s="7"/>
      <c r="C6407" s="7"/>
      <c r="D6407" s="7"/>
      <c r="E6407" s="7"/>
      <c r="F6407" s="7"/>
      <c r="G6407" s="7"/>
      <c r="H6407" s="7">
        <f t="shared" si="1"/>
        <v>1029</v>
      </c>
    </row>
    <row r="6408" ht="22.5" customHeight="1">
      <c r="B6408" s="7"/>
      <c r="C6408" s="7"/>
      <c r="D6408" s="7"/>
      <c r="E6408" s="7"/>
      <c r="F6408" s="7"/>
      <c r="G6408" s="7"/>
      <c r="H6408" s="7">
        <f t="shared" si="1"/>
        <v>1029</v>
      </c>
    </row>
    <row r="6409" ht="22.5" customHeight="1">
      <c r="B6409" s="7"/>
      <c r="C6409" s="7"/>
      <c r="D6409" s="7"/>
      <c r="E6409" s="7"/>
      <c r="F6409" s="7"/>
      <c r="G6409" s="7"/>
      <c r="H6409" s="7">
        <f t="shared" si="1"/>
        <v>1029</v>
      </c>
    </row>
    <row r="6410" ht="22.5" customHeight="1">
      <c r="B6410" s="7"/>
      <c r="C6410" s="7"/>
      <c r="D6410" s="7"/>
      <c r="E6410" s="7"/>
      <c r="F6410" s="7"/>
      <c r="G6410" s="7"/>
      <c r="H6410" s="7">
        <f t="shared" si="1"/>
        <v>1029</v>
      </c>
    </row>
    <row r="6411" ht="22.5" customHeight="1">
      <c r="B6411" s="7"/>
      <c r="C6411" s="7"/>
      <c r="D6411" s="7"/>
      <c r="E6411" s="7"/>
      <c r="F6411" s="7"/>
      <c r="G6411" s="7"/>
      <c r="H6411" s="7">
        <f t="shared" si="1"/>
        <v>1029</v>
      </c>
    </row>
    <row r="6412" ht="22.5" customHeight="1">
      <c r="B6412" s="7"/>
      <c r="C6412" s="7"/>
      <c r="D6412" s="7"/>
      <c r="E6412" s="7"/>
      <c r="F6412" s="7"/>
      <c r="G6412" s="7"/>
      <c r="H6412" s="7">
        <f t="shared" si="1"/>
        <v>1029</v>
      </c>
    </row>
    <row r="6413" ht="22.5" customHeight="1">
      <c r="B6413" s="7"/>
      <c r="C6413" s="7"/>
      <c r="D6413" s="7"/>
      <c r="E6413" s="7"/>
      <c r="F6413" s="7"/>
      <c r="G6413" s="7"/>
      <c r="H6413" s="7">
        <f t="shared" si="1"/>
        <v>1029</v>
      </c>
    </row>
    <row r="6414" ht="22.5" customHeight="1">
      <c r="B6414" s="7"/>
      <c r="C6414" s="7"/>
      <c r="D6414" s="7"/>
      <c r="E6414" s="7"/>
      <c r="F6414" s="7"/>
      <c r="G6414" s="7"/>
      <c r="H6414" s="7">
        <f t="shared" si="1"/>
        <v>1029</v>
      </c>
    </row>
    <row r="6415" ht="22.5" customHeight="1">
      <c r="B6415" s="7"/>
      <c r="C6415" s="7"/>
      <c r="D6415" s="7"/>
      <c r="E6415" s="7"/>
      <c r="F6415" s="7"/>
      <c r="G6415" s="7"/>
      <c r="H6415" s="7">
        <f t="shared" si="1"/>
        <v>1029</v>
      </c>
    </row>
    <row r="6416" ht="22.5" customHeight="1">
      <c r="B6416" s="7"/>
      <c r="C6416" s="7"/>
      <c r="D6416" s="7"/>
      <c r="E6416" s="7"/>
      <c r="F6416" s="7"/>
      <c r="G6416" s="7"/>
      <c r="H6416" s="7">
        <f t="shared" si="1"/>
        <v>1029</v>
      </c>
    </row>
    <row r="6417" ht="22.5" customHeight="1">
      <c r="B6417" s="7"/>
      <c r="C6417" s="7"/>
      <c r="D6417" s="7"/>
      <c r="E6417" s="7"/>
      <c r="F6417" s="7"/>
      <c r="G6417" s="7"/>
      <c r="H6417" s="7">
        <f t="shared" si="1"/>
        <v>1029</v>
      </c>
    </row>
    <row r="6418" ht="22.5" customHeight="1">
      <c r="B6418" s="7"/>
      <c r="C6418" s="7"/>
      <c r="D6418" s="7"/>
      <c r="E6418" s="7"/>
      <c r="F6418" s="7"/>
      <c r="G6418" s="7"/>
      <c r="H6418" s="7">
        <f t="shared" si="1"/>
        <v>1029</v>
      </c>
    </row>
    <row r="6419" ht="22.5" customHeight="1">
      <c r="B6419" s="7"/>
      <c r="C6419" s="7"/>
      <c r="D6419" s="7"/>
      <c r="E6419" s="7"/>
      <c r="F6419" s="7"/>
      <c r="G6419" s="7"/>
      <c r="H6419" s="7">
        <f t="shared" si="1"/>
        <v>1029</v>
      </c>
    </row>
    <row r="6420" ht="22.5" customHeight="1">
      <c r="B6420" s="7"/>
      <c r="C6420" s="7"/>
      <c r="D6420" s="7"/>
      <c r="E6420" s="7"/>
      <c r="F6420" s="7"/>
      <c r="G6420" s="7"/>
      <c r="H6420" s="7">
        <f t="shared" si="1"/>
        <v>1029</v>
      </c>
    </row>
    <row r="6421" ht="22.5" customHeight="1">
      <c r="B6421" s="7"/>
      <c r="C6421" s="7"/>
      <c r="D6421" s="7"/>
      <c r="E6421" s="7"/>
      <c r="F6421" s="7"/>
      <c r="G6421" s="7"/>
      <c r="H6421" s="7">
        <f t="shared" si="1"/>
        <v>1029</v>
      </c>
    </row>
    <row r="6422" ht="22.5" customHeight="1">
      <c r="B6422" s="7"/>
      <c r="C6422" s="7"/>
      <c r="D6422" s="7"/>
      <c r="E6422" s="7"/>
      <c r="F6422" s="7"/>
      <c r="G6422" s="7"/>
      <c r="H6422" s="7">
        <f t="shared" si="1"/>
        <v>1029</v>
      </c>
    </row>
    <row r="6423" ht="22.5" customHeight="1">
      <c r="B6423" s="7"/>
      <c r="C6423" s="7"/>
      <c r="D6423" s="7"/>
      <c r="E6423" s="7"/>
      <c r="F6423" s="7"/>
      <c r="G6423" s="7"/>
      <c r="H6423" s="7">
        <f t="shared" si="1"/>
        <v>1029</v>
      </c>
    </row>
    <row r="6424" ht="22.5" customHeight="1">
      <c r="B6424" s="7"/>
      <c r="C6424" s="7"/>
      <c r="D6424" s="7"/>
      <c r="E6424" s="7"/>
      <c r="F6424" s="7"/>
      <c r="G6424" s="7"/>
      <c r="H6424" s="7">
        <f t="shared" si="1"/>
        <v>1029</v>
      </c>
    </row>
    <row r="6425" ht="22.5" customHeight="1">
      <c r="B6425" s="7"/>
      <c r="C6425" s="7"/>
      <c r="D6425" s="7"/>
      <c r="E6425" s="7"/>
      <c r="F6425" s="7"/>
      <c r="G6425" s="7"/>
      <c r="H6425" s="7">
        <f t="shared" si="1"/>
        <v>1029</v>
      </c>
    </row>
    <row r="6426" ht="22.5" customHeight="1">
      <c r="B6426" s="7"/>
      <c r="C6426" s="7"/>
      <c r="D6426" s="7"/>
      <c r="E6426" s="7"/>
      <c r="F6426" s="7"/>
      <c r="G6426" s="7"/>
      <c r="H6426" s="7">
        <f t="shared" si="1"/>
        <v>1029</v>
      </c>
    </row>
    <row r="6427" ht="22.5" customHeight="1">
      <c r="B6427" s="7"/>
      <c r="C6427" s="7"/>
      <c r="D6427" s="7"/>
      <c r="E6427" s="7"/>
      <c r="F6427" s="7"/>
      <c r="G6427" s="7"/>
      <c r="H6427" s="7">
        <f t="shared" si="1"/>
        <v>1029</v>
      </c>
    </row>
    <row r="6428" ht="22.5" customHeight="1">
      <c r="B6428" s="7"/>
      <c r="C6428" s="7"/>
      <c r="D6428" s="7"/>
      <c r="E6428" s="7"/>
      <c r="F6428" s="7"/>
      <c r="G6428" s="7"/>
      <c r="H6428" s="7">
        <f t="shared" si="1"/>
        <v>1029</v>
      </c>
    </row>
    <row r="6429" ht="22.5" customHeight="1">
      <c r="B6429" s="7"/>
      <c r="C6429" s="7"/>
      <c r="D6429" s="7"/>
      <c r="E6429" s="7"/>
      <c r="F6429" s="7"/>
      <c r="G6429" s="7"/>
      <c r="H6429" s="7">
        <f t="shared" si="1"/>
        <v>1029</v>
      </c>
    </row>
    <row r="6430" ht="22.5" customHeight="1">
      <c r="B6430" s="7"/>
      <c r="C6430" s="7"/>
      <c r="D6430" s="7"/>
      <c r="E6430" s="7"/>
      <c r="F6430" s="7"/>
      <c r="G6430" s="7"/>
      <c r="H6430" s="7">
        <f t="shared" si="1"/>
        <v>1029</v>
      </c>
    </row>
    <row r="6431" ht="22.5" customHeight="1">
      <c r="B6431" s="7"/>
      <c r="C6431" s="7"/>
      <c r="D6431" s="7"/>
      <c r="E6431" s="7"/>
      <c r="F6431" s="7"/>
      <c r="G6431" s="7"/>
      <c r="H6431" s="7">
        <f t="shared" si="1"/>
        <v>1029</v>
      </c>
    </row>
    <row r="6432" ht="22.5" customHeight="1">
      <c r="B6432" s="7"/>
      <c r="C6432" s="7"/>
      <c r="D6432" s="7"/>
      <c r="E6432" s="7"/>
      <c r="F6432" s="7"/>
      <c r="G6432" s="7"/>
      <c r="H6432" s="7">
        <f t="shared" si="1"/>
        <v>1029</v>
      </c>
    </row>
    <row r="6433" ht="22.5" customHeight="1">
      <c r="B6433" s="7"/>
      <c r="C6433" s="7"/>
      <c r="D6433" s="7"/>
      <c r="E6433" s="7"/>
      <c r="F6433" s="7"/>
      <c r="G6433" s="7"/>
      <c r="H6433" s="7">
        <f t="shared" si="1"/>
        <v>1029</v>
      </c>
    </row>
    <row r="6434" ht="22.5" customHeight="1">
      <c r="B6434" s="7"/>
      <c r="C6434" s="7"/>
      <c r="D6434" s="7"/>
      <c r="E6434" s="7"/>
      <c r="F6434" s="7"/>
      <c r="G6434" s="7"/>
      <c r="H6434" s="7">
        <f t="shared" si="1"/>
        <v>1029</v>
      </c>
    </row>
    <row r="6435" ht="22.5" customHeight="1">
      <c r="B6435" s="7"/>
      <c r="C6435" s="7"/>
      <c r="D6435" s="7"/>
      <c r="E6435" s="7"/>
      <c r="F6435" s="7"/>
      <c r="G6435" s="7"/>
      <c r="H6435" s="7">
        <f t="shared" si="1"/>
        <v>1029</v>
      </c>
    </row>
    <row r="6436" ht="22.5" customHeight="1">
      <c r="B6436" s="7"/>
      <c r="C6436" s="7"/>
      <c r="D6436" s="7"/>
      <c r="E6436" s="7"/>
      <c r="F6436" s="7"/>
      <c r="G6436" s="7"/>
      <c r="H6436" s="7">
        <f t="shared" si="1"/>
        <v>1029</v>
      </c>
    </row>
    <row r="6437" ht="22.5" customHeight="1">
      <c r="B6437" s="7"/>
      <c r="C6437" s="7"/>
      <c r="D6437" s="7"/>
      <c r="E6437" s="7"/>
      <c r="F6437" s="7"/>
      <c r="G6437" s="7"/>
      <c r="H6437" s="7">
        <f t="shared" si="1"/>
        <v>1029</v>
      </c>
    </row>
    <row r="6438" ht="22.5" customHeight="1">
      <c r="B6438" s="7"/>
      <c r="C6438" s="7"/>
      <c r="D6438" s="7"/>
      <c r="E6438" s="7"/>
      <c r="F6438" s="7"/>
      <c r="G6438" s="7"/>
      <c r="H6438" s="7">
        <f t="shared" si="1"/>
        <v>1029</v>
      </c>
    </row>
    <row r="6439" ht="22.5" customHeight="1">
      <c r="B6439" s="7"/>
      <c r="C6439" s="7"/>
      <c r="D6439" s="7"/>
      <c r="E6439" s="7"/>
      <c r="F6439" s="7"/>
      <c r="G6439" s="7"/>
      <c r="H6439" s="7">
        <f t="shared" si="1"/>
        <v>1029</v>
      </c>
    </row>
    <row r="6440" ht="22.5" customHeight="1">
      <c r="B6440" s="7"/>
      <c r="C6440" s="7"/>
      <c r="D6440" s="7"/>
      <c r="E6440" s="7"/>
      <c r="F6440" s="7"/>
      <c r="G6440" s="7"/>
      <c r="H6440" s="7">
        <f t="shared" si="1"/>
        <v>1029</v>
      </c>
    </row>
    <row r="6441" ht="22.5" customHeight="1">
      <c r="B6441" s="7"/>
      <c r="C6441" s="7"/>
      <c r="D6441" s="7"/>
      <c r="E6441" s="7"/>
      <c r="F6441" s="7"/>
      <c r="G6441" s="7"/>
      <c r="H6441" s="7">
        <f t="shared" si="1"/>
        <v>1029</v>
      </c>
    </row>
    <row r="6442" ht="22.5" customHeight="1">
      <c r="B6442" s="7"/>
      <c r="C6442" s="7"/>
      <c r="D6442" s="7"/>
      <c r="E6442" s="7"/>
      <c r="F6442" s="7"/>
      <c r="G6442" s="7"/>
      <c r="H6442" s="7">
        <f t="shared" si="1"/>
        <v>1029</v>
      </c>
    </row>
    <row r="6443" ht="22.5" customHeight="1">
      <c r="B6443" s="7"/>
      <c r="C6443" s="7"/>
      <c r="D6443" s="7"/>
      <c r="E6443" s="7"/>
      <c r="F6443" s="7"/>
      <c r="G6443" s="7"/>
      <c r="H6443" s="7">
        <f t="shared" si="1"/>
        <v>1029</v>
      </c>
    </row>
    <row r="6444" ht="22.5" customHeight="1">
      <c r="B6444" s="7"/>
      <c r="C6444" s="7"/>
      <c r="D6444" s="7"/>
      <c r="E6444" s="7"/>
      <c r="F6444" s="7"/>
      <c r="G6444" s="7"/>
      <c r="H6444" s="7">
        <f t="shared" si="1"/>
        <v>1029</v>
      </c>
    </row>
    <row r="6445" ht="22.5" customHeight="1">
      <c r="B6445" s="7"/>
      <c r="C6445" s="7"/>
      <c r="D6445" s="7"/>
      <c r="E6445" s="7"/>
      <c r="F6445" s="7"/>
      <c r="G6445" s="7"/>
      <c r="H6445" s="7">
        <f t="shared" si="1"/>
        <v>1029</v>
      </c>
    </row>
    <row r="6446" ht="22.5" customHeight="1">
      <c r="B6446" s="7"/>
      <c r="C6446" s="7"/>
      <c r="D6446" s="7"/>
      <c r="E6446" s="7"/>
      <c r="F6446" s="7"/>
      <c r="G6446" s="7"/>
      <c r="H6446" s="7">
        <f t="shared" si="1"/>
        <v>1029</v>
      </c>
    </row>
    <row r="6447" ht="22.5" customHeight="1">
      <c r="B6447" s="7"/>
      <c r="C6447" s="7"/>
      <c r="D6447" s="7"/>
      <c r="E6447" s="7"/>
      <c r="F6447" s="7"/>
      <c r="G6447" s="7"/>
      <c r="H6447" s="7">
        <f t="shared" si="1"/>
        <v>1029</v>
      </c>
    </row>
    <row r="6448" ht="22.5" customHeight="1">
      <c r="B6448" s="7"/>
      <c r="C6448" s="7"/>
      <c r="D6448" s="7"/>
      <c r="E6448" s="7"/>
      <c r="F6448" s="7"/>
      <c r="G6448" s="7"/>
      <c r="H6448" s="7">
        <f t="shared" si="1"/>
        <v>1029</v>
      </c>
    </row>
    <row r="6449" ht="22.5" customHeight="1">
      <c r="B6449" s="7"/>
      <c r="C6449" s="7"/>
      <c r="D6449" s="7"/>
      <c r="E6449" s="7"/>
      <c r="F6449" s="7"/>
      <c r="G6449" s="7"/>
      <c r="H6449" s="7">
        <f t="shared" si="1"/>
        <v>1029</v>
      </c>
    </row>
    <row r="6450" ht="22.5" customHeight="1">
      <c r="B6450" s="7"/>
      <c r="C6450" s="7"/>
      <c r="D6450" s="7"/>
      <c r="E6450" s="7"/>
      <c r="F6450" s="7"/>
      <c r="G6450" s="7"/>
      <c r="H6450" s="7">
        <f t="shared" si="1"/>
        <v>1029</v>
      </c>
    </row>
    <row r="6451" ht="22.5" customHeight="1">
      <c r="B6451" s="7"/>
      <c r="C6451" s="7"/>
      <c r="D6451" s="7"/>
      <c r="E6451" s="7"/>
      <c r="F6451" s="7"/>
      <c r="G6451" s="7"/>
      <c r="H6451" s="7">
        <f t="shared" si="1"/>
        <v>1029</v>
      </c>
    </row>
    <row r="6452" ht="22.5" customHeight="1">
      <c r="B6452" s="7"/>
      <c r="C6452" s="7"/>
      <c r="D6452" s="7"/>
      <c r="E6452" s="7"/>
      <c r="F6452" s="7"/>
      <c r="G6452" s="7"/>
      <c r="H6452" s="7">
        <f t="shared" si="1"/>
        <v>1029</v>
      </c>
    </row>
    <row r="6453" ht="22.5" customHeight="1">
      <c r="B6453" s="7"/>
      <c r="C6453" s="7"/>
      <c r="D6453" s="7"/>
      <c r="E6453" s="7"/>
      <c r="F6453" s="7"/>
      <c r="G6453" s="7"/>
      <c r="H6453" s="7">
        <f t="shared" si="1"/>
        <v>1029</v>
      </c>
    </row>
    <row r="6454" ht="22.5" customHeight="1">
      <c r="B6454" s="7"/>
      <c r="C6454" s="7"/>
      <c r="D6454" s="7"/>
      <c r="E6454" s="7"/>
      <c r="F6454" s="7"/>
      <c r="G6454" s="7"/>
      <c r="H6454" s="7">
        <f t="shared" si="1"/>
        <v>1029</v>
      </c>
    </row>
    <row r="6455" ht="22.5" customHeight="1">
      <c r="B6455" s="7"/>
      <c r="C6455" s="7"/>
      <c r="D6455" s="7"/>
      <c r="E6455" s="7"/>
      <c r="F6455" s="7"/>
      <c r="G6455" s="7"/>
      <c r="H6455" s="7">
        <f t="shared" si="1"/>
        <v>1029</v>
      </c>
    </row>
    <row r="6456" ht="22.5" customHeight="1">
      <c r="B6456" s="7"/>
      <c r="C6456" s="7"/>
      <c r="D6456" s="7"/>
      <c r="E6456" s="7"/>
      <c r="F6456" s="7"/>
      <c r="G6456" s="7"/>
      <c r="H6456" s="7">
        <f t="shared" si="1"/>
        <v>1029</v>
      </c>
    </row>
    <row r="6457" ht="22.5" customHeight="1">
      <c r="B6457" s="7"/>
      <c r="C6457" s="7"/>
      <c r="D6457" s="7"/>
      <c r="E6457" s="7"/>
      <c r="F6457" s="7"/>
      <c r="G6457" s="7"/>
      <c r="H6457" s="7">
        <f t="shared" si="1"/>
        <v>1029</v>
      </c>
    </row>
    <row r="6458" ht="22.5" customHeight="1">
      <c r="B6458" s="7"/>
      <c r="C6458" s="7"/>
      <c r="D6458" s="7"/>
      <c r="E6458" s="7"/>
      <c r="F6458" s="7"/>
      <c r="G6458" s="7"/>
      <c r="H6458" s="7">
        <f t="shared" si="1"/>
        <v>1029</v>
      </c>
    </row>
    <row r="6459" ht="22.5" customHeight="1">
      <c r="B6459" s="7"/>
      <c r="C6459" s="7"/>
      <c r="D6459" s="7"/>
      <c r="E6459" s="7"/>
      <c r="F6459" s="7"/>
      <c r="G6459" s="7"/>
      <c r="H6459" s="7">
        <f t="shared" si="1"/>
        <v>1029</v>
      </c>
    </row>
    <row r="6460" ht="22.5" customHeight="1">
      <c r="B6460" s="7"/>
      <c r="C6460" s="7"/>
      <c r="D6460" s="7"/>
      <c r="E6460" s="7"/>
      <c r="F6460" s="7"/>
      <c r="G6460" s="7"/>
      <c r="H6460" s="7">
        <f t="shared" si="1"/>
        <v>1029</v>
      </c>
    </row>
    <row r="6461" ht="22.5" customHeight="1">
      <c r="B6461" s="7"/>
      <c r="C6461" s="7"/>
      <c r="D6461" s="7"/>
      <c r="E6461" s="7"/>
      <c r="F6461" s="7"/>
      <c r="G6461" s="7"/>
      <c r="H6461" s="7">
        <f t="shared" si="1"/>
        <v>1029</v>
      </c>
    </row>
    <row r="6462" ht="22.5" customHeight="1">
      <c r="B6462" s="7"/>
      <c r="C6462" s="7"/>
      <c r="D6462" s="7"/>
      <c r="E6462" s="7"/>
      <c r="F6462" s="7"/>
      <c r="G6462" s="7"/>
      <c r="H6462" s="7">
        <f t="shared" si="1"/>
        <v>1029</v>
      </c>
    </row>
    <row r="6463" ht="22.5" customHeight="1">
      <c r="B6463" s="7"/>
      <c r="C6463" s="7"/>
      <c r="D6463" s="7"/>
      <c r="E6463" s="7"/>
      <c r="F6463" s="7"/>
      <c r="G6463" s="7"/>
      <c r="H6463" s="7">
        <f t="shared" si="1"/>
        <v>1029</v>
      </c>
    </row>
    <row r="6464" ht="22.5" customHeight="1">
      <c r="B6464" s="7"/>
      <c r="C6464" s="7"/>
      <c r="D6464" s="7"/>
      <c r="E6464" s="7"/>
      <c r="F6464" s="7"/>
      <c r="G6464" s="7"/>
      <c r="H6464" s="7">
        <f t="shared" si="1"/>
        <v>1029</v>
      </c>
    </row>
    <row r="6465" ht="22.5" customHeight="1">
      <c r="B6465" s="7"/>
      <c r="C6465" s="7"/>
      <c r="D6465" s="7"/>
      <c r="E6465" s="7"/>
      <c r="F6465" s="7"/>
      <c r="G6465" s="7"/>
      <c r="H6465" s="7">
        <f t="shared" si="1"/>
        <v>1029</v>
      </c>
    </row>
    <row r="6466" ht="22.5" customHeight="1">
      <c r="B6466" s="7"/>
      <c r="C6466" s="7"/>
      <c r="D6466" s="7"/>
      <c r="E6466" s="7"/>
      <c r="F6466" s="7"/>
      <c r="G6466" s="7"/>
      <c r="H6466" s="7">
        <f t="shared" si="1"/>
        <v>1029</v>
      </c>
    </row>
    <row r="6467" ht="22.5" customHeight="1">
      <c r="B6467" s="7"/>
      <c r="C6467" s="7"/>
      <c r="D6467" s="7"/>
      <c r="E6467" s="7"/>
      <c r="F6467" s="7"/>
      <c r="G6467" s="7"/>
      <c r="H6467" s="7">
        <f t="shared" si="1"/>
        <v>1029</v>
      </c>
    </row>
    <row r="6468" ht="22.5" customHeight="1">
      <c r="B6468" s="7"/>
      <c r="C6468" s="7"/>
      <c r="D6468" s="7"/>
      <c r="E6468" s="7"/>
      <c r="F6468" s="7"/>
      <c r="G6468" s="7"/>
      <c r="H6468" s="7">
        <f t="shared" si="1"/>
        <v>1029</v>
      </c>
    </row>
    <row r="6469" ht="22.5" customHeight="1">
      <c r="B6469" s="7"/>
      <c r="C6469" s="7"/>
      <c r="D6469" s="7"/>
      <c r="E6469" s="7"/>
      <c r="F6469" s="7"/>
      <c r="G6469" s="7"/>
      <c r="H6469" s="7">
        <f t="shared" si="1"/>
        <v>1029</v>
      </c>
    </row>
    <row r="6470" ht="22.5" customHeight="1">
      <c r="B6470" s="7"/>
      <c r="C6470" s="7"/>
      <c r="D6470" s="7"/>
      <c r="E6470" s="7"/>
      <c r="F6470" s="7"/>
      <c r="G6470" s="7"/>
      <c r="H6470" s="7">
        <f t="shared" si="1"/>
        <v>1029</v>
      </c>
    </row>
    <row r="6471" ht="22.5" customHeight="1">
      <c r="B6471" s="7"/>
      <c r="C6471" s="7"/>
      <c r="D6471" s="7"/>
      <c r="E6471" s="7"/>
      <c r="F6471" s="7"/>
      <c r="G6471" s="7"/>
      <c r="H6471" s="7">
        <f t="shared" si="1"/>
        <v>1029</v>
      </c>
    </row>
    <row r="6472" ht="22.5" customHeight="1">
      <c r="B6472" s="7"/>
      <c r="C6472" s="7"/>
      <c r="D6472" s="7"/>
      <c r="E6472" s="7"/>
      <c r="F6472" s="7"/>
      <c r="G6472" s="7"/>
      <c r="H6472" s="7">
        <f t="shared" si="1"/>
        <v>1029</v>
      </c>
    </row>
    <row r="6473" ht="22.5" customHeight="1">
      <c r="B6473" s="7"/>
      <c r="C6473" s="7"/>
      <c r="D6473" s="7"/>
      <c r="E6473" s="7"/>
      <c r="F6473" s="7"/>
      <c r="G6473" s="7"/>
      <c r="H6473" s="7">
        <f t="shared" si="1"/>
        <v>1029</v>
      </c>
    </row>
    <row r="6474" ht="22.5" customHeight="1">
      <c r="B6474" s="7"/>
      <c r="C6474" s="7"/>
      <c r="D6474" s="7"/>
      <c r="E6474" s="7"/>
      <c r="F6474" s="7"/>
      <c r="G6474" s="7"/>
      <c r="H6474" s="7">
        <f t="shared" si="1"/>
        <v>1029</v>
      </c>
    </row>
    <row r="6475" ht="22.5" customHeight="1">
      <c r="B6475" s="7"/>
      <c r="C6475" s="7"/>
      <c r="D6475" s="7"/>
      <c r="E6475" s="7"/>
      <c r="F6475" s="7"/>
      <c r="G6475" s="7"/>
      <c r="H6475" s="7">
        <f t="shared" si="1"/>
        <v>1029</v>
      </c>
    </row>
    <row r="6476" ht="22.5" customHeight="1">
      <c r="B6476" s="7"/>
      <c r="C6476" s="7"/>
      <c r="D6476" s="7"/>
      <c r="E6476" s="7"/>
      <c r="F6476" s="7"/>
      <c r="G6476" s="7"/>
      <c r="H6476" s="7">
        <f t="shared" si="1"/>
        <v>1029</v>
      </c>
    </row>
    <row r="6477" ht="22.5" customHeight="1">
      <c r="B6477" s="7"/>
      <c r="C6477" s="7"/>
      <c r="D6477" s="7"/>
      <c r="E6477" s="7"/>
      <c r="F6477" s="7"/>
      <c r="G6477" s="7"/>
      <c r="H6477" s="7">
        <f t="shared" si="1"/>
        <v>1029</v>
      </c>
    </row>
    <row r="6478" ht="22.5" customHeight="1">
      <c r="B6478" s="7"/>
      <c r="C6478" s="7"/>
      <c r="D6478" s="7"/>
      <c r="E6478" s="7"/>
      <c r="F6478" s="7"/>
      <c r="G6478" s="7"/>
      <c r="H6478" s="7">
        <f t="shared" si="1"/>
        <v>1029</v>
      </c>
    </row>
    <row r="6479" ht="22.5" customHeight="1">
      <c r="B6479" s="7"/>
      <c r="C6479" s="7"/>
      <c r="D6479" s="7"/>
      <c r="E6479" s="7"/>
      <c r="F6479" s="7"/>
      <c r="G6479" s="7"/>
      <c r="H6479" s="7">
        <f t="shared" si="1"/>
        <v>1029</v>
      </c>
    </row>
    <row r="6480" ht="22.5" customHeight="1">
      <c r="B6480" s="7"/>
      <c r="C6480" s="7"/>
      <c r="D6480" s="7"/>
      <c r="E6480" s="7"/>
      <c r="F6480" s="7"/>
      <c r="G6480" s="7"/>
      <c r="H6480" s="7">
        <f t="shared" si="1"/>
        <v>1029</v>
      </c>
    </row>
    <row r="6481" ht="22.5" customHeight="1">
      <c r="B6481" s="7"/>
      <c r="C6481" s="7"/>
      <c r="D6481" s="7"/>
      <c r="E6481" s="7"/>
      <c r="F6481" s="7"/>
      <c r="G6481" s="7"/>
      <c r="H6481" s="7">
        <f t="shared" si="1"/>
        <v>1029</v>
      </c>
    </row>
    <row r="6482" ht="22.5" customHeight="1">
      <c r="B6482" s="7"/>
      <c r="C6482" s="7"/>
      <c r="D6482" s="7"/>
      <c r="E6482" s="7"/>
      <c r="F6482" s="7"/>
      <c r="G6482" s="7"/>
      <c r="H6482" s="7">
        <f t="shared" si="1"/>
        <v>1029</v>
      </c>
    </row>
    <row r="6483" ht="22.5" customHeight="1">
      <c r="B6483" s="7"/>
      <c r="C6483" s="7"/>
      <c r="D6483" s="7"/>
      <c r="E6483" s="7"/>
      <c r="F6483" s="7"/>
      <c r="G6483" s="7"/>
      <c r="H6483" s="7">
        <f t="shared" si="1"/>
        <v>1029</v>
      </c>
    </row>
    <row r="6484" ht="22.5" customHeight="1">
      <c r="B6484" s="7"/>
      <c r="C6484" s="7"/>
      <c r="D6484" s="7"/>
      <c r="E6484" s="7"/>
      <c r="F6484" s="7"/>
      <c r="G6484" s="7"/>
      <c r="H6484" s="7">
        <f t="shared" si="1"/>
        <v>1029</v>
      </c>
    </row>
    <row r="6485" ht="22.5" customHeight="1">
      <c r="B6485" s="7"/>
      <c r="C6485" s="7"/>
      <c r="D6485" s="7"/>
      <c r="E6485" s="7"/>
      <c r="F6485" s="7"/>
      <c r="G6485" s="7"/>
      <c r="H6485" s="7">
        <f t="shared" si="1"/>
        <v>1029</v>
      </c>
    </row>
    <row r="6486" ht="22.5" customHeight="1">
      <c r="B6486" s="7"/>
      <c r="C6486" s="7"/>
      <c r="D6486" s="7"/>
      <c r="E6486" s="7"/>
      <c r="F6486" s="7"/>
      <c r="G6486" s="7"/>
      <c r="H6486" s="7">
        <f t="shared" si="1"/>
        <v>1029</v>
      </c>
    </row>
    <row r="6487" ht="22.5" customHeight="1">
      <c r="B6487" s="7"/>
      <c r="C6487" s="7"/>
      <c r="D6487" s="7"/>
      <c r="E6487" s="7"/>
      <c r="F6487" s="7"/>
      <c r="G6487" s="7"/>
      <c r="H6487" s="7">
        <f t="shared" si="1"/>
        <v>1029</v>
      </c>
    </row>
    <row r="6488" ht="22.5" customHeight="1">
      <c r="B6488" s="7"/>
      <c r="C6488" s="7"/>
      <c r="D6488" s="7"/>
      <c r="E6488" s="7"/>
      <c r="F6488" s="7"/>
      <c r="G6488" s="7"/>
      <c r="H6488" s="7">
        <f t="shared" si="1"/>
        <v>1029</v>
      </c>
    </row>
    <row r="6489" ht="22.5" customHeight="1">
      <c r="B6489" s="7"/>
      <c r="C6489" s="7"/>
      <c r="D6489" s="7"/>
      <c r="E6489" s="7"/>
      <c r="F6489" s="7"/>
      <c r="G6489" s="7"/>
      <c r="H6489" s="7">
        <f t="shared" si="1"/>
        <v>1029</v>
      </c>
    </row>
    <row r="6490" ht="22.5" customHeight="1">
      <c r="B6490" s="7"/>
      <c r="C6490" s="7"/>
      <c r="D6490" s="7"/>
      <c r="E6490" s="7"/>
      <c r="F6490" s="7"/>
      <c r="G6490" s="7"/>
      <c r="H6490" s="7">
        <f t="shared" si="1"/>
        <v>1029</v>
      </c>
    </row>
    <row r="6491" ht="22.5" customHeight="1">
      <c r="B6491" s="7"/>
      <c r="C6491" s="7"/>
      <c r="D6491" s="7"/>
      <c r="E6491" s="7"/>
      <c r="F6491" s="7"/>
      <c r="G6491" s="7"/>
      <c r="H6491" s="7">
        <f t="shared" si="1"/>
        <v>1029</v>
      </c>
    </row>
    <row r="6492" ht="22.5" customHeight="1">
      <c r="B6492" s="7"/>
      <c r="C6492" s="7"/>
      <c r="D6492" s="7"/>
      <c r="E6492" s="7"/>
      <c r="F6492" s="7"/>
      <c r="G6492" s="7"/>
      <c r="H6492" s="7">
        <f t="shared" si="1"/>
        <v>1029</v>
      </c>
    </row>
    <row r="6493" ht="22.5" customHeight="1">
      <c r="B6493" s="7"/>
      <c r="C6493" s="7"/>
      <c r="D6493" s="7"/>
      <c r="E6493" s="7"/>
      <c r="F6493" s="7"/>
      <c r="G6493" s="7"/>
      <c r="H6493" s="7">
        <f t="shared" si="1"/>
        <v>1029</v>
      </c>
    </row>
    <row r="6494" ht="22.5" customHeight="1">
      <c r="B6494" s="7"/>
      <c r="C6494" s="7"/>
      <c r="D6494" s="7"/>
      <c r="E6494" s="7"/>
      <c r="F6494" s="7"/>
      <c r="G6494" s="7"/>
      <c r="H6494" s="7">
        <f t="shared" si="1"/>
        <v>1029</v>
      </c>
    </row>
    <row r="6495" ht="22.5" customHeight="1">
      <c r="B6495" s="7"/>
      <c r="C6495" s="7"/>
      <c r="D6495" s="7"/>
      <c r="E6495" s="7"/>
      <c r="F6495" s="7"/>
      <c r="G6495" s="7"/>
      <c r="H6495" s="7">
        <f t="shared" si="1"/>
        <v>1029</v>
      </c>
    </row>
    <row r="6496" ht="22.5" customHeight="1">
      <c r="B6496" s="7"/>
      <c r="C6496" s="7"/>
      <c r="D6496" s="7"/>
      <c r="E6496" s="7"/>
      <c r="F6496" s="7"/>
      <c r="G6496" s="7"/>
      <c r="H6496" s="7">
        <f t="shared" si="1"/>
        <v>1029</v>
      </c>
    </row>
    <row r="6497" ht="22.5" customHeight="1">
      <c r="B6497" s="7"/>
      <c r="C6497" s="7"/>
      <c r="D6497" s="7"/>
      <c r="E6497" s="7"/>
      <c r="F6497" s="7"/>
      <c r="G6497" s="7"/>
      <c r="H6497" s="7">
        <f t="shared" si="1"/>
        <v>1029</v>
      </c>
    </row>
    <row r="6498" ht="22.5" customHeight="1">
      <c r="B6498" s="7"/>
      <c r="C6498" s="7"/>
      <c r="D6498" s="7"/>
      <c r="E6498" s="7"/>
      <c r="F6498" s="7"/>
      <c r="G6498" s="7"/>
      <c r="H6498" s="7">
        <f t="shared" si="1"/>
        <v>1029</v>
      </c>
    </row>
    <row r="6499" ht="22.5" customHeight="1">
      <c r="B6499" s="7"/>
      <c r="C6499" s="7"/>
      <c r="D6499" s="7"/>
      <c r="E6499" s="7"/>
      <c r="F6499" s="7"/>
      <c r="G6499" s="7"/>
      <c r="H6499" s="7">
        <f t="shared" si="1"/>
        <v>1029</v>
      </c>
    </row>
    <row r="6500" ht="22.5" customHeight="1">
      <c r="B6500" s="7"/>
      <c r="C6500" s="7"/>
      <c r="D6500" s="7"/>
      <c r="E6500" s="7"/>
      <c r="F6500" s="7"/>
      <c r="G6500" s="7"/>
      <c r="H6500" s="7">
        <f t="shared" si="1"/>
        <v>1029</v>
      </c>
    </row>
    <row r="6501" ht="22.5" customHeight="1">
      <c r="B6501" s="7"/>
      <c r="C6501" s="7"/>
      <c r="D6501" s="7"/>
      <c r="E6501" s="7"/>
      <c r="F6501" s="7"/>
      <c r="G6501" s="7"/>
      <c r="H6501" s="7">
        <f t="shared" si="1"/>
        <v>1029</v>
      </c>
    </row>
    <row r="6502" ht="22.5" customHeight="1">
      <c r="B6502" s="7"/>
      <c r="C6502" s="7"/>
      <c r="D6502" s="7"/>
      <c r="E6502" s="7"/>
      <c r="F6502" s="7"/>
      <c r="G6502" s="7"/>
      <c r="H6502" s="7">
        <f t="shared" si="1"/>
        <v>1029</v>
      </c>
    </row>
    <row r="6503" ht="22.5" customHeight="1">
      <c r="B6503" s="7"/>
      <c r="C6503" s="7"/>
      <c r="D6503" s="7"/>
      <c r="E6503" s="7"/>
      <c r="F6503" s="7"/>
      <c r="G6503" s="7"/>
      <c r="H6503" s="7">
        <f t="shared" si="1"/>
        <v>1029</v>
      </c>
    </row>
    <row r="6504" ht="22.5" customHeight="1">
      <c r="B6504" s="7"/>
      <c r="C6504" s="7"/>
      <c r="D6504" s="7"/>
      <c r="E6504" s="7"/>
      <c r="F6504" s="7"/>
      <c r="G6504" s="7"/>
      <c r="H6504" s="7">
        <f t="shared" si="1"/>
        <v>1029</v>
      </c>
    </row>
    <row r="6505" ht="22.5" customHeight="1">
      <c r="B6505" s="7"/>
      <c r="C6505" s="7"/>
      <c r="D6505" s="7"/>
      <c r="E6505" s="7"/>
      <c r="F6505" s="7"/>
      <c r="G6505" s="7"/>
      <c r="H6505" s="7">
        <f t="shared" si="1"/>
        <v>1029</v>
      </c>
    </row>
    <row r="6506" ht="22.5" customHeight="1">
      <c r="B6506" s="7"/>
      <c r="C6506" s="7"/>
      <c r="D6506" s="7"/>
      <c r="E6506" s="7"/>
      <c r="F6506" s="7"/>
      <c r="G6506" s="7"/>
      <c r="H6506" s="7">
        <f t="shared" si="1"/>
        <v>1029</v>
      </c>
    </row>
    <row r="6507" ht="22.5" customHeight="1">
      <c r="B6507" s="7"/>
      <c r="C6507" s="7"/>
      <c r="D6507" s="7"/>
      <c r="E6507" s="7"/>
      <c r="F6507" s="7"/>
      <c r="G6507" s="7"/>
      <c r="H6507" s="7">
        <f t="shared" si="1"/>
        <v>1029</v>
      </c>
    </row>
    <row r="6508" ht="22.5" customHeight="1">
      <c r="B6508" s="7"/>
      <c r="C6508" s="7"/>
      <c r="D6508" s="7"/>
      <c r="E6508" s="7"/>
      <c r="F6508" s="7"/>
      <c r="G6508" s="7"/>
      <c r="H6508" s="7">
        <f t="shared" si="1"/>
        <v>1029</v>
      </c>
    </row>
    <row r="6509" ht="22.5" customHeight="1">
      <c r="B6509" s="7"/>
      <c r="C6509" s="7"/>
      <c r="D6509" s="7"/>
      <c r="E6509" s="7"/>
      <c r="F6509" s="7"/>
      <c r="G6509" s="7"/>
      <c r="H6509" s="7">
        <f t="shared" si="1"/>
        <v>1029</v>
      </c>
    </row>
    <row r="6510" ht="22.5" customHeight="1">
      <c r="B6510" s="7"/>
      <c r="C6510" s="7"/>
      <c r="D6510" s="7"/>
      <c r="E6510" s="7"/>
      <c r="F6510" s="7"/>
      <c r="G6510" s="7"/>
      <c r="H6510" s="7">
        <f t="shared" si="1"/>
        <v>1029</v>
      </c>
    </row>
    <row r="6511" ht="22.5" customHeight="1">
      <c r="B6511" s="7"/>
      <c r="C6511" s="7"/>
      <c r="D6511" s="7"/>
      <c r="E6511" s="7"/>
      <c r="F6511" s="7"/>
      <c r="G6511" s="7"/>
      <c r="H6511" s="7">
        <f t="shared" si="1"/>
        <v>1029</v>
      </c>
    </row>
    <row r="6512" ht="22.5" customHeight="1">
      <c r="B6512" s="7"/>
      <c r="C6512" s="7"/>
      <c r="D6512" s="7"/>
      <c r="E6512" s="7"/>
      <c r="F6512" s="7"/>
      <c r="G6512" s="7"/>
      <c r="H6512" s="7">
        <f t="shared" si="1"/>
        <v>1029</v>
      </c>
    </row>
    <row r="6513" ht="22.5" customHeight="1">
      <c r="B6513" s="7"/>
      <c r="C6513" s="7"/>
      <c r="D6513" s="7"/>
      <c r="E6513" s="7"/>
      <c r="F6513" s="7"/>
      <c r="G6513" s="7"/>
      <c r="H6513" s="7">
        <f t="shared" si="1"/>
        <v>1029</v>
      </c>
    </row>
    <row r="6514" ht="22.5" customHeight="1">
      <c r="B6514" s="7"/>
      <c r="C6514" s="7"/>
      <c r="D6514" s="7"/>
      <c r="E6514" s="7"/>
      <c r="F6514" s="7"/>
      <c r="G6514" s="7"/>
      <c r="H6514" s="7">
        <f t="shared" si="1"/>
        <v>1029</v>
      </c>
    </row>
    <row r="6515" ht="22.5" customHeight="1">
      <c r="B6515" s="7"/>
      <c r="C6515" s="7"/>
      <c r="D6515" s="7"/>
      <c r="E6515" s="7"/>
      <c r="F6515" s="7"/>
      <c r="G6515" s="7"/>
      <c r="H6515" s="7">
        <f t="shared" si="1"/>
        <v>1029</v>
      </c>
    </row>
    <row r="6516" ht="22.5" customHeight="1">
      <c r="B6516" s="7"/>
      <c r="C6516" s="7"/>
      <c r="D6516" s="7"/>
      <c r="E6516" s="7"/>
      <c r="F6516" s="7"/>
      <c r="G6516" s="7"/>
      <c r="H6516" s="7">
        <f t="shared" si="1"/>
        <v>1029</v>
      </c>
    </row>
    <row r="6517" ht="22.5" customHeight="1">
      <c r="B6517" s="7"/>
      <c r="C6517" s="7"/>
      <c r="D6517" s="7"/>
      <c r="E6517" s="7"/>
      <c r="F6517" s="7"/>
      <c r="G6517" s="7"/>
      <c r="H6517" s="7">
        <f t="shared" si="1"/>
        <v>1029</v>
      </c>
    </row>
    <row r="6518" ht="22.5" customHeight="1">
      <c r="B6518" s="7"/>
      <c r="C6518" s="7"/>
      <c r="D6518" s="7"/>
      <c r="E6518" s="7"/>
      <c r="F6518" s="7"/>
      <c r="G6518" s="7"/>
      <c r="H6518" s="7">
        <f t="shared" si="1"/>
        <v>1029</v>
      </c>
    </row>
    <row r="6519" ht="22.5" customHeight="1">
      <c r="B6519" s="7"/>
      <c r="C6519" s="7"/>
      <c r="D6519" s="7"/>
      <c r="E6519" s="7"/>
      <c r="F6519" s="7"/>
      <c r="G6519" s="7"/>
      <c r="H6519" s="7">
        <f t="shared" si="1"/>
        <v>1029</v>
      </c>
    </row>
    <row r="6520" ht="22.5" customHeight="1">
      <c r="B6520" s="7"/>
      <c r="C6520" s="7"/>
      <c r="D6520" s="7"/>
      <c r="E6520" s="7"/>
      <c r="F6520" s="7"/>
      <c r="G6520" s="7"/>
      <c r="H6520" s="7">
        <f t="shared" si="1"/>
        <v>1029</v>
      </c>
    </row>
    <row r="6521" ht="22.5" customHeight="1">
      <c r="B6521" s="7"/>
      <c r="C6521" s="7"/>
      <c r="D6521" s="7"/>
      <c r="E6521" s="7"/>
      <c r="F6521" s="7"/>
      <c r="G6521" s="7"/>
      <c r="H6521" s="7">
        <f t="shared" si="1"/>
        <v>1029</v>
      </c>
    </row>
    <row r="6522" ht="22.5" customHeight="1">
      <c r="B6522" s="7"/>
      <c r="C6522" s="7"/>
      <c r="D6522" s="7"/>
      <c r="E6522" s="7"/>
      <c r="F6522" s="7"/>
      <c r="G6522" s="7"/>
      <c r="H6522" s="7">
        <f t="shared" si="1"/>
        <v>1029</v>
      </c>
    </row>
    <row r="6523" ht="22.5" customHeight="1">
      <c r="B6523" s="7"/>
      <c r="C6523" s="7"/>
      <c r="D6523" s="7"/>
      <c r="E6523" s="7"/>
      <c r="F6523" s="7"/>
      <c r="G6523" s="7"/>
      <c r="H6523" s="7">
        <f t="shared" si="1"/>
        <v>1029</v>
      </c>
    </row>
    <row r="6524" ht="22.5" customHeight="1">
      <c r="B6524" s="7"/>
      <c r="C6524" s="7"/>
      <c r="D6524" s="7"/>
      <c r="E6524" s="7"/>
      <c r="F6524" s="7"/>
      <c r="G6524" s="7"/>
      <c r="H6524" s="7">
        <f t="shared" si="1"/>
        <v>1029</v>
      </c>
    </row>
    <row r="6525" ht="22.5" customHeight="1">
      <c r="B6525" s="7"/>
      <c r="C6525" s="7"/>
      <c r="D6525" s="7"/>
      <c r="E6525" s="7"/>
      <c r="F6525" s="7"/>
      <c r="G6525" s="7"/>
      <c r="H6525" s="7">
        <f t="shared" si="1"/>
        <v>1029</v>
      </c>
    </row>
    <row r="6526" ht="22.5" customHeight="1">
      <c r="B6526" s="7"/>
      <c r="C6526" s="7"/>
      <c r="D6526" s="7"/>
      <c r="E6526" s="7"/>
      <c r="F6526" s="7"/>
      <c r="G6526" s="7"/>
      <c r="H6526" s="7">
        <f t="shared" si="1"/>
        <v>1029</v>
      </c>
    </row>
    <row r="6527" ht="22.5" customHeight="1">
      <c r="B6527" s="7"/>
      <c r="C6527" s="7"/>
      <c r="D6527" s="7"/>
      <c r="E6527" s="7"/>
      <c r="F6527" s="7"/>
      <c r="G6527" s="7"/>
      <c r="H6527" s="7">
        <f t="shared" si="1"/>
        <v>1029</v>
      </c>
    </row>
    <row r="6528" ht="22.5" customHeight="1">
      <c r="B6528" s="7"/>
      <c r="C6528" s="7"/>
      <c r="D6528" s="7"/>
      <c r="E6528" s="7"/>
      <c r="F6528" s="7"/>
      <c r="G6528" s="7"/>
      <c r="H6528" s="7">
        <f t="shared" si="1"/>
        <v>1029</v>
      </c>
    </row>
    <row r="6529" ht="22.5" customHeight="1">
      <c r="B6529" s="7"/>
      <c r="C6529" s="7"/>
      <c r="D6529" s="7"/>
      <c r="E6529" s="7"/>
      <c r="F6529" s="7"/>
      <c r="G6529" s="7"/>
      <c r="H6529" s="7">
        <f t="shared" si="1"/>
        <v>1029</v>
      </c>
    </row>
    <row r="6530" ht="22.5" customHeight="1">
      <c r="B6530" s="7"/>
      <c r="C6530" s="7"/>
      <c r="D6530" s="7"/>
      <c r="E6530" s="7"/>
      <c r="F6530" s="7"/>
      <c r="G6530" s="7"/>
      <c r="H6530" s="7">
        <f t="shared" si="1"/>
        <v>1029</v>
      </c>
    </row>
    <row r="6531" ht="22.5" customHeight="1">
      <c r="B6531" s="7"/>
      <c r="C6531" s="7"/>
      <c r="D6531" s="7"/>
      <c r="E6531" s="7"/>
      <c r="F6531" s="7"/>
      <c r="G6531" s="7"/>
      <c r="H6531" s="7">
        <f t="shared" si="1"/>
        <v>1029</v>
      </c>
    </row>
    <row r="6532" ht="22.5" customHeight="1">
      <c r="B6532" s="7"/>
      <c r="C6532" s="7"/>
      <c r="D6532" s="7"/>
      <c r="E6532" s="7"/>
      <c r="F6532" s="7"/>
      <c r="G6532" s="7"/>
      <c r="H6532" s="7">
        <f t="shared" si="1"/>
        <v>1029</v>
      </c>
    </row>
    <row r="6533" ht="22.5" customHeight="1">
      <c r="B6533" s="7"/>
      <c r="C6533" s="7"/>
      <c r="D6533" s="7"/>
      <c r="E6533" s="7"/>
      <c r="F6533" s="7"/>
      <c r="G6533" s="7"/>
      <c r="H6533" s="7">
        <f t="shared" si="1"/>
        <v>1029</v>
      </c>
    </row>
    <row r="6534" ht="22.5" customHeight="1">
      <c r="B6534" s="7"/>
      <c r="C6534" s="7"/>
      <c r="D6534" s="7"/>
      <c r="E6534" s="7"/>
      <c r="F6534" s="7"/>
      <c r="G6534" s="7"/>
      <c r="H6534" s="7">
        <f t="shared" si="1"/>
        <v>1029</v>
      </c>
    </row>
    <row r="6535" ht="22.5" customHeight="1">
      <c r="B6535" s="7"/>
      <c r="C6535" s="7"/>
      <c r="D6535" s="7"/>
      <c r="E6535" s="7"/>
      <c r="F6535" s="7"/>
      <c r="G6535" s="7"/>
      <c r="H6535" s="7">
        <f t="shared" si="1"/>
        <v>1029</v>
      </c>
    </row>
    <row r="6536" ht="22.5" customHeight="1">
      <c r="B6536" s="7"/>
      <c r="C6536" s="7"/>
      <c r="D6536" s="7"/>
      <c r="E6536" s="7"/>
      <c r="F6536" s="7"/>
      <c r="G6536" s="7"/>
      <c r="H6536" s="7">
        <f t="shared" si="1"/>
        <v>1029</v>
      </c>
    </row>
    <row r="6537" ht="22.5" customHeight="1">
      <c r="B6537" s="7"/>
      <c r="C6537" s="7"/>
      <c r="D6537" s="7"/>
      <c r="E6537" s="7"/>
      <c r="F6537" s="7"/>
      <c r="G6537" s="7"/>
      <c r="H6537" s="7">
        <f t="shared" si="1"/>
        <v>1029</v>
      </c>
    </row>
    <row r="6538" ht="22.5" customHeight="1">
      <c r="B6538" s="7"/>
      <c r="C6538" s="7"/>
      <c r="D6538" s="7"/>
      <c r="E6538" s="7"/>
      <c r="F6538" s="7"/>
      <c r="G6538" s="7"/>
      <c r="H6538" s="7">
        <f t="shared" si="1"/>
        <v>1029</v>
      </c>
    </row>
    <row r="6539" ht="22.5" customHeight="1">
      <c r="B6539" s="7"/>
      <c r="C6539" s="7"/>
      <c r="D6539" s="7"/>
      <c r="E6539" s="7"/>
      <c r="F6539" s="7"/>
      <c r="G6539" s="7"/>
      <c r="H6539" s="7">
        <f t="shared" si="1"/>
        <v>1029</v>
      </c>
    </row>
    <row r="6540" ht="22.5" customHeight="1">
      <c r="B6540" s="7"/>
      <c r="C6540" s="7"/>
      <c r="D6540" s="7"/>
      <c r="E6540" s="7"/>
      <c r="F6540" s="7"/>
      <c r="G6540" s="7"/>
      <c r="H6540" s="7">
        <f t="shared" si="1"/>
        <v>1029</v>
      </c>
    </row>
    <row r="6541" ht="22.5" customHeight="1">
      <c r="B6541" s="7"/>
      <c r="C6541" s="7"/>
      <c r="D6541" s="7"/>
      <c r="E6541" s="7"/>
      <c r="F6541" s="7"/>
      <c r="G6541" s="7"/>
      <c r="H6541" s="7">
        <f t="shared" si="1"/>
        <v>1029</v>
      </c>
    </row>
    <row r="6542" ht="22.5" customHeight="1">
      <c r="B6542" s="7"/>
      <c r="C6542" s="7"/>
      <c r="D6542" s="7"/>
      <c r="E6542" s="7"/>
      <c r="F6542" s="7"/>
      <c r="G6542" s="7"/>
      <c r="H6542" s="7">
        <f t="shared" si="1"/>
        <v>1029</v>
      </c>
    </row>
    <row r="6543" ht="22.5" customHeight="1">
      <c r="B6543" s="7"/>
      <c r="C6543" s="7"/>
      <c r="D6543" s="7"/>
      <c r="E6543" s="7"/>
      <c r="F6543" s="7"/>
      <c r="G6543" s="7"/>
      <c r="H6543" s="7">
        <f t="shared" si="1"/>
        <v>1029</v>
      </c>
    </row>
    <row r="6544" ht="22.5" customHeight="1">
      <c r="B6544" s="7"/>
      <c r="C6544" s="7"/>
      <c r="D6544" s="7"/>
      <c r="E6544" s="7"/>
      <c r="F6544" s="7"/>
      <c r="G6544" s="7"/>
      <c r="H6544" s="7">
        <f t="shared" si="1"/>
        <v>1029</v>
      </c>
    </row>
    <row r="6545" ht="22.5" customHeight="1">
      <c r="B6545" s="7"/>
      <c r="C6545" s="7"/>
      <c r="D6545" s="7"/>
      <c r="E6545" s="7"/>
      <c r="F6545" s="7"/>
      <c r="G6545" s="7"/>
      <c r="H6545" s="7">
        <f t="shared" si="1"/>
        <v>1029</v>
      </c>
    </row>
    <row r="6546" ht="22.5" customHeight="1">
      <c r="B6546" s="7"/>
      <c r="C6546" s="7"/>
      <c r="D6546" s="7"/>
      <c r="E6546" s="7"/>
      <c r="F6546" s="7"/>
      <c r="G6546" s="7"/>
      <c r="H6546" s="7">
        <f t="shared" si="1"/>
        <v>1029</v>
      </c>
    </row>
    <row r="6547" ht="22.5" customHeight="1">
      <c r="B6547" s="7"/>
      <c r="C6547" s="7"/>
      <c r="D6547" s="7"/>
      <c r="E6547" s="7"/>
      <c r="F6547" s="7"/>
      <c r="G6547" s="7"/>
      <c r="H6547" s="7">
        <f t="shared" si="1"/>
        <v>1029</v>
      </c>
    </row>
    <row r="6548" ht="22.5" customHeight="1">
      <c r="B6548" s="7"/>
      <c r="C6548" s="7"/>
      <c r="D6548" s="7"/>
      <c r="E6548" s="7"/>
      <c r="F6548" s="7"/>
      <c r="G6548" s="7"/>
      <c r="H6548" s="7">
        <f t="shared" si="1"/>
        <v>1029</v>
      </c>
    </row>
    <row r="6549" ht="22.5" customHeight="1">
      <c r="B6549" s="7"/>
      <c r="C6549" s="7"/>
      <c r="D6549" s="7"/>
      <c r="E6549" s="7"/>
      <c r="F6549" s="7"/>
      <c r="G6549" s="7"/>
      <c r="H6549" s="7">
        <f t="shared" si="1"/>
        <v>1029</v>
      </c>
    </row>
    <row r="6550" ht="22.5" customHeight="1">
      <c r="B6550" s="7"/>
      <c r="C6550" s="7"/>
      <c r="D6550" s="7"/>
      <c r="E6550" s="7"/>
      <c r="F6550" s="7"/>
      <c r="G6550" s="7"/>
      <c r="H6550" s="7">
        <f t="shared" si="1"/>
        <v>1029</v>
      </c>
    </row>
    <row r="6551" ht="22.5" customHeight="1">
      <c r="B6551" s="7"/>
      <c r="C6551" s="7"/>
      <c r="D6551" s="7"/>
      <c r="E6551" s="7"/>
      <c r="F6551" s="7"/>
      <c r="G6551" s="7"/>
      <c r="H6551" s="7">
        <f t="shared" si="1"/>
        <v>1029</v>
      </c>
    </row>
    <row r="6552" ht="22.5" customHeight="1">
      <c r="B6552" s="7"/>
      <c r="C6552" s="7"/>
      <c r="D6552" s="7"/>
      <c r="E6552" s="7"/>
      <c r="F6552" s="7"/>
      <c r="G6552" s="7"/>
      <c r="H6552" s="7">
        <f t="shared" si="1"/>
        <v>1029</v>
      </c>
    </row>
    <row r="6553" ht="22.5" customHeight="1">
      <c r="B6553" s="7"/>
      <c r="C6553" s="7"/>
      <c r="D6553" s="7"/>
      <c r="E6553" s="7"/>
      <c r="F6553" s="7"/>
      <c r="G6553" s="7"/>
      <c r="H6553" s="7">
        <f t="shared" si="1"/>
        <v>1029</v>
      </c>
    </row>
    <row r="6554" ht="22.5" customHeight="1">
      <c r="B6554" s="7"/>
      <c r="C6554" s="7"/>
      <c r="D6554" s="7"/>
      <c r="E6554" s="7"/>
      <c r="F6554" s="7"/>
      <c r="G6554" s="7"/>
      <c r="H6554" s="7">
        <f t="shared" si="1"/>
        <v>1029</v>
      </c>
    </row>
    <row r="6555" ht="22.5" customHeight="1">
      <c r="B6555" s="7"/>
      <c r="C6555" s="7"/>
      <c r="D6555" s="7"/>
      <c r="E6555" s="7"/>
      <c r="F6555" s="7"/>
      <c r="G6555" s="7"/>
      <c r="H6555" s="7">
        <f t="shared" si="1"/>
        <v>1029</v>
      </c>
    </row>
    <row r="6556" ht="22.5" customHeight="1">
      <c r="B6556" s="7"/>
      <c r="C6556" s="7"/>
      <c r="D6556" s="7"/>
      <c r="E6556" s="7"/>
      <c r="F6556" s="7"/>
      <c r="G6556" s="7"/>
      <c r="H6556" s="7">
        <f t="shared" si="1"/>
        <v>1029</v>
      </c>
    </row>
    <row r="6557" ht="22.5" customHeight="1">
      <c r="B6557" s="7"/>
      <c r="C6557" s="7"/>
      <c r="D6557" s="7"/>
      <c r="E6557" s="7"/>
      <c r="F6557" s="7"/>
      <c r="G6557" s="7"/>
      <c r="H6557" s="7">
        <f t="shared" si="1"/>
        <v>1029</v>
      </c>
    </row>
    <row r="6558" ht="22.5" customHeight="1">
      <c r="B6558" s="7"/>
      <c r="C6558" s="7"/>
      <c r="D6558" s="7"/>
      <c r="E6558" s="7"/>
      <c r="F6558" s="7"/>
      <c r="G6558" s="7"/>
      <c r="H6558" s="7">
        <f t="shared" si="1"/>
        <v>1029</v>
      </c>
    </row>
    <row r="6559" ht="22.5" customHeight="1">
      <c r="B6559" s="7"/>
      <c r="C6559" s="7"/>
      <c r="D6559" s="7"/>
      <c r="E6559" s="7"/>
      <c r="F6559" s="7"/>
      <c r="G6559" s="7"/>
      <c r="H6559" s="7">
        <f t="shared" si="1"/>
        <v>1029</v>
      </c>
    </row>
    <row r="6560" ht="22.5" customHeight="1">
      <c r="B6560" s="7"/>
      <c r="C6560" s="7"/>
      <c r="D6560" s="7"/>
      <c r="E6560" s="7"/>
      <c r="F6560" s="7"/>
      <c r="G6560" s="7"/>
      <c r="H6560" s="7">
        <f t="shared" si="1"/>
        <v>1029</v>
      </c>
    </row>
    <row r="6561" ht="22.5" customHeight="1">
      <c r="B6561" s="7"/>
      <c r="C6561" s="7"/>
      <c r="D6561" s="7"/>
      <c r="E6561" s="7"/>
      <c r="F6561" s="7"/>
      <c r="G6561" s="7"/>
      <c r="H6561" s="7">
        <f t="shared" si="1"/>
        <v>1029</v>
      </c>
    </row>
    <row r="6562" ht="22.5" customHeight="1">
      <c r="B6562" s="7"/>
      <c r="C6562" s="7"/>
      <c r="D6562" s="7"/>
      <c r="E6562" s="7"/>
      <c r="F6562" s="7"/>
      <c r="G6562" s="7"/>
      <c r="H6562" s="7">
        <f t="shared" si="1"/>
        <v>1029</v>
      </c>
    </row>
    <row r="6563" ht="22.5" customHeight="1">
      <c r="B6563" s="7"/>
      <c r="C6563" s="7"/>
      <c r="D6563" s="7"/>
      <c r="E6563" s="7"/>
      <c r="F6563" s="7"/>
      <c r="G6563" s="7"/>
      <c r="H6563" s="7">
        <f t="shared" si="1"/>
        <v>1029</v>
      </c>
    </row>
    <row r="6564" ht="22.5" customHeight="1">
      <c r="B6564" s="7"/>
      <c r="C6564" s="7"/>
      <c r="D6564" s="7"/>
      <c r="E6564" s="7"/>
      <c r="F6564" s="7"/>
      <c r="G6564" s="7"/>
      <c r="H6564" s="7">
        <f t="shared" si="1"/>
        <v>1029</v>
      </c>
    </row>
    <row r="6565" ht="22.5" customHeight="1">
      <c r="B6565" s="7"/>
      <c r="C6565" s="7"/>
      <c r="D6565" s="7"/>
      <c r="E6565" s="7"/>
      <c r="F6565" s="7"/>
      <c r="G6565" s="7"/>
      <c r="H6565" s="7">
        <f t="shared" si="1"/>
        <v>1029</v>
      </c>
    </row>
    <row r="6566" ht="22.5" customHeight="1">
      <c r="B6566" s="7"/>
      <c r="C6566" s="7"/>
      <c r="D6566" s="7"/>
      <c r="E6566" s="7"/>
      <c r="F6566" s="7"/>
      <c r="G6566" s="7"/>
      <c r="H6566" s="7">
        <f t="shared" si="1"/>
        <v>1029</v>
      </c>
    </row>
    <row r="6567" ht="22.5" customHeight="1">
      <c r="B6567" s="7"/>
      <c r="C6567" s="7"/>
      <c r="D6567" s="7"/>
      <c r="E6567" s="7"/>
      <c r="F6567" s="7"/>
      <c r="G6567" s="7"/>
      <c r="H6567" s="7">
        <f t="shared" si="1"/>
        <v>1029</v>
      </c>
    </row>
    <row r="6568" ht="22.5" customHeight="1">
      <c r="B6568" s="7"/>
      <c r="C6568" s="7"/>
      <c r="D6568" s="7"/>
      <c r="E6568" s="7"/>
      <c r="F6568" s="7"/>
      <c r="G6568" s="7"/>
      <c r="H6568" s="7">
        <f t="shared" si="1"/>
        <v>1029</v>
      </c>
    </row>
    <row r="6569" ht="22.5" customHeight="1">
      <c r="B6569" s="7"/>
      <c r="C6569" s="7"/>
      <c r="D6569" s="7"/>
      <c r="E6569" s="7"/>
      <c r="F6569" s="7"/>
      <c r="G6569" s="7"/>
      <c r="H6569" s="7">
        <f t="shared" si="1"/>
        <v>1029</v>
      </c>
    </row>
    <row r="6570" ht="22.5" customHeight="1">
      <c r="B6570" s="7"/>
      <c r="C6570" s="7"/>
      <c r="D6570" s="7"/>
      <c r="E6570" s="7"/>
      <c r="F6570" s="7"/>
      <c r="G6570" s="7"/>
      <c r="H6570" s="7">
        <f t="shared" si="1"/>
        <v>1029</v>
      </c>
    </row>
    <row r="6571" ht="22.5" customHeight="1">
      <c r="B6571" s="7"/>
      <c r="C6571" s="7"/>
      <c r="D6571" s="7"/>
      <c r="E6571" s="7"/>
      <c r="F6571" s="7"/>
      <c r="G6571" s="7"/>
      <c r="H6571" s="7">
        <f t="shared" si="1"/>
        <v>1029</v>
      </c>
    </row>
    <row r="6572" ht="22.5" customHeight="1">
      <c r="B6572" s="7"/>
      <c r="C6572" s="7"/>
      <c r="D6572" s="7"/>
      <c r="E6572" s="7"/>
      <c r="F6572" s="7"/>
      <c r="G6572" s="7"/>
      <c r="H6572" s="7">
        <f t="shared" si="1"/>
        <v>1029</v>
      </c>
    </row>
    <row r="6573" ht="22.5" customHeight="1">
      <c r="B6573" s="7"/>
      <c r="C6573" s="7"/>
      <c r="D6573" s="7"/>
      <c r="E6573" s="7"/>
      <c r="F6573" s="7"/>
      <c r="G6573" s="7"/>
      <c r="H6573" s="7">
        <f t="shared" si="1"/>
        <v>1029</v>
      </c>
    </row>
    <row r="6574" ht="22.5" customHeight="1">
      <c r="B6574" s="7"/>
      <c r="C6574" s="7"/>
      <c r="D6574" s="7"/>
      <c r="E6574" s="7"/>
      <c r="F6574" s="7"/>
      <c r="G6574" s="7"/>
      <c r="H6574" s="7">
        <f t="shared" si="1"/>
        <v>1029</v>
      </c>
    </row>
    <row r="6575" ht="22.5" customHeight="1">
      <c r="B6575" s="7"/>
      <c r="C6575" s="7"/>
      <c r="D6575" s="7"/>
      <c r="E6575" s="7"/>
      <c r="F6575" s="7"/>
      <c r="G6575" s="7"/>
      <c r="H6575" s="7">
        <f t="shared" si="1"/>
        <v>1029</v>
      </c>
    </row>
    <row r="6576" ht="22.5" customHeight="1">
      <c r="B6576" s="7"/>
      <c r="C6576" s="7"/>
      <c r="D6576" s="7"/>
      <c r="E6576" s="7"/>
      <c r="F6576" s="7"/>
      <c r="G6576" s="7"/>
      <c r="H6576" s="7">
        <f t="shared" si="1"/>
        <v>1029</v>
      </c>
    </row>
    <row r="6577" ht="22.5" customHeight="1">
      <c r="B6577" s="7"/>
      <c r="C6577" s="7"/>
      <c r="D6577" s="7"/>
      <c r="E6577" s="7"/>
      <c r="F6577" s="7"/>
      <c r="G6577" s="7"/>
      <c r="H6577" s="7">
        <f t="shared" si="1"/>
        <v>1029</v>
      </c>
    </row>
    <row r="6578" ht="22.5" customHeight="1">
      <c r="B6578" s="7"/>
      <c r="C6578" s="7"/>
      <c r="D6578" s="7"/>
      <c r="E6578" s="7"/>
      <c r="F6578" s="7"/>
      <c r="G6578" s="7"/>
      <c r="H6578" s="7">
        <f t="shared" si="1"/>
        <v>1029</v>
      </c>
    </row>
    <row r="6579" ht="22.5" customHeight="1">
      <c r="B6579" s="7"/>
      <c r="C6579" s="7"/>
      <c r="D6579" s="7"/>
      <c r="E6579" s="7"/>
      <c r="F6579" s="7"/>
      <c r="G6579" s="7"/>
      <c r="H6579" s="7">
        <f t="shared" si="1"/>
        <v>1029</v>
      </c>
    </row>
    <row r="6580" ht="22.5" customHeight="1">
      <c r="B6580" s="7"/>
      <c r="C6580" s="7"/>
      <c r="D6580" s="7"/>
      <c r="E6580" s="7"/>
      <c r="F6580" s="7"/>
      <c r="G6580" s="7"/>
      <c r="H6580" s="7">
        <f t="shared" si="1"/>
        <v>1029</v>
      </c>
    </row>
    <row r="6581" ht="22.5" customHeight="1">
      <c r="B6581" s="7"/>
      <c r="C6581" s="7"/>
      <c r="D6581" s="7"/>
      <c r="E6581" s="7"/>
      <c r="F6581" s="7"/>
      <c r="G6581" s="7"/>
      <c r="H6581" s="7">
        <f t="shared" si="1"/>
        <v>1029</v>
      </c>
    </row>
    <row r="6582" ht="22.5" customHeight="1">
      <c r="B6582" s="7"/>
      <c r="C6582" s="7"/>
      <c r="D6582" s="7"/>
      <c r="E6582" s="7"/>
      <c r="F6582" s="7"/>
      <c r="G6582" s="7"/>
      <c r="H6582" s="7">
        <f t="shared" si="1"/>
        <v>1029</v>
      </c>
    </row>
    <row r="6583" ht="22.5" customHeight="1">
      <c r="B6583" s="7"/>
      <c r="C6583" s="7"/>
      <c r="D6583" s="7"/>
      <c r="E6583" s="7"/>
      <c r="F6583" s="7"/>
      <c r="G6583" s="7"/>
      <c r="H6583" s="7">
        <f t="shared" si="1"/>
        <v>1029</v>
      </c>
    </row>
    <row r="6584" ht="22.5" customHeight="1">
      <c r="B6584" s="7"/>
      <c r="C6584" s="7"/>
      <c r="D6584" s="7"/>
      <c r="E6584" s="7"/>
      <c r="F6584" s="7"/>
      <c r="G6584" s="7"/>
      <c r="H6584" s="7">
        <f t="shared" si="1"/>
        <v>1029</v>
      </c>
    </row>
    <row r="6585" ht="22.5" customHeight="1">
      <c r="B6585" s="7"/>
      <c r="C6585" s="7"/>
      <c r="D6585" s="7"/>
      <c r="E6585" s="7"/>
      <c r="F6585" s="7"/>
      <c r="G6585" s="7"/>
      <c r="H6585" s="7">
        <f t="shared" si="1"/>
        <v>1029</v>
      </c>
    </row>
    <row r="6586" ht="22.5" customHeight="1">
      <c r="B6586" s="7"/>
      <c r="C6586" s="7"/>
      <c r="D6586" s="7"/>
      <c r="E6586" s="7"/>
      <c r="F6586" s="7"/>
      <c r="G6586" s="7"/>
      <c r="H6586" s="7">
        <f t="shared" si="1"/>
        <v>1029</v>
      </c>
    </row>
    <row r="6587" ht="22.5" customHeight="1">
      <c r="B6587" s="7"/>
      <c r="C6587" s="7"/>
      <c r="D6587" s="7"/>
      <c r="E6587" s="7"/>
      <c r="F6587" s="7"/>
      <c r="G6587" s="7"/>
      <c r="H6587" s="7">
        <f t="shared" si="1"/>
        <v>1029</v>
      </c>
    </row>
    <row r="6588" ht="22.5" customHeight="1">
      <c r="B6588" s="7"/>
      <c r="C6588" s="7"/>
      <c r="D6588" s="7"/>
      <c r="E6588" s="7"/>
      <c r="F6588" s="7"/>
      <c r="G6588" s="7"/>
      <c r="H6588" s="7">
        <f t="shared" si="1"/>
        <v>1029</v>
      </c>
    </row>
    <row r="6589" ht="22.5" customHeight="1">
      <c r="B6589" s="7"/>
      <c r="C6589" s="7"/>
      <c r="D6589" s="7"/>
      <c r="E6589" s="7"/>
      <c r="F6589" s="7"/>
      <c r="G6589" s="7"/>
      <c r="H6589" s="7">
        <f t="shared" si="1"/>
        <v>1029</v>
      </c>
    </row>
    <row r="6590" ht="22.5" customHeight="1">
      <c r="B6590" s="7"/>
      <c r="C6590" s="7"/>
      <c r="D6590" s="7"/>
      <c r="E6590" s="7"/>
      <c r="F6590" s="7"/>
      <c r="G6590" s="7"/>
      <c r="H6590" s="7">
        <f t="shared" si="1"/>
        <v>1029</v>
      </c>
    </row>
    <row r="6591" ht="22.5" customHeight="1">
      <c r="B6591" s="7"/>
      <c r="C6591" s="7"/>
      <c r="D6591" s="7"/>
      <c r="E6591" s="7"/>
      <c r="F6591" s="7"/>
      <c r="G6591" s="7"/>
      <c r="H6591" s="7">
        <f t="shared" si="1"/>
        <v>1029</v>
      </c>
    </row>
    <row r="6592" ht="22.5" customHeight="1">
      <c r="B6592" s="7"/>
      <c r="C6592" s="7"/>
      <c r="D6592" s="7"/>
      <c r="E6592" s="7"/>
      <c r="F6592" s="7"/>
      <c r="G6592" s="7"/>
      <c r="H6592" s="7">
        <f t="shared" si="1"/>
        <v>1029</v>
      </c>
    </row>
    <row r="6593" ht="22.5" customHeight="1">
      <c r="B6593" s="7"/>
      <c r="C6593" s="7"/>
      <c r="D6593" s="7"/>
      <c r="E6593" s="7"/>
      <c r="F6593" s="7"/>
      <c r="G6593" s="7"/>
      <c r="H6593" s="7">
        <f t="shared" si="1"/>
        <v>1029</v>
      </c>
    </row>
    <row r="6594" ht="22.5" customHeight="1">
      <c r="B6594" s="7"/>
      <c r="C6594" s="7"/>
      <c r="D6594" s="7"/>
      <c r="E6594" s="7"/>
      <c r="F6594" s="7"/>
      <c r="G6594" s="7"/>
      <c r="H6594" s="7">
        <f t="shared" si="1"/>
        <v>1029</v>
      </c>
    </row>
    <row r="6595" ht="22.5" customHeight="1">
      <c r="B6595" s="7"/>
      <c r="C6595" s="7"/>
      <c r="D6595" s="7"/>
      <c r="E6595" s="7"/>
      <c r="F6595" s="7"/>
      <c r="G6595" s="7"/>
      <c r="H6595" s="7">
        <f t="shared" si="1"/>
        <v>1029</v>
      </c>
    </row>
    <row r="6596" ht="22.5" customHeight="1">
      <c r="B6596" s="7"/>
      <c r="C6596" s="7"/>
      <c r="D6596" s="7"/>
      <c r="E6596" s="7"/>
      <c r="F6596" s="7"/>
      <c r="G6596" s="7"/>
      <c r="H6596" s="7">
        <f t="shared" si="1"/>
        <v>1029</v>
      </c>
    </row>
    <row r="6597" ht="22.5" customHeight="1">
      <c r="B6597" s="7"/>
      <c r="C6597" s="7"/>
      <c r="D6597" s="7"/>
      <c r="E6597" s="7"/>
      <c r="F6597" s="7"/>
      <c r="G6597" s="7"/>
      <c r="H6597" s="7">
        <f t="shared" si="1"/>
        <v>1029</v>
      </c>
    </row>
    <row r="6598" ht="22.5" customHeight="1">
      <c r="B6598" s="7"/>
      <c r="C6598" s="7"/>
      <c r="D6598" s="7"/>
      <c r="E6598" s="7"/>
      <c r="F6598" s="7"/>
      <c r="G6598" s="7"/>
      <c r="H6598" s="7">
        <f t="shared" si="1"/>
        <v>1029</v>
      </c>
    </row>
    <row r="6599" ht="22.5" customHeight="1">
      <c r="B6599" s="7"/>
      <c r="C6599" s="7"/>
      <c r="D6599" s="7"/>
      <c r="E6599" s="7"/>
      <c r="F6599" s="7"/>
      <c r="G6599" s="7"/>
      <c r="H6599" s="7">
        <f t="shared" si="1"/>
        <v>1029</v>
      </c>
    </row>
    <row r="6600" ht="22.5" customHeight="1">
      <c r="B6600" s="7"/>
      <c r="C6600" s="7"/>
      <c r="D6600" s="7"/>
      <c r="E6600" s="7"/>
      <c r="F6600" s="7"/>
      <c r="G6600" s="7"/>
      <c r="H6600" s="7">
        <f t="shared" si="1"/>
        <v>1029</v>
      </c>
    </row>
    <row r="6601" ht="22.5" customHeight="1">
      <c r="B6601" s="7"/>
      <c r="C6601" s="7"/>
      <c r="D6601" s="7"/>
      <c r="E6601" s="7"/>
      <c r="F6601" s="7"/>
      <c r="G6601" s="7"/>
      <c r="H6601" s="7">
        <f t="shared" si="1"/>
        <v>1029</v>
      </c>
    </row>
    <row r="6602" ht="22.5" customHeight="1">
      <c r="B6602" s="7"/>
      <c r="C6602" s="7"/>
      <c r="D6602" s="7"/>
      <c r="E6602" s="7"/>
      <c r="F6602" s="7"/>
      <c r="G6602" s="7"/>
      <c r="H6602" s="7">
        <f t="shared" si="1"/>
        <v>1029</v>
      </c>
    </row>
    <row r="6603" ht="22.5" customHeight="1">
      <c r="B6603" s="7"/>
      <c r="C6603" s="7"/>
      <c r="D6603" s="7"/>
      <c r="E6603" s="7"/>
      <c r="F6603" s="7"/>
      <c r="G6603" s="7"/>
      <c r="H6603" s="7">
        <f t="shared" si="1"/>
        <v>1029</v>
      </c>
    </row>
    <row r="6604" ht="22.5" customHeight="1">
      <c r="B6604" s="7"/>
      <c r="C6604" s="7"/>
      <c r="D6604" s="7"/>
      <c r="E6604" s="7"/>
      <c r="F6604" s="7"/>
      <c r="G6604" s="7"/>
      <c r="H6604" s="7">
        <f t="shared" si="1"/>
        <v>1029</v>
      </c>
    </row>
    <row r="6605" ht="22.5" customHeight="1">
      <c r="B6605" s="7"/>
      <c r="C6605" s="7"/>
      <c r="D6605" s="7"/>
      <c r="E6605" s="7"/>
      <c r="F6605" s="7"/>
      <c r="G6605" s="7"/>
      <c r="H6605" s="7">
        <f t="shared" si="1"/>
        <v>1029</v>
      </c>
    </row>
    <row r="6606" ht="22.5" customHeight="1">
      <c r="B6606" s="7"/>
      <c r="C6606" s="7"/>
      <c r="D6606" s="7"/>
      <c r="E6606" s="7"/>
      <c r="F6606" s="7"/>
      <c r="G6606" s="7"/>
      <c r="H6606" s="7">
        <f t="shared" si="1"/>
        <v>1029</v>
      </c>
    </row>
    <row r="6607" ht="22.5" customHeight="1">
      <c r="B6607" s="7"/>
      <c r="C6607" s="7"/>
      <c r="D6607" s="7"/>
      <c r="E6607" s="7"/>
      <c r="F6607" s="7"/>
      <c r="G6607" s="7"/>
      <c r="H6607" s="7">
        <f t="shared" si="1"/>
        <v>1029</v>
      </c>
    </row>
    <row r="6608" ht="22.5" customHeight="1">
      <c r="B6608" s="7"/>
      <c r="C6608" s="7"/>
      <c r="D6608" s="7"/>
      <c r="E6608" s="7"/>
      <c r="F6608" s="7"/>
      <c r="G6608" s="7"/>
      <c r="H6608" s="7">
        <f t="shared" si="1"/>
        <v>1029</v>
      </c>
    </row>
    <row r="6609" ht="22.5" customHeight="1">
      <c r="B6609" s="7"/>
      <c r="C6609" s="7"/>
      <c r="D6609" s="7"/>
      <c r="E6609" s="7"/>
      <c r="F6609" s="7"/>
      <c r="G6609" s="7"/>
      <c r="H6609" s="7">
        <f t="shared" si="1"/>
        <v>1029</v>
      </c>
    </row>
    <row r="6610" ht="22.5" customHeight="1">
      <c r="B6610" s="7"/>
      <c r="C6610" s="7"/>
      <c r="D6610" s="7"/>
      <c r="E6610" s="7"/>
      <c r="F6610" s="7"/>
      <c r="G6610" s="7"/>
      <c r="H6610" s="7">
        <f t="shared" si="1"/>
        <v>1029</v>
      </c>
    </row>
    <row r="6611" ht="22.5" customHeight="1">
      <c r="B6611" s="7"/>
      <c r="C6611" s="7"/>
      <c r="D6611" s="7"/>
      <c r="E6611" s="7"/>
      <c r="F6611" s="7"/>
      <c r="G6611" s="7"/>
      <c r="H6611" s="7">
        <f t="shared" si="1"/>
        <v>1029</v>
      </c>
    </row>
    <row r="6612" ht="22.5" customHeight="1">
      <c r="B6612" s="7"/>
      <c r="C6612" s="7"/>
      <c r="D6612" s="7"/>
      <c r="E6612" s="7"/>
      <c r="F6612" s="7"/>
      <c r="G6612" s="7"/>
      <c r="H6612" s="7">
        <f t="shared" si="1"/>
        <v>1029</v>
      </c>
    </row>
    <row r="6613" ht="22.5" customHeight="1">
      <c r="B6613" s="7"/>
      <c r="C6613" s="7"/>
      <c r="D6613" s="7"/>
      <c r="E6613" s="7"/>
      <c r="F6613" s="7"/>
      <c r="G6613" s="7"/>
      <c r="H6613" s="7">
        <f t="shared" si="1"/>
        <v>1029</v>
      </c>
    </row>
    <row r="6614" ht="22.5" customHeight="1">
      <c r="B6614" s="7"/>
      <c r="C6614" s="7"/>
      <c r="D6614" s="7"/>
      <c r="E6614" s="7"/>
      <c r="F6614" s="7"/>
      <c r="G6614" s="7"/>
      <c r="H6614" s="7">
        <f t="shared" si="1"/>
        <v>1029</v>
      </c>
    </row>
    <row r="6615" ht="22.5" customHeight="1">
      <c r="B6615" s="7"/>
      <c r="C6615" s="7"/>
      <c r="D6615" s="7"/>
      <c r="E6615" s="7"/>
      <c r="F6615" s="7"/>
      <c r="G6615" s="7"/>
      <c r="H6615" s="7">
        <f t="shared" si="1"/>
        <v>1029</v>
      </c>
    </row>
    <row r="6616" ht="22.5" customHeight="1">
      <c r="B6616" s="7"/>
      <c r="C6616" s="7"/>
      <c r="D6616" s="7"/>
      <c r="E6616" s="7"/>
      <c r="F6616" s="7"/>
      <c r="G6616" s="7"/>
      <c r="H6616" s="7">
        <f t="shared" si="1"/>
        <v>1029</v>
      </c>
    </row>
    <row r="6617" ht="22.5" customHeight="1">
      <c r="B6617" s="7"/>
      <c r="C6617" s="7"/>
      <c r="D6617" s="7"/>
      <c r="E6617" s="7"/>
      <c r="F6617" s="7"/>
      <c r="G6617" s="7"/>
      <c r="H6617" s="7">
        <f t="shared" si="1"/>
        <v>1029</v>
      </c>
    </row>
    <row r="6618" ht="22.5" customHeight="1">
      <c r="B6618" s="7"/>
      <c r="C6618" s="7"/>
      <c r="D6618" s="7"/>
      <c r="E6618" s="7"/>
      <c r="F6618" s="7"/>
      <c r="G6618" s="7"/>
      <c r="H6618" s="7">
        <f t="shared" si="1"/>
        <v>1029</v>
      </c>
    </row>
    <row r="6619" ht="22.5" customHeight="1">
      <c r="B6619" s="7"/>
      <c r="C6619" s="7"/>
      <c r="D6619" s="7"/>
      <c r="E6619" s="7"/>
      <c r="F6619" s="7"/>
      <c r="G6619" s="7"/>
      <c r="H6619" s="7">
        <f t="shared" si="1"/>
        <v>1029</v>
      </c>
    </row>
    <row r="6620" ht="22.5" customHeight="1">
      <c r="B6620" s="7"/>
      <c r="C6620" s="7"/>
      <c r="D6620" s="7"/>
      <c r="E6620" s="7"/>
      <c r="F6620" s="7"/>
      <c r="G6620" s="7"/>
      <c r="H6620" s="7">
        <f t="shared" si="1"/>
        <v>1029</v>
      </c>
    </row>
    <row r="6621" ht="22.5" customHeight="1">
      <c r="B6621" s="7"/>
      <c r="C6621" s="7"/>
      <c r="D6621" s="7"/>
      <c r="E6621" s="7"/>
      <c r="F6621" s="7"/>
      <c r="G6621" s="7"/>
      <c r="H6621" s="7">
        <f t="shared" si="1"/>
        <v>1029</v>
      </c>
    </row>
    <row r="6622" ht="22.5" customHeight="1">
      <c r="B6622" s="7"/>
      <c r="C6622" s="7"/>
      <c r="D6622" s="7"/>
      <c r="E6622" s="7"/>
      <c r="F6622" s="7"/>
      <c r="G6622" s="7"/>
      <c r="H6622" s="7">
        <f t="shared" si="1"/>
        <v>1029</v>
      </c>
    </row>
    <row r="6623" ht="22.5" customHeight="1">
      <c r="B6623" s="7"/>
      <c r="C6623" s="7"/>
      <c r="D6623" s="7"/>
      <c r="E6623" s="7"/>
      <c r="F6623" s="7"/>
      <c r="G6623" s="7"/>
      <c r="H6623" s="7">
        <f t="shared" si="1"/>
        <v>1029</v>
      </c>
    </row>
    <row r="6624" ht="22.5" customHeight="1">
      <c r="B6624" s="7"/>
      <c r="C6624" s="7"/>
      <c r="D6624" s="7"/>
      <c r="E6624" s="7"/>
      <c r="F6624" s="7"/>
      <c r="G6624" s="7"/>
      <c r="H6624" s="7">
        <f t="shared" si="1"/>
        <v>1029</v>
      </c>
    </row>
    <row r="6625" ht="22.5" customHeight="1">
      <c r="B6625" s="7"/>
      <c r="C6625" s="7"/>
      <c r="D6625" s="7"/>
      <c r="E6625" s="7"/>
      <c r="F6625" s="7"/>
      <c r="G6625" s="7"/>
      <c r="H6625" s="7">
        <f t="shared" si="1"/>
        <v>1029</v>
      </c>
    </row>
    <row r="6626" ht="22.5" customHeight="1">
      <c r="B6626" s="7"/>
      <c r="C6626" s="7"/>
      <c r="D6626" s="7"/>
      <c r="E6626" s="7"/>
      <c r="F6626" s="7"/>
      <c r="G6626" s="7"/>
      <c r="H6626" s="7">
        <f t="shared" si="1"/>
        <v>1029</v>
      </c>
    </row>
    <row r="6627" ht="22.5" customHeight="1">
      <c r="B6627" s="7"/>
      <c r="C6627" s="7"/>
      <c r="D6627" s="7"/>
      <c r="E6627" s="7"/>
      <c r="F6627" s="7"/>
      <c r="G6627" s="7"/>
      <c r="H6627" s="7">
        <f t="shared" si="1"/>
        <v>1029</v>
      </c>
    </row>
    <row r="6628" ht="22.5" customHeight="1">
      <c r="B6628" s="7"/>
      <c r="C6628" s="7"/>
      <c r="D6628" s="7"/>
      <c r="E6628" s="7"/>
      <c r="F6628" s="7"/>
      <c r="G6628" s="7"/>
      <c r="H6628" s="7">
        <f t="shared" si="1"/>
        <v>1029</v>
      </c>
    </row>
    <row r="6629" ht="22.5" customHeight="1">
      <c r="B6629" s="7"/>
      <c r="C6629" s="7"/>
      <c r="D6629" s="7"/>
      <c r="E6629" s="7"/>
      <c r="F6629" s="7"/>
      <c r="G6629" s="7"/>
      <c r="H6629" s="7">
        <f t="shared" si="1"/>
        <v>1029</v>
      </c>
    </row>
    <row r="6630" ht="22.5" customHeight="1">
      <c r="B6630" s="7"/>
      <c r="C6630" s="7"/>
      <c r="D6630" s="7"/>
      <c r="E6630" s="7"/>
      <c r="F6630" s="7"/>
      <c r="G6630" s="7"/>
      <c r="H6630" s="7">
        <f t="shared" si="1"/>
        <v>1029</v>
      </c>
    </row>
    <row r="6631" ht="22.5" customHeight="1">
      <c r="B6631" s="7"/>
      <c r="C6631" s="7"/>
      <c r="D6631" s="7"/>
      <c r="E6631" s="7"/>
      <c r="F6631" s="7"/>
      <c r="G6631" s="7"/>
      <c r="H6631" s="7">
        <f t="shared" si="1"/>
        <v>1029</v>
      </c>
    </row>
    <row r="6632" ht="22.5" customHeight="1">
      <c r="B6632" s="7"/>
      <c r="C6632" s="7"/>
      <c r="D6632" s="7"/>
      <c r="E6632" s="7"/>
      <c r="F6632" s="7"/>
      <c r="G6632" s="7"/>
      <c r="H6632" s="7">
        <f t="shared" si="1"/>
        <v>1029</v>
      </c>
    </row>
    <row r="6633" ht="22.5" customHeight="1">
      <c r="B6633" s="7"/>
      <c r="C6633" s="7"/>
      <c r="D6633" s="7"/>
      <c r="E6633" s="7"/>
      <c r="F6633" s="7"/>
      <c r="G6633" s="7"/>
      <c r="H6633" s="7">
        <f t="shared" si="1"/>
        <v>1029</v>
      </c>
    </row>
    <row r="6634" ht="22.5" customHeight="1">
      <c r="B6634" s="7"/>
      <c r="C6634" s="7"/>
      <c r="D6634" s="7"/>
      <c r="E6634" s="7"/>
      <c r="F6634" s="7"/>
      <c r="G6634" s="7"/>
      <c r="H6634" s="7">
        <f t="shared" si="1"/>
        <v>1029</v>
      </c>
    </row>
    <row r="6635" ht="22.5" customHeight="1">
      <c r="B6635" s="7"/>
      <c r="C6635" s="7"/>
      <c r="D6635" s="7"/>
      <c r="E6635" s="7"/>
      <c r="F6635" s="7"/>
      <c r="G6635" s="7"/>
      <c r="H6635" s="7">
        <f t="shared" si="1"/>
        <v>1029</v>
      </c>
    </row>
    <row r="6636" ht="22.5" customHeight="1">
      <c r="B6636" s="7"/>
      <c r="C6636" s="7"/>
      <c r="D6636" s="7"/>
      <c r="E6636" s="7"/>
      <c r="F6636" s="7"/>
      <c r="G6636" s="7"/>
      <c r="H6636" s="7">
        <f t="shared" si="1"/>
        <v>1029</v>
      </c>
    </row>
    <row r="6637" ht="22.5" customHeight="1">
      <c r="B6637" s="7"/>
      <c r="C6637" s="7"/>
      <c r="D6637" s="7"/>
      <c r="E6637" s="7"/>
      <c r="F6637" s="7"/>
      <c r="G6637" s="7"/>
      <c r="H6637" s="7">
        <f t="shared" si="1"/>
        <v>1029</v>
      </c>
    </row>
    <row r="6638" ht="22.5" customHeight="1">
      <c r="B6638" s="7"/>
      <c r="C6638" s="7"/>
      <c r="D6638" s="7"/>
      <c r="E6638" s="7"/>
      <c r="F6638" s="7"/>
      <c r="G6638" s="7"/>
      <c r="H6638" s="7">
        <f t="shared" si="1"/>
        <v>1029</v>
      </c>
    </row>
    <row r="6639" ht="22.5" customHeight="1">
      <c r="B6639" s="7"/>
      <c r="C6639" s="7"/>
      <c r="D6639" s="7"/>
      <c r="E6639" s="7"/>
      <c r="F6639" s="7"/>
      <c r="G6639" s="7"/>
      <c r="H6639" s="7">
        <f t="shared" si="1"/>
        <v>1029</v>
      </c>
    </row>
    <row r="6640" ht="22.5" customHeight="1">
      <c r="B6640" s="7"/>
      <c r="C6640" s="7"/>
      <c r="D6640" s="7"/>
      <c r="E6640" s="7"/>
      <c r="F6640" s="7"/>
      <c r="G6640" s="7"/>
      <c r="H6640" s="7">
        <f t="shared" si="1"/>
        <v>1029</v>
      </c>
    </row>
    <row r="6641" ht="22.5" customHeight="1">
      <c r="B6641" s="7"/>
      <c r="C6641" s="7"/>
      <c r="D6641" s="7"/>
      <c r="E6641" s="7"/>
      <c r="F6641" s="7"/>
      <c r="G6641" s="7"/>
      <c r="H6641" s="7">
        <f t="shared" si="1"/>
        <v>1029</v>
      </c>
    </row>
    <row r="6642" ht="22.5" customHeight="1">
      <c r="B6642" s="7"/>
      <c r="C6642" s="7"/>
      <c r="D6642" s="7"/>
      <c r="E6642" s="7"/>
      <c r="F6642" s="7"/>
      <c r="G6642" s="7"/>
      <c r="H6642" s="7">
        <f t="shared" si="1"/>
        <v>1029</v>
      </c>
    </row>
    <row r="6643" ht="22.5" customHeight="1">
      <c r="B6643" s="7"/>
      <c r="C6643" s="7"/>
      <c r="D6643" s="7"/>
      <c r="E6643" s="7"/>
      <c r="F6643" s="7"/>
      <c r="G6643" s="7"/>
      <c r="H6643" s="7">
        <f t="shared" si="1"/>
        <v>1029</v>
      </c>
    </row>
    <row r="6644" ht="22.5" customHeight="1">
      <c r="B6644" s="7"/>
      <c r="C6644" s="7"/>
      <c r="D6644" s="7"/>
      <c r="E6644" s="7"/>
      <c r="F6644" s="7"/>
      <c r="G6644" s="7"/>
      <c r="H6644" s="7">
        <f t="shared" si="1"/>
        <v>1029</v>
      </c>
    </row>
    <row r="6645" ht="22.5" customHeight="1">
      <c r="B6645" s="7"/>
      <c r="C6645" s="7"/>
      <c r="D6645" s="7"/>
      <c r="E6645" s="7"/>
      <c r="F6645" s="7"/>
      <c r="G6645" s="7"/>
      <c r="H6645" s="7">
        <f t="shared" si="1"/>
        <v>1029</v>
      </c>
    </row>
    <row r="6646" ht="22.5" customHeight="1">
      <c r="B6646" s="7"/>
      <c r="C6646" s="7"/>
      <c r="D6646" s="7"/>
      <c r="E6646" s="7"/>
      <c r="F6646" s="7"/>
      <c r="G6646" s="7"/>
      <c r="H6646" s="7">
        <f t="shared" si="1"/>
        <v>1029</v>
      </c>
    </row>
    <row r="6647" ht="22.5" customHeight="1">
      <c r="B6647" s="7"/>
      <c r="C6647" s="7"/>
      <c r="D6647" s="7"/>
      <c r="E6647" s="7"/>
      <c r="F6647" s="7"/>
      <c r="G6647" s="7"/>
      <c r="H6647" s="7">
        <f t="shared" si="1"/>
        <v>1029</v>
      </c>
    </row>
    <row r="6648" ht="22.5" customHeight="1">
      <c r="B6648" s="7"/>
      <c r="C6648" s="7"/>
      <c r="D6648" s="7"/>
      <c r="E6648" s="7"/>
      <c r="F6648" s="7"/>
      <c r="G6648" s="7"/>
      <c r="H6648" s="7">
        <f t="shared" si="1"/>
        <v>1029</v>
      </c>
    </row>
    <row r="6649" ht="22.5" customHeight="1">
      <c r="B6649" s="7"/>
      <c r="C6649" s="7"/>
      <c r="D6649" s="7"/>
      <c r="E6649" s="7"/>
      <c r="F6649" s="7"/>
      <c r="G6649" s="7"/>
      <c r="H6649" s="7">
        <f t="shared" si="1"/>
        <v>1029</v>
      </c>
    </row>
    <row r="6650" ht="22.5" customHeight="1">
      <c r="B6650" s="7"/>
      <c r="C6650" s="7"/>
      <c r="D6650" s="7"/>
      <c r="E6650" s="7"/>
      <c r="F6650" s="7"/>
      <c r="G6650" s="7"/>
      <c r="H6650" s="7">
        <f t="shared" si="1"/>
        <v>1029</v>
      </c>
    </row>
    <row r="6651" ht="22.5" customHeight="1">
      <c r="B6651" s="7"/>
      <c r="C6651" s="7"/>
      <c r="D6651" s="7"/>
      <c r="E6651" s="7"/>
      <c r="F6651" s="7"/>
      <c r="G6651" s="7"/>
      <c r="H6651" s="7">
        <f t="shared" si="1"/>
        <v>1029</v>
      </c>
    </row>
    <row r="6652" ht="22.5" customHeight="1">
      <c r="B6652" s="7"/>
      <c r="C6652" s="7"/>
      <c r="D6652" s="7"/>
      <c r="E6652" s="7"/>
      <c r="F6652" s="7"/>
      <c r="G6652" s="7"/>
      <c r="H6652" s="7">
        <f t="shared" si="1"/>
        <v>1029</v>
      </c>
    </row>
    <row r="6653" ht="22.5" customHeight="1">
      <c r="B6653" s="7"/>
      <c r="C6653" s="7"/>
      <c r="D6653" s="7"/>
      <c r="E6653" s="7"/>
      <c r="F6653" s="7"/>
      <c r="G6653" s="7"/>
      <c r="H6653" s="7">
        <f t="shared" si="1"/>
        <v>1029</v>
      </c>
    </row>
    <row r="6654" ht="22.5" customHeight="1">
      <c r="B6654" s="7"/>
      <c r="C6654" s="7"/>
      <c r="D6654" s="7"/>
      <c r="E6654" s="7"/>
      <c r="F6654" s="7"/>
      <c r="G6654" s="7"/>
      <c r="H6654" s="7">
        <f t="shared" si="1"/>
        <v>1029</v>
      </c>
    </row>
    <row r="6655" ht="22.5" customHeight="1">
      <c r="B6655" s="7"/>
      <c r="C6655" s="7"/>
      <c r="D6655" s="7"/>
      <c r="E6655" s="7"/>
      <c r="F6655" s="7"/>
      <c r="G6655" s="7"/>
      <c r="H6655" s="7">
        <f t="shared" si="1"/>
        <v>1029</v>
      </c>
    </row>
    <row r="6656" ht="22.5" customHeight="1">
      <c r="B6656" s="7"/>
      <c r="C6656" s="7"/>
      <c r="D6656" s="7"/>
      <c r="E6656" s="7"/>
      <c r="F6656" s="7"/>
      <c r="G6656" s="7"/>
      <c r="H6656" s="7">
        <f t="shared" si="1"/>
        <v>1029</v>
      </c>
    </row>
    <row r="6657" ht="22.5" customHeight="1">
      <c r="B6657" s="7"/>
      <c r="C6657" s="7"/>
      <c r="D6657" s="7"/>
      <c r="E6657" s="7"/>
      <c r="F6657" s="7"/>
      <c r="G6657" s="7"/>
      <c r="H6657" s="7">
        <f t="shared" si="1"/>
        <v>1029</v>
      </c>
    </row>
    <row r="6658" ht="22.5" customHeight="1">
      <c r="B6658" s="7"/>
      <c r="C6658" s="7"/>
      <c r="D6658" s="7"/>
      <c r="E6658" s="7"/>
      <c r="F6658" s="7"/>
      <c r="G6658" s="7"/>
      <c r="H6658" s="7">
        <f t="shared" si="1"/>
        <v>1029</v>
      </c>
    </row>
    <row r="6659" ht="22.5" customHeight="1">
      <c r="B6659" s="7"/>
      <c r="C6659" s="7"/>
      <c r="D6659" s="7"/>
      <c r="E6659" s="7"/>
      <c r="F6659" s="7"/>
      <c r="G6659" s="7"/>
      <c r="H6659" s="7">
        <f t="shared" si="1"/>
        <v>1029</v>
      </c>
    </row>
    <row r="6660" ht="22.5" customHeight="1">
      <c r="B6660" s="7"/>
      <c r="C6660" s="7"/>
      <c r="D6660" s="7"/>
      <c r="E6660" s="7"/>
      <c r="F6660" s="7"/>
      <c r="G6660" s="7"/>
      <c r="H6660" s="7">
        <f t="shared" si="1"/>
        <v>1029</v>
      </c>
    </row>
    <row r="6661" ht="22.5" customHeight="1">
      <c r="B6661" s="7"/>
      <c r="C6661" s="7"/>
      <c r="D6661" s="7"/>
      <c r="E6661" s="7"/>
      <c r="F6661" s="7"/>
      <c r="G6661" s="7"/>
      <c r="H6661" s="7">
        <f t="shared" si="1"/>
        <v>1029</v>
      </c>
    </row>
    <row r="6662" ht="22.5" customHeight="1">
      <c r="B6662" s="7"/>
      <c r="C6662" s="7"/>
      <c r="D6662" s="7"/>
      <c r="E6662" s="7"/>
      <c r="F6662" s="7"/>
      <c r="G6662" s="7"/>
      <c r="H6662" s="7">
        <f t="shared" si="1"/>
        <v>1029</v>
      </c>
    </row>
    <row r="6663" ht="22.5" customHeight="1">
      <c r="B6663" s="7"/>
      <c r="C6663" s="7"/>
      <c r="D6663" s="7"/>
      <c r="E6663" s="7"/>
      <c r="F6663" s="7"/>
      <c r="G6663" s="7"/>
      <c r="H6663" s="7">
        <f t="shared" si="1"/>
        <v>1029</v>
      </c>
    </row>
    <row r="6664" ht="22.5" customHeight="1">
      <c r="B6664" s="7"/>
      <c r="C6664" s="7"/>
      <c r="D6664" s="7"/>
      <c r="E6664" s="7"/>
      <c r="F6664" s="7"/>
      <c r="G6664" s="7"/>
      <c r="H6664" s="7">
        <f t="shared" si="1"/>
        <v>1029</v>
      </c>
    </row>
    <row r="6665" ht="22.5" customHeight="1">
      <c r="B6665" s="7"/>
      <c r="C6665" s="7"/>
      <c r="D6665" s="7"/>
      <c r="E6665" s="7"/>
      <c r="F6665" s="7"/>
      <c r="G6665" s="7"/>
      <c r="H6665" s="7">
        <f t="shared" si="1"/>
        <v>1029</v>
      </c>
    </row>
    <row r="6666" ht="22.5" customHeight="1">
      <c r="B6666" s="7"/>
      <c r="C6666" s="7"/>
      <c r="D6666" s="7"/>
      <c r="E6666" s="7"/>
      <c r="F6666" s="7"/>
      <c r="G6666" s="7"/>
      <c r="H6666" s="7">
        <f t="shared" si="1"/>
        <v>1029</v>
      </c>
    </row>
    <row r="6667" ht="22.5" customHeight="1">
      <c r="B6667" s="7"/>
      <c r="C6667" s="7"/>
      <c r="D6667" s="7"/>
      <c r="E6667" s="7"/>
      <c r="F6667" s="7"/>
      <c r="G6667" s="7"/>
      <c r="H6667" s="7">
        <f t="shared" si="1"/>
        <v>1029</v>
      </c>
    </row>
    <row r="6668" ht="22.5" customHeight="1">
      <c r="B6668" s="7"/>
      <c r="C6668" s="7"/>
      <c r="D6668" s="7"/>
      <c r="E6668" s="7"/>
      <c r="F6668" s="7"/>
      <c r="G6668" s="7"/>
      <c r="H6668" s="7">
        <f t="shared" si="1"/>
        <v>1029</v>
      </c>
    </row>
    <row r="6669" ht="22.5" customHeight="1">
      <c r="B6669" s="7"/>
      <c r="C6669" s="7"/>
      <c r="D6669" s="7"/>
      <c r="E6669" s="7"/>
      <c r="F6669" s="7"/>
      <c r="G6669" s="7"/>
      <c r="H6669" s="7">
        <f t="shared" si="1"/>
        <v>1029</v>
      </c>
    </row>
    <row r="6670" ht="22.5" customHeight="1">
      <c r="B6670" s="7"/>
      <c r="C6670" s="7"/>
      <c r="D6670" s="7"/>
      <c r="E6670" s="7"/>
      <c r="F6670" s="7"/>
      <c r="G6670" s="7"/>
      <c r="H6670" s="7">
        <f t="shared" si="1"/>
        <v>1029</v>
      </c>
    </row>
    <row r="6671" ht="22.5" customHeight="1">
      <c r="B6671" s="7"/>
      <c r="C6671" s="7"/>
      <c r="D6671" s="7"/>
      <c r="E6671" s="7"/>
      <c r="F6671" s="7"/>
      <c r="G6671" s="7"/>
      <c r="H6671" s="7">
        <f t="shared" si="1"/>
        <v>1029</v>
      </c>
    </row>
    <row r="6672" ht="22.5" customHeight="1">
      <c r="B6672" s="7"/>
      <c r="C6672" s="7"/>
      <c r="D6672" s="7"/>
      <c r="E6672" s="7"/>
      <c r="F6672" s="7"/>
      <c r="G6672" s="7"/>
      <c r="H6672" s="7">
        <f t="shared" si="1"/>
        <v>1029</v>
      </c>
    </row>
    <row r="6673" ht="22.5" customHeight="1">
      <c r="B6673" s="7"/>
      <c r="C6673" s="7"/>
      <c r="D6673" s="7"/>
      <c r="E6673" s="7"/>
      <c r="F6673" s="7"/>
      <c r="G6673" s="7"/>
      <c r="H6673" s="7">
        <f t="shared" si="1"/>
        <v>1029</v>
      </c>
    </row>
    <row r="6674" ht="22.5" customHeight="1">
      <c r="B6674" s="7"/>
      <c r="C6674" s="7"/>
      <c r="D6674" s="7"/>
      <c r="E6674" s="7"/>
      <c r="F6674" s="7"/>
      <c r="G6674" s="7"/>
      <c r="H6674" s="7">
        <f t="shared" si="1"/>
        <v>1029</v>
      </c>
    </row>
    <row r="6675" ht="22.5" customHeight="1">
      <c r="B6675" s="7"/>
      <c r="C6675" s="7"/>
      <c r="D6675" s="7"/>
      <c r="E6675" s="7"/>
      <c r="F6675" s="7"/>
      <c r="G6675" s="7"/>
      <c r="H6675" s="7">
        <f t="shared" si="1"/>
        <v>1029</v>
      </c>
    </row>
    <row r="6676" ht="22.5" customHeight="1">
      <c r="B6676" s="7"/>
      <c r="C6676" s="7"/>
      <c r="D6676" s="7"/>
      <c r="E6676" s="7"/>
      <c r="F6676" s="7"/>
      <c r="G6676" s="7"/>
      <c r="H6676" s="7">
        <f t="shared" si="1"/>
        <v>1029</v>
      </c>
    </row>
    <row r="6677" ht="22.5" customHeight="1">
      <c r="B6677" s="7"/>
      <c r="C6677" s="7"/>
      <c r="D6677" s="7"/>
      <c r="E6677" s="7"/>
      <c r="F6677" s="7"/>
      <c r="G6677" s="7"/>
      <c r="H6677" s="7">
        <f t="shared" si="1"/>
        <v>1029</v>
      </c>
    </row>
    <row r="6678" ht="22.5" customHeight="1">
      <c r="B6678" s="7"/>
      <c r="C6678" s="7"/>
      <c r="D6678" s="7"/>
      <c r="E6678" s="7"/>
      <c r="F6678" s="7"/>
      <c r="G6678" s="7"/>
      <c r="H6678" s="7">
        <f t="shared" si="1"/>
        <v>1029</v>
      </c>
    </row>
    <row r="6679" ht="22.5" customHeight="1">
      <c r="B6679" s="7"/>
      <c r="C6679" s="7"/>
      <c r="D6679" s="7"/>
      <c r="E6679" s="7"/>
      <c r="F6679" s="7"/>
      <c r="G6679" s="7"/>
      <c r="H6679" s="7">
        <f t="shared" si="1"/>
        <v>1029</v>
      </c>
    </row>
    <row r="6680" ht="22.5" customHeight="1">
      <c r="B6680" s="7"/>
      <c r="C6680" s="7"/>
      <c r="D6680" s="7"/>
      <c r="E6680" s="7"/>
      <c r="F6680" s="7"/>
      <c r="G6680" s="7"/>
      <c r="H6680" s="7">
        <f t="shared" si="1"/>
        <v>1029</v>
      </c>
    </row>
    <row r="6681" ht="22.5" customHeight="1">
      <c r="B6681" s="7"/>
      <c r="C6681" s="7"/>
      <c r="D6681" s="7"/>
      <c r="E6681" s="7"/>
      <c r="F6681" s="7"/>
      <c r="G6681" s="7"/>
      <c r="H6681" s="7">
        <f t="shared" si="1"/>
        <v>1029</v>
      </c>
    </row>
    <row r="6682" ht="22.5" customHeight="1">
      <c r="B6682" s="7"/>
      <c r="C6682" s="7"/>
      <c r="D6682" s="7"/>
      <c r="E6682" s="7"/>
      <c r="F6682" s="7"/>
      <c r="G6682" s="7"/>
      <c r="H6682" s="7">
        <f t="shared" si="1"/>
        <v>1029</v>
      </c>
    </row>
    <row r="6683" ht="22.5" customHeight="1">
      <c r="B6683" s="7"/>
      <c r="C6683" s="7"/>
      <c r="D6683" s="7"/>
      <c r="E6683" s="7"/>
      <c r="F6683" s="7"/>
      <c r="G6683" s="7"/>
      <c r="H6683" s="7">
        <f t="shared" si="1"/>
        <v>1029</v>
      </c>
    </row>
    <row r="6684" ht="22.5" customHeight="1">
      <c r="B6684" s="7"/>
      <c r="C6684" s="7"/>
      <c r="D6684" s="7"/>
      <c r="E6684" s="7"/>
      <c r="F6684" s="7"/>
      <c r="G6684" s="7"/>
      <c r="H6684" s="7">
        <f t="shared" si="1"/>
        <v>1029</v>
      </c>
    </row>
    <row r="6685" ht="22.5" customHeight="1">
      <c r="B6685" s="7"/>
      <c r="C6685" s="7"/>
      <c r="D6685" s="7"/>
      <c r="E6685" s="7"/>
      <c r="F6685" s="7"/>
      <c r="G6685" s="7"/>
      <c r="H6685" s="7">
        <f t="shared" si="1"/>
        <v>1029</v>
      </c>
    </row>
    <row r="6686" ht="22.5" customHeight="1">
      <c r="B6686" s="7"/>
      <c r="C6686" s="7"/>
      <c r="D6686" s="7"/>
      <c r="E6686" s="7"/>
      <c r="F6686" s="7"/>
      <c r="G6686" s="7"/>
      <c r="H6686" s="7">
        <f t="shared" si="1"/>
        <v>1029</v>
      </c>
    </row>
    <row r="6687" ht="22.5" customHeight="1">
      <c r="B6687" s="7"/>
      <c r="C6687" s="7"/>
      <c r="D6687" s="7"/>
      <c r="E6687" s="7"/>
      <c r="F6687" s="7"/>
      <c r="G6687" s="7"/>
      <c r="H6687" s="7">
        <f t="shared" si="1"/>
        <v>1029</v>
      </c>
    </row>
    <row r="6688" ht="22.5" customHeight="1">
      <c r="B6688" s="7"/>
      <c r="C6688" s="7"/>
      <c r="D6688" s="7"/>
      <c r="E6688" s="7"/>
      <c r="F6688" s="7"/>
      <c r="G6688" s="7"/>
      <c r="H6688" s="7">
        <f t="shared" si="1"/>
        <v>1029</v>
      </c>
    </row>
    <row r="6689" ht="22.5" customHeight="1">
      <c r="B6689" s="7"/>
      <c r="C6689" s="7"/>
      <c r="D6689" s="7"/>
      <c r="E6689" s="7"/>
      <c r="F6689" s="7"/>
      <c r="G6689" s="7"/>
      <c r="H6689" s="7">
        <f t="shared" si="1"/>
        <v>1029</v>
      </c>
    </row>
    <row r="6690" ht="22.5" customHeight="1">
      <c r="B6690" s="7"/>
      <c r="C6690" s="7"/>
      <c r="D6690" s="7"/>
      <c r="E6690" s="7"/>
      <c r="F6690" s="7"/>
      <c r="G6690" s="7"/>
      <c r="H6690" s="7">
        <f t="shared" si="1"/>
        <v>1029</v>
      </c>
    </row>
    <row r="6691" ht="22.5" customHeight="1">
      <c r="B6691" s="7"/>
      <c r="C6691" s="7"/>
      <c r="D6691" s="7"/>
      <c r="E6691" s="7"/>
      <c r="F6691" s="7"/>
      <c r="G6691" s="7"/>
      <c r="H6691" s="7">
        <f t="shared" si="1"/>
        <v>1029</v>
      </c>
    </row>
    <row r="6692" ht="22.5" customHeight="1">
      <c r="B6692" s="7"/>
      <c r="C6692" s="7"/>
      <c r="D6692" s="7"/>
      <c r="E6692" s="7"/>
      <c r="F6692" s="7"/>
      <c r="G6692" s="7"/>
      <c r="H6692" s="7">
        <f t="shared" si="1"/>
        <v>1029</v>
      </c>
    </row>
    <row r="6693" ht="22.5" customHeight="1">
      <c r="B6693" s="7"/>
      <c r="C6693" s="7"/>
      <c r="D6693" s="7"/>
      <c r="E6693" s="7"/>
      <c r="F6693" s="7"/>
      <c r="G6693" s="7"/>
      <c r="H6693" s="7">
        <f t="shared" si="1"/>
        <v>1029</v>
      </c>
    </row>
    <row r="6694" ht="22.5" customHeight="1">
      <c r="B6694" s="7"/>
      <c r="C6694" s="7"/>
      <c r="D6694" s="7"/>
      <c r="E6694" s="7"/>
      <c r="F6694" s="7"/>
      <c r="G6694" s="7"/>
      <c r="H6694" s="7">
        <f t="shared" si="1"/>
        <v>1029</v>
      </c>
    </row>
    <row r="6695" ht="22.5" customHeight="1">
      <c r="B6695" s="7"/>
      <c r="C6695" s="7"/>
      <c r="D6695" s="7"/>
      <c r="E6695" s="7"/>
      <c r="F6695" s="7"/>
      <c r="G6695" s="7"/>
      <c r="H6695" s="7">
        <f t="shared" si="1"/>
        <v>1029</v>
      </c>
    </row>
    <row r="6696" ht="22.5" customHeight="1">
      <c r="B6696" s="7"/>
      <c r="C6696" s="7"/>
      <c r="D6696" s="7"/>
      <c r="E6696" s="7"/>
      <c r="F6696" s="7"/>
      <c r="G6696" s="7"/>
      <c r="H6696" s="7">
        <f t="shared" si="1"/>
        <v>1029</v>
      </c>
    </row>
    <row r="6697" ht="22.5" customHeight="1">
      <c r="B6697" s="7"/>
      <c r="C6697" s="7"/>
      <c r="D6697" s="7"/>
      <c r="E6697" s="7"/>
      <c r="F6697" s="7"/>
      <c r="G6697" s="7"/>
      <c r="H6697" s="7">
        <f t="shared" si="1"/>
        <v>1029</v>
      </c>
    </row>
    <row r="6698" ht="22.5" customHeight="1">
      <c r="B6698" s="7"/>
      <c r="C6698" s="7"/>
      <c r="D6698" s="7"/>
      <c r="E6698" s="7"/>
      <c r="F6698" s="7"/>
      <c r="G6698" s="7"/>
      <c r="H6698" s="7">
        <f t="shared" si="1"/>
        <v>1029</v>
      </c>
    </row>
    <row r="6699" ht="22.5" customHeight="1">
      <c r="B6699" s="7"/>
      <c r="C6699" s="7"/>
      <c r="D6699" s="7"/>
      <c r="E6699" s="7"/>
      <c r="F6699" s="7"/>
      <c r="G6699" s="7"/>
      <c r="H6699" s="7">
        <f t="shared" si="1"/>
        <v>1029</v>
      </c>
    </row>
    <row r="6700" ht="22.5" customHeight="1">
      <c r="B6700" s="7"/>
      <c r="C6700" s="7"/>
      <c r="D6700" s="7"/>
      <c r="E6700" s="7"/>
      <c r="F6700" s="7"/>
      <c r="G6700" s="7"/>
      <c r="H6700" s="7">
        <f t="shared" si="1"/>
        <v>1029</v>
      </c>
    </row>
    <row r="6701" ht="22.5" customHeight="1">
      <c r="B6701" s="7"/>
      <c r="C6701" s="7"/>
      <c r="D6701" s="7"/>
      <c r="E6701" s="7"/>
      <c r="F6701" s="7"/>
      <c r="G6701" s="7"/>
      <c r="H6701" s="7">
        <f t="shared" si="1"/>
        <v>1029</v>
      </c>
    </row>
    <row r="6702" ht="22.5" customHeight="1">
      <c r="B6702" s="7"/>
      <c r="C6702" s="7"/>
      <c r="D6702" s="7"/>
      <c r="E6702" s="7"/>
      <c r="F6702" s="7"/>
      <c r="G6702" s="7"/>
      <c r="H6702" s="7">
        <f t="shared" si="1"/>
        <v>1029</v>
      </c>
    </row>
    <row r="6703" ht="22.5" customHeight="1">
      <c r="B6703" s="7"/>
      <c r="C6703" s="7"/>
      <c r="D6703" s="7"/>
      <c r="E6703" s="7"/>
      <c r="F6703" s="7"/>
      <c r="G6703" s="7"/>
      <c r="H6703" s="7">
        <f t="shared" si="1"/>
        <v>1029</v>
      </c>
    </row>
    <row r="6704" ht="22.5" customHeight="1">
      <c r="B6704" s="7"/>
      <c r="C6704" s="7"/>
      <c r="D6704" s="7"/>
      <c r="E6704" s="7"/>
      <c r="F6704" s="7"/>
      <c r="G6704" s="7"/>
      <c r="H6704" s="7">
        <f t="shared" si="1"/>
        <v>1029</v>
      </c>
    </row>
    <row r="6705" ht="22.5" customHeight="1">
      <c r="B6705" s="7"/>
      <c r="C6705" s="7"/>
      <c r="D6705" s="7"/>
      <c r="E6705" s="7"/>
      <c r="F6705" s="7"/>
      <c r="G6705" s="7"/>
      <c r="H6705" s="7">
        <f t="shared" si="1"/>
        <v>1029</v>
      </c>
    </row>
    <row r="6706" ht="22.5" customHeight="1">
      <c r="B6706" s="7"/>
      <c r="C6706" s="7"/>
      <c r="D6706" s="7"/>
      <c r="E6706" s="7"/>
      <c r="F6706" s="7"/>
      <c r="G6706" s="7"/>
      <c r="H6706" s="7">
        <f t="shared" si="1"/>
        <v>1029</v>
      </c>
    </row>
    <row r="6707" ht="22.5" customHeight="1">
      <c r="B6707" s="7"/>
      <c r="C6707" s="7"/>
      <c r="D6707" s="7"/>
      <c r="E6707" s="7"/>
      <c r="F6707" s="7"/>
      <c r="G6707" s="7"/>
      <c r="H6707" s="7">
        <f t="shared" si="1"/>
        <v>1029</v>
      </c>
    </row>
    <row r="6708" ht="22.5" customHeight="1">
      <c r="B6708" s="7"/>
      <c r="C6708" s="7"/>
      <c r="D6708" s="7"/>
      <c r="E6708" s="7"/>
      <c r="F6708" s="7"/>
      <c r="G6708" s="7"/>
      <c r="H6708" s="7">
        <f t="shared" si="1"/>
        <v>1029</v>
      </c>
    </row>
    <row r="6709" ht="22.5" customHeight="1">
      <c r="B6709" s="7"/>
      <c r="C6709" s="7"/>
      <c r="D6709" s="7"/>
      <c r="E6709" s="7"/>
      <c r="F6709" s="7"/>
      <c r="G6709" s="7"/>
      <c r="H6709" s="7">
        <f t="shared" si="1"/>
        <v>1029</v>
      </c>
    </row>
    <row r="6710" ht="22.5" customHeight="1">
      <c r="B6710" s="7"/>
      <c r="C6710" s="7"/>
      <c r="D6710" s="7"/>
      <c r="E6710" s="7"/>
      <c r="F6710" s="7"/>
      <c r="G6710" s="7"/>
      <c r="H6710" s="7">
        <f t="shared" si="1"/>
        <v>1029</v>
      </c>
    </row>
    <row r="6711" ht="22.5" customHeight="1">
      <c r="B6711" s="7"/>
      <c r="C6711" s="7"/>
      <c r="D6711" s="7"/>
      <c r="E6711" s="7"/>
      <c r="F6711" s="7"/>
      <c r="G6711" s="7"/>
      <c r="H6711" s="7">
        <f t="shared" si="1"/>
        <v>1029</v>
      </c>
    </row>
    <row r="6712" ht="22.5" customHeight="1">
      <c r="B6712" s="7"/>
      <c r="C6712" s="7"/>
      <c r="D6712" s="7"/>
      <c r="E6712" s="7"/>
      <c r="F6712" s="7"/>
      <c r="G6712" s="7"/>
      <c r="H6712" s="7">
        <f t="shared" si="1"/>
        <v>1029</v>
      </c>
    </row>
    <row r="6713" ht="22.5" customHeight="1">
      <c r="B6713" s="7"/>
      <c r="C6713" s="7"/>
      <c r="D6713" s="7"/>
      <c r="E6713" s="7"/>
      <c r="F6713" s="7"/>
      <c r="G6713" s="7"/>
      <c r="H6713" s="7">
        <f t="shared" si="1"/>
        <v>1029</v>
      </c>
    </row>
    <row r="6714" ht="22.5" customHeight="1">
      <c r="B6714" s="7"/>
      <c r="C6714" s="7"/>
      <c r="D6714" s="7"/>
      <c r="E6714" s="7"/>
      <c r="F6714" s="7"/>
      <c r="G6714" s="7"/>
      <c r="H6714" s="7">
        <f t="shared" si="1"/>
        <v>1029</v>
      </c>
    </row>
    <row r="6715" ht="22.5" customHeight="1">
      <c r="B6715" s="7"/>
      <c r="C6715" s="7"/>
      <c r="D6715" s="7"/>
      <c r="E6715" s="7"/>
      <c r="F6715" s="7"/>
      <c r="G6715" s="7"/>
      <c r="H6715" s="7">
        <f t="shared" si="1"/>
        <v>1029</v>
      </c>
    </row>
    <row r="6716" ht="22.5" customHeight="1">
      <c r="B6716" s="7"/>
      <c r="C6716" s="7"/>
      <c r="D6716" s="7"/>
      <c r="E6716" s="7"/>
      <c r="F6716" s="7"/>
      <c r="G6716" s="7"/>
      <c r="H6716" s="7">
        <f t="shared" si="1"/>
        <v>1029</v>
      </c>
    </row>
    <row r="6717" ht="22.5" customHeight="1">
      <c r="B6717" s="7"/>
      <c r="C6717" s="7"/>
      <c r="D6717" s="7"/>
      <c r="E6717" s="7"/>
      <c r="F6717" s="7"/>
      <c r="G6717" s="7"/>
      <c r="H6717" s="7">
        <f t="shared" si="1"/>
        <v>1029</v>
      </c>
    </row>
    <row r="6718" ht="22.5" customHeight="1">
      <c r="B6718" s="7"/>
      <c r="C6718" s="7"/>
      <c r="D6718" s="7"/>
      <c r="E6718" s="7"/>
      <c r="F6718" s="7"/>
      <c r="G6718" s="7"/>
      <c r="H6718" s="7">
        <f t="shared" si="1"/>
        <v>1029</v>
      </c>
    </row>
    <row r="6719" ht="22.5" customHeight="1">
      <c r="B6719" s="7"/>
      <c r="C6719" s="7"/>
      <c r="D6719" s="7"/>
      <c r="E6719" s="7"/>
      <c r="F6719" s="7"/>
      <c r="G6719" s="7"/>
      <c r="H6719" s="7">
        <f t="shared" si="1"/>
        <v>1029</v>
      </c>
    </row>
    <row r="6720" ht="22.5" customHeight="1">
      <c r="B6720" s="7"/>
      <c r="C6720" s="7"/>
      <c r="D6720" s="7"/>
      <c r="E6720" s="7"/>
      <c r="F6720" s="7"/>
      <c r="G6720" s="7"/>
      <c r="H6720" s="7">
        <f t="shared" si="1"/>
        <v>1029</v>
      </c>
    </row>
    <row r="6721" ht="22.5" customHeight="1">
      <c r="B6721" s="7"/>
      <c r="C6721" s="7"/>
      <c r="D6721" s="7"/>
      <c r="E6721" s="7"/>
      <c r="F6721" s="7"/>
      <c r="G6721" s="7"/>
      <c r="H6721" s="7">
        <f t="shared" si="1"/>
        <v>1029</v>
      </c>
    </row>
    <row r="6722" ht="22.5" customHeight="1">
      <c r="B6722" s="7"/>
      <c r="C6722" s="7"/>
      <c r="D6722" s="7"/>
      <c r="E6722" s="7"/>
      <c r="F6722" s="7"/>
      <c r="G6722" s="7"/>
      <c r="H6722" s="7">
        <f t="shared" si="1"/>
        <v>1029</v>
      </c>
    </row>
    <row r="6723" ht="22.5" customHeight="1">
      <c r="B6723" s="7"/>
      <c r="C6723" s="7"/>
      <c r="D6723" s="7"/>
      <c r="E6723" s="7"/>
      <c r="F6723" s="7"/>
      <c r="G6723" s="7"/>
      <c r="H6723" s="7">
        <f t="shared" si="1"/>
        <v>1029</v>
      </c>
    </row>
    <row r="6724" ht="22.5" customHeight="1">
      <c r="B6724" s="7"/>
      <c r="C6724" s="7"/>
      <c r="D6724" s="7"/>
      <c r="E6724" s="7"/>
      <c r="F6724" s="7"/>
      <c r="G6724" s="7"/>
      <c r="H6724" s="7">
        <f t="shared" si="1"/>
        <v>1029</v>
      </c>
    </row>
    <row r="6725" ht="22.5" customHeight="1">
      <c r="B6725" s="7"/>
      <c r="C6725" s="7"/>
      <c r="D6725" s="7"/>
      <c r="E6725" s="7"/>
      <c r="F6725" s="7"/>
      <c r="G6725" s="7"/>
      <c r="H6725" s="7">
        <f t="shared" si="1"/>
        <v>1029</v>
      </c>
    </row>
    <row r="6726" ht="22.5" customHeight="1">
      <c r="B6726" s="7"/>
      <c r="C6726" s="7"/>
      <c r="D6726" s="7"/>
      <c r="E6726" s="7"/>
      <c r="F6726" s="7"/>
      <c r="G6726" s="7"/>
      <c r="H6726" s="7">
        <f t="shared" si="1"/>
        <v>1029</v>
      </c>
    </row>
    <row r="6727" ht="22.5" customHeight="1">
      <c r="B6727" s="7"/>
      <c r="C6727" s="7"/>
      <c r="D6727" s="7"/>
      <c r="E6727" s="7"/>
      <c r="F6727" s="7"/>
      <c r="G6727" s="7"/>
      <c r="H6727" s="7">
        <f t="shared" si="1"/>
        <v>1029</v>
      </c>
    </row>
    <row r="6728" ht="22.5" customHeight="1">
      <c r="B6728" s="7"/>
      <c r="C6728" s="7"/>
      <c r="D6728" s="7"/>
      <c r="E6728" s="7"/>
      <c r="F6728" s="7"/>
      <c r="G6728" s="7"/>
      <c r="H6728" s="7">
        <f t="shared" si="1"/>
        <v>1029</v>
      </c>
    </row>
    <row r="6729" ht="22.5" customHeight="1">
      <c r="B6729" s="7"/>
      <c r="C6729" s="7"/>
      <c r="D6729" s="7"/>
      <c r="E6729" s="7"/>
      <c r="F6729" s="7"/>
      <c r="G6729" s="7"/>
      <c r="H6729" s="7">
        <f t="shared" si="1"/>
        <v>1029</v>
      </c>
    </row>
    <row r="6730" ht="22.5" customHeight="1">
      <c r="B6730" s="7"/>
      <c r="C6730" s="7"/>
      <c r="D6730" s="7"/>
      <c r="E6730" s="7"/>
      <c r="F6730" s="7"/>
      <c r="G6730" s="7"/>
      <c r="H6730" s="7">
        <f t="shared" si="1"/>
        <v>1029</v>
      </c>
    </row>
    <row r="6731" ht="22.5" customHeight="1">
      <c r="B6731" s="7"/>
      <c r="C6731" s="7"/>
      <c r="D6731" s="7"/>
      <c r="E6731" s="7"/>
      <c r="F6731" s="7"/>
      <c r="G6731" s="7"/>
      <c r="H6731" s="7">
        <f t="shared" si="1"/>
        <v>1029</v>
      </c>
    </row>
    <row r="6732" ht="22.5" customHeight="1">
      <c r="B6732" s="7"/>
      <c r="C6732" s="7"/>
      <c r="D6732" s="7"/>
      <c r="E6732" s="7"/>
      <c r="F6732" s="7"/>
      <c r="G6732" s="7"/>
      <c r="H6732" s="7">
        <f t="shared" si="1"/>
        <v>1029</v>
      </c>
    </row>
    <row r="6733" ht="22.5" customHeight="1">
      <c r="B6733" s="7"/>
      <c r="C6733" s="7"/>
      <c r="D6733" s="7"/>
      <c r="E6733" s="7"/>
      <c r="F6733" s="7"/>
      <c r="G6733" s="7"/>
      <c r="H6733" s="7">
        <f t="shared" si="1"/>
        <v>1029</v>
      </c>
    </row>
    <row r="6734" ht="22.5" customHeight="1">
      <c r="B6734" s="7"/>
      <c r="C6734" s="7"/>
      <c r="D6734" s="7"/>
      <c r="E6734" s="7"/>
      <c r="F6734" s="7"/>
      <c r="G6734" s="7"/>
      <c r="H6734" s="7">
        <f t="shared" si="1"/>
        <v>1029</v>
      </c>
    </row>
    <row r="6735" ht="22.5" customHeight="1">
      <c r="B6735" s="7"/>
      <c r="C6735" s="7"/>
      <c r="D6735" s="7"/>
      <c r="E6735" s="7"/>
      <c r="F6735" s="7"/>
      <c r="G6735" s="7"/>
      <c r="H6735" s="7">
        <f t="shared" si="1"/>
        <v>1029</v>
      </c>
    </row>
    <row r="6736" ht="22.5" customHeight="1">
      <c r="B6736" s="7"/>
      <c r="C6736" s="7"/>
      <c r="D6736" s="7"/>
      <c r="E6736" s="7"/>
      <c r="F6736" s="7"/>
      <c r="G6736" s="7"/>
      <c r="H6736" s="7">
        <f t="shared" si="1"/>
        <v>1029</v>
      </c>
    </row>
    <row r="6737" ht="22.5" customHeight="1">
      <c r="B6737" s="7"/>
      <c r="C6737" s="7"/>
      <c r="D6737" s="7"/>
      <c r="E6737" s="7"/>
      <c r="F6737" s="7"/>
      <c r="G6737" s="7"/>
      <c r="H6737" s="7">
        <f t="shared" si="1"/>
        <v>1029</v>
      </c>
    </row>
    <row r="6738" ht="22.5" customHeight="1">
      <c r="B6738" s="7"/>
      <c r="C6738" s="7"/>
      <c r="D6738" s="7"/>
      <c r="E6738" s="7"/>
      <c r="F6738" s="7"/>
      <c r="G6738" s="7"/>
      <c r="H6738" s="7">
        <f t="shared" si="1"/>
        <v>1029</v>
      </c>
    </row>
    <row r="6739" ht="22.5" customHeight="1">
      <c r="B6739" s="7"/>
      <c r="C6739" s="7"/>
      <c r="D6739" s="7"/>
      <c r="E6739" s="7"/>
      <c r="F6739" s="7"/>
      <c r="G6739" s="7"/>
      <c r="H6739" s="7">
        <f t="shared" si="1"/>
        <v>1029</v>
      </c>
    </row>
    <row r="6740" ht="22.5" customHeight="1">
      <c r="B6740" s="7"/>
      <c r="C6740" s="7"/>
      <c r="D6740" s="7"/>
      <c r="E6740" s="7"/>
      <c r="F6740" s="7"/>
      <c r="G6740" s="7"/>
      <c r="H6740" s="7">
        <f t="shared" si="1"/>
        <v>1029</v>
      </c>
    </row>
    <row r="6741" ht="22.5" customHeight="1">
      <c r="B6741" s="7"/>
      <c r="C6741" s="7"/>
      <c r="D6741" s="7"/>
      <c r="E6741" s="7"/>
      <c r="F6741" s="7"/>
      <c r="G6741" s="7"/>
      <c r="H6741" s="7">
        <f t="shared" si="1"/>
        <v>1029</v>
      </c>
    </row>
    <row r="6742" ht="22.5" customHeight="1">
      <c r="B6742" s="7"/>
      <c r="C6742" s="7"/>
      <c r="D6742" s="7"/>
      <c r="E6742" s="7"/>
      <c r="F6742" s="7"/>
      <c r="G6742" s="7"/>
      <c r="H6742" s="7">
        <f t="shared" si="1"/>
        <v>1029</v>
      </c>
    </row>
    <row r="6743" ht="22.5" customHeight="1">
      <c r="B6743" s="7"/>
      <c r="C6743" s="7"/>
      <c r="D6743" s="7"/>
      <c r="E6743" s="7"/>
      <c r="F6743" s="7"/>
      <c r="G6743" s="7"/>
      <c r="H6743" s="7">
        <f t="shared" si="1"/>
        <v>1029</v>
      </c>
    </row>
    <row r="6744" ht="22.5" customHeight="1">
      <c r="B6744" s="7"/>
      <c r="C6744" s="7"/>
      <c r="D6744" s="7"/>
      <c r="E6744" s="7"/>
      <c r="F6744" s="7"/>
      <c r="G6744" s="7"/>
      <c r="H6744" s="7">
        <f t="shared" si="1"/>
        <v>1029</v>
      </c>
    </row>
    <row r="6745" ht="22.5" customHeight="1">
      <c r="B6745" s="7"/>
      <c r="C6745" s="7"/>
      <c r="D6745" s="7"/>
      <c r="E6745" s="7"/>
      <c r="F6745" s="7"/>
      <c r="G6745" s="7"/>
      <c r="H6745" s="7">
        <f t="shared" si="1"/>
        <v>1029</v>
      </c>
    </row>
    <row r="6746" ht="22.5" customHeight="1">
      <c r="B6746" s="7"/>
      <c r="C6746" s="7"/>
      <c r="D6746" s="7"/>
      <c r="E6746" s="7"/>
      <c r="F6746" s="7"/>
      <c r="G6746" s="7"/>
      <c r="H6746" s="7">
        <f t="shared" si="1"/>
        <v>1029</v>
      </c>
    </row>
    <row r="6747" ht="22.5" customHeight="1">
      <c r="B6747" s="7"/>
      <c r="C6747" s="7"/>
      <c r="D6747" s="7"/>
      <c r="E6747" s="7"/>
      <c r="F6747" s="7"/>
      <c r="G6747" s="7"/>
      <c r="H6747" s="7">
        <f t="shared" si="1"/>
        <v>1029</v>
      </c>
    </row>
    <row r="6748" ht="22.5" customHeight="1">
      <c r="B6748" s="7"/>
      <c r="C6748" s="7"/>
      <c r="D6748" s="7"/>
      <c r="E6748" s="7"/>
      <c r="F6748" s="7"/>
      <c r="G6748" s="7"/>
      <c r="H6748" s="7">
        <f t="shared" si="1"/>
        <v>1029</v>
      </c>
    </row>
    <row r="6749" ht="22.5" customHeight="1">
      <c r="B6749" s="7"/>
      <c r="C6749" s="7"/>
      <c r="D6749" s="7"/>
      <c r="E6749" s="7"/>
      <c r="F6749" s="7"/>
      <c r="G6749" s="7"/>
      <c r="H6749" s="7">
        <f t="shared" si="1"/>
        <v>1029</v>
      </c>
    </row>
    <row r="6750" ht="22.5" customHeight="1">
      <c r="B6750" s="7"/>
      <c r="C6750" s="7"/>
      <c r="D6750" s="7"/>
      <c r="E6750" s="7"/>
      <c r="F6750" s="7"/>
      <c r="G6750" s="7"/>
      <c r="H6750" s="7">
        <f t="shared" si="1"/>
        <v>1029</v>
      </c>
    </row>
    <row r="6751" ht="22.5" customHeight="1">
      <c r="B6751" s="7"/>
      <c r="C6751" s="7"/>
      <c r="D6751" s="7"/>
      <c r="E6751" s="7"/>
      <c r="F6751" s="7"/>
      <c r="G6751" s="7"/>
      <c r="H6751" s="7">
        <f t="shared" si="1"/>
        <v>1029</v>
      </c>
    </row>
    <row r="6752" ht="22.5" customHeight="1">
      <c r="B6752" s="7"/>
      <c r="C6752" s="7"/>
      <c r="D6752" s="7"/>
      <c r="E6752" s="7"/>
      <c r="F6752" s="7"/>
      <c r="G6752" s="7"/>
      <c r="H6752" s="7">
        <f t="shared" si="1"/>
        <v>1029</v>
      </c>
    </row>
    <row r="6753" ht="22.5" customHeight="1">
      <c r="B6753" s="7"/>
      <c r="C6753" s="7"/>
      <c r="D6753" s="7"/>
      <c r="E6753" s="7"/>
      <c r="F6753" s="7"/>
      <c r="G6753" s="7"/>
      <c r="H6753" s="7">
        <f t="shared" si="1"/>
        <v>1029</v>
      </c>
    </row>
    <row r="6754" ht="22.5" customHeight="1">
      <c r="B6754" s="7"/>
      <c r="C6754" s="7"/>
      <c r="D6754" s="7"/>
      <c r="E6754" s="7"/>
      <c r="F6754" s="7"/>
      <c r="G6754" s="7"/>
      <c r="H6754" s="7">
        <f t="shared" si="1"/>
        <v>1029</v>
      </c>
    </row>
    <row r="6755" ht="22.5" customHeight="1">
      <c r="B6755" s="7"/>
      <c r="C6755" s="7"/>
      <c r="D6755" s="7"/>
      <c r="E6755" s="7"/>
      <c r="F6755" s="7"/>
      <c r="G6755" s="7"/>
      <c r="H6755" s="7">
        <f t="shared" si="1"/>
        <v>1029</v>
      </c>
    </row>
    <row r="6756" ht="22.5" customHeight="1">
      <c r="B6756" s="7"/>
      <c r="C6756" s="7"/>
      <c r="D6756" s="7"/>
      <c r="E6756" s="7"/>
      <c r="F6756" s="7"/>
      <c r="G6756" s="7"/>
      <c r="H6756" s="7">
        <f t="shared" si="1"/>
        <v>1029</v>
      </c>
    </row>
    <row r="6757" ht="22.5" customHeight="1">
      <c r="B6757" s="7"/>
      <c r="C6757" s="7"/>
      <c r="D6757" s="7"/>
      <c r="E6757" s="7"/>
      <c r="F6757" s="7"/>
      <c r="G6757" s="7"/>
      <c r="H6757" s="7">
        <f t="shared" si="1"/>
        <v>1029</v>
      </c>
    </row>
    <row r="6758" ht="22.5" customHeight="1">
      <c r="B6758" s="7"/>
      <c r="C6758" s="7"/>
      <c r="D6758" s="7"/>
      <c r="E6758" s="7"/>
      <c r="F6758" s="7"/>
      <c r="G6758" s="7"/>
      <c r="H6758" s="7">
        <f t="shared" si="1"/>
        <v>1029</v>
      </c>
    </row>
    <row r="6759" ht="22.5" customHeight="1">
      <c r="B6759" s="7"/>
      <c r="C6759" s="7"/>
      <c r="D6759" s="7"/>
      <c r="E6759" s="7"/>
      <c r="F6759" s="7"/>
      <c r="G6759" s="7"/>
      <c r="H6759" s="7">
        <f t="shared" si="1"/>
        <v>1029</v>
      </c>
    </row>
    <row r="6760" ht="22.5" customHeight="1">
      <c r="B6760" s="7"/>
      <c r="C6760" s="7"/>
      <c r="D6760" s="7"/>
      <c r="E6760" s="7"/>
      <c r="F6760" s="7"/>
      <c r="G6760" s="7"/>
      <c r="H6760" s="7">
        <f t="shared" si="1"/>
        <v>1029</v>
      </c>
    </row>
    <row r="6761" ht="22.5" customHeight="1">
      <c r="B6761" s="7"/>
      <c r="C6761" s="7"/>
      <c r="D6761" s="7"/>
      <c r="E6761" s="7"/>
      <c r="F6761" s="7"/>
      <c r="G6761" s="7"/>
      <c r="H6761" s="7">
        <f t="shared" si="1"/>
        <v>1029</v>
      </c>
    </row>
    <row r="6762" ht="22.5" customHeight="1">
      <c r="B6762" s="7"/>
      <c r="C6762" s="7"/>
      <c r="D6762" s="7"/>
      <c r="E6762" s="7"/>
      <c r="F6762" s="7"/>
      <c r="G6762" s="7"/>
      <c r="H6762" s="7">
        <f t="shared" si="1"/>
        <v>1029</v>
      </c>
    </row>
    <row r="6763" ht="22.5" customHeight="1">
      <c r="B6763" s="7"/>
      <c r="C6763" s="7"/>
      <c r="D6763" s="7"/>
      <c r="E6763" s="7"/>
      <c r="F6763" s="7"/>
      <c r="G6763" s="7"/>
      <c r="H6763" s="7">
        <f t="shared" si="1"/>
        <v>1029</v>
      </c>
    </row>
    <row r="6764" ht="22.5" customHeight="1">
      <c r="B6764" s="7"/>
      <c r="C6764" s="7"/>
      <c r="D6764" s="7"/>
      <c r="E6764" s="7"/>
      <c r="F6764" s="7"/>
      <c r="G6764" s="7"/>
      <c r="H6764" s="7">
        <f t="shared" si="1"/>
        <v>1029</v>
      </c>
    </row>
    <row r="6765" ht="22.5" customHeight="1">
      <c r="B6765" s="7"/>
      <c r="C6765" s="7"/>
      <c r="D6765" s="7"/>
      <c r="E6765" s="7"/>
      <c r="F6765" s="7"/>
      <c r="G6765" s="7"/>
      <c r="H6765" s="7">
        <f t="shared" si="1"/>
        <v>1029</v>
      </c>
    </row>
    <row r="6766" ht="22.5" customHeight="1">
      <c r="B6766" s="7"/>
      <c r="C6766" s="7"/>
      <c r="D6766" s="7"/>
      <c r="E6766" s="7"/>
      <c r="F6766" s="7"/>
      <c r="G6766" s="7"/>
      <c r="H6766" s="7">
        <f t="shared" si="1"/>
        <v>1029</v>
      </c>
    </row>
    <row r="6767" ht="22.5" customHeight="1">
      <c r="B6767" s="7"/>
      <c r="C6767" s="7"/>
      <c r="D6767" s="7"/>
      <c r="E6767" s="7"/>
      <c r="F6767" s="7"/>
      <c r="G6767" s="7"/>
      <c r="H6767" s="7">
        <f t="shared" si="1"/>
        <v>1029</v>
      </c>
    </row>
    <row r="6768" ht="22.5" customHeight="1">
      <c r="B6768" s="7"/>
      <c r="C6768" s="7"/>
      <c r="D6768" s="7"/>
      <c r="E6768" s="7"/>
      <c r="F6768" s="7"/>
      <c r="G6768" s="7"/>
      <c r="H6768" s="7">
        <f t="shared" si="1"/>
        <v>1029</v>
      </c>
    </row>
    <row r="6769" ht="22.5" customHeight="1">
      <c r="B6769" s="7"/>
      <c r="C6769" s="7"/>
      <c r="D6769" s="7"/>
      <c r="E6769" s="7"/>
      <c r="F6769" s="7"/>
      <c r="G6769" s="7"/>
      <c r="H6769" s="7">
        <f t="shared" si="1"/>
        <v>1029</v>
      </c>
    </row>
    <row r="6770" ht="22.5" customHeight="1">
      <c r="B6770" s="7"/>
      <c r="C6770" s="7"/>
      <c r="D6770" s="7"/>
      <c r="E6770" s="7"/>
      <c r="F6770" s="7"/>
      <c r="G6770" s="7"/>
      <c r="H6770" s="7">
        <f t="shared" si="1"/>
        <v>1029</v>
      </c>
    </row>
    <row r="6771" ht="22.5" customHeight="1">
      <c r="B6771" s="7"/>
      <c r="C6771" s="7"/>
      <c r="D6771" s="7"/>
      <c r="E6771" s="7"/>
      <c r="F6771" s="7"/>
      <c r="G6771" s="7"/>
      <c r="H6771" s="7">
        <f t="shared" si="1"/>
        <v>1029</v>
      </c>
    </row>
    <row r="6772" ht="22.5" customHeight="1">
      <c r="B6772" s="7"/>
      <c r="C6772" s="7"/>
      <c r="D6772" s="7"/>
      <c r="E6772" s="7"/>
      <c r="F6772" s="7"/>
      <c r="G6772" s="7"/>
      <c r="H6772" s="7">
        <f t="shared" si="1"/>
        <v>1029</v>
      </c>
    </row>
    <row r="6773" ht="22.5" customHeight="1">
      <c r="B6773" s="7"/>
      <c r="C6773" s="7"/>
      <c r="D6773" s="7"/>
      <c r="E6773" s="7"/>
      <c r="F6773" s="7"/>
      <c r="G6773" s="7"/>
      <c r="H6773" s="7">
        <f t="shared" si="1"/>
        <v>1029</v>
      </c>
    </row>
    <row r="6774" ht="22.5" customHeight="1">
      <c r="B6774" s="7"/>
      <c r="C6774" s="7"/>
      <c r="D6774" s="7"/>
      <c r="E6774" s="7"/>
      <c r="F6774" s="7"/>
      <c r="G6774" s="7"/>
      <c r="H6774" s="7">
        <f t="shared" si="1"/>
        <v>1029</v>
      </c>
    </row>
    <row r="6775" ht="22.5" customHeight="1">
      <c r="B6775" s="7"/>
      <c r="C6775" s="7"/>
      <c r="D6775" s="7"/>
      <c r="E6775" s="7"/>
      <c r="F6775" s="7"/>
      <c r="G6775" s="7"/>
      <c r="H6775" s="7">
        <f t="shared" si="1"/>
        <v>1029</v>
      </c>
    </row>
    <row r="6776" ht="22.5" customHeight="1">
      <c r="B6776" s="7"/>
      <c r="C6776" s="7"/>
      <c r="D6776" s="7"/>
      <c r="E6776" s="7"/>
      <c r="F6776" s="7"/>
      <c r="G6776" s="7"/>
      <c r="H6776" s="7">
        <f t="shared" si="1"/>
        <v>1029</v>
      </c>
    </row>
    <row r="6777" ht="22.5" customHeight="1">
      <c r="B6777" s="7"/>
      <c r="C6777" s="7"/>
      <c r="D6777" s="7"/>
      <c r="E6777" s="7"/>
      <c r="F6777" s="7"/>
      <c r="G6777" s="7"/>
      <c r="H6777" s="7">
        <f t="shared" si="1"/>
        <v>1029</v>
      </c>
    </row>
    <row r="6778" ht="22.5" customHeight="1">
      <c r="B6778" s="7"/>
      <c r="C6778" s="7"/>
      <c r="D6778" s="7"/>
      <c r="E6778" s="7"/>
      <c r="F6778" s="7"/>
      <c r="G6778" s="7"/>
      <c r="H6778" s="7">
        <f t="shared" si="1"/>
        <v>1029</v>
      </c>
    </row>
    <row r="6779" ht="22.5" customHeight="1">
      <c r="B6779" s="7"/>
      <c r="C6779" s="7"/>
      <c r="D6779" s="7"/>
      <c r="E6779" s="7"/>
      <c r="F6779" s="7"/>
      <c r="G6779" s="7"/>
      <c r="H6779" s="7">
        <f t="shared" si="1"/>
        <v>1029</v>
      </c>
    </row>
    <row r="6780" ht="22.5" customHeight="1">
      <c r="B6780" s="7"/>
      <c r="C6780" s="7"/>
      <c r="D6780" s="7"/>
      <c r="E6780" s="7"/>
      <c r="F6780" s="7"/>
      <c r="G6780" s="7"/>
      <c r="H6780" s="7">
        <f t="shared" si="1"/>
        <v>1029</v>
      </c>
    </row>
    <row r="6781" ht="22.5" customHeight="1">
      <c r="B6781" s="7"/>
      <c r="C6781" s="7"/>
      <c r="D6781" s="7"/>
      <c r="E6781" s="7"/>
      <c r="F6781" s="7"/>
      <c r="G6781" s="7"/>
      <c r="H6781" s="7">
        <f t="shared" si="1"/>
        <v>1029</v>
      </c>
    </row>
    <row r="6782" ht="22.5" customHeight="1">
      <c r="B6782" s="7"/>
      <c r="C6782" s="7"/>
      <c r="D6782" s="7"/>
      <c r="E6782" s="7"/>
      <c r="F6782" s="7"/>
      <c r="G6782" s="7"/>
      <c r="H6782" s="7">
        <f t="shared" si="1"/>
        <v>1029</v>
      </c>
    </row>
    <row r="6783" ht="22.5" customHeight="1">
      <c r="B6783" s="7"/>
      <c r="C6783" s="7"/>
      <c r="D6783" s="7"/>
      <c r="E6783" s="7"/>
      <c r="F6783" s="7"/>
      <c r="G6783" s="7"/>
      <c r="H6783" s="7">
        <f t="shared" si="1"/>
        <v>1029</v>
      </c>
    </row>
    <row r="6784" ht="22.5" customHeight="1">
      <c r="B6784" s="7"/>
      <c r="C6784" s="7"/>
      <c r="D6784" s="7"/>
      <c r="E6784" s="7"/>
      <c r="F6784" s="7"/>
      <c r="G6784" s="7"/>
      <c r="H6784" s="7">
        <f t="shared" si="1"/>
        <v>1029</v>
      </c>
    </row>
    <row r="6785" ht="22.5" customHeight="1">
      <c r="B6785" s="7"/>
      <c r="C6785" s="7"/>
      <c r="D6785" s="7"/>
      <c r="E6785" s="7"/>
      <c r="F6785" s="7"/>
      <c r="G6785" s="7"/>
      <c r="H6785" s="7">
        <f t="shared" si="1"/>
        <v>1029</v>
      </c>
    </row>
    <row r="6786" ht="22.5" customHeight="1">
      <c r="B6786" s="7"/>
      <c r="C6786" s="7"/>
      <c r="D6786" s="7"/>
      <c r="E6786" s="7"/>
      <c r="F6786" s="7"/>
      <c r="G6786" s="7"/>
      <c r="H6786" s="7">
        <f t="shared" si="1"/>
        <v>1029</v>
      </c>
    </row>
    <row r="6787" ht="22.5" customHeight="1">
      <c r="B6787" s="7"/>
      <c r="C6787" s="7"/>
      <c r="D6787" s="7"/>
      <c r="E6787" s="7"/>
      <c r="F6787" s="7"/>
      <c r="G6787" s="7"/>
      <c r="H6787" s="7">
        <f t="shared" si="1"/>
        <v>1029</v>
      </c>
    </row>
    <row r="6788" ht="22.5" customHeight="1">
      <c r="B6788" s="7"/>
      <c r="C6788" s="7"/>
      <c r="D6788" s="7"/>
      <c r="E6788" s="7"/>
      <c r="F6788" s="7"/>
      <c r="G6788" s="7"/>
      <c r="H6788" s="7">
        <f t="shared" si="1"/>
        <v>1029</v>
      </c>
    </row>
    <row r="6789" ht="22.5" customHeight="1">
      <c r="B6789" s="7"/>
      <c r="C6789" s="7"/>
      <c r="D6789" s="7"/>
      <c r="E6789" s="7"/>
      <c r="F6789" s="7"/>
      <c r="G6789" s="7"/>
      <c r="H6789" s="7">
        <f t="shared" si="1"/>
        <v>1029</v>
      </c>
    </row>
    <row r="6790" ht="22.5" customHeight="1">
      <c r="B6790" s="7"/>
      <c r="C6790" s="7"/>
      <c r="D6790" s="7"/>
      <c r="E6790" s="7"/>
      <c r="F6790" s="7"/>
      <c r="G6790" s="7"/>
      <c r="H6790" s="7">
        <f t="shared" si="1"/>
        <v>1029</v>
      </c>
    </row>
    <row r="6791" ht="22.5" customHeight="1">
      <c r="B6791" s="7"/>
      <c r="C6791" s="7"/>
      <c r="D6791" s="7"/>
      <c r="E6791" s="7"/>
      <c r="F6791" s="7"/>
      <c r="G6791" s="7"/>
      <c r="H6791" s="7">
        <f t="shared" si="1"/>
        <v>1029</v>
      </c>
    </row>
    <row r="6792" ht="22.5" customHeight="1">
      <c r="B6792" s="7"/>
      <c r="C6792" s="7"/>
      <c r="D6792" s="7"/>
      <c r="E6792" s="7"/>
      <c r="F6792" s="7"/>
      <c r="G6792" s="7"/>
      <c r="H6792" s="7">
        <f t="shared" si="1"/>
        <v>1029</v>
      </c>
    </row>
    <row r="6793" ht="22.5" customHeight="1">
      <c r="B6793" s="7"/>
      <c r="C6793" s="7"/>
      <c r="D6793" s="7"/>
      <c r="E6793" s="7"/>
      <c r="F6793" s="7"/>
      <c r="G6793" s="7"/>
      <c r="H6793" s="7">
        <f t="shared" si="1"/>
        <v>1029</v>
      </c>
    </row>
    <row r="6794" ht="22.5" customHeight="1">
      <c r="B6794" s="7"/>
      <c r="C6794" s="7"/>
      <c r="D6794" s="7"/>
      <c r="E6794" s="7"/>
      <c r="F6794" s="7"/>
      <c r="G6794" s="7"/>
      <c r="H6794" s="7">
        <f t="shared" si="1"/>
        <v>1029</v>
      </c>
    </row>
    <row r="6795" ht="22.5" customHeight="1">
      <c r="B6795" s="7"/>
      <c r="C6795" s="7"/>
      <c r="D6795" s="7"/>
      <c r="E6795" s="7"/>
      <c r="F6795" s="7"/>
      <c r="G6795" s="7"/>
      <c r="H6795" s="7">
        <f t="shared" si="1"/>
        <v>1029</v>
      </c>
    </row>
    <row r="6796" ht="22.5" customHeight="1">
      <c r="B6796" s="7"/>
      <c r="C6796" s="7"/>
      <c r="D6796" s="7"/>
      <c r="E6796" s="7"/>
      <c r="F6796" s="7"/>
      <c r="G6796" s="7"/>
      <c r="H6796" s="7">
        <f t="shared" si="1"/>
        <v>1029</v>
      </c>
    </row>
    <row r="6797" ht="22.5" customHeight="1">
      <c r="B6797" s="7"/>
      <c r="C6797" s="7"/>
      <c r="D6797" s="7"/>
      <c r="E6797" s="7"/>
      <c r="F6797" s="7"/>
      <c r="G6797" s="7"/>
      <c r="H6797" s="7">
        <f t="shared" si="1"/>
        <v>1029</v>
      </c>
    </row>
    <row r="6798" ht="22.5" customHeight="1">
      <c r="B6798" s="7"/>
      <c r="C6798" s="7"/>
      <c r="D6798" s="7"/>
      <c r="E6798" s="7"/>
      <c r="F6798" s="7"/>
      <c r="G6798" s="7"/>
      <c r="H6798" s="7">
        <f t="shared" si="1"/>
        <v>1029</v>
      </c>
    </row>
    <row r="6799" ht="22.5" customHeight="1">
      <c r="B6799" s="7"/>
      <c r="C6799" s="7"/>
      <c r="D6799" s="7"/>
      <c r="E6799" s="7"/>
      <c r="F6799" s="7"/>
      <c r="G6799" s="7"/>
      <c r="H6799" s="7">
        <f t="shared" si="1"/>
        <v>1029</v>
      </c>
    </row>
    <row r="6800" ht="22.5" customHeight="1">
      <c r="B6800" s="7"/>
      <c r="C6800" s="7"/>
      <c r="D6800" s="7"/>
      <c r="E6800" s="7"/>
      <c r="F6800" s="7"/>
      <c r="G6800" s="7"/>
      <c r="H6800" s="7">
        <f t="shared" si="1"/>
        <v>1029</v>
      </c>
    </row>
    <row r="6801" ht="22.5" customHeight="1">
      <c r="B6801" s="7"/>
      <c r="C6801" s="7"/>
      <c r="D6801" s="7"/>
      <c r="E6801" s="7"/>
      <c r="F6801" s="7"/>
      <c r="G6801" s="7"/>
      <c r="H6801" s="7">
        <f t="shared" si="1"/>
        <v>1029</v>
      </c>
    </row>
    <row r="6802" ht="22.5" customHeight="1">
      <c r="B6802" s="7"/>
      <c r="C6802" s="7"/>
      <c r="D6802" s="7"/>
      <c r="E6802" s="7"/>
      <c r="F6802" s="7"/>
      <c r="G6802" s="7"/>
      <c r="H6802" s="7">
        <f t="shared" si="1"/>
        <v>1029</v>
      </c>
    </row>
    <row r="6803" ht="22.5" customHeight="1">
      <c r="B6803" s="7"/>
      <c r="C6803" s="7"/>
      <c r="D6803" s="7"/>
      <c r="E6803" s="7"/>
      <c r="F6803" s="7"/>
      <c r="G6803" s="7"/>
      <c r="H6803" s="7">
        <f t="shared" si="1"/>
        <v>1029</v>
      </c>
    </row>
    <row r="6804" ht="22.5" customHeight="1">
      <c r="B6804" s="7"/>
      <c r="C6804" s="7"/>
      <c r="D6804" s="7"/>
      <c r="E6804" s="7"/>
      <c r="F6804" s="7"/>
      <c r="G6804" s="7"/>
      <c r="H6804" s="7">
        <f t="shared" si="1"/>
        <v>1029</v>
      </c>
    </row>
    <row r="6805" ht="22.5" customHeight="1">
      <c r="B6805" s="7"/>
      <c r="C6805" s="7"/>
      <c r="D6805" s="7"/>
      <c r="E6805" s="7"/>
      <c r="F6805" s="7"/>
      <c r="G6805" s="7"/>
      <c r="H6805" s="7">
        <f t="shared" si="1"/>
        <v>1029</v>
      </c>
    </row>
    <row r="6806" ht="22.5" customHeight="1">
      <c r="B6806" s="7"/>
      <c r="C6806" s="7"/>
      <c r="D6806" s="7"/>
      <c r="E6806" s="7"/>
      <c r="F6806" s="7"/>
      <c r="G6806" s="7"/>
      <c r="H6806" s="7">
        <f t="shared" si="1"/>
        <v>1029</v>
      </c>
    </row>
    <row r="6807" ht="22.5" customHeight="1">
      <c r="B6807" s="7"/>
      <c r="C6807" s="7"/>
      <c r="D6807" s="7"/>
      <c r="E6807" s="7"/>
      <c r="F6807" s="7"/>
      <c r="G6807" s="7"/>
      <c r="H6807" s="7">
        <f t="shared" si="1"/>
        <v>1029</v>
      </c>
    </row>
    <row r="6808" ht="22.5" customHeight="1">
      <c r="B6808" s="7"/>
      <c r="C6808" s="7"/>
      <c r="D6808" s="7"/>
      <c r="E6808" s="7"/>
      <c r="F6808" s="7"/>
      <c r="G6808" s="7"/>
      <c r="H6808" s="7">
        <f t="shared" si="1"/>
        <v>1029</v>
      </c>
    </row>
    <row r="6809" ht="22.5" customHeight="1">
      <c r="B6809" s="7"/>
      <c r="C6809" s="7"/>
      <c r="D6809" s="7"/>
      <c r="E6809" s="7"/>
      <c r="F6809" s="7"/>
      <c r="G6809" s="7"/>
      <c r="H6809" s="7">
        <f t="shared" si="1"/>
        <v>1029</v>
      </c>
    </row>
    <row r="6810" ht="22.5" customHeight="1">
      <c r="B6810" s="7"/>
      <c r="C6810" s="7"/>
      <c r="D6810" s="7"/>
      <c r="E6810" s="7"/>
      <c r="F6810" s="7"/>
      <c r="G6810" s="7"/>
      <c r="H6810" s="7">
        <f t="shared" si="1"/>
        <v>1029</v>
      </c>
    </row>
    <row r="6811" ht="22.5" customHeight="1">
      <c r="B6811" s="7"/>
      <c r="C6811" s="7"/>
      <c r="D6811" s="7"/>
      <c r="E6811" s="7"/>
      <c r="F6811" s="7"/>
      <c r="G6811" s="7"/>
      <c r="H6811" s="7">
        <f t="shared" si="1"/>
        <v>1029</v>
      </c>
    </row>
    <row r="6812" ht="22.5" customHeight="1">
      <c r="B6812" s="7"/>
      <c r="C6812" s="7"/>
      <c r="D6812" s="7"/>
      <c r="E6812" s="7"/>
      <c r="F6812" s="7"/>
      <c r="G6812" s="7"/>
      <c r="H6812" s="7">
        <f t="shared" si="1"/>
        <v>1029</v>
      </c>
    </row>
    <row r="6813" ht="22.5" customHeight="1">
      <c r="B6813" s="7"/>
      <c r="C6813" s="7"/>
      <c r="D6813" s="7"/>
      <c r="E6813" s="7"/>
      <c r="F6813" s="7"/>
      <c r="G6813" s="7"/>
      <c r="H6813" s="7">
        <f t="shared" si="1"/>
        <v>1029</v>
      </c>
    </row>
    <row r="6814" ht="22.5" customHeight="1">
      <c r="B6814" s="7"/>
      <c r="C6814" s="7"/>
      <c r="D6814" s="7"/>
      <c r="E6814" s="7"/>
      <c r="F6814" s="7"/>
      <c r="G6814" s="7"/>
      <c r="H6814" s="7">
        <f t="shared" si="1"/>
        <v>1029</v>
      </c>
    </row>
    <row r="6815" ht="22.5" customHeight="1">
      <c r="B6815" s="7"/>
      <c r="C6815" s="7"/>
      <c r="D6815" s="7"/>
      <c r="E6815" s="7"/>
      <c r="F6815" s="7"/>
      <c r="G6815" s="7"/>
      <c r="H6815" s="7">
        <f t="shared" si="1"/>
        <v>1029</v>
      </c>
    </row>
    <row r="6816" ht="22.5" customHeight="1">
      <c r="B6816" s="7"/>
      <c r="C6816" s="7"/>
      <c r="D6816" s="7"/>
      <c r="E6816" s="7"/>
      <c r="F6816" s="7"/>
      <c r="G6816" s="7"/>
      <c r="H6816" s="7">
        <f t="shared" si="1"/>
        <v>1029</v>
      </c>
    </row>
    <row r="6817" ht="22.5" customHeight="1">
      <c r="B6817" s="7"/>
      <c r="C6817" s="7"/>
      <c r="D6817" s="7"/>
      <c r="E6817" s="7"/>
      <c r="F6817" s="7"/>
      <c r="G6817" s="7"/>
      <c r="H6817" s="7">
        <f t="shared" si="1"/>
        <v>1029</v>
      </c>
    </row>
    <row r="6818" ht="22.5" customHeight="1">
      <c r="B6818" s="7"/>
      <c r="C6818" s="7"/>
      <c r="D6818" s="7"/>
      <c r="E6818" s="7"/>
      <c r="F6818" s="7"/>
      <c r="G6818" s="7"/>
      <c r="H6818" s="7">
        <f t="shared" si="1"/>
        <v>1029</v>
      </c>
    </row>
    <row r="6819" ht="22.5" customHeight="1">
      <c r="B6819" s="7"/>
      <c r="C6819" s="7"/>
      <c r="D6819" s="7"/>
      <c r="E6819" s="7"/>
      <c r="F6819" s="7"/>
      <c r="G6819" s="7"/>
      <c r="H6819" s="7">
        <f t="shared" si="1"/>
        <v>1029</v>
      </c>
    </row>
    <row r="6820" ht="22.5" customHeight="1">
      <c r="B6820" s="7"/>
      <c r="C6820" s="7"/>
      <c r="D6820" s="7"/>
      <c r="E6820" s="7"/>
      <c r="F6820" s="7"/>
      <c r="G6820" s="7"/>
      <c r="H6820" s="7">
        <f t="shared" si="1"/>
        <v>1029</v>
      </c>
    </row>
    <row r="6821" ht="22.5" customHeight="1">
      <c r="B6821" s="7"/>
      <c r="C6821" s="7"/>
      <c r="D6821" s="7"/>
      <c r="E6821" s="7"/>
      <c r="F6821" s="7"/>
      <c r="G6821" s="7"/>
      <c r="H6821" s="7">
        <f t="shared" si="1"/>
        <v>1029</v>
      </c>
    </row>
    <row r="6822" ht="22.5" customHeight="1">
      <c r="B6822" s="7"/>
      <c r="C6822" s="7"/>
      <c r="D6822" s="7"/>
      <c r="E6822" s="7"/>
      <c r="F6822" s="7"/>
      <c r="G6822" s="7"/>
      <c r="H6822" s="7">
        <f t="shared" si="1"/>
        <v>1029</v>
      </c>
    </row>
    <row r="6823" ht="22.5" customHeight="1">
      <c r="B6823" s="7"/>
      <c r="C6823" s="7"/>
      <c r="D6823" s="7"/>
      <c r="E6823" s="7"/>
      <c r="F6823" s="7"/>
      <c r="G6823" s="7"/>
      <c r="H6823" s="7">
        <f t="shared" si="1"/>
        <v>1029</v>
      </c>
    </row>
    <row r="6824" ht="22.5" customHeight="1">
      <c r="B6824" s="7"/>
      <c r="C6824" s="7"/>
      <c r="D6824" s="7"/>
      <c r="E6824" s="7"/>
      <c r="F6824" s="7"/>
      <c r="G6824" s="7"/>
      <c r="H6824" s="7">
        <f t="shared" si="1"/>
        <v>1029</v>
      </c>
    </row>
    <row r="6825" ht="22.5" customHeight="1">
      <c r="B6825" s="7"/>
      <c r="C6825" s="7"/>
      <c r="D6825" s="7"/>
      <c r="E6825" s="7"/>
      <c r="F6825" s="7"/>
      <c r="G6825" s="7"/>
      <c r="H6825" s="7">
        <f t="shared" si="1"/>
        <v>1029</v>
      </c>
    </row>
    <row r="6826" ht="22.5" customHeight="1">
      <c r="B6826" s="7"/>
      <c r="C6826" s="7"/>
      <c r="D6826" s="7"/>
      <c r="E6826" s="7"/>
      <c r="F6826" s="7"/>
      <c r="G6826" s="7"/>
      <c r="H6826" s="7">
        <f t="shared" si="1"/>
        <v>1029</v>
      </c>
    </row>
    <row r="6827" ht="22.5" customHeight="1">
      <c r="B6827" s="7"/>
      <c r="C6827" s="7"/>
      <c r="D6827" s="7"/>
      <c r="E6827" s="7"/>
      <c r="F6827" s="7"/>
      <c r="G6827" s="7"/>
      <c r="H6827" s="7">
        <f t="shared" si="1"/>
        <v>1029</v>
      </c>
    </row>
    <row r="6828" ht="22.5" customHeight="1">
      <c r="B6828" s="7"/>
      <c r="C6828" s="7"/>
      <c r="D6828" s="7"/>
      <c r="E6828" s="7"/>
      <c r="F6828" s="7"/>
      <c r="G6828" s="7"/>
      <c r="H6828" s="7">
        <f t="shared" si="1"/>
        <v>1029</v>
      </c>
    </row>
    <row r="6829" ht="22.5" customHeight="1">
      <c r="B6829" s="7"/>
      <c r="C6829" s="7"/>
      <c r="D6829" s="7"/>
      <c r="E6829" s="7"/>
      <c r="F6829" s="7"/>
      <c r="G6829" s="7"/>
      <c r="H6829" s="7">
        <f t="shared" si="1"/>
        <v>1029</v>
      </c>
    </row>
    <row r="6830" ht="22.5" customHeight="1">
      <c r="B6830" s="7"/>
      <c r="C6830" s="7"/>
      <c r="D6830" s="7"/>
      <c r="E6830" s="7"/>
      <c r="F6830" s="7"/>
      <c r="G6830" s="7"/>
      <c r="H6830" s="7">
        <f t="shared" si="1"/>
        <v>1029</v>
      </c>
    </row>
    <row r="6831" ht="22.5" customHeight="1">
      <c r="B6831" s="7"/>
      <c r="C6831" s="7"/>
      <c r="D6831" s="7"/>
      <c r="E6831" s="7"/>
      <c r="F6831" s="7"/>
      <c r="G6831" s="7"/>
      <c r="H6831" s="7">
        <f t="shared" si="1"/>
        <v>1029</v>
      </c>
    </row>
    <row r="6832" ht="22.5" customHeight="1">
      <c r="B6832" s="7"/>
      <c r="C6832" s="7"/>
      <c r="D6832" s="7"/>
      <c r="E6832" s="7"/>
      <c r="F6832" s="7"/>
      <c r="G6832" s="7"/>
      <c r="H6832" s="7">
        <f t="shared" si="1"/>
        <v>1029</v>
      </c>
    </row>
    <row r="6833" ht="22.5" customHeight="1">
      <c r="B6833" s="7"/>
      <c r="C6833" s="7"/>
      <c r="D6833" s="7"/>
      <c r="E6833" s="7"/>
      <c r="F6833" s="7"/>
      <c r="G6833" s="7"/>
      <c r="H6833" s="7">
        <f t="shared" si="1"/>
        <v>1029</v>
      </c>
    </row>
    <row r="6834" ht="22.5" customHeight="1">
      <c r="B6834" s="7"/>
      <c r="C6834" s="7"/>
      <c r="D6834" s="7"/>
      <c r="E6834" s="7"/>
      <c r="F6834" s="7"/>
      <c r="G6834" s="7"/>
      <c r="H6834" s="7">
        <f t="shared" si="1"/>
        <v>1029</v>
      </c>
    </row>
    <row r="6835" ht="22.5" customHeight="1">
      <c r="B6835" s="7"/>
      <c r="C6835" s="7"/>
      <c r="D6835" s="7"/>
      <c r="E6835" s="7"/>
      <c r="F6835" s="7"/>
      <c r="G6835" s="7"/>
      <c r="H6835" s="7">
        <f t="shared" si="1"/>
        <v>1029</v>
      </c>
    </row>
    <row r="6836" ht="22.5" customHeight="1">
      <c r="B6836" s="7"/>
      <c r="C6836" s="7"/>
      <c r="D6836" s="7"/>
      <c r="E6836" s="7"/>
      <c r="F6836" s="7"/>
      <c r="G6836" s="7"/>
      <c r="H6836" s="7">
        <f t="shared" si="1"/>
        <v>1029</v>
      </c>
    </row>
    <row r="6837" ht="22.5" customHeight="1">
      <c r="B6837" s="7"/>
      <c r="C6837" s="7"/>
      <c r="D6837" s="7"/>
      <c r="E6837" s="7"/>
      <c r="F6837" s="7"/>
      <c r="G6837" s="7"/>
      <c r="H6837" s="7">
        <f t="shared" si="1"/>
        <v>1029</v>
      </c>
    </row>
    <row r="6838" ht="22.5" customHeight="1">
      <c r="B6838" s="7"/>
      <c r="C6838" s="7"/>
      <c r="D6838" s="7"/>
      <c r="E6838" s="7"/>
      <c r="F6838" s="7"/>
      <c r="G6838" s="7"/>
      <c r="H6838" s="7">
        <f t="shared" si="1"/>
        <v>1029</v>
      </c>
    </row>
    <row r="6839" ht="22.5" customHeight="1">
      <c r="B6839" s="7"/>
      <c r="C6839" s="7"/>
      <c r="D6839" s="7"/>
      <c r="E6839" s="7"/>
      <c r="F6839" s="7"/>
      <c r="G6839" s="7"/>
      <c r="H6839" s="7">
        <f t="shared" si="1"/>
        <v>1029</v>
      </c>
    </row>
    <row r="6840" ht="22.5" customHeight="1">
      <c r="B6840" s="7"/>
      <c r="C6840" s="7"/>
      <c r="D6840" s="7"/>
      <c r="E6840" s="7"/>
      <c r="F6840" s="7"/>
      <c r="G6840" s="7"/>
      <c r="H6840" s="7">
        <f t="shared" si="1"/>
        <v>1029</v>
      </c>
    </row>
    <row r="6841" ht="22.5" customHeight="1">
      <c r="B6841" s="7"/>
      <c r="C6841" s="7"/>
      <c r="D6841" s="7"/>
      <c r="E6841" s="7"/>
      <c r="F6841" s="7"/>
      <c r="G6841" s="7"/>
      <c r="H6841" s="7">
        <f t="shared" si="1"/>
        <v>1029</v>
      </c>
    </row>
    <row r="6842" ht="22.5" customHeight="1">
      <c r="B6842" s="7"/>
      <c r="C6842" s="7"/>
      <c r="D6842" s="7"/>
      <c r="E6842" s="7"/>
      <c r="F6842" s="7"/>
      <c r="G6842" s="7"/>
      <c r="H6842" s="7">
        <f t="shared" si="1"/>
        <v>1029</v>
      </c>
    </row>
    <row r="6843" ht="22.5" customHeight="1">
      <c r="B6843" s="7"/>
      <c r="C6843" s="7"/>
      <c r="D6843" s="7"/>
      <c r="E6843" s="7"/>
      <c r="F6843" s="7"/>
      <c r="G6843" s="7"/>
      <c r="H6843" s="7">
        <f t="shared" si="1"/>
        <v>1029</v>
      </c>
    </row>
    <row r="6844" ht="22.5" customHeight="1">
      <c r="B6844" s="7"/>
      <c r="C6844" s="7"/>
      <c r="D6844" s="7"/>
      <c r="E6844" s="7"/>
      <c r="F6844" s="7"/>
      <c r="G6844" s="7"/>
      <c r="H6844" s="7">
        <f t="shared" si="1"/>
        <v>1029</v>
      </c>
    </row>
    <row r="6845" ht="22.5" customHeight="1">
      <c r="B6845" s="7"/>
      <c r="C6845" s="7"/>
      <c r="D6845" s="7"/>
      <c r="E6845" s="7"/>
      <c r="F6845" s="7"/>
      <c r="G6845" s="7"/>
      <c r="H6845" s="7">
        <f t="shared" si="1"/>
        <v>1029</v>
      </c>
    </row>
    <row r="6846" ht="22.5" customHeight="1">
      <c r="B6846" s="7"/>
      <c r="C6846" s="7"/>
      <c r="D6846" s="7"/>
      <c r="E6846" s="7"/>
      <c r="F6846" s="7"/>
      <c r="G6846" s="7"/>
      <c r="H6846" s="7">
        <f t="shared" si="1"/>
        <v>1029</v>
      </c>
    </row>
    <row r="6847" ht="22.5" customHeight="1">
      <c r="B6847" s="7"/>
      <c r="C6847" s="7"/>
      <c r="D6847" s="7"/>
      <c r="E6847" s="7"/>
      <c r="F6847" s="7"/>
      <c r="G6847" s="7"/>
      <c r="H6847" s="7">
        <f t="shared" si="1"/>
        <v>1029</v>
      </c>
    </row>
    <row r="6848" ht="22.5" customHeight="1">
      <c r="B6848" s="7"/>
      <c r="C6848" s="7"/>
      <c r="D6848" s="7"/>
      <c r="E6848" s="7"/>
      <c r="F6848" s="7"/>
      <c r="G6848" s="7"/>
      <c r="H6848" s="7">
        <f t="shared" si="1"/>
        <v>1029</v>
      </c>
    </row>
    <row r="6849" ht="22.5" customHeight="1">
      <c r="B6849" s="7"/>
      <c r="C6849" s="7"/>
      <c r="D6849" s="7"/>
      <c r="E6849" s="7"/>
      <c r="F6849" s="7"/>
      <c r="G6849" s="7"/>
      <c r="H6849" s="7">
        <f t="shared" si="1"/>
        <v>1029</v>
      </c>
    </row>
    <row r="6850" ht="22.5" customHeight="1">
      <c r="B6850" s="7"/>
      <c r="C6850" s="7"/>
      <c r="D6850" s="7"/>
      <c r="E6850" s="7"/>
      <c r="F6850" s="7"/>
      <c r="G6850" s="7"/>
      <c r="H6850" s="7">
        <f t="shared" si="1"/>
        <v>1029</v>
      </c>
    </row>
    <row r="6851" ht="22.5" customHeight="1">
      <c r="B6851" s="7"/>
      <c r="C6851" s="7"/>
      <c r="D6851" s="7"/>
      <c r="E6851" s="7"/>
      <c r="F6851" s="7"/>
      <c r="G6851" s="7"/>
      <c r="H6851" s="7">
        <f t="shared" si="1"/>
        <v>1029</v>
      </c>
    </row>
    <row r="6852" ht="22.5" customHeight="1">
      <c r="B6852" s="7"/>
      <c r="C6852" s="7"/>
      <c r="D6852" s="7"/>
      <c r="E6852" s="7"/>
      <c r="F6852" s="7"/>
      <c r="G6852" s="7"/>
      <c r="H6852" s="7">
        <f t="shared" si="1"/>
        <v>1029</v>
      </c>
    </row>
    <row r="6853" ht="22.5" customHeight="1">
      <c r="B6853" s="7"/>
      <c r="C6853" s="7"/>
      <c r="D6853" s="7"/>
      <c r="E6853" s="7"/>
      <c r="F6853" s="7"/>
      <c r="G6853" s="7"/>
      <c r="H6853" s="7">
        <f t="shared" si="1"/>
        <v>1029</v>
      </c>
    </row>
    <row r="6854" ht="22.5" customHeight="1">
      <c r="B6854" s="7"/>
      <c r="C6854" s="7"/>
      <c r="D6854" s="7"/>
      <c r="E6854" s="7"/>
      <c r="F6854" s="7"/>
      <c r="G6854" s="7"/>
      <c r="H6854" s="7">
        <f t="shared" si="1"/>
        <v>1029</v>
      </c>
    </row>
    <row r="6855" ht="22.5" customHeight="1">
      <c r="B6855" s="7"/>
      <c r="C6855" s="7"/>
      <c r="D6855" s="7"/>
      <c r="E6855" s="7"/>
      <c r="F6855" s="7"/>
      <c r="G6855" s="7"/>
      <c r="H6855" s="7">
        <f t="shared" si="1"/>
        <v>1029</v>
      </c>
    </row>
    <row r="6856" ht="22.5" customHeight="1">
      <c r="B6856" s="7"/>
      <c r="C6856" s="7"/>
      <c r="D6856" s="7"/>
      <c r="E6856" s="7"/>
      <c r="F6856" s="7"/>
      <c r="G6856" s="7"/>
      <c r="H6856" s="7">
        <f t="shared" si="1"/>
        <v>1029</v>
      </c>
    </row>
    <row r="6857" ht="22.5" customHeight="1">
      <c r="B6857" s="7"/>
      <c r="C6857" s="7"/>
      <c r="D6857" s="7"/>
      <c r="E6857" s="7"/>
      <c r="F6857" s="7"/>
      <c r="G6857" s="7"/>
      <c r="H6857" s="7">
        <f t="shared" si="1"/>
        <v>1029</v>
      </c>
    </row>
    <row r="6858" ht="22.5" customHeight="1">
      <c r="B6858" s="7"/>
      <c r="C6858" s="7"/>
      <c r="D6858" s="7"/>
      <c r="E6858" s="7"/>
      <c r="F6858" s="7"/>
      <c r="G6858" s="7"/>
      <c r="H6858" s="7">
        <f t="shared" si="1"/>
        <v>1029</v>
      </c>
    </row>
    <row r="6859" ht="22.5" customHeight="1">
      <c r="B6859" s="7"/>
      <c r="C6859" s="7"/>
      <c r="D6859" s="7"/>
      <c r="E6859" s="7"/>
      <c r="F6859" s="7"/>
      <c r="G6859" s="7"/>
      <c r="H6859" s="7">
        <f t="shared" si="1"/>
        <v>1029</v>
      </c>
    </row>
    <row r="6860" ht="22.5" customHeight="1">
      <c r="B6860" s="7"/>
      <c r="C6860" s="7"/>
      <c r="D6860" s="7"/>
      <c r="E6860" s="7"/>
      <c r="F6860" s="7"/>
      <c r="G6860" s="7"/>
      <c r="H6860" s="7">
        <f t="shared" si="1"/>
        <v>1029</v>
      </c>
    </row>
    <row r="6861" ht="22.5" customHeight="1">
      <c r="B6861" s="7"/>
      <c r="C6861" s="7"/>
      <c r="D6861" s="7"/>
      <c r="E6861" s="7"/>
      <c r="F6861" s="7"/>
      <c r="G6861" s="7"/>
      <c r="H6861" s="7">
        <f t="shared" si="1"/>
        <v>1029</v>
      </c>
    </row>
    <row r="6862" ht="22.5" customHeight="1">
      <c r="B6862" s="7"/>
      <c r="C6862" s="7"/>
      <c r="D6862" s="7"/>
      <c r="E6862" s="7"/>
      <c r="F6862" s="7"/>
      <c r="G6862" s="7"/>
      <c r="H6862" s="7">
        <f t="shared" si="1"/>
        <v>1029</v>
      </c>
    </row>
    <row r="6863" ht="22.5" customHeight="1">
      <c r="B6863" s="7"/>
      <c r="C6863" s="7"/>
      <c r="D6863" s="7"/>
      <c r="E6863" s="7"/>
      <c r="F6863" s="7"/>
      <c r="G6863" s="7"/>
      <c r="H6863" s="7">
        <f t="shared" si="1"/>
        <v>1029</v>
      </c>
    </row>
    <row r="6864" ht="22.5" customHeight="1">
      <c r="B6864" s="7"/>
      <c r="C6864" s="7"/>
      <c r="D6864" s="7"/>
      <c r="E6864" s="7"/>
      <c r="F6864" s="7"/>
      <c r="G6864" s="7"/>
      <c r="H6864" s="7">
        <f t="shared" si="1"/>
        <v>1029</v>
      </c>
    </row>
    <row r="6865" ht="22.5" customHeight="1">
      <c r="B6865" s="7"/>
      <c r="C6865" s="7"/>
      <c r="D6865" s="7"/>
      <c r="E6865" s="7"/>
      <c r="F6865" s="7"/>
      <c r="G6865" s="7"/>
      <c r="H6865" s="7">
        <f t="shared" si="1"/>
        <v>1029</v>
      </c>
    </row>
    <row r="6866" ht="22.5" customHeight="1">
      <c r="B6866" s="7"/>
      <c r="C6866" s="7"/>
      <c r="D6866" s="7"/>
      <c r="E6866" s="7"/>
      <c r="F6866" s="7"/>
      <c r="G6866" s="7"/>
      <c r="H6866" s="7">
        <f t="shared" si="1"/>
        <v>1029</v>
      </c>
    </row>
    <row r="6867" ht="22.5" customHeight="1">
      <c r="B6867" s="7"/>
      <c r="C6867" s="7"/>
      <c r="D6867" s="7"/>
      <c r="E6867" s="7"/>
      <c r="F6867" s="7"/>
      <c r="G6867" s="7"/>
      <c r="H6867" s="7">
        <f t="shared" si="1"/>
        <v>1029</v>
      </c>
    </row>
    <row r="6868" ht="22.5" customHeight="1">
      <c r="B6868" s="7"/>
      <c r="C6868" s="7"/>
      <c r="D6868" s="7"/>
      <c r="E6868" s="7"/>
      <c r="F6868" s="7"/>
      <c r="G6868" s="7"/>
      <c r="H6868" s="7">
        <f t="shared" si="1"/>
        <v>1029</v>
      </c>
    </row>
    <row r="6869" ht="22.5" customHeight="1">
      <c r="B6869" s="7"/>
      <c r="C6869" s="7"/>
      <c r="D6869" s="7"/>
      <c r="E6869" s="7"/>
      <c r="F6869" s="7"/>
      <c r="G6869" s="7"/>
      <c r="H6869" s="7">
        <f t="shared" si="1"/>
        <v>1029</v>
      </c>
    </row>
    <row r="6870" ht="22.5" customHeight="1">
      <c r="B6870" s="7"/>
      <c r="C6870" s="7"/>
      <c r="D6870" s="7"/>
      <c r="E6870" s="7"/>
      <c r="F6870" s="7"/>
      <c r="G6870" s="7"/>
      <c r="H6870" s="7">
        <f t="shared" si="1"/>
        <v>1029</v>
      </c>
    </row>
    <row r="6871" ht="22.5" customHeight="1">
      <c r="B6871" s="7"/>
      <c r="C6871" s="7"/>
      <c r="D6871" s="7"/>
      <c r="E6871" s="7"/>
      <c r="F6871" s="7"/>
      <c r="G6871" s="7"/>
      <c r="H6871" s="7">
        <f t="shared" si="1"/>
        <v>1029</v>
      </c>
    </row>
    <row r="6872" ht="22.5" customHeight="1">
      <c r="B6872" s="7"/>
      <c r="C6872" s="7"/>
      <c r="D6872" s="7"/>
      <c r="E6872" s="7"/>
      <c r="F6872" s="7"/>
      <c r="G6872" s="7"/>
      <c r="H6872" s="7">
        <f t="shared" si="1"/>
        <v>1029</v>
      </c>
    </row>
    <row r="6873" ht="22.5" customHeight="1">
      <c r="B6873" s="7"/>
      <c r="C6873" s="7"/>
      <c r="D6873" s="7"/>
      <c r="E6873" s="7"/>
      <c r="F6873" s="7"/>
      <c r="G6873" s="7"/>
      <c r="H6873" s="7">
        <f t="shared" si="1"/>
        <v>1029</v>
      </c>
    </row>
    <row r="6874" ht="22.5" customHeight="1">
      <c r="B6874" s="7"/>
      <c r="C6874" s="7"/>
      <c r="D6874" s="7"/>
      <c r="E6874" s="7"/>
      <c r="F6874" s="7"/>
      <c r="G6874" s="7"/>
      <c r="H6874" s="7">
        <f t="shared" si="1"/>
        <v>1029</v>
      </c>
    </row>
    <row r="6875" ht="22.5" customHeight="1">
      <c r="B6875" s="7"/>
      <c r="C6875" s="7"/>
      <c r="D6875" s="7"/>
      <c r="E6875" s="7"/>
      <c r="F6875" s="7"/>
      <c r="G6875" s="7"/>
      <c r="H6875" s="7">
        <f t="shared" si="1"/>
        <v>1029</v>
      </c>
    </row>
    <row r="6876" ht="22.5" customHeight="1">
      <c r="B6876" s="7"/>
      <c r="C6876" s="7"/>
      <c r="D6876" s="7"/>
      <c r="E6876" s="7"/>
      <c r="F6876" s="7"/>
      <c r="G6876" s="7"/>
      <c r="H6876" s="7">
        <f t="shared" si="1"/>
        <v>1029</v>
      </c>
    </row>
    <row r="6877" ht="22.5" customHeight="1">
      <c r="B6877" s="7"/>
      <c r="C6877" s="7"/>
      <c r="D6877" s="7"/>
      <c r="E6877" s="7"/>
      <c r="F6877" s="7"/>
      <c r="G6877" s="7"/>
      <c r="H6877" s="7">
        <f t="shared" si="1"/>
        <v>1029</v>
      </c>
    </row>
    <row r="6878" ht="22.5" customHeight="1">
      <c r="B6878" s="7"/>
      <c r="C6878" s="7"/>
      <c r="D6878" s="7"/>
      <c r="E6878" s="7"/>
      <c r="F6878" s="7"/>
      <c r="G6878" s="7"/>
      <c r="H6878" s="7">
        <f t="shared" si="1"/>
        <v>1029</v>
      </c>
    </row>
    <row r="6879" ht="22.5" customHeight="1">
      <c r="B6879" s="7"/>
      <c r="C6879" s="7"/>
      <c r="D6879" s="7"/>
      <c r="E6879" s="7"/>
      <c r="F6879" s="7"/>
      <c r="G6879" s="7"/>
      <c r="H6879" s="7">
        <f t="shared" si="1"/>
        <v>1029</v>
      </c>
    </row>
    <row r="6880" ht="22.5" customHeight="1">
      <c r="B6880" s="7"/>
      <c r="C6880" s="7"/>
      <c r="D6880" s="7"/>
      <c r="E6880" s="7"/>
      <c r="F6880" s="7"/>
      <c r="G6880" s="7"/>
      <c r="H6880" s="7">
        <f t="shared" si="1"/>
        <v>1029</v>
      </c>
    </row>
    <row r="6881" ht="22.5" customHeight="1">
      <c r="B6881" s="7"/>
      <c r="C6881" s="7"/>
      <c r="D6881" s="7"/>
      <c r="E6881" s="7"/>
      <c r="F6881" s="7"/>
      <c r="G6881" s="7"/>
      <c r="H6881" s="7">
        <f t="shared" si="1"/>
        <v>1029</v>
      </c>
    </row>
    <row r="6882" ht="22.5" customHeight="1">
      <c r="B6882" s="7"/>
      <c r="C6882" s="7"/>
      <c r="D6882" s="7"/>
      <c r="E6882" s="7"/>
      <c r="F6882" s="7"/>
      <c r="G6882" s="7"/>
      <c r="H6882" s="7">
        <f t="shared" si="1"/>
        <v>1029</v>
      </c>
    </row>
    <row r="6883" ht="22.5" customHeight="1">
      <c r="B6883" s="7"/>
      <c r="C6883" s="7"/>
      <c r="D6883" s="7"/>
      <c r="E6883" s="7"/>
      <c r="F6883" s="7"/>
      <c r="G6883" s="7"/>
      <c r="H6883" s="7">
        <f t="shared" si="1"/>
        <v>1029</v>
      </c>
    </row>
    <row r="6884" ht="22.5" customHeight="1">
      <c r="B6884" s="7"/>
      <c r="C6884" s="7"/>
      <c r="D6884" s="7"/>
      <c r="E6884" s="7"/>
      <c r="F6884" s="7"/>
      <c r="G6884" s="7"/>
      <c r="H6884" s="7">
        <f t="shared" si="1"/>
        <v>1029</v>
      </c>
    </row>
    <row r="6885" ht="22.5" customHeight="1">
      <c r="B6885" s="7"/>
      <c r="C6885" s="7"/>
      <c r="D6885" s="7"/>
      <c r="E6885" s="7"/>
      <c r="F6885" s="7"/>
      <c r="G6885" s="7"/>
      <c r="H6885" s="7">
        <f t="shared" si="1"/>
        <v>1029</v>
      </c>
    </row>
    <row r="6886" ht="22.5" customHeight="1">
      <c r="B6886" s="7"/>
      <c r="C6886" s="7"/>
      <c r="D6886" s="7"/>
      <c r="E6886" s="7"/>
      <c r="F6886" s="7"/>
      <c r="G6886" s="7"/>
      <c r="H6886" s="7">
        <f t="shared" si="1"/>
        <v>1029</v>
      </c>
    </row>
    <row r="6887" ht="22.5" customHeight="1">
      <c r="B6887" s="7"/>
      <c r="C6887" s="7"/>
      <c r="D6887" s="7"/>
      <c r="E6887" s="7"/>
      <c r="F6887" s="7"/>
      <c r="G6887" s="7"/>
      <c r="H6887" s="7">
        <f t="shared" si="1"/>
        <v>1029</v>
      </c>
    </row>
    <row r="6888" ht="22.5" customHeight="1">
      <c r="B6888" s="7"/>
      <c r="C6888" s="7"/>
      <c r="D6888" s="7"/>
      <c r="E6888" s="7"/>
      <c r="F6888" s="7"/>
      <c r="G6888" s="7"/>
      <c r="H6888" s="7">
        <f t="shared" si="1"/>
        <v>1029</v>
      </c>
    </row>
    <row r="6889" ht="22.5" customHeight="1">
      <c r="B6889" s="7"/>
      <c r="C6889" s="7"/>
      <c r="D6889" s="7"/>
      <c r="E6889" s="7"/>
      <c r="F6889" s="7"/>
      <c r="G6889" s="7"/>
      <c r="H6889" s="7">
        <f t="shared" si="1"/>
        <v>1029</v>
      </c>
    </row>
    <row r="6890" ht="22.5" customHeight="1">
      <c r="B6890" s="7"/>
      <c r="C6890" s="7"/>
      <c r="D6890" s="7"/>
      <c r="E6890" s="7"/>
      <c r="F6890" s="7"/>
      <c r="G6890" s="7"/>
      <c r="H6890" s="7">
        <f t="shared" si="1"/>
        <v>1029</v>
      </c>
    </row>
    <row r="6891" ht="22.5" customHeight="1">
      <c r="B6891" s="7"/>
      <c r="C6891" s="7"/>
      <c r="D6891" s="7"/>
      <c r="E6891" s="7"/>
      <c r="F6891" s="7"/>
      <c r="G6891" s="7"/>
      <c r="H6891" s="7">
        <f t="shared" si="1"/>
        <v>1029</v>
      </c>
    </row>
    <row r="6892" ht="22.5" customHeight="1">
      <c r="B6892" s="7"/>
      <c r="C6892" s="7"/>
      <c r="D6892" s="7"/>
      <c r="E6892" s="7"/>
      <c r="F6892" s="7"/>
      <c r="G6892" s="7"/>
      <c r="H6892" s="7">
        <f t="shared" si="1"/>
        <v>1029</v>
      </c>
    </row>
    <row r="6893" ht="22.5" customHeight="1">
      <c r="B6893" s="7"/>
      <c r="C6893" s="7"/>
      <c r="D6893" s="7"/>
      <c r="E6893" s="7"/>
      <c r="F6893" s="7"/>
      <c r="G6893" s="7"/>
      <c r="H6893" s="7">
        <f t="shared" si="1"/>
        <v>1029</v>
      </c>
    </row>
    <row r="6894" ht="22.5" customHeight="1">
      <c r="B6894" s="7"/>
      <c r="C6894" s="7"/>
      <c r="D6894" s="7"/>
      <c r="E6894" s="7"/>
      <c r="F6894" s="7"/>
      <c r="G6894" s="7"/>
      <c r="H6894" s="7">
        <f t="shared" si="1"/>
        <v>1029</v>
      </c>
    </row>
    <row r="6895" ht="22.5" customHeight="1">
      <c r="B6895" s="7"/>
      <c r="C6895" s="7"/>
      <c r="D6895" s="7"/>
      <c r="E6895" s="7"/>
      <c r="F6895" s="7"/>
      <c r="G6895" s="7"/>
      <c r="H6895" s="7">
        <f t="shared" si="1"/>
        <v>1029</v>
      </c>
    </row>
    <row r="6896" ht="22.5" customHeight="1">
      <c r="B6896" s="7"/>
      <c r="C6896" s="7"/>
      <c r="D6896" s="7"/>
      <c r="E6896" s="7"/>
      <c r="F6896" s="7"/>
      <c r="G6896" s="7"/>
      <c r="H6896" s="7">
        <f t="shared" si="1"/>
        <v>1029</v>
      </c>
    </row>
    <row r="6897" ht="22.5" customHeight="1">
      <c r="B6897" s="7"/>
      <c r="C6897" s="7"/>
      <c r="D6897" s="7"/>
      <c r="E6897" s="7"/>
      <c r="F6897" s="7"/>
      <c r="G6897" s="7"/>
      <c r="H6897" s="7">
        <f t="shared" si="1"/>
        <v>1029</v>
      </c>
    </row>
    <row r="6898" ht="22.5" customHeight="1">
      <c r="B6898" s="7"/>
      <c r="C6898" s="7"/>
      <c r="D6898" s="7"/>
      <c r="E6898" s="7"/>
      <c r="F6898" s="7"/>
      <c r="G6898" s="7"/>
      <c r="H6898" s="7">
        <f t="shared" si="1"/>
        <v>1029</v>
      </c>
    </row>
    <row r="6899" ht="22.5" customHeight="1">
      <c r="B6899" s="7"/>
      <c r="C6899" s="7"/>
      <c r="D6899" s="7"/>
      <c r="E6899" s="7"/>
      <c r="F6899" s="7"/>
      <c r="G6899" s="7"/>
      <c r="H6899" s="7">
        <f t="shared" si="1"/>
        <v>1029</v>
      </c>
    </row>
    <row r="6900" ht="22.5" customHeight="1">
      <c r="B6900" s="7"/>
      <c r="C6900" s="7"/>
      <c r="D6900" s="7"/>
      <c r="E6900" s="7"/>
      <c r="F6900" s="7"/>
      <c r="G6900" s="7"/>
      <c r="H6900" s="7">
        <f t="shared" si="1"/>
        <v>1029</v>
      </c>
    </row>
    <row r="6901" ht="22.5" customHeight="1">
      <c r="B6901" s="7"/>
      <c r="C6901" s="7"/>
      <c r="D6901" s="7"/>
      <c r="E6901" s="7"/>
      <c r="F6901" s="7"/>
      <c r="G6901" s="7"/>
      <c r="H6901" s="7">
        <f t="shared" si="1"/>
        <v>1029</v>
      </c>
    </row>
    <row r="6902" ht="22.5" customHeight="1">
      <c r="B6902" s="7"/>
      <c r="C6902" s="7"/>
      <c r="D6902" s="7"/>
      <c r="E6902" s="7"/>
      <c r="F6902" s="7"/>
      <c r="G6902" s="7"/>
      <c r="H6902" s="7">
        <f t="shared" si="1"/>
        <v>1029</v>
      </c>
    </row>
    <row r="6903" ht="22.5" customHeight="1">
      <c r="B6903" s="7"/>
      <c r="C6903" s="7"/>
      <c r="D6903" s="7"/>
      <c r="E6903" s="7"/>
      <c r="F6903" s="7"/>
      <c r="G6903" s="7"/>
      <c r="H6903" s="7">
        <f t="shared" si="1"/>
        <v>1029</v>
      </c>
    </row>
    <row r="6904" ht="22.5" customHeight="1">
      <c r="B6904" s="7"/>
      <c r="C6904" s="7"/>
      <c r="D6904" s="7"/>
      <c r="E6904" s="7"/>
      <c r="F6904" s="7"/>
      <c r="G6904" s="7"/>
      <c r="H6904" s="7">
        <f t="shared" si="1"/>
        <v>1029</v>
      </c>
    </row>
    <row r="6905" ht="22.5" customHeight="1">
      <c r="B6905" s="7"/>
      <c r="C6905" s="7"/>
      <c r="D6905" s="7"/>
      <c r="E6905" s="7"/>
      <c r="F6905" s="7"/>
      <c r="G6905" s="7"/>
      <c r="H6905" s="7">
        <f t="shared" si="1"/>
        <v>1029</v>
      </c>
    </row>
    <row r="6906" ht="22.5" customHeight="1">
      <c r="B6906" s="7"/>
      <c r="C6906" s="7"/>
      <c r="D6906" s="7"/>
      <c r="E6906" s="7"/>
      <c r="F6906" s="7"/>
      <c r="G6906" s="7"/>
      <c r="H6906" s="7">
        <f t="shared" si="1"/>
        <v>1029</v>
      </c>
    </row>
    <row r="6907" ht="22.5" customHeight="1">
      <c r="B6907" s="7"/>
      <c r="C6907" s="7"/>
      <c r="D6907" s="7"/>
      <c r="E6907" s="7"/>
      <c r="F6907" s="7"/>
      <c r="G6907" s="7"/>
      <c r="H6907" s="7">
        <f t="shared" si="1"/>
        <v>1029</v>
      </c>
    </row>
    <row r="6908" ht="22.5" customHeight="1">
      <c r="B6908" s="7"/>
      <c r="C6908" s="7"/>
      <c r="D6908" s="7"/>
      <c r="E6908" s="7"/>
      <c r="F6908" s="7"/>
      <c r="G6908" s="7"/>
      <c r="H6908" s="7">
        <f t="shared" si="1"/>
        <v>1029</v>
      </c>
    </row>
    <row r="6909" ht="22.5" customHeight="1">
      <c r="B6909" s="7"/>
      <c r="C6909" s="7"/>
      <c r="D6909" s="7"/>
      <c r="E6909" s="7"/>
      <c r="F6909" s="7"/>
      <c r="G6909" s="7"/>
      <c r="H6909" s="7">
        <f t="shared" si="1"/>
        <v>1029</v>
      </c>
    </row>
    <row r="6910" ht="22.5" customHeight="1">
      <c r="B6910" s="7"/>
      <c r="C6910" s="7"/>
      <c r="D6910" s="7"/>
      <c r="E6910" s="7"/>
      <c r="F6910" s="7"/>
      <c r="G6910" s="7"/>
      <c r="H6910" s="7">
        <f t="shared" si="1"/>
        <v>1029</v>
      </c>
    </row>
    <row r="6911" ht="22.5" customHeight="1">
      <c r="B6911" s="7"/>
      <c r="C6911" s="7"/>
      <c r="D6911" s="7"/>
      <c r="E6911" s="7"/>
      <c r="F6911" s="7"/>
      <c r="G6911" s="7"/>
      <c r="H6911" s="7">
        <f t="shared" si="1"/>
        <v>1029</v>
      </c>
    </row>
    <row r="6912" ht="22.5" customHeight="1">
      <c r="B6912" s="7"/>
      <c r="C6912" s="7"/>
      <c r="D6912" s="7"/>
      <c r="E6912" s="7"/>
      <c r="F6912" s="7"/>
      <c r="G6912" s="7"/>
      <c r="H6912" s="7">
        <f t="shared" si="1"/>
        <v>1029</v>
      </c>
    </row>
    <row r="6913" ht="22.5" customHeight="1">
      <c r="B6913" s="7"/>
      <c r="C6913" s="7"/>
      <c r="D6913" s="7"/>
      <c r="E6913" s="7"/>
      <c r="F6913" s="7"/>
      <c r="G6913" s="7"/>
      <c r="H6913" s="7">
        <f t="shared" si="1"/>
        <v>1029</v>
      </c>
    </row>
    <row r="6914" ht="22.5" customHeight="1">
      <c r="B6914" s="7"/>
      <c r="C6914" s="7"/>
      <c r="D6914" s="7"/>
      <c r="E6914" s="7"/>
      <c r="F6914" s="7"/>
      <c r="G6914" s="7"/>
      <c r="H6914" s="7">
        <f t="shared" si="1"/>
        <v>1029</v>
      </c>
    </row>
    <row r="6915" ht="22.5" customHeight="1">
      <c r="B6915" s="7"/>
      <c r="C6915" s="7"/>
      <c r="D6915" s="7"/>
      <c r="E6915" s="7"/>
      <c r="F6915" s="7"/>
      <c r="G6915" s="7"/>
      <c r="H6915" s="7">
        <f t="shared" si="1"/>
        <v>1029</v>
      </c>
    </row>
    <row r="6916" ht="22.5" customHeight="1">
      <c r="B6916" s="7"/>
      <c r="C6916" s="7"/>
      <c r="D6916" s="7"/>
      <c r="E6916" s="7"/>
      <c r="F6916" s="7"/>
      <c r="G6916" s="7"/>
      <c r="H6916" s="7">
        <f t="shared" si="1"/>
        <v>1029</v>
      </c>
    </row>
    <row r="6917" ht="22.5" customHeight="1">
      <c r="B6917" s="7"/>
      <c r="C6917" s="7"/>
      <c r="D6917" s="7"/>
      <c r="E6917" s="7"/>
      <c r="F6917" s="7"/>
      <c r="G6917" s="7"/>
      <c r="H6917" s="7">
        <f t="shared" si="1"/>
        <v>1029</v>
      </c>
    </row>
    <row r="6918" ht="22.5" customHeight="1">
      <c r="B6918" s="7"/>
      <c r="C6918" s="7"/>
      <c r="D6918" s="7"/>
      <c r="E6918" s="7"/>
      <c r="F6918" s="7"/>
      <c r="G6918" s="7"/>
      <c r="H6918" s="7">
        <f t="shared" si="1"/>
        <v>1029</v>
      </c>
    </row>
    <row r="6919" ht="22.5" customHeight="1">
      <c r="B6919" s="7"/>
      <c r="C6919" s="7"/>
      <c r="D6919" s="7"/>
      <c r="E6919" s="7"/>
      <c r="F6919" s="7"/>
      <c r="G6919" s="7"/>
      <c r="H6919" s="7">
        <f t="shared" si="1"/>
        <v>1029</v>
      </c>
    </row>
    <row r="6920" ht="22.5" customHeight="1">
      <c r="B6920" s="7"/>
      <c r="C6920" s="7"/>
      <c r="D6920" s="7"/>
      <c r="E6920" s="7"/>
      <c r="F6920" s="7"/>
      <c r="G6920" s="7"/>
      <c r="H6920" s="7">
        <f t="shared" si="1"/>
        <v>1029</v>
      </c>
    </row>
    <row r="6921" ht="22.5" customHeight="1">
      <c r="B6921" s="7"/>
      <c r="C6921" s="7"/>
      <c r="D6921" s="7"/>
      <c r="E6921" s="7"/>
      <c r="F6921" s="7"/>
      <c r="G6921" s="7"/>
      <c r="H6921" s="7">
        <f t="shared" si="1"/>
        <v>1029</v>
      </c>
    </row>
    <row r="6922" ht="22.5" customHeight="1">
      <c r="B6922" s="7"/>
      <c r="C6922" s="7"/>
      <c r="D6922" s="7"/>
      <c r="E6922" s="7"/>
      <c r="F6922" s="7"/>
      <c r="G6922" s="7"/>
      <c r="H6922" s="7">
        <f t="shared" si="1"/>
        <v>1029</v>
      </c>
    </row>
    <row r="6923" ht="22.5" customHeight="1">
      <c r="B6923" s="7"/>
      <c r="C6923" s="7"/>
      <c r="D6923" s="7"/>
      <c r="E6923" s="7"/>
      <c r="F6923" s="7"/>
      <c r="G6923" s="7"/>
      <c r="H6923" s="7">
        <f t="shared" si="1"/>
        <v>1029</v>
      </c>
    </row>
    <row r="6924" ht="22.5" customHeight="1">
      <c r="B6924" s="7"/>
      <c r="C6924" s="7"/>
      <c r="D6924" s="7"/>
      <c r="E6924" s="7"/>
      <c r="F6924" s="7"/>
      <c r="G6924" s="7"/>
      <c r="H6924" s="7">
        <f t="shared" si="1"/>
        <v>1029</v>
      </c>
    </row>
    <row r="6925" ht="22.5" customHeight="1">
      <c r="B6925" s="7"/>
      <c r="C6925" s="7"/>
      <c r="D6925" s="7"/>
      <c r="E6925" s="7"/>
      <c r="F6925" s="7"/>
      <c r="G6925" s="7"/>
      <c r="H6925" s="7">
        <f t="shared" si="1"/>
        <v>1029</v>
      </c>
    </row>
    <row r="6926" ht="22.5" customHeight="1">
      <c r="B6926" s="7"/>
      <c r="C6926" s="7"/>
      <c r="D6926" s="7"/>
      <c r="E6926" s="7"/>
      <c r="F6926" s="7"/>
      <c r="G6926" s="7"/>
      <c r="H6926" s="7">
        <f t="shared" si="1"/>
        <v>1029</v>
      </c>
    </row>
    <row r="6927" ht="22.5" customHeight="1">
      <c r="B6927" s="7"/>
      <c r="C6927" s="7"/>
      <c r="D6927" s="7"/>
      <c r="E6927" s="7"/>
      <c r="F6927" s="7"/>
      <c r="G6927" s="7"/>
      <c r="H6927" s="7">
        <f t="shared" si="1"/>
        <v>1029</v>
      </c>
    </row>
    <row r="6928" ht="22.5" customHeight="1">
      <c r="B6928" s="7"/>
      <c r="C6928" s="7"/>
      <c r="D6928" s="7"/>
      <c r="E6928" s="7"/>
      <c r="F6928" s="7"/>
      <c r="G6928" s="7"/>
      <c r="H6928" s="7">
        <f t="shared" si="1"/>
        <v>1029</v>
      </c>
    </row>
    <row r="6929" ht="22.5" customHeight="1">
      <c r="B6929" s="7"/>
      <c r="C6929" s="7"/>
      <c r="D6929" s="7"/>
      <c r="E6929" s="7"/>
      <c r="F6929" s="7"/>
      <c r="G6929" s="7"/>
      <c r="H6929" s="7">
        <f t="shared" si="1"/>
        <v>1029</v>
      </c>
    </row>
    <row r="6930" ht="22.5" customHeight="1">
      <c r="B6930" s="7"/>
      <c r="C6930" s="7"/>
      <c r="D6930" s="7"/>
      <c r="E6930" s="7"/>
      <c r="F6930" s="7"/>
      <c r="G6930" s="7"/>
      <c r="H6930" s="7">
        <f t="shared" si="1"/>
        <v>1029</v>
      </c>
    </row>
    <row r="6931" ht="22.5" customHeight="1">
      <c r="B6931" s="7"/>
      <c r="C6931" s="7"/>
      <c r="D6931" s="7"/>
      <c r="E6931" s="7"/>
      <c r="F6931" s="7"/>
      <c r="G6931" s="7"/>
      <c r="H6931" s="7">
        <f t="shared" si="1"/>
        <v>1029</v>
      </c>
    </row>
    <row r="6932" ht="22.5" customHeight="1">
      <c r="B6932" s="7"/>
      <c r="C6932" s="7"/>
      <c r="D6932" s="7"/>
      <c r="E6932" s="7"/>
      <c r="F6932" s="7"/>
      <c r="G6932" s="7"/>
      <c r="H6932" s="7">
        <f t="shared" si="1"/>
        <v>1029</v>
      </c>
    </row>
    <row r="6933" ht="22.5" customHeight="1">
      <c r="B6933" s="7"/>
      <c r="C6933" s="7"/>
      <c r="D6933" s="7"/>
      <c r="E6933" s="7"/>
      <c r="F6933" s="7"/>
      <c r="G6933" s="7"/>
      <c r="H6933" s="7">
        <f t="shared" si="1"/>
        <v>1029</v>
      </c>
    </row>
    <row r="6934" ht="22.5" customHeight="1">
      <c r="B6934" s="7"/>
      <c r="C6934" s="7"/>
      <c r="D6934" s="7"/>
      <c r="E6934" s="7"/>
      <c r="F6934" s="7"/>
      <c r="G6934" s="7"/>
      <c r="H6934" s="7">
        <f t="shared" si="1"/>
        <v>1029</v>
      </c>
    </row>
    <row r="6935" ht="22.5" customHeight="1">
      <c r="B6935" s="7"/>
      <c r="C6935" s="7"/>
      <c r="D6935" s="7"/>
      <c r="E6935" s="7"/>
      <c r="F6935" s="7"/>
      <c r="G6935" s="7"/>
      <c r="H6935" s="7">
        <f t="shared" si="1"/>
        <v>1029</v>
      </c>
    </row>
    <row r="6936" ht="22.5" customHeight="1">
      <c r="B6936" s="7"/>
      <c r="C6936" s="7"/>
      <c r="D6936" s="7"/>
      <c r="E6936" s="7"/>
      <c r="F6936" s="7"/>
      <c r="G6936" s="7"/>
      <c r="H6936" s="7">
        <f t="shared" si="1"/>
        <v>1029</v>
      </c>
    </row>
    <row r="6937" ht="22.5" customHeight="1">
      <c r="B6937" s="7"/>
      <c r="C6937" s="7"/>
      <c r="D6937" s="7"/>
      <c r="E6937" s="7"/>
      <c r="F6937" s="7"/>
      <c r="G6937" s="7"/>
      <c r="H6937" s="7">
        <f t="shared" si="1"/>
        <v>1029</v>
      </c>
    </row>
    <row r="6938" ht="22.5" customHeight="1">
      <c r="B6938" s="7"/>
      <c r="C6938" s="7"/>
      <c r="D6938" s="7"/>
      <c r="E6938" s="7"/>
      <c r="F6938" s="7"/>
      <c r="G6938" s="7"/>
      <c r="H6938" s="7">
        <f t="shared" si="1"/>
        <v>1029</v>
      </c>
    </row>
    <row r="6939" ht="22.5" customHeight="1">
      <c r="B6939" s="7"/>
      <c r="C6939" s="7"/>
      <c r="D6939" s="7"/>
      <c r="E6939" s="7"/>
      <c r="F6939" s="7"/>
      <c r="G6939" s="7"/>
      <c r="H6939" s="7">
        <f t="shared" si="1"/>
        <v>1029</v>
      </c>
    </row>
    <row r="6940" ht="22.5" customHeight="1">
      <c r="B6940" s="7"/>
      <c r="C6940" s="7"/>
      <c r="D6940" s="7"/>
      <c r="E6940" s="7"/>
      <c r="F6940" s="7"/>
      <c r="G6940" s="7"/>
      <c r="H6940" s="7">
        <f t="shared" si="1"/>
        <v>1029</v>
      </c>
    </row>
    <row r="6941" ht="22.5" customHeight="1">
      <c r="B6941" s="7"/>
      <c r="C6941" s="7"/>
      <c r="D6941" s="7"/>
      <c r="E6941" s="7"/>
      <c r="F6941" s="7"/>
      <c r="G6941" s="7"/>
      <c r="H6941" s="7">
        <f t="shared" si="1"/>
        <v>1029</v>
      </c>
    </row>
    <row r="6942" ht="22.5" customHeight="1">
      <c r="B6942" s="7"/>
      <c r="C6942" s="7"/>
      <c r="D6942" s="7"/>
      <c r="E6942" s="7"/>
      <c r="F6942" s="7"/>
      <c r="G6942" s="7"/>
      <c r="H6942" s="7">
        <f t="shared" si="1"/>
        <v>1029</v>
      </c>
    </row>
    <row r="6943" ht="22.5" customHeight="1">
      <c r="B6943" s="7"/>
      <c r="C6943" s="7"/>
      <c r="D6943" s="7"/>
      <c r="E6943" s="7"/>
      <c r="F6943" s="7"/>
      <c r="G6943" s="7"/>
      <c r="H6943" s="7">
        <f t="shared" si="1"/>
        <v>1029</v>
      </c>
    </row>
    <row r="6944" ht="22.5" customHeight="1">
      <c r="B6944" s="7"/>
      <c r="C6944" s="7"/>
      <c r="D6944" s="7"/>
      <c r="E6944" s="7"/>
      <c r="F6944" s="7"/>
      <c r="G6944" s="7"/>
      <c r="H6944" s="7">
        <f t="shared" si="1"/>
        <v>1029</v>
      </c>
    </row>
    <row r="6945" ht="22.5" customHeight="1">
      <c r="B6945" s="7"/>
      <c r="C6945" s="7"/>
      <c r="D6945" s="7"/>
      <c r="E6945" s="7"/>
      <c r="F6945" s="7"/>
      <c r="G6945" s="7"/>
      <c r="H6945" s="7">
        <f t="shared" si="1"/>
        <v>1029</v>
      </c>
    </row>
    <row r="6946" ht="22.5" customHeight="1">
      <c r="B6946" s="7"/>
      <c r="C6946" s="7"/>
      <c r="D6946" s="7"/>
      <c r="E6946" s="7"/>
      <c r="F6946" s="7"/>
      <c r="G6946" s="7"/>
      <c r="H6946" s="7">
        <f t="shared" si="1"/>
        <v>1029</v>
      </c>
    </row>
    <row r="6947" ht="22.5" customHeight="1">
      <c r="B6947" s="7"/>
      <c r="C6947" s="7"/>
      <c r="D6947" s="7"/>
      <c r="E6947" s="7"/>
      <c r="F6947" s="7"/>
      <c r="G6947" s="7"/>
      <c r="H6947" s="7">
        <f t="shared" si="1"/>
        <v>1029</v>
      </c>
    </row>
    <row r="6948" ht="22.5" customHeight="1">
      <c r="B6948" s="7"/>
      <c r="C6948" s="7"/>
      <c r="D6948" s="7"/>
      <c r="E6948" s="7"/>
      <c r="F6948" s="7"/>
      <c r="G6948" s="7"/>
      <c r="H6948" s="7">
        <f t="shared" si="1"/>
        <v>1029</v>
      </c>
    </row>
    <row r="6949" ht="22.5" customHeight="1">
      <c r="B6949" s="7"/>
      <c r="C6949" s="7"/>
      <c r="D6949" s="7"/>
      <c r="E6949" s="7"/>
      <c r="F6949" s="7"/>
      <c r="G6949" s="7"/>
      <c r="H6949" s="7">
        <f t="shared" si="1"/>
        <v>1029</v>
      </c>
    </row>
    <row r="6950" ht="22.5" customHeight="1">
      <c r="B6950" s="7"/>
      <c r="C6950" s="7"/>
      <c r="D6950" s="7"/>
      <c r="E6950" s="7"/>
      <c r="F6950" s="7"/>
      <c r="G6950" s="7"/>
      <c r="H6950" s="7">
        <f t="shared" si="1"/>
        <v>1029</v>
      </c>
    </row>
    <row r="6951" ht="22.5" customHeight="1">
      <c r="B6951" s="7"/>
      <c r="C6951" s="7"/>
      <c r="D6951" s="7"/>
      <c r="E6951" s="7"/>
      <c r="F6951" s="7"/>
      <c r="G6951" s="7"/>
      <c r="H6951" s="7">
        <f t="shared" si="1"/>
        <v>1029</v>
      </c>
    </row>
    <row r="6952" ht="22.5" customHeight="1">
      <c r="B6952" s="7"/>
      <c r="C6952" s="7"/>
      <c r="D6952" s="7"/>
      <c r="E6952" s="7"/>
      <c r="F6952" s="7"/>
      <c r="G6952" s="7"/>
      <c r="H6952" s="7">
        <f t="shared" si="1"/>
        <v>1029</v>
      </c>
    </row>
    <row r="6953" ht="22.5" customHeight="1">
      <c r="B6953" s="7"/>
      <c r="C6953" s="7"/>
      <c r="D6953" s="7"/>
      <c r="E6953" s="7"/>
      <c r="F6953" s="7"/>
      <c r="G6953" s="7"/>
      <c r="H6953" s="7">
        <f t="shared" si="1"/>
        <v>1029</v>
      </c>
    </row>
    <row r="6954" ht="22.5" customHeight="1">
      <c r="B6954" s="7"/>
      <c r="C6954" s="7"/>
      <c r="D6954" s="7"/>
      <c r="E6954" s="7"/>
      <c r="F6954" s="7"/>
      <c r="G6954" s="7"/>
      <c r="H6954" s="7">
        <f t="shared" si="1"/>
        <v>1029</v>
      </c>
    </row>
    <row r="6955" ht="22.5" customHeight="1">
      <c r="B6955" s="7"/>
      <c r="C6955" s="7"/>
      <c r="D6955" s="7"/>
      <c r="E6955" s="7"/>
      <c r="F6955" s="7"/>
      <c r="G6955" s="7"/>
      <c r="H6955" s="7">
        <f t="shared" si="1"/>
        <v>1029</v>
      </c>
    </row>
    <row r="6956" ht="22.5" customHeight="1">
      <c r="B6956" s="7"/>
      <c r="C6956" s="7"/>
      <c r="D6956" s="7"/>
      <c r="E6956" s="7"/>
      <c r="F6956" s="7"/>
      <c r="G6956" s="7"/>
      <c r="H6956" s="7">
        <f t="shared" si="1"/>
        <v>1029</v>
      </c>
    </row>
    <row r="6957" ht="22.5" customHeight="1">
      <c r="B6957" s="7"/>
      <c r="C6957" s="7"/>
      <c r="D6957" s="7"/>
      <c r="E6957" s="7"/>
      <c r="F6957" s="7"/>
      <c r="G6957" s="7"/>
      <c r="H6957" s="7">
        <f t="shared" si="1"/>
        <v>1029</v>
      </c>
    </row>
    <row r="6958" ht="22.5" customHeight="1">
      <c r="B6958" s="7"/>
      <c r="C6958" s="7"/>
      <c r="D6958" s="7"/>
      <c r="E6958" s="7"/>
      <c r="F6958" s="7"/>
      <c r="G6958" s="7"/>
      <c r="H6958" s="7">
        <f t="shared" si="1"/>
        <v>1029</v>
      </c>
    </row>
    <row r="6959" ht="22.5" customHeight="1">
      <c r="B6959" s="7"/>
      <c r="C6959" s="7"/>
      <c r="D6959" s="7"/>
      <c r="E6959" s="7"/>
      <c r="F6959" s="7"/>
      <c r="G6959" s="7"/>
      <c r="H6959" s="7">
        <f t="shared" si="1"/>
        <v>1029</v>
      </c>
    </row>
    <row r="6960" ht="22.5" customHeight="1">
      <c r="B6960" s="7"/>
      <c r="C6960" s="7"/>
      <c r="D6960" s="7"/>
      <c r="E6960" s="7"/>
      <c r="F6960" s="7"/>
      <c r="G6960" s="7"/>
      <c r="H6960" s="7">
        <f t="shared" si="1"/>
        <v>1029</v>
      </c>
    </row>
    <row r="6961" ht="22.5" customHeight="1">
      <c r="B6961" s="7"/>
      <c r="C6961" s="7"/>
      <c r="D6961" s="7"/>
      <c r="E6961" s="7"/>
      <c r="F6961" s="7"/>
      <c r="G6961" s="7"/>
      <c r="H6961" s="7">
        <f t="shared" si="1"/>
        <v>1029</v>
      </c>
    </row>
    <row r="6962" ht="22.5" customHeight="1">
      <c r="B6962" s="7"/>
      <c r="C6962" s="7"/>
      <c r="D6962" s="7"/>
      <c r="E6962" s="7"/>
      <c r="F6962" s="7"/>
      <c r="G6962" s="7"/>
      <c r="H6962" s="7">
        <f t="shared" si="1"/>
        <v>1029</v>
      </c>
    </row>
    <row r="6963" ht="22.5" customHeight="1">
      <c r="B6963" s="7"/>
      <c r="C6963" s="7"/>
      <c r="D6963" s="7"/>
      <c r="E6963" s="7"/>
      <c r="F6963" s="7"/>
      <c r="G6963" s="7"/>
      <c r="H6963" s="7">
        <f t="shared" si="1"/>
        <v>1029</v>
      </c>
    </row>
    <row r="6964" ht="22.5" customHeight="1">
      <c r="B6964" s="7"/>
      <c r="C6964" s="7"/>
      <c r="D6964" s="7"/>
      <c r="E6964" s="7"/>
      <c r="F6964" s="7"/>
      <c r="G6964" s="7"/>
      <c r="H6964" s="7">
        <f t="shared" si="1"/>
        <v>1029</v>
      </c>
    </row>
    <row r="6965" ht="22.5" customHeight="1">
      <c r="B6965" s="7"/>
      <c r="C6965" s="7"/>
      <c r="D6965" s="7"/>
      <c r="E6965" s="7"/>
      <c r="F6965" s="7"/>
      <c r="G6965" s="7"/>
      <c r="H6965" s="7">
        <f t="shared" si="1"/>
        <v>1029</v>
      </c>
    </row>
    <row r="6966" ht="22.5" customHeight="1">
      <c r="B6966" s="7"/>
      <c r="C6966" s="7"/>
      <c r="D6966" s="7"/>
      <c r="E6966" s="7"/>
      <c r="F6966" s="7"/>
      <c r="G6966" s="7"/>
      <c r="H6966" s="7">
        <f t="shared" si="1"/>
        <v>1029</v>
      </c>
    </row>
    <row r="6967" ht="22.5" customHeight="1">
      <c r="B6967" s="7"/>
      <c r="C6967" s="7"/>
      <c r="D6967" s="7"/>
      <c r="E6967" s="7"/>
      <c r="F6967" s="7"/>
      <c r="G6967" s="7"/>
      <c r="H6967" s="7">
        <f t="shared" si="1"/>
        <v>1029</v>
      </c>
    </row>
    <row r="6968" ht="22.5" customHeight="1">
      <c r="B6968" s="7"/>
      <c r="C6968" s="7"/>
      <c r="D6968" s="7"/>
      <c r="E6968" s="7"/>
      <c r="F6968" s="7"/>
      <c r="G6968" s="7"/>
      <c r="H6968" s="7">
        <f t="shared" si="1"/>
        <v>1029</v>
      </c>
    </row>
    <row r="6969" ht="22.5" customHeight="1">
      <c r="B6969" s="7"/>
      <c r="C6969" s="7"/>
      <c r="D6969" s="7"/>
      <c r="E6969" s="7"/>
      <c r="F6969" s="7"/>
      <c r="G6969" s="7"/>
      <c r="H6969" s="7">
        <f t="shared" si="1"/>
        <v>1029</v>
      </c>
    </row>
    <row r="6970" ht="22.5" customHeight="1">
      <c r="B6970" s="7"/>
      <c r="C6970" s="7"/>
      <c r="D6970" s="7"/>
      <c r="E6970" s="7"/>
      <c r="F6970" s="7"/>
      <c r="G6970" s="7"/>
      <c r="H6970" s="7">
        <f t="shared" si="1"/>
        <v>1029</v>
      </c>
    </row>
    <row r="6971" ht="22.5" customHeight="1">
      <c r="B6971" s="7"/>
      <c r="C6971" s="7"/>
      <c r="D6971" s="7"/>
      <c r="E6971" s="7"/>
      <c r="F6971" s="7"/>
      <c r="G6971" s="7"/>
      <c r="H6971" s="7">
        <f t="shared" si="1"/>
        <v>1029</v>
      </c>
    </row>
    <row r="6972" ht="22.5" customHeight="1">
      <c r="B6972" s="7"/>
      <c r="C6972" s="7"/>
      <c r="D6972" s="7"/>
      <c r="E6972" s="7"/>
      <c r="F6972" s="7"/>
      <c r="G6972" s="7"/>
      <c r="H6972" s="7">
        <f t="shared" si="1"/>
        <v>1029</v>
      </c>
    </row>
    <row r="6973" ht="22.5" customHeight="1">
      <c r="B6973" s="7"/>
      <c r="C6973" s="7"/>
      <c r="D6973" s="7"/>
      <c r="E6973" s="7"/>
      <c r="F6973" s="7"/>
      <c r="G6973" s="7"/>
      <c r="H6973" s="7">
        <f t="shared" si="1"/>
        <v>1029</v>
      </c>
    </row>
    <row r="6974" ht="22.5" customHeight="1">
      <c r="B6974" s="7"/>
      <c r="C6974" s="7"/>
      <c r="D6974" s="7"/>
      <c r="E6974" s="7"/>
      <c r="F6974" s="7"/>
      <c r="G6974" s="7"/>
      <c r="H6974" s="7">
        <f t="shared" si="1"/>
        <v>1029</v>
      </c>
    </row>
    <row r="6975" ht="22.5" customHeight="1">
      <c r="B6975" s="7"/>
      <c r="C6975" s="7"/>
      <c r="D6975" s="7"/>
      <c r="E6975" s="7"/>
      <c r="F6975" s="7"/>
      <c r="G6975" s="7"/>
      <c r="H6975" s="7">
        <f t="shared" si="1"/>
        <v>1029</v>
      </c>
    </row>
    <row r="6976" ht="22.5" customHeight="1">
      <c r="B6976" s="7"/>
      <c r="C6976" s="7"/>
      <c r="D6976" s="7"/>
      <c r="E6976" s="7"/>
      <c r="F6976" s="7"/>
      <c r="G6976" s="7"/>
      <c r="H6976" s="7">
        <f t="shared" si="1"/>
        <v>1029</v>
      </c>
    </row>
    <row r="6977" ht="22.5" customHeight="1">
      <c r="B6977" s="7"/>
      <c r="C6977" s="7"/>
      <c r="D6977" s="7"/>
      <c r="E6977" s="7"/>
      <c r="F6977" s="7"/>
      <c r="G6977" s="7"/>
      <c r="H6977" s="7">
        <f t="shared" si="1"/>
        <v>1029</v>
      </c>
    </row>
    <row r="6978" ht="22.5" customHeight="1">
      <c r="B6978" s="7"/>
      <c r="C6978" s="7"/>
      <c r="D6978" s="7"/>
      <c r="E6978" s="7"/>
      <c r="F6978" s="7"/>
      <c r="G6978" s="7"/>
      <c r="H6978" s="7">
        <f t="shared" si="1"/>
        <v>1029</v>
      </c>
    </row>
    <row r="6979" ht="22.5" customHeight="1">
      <c r="B6979" s="7"/>
      <c r="C6979" s="7"/>
      <c r="D6979" s="7"/>
      <c r="E6979" s="7"/>
      <c r="F6979" s="7"/>
      <c r="G6979" s="7"/>
      <c r="H6979" s="7">
        <f t="shared" si="1"/>
        <v>1029</v>
      </c>
    </row>
    <row r="6980" ht="22.5" customHeight="1">
      <c r="B6980" s="7"/>
      <c r="C6980" s="7"/>
      <c r="D6980" s="7"/>
      <c r="E6980" s="7"/>
      <c r="F6980" s="7"/>
      <c r="G6980" s="7"/>
      <c r="H6980" s="7">
        <f t="shared" si="1"/>
        <v>1029</v>
      </c>
    </row>
    <row r="6981" ht="22.5" customHeight="1">
      <c r="B6981" s="7"/>
      <c r="C6981" s="7"/>
      <c r="D6981" s="7"/>
      <c r="E6981" s="7"/>
      <c r="F6981" s="7"/>
      <c r="G6981" s="7"/>
      <c r="H6981" s="7">
        <f t="shared" si="1"/>
        <v>1029</v>
      </c>
    </row>
    <row r="6982" ht="22.5" customHeight="1">
      <c r="B6982" s="7"/>
      <c r="C6982" s="7"/>
      <c r="D6982" s="7"/>
      <c r="E6982" s="7"/>
      <c r="F6982" s="7"/>
      <c r="G6982" s="7"/>
      <c r="H6982" s="7">
        <f t="shared" si="1"/>
        <v>1029</v>
      </c>
    </row>
    <row r="6983" ht="22.5" customHeight="1">
      <c r="B6983" s="7"/>
      <c r="C6983" s="7"/>
      <c r="D6983" s="7"/>
      <c r="E6983" s="7"/>
      <c r="F6983" s="7"/>
      <c r="G6983" s="7"/>
      <c r="H6983" s="7">
        <f t="shared" si="1"/>
        <v>1029</v>
      </c>
    </row>
    <row r="6984" ht="22.5" customHeight="1">
      <c r="B6984" s="7"/>
      <c r="C6984" s="7"/>
      <c r="D6984" s="7"/>
      <c r="E6984" s="7"/>
      <c r="F6984" s="7"/>
      <c r="G6984" s="7"/>
      <c r="H6984" s="7">
        <f t="shared" si="1"/>
        <v>1029</v>
      </c>
    </row>
    <row r="6985" ht="22.5" customHeight="1">
      <c r="B6985" s="7"/>
      <c r="C6985" s="7"/>
      <c r="D6985" s="7"/>
      <c r="E6985" s="7"/>
      <c r="F6985" s="7"/>
      <c r="G6985" s="7"/>
      <c r="H6985" s="7">
        <f t="shared" si="1"/>
        <v>1029</v>
      </c>
    </row>
    <row r="6986" ht="22.5" customHeight="1">
      <c r="B6986" s="7"/>
      <c r="C6986" s="7"/>
      <c r="D6986" s="7"/>
      <c r="E6986" s="7"/>
      <c r="F6986" s="7"/>
      <c r="G6986" s="7"/>
      <c r="H6986" s="7">
        <f t="shared" si="1"/>
        <v>1029</v>
      </c>
    </row>
    <row r="6987" ht="22.5" customHeight="1">
      <c r="B6987" s="7"/>
      <c r="C6987" s="7"/>
      <c r="D6987" s="7"/>
      <c r="E6987" s="7"/>
      <c r="F6987" s="7"/>
      <c r="G6987" s="7"/>
      <c r="H6987" s="7">
        <f t="shared" si="1"/>
        <v>1029</v>
      </c>
    </row>
    <row r="6988" ht="22.5" customHeight="1">
      <c r="B6988" s="7"/>
      <c r="C6988" s="7"/>
      <c r="D6988" s="7"/>
      <c r="E6988" s="7"/>
      <c r="F6988" s="7"/>
      <c r="G6988" s="7"/>
      <c r="H6988" s="7">
        <f t="shared" si="1"/>
        <v>1029</v>
      </c>
    </row>
    <row r="6989" ht="22.5" customHeight="1">
      <c r="B6989" s="7"/>
      <c r="C6989" s="7"/>
      <c r="D6989" s="7"/>
      <c r="E6989" s="7"/>
      <c r="F6989" s="7"/>
      <c r="G6989" s="7"/>
      <c r="H6989" s="7">
        <f t="shared" si="1"/>
        <v>1029</v>
      </c>
    </row>
    <row r="6990" ht="22.5" customHeight="1">
      <c r="B6990" s="7"/>
      <c r="C6990" s="7"/>
      <c r="D6990" s="7"/>
      <c r="E6990" s="7"/>
      <c r="F6990" s="7"/>
      <c r="G6990" s="7"/>
      <c r="H6990" s="7">
        <f t="shared" si="1"/>
        <v>1029</v>
      </c>
    </row>
    <row r="6991" ht="22.5" customHeight="1">
      <c r="B6991" s="7"/>
      <c r="C6991" s="7"/>
      <c r="D6991" s="7"/>
      <c r="E6991" s="7"/>
      <c r="F6991" s="7"/>
      <c r="G6991" s="7"/>
      <c r="H6991" s="7">
        <f t="shared" si="1"/>
        <v>1029</v>
      </c>
    </row>
    <row r="6992" ht="22.5" customHeight="1">
      <c r="B6992" s="7"/>
      <c r="C6992" s="7"/>
      <c r="D6992" s="7"/>
      <c r="E6992" s="7"/>
      <c r="F6992" s="7"/>
      <c r="G6992" s="7"/>
      <c r="H6992" s="7">
        <f t="shared" si="1"/>
        <v>1029</v>
      </c>
    </row>
    <row r="6993" ht="22.5" customHeight="1">
      <c r="B6993" s="7"/>
      <c r="C6993" s="7"/>
      <c r="D6993" s="7"/>
      <c r="E6993" s="7"/>
      <c r="F6993" s="7"/>
      <c r="G6993" s="7"/>
      <c r="H6993" s="7">
        <f t="shared" si="1"/>
        <v>1029</v>
      </c>
    </row>
    <row r="6994" ht="22.5" customHeight="1">
      <c r="B6994" s="7"/>
      <c r="C6994" s="7"/>
      <c r="D6994" s="7"/>
      <c r="E6994" s="7"/>
      <c r="F6994" s="7"/>
      <c r="G6994" s="7"/>
      <c r="H6994" s="7">
        <f t="shared" si="1"/>
        <v>1029</v>
      </c>
    </row>
    <row r="6995" ht="22.5" customHeight="1">
      <c r="B6995" s="7"/>
      <c r="C6995" s="7"/>
      <c r="D6995" s="7"/>
      <c r="E6995" s="7"/>
      <c r="F6995" s="7"/>
      <c r="G6995" s="7"/>
      <c r="H6995" s="7">
        <f t="shared" si="1"/>
        <v>1029</v>
      </c>
    </row>
    <row r="6996" ht="22.5" customHeight="1">
      <c r="B6996" s="7"/>
      <c r="C6996" s="7"/>
      <c r="D6996" s="7"/>
      <c r="E6996" s="7"/>
      <c r="F6996" s="7"/>
      <c r="G6996" s="7"/>
      <c r="H6996" s="7">
        <f t="shared" si="1"/>
        <v>1029</v>
      </c>
    </row>
    <row r="6997" ht="22.5" customHeight="1">
      <c r="B6997" s="7"/>
      <c r="C6997" s="7"/>
      <c r="D6997" s="7"/>
      <c r="E6997" s="7"/>
      <c r="F6997" s="7"/>
      <c r="G6997" s="7"/>
      <c r="H6997" s="7">
        <f t="shared" si="1"/>
        <v>1029</v>
      </c>
    </row>
    <row r="6998" ht="22.5" customHeight="1">
      <c r="B6998" s="7"/>
      <c r="C6998" s="7"/>
      <c r="D6998" s="7"/>
      <c r="E6998" s="7"/>
      <c r="F6998" s="7"/>
      <c r="G6998" s="7"/>
      <c r="H6998" s="7">
        <f t="shared" si="1"/>
        <v>1029</v>
      </c>
    </row>
    <row r="6999" ht="22.5" customHeight="1">
      <c r="B6999" s="7"/>
      <c r="C6999" s="7"/>
      <c r="D6999" s="7"/>
      <c r="E6999" s="7"/>
      <c r="F6999" s="7"/>
      <c r="G6999" s="7"/>
      <c r="H6999" s="7">
        <f t="shared" si="1"/>
        <v>1029</v>
      </c>
    </row>
    <row r="7000" ht="22.5" customHeight="1">
      <c r="B7000" s="7"/>
      <c r="C7000" s="7"/>
      <c r="D7000" s="7"/>
      <c r="E7000" s="7"/>
      <c r="F7000" s="7"/>
      <c r="G7000" s="7"/>
      <c r="H7000" s="7">
        <f t="shared" si="1"/>
        <v>1029</v>
      </c>
    </row>
    <row r="7001" ht="22.5" customHeight="1">
      <c r="B7001" s="7"/>
      <c r="C7001" s="7"/>
      <c r="D7001" s="7"/>
      <c r="E7001" s="7"/>
      <c r="F7001" s="7"/>
      <c r="G7001" s="7"/>
      <c r="H7001" s="7">
        <f t="shared" si="1"/>
        <v>1029</v>
      </c>
    </row>
    <row r="7002" ht="22.5" customHeight="1">
      <c r="B7002" s="7"/>
      <c r="C7002" s="7"/>
      <c r="D7002" s="7"/>
      <c r="E7002" s="7"/>
      <c r="F7002" s="7"/>
      <c r="G7002" s="7"/>
      <c r="H7002" s="7">
        <f t="shared" si="1"/>
        <v>1029</v>
      </c>
    </row>
    <row r="7003" ht="22.5" customHeight="1">
      <c r="B7003" s="7"/>
      <c r="C7003" s="7"/>
      <c r="D7003" s="7"/>
      <c r="E7003" s="7"/>
      <c r="F7003" s="7"/>
      <c r="G7003" s="7"/>
      <c r="H7003" s="7">
        <f t="shared" si="1"/>
        <v>1029</v>
      </c>
    </row>
    <row r="7004" ht="22.5" customHeight="1">
      <c r="B7004" s="7"/>
      <c r="C7004" s="7"/>
      <c r="D7004" s="7"/>
      <c r="E7004" s="7"/>
      <c r="F7004" s="7"/>
      <c r="G7004" s="7"/>
      <c r="H7004" s="7">
        <f t="shared" si="1"/>
        <v>1029</v>
      </c>
    </row>
    <row r="7005" ht="22.5" customHeight="1">
      <c r="B7005" s="7"/>
      <c r="C7005" s="7"/>
      <c r="D7005" s="7"/>
      <c r="E7005" s="7"/>
      <c r="F7005" s="7"/>
      <c r="G7005" s="7"/>
      <c r="H7005" s="7">
        <f t="shared" si="1"/>
        <v>1029</v>
      </c>
    </row>
    <row r="7006" ht="22.5" customHeight="1">
      <c r="B7006" s="7"/>
      <c r="C7006" s="7"/>
      <c r="D7006" s="7"/>
      <c r="E7006" s="7"/>
      <c r="F7006" s="7"/>
      <c r="G7006" s="7"/>
      <c r="H7006" s="7">
        <f t="shared" si="1"/>
        <v>1029</v>
      </c>
    </row>
    <row r="7007" ht="22.5" customHeight="1">
      <c r="B7007" s="7"/>
      <c r="C7007" s="7"/>
      <c r="D7007" s="7"/>
      <c r="E7007" s="7"/>
      <c r="F7007" s="7"/>
      <c r="G7007" s="7"/>
      <c r="H7007" s="7">
        <f t="shared" si="1"/>
        <v>1029</v>
      </c>
    </row>
    <row r="7008" ht="22.5" customHeight="1">
      <c r="B7008" s="7"/>
      <c r="C7008" s="7"/>
      <c r="D7008" s="7"/>
      <c r="E7008" s="7"/>
      <c r="F7008" s="7"/>
      <c r="G7008" s="7"/>
      <c r="H7008" s="7">
        <f t="shared" si="1"/>
        <v>1029</v>
      </c>
    </row>
    <row r="7009" ht="22.5" customHeight="1">
      <c r="B7009" s="7"/>
      <c r="C7009" s="7"/>
      <c r="D7009" s="7"/>
      <c r="E7009" s="7"/>
      <c r="F7009" s="7"/>
      <c r="G7009" s="7"/>
      <c r="H7009" s="7">
        <f t="shared" si="1"/>
        <v>1029</v>
      </c>
    </row>
    <row r="7010" ht="22.5" customHeight="1">
      <c r="B7010" s="7"/>
      <c r="C7010" s="7"/>
      <c r="D7010" s="7"/>
      <c r="E7010" s="7"/>
      <c r="F7010" s="7"/>
      <c r="G7010" s="7"/>
      <c r="H7010" s="7">
        <f t="shared" si="1"/>
        <v>1029</v>
      </c>
    </row>
    <row r="7011" ht="22.5" customHeight="1">
      <c r="B7011" s="7"/>
      <c r="C7011" s="7"/>
      <c r="D7011" s="7"/>
      <c r="E7011" s="7"/>
      <c r="F7011" s="7"/>
      <c r="G7011" s="7"/>
      <c r="H7011" s="7">
        <f t="shared" si="1"/>
        <v>1029</v>
      </c>
    </row>
    <row r="7012" ht="22.5" customHeight="1">
      <c r="B7012" s="7"/>
      <c r="C7012" s="7"/>
      <c r="D7012" s="7"/>
      <c r="E7012" s="7"/>
      <c r="F7012" s="7"/>
      <c r="G7012" s="7"/>
      <c r="H7012" s="7">
        <f t="shared" si="1"/>
        <v>1029</v>
      </c>
    </row>
    <row r="7013" ht="22.5" customHeight="1">
      <c r="B7013" s="7"/>
      <c r="C7013" s="7"/>
      <c r="D7013" s="7"/>
      <c r="E7013" s="7"/>
      <c r="F7013" s="7"/>
      <c r="G7013" s="7"/>
      <c r="H7013" s="7">
        <f t="shared" si="1"/>
        <v>1029</v>
      </c>
    </row>
    <row r="7014" ht="22.5" customHeight="1">
      <c r="B7014" s="7"/>
      <c r="C7014" s="7"/>
      <c r="D7014" s="7"/>
      <c r="E7014" s="7"/>
      <c r="F7014" s="7"/>
      <c r="G7014" s="7"/>
      <c r="H7014" s="7">
        <f t="shared" si="1"/>
        <v>1029</v>
      </c>
    </row>
    <row r="7015" ht="22.5" customHeight="1">
      <c r="B7015" s="7"/>
      <c r="C7015" s="7"/>
      <c r="D7015" s="7"/>
      <c r="E7015" s="7"/>
      <c r="F7015" s="7"/>
      <c r="G7015" s="7"/>
      <c r="H7015" s="7">
        <f t="shared" si="1"/>
        <v>1029</v>
      </c>
    </row>
    <row r="7016" ht="22.5" customHeight="1">
      <c r="B7016" s="7"/>
      <c r="C7016" s="7"/>
      <c r="D7016" s="7"/>
      <c r="E7016" s="7"/>
      <c r="F7016" s="7"/>
      <c r="G7016" s="7"/>
      <c r="H7016" s="7">
        <f t="shared" si="1"/>
        <v>1029</v>
      </c>
    </row>
    <row r="7017" ht="22.5" customHeight="1">
      <c r="B7017" s="7"/>
      <c r="C7017" s="7"/>
      <c r="D7017" s="7"/>
      <c r="E7017" s="7"/>
      <c r="F7017" s="7"/>
      <c r="G7017" s="7"/>
      <c r="H7017" s="7">
        <f t="shared" si="1"/>
        <v>1029</v>
      </c>
    </row>
    <row r="7018" ht="22.5" customHeight="1">
      <c r="B7018" s="7"/>
      <c r="C7018" s="7"/>
      <c r="D7018" s="7"/>
      <c r="E7018" s="7"/>
      <c r="F7018" s="7"/>
      <c r="G7018" s="7"/>
      <c r="H7018" s="7">
        <f t="shared" si="1"/>
        <v>1029</v>
      </c>
    </row>
    <row r="7019" ht="22.5" customHeight="1">
      <c r="B7019" s="7"/>
      <c r="C7019" s="7"/>
      <c r="D7019" s="7"/>
      <c r="E7019" s="7"/>
      <c r="F7019" s="7"/>
      <c r="G7019" s="7"/>
      <c r="H7019" s="7">
        <f t="shared" si="1"/>
        <v>1029</v>
      </c>
    </row>
    <row r="7020" ht="22.5" customHeight="1">
      <c r="B7020" s="7"/>
      <c r="C7020" s="7"/>
      <c r="D7020" s="7"/>
      <c r="E7020" s="7"/>
      <c r="F7020" s="7"/>
      <c r="G7020" s="7"/>
      <c r="H7020" s="7">
        <f t="shared" si="1"/>
        <v>1029</v>
      </c>
    </row>
    <row r="7021" ht="22.5" customHeight="1">
      <c r="B7021" s="7"/>
      <c r="C7021" s="7"/>
      <c r="D7021" s="7"/>
      <c r="E7021" s="7"/>
      <c r="F7021" s="7"/>
      <c r="G7021" s="7"/>
      <c r="H7021" s="7">
        <f t="shared" si="1"/>
        <v>1029</v>
      </c>
    </row>
    <row r="7022" ht="22.5" customHeight="1">
      <c r="B7022" s="7"/>
      <c r="C7022" s="7"/>
      <c r="D7022" s="7"/>
      <c r="E7022" s="7"/>
      <c r="F7022" s="7"/>
      <c r="G7022" s="7"/>
      <c r="H7022" s="7">
        <f t="shared" si="1"/>
        <v>1029</v>
      </c>
    </row>
    <row r="7023" ht="22.5" customHeight="1">
      <c r="B7023" s="7"/>
      <c r="C7023" s="7"/>
      <c r="D7023" s="7"/>
      <c r="E7023" s="7"/>
      <c r="F7023" s="7"/>
      <c r="G7023" s="7"/>
      <c r="H7023" s="7">
        <f t="shared" si="1"/>
        <v>1029</v>
      </c>
    </row>
    <row r="7024" ht="22.5" customHeight="1">
      <c r="B7024" s="7"/>
      <c r="C7024" s="7"/>
      <c r="D7024" s="7"/>
      <c r="E7024" s="7"/>
      <c r="F7024" s="7"/>
      <c r="G7024" s="7"/>
      <c r="H7024" s="7">
        <f t="shared" si="1"/>
        <v>1029</v>
      </c>
    </row>
    <row r="7025" ht="22.5" customHeight="1">
      <c r="B7025" s="7"/>
      <c r="C7025" s="7"/>
      <c r="D7025" s="7"/>
      <c r="E7025" s="7"/>
      <c r="F7025" s="7"/>
      <c r="G7025" s="7"/>
      <c r="H7025" s="7">
        <f t="shared" si="1"/>
        <v>1029</v>
      </c>
    </row>
    <row r="7026" ht="22.5" customHeight="1">
      <c r="B7026" s="7"/>
      <c r="C7026" s="7"/>
      <c r="D7026" s="7"/>
      <c r="E7026" s="7"/>
      <c r="F7026" s="7"/>
      <c r="G7026" s="7"/>
      <c r="H7026" s="7">
        <f t="shared" si="1"/>
        <v>1029</v>
      </c>
    </row>
    <row r="7027" ht="22.5" customHeight="1">
      <c r="B7027" s="7"/>
      <c r="C7027" s="7"/>
      <c r="D7027" s="7"/>
      <c r="E7027" s="7"/>
      <c r="F7027" s="7"/>
      <c r="G7027" s="7"/>
      <c r="H7027" s="7">
        <f t="shared" si="1"/>
        <v>1029</v>
      </c>
    </row>
    <row r="7028" ht="22.5" customHeight="1">
      <c r="B7028" s="7"/>
      <c r="C7028" s="7"/>
      <c r="D7028" s="7"/>
      <c r="E7028" s="7"/>
      <c r="F7028" s="7"/>
      <c r="G7028" s="7"/>
      <c r="H7028" s="7">
        <f t="shared" si="1"/>
        <v>1029</v>
      </c>
    </row>
    <row r="7029" ht="22.5" customHeight="1">
      <c r="B7029" s="7"/>
      <c r="C7029" s="7"/>
      <c r="D7029" s="7"/>
      <c r="E7029" s="7"/>
      <c r="F7029" s="7"/>
      <c r="G7029" s="7"/>
      <c r="H7029" s="7">
        <f t="shared" si="1"/>
        <v>1029</v>
      </c>
    </row>
    <row r="7030" ht="22.5" customHeight="1">
      <c r="B7030" s="7"/>
      <c r="C7030" s="7"/>
      <c r="D7030" s="7"/>
      <c r="E7030" s="7"/>
      <c r="F7030" s="7"/>
      <c r="G7030" s="7"/>
      <c r="H7030" s="7">
        <f t="shared" si="1"/>
        <v>1029</v>
      </c>
    </row>
    <row r="7031" ht="22.5" customHeight="1">
      <c r="B7031" s="7"/>
      <c r="C7031" s="7"/>
      <c r="D7031" s="7"/>
      <c r="E7031" s="7"/>
      <c r="F7031" s="7"/>
      <c r="G7031" s="7"/>
      <c r="H7031" s="7">
        <f t="shared" si="1"/>
        <v>1029</v>
      </c>
    </row>
    <row r="7032" ht="22.5" customHeight="1">
      <c r="B7032" s="7"/>
      <c r="C7032" s="7"/>
      <c r="D7032" s="7"/>
      <c r="E7032" s="7"/>
      <c r="F7032" s="7"/>
      <c r="G7032" s="7"/>
      <c r="H7032" s="7">
        <f t="shared" si="1"/>
        <v>1029</v>
      </c>
    </row>
    <row r="7033" ht="22.5" customHeight="1">
      <c r="B7033" s="7"/>
      <c r="C7033" s="7"/>
      <c r="D7033" s="7"/>
      <c r="E7033" s="7"/>
      <c r="F7033" s="7"/>
      <c r="G7033" s="7"/>
      <c r="H7033" s="7">
        <f t="shared" si="1"/>
        <v>1029</v>
      </c>
    </row>
    <row r="7034" ht="22.5" customHeight="1">
      <c r="B7034" s="7"/>
      <c r="C7034" s="7"/>
      <c r="D7034" s="7"/>
      <c r="E7034" s="7"/>
      <c r="F7034" s="7"/>
      <c r="G7034" s="7"/>
      <c r="H7034" s="7">
        <f t="shared" si="1"/>
        <v>1029</v>
      </c>
    </row>
    <row r="7035" ht="22.5" customHeight="1">
      <c r="B7035" s="7"/>
      <c r="C7035" s="7"/>
      <c r="D7035" s="7"/>
      <c r="E7035" s="7"/>
      <c r="F7035" s="7"/>
      <c r="G7035" s="7"/>
      <c r="H7035" s="7">
        <f t="shared" si="1"/>
        <v>1029</v>
      </c>
    </row>
    <row r="7036" ht="22.5" customHeight="1">
      <c r="B7036" s="7"/>
      <c r="C7036" s="7"/>
      <c r="D7036" s="7"/>
      <c r="E7036" s="7"/>
      <c r="F7036" s="7"/>
      <c r="G7036" s="7"/>
      <c r="H7036" s="7">
        <f t="shared" si="1"/>
        <v>1029</v>
      </c>
    </row>
    <row r="7037" ht="22.5" customHeight="1">
      <c r="B7037" s="7"/>
      <c r="C7037" s="7"/>
      <c r="D7037" s="7"/>
      <c r="E7037" s="7"/>
      <c r="F7037" s="7"/>
      <c r="G7037" s="7"/>
      <c r="H7037" s="7">
        <f t="shared" si="1"/>
        <v>1029</v>
      </c>
    </row>
    <row r="7038" ht="22.5" customHeight="1">
      <c r="B7038" s="7"/>
      <c r="C7038" s="7"/>
      <c r="D7038" s="7"/>
      <c r="E7038" s="7"/>
      <c r="F7038" s="7"/>
      <c r="G7038" s="7"/>
      <c r="H7038" s="7">
        <f t="shared" si="1"/>
        <v>1029</v>
      </c>
    </row>
    <row r="7039" ht="22.5" customHeight="1">
      <c r="B7039" s="7"/>
      <c r="C7039" s="7"/>
      <c r="D7039" s="7"/>
      <c r="E7039" s="7"/>
      <c r="F7039" s="7"/>
      <c r="G7039" s="7"/>
      <c r="H7039" s="7">
        <f t="shared" si="1"/>
        <v>1029</v>
      </c>
    </row>
    <row r="7040" ht="22.5" customHeight="1">
      <c r="B7040" s="7"/>
      <c r="C7040" s="7"/>
      <c r="D7040" s="7"/>
      <c r="E7040" s="7"/>
      <c r="F7040" s="7"/>
      <c r="G7040" s="7"/>
      <c r="H7040" s="7">
        <f t="shared" si="1"/>
        <v>1029</v>
      </c>
    </row>
    <row r="7041" ht="22.5" customHeight="1">
      <c r="B7041" s="7"/>
      <c r="C7041" s="7"/>
      <c r="D7041" s="7"/>
      <c r="E7041" s="7"/>
      <c r="F7041" s="7"/>
      <c r="G7041" s="7"/>
      <c r="H7041" s="7">
        <f t="shared" si="1"/>
        <v>1029</v>
      </c>
    </row>
    <row r="7042" ht="22.5" customHeight="1">
      <c r="B7042" s="7"/>
      <c r="C7042" s="7"/>
      <c r="D7042" s="7"/>
      <c r="E7042" s="7"/>
      <c r="F7042" s="7"/>
      <c r="G7042" s="7"/>
      <c r="H7042" s="7">
        <f t="shared" si="1"/>
        <v>1029</v>
      </c>
    </row>
    <row r="7043" ht="22.5" customHeight="1">
      <c r="B7043" s="7"/>
      <c r="C7043" s="7"/>
      <c r="D7043" s="7"/>
      <c r="E7043" s="7"/>
      <c r="F7043" s="7"/>
      <c r="G7043" s="7"/>
      <c r="H7043" s="7">
        <f t="shared" si="1"/>
        <v>1029</v>
      </c>
    </row>
    <row r="7044" ht="22.5" customHeight="1">
      <c r="B7044" s="7"/>
      <c r="C7044" s="7"/>
      <c r="D7044" s="7"/>
      <c r="E7044" s="7"/>
      <c r="F7044" s="7"/>
      <c r="G7044" s="7"/>
      <c r="H7044" s="7">
        <f t="shared" si="1"/>
        <v>1029</v>
      </c>
    </row>
    <row r="7045" ht="22.5" customHeight="1">
      <c r="B7045" s="7"/>
      <c r="C7045" s="7"/>
      <c r="D7045" s="7"/>
      <c r="E7045" s="7"/>
      <c r="F7045" s="7"/>
      <c r="G7045" s="7"/>
      <c r="H7045" s="7">
        <f t="shared" si="1"/>
        <v>1029</v>
      </c>
    </row>
    <row r="7046" ht="22.5" customHeight="1">
      <c r="B7046" s="7"/>
      <c r="C7046" s="7"/>
      <c r="D7046" s="7"/>
      <c r="E7046" s="7"/>
      <c r="F7046" s="7"/>
      <c r="G7046" s="7"/>
      <c r="H7046" s="7">
        <f t="shared" si="1"/>
        <v>1029</v>
      </c>
    </row>
    <row r="7047" ht="22.5" customHeight="1">
      <c r="B7047" s="7"/>
      <c r="C7047" s="7"/>
      <c r="D7047" s="7"/>
      <c r="E7047" s="7"/>
      <c r="F7047" s="7"/>
      <c r="G7047" s="7"/>
      <c r="H7047" s="7">
        <f t="shared" si="1"/>
        <v>1029</v>
      </c>
    </row>
    <row r="7048" ht="22.5" customHeight="1">
      <c r="B7048" s="7"/>
      <c r="C7048" s="7"/>
      <c r="D7048" s="7"/>
      <c r="E7048" s="7"/>
      <c r="F7048" s="7"/>
      <c r="G7048" s="7"/>
      <c r="H7048" s="7">
        <f t="shared" si="1"/>
        <v>1029</v>
      </c>
    </row>
    <row r="7049" ht="22.5" customHeight="1">
      <c r="B7049" s="7"/>
      <c r="C7049" s="7"/>
      <c r="D7049" s="7"/>
      <c r="E7049" s="7"/>
      <c r="F7049" s="7"/>
      <c r="G7049" s="7"/>
      <c r="H7049" s="7">
        <f t="shared" si="1"/>
        <v>1029</v>
      </c>
    </row>
    <row r="7050" ht="22.5" customHeight="1">
      <c r="B7050" s="7"/>
      <c r="C7050" s="7"/>
      <c r="D7050" s="7"/>
      <c r="E7050" s="7"/>
      <c r="F7050" s="7"/>
      <c r="G7050" s="7"/>
      <c r="H7050" s="7">
        <f t="shared" si="1"/>
        <v>1029</v>
      </c>
    </row>
    <row r="7051" ht="22.5" customHeight="1">
      <c r="B7051" s="7"/>
      <c r="C7051" s="7"/>
      <c r="D7051" s="7"/>
      <c r="E7051" s="7"/>
      <c r="F7051" s="7"/>
      <c r="G7051" s="7"/>
      <c r="H7051" s="7">
        <f t="shared" si="1"/>
        <v>1029</v>
      </c>
    </row>
    <row r="7052" ht="22.5" customHeight="1">
      <c r="B7052" s="7"/>
      <c r="C7052" s="7"/>
      <c r="D7052" s="7"/>
      <c r="E7052" s="7"/>
      <c r="F7052" s="7"/>
      <c r="G7052" s="7"/>
      <c r="H7052" s="7">
        <f t="shared" si="1"/>
        <v>1029</v>
      </c>
    </row>
    <row r="7053" ht="22.5" customHeight="1">
      <c r="B7053" s="7"/>
      <c r="C7053" s="7"/>
      <c r="D7053" s="7"/>
      <c r="E7053" s="7"/>
      <c r="F7053" s="7"/>
      <c r="G7053" s="7"/>
      <c r="H7053" s="7">
        <f t="shared" si="1"/>
        <v>1029</v>
      </c>
    </row>
    <row r="7054" ht="22.5" customHeight="1">
      <c r="B7054" s="7"/>
      <c r="C7054" s="7"/>
      <c r="D7054" s="7"/>
      <c r="E7054" s="7"/>
      <c r="F7054" s="7"/>
      <c r="G7054" s="7"/>
      <c r="H7054" s="7">
        <f t="shared" si="1"/>
        <v>1029</v>
      </c>
    </row>
    <row r="7055" ht="22.5" customHeight="1">
      <c r="B7055" s="7"/>
      <c r="C7055" s="7"/>
      <c r="D7055" s="7"/>
      <c r="E7055" s="7"/>
      <c r="F7055" s="7"/>
      <c r="G7055" s="7"/>
      <c r="H7055" s="7">
        <f t="shared" si="1"/>
        <v>1029</v>
      </c>
    </row>
    <row r="7056" ht="22.5" customHeight="1">
      <c r="B7056" s="7"/>
      <c r="C7056" s="7"/>
      <c r="D7056" s="7"/>
      <c r="E7056" s="7"/>
      <c r="F7056" s="7"/>
      <c r="G7056" s="7"/>
      <c r="H7056" s="7">
        <f t="shared" si="1"/>
        <v>1029</v>
      </c>
    </row>
    <row r="7057" ht="22.5" customHeight="1">
      <c r="B7057" s="7"/>
      <c r="C7057" s="7"/>
      <c r="D7057" s="7"/>
      <c r="E7057" s="7"/>
      <c r="F7057" s="7"/>
      <c r="G7057" s="7"/>
      <c r="H7057" s="7">
        <f t="shared" si="1"/>
        <v>1029</v>
      </c>
    </row>
    <row r="7058" ht="22.5" customHeight="1">
      <c r="B7058" s="7"/>
      <c r="C7058" s="7"/>
      <c r="D7058" s="7"/>
      <c r="E7058" s="7"/>
      <c r="F7058" s="7"/>
      <c r="G7058" s="7"/>
      <c r="H7058" s="7">
        <f t="shared" si="1"/>
        <v>1029</v>
      </c>
    </row>
    <row r="7059" ht="22.5" customHeight="1">
      <c r="B7059" s="7"/>
      <c r="C7059" s="7"/>
      <c r="D7059" s="7"/>
      <c r="E7059" s="7"/>
      <c r="F7059" s="7"/>
      <c r="G7059" s="7"/>
      <c r="H7059" s="7">
        <f t="shared" si="1"/>
        <v>1029</v>
      </c>
    </row>
    <row r="7060" ht="22.5" customHeight="1">
      <c r="B7060" s="7"/>
      <c r="C7060" s="7"/>
      <c r="D7060" s="7"/>
      <c r="E7060" s="7"/>
      <c r="F7060" s="7"/>
      <c r="G7060" s="7"/>
      <c r="H7060" s="7">
        <f t="shared" si="1"/>
        <v>1029</v>
      </c>
    </row>
    <row r="7061" ht="22.5" customHeight="1">
      <c r="B7061" s="7"/>
      <c r="C7061" s="7"/>
      <c r="D7061" s="7"/>
      <c r="E7061" s="7"/>
      <c r="F7061" s="7"/>
      <c r="G7061" s="7"/>
      <c r="H7061" s="7">
        <f t="shared" si="1"/>
        <v>1029</v>
      </c>
    </row>
    <row r="7062" ht="22.5" customHeight="1">
      <c r="B7062" s="7"/>
      <c r="C7062" s="7"/>
      <c r="D7062" s="7"/>
      <c r="E7062" s="7"/>
      <c r="F7062" s="7"/>
      <c r="G7062" s="7"/>
      <c r="H7062" s="7">
        <f t="shared" si="1"/>
        <v>1029</v>
      </c>
    </row>
    <row r="7063" ht="22.5" customHeight="1">
      <c r="B7063" s="7"/>
      <c r="C7063" s="7"/>
      <c r="D7063" s="7"/>
      <c r="E7063" s="7"/>
      <c r="F7063" s="7"/>
      <c r="G7063" s="7"/>
      <c r="H7063" s="7">
        <f t="shared" si="1"/>
        <v>1029</v>
      </c>
    </row>
    <row r="7064" ht="22.5" customHeight="1">
      <c r="B7064" s="7"/>
      <c r="C7064" s="7"/>
      <c r="D7064" s="7"/>
      <c r="E7064" s="7"/>
      <c r="F7064" s="7"/>
      <c r="G7064" s="7"/>
      <c r="H7064" s="7">
        <f t="shared" si="1"/>
        <v>1029</v>
      </c>
    </row>
    <row r="7065" ht="22.5" customHeight="1">
      <c r="B7065" s="7"/>
      <c r="C7065" s="7"/>
      <c r="D7065" s="7"/>
      <c r="E7065" s="7"/>
      <c r="F7065" s="7"/>
      <c r="G7065" s="7"/>
      <c r="H7065" s="7">
        <f t="shared" si="1"/>
        <v>1029</v>
      </c>
    </row>
    <row r="7066" ht="22.5" customHeight="1">
      <c r="B7066" s="7"/>
      <c r="C7066" s="7"/>
      <c r="D7066" s="7"/>
      <c r="E7066" s="7"/>
      <c r="F7066" s="7"/>
      <c r="G7066" s="7"/>
      <c r="H7066" s="7">
        <f t="shared" si="1"/>
        <v>1029</v>
      </c>
    </row>
    <row r="7067" ht="22.5" customHeight="1">
      <c r="B7067" s="7"/>
      <c r="C7067" s="7"/>
      <c r="D7067" s="7"/>
      <c r="E7067" s="7"/>
      <c r="F7067" s="7"/>
      <c r="G7067" s="7"/>
      <c r="H7067" s="7">
        <f t="shared" si="1"/>
        <v>1029</v>
      </c>
    </row>
    <row r="7068" ht="22.5" customHeight="1">
      <c r="B7068" s="7"/>
      <c r="C7068" s="7"/>
      <c r="D7068" s="7"/>
      <c r="E7068" s="7"/>
      <c r="F7068" s="7"/>
      <c r="G7068" s="7"/>
      <c r="H7068" s="7">
        <f t="shared" si="1"/>
        <v>1029</v>
      </c>
    </row>
    <row r="7069" ht="22.5" customHeight="1">
      <c r="B7069" s="7"/>
      <c r="C7069" s="7"/>
      <c r="D7069" s="7"/>
      <c r="E7069" s="7"/>
      <c r="F7069" s="7"/>
      <c r="G7069" s="7"/>
      <c r="H7069" s="7">
        <f t="shared" si="1"/>
        <v>1029</v>
      </c>
    </row>
    <row r="7070" ht="22.5" customHeight="1">
      <c r="B7070" s="7"/>
      <c r="C7070" s="7"/>
      <c r="D7070" s="7"/>
      <c r="E7070" s="7"/>
      <c r="F7070" s="7"/>
      <c r="G7070" s="7"/>
      <c r="H7070" s="7">
        <f t="shared" si="1"/>
        <v>1029</v>
      </c>
    </row>
    <row r="7071" ht="22.5" customHeight="1">
      <c r="B7071" s="7"/>
      <c r="C7071" s="7"/>
      <c r="D7071" s="7"/>
      <c r="E7071" s="7"/>
      <c r="F7071" s="7"/>
      <c r="G7071" s="7"/>
      <c r="H7071" s="7">
        <f t="shared" si="1"/>
        <v>1029</v>
      </c>
    </row>
    <row r="7072" ht="22.5" customHeight="1">
      <c r="B7072" s="7"/>
      <c r="C7072" s="7"/>
      <c r="D7072" s="7"/>
      <c r="E7072" s="7"/>
      <c r="F7072" s="7"/>
      <c r="G7072" s="7"/>
      <c r="H7072" s="7">
        <f t="shared" si="1"/>
        <v>1029</v>
      </c>
    </row>
    <row r="7073" ht="22.5" customHeight="1">
      <c r="B7073" s="7"/>
      <c r="C7073" s="7"/>
      <c r="D7073" s="7"/>
      <c r="E7073" s="7"/>
      <c r="F7073" s="7"/>
      <c r="G7073" s="7"/>
      <c r="H7073" s="7">
        <f t="shared" si="1"/>
        <v>1029</v>
      </c>
    </row>
    <row r="7074" ht="22.5" customHeight="1">
      <c r="B7074" s="7"/>
      <c r="C7074" s="7"/>
      <c r="D7074" s="7"/>
      <c r="E7074" s="7"/>
      <c r="F7074" s="7"/>
      <c r="G7074" s="7"/>
      <c r="H7074" s="7">
        <f t="shared" si="1"/>
        <v>1029</v>
      </c>
    </row>
    <row r="7075" ht="22.5" customHeight="1">
      <c r="B7075" s="7"/>
      <c r="C7075" s="7"/>
      <c r="D7075" s="7"/>
      <c r="E7075" s="7"/>
      <c r="F7075" s="7"/>
      <c r="G7075" s="7"/>
      <c r="H7075" s="7">
        <f t="shared" si="1"/>
        <v>1029</v>
      </c>
    </row>
    <row r="7076" ht="22.5" customHeight="1">
      <c r="B7076" s="7"/>
      <c r="C7076" s="7"/>
      <c r="D7076" s="7"/>
      <c r="E7076" s="7"/>
      <c r="F7076" s="7"/>
      <c r="G7076" s="7"/>
      <c r="H7076" s="7">
        <f t="shared" si="1"/>
        <v>1029</v>
      </c>
    </row>
    <row r="7077" ht="22.5" customHeight="1">
      <c r="B7077" s="7"/>
      <c r="C7077" s="7"/>
      <c r="D7077" s="7"/>
      <c r="E7077" s="7"/>
      <c r="F7077" s="7"/>
      <c r="G7077" s="7"/>
      <c r="H7077" s="7">
        <f t="shared" si="1"/>
        <v>1029</v>
      </c>
    </row>
    <row r="7078" ht="22.5" customHeight="1">
      <c r="B7078" s="7"/>
      <c r="C7078" s="7"/>
      <c r="D7078" s="7"/>
      <c r="E7078" s="7"/>
      <c r="F7078" s="7"/>
      <c r="G7078" s="7"/>
      <c r="H7078" s="7">
        <f t="shared" si="1"/>
        <v>1029</v>
      </c>
    </row>
    <row r="7079" ht="22.5" customHeight="1">
      <c r="B7079" s="7"/>
      <c r="C7079" s="7"/>
      <c r="D7079" s="7"/>
      <c r="E7079" s="7"/>
      <c r="F7079" s="7"/>
      <c r="G7079" s="7"/>
      <c r="H7079" s="7">
        <f t="shared" si="1"/>
        <v>1029</v>
      </c>
    </row>
    <row r="7080" ht="22.5" customHeight="1">
      <c r="B7080" s="7"/>
      <c r="C7080" s="7"/>
      <c r="D7080" s="7"/>
      <c r="E7080" s="7"/>
      <c r="F7080" s="7"/>
      <c r="G7080" s="7"/>
      <c r="H7080" s="7">
        <f t="shared" si="1"/>
        <v>1029</v>
      </c>
    </row>
    <row r="7081" ht="22.5" customHeight="1">
      <c r="B7081" s="7"/>
      <c r="C7081" s="7"/>
      <c r="D7081" s="7"/>
      <c r="E7081" s="7"/>
      <c r="F7081" s="7"/>
      <c r="G7081" s="7"/>
      <c r="H7081" s="7">
        <f t="shared" si="1"/>
        <v>1029</v>
      </c>
    </row>
    <row r="7082" ht="22.5" customHeight="1">
      <c r="B7082" s="7"/>
      <c r="C7082" s="7"/>
      <c r="D7082" s="7"/>
      <c r="E7082" s="7"/>
      <c r="F7082" s="7"/>
      <c r="G7082" s="7"/>
      <c r="H7082" s="7">
        <f t="shared" si="1"/>
        <v>1029</v>
      </c>
    </row>
    <row r="7083" ht="22.5" customHeight="1">
      <c r="B7083" s="7"/>
      <c r="C7083" s="7"/>
      <c r="D7083" s="7"/>
      <c r="E7083" s="7"/>
      <c r="F7083" s="7"/>
      <c r="G7083" s="7"/>
      <c r="H7083" s="7">
        <f t="shared" si="1"/>
        <v>1029</v>
      </c>
    </row>
    <row r="7084" ht="22.5" customHeight="1">
      <c r="B7084" s="7"/>
      <c r="C7084" s="7"/>
      <c r="D7084" s="7"/>
      <c r="E7084" s="7"/>
      <c r="F7084" s="7"/>
      <c r="G7084" s="7"/>
      <c r="H7084" s="7">
        <f t="shared" si="1"/>
        <v>1029</v>
      </c>
    </row>
    <row r="7085" ht="22.5" customHeight="1">
      <c r="B7085" s="7"/>
      <c r="C7085" s="7"/>
      <c r="D7085" s="7"/>
      <c r="E7085" s="7"/>
      <c r="F7085" s="7"/>
      <c r="G7085" s="7"/>
      <c r="H7085" s="7">
        <f t="shared" si="1"/>
        <v>1029</v>
      </c>
    </row>
    <row r="7086" ht="22.5" customHeight="1">
      <c r="B7086" s="7"/>
      <c r="C7086" s="7"/>
      <c r="D7086" s="7"/>
      <c r="E7086" s="7"/>
      <c r="F7086" s="7"/>
      <c r="G7086" s="7"/>
      <c r="H7086" s="7">
        <f t="shared" si="1"/>
        <v>1029</v>
      </c>
    </row>
    <row r="7087" ht="22.5" customHeight="1">
      <c r="B7087" s="7"/>
      <c r="C7087" s="7"/>
      <c r="D7087" s="7"/>
      <c r="E7087" s="7"/>
      <c r="F7087" s="7"/>
      <c r="G7087" s="7"/>
      <c r="H7087" s="7">
        <f t="shared" si="1"/>
        <v>1029</v>
      </c>
    </row>
    <row r="7088" ht="22.5" customHeight="1">
      <c r="B7088" s="7"/>
      <c r="C7088" s="7"/>
      <c r="D7088" s="7"/>
      <c r="E7088" s="7"/>
      <c r="F7088" s="7"/>
      <c r="G7088" s="7"/>
      <c r="H7088" s="7">
        <f t="shared" si="1"/>
        <v>1029</v>
      </c>
    </row>
    <row r="7089" ht="22.5" customHeight="1">
      <c r="B7089" s="7"/>
      <c r="C7089" s="7"/>
      <c r="D7089" s="7"/>
      <c r="E7089" s="7"/>
      <c r="F7089" s="7"/>
      <c r="G7089" s="7"/>
      <c r="H7089" s="7">
        <f t="shared" si="1"/>
        <v>1029</v>
      </c>
    </row>
    <row r="7090" ht="22.5" customHeight="1">
      <c r="B7090" s="7"/>
      <c r="C7090" s="7"/>
      <c r="D7090" s="7"/>
      <c r="E7090" s="7"/>
      <c r="F7090" s="7"/>
      <c r="G7090" s="7"/>
      <c r="H7090" s="7">
        <f t="shared" si="1"/>
        <v>1029</v>
      </c>
    </row>
    <row r="7091" ht="22.5" customHeight="1">
      <c r="B7091" s="7"/>
      <c r="C7091" s="7"/>
      <c r="D7091" s="7"/>
      <c r="E7091" s="7"/>
      <c r="F7091" s="7"/>
      <c r="G7091" s="7"/>
      <c r="H7091" s="7">
        <f t="shared" si="1"/>
        <v>1029</v>
      </c>
    </row>
    <row r="7092" ht="22.5" customHeight="1">
      <c r="B7092" s="7"/>
      <c r="C7092" s="7"/>
      <c r="D7092" s="7"/>
      <c r="E7092" s="7"/>
      <c r="F7092" s="7"/>
      <c r="G7092" s="7"/>
      <c r="H7092" s="7">
        <f t="shared" si="1"/>
        <v>1029</v>
      </c>
    </row>
    <row r="7093" ht="22.5" customHeight="1">
      <c r="B7093" s="7"/>
      <c r="C7093" s="7"/>
      <c r="D7093" s="7"/>
      <c r="E7093" s="7"/>
      <c r="F7093" s="7"/>
      <c r="G7093" s="7"/>
      <c r="H7093" s="7">
        <f t="shared" si="1"/>
        <v>1029</v>
      </c>
    </row>
    <row r="7094" ht="22.5" customHeight="1">
      <c r="B7094" s="7"/>
      <c r="C7094" s="7"/>
      <c r="D7094" s="7"/>
      <c r="E7094" s="7"/>
      <c r="F7094" s="7"/>
      <c r="G7094" s="7"/>
      <c r="H7094" s="7">
        <f t="shared" si="1"/>
        <v>1029</v>
      </c>
    </row>
    <row r="7095" ht="22.5" customHeight="1">
      <c r="B7095" s="7"/>
      <c r="C7095" s="7"/>
      <c r="D7095" s="7"/>
      <c r="E7095" s="7"/>
      <c r="F7095" s="7"/>
      <c r="G7095" s="7"/>
      <c r="H7095" s="7">
        <f t="shared" si="1"/>
        <v>1029</v>
      </c>
    </row>
    <row r="7096" ht="22.5" customHeight="1">
      <c r="B7096" s="7"/>
      <c r="C7096" s="7"/>
      <c r="D7096" s="7"/>
      <c r="E7096" s="7"/>
      <c r="F7096" s="7"/>
      <c r="G7096" s="7"/>
      <c r="H7096" s="7">
        <f t="shared" si="1"/>
        <v>1029</v>
      </c>
    </row>
    <row r="7097" ht="22.5" customHeight="1">
      <c r="B7097" s="7"/>
      <c r="C7097" s="7"/>
      <c r="D7097" s="7"/>
      <c r="E7097" s="7"/>
      <c r="F7097" s="7"/>
      <c r="G7097" s="7"/>
      <c r="H7097" s="7">
        <f t="shared" si="1"/>
        <v>1029</v>
      </c>
    </row>
    <row r="7098" ht="22.5" customHeight="1">
      <c r="B7098" s="7"/>
      <c r="C7098" s="7"/>
      <c r="D7098" s="7"/>
      <c r="E7098" s="7"/>
      <c r="F7098" s="7"/>
      <c r="G7098" s="7"/>
      <c r="H7098" s="7">
        <f t="shared" si="1"/>
        <v>1029</v>
      </c>
    </row>
    <row r="7099" ht="22.5" customHeight="1">
      <c r="B7099" s="7"/>
      <c r="C7099" s="7"/>
      <c r="D7099" s="7"/>
      <c r="E7099" s="7"/>
      <c r="F7099" s="7"/>
      <c r="G7099" s="7"/>
      <c r="H7099" s="7">
        <f t="shared" si="1"/>
        <v>1029</v>
      </c>
    </row>
    <row r="7100" ht="22.5" customHeight="1">
      <c r="B7100" s="7"/>
      <c r="C7100" s="7"/>
      <c r="D7100" s="7"/>
      <c r="E7100" s="7"/>
      <c r="F7100" s="7"/>
      <c r="G7100" s="7"/>
      <c r="H7100" s="7">
        <f t="shared" si="1"/>
        <v>1029</v>
      </c>
    </row>
    <row r="7101" ht="22.5" customHeight="1">
      <c r="B7101" s="7"/>
      <c r="C7101" s="7"/>
      <c r="D7101" s="7"/>
      <c r="E7101" s="7"/>
      <c r="F7101" s="7"/>
      <c r="G7101" s="7"/>
      <c r="H7101" s="7">
        <f t="shared" si="1"/>
        <v>1029</v>
      </c>
    </row>
    <row r="7102" ht="22.5" customHeight="1">
      <c r="B7102" s="7"/>
      <c r="C7102" s="7"/>
      <c r="D7102" s="7"/>
      <c r="E7102" s="7"/>
      <c r="F7102" s="7"/>
      <c r="G7102" s="7"/>
      <c r="H7102" s="7">
        <f t="shared" si="1"/>
        <v>1029</v>
      </c>
    </row>
    <row r="7103" ht="22.5" customHeight="1">
      <c r="B7103" s="7"/>
      <c r="C7103" s="7"/>
      <c r="D7103" s="7"/>
      <c r="E7103" s="7"/>
      <c r="F7103" s="7"/>
      <c r="G7103" s="7"/>
      <c r="H7103" s="7">
        <f t="shared" si="1"/>
        <v>1029</v>
      </c>
    </row>
    <row r="7104" ht="22.5" customHeight="1">
      <c r="B7104" s="7"/>
      <c r="C7104" s="7"/>
      <c r="D7104" s="7"/>
      <c r="E7104" s="7"/>
      <c r="F7104" s="7"/>
      <c r="G7104" s="7"/>
      <c r="H7104" s="7">
        <f t="shared" si="1"/>
        <v>1029</v>
      </c>
    </row>
    <row r="7105" ht="22.5" customHeight="1">
      <c r="B7105" s="7"/>
      <c r="C7105" s="7"/>
      <c r="D7105" s="7"/>
      <c r="E7105" s="7"/>
      <c r="F7105" s="7"/>
      <c r="G7105" s="7"/>
      <c r="H7105" s="7">
        <f t="shared" si="1"/>
        <v>1029</v>
      </c>
    </row>
    <row r="7106" ht="22.5" customHeight="1">
      <c r="B7106" s="7"/>
      <c r="C7106" s="7"/>
      <c r="D7106" s="7"/>
      <c r="E7106" s="7"/>
      <c r="F7106" s="7"/>
      <c r="G7106" s="7"/>
      <c r="H7106" s="7">
        <f t="shared" si="1"/>
        <v>1029</v>
      </c>
    </row>
    <row r="7107" ht="22.5" customHeight="1">
      <c r="B7107" s="7"/>
      <c r="C7107" s="7"/>
      <c r="D7107" s="7"/>
      <c r="E7107" s="7"/>
      <c r="F7107" s="7"/>
      <c r="G7107" s="7"/>
      <c r="H7107" s="7">
        <f t="shared" si="1"/>
        <v>1029</v>
      </c>
    </row>
    <row r="7108" ht="22.5" customHeight="1">
      <c r="B7108" s="7"/>
      <c r="C7108" s="7"/>
      <c r="D7108" s="7"/>
      <c r="E7108" s="7"/>
      <c r="F7108" s="7"/>
      <c r="G7108" s="7"/>
      <c r="H7108" s="7">
        <f t="shared" si="1"/>
        <v>1029</v>
      </c>
    </row>
    <row r="7109" ht="22.5" customHeight="1">
      <c r="B7109" s="7"/>
      <c r="C7109" s="7"/>
      <c r="D7109" s="7"/>
      <c r="E7109" s="7"/>
      <c r="F7109" s="7"/>
      <c r="G7109" s="7"/>
      <c r="H7109" s="7">
        <f t="shared" si="1"/>
        <v>1029</v>
      </c>
    </row>
    <row r="7110" ht="22.5" customHeight="1">
      <c r="B7110" s="7"/>
      <c r="C7110" s="7"/>
      <c r="D7110" s="7"/>
      <c r="E7110" s="7"/>
      <c r="F7110" s="7"/>
      <c r="G7110" s="7"/>
      <c r="H7110" s="7">
        <f t="shared" si="1"/>
        <v>1029</v>
      </c>
    </row>
    <row r="7111" ht="22.5" customHeight="1">
      <c r="B7111" s="7"/>
      <c r="C7111" s="7"/>
      <c r="D7111" s="7"/>
      <c r="E7111" s="7"/>
      <c r="F7111" s="7"/>
      <c r="G7111" s="7"/>
      <c r="H7111" s="7">
        <f t="shared" si="1"/>
        <v>1029</v>
      </c>
    </row>
    <row r="7112" ht="22.5" customHeight="1">
      <c r="B7112" s="7"/>
      <c r="C7112" s="7"/>
      <c r="D7112" s="7"/>
      <c r="E7112" s="7"/>
      <c r="F7112" s="7"/>
      <c r="G7112" s="7"/>
      <c r="H7112" s="7">
        <f t="shared" si="1"/>
        <v>1029</v>
      </c>
    </row>
    <row r="7113" ht="22.5" customHeight="1">
      <c r="B7113" s="7"/>
      <c r="C7113" s="7"/>
      <c r="D7113" s="7"/>
      <c r="E7113" s="7"/>
      <c r="F7113" s="7"/>
      <c r="G7113" s="7"/>
      <c r="H7113" s="7">
        <f t="shared" si="1"/>
        <v>1029</v>
      </c>
    </row>
    <row r="7114" ht="22.5" customHeight="1">
      <c r="B7114" s="7"/>
      <c r="C7114" s="7"/>
      <c r="D7114" s="7"/>
      <c r="E7114" s="7"/>
      <c r="F7114" s="7"/>
      <c r="G7114" s="7"/>
      <c r="H7114" s="7">
        <f t="shared" si="1"/>
        <v>1029</v>
      </c>
    </row>
    <row r="7115" ht="22.5" customHeight="1">
      <c r="B7115" s="7"/>
      <c r="C7115" s="7"/>
      <c r="D7115" s="7"/>
      <c r="E7115" s="7"/>
      <c r="F7115" s="7"/>
      <c r="G7115" s="7"/>
      <c r="H7115" s="7">
        <f t="shared" si="1"/>
        <v>1029</v>
      </c>
    </row>
    <row r="7116" ht="22.5" customHeight="1">
      <c r="B7116" s="7"/>
      <c r="C7116" s="7"/>
      <c r="D7116" s="7"/>
      <c r="E7116" s="7"/>
      <c r="F7116" s="7"/>
      <c r="G7116" s="7"/>
      <c r="H7116" s="7">
        <f t="shared" si="1"/>
        <v>1029</v>
      </c>
    </row>
    <row r="7117" ht="22.5" customHeight="1">
      <c r="B7117" s="7"/>
      <c r="C7117" s="7"/>
      <c r="D7117" s="7"/>
      <c r="E7117" s="7"/>
      <c r="F7117" s="7"/>
      <c r="G7117" s="7"/>
      <c r="H7117" s="7">
        <f t="shared" si="1"/>
        <v>1029</v>
      </c>
    </row>
    <row r="7118" ht="22.5" customHeight="1">
      <c r="B7118" s="7"/>
      <c r="C7118" s="7"/>
      <c r="D7118" s="7"/>
      <c r="E7118" s="7"/>
      <c r="F7118" s="7"/>
      <c r="G7118" s="7"/>
      <c r="H7118" s="7">
        <f t="shared" si="1"/>
        <v>1029</v>
      </c>
    </row>
    <row r="7119" ht="22.5" customHeight="1">
      <c r="B7119" s="7"/>
      <c r="C7119" s="7"/>
      <c r="D7119" s="7"/>
      <c r="E7119" s="7"/>
      <c r="F7119" s="7"/>
      <c r="G7119" s="7"/>
      <c r="H7119" s="7">
        <f t="shared" si="1"/>
        <v>1029</v>
      </c>
    </row>
    <row r="7120" ht="22.5" customHeight="1">
      <c r="B7120" s="7"/>
      <c r="C7120" s="7"/>
      <c r="D7120" s="7"/>
      <c r="E7120" s="7"/>
      <c r="F7120" s="7"/>
      <c r="G7120" s="7"/>
      <c r="H7120" s="7">
        <f t="shared" si="1"/>
        <v>1029</v>
      </c>
    </row>
    <row r="7121" ht="22.5" customHeight="1">
      <c r="B7121" s="7"/>
      <c r="C7121" s="7"/>
      <c r="D7121" s="7"/>
      <c r="E7121" s="7"/>
      <c r="F7121" s="7"/>
      <c r="G7121" s="7"/>
      <c r="H7121" s="7">
        <f t="shared" si="1"/>
        <v>1029</v>
      </c>
    </row>
    <row r="7122" ht="22.5" customHeight="1">
      <c r="B7122" s="7"/>
      <c r="C7122" s="7"/>
      <c r="D7122" s="7"/>
      <c r="E7122" s="7"/>
      <c r="F7122" s="7"/>
      <c r="G7122" s="7"/>
      <c r="H7122" s="7">
        <f t="shared" si="1"/>
        <v>1029</v>
      </c>
    </row>
    <row r="7123" ht="22.5" customHeight="1">
      <c r="B7123" s="7"/>
      <c r="C7123" s="7"/>
      <c r="D7123" s="7"/>
      <c r="E7123" s="7"/>
      <c r="F7123" s="7"/>
      <c r="G7123" s="7"/>
      <c r="H7123" s="7">
        <f t="shared" si="1"/>
        <v>1029</v>
      </c>
    </row>
    <row r="7124" ht="22.5" customHeight="1">
      <c r="B7124" s="7"/>
      <c r="C7124" s="7"/>
      <c r="D7124" s="7"/>
      <c r="E7124" s="7"/>
      <c r="F7124" s="7"/>
      <c r="G7124" s="7"/>
      <c r="H7124" s="7">
        <f t="shared" si="1"/>
        <v>1029</v>
      </c>
    </row>
    <row r="7125" ht="22.5" customHeight="1">
      <c r="B7125" s="7"/>
      <c r="C7125" s="7"/>
      <c r="D7125" s="7"/>
      <c r="E7125" s="7"/>
      <c r="F7125" s="7"/>
      <c r="G7125" s="7"/>
      <c r="H7125" s="7">
        <f t="shared" si="1"/>
        <v>1029</v>
      </c>
    </row>
    <row r="7126" ht="22.5" customHeight="1">
      <c r="B7126" s="7"/>
      <c r="C7126" s="7"/>
      <c r="D7126" s="7"/>
      <c r="E7126" s="7"/>
      <c r="F7126" s="7"/>
      <c r="G7126" s="7"/>
      <c r="H7126" s="7">
        <f t="shared" si="1"/>
        <v>1029</v>
      </c>
    </row>
    <row r="7127" ht="22.5" customHeight="1">
      <c r="B7127" s="7"/>
      <c r="C7127" s="7"/>
      <c r="D7127" s="7"/>
      <c r="E7127" s="7"/>
      <c r="F7127" s="7"/>
      <c r="G7127" s="7"/>
      <c r="H7127" s="7">
        <f t="shared" si="1"/>
        <v>1029</v>
      </c>
    </row>
    <row r="7128" ht="22.5" customHeight="1">
      <c r="B7128" s="7"/>
      <c r="C7128" s="7"/>
      <c r="D7128" s="7"/>
      <c r="E7128" s="7"/>
      <c r="F7128" s="7"/>
      <c r="G7128" s="7"/>
      <c r="H7128" s="7">
        <f t="shared" si="1"/>
        <v>1029</v>
      </c>
    </row>
    <row r="7129" ht="22.5" customHeight="1">
      <c r="B7129" s="7"/>
      <c r="C7129" s="7"/>
      <c r="D7129" s="7"/>
      <c r="E7129" s="7"/>
      <c r="F7129" s="7"/>
      <c r="G7129" s="7"/>
      <c r="H7129" s="7">
        <f t="shared" si="1"/>
        <v>1029</v>
      </c>
    </row>
    <row r="7130" ht="22.5" customHeight="1">
      <c r="B7130" s="7"/>
      <c r="C7130" s="7"/>
      <c r="D7130" s="7"/>
      <c r="E7130" s="7"/>
      <c r="F7130" s="7"/>
      <c r="G7130" s="7"/>
      <c r="H7130" s="7">
        <f t="shared" si="1"/>
        <v>1029</v>
      </c>
    </row>
    <row r="7131" ht="22.5" customHeight="1">
      <c r="B7131" s="7"/>
      <c r="C7131" s="7"/>
      <c r="D7131" s="7"/>
      <c r="E7131" s="7"/>
      <c r="F7131" s="7"/>
      <c r="G7131" s="7"/>
      <c r="H7131" s="7">
        <f t="shared" si="1"/>
        <v>1029</v>
      </c>
    </row>
    <row r="7132" ht="22.5" customHeight="1">
      <c r="B7132" s="7"/>
      <c r="C7132" s="7"/>
      <c r="D7132" s="7"/>
      <c r="E7132" s="7"/>
      <c r="F7132" s="7"/>
      <c r="G7132" s="7"/>
      <c r="H7132" s="7">
        <f t="shared" si="1"/>
        <v>1029</v>
      </c>
    </row>
    <row r="7133" ht="22.5" customHeight="1">
      <c r="B7133" s="7"/>
      <c r="C7133" s="7"/>
      <c r="D7133" s="7"/>
      <c r="E7133" s="7"/>
      <c r="F7133" s="7"/>
      <c r="G7133" s="7"/>
      <c r="H7133" s="7">
        <f t="shared" si="1"/>
        <v>1029</v>
      </c>
    </row>
    <row r="7134" ht="22.5" customHeight="1">
      <c r="B7134" s="7"/>
      <c r="C7134" s="7"/>
      <c r="D7134" s="7"/>
      <c r="E7134" s="7"/>
      <c r="F7134" s="7"/>
      <c r="G7134" s="7"/>
      <c r="H7134" s="7">
        <f t="shared" si="1"/>
        <v>1029</v>
      </c>
    </row>
    <row r="7135" ht="22.5" customHeight="1">
      <c r="B7135" s="7"/>
      <c r="C7135" s="7"/>
      <c r="D7135" s="7"/>
      <c r="E7135" s="7"/>
      <c r="F7135" s="7"/>
      <c r="G7135" s="7"/>
      <c r="H7135" s="7">
        <f t="shared" si="1"/>
        <v>1029</v>
      </c>
    </row>
    <row r="7136" ht="22.5" customHeight="1">
      <c r="B7136" s="7"/>
      <c r="C7136" s="7"/>
      <c r="D7136" s="7"/>
      <c r="E7136" s="7"/>
      <c r="F7136" s="7"/>
      <c r="G7136" s="7"/>
      <c r="H7136" s="7">
        <f t="shared" si="1"/>
        <v>1029</v>
      </c>
    </row>
    <row r="7137" ht="22.5" customHeight="1">
      <c r="B7137" s="7"/>
      <c r="C7137" s="7"/>
      <c r="D7137" s="7"/>
      <c r="E7137" s="7"/>
      <c r="F7137" s="7"/>
      <c r="G7137" s="7"/>
      <c r="H7137" s="7">
        <f t="shared" si="1"/>
        <v>1029</v>
      </c>
    </row>
    <row r="7138" ht="22.5" customHeight="1">
      <c r="B7138" s="7"/>
      <c r="C7138" s="7"/>
      <c r="D7138" s="7"/>
      <c r="E7138" s="7"/>
      <c r="F7138" s="7"/>
      <c r="G7138" s="7"/>
      <c r="H7138" s="7">
        <f t="shared" si="1"/>
        <v>1029</v>
      </c>
    </row>
    <row r="7139" ht="22.5" customHeight="1">
      <c r="B7139" s="7"/>
      <c r="C7139" s="7"/>
      <c r="D7139" s="7"/>
      <c r="E7139" s="7"/>
      <c r="F7139" s="7"/>
      <c r="G7139" s="7"/>
      <c r="H7139" s="7">
        <f t="shared" si="1"/>
        <v>1029</v>
      </c>
    </row>
    <row r="7140" ht="22.5" customHeight="1">
      <c r="B7140" s="7"/>
      <c r="C7140" s="7"/>
      <c r="D7140" s="7"/>
      <c r="E7140" s="7"/>
      <c r="F7140" s="7"/>
      <c r="G7140" s="7"/>
      <c r="H7140" s="7">
        <f t="shared" si="1"/>
        <v>1029</v>
      </c>
    </row>
    <row r="7141" ht="22.5" customHeight="1">
      <c r="B7141" s="7"/>
      <c r="C7141" s="7"/>
      <c r="D7141" s="7"/>
      <c r="E7141" s="7"/>
      <c r="F7141" s="7"/>
      <c r="G7141" s="7"/>
      <c r="H7141" s="7">
        <f t="shared" si="1"/>
        <v>1029</v>
      </c>
    </row>
    <row r="7142" ht="22.5" customHeight="1">
      <c r="B7142" s="7"/>
      <c r="C7142" s="7"/>
      <c r="D7142" s="7"/>
      <c r="E7142" s="7"/>
      <c r="F7142" s="7"/>
      <c r="G7142" s="7"/>
      <c r="H7142" s="7">
        <f t="shared" si="1"/>
        <v>1029</v>
      </c>
    </row>
    <row r="7143" ht="22.5" customHeight="1">
      <c r="B7143" s="7"/>
      <c r="C7143" s="7"/>
      <c r="D7143" s="7"/>
      <c r="E7143" s="7"/>
      <c r="F7143" s="7"/>
      <c r="G7143" s="7"/>
      <c r="H7143" s="7">
        <f t="shared" si="1"/>
        <v>1029</v>
      </c>
    </row>
    <row r="7144" ht="22.5" customHeight="1">
      <c r="B7144" s="7"/>
      <c r="C7144" s="7"/>
      <c r="D7144" s="7"/>
      <c r="E7144" s="7"/>
      <c r="F7144" s="7"/>
      <c r="G7144" s="7"/>
      <c r="H7144" s="7">
        <f t="shared" si="1"/>
        <v>1029</v>
      </c>
    </row>
    <row r="7145" ht="22.5" customHeight="1">
      <c r="B7145" s="7"/>
      <c r="C7145" s="7"/>
      <c r="D7145" s="7"/>
      <c r="E7145" s="7"/>
      <c r="F7145" s="7"/>
      <c r="G7145" s="7"/>
      <c r="H7145" s="7">
        <f t="shared" si="1"/>
        <v>1029</v>
      </c>
    </row>
    <row r="7146" ht="22.5" customHeight="1">
      <c r="B7146" s="7"/>
      <c r="C7146" s="7"/>
      <c r="D7146" s="7"/>
      <c r="E7146" s="7"/>
      <c r="F7146" s="7"/>
      <c r="G7146" s="7"/>
      <c r="H7146" s="7">
        <f t="shared" si="1"/>
        <v>1029</v>
      </c>
    </row>
    <row r="7147" ht="22.5" customHeight="1">
      <c r="B7147" s="7"/>
      <c r="C7147" s="7"/>
      <c r="D7147" s="7"/>
      <c r="E7147" s="7"/>
      <c r="F7147" s="7"/>
      <c r="G7147" s="7"/>
      <c r="H7147" s="7">
        <f t="shared" si="1"/>
        <v>1029</v>
      </c>
    </row>
    <row r="7148" ht="22.5" customHeight="1">
      <c r="B7148" s="7"/>
      <c r="C7148" s="7"/>
      <c r="D7148" s="7"/>
      <c r="E7148" s="7"/>
      <c r="F7148" s="7"/>
      <c r="G7148" s="7"/>
      <c r="H7148" s="7">
        <f t="shared" si="1"/>
        <v>1029</v>
      </c>
    </row>
    <row r="7149" ht="22.5" customHeight="1">
      <c r="B7149" s="7"/>
      <c r="C7149" s="7"/>
      <c r="D7149" s="7"/>
      <c r="E7149" s="7"/>
      <c r="F7149" s="7"/>
      <c r="G7149" s="7"/>
      <c r="H7149" s="7">
        <f t="shared" si="1"/>
        <v>1029</v>
      </c>
    </row>
    <row r="7150" ht="22.5" customHeight="1">
      <c r="B7150" s="7"/>
      <c r="C7150" s="7"/>
      <c r="D7150" s="7"/>
      <c r="E7150" s="7"/>
      <c r="F7150" s="7"/>
      <c r="G7150" s="7"/>
      <c r="H7150" s="7">
        <f t="shared" si="1"/>
        <v>1029</v>
      </c>
    </row>
    <row r="7151" ht="22.5" customHeight="1">
      <c r="B7151" s="7"/>
      <c r="C7151" s="7"/>
      <c r="D7151" s="7"/>
      <c r="E7151" s="7"/>
      <c r="F7151" s="7"/>
      <c r="G7151" s="7"/>
      <c r="H7151" s="7">
        <f t="shared" si="1"/>
        <v>1029</v>
      </c>
    </row>
    <row r="7152" ht="22.5" customHeight="1">
      <c r="B7152" s="7"/>
      <c r="C7152" s="7"/>
      <c r="D7152" s="7"/>
      <c r="E7152" s="7"/>
      <c r="F7152" s="7"/>
      <c r="G7152" s="7"/>
      <c r="H7152" s="7">
        <f t="shared" si="1"/>
        <v>1029</v>
      </c>
    </row>
    <row r="7153" ht="22.5" customHeight="1">
      <c r="B7153" s="7"/>
      <c r="C7153" s="7"/>
      <c r="D7153" s="7"/>
      <c r="E7153" s="7"/>
      <c r="F7153" s="7"/>
      <c r="G7153" s="7"/>
      <c r="H7153" s="7">
        <f t="shared" si="1"/>
        <v>1029</v>
      </c>
    </row>
    <row r="7154" ht="22.5" customHeight="1">
      <c r="B7154" s="7"/>
      <c r="C7154" s="7"/>
      <c r="D7154" s="7"/>
      <c r="E7154" s="7"/>
      <c r="F7154" s="7"/>
      <c r="G7154" s="7"/>
      <c r="H7154" s="7">
        <f t="shared" si="1"/>
        <v>1029</v>
      </c>
    </row>
    <row r="7155" ht="22.5" customHeight="1">
      <c r="B7155" s="7"/>
      <c r="C7155" s="7"/>
      <c r="D7155" s="7"/>
      <c r="E7155" s="7"/>
      <c r="F7155" s="7"/>
      <c r="G7155" s="7"/>
      <c r="H7155" s="7">
        <f t="shared" si="1"/>
        <v>1029</v>
      </c>
    </row>
    <row r="7156" ht="22.5" customHeight="1">
      <c r="B7156" s="7"/>
      <c r="C7156" s="7"/>
      <c r="D7156" s="7"/>
      <c r="E7156" s="7"/>
      <c r="F7156" s="7"/>
      <c r="G7156" s="7"/>
      <c r="H7156" s="7">
        <f t="shared" si="1"/>
        <v>1029</v>
      </c>
    </row>
    <row r="7157" ht="22.5" customHeight="1">
      <c r="B7157" s="7"/>
      <c r="C7157" s="7"/>
      <c r="D7157" s="7"/>
      <c r="E7157" s="7"/>
      <c r="F7157" s="7"/>
      <c r="G7157" s="7"/>
      <c r="H7157" s="7">
        <f t="shared" si="1"/>
        <v>1029</v>
      </c>
    </row>
    <row r="7158" ht="22.5" customHeight="1">
      <c r="B7158" s="7"/>
      <c r="C7158" s="7"/>
      <c r="D7158" s="7"/>
      <c r="E7158" s="7"/>
      <c r="F7158" s="7"/>
      <c r="G7158" s="7"/>
      <c r="H7158" s="7">
        <f t="shared" si="1"/>
        <v>1029</v>
      </c>
    </row>
    <row r="7159" ht="22.5" customHeight="1">
      <c r="B7159" s="7"/>
      <c r="C7159" s="7"/>
      <c r="D7159" s="7"/>
      <c r="E7159" s="7"/>
      <c r="F7159" s="7"/>
      <c r="G7159" s="7"/>
      <c r="H7159" s="7">
        <f t="shared" si="1"/>
        <v>1029</v>
      </c>
    </row>
    <row r="7160" ht="22.5" customHeight="1">
      <c r="B7160" s="7"/>
      <c r="C7160" s="7"/>
      <c r="D7160" s="7"/>
      <c r="E7160" s="7"/>
      <c r="F7160" s="7"/>
      <c r="G7160" s="7"/>
      <c r="H7160" s="7">
        <f t="shared" si="1"/>
        <v>1029</v>
      </c>
    </row>
    <row r="7161" ht="22.5" customHeight="1">
      <c r="B7161" s="7"/>
      <c r="C7161" s="7"/>
      <c r="D7161" s="7"/>
      <c r="E7161" s="7"/>
      <c r="F7161" s="7"/>
      <c r="G7161" s="7"/>
      <c r="H7161" s="7">
        <f t="shared" si="1"/>
        <v>1029</v>
      </c>
    </row>
    <row r="7162" ht="22.5" customHeight="1">
      <c r="B7162" s="7"/>
      <c r="C7162" s="7"/>
      <c r="D7162" s="7"/>
      <c r="E7162" s="7"/>
      <c r="F7162" s="7"/>
      <c r="G7162" s="7"/>
      <c r="H7162" s="7">
        <f t="shared" si="1"/>
        <v>1029</v>
      </c>
    </row>
    <row r="7163" ht="22.5" customHeight="1">
      <c r="B7163" s="7"/>
      <c r="C7163" s="7"/>
      <c r="D7163" s="7"/>
      <c r="E7163" s="7"/>
      <c r="F7163" s="7"/>
      <c r="G7163" s="7"/>
      <c r="H7163" s="7">
        <f t="shared" si="1"/>
        <v>1029</v>
      </c>
    </row>
    <row r="7164" ht="22.5" customHeight="1">
      <c r="B7164" s="7"/>
      <c r="C7164" s="7"/>
      <c r="D7164" s="7"/>
      <c r="E7164" s="7"/>
      <c r="F7164" s="7"/>
      <c r="G7164" s="7"/>
      <c r="H7164" s="7">
        <f t="shared" si="1"/>
        <v>1029</v>
      </c>
    </row>
    <row r="7165" ht="22.5" customHeight="1">
      <c r="B7165" s="7"/>
      <c r="C7165" s="7"/>
      <c r="D7165" s="7"/>
      <c r="E7165" s="7"/>
      <c r="F7165" s="7"/>
      <c r="G7165" s="7"/>
      <c r="H7165" s="7">
        <f t="shared" si="1"/>
        <v>1029</v>
      </c>
    </row>
    <row r="7166" ht="22.5" customHeight="1">
      <c r="B7166" s="7"/>
      <c r="C7166" s="7"/>
      <c r="D7166" s="7"/>
      <c r="E7166" s="7"/>
      <c r="F7166" s="7"/>
      <c r="G7166" s="7"/>
      <c r="H7166" s="7">
        <f t="shared" si="1"/>
        <v>1029</v>
      </c>
    </row>
    <row r="7167" ht="22.5" customHeight="1">
      <c r="B7167" s="7"/>
      <c r="C7167" s="7"/>
      <c r="D7167" s="7"/>
      <c r="E7167" s="7"/>
      <c r="F7167" s="7"/>
      <c r="G7167" s="7"/>
      <c r="H7167" s="7">
        <f t="shared" si="1"/>
        <v>1029</v>
      </c>
    </row>
    <row r="7168" ht="22.5" customHeight="1">
      <c r="B7168" s="7"/>
      <c r="C7168" s="7"/>
      <c r="D7168" s="7"/>
      <c r="E7168" s="7"/>
      <c r="F7168" s="7"/>
      <c r="G7168" s="7"/>
      <c r="H7168" s="7">
        <f t="shared" si="1"/>
        <v>1029</v>
      </c>
    </row>
    <row r="7169" ht="22.5" customHeight="1">
      <c r="B7169" s="7"/>
      <c r="C7169" s="7"/>
      <c r="D7169" s="7"/>
      <c r="E7169" s="7"/>
      <c r="F7169" s="7"/>
      <c r="G7169" s="7"/>
      <c r="H7169" s="7">
        <f t="shared" si="1"/>
        <v>1029</v>
      </c>
    </row>
    <row r="7170" ht="22.5" customHeight="1">
      <c r="B7170" s="7"/>
      <c r="C7170" s="7"/>
      <c r="D7170" s="7"/>
      <c r="E7170" s="7"/>
      <c r="F7170" s="7"/>
      <c r="G7170" s="7"/>
      <c r="H7170" s="7">
        <f t="shared" si="1"/>
        <v>1029</v>
      </c>
    </row>
    <row r="7171" ht="22.5" customHeight="1">
      <c r="B7171" s="7"/>
      <c r="C7171" s="7"/>
      <c r="D7171" s="7"/>
      <c r="E7171" s="7"/>
      <c r="F7171" s="7"/>
      <c r="G7171" s="7"/>
      <c r="H7171" s="7">
        <f t="shared" si="1"/>
        <v>1029</v>
      </c>
    </row>
    <row r="7172" ht="22.5" customHeight="1">
      <c r="B7172" s="7"/>
      <c r="C7172" s="7"/>
      <c r="D7172" s="7"/>
      <c r="E7172" s="7"/>
      <c r="F7172" s="7"/>
      <c r="G7172" s="7"/>
      <c r="H7172" s="7">
        <f t="shared" si="1"/>
        <v>1029</v>
      </c>
    </row>
    <row r="7173" ht="22.5" customHeight="1">
      <c r="B7173" s="7"/>
      <c r="C7173" s="7"/>
      <c r="D7173" s="7"/>
      <c r="E7173" s="7"/>
      <c r="F7173" s="7"/>
      <c r="G7173" s="7"/>
      <c r="H7173" s="7">
        <f t="shared" si="1"/>
        <v>1029</v>
      </c>
    </row>
    <row r="7174" ht="22.5" customHeight="1">
      <c r="B7174" s="7"/>
      <c r="C7174" s="7"/>
      <c r="D7174" s="7"/>
      <c r="E7174" s="7"/>
      <c r="F7174" s="7"/>
      <c r="G7174" s="7"/>
      <c r="H7174" s="7">
        <f t="shared" si="1"/>
        <v>1029</v>
      </c>
    </row>
    <row r="7175" ht="22.5" customHeight="1">
      <c r="B7175" s="7"/>
      <c r="C7175" s="7"/>
      <c r="D7175" s="7"/>
      <c r="E7175" s="7"/>
      <c r="F7175" s="7"/>
      <c r="G7175" s="7"/>
      <c r="H7175" s="7">
        <f t="shared" si="1"/>
        <v>1029</v>
      </c>
    </row>
    <row r="7176" ht="22.5" customHeight="1">
      <c r="B7176" s="7"/>
      <c r="C7176" s="7"/>
      <c r="D7176" s="7"/>
      <c r="E7176" s="7"/>
      <c r="F7176" s="7"/>
      <c r="G7176" s="7"/>
      <c r="H7176" s="7">
        <f t="shared" si="1"/>
        <v>1029</v>
      </c>
    </row>
    <row r="7177" ht="22.5" customHeight="1">
      <c r="B7177" s="7"/>
      <c r="C7177" s="7"/>
      <c r="D7177" s="7"/>
      <c r="E7177" s="7"/>
      <c r="F7177" s="7"/>
      <c r="G7177" s="7"/>
      <c r="H7177" s="7">
        <f t="shared" si="1"/>
        <v>1029</v>
      </c>
    </row>
    <row r="7178" ht="22.5" customHeight="1">
      <c r="B7178" s="7"/>
      <c r="C7178" s="7"/>
      <c r="D7178" s="7"/>
      <c r="E7178" s="7"/>
      <c r="F7178" s="7"/>
      <c r="G7178" s="7"/>
      <c r="H7178" s="7">
        <f t="shared" si="1"/>
        <v>1029</v>
      </c>
    </row>
    <row r="7179" ht="22.5" customHeight="1">
      <c r="B7179" s="7"/>
      <c r="C7179" s="7"/>
      <c r="D7179" s="7"/>
      <c r="E7179" s="7"/>
      <c r="F7179" s="7"/>
      <c r="G7179" s="7"/>
      <c r="H7179" s="7">
        <f t="shared" si="1"/>
        <v>1029</v>
      </c>
    </row>
    <row r="7180" ht="22.5" customHeight="1">
      <c r="B7180" s="7"/>
      <c r="C7180" s="7"/>
      <c r="D7180" s="7"/>
      <c r="E7180" s="7"/>
      <c r="F7180" s="7"/>
      <c r="G7180" s="7"/>
      <c r="H7180" s="7">
        <f t="shared" si="1"/>
        <v>1029</v>
      </c>
    </row>
    <row r="7181" ht="22.5" customHeight="1">
      <c r="B7181" s="7"/>
      <c r="C7181" s="7"/>
      <c r="D7181" s="7"/>
      <c r="E7181" s="7"/>
      <c r="F7181" s="7"/>
      <c r="G7181" s="7"/>
      <c r="H7181" s="7">
        <f t="shared" si="1"/>
        <v>1029</v>
      </c>
    </row>
    <row r="7182" ht="22.5" customHeight="1">
      <c r="B7182" s="7"/>
      <c r="C7182" s="7"/>
      <c r="D7182" s="7"/>
      <c r="E7182" s="7"/>
      <c r="F7182" s="7"/>
      <c r="G7182" s="7"/>
      <c r="H7182" s="7">
        <f t="shared" si="1"/>
        <v>1029</v>
      </c>
    </row>
    <row r="7183" ht="22.5" customHeight="1">
      <c r="B7183" s="7"/>
      <c r="C7183" s="7"/>
      <c r="D7183" s="7"/>
      <c r="E7183" s="7"/>
      <c r="F7183" s="7"/>
      <c r="G7183" s="7"/>
      <c r="H7183" s="7">
        <f t="shared" si="1"/>
        <v>1029</v>
      </c>
    </row>
    <row r="7184" ht="22.5" customHeight="1">
      <c r="B7184" s="7"/>
      <c r="C7184" s="7"/>
      <c r="D7184" s="7"/>
      <c r="E7184" s="7"/>
      <c r="F7184" s="7"/>
      <c r="G7184" s="7"/>
      <c r="H7184" s="7">
        <f t="shared" si="1"/>
        <v>1029</v>
      </c>
    </row>
    <row r="7185" ht="22.5" customHeight="1">
      <c r="B7185" s="7"/>
      <c r="C7185" s="7"/>
      <c r="D7185" s="7"/>
      <c r="E7185" s="7"/>
      <c r="F7185" s="7"/>
      <c r="G7185" s="7"/>
      <c r="H7185" s="7">
        <f t="shared" si="1"/>
        <v>1029</v>
      </c>
    </row>
    <row r="7186" ht="22.5" customHeight="1">
      <c r="B7186" s="7"/>
      <c r="C7186" s="7"/>
      <c r="D7186" s="7"/>
      <c r="E7186" s="7"/>
      <c r="F7186" s="7"/>
      <c r="G7186" s="7"/>
      <c r="H7186" s="7">
        <f t="shared" si="1"/>
        <v>1029</v>
      </c>
    </row>
    <row r="7187" ht="22.5" customHeight="1">
      <c r="B7187" s="7"/>
      <c r="C7187" s="7"/>
      <c r="D7187" s="7"/>
      <c r="E7187" s="7"/>
      <c r="F7187" s="7"/>
      <c r="G7187" s="7"/>
      <c r="H7187" s="7">
        <f t="shared" si="1"/>
        <v>1029</v>
      </c>
    </row>
    <row r="7188" ht="22.5" customHeight="1">
      <c r="B7188" s="7"/>
      <c r="C7188" s="7"/>
      <c r="D7188" s="7"/>
      <c r="E7188" s="7"/>
      <c r="F7188" s="7"/>
      <c r="G7188" s="7"/>
      <c r="H7188" s="7">
        <f t="shared" si="1"/>
        <v>1029</v>
      </c>
    </row>
    <row r="7189" ht="22.5" customHeight="1">
      <c r="B7189" s="7"/>
      <c r="C7189" s="7"/>
      <c r="D7189" s="7"/>
      <c r="E7189" s="7"/>
      <c r="F7189" s="7"/>
      <c r="G7189" s="7"/>
      <c r="H7189" s="7">
        <f t="shared" si="1"/>
        <v>1029</v>
      </c>
    </row>
    <row r="7190" ht="22.5" customHeight="1">
      <c r="B7190" s="7"/>
      <c r="C7190" s="7"/>
      <c r="D7190" s="7"/>
      <c r="E7190" s="7"/>
      <c r="F7190" s="7"/>
      <c r="G7190" s="7"/>
      <c r="H7190" s="7">
        <f t="shared" si="1"/>
        <v>1029</v>
      </c>
    </row>
    <row r="7191" ht="22.5" customHeight="1">
      <c r="B7191" s="7"/>
      <c r="C7191" s="7"/>
      <c r="D7191" s="7"/>
      <c r="E7191" s="7"/>
      <c r="F7191" s="7"/>
      <c r="G7191" s="7"/>
      <c r="H7191" s="7">
        <f t="shared" si="1"/>
        <v>1029</v>
      </c>
    </row>
    <row r="7192" ht="22.5" customHeight="1">
      <c r="B7192" s="7"/>
      <c r="C7192" s="7"/>
      <c r="D7192" s="7"/>
      <c r="E7192" s="7"/>
      <c r="F7192" s="7"/>
      <c r="G7192" s="7"/>
      <c r="H7192" s="7">
        <f t="shared" si="1"/>
        <v>1029</v>
      </c>
    </row>
    <row r="7193" ht="22.5" customHeight="1">
      <c r="B7193" s="7"/>
      <c r="C7193" s="7"/>
      <c r="D7193" s="7"/>
      <c r="E7193" s="7"/>
      <c r="F7193" s="7"/>
      <c r="G7193" s="7"/>
      <c r="H7193" s="7">
        <f t="shared" si="1"/>
        <v>1029</v>
      </c>
    </row>
    <row r="7194" ht="22.5" customHeight="1">
      <c r="B7194" s="7"/>
      <c r="C7194" s="7"/>
      <c r="D7194" s="7"/>
      <c r="E7194" s="7"/>
      <c r="F7194" s="7"/>
      <c r="G7194" s="7"/>
      <c r="H7194" s="7">
        <f t="shared" si="1"/>
        <v>1029</v>
      </c>
    </row>
    <row r="7195" ht="22.5" customHeight="1">
      <c r="B7195" s="7"/>
      <c r="C7195" s="7"/>
      <c r="D7195" s="7"/>
      <c r="E7195" s="7"/>
      <c r="F7195" s="7"/>
      <c r="G7195" s="7"/>
      <c r="H7195" s="7">
        <f t="shared" si="1"/>
        <v>1029</v>
      </c>
    </row>
    <row r="7196" ht="22.5" customHeight="1">
      <c r="B7196" s="7"/>
      <c r="C7196" s="7"/>
      <c r="D7196" s="7"/>
      <c r="E7196" s="7"/>
      <c r="F7196" s="7"/>
      <c r="G7196" s="7"/>
      <c r="H7196" s="7">
        <f t="shared" si="1"/>
        <v>1029</v>
      </c>
    </row>
    <row r="7197" ht="22.5" customHeight="1">
      <c r="B7197" s="7"/>
      <c r="C7197" s="7"/>
      <c r="D7197" s="7"/>
      <c r="E7197" s="7"/>
      <c r="F7197" s="7"/>
      <c r="G7197" s="7"/>
      <c r="H7197" s="7">
        <f t="shared" si="1"/>
        <v>1029</v>
      </c>
    </row>
    <row r="7198" ht="22.5" customHeight="1">
      <c r="B7198" s="7"/>
      <c r="C7198" s="7"/>
      <c r="D7198" s="7"/>
      <c r="E7198" s="7"/>
      <c r="F7198" s="7"/>
      <c r="G7198" s="7"/>
      <c r="H7198" s="7">
        <f t="shared" si="1"/>
        <v>1029</v>
      </c>
    </row>
    <row r="7199" ht="22.5" customHeight="1">
      <c r="B7199" s="7"/>
      <c r="C7199" s="7"/>
      <c r="D7199" s="7"/>
      <c r="E7199" s="7"/>
      <c r="F7199" s="7"/>
      <c r="G7199" s="7"/>
      <c r="H7199" s="7">
        <f t="shared" si="1"/>
        <v>1029</v>
      </c>
    </row>
    <row r="7200" ht="22.5" customHeight="1">
      <c r="B7200" s="7"/>
      <c r="C7200" s="7"/>
      <c r="D7200" s="7"/>
      <c r="E7200" s="7"/>
      <c r="F7200" s="7"/>
      <c r="G7200" s="7"/>
      <c r="H7200" s="7">
        <f t="shared" si="1"/>
        <v>1029</v>
      </c>
    </row>
    <row r="7201" ht="22.5" customHeight="1">
      <c r="B7201" s="7"/>
      <c r="C7201" s="7"/>
      <c r="D7201" s="7"/>
      <c r="E7201" s="7"/>
      <c r="F7201" s="7"/>
      <c r="G7201" s="7"/>
      <c r="H7201" s="7">
        <f t="shared" si="1"/>
        <v>1029</v>
      </c>
    </row>
    <row r="7202" ht="22.5" customHeight="1">
      <c r="B7202" s="7"/>
      <c r="C7202" s="7"/>
      <c r="D7202" s="7"/>
      <c r="E7202" s="7"/>
      <c r="F7202" s="7"/>
      <c r="G7202" s="7"/>
      <c r="H7202" s="7">
        <f t="shared" si="1"/>
        <v>1029</v>
      </c>
    </row>
    <row r="7203" ht="22.5" customHeight="1">
      <c r="B7203" s="7"/>
      <c r="C7203" s="7"/>
      <c r="D7203" s="7"/>
      <c r="E7203" s="7"/>
      <c r="F7203" s="7"/>
      <c r="G7203" s="7"/>
      <c r="H7203" s="7">
        <f t="shared" si="1"/>
        <v>1029</v>
      </c>
    </row>
    <row r="7204" ht="22.5" customHeight="1">
      <c r="B7204" s="7"/>
      <c r="C7204" s="7"/>
      <c r="D7204" s="7"/>
      <c r="E7204" s="7"/>
      <c r="F7204" s="7"/>
      <c r="G7204" s="7"/>
      <c r="H7204" s="7">
        <f t="shared" si="1"/>
        <v>1029</v>
      </c>
    </row>
    <row r="7205" ht="22.5" customHeight="1">
      <c r="B7205" s="7"/>
      <c r="C7205" s="7"/>
      <c r="D7205" s="7"/>
      <c r="E7205" s="7"/>
      <c r="F7205" s="7"/>
      <c r="G7205" s="7"/>
      <c r="H7205" s="7">
        <f t="shared" si="1"/>
        <v>1029</v>
      </c>
    </row>
    <row r="7206" ht="22.5" customHeight="1">
      <c r="B7206" s="7"/>
      <c r="C7206" s="7"/>
      <c r="D7206" s="7"/>
      <c r="E7206" s="7"/>
      <c r="F7206" s="7"/>
      <c r="G7206" s="7"/>
      <c r="H7206" s="7">
        <f t="shared" si="1"/>
        <v>1029</v>
      </c>
    </row>
    <row r="7207" ht="22.5" customHeight="1">
      <c r="B7207" s="7"/>
      <c r="C7207" s="7"/>
      <c r="D7207" s="7"/>
      <c r="E7207" s="7"/>
      <c r="F7207" s="7"/>
      <c r="G7207" s="7"/>
      <c r="H7207" s="7">
        <f t="shared" si="1"/>
        <v>1029</v>
      </c>
    </row>
    <row r="7208" ht="22.5" customHeight="1">
      <c r="B7208" s="7"/>
      <c r="C7208" s="7"/>
      <c r="D7208" s="7"/>
      <c r="E7208" s="7"/>
      <c r="F7208" s="7"/>
      <c r="G7208" s="7"/>
      <c r="H7208" s="7">
        <f t="shared" si="1"/>
        <v>1029</v>
      </c>
    </row>
    <row r="7209" ht="22.5" customHeight="1">
      <c r="B7209" s="7"/>
      <c r="C7209" s="7"/>
      <c r="D7209" s="7"/>
      <c r="E7209" s="7"/>
      <c r="F7209" s="7"/>
      <c r="G7209" s="7"/>
      <c r="H7209" s="7">
        <f t="shared" si="1"/>
        <v>1029</v>
      </c>
    </row>
    <row r="7210" ht="22.5" customHeight="1">
      <c r="B7210" s="7"/>
      <c r="C7210" s="7"/>
      <c r="D7210" s="7"/>
      <c r="E7210" s="7"/>
      <c r="F7210" s="7"/>
      <c r="G7210" s="7"/>
      <c r="H7210" s="7">
        <f t="shared" si="1"/>
        <v>1029</v>
      </c>
    </row>
    <row r="7211" ht="22.5" customHeight="1">
      <c r="B7211" s="7"/>
      <c r="C7211" s="7"/>
      <c r="D7211" s="7"/>
      <c r="E7211" s="7"/>
      <c r="F7211" s="7"/>
      <c r="G7211" s="7"/>
      <c r="H7211" s="7">
        <f t="shared" si="1"/>
        <v>1029</v>
      </c>
    </row>
    <row r="7212" ht="22.5" customHeight="1">
      <c r="B7212" s="7"/>
      <c r="C7212" s="7"/>
      <c r="D7212" s="7"/>
      <c r="E7212" s="7"/>
      <c r="F7212" s="7"/>
      <c r="G7212" s="7"/>
      <c r="H7212" s="7">
        <f t="shared" si="1"/>
        <v>1029</v>
      </c>
    </row>
    <row r="7213" ht="22.5" customHeight="1">
      <c r="B7213" s="7"/>
      <c r="C7213" s="7"/>
      <c r="D7213" s="7"/>
      <c r="E7213" s="7"/>
      <c r="F7213" s="7"/>
      <c r="G7213" s="7"/>
      <c r="H7213" s="7">
        <f t="shared" si="1"/>
        <v>1029</v>
      </c>
    </row>
    <row r="7214" ht="22.5" customHeight="1">
      <c r="B7214" s="7"/>
      <c r="C7214" s="7"/>
      <c r="D7214" s="7"/>
      <c r="E7214" s="7"/>
      <c r="F7214" s="7"/>
      <c r="G7214" s="7"/>
      <c r="H7214" s="7">
        <f t="shared" si="1"/>
        <v>1029</v>
      </c>
    </row>
    <row r="7215" ht="22.5" customHeight="1">
      <c r="B7215" s="7"/>
      <c r="C7215" s="7"/>
      <c r="D7215" s="7"/>
      <c r="E7215" s="7"/>
      <c r="F7215" s="7"/>
      <c r="G7215" s="7"/>
      <c r="H7215" s="7">
        <f t="shared" si="1"/>
        <v>1029</v>
      </c>
    </row>
    <row r="7216" ht="22.5" customHeight="1">
      <c r="B7216" s="7"/>
      <c r="C7216" s="7"/>
      <c r="D7216" s="7"/>
      <c r="E7216" s="7"/>
      <c r="F7216" s="7"/>
      <c r="G7216" s="7"/>
      <c r="H7216" s="7">
        <f t="shared" si="1"/>
        <v>1029</v>
      </c>
    </row>
    <row r="7217" ht="22.5" customHeight="1">
      <c r="B7217" s="7"/>
      <c r="C7217" s="7"/>
      <c r="D7217" s="7"/>
      <c r="E7217" s="7"/>
      <c r="F7217" s="7"/>
      <c r="G7217" s="7"/>
      <c r="H7217" s="7">
        <f t="shared" si="1"/>
        <v>1029</v>
      </c>
    </row>
    <row r="7218" ht="22.5" customHeight="1">
      <c r="B7218" s="7"/>
      <c r="C7218" s="7"/>
      <c r="D7218" s="7"/>
      <c r="E7218" s="7"/>
      <c r="F7218" s="7"/>
      <c r="G7218" s="7"/>
      <c r="H7218" s="7">
        <f t="shared" si="1"/>
        <v>1029</v>
      </c>
    </row>
    <row r="7219" ht="22.5" customHeight="1">
      <c r="B7219" s="7"/>
      <c r="C7219" s="7"/>
      <c r="D7219" s="7"/>
      <c r="E7219" s="7"/>
      <c r="F7219" s="7"/>
      <c r="G7219" s="7"/>
      <c r="H7219" s="7">
        <f t="shared" si="1"/>
        <v>1029</v>
      </c>
    </row>
    <row r="7220" ht="22.5" customHeight="1">
      <c r="B7220" s="7"/>
      <c r="C7220" s="7"/>
      <c r="D7220" s="7"/>
      <c r="E7220" s="7"/>
      <c r="F7220" s="7"/>
      <c r="G7220" s="7"/>
      <c r="H7220" s="7">
        <f t="shared" si="1"/>
        <v>1029</v>
      </c>
    </row>
    <row r="7221" ht="22.5" customHeight="1">
      <c r="B7221" s="7"/>
      <c r="C7221" s="7"/>
      <c r="D7221" s="7"/>
      <c r="E7221" s="7"/>
      <c r="F7221" s="7"/>
      <c r="G7221" s="7"/>
      <c r="H7221" s="7">
        <f t="shared" si="1"/>
        <v>1029</v>
      </c>
    </row>
    <row r="7222" ht="22.5" customHeight="1">
      <c r="B7222" s="7"/>
      <c r="C7222" s="7"/>
      <c r="D7222" s="7"/>
      <c r="E7222" s="7"/>
      <c r="F7222" s="7"/>
      <c r="G7222" s="7"/>
      <c r="H7222" s="7">
        <f t="shared" si="1"/>
        <v>1029</v>
      </c>
    </row>
    <row r="7223" ht="22.5" customHeight="1">
      <c r="B7223" s="7"/>
      <c r="C7223" s="7"/>
      <c r="D7223" s="7"/>
      <c r="E7223" s="7"/>
      <c r="F7223" s="7"/>
      <c r="G7223" s="7"/>
      <c r="H7223" s="7">
        <f t="shared" si="1"/>
        <v>1029</v>
      </c>
    </row>
    <row r="7224" ht="22.5" customHeight="1">
      <c r="B7224" s="7"/>
      <c r="C7224" s="7"/>
      <c r="D7224" s="7"/>
      <c r="E7224" s="7"/>
      <c r="F7224" s="7"/>
      <c r="G7224" s="7"/>
      <c r="H7224" s="7">
        <f t="shared" si="1"/>
        <v>1029</v>
      </c>
    </row>
    <row r="7225" ht="22.5" customHeight="1">
      <c r="B7225" s="7"/>
      <c r="C7225" s="7"/>
      <c r="D7225" s="7"/>
      <c r="E7225" s="7"/>
      <c r="F7225" s="7"/>
      <c r="G7225" s="7"/>
      <c r="H7225" s="7">
        <f t="shared" si="1"/>
        <v>1029</v>
      </c>
    </row>
    <row r="7226" ht="22.5" customHeight="1">
      <c r="B7226" s="7"/>
      <c r="C7226" s="7"/>
      <c r="D7226" s="7"/>
      <c r="E7226" s="7"/>
      <c r="F7226" s="7"/>
      <c r="G7226" s="7"/>
      <c r="H7226" s="7">
        <f t="shared" si="1"/>
        <v>1029</v>
      </c>
    </row>
    <row r="7227" ht="22.5" customHeight="1">
      <c r="B7227" s="7"/>
      <c r="C7227" s="7"/>
      <c r="D7227" s="7"/>
      <c r="E7227" s="7"/>
      <c r="F7227" s="7"/>
      <c r="G7227" s="7"/>
      <c r="H7227" s="7">
        <f t="shared" si="1"/>
        <v>1029</v>
      </c>
    </row>
    <row r="7228" ht="22.5" customHeight="1">
      <c r="B7228" s="7"/>
      <c r="C7228" s="7"/>
      <c r="D7228" s="7"/>
      <c r="E7228" s="7"/>
      <c r="F7228" s="7"/>
      <c r="G7228" s="7"/>
      <c r="H7228" s="7">
        <f t="shared" si="1"/>
        <v>1029</v>
      </c>
    </row>
    <row r="7229" ht="22.5" customHeight="1">
      <c r="B7229" s="7"/>
      <c r="C7229" s="7"/>
      <c r="D7229" s="7"/>
      <c r="E7229" s="7"/>
      <c r="F7229" s="7"/>
      <c r="G7229" s="7"/>
      <c r="H7229" s="7">
        <f t="shared" si="1"/>
        <v>1029</v>
      </c>
    </row>
    <row r="7230" ht="22.5" customHeight="1">
      <c r="B7230" s="7"/>
      <c r="C7230" s="7"/>
      <c r="D7230" s="7"/>
      <c r="E7230" s="7"/>
      <c r="F7230" s="7"/>
      <c r="G7230" s="7"/>
      <c r="H7230" s="7">
        <f t="shared" si="1"/>
        <v>1029</v>
      </c>
    </row>
    <row r="7231" ht="22.5" customHeight="1">
      <c r="B7231" s="7"/>
      <c r="C7231" s="7"/>
      <c r="D7231" s="7"/>
      <c r="E7231" s="7"/>
      <c r="F7231" s="7"/>
      <c r="G7231" s="7"/>
      <c r="H7231" s="7">
        <f t="shared" si="1"/>
        <v>1029</v>
      </c>
    </row>
    <row r="7232" ht="22.5" customHeight="1">
      <c r="B7232" s="7"/>
      <c r="C7232" s="7"/>
      <c r="D7232" s="7"/>
      <c r="E7232" s="7"/>
      <c r="F7232" s="7"/>
      <c r="G7232" s="7"/>
      <c r="H7232" s="7">
        <f t="shared" si="1"/>
        <v>1029</v>
      </c>
    </row>
    <row r="7233" ht="22.5" customHeight="1">
      <c r="B7233" s="7"/>
      <c r="C7233" s="7"/>
      <c r="D7233" s="7"/>
      <c r="E7233" s="7"/>
      <c r="F7233" s="7"/>
      <c r="G7233" s="7"/>
      <c r="H7233" s="7">
        <f t="shared" si="1"/>
        <v>1029</v>
      </c>
    </row>
    <row r="7234" ht="22.5" customHeight="1">
      <c r="B7234" s="7"/>
      <c r="C7234" s="7"/>
      <c r="D7234" s="7"/>
      <c r="E7234" s="7"/>
      <c r="F7234" s="7"/>
      <c r="G7234" s="7"/>
      <c r="H7234" s="7">
        <f t="shared" si="1"/>
        <v>1029</v>
      </c>
    </row>
    <row r="7235" ht="22.5" customHeight="1">
      <c r="B7235" s="7"/>
      <c r="C7235" s="7"/>
      <c r="D7235" s="7"/>
      <c r="E7235" s="7"/>
      <c r="F7235" s="7"/>
      <c r="G7235" s="7"/>
      <c r="H7235" s="7">
        <f t="shared" si="1"/>
        <v>1029</v>
      </c>
    </row>
    <row r="7236" ht="22.5" customHeight="1">
      <c r="B7236" s="7"/>
      <c r="C7236" s="7"/>
      <c r="D7236" s="7"/>
      <c r="E7236" s="7"/>
      <c r="F7236" s="7"/>
      <c r="G7236" s="7"/>
      <c r="H7236" s="7">
        <f t="shared" si="1"/>
        <v>1029</v>
      </c>
    </row>
    <row r="7237" ht="22.5" customHeight="1">
      <c r="B7237" s="7"/>
      <c r="C7237" s="7"/>
      <c r="D7237" s="7"/>
      <c r="E7237" s="7"/>
      <c r="F7237" s="7"/>
      <c r="G7237" s="7"/>
      <c r="H7237" s="7">
        <f t="shared" si="1"/>
        <v>1029</v>
      </c>
    </row>
    <row r="7238" ht="22.5" customHeight="1">
      <c r="B7238" s="7"/>
      <c r="C7238" s="7"/>
      <c r="D7238" s="7"/>
      <c r="E7238" s="7"/>
      <c r="F7238" s="7"/>
      <c r="G7238" s="7"/>
      <c r="H7238" s="7">
        <f t="shared" si="1"/>
        <v>1029</v>
      </c>
    </row>
    <row r="7239" ht="22.5" customHeight="1">
      <c r="B7239" s="7"/>
      <c r="C7239" s="7"/>
      <c r="D7239" s="7"/>
      <c r="E7239" s="7"/>
      <c r="F7239" s="7"/>
      <c r="G7239" s="7"/>
      <c r="H7239" s="7">
        <f t="shared" si="1"/>
        <v>1029</v>
      </c>
    </row>
    <row r="7240" ht="22.5" customHeight="1">
      <c r="B7240" s="7"/>
      <c r="C7240" s="7"/>
      <c r="D7240" s="7"/>
      <c r="E7240" s="7"/>
      <c r="F7240" s="7"/>
      <c r="G7240" s="7"/>
      <c r="H7240" s="7">
        <f t="shared" si="1"/>
        <v>1029</v>
      </c>
    </row>
    <row r="7241" ht="22.5" customHeight="1">
      <c r="B7241" s="7"/>
      <c r="C7241" s="7"/>
      <c r="D7241" s="7"/>
      <c r="E7241" s="7"/>
      <c r="F7241" s="7"/>
      <c r="G7241" s="7"/>
      <c r="H7241" s="7">
        <f t="shared" si="1"/>
        <v>1029</v>
      </c>
    </row>
    <row r="7242" ht="22.5" customHeight="1">
      <c r="B7242" s="7"/>
      <c r="C7242" s="7"/>
      <c r="D7242" s="7"/>
      <c r="E7242" s="7"/>
      <c r="F7242" s="7"/>
      <c r="G7242" s="7"/>
      <c r="H7242" s="7">
        <f t="shared" si="1"/>
        <v>1029</v>
      </c>
    </row>
    <row r="7243" ht="22.5" customHeight="1">
      <c r="B7243" s="7"/>
      <c r="C7243" s="7"/>
      <c r="D7243" s="7"/>
      <c r="E7243" s="7"/>
      <c r="F7243" s="7"/>
      <c r="G7243" s="7"/>
      <c r="H7243" s="7">
        <f t="shared" si="1"/>
        <v>1029</v>
      </c>
    </row>
    <row r="7244" ht="22.5" customHeight="1">
      <c r="B7244" s="7"/>
      <c r="C7244" s="7"/>
      <c r="D7244" s="7"/>
      <c r="E7244" s="7"/>
      <c r="F7244" s="7"/>
      <c r="G7244" s="7"/>
      <c r="H7244" s="7">
        <f t="shared" si="1"/>
        <v>1029</v>
      </c>
    </row>
    <row r="7245" ht="22.5" customHeight="1">
      <c r="B7245" s="7"/>
      <c r="C7245" s="7"/>
      <c r="D7245" s="7"/>
      <c r="E7245" s="7"/>
      <c r="F7245" s="7"/>
      <c r="G7245" s="7"/>
      <c r="H7245" s="7">
        <f t="shared" si="1"/>
        <v>1029</v>
      </c>
    </row>
    <row r="7246" ht="22.5" customHeight="1">
      <c r="B7246" s="7"/>
      <c r="C7246" s="7"/>
      <c r="D7246" s="7"/>
      <c r="E7246" s="7"/>
      <c r="F7246" s="7"/>
      <c r="G7246" s="7"/>
      <c r="H7246" s="7">
        <f t="shared" si="1"/>
        <v>1029</v>
      </c>
    </row>
    <row r="7247" ht="22.5" customHeight="1">
      <c r="B7247" s="7"/>
      <c r="C7247" s="7"/>
      <c r="D7247" s="7"/>
      <c r="E7247" s="7"/>
      <c r="F7247" s="7"/>
      <c r="G7247" s="7"/>
      <c r="H7247" s="7">
        <f t="shared" si="1"/>
        <v>1029</v>
      </c>
    </row>
    <row r="7248" ht="22.5" customHeight="1">
      <c r="B7248" s="7"/>
      <c r="C7248" s="7"/>
      <c r="D7248" s="7"/>
      <c r="E7248" s="7"/>
      <c r="F7248" s="7"/>
      <c r="G7248" s="7"/>
      <c r="H7248" s="7">
        <f t="shared" si="1"/>
        <v>1029</v>
      </c>
    </row>
    <row r="7249" ht="22.5" customHeight="1">
      <c r="B7249" s="7"/>
      <c r="C7249" s="7"/>
      <c r="D7249" s="7"/>
      <c r="E7249" s="7"/>
      <c r="F7249" s="7"/>
      <c r="G7249" s="7"/>
      <c r="H7249" s="7">
        <f t="shared" si="1"/>
        <v>1029</v>
      </c>
    </row>
    <row r="7250" ht="22.5" customHeight="1">
      <c r="B7250" s="7"/>
      <c r="C7250" s="7"/>
      <c r="D7250" s="7"/>
      <c r="E7250" s="7"/>
      <c r="F7250" s="7"/>
      <c r="G7250" s="7"/>
      <c r="H7250" s="7">
        <f t="shared" si="1"/>
        <v>1029</v>
      </c>
    </row>
    <row r="7251" ht="22.5" customHeight="1">
      <c r="B7251" s="7"/>
      <c r="C7251" s="7"/>
      <c r="D7251" s="7"/>
      <c r="E7251" s="7"/>
      <c r="F7251" s="7"/>
      <c r="G7251" s="7"/>
      <c r="H7251" s="7">
        <f t="shared" si="1"/>
        <v>1029</v>
      </c>
    </row>
    <row r="7252" ht="22.5" customHeight="1">
      <c r="B7252" s="7"/>
      <c r="C7252" s="7"/>
      <c r="D7252" s="7"/>
      <c r="E7252" s="7"/>
      <c r="F7252" s="7"/>
      <c r="G7252" s="7"/>
      <c r="H7252" s="7">
        <f t="shared" si="1"/>
        <v>1029</v>
      </c>
    </row>
    <row r="7253" ht="22.5" customHeight="1">
      <c r="B7253" s="7"/>
      <c r="C7253" s="7"/>
      <c r="D7253" s="7"/>
      <c r="E7253" s="7"/>
      <c r="F7253" s="7"/>
      <c r="G7253" s="7"/>
      <c r="H7253" s="7">
        <f t="shared" si="1"/>
        <v>1029</v>
      </c>
    </row>
    <row r="7254" ht="22.5" customHeight="1">
      <c r="B7254" s="7"/>
      <c r="C7254" s="7"/>
      <c r="D7254" s="7"/>
      <c r="E7254" s="7"/>
      <c r="F7254" s="7"/>
      <c r="G7254" s="7"/>
      <c r="H7254" s="7">
        <f t="shared" si="1"/>
        <v>1029</v>
      </c>
    </row>
    <row r="7255" ht="22.5" customHeight="1">
      <c r="B7255" s="7"/>
      <c r="C7255" s="7"/>
      <c r="D7255" s="7"/>
      <c r="E7255" s="7"/>
      <c r="F7255" s="7"/>
      <c r="G7255" s="7"/>
      <c r="H7255" s="7">
        <f t="shared" si="1"/>
        <v>1029</v>
      </c>
    </row>
    <row r="7256" ht="22.5" customHeight="1">
      <c r="B7256" s="7"/>
      <c r="C7256" s="7"/>
      <c r="D7256" s="7"/>
      <c r="E7256" s="7"/>
      <c r="F7256" s="7"/>
      <c r="G7256" s="7"/>
      <c r="H7256" s="7">
        <f t="shared" si="1"/>
        <v>1029</v>
      </c>
    </row>
    <row r="7257" ht="22.5" customHeight="1">
      <c r="B7257" s="7"/>
      <c r="C7257" s="7"/>
      <c r="D7257" s="7"/>
      <c r="E7257" s="7"/>
      <c r="F7257" s="7"/>
      <c r="G7257" s="7"/>
      <c r="H7257" s="7">
        <f t="shared" si="1"/>
        <v>1029</v>
      </c>
    </row>
    <row r="7258" ht="22.5" customHeight="1">
      <c r="B7258" s="7"/>
      <c r="C7258" s="7"/>
      <c r="D7258" s="7"/>
      <c r="E7258" s="7"/>
      <c r="F7258" s="7"/>
      <c r="G7258" s="7"/>
      <c r="H7258" s="7">
        <f t="shared" si="1"/>
        <v>1029</v>
      </c>
    </row>
    <row r="7259" ht="22.5" customHeight="1">
      <c r="B7259" s="7"/>
      <c r="C7259" s="7"/>
      <c r="D7259" s="7"/>
      <c r="E7259" s="7"/>
      <c r="F7259" s="7"/>
      <c r="G7259" s="7"/>
      <c r="H7259" s="7">
        <f t="shared" si="1"/>
        <v>1029</v>
      </c>
    </row>
    <row r="7260" ht="22.5" customHeight="1">
      <c r="B7260" s="7"/>
      <c r="C7260" s="7"/>
      <c r="D7260" s="7"/>
      <c r="E7260" s="7"/>
      <c r="F7260" s="7"/>
      <c r="G7260" s="7"/>
      <c r="H7260" s="7">
        <f t="shared" si="1"/>
        <v>1029</v>
      </c>
    </row>
    <row r="7261" ht="22.5" customHeight="1">
      <c r="B7261" s="7"/>
      <c r="C7261" s="7"/>
      <c r="D7261" s="7"/>
      <c r="E7261" s="7"/>
      <c r="F7261" s="7"/>
      <c r="G7261" s="7"/>
      <c r="H7261" s="7">
        <f t="shared" si="1"/>
        <v>1029</v>
      </c>
    </row>
    <row r="7262" ht="22.5" customHeight="1">
      <c r="B7262" s="7"/>
      <c r="C7262" s="7"/>
      <c r="D7262" s="7"/>
      <c r="E7262" s="7"/>
      <c r="F7262" s="7"/>
      <c r="G7262" s="7"/>
      <c r="H7262" s="7">
        <f t="shared" si="1"/>
        <v>1029</v>
      </c>
    </row>
    <row r="7263" ht="22.5" customHeight="1">
      <c r="B7263" s="7"/>
      <c r="C7263" s="7"/>
      <c r="D7263" s="7"/>
      <c r="E7263" s="7"/>
      <c r="F7263" s="7"/>
      <c r="G7263" s="7"/>
      <c r="H7263" s="7">
        <f t="shared" si="1"/>
        <v>1029</v>
      </c>
    </row>
    <row r="7264" ht="22.5" customHeight="1">
      <c r="B7264" s="7"/>
      <c r="C7264" s="7"/>
      <c r="D7264" s="7"/>
      <c r="E7264" s="7"/>
      <c r="F7264" s="7"/>
      <c r="G7264" s="7"/>
      <c r="H7264" s="7">
        <f t="shared" si="1"/>
        <v>1029</v>
      </c>
    </row>
    <row r="7265" ht="22.5" customHeight="1">
      <c r="B7265" s="7"/>
      <c r="C7265" s="7"/>
      <c r="D7265" s="7"/>
      <c r="E7265" s="7"/>
      <c r="F7265" s="7"/>
      <c r="G7265" s="7"/>
      <c r="H7265" s="7">
        <f t="shared" si="1"/>
        <v>1029</v>
      </c>
    </row>
    <row r="7266" ht="22.5" customHeight="1">
      <c r="B7266" s="7"/>
      <c r="C7266" s="7"/>
      <c r="D7266" s="7"/>
      <c r="E7266" s="7"/>
      <c r="F7266" s="7"/>
      <c r="G7266" s="7"/>
      <c r="H7266" s="7">
        <f t="shared" si="1"/>
        <v>1029</v>
      </c>
    </row>
    <row r="7267" ht="22.5" customHeight="1">
      <c r="B7267" s="7"/>
      <c r="C7267" s="7"/>
      <c r="D7267" s="7"/>
      <c r="E7267" s="7"/>
      <c r="F7267" s="7"/>
      <c r="G7267" s="7"/>
      <c r="H7267" s="7">
        <f t="shared" si="1"/>
        <v>1029</v>
      </c>
    </row>
    <row r="7268" ht="22.5" customHeight="1">
      <c r="B7268" s="7"/>
      <c r="C7268" s="7"/>
      <c r="D7268" s="7"/>
      <c r="E7268" s="7"/>
      <c r="F7268" s="7"/>
      <c r="G7268" s="7"/>
      <c r="H7268" s="7">
        <f t="shared" si="1"/>
        <v>1029</v>
      </c>
    </row>
    <row r="7269" ht="22.5" customHeight="1">
      <c r="B7269" s="7"/>
      <c r="C7269" s="7"/>
      <c r="D7269" s="7"/>
      <c r="E7269" s="7"/>
      <c r="F7269" s="7"/>
      <c r="G7269" s="7"/>
      <c r="H7269" s="7">
        <f t="shared" si="1"/>
        <v>1029</v>
      </c>
    </row>
    <row r="7270" ht="22.5" customHeight="1">
      <c r="B7270" s="7"/>
      <c r="C7270" s="7"/>
      <c r="D7270" s="7"/>
      <c r="E7270" s="7"/>
      <c r="F7270" s="7"/>
      <c r="G7270" s="7"/>
      <c r="H7270" s="7">
        <f t="shared" si="1"/>
        <v>1029</v>
      </c>
    </row>
    <row r="7271" ht="22.5" customHeight="1">
      <c r="B7271" s="7"/>
      <c r="C7271" s="7"/>
      <c r="D7271" s="7"/>
      <c r="E7271" s="7"/>
      <c r="F7271" s="7"/>
      <c r="G7271" s="7"/>
      <c r="H7271" s="7">
        <f t="shared" si="1"/>
        <v>1029</v>
      </c>
    </row>
    <row r="7272" ht="22.5" customHeight="1">
      <c r="B7272" s="7"/>
      <c r="C7272" s="7"/>
      <c r="D7272" s="7"/>
      <c r="E7272" s="7"/>
      <c r="F7272" s="7"/>
      <c r="G7272" s="7"/>
      <c r="H7272" s="7">
        <f t="shared" si="1"/>
        <v>1029</v>
      </c>
    </row>
    <row r="7273" ht="22.5" customHeight="1">
      <c r="B7273" s="7"/>
      <c r="C7273" s="7"/>
      <c r="D7273" s="7"/>
      <c r="E7273" s="7"/>
      <c r="F7273" s="7"/>
      <c r="G7273" s="7"/>
      <c r="H7273" s="7">
        <f t="shared" si="1"/>
        <v>1029</v>
      </c>
    </row>
    <row r="7274" ht="22.5" customHeight="1">
      <c r="B7274" s="7"/>
      <c r="C7274" s="7"/>
      <c r="D7274" s="7"/>
      <c r="E7274" s="7"/>
      <c r="F7274" s="7"/>
      <c r="G7274" s="7"/>
      <c r="H7274" s="7">
        <f t="shared" si="1"/>
        <v>1029</v>
      </c>
    </row>
    <row r="7275" ht="22.5" customHeight="1">
      <c r="B7275" s="7"/>
      <c r="C7275" s="7"/>
      <c r="D7275" s="7"/>
      <c r="E7275" s="7"/>
      <c r="F7275" s="7"/>
      <c r="G7275" s="7"/>
      <c r="H7275" s="7">
        <f t="shared" si="1"/>
        <v>1029</v>
      </c>
    </row>
    <row r="7276" ht="22.5" customHeight="1">
      <c r="B7276" s="7"/>
      <c r="C7276" s="7"/>
      <c r="D7276" s="7"/>
      <c r="E7276" s="7"/>
      <c r="F7276" s="7"/>
      <c r="G7276" s="7"/>
      <c r="H7276" s="7">
        <f t="shared" si="1"/>
        <v>1029</v>
      </c>
    </row>
    <row r="7277" ht="22.5" customHeight="1">
      <c r="B7277" s="7"/>
      <c r="C7277" s="7"/>
      <c r="D7277" s="7"/>
      <c r="E7277" s="7"/>
      <c r="F7277" s="7"/>
      <c r="G7277" s="7"/>
      <c r="H7277" s="7">
        <f t="shared" si="1"/>
        <v>1029</v>
      </c>
    </row>
    <row r="7278" ht="22.5" customHeight="1">
      <c r="B7278" s="7"/>
      <c r="C7278" s="7"/>
      <c r="D7278" s="7"/>
      <c r="E7278" s="7"/>
      <c r="F7278" s="7"/>
      <c r="G7278" s="7"/>
      <c r="H7278" s="7">
        <f t="shared" si="1"/>
        <v>1029</v>
      </c>
    </row>
    <row r="7279" ht="22.5" customHeight="1">
      <c r="B7279" s="7"/>
      <c r="C7279" s="7"/>
      <c r="D7279" s="7"/>
      <c r="E7279" s="7"/>
      <c r="F7279" s="7"/>
      <c r="G7279" s="7"/>
      <c r="H7279" s="7">
        <f t="shared" si="1"/>
        <v>1029</v>
      </c>
    </row>
    <row r="7280" ht="22.5" customHeight="1">
      <c r="B7280" s="7"/>
      <c r="C7280" s="7"/>
      <c r="D7280" s="7"/>
      <c r="E7280" s="7"/>
      <c r="F7280" s="7"/>
      <c r="G7280" s="7"/>
      <c r="H7280" s="7">
        <f t="shared" si="1"/>
        <v>1029</v>
      </c>
    </row>
    <row r="7281" ht="22.5" customHeight="1">
      <c r="B7281" s="7"/>
      <c r="C7281" s="7"/>
      <c r="D7281" s="7"/>
      <c r="E7281" s="7"/>
      <c r="F7281" s="7"/>
      <c r="G7281" s="7"/>
      <c r="H7281" s="7">
        <f t="shared" si="1"/>
        <v>1029</v>
      </c>
    </row>
    <row r="7282" ht="22.5" customHeight="1">
      <c r="B7282" s="7"/>
      <c r="C7282" s="7"/>
      <c r="D7282" s="7"/>
      <c r="E7282" s="7"/>
      <c r="F7282" s="7"/>
      <c r="G7282" s="7"/>
      <c r="H7282" s="7">
        <f t="shared" si="1"/>
        <v>1029</v>
      </c>
    </row>
    <row r="7283" ht="22.5" customHeight="1">
      <c r="B7283" s="7"/>
      <c r="C7283" s="7"/>
      <c r="D7283" s="7"/>
      <c r="E7283" s="7"/>
      <c r="F7283" s="7"/>
      <c r="G7283" s="7"/>
      <c r="H7283" s="7">
        <f t="shared" si="1"/>
        <v>1029</v>
      </c>
    </row>
    <row r="7284" ht="22.5" customHeight="1">
      <c r="B7284" s="7"/>
      <c r="C7284" s="7"/>
      <c r="D7284" s="7"/>
      <c r="E7284" s="7"/>
      <c r="F7284" s="7"/>
      <c r="G7284" s="7"/>
      <c r="H7284" s="7">
        <f t="shared" si="1"/>
        <v>1029</v>
      </c>
    </row>
    <row r="7285" ht="22.5" customHeight="1">
      <c r="B7285" s="7"/>
      <c r="C7285" s="7"/>
      <c r="D7285" s="7"/>
      <c r="E7285" s="7"/>
      <c r="F7285" s="7"/>
      <c r="G7285" s="7"/>
      <c r="H7285" s="7">
        <f t="shared" si="1"/>
        <v>1029</v>
      </c>
    </row>
    <row r="7286" ht="22.5" customHeight="1">
      <c r="B7286" s="7"/>
      <c r="C7286" s="7"/>
      <c r="D7286" s="7"/>
      <c r="E7286" s="7"/>
      <c r="F7286" s="7"/>
      <c r="G7286" s="7"/>
      <c r="H7286" s="7">
        <f t="shared" si="1"/>
        <v>1029</v>
      </c>
    </row>
    <row r="7287" ht="22.5" customHeight="1">
      <c r="B7287" s="7"/>
      <c r="C7287" s="7"/>
      <c r="D7287" s="7"/>
      <c r="E7287" s="7"/>
      <c r="F7287" s="7"/>
      <c r="G7287" s="7"/>
      <c r="H7287" s="7">
        <f t="shared" si="1"/>
        <v>1029</v>
      </c>
    </row>
    <row r="7288" ht="22.5" customHeight="1">
      <c r="B7288" s="7"/>
      <c r="C7288" s="7"/>
      <c r="D7288" s="7"/>
      <c r="E7288" s="7"/>
      <c r="F7288" s="7"/>
      <c r="G7288" s="7"/>
      <c r="H7288" s="7">
        <f t="shared" si="1"/>
        <v>1029</v>
      </c>
    </row>
    <row r="7289" ht="22.5" customHeight="1">
      <c r="B7289" s="7"/>
      <c r="C7289" s="7"/>
      <c r="D7289" s="7"/>
      <c r="E7289" s="7"/>
      <c r="F7289" s="7"/>
      <c r="G7289" s="7"/>
      <c r="H7289" s="7">
        <f t="shared" si="1"/>
        <v>1029</v>
      </c>
    </row>
    <row r="7290" ht="22.5" customHeight="1">
      <c r="B7290" s="7"/>
      <c r="C7290" s="7"/>
      <c r="D7290" s="7"/>
      <c r="E7290" s="7"/>
      <c r="F7290" s="7"/>
      <c r="G7290" s="7"/>
      <c r="H7290" s="7">
        <f t="shared" si="1"/>
        <v>1029</v>
      </c>
    </row>
    <row r="7291" ht="22.5" customHeight="1">
      <c r="B7291" s="7"/>
      <c r="C7291" s="7"/>
      <c r="D7291" s="7"/>
      <c r="E7291" s="7"/>
      <c r="F7291" s="7"/>
      <c r="G7291" s="7"/>
      <c r="H7291" s="7">
        <f t="shared" si="1"/>
        <v>1029</v>
      </c>
    </row>
    <row r="7292" ht="22.5" customHeight="1">
      <c r="B7292" s="7"/>
      <c r="C7292" s="7"/>
      <c r="D7292" s="7"/>
      <c r="E7292" s="7"/>
      <c r="F7292" s="7"/>
      <c r="G7292" s="7"/>
      <c r="H7292" s="7">
        <f t="shared" si="1"/>
        <v>1029</v>
      </c>
    </row>
    <row r="7293" ht="22.5" customHeight="1">
      <c r="B7293" s="7"/>
      <c r="C7293" s="7"/>
      <c r="D7293" s="7"/>
      <c r="E7293" s="7"/>
      <c r="F7293" s="7"/>
      <c r="G7293" s="7"/>
      <c r="H7293" s="7">
        <f t="shared" si="1"/>
        <v>1029</v>
      </c>
    </row>
    <row r="7294" ht="22.5" customHeight="1">
      <c r="B7294" s="7"/>
      <c r="C7294" s="7"/>
      <c r="D7294" s="7"/>
      <c r="E7294" s="7"/>
      <c r="F7294" s="7"/>
      <c r="G7294" s="7"/>
      <c r="H7294" s="7">
        <f t="shared" si="1"/>
        <v>1029</v>
      </c>
    </row>
    <row r="7295" ht="22.5" customHeight="1">
      <c r="B7295" s="7"/>
      <c r="C7295" s="7"/>
      <c r="D7295" s="7"/>
      <c r="E7295" s="7"/>
      <c r="F7295" s="7"/>
      <c r="G7295" s="7"/>
      <c r="H7295" s="7">
        <f t="shared" si="1"/>
        <v>1029</v>
      </c>
    </row>
    <row r="7296" ht="22.5" customHeight="1">
      <c r="B7296" s="7"/>
      <c r="C7296" s="7"/>
      <c r="D7296" s="7"/>
      <c r="E7296" s="7"/>
      <c r="F7296" s="7"/>
      <c r="G7296" s="7"/>
      <c r="H7296" s="7">
        <f t="shared" si="1"/>
        <v>1029</v>
      </c>
    </row>
    <row r="7297" ht="22.5" customHeight="1">
      <c r="B7297" s="7"/>
      <c r="C7297" s="7"/>
      <c r="D7297" s="7"/>
      <c r="E7297" s="7"/>
      <c r="F7297" s="7"/>
      <c r="G7297" s="7"/>
      <c r="H7297" s="7">
        <f t="shared" si="1"/>
        <v>1029</v>
      </c>
    </row>
    <row r="7298" ht="22.5" customHeight="1">
      <c r="B7298" s="7"/>
      <c r="C7298" s="7"/>
      <c r="D7298" s="7"/>
      <c r="E7298" s="7"/>
      <c r="F7298" s="7"/>
      <c r="G7298" s="7"/>
      <c r="H7298" s="7">
        <f t="shared" si="1"/>
        <v>1029</v>
      </c>
    </row>
    <row r="7299" ht="22.5" customHeight="1">
      <c r="B7299" s="7"/>
      <c r="C7299" s="7"/>
      <c r="D7299" s="7"/>
      <c r="E7299" s="7"/>
      <c r="F7299" s="7"/>
      <c r="G7299" s="7"/>
      <c r="H7299" s="7">
        <f t="shared" si="1"/>
        <v>1029</v>
      </c>
    </row>
    <row r="7300" ht="22.5" customHeight="1">
      <c r="B7300" s="7"/>
      <c r="C7300" s="7"/>
      <c r="D7300" s="7"/>
      <c r="E7300" s="7"/>
      <c r="F7300" s="7"/>
      <c r="G7300" s="7"/>
      <c r="H7300" s="7">
        <f t="shared" si="1"/>
        <v>1029</v>
      </c>
    </row>
    <row r="7301" ht="22.5" customHeight="1">
      <c r="B7301" s="7"/>
      <c r="C7301" s="7"/>
      <c r="D7301" s="7"/>
      <c r="E7301" s="7"/>
      <c r="F7301" s="7"/>
      <c r="G7301" s="7"/>
      <c r="H7301" s="7">
        <f t="shared" si="1"/>
        <v>1029</v>
      </c>
    </row>
    <row r="7302" ht="22.5" customHeight="1">
      <c r="B7302" s="7"/>
      <c r="C7302" s="7"/>
      <c r="D7302" s="7"/>
      <c r="E7302" s="7"/>
      <c r="F7302" s="7"/>
      <c r="G7302" s="7"/>
      <c r="H7302" s="7">
        <f t="shared" si="1"/>
        <v>1029</v>
      </c>
    </row>
    <row r="7303" ht="22.5" customHeight="1">
      <c r="B7303" s="7"/>
      <c r="C7303" s="7"/>
      <c r="D7303" s="7"/>
      <c r="E7303" s="7"/>
      <c r="F7303" s="7"/>
      <c r="G7303" s="7"/>
      <c r="H7303" s="7">
        <f t="shared" si="1"/>
        <v>1029</v>
      </c>
    </row>
    <row r="7304" ht="22.5" customHeight="1">
      <c r="B7304" s="7"/>
      <c r="C7304" s="7"/>
      <c r="D7304" s="7"/>
      <c r="E7304" s="7"/>
      <c r="F7304" s="7"/>
      <c r="G7304" s="7"/>
      <c r="H7304" s="7">
        <f t="shared" si="1"/>
        <v>1029</v>
      </c>
    </row>
    <row r="7305" ht="22.5" customHeight="1">
      <c r="B7305" s="7"/>
      <c r="C7305" s="7"/>
      <c r="D7305" s="7"/>
      <c r="E7305" s="7"/>
      <c r="F7305" s="7"/>
      <c r="G7305" s="7"/>
      <c r="H7305" s="7">
        <f t="shared" si="1"/>
        <v>1029</v>
      </c>
    </row>
    <row r="7306" ht="22.5" customHeight="1">
      <c r="B7306" s="7"/>
      <c r="C7306" s="7"/>
      <c r="D7306" s="7"/>
      <c r="E7306" s="7"/>
      <c r="F7306" s="7"/>
      <c r="G7306" s="7"/>
      <c r="H7306" s="7">
        <f t="shared" si="1"/>
        <v>1029</v>
      </c>
    </row>
    <row r="7307" ht="22.5" customHeight="1">
      <c r="B7307" s="7"/>
      <c r="C7307" s="7"/>
      <c r="D7307" s="7"/>
      <c r="E7307" s="7"/>
      <c r="F7307" s="7"/>
      <c r="G7307" s="7"/>
      <c r="H7307" s="7">
        <f t="shared" si="1"/>
        <v>1029</v>
      </c>
    </row>
    <row r="7308" ht="22.5" customHeight="1">
      <c r="B7308" s="7"/>
      <c r="C7308" s="7"/>
      <c r="D7308" s="7"/>
      <c r="E7308" s="7"/>
      <c r="F7308" s="7"/>
      <c r="G7308" s="7"/>
      <c r="H7308" s="7">
        <f t="shared" si="1"/>
        <v>1029</v>
      </c>
    </row>
    <row r="7309" ht="22.5" customHeight="1">
      <c r="B7309" s="7"/>
      <c r="C7309" s="7"/>
      <c r="D7309" s="7"/>
      <c r="E7309" s="7"/>
      <c r="F7309" s="7"/>
      <c r="G7309" s="7"/>
      <c r="H7309" s="7">
        <f t="shared" si="1"/>
        <v>1029</v>
      </c>
    </row>
    <row r="7310" ht="22.5" customHeight="1">
      <c r="B7310" s="7"/>
      <c r="C7310" s="7"/>
      <c r="D7310" s="7"/>
      <c r="E7310" s="7"/>
      <c r="F7310" s="7"/>
      <c r="G7310" s="7"/>
      <c r="H7310" s="7">
        <f t="shared" si="1"/>
        <v>1029</v>
      </c>
    </row>
    <row r="7311" ht="22.5" customHeight="1">
      <c r="B7311" s="7"/>
      <c r="C7311" s="7"/>
      <c r="D7311" s="7"/>
      <c r="E7311" s="7"/>
      <c r="F7311" s="7"/>
      <c r="G7311" s="7"/>
      <c r="H7311" s="7">
        <f t="shared" si="1"/>
        <v>1029</v>
      </c>
    </row>
    <row r="7312" ht="22.5" customHeight="1">
      <c r="B7312" s="7"/>
      <c r="C7312" s="7"/>
      <c r="D7312" s="7"/>
      <c r="E7312" s="7"/>
      <c r="F7312" s="7"/>
      <c r="G7312" s="7"/>
      <c r="H7312" s="7">
        <f t="shared" si="1"/>
        <v>1029</v>
      </c>
    </row>
    <row r="7313" ht="22.5" customHeight="1">
      <c r="B7313" s="7"/>
      <c r="C7313" s="7"/>
      <c r="D7313" s="7"/>
      <c r="E7313" s="7"/>
      <c r="F7313" s="7"/>
      <c r="G7313" s="7"/>
      <c r="H7313" s="7">
        <f t="shared" si="1"/>
        <v>1029</v>
      </c>
    </row>
    <row r="7314" ht="22.5" customHeight="1">
      <c r="B7314" s="7"/>
      <c r="C7314" s="7"/>
      <c r="D7314" s="7"/>
      <c r="E7314" s="7"/>
      <c r="F7314" s="7"/>
      <c r="G7314" s="7"/>
      <c r="H7314" s="7">
        <f t="shared" si="1"/>
        <v>1029</v>
      </c>
    </row>
    <row r="7315" ht="22.5" customHeight="1">
      <c r="B7315" s="7"/>
      <c r="C7315" s="7"/>
      <c r="D7315" s="7"/>
      <c r="E7315" s="7"/>
      <c r="F7315" s="7"/>
      <c r="G7315" s="7"/>
      <c r="H7315" s="7">
        <f t="shared" si="1"/>
        <v>1029</v>
      </c>
    </row>
    <row r="7316" ht="22.5" customHeight="1">
      <c r="B7316" s="7"/>
      <c r="C7316" s="7"/>
      <c r="D7316" s="7"/>
      <c r="E7316" s="7"/>
      <c r="F7316" s="7"/>
      <c r="G7316" s="7"/>
      <c r="H7316" s="7">
        <f t="shared" si="1"/>
        <v>1029</v>
      </c>
    </row>
    <row r="7317" ht="22.5" customHeight="1">
      <c r="B7317" s="7"/>
      <c r="C7317" s="7"/>
      <c r="D7317" s="7"/>
      <c r="E7317" s="7"/>
      <c r="F7317" s="7"/>
      <c r="G7317" s="7"/>
      <c r="H7317" s="7">
        <f t="shared" si="1"/>
        <v>1029</v>
      </c>
    </row>
    <row r="7318" ht="22.5" customHeight="1">
      <c r="B7318" s="7"/>
      <c r="C7318" s="7"/>
      <c r="D7318" s="7"/>
      <c r="E7318" s="7"/>
      <c r="F7318" s="7"/>
      <c r="G7318" s="7"/>
      <c r="H7318" s="7">
        <f t="shared" si="1"/>
        <v>1029</v>
      </c>
    </row>
    <row r="7319" ht="22.5" customHeight="1">
      <c r="B7319" s="7"/>
      <c r="C7319" s="7"/>
      <c r="D7319" s="7"/>
      <c r="E7319" s="7"/>
      <c r="F7319" s="7"/>
      <c r="G7319" s="7"/>
      <c r="H7319" s="7">
        <f t="shared" si="1"/>
        <v>1029</v>
      </c>
    </row>
    <row r="7320" ht="22.5" customHeight="1">
      <c r="B7320" s="7"/>
      <c r="C7320" s="7"/>
      <c r="D7320" s="7"/>
      <c r="E7320" s="7"/>
      <c r="F7320" s="7"/>
      <c r="G7320" s="7"/>
      <c r="H7320" s="7">
        <f t="shared" si="1"/>
        <v>1029</v>
      </c>
    </row>
    <row r="7321" ht="22.5" customHeight="1">
      <c r="B7321" s="7"/>
      <c r="C7321" s="7"/>
      <c r="D7321" s="7"/>
      <c r="E7321" s="7"/>
      <c r="F7321" s="7"/>
      <c r="G7321" s="7"/>
      <c r="H7321" s="7">
        <f t="shared" si="1"/>
        <v>1029</v>
      </c>
    </row>
    <row r="7322" ht="22.5" customHeight="1">
      <c r="B7322" s="7"/>
      <c r="C7322" s="7"/>
      <c r="D7322" s="7"/>
      <c r="E7322" s="7"/>
      <c r="F7322" s="7"/>
      <c r="G7322" s="7"/>
      <c r="H7322" s="7">
        <f t="shared" si="1"/>
        <v>1029</v>
      </c>
    </row>
    <row r="7323" ht="22.5" customHeight="1">
      <c r="B7323" s="7"/>
      <c r="C7323" s="7"/>
      <c r="D7323" s="7"/>
      <c r="E7323" s="7"/>
      <c r="F7323" s="7"/>
      <c r="G7323" s="7"/>
      <c r="H7323" s="7">
        <f t="shared" si="1"/>
        <v>1029</v>
      </c>
    </row>
    <row r="7324" ht="22.5" customHeight="1">
      <c r="B7324" s="7"/>
      <c r="C7324" s="7"/>
      <c r="D7324" s="7"/>
      <c r="E7324" s="7"/>
      <c r="F7324" s="7"/>
      <c r="G7324" s="7"/>
      <c r="H7324" s="7">
        <f t="shared" si="1"/>
        <v>1029</v>
      </c>
    </row>
    <row r="7325" ht="22.5" customHeight="1">
      <c r="B7325" s="7"/>
      <c r="C7325" s="7"/>
      <c r="D7325" s="7"/>
      <c r="E7325" s="7"/>
      <c r="F7325" s="7"/>
      <c r="G7325" s="7"/>
      <c r="H7325" s="7">
        <f t="shared" si="1"/>
        <v>1029</v>
      </c>
    </row>
    <row r="7326" ht="22.5" customHeight="1">
      <c r="B7326" s="7"/>
      <c r="C7326" s="7"/>
      <c r="D7326" s="7"/>
      <c r="E7326" s="7"/>
      <c r="F7326" s="7"/>
      <c r="G7326" s="7"/>
      <c r="H7326" s="7">
        <f t="shared" si="1"/>
        <v>1029</v>
      </c>
    </row>
    <row r="7327" ht="22.5" customHeight="1">
      <c r="B7327" s="7"/>
      <c r="C7327" s="7"/>
      <c r="D7327" s="7"/>
      <c r="E7327" s="7"/>
      <c r="F7327" s="7"/>
      <c r="G7327" s="7"/>
      <c r="H7327" s="7">
        <f t="shared" si="1"/>
        <v>1029</v>
      </c>
    </row>
    <row r="7328" ht="22.5" customHeight="1">
      <c r="B7328" s="7"/>
      <c r="C7328" s="7"/>
      <c r="D7328" s="7"/>
      <c r="E7328" s="7"/>
      <c r="F7328" s="7"/>
      <c r="G7328" s="7"/>
      <c r="H7328" s="7">
        <f t="shared" si="1"/>
        <v>1029</v>
      </c>
    </row>
    <row r="7329" ht="22.5" customHeight="1">
      <c r="B7329" s="7"/>
      <c r="C7329" s="7"/>
      <c r="D7329" s="7"/>
      <c r="E7329" s="7"/>
      <c r="F7329" s="7"/>
      <c r="G7329" s="7"/>
      <c r="H7329" s="7">
        <f t="shared" si="1"/>
        <v>1029</v>
      </c>
    </row>
    <row r="7330" ht="22.5" customHeight="1">
      <c r="B7330" s="7"/>
      <c r="C7330" s="7"/>
      <c r="D7330" s="7"/>
      <c r="E7330" s="7"/>
      <c r="F7330" s="7"/>
      <c r="G7330" s="7"/>
      <c r="H7330" s="7">
        <f t="shared" si="1"/>
        <v>1029</v>
      </c>
    </row>
    <row r="7331" ht="22.5" customHeight="1">
      <c r="B7331" s="7"/>
      <c r="C7331" s="7"/>
      <c r="D7331" s="7"/>
      <c r="E7331" s="7"/>
      <c r="F7331" s="7"/>
      <c r="G7331" s="7"/>
      <c r="H7331" s="7">
        <f t="shared" si="1"/>
        <v>1029</v>
      </c>
    </row>
    <row r="7332" ht="22.5" customHeight="1">
      <c r="B7332" s="7"/>
      <c r="C7332" s="7"/>
      <c r="D7332" s="7"/>
      <c r="E7332" s="7"/>
      <c r="F7332" s="7"/>
      <c r="G7332" s="7"/>
      <c r="H7332" s="7">
        <f t="shared" si="1"/>
        <v>1029</v>
      </c>
    </row>
    <row r="7333" ht="22.5" customHeight="1">
      <c r="B7333" s="7"/>
      <c r="C7333" s="7"/>
      <c r="D7333" s="7"/>
      <c r="E7333" s="7"/>
      <c r="F7333" s="7"/>
      <c r="G7333" s="7"/>
      <c r="H7333" s="7">
        <f t="shared" si="1"/>
        <v>1029</v>
      </c>
    </row>
    <row r="7334" ht="22.5" customHeight="1">
      <c r="B7334" s="7"/>
      <c r="C7334" s="7"/>
      <c r="D7334" s="7"/>
      <c r="E7334" s="7"/>
      <c r="F7334" s="7"/>
      <c r="G7334" s="7"/>
      <c r="H7334" s="7">
        <f t="shared" si="1"/>
        <v>1029</v>
      </c>
    </row>
    <row r="7335" ht="22.5" customHeight="1">
      <c r="B7335" s="7"/>
      <c r="C7335" s="7"/>
      <c r="D7335" s="7"/>
      <c r="E7335" s="7"/>
      <c r="F7335" s="7"/>
      <c r="G7335" s="7"/>
      <c r="H7335" s="7">
        <f t="shared" si="1"/>
        <v>1029</v>
      </c>
    </row>
    <row r="7336" ht="22.5" customHeight="1">
      <c r="B7336" s="7"/>
      <c r="C7336" s="7"/>
      <c r="D7336" s="7"/>
      <c r="E7336" s="7"/>
      <c r="F7336" s="7"/>
      <c r="G7336" s="7"/>
      <c r="H7336" s="7">
        <f t="shared" si="1"/>
        <v>1029</v>
      </c>
    </row>
    <row r="7337" ht="22.5" customHeight="1">
      <c r="B7337" s="7"/>
      <c r="C7337" s="7"/>
      <c r="D7337" s="7"/>
      <c r="E7337" s="7"/>
      <c r="F7337" s="7"/>
      <c r="G7337" s="7"/>
      <c r="H7337" s="7">
        <f t="shared" si="1"/>
        <v>1029</v>
      </c>
    </row>
    <row r="7338" ht="22.5" customHeight="1">
      <c r="B7338" s="7"/>
      <c r="C7338" s="7"/>
      <c r="D7338" s="7"/>
      <c r="E7338" s="7"/>
      <c r="F7338" s="7"/>
      <c r="G7338" s="7"/>
      <c r="H7338" s="7">
        <f t="shared" si="1"/>
        <v>1029</v>
      </c>
    </row>
    <row r="7339" ht="22.5" customHeight="1">
      <c r="B7339" s="7"/>
      <c r="C7339" s="7"/>
      <c r="D7339" s="7"/>
      <c r="E7339" s="7"/>
      <c r="F7339" s="7"/>
      <c r="G7339" s="7"/>
      <c r="H7339" s="7">
        <f t="shared" si="1"/>
        <v>1029</v>
      </c>
    </row>
    <row r="7340" ht="22.5" customHeight="1">
      <c r="B7340" s="7"/>
      <c r="C7340" s="7"/>
      <c r="D7340" s="7"/>
      <c r="E7340" s="7"/>
      <c r="F7340" s="7"/>
      <c r="G7340" s="7"/>
      <c r="H7340" s="7">
        <f t="shared" si="1"/>
        <v>1029</v>
      </c>
    </row>
    <row r="7341" ht="22.5" customHeight="1">
      <c r="B7341" s="7"/>
      <c r="C7341" s="7"/>
      <c r="D7341" s="7"/>
      <c r="E7341" s="7"/>
      <c r="F7341" s="7"/>
      <c r="G7341" s="7"/>
      <c r="H7341" s="7">
        <f t="shared" si="1"/>
        <v>1029</v>
      </c>
    </row>
    <row r="7342" ht="22.5" customHeight="1">
      <c r="B7342" s="7"/>
      <c r="C7342" s="7"/>
      <c r="D7342" s="7"/>
      <c r="E7342" s="7"/>
      <c r="F7342" s="7"/>
      <c r="G7342" s="7"/>
      <c r="H7342" s="7">
        <f t="shared" si="1"/>
        <v>1029</v>
      </c>
    </row>
    <row r="7343" ht="22.5" customHeight="1">
      <c r="B7343" s="7"/>
      <c r="C7343" s="7"/>
      <c r="D7343" s="7"/>
      <c r="E7343" s="7"/>
      <c r="F7343" s="7"/>
      <c r="G7343" s="7"/>
      <c r="H7343" s="7">
        <f t="shared" si="1"/>
        <v>1029</v>
      </c>
    </row>
    <row r="7344" ht="22.5" customHeight="1">
      <c r="B7344" s="7"/>
      <c r="C7344" s="7"/>
      <c r="D7344" s="7"/>
      <c r="E7344" s="7"/>
      <c r="F7344" s="7"/>
      <c r="G7344" s="7"/>
      <c r="H7344" s="7">
        <f t="shared" si="1"/>
        <v>1029</v>
      </c>
    </row>
    <row r="7345" ht="22.5" customHeight="1">
      <c r="B7345" s="7"/>
      <c r="C7345" s="7"/>
      <c r="D7345" s="7"/>
      <c r="E7345" s="7"/>
      <c r="F7345" s="7"/>
      <c r="G7345" s="7"/>
      <c r="H7345" s="7">
        <f t="shared" si="1"/>
        <v>1029</v>
      </c>
    </row>
    <row r="7346" ht="22.5" customHeight="1">
      <c r="B7346" s="7"/>
      <c r="C7346" s="7"/>
      <c r="D7346" s="7"/>
      <c r="E7346" s="7"/>
      <c r="F7346" s="7"/>
      <c r="G7346" s="7"/>
      <c r="H7346" s="7">
        <f t="shared" si="1"/>
        <v>1029</v>
      </c>
    </row>
    <row r="7347" ht="22.5" customHeight="1">
      <c r="B7347" s="7"/>
      <c r="C7347" s="7"/>
      <c r="D7347" s="7"/>
      <c r="E7347" s="7"/>
      <c r="F7347" s="7"/>
      <c r="G7347" s="7"/>
      <c r="H7347" s="7">
        <f t="shared" si="1"/>
        <v>1029</v>
      </c>
    </row>
    <row r="7348" ht="22.5" customHeight="1">
      <c r="B7348" s="7"/>
      <c r="C7348" s="7"/>
      <c r="D7348" s="7"/>
      <c r="E7348" s="7"/>
      <c r="F7348" s="7"/>
      <c r="G7348" s="7"/>
      <c r="H7348" s="7">
        <f t="shared" si="1"/>
        <v>1029</v>
      </c>
    </row>
    <row r="7349" ht="22.5" customHeight="1">
      <c r="B7349" s="7"/>
      <c r="C7349" s="7"/>
      <c r="D7349" s="7"/>
      <c r="E7349" s="7"/>
      <c r="F7349" s="7"/>
      <c r="G7349" s="7"/>
      <c r="H7349" s="7">
        <f t="shared" si="1"/>
        <v>1029</v>
      </c>
    </row>
    <row r="7350" ht="22.5" customHeight="1">
      <c r="B7350" s="7"/>
      <c r="C7350" s="7"/>
      <c r="D7350" s="7"/>
      <c r="E7350" s="7"/>
      <c r="F7350" s="7"/>
      <c r="G7350" s="7"/>
      <c r="H7350" s="7">
        <f t="shared" si="1"/>
        <v>1029</v>
      </c>
    </row>
    <row r="7351" ht="22.5" customHeight="1">
      <c r="B7351" s="7"/>
      <c r="C7351" s="7"/>
      <c r="D7351" s="7"/>
      <c r="E7351" s="7"/>
      <c r="F7351" s="7"/>
      <c r="G7351" s="7"/>
      <c r="H7351" s="7">
        <f t="shared" si="1"/>
        <v>1029</v>
      </c>
    </row>
    <row r="7352" ht="22.5" customHeight="1">
      <c r="B7352" s="7"/>
      <c r="C7352" s="7"/>
      <c r="D7352" s="7"/>
      <c r="E7352" s="7"/>
      <c r="F7352" s="7"/>
      <c r="G7352" s="7"/>
      <c r="H7352" s="7">
        <f t="shared" si="1"/>
        <v>1029</v>
      </c>
    </row>
    <row r="7353" ht="22.5" customHeight="1">
      <c r="B7353" s="7"/>
      <c r="C7353" s="7"/>
      <c r="D7353" s="7"/>
      <c r="E7353" s="7"/>
      <c r="F7353" s="7"/>
      <c r="G7353" s="7"/>
      <c r="H7353" s="7">
        <f t="shared" si="1"/>
        <v>1029</v>
      </c>
    </row>
    <row r="7354" ht="22.5" customHeight="1">
      <c r="B7354" s="7"/>
      <c r="C7354" s="7"/>
      <c r="D7354" s="7"/>
      <c r="E7354" s="7"/>
      <c r="F7354" s="7"/>
      <c r="G7354" s="7"/>
      <c r="H7354" s="7">
        <f t="shared" si="1"/>
        <v>1029</v>
      </c>
    </row>
    <row r="7355" ht="22.5" customHeight="1">
      <c r="B7355" s="7"/>
      <c r="C7355" s="7"/>
      <c r="D7355" s="7"/>
      <c r="E7355" s="7"/>
      <c r="F7355" s="7"/>
      <c r="G7355" s="7"/>
      <c r="H7355" s="7">
        <f t="shared" si="1"/>
        <v>1029</v>
      </c>
    </row>
    <row r="7356" ht="22.5" customHeight="1">
      <c r="B7356" s="7"/>
      <c r="C7356" s="7"/>
      <c r="D7356" s="7"/>
      <c r="E7356" s="7"/>
      <c r="F7356" s="7"/>
      <c r="G7356" s="7"/>
      <c r="H7356" s="7">
        <f t="shared" si="1"/>
        <v>1029</v>
      </c>
    </row>
    <row r="7357" ht="22.5" customHeight="1">
      <c r="B7357" s="7"/>
      <c r="C7357" s="7"/>
      <c r="D7357" s="7"/>
      <c r="E7357" s="7"/>
      <c r="F7357" s="7"/>
      <c r="G7357" s="7"/>
      <c r="H7357" s="7">
        <f t="shared" si="1"/>
        <v>1029</v>
      </c>
    </row>
    <row r="7358" ht="22.5" customHeight="1">
      <c r="B7358" s="7"/>
      <c r="C7358" s="7"/>
      <c r="D7358" s="7"/>
      <c r="E7358" s="7"/>
      <c r="F7358" s="7"/>
      <c r="G7358" s="7"/>
      <c r="H7358" s="7">
        <f t="shared" si="1"/>
        <v>1029</v>
      </c>
    </row>
    <row r="7359" ht="22.5" customHeight="1">
      <c r="B7359" s="7"/>
      <c r="C7359" s="7"/>
      <c r="D7359" s="7"/>
      <c r="E7359" s="7"/>
      <c r="F7359" s="7"/>
      <c r="G7359" s="7"/>
      <c r="H7359" s="7">
        <f t="shared" si="1"/>
        <v>1029</v>
      </c>
    </row>
    <row r="7360" ht="22.5" customHeight="1">
      <c r="B7360" s="7"/>
      <c r="C7360" s="7"/>
      <c r="D7360" s="7"/>
      <c r="E7360" s="7"/>
      <c r="F7360" s="7"/>
      <c r="G7360" s="7"/>
      <c r="H7360" s="7">
        <f t="shared" si="1"/>
        <v>1029</v>
      </c>
    </row>
    <row r="7361" ht="22.5" customHeight="1">
      <c r="B7361" s="7"/>
      <c r="C7361" s="7"/>
      <c r="D7361" s="7"/>
      <c r="E7361" s="7"/>
      <c r="F7361" s="7"/>
      <c r="G7361" s="7"/>
      <c r="H7361" s="7">
        <f t="shared" si="1"/>
        <v>1029</v>
      </c>
    </row>
    <row r="7362" ht="22.5" customHeight="1">
      <c r="B7362" s="7"/>
      <c r="C7362" s="7"/>
      <c r="D7362" s="7"/>
      <c r="E7362" s="7"/>
      <c r="F7362" s="7"/>
      <c r="G7362" s="7"/>
      <c r="H7362" s="7">
        <f t="shared" si="1"/>
        <v>1029</v>
      </c>
    </row>
    <row r="7363" ht="22.5" customHeight="1">
      <c r="B7363" s="7"/>
      <c r="C7363" s="7"/>
      <c r="D7363" s="7"/>
      <c r="E7363" s="7"/>
      <c r="F7363" s="7"/>
      <c r="G7363" s="7"/>
      <c r="H7363" s="7">
        <f t="shared" si="1"/>
        <v>1029</v>
      </c>
    </row>
    <row r="7364" ht="22.5" customHeight="1">
      <c r="B7364" s="7"/>
      <c r="C7364" s="7"/>
      <c r="D7364" s="7"/>
      <c r="E7364" s="7"/>
      <c r="F7364" s="7"/>
      <c r="G7364" s="7"/>
      <c r="H7364" s="7">
        <f t="shared" si="1"/>
        <v>1029</v>
      </c>
    </row>
    <row r="7365" ht="22.5" customHeight="1">
      <c r="B7365" s="7"/>
      <c r="C7365" s="7"/>
      <c r="D7365" s="7"/>
      <c r="E7365" s="7"/>
      <c r="F7365" s="7"/>
      <c r="G7365" s="7"/>
      <c r="H7365" s="7">
        <f t="shared" si="1"/>
        <v>1029</v>
      </c>
    </row>
    <row r="7366" ht="22.5" customHeight="1">
      <c r="B7366" s="7"/>
      <c r="C7366" s="7"/>
      <c r="D7366" s="7"/>
      <c r="E7366" s="7"/>
      <c r="F7366" s="7"/>
      <c r="G7366" s="7"/>
      <c r="H7366" s="7">
        <f t="shared" si="1"/>
        <v>1029</v>
      </c>
    </row>
    <row r="7367" ht="22.5" customHeight="1">
      <c r="B7367" s="7"/>
      <c r="C7367" s="7"/>
      <c r="D7367" s="7"/>
      <c r="E7367" s="7"/>
      <c r="F7367" s="7"/>
      <c r="G7367" s="7"/>
      <c r="H7367" s="7">
        <f t="shared" si="1"/>
        <v>1029</v>
      </c>
    </row>
    <row r="7368" ht="22.5" customHeight="1">
      <c r="B7368" s="7"/>
      <c r="C7368" s="7"/>
      <c r="D7368" s="7"/>
      <c r="E7368" s="7"/>
      <c r="F7368" s="7"/>
      <c r="G7368" s="7"/>
      <c r="H7368" s="7">
        <f t="shared" si="1"/>
        <v>1029</v>
      </c>
    </row>
    <row r="7369" ht="22.5" customHeight="1">
      <c r="B7369" s="7"/>
      <c r="C7369" s="7"/>
      <c r="D7369" s="7"/>
      <c r="E7369" s="7"/>
      <c r="F7369" s="7"/>
      <c r="G7369" s="7"/>
      <c r="H7369" s="7">
        <f t="shared" si="1"/>
        <v>1029</v>
      </c>
    </row>
    <row r="7370" ht="22.5" customHeight="1">
      <c r="B7370" s="7"/>
      <c r="C7370" s="7"/>
      <c r="D7370" s="7"/>
      <c r="E7370" s="7"/>
      <c r="F7370" s="7"/>
      <c r="G7370" s="7"/>
      <c r="H7370" s="7">
        <f t="shared" si="1"/>
        <v>1029</v>
      </c>
    </row>
    <row r="7371" ht="22.5" customHeight="1">
      <c r="B7371" s="7"/>
      <c r="C7371" s="7"/>
      <c r="D7371" s="7"/>
      <c r="E7371" s="7"/>
      <c r="F7371" s="7"/>
      <c r="G7371" s="7"/>
      <c r="H7371" s="7">
        <f t="shared" si="1"/>
        <v>1029</v>
      </c>
    </row>
    <row r="7372" ht="22.5" customHeight="1">
      <c r="B7372" s="7"/>
      <c r="C7372" s="7"/>
      <c r="D7372" s="7"/>
      <c r="E7372" s="7"/>
      <c r="F7372" s="7"/>
      <c r="G7372" s="7"/>
      <c r="H7372" s="7">
        <f t="shared" si="1"/>
        <v>1029</v>
      </c>
    </row>
    <row r="7373" ht="22.5" customHeight="1">
      <c r="B7373" s="7"/>
      <c r="C7373" s="7"/>
      <c r="D7373" s="7"/>
      <c r="E7373" s="7"/>
      <c r="F7373" s="7"/>
      <c r="G7373" s="7"/>
      <c r="H7373" s="7">
        <f t="shared" si="1"/>
        <v>1029</v>
      </c>
    </row>
    <row r="7374" ht="22.5" customHeight="1">
      <c r="B7374" s="7"/>
      <c r="C7374" s="7"/>
      <c r="D7374" s="7"/>
      <c r="E7374" s="7"/>
      <c r="F7374" s="7"/>
      <c r="G7374" s="7"/>
      <c r="H7374" s="7">
        <f t="shared" si="1"/>
        <v>1029</v>
      </c>
    </row>
    <row r="7375" ht="22.5" customHeight="1">
      <c r="B7375" s="7"/>
      <c r="C7375" s="7"/>
      <c r="D7375" s="7"/>
      <c r="E7375" s="7"/>
      <c r="F7375" s="7"/>
      <c r="G7375" s="7"/>
      <c r="H7375" s="7">
        <f t="shared" si="1"/>
        <v>1029</v>
      </c>
    </row>
    <row r="7376" ht="22.5" customHeight="1">
      <c r="B7376" s="7"/>
      <c r="C7376" s="7"/>
      <c r="D7376" s="7"/>
      <c r="E7376" s="7"/>
      <c r="F7376" s="7"/>
      <c r="G7376" s="7"/>
      <c r="H7376" s="7">
        <f t="shared" si="1"/>
        <v>1029</v>
      </c>
    </row>
    <row r="7377" ht="22.5" customHeight="1">
      <c r="B7377" s="7"/>
      <c r="C7377" s="7"/>
      <c r="D7377" s="7"/>
      <c r="E7377" s="7"/>
      <c r="F7377" s="7"/>
      <c r="G7377" s="7"/>
      <c r="H7377" s="7">
        <f t="shared" si="1"/>
        <v>1029</v>
      </c>
    </row>
    <row r="7378" ht="22.5" customHeight="1">
      <c r="B7378" s="7"/>
      <c r="C7378" s="7"/>
      <c r="D7378" s="7"/>
      <c r="E7378" s="7"/>
      <c r="F7378" s="7"/>
      <c r="G7378" s="7"/>
      <c r="H7378" s="7">
        <f t="shared" si="1"/>
        <v>1029</v>
      </c>
    </row>
    <row r="7379" ht="22.5" customHeight="1">
      <c r="B7379" s="7"/>
      <c r="C7379" s="7"/>
      <c r="D7379" s="7"/>
      <c r="E7379" s="7"/>
      <c r="F7379" s="7"/>
      <c r="G7379" s="7"/>
      <c r="H7379" s="7">
        <f t="shared" si="1"/>
        <v>1029</v>
      </c>
    </row>
    <row r="7380" ht="22.5" customHeight="1">
      <c r="B7380" s="7"/>
      <c r="C7380" s="7"/>
      <c r="D7380" s="7"/>
      <c r="E7380" s="7"/>
      <c r="F7380" s="7"/>
      <c r="G7380" s="7"/>
      <c r="H7380" s="7">
        <f t="shared" si="1"/>
        <v>1029</v>
      </c>
    </row>
    <row r="7381" ht="22.5" customHeight="1">
      <c r="B7381" s="7"/>
      <c r="C7381" s="7"/>
      <c r="D7381" s="7"/>
      <c r="E7381" s="7"/>
      <c r="F7381" s="7"/>
      <c r="G7381" s="7"/>
      <c r="H7381" s="7">
        <f t="shared" si="1"/>
        <v>1029</v>
      </c>
    </row>
    <row r="7382" ht="22.5" customHeight="1">
      <c r="B7382" s="7"/>
      <c r="C7382" s="7"/>
      <c r="D7382" s="7"/>
      <c r="E7382" s="7"/>
      <c r="F7382" s="7"/>
      <c r="G7382" s="7"/>
      <c r="H7382" s="7">
        <f t="shared" si="1"/>
        <v>1029</v>
      </c>
    </row>
    <row r="7383" ht="22.5" customHeight="1">
      <c r="B7383" s="7"/>
      <c r="C7383" s="7"/>
      <c r="D7383" s="7"/>
      <c r="E7383" s="7"/>
      <c r="F7383" s="7"/>
      <c r="G7383" s="7"/>
      <c r="H7383" s="7">
        <f t="shared" si="1"/>
        <v>1029</v>
      </c>
    </row>
    <row r="7384" ht="22.5" customHeight="1">
      <c r="B7384" s="7"/>
      <c r="C7384" s="7"/>
      <c r="D7384" s="7"/>
      <c r="E7384" s="7"/>
      <c r="F7384" s="7"/>
      <c r="G7384" s="7"/>
      <c r="H7384" s="7">
        <f t="shared" si="1"/>
        <v>1029</v>
      </c>
    </row>
    <row r="7385" ht="22.5" customHeight="1">
      <c r="B7385" s="7"/>
      <c r="C7385" s="7"/>
      <c r="D7385" s="7"/>
      <c r="E7385" s="7"/>
      <c r="F7385" s="7"/>
      <c r="G7385" s="7"/>
      <c r="H7385" s="7">
        <f t="shared" si="1"/>
        <v>1029</v>
      </c>
    </row>
    <row r="7386" ht="22.5" customHeight="1">
      <c r="B7386" s="7"/>
      <c r="C7386" s="7"/>
      <c r="D7386" s="7"/>
      <c r="E7386" s="7"/>
      <c r="F7386" s="7"/>
      <c r="G7386" s="7"/>
      <c r="H7386" s="7">
        <f t="shared" si="1"/>
        <v>1029</v>
      </c>
    </row>
    <row r="7387" ht="22.5" customHeight="1">
      <c r="B7387" s="7"/>
      <c r="C7387" s="7"/>
      <c r="D7387" s="7"/>
      <c r="E7387" s="7"/>
      <c r="F7387" s="7"/>
      <c r="G7387" s="7"/>
      <c r="H7387" s="7">
        <f t="shared" si="1"/>
        <v>1029</v>
      </c>
    </row>
    <row r="7388" ht="22.5" customHeight="1">
      <c r="B7388" s="7"/>
      <c r="C7388" s="7"/>
      <c r="D7388" s="7"/>
      <c r="E7388" s="7"/>
      <c r="F7388" s="7"/>
      <c r="G7388" s="7"/>
      <c r="H7388" s="7">
        <f t="shared" si="1"/>
        <v>1029</v>
      </c>
    </row>
    <row r="7389" ht="22.5" customHeight="1">
      <c r="B7389" s="7"/>
      <c r="C7389" s="7"/>
      <c r="D7389" s="7"/>
      <c r="E7389" s="7"/>
      <c r="F7389" s="7"/>
      <c r="G7389" s="7"/>
      <c r="H7389" s="7">
        <f t="shared" si="1"/>
        <v>1029</v>
      </c>
    </row>
    <row r="7390" ht="22.5" customHeight="1">
      <c r="B7390" s="7"/>
      <c r="C7390" s="7"/>
      <c r="D7390" s="7"/>
      <c r="E7390" s="7"/>
      <c r="F7390" s="7"/>
      <c r="G7390" s="7"/>
      <c r="H7390" s="7">
        <f t="shared" si="1"/>
        <v>1029</v>
      </c>
    </row>
    <row r="7391" ht="22.5" customHeight="1">
      <c r="B7391" s="7"/>
      <c r="C7391" s="7"/>
      <c r="D7391" s="7"/>
      <c r="E7391" s="7"/>
      <c r="F7391" s="7"/>
      <c r="G7391" s="7"/>
      <c r="H7391" s="7">
        <f t="shared" si="1"/>
        <v>1029</v>
      </c>
    </row>
    <row r="7392" ht="22.5" customHeight="1">
      <c r="B7392" s="7"/>
      <c r="C7392" s="7"/>
      <c r="D7392" s="7"/>
      <c r="E7392" s="7"/>
      <c r="F7392" s="7"/>
      <c r="G7392" s="7"/>
      <c r="H7392" s="7">
        <f t="shared" si="1"/>
        <v>1029</v>
      </c>
    </row>
    <row r="7393" ht="22.5" customHeight="1">
      <c r="B7393" s="7"/>
      <c r="C7393" s="7"/>
      <c r="D7393" s="7"/>
      <c r="E7393" s="7"/>
      <c r="F7393" s="7"/>
      <c r="G7393" s="7"/>
      <c r="H7393" s="7">
        <f t="shared" si="1"/>
        <v>1029</v>
      </c>
    </row>
    <row r="7394" ht="22.5" customHeight="1">
      <c r="B7394" s="7"/>
      <c r="C7394" s="7"/>
      <c r="D7394" s="7"/>
      <c r="E7394" s="7"/>
      <c r="F7394" s="7"/>
      <c r="G7394" s="7"/>
      <c r="H7394" s="7">
        <f t="shared" si="1"/>
        <v>1029</v>
      </c>
    </row>
    <row r="7395" ht="22.5" customHeight="1">
      <c r="B7395" s="7"/>
      <c r="C7395" s="7"/>
      <c r="D7395" s="7"/>
      <c r="E7395" s="7"/>
      <c r="F7395" s="7"/>
      <c r="G7395" s="7"/>
      <c r="H7395" s="7">
        <f t="shared" si="1"/>
        <v>1029</v>
      </c>
    </row>
    <row r="7396" ht="22.5" customHeight="1">
      <c r="B7396" s="7"/>
      <c r="C7396" s="7"/>
      <c r="D7396" s="7"/>
      <c r="E7396" s="7"/>
      <c r="F7396" s="7"/>
      <c r="G7396" s="7"/>
      <c r="H7396" s="7">
        <f t="shared" si="1"/>
        <v>1029</v>
      </c>
    </row>
    <row r="7397" ht="22.5" customHeight="1">
      <c r="B7397" s="7"/>
      <c r="C7397" s="7"/>
      <c r="D7397" s="7"/>
      <c r="E7397" s="7"/>
      <c r="F7397" s="7"/>
      <c r="G7397" s="7"/>
      <c r="H7397" s="7">
        <f t="shared" si="1"/>
        <v>1029</v>
      </c>
    </row>
    <row r="7398" ht="22.5" customHeight="1">
      <c r="B7398" s="7"/>
      <c r="C7398" s="7"/>
      <c r="D7398" s="7"/>
      <c r="E7398" s="7"/>
      <c r="F7398" s="7"/>
      <c r="G7398" s="7"/>
      <c r="H7398" s="7">
        <f t="shared" si="1"/>
        <v>1029</v>
      </c>
    </row>
    <row r="7399" ht="22.5" customHeight="1">
      <c r="B7399" s="7"/>
      <c r="C7399" s="7"/>
      <c r="D7399" s="7"/>
      <c r="E7399" s="7"/>
      <c r="F7399" s="7"/>
      <c r="G7399" s="7"/>
      <c r="H7399" s="7">
        <f t="shared" si="1"/>
        <v>1029</v>
      </c>
    </row>
    <row r="7400" ht="22.5" customHeight="1">
      <c r="B7400" s="7"/>
      <c r="C7400" s="7"/>
      <c r="D7400" s="7"/>
      <c r="E7400" s="7"/>
      <c r="F7400" s="7"/>
      <c r="G7400" s="7"/>
      <c r="H7400" s="7">
        <f t="shared" si="1"/>
        <v>1029</v>
      </c>
    </row>
    <row r="7401" ht="22.5" customHeight="1">
      <c r="B7401" s="7"/>
      <c r="C7401" s="7"/>
      <c r="D7401" s="7"/>
      <c r="E7401" s="7"/>
      <c r="F7401" s="7"/>
      <c r="G7401" s="7"/>
      <c r="H7401" s="7">
        <f t="shared" si="1"/>
        <v>1029</v>
      </c>
    </row>
    <row r="7402" ht="22.5" customHeight="1">
      <c r="B7402" s="7"/>
      <c r="C7402" s="7"/>
      <c r="D7402" s="7"/>
      <c r="E7402" s="7"/>
      <c r="F7402" s="7"/>
      <c r="G7402" s="7"/>
      <c r="H7402" s="7">
        <f t="shared" si="1"/>
        <v>1029</v>
      </c>
    </row>
    <row r="7403" ht="22.5" customHeight="1">
      <c r="B7403" s="7"/>
      <c r="C7403" s="7"/>
      <c r="D7403" s="7"/>
      <c r="E7403" s="7"/>
      <c r="F7403" s="7"/>
      <c r="G7403" s="7"/>
      <c r="H7403" s="7">
        <f t="shared" si="1"/>
        <v>1029</v>
      </c>
    </row>
    <row r="7404" ht="22.5" customHeight="1">
      <c r="B7404" s="7"/>
      <c r="C7404" s="7"/>
      <c r="D7404" s="7"/>
      <c r="E7404" s="7"/>
      <c r="F7404" s="7"/>
      <c r="G7404" s="7"/>
      <c r="H7404" s="7">
        <f t="shared" si="1"/>
        <v>1029</v>
      </c>
    </row>
    <row r="7405" ht="22.5" customHeight="1">
      <c r="B7405" s="7"/>
      <c r="C7405" s="7"/>
      <c r="D7405" s="7"/>
      <c r="E7405" s="7"/>
      <c r="F7405" s="7"/>
      <c r="G7405" s="7"/>
      <c r="H7405" s="7">
        <f t="shared" si="1"/>
        <v>1029</v>
      </c>
    </row>
    <row r="7406" ht="22.5" customHeight="1">
      <c r="B7406" s="7"/>
      <c r="C7406" s="7"/>
      <c r="D7406" s="7"/>
      <c r="E7406" s="7"/>
      <c r="F7406" s="7"/>
      <c r="G7406" s="7"/>
      <c r="H7406" s="7">
        <f t="shared" si="1"/>
        <v>1029</v>
      </c>
    </row>
    <row r="7407" ht="22.5" customHeight="1">
      <c r="B7407" s="7"/>
      <c r="C7407" s="7"/>
      <c r="D7407" s="7"/>
      <c r="E7407" s="7"/>
      <c r="F7407" s="7"/>
      <c r="G7407" s="7"/>
      <c r="H7407" s="7">
        <f t="shared" si="1"/>
        <v>1029</v>
      </c>
    </row>
    <row r="7408" ht="22.5" customHeight="1">
      <c r="B7408" s="7"/>
      <c r="C7408" s="7"/>
      <c r="D7408" s="7"/>
      <c r="E7408" s="7"/>
      <c r="F7408" s="7"/>
      <c r="G7408" s="7"/>
      <c r="H7408" s="7">
        <f t="shared" si="1"/>
        <v>1029</v>
      </c>
    </row>
    <row r="7409" ht="22.5" customHeight="1">
      <c r="B7409" s="7"/>
      <c r="C7409" s="7"/>
      <c r="D7409" s="7"/>
      <c r="E7409" s="7"/>
      <c r="F7409" s="7"/>
      <c r="G7409" s="7"/>
      <c r="H7409" s="7">
        <f t="shared" si="1"/>
        <v>1029</v>
      </c>
    </row>
    <row r="7410" ht="22.5" customHeight="1">
      <c r="B7410" s="7"/>
      <c r="C7410" s="7"/>
      <c r="D7410" s="7"/>
      <c r="E7410" s="7"/>
      <c r="F7410" s="7"/>
      <c r="G7410" s="7"/>
      <c r="H7410" s="7">
        <f t="shared" si="1"/>
        <v>1029</v>
      </c>
    </row>
    <row r="7411" ht="22.5" customHeight="1">
      <c r="B7411" s="7"/>
      <c r="C7411" s="7"/>
      <c r="D7411" s="7"/>
      <c r="E7411" s="7"/>
      <c r="F7411" s="7"/>
      <c r="G7411" s="7"/>
      <c r="H7411" s="7">
        <f t="shared" si="1"/>
        <v>1029</v>
      </c>
    </row>
    <row r="7412" ht="22.5" customHeight="1">
      <c r="B7412" s="7"/>
      <c r="C7412" s="7"/>
      <c r="D7412" s="7"/>
      <c r="E7412" s="7"/>
      <c r="F7412" s="7"/>
      <c r="G7412" s="7"/>
      <c r="H7412" s="7">
        <f t="shared" si="1"/>
        <v>1029</v>
      </c>
    </row>
    <row r="7413" ht="22.5" customHeight="1">
      <c r="B7413" s="7"/>
      <c r="C7413" s="7"/>
      <c r="D7413" s="7"/>
      <c r="E7413" s="7"/>
      <c r="F7413" s="7"/>
      <c r="G7413" s="7"/>
      <c r="H7413" s="7">
        <f t="shared" si="1"/>
        <v>1029</v>
      </c>
    </row>
    <row r="7414" ht="22.5" customHeight="1">
      <c r="B7414" s="7"/>
      <c r="C7414" s="7"/>
      <c r="D7414" s="7"/>
      <c r="E7414" s="7"/>
      <c r="F7414" s="7"/>
      <c r="G7414" s="7"/>
      <c r="H7414" s="7">
        <f t="shared" si="1"/>
        <v>1029</v>
      </c>
    </row>
    <row r="7415" ht="22.5" customHeight="1">
      <c r="B7415" s="7"/>
      <c r="C7415" s="7"/>
      <c r="D7415" s="7"/>
      <c r="E7415" s="7"/>
      <c r="F7415" s="7"/>
      <c r="G7415" s="7"/>
      <c r="H7415" s="7">
        <f t="shared" si="1"/>
        <v>1029</v>
      </c>
    </row>
    <row r="7416" ht="22.5" customHeight="1">
      <c r="B7416" s="7"/>
      <c r="C7416" s="7"/>
      <c r="D7416" s="7"/>
      <c r="E7416" s="7"/>
      <c r="F7416" s="7"/>
      <c r="G7416" s="7"/>
      <c r="H7416" s="7">
        <f t="shared" si="1"/>
        <v>1029</v>
      </c>
    </row>
    <row r="7417" ht="22.5" customHeight="1">
      <c r="B7417" s="7"/>
      <c r="C7417" s="7"/>
      <c r="D7417" s="7"/>
      <c r="E7417" s="7"/>
      <c r="F7417" s="7"/>
      <c r="G7417" s="7"/>
      <c r="H7417" s="7">
        <f t="shared" si="1"/>
        <v>1029</v>
      </c>
    </row>
    <row r="7418" ht="22.5" customHeight="1">
      <c r="B7418" s="7"/>
      <c r="C7418" s="7"/>
      <c r="D7418" s="7"/>
      <c r="E7418" s="7"/>
      <c r="F7418" s="7"/>
      <c r="G7418" s="7"/>
      <c r="H7418" s="7">
        <f t="shared" si="1"/>
        <v>1029</v>
      </c>
    </row>
    <row r="7419" ht="22.5" customHeight="1">
      <c r="B7419" s="7"/>
      <c r="C7419" s="7"/>
      <c r="D7419" s="7"/>
      <c r="E7419" s="7"/>
      <c r="F7419" s="7"/>
      <c r="G7419" s="7"/>
      <c r="H7419" s="7">
        <f t="shared" si="1"/>
        <v>1029</v>
      </c>
    </row>
    <row r="7420" ht="22.5" customHeight="1">
      <c r="B7420" s="7"/>
      <c r="C7420" s="7"/>
      <c r="D7420" s="7"/>
      <c r="E7420" s="7"/>
      <c r="F7420" s="7"/>
      <c r="G7420" s="7"/>
      <c r="H7420" s="7">
        <f t="shared" si="1"/>
        <v>1029</v>
      </c>
    </row>
    <row r="7421" ht="22.5" customHeight="1">
      <c r="B7421" s="7"/>
      <c r="C7421" s="7"/>
      <c r="D7421" s="7"/>
      <c r="E7421" s="7"/>
      <c r="F7421" s="7"/>
      <c r="G7421" s="7"/>
      <c r="H7421" s="7">
        <f t="shared" si="1"/>
        <v>1029</v>
      </c>
    </row>
    <row r="7422" ht="22.5" customHeight="1">
      <c r="B7422" s="7"/>
      <c r="C7422" s="7"/>
      <c r="D7422" s="7"/>
      <c r="E7422" s="7"/>
      <c r="F7422" s="7"/>
      <c r="G7422" s="7"/>
      <c r="H7422" s="7">
        <f t="shared" si="1"/>
        <v>1029</v>
      </c>
    </row>
    <row r="7423" ht="22.5" customHeight="1">
      <c r="B7423" s="7"/>
      <c r="C7423" s="7"/>
      <c r="D7423" s="7"/>
      <c r="E7423" s="7"/>
      <c r="F7423" s="7"/>
      <c r="G7423" s="7"/>
      <c r="H7423" s="7">
        <f t="shared" si="1"/>
        <v>1029</v>
      </c>
    </row>
    <row r="7424" ht="22.5" customHeight="1">
      <c r="B7424" s="7"/>
      <c r="C7424" s="7"/>
      <c r="D7424" s="7"/>
      <c r="E7424" s="7"/>
      <c r="F7424" s="7"/>
      <c r="G7424" s="7"/>
      <c r="H7424" s="7">
        <f t="shared" si="1"/>
        <v>1029</v>
      </c>
    </row>
    <row r="7425" ht="22.5" customHeight="1">
      <c r="B7425" s="7"/>
      <c r="C7425" s="7"/>
      <c r="D7425" s="7"/>
      <c r="E7425" s="7"/>
      <c r="F7425" s="7"/>
      <c r="G7425" s="7"/>
      <c r="H7425" s="7">
        <f t="shared" si="1"/>
        <v>1029</v>
      </c>
    </row>
    <row r="7426" ht="22.5" customHeight="1">
      <c r="B7426" s="7"/>
      <c r="C7426" s="7"/>
      <c r="D7426" s="7"/>
      <c r="E7426" s="7"/>
      <c r="F7426" s="7"/>
      <c r="G7426" s="7"/>
      <c r="H7426" s="7">
        <f t="shared" si="1"/>
        <v>1029</v>
      </c>
    </row>
    <row r="7427" ht="22.5" customHeight="1">
      <c r="B7427" s="7"/>
      <c r="C7427" s="7"/>
      <c r="D7427" s="7"/>
      <c r="E7427" s="7"/>
      <c r="F7427" s="7"/>
      <c r="G7427" s="7"/>
      <c r="H7427" s="7">
        <f t="shared" si="1"/>
        <v>1029</v>
      </c>
    </row>
    <row r="7428" ht="22.5" customHeight="1">
      <c r="B7428" s="7"/>
      <c r="C7428" s="7"/>
      <c r="D7428" s="7"/>
      <c r="E7428" s="7"/>
      <c r="F7428" s="7"/>
      <c r="G7428" s="7"/>
      <c r="H7428" s="7">
        <f t="shared" si="1"/>
        <v>1029</v>
      </c>
    </row>
    <row r="7429" ht="22.5" customHeight="1">
      <c r="B7429" s="7"/>
      <c r="C7429" s="7"/>
      <c r="D7429" s="7"/>
      <c r="E7429" s="7"/>
      <c r="F7429" s="7"/>
      <c r="G7429" s="7"/>
      <c r="H7429" s="7">
        <f t="shared" si="1"/>
        <v>1029</v>
      </c>
    </row>
    <row r="7430" ht="22.5" customHeight="1">
      <c r="B7430" s="7"/>
      <c r="C7430" s="7"/>
      <c r="D7430" s="7"/>
      <c r="E7430" s="7"/>
      <c r="F7430" s="7"/>
      <c r="G7430" s="7"/>
      <c r="H7430" s="7">
        <f t="shared" si="1"/>
        <v>1029</v>
      </c>
    </row>
    <row r="7431" ht="22.5" customHeight="1">
      <c r="B7431" s="7"/>
      <c r="C7431" s="7"/>
      <c r="D7431" s="7"/>
      <c r="E7431" s="7"/>
      <c r="F7431" s="7"/>
      <c r="G7431" s="7"/>
      <c r="H7431" s="7">
        <f t="shared" si="1"/>
        <v>1029</v>
      </c>
    </row>
    <row r="7432" ht="22.5" customHeight="1">
      <c r="B7432" s="7"/>
      <c r="C7432" s="7"/>
      <c r="D7432" s="7"/>
      <c r="E7432" s="7"/>
      <c r="F7432" s="7"/>
      <c r="G7432" s="7"/>
      <c r="H7432" s="7">
        <f t="shared" si="1"/>
        <v>1029</v>
      </c>
    </row>
    <row r="7433" ht="22.5" customHeight="1">
      <c r="B7433" s="7"/>
      <c r="C7433" s="7"/>
      <c r="D7433" s="7"/>
      <c r="E7433" s="7"/>
      <c r="F7433" s="7"/>
      <c r="G7433" s="7"/>
      <c r="H7433" s="7">
        <f t="shared" si="1"/>
        <v>1029</v>
      </c>
    </row>
    <row r="7434" ht="22.5" customHeight="1">
      <c r="B7434" s="7"/>
      <c r="C7434" s="7"/>
      <c r="D7434" s="7"/>
      <c r="E7434" s="7"/>
      <c r="F7434" s="7"/>
      <c r="G7434" s="7"/>
      <c r="H7434" s="7">
        <f t="shared" si="1"/>
        <v>1029</v>
      </c>
    </row>
    <row r="7435" ht="22.5" customHeight="1">
      <c r="B7435" s="7"/>
      <c r="C7435" s="7"/>
      <c r="D7435" s="7"/>
      <c r="E7435" s="7"/>
      <c r="F7435" s="7"/>
      <c r="G7435" s="7"/>
      <c r="H7435" s="7">
        <f t="shared" si="1"/>
        <v>1029</v>
      </c>
    </row>
    <row r="7436" ht="22.5" customHeight="1">
      <c r="B7436" s="7"/>
      <c r="C7436" s="7"/>
      <c r="D7436" s="7"/>
      <c r="E7436" s="7"/>
      <c r="F7436" s="7"/>
      <c r="G7436" s="7"/>
      <c r="H7436" s="7">
        <f t="shared" si="1"/>
        <v>1029</v>
      </c>
    </row>
    <row r="7437" ht="22.5" customHeight="1">
      <c r="B7437" s="7"/>
      <c r="C7437" s="7"/>
      <c r="D7437" s="7"/>
      <c r="E7437" s="7"/>
      <c r="F7437" s="7"/>
      <c r="G7437" s="7"/>
      <c r="H7437" s="7">
        <f t="shared" si="1"/>
        <v>1029</v>
      </c>
    </row>
    <row r="7438" ht="22.5" customHeight="1">
      <c r="B7438" s="7"/>
      <c r="C7438" s="7"/>
      <c r="D7438" s="7"/>
      <c r="E7438" s="7"/>
      <c r="F7438" s="7"/>
      <c r="G7438" s="7"/>
      <c r="H7438" s="7">
        <f t="shared" si="1"/>
        <v>1029</v>
      </c>
    </row>
    <row r="7439" ht="22.5" customHeight="1">
      <c r="B7439" s="7"/>
      <c r="C7439" s="7"/>
      <c r="D7439" s="7"/>
      <c r="E7439" s="7"/>
      <c r="F7439" s="7"/>
      <c r="G7439" s="7"/>
      <c r="H7439" s="7">
        <f t="shared" si="1"/>
        <v>1029</v>
      </c>
    </row>
    <row r="7440" ht="22.5" customHeight="1">
      <c r="B7440" s="7"/>
      <c r="C7440" s="7"/>
      <c r="D7440" s="7"/>
      <c r="E7440" s="7"/>
      <c r="F7440" s="7"/>
      <c r="G7440" s="7"/>
      <c r="H7440" s="7">
        <f t="shared" si="1"/>
        <v>1029</v>
      </c>
    </row>
    <row r="7441" ht="22.5" customHeight="1">
      <c r="B7441" s="7"/>
      <c r="C7441" s="7"/>
      <c r="D7441" s="7"/>
      <c r="E7441" s="7"/>
      <c r="F7441" s="7"/>
      <c r="G7441" s="7"/>
      <c r="H7441" s="7">
        <f t="shared" si="1"/>
        <v>1029</v>
      </c>
    </row>
    <row r="7442" ht="22.5" customHeight="1">
      <c r="B7442" s="7"/>
      <c r="C7442" s="7"/>
      <c r="D7442" s="7"/>
      <c r="E7442" s="7"/>
      <c r="F7442" s="7"/>
      <c r="G7442" s="7"/>
      <c r="H7442" s="7">
        <f t="shared" si="1"/>
        <v>1029</v>
      </c>
    </row>
    <row r="7443" ht="22.5" customHeight="1">
      <c r="B7443" s="7"/>
      <c r="C7443" s="7"/>
      <c r="D7443" s="7"/>
      <c r="E7443" s="7"/>
      <c r="F7443" s="7"/>
      <c r="G7443" s="7"/>
      <c r="H7443" s="7">
        <f t="shared" si="1"/>
        <v>1029</v>
      </c>
    </row>
    <row r="7444" ht="22.5" customHeight="1">
      <c r="B7444" s="7"/>
      <c r="C7444" s="7"/>
      <c r="D7444" s="7"/>
      <c r="E7444" s="7"/>
      <c r="F7444" s="7"/>
      <c r="G7444" s="7"/>
      <c r="H7444" s="7">
        <f t="shared" si="1"/>
        <v>1029</v>
      </c>
    </row>
    <row r="7445" ht="22.5" customHeight="1">
      <c r="B7445" s="7"/>
      <c r="C7445" s="7"/>
      <c r="D7445" s="7"/>
      <c r="E7445" s="7"/>
      <c r="F7445" s="7"/>
      <c r="G7445" s="7"/>
      <c r="H7445" s="7">
        <f t="shared" si="1"/>
        <v>1029</v>
      </c>
    </row>
    <row r="7446" ht="22.5" customHeight="1">
      <c r="B7446" s="7"/>
      <c r="C7446" s="7"/>
      <c r="D7446" s="7"/>
      <c r="E7446" s="7"/>
      <c r="F7446" s="7"/>
      <c r="G7446" s="7"/>
      <c r="H7446" s="7">
        <f t="shared" si="1"/>
        <v>1029</v>
      </c>
    </row>
    <row r="7447" ht="22.5" customHeight="1">
      <c r="B7447" s="7"/>
      <c r="C7447" s="7"/>
      <c r="D7447" s="7"/>
      <c r="E7447" s="7"/>
      <c r="F7447" s="7"/>
      <c r="G7447" s="7"/>
      <c r="H7447" s="7">
        <f t="shared" si="1"/>
        <v>1029</v>
      </c>
    </row>
    <row r="7448" ht="22.5" customHeight="1">
      <c r="B7448" s="7"/>
      <c r="C7448" s="7"/>
      <c r="D7448" s="7"/>
      <c r="E7448" s="7"/>
      <c r="F7448" s="7"/>
      <c r="G7448" s="7"/>
      <c r="H7448" s="7">
        <f t="shared" si="1"/>
        <v>1029</v>
      </c>
    </row>
    <row r="7449" ht="22.5" customHeight="1">
      <c r="B7449" s="7"/>
      <c r="C7449" s="7"/>
      <c r="D7449" s="7"/>
      <c r="E7449" s="7"/>
      <c r="F7449" s="7"/>
      <c r="G7449" s="7"/>
      <c r="H7449" s="7">
        <f t="shared" si="1"/>
        <v>1029</v>
      </c>
    </row>
    <row r="7450" ht="22.5" customHeight="1">
      <c r="B7450" s="7"/>
      <c r="C7450" s="7"/>
      <c r="D7450" s="7"/>
      <c r="E7450" s="7"/>
      <c r="F7450" s="7"/>
      <c r="G7450" s="7"/>
      <c r="H7450" s="7">
        <f t="shared" si="1"/>
        <v>1029</v>
      </c>
    </row>
    <row r="7451" ht="22.5" customHeight="1">
      <c r="B7451" s="7"/>
      <c r="C7451" s="7"/>
      <c r="D7451" s="7"/>
      <c r="E7451" s="7"/>
      <c r="F7451" s="7"/>
      <c r="G7451" s="7"/>
      <c r="H7451" s="7">
        <f t="shared" si="1"/>
        <v>1029</v>
      </c>
    </row>
    <row r="7452" ht="22.5" customHeight="1">
      <c r="B7452" s="7"/>
      <c r="C7452" s="7"/>
      <c r="D7452" s="7"/>
      <c r="E7452" s="7"/>
      <c r="F7452" s="7"/>
      <c r="G7452" s="7"/>
      <c r="H7452" s="7">
        <f t="shared" si="1"/>
        <v>1029</v>
      </c>
    </row>
    <row r="7453" ht="22.5" customHeight="1">
      <c r="B7453" s="7"/>
      <c r="C7453" s="7"/>
      <c r="D7453" s="7"/>
      <c r="E7453" s="7"/>
      <c r="F7453" s="7"/>
      <c r="G7453" s="7"/>
      <c r="H7453" s="7">
        <f t="shared" si="1"/>
        <v>1029</v>
      </c>
    </row>
    <row r="7454" ht="22.5" customHeight="1">
      <c r="B7454" s="7"/>
      <c r="C7454" s="7"/>
      <c r="D7454" s="7"/>
      <c r="E7454" s="7"/>
      <c r="F7454" s="7"/>
      <c r="G7454" s="7"/>
      <c r="H7454" s="7">
        <f t="shared" si="1"/>
        <v>1029</v>
      </c>
    </row>
    <row r="7455" ht="22.5" customHeight="1">
      <c r="B7455" s="7"/>
      <c r="C7455" s="7"/>
      <c r="D7455" s="7"/>
      <c r="E7455" s="7"/>
      <c r="F7455" s="7"/>
      <c r="G7455" s="7"/>
      <c r="H7455" s="7">
        <f t="shared" si="1"/>
        <v>1029</v>
      </c>
    </row>
    <row r="7456" ht="22.5" customHeight="1">
      <c r="B7456" s="7"/>
      <c r="C7456" s="7"/>
      <c r="D7456" s="7"/>
      <c r="E7456" s="7"/>
      <c r="F7456" s="7"/>
      <c r="G7456" s="7"/>
      <c r="H7456" s="7">
        <f t="shared" si="1"/>
        <v>1029</v>
      </c>
    </row>
    <row r="7457" ht="22.5" customHeight="1">
      <c r="B7457" s="7"/>
      <c r="C7457" s="7"/>
      <c r="D7457" s="7"/>
      <c r="E7457" s="7"/>
      <c r="F7457" s="7"/>
      <c r="G7457" s="7"/>
      <c r="H7457" s="7">
        <f t="shared" si="1"/>
        <v>1029</v>
      </c>
    </row>
    <row r="7458" ht="22.5" customHeight="1">
      <c r="B7458" s="7"/>
      <c r="C7458" s="7"/>
      <c r="D7458" s="7"/>
      <c r="E7458" s="7"/>
      <c r="F7458" s="7"/>
      <c r="G7458" s="7"/>
      <c r="H7458" s="7">
        <f t="shared" si="1"/>
        <v>1029</v>
      </c>
    </row>
    <row r="7459" ht="22.5" customHeight="1">
      <c r="B7459" s="7"/>
      <c r="C7459" s="7"/>
      <c r="D7459" s="7"/>
      <c r="E7459" s="7"/>
      <c r="F7459" s="7"/>
      <c r="G7459" s="7"/>
      <c r="H7459" s="7">
        <f t="shared" si="1"/>
        <v>1029</v>
      </c>
    </row>
    <row r="7460" ht="22.5" customHeight="1">
      <c r="B7460" s="7"/>
      <c r="C7460" s="7"/>
      <c r="D7460" s="7"/>
      <c r="E7460" s="7"/>
      <c r="F7460" s="7"/>
      <c r="G7460" s="7"/>
      <c r="H7460" s="7">
        <f t="shared" si="1"/>
        <v>1029</v>
      </c>
    </row>
    <row r="7461" ht="22.5" customHeight="1">
      <c r="B7461" s="7"/>
      <c r="C7461" s="7"/>
      <c r="D7461" s="7"/>
      <c r="E7461" s="7"/>
      <c r="F7461" s="7"/>
      <c r="G7461" s="7"/>
      <c r="H7461" s="7">
        <f t="shared" si="1"/>
        <v>1029</v>
      </c>
    </row>
    <row r="7462" ht="22.5" customHeight="1">
      <c r="B7462" s="7"/>
      <c r="C7462" s="7"/>
      <c r="D7462" s="7"/>
      <c r="E7462" s="7"/>
      <c r="F7462" s="7"/>
      <c r="G7462" s="7"/>
      <c r="H7462" s="7">
        <f t="shared" si="1"/>
        <v>1029</v>
      </c>
    </row>
    <row r="7463" ht="22.5" customHeight="1">
      <c r="B7463" s="7"/>
      <c r="C7463" s="7"/>
      <c r="D7463" s="7"/>
      <c r="E7463" s="7"/>
      <c r="F7463" s="7"/>
      <c r="G7463" s="7"/>
      <c r="H7463" s="7">
        <f t="shared" si="1"/>
        <v>1029</v>
      </c>
    </row>
    <row r="7464" ht="22.5" customHeight="1">
      <c r="B7464" s="7"/>
      <c r="C7464" s="7"/>
      <c r="D7464" s="7"/>
      <c r="E7464" s="7"/>
      <c r="F7464" s="7"/>
      <c r="G7464" s="7"/>
      <c r="H7464" s="7">
        <f t="shared" si="1"/>
        <v>1029</v>
      </c>
    </row>
    <row r="7465" ht="22.5" customHeight="1">
      <c r="B7465" s="7"/>
      <c r="C7465" s="7"/>
      <c r="D7465" s="7"/>
      <c r="E7465" s="7"/>
      <c r="F7465" s="7"/>
      <c r="G7465" s="7"/>
      <c r="H7465" s="7">
        <f t="shared" si="1"/>
        <v>1029</v>
      </c>
    </row>
    <row r="7466" ht="22.5" customHeight="1">
      <c r="B7466" s="7"/>
      <c r="C7466" s="7"/>
      <c r="D7466" s="7"/>
      <c r="E7466" s="7"/>
      <c r="F7466" s="7"/>
      <c r="G7466" s="7"/>
      <c r="H7466" s="7">
        <f t="shared" si="1"/>
        <v>1029</v>
      </c>
    </row>
    <row r="7467" ht="22.5" customHeight="1">
      <c r="B7467" s="7"/>
      <c r="C7467" s="7"/>
      <c r="D7467" s="7"/>
      <c r="E7467" s="7"/>
      <c r="F7467" s="7"/>
      <c r="G7467" s="7"/>
      <c r="H7467" s="7">
        <f t="shared" si="1"/>
        <v>1029</v>
      </c>
    </row>
    <row r="7468" ht="22.5" customHeight="1">
      <c r="B7468" s="7"/>
      <c r="C7468" s="7"/>
      <c r="D7468" s="7"/>
      <c r="E7468" s="7"/>
      <c r="F7468" s="7"/>
      <c r="G7468" s="7"/>
      <c r="H7468" s="7">
        <f t="shared" si="1"/>
        <v>1029</v>
      </c>
    </row>
    <row r="7469" ht="22.5" customHeight="1">
      <c r="B7469" s="7"/>
      <c r="C7469" s="7"/>
      <c r="D7469" s="7"/>
      <c r="E7469" s="7"/>
      <c r="F7469" s="7"/>
      <c r="G7469" s="7"/>
      <c r="H7469" s="7">
        <f t="shared" si="1"/>
        <v>1029</v>
      </c>
    </row>
    <row r="7470" ht="22.5" customHeight="1">
      <c r="B7470" s="7"/>
      <c r="C7470" s="7"/>
      <c r="D7470" s="7"/>
      <c r="E7470" s="7"/>
      <c r="F7470" s="7"/>
      <c r="G7470" s="7"/>
      <c r="H7470" s="7">
        <f t="shared" si="1"/>
        <v>1029</v>
      </c>
    </row>
    <row r="7471" ht="22.5" customHeight="1">
      <c r="B7471" s="7"/>
      <c r="C7471" s="7"/>
      <c r="D7471" s="7"/>
      <c r="E7471" s="7"/>
      <c r="F7471" s="7"/>
      <c r="G7471" s="7"/>
      <c r="H7471" s="7">
        <f t="shared" si="1"/>
        <v>1029</v>
      </c>
    </row>
    <row r="7472" ht="22.5" customHeight="1">
      <c r="B7472" s="7"/>
      <c r="C7472" s="7"/>
      <c r="D7472" s="7"/>
      <c r="E7472" s="7"/>
      <c r="F7472" s="7"/>
      <c r="G7472" s="7"/>
      <c r="H7472" s="7">
        <f t="shared" si="1"/>
        <v>1029</v>
      </c>
    </row>
    <row r="7473" ht="22.5" customHeight="1">
      <c r="B7473" s="7"/>
      <c r="C7473" s="7"/>
      <c r="D7473" s="7"/>
      <c r="E7473" s="7"/>
      <c r="F7473" s="7"/>
      <c r="G7473" s="7"/>
      <c r="H7473" s="7">
        <f t="shared" si="1"/>
        <v>1029</v>
      </c>
    </row>
    <row r="7474" ht="22.5" customHeight="1">
      <c r="B7474" s="7"/>
      <c r="C7474" s="7"/>
      <c r="D7474" s="7"/>
      <c r="E7474" s="7"/>
      <c r="F7474" s="7"/>
      <c r="G7474" s="7"/>
      <c r="H7474" s="7">
        <f t="shared" si="1"/>
        <v>1029</v>
      </c>
    </row>
    <row r="7475" ht="22.5" customHeight="1">
      <c r="B7475" s="7"/>
      <c r="C7475" s="7"/>
      <c r="D7475" s="7"/>
      <c r="E7475" s="7"/>
      <c r="F7475" s="7"/>
      <c r="G7475" s="7"/>
      <c r="H7475" s="7">
        <f t="shared" si="1"/>
        <v>1029</v>
      </c>
    </row>
    <row r="7476" ht="22.5" customHeight="1">
      <c r="B7476" s="7"/>
      <c r="C7476" s="7"/>
      <c r="D7476" s="7"/>
      <c r="E7476" s="7"/>
      <c r="F7476" s="7"/>
      <c r="G7476" s="7"/>
      <c r="H7476" s="7">
        <f t="shared" si="1"/>
        <v>1029</v>
      </c>
    </row>
    <row r="7477" ht="22.5" customHeight="1">
      <c r="B7477" s="7"/>
      <c r="C7477" s="7"/>
      <c r="D7477" s="7"/>
      <c r="E7477" s="7"/>
      <c r="F7477" s="7"/>
      <c r="G7477" s="7"/>
      <c r="H7477" s="7">
        <f t="shared" si="1"/>
        <v>1029</v>
      </c>
    </row>
    <row r="7478" ht="22.5" customHeight="1">
      <c r="B7478" s="7"/>
      <c r="C7478" s="7"/>
      <c r="D7478" s="7"/>
      <c r="E7478" s="7"/>
      <c r="F7478" s="7"/>
      <c r="G7478" s="7"/>
      <c r="H7478" s="7">
        <f t="shared" si="1"/>
        <v>1029</v>
      </c>
    </row>
    <row r="7479" ht="22.5" customHeight="1">
      <c r="B7479" s="7"/>
      <c r="C7479" s="7"/>
      <c r="D7479" s="7"/>
      <c r="E7479" s="7"/>
      <c r="F7479" s="7"/>
      <c r="G7479" s="7"/>
      <c r="H7479" s="7">
        <f t="shared" si="1"/>
        <v>1029</v>
      </c>
    </row>
    <row r="7480" ht="22.5" customHeight="1">
      <c r="B7480" s="7"/>
      <c r="C7480" s="7"/>
      <c r="D7480" s="7"/>
      <c r="E7480" s="7"/>
      <c r="F7480" s="7"/>
      <c r="G7480" s="7"/>
      <c r="H7480" s="7">
        <f t="shared" si="1"/>
        <v>1029</v>
      </c>
    </row>
    <row r="7481" ht="22.5" customHeight="1">
      <c r="B7481" s="7"/>
      <c r="C7481" s="7"/>
      <c r="D7481" s="7"/>
      <c r="E7481" s="7"/>
      <c r="F7481" s="7"/>
      <c r="G7481" s="7"/>
      <c r="H7481" s="7">
        <f t="shared" si="1"/>
        <v>1029</v>
      </c>
    </row>
    <row r="7482" ht="22.5" customHeight="1">
      <c r="B7482" s="7"/>
      <c r="C7482" s="7"/>
      <c r="D7482" s="7"/>
      <c r="E7482" s="7"/>
      <c r="F7482" s="7"/>
      <c r="G7482" s="7"/>
      <c r="H7482" s="7">
        <f t="shared" si="1"/>
        <v>1029</v>
      </c>
    </row>
    <row r="7483" ht="22.5" customHeight="1">
      <c r="B7483" s="7"/>
      <c r="C7483" s="7"/>
      <c r="D7483" s="7"/>
      <c r="E7483" s="7"/>
      <c r="F7483" s="7"/>
      <c r="G7483" s="7"/>
      <c r="H7483" s="7">
        <f t="shared" si="1"/>
        <v>1029</v>
      </c>
    </row>
    <row r="7484" ht="22.5" customHeight="1">
      <c r="B7484" s="7"/>
      <c r="C7484" s="7"/>
      <c r="D7484" s="7"/>
      <c r="E7484" s="7"/>
      <c r="F7484" s="7"/>
      <c r="G7484" s="7"/>
      <c r="H7484" s="7">
        <f t="shared" si="1"/>
        <v>1029</v>
      </c>
    </row>
    <row r="7485" ht="22.5" customHeight="1">
      <c r="B7485" s="7"/>
      <c r="C7485" s="7"/>
      <c r="D7485" s="7"/>
      <c r="E7485" s="7"/>
      <c r="F7485" s="7"/>
      <c r="G7485" s="7"/>
      <c r="H7485" s="7">
        <f t="shared" si="1"/>
        <v>1029</v>
      </c>
    </row>
    <row r="7486" ht="22.5" customHeight="1">
      <c r="B7486" s="7"/>
      <c r="C7486" s="7"/>
      <c r="D7486" s="7"/>
      <c r="E7486" s="7"/>
      <c r="F7486" s="7"/>
      <c r="G7486" s="7"/>
      <c r="H7486" s="7">
        <f t="shared" si="1"/>
        <v>1029</v>
      </c>
    </row>
    <row r="7487" ht="22.5" customHeight="1">
      <c r="B7487" s="7"/>
      <c r="C7487" s="7"/>
      <c r="D7487" s="7"/>
      <c r="E7487" s="7"/>
      <c r="F7487" s="7"/>
      <c r="G7487" s="7"/>
      <c r="H7487" s="7">
        <f t="shared" si="1"/>
        <v>1029</v>
      </c>
    </row>
    <row r="7488" ht="22.5" customHeight="1">
      <c r="B7488" s="7"/>
      <c r="C7488" s="7"/>
      <c r="D7488" s="7"/>
      <c r="E7488" s="7"/>
      <c r="F7488" s="7"/>
      <c r="G7488" s="7"/>
      <c r="H7488" s="7">
        <f t="shared" si="1"/>
        <v>1029</v>
      </c>
    </row>
    <row r="7489" ht="22.5" customHeight="1">
      <c r="B7489" s="7"/>
      <c r="C7489" s="7"/>
      <c r="D7489" s="7"/>
      <c r="E7489" s="7"/>
      <c r="F7489" s="7"/>
      <c r="G7489" s="7"/>
      <c r="H7489" s="7">
        <f t="shared" si="1"/>
        <v>1029</v>
      </c>
    </row>
    <row r="7490" ht="22.5" customHeight="1">
      <c r="B7490" s="7"/>
      <c r="C7490" s="7"/>
      <c r="D7490" s="7"/>
      <c r="E7490" s="7"/>
      <c r="F7490" s="7"/>
      <c r="G7490" s="7"/>
      <c r="H7490" s="7">
        <f t="shared" si="1"/>
        <v>1029</v>
      </c>
    </row>
    <row r="7491" ht="22.5" customHeight="1">
      <c r="B7491" s="7"/>
      <c r="C7491" s="7"/>
      <c r="D7491" s="7"/>
      <c r="E7491" s="7"/>
      <c r="F7491" s="7"/>
      <c r="G7491" s="7"/>
      <c r="H7491" s="7">
        <f t="shared" si="1"/>
        <v>1029</v>
      </c>
    </row>
    <row r="7492" ht="22.5" customHeight="1">
      <c r="B7492" s="7"/>
      <c r="C7492" s="7"/>
      <c r="D7492" s="7"/>
      <c r="E7492" s="7"/>
      <c r="F7492" s="7"/>
      <c r="G7492" s="7"/>
      <c r="H7492" s="7">
        <f t="shared" si="1"/>
        <v>1029</v>
      </c>
    </row>
    <row r="7493" ht="22.5" customHeight="1">
      <c r="B7493" s="7"/>
      <c r="C7493" s="7"/>
      <c r="D7493" s="7"/>
      <c r="E7493" s="7"/>
      <c r="F7493" s="7"/>
      <c r="G7493" s="7"/>
      <c r="H7493" s="7">
        <f t="shared" si="1"/>
        <v>1029</v>
      </c>
    </row>
    <row r="7494" ht="22.5" customHeight="1">
      <c r="B7494" s="7"/>
      <c r="C7494" s="7"/>
      <c r="D7494" s="7"/>
      <c r="E7494" s="7"/>
      <c r="F7494" s="7"/>
      <c r="G7494" s="7"/>
      <c r="H7494" s="7">
        <f t="shared" si="1"/>
        <v>1029</v>
      </c>
    </row>
    <row r="7495" ht="22.5" customHeight="1">
      <c r="B7495" s="7"/>
      <c r="C7495" s="7"/>
      <c r="D7495" s="7"/>
      <c r="E7495" s="7"/>
      <c r="F7495" s="7"/>
      <c r="G7495" s="7"/>
      <c r="H7495" s="7">
        <f t="shared" si="1"/>
        <v>1029</v>
      </c>
    </row>
    <row r="7496" ht="22.5" customHeight="1">
      <c r="B7496" s="7"/>
      <c r="C7496" s="7"/>
      <c r="D7496" s="7"/>
      <c r="E7496" s="7"/>
      <c r="F7496" s="7"/>
      <c r="G7496" s="7"/>
      <c r="H7496" s="7">
        <f t="shared" si="1"/>
        <v>1029</v>
      </c>
    </row>
    <row r="7497" ht="22.5" customHeight="1">
      <c r="B7497" s="7"/>
      <c r="C7497" s="7"/>
      <c r="D7497" s="7"/>
      <c r="E7497" s="7"/>
      <c r="F7497" s="7"/>
      <c r="G7497" s="7"/>
      <c r="H7497" s="7">
        <f t="shared" si="1"/>
        <v>1029</v>
      </c>
    </row>
    <row r="7498" ht="22.5" customHeight="1">
      <c r="B7498" s="7"/>
      <c r="C7498" s="7"/>
      <c r="D7498" s="7"/>
      <c r="E7498" s="7"/>
      <c r="F7498" s="7"/>
      <c r="G7498" s="7"/>
      <c r="H7498" s="7">
        <f t="shared" si="1"/>
        <v>1029</v>
      </c>
    </row>
    <row r="7499" ht="22.5" customHeight="1">
      <c r="B7499" s="7"/>
      <c r="C7499" s="7"/>
      <c r="D7499" s="7"/>
      <c r="E7499" s="7"/>
      <c r="F7499" s="7"/>
      <c r="G7499" s="7"/>
      <c r="H7499" s="7">
        <f t="shared" si="1"/>
        <v>1029</v>
      </c>
    </row>
    <row r="7500" ht="22.5" customHeight="1">
      <c r="B7500" s="7"/>
      <c r="C7500" s="7"/>
      <c r="D7500" s="7"/>
      <c r="E7500" s="7"/>
      <c r="F7500" s="7"/>
      <c r="G7500" s="7"/>
      <c r="H7500" s="7">
        <f t="shared" si="1"/>
        <v>1029</v>
      </c>
    </row>
    <row r="7501" ht="22.5" customHeight="1">
      <c r="B7501" s="7"/>
      <c r="C7501" s="7"/>
      <c r="D7501" s="7"/>
      <c r="E7501" s="7"/>
      <c r="F7501" s="7"/>
      <c r="G7501" s="7"/>
      <c r="H7501" s="7">
        <f t="shared" si="1"/>
        <v>1029</v>
      </c>
    </row>
    <row r="7502" ht="22.5" customHeight="1">
      <c r="B7502" s="7"/>
      <c r="C7502" s="7"/>
      <c r="D7502" s="7"/>
      <c r="E7502" s="7"/>
      <c r="F7502" s="7"/>
      <c r="G7502" s="7"/>
      <c r="H7502" s="7">
        <f t="shared" si="1"/>
        <v>1029</v>
      </c>
    </row>
    <row r="7503" ht="22.5" customHeight="1">
      <c r="B7503" s="7"/>
      <c r="C7503" s="7"/>
      <c r="D7503" s="7"/>
      <c r="E7503" s="7"/>
      <c r="F7503" s="7"/>
      <c r="G7503" s="7"/>
      <c r="H7503" s="7">
        <f t="shared" si="1"/>
        <v>1029</v>
      </c>
    </row>
    <row r="7504" ht="22.5" customHeight="1">
      <c r="B7504" s="7"/>
      <c r="C7504" s="7"/>
      <c r="D7504" s="7"/>
      <c r="E7504" s="7"/>
      <c r="F7504" s="7"/>
      <c r="G7504" s="7"/>
      <c r="H7504" s="7">
        <f t="shared" si="1"/>
        <v>1029</v>
      </c>
    </row>
    <row r="7505" ht="22.5" customHeight="1">
      <c r="B7505" s="7"/>
      <c r="C7505" s="7"/>
      <c r="D7505" s="7"/>
      <c r="E7505" s="7"/>
      <c r="F7505" s="7"/>
      <c r="G7505" s="7"/>
      <c r="H7505" s="7">
        <f t="shared" si="1"/>
        <v>1029</v>
      </c>
    </row>
    <row r="7506" ht="22.5" customHeight="1">
      <c r="B7506" s="7"/>
      <c r="C7506" s="7"/>
      <c r="D7506" s="7"/>
      <c r="E7506" s="7"/>
      <c r="F7506" s="7"/>
      <c r="G7506" s="7"/>
      <c r="H7506" s="7">
        <f t="shared" si="1"/>
        <v>1029</v>
      </c>
    </row>
    <row r="7507" ht="22.5" customHeight="1">
      <c r="B7507" s="7"/>
      <c r="C7507" s="7"/>
      <c r="D7507" s="7"/>
      <c r="E7507" s="7"/>
      <c r="F7507" s="7"/>
      <c r="G7507" s="7"/>
      <c r="H7507" s="7">
        <f t="shared" si="1"/>
        <v>1029</v>
      </c>
    </row>
    <row r="7508" ht="22.5" customHeight="1">
      <c r="B7508" s="7"/>
      <c r="C7508" s="7"/>
      <c r="D7508" s="7"/>
      <c r="E7508" s="7"/>
      <c r="F7508" s="7"/>
      <c r="G7508" s="7"/>
      <c r="H7508" s="7">
        <f t="shared" si="1"/>
        <v>1029</v>
      </c>
    </row>
    <row r="7509" ht="22.5" customHeight="1">
      <c r="B7509" s="7"/>
      <c r="C7509" s="7"/>
      <c r="D7509" s="7"/>
      <c r="E7509" s="7"/>
      <c r="F7509" s="7"/>
      <c r="G7509" s="7"/>
      <c r="H7509" s="7">
        <f t="shared" si="1"/>
        <v>1029</v>
      </c>
    </row>
    <row r="7510" ht="22.5" customHeight="1">
      <c r="B7510" s="7"/>
      <c r="C7510" s="7"/>
      <c r="D7510" s="7"/>
      <c r="E7510" s="7"/>
      <c r="F7510" s="7"/>
      <c r="G7510" s="7"/>
      <c r="H7510" s="7">
        <f t="shared" si="1"/>
        <v>1029</v>
      </c>
    </row>
    <row r="7511" ht="22.5" customHeight="1">
      <c r="B7511" s="7"/>
      <c r="C7511" s="7"/>
      <c r="D7511" s="7"/>
      <c r="E7511" s="7"/>
      <c r="F7511" s="7"/>
      <c r="G7511" s="7"/>
      <c r="H7511" s="7">
        <f t="shared" si="1"/>
        <v>1029</v>
      </c>
    </row>
    <row r="7512" ht="22.5" customHeight="1">
      <c r="B7512" s="7"/>
      <c r="C7512" s="7"/>
      <c r="D7512" s="7"/>
      <c r="E7512" s="7"/>
      <c r="F7512" s="7"/>
      <c r="G7512" s="7"/>
      <c r="H7512" s="7">
        <f t="shared" si="1"/>
        <v>1029</v>
      </c>
    </row>
    <row r="7513" ht="22.5" customHeight="1">
      <c r="B7513" s="7"/>
      <c r="C7513" s="7"/>
      <c r="D7513" s="7"/>
      <c r="E7513" s="7"/>
      <c r="F7513" s="7"/>
      <c r="G7513" s="7"/>
      <c r="H7513" s="7">
        <f t="shared" si="1"/>
        <v>1029</v>
      </c>
    </row>
    <row r="7514" ht="22.5" customHeight="1">
      <c r="B7514" s="7"/>
      <c r="C7514" s="7"/>
      <c r="D7514" s="7"/>
      <c r="E7514" s="7"/>
      <c r="F7514" s="7"/>
      <c r="G7514" s="7"/>
      <c r="H7514" s="7">
        <f t="shared" si="1"/>
        <v>1029</v>
      </c>
    </row>
    <row r="7515" ht="22.5" customHeight="1">
      <c r="B7515" s="7"/>
      <c r="C7515" s="7"/>
      <c r="D7515" s="7"/>
      <c r="E7515" s="7"/>
      <c r="F7515" s="7"/>
      <c r="G7515" s="7"/>
      <c r="H7515" s="7">
        <f t="shared" si="1"/>
        <v>1029</v>
      </c>
    </row>
    <row r="7516" ht="22.5" customHeight="1">
      <c r="B7516" s="7"/>
      <c r="C7516" s="7"/>
      <c r="D7516" s="7"/>
      <c r="E7516" s="7"/>
      <c r="F7516" s="7"/>
      <c r="G7516" s="7"/>
      <c r="H7516" s="7">
        <f t="shared" si="1"/>
        <v>1029</v>
      </c>
    </row>
    <row r="7517" ht="22.5" customHeight="1">
      <c r="B7517" s="7"/>
      <c r="C7517" s="7"/>
      <c r="D7517" s="7"/>
      <c r="E7517" s="7"/>
      <c r="F7517" s="7"/>
      <c r="G7517" s="7"/>
      <c r="H7517" s="7">
        <f t="shared" si="1"/>
        <v>1029</v>
      </c>
    </row>
    <row r="7518" ht="22.5" customHeight="1">
      <c r="B7518" s="7"/>
      <c r="C7518" s="7"/>
      <c r="D7518" s="7"/>
      <c r="E7518" s="7"/>
      <c r="F7518" s="7"/>
      <c r="G7518" s="7"/>
      <c r="H7518" s="7">
        <f t="shared" si="1"/>
        <v>1029</v>
      </c>
    </row>
    <row r="7519" ht="22.5" customHeight="1">
      <c r="B7519" s="7"/>
      <c r="C7519" s="7"/>
      <c r="D7519" s="7"/>
      <c r="E7519" s="7"/>
      <c r="F7519" s="7"/>
      <c r="G7519" s="7"/>
      <c r="H7519" s="7">
        <f t="shared" si="1"/>
        <v>1029</v>
      </c>
    </row>
    <row r="7520" ht="22.5" customHeight="1">
      <c r="B7520" s="7"/>
      <c r="C7520" s="7"/>
      <c r="D7520" s="7"/>
      <c r="E7520" s="7"/>
      <c r="F7520" s="7"/>
      <c r="G7520" s="7"/>
      <c r="H7520" s="7">
        <f t="shared" si="1"/>
        <v>1029</v>
      </c>
    </row>
    <row r="7521" ht="22.5" customHeight="1">
      <c r="B7521" s="7"/>
      <c r="C7521" s="7"/>
      <c r="D7521" s="7"/>
      <c r="E7521" s="7"/>
      <c r="F7521" s="7"/>
      <c r="G7521" s="7"/>
      <c r="H7521" s="7">
        <f t="shared" si="1"/>
        <v>1029</v>
      </c>
    </row>
    <row r="7522" ht="22.5" customHeight="1">
      <c r="B7522" s="7"/>
      <c r="C7522" s="7"/>
      <c r="D7522" s="7"/>
      <c r="E7522" s="7"/>
      <c r="F7522" s="7"/>
      <c r="G7522" s="7"/>
      <c r="H7522" s="7">
        <f t="shared" si="1"/>
        <v>1029</v>
      </c>
    </row>
    <row r="7523" ht="22.5" customHeight="1">
      <c r="B7523" s="7"/>
      <c r="C7523" s="7"/>
      <c r="D7523" s="7"/>
      <c r="E7523" s="7"/>
      <c r="F7523" s="7"/>
      <c r="G7523" s="7"/>
      <c r="H7523" s="7">
        <f t="shared" si="1"/>
        <v>1029</v>
      </c>
    </row>
    <row r="7524" ht="22.5" customHeight="1">
      <c r="B7524" s="7"/>
      <c r="C7524" s="7"/>
      <c r="D7524" s="7"/>
      <c r="E7524" s="7"/>
      <c r="F7524" s="7"/>
      <c r="G7524" s="7"/>
      <c r="H7524" s="7">
        <f t="shared" si="1"/>
        <v>1029</v>
      </c>
    </row>
    <row r="7525" ht="22.5" customHeight="1">
      <c r="B7525" s="7"/>
      <c r="C7525" s="7"/>
      <c r="D7525" s="7"/>
      <c r="E7525" s="7"/>
      <c r="F7525" s="7"/>
      <c r="G7525" s="7"/>
      <c r="H7525" s="7">
        <f t="shared" si="1"/>
        <v>1029</v>
      </c>
    </row>
    <row r="7526" ht="22.5" customHeight="1">
      <c r="B7526" s="7"/>
      <c r="C7526" s="7"/>
      <c r="D7526" s="7"/>
      <c r="E7526" s="7"/>
      <c r="F7526" s="7"/>
      <c r="G7526" s="7"/>
      <c r="H7526" s="7">
        <f t="shared" si="1"/>
        <v>1029</v>
      </c>
    </row>
    <row r="7527" ht="22.5" customHeight="1">
      <c r="B7527" s="7"/>
      <c r="C7527" s="7"/>
      <c r="D7527" s="7"/>
      <c r="E7527" s="7"/>
      <c r="F7527" s="7"/>
      <c r="G7527" s="7"/>
      <c r="H7527" s="7">
        <f t="shared" si="1"/>
        <v>1029</v>
      </c>
    </row>
    <row r="7528" ht="22.5" customHeight="1">
      <c r="B7528" s="7"/>
      <c r="C7528" s="7"/>
      <c r="D7528" s="7"/>
      <c r="E7528" s="7"/>
      <c r="F7528" s="7"/>
      <c r="G7528" s="7"/>
      <c r="H7528" s="7">
        <f t="shared" si="1"/>
        <v>1029</v>
      </c>
    </row>
    <row r="7529" ht="22.5" customHeight="1">
      <c r="B7529" s="7"/>
      <c r="C7529" s="7"/>
      <c r="D7529" s="7"/>
      <c r="E7529" s="7"/>
      <c r="F7529" s="7"/>
      <c r="G7529" s="7"/>
      <c r="H7529" s="7">
        <f t="shared" si="1"/>
        <v>1029</v>
      </c>
    </row>
    <row r="7530" ht="22.5" customHeight="1">
      <c r="B7530" s="7"/>
      <c r="C7530" s="7"/>
      <c r="D7530" s="7"/>
      <c r="E7530" s="7"/>
      <c r="F7530" s="7"/>
      <c r="G7530" s="7"/>
      <c r="H7530" s="7">
        <f t="shared" si="1"/>
        <v>1029</v>
      </c>
    </row>
    <row r="7531" ht="22.5" customHeight="1">
      <c r="B7531" s="7"/>
      <c r="C7531" s="7"/>
      <c r="D7531" s="7"/>
      <c r="E7531" s="7"/>
      <c r="F7531" s="7"/>
      <c r="G7531" s="7"/>
      <c r="H7531" s="7">
        <f t="shared" si="1"/>
        <v>1029</v>
      </c>
    </row>
    <row r="7532" ht="22.5" customHeight="1">
      <c r="B7532" s="7"/>
      <c r="C7532" s="7"/>
      <c r="D7532" s="7"/>
      <c r="E7532" s="7"/>
      <c r="F7532" s="7"/>
      <c r="G7532" s="7"/>
      <c r="H7532" s="7">
        <f t="shared" si="1"/>
        <v>1029</v>
      </c>
    </row>
    <row r="7533" ht="22.5" customHeight="1">
      <c r="B7533" s="7"/>
      <c r="C7533" s="7"/>
      <c r="D7533" s="7"/>
      <c r="E7533" s="7"/>
      <c r="F7533" s="7"/>
      <c r="G7533" s="7"/>
      <c r="H7533" s="7">
        <f t="shared" si="1"/>
        <v>1029</v>
      </c>
    </row>
    <row r="7534" ht="22.5" customHeight="1">
      <c r="B7534" s="7"/>
      <c r="C7534" s="7"/>
      <c r="D7534" s="7"/>
      <c r="E7534" s="7"/>
      <c r="F7534" s="7"/>
      <c r="G7534" s="7"/>
      <c r="H7534" s="7">
        <f t="shared" si="1"/>
        <v>1029</v>
      </c>
    </row>
    <row r="7535" ht="22.5" customHeight="1">
      <c r="B7535" s="7"/>
      <c r="C7535" s="7"/>
      <c r="D7535" s="7"/>
      <c r="E7535" s="7"/>
      <c r="F7535" s="7"/>
      <c r="G7535" s="7"/>
      <c r="H7535" s="7">
        <f t="shared" si="1"/>
        <v>1029</v>
      </c>
    </row>
    <row r="7536" ht="22.5" customHeight="1">
      <c r="B7536" s="7"/>
      <c r="C7536" s="7"/>
      <c r="D7536" s="7"/>
      <c r="E7536" s="7"/>
      <c r="F7536" s="7"/>
      <c r="G7536" s="7"/>
      <c r="H7536" s="7">
        <f t="shared" si="1"/>
        <v>1029</v>
      </c>
    </row>
    <row r="7537" ht="22.5" customHeight="1">
      <c r="B7537" s="7"/>
      <c r="C7537" s="7"/>
      <c r="D7537" s="7"/>
      <c r="E7537" s="7"/>
      <c r="F7537" s="7"/>
      <c r="G7537" s="7"/>
      <c r="H7537" s="7">
        <f t="shared" si="1"/>
        <v>1029</v>
      </c>
    </row>
    <row r="7538" ht="22.5" customHeight="1">
      <c r="B7538" s="7"/>
      <c r="C7538" s="7"/>
      <c r="D7538" s="7"/>
      <c r="E7538" s="7"/>
      <c r="F7538" s="7"/>
      <c r="G7538" s="7"/>
      <c r="H7538" s="7">
        <f t="shared" si="1"/>
        <v>1029</v>
      </c>
    </row>
    <row r="7539" ht="22.5" customHeight="1">
      <c r="B7539" s="7"/>
      <c r="C7539" s="7"/>
      <c r="D7539" s="7"/>
      <c r="E7539" s="7"/>
      <c r="F7539" s="7"/>
      <c r="G7539" s="7"/>
      <c r="H7539" s="7">
        <f t="shared" si="1"/>
        <v>1029</v>
      </c>
    </row>
    <row r="7540" ht="22.5" customHeight="1">
      <c r="B7540" s="7"/>
      <c r="C7540" s="7"/>
      <c r="D7540" s="7"/>
      <c r="E7540" s="7"/>
      <c r="F7540" s="7"/>
      <c r="G7540" s="7"/>
      <c r="H7540" s="7">
        <f t="shared" si="1"/>
        <v>1029</v>
      </c>
    </row>
    <row r="7541" ht="22.5" customHeight="1">
      <c r="B7541" s="7"/>
      <c r="C7541" s="7"/>
      <c r="D7541" s="7"/>
      <c r="E7541" s="7"/>
      <c r="F7541" s="7"/>
      <c r="G7541" s="7"/>
      <c r="H7541" s="7">
        <f t="shared" si="1"/>
        <v>1029</v>
      </c>
    </row>
    <row r="7542" ht="22.5" customHeight="1">
      <c r="B7542" s="7"/>
      <c r="C7542" s="7"/>
      <c r="D7542" s="7"/>
      <c r="E7542" s="7"/>
      <c r="F7542" s="7"/>
      <c r="G7542" s="7"/>
      <c r="H7542" s="7">
        <f t="shared" si="1"/>
        <v>1029</v>
      </c>
    </row>
    <row r="7543" ht="22.5" customHeight="1">
      <c r="B7543" s="7"/>
      <c r="C7543" s="7"/>
      <c r="D7543" s="7"/>
      <c r="E7543" s="7"/>
      <c r="F7543" s="7"/>
      <c r="G7543" s="7"/>
      <c r="H7543" s="7">
        <f t="shared" si="1"/>
        <v>1029</v>
      </c>
    </row>
    <row r="7544" ht="22.5" customHeight="1">
      <c r="B7544" s="7"/>
      <c r="C7544" s="7"/>
      <c r="D7544" s="7"/>
      <c r="E7544" s="7"/>
      <c r="F7544" s="7"/>
      <c r="G7544" s="7"/>
      <c r="H7544" s="7">
        <f t="shared" si="1"/>
        <v>1029</v>
      </c>
    </row>
    <row r="7545" ht="22.5" customHeight="1">
      <c r="B7545" s="7"/>
      <c r="C7545" s="7"/>
      <c r="D7545" s="7"/>
      <c r="E7545" s="7"/>
      <c r="F7545" s="7"/>
      <c r="G7545" s="7"/>
      <c r="H7545" s="7">
        <f t="shared" si="1"/>
        <v>1029</v>
      </c>
    </row>
    <row r="7546" ht="22.5" customHeight="1">
      <c r="B7546" s="7"/>
      <c r="C7546" s="7"/>
      <c r="D7546" s="7"/>
      <c r="E7546" s="7"/>
      <c r="F7546" s="7"/>
      <c r="G7546" s="7"/>
      <c r="H7546" s="7">
        <f t="shared" si="1"/>
        <v>1029</v>
      </c>
    </row>
    <row r="7547" ht="22.5" customHeight="1">
      <c r="B7547" s="7"/>
      <c r="C7547" s="7"/>
      <c r="D7547" s="7"/>
      <c r="E7547" s="7"/>
      <c r="F7547" s="7"/>
      <c r="G7547" s="7"/>
      <c r="H7547" s="7">
        <f t="shared" si="1"/>
        <v>1029</v>
      </c>
    </row>
    <row r="7548" ht="22.5" customHeight="1">
      <c r="B7548" s="7"/>
      <c r="C7548" s="7"/>
      <c r="D7548" s="7"/>
      <c r="E7548" s="7"/>
      <c r="F7548" s="7"/>
      <c r="G7548" s="7"/>
      <c r="H7548" s="7">
        <f t="shared" si="1"/>
        <v>1029</v>
      </c>
    </row>
    <row r="7549" ht="22.5" customHeight="1">
      <c r="B7549" s="7"/>
      <c r="C7549" s="7"/>
      <c r="D7549" s="7"/>
      <c r="E7549" s="7"/>
      <c r="F7549" s="7"/>
      <c r="G7549" s="7"/>
      <c r="H7549" s="7">
        <f t="shared" si="1"/>
        <v>1029</v>
      </c>
    </row>
    <row r="7550" ht="22.5" customHeight="1">
      <c r="B7550" s="7"/>
      <c r="C7550" s="7"/>
      <c r="D7550" s="7"/>
      <c r="E7550" s="7"/>
      <c r="F7550" s="7"/>
      <c r="G7550" s="7"/>
      <c r="H7550" s="7">
        <f t="shared" si="1"/>
        <v>1029</v>
      </c>
    </row>
    <row r="7551" ht="22.5" customHeight="1">
      <c r="B7551" s="7"/>
      <c r="C7551" s="7"/>
      <c r="D7551" s="7"/>
      <c r="E7551" s="7"/>
      <c r="F7551" s="7"/>
      <c r="G7551" s="7"/>
      <c r="H7551" s="7">
        <f t="shared" si="1"/>
        <v>1029</v>
      </c>
    </row>
    <row r="7552" ht="22.5" customHeight="1">
      <c r="B7552" s="7"/>
      <c r="C7552" s="7"/>
      <c r="D7552" s="7"/>
      <c r="E7552" s="7"/>
      <c r="F7552" s="7"/>
      <c r="G7552" s="7"/>
      <c r="H7552" s="7">
        <f t="shared" si="1"/>
        <v>1029</v>
      </c>
    </row>
    <row r="7553" ht="22.5" customHeight="1">
      <c r="B7553" s="7"/>
      <c r="C7553" s="7"/>
      <c r="D7553" s="7"/>
      <c r="E7553" s="7"/>
      <c r="F7553" s="7"/>
      <c r="G7553" s="7"/>
      <c r="H7553" s="7">
        <f t="shared" si="1"/>
        <v>1029</v>
      </c>
    </row>
    <row r="7554" ht="22.5" customHeight="1">
      <c r="B7554" s="7"/>
      <c r="C7554" s="7"/>
      <c r="D7554" s="7"/>
      <c r="E7554" s="7"/>
      <c r="F7554" s="7"/>
      <c r="G7554" s="7"/>
      <c r="H7554" s="7">
        <f t="shared" si="1"/>
        <v>1029</v>
      </c>
    </row>
    <row r="7555" ht="22.5" customHeight="1">
      <c r="B7555" s="7"/>
      <c r="C7555" s="7"/>
      <c r="D7555" s="7"/>
      <c r="E7555" s="7"/>
      <c r="F7555" s="7"/>
      <c r="G7555" s="7"/>
      <c r="H7555" s="7">
        <f t="shared" si="1"/>
        <v>1029</v>
      </c>
    </row>
    <row r="7556" ht="22.5" customHeight="1">
      <c r="B7556" s="7"/>
      <c r="C7556" s="7"/>
      <c r="D7556" s="7"/>
      <c r="E7556" s="7"/>
      <c r="F7556" s="7"/>
      <c r="G7556" s="7"/>
      <c r="H7556" s="7">
        <f t="shared" si="1"/>
        <v>1029</v>
      </c>
    </row>
    <row r="7557" ht="22.5" customHeight="1">
      <c r="B7557" s="7"/>
      <c r="C7557" s="7"/>
      <c r="D7557" s="7"/>
      <c r="E7557" s="7"/>
      <c r="F7557" s="7"/>
      <c r="G7557" s="7"/>
      <c r="H7557" s="7">
        <f t="shared" si="1"/>
        <v>1029</v>
      </c>
    </row>
    <row r="7558" ht="22.5" customHeight="1">
      <c r="B7558" s="7"/>
      <c r="C7558" s="7"/>
      <c r="D7558" s="7"/>
      <c r="E7558" s="7"/>
      <c r="F7558" s="7"/>
      <c r="G7558" s="7"/>
      <c r="H7558" s="7">
        <f t="shared" si="1"/>
        <v>1029</v>
      </c>
    </row>
    <row r="7559" ht="22.5" customHeight="1">
      <c r="B7559" s="7"/>
      <c r="C7559" s="7"/>
      <c r="D7559" s="7"/>
      <c r="E7559" s="7"/>
      <c r="F7559" s="7"/>
      <c r="G7559" s="7"/>
      <c r="H7559" s="7">
        <f t="shared" si="1"/>
        <v>1029</v>
      </c>
    </row>
    <row r="7560" ht="22.5" customHeight="1">
      <c r="B7560" s="7"/>
      <c r="C7560" s="7"/>
      <c r="D7560" s="7"/>
      <c r="E7560" s="7"/>
      <c r="F7560" s="7"/>
      <c r="G7560" s="7"/>
      <c r="H7560" s="7">
        <f t="shared" si="1"/>
        <v>1029</v>
      </c>
    </row>
    <row r="7561" ht="22.5" customHeight="1">
      <c r="B7561" s="7"/>
      <c r="C7561" s="7"/>
      <c r="D7561" s="7"/>
      <c r="E7561" s="7"/>
      <c r="F7561" s="7"/>
      <c r="G7561" s="7"/>
      <c r="H7561" s="7">
        <f t="shared" si="1"/>
        <v>1029</v>
      </c>
    </row>
    <row r="7562" ht="22.5" customHeight="1">
      <c r="B7562" s="7"/>
      <c r="C7562" s="7"/>
      <c r="D7562" s="7"/>
      <c r="E7562" s="7"/>
      <c r="F7562" s="7"/>
      <c r="G7562" s="7"/>
      <c r="H7562" s="7">
        <f t="shared" si="1"/>
        <v>1029</v>
      </c>
    </row>
    <row r="7563" ht="22.5" customHeight="1">
      <c r="B7563" s="7"/>
      <c r="C7563" s="7"/>
      <c r="D7563" s="7"/>
      <c r="E7563" s="7"/>
      <c r="F7563" s="7"/>
      <c r="G7563" s="7"/>
      <c r="H7563" s="7">
        <f t="shared" si="1"/>
        <v>1029</v>
      </c>
    </row>
    <row r="7564" ht="22.5" customHeight="1">
      <c r="B7564" s="7"/>
      <c r="C7564" s="7"/>
      <c r="D7564" s="7"/>
      <c r="E7564" s="7"/>
      <c r="F7564" s="7"/>
      <c r="G7564" s="7"/>
      <c r="H7564" s="7">
        <f t="shared" si="1"/>
        <v>1029</v>
      </c>
    </row>
    <row r="7565" ht="22.5" customHeight="1">
      <c r="B7565" s="7"/>
      <c r="C7565" s="7"/>
      <c r="D7565" s="7"/>
      <c r="E7565" s="7"/>
      <c r="F7565" s="7"/>
      <c r="G7565" s="7"/>
      <c r="H7565" s="7">
        <f t="shared" si="1"/>
        <v>1029</v>
      </c>
    </row>
    <row r="7566" ht="22.5" customHeight="1">
      <c r="B7566" s="7"/>
      <c r="C7566" s="7"/>
      <c r="D7566" s="7"/>
      <c r="E7566" s="7"/>
      <c r="F7566" s="7"/>
      <c r="G7566" s="7"/>
      <c r="H7566" s="7">
        <f t="shared" si="1"/>
        <v>1029</v>
      </c>
    </row>
    <row r="7567" ht="22.5" customHeight="1">
      <c r="B7567" s="7"/>
      <c r="C7567" s="7"/>
      <c r="D7567" s="7"/>
      <c r="E7567" s="7"/>
      <c r="F7567" s="7"/>
      <c r="G7567" s="7"/>
      <c r="H7567" s="7">
        <f t="shared" si="1"/>
        <v>1029</v>
      </c>
    </row>
    <row r="7568" ht="22.5" customHeight="1">
      <c r="B7568" s="7"/>
      <c r="C7568" s="7"/>
      <c r="D7568" s="7"/>
      <c r="E7568" s="7"/>
      <c r="F7568" s="7"/>
      <c r="G7568" s="7"/>
      <c r="H7568" s="7">
        <f t="shared" si="1"/>
        <v>1029</v>
      </c>
    </row>
    <row r="7569" ht="22.5" customHeight="1">
      <c r="B7569" s="7"/>
      <c r="C7569" s="7"/>
      <c r="D7569" s="7"/>
      <c r="E7569" s="7"/>
      <c r="F7569" s="7"/>
      <c r="G7569" s="7"/>
      <c r="H7569" s="7">
        <f t="shared" si="1"/>
        <v>1029</v>
      </c>
    </row>
    <row r="7570" ht="22.5" customHeight="1">
      <c r="B7570" s="7"/>
      <c r="C7570" s="7"/>
      <c r="D7570" s="7"/>
      <c r="E7570" s="7"/>
      <c r="F7570" s="7"/>
      <c r="G7570" s="7"/>
      <c r="H7570" s="7">
        <f t="shared" si="1"/>
        <v>1029</v>
      </c>
    </row>
    <row r="7571" ht="22.5" customHeight="1">
      <c r="B7571" s="7"/>
      <c r="C7571" s="7"/>
      <c r="D7571" s="7"/>
      <c r="E7571" s="7"/>
      <c r="F7571" s="7"/>
      <c r="G7571" s="7"/>
      <c r="H7571" s="7">
        <f t="shared" si="1"/>
        <v>1029</v>
      </c>
    </row>
    <row r="7572" ht="22.5" customHeight="1">
      <c r="B7572" s="7"/>
      <c r="C7572" s="7"/>
      <c r="D7572" s="7"/>
      <c r="E7572" s="7"/>
      <c r="F7572" s="7"/>
      <c r="G7572" s="7"/>
      <c r="H7572" s="7">
        <f t="shared" si="1"/>
        <v>1029</v>
      </c>
    </row>
    <row r="7573" ht="22.5" customHeight="1">
      <c r="B7573" s="7"/>
      <c r="C7573" s="7"/>
      <c r="D7573" s="7"/>
      <c r="E7573" s="7"/>
      <c r="F7573" s="7"/>
      <c r="G7573" s="7"/>
      <c r="H7573" s="7">
        <f t="shared" si="1"/>
        <v>1029</v>
      </c>
    </row>
    <row r="7574" ht="22.5" customHeight="1">
      <c r="B7574" s="7"/>
      <c r="C7574" s="7"/>
      <c r="D7574" s="7"/>
      <c r="E7574" s="7"/>
      <c r="F7574" s="7"/>
      <c r="G7574" s="7"/>
      <c r="H7574" s="7">
        <f t="shared" si="1"/>
        <v>1029</v>
      </c>
    </row>
    <row r="7575" ht="22.5" customHeight="1">
      <c r="B7575" s="7"/>
      <c r="C7575" s="7"/>
      <c r="D7575" s="7"/>
      <c r="E7575" s="7"/>
      <c r="F7575" s="7"/>
      <c r="G7575" s="7"/>
      <c r="H7575" s="7">
        <f t="shared" si="1"/>
        <v>1029</v>
      </c>
    </row>
    <row r="7576" ht="22.5" customHeight="1">
      <c r="B7576" s="7"/>
      <c r="C7576" s="7"/>
      <c r="D7576" s="7"/>
      <c r="E7576" s="7"/>
      <c r="F7576" s="7"/>
      <c r="G7576" s="7"/>
      <c r="H7576" s="7">
        <f t="shared" si="1"/>
        <v>1029</v>
      </c>
    </row>
    <row r="7577" ht="22.5" customHeight="1">
      <c r="B7577" s="7"/>
      <c r="C7577" s="7"/>
      <c r="D7577" s="7"/>
      <c r="E7577" s="7"/>
      <c r="F7577" s="7"/>
      <c r="G7577" s="7"/>
      <c r="H7577" s="7">
        <f t="shared" si="1"/>
        <v>1029</v>
      </c>
    </row>
    <row r="7578" ht="22.5" customHeight="1">
      <c r="B7578" s="7"/>
      <c r="C7578" s="7"/>
      <c r="D7578" s="7"/>
      <c r="E7578" s="7"/>
      <c r="F7578" s="7"/>
      <c r="G7578" s="7"/>
      <c r="H7578" s="7">
        <f t="shared" si="1"/>
        <v>1029</v>
      </c>
    </row>
    <row r="7579" ht="22.5" customHeight="1">
      <c r="B7579" s="7"/>
      <c r="C7579" s="7"/>
      <c r="D7579" s="7"/>
      <c r="E7579" s="7"/>
      <c r="F7579" s="7"/>
      <c r="G7579" s="7"/>
      <c r="H7579" s="7">
        <f t="shared" si="1"/>
        <v>1029</v>
      </c>
    </row>
    <row r="7580" ht="22.5" customHeight="1">
      <c r="B7580" s="7"/>
      <c r="C7580" s="7"/>
      <c r="D7580" s="7"/>
      <c r="E7580" s="7"/>
      <c r="F7580" s="7"/>
      <c r="G7580" s="7"/>
      <c r="H7580" s="7">
        <f t="shared" si="1"/>
        <v>1029</v>
      </c>
    </row>
    <row r="7581" ht="22.5" customHeight="1">
      <c r="B7581" s="7"/>
      <c r="C7581" s="7"/>
      <c r="D7581" s="7"/>
      <c r="E7581" s="7"/>
      <c r="F7581" s="7"/>
      <c r="G7581" s="7"/>
      <c r="H7581" s="7">
        <f t="shared" si="1"/>
        <v>1029</v>
      </c>
    </row>
    <row r="7582" ht="22.5" customHeight="1">
      <c r="B7582" s="7"/>
      <c r="C7582" s="7"/>
      <c r="D7582" s="7"/>
      <c r="E7582" s="7"/>
      <c r="F7582" s="7"/>
      <c r="G7582" s="7"/>
      <c r="H7582" s="7">
        <f t="shared" si="1"/>
        <v>1029</v>
      </c>
    </row>
    <row r="7583" ht="22.5" customHeight="1">
      <c r="B7583" s="7"/>
      <c r="C7583" s="7"/>
      <c r="D7583" s="7"/>
      <c r="E7583" s="7"/>
      <c r="F7583" s="7"/>
      <c r="G7583" s="7"/>
      <c r="H7583" s="7">
        <f t="shared" si="1"/>
        <v>1029</v>
      </c>
    </row>
    <row r="7584" ht="22.5" customHeight="1">
      <c r="B7584" s="7"/>
      <c r="C7584" s="7"/>
      <c r="D7584" s="7"/>
      <c r="E7584" s="7"/>
      <c r="F7584" s="7"/>
      <c r="G7584" s="7"/>
      <c r="H7584" s="7">
        <f t="shared" si="1"/>
        <v>1029</v>
      </c>
    </row>
    <row r="7585" ht="22.5" customHeight="1">
      <c r="B7585" s="7"/>
      <c r="C7585" s="7"/>
      <c r="D7585" s="7"/>
      <c r="E7585" s="7"/>
      <c r="F7585" s="7"/>
      <c r="G7585" s="7"/>
      <c r="H7585" s="7">
        <f t="shared" si="1"/>
        <v>1029</v>
      </c>
    </row>
    <row r="7586" ht="22.5" customHeight="1">
      <c r="B7586" s="7"/>
      <c r="C7586" s="7"/>
      <c r="D7586" s="7"/>
      <c r="E7586" s="7"/>
      <c r="F7586" s="7"/>
      <c r="G7586" s="7"/>
      <c r="H7586" s="7">
        <f t="shared" si="1"/>
        <v>1029</v>
      </c>
    </row>
    <row r="7587" ht="22.5" customHeight="1">
      <c r="B7587" s="7"/>
      <c r="C7587" s="7"/>
      <c r="D7587" s="7"/>
      <c r="E7587" s="7"/>
      <c r="F7587" s="7"/>
      <c r="G7587" s="7"/>
      <c r="H7587" s="7">
        <f t="shared" si="1"/>
        <v>1029</v>
      </c>
    </row>
    <row r="7588" ht="22.5" customHeight="1">
      <c r="B7588" s="7"/>
      <c r="C7588" s="7"/>
      <c r="D7588" s="7"/>
      <c r="E7588" s="7"/>
      <c r="F7588" s="7"/>
      <c r="G7588" s="7"/>
      <c r="H7588" s="7">
        <f t="shared" si="1"/>
        <v>1029</v>
      </c>
    </row>
    <row r="7589" ht="22.5" customHeight="1">
      <c r="B7589" s="7"/>
      <c r="C7589" s="7"/>
      <c r="D7589" s="7"/>
      <c r="E7589" s="7"/>
      <c r="F7589" s="7"/>
      <c r="G7589" s="7"/>
      <c r="H7589" s="7">
        <f t="shared" si="1"/>
        <v>1029</v>
      </c>
    </row>
    <row r="7590" ht="22.5" customHeight="1">
      <c r="B7590" s="7"/>
      <c r="C7590" s="7"/>
      <c r="D7590" s="7"/>
      <c r="E7590" s="7"/>
      <c r="F7590" s="7"/>
      <c r="G7590" s="7"/>
      <c r="H7590" s="7">
        <f t="shared" si="1"/>
        <v>1029</v>
      </c>
    </row>
    <row r="7591" ht="22.5" customHeight="1">
      <c r="B7591" s="7"/>
      <c r="C7591" s="7"/>
      <c r="D7591" s="7"/>
      <c r="E7591" s="7"/>
      <c r="F7591" s="7"/>
      <c r="G7591" s="7"/>
      <c r="H7591" s="7">
        <f t="shared" si="1"/>
        <v>1029</v>
      </c>
    </row>
    <row r="7592" ht="22.5" customHeight="1">
      <c r="B7592" s="7"/>
      <c r="C7592" s="7"/>
      <c r="D7592" s="7"/>
      <c r="E7592" s="7"/>
      <c r="F7592" s="7"/>
      <c r="G7592" s="7"/>
      <c r="H7592" s="7">
        <f t="shared" si="1"/>
        <v>1029</v>
      </c>
    </row>
    <row r="7593" ht="22.5" customHeight="1">
      <c r="B7593" s="7"/>
      <c r="C7593" s="7"/>
      <c r="D7593" s="7"/>
      <c r="E7593" s="7"/>
      <c r="F7593" s="7"/>
      <c r="G7593" s="7"/>
      <c r="H7593" s="7">
        <f t="shared" si="1"/>
        <v>1029</v>
      </c>
    </row>
    <row r="7594" ht="22.5" customHeight="1">
      <c r="B7594" s="7"/>
      <c r="C7594" s="7"/>
      <c r="D7594" s="7"/>
      <c r="E7594" s="7"/>
      <c r="F7594" s="7"/>
      <c r="G7594" s="7"/>
      <c r="H7594" s="7">
        <f t="shared" si="1"/>
        <v>1029</v>
      </c>
    </row>
    <row r="7595" ht="22.5" customHeight="1">
      <c r="B7595" s="7"/>
      <c r="C7595" s="7"/>
      <c r="D7595" s="7"/>
      <c r="E7595" s="7"/>
      <c r="F7595" s="7"/>
      <c r="G7595" s="7"/>
      <c r="H7595" s="7">
        <f t="shared" si="1"/>
        <v>1029</v>
      </c>
    </row>
    <row r="7596" ht="22.5" customHeight="1">
      <c r="B7596" s="7"/>
      <c r="C7596" s="7"/>
      <c r="D7596" s="7"/>
      <c r="E7596" s="7"/>
      <c r="F7596" s="7"/>
      <c r="G7596" s="7"/>
      <c r="H7596" s="7">
        <f t="shared" si="1"/>
        <v>1029</v>
      </c>
    </row>
    <row r="7597" ht="22.5" customHeight="1">
      <c r="B7597" s="7"/>
      <c r="C7597" s="7"/>
      <c r="D7597" s="7"/>
      <c r="E7597" s="7"/>
      <c r="F7597" s="7"/>
      <c r="G7597" s="7"/>
      <c r="H7597" s="7">
        <f t="shared" si="1"/>
        <v>1029</v>
      </c>
    </row>
    <row r="7598" ht="22.5" customHeight="1">
      <c r="B7598" s="7"/>
      <c r="C7598" s="7"/>
      <c r="D7598" s="7"/>
      <c r="E7598" s="7"/>
      <c r="F7598" s="7"/>
      <c r="G7598" s="7"/>
      <c r="H7598" s="7">
        <f t="shared" si="1"/>
        <v>1029</v>
      </c>
    </row>
    <row r="7599" ht="22.5" customHeight="1">
      <c r="B7599" s="7"/>
      <c r="C7599" s="7"/>
      <c r="D7599" s="7"/>
      <c r="E7599" s="7"/>
      <c r="F7599" s="7"/>
      <c r="G7599" s="7"/>
      <c r="H7599" s="7">
        <f t="shared" si="1"/>
        <v>1029</v>
      </c>
    </row>
    <row r="7600" ht="22.5" customHeight="1">
      <c r="B7600" s="7"/>
      <c r="C7600" s="7"/>
      <c r="D7600" s="7"/>
      <c r="E7600" s="7"/>
      <c r="F7600" s="7"/>
      <c r="G7600" s="7"/>
      <c r="H7600" s="7">
        <f t="shared" si="1"/>
        <v>1029</v>
      </c>
    </row>
    <row r="7601" ht="22.5" customHeight="1">
      <c r="B7601" s="7"/>
      <c r="C7601" s="7"/>
      <c r="D7601" s="7"/>
      <c r="E7601" s="7"/>
      <c r="F7601" s="7"/>
      <c r="G7601" s="7"/>
      <c r="H7601" s="7">
        <f t="shared" si="1"/>
        <v>1029</v>
      </c>
    </row>
    <row r="7602" ht="22.5" customHeight="1">
      <c r="B7602" s="7"/>
      <c r="C7602" s="7"/>
      <c r="D7602" s="7"/>
      <c r="E7602" s="7"/>
      <c r="F7602" s="7"/>
      <c r="G7602" s="7"/>
      <c r="H7602" s="7">
        <f t="shared" si="1"/>
        <v>1029</v>
      </c>
    </row>
    <row r="7603" ht="22.5" customHeight="1">
      <c r="B7603" s="7"/>
      <c r="C7603" s="7"/>
      <c r="D7603" s="7"/>
      <c r="E7603" s="7"/>
      <c r="F7603" s="7"/>
      <c r="G7603" s="7"/>
      <c r="H7603" s="7">
        <f t="shared" si="1"/>
        <v>1029</v>
      </c>
    </row>
    <row r="7604" ht="22.5" customHeight="1">
      <c r="B7604" s="7"/>
      <c r="C7604" s="7"/>
      <c r="D7604" s="7"/>
      <c r="E7604" s="7"/>
      <c r="F7604" s="7"/>
      <c r="G7604" s="7"/>
      <c r="H7604" s="7">
        <f t="shared" si="1"/>
        <v>1029</v>
      </c>
    </row>
    <row r="7605" ht="22.5" customHeight="1">
      <c r="B7605" s="7"/>
      <c r="C7605" s="7"/>
      <c r="D7605" s="7"/>
      <c r="E7605" s="7"/>
      <c r="F7605" s="7"/>
      <c r="G7605" s="7"/>
      <c r="H7605" s="7">
        <f t="shared" si="1"/>
        <v>1029</v>
      </c>
    </row>
    <row r="7606" ht="22.5" customHeight="1">
      <c r="B7606" s="7"/>
      <c r="C7606" s="7"/>
      <c r="D7606" s="7"/>
      <c r="E7606" s="7"/>
      <c r="F7606" s="7"/>
      <c r="G7606" s="7"/>
      <c r="H7606" s="7">
        <f t="shared" si="1"/>
        <v>1029</v>
      </c>
    </row>
    <row r="7607" ht="22.5" customHeight="1">
      <c r="B7607" s="7"/>
      <c r="C7607" s="7"/>
      <c r="D7607" s="7"/>
      <c r="E7607" s="7"/>
      <c r="F7607" s="7"/>
      <c r="G7607" s="7"/>
      <c r="H7607" s="7">
        <f t="shared" si="1"/>
        <v>1029</v>
      </c>
    </row>
    <row r="7608" ht="22.5" customHeight="1">
      <c r="B7608" s="7"/>
      <c r="C7608" s="7"/>
      <c r="D7608" s="7"/>
      <c r="E7608" s="7"/>
      <c r="F7608" s="7"/>
      <c r="G7608" s="7"/>
      <c r="H7608" s="7">
        <f t="shared" si="1"/>
        <v>1029</v>
      </c>
    </row>
    <row r="7609" ht="22.5" customHeight="1">
      <c r="B7609" s="7"/>
      <c r="C7609" s="7"/>
      <c r="D7609" s="7"/>
      <c r="E7609" s="7"/>
      <c r="F7609" s="7"/>
      <c r="G7609" s="7"/>
      <c r="H7609" s="7">
        <f t="shared" si="1"/>
        <v>1029</v>
      </c>
    </row>
    <row r="7610" ht="22.5" customHeight="1">
      <c r="B7610" s="7"/>
      <c r="C7610" s="7"/>
      <c r="D7610" s="7"/>
      <c r="E7610" s="7"/>
      <c r="F7610" s="7"/>
      <c r="G7610" s="7"/>
      <c r="H7610" s="7">
        <f t="shared" si="1"/>
        <v>1029</v>
      </c>
    </row>
    <row r="7611" ht="22.5" customHeight="1">
      <c r="B7611" s="7"/>
      <c r="C7611" s="7"/>
      <c r="D7611" s="7"/>
      <c r="E7611" s="7"/>
      <c r="F7611" s="7"/>
      <c r="G7611" s="7"/>
      <c r="H7611" s="7">
        <f t="shared" si="1"/>
        <v>1029</v>
      </c>
    </row>
    <row r="7612" ht="22.5" customHeight="1">
      <c r="B7612" s="7"/>
      <c r="C7612" s="7"/>
      <c r="D7612" s="7"/>
      <c r="E7612" s="7"/>
      <c r="F7612" s="7"/>
      <c r="G7612" s="7"/>
      <c r="H7612" s="7">
        <f t="shared" si="1"/>
        <v>1029</v>
      </c>
    </row>
    <row r="7613" ht="22.5" customHeight="1">
      <c r="B7613" s="7"/>
      <c r="C7613" s="7"/>
      <c r="D7613" s="7"/>
      <c r="E7613" s="7"/>
      <c r="F7613" s="7"/>
      <c r="G7613" s="7"/>
      <c r="H7613" s="7">
        <f t="shared" si="1"/>
        <v>1029</v>
      </c>
    </row>
    <row r="7614" ht="22.5" customHeight="1">
      <c r="B7614" s="7"/>
      <c r="C7614" s="7"/>
      <c r="D7614" s="7"/>
      <c r="E7614" s="7"/>
      <c r="F7614" s="7"/>
      <c r="G7614" s="7"/>
      <c r="H7614" s="7">
        <f t="shared" si="1"/>
        <v>1029</v>
      </c>
    </row>
    <row r="7615" ht="22.5" customHeight="1">
      <c r="B7615" s="7"/>
      <c r="C7615" s="7"/>
      <c r="D7615" s="7"/>
      <c r="E7615" s="7"/>
      <c r="F7615" s="7"/>
      <c r="G7615" s="7"/>
      <c r="H7615" s="7">
        <f t="shared" si="1"/>
        <v>1029</v>
      </c>
    </row>
    <row r="7616" ht="22.5" customHeight="1">
      <c r="B7616" s="7"/>
      <c r="C7616" s="7"/>
      <c r="D7616" s="7"/>
      <c r="E7616" s="7"/>
      <c r="F7616" s="7"/>
      <c r="G7616" s="7"/>
      <c r="H7616" s="7">
        <f t="shared" si="1"/>
        <v>1029</v>
      </c>
    </row>
    <row r="7617" ht="22.5" customHeight="1">
      <c r="B7617" s="7"/>
      <c r="C7617" s="7"/>
      <c r="D7617" s="7"/>
      <c r="E7617" s="7"/>
      <c r="F7617" s="7"/>
      <c r="G7617" s="7"/>
      <c r="H7617" s="7">
        <f t="shared" si="1"/>
        <v>1029</v>
      </c>
    </row>
    <row r="7618" ht="22.5" customHeight="1">
      <c r="B7618" s="7"/>
      <c r="C7618" s="7"/>
      <c r="D7618" s="7"/>
      <c r="E7618" s="7"/>
      <c r="F7618" s="7"/>
      <c r="G7618" s="7"/>
      <c r="H7618" s="7">
        <f t="shared" si="1"/>
        <v>1029</v>
      </c>
    </row>
    <row r="7619" ht="22.5" customHeight="1">
      <c r="B7619" s="7"/>
      <c r="C7619" s="7"/>
      <c r="D7619" s="7"/>
      <c r="E7619" s="7"/>
      <c r="F7619" s="7"/>
      <c r="G7619" s="7"/>
      <c r="H7619" s="7">
        <f t="shared" si="1"/>
        <v>1029</v>
      </c>
    </row>
    <row r="7620" ht="22.5" customHeight="1">
      <c r="B7620" s="7"/>
      <c r="C7620" s="7"/>
      <c r="D7620" s="7"/>
      <c r="E7620" s="7"/>
      <c r="F7620" s="7"/>
      <c r="G7620" s="7"/>
      <c r="H7620" s="7">
        <f t="shared" si="1"/>
        <v>1029</v>
      </c>
    </row>
    <row r="7621" ht="22.5" customHeight="1">
      <c r="B7621" s="7"/>
      <c r="C7621" s="7"/>
      <c r="D7621" s="7"/>
      <c r="E7621" s="7"/>
      <c r="F7621" s="7"/>
      <c r="G7621" s="7"/>
      <c r="H7621" s="7">
        <f t="shared" si="1"/>
        <v>1029</v>
      </c>
    </row>
    <row r="7622" ht="22.5" customHeight="1">
      <c r="B7622" s="7"/>
      <c r="C7622" s="7"/>
      <c r="D7622" s="7"/>
      <c r="E7622" s="7"/>
      <c r="F7622" s="7"/>
      <c r="G7622" s="7"/>
      <c r="H7622" s="7">
        <f t="shared" si="1"/>
        <v>1029</v>
      </c>
    </row>
    <row r="7623" ht="22.5" customHeight="1">
      <c r="B7623" s="7"/>
      <c r="C7623" s="7"/>
      <c r="D7623" s="7"/>
      <c r="E7623" s="7"/>
      <c r="F7623" s="7"/>
      <c r="G7623" s="7"/>
      <c r="H7623" s="7">
        <f t="shared" si="1"/>
        <v>1029</v>
      </c>
    </row>
    <row r="7624" ht="22.5" customHeight="1">
      <c r="B7624" s="7"/>
      <c r="C7624" s="7"/>
      <c r="D7624" s="7"/>
      <c r="E7624" s="7"/>
      <c r="F7624" s="7"/>
      <c r="G7624" s="7"/>
      <c r="H7624" s="7">
        <f t="shared" si="1"/>
        <v>1029</v>
      </c>
    </row>
    <row r="7625" ht="22.5" customHeight="1">
      <c r="B7625" s="7"/>
      <c r="C7625" s="7"/>
      <c r="D7625" s="7"/>
      <c r="E7625" s="7"/>
      <c r="F7625" s="7"/>
      <c r="G7625" s="7"/>
      <c r="H7625" s="7">
        <f t="shared" si="1"/>
        <v>1029</v>
      </c>
    </row>
    <row r="7626" ht="22.5" customHeight="1">
      <c r="B7626" s="7"/>
      <c r="C7626" s="7"/>
      <c r="D7626" s="7"/>
      <c r="E7626" s="7"/>
      <c r="F7626" s="7"/>
      <c r="G7626" s="7"/>
      <c r="H7626" s="7">
        <f t="shared" si="1"/>
        <v>1029</v>
      </c>
    </row>
    <row r="7627" ht="22.5" customHeight="1">
      <c r="B7627" s="7"/>
      <c r="C7627" s="7"/>
      <c r="D7627" s="7"/>
      <c r="E7627" s="7"/>
      <c r="F7627" s="7"/>
      <c r="G7627" s="7"/>
      <c r="H7627" s="7">
        <f t="shared" si="1"/>
        <v>1029</v>
      </c>
    </row>
    <row r="7628" ht="22.5" customHeight="1">
      <c r="B7628" s="7"/>
      <c r="C7628" s="7"/>
      <c r="D7628" s="7"/>
      <c r="E7628" s="7"/>
      <c r="F7628" s="7"/>
      <c r="G7628" s="7"/>
      <c r="H7628" s="7">
        <f t="shared" si="1"/>
        <v>1029</v>
      </c>
    </row>
    <row r="7629" ht="22.5" customHeight="1">
      <c r="B7629" s="7"/>
      <c r="C7629" s="7"/>
      <c r="D7629" s="7"/>
      <c r="E7629" s="7"/>
      <c r="F7629" s="7"/>
      <c r="G7629" s="7"/>
      <c r="H7629" s="7">
        <f t="shared" si="1"/>
        <v>1029</v>
      </c>
    </row>
    <row r="7630" ht="22.5" customHeight="1">
      <c r="B7630" s="7"/>
      <c r="C7630" s="7"/>
      <c r="D7630" s="7"/>
      <c r="E7630" s="7"/>
      <c r="F7630" s="7"/>
      <c r="G7630" s="7"/>
      <c r="H7630" s="7">
        <f t="shared" si="1"/>
        <v>1029</v>
      </c>
    </row>
    <row r="7631" ht="22.5" customHeight="1">
      <c r="B7631" s="7"/>
      <c r="C7631" s="7"/>
      <c r="D7631" s="7"/>
      <c r="E7631" s="7"/>
      <c r="F7631" s="7"/>
      <c r="G7631" s="7"/>
      <c r="H7631" s="7">
        <f t="shared" si="1"/>
        <v>1029</v>
      </c>
    </row>
    <row r="7632" ht="22.5" customHeight="1">
      <c r="B7632" s="7"/>
      <c r="C7632" s="7"/>
      <c r="D7632" s="7"/>
      <c r="E7632" s="7"/>
      <c r="F7632" s="7"/>
      <c r="G7632" s="7"/>
      <c r="H7632" s="7">
        <f t="shared" si="1"/>
        <v>1029</v>
      </c>
    </row>
    <row r="7633" ht="22.5" customHeight="1">
      <c r="B7633" s="7"/>
      <c r="C7633" s="7"/>
      <c r="D7633" s="7"/>
      <c r="E7633" s="7"/>
      <c r="F7633" s="7"/>
      <c r="G7633" s="7"/>
      <c r="H7633" s="7">
        <f t="shared" si="1"/>
        <v>1029</v>
      </c>
    </row>
    <row r="7634" ht="22.5" customHeight="1">
      <c r="B7634" s="7"/>
      <c r="C7634" s="7"/>
      <c r="D7634" s="7"/>
      <c r="E7634" s="7"/>
      <c r="F7634" s="7"/>
      <c r="G7634" s="7"/>
      <c r="H7634" s="7">
        <f t="shared" si="1"/>
        <v>1029</v>
      </c>
    </row>
    <row r="7635" ht="22.5" customHeight="1">
      <c r="B7635" s="7"/>
      <c r="C7635" s="7"/>
      <c r="D7635" s="7"/>
      <c r="E7635" s="7"/>
      <c r="F7635" s="7"/>
      <c r="G7635" s="7"/>
      <c r="H7635" s="7">
        <f t="shared" si="1"/>
        <v>1029</v>
      </c>
    </row>
    <row r="7636" ht="22.5" customHeight="1">
      <c r="B7636" s="7"/>
      <c r="C7636" s="7"/>
      <c r="D7636" s="7"/>
      <c r="E7636" s="7"/>
      <c r="F7636" s="7"/>
      <c r="G7636" s="7"/>
      <c r="H7636" s="7">
        <f t="shared" si="1"/>
        <v>1029</v>
      </c>
    </row>
    <row r="7637" ht="22.5" customHeight="1">
      <c r="B7637" s="7"/>
      <c r="C7637" s="7"/>
      <c r="D7637" s="7"/>
      <c r="E7637" s="7"/>
      <c r="F7637" s="7"/>
      <c r="G7637" s="7"/>
      <c r="H7637" s="7">
        <f t="shared" si="1"/>
        <v>1029</v>
      </c>
    </row>
    <row r="7638" ht="22.5" customHeight="1">
      <c r="B7638" s="7"/>
      <c r="C7638" s="7"/>
      <c r="D7638" s="7"/>
      <c r="E7638" s="7"/>
      <c r="F7638" s="7"/>
      <c r="G7638" s="7"/>
      <c r="H7638" s="7">
        <f t="shared" si="1"/>
        <v>1029</v>
      </c>
    </row>
    <row r="7639" ht="22.5" customHeight="1">
      <c r="B7639" s="7"/>
      <c r="C7639" s="7"/>
      <c r="D7639" s="7"/>
      <c r="E7639" s="7"/>
      <c r="F7639" s="7"/>
      <c r="G7639" s="7"/>
      <c r="H7639" s="7">
        <f t="shared" si="1"/>
        <v>1029</v>
      </c>
    </row>
    <row r="7640" ht="22.5" customHeight="1">
      <c r="B7640" s="7"/>
      <c r="C7640" s="7"/>
      <c r="D7640" s="7"/>
      <c r="E7640" s="7"/>
      <c r="F7640" s="7"/>
      <c r="G7640" s="7"/>
      <c r="H7640" s="7">
        <f t="shared" si="1"/>
        <v>1029</v>
      </c>
    </row>
    <row r="7641" ht="22.5" customHeight="1">
      <c r="B7641" s="7"/>
      <c r="C7641" s="7"/>
      <c r="D7641" s="7"/>
      <c r="E7641" s="7"/>
      <c r="F7641" s="7"/>
      <c r="G7641" s="7"/>
      <c r="H7641" s="7">
        <f t="shared" si="1"/>
        <v>1029</v>
      </c>
    </row>
    <row r="7642" ht="22.5" customHeight="1">
      <c r="B7642" s="7"/>
      <c r="C7642" s="7"/>
      <c r="D7642" s="7"/>
      <c r="E7642" s="7"/>
      <c r="F7642" s="7"/>
      <c r="G7642" s="7"/>
      <c r="H7642" s="7">
        <f t="shared" si="1"/>
        <v>1029</v>
      </c>
    </row>
    <row r="7643" ht="22.5" customHeight="1">
      <c r="B7643" s="7"/>
      <c r="C7643" s="7"/>
      <c r="D7643" s="7"/>
      <c r="E7643" s="7"/>
      <c r="F7643" s="7"/>
      <c r="G7643" s="7"/>
      <c r="H7643" s="7">
        <f t="shared" si="1"/>
        <v>1029</v>
      </c>
    </row>
    <row r="7644" ht="22.5" customHeight="1">
      <c r="B7644" s="7"/>
      <c r="C7644" s="7"/>
      <c r="D7644" s="7"/>
      <c r="E7644" s="7"/>
      <c r="F7644" s="7"/>
      <c r="G7644" s="7"/>
      <c r="H7644" s="7">
        <f t="shared" si="1"/>
        <v>1029</v>
      </c>
    </row>
    <row r="7645" ht="22.5" customHeight="1">
      <c r="B7645" s="7"/>
      <c r="C7645" s="7"/>
      <c r="D7645" s="7"/>
      <c r="E7645" s="7"/>
      <c r="F7645" s="7"/>
      <c r="G7645" s="7"/>
      <c r="H7645" s="7">
        <f t="shared" si="1"/>
        <v>1029</v>
      </c>
    </row>
    <row r="7646" ht="22.5" customHeight="1">
      <c r="B7646" s="7"/>
      <c r="C7646" s="7"/>
      <c r="D7646" s="7"/>
      <c r="E7646" s="7"/>
      <c r="F7646" s="7"/>
      <c r="G7646" s="7"/>
      <c r="H7646" s="7">
        <f t="shared" si="1"/>
        <v>1029</v>
      </c>
    </row>
    <row r="7647" ht="22.5" customHeight="1">
      <c r="B7647" s="7"/>
      <c r="C7647" s="7"/>
      <c r="D7647" s="7"/>
      <c r="E7647" s="7"/>
      <c r="F7647" s="7"/>
      <c r="G7647" s="7"/>
      <c r="H7647" s="7">
        <f t="shared" si="1"/>
        <v>1029</v>
      </c>
    </row>
    <row r="7648" ht="22.5" customHeight="1">
      <c r="B7648" s="7"/>
      <c r="C7648" s="7"/>
      <c r="D7648" s="7"/>
      <c r="E7648" s="7"/>
      <c r="F7648" s="7"/>
      <c r="G7648" s="7"/>
      <c r="H7648" s="7">
        <f t="shared" si="1"/>
        <v>1029</v>
      </c>
    </row>
    <row r="7649" ht="22.5" customHeight="1">
      <c r="B7649" s="7"/>
      <c r="C7649" s="7"/>
      <c r="D7649" s="7"/>
      <c r="E7649" s="7"/>
      <c r="F7649" s="7"/>
      <c r="G7649" s="7"/>
      <c r="H7649" s="7">
        <f t="shared" si="1"/>
        <v>1029</v>
      </c>
    </row>
    <row r="7650" ht="22.5" customHeight="1">
      <c r="B7650" s="7"/>
      <c r="C7650" s="7"/>
      <c r="D7650" s="7"/>
      <c r="E7650" s="7"/>
      <c r="F7650" s="7"/>
      <c r="G7650" s="7"/>
      <c r="H7650" s="7">
        <f t="shared" si="1"/>
        <v>1029</v>
      </c>
    </row>
    <row r="7651" ht="22.5" customHeight="1">
      <c r="B7651" s="7"/>
      <c r="C7651" s="7"/>
      <c r="D7651" s="7"/>
      <c r="E7651" s="7"/>
      <c r="F7651" s="7"/>
      <c r="G7651" s="7"/>
      <c r="H7651" s="7">
        <f t="shared" si="1"/>
        <v>1029</v>
      </c>
    </row>
    <row r="7652" ht="22.5" customHeight="1">
      <c r="B7652" s="7"/>
      <c r="C7652" s="7"/>
      <c r="D7652" s="7"/>
      <c r="E7652" s="7"/>
      <c r="F7652" s="7"/>
      <c r="G7652" s="7"/>
      <c r="H7652" s="7">
        <f t="shared" si="1"/>
        <v>1029</v>
      </c>
    </row>
    <row r="7653" ht="22.5" customHeight="1">
      <c r="B7653" s="7"/>
      <c r="C7653" s="7"/>
      <c r="D7653" s="7"/>
      <c r="E7653" s="7"/>
      <c r="F7653" s="7"/>
      <c r="G7653" s="7"/>
      <c r="H7653" s="7">
        <f t="shared" si="1"/>
        <v>1029</v>
      </c>
    </row>
    <row r="7654" ht="22.5" customHeight="1">
      <c r="B7654" s="7"/>
      <c r="C7654" s="7"/>
      <c r="D7654" s="7"/>
      <c r="E7654" s="7"/>
      <c r="F7654" s="7"/>
      <c r="G7654" s="7"/>
      <c r="H7654" s="7">
        <f t="shared" si="1"/>
        <v>1029</v>
      </c>
    </row>
    <row r="7655" ht="22.5" customHeight="1">
      <c r="B7655" s="7"/>
      <c r="C7655" s="7"/>
      <c r="D7655" s="7"/>
      <c r="E7655" s="7"/>
      <c r="F7655" s="7"/>
      <c r="G7655" s="7"/>
      <c r="H7655" s="7">
        <f t="shared" si="1"/>
        <v>1029</v>
      </c>
    </row>
    <row r="7656" ht="22.5" customHeight="1">
      <c r="B7656" s="7"/>
      <c r="C7656" s="7"/>
      <c r="D7656" s="7"/>
      <c r="E7656" s="7"/>
      <c r="F7656" s="7"/>
      <c r="G7656" s="7"/>
      <c r="H7656" s="7">
        <f t="shared" si="1"/>
        <v>1029</v>
      </c>
    </row>
    <row r="7657" ht="22.5" customHeight="1">
      <c r="B7657" s="7"/>
      <c r="C7657" s="7"/>
      <c r="D7657" s="7"/>
      <c r="E7657" s="7"/>
      <c r="F7657" s="7"/>
      <c r="G7657" s="7"/>
      <c r="H7657" s="7">
        <f t="shared" si="1"/>
        <v>1029</v>
      </c>
    </row>
    <row r="7658" ht="22.5" customHeight="1">
      <c r="B7658" s="7"/>
      <c r="C7658" s="7"/>
      <c r="D7658" s="7"/>
      <c r="E7658" s="7"/>
      <c r="F7658" s="7"/>
      <c r="G7658" s="7"/>
      <c r="H7658" s="7">
        <f t="shared" si="1"/>
        <v>1029</v>
      </c>
    </row>
    <row r="7659" ht="22.5" customHeight="1">
      <c r="B7659" s="7"/>
      <c r="C7659" s="7"/>
      <c r="D7659" s="7"/>
      <c r="E7659" s="7"/>
      <c r="F7659" s="7"/>
      <c r="G7659" s="7"/>
      <c r="H7659" s="7">
        <f t="shared" si="1"/>
        <v>1029</v>
      </c>
    </row>
    <row r="7660" ht="22.5" customHeight="1">
      <c r="B7660" s="7"/>
      <c r="C7660" s="7"/>
      <c r="D7660" s="7"/>
      <c r="E7660" s="7"/>
      <c r="F7660" s="7"/>
      <c r="G7660" s="7"/>
      <c r="H7660" s="7">
        <f t="shared" si="1"/>
        <v>1029</v>
      </c>
    </row>
    <row r="7661" ht="22.5" customHeight="1">
      <c r="B7661" s="7"/>
      <c r="C7661" s="7"/>
      <c r="D7661" s="7"/>
      <c r="E7661" s="7"/>
      <c r="F7661" s="7"/>
      <c r="G7661" s="7"/>
      <c r="H7661" s="7">
        <f t="shared" si="1"/>
        <v>1029</v>
      </c>
    </row>
    <row r="7662" ht="22.5" customHeight="1">
      <c r="B7662" s="7"/>
      <c r="C7662" s="7"/>
      <c r="D7662" s="7"/>
      <c r="E7662" s="7"/>
      <c r="F7662" s="7"/>
      <c r="G7662" s="7"/>
      <c r="H7662" s="7">
        <f t="shared" si="1"/>
        <v>1029</v>
      </c>
    </row>
    <row r="7663" ht="22.5" customHeight="1">
      <c r="B7663" s="7"/>
      <c r="C7663" s="7"/>
      <c r="D7663" s="7"/>
      <c r="E7663" s="7"/>
      <c r="F7663" s="7"/>
      <c r="G7663" s="7"/>
      <c r="H7663" s="7">
        <f t="shared" si="1"/>
        <v>1029</v>
      </c>
    </row>
    <row r="7664" ht="22.5" customHeight="1">
      <c r="B7664" s="7"/>
      <c r="C7664" s="7"/>
      <c r="D7664" s="7"/>
      <c r="E7664" s="7"/>
      <c r="F7664" s="7"/>
      <c r="G7664" s="7"/>
      <c r="H7664" s="7">
        <f t="shared" si="1"/>
        <v>1029</v>
      </c>
    </row>
    <row r="7665" ht="22.5" customHeight="1">
      <c r="B7665" s="7"/>
      <c r="C7665" s="7"/>
      <c r="D7665" s="7"/>
      <c r="E7665" s="7"/>
      <c r="F7665" s="7"/>
      <c r="G7665" s="7"/>
      <c r="H7665" s="7">
        <f t="shared" si="1"/>
        <v>1029</v>
      </c>
    </row>
    <row r="7666" ht="22.5" customHeight="1">
      <c r="B7666" s="7"/>
      <c r="C7666" s="7"/>
      <c r="D7666" s="7"/>
      <c r="E7666" s="7"/>
      <c r="F7666" s="7"/>
      <c r="G7666" s="7"/>
      <c r="H7666" s="7">
        <f t="shared" si="1"/>
        <v>1029</v>
      </c>
    </row>
    <row r="7667" ht="22.5" customHeight="1">
      <c r="B7667" s="7"/>
      <c r="C7667" s="7"/>
      <c r="D7667" s="7"/>
      <c r="E7667" s="7"/>
      <c r="F7667" s="7"/>
      <c r="G7667" s="7"/>
      <c r="H7667" s="7">
        <f t="shared" si="1"/>
        <v>1029</v>
      </c>
    </row>
    <row r="7668" ht="22.5" customHeight="1">
      <c r="B7668" s="7"/>
      <c r="C7668" s="7"/>
      <c r="D7668" s="7"/>
      <c r="E7668" s="7"/>
      <c r="F7668" s="7"/>
      <c r="G7668" s="7"/>
      <c r="H7668" s="7">
        <f t="shared" si="1"/>
        <v>1029</v>
      </c>
    </row>
    <row r="7669" ht="22.5" customHeight="1">
      <c r="B7669" s="7"/>
      <c r="C7669" s="7"/>
      <c r="D7669" s="7"/>
      <c r="E7669" s="7"/>
      <c r="F7669" s="7"/>
      <c r="G7669" s="7"/>
      <c r="H7669" s="7">
        <f t="shared" si="1"/>
        <v>1029</v>
      </c>
    </row>
    <row r="7670" ht="22.5" customHeight="1">
      <c r="B7670" s="7"/>
      <c r="C7670" s="7"/>
      <c r="D7670" s="7"/>
      <c r="E7670" s="7"/>
      <c r="F7670" s="7"/>
      <c r="G7670" s="7"/>
      <c r="H7670" s="7">
        <f t="shared" si="1"/>
        <v>1029</v>
      </c>
    </row>
    <row r="7671" ht="22.5" customHeight="1">
      <c r="B7671" s="7"/>
      <c r="C7671" s="7"/>
      <c r="D7671" s="7"/>
      <c r="E7671" s="7"/>
      <c r="F7671" s="7"/>
      <c r="G7671" s="7"/>
      <c r="H7671" s="7">
        <f t="shared" si="1"/>
        <v>1029</v>
      </c>
    </row>
    <row r="7672" ht="22.5" customHeight="1">
      <c r="B7672" s="7"/>
      <c r="C7672" s="7"/>
      <c r="D7672" s="7"/>
      <c r="E7672" s="7"/>
      <c r="F7672" s="7"/>
      <c r="G7672" s="7"/>
      <c r="H7672" s="7">
        <f t="shared" si="1"/>
        <v>1029</v>
      </c>
    </row>
    <row r="7673" ht="22.5" customHeight="1">
      <c r="B7673" s="7"/>
      <c r="C7673" s="7"/>
      <c r="D7673" s="7"/>
      <c r="E7673" s="7"/>
      <c r="F7673" s="7"/>
      <c r="G7673" s="7"/>
      <c r="H7673" s="7">
        <f t="shared" si="1"/>
        <v>1029</v>
      </c>
    </row>
    <row r="7674" ht="22.5" customHeight="1">
      <c r="B7674" s="7"/>
      <c r="C7674" s="7"/>
      <c r="D7674" s="7"/>
      <c r="E7674" s="7"/>
      <c r="F7674" s="7"/>
      <c r="G7674" s="7"/>
      <c r="H7674" s="7">
        <f t="shared" si="1"/>
        <v>1029</v>
      </c>
    </row>
    <row r="7675" ht="22.5" customHeight="1">
      <c r="B7675" s="7"/>
      <c r="C7675" s="7"/>
      <c r="D7675" s="7"/>
      <c r="E7675" s="7"/>
      <c r="F7675" s="7"/>
      <c r="G7675" s="7"/>
      <c r="H7675" s="7">
        <f t="shared" si="1"/>
        <v>1029</v>
      </c>
    </row>
    <row r="7676" ht="22.5" customHeight="1">
      <c r="B7676" s="7"/>
      <c r="C7676" s="7"/>
      <c r="D7676" s="7"/>
      <c r="E7676" s="7"/>
      <c r="F7676" s="7"/>
      <c r="G7676" s="7"/>
      <c r="H7676" s="7">
        <f t="shared" si="1"/>
        <v>1029</v>
      </c>
    </row>
    <row r="7677" ht="22.5" customHeight="1">
      <c r="B7677" s="7"/>
      <c r="C7677" s="7"/>
      <c r="D7677" s="7"/>
      <c r="E7677" s="7"/>
      <c r="F7677" s="7"/>
      <c r="G7677" s="7"/>
      <c r="H7677" s="7">
        <f t="shared" si="1"/>
        <v>1029</v>
      </c>
    </row>
    <row r="7678" ht="22.5" customHeight="1">
      <c r="B7678" s="7"/>
      <c r="C7678" s="7"/>
      <c r="D7678" s="7"/>
      <c r="E7678" s="7"/>
      <c r="F7678" s="7"/>
      <c r="G7678" s="7"/>
      <c r="H7678" s="7">
        <f t="shared" si="1"/>
        <v>1029</v>
      </c>
    </row>
    <row r="7679" ht="22.5" customHeight="1">
      <c r="B7679" s="7"/>
      <c r="C7679" s="7"/>
      <c r="D7679" s="7"/>
      <c r="E7679" s="7"/>
      <c r="F7679" s="7"/>
      <c r="G7679" s="7"/>
      <c r="H7679" s="7">
        <f t="shared" si="1"/>
        <v>1029</v>
      </c>
    </row>
    <row r="7680" ht="22.5" customHeight="1">
      <c r="B7680" s="7"/>
      <c r="C7680" s="7"/>
      <c r="D7680" s="7"/>
      <c r="E7680" s="7"/>
      <c r="F7680" s="7"/>
      <c r="G7680" s="7"/>
      <c r="H7680" s="7">
        <f t="shared" si="1"/>
        <v>1029</v>
      </c>
    </row>
    <row r="7681" ht="22.5" customHeight="1">
      <c r="B7681" s="7"/>
      <c r="C7681" s="7"/>
      <c r="D7681" s="7"/>
      <c r="E7681" s="7"/>
      <c r="F7681" s="7"/>
      <c r="G7681" s="7"/>
      <c r="H7681" s="7">
        <f t="shared" si="1"/>
        <v>1029</v>
      </c>
    </row>
    <row r="7682" ht="22.5" customHeight="1">
      <c r="B7682" s="7"/>
      <c r="C7682" s="7"/>
      <c r="D7682" s="7"/>
      <c r="E7682" s="7"/>
      <c r="F7682" s="7"/>
      <c r="G7682" s="7"/>
      <c r="H7682" s="7">
        <f t="shared" si="1"/>
        <v>1029</v>
      </c>
    </row>
    <row r="7683" ht="22.5" customHeight="1">
      <c r="B7683" s="7"/>
      <c r="C7683" s="7"/>
      <c r="D7683" s="7"/>
      <c r="E7683" s="7"/>
      <c r="F7683" s="7"/>
      <c r="G7683" s="7"/>
      <c r="H7683" s="7">
        <f t="shared" si="1"/>
        <v>1029</v>
      </c>
    </row>
    <row r="7684" ht="22.5" customHeight="1">
      <c r="B7684" s="7"/>
      <c r="C7684" s="7"/>
      <c r="D7684" s="7"/>
      <c r="E7684" s="7"/>
      <c r="F7684" s="7"/>
      <c r="G7684" s="7"/>
      <c r="H7684" s="7">
        <f t="shared" si="1"/>
        <v>1029</v>
      </c>
    </row>
    <row r="7685" ht="22.5" customHeight="1">
      <c r="B7685" s="7"/>
      <c r="C7685" s="7"/>
      <c r="D7685" s="7"/>
      <c r="E7685" s="7"/>
      <c r="F7685" s="7"/>
      <c r="G7685" s="7"/>
      <c r="H7685" s="7">
        <f t="shared" si="1"/>
        <v>1029</v>
      </c>
    </row>
    <row r="7686" ht="22.5" customHeight="1">
      <c r="B7686" s="7"/>
      <c r="C7686" s="7"/>
      <c r="D7686" s="7"/>
      <c r="E7686" s="7"/>
      <c r="F7686" s="7"/>
      <c r="G7686" s="7"/>
      <c r="H7686" s="7">
        <f t="shared" si="1"/>
        <v>1029</v>
      </c>
    </row>
    <row r="7687" ht="22.5" customHeight="1">
      <c r="B7687" s="7"/>
      <c r="C7687" s="7"/>
      <c r="D7687" s="7"/>
      <c r="E7687" s="7"/>
      <c r="F7687" s="7"/>
      <c r="G7687" s="7"/>
      <c r="H7687" s="7">
        <f t="shared" si="1"/>
        <v>1029</v>
      </c>
    </row>
    <row r="7688" ht="22.5" customHeight="1">
      <c r="B7688" s="7"/>
      <c r="C7688" s="7"/>
      <c r="D7688" s="7"/>
      <c r="E7688" s="7"/>
      <c r="F7688" s="7"/>
      <c r="G7688" s="7"/>
      <c r="H7688" s="7">
        <f t="shared" si="1"/>
        <v>1029</v>
      </c>
    </row>
    <row r="7689" ht="22.5" customHeight="1">
      <c r="B7689" s="7"/>
      <c r="C7689" s="7"/>
      <c r="D7689" s="7"/>
      <c r="E7689" s="7"/>
      <c r="F7689" s="7"/>
      <c r="G7689" s="7"/>
      <c r="H7689" s="7">
        <f t="shared" si="1"/>
        <v>1029</v>
      </c>
    </row>
    <row r="7690" ht="22.5" customHeight="1">
      <c r="B7690" s="7"/>
      <c r="C7690" s="7"/>
      <c r="D7690" s="7"/>
      <c r="E7690" s="7"/>
      <c r="F7690" s="7"/>
      <c r="G7690" s="7"/>
      <c r="H7690" s="7">
        <f t="shared" si="1"/>
        <v>1029</v>
      </c>
    </row>
    <row r="7691" ht="22.5" customHeight="1">
      <c r="B7691" s="7"/>
      <c r="C7691" s="7"/>
      <c r="D7691" s="7"/>
      <c r="E7691" s="7"/>
      <c r="F7691" s="7"/>
      <c r="G7691" s="7"/>
      <c r="H7691" s="7">
        <f t="shared" si="1"/>
        <v>1029</v>
      </c>
    </row>
    <row r="7692" ht="22.5" customHeight="1">
      <c r="B7692" s="7"/>
      <c r="C7692" s="7"/>
      <c r="D7692" s="7"/>
      <c r="E7692" s="7"/>
      <c r="F7692" s="7"/>
      <c r="G7692" s="7"/>
      <c r="H7692" s="7">
        <f t="shared" si="1"/>
        <v>1029</v>
      </c>
    </row>
    <row r="7693" ht="22.5" customHeight="1">
      <c r="B7693" s="7"/>
      <c r="C7693" s="7"/>
      <c r="D7693" s="7"/>
      <c r="E7693" s="7"/>
      <c r="F7693" s="7"/>
      <c r="G7693" s="7"/>
      <c r="H7693" s="7">
        <f t="shared" si="1"/>
        <v>1029</v>
      </c>
    </row>
    <row r="7694" ht="22.5" customHeight="1">
      <c r="B7694" s="7"/>
      <c r="C7694" s="7"/>
      <c r="D7694" s="7"/>
      <c r="E7694" s="7"/>
      <c r="F7694" s="7"/>
      <c r="G7694" s="7"/>
      <c r="H7694" s="7">
        <f t="shared" si="1"/>
        <v>1029</v>
      </c>
    </row>
    <row r="7695" ht="22.5" customHeight="1">
      <c r="B7695" s="7"/>
      <c r="C7695" s="7"/>
      <c r="D7695" s="7"/>
      <c r="E7695" s="7"/>
      <c r="F7695" s="7"/>
      <c r="G7695" s="7"/>
      <c r="H7695" s="7">
        <f t="shared" si="1"/>
        <v>1029</v>
      </c>
    </row>
    <row r="7696" ht="22.5" customHeight="1">
      <c r="B7696" s="7"/>
      <c r="C7696" s="7"/>
      <c r="D7696" s="7"/>
      <c r="E7696" s="7"/>
      <c r="F7696" s="7"/>
      <c r="G7696" s="7"/>
      <c r="H7696" s="7">
        <f t="shared" si="1"/>
        <v>1029</v>
      </c>
    </row>
    <row r="7697" ht="22.5" customHeight="1">
      <c r="B7697" s="7"/>
      <c r="C7697" s="7"/>
      <c r="D7697" s="7"/>
      <c r="E7697" s="7"/>
      <c r="F7697" s="7"/>
      <c r="G7697" s="7"/>
      <c r="H7697" s="7">
        <f t="shared" si="1"/>
        <v>1029</v>
      </c>
    </row>
    <row r="7698" ht="22.5" customHeight="1">
      <c r="B7698" s="7"/>
      <c r="C7698" s="7"/>
      <c r="D7698" s="7"/>
      <c r="E7698" s="7"/>
      <c r="F7698" s="7"/>
      <c r="G7698" s="7"/>
      <c r="H7698" s="7">
        <f t="shared" si="1"/>
        <v>1029</v>
      </c>
    </row>
    <row r="7699" ht="22.5" customHeight="1">
      <c r="B7699" s="7"/>
      <c r="C7699" s="7"/>
      <c r="D7699" s="7"/>
      <c r="E7699" s="7"/>
      <c r="F7699" s="7"/>
      <c r="G7699" s="7"/>
      <c r="H7699" s="7">
        <f t="shared" si="1"/>
        <v>1029</v>
      </c>
    </row>
    <row r="7700" ht="22.5" customHeight="1">
      <c r="B7700" s="7"/>
      <c r="C7700" s="7"/>
      <c r="D7700" s="7"/>
      <c r="E7700" s="7"/>
      <c r="F7700" s="7"/>
      <c r="G7700" s="7"/>
      <c r="H7700" s="7">
        <f t="shared" si="1"/>
        <v>1029</v>
      </c>
    </row>
    <row r="7701" ht="22.5" customHeight="1">
      <c r="B7701" s="7"/>
      <c r="C7701" s="7"/>
      <c r="D7701" s="7"/>
      <c r="E7701" s="7"/>
      <c r="F7701" s="7"/>
      <c r="G7701" s="7"/>
      <c r="H7701" s="7">
        <f t="shared" si="1"/>
        <v>1029</v>
      </c>
    </row>
    <row r="7702" ht="22.5" customHeight="1">
      <c r="B7702" s="7"/>
      <c r="C7702" s="7"/>
      <c r="D7702" s="7"/>
      <c r="E7702" s="7"/>
      <c r="F7702" s="7"/>
      <c r="G7702" s="7"/>
      <c r="H7702" s="7">
        <f t="shared" si="1"/>
        <v>1029</v>
      </c>
    </row>
    <row r="7703" ht="22.5" customHeight="1">
      <c r="B7703" s="7"/>
      <c r="C7703" s="7"/>
      <c r="D7703" s="7"/>
      <c r="E7703" s="7"/>
      <c r="F7703" s="7"/>
      <c r="G7703" s="7"/>
      <c r="H7703" s="7">
        <f t="shared" si="1"/>
        <v>1029</v>
      </c>
    </row>
    <row r="7704" ht="22.5" customHeight="1">
      <c r="B7704" s="7"/>
      <c r="C7704" s="7"/>
      <c r="D7704" s="7"/>
      <c r="E7704" s="7"/>
      <c r="F7704" s="7"/>
      <c r="G7704" s="7"/>
      <c r="H7704" s="7">
        <f t="shared" si="1"/>
        <v>1029</v>
      </c>
    </row>
    <row r="7705" ht="22.5" customHeight="1">
      <c r="B7705" s="7"/>
      <c r="C7705" s="7"/>
      <c r="D7705" s="7"/>
      <c r="E7705" s="7"/>
      <c r="F7705" s="7"/>
      <c r="G7705" s="7"/>
      <c r="H7705" s="7">
        <f t="shared" si="1"/>
        <v>1029</v>
      </c>
    </row>
    <row r="7706" ht="22.5" customHeight="1">
      <c r="B7706" s="7"/>
      <c r="C7706" s="7"/>
      <c r="D7706" s="7"/>
      <c r="E7706" s="7"/>
      <c r="F7706" s="7"/>
      <c r="G7706" s="7"/>
      <c r="H7706" s="7">
        <f t="shared" si="1"/>
        <v>1029</v>
      </c>
    </row>
    <row r="7707" ht="22.5" customHeight="1">
      <c r="B7707" s="7"/>
      <c r="C7707" s="7"/>
      <c r="D7707" s="7"/>
      <c r="E7707" s="7"/>
      <c r="F7707" s="7"/>
      <c r="G7707" s="7"/>
      <c r="H7707" s="7">
        <f t="shared" si="1"/>
        <v>1029</v>
      </c>
    </row>
    <row r="7708" ht="22.5" customHeight="1">
      <c r="B7708" s="7"/>
      <c r="C7708" s="7"/>
      <c r="D7708" s="7"/>
      <c r="E7708" s="7"/>
      <c r="F7708" s="7"/>
      <c r="G7708" s="7"/>
      <c r="H7708" s="7">
        <f t="shared" si="1"/>
        <v>1029</v>
      </c>
    </row>
    <row r="7709" ht="22.5" customHeight="1">
      <c r="B7709" s="7"/>
      <c r="C7709" s="7"/>
      <c r="D7709" s="7"/>
      <c r="E7709" s="7"/>
      <c r="F7709" s="7"/>
      <c r="G7709" s="7"/>
      <c r="H7709" s="7">
        <f t="shared" si="1"/>
        <v>1029</v>
      </c>
    </row>
    <row r="7710" ht="22.5" customHeight="1">
      <c r="B7710" s="7"/>
      <c r="C7710" s="7"/>
      <c r="D7710" s="7"/>
      <c r="E7710" s="7"/>
      <c r="F7710" s="7"/>
      <c r="G7710" s="7"/>
      <c r="H7710" s="7">
        <f t="shared" si="1"/>
        <v>1029</v>
      </c>
    </row>
    <row r="7711" ht="22.5" customHeight="1">
      <c r="B7711" s="7"/>
      <c r="C7711" s="7"/>
      <c r="D7711" s="7"/>
      <c r="E7711" s="7"/>
      <c r="F7711" s="7"/>
      <c r="G7711" s="7"/>
      <c r="H7711" s="7">
        <f t="shared" si="1"/>
        <v>1029</v>
      </c>
    </row>
    <row r="7712" ht="22.5" customHeight="1">
      <c r="B7712" s="7"/>
      <c r="C7712" s="7"/>
      <c r="D7712" s="7"/>
      <c r="E7712" s="7"/>
      <c r="F7712" s="7"/>
      <c r="G7712" s="7"/>
      <c r="H7712" s="7">
        <f t="shared" si="1"/>
        <v>1029</v>
      </c>
    </row>
    <row r="7713" ht="22.5" customHeight="1">
      <c r="B7713" s="7"/>
      <c r="C7713" s="7"/>
      <c r="D7713" s="7"/>
      <c r="E7713" s="7"/>
      <c r="F7713" s="7"/>
      <c r="G7713" s="7"/>
      <c r="H7713" s="7">
        <f t="shared" si="1"/>
        <v>1029</v>
      </c>
    </row>
    <row r="7714" ht="22.5" customHeight="1">
      <c r="B7714" s="7"/>
      <c r="C7714" s="7"/>
      <c r="D7714" s="7"/>
      <c r="E7714" s="7"/>
      <c r="F7714" s="7"/>
      <c r="G7714" s="7"/>
      <c r="H7714" s="7">
        <f t="shared" si="1"/>
        <v>1029</v>
      </c>
    </row>
    <row r="7715" ht="22.5" customHeight="1">
      <c r="B7715" s="7"/>
      <c r="C7715" s="7"/>
      <c r="D7715" s="7"/>
      <c r="E7715" s="7"/>
      <c r="F7715" s="7"/>
      <c r="G7715" s="7"/>
      <c r="H7715" s="7">
        <f t="shared" si="1"/>
        <v>1029</v>
      </c>
    </row>
    <row r="7716" ht="22.5" customHeight="1">
      <c r="B7716" s="7"/>
      <c r="C7716" s="7"/>
      <c r="D7716" s="7"/>
      <c r="E7716" s="7"/>
      <c r="F7716" s="7"/>
      <c r="G7716" s="7"/>
      <c r="H7716" s="7">
        <f t="shared" si="1"/>
        <v>1029</v>
      </c>
    </row>
    <row r="7717" ht="22.5" customHeight="1">
      <c r="B7717" s="7"/>
      <c r="C7717" s="7"/>
      <c r="D7717" s="7"/>
      <c r="E7717" s="7"/>
      <c r="F7717" s="7"/>
      <c r="G7717" s="7"/>
      <c r="H7717" s="7">
        <f t="shared" si="1"/>
        <v>1029</v>
      </c>
    </row>
    <row r="7718" ht="22.5" customHeight="1">
      <c r="B7718" s="7"/>
      <c r="C7718" s="7"/>
      <c r="D7718" s="7"/>
      <c r="E7718" s="7"/>
      <c r="F7718" s="7"/>
      <c r="G7718" s="7"/>
      <c r="H7718" s="7">
        <f t="shared" si="1"/>
        <v>1029</v>
      </c>
    </row>
    <row r="7719" ht="22.5" customHeight="1">
      <c r="B7719" s="7"/>
      <c r="C7719" s="7"/>
      <c r="D7719" s="7"/>
      <c r="E7719" s="7"/>
      <c r="F7719" s="7"/>
      <c r="G7719" s="7"/>
      <c r="H7719" s="7">
        <f t="shared" si="1"/>
        <v>1029</v>
      </c>
    </row>
    <row r="7720" ht="22.5" customHeight="1">
      <c r="B7720" s="7"/>
      <c r="C7720" s="7"/>
      <c r="D7720" s="7"/>
      <c r="E7720" s="7"/>
      <c r="F7720" s="7"/>
      <c r="G7720" s="7"/>
      <c r="H7720" s="7">
        <f t="shared" si="1"/>
        <v>1029</v>
      </c>
    </row>
    <row r="7721" ht="22.5" customHeight="1">
      <c r="B7721" s="7"/>
      <c r="C7721" s="7"/>
      <c r="D7721" s="7"/>
      <c r="E7721" s="7"/>
      <c r="F7721" s="7"/>
      <c r="G7721" s="7"/>
      <c r="H7721" s="7">
        <f t="shared" si="1"/>
        <v>1029</v>
      </c>
    </row>
    <row r="7722" ht="22.5" customHeight="1">
      <c r="B7722" s="7"/>
      <c r="C7722" s="7"/>
      <c r="D7722" s="7"/>
      <c r="E7722" s="7"/>
      <c r="F7722" s="7"/>
      <c r="G7722" s="7"/>
      <c r="H7722" s="7">
        <f t="shared" si="1"/>
        <v>1029</v>
      </c>
    </row>
    <row r="7723" ht="22.5" customHeight="1">
      <c r="B7723" s="7"/>
      <c r="C7723" s="7"/>
      <c r="D7723" s="7"/>
      <c r="E7723" s="7"/>
      <c r="F7723" s="7"/>
      <c r="G7723" s="7"/>
      <c r="H7723" s="7">
        <f t="shared" si="1"/>
        <v>1029</v>
      </c>
    </row>
    <row r="7724" ht="22.5" customHeight="1">
      <c r="B7724" s="7"/>
      <c r="C7724" s="7"/>
      <c r="D7724" s="7"/>
      <c r="E7724" s="7"/>
      <c r="F7724" s="7"/>
      <c r="G7724" s="7"/>
      <c r="H7724" s="7">
        <f t="shared" si="1"/>
        <v>1029</v>
      </c>
    </row>
    <row r="7725" ht="22.5" customHeight="1">
      <c r="B7725" s="7"/>
      <c r="C7725" s="7"/>
      <c r="D7725" s="7"/>
      <c r="E7725" s="7"/>
      <c r="F7725" s="7"/>
      <c r="G7725" s="7"/>
      <c r="H7725" s="7">
        <f t="shared" si="1"/>
        <v>1029</v>
      </c>
    </row>
    <row r="7726" ht="22.5" customHeight="1">
      <c r="B7726" s="7"/>
      <c r="C7726" s="7"/>
      <c r="D7726" s="7"/>
      <c r="E7726" s="7"/>
      <c r="F7726" s="7"/>
      <c r="G7726" s="7"/>
      <c r="H7726" s="7">
        <f t="shared" si="1"/>
        <v>1029</v>
      </c>
    </row>
    <row r="7727" ht="22.5" customHeight="1">
      <c r="B7727" s="7"/>
      <c r="C7727" s="7"/>
      <c r="D7727" s="7"/>
      <c r="E7727" s="7"/>
      <c r="F7727" s="7"/>
      <c r="G7727" s="7"/>
      <c r="H7727" s="7">
        <f t="shared" si="1"/>
        <v>1029</v>
      </c>
    </row>
    <row r="7728" ht="22.5" customHeight="1">
      <c r="B7728" s="7"/>
      <c r="C7728" s="7"/>
      <c r="D7728" s="7"/>
      <c r="E7728" s="7"/>
      <c r="F7728" s="7"/>
      <c r="G7728" s="7"/>
      <c r="H7728" s="7">
        <f t="shared" si="1"/>
        <v>1029</v>
      </c>
    </row>
    <row r="7729" ht="22.5" customHeight="1">
      <c r="B7729" s="7"/>
      <c r="C7729" s="7"/>
      <c r="D7729" s="7"/>
      <c r="E7729" s="7"/>
      <c r="F7729" s="7"/>
      <c r="G7729" s="7"/>
      <c r="H7729" s="7">
        <f t="shared" si="1"/>
        <v>1029</v>
      </c>
    </row>
    <row r="7730" ht="22.5" customHeight="1">
      <c r="B7730" s="7"/>
      <c r="C7730" s="7"/>
      <c r="D7730" s="7"/>
      <c r="E7730" s="7"/>
      <c r="F7730" s="7"/>
      <c r="G7730" s="7"/>
      <c r="H7730" s="7">
        <f t="shared" si="1"/>
        <v>1029</v>
      </c>
    </row>
    <row r="7731" ht="22.5" customHeight="1">
      <c r="B7731" s="7"/>
      <c r="C7731" s="7"/>
      <c r="D7731" s="7"/>
      <c r="E7731" s="7"/>
      <c r="F7731" s="7"/>
      <c r="G7731" s="7"/>
      <c r="H7731" s="7">
        <f t="shared" si="1"/>
        <v>1029</v>
      </c>
    </row>
    <row r="7732" ht="22.5" customHeight="1">
      <c r="B7732" s="7"/>
      <c r="C7732" s="7"/>
      <c r="D7732" s="7"/>
      <c r="E7732" s="7"/>
      <c r="F7732" s="7"/>
      <c r="G7732" s="7"/>
      <c r="H7732" s="7">
        <f t="shared" si="1"/>
        <v>1029</v>
      </c>
    </row>
    <row r="7733" ht="22.5" customHeight="1">
      <c r="B7733" s="7"/>
      <c r="C7733" s="7"/>
      <c r="D7733" s="7"/>
      <c r="E7733" s="7"/>
      <c r="F7733" s="7"/>
      <c r="G7733" s="7"/>
      <c r="H7733" s="7">
        <f t="shared" si="1"/>
        <v>1029</v>
      </c>
    </row>
    <row r="7734" ht="22.5" customHeight="1">
      <c r="B7734" s="7"/>
      <c r="C7734" s="7"/>
      <c r="D7734" s="7"/>
      <c r="E7734" s="7"/>
      <c r="F7734" s="7"/>
      <c r="G7734" s="7"/>
      <c r="H7734" s="7">
        <f t="shared" si="1"/>
        <v>1029</v>
      </c>
    </row>
    <row r="7735" ht="22.5" customHeight="1">
      <c r="B7735" s="7"/>
      <c r="C7735" s="7"/>
      <c r="D7735" s="7"/>
      <c r="E7735" s="7"/>
      <c r="F7735" s="7"/>
      <c r="G7735" s="7"/>
      <c r="H7735" s="7">
        <f t="shared" si="1"/>
        <v>1029</v>
      </c>
    </row>
    <row r="7736" ht="22.5" customHeight="1">
      <c r="B7736" s="7"/>
      <c r="C7736" s="7"/>
      <c r="D7736" s="7"/>
      <c r="E7736" s="7"/>
      <c r="F7736" s="7"/>
      <c r="G7736" s="7"/>
      <c r="H7736" s="7">
        <f t="shared" si="1"/>
        <v>1029</v>
      </c>
    </row>
    <row r="7737" ht="22.5" customHeight="1">
      <c r="B7737" s="7"/>
      <c r="C7737" s="7"/>
      <c r="D7737" s="7"/>
      <c r="E7737" s="7"/>
      <c r="F7737" s="7"/>
      <c r="G7737" s="7"/>
      <c r="H7737" s="7">
        <f t="shared" si="1"/>
        <v>1029</v>
      </c>
    </row>
    <row r="7738" ht="22.5" customHeight="1">
      <c r="B7738" s="7"/>
      <c r="C7738" s="7"/>
      <c r="D7738" s="7"/>
      <c r="E7738" s="7"/>
      <c r="F7738" s="7"/>
      <c r="G7738" s="7"/>
      <c r="H7738" s="7">
        <f t="shared" si="1"/>
        <v>1029</v>
      </c>
    </row>
    <row r="7739" ht="22.5" customHeight="1">
      <c r="B7739" s="7"/>
      <c r="C7739" s="7"/>
      <c r="D7739" s="7"/>
      <c r="E7739" s="7"/>
      <c r="F7739" s="7"/>
      <c r="G7739" s="7"/>
      <c r="H7739" s="7">
        <f t="shared" si="1"/>
        <v>1029</v>
      </c>
    </row>
    <row r="7740" ht="22.5" customHeight="1">
      <c r="B7740" s="7"/>
      <c r="C7740" s="7"/>
      <c r="D7740" s="7"/>
      <c r="E7740" s="7"/>
      <c r="F7740" s="7"/>
      <c r="G7740" s="7"/>
      <c r="H7740" s="7">
        <f t="shared" si="1"/>
        <v>1029</v>
      </c>
    </row>
    <row r="7741" ht="22.5" customHeight="1">
      <c r="B7741" s="7"/>
      <c r="C7741" s="7"/>
      <c r="D7741" s="7"/>
      <c r="E7741" s="7"/>
      <c r="F7741" s="7"/>
      <c r="G7741" s="7"/>
      <c r="H7741" s="7">
        <f t="shared" si="1"/>
        <v>1029</v>
      </c>
    </row>
    <row r="7742" ht="22.5" customHeight="1">
      <c r="B7742" s="7"/>
      <c r="C7742" s="7"/>
      <c r="D7742" s="7"/>
      <c r="E7742" s="7"/>
      <c r="F7742" s="7"/>
      <c r="G7742" s="7"/>
      <c r="H7742" s="7">
        <f t="shared" si="1"/>
        <v>1029</v>
      </c>
    </row>
    <row r="7743" ht="22.5" customHeight="1">
      <c r="B7743" s="7"/>
      <c r="C7743" s="7"/>
      <c r="D7743" s="7"/>
      <c r="E7743" s="7"/>
      <c r="F7743" s="7"/>
      <c r="G7743" s="7"/>
      <c r="H7743" s="7">
        <f t="shared" si="1"/>
        <v>1029</v>
      </c>
    </row>
    <row r="7744" ht="22.5" customHeight="1">
      <c r="B7744" s="7"/>
      <c r="C7744" s="7"/>
      <c r="D7744" s="7"/>
      <c r="E7744" s="7"/>
      <c r="F7744" s="7"/>
      <c r="G7744" s="7"/>
      <c r="H7744" s="7">
        <f t="shared" si="1"/>
        <v>1029</v>
      </c>
    </row>
    <row r="7745" ht="22.5" customHeight="1">
      <c r="B7745" s="7"/>
      <c r="C7745" s="7"/>
      <c r="D7745" s="7"/>
      <c r="E7745" s="7"/>
      <c r="F7745" s="7"/>
      <c r="G7745" s="7"/>
      <c r="H7745" s="7">
        <f t="shared" si="1"/>
        <v>1029</v>
      </c>
    </row>
    <row r="7746" ht="22.5" customHeight="1">
      <c r="B7746" s="7"/>
      <c r="C7746" s="7"/>
      <c r="D7746" s="7"/>
      <c r="E7746" s="7"/>
      <c r="F7746" s="7"/>
      <c r="G7746" s="7"/>
      <c r="H7746" s="7">
        <f t="shared" si="1"/>
        <v>1029</v>
      </c>
    </row>
    <row r="7747" ht="22.5" customHeight="1">
      <c r="B7747" s="7"/>
      <c r="C7747" s="7"/>
      <c r="D7747" s="7"/>
      <c r="E7747" s="7"/>
      <c r="F7747" s="7"/>
      <c r="G7747" s="7"/>
      <c r="H7747" s="7">
        <f t="shared" si="1"/>
        <v>1029</v>
      </c>
    </row>
    <row r="7748" ht="22.5" customHeight="1">
      <c r="B7748" s="7"/>
      <c r="C7748" s="7"/>
      <c r="D7748" s="7"/>
      <c r="E7748" s="7"/>
      <c r="F7748" s="7"/>
      <c r="G7748" s="7"/>
      <c r="H7748" s="7">
        <f t="shared" si="1"/>
        <v>1029</v>
      </c>
    </row>
    <row r="7749" ht="22.5" customHeight="1">
      <c r="B7749" s="7"/>
      <c r="C7749" s="7"/>
      <c r="D7749" s="7"/>
      <c r="E7749" s="7"/>
      <c r="F7749" s="7"/>
      <c r="G7749" s="7"/>
      <c r="H7749" s="7">
        <f t="shared" si="1"/>
        <v>1029</v>
      </c>
    </row>
    <row r="7750" ht="22.5" customHeight="1">
      <c r="B7750" s="7"/>
      <c r="C7750" s="7"/>
      <c r="D7750" s="7"/>
      <c r="E7750" s="7"/>
      <c r="F7750" s="7"/>
      <c r="G7750" s="7"/>
      <c r="H7750" s="7">
        <f t="shared" si="1"/>
        <v>1029</v>
      </c>
    </row>
    <row r="7751" ht="22.5" customHeight="1">
      <c r="B7751" s="7"/>
      <c r="C7751" s="7"/>
      <c r="D7751" s="7"/>
      <c r="E7751" s="7"/>
      <c r="F7751" s="7"/>
      <c r="G7751" s="7"/>
      <c r="H7751" s="7">
        <f t="shared" si="1"/>
        <v>1029</v>
      </c>
    </row>
    <row r="7752" ht="22.5" customHeight="1">
      <c r="B7752" s="7"/>
      <c r="C7752" s="7"/>
      <c r="D7752" s="7"/>
      <c r="E7752" s="7"/>
      <c r="F7752" s="7"/>
      <c r="G7752" s="7"/>
      <c r="H7752" s="7">
        <f t="shared" si="1"/>
        <v>1029</v>
      </c>
    </row>
    <row r="7753" ht="22.5" customHeight="1">
      <c r="B7753" s="7"/>
      <c r="C7753" s="7"/>
      <c r="D7753" s="7"/>
      <c r="E7753" s="7"/>
      <c r="F7753" s="7"/>
      <c r="G7753" s="7"/>
      <c r="H7753" s="7">
        <f t="shared" si="1"/>
        <v>1029</v>
      </c>
    </row>
    <row r="7754" ht="22.5" customHeight="1">
      <c r="B7754" s="7"/>
      <c r="C7754" s="7"/>
      <c r="D7754" s="7"/>
      <c r="E7754" s="7"/>
      <c r="F7754" s="7"/>
      <c r="G7754" s="7"/>
      <c r="H7754" s="7">
        <f t="shared" si="1"/>
        <v>1029</v>
      </c>
    </row>
    <row r="7755" ht="22.5" customHeight="1">
      <c r="B7755" s="7"/>
      <c r="C7755" s="7"/>
      <c r="D7755" s="7"/>
      <c r="E7755" s="7"/>
      <c r="F7755" s="7"/>
      <c r="G7755" s="7"/>
      <c r="H7755" s="7">
        <f t="shared" si="1"/>
        <v>1029</v>
      </c>
    </row>
    <row r="7756" ht="22.5" customHeight="1">
      <c r="B7756" s="7"/>
      <c r="C7756" s="7"/>
      <c r="D7756" s="7"/>
      <c r="E7756" s="7"/>
      <c r="F7756" s="7"/>
      <c r="G7756" s="7"/>
      <c r="H7756" s="7">
        <f t="shared" si="1"/>
        <v>1029</v>
      </c>
    </row>
    <row r="7757" ht="22.5" customHeight="1">
      <c r="B7757" s="7"/>
      <c r="C7757" s="7"/>
      <c r="D7757" s="7"/>
      <c r="E7757" s="7"/>
      <c r="F7757" s="7"/>
      <c r="G7757" s="7"/>
      <c r="H7757" s="7">
        <f t="shared" si="1"/>
        <v>1029</v>
      </c>
    </row>
    <row r="7758" ht="22.5" customHeight="1">
      <c r="B7758" s="7"/>
      <c r="C7758" s="7"/>
      <c r="D7758" s="7"/>
      <c r="E7758" s="7"/>
      <c r="F7758" s="7"/>
      <c r="G7758" s="7"/>
      <c r="H7758" s="7">
        <f t="shared" si="1"/>
        <v>1029</v>
      </c>
    </row>
    <row r="7759" ht="22.5" customHeight="1">
      <c r="B7759" s="7"/>
      <c r="C7759" s="7"/>
      <c r="D7759" s="7"/>
      <c r="E7759" s="7"/>
      <c r="F7759" s="7"/>
      <c r="G7759" s="7"/>
      <c r="H7759" s="7">
        <f t="shared" si="1"/>
        <v>1029</v>
      </c>
    </row>
    <row r="7760" ht="22.5" customHeight="1">
      <c r="B7760" s="7"/>
      <c r="C7760" s="7"/>
      <c r="D7760" s="7"/>
      <c r="E7760" s="7"/>
      <c r="F7760" s="7"/>
      <c r="G7760" s="7"/>
      <c r="H7760" s="7">
        <f t="shared" si="1"/>
        <v>1029</v>
      </c>
    </row>
    <row r="7761" ht="22.5" customHeight="1">
      <c r="B7761" s="7"/>
      <c r="C7761" s="7"/>
      <c r="D7761" s="7"/>
      <c r="E7761" s="7"/>
      <c r="F7761" s="7"/>
      <c r="G7761" s="7"/>
      <c r="H7761" s="7">
        <f t="shared" si="1"/>
        <v>1029</v>
      </c>
    </row>
    <row r="7762" ht="22.5" customHeight="1">
      <c r="B7762" s="7"/>
      <c r="C7762" s="7"/>
      <c r="D7762" s="7"/>
      <c r="E7762" s="7"/>
      <c r="F7762" s="7"/>
      <c r="G7762" s="7"/>
      <c r="H7762" s="7">
        <f t="shared" si="1"/>
        <v>1029</v>
      </c>
    </row>
    <row r="7763" ht="22.5" customHeight="1">
      <c r="B7763" s="7"/>
      <c r="C7763" s="7"/>
      <c r="D7763" s="7"/>
      <c r="E7763" s="7"/>
      <c r="F7763" s="7"/>
      <c r="G7763" s="7"/>
      <c r="H7763" s="7">
        <f t="shared" si="1"/>
        <v>1029</v>
      </c>
    </row>
    <row r="7764" ht="22.5" customHeight="1">
      <c r="B7764" s="7"/>
      <c r="C7764" s="7"/>
      <c r="D7764" s="7"/>
      <c r="E7764" s="7"/>
      <c r="F7764" s="7"/>
      <c r="G7764" s="7"/>
      <c r="H7764" s="7">
        <f t="shared" si="1"/>
        <v>1029</v>
      </c>
    </row>
    <row r="7765" ht="22.5" customHeight="1">
      <c r="B7765" s="7"/>
      <c r="C7765" s="7"/>
      <c r="D7765" s="7"/>
      <c r="E7765" s="7"/>
      <c r="F7765" s="7"/>
      <c r="G7765" s="7"/>
      <c r="H7765" s="7">
        <f t="shared" si="1"/>
        <v>1029</v>
      </c>
    </row>
    <row r="7766" ht="22.5" customHeight="1">
      <c r="B7766" s="7"/>
      <c r="C7766" s="7"/>
      <c r="D7766" s="7"/>
      <c r="E7766" s="7"/>
      <c r="F7766" s="7"/>
      <c r="G7766" s="7"/>
      <c r="H7766" s="7">
        <f t="shared" si="1"/>
        <v>1029</v>
      </c>
    </row>
    <row r="7767" ht="22.5" customHeight="1">
      <c r="B7767" s="7"/>
      <c r="C7767" s="7"/>
      <c r="D7767" s="7"/>
      <c r="E7767" s="7"/>
      <c r="F7767" s="7"/>
      <c r="G7767" s="7"/>
      <c r="H7767" s="7">
        <f t="shared" si="1"/>
        <v>1029</v>
      </c>
    </row>
    <row r="7768" ht="22.5" customHeight="1">
      <c r="B7768" s="7"/>
      <c r="C7768" s="7"/>
      <c r="D7768" s="7"/>
      <c r="E7768" s="7"/>
      <c r="F7768" s="7"/>
      <c r="G7768" s="7"/>
      <c r="H7768" s="7">
        <f t="shared" si="1"/>
        <v>1029</v>
      </c>
    </row>
    <row r="7769" ht="22.5" customHeight="1">
      <c r="B7769" s="7"/>
      <c r="C7769" s="7"/>
      <c r="D7769" s="7"/>
      <c r="E7769" s="7"/>
      <c r="F7769" s="7"/>
      <c r="G7769" s="7"/>
      <c r="H7769" s="7">
        <f t="shared" si="1"/>
        <v>1029</v>
      </c>
    </row>
    <row r="7770" ht="22.5" customHeight="1">
      <c r="B7770" s="7"/>
      <c r="C7770" s="7"/>
      <c r="D7770" s="7"/>
      <c r="E7770" s="7"/>
      <c r="F7770" s="7"/>
      <c r="G7770" s="7"/>
      <c r="H7770" s="7">
        <f t="shared" si="1"/>
        <v>1029</v>
      </c>
    </row>
    <row r="7771" ht="22.5" customHeight="1">
      <c r="B7771" s="7"/>
      <c r="C7771" s="7"/>
      <c r="D7771" s="7"/>
      <c r="E7771" s="7"/>
      <c r="F7771" s="7"/>
      <c r="G7771" s="7"/>
      <c r="H7771" s="7">
        <f t="shared" si="1"/>
        <v>1029</v>
      </c>
    </row>
    <row r="7772" ht="22.5" customHeight="1">
      <c r="B7772" s="7"/>
      <c r="C7772" s="7"/>
      <c r="D7772" s="7"/>
      <c r="E7772" s="7"/>
      <c r="F7772" s="7"/>
      <c r="G7772" s="7"/>
      <c r="H7772" s="7">
        <f t="shared" si="1"/>
        <v>1029</v>
      </c>
    </row>
    <row r="7773" ht="22.5" customHeight="1">
      <c r="B7773" s="7"/>
      <c r="C7773" s="7"/>
      <c r="D7773" s="7"/>
      <c r="E7773" s="7"/>
      <c r="F7773" s="7"/>
      <c r="G7773" s="7"/>
      <c r="H7773" s="7">
        <f t="shared" si="1"/>
        <v>1029</v>
      </c>
    </row>
    <row r="7774" ht="22.5" customHeight="1">
      <c r="B7774" s="7"/>
      <c r="C7774" s="7"/>
      <c r="D7774" s="7"/>
      <c r="E7774" s="7"/>
      <c r="F7774" s="7"/>
      <c r="G7774" s="7"/>
      <c r="H7774" s="7">
        <f t="shared" si="1"/>
        <v>1029</v>
      </c>
    </row>
    <row r="7775" ht="22.5" customHeight="1">
      <c r="B7775" s="7"/>
      <c r="C7775" s="7"/>
      <c r="D7775" s="7"/>
      <c r="E7775" s="7"/>
      <c r="F7775" s="7"/>
      <c r="G7775" s="7"/>
      <c r="H7775" s="7">
        <f t="shared" si="1"/>
        <v>1029</v>
      </c>
    </row>
    <row r="7776" ht="22.5" customHeight="1">
      <c r="B7776" s="7"/>
      <c r="C7776" s="7"/>
      <c r="D7776" s="7"/>
      <c r="E7776" s="7"/>
      <c r="F7776" s="7"/>
      <c r="G7776" s="7"/>
      <c r="H7776" s="7">
        <f t="shared" si="1"/>
        <v>1029</v>
      </c>
    </row>
    <row r="7777" ht="22.5" customHeight="1">
      <c r="B7777" s="7"/>
      <c r="C7777" s="7"/>
      <c r="D7777" s="7"/>
      <c r="E7777" s="7"/>
      <c r="F7777" s="7"/>
      <c r="G7777" s="7"/>
      <c r="H7777" s="7">
        <f t="shared" si="1"/>
        <v>1029</v>
      </c>
    </row>
    <row r="7778" ht="22.5" customHeight="1">
      <c r="B7778" s="7"/>
      <c r="C7778" s="7"/>
      <c r="D7778" s="7"/>
      <c r="E7778" s="7"/>
      <c r="F7778" s="7"/>
      <c r="G7778" s="7"/>
      <c r="H7778" s="7">
        <f t="shared" si="1"/>
        <v>1029</v>
      </c>
    </row>
    <row r="7779" ht="22.5" customHeight="1">
      <c r="B7779" s="7"/>
      <c r="C7779" s="7"/>
      <c r="D7779" s="7"/>
      <c r="E7779" s="7"/>
      <c r="F7779" s="7"/>
      <c r="G7779" s="7"/>
      <c r="H7779" s="7">
        <f t="shared" si="1"/>
        <v>1029</v>
      </c>
    </row>
    <row r="7780" ht="22.5" customHeight="1">
      <c r="B7780" s="7"/>
      <c r="C7780" s="7"/>
      <c r="D7780" s="7"/>
      <c r="E7780" s="7"/>
      <c r="F7780" s="7"/>
      <c r="G7780" s="7"/>
      <c r="H7780" s="7">
        <f t="shared" si="1"/>
        <v>1029</v>
      </c>
    </row>
    <row r="7781" ht="22.5" customHeight="1">
      <c r="B7781" s="7"/>
      <c r="C7781" s="7"/>
      <c r="D7781" s="7"/>
      <c r="E7781" s="7"/>
      <c r="F7781" s="7"/>
      <c r="G7781" s="7"/>
      <c r="H7781" s="7">
        <f t="shared" si="1"/>
        <v>1029</v>
      </c>
    </row>
    <row r="7782" ht="22.5" customHeight="1">
      <c r="B7782" s="7"/>
      <c r="C7782" s="7"/>
      <c r="D7782" s="7"/>
      <c r="E7782" s="7"/>
      <c r="F7782" s="7"/>
      <c r="G7782" s="7"/>
      <c r="H7782" s="7">
        <f t="shared" si="1"/>
        <v>1029</v>
      </c>
    </row>
    <row r="7783" ht="22.5" customHeight="1">
      <c r="B7783" s="7"/>
      <c r="C7783" s="7"/>
      <c r="D7783" s="7"/>
      <c r="E7783" s="7"/>
      <c r="F7783" s="7"/>
      <c r="G7783" s="7"/>
      <c r="H7783" s="7">
        <f t="shared" si="1"/>
        <v>1029</v>
      </c>
    </row>
    <row r="7784" ht="22.5" customHeight="1">
      <c r="B7784" s="7"/>
      <c r="C7784" s="7"/>
      <c r="D7784" s="7"/>
      <c r="E7784" s="7"/>
      <c r="F7784" s="7"/>
      <c r="G7784" s="7"/>
      <c r="H7784" s="7">
        <f t="shared" si="1"/>
        <v>1029</v>
      </c>
    </row>
    <row r="7785" ht="22.5" customHeight="1">
      <c r="B7785" s="7"/>
      <c r="C7785" s="7"/>
      <c r="D7785" s="7"/>
      <c r="E7785" s="7"/>
      <c r="F7785" s="7"/>
      <c r="G7785" s="7"/>
      <c r="H7785" s="7">
        <f t="shared" si="1"/>
        <v>1029</v>
      </c>
    </row>
    <row r="7786" ht="22.5" customHeight="1">
      <c r="B7786" s="7"/>
      <c r="C7786" s="7"/>
      <c r="D7786" s="7"/>
      <c r="E7786" s="7"/>
      <c r="F7786" s="7"/>
      <c r="G7786" s="7"/>
      <c r="H7786" s="7">
        <f t="shared" si="1"/>
        <v>1029</v>
      </c>
    </row>
    <row r="7787" ht="22.5" customHeight="1">
      <c r="B7787" s="7"/>
      <c r="C7787" s="7"/>
      <c r="D7787" s="7"/>
      <c r="E7787" s="7"/>
      <c r="F7787" s="7"/>
      <c r="G7787" s="7"/>
      <c r="H7787" s="7">
        <f t="shared" si="1"/>
        <v>1029</v>
      </c>
    </row>
    <row r="7788" ht="22.5" customHeight="1">
      <c r="B7788" s="7"/>
      <c r="C7788" s="7"/>
      <c r="D7788" s="7"/>
      <c r="E7788" s="7"/>
      <c r="F7788" s="7"/>
      <c r="G7788" s="7"/>
      <c r="H7788" s="7">
        <f t="shared" si="1"/>
        <v>1029</v>
      </c>
    </row>
    <row r="7789" ht="22.5" customHeight="1">
      <c r="B7789" s="7"/>
      <c r="C7789" s="7"/>
      <c r="D7789" s="7"/>
      <c r="E7789" s="7"/>
      <c r="F7789" s="7"/>
      <c r="G7789" s="7"/>
      <c r="H7789" s="7">
        <f t="shared" si="1"/>
        <v>1029</v>
      </c>
    </row>
    <row r="7790" ht="22.5" customHeight="1">
      <c r="B7790" s="7"/>
      <c r="C7790" s="7"/>
      <c r="D7790" s="7"/>
      <c r="E7790" s="7"/>
      <c r="F7790" s="7"/>
      <c r="G7790" s="7"/>
      <c r="H7790" s="7">
        <f t="shared" si="1"/>
        <v>1029</v>
      </c>
    </row>
    <row r="7791" ht="22.5" customHeight="1">
      <c r="B7791" s="7"/>
      <c r="C7791" s="7"/>
      <c r="D7791" s="7"/>
      <c r="E7791" s="7"/>
      <c r="F7791" s="7"/>
      <c r="G7791" s="7"/>
      <c r="H7791" s="7">
        <f t="shared" si="1"/>
        <v>1029</v>
      </c>
    </row>
    <row r="7792" ht="22.5" customHeight="1">
      <c r="B7792" s="7"/>
      <c r="C7792" s="7"/>
      <c r="D7792" s="7"/>
      <c r="E7792" s="7"/>
      <c r="F7792" s="7"/>
      <c r="G7792" s="7"/>
      <c r="H7792" s="7">
        <f t="shared" si="1"/>
        <v>1029</v>
      </c>
    </row>
    <row r="7793" ht="22.5" customHeight="1">
      <c r="B7793" s="7"/>
      <c r="C7793" s="7"/>
      <c r="D7793" s="7"/>
      <c r="E7793" s="7"/>
      <c r="F7793" s="7"/>
      <c r="G7793" s="7"/>
      <c r="H7793" s="7">
        <f t="shared" si="1"/>
        <v>1029</v>
      </c>
    </row>
    <row r="7794" ht="22.5" customHeight="1">
      <c r="B7794" s="7"/>
      <c r="C7794" s="7"/>
      <c r="D7794" s="7"/>
      <c r="E7794" s="7"/>
      <c r="F7794" s="7"/>
      <c r="G7794" s="7"/>
      <c r="H7794" s="7">
        <f t="shared" si="1"/>
        <v>1029</v>
      </c>
    </row>
    <row r="7795" ht="22.5" customHeight="1">
      <c r="B7795" s="7"/>
      <c r="C7795" s="7"/>
      <c r="D7795" s="7"/>
      <c r="E7795" s="7"/>
      <c r="F7795" s="7"/>
      <c r="G7795" s="7"/>
      <c r="H7795" s="7">
        <f t="shared" si="1"/>
        <v>1029</v>
      </c>
    </row>
    <row r="7796" ht="22.5" customHeight="1">
      <c r="B7796" s="7"/>
      <c r="C7796" s="7"/>
      <c r="D7796" s="7"/>
      <c r="E7796" s="7"/>
      <c r="F7796" s="7"/>
      <c r="G7796" s="7"/>
      <c r="H7796" s="7">
        <f t="shared" si="1"/>
        <v>1029</v>
      </c>
    </row>
    <row r="7797" ht="22.5" customHeight="1">
      <c r="B7797" s="7"/>
      <c r="C7797" s="7"/>
      <c r="D7797" s="7"/>
      <c r="E7797" s="7"/>
      <c r="F7797" s="7"/>
      <c r="G7797" s="7"/>
      <c r="H7797" s="7">
        <f t="shared" si="1"/>
        <v>1029</v>
      </c>
    </row>
    <row r="7798" ht="22.5" customHeight="1">
      <c r="B7798" s="7"/>
      <c r="C7798" s="7"/>
      <c r="D7798" s="7"/>
      <c r="E7798" s="7"/>
      <c r="F7798" s="7"/>
      <c r="G7798" s="7"/>
      <c r="H7798" s="7">
        <f t="shared" si="1"/>
        <v>1029</v>
      </c>
    </row>
    <row r="7799" ht="22.5" customHeight="1">
      <c r="B7799" s="7"/>
      <c r="C7799" s="7"/>
      <c r="D7799" s="7"/>
      <c r="E7799" s="7"/>
      <c r="F7799" s="7"/>
      <c r="G7799" s="7"/>
      <c r="H7799" s="7">
        <f t="shared" si="1"/>
        <v>1029</v>
      </c>
    </row>
    <row r="7800" ht="22.5" customHeight="1">
      <c r="B7800" s="7"/>
      <c r="C7800" s="7"/>
      <c r="D7800" s="7"/>
      <c r="E7800" s="7"/>
      <c r="F7800" s="7"/>
      <c r="G7800" s="7"/>
      <c r="H7800" s="7">
        <f t="shared" si="1"/>
        <v>1029</v>
      </c>
    </row>
    <row r="7801" ht="22.5" customHeight="1">
      <c r="B7801" s="7"/>
      <c r="C7801" s="7"/>
      <c r="D7801" s="7"/>
      <c r="E7801" s="7"/>
      <c r="F7801" s="7"/>
      <c r="G7801" s="7"/>
      <c r="H7801" s="7">
        <f t="shared" si="1"/>
        <v>1029</v>
      </c>
    </row>
    <row r="7802" ht="22.5" customHeight="1">
      <c r="B7802" s="7"/>
      <c r="C7802" s="7"/>
      <c r="D7802" s="7"/>
      <c r="E7802" s="7"/>
      <c r="F7802" s="7"/>
      <c r="G7802" s="7"/>
      <c r="H7802" s="7">
        <f t="shared" si="1"/>
        <v>1029</v>
      </c>
    </row>
    <row r="7803" ht="22.5" customHeight="1">
      <c r="B7803" s="7"/>
      <c r="C7803" s="7"/>
      <c r="D7803" s="7"/>
      <c r="E7803" s="7"/>
      <c r="F7803" s="7"/>
      <c r="G7803" s="7"/>
      <c r="H7803" s="7">
        <f t="shared" si="1"/>
        <v>1029</v>
      </c>
    </row>
    <row r="7804" ht="22.5" customHeight="1">
      <c r="B7804" s="7"/>
      <c r="C7804" s="7"/>
      <c r="D7804" s="7"/>
      <c r="E7804" s="7"/>
      <c r="F7804" s="7"/>
      <c r="G7804" s="7"/>
      <c r="H7804" s="7">
        <f t="shared" si="1"/>
        <v>1029</v>
      </c>
    </row>
    <row r="7805" ht="22.5" customHeight="1">
      <c r="B7805" s="7"/>
      <c r="C7805" s="7"/>
      <c r="D7805" s="7"/>
      <c r="E7805" s="7"/>
      <c r="F7805" s="7"/>
      <c r="G7805" s="7"/>
      <c r="H7805" s="7">
        <f t="shared" si="1"/>
        <v>1029</v>
      </c>
    </row>
    <row r="7806" ht="22.5" customHeight="1">
      <c r="B7806" s="7"/>
      <c r="C7806" s="7"/>
      <c r="D7806" s="7"/>
      <c r="E7806" s="7"/>
      <c r="F7806" s="7"/>
      <c r="G7806" s="7"/>
      <c r="H7806" s="7">
        <f t="shared" si="1"/>
        <v>1029</v>
      </c>
    </row>
    <row r="7807" ht="22.5" customHeight="1">
      <c r="B7807" s="7"/>
      <c r="C7807" s="7"/>
      <c r="D7807" s="7"/>
      <c r="E7807" s="7"/>
      <c r="F7807" s="7"/>
      <c r="G7807" s="7"/>
      <c r="H7807" s="7">
        <f t="shared" si="1"/>
        <v>1029</v>
      </c>
    </row>
    <row r="7808" ht="22.5" customHeight="1">
      <c r="B7808" s="7"/>
      <c r="C7808" s="7"/>
      <c r="D7808" s="7"/>
      <c r="E7808" s="7"/>
      <c r="F7808" s="7"/>
      <c r="G7808" s="7"/>
      <c r="H7808" s="7">
        <f t="shared" si="1"/>
        <v>1029</v>
      </c>
    </row>
    <row r="7809" ht="22.5" customHeight="1">
      <c r="B7809" s="7"/>
      <c r="C7809" s="7"/>
      <c r="D7809" s="7"/>
      <c r="E7809" s="7"/>
      <c r="F7809" s="7"/>
      <c r="G7809" s="7"/>
      <c r="H7809" s="7">
        <f t="shared" si="1"/>
        <v>1029</v>
      </c>
    </row>
    <row r="7810" ht="22.5" customHeight="1">
      <c r="B7810" s="7"/>
      <c r="C7810" s="7"/>
      <c r="D7810" s="7"/>
      <c r="E7810" s="7"/>
      <c r="F7810" s="7"/>
      <c r="G7810" s="7"/>
      <c r="H7810" s="7">
        <f t="shared" si="1"/>
        <v>1029</v>
      </c>
    </row>
    <row r="7811" ht="22.5" customHeight="1">
      <c r="B7811" s="7"/>
      <c r="C7811" s="7"/>
      <c r="D7811" s="7"/>
      <c r="E7811" s="7"/>
      <c r="F7811" s="7"/>
      <c r="G7811" s="7"/>
      <c r="H7811" s="7">
        <f t="shared" si="1"/>
        <v>1029</v>
      </c>
    </row>
    <row r="7812" ht="22.5" customHeight="1">
      <c r="B7812" s="7"/>
      <c r="C7812" s="7"/>
      <c r="D7812" s="7"/>
      <c r="E7812" s="7"/>
      <c r="F7812" s="7"/>
      <c r="G7812" s="7"/>
      <c r="H7812" s="7">
        <f t="shared" si="1"/>
        <v>1029</v>
      </c>
    </row>
    <row r="7813" ht="22.5" customHeight="1">
      <c r="B7813" s="7"/>
      <c r="C7813" s="7"/>
      <c r="D7813" s="7"/>
      <c r="E7813" s="7"/>
      <c r="F7813" s="7"/>
      <c r="G7813" s="7"/>
      <c r="H7813" s="7">
        <f t="shared" si="1"/>
        <v>1029</v>
      </c>
    </row>
    <row r="7814" ht="22.5" customHeight="1">
      <c r="B7814" s="7"/>
      <c r="C7814" s="7"/>
      <c r="D7814" s="7"/>
      <c r="E7814" s="7"/>
      <c r="F7814" s="7"/>
      <c r="G7814" s="7"/>
      <c r="H7814" s="7">
        <f t="shared" si="1"/>
        <v>1029</v>
      </c>
    </row>
    <row r="7815" ht="22.5" customHeight="1">
      <c r="B7815" s="7"/>
      <c r="C7815" s="7"/>
      <c r="D7815" s="7"/>
      <c r="E7815" s="7"/>
      <c r="F7815" s="7"/>
      <c r="G7815" s="7"/>
      <c r="H7815" s="7">
        <f t="shared" si="1"/>
        <v>1029</v>
      </c>
    </row>
    <row r="7816" ht="22.5" customHeight="1">
      <c r="B7816" s="7"/>
      <c r="C7816" s="7"/>
      <c r="D7816" s="7"/>
      <c r="E7816" s="7"/>
      <c r="F7816" s="7"/>
      <c r="G7816" s="7"/>
      <c r="H7816" s="7">
        <f t="shared" si="1"/>
        <v>1029</v>
      </c>
    </row>
    <row r="7817" ht="22.5" customHeight="1">
      <c r="B7817" s="7"/>
      <c r="C7817" s="7"/>
      <c r="D7817" s="7"/>
      <c r="E7817" s="7"/>
      <c r="F7817" s="7"/>
      <c r="G7817" s="7"/>
      <c r="H7817" s="7">
        <f t="shared" si="1"/>
        <v>1029</v>
      </c>
    </row>
    <row r="7818" ht="22.5" customHeight="1">
      <c r="B7818" s="7"/>
      <c r="C7818" s="7"/>
      <c r="D7818" s="7"/>
      <c r="E7818" s="7"/>
      <c r="F7818" s="7"/>
      <c r="G7818" s="7"/>
      <c r="H7818" s="7">
        <f t="shared" si="1"/>
        <v>1029</v>
      </c>
    </row>
    <row r="7819" ht="22.5" customHeight="1">
      <c r="B7819" s="7"/>
      <c r="C7819" s="7"/>
      <c r="D7819" s="7"/>
      <c r="E7819" s="7"/>
      <c r="F7819" s="7"/>
      <c r="G7819" s="7"/>
      <c r="H7819" s="7">
        <f t="shared" si="1"/>
        <v>1029</v>
      </c>
    </row>
    <row r="7820" ht="22.5" customHeight="1">
      <c r="B7820" s="7"/>
      <c r="C7820" s="7"/>
      <c r="D7820" s="7"/>
      <c r="E7820" s="7"/>
      <c r="F7820" s="7"/>
      <c r="G7820" s="7"/>
      <c r="H7820" s="7">
        <f t="shared" si="1"/>
        <v>1029</v>
      </c>
    </row>
    <row r="7821" ht="22.5" customHeight="1">
      <c r="B7821" s="7"/>
      <c r="C7821" s="7"/>
      <c r="D7821" s="7"/>
      <c r="E7821" s="7"/>
      <c r="F7821" s="7"/>
      <c r="G7821" s="7"/>
      <c r="H7821" s="7">
        <f t="shared" si="1"/>
        <v>1029</v>
      </c>
    </row>
    <row r="7822" ht="22.5" customHeight="1">
      <c r="B7822" s="7"/>
      <c r="C7822" s="7"/>
      <c r="D7822" s="7"/>
      <c r="E7822" s="7"/>
      <c r="F7822" s="7"/>
      <c r="G7822" s="7"/>
      <c r="H7822" s="7">
        <f t="shared" si="1"/>
        <v>1029</v>
      </c>
    </row>
    <row r="7823" ht="22.5" customHeight="1">
      <c r="B7823" s="7"/>
      <c r="C7823" s="7"/>
      <c r="D7823" s="7"/>
      <c r="E7823" s="7"/>
      <c r="F7823" s="7"/>
      <c r="G7823" s="7"/>
      <c r="H7823" s="7">
        <f t="shared" si="1"/>
        <v>1029</v>
      </c>
    </row>
    <row r="7824" ht="22.5" customHeight="1">
      <c r="B7824" s="7"/>
      <c r="C7824" s="7"/>
      <c r="D7824" s="7"/>
      <c r="E7824" s="7"/>
      <c r="F7824" s="7"/>
      <c r="G7824" s="7"/>
      <c r="H7824" s="7">
        <f t="shared" si="1"/>
        <v>1029</v>
      </c>
    </row>
    <row r="7825" ht="22.5" customHeight="1">
      <c r="B7825" s="7"/>
      <c r="C7825" s="7"/>
      <c r="D7825" s="7"/>
      <c r="E7825" s="7"/>
      <c r="F7825" s="7"/>
      <c r="G7825" s="7"/>
      <c r="H7825" s="7">
        <f t="shared" si="1"/>
        <v>1029</v>
      </c>
    </row>
    <row r="7826" ht="22.5" customHeight="1">
      <c r="B7826" s="7"/>
      <c r="C7826" s="7"/>
      <c r="D7826" s="7"/>
      <c r="E7826" s="7"/>
      <c r="F7826" s="7"/>
      <c r="G7826" s="7"/>
      <c r="H7826" s="7">
        <f t="shared" si="1"/>
        <v>1029</v>
      </c>
    </row>
    <row r="7827" ht="22.5" customHeight="1">
      <c r="B7827" s="7"/>
      <c r="C7827" s="7"/>
      <c r="D7827" s="7"/>
      <c r="E7827" s="7"/>
      <c r="F7827" s="7"/>
      <c r="G7827" s="7"/>
      <c r="H7827" s="7">
        <f t="shared" si="1"/>
        <v>1029</v>
      </c>
    </row>
    <row r="7828" ht="22.5" customHeight="1">
      <c r="B7828" s="7"/>
      <c r="C7828" s="7"/>
      <c r="D7828" s="7"/>
      <c r="E7828" s="7"/>
      <c r="F7828" s="7"/>
      <c r="G7828" s="7"/>
      <c r="H7828" s="7">
        <f t="shared" si="1"/>
        <v>1029</v>
      </c>
    </row>
    <row r="7829" ht="22.5" customHeight="1">
      <c r="B7829" s="7"/>
      <c r="C7829" s="7"/>
      <c r="D7829" s="7"/>
      <c r="E7829" s="7"/>
      <c r="F7829" s="7"/>
      <c r="G7829" s="7"/>
      <c r="H7829" s="7">
        <f t="shared" si="1"/>
        <v>1029</v>
      </c>
    </row>
    <row r="7830" ht="22.5" customHeight="1">
      <c r="B7830" s="7"/>
      <c r="C7830" s="7"/>
      <c r="D7830" s="7"/>
      <c r="E7830" s="7"/>
      <c r="F7830" s="7"/>
      <c r="G7830" s="7"/>
      <c r="H7830" s="7">
        <f t="shared" si="1"/>
        <v>1029</v>
      </c>
    </row>
    <row r="7831" ht="22.5" customHeight="1">
      <c r="B7831" s="7"/>
      <c r="C7831" s="7"/>
      <c r="D7831" s="7"/>
      <c r="E7831" s="7"/>
      <c r="F7831" s="7"/>
      <c r="G7831" s="7"/>
      <c r="H7831" s="7">
        <f t="shared" si="1"/>
        <v>1029</v>
      </c>
    </row>
    <row r="7832" ht="22.5" customHeight="1">
      <c r="B7832" s="7"/>
      <c r="C7832" s="7"/>
      <c r="D7832" s="7"/>
      <c r="E7832" s="7"/>
      <c r="F7832" s="7"/>
      <c r="G7832" s="7"/>
      <c r="H7832" s="7">
        <f t="shared" si="1"/>
        <v>1029</v>
      </c>
    </row>
    <row r="7833" ht="22.5" customHeight="1">
      <c r="B7833" s="7"/>
      <c r="C7833" s="7"/>
      <c r="D7833" s="7"/>
      <c r="E7833" s="7"/>
      <c r="F7833" s="7"/>
      <c r="G7833" s="7"/>
      <c r="H7833" s="7">
        <f t="shared" si="1"/>
        <v>1029</v>
      </c>
    </row>
    <row r="7834" ht="22.5" customHeight="1">
      <c r="B7834" s="7"/>
      <c r="C7834" s="7"/>
      <c r="D7834" s="7"/>
      <c r="E7834" s="7"/>
      <c r="F7834" s="7"/>
      <c r="G7834" s="7"/>
      <c r="H7834" s="7">
        <f t="shared" si="1"/>
        <v>1029</v>
      </c>
    </row>
    <row r="7835" ht="22.5" customHeight="1">
      <c r="B7835" s="7"/>
      <c r="C7835" s="7"/>
      <c r="D7835" s="7"/>
      <c r="E7835" s="7"/>
      <c r="F7835" s="7"/>
      <c r="G7835" s="7"/>
      <c r="H7835" s="7">
        <f t="shared" si="1"/>
        <v>1029</v>
      </c>
    </row>
    <row r="7836" ht="22.5" customHeight="1">
      <c r="B7836" s="7"/>
      <c r="C7836" s="7"/>
      <c r="D7836" s="7"/>
      <c r="E7836" s="7"/>
      <c r="F7836" s="7"/>
      <c r="G7836" s="7"/>
      <c r="H7836" s="7">
        <f t="shared" si="1"/>
        <v>1029</v>
      </c>
    </row>
    <row r="7837" ht="22.5" customHeight="1">
      <c r="B7837" s="7"/>
      <c r="C7837" s="7"/>
      <c r="D7837" s="7"/>
      <c r="E7837" s="7"/>
      <c r="F7837" s="7"/>
      <c r="G7837" s="7"/>
      <c r="H7837" s="7">
        <f t="shared" si="1"/>
        <v>1029</v>
      </c>
    </row>
    <row r="7838" ht="22.5" customHeight="1">
      <c r="B7838" s="7"/>
      <c r="C7838" s="7"/>
      <c r="D7838" s="7"/>
      <c r="E7838" s="7"/>
      <c r="F7838" s="7"/>
      <c r="G7838" s="7"/>
      <c r="H7838" s="7">
        <f t="shared" si="1"/>
        <v>1029</v>
      </c>
    </row>
    <row r="7839" ht="22.5" customHeight="1">
      <c r="B7839" s="7"/>
      <c r="C7839" s="7"/>
      <c r="D7839" s="7"/>
      <c r="E7839" s="7"/>
      <c r="F7839" s="7"/>
      <c r="G7839" s="7"/>
      <c r="H7839" s="7">
        <f t="shared" si="1"/>
        <v>1029</v>
      </c>
    </row>
    <row r="7840" ht="22.5" customHeight="1">
      <c r="B7840" s="7"/>
      <c r="C7840" s="7"/>
      <c r="D7840" s="7"/>
      <c r="E7840" s="7"/>
      <c r="F7840" s="7"/>
      <c r="G7840" s="7"/>
      <c r="H7840" s="7">
        <f t="shared" si="1"/>
        <v>1029</v>
      </c>
    </row>
    <row r="7841" ht="22.5" customHeight="1">
      <c r="B7841" s="7"/>
      <c r="C7841" s="7"/>
      <c r="D7841" s="7"/>
      <c r="E7841" s="7"/>
      <c r="F7841" s="7"/>
      <c r="G7841" s="7"/>
      <c r="H7841" s="7">
        <f t="shared" si="1"/>
        <v>1029</v>
      </c>
    </row>
    <row r="7842" ht="22.5" customHeight="1">
      <c r="B7842" s="7"/>
      <c r="C7842" s="7"/>
      <c r="D7842" s="7"/>
      <c r="E7842" s="7"/>
      <c r="F7842" s="7"/>
      <c r="G7842" s="7"/>
      <c r="H7842" s="7">
        <f t="shared" si="1"/>
        <v>1029</v>
      </c>
    </row>
    <row r="7843" ht="22.5" customHeight="1">
      <c r="B7843" s="7"/>
      <c r="C7843" s="7"/>
      <c r="D7843" s="7"/>
      <c r="E7843" s="7"/>
      <c r="F7843" s="7"/>
      <c r="G7843" s="7"/>
      <c r="H7843" s="7">
        <f t="shared" si="1"/>
        <v>1029</v>
      </c>
    </row>
    <row r="7844" ht="22.5" customHeight="1">
      <c r="B7844" s="7"/>
      <c r="C7844" s="7"/>
      <c r="D7844" s="7"/>
      <c r="E7844" s="7"/>
      <c r="F7844" s="7"/>
      <c r="G7844" s="7"/>
      <c r="H7844" s="7">
        <f t="shared" si="1"/>
        <v>1029</v>
      </c>
    </row>
    <row r="7845" ht="22.5" customHeight="1">
      <c r="B7845" s="7"/>
      <c r="C7845" s="7"/>
      <c r="D7845" s="7"/>
      <c r="E7845" s="7"/>
      <c r="F7845" s="7"/>
      <c r="G7845" s="7"/>
      <c r="H7845" s="7">
        <f t="shared" si="1"/>
        <v>1029</v>
      </c>
    </row>
    <row r="7846" ht="22.5" customHeight="1">
      <c r="B7846" s="7"/>
      <c r="C7846" s="7"/>
      <c r="D7846" s="7"/>
      <c r="E7846" s="7"/>
      <c r="F7846" s="7"/>
      <c r="G7846" s="7"/>
      <c r="H7846" s="7">
        <f t="shared" si="1"/>
        <v>1029</v>
      </c>
    </row>
    <row r="7847" ht="22.5" customHeight="1">
      <c r="B7847" s="7"/>
      <c r="C7847" s="7"/>
      <c r="D7847" s="7"/>
      <c r="E7847" s="7"/>
      <c r="F7847" s="7"/>
      <c r="G7847" s="7"/>
      <c r="H7847" s="7">
        <f t="shared" si="1"/>
        <v>1029</v>
      </c>
    </row>
    <row r="7848" ht="22.5" customHeight="1">
      <c r="B7848" s="7"/>
      <c r="C7848" s="7"/>
      <c r="D7848" s="7"/>
      <c r="E7848" s="7"/>
      <c r="F7848" s="7"/>
      <c r="G7848" s="7"/>
      <c r="H7848" s="7">
        <f t="shared" si="1"/>
        <v>1029</v>
      </c>
    </row>
    <row r="7849" ht="22.5" customHeight="1">
      <c r="B7849" s="7"/>
      <c r="C7849" s="7"/>
      <c r="D7849" s="7"/>
      <c r="E7849" s="7"/>
      <c r="F7849" s="7"/>
      <c r="G7849" s="7"/>
      <c r="H7849" s="7">
        <f t="shared" si="1"/>
        <v>1029</v>
      </c>
    </row>
    <row r="7850" ht="22.5" customHeight="1">
      <c r="B7850" s="7"/>
      <c r="C7850" s="7"/>
      <c r="D7850" s="7"/>
      <c r="E7850" s="7"/>
      <c r="F7850" s="7"/>
      <c r="G7850" s="7"/>
      <c r="H7850" s="7">
        <f t="shared" si="1"/>
        <v>1029</v>
      </c>
    </row>
    <row r="7851" ht="22.5" customHeight="1">
      <c r="B7851" s="7"/>
      <c r="C7851" s="7"/>
      <c r="D7851" s="7"/>
      <c r="E7851" s="7"/>
      <c r="F7851" s="7"/>
      <c r="G7851" s="7"/>
      <c r="H7851" s="7">
        <f t="shared" si="1"/>
        <v>1029</v>
      </c>
    </row>
    <row r="7852" ht="22.5" customHeight="1">
      <c r="B7852" s="7"/>
      <c r="C7852" s="7"/>
      <c r="D7852" s="7"/>
      <c r="E7852" s="7"/>
      <c r="F7852" s="7"/>
      <c r="G7852" s="7"/>
      <c r="H7852" s="7">
        <f t="shared" si="1"/>
        <v>1029</v>
      </c>
    </row>
    <row r="7853" ht="22.5" customHeight="1">
      <c r="B7853" s="7"/>
      <c r="C7853" s="7"/>
      <c r="D7853" s="7"/>
      <c r="E7853" s="7"/>
      <c r="F7853" s="7"/>
      <c r="G7853" s="7"/>
      <c r="H7853" s="7">
        <f t="shared" si="1"/>
        <v>1029</v>
      </c>
    </row>
    <row r="7854" ht="22.5" customHeight="1">
      <c r="B7854" s="7"/>
      <c r="C7854" s="7"/>
      <c r="D7854" s="7"/>
      <c r="E7854" s="7"/>
      <c r="F7854" s="7"/>
      <c r="G7854" s="7"/>
      <c r="H7854" s="7">
        <f t="shared" si="1"/>
        <v>1029</v>
      </c>
    </row>
    <row r="7855" ht="22.5" customHeight="1">
      <c r="B7855" s="7"/>
      <c r="C7855" s="7"/>
      <c r="D7855" s="7"/>
      <c r="E7855" s="7"/>
      <c r="F7855" s="7"/>
      <c r="G7855" s="7"/>
      <c r="H7855" s="7">
        <f t="shared" si="1"/>
        <v>1029</v>
      </c>
    </row>
    <row r="7856" ht="22.5" customHeight="1">
      <c r="B7856" s="7"/>
      <c r="C7856" s="7"/>
      <c r="D7856" s="7"/>
      <c r="E7856" s="7"/>
      <c r="F7856" s="7"/>
      <c r="G7856" s="7"/>
      <c r="H7856" s="7">
        <f t="shared" si="1"/>
        <v>1029</v>
      </c>
    </row>
    <row r="7857" ht="22.5" customHeight="1">
      <c r="B7857" s="7"/>
      <c r="C7857" s="7"/>
      <c r="D7857" s="7"/>
      <c r="E7857" s="7"/>
      <c r="F7857" s="7"/>
      <c r="G7857" s="7"/>
      <c r="H7857" s="7">
        <f t="shared" si="1"/>
        <v>1029</v>
      </c>
    </row>
    <row r="7858" ht="22.5" customHeight="1">
      <c r="B7858" s="7"/>
      <c r="C7858" s="7"/>
      <c r="D7858" s="7"/>
      <c r="E7858" s="7"/>
      <c r="F7858" s="7"/>
      <c r="G7858" s="7"/>
      <c r="H7858" s="7">
        <f t="shared" si="1"/>
        <v>1029</v>
      </c>
    </row>
    <row r="7859" ht="22.5" customHeight="1">
      <c r="B7859" s="7"/>
      <c r="C7859" s="7"/>
      <c r="D7859" s="7"/>
      <c r="E7859" s="7"/>
      <c r="F7859" s="7"/>
      <c r="G7859" s="7"/>
      <c r="H7859" s="7">
        <f t="shared" si="1"/>
        <v>1029</v>
      </c>
    </row>
    <row r="7860" ht="22.5" customHeight="1">
      <c r="B7860" s="7"/>
      <c r="C7860" s="7"/>
      <c r="D7860" s="7"/>
      <c r="E7860" s="7"/>
      <c r="F7860" s="7"/>
      <c r="G7860" s="7"/>
      <c r="H7860" s="7">
        <f t="shared" si="1"/>
        <v>1029</v>
      </c>
    </row>
    <row r="7861" ht="22.5" customHeight="1">
      <c r="B7861" s="7"/>
      <c r="C7861" s="7"/>
      <c r="D7861" s="7"/>
      <c r="E7861" s="7"/>
      <c r="F7861" s="7"/>
      <c r="G7861" s="7"/>
      <c r="H7861" s="7">
        <f t="shared" si="1"/>
        <v>1029</v>
      </c>
    </row>
    <row r="7862" ht="22.5" customHeight="1">
      <c r="B7862" s="7"/>
      <c r="C7862" s="7"/>
      <c r="D7862" s="7"/>
      <c r="E7862" s="7"/>
      <c r="F7862" s="7"/>
      <c r="G7862" s="7"/>
      <c r="H7862" s="7">
        <f t="shared" si="1"/>
        <v>1029</v>
      </c>
    </row>
    <row r="7863" ht="22.5" customHeight="1">
      <c r="B7863" s="7"/>
      <c r="C7863" s="7"/>
      <c r="D7863" s="7"/>
      <c r="E7863" s="7"/>
      <c r="F7863" s="7"/>
      <c r="G7863" s="7"/>
      <c r="H7863" s="7">
        <f t="shared" si="1"/>
        <v>1029</v>
      </c>
    </row>
    <row r="7864" ht="22.5" customHeight="1">
      <c r="B7864" s="7"/>
      <c r="C7864" s="7"/>
      <c r="D7864" s="7"/>
      <c r="E7864" s="7"/>
      <c r="F7864" s="7"/>
      <c r="G7864" s="7"/>
      <c r="H7864" s="7">
        <f t="shared" si="1"/>
        <v>1029</v>
      </c>
    </row>
    <row r="7865" ht="22.5" customHeight="1">
      <c r="B7865" s="7"/>
      <c r="C7865" s="7"/>
      <c r="D7865" s="7"/>
      <c r="E7865" s="7"/>
      <c r="F7865" s="7"/>
      <c r="G7865" s="7"/>
      <c r="H7865" s="7">
        <f t="shared" si="1"/>
        <v>1029</v>
      </c>
    </row>
    <row r="7866" ht="22.5" customHeight="1">
      <c r="B7866" s="7"/>
      <c r="C7866" s="7"/>
      <c r="D7866" s="7"/>
      <c r="E7866" s="7"/>
      <c r="F7866" s="7"/>
      <c r="G7866" s="7"/>
      <c r="H7866" s="7">
        <f t="shared" si="1"/>
        <v>1029</v>
      </c>
    </row>
    <row r="7867" ht="22.5" customHeight="1">
      <c r="B7867" s="7"/>
      <c r="C7867" s="7"/>
      <c r="D7867" s="7"/>
      <c r="E7867" s="7"/>
      <c r="F7867" s="7"/>
      <c r="G7867" s="7"/>
      <c r="H7867" s="7">
        <f t="shared" si="1"/>
        <v>1029</v>
      </c>
    </row>
    <row r="7868" ht="22.5" customHeight="1">
      <c r="B7868" s="7"/>
      <c r="C7868" s="7"/>
      <c r="D7868" s="7"/>
      <c r="E7868" s="7"/>
      <c r="F7868" s="7"/>
      <c r="G7868" s="7"/>
      <c r="H7868" s="7">
        <f t="shared" si="1"/>
        <v>1029</v>
      </c>
    </row>
    <row r="7869" ht="22.5" customHeight="1">
      <c r="B7869" s="7"/>
      <c r="C7869" s="7"/>
      <c r="D7869" s="7"/>
      <c r="E7869" s="7"/>
      <c r="F7869" s="7"/>
      <c r="G7869" s="7"/>
      <c r="H7869" s="7">
        <f t="shared" si="1"/>
        <v>1029</v>
      </c>
    </row>
    <row r="7870" ht="22.5" customHeight="1">
      <c r="B7870" s="7"/>
      <c r="C7870" s="7"/>
      <c r="D7870" s="7"/>
      <c r="E7870" s="7"/>
      <c r="F7870" s="7"/>
      <c r="G7870" s="7"/>
      <c r="H7870" s="7">
        <f t="shared" si="1"/>
        <v>1029</v>
      </c>
    </row>
    <row r="7871" ht="22.5" customHeight="1">
      <c r="B7871" s="7"/>
      <c r="C7871" s="7"/>
      <c r="D7871" s="7"/>
      <c r="E7871" s="7"/>
      <c r="F7871" s="7"/>
      <c r="G7871" s="7"/>
      <c r="H7871" s="7">
        <f t="shared" si="1"/>
        <v>1029</v>
      </c>
    </row>
    <row r="7872" ht="22.5" customHeight="1">
      <c r="B7872" s="7"/>
      <c r="C7872" s="7"/>
      <c r="D7872" s="7"/>
      <c r="E7872" s="7"/>
      <c r="F7872" s="7"/>
      <c r="G7872" s="7"/>
      <c r="H7872" s="7">
        <f t="shared" si="1"/>
        <v>1029</v>
      </c>
    </row>
    <row r="7873" ht="22.5" customHeight="1">
      <c r="B7873" s="7"/>
      <c r="C7873" s="7"/>
      <c r="D7873" s="7"/>
      <c r="E7873" s="7"/>
      <c r="F7873" s="7"/>
      <c r="G7873" s="7"/>
      <c r="H7873" s="7">
        <f t="shared" si="1"/>
        <v>1029</v>
      </c>
    </row>
    <row r="7874" ht="22.5" customHeight="1">
      <c r="B7874" s="7"/>
      <c r="C7874" s="7"/>
      <c r="D7874" s="7"/>
      <c r="E7874" s="7"/>
      <c r="F7874" s="7"/>
      <c r="G7874" s="7"/>
      <c r="H7874" s="7">
        <f t="shared" si="1"/>
        <v>1029</v>
      </c>
    </row>
    <row r="7875" ht="22.5" customHeight="1">
      <c r="B7875" s="7"/>
      <c r="C7875" s="7"/>
      <c r="D7875" s="7"/>
      <c r="E7875" s="7"/>
      <c r="F7875" s="7"/>
      <c r="G7875" s="7"/>
      <c r="H7875" s="7">
        <f t="shared" si="1"/>
        <v>1029</v>
      </c>
    </row>
    <row r="7876" ht="22.5" customHeight="1">
      <c r="B7876" s="7"/>
      <c r="C7876" s="7"/>
      <c r="D7876" s="7"/>
      <c r="E7876" s="7"/>
      <c r="F7876" s="7"/>
      <c r="G7876" s="7"/>
      <c r="H7876" s="7">
        <f t="shared" si="1"/>
        <v>1029</v>
      </c>
    </row>
    <row r="7877" ht="22.5" customHeight="1">
      <c r="B7877" s="7"/>
      <c r="C7877" s="7"/>
      <c r="D7877" s="7"/>
      <c r="E7877" s="7"/>
      <c r="F7877" s="7"/>
      <c r="G7877" s="7"/>
      <c r="H7877" s="7">
        <f t="shared" si="1"/>
        <v>1029</v>
      </c>
    </row>
    <row r="7878" ht="22.5" customHeight="1">
      <c r="B7878" s="7"/>
      <c r="C7878" s="7"/>
      <c r="D7878" s="7"/>
      <c r="E7878" s="7"/>
      <c r="F7878" s="7"/>
      <c r="G7878" s="7"/>
      <c r="H7878" s="7">
        <f t="shared" si="1"/>
        <v>1029</v>
      </c>
    </row>
    <row r="7879" ht="22.5" customHeight="1">
      <c r="B7879" s="7"/>
      <c r="C7879" s="7"/>
      <c r="D7879" s="7"/>
      <c r="E7879" s="7"/>
      <c r="F7879" s="7"/>
      <c r="G7879" s="7"/>
      <c r="H7879" s="7">
        <f t="shared" si="1"/>
        <v>1029</v>
      </c>
    </row>
    <row r="7880" ht="22.5" customHeight="1">
      <c r="B7880" s="7"/>
      <c r="C7880" s="7"/>
      <c r="D7880" s="7"/>
      <c r="E7880" s="7"/>
      <c r="F7880" s="7"/>
      <c r="G7880" s="7"/>
      <c r="H7880" s="7">
        <f t="shared" si="1"/>
        <v>1029</v>
      </c>
    </row>
    <row r="7881" ht="22.5" customHeight="1">
      <c r="B7881" s="7"/>
      <c r="C7881" s="7"/>
      <c r="D7881" s="7"/>
      <c r="E7881" s="7"/>
      <c r="F7881" s="7"/>
      <c r="G7881" s="7"/>
      <c r="H7881" s="7">
        <f t="shared" si="1"/>
        <v>1029</v>
      </c>
    </row>
    <row r="7882" ht="22.5" customHeight="1">
      <c r="B7882" s="7"/>
      <c r="C7882" s="7"/>
      <c r="D7882" s="7"/>
      <c r="E7882" s="7"/>
      <c r="F7882" s="7"/>
      <c r="G7882" s="7"/>
      <c r="H7882" s="7">
        <f t="shared" si="1"/>
        <v>1029</v>
      </c>
    </row>
    <row r="7883" ht="22.5" customHeight="1">
      <c r="B7883" s="7"/>
      <c r="C7883" s="7"/>
      <c r="D7883" s="7"/>
      <c r="E7883" s="7"/>
      <c r="F7883" s="7"/>
      <c r="G7883" s="7"/>
      <c r="H7883" s="7">
        <f t="shared" si="1"/>
        <v>1029</v>
      </c>
    </row>
    <row r="7884" ht="22.5" customHeight="1">
      <c r="B7884" s="7"/>
      <c r="C7884" s="7"/>
      <c r="D7884" s="7"/>
      <c r="E7884" s="7"/>
      <c r="F7884" s="7"/>
      <c r="G7884" s="7"/>
      <c r="H7884" s="7">
        <f t="shared" si="1"/>
        <v>1029</v>
      </c>
    </row>
    <row r="7885" ht="22.5" customHeight="1">
      <c r="B7885" s="7"/>
      <c r="C7885" s="7"/>
      <c r="D7885" s="7"/>
      <c r="E7885" s="7"/>
      <c r="F7885" s="7"/>
      <c r="G7885" s="7"/>
      <c r="H7885" s="7">
        <f t="shared" si="1"/>
        <v>1029</v>
      </c>
    </row>
    <row r="7886" ht="22.5" customHeight="1">
      <c r="B7886" s="7"/>
      <c r="C7886" s="7"/>
      <c r="D7886" s="7"/>
      <c r="E7886" s="7"/>
      <c r="F7886" s="7"/>
      <c r="G7886" s="7"/>
      <c r="H7886" s="7">
        <f t="shared" si="1"/>
        <v>1029</v>
      </c>
    </row>
    <row r="7887" ht="22.5" customHeight="1">
      <c r="B7887" s="7"/>
      <c r="C7887" s="7"/>
      <c r="D7887" s="7"/>
      <c r="E7887" s="7"/>
      <c r="F7887" s="7"/>
      <c r="G7887" s="7"/>
      <c r="H7887" s="7">
        <f t="shared" si="1"/>
        <v>1029</v>
      </c>
    </row>
    <row r="7888" ht="22.5" customHeight="1">
      <c r="B7888" s="7"/>
      <c r="C7888" s="7"/>
      <c r="D7888" s="7"/>
      <c r="E7888" s="7"/>
      <c r="F7888" s="7"/>
      <c r="G7888" s="7"/>
      <c r="H7888" s="7">
        <f t="shared" si="1"/>
        <v>1029</v>
      </c>
    </row>
    <row r="7889" ht="22.5" customHeight="1">
      <c r="B7889" s="7"/>
      <c r="C7889" s="7"/>
      <c r="D7889" s="7"/>
      <c r="E7889" s="7"/>
      <c r="F7889" s="7"/>
      <c r="G7889" s="7"/>
      <c r="H7889" s="7">
        <f t="shared" si="1"/>
        <v>1029</v>
      </c>
    </row>
    <row r="7890" ht="22.5" customHeight="1">
      <c r="B7890" s="7"/>
      <c r="C7890" s="7"/>
      <c r="D7890" s="7"/>
      <c r="E7890" s="7"/>
      <c r="F7890" s="7"/>
      <c r="G7890" s="7"/>
      <c r="H7890" s="7">
        <f t="shared" si="1"/>
        <v>1029</v>
      </c>
    </row>
    <row r="7891" ht="22.5" customHeight="1">
      <c r="B7891" s="7"/>
      <c r="C7891" s="7"/>
      <c r="D7891" s="7"/>
      <c r="E7891" s="7"/>
      <c r="F7891" s="7"/>
      <c r="G7891" s="7"/>
      <c r="H7891" s="7">
        <f t="shared" si="1"/>
        <v>1029</v>
      </c>
    </row>
    <row r="7892" ht="22.5" customHeight="1">
      <c r="B7892" s="7"/>
      <c r="C7892" s="7"/>
      <c r="D7892" s="7"/>
      <c r="E7892" s="7"/>
      <c r="F7892" s="7"/>
      <c r="G7892" s="7"/>
      <c r="H7892" s="7">
        <f t="shared" si="1"/>
        <v>1029</v>
      </c>
    </row>
    <row r="7893" ht="22.5" customHeight="1">
      <c r="B7893" s="7"/>
      <c r="C7893" s="7"/>
      <c r="D7893" s="7"/>
      <c r="E7893" s="7"/>
      <c r="F7893" s="7"/>
      <c r="G7893" s="7"/>
      <c r="H7893" s="7">
        <f t="shared" si="1"/>
        <v>1029</v>
      </c>
    </row>
    <row r="7894" ht="22.5" customHeight="1">
      <c r="B7894" s="7"/>
      <c r="C7894" s="7"/>
      <c r="D7894" s="7"/>
      <c r="E7894" s="7"/>
      <c r="F7894" s="7"/>
      <c r="G7894" s="7"/>
      <c r="H7894" s="7">
        <f t="shared" si="1"/>
        <v>1029</v>
      </c>
    </row>
    <row r="7895" ht="22.5" customHeight="1">
      <c r="B7895" s="7"/>
      <c r="C7895" s="7"/>
      <c r="D7895" s="7"/>
      <c r="E7895" s="7"/>
      <c r="F7895" s="7"/>
      <c r="G7895" s="7"/>
      <c r="H7895" s="7">
        <f t="shared" si="1"/>
        <v>1029</v>
      </c>
    </row>
    <row r="7896" ht="22.5" customHeight="1">
      <c r="B7896" s="7"/>
      <c r="C7896" s="7"/>
      <c r="D7896" s="7"/>
      <c r="E7896" s="7"/>
      <c r="F7896" s="7"/>
      <c r="G7896" s="7"/>
      <c r="H7896" s="7">
        <f t="shared" si="1"/>
        <v>1029</v>
      </c>
    </row>
    <row r="7897" ht="22.5" customHeight="1">
      <c r="B7897" s="7"/>
      <c r="C7897" s="7"/>
      <c r="D7897" s="7"/>
      <c r="E7897" s="7"/>
      <c r="F7897" s="7"/>
      <c r="G7897" s="7"/>
      <c r="H7897" s="7">
        <f t="shared" si="1"/>
        <v>1029</v>
      </c>
    </row>
    <row r="7898" ht="22.5" customHeight="1">
      <c r="B7898" s="7"/>
      <c r="C7898" s="7"/>
      <c r="D7898" s="7"/>
      <c r="E7898" s="7"/>
      <c r="F7898" s="7"/>
      <c r="G7898" s="7"/>
      <c r="H7898" s="7">
        <f t="shared" si="1"/>
        <v>1029</v>
      </c>
    </row>
    <row r="7899" ht="22.5" customHeight="1">
      <c r="B7899" s="7"/>
      <c r="C7899" s="7"/>
      <c r="D7899" s="7"/>
      <c r="E7899" s="7"/>
      <c r="F7899" s="7"/>
      <c r="G7899" s="7"/>
      <c r="H7899" s="7">
        <f t="shared" si="1"/>
        <v>1029</v>
      </c>
    </row>
    <row r="7900" ht="22.5" customHeight="1">
      <c r="B7900" s="7"/>
      <c r="C7900" s="7"/>
      <c r="D7900" s="7"/>
      <c r="E7900" s="7"/>
      <c r="F7900" s="7"/>
      <c r="G7900" s="7"/>
      <c r="H7900" s="7">
        <f t="shared" si="1"/>
        <v>1029</v>
      </c>
    </row>
    <row r="7901" ht="22.5" customHeight="1">
      <c r="B7901" s="7"/>
      <c r="C7901" s="7"/>
      <c r="D7901" s="7"/>
      <c r="E7901" s="7"/>
      <c r="F7901" s="7"/>
      <c r="G7901" s="7"/>
      <c r="H7901" s="7">
        <f t="shared" si="1"/>
        <v>1029</v>
      </c>
    </row>
    <row r="7902" ht="22.5" customHeight="1">
      <c r="B7902" s="7"/>
      <c r="C7902" s="7"/>
      <c r="D7902" s="7"/>
      <c r="E7902" s="7"/>
      <c r="F7902" s="7"/>
      <c r="G7902" s="7"/>
      <c r="H7902" s="7">
        <f t="shared" si="1"/>
        <v>1029</v>
      </c>
    </row>
    <row r="7903" ht="22.5" customHeight="1">
      <c r="B7903" s="7"/>
      <c r="C7903" s="7"/>
      <c r="D7903" s="7"/>
      <c r="E7903" s="7"/>
      <c r="F7903" s="7"/>
      <c r="G7903" s="7"/>
      <c r="H7903" s="7">
        <f t="shared" si="1"/>
        <v>1029</v>
      </c>
    </row>
    <row r="7904" ht="22.5" customHeight="1">
      <c r="B7904" s="7"/>
      <c r="C7904" s="7"/>
      <c r="D7904" s="7"/>
      <c r="E7904" s="7"/>
      <c r="F7904" s="7"/>
      <c r="G7904" s="7"/>
      <c r="H7904" s="7">
        <f t="shared" si="1"/>
        <v>1029</v>
      </c>
    </row>
    <row r="7905" ht="22.5" customHeight="1">
      <c r="B7905" s="7"/>
      <c r="C7905" s="7"/>
      <c r="D7905" s="7"/>
      <c r="E7905" s="7"/>
      <c r="F7905" s="7"/>
      <c r="G7905" s="7"/>
      <c r="H7905" s="7">
        <f t="shared" si="1"/>
        <v>1029</v>
      </c>
    </row>
    <row r="7906" ht="22.5" customHeight="1">
      <c r="B7906" s="7"/>
      <c r="C7906" s="7"/>
      <c r="D7906" s="7"/>
      <c r="E7906" s="7"/>
      <c r="F7906" s="7"/>
      <c r="G7906" s="7"/>
      <c r="H7906" s="7">
        <f t="shared" si="1"/>
        <v>1029</v>
      </c>
    </row>
    <row r="7907" ht="22.5" customHeight="1">
      <c r="B7907" s="7"/>
      <c r="C7907" s="7"/>
      <c r="D7907" s="7"/>
      <c r="E7907" s="7"/>
      <c r="F7907" s="7"/>
      <c r="G7907" s="7"/>
      <c r="H7907" s="7">
        <f t="shared" si="1"/>
        <v>1029</v>
      </c>
    </row>
    <row r="7908" ht="22.5" customHeight="1">
      <c r="B7908" s="7"/>
      <c r="C7908" s="7"/>
      <c r="D7908" s="7"/>
      <c r="E7908" s="7"/>
      <c r="F7908" s="7"/>
      <c r="G7908" s="7"/>
      <c r="H7908" s="7">
        <f t="shared" si="1"/>
        <v>1029</v>
      </c>
    </row>
    <row r="7909" ht="22.5" customHeight="1">
      <c r="B7909" s="7"/>
      <c r="C7909" s="7"/>
      <c r="D7909" s="7"/>
      <c r="E7909" s="7"/>
      <c r="F7909" s="7"/>
      <c r="G7909" s="7"/>
      <c r="H7909" s="7">
        <f t="shared" si="1"/>
        <v>1029</v>
      </c>
    </row>
    <row r="7910" ht="22.5" customHeight="1">
      <c r="B7910" s="7"/>
      <c r="C7910" s="7"/>
      <c r="D7910" s="7"/>
      <c r="E7910" s="7"/>
      <c r="F7910" s="7"/>
      <c r="G7910" s="7"/>
      <c r="H7910" s="7">
        <f t="shared" si="1"/>
        <v>1029</v>
      </c>
    </row>
    <row r="7911" ht="22.5" customHeight="1">
      <c r="B7911" s="7"/>
      <c r="C7911" s="7"/>
      <c r="D7911" s="7"/>
      <c r="E7911" s="7"/>
      <c r="F7911" s="7"/>
      <c r="G7911" s="7"/>
      <c r="H7911" s="7">
        <f t="shared" si="1"/>
        <v>1029</v>
      </c>
    </row>
    <row r="7912" ht="22.5" customHeight="1">
      <c r="B7912" s="7"/>
      <c r="C7912" s="7"/>
      <c r="D7912" s="7"/>
      <c r="E7912" s="7"/>
      <c r="F7912" s="7"/>
      <c r="G7912" s="7"/>
      <c r="H7912" s="7">
        <f t="shared" si="1"/>
        <v>1029</v>
      </c>
    </row>
    <row r="7913" ht="22.5" customHeight="1">
      <c r="B7913" s="7"/>
      <c r="C7913" s="7"/>
      <c r="D7913" s="7"/>
      <c r="E7913" s="7"/>
      <c r="F7913" s="7"/>
      <c r="G7913" s="7"/>
      <c r="H7913" s="7">
        <f t="shared" si="1"/>
        <v>1029</v>
      </c>
    </row>
    <row r="7914" ht="22.5" customHeight="1">
      <c r="B7914" s="7"/>
      <c r="C7914" s="7"/>
      <c r="D7914" s="7"/>
      <c r="E7914" s="7"/>
      <c r="F7914" s="7"/>
      <c r="G7914" s="7"/>
      <c r="H7914" s="7">
        <f t="shared" si="1"/>
        <v>1029</v>
      </c>
    </row>
    <row r="7915" ht="22.5" customHeight="1">
      <c r="B7915" s="7"/>
      <c r="C7915" s="7"/>
      <c r="D7915" s="7"/>
      <c r="E7915" s="7"/>
      <c r="F7915" s="7"/>
      <c r="G7915" s="7"/>
      <c r="H7915" s="7">
        <f t="shared" si="1"/>
        <v>1029</v>
      </c>
    </row>
    <row r="7916" ht="22.5" customHeight="1">
      <c r="B7916" s="7"/>
      <c r="C7916" s="7"/>
      <c r="D7916" s="7"/>
      <c r="E7916" s="7"/>
      <c r="F7916" s="7"/>
      <c r="G7916" s="7"/>
      <c r="H7916" s="7">
        <f t="shared" si="1"/>
        <v>1029</v>
      </c>
    </row>
    <row r="7917" ht="22.5" customHeight="1">
      <c r="B7917" s="7"/>
      <c r="C7917" s="7"/>
      <c r="D7917" s="7"/>
      <c r="E7917" s="7"/>
      <c r="F7917" s="7"/>
      <c r="G7917" s="7"/>
      <c r="H7917" s="7">
        <f t="shared" si="1"/>
        <v>1029</v>
      </c>
    </row>
    <row r="7918" ht="22.5" customHeight="1">
      <c r="B7918" s="7"/>
      <c r="C7918" s="7"/>
      <c r="D7918" s="7"/>
      <c r="E7918" s="7"/>
      <c r="F7918" s="7"/>
      <c r="G7918" s="7"/>
      <c r="H7918" s="7">
        <f t="shared" si="1"/>
        <v>1029</v>
      </c>
    </row>
    <row r="7919" ht="22.5" customHeight="1">
      <c r="B7919" s="7"/>
      <c r="C7919" s="7"/>
      <c r="D7919" s="7"/>
      <c r="E7919" s="7"/>
      <c r="F7919" s="7"/>
      <c r="G7919" s="7"/>
      <c r="H7919" s="7">
        <f t="shared" si="1"/>
        <v>1029</v>
      </c>
    </row>
    <row r="7920" ht="22.5" customHeight="1">
      <c r="B7920" s="7"/>
      <c r="C7920" s="7"/>
      <c r="D7920" s="7"/>
      <c r="E7920" s="7"/>
      <c r="F7920" s="7"/>
      <c r="G7920" s="7"/>
      <c r="H7920" s="7">
        <f t="shared" si="1"/>
        <v>1029</v>
      </c>
    </row>
    <row r="7921" ht="22.5" customHeight="1">
      <c r="B7921" s="7"/>
      <c r="C7921" s="7"/>
      <c r="D7921" s="7"/>
      <c r="E7921" s="7"/>
      <c r="F7921" s="7"/>
      <c r="G7921" s="7"/>
      <c r="H7921" s="7">
        <f t="shared" si="1"/>
        <v>1029</v>
      </c>
    </row>
    <row r="7922" ht="22.5" customHeight="1">
      <c r="B7922" s="7"/>
      <c r="C7922" s="7"/>
      <c r="D7922" s="7"/>
      <c r="E7922" s="7"/>
      <c r="F7922" s="7"/>
      <c r="G7922" s="7"/>
      <c r="H7922" s="7">
        <f t="shared" si="1"/>
        <v>1029</v>
      </c>
    </row>
    <row r="7923" ht="22.5" customHeight="1">
      <c r="B7923" s="7"/>
      <c r="C7923" s="7"/>
      <c r="D7923" s="7"/>
      <c r="E7923" s="7"/>
      <c r="F7923" s="7"/>
      <c r="G7923" s="7"/>
      <c r="H7923" s="7">
        <f t="shared" si="1"/>
        <v>1029</v>
      </c>
    </row>
    <row r="7924" ht="22.5" customHeight="1">
      <c r="B7924" s="7"/>
      <c r="C7924" s="7"/>
      <c r="D7924" s="7"/>
      <c r="E7924" s="7"/>
      <c r="F7924" s="7"/>
      <c r="G7924" s="7"/>
      <c r="H7924" s="7">
        <f t="shared" si="1"/>
        <v>1029</v>
      </c>
    </row>
    <row r="7925" ht="22.5" customHeight="1">
      <c r="B7925" s="7"/>
      <c r="C7925" s="7"/>
      <c r="D7925" s="7"/>
      <c r="E7925" s="7"/>
      <c r="F7925" s="7"/>
      <c r="G7925" s="7"/>
      <c r="H7925" s="7">
        <f t="shared" si="1"/>
        <v>1029</v>
      </c>
    </row>
    <row r="7926" ht="22.5" customHeight="1">
      <c r="B7926" s="7"/>
      <c r="C7926" s="7"/>
      <c r="D7926" s="7"/>
      <c r="E7926" s="7"/>
      <c r="F7926" s="7"/>
      <c r="G7926" s="7"/>
      <c r="H7926" s="7">
        <f t="shared" si="1"/>
        <v>1029</v>
      </c>
    </row>
    <row r="7927" ht="22.5" customHeight="1">
      <c r="B7927" s="7"/>
      <c r="C7927" s="7"/>
      <c r="D7927" s="7"/>
      <c r="E7927" s="7"/>
      <c r="F7927" s="7"/>
      <c r="G7927" s="7"/>
      <c r="H7927" s="7">
        <f t="shared" si="1"/>
        <v>1029</v>
      </c>
    </row>
    <row r="7928" ht="22.5" customHeight="1">
      <c r="B7928" s="7"/>
      <c r="C7928" s="7"/>
      <c r="D7928" s="7"/>
      <c r="E7928" s="7"/>
      <c r="F7928" s="7"/>
      <c r="G7928" s="7"/>
      <c r="H7928" s="7">
        <f t="shared" si="1"/>
        <v>1029</v>
      </c>
    </row>
    <row r="7929" ht="22.5" customHeight="1">
      <c r="B7929" s="7"/>
      <c r="C7929" s="7"/>
      <c r="D7929" s="7"/>
      <c r="E7929" s="7"/>
      <c r="F7929" s="7"/>
      <c r="G7929" s="7"/>
      <c r="H7929" s="7">
        <f t="shared" si="1"/>
        <v>1029</v>
      </c>
    </row>
    <row r="7930" ht="22.5" customHeight="1">
      <c r="B7930" s="7"/>
      <c r="C7930" s="7"/>
      <c r="D7930" s="7"/>
      <c r="E7930" s="7"/>
      <c r="F7930" s="7"/>
      <c r="G7930" s="7"/>
      <c r="H7930" s="7">
        <f t="shared" si="1"/>
        <v>1029</v>
      </c>
    </row>
    <row r="7931" ht="22.5" customHeight="1">
      <c r="B7931" s="7"/>
      <c r="C7931" s="7"/>
      <c r="D7931" s="7"/>
      <c r="E7931" s="7"/>
      <c r="F7931" s="7"/>
      <c r="G7931" s="7"/>
      <c r="H7931" s="7">
        <f t="shared" si="1"/>
        <v>1029</v>
      </c>
    </row>
    <row r="7932" ht="22.5" customHeight="1">
      <c r="B7932" s="7"/>
      <c r="C7932" s="7"/>
      <c r="D7932" s="7"/>
      <c r="E7932" s="7"/>
      <c r="F7932" s="7"/>
      <c r="G7932" s="7"/>
      <c r="H7932" s="7">
        <f t="shared" si="1"/>
        <v>1029</v>
      </c>
    </row>
    <row r="7933" ht="22.5" customHeight="1">
      <c r="B7933" s="7"/>
      <c r="C7933" s="7"/>
      <c r="D7933" s="7"/>
      <c r="E7933" s="7"/>
      <c r="F7933" s="7"/>
      <c r="G7933" s="7"/>
      <c r="H7933" s="7">
        <f t="shared" si="1"/>
        <v>1029</v>
      </c>
    </row>
    <row r="7934" ht="22.5" customHeight="1">
      <c r="B7934" s="7"/>
      <c r="C7934" s="7"/>
      <c r="D7934" s="7"/>
      <c r="E7934" s="7"/>
      <c r="F7934" s="7"/>
      <c r="G7934" s="7"/>
      <c r="H7934" s="7">
        <f t="shared" si="1"/>
        <v>1029</v>
      </c>
    </row>
    <row r="7935" ht="22.5" customHeight="1">
      <c r="B7935" s="7"/>
      <c r="C7935" s="7"/>
      <c r="D7935" s="7"/>
      <c r="E7935" s="7"/>
      <c r="F7935" s="7"/>
      <c r="G7935" s="7"/>
      <c r="H7935" s="7">
        <f t="shared" si="1"/>
        <v>1029</v>
      </c>
    </row>
    <row r="7936" ht="22.5" customHeight="1">
      <c r="B7936" s="7"/>
      <c r="C7936" s="7"/>
      <c r="D7936" s="7"/>
      <c r="E7936" s="7"/>
      <c r="F7936" s="7"/>
      <c r="G7936" s="7"/>
      <c r="H7936" s="7">
        <f t="shared" si="1"/>
        <v>1029</v>
      </c>
    </row>
    <row r="7937" ht="22.5" customHeight="1">
      <c r="B7937" s="7"/>
      <c r="C7937" s="7"/>
      <c r="D7937" s="7"/>
      <c r="E7937" s="7"/>
      <c r="F7937" s="7"/>
      <c r="G7937" s="7"/>
      <c r="H7937" s="7">
        <f t="shared" si="1"/>
        <v>1029</v>
      </c>
    </row>
    <row r="7938" ht="22.5" customHeight="1">
      <c r="B7938" s="7"/>
      <c r="C7938" s="7"/>
      <c r="D7938" s="7"/>
      <c r="E7938" s="7"/>
      <c r="F7938" s="7"/>
      <c r="G7938" s="7"/>
      <c r="H7938" s="7">
        <f t="shared" si="1"/>
        <v>1029</v>
      </c>
    </row>
    <row r="7939" ht="22.5" customHeight="1">
      <c r="B7939" s="7"/>
      <c r="C7939" s="7"/>
      <c r="D7939" s="7"/>
      <c r="E7939" s="7"/>
      <c r="F7939" s="7"/>
      <c r="G7939" s="7"/>
      <c r="H7939" s="7">
        <f t="shared" si="1"/>
        <v>1029</v>
      </c>
    </row>
    <row r="7940" ht="22.5" customHeight="1">
      <c r="B7940" s="7"/>
      <c r="C7940" s="7"/>
      <c r="D7940" s="7"/>
      <c r="E7940" s="7"/>
      <c r="F7940" s="7"/>
      <c r="G7940" s="7"/>
      <c r="H7940" s="7">
        <f t="shared" si="1"/>
        <v>1029</v>
      </c>
    </row>
    <row r="7941" ht="22.5" customHeight="1">
      <c r="B7941" s="7"/>
      <c r="C7941" s="7"/>
      <c r="D7941" s="7"/>
      <c r="E7941" s="7"/>
      <c r="F7941" s="7"/>
      <c r="G7941" s="7"/>
      <c r="H7941" s="7">
        <f t="shared" si="1"/>
        <v>1029</v>
      </c>
    </row>
    <row r="7942" ht="22.5" customHeight="1">
      <c r="B7942" s="7"/>
      <c r="C7942" s="7"/>
      <c r="D7942" s="7"/>
      <c r="E7942" s="7"/>
      <c r="F7942" s="7"/>
      <c r="G7942" s="7"/>
      <c r="H7942" s="7">
        <f t="shared" si="1"/>
        <v>1029</v>
      </c>
    </row>
    <row r="7943" ht="22.5" customHeight="1">
      <c r="B7943" s="7"/>
      <c r="C7943" s="7"/>
      <c r="D7943" s="7"/>
      <c r="E7943" s="7"/>
      <c r="F7943" s="7"/>
      <c r="G7943" s="7"/>
      <c r="H7943" s="7">
        <f t="shared" si="1"/>
        <v>1029</v>
      </c>
    </row>
    <row r="7944" ht="22.5" customHeight="1">
      <c r="B7944" s="7"/>
      <c r="C7944" s="7"/>
      <c r="D7944" s="7"/>
      <c r="E7944" s="7"/>
      <c r="F7944" s="7"/>
      <c r="G7944" s="7"/>
      <c r="H7944" s="7">
        <f t="shared" si="1"/>
        <v>1029</v>
      </c>
    </row>
    <row r="7945" ht="22.5" customHeight="1">
      <c r="B7945" s="7"/>
      <c r="C7945" s="7"/>
      <c r="D7945" s="7"/>
      <c r="E7945" s="7"/>
      <c r="F7945" s="7"/>
      <c r="G7945" s="7"/>
      <c r="H7945" s="7">
        <f t="shared" si="1"/>
        <v>1029</v>
      </c>
    </row>
    <row r="7946" ht="22.5" customHeight="1">
      <c r="B7946" s="7"/>
      <c r="C7946" s="7"/>
      <c r="D7946" s="7"/>
      <c r="E7946" s="7"/>
      <c r="F7946" s="7"/>
      <c r="G7946" s="7"/>
      <c r="H7946" s="7">
        <f t="shared" si="1"/>
        <v>1029</v>
      </c>
    </row>
    <row r="7947" ht="22.5" customHeight="1">
      <c r="B7947" s="7"/>
      <c r="C7947" s="7"/>
      <c r="D7947" s="7"/>
      <c r="E7947" s="7"/>
      <c r="F7947" s="7"/>
      <c r="G7947" s="7"/>
      <c r="H7947" s="7">
        <f t="shared" si="1"/>
        <v>1029</v>
      </c>
    </row>
    <row r="7948" ht="22.5" customHeight="1">
      <c r="B7948" s="7"/>
      <c r="C7948" s="7"/>
      <c r="D7948" s="7"/>
      <c r="E7948" s="7"/>
      <c r="F7948" s="7"/>
      <c r="G7948" s="7"/>
      <c r="H7948" s="7">
        <f t="shared" si="1"/>
        <v>1029</v>
      </c>
    </row>
    <row r="7949" ht="22.5" customHeight="1">
      <c r="B7949" s="7"/>
      <c r="C7949" s="7"/>
      <c r="D7949" s="7"/>
      <c r="E7949" s="7"/>
      <c r="F7949" s="7"/>
      <c r="G7949" s="7"/>
      <c r="H7949" s="7">
        <f t="shared" si="1"/>
        <v>1029</v>
      </c>
    </row>
    <row r="7950" ht="22.5" customHeight="1">
      <c r="B7950" s="7"/>
      <c r="C7950" s="7"/>
      <c r="D7950" s="7"/>
      <c r="E7950" s="7"/>
      <c r="F7950" s="7"/>
      <c r="G7950" s="7"/>
      <c r="H7950" s="7">
        <f t="shared" si="1"/>
        <v>1029</v>
      </c>
    </row>
    <row r="7951" ht="22.5" customHeight="1">
      <c r="B7951" s="7"/>
      <c r="C7951" s="7"/>
      <c r="D7951" s="7"/>
      <c r="E7951" s="7"/>
      <c r="F7951" s="7"/>
      <c r="G7951" s="7"/>
      <c r="H7951" s="7">
        <f t="shared" si="1"/>
        <v>1029</v>
      </c>
    </row>
    <row r="7952" ht="22.5" customHeight="1">
      <c r="B7952" s="7"/>
      <c r="C7952" s="7"/>
      <c r="D7952" s="7"/>
      <c r="E7952" s="7"/>
      <c r="F7952" s="7"/>
      <c r="G7952" s="7"/>
      <c r="H7952" s="7">
        <f t="shared" si="1"/>
        <v>1029</v>
      </c>
    </row>
    <row r="7953" ht="22.5" customHeight="1">
      <c r="B7953" s="7"/>
      <c r="C7953" s="7"/>
      <c r="D7953" s="7"/>
      <c r="E7953" s="7"/>
      <c r="F7953" s="7"/>
      <c r="G7953" s="7"/>
      <c r="H7953" s="7">
        <f t="shared" si="1"/>
        <v>1029</v>
      </c>
    </row>
    <row r="7954" ht="22.5" customHeight="1">
      <c r="B7954" s="7"/>
      <c r="C7954" s="7"/>
      <c r="D7954" s="7"/>
      <c r="E7954" s="7"/>
      <c r="F7954" s="7"/>
      <c r="G7954" s="7"/>
      <c r="H7954" s="7">
        <f t="shared" si="1"/>
        <v>1029</v>
      </c>
    </row>
    <row r="7955" ht="22.5" customHeight="1">
      <c r="B7955" s="7"/>
      <c r="C7955" s="7"/>
      <c r="D7955" s="7"/>
      <c r="E7955" s="7"/>
      <c r="F7955" s="7"/>
      <c r="G7955" s="7"/>
      <c r="H7955" s="7">
        <f t="shared" si="1"/>
        <v>1029</v>
      </c>
    </row>
    <row r="7956" ht="22.5" customHeight="1">
      <c r="B7956" s="7"/>
      <c r="C7956" s="7"/>
      <c r="D7956" s="7"/>
      <c r="E7956" s="7"/>
      <c r="F7956" s="7"/>
      <c r="G7956" s="7"/>
      <c r="H7956" s="7">
        <f t="shared" si="1"/>
        <v>1029</v>
      </c>
    </row>
    <row r="7957" ht="22.5" customHeight="1">
      <c r="B7957" s="7"/>
      <c r="C7957" s="7"/>
      <c r="D7957" s="7"/>
      <c r="E7957" s="7"/>
      <c r="F7957" s="7"/>
      <c r="G7957" s="7"/>
      <c r="H7957" s="7">
        <f t="shared" si="1"/>
        <v>1029</v>
      </c>
    </row>
    <row r="7958" ht="22.5" customHeight="1">
      <c r="B7958" s="7"/>
      <c r="C7958" s="7"/>
      <c r="D7958" s="7"/>
      <c r="E7958" s="7"/>
      <c r="F7958" s="7"/>
      <c r="G7958" s="7"/>
      <c r="H7958" s="7">
        <f t="shared" si="1"/>
        <v>1029</v>
      </c>
    </row>
    <row r="7959" ht="22.5" customHeight="1">
      <c r="B7959" s="7"/>
      <c r="C7959" s="7"/>
      <c r="D7959" s="7"/>
      <c r="E7959" s="7"/>
      <c r="F7959" s="7"/>
      <c r="G7959" s="7"/>
      <c r="H7959" s="7">
        <f t="shared" si="1"/>
        <v>1029</v>
      </c>
    </row>
    <row r="7960" ht="22.5" customHeight="1">
      <c r="B7960" s="7"/>
      <c r="C7960" s="7"/>
      <c r="D7960" s="7"/>
      <c r="E7960" s="7"/>
      <c r="F7960" s="7"/>
      <c r="G7960" s="7"/>
      <c r="H7960" s="7">
        <f t="shared" si="1"/>
        <v>1029</v>
      </c>
    </row>
    <row r="7961" ht="22.5" customHeight="1">
      <c r="B7961" s="7"/>
      <c r="C7961" s="7"/>
      <c r="D7961" s="7"/>
      <c r="E7961" s="7"/>
      <c r="F7961" s="7"/>
      <c r="G7961" s="7"/>
      <c r="H7961" s="7">
        <f t="shared" si="1"/>
        <v>1029</v>
      </c>
    </row>
    <row r="7962" ht="22.5" customHeight="1">
      <c r="B7962" s="7"/>
      <c r="C7962" s="7"/>
      <c r="D7962" s="7"/>
      <c r="E7962" s="7"/>
      <c r="F7962" s="7"/>
      <c r="G7962" s="7"/>
      <c r="H7962" s="7">
        <f t="shared" si="1"/>
        <v>1029</v>
      </c>
    </row>
    <row r="7963" ht="22.5" customHeight="1">
      <c r="B7963" s="7"/>
      <c r="C7963" s="7"/>
      <c r="D7963" s="7"/>
      <c r="E7963" s="7"/>
      <c r="F7963" s="7"/>
      <c r="G7963" s="7"/>
      <c r="H7963" s="7">
        <f t="shared" si="1"/>
        <v>1029</v>
      </c>
    </row>
    <row r="7964" ht="22.5" customHeight="1">
      <c r="B7964" s="7"/>
      <c r="C7964" s="7"/>
      <c r="D7964" s="7"/>
      <c r="E7964" s="7"/>
      <c r="F7964" s="7"/>
      <c r="G7964" s="7"/>
      <c r="H7964" s="7">
        <f t="shared" si="1"/>
        <v>1029</v>
      </c>
    </row>
    <row r="7965" ht="22.5" customHeight="1">
      <c r="B7965" s="7"/>
      <c r="C7965" s="7"/>
      <c r="D7965" s="7"/>
      <c r="E7965" s="7"/>
      <c r="F7965" s="7"/>
      <c r="G7965" s="7"/>
      <c r="H7965" s="7">
        <f t="shared" si="1"/>
        <v>1029</v>
      </c>
    </row>
    <row r="7966" ht="22.5" customHeight="1">
      <c r="B7966" s="7"/>
      <c r="C7966" s="7"/>
      <c r="D7966" s="7"/>
      <c r="E7966" s="7"/>
      <c r="F7966" s="7"/>
      <c r="G7966" s="7"/>
      <c r="H7966" s="7">
        <f t="shared" si="1"/>
        <v>1029</v>
      </c>
    </row>
    <row r="7967" ht="22.5" customHeight="1">
      <c r="B7967" s="7"/>
      <c r="C7967" s="7"/>
      <c r="D7967" s="7"/>
      <c r="E7967" s="7"/>
      <c r="F7967" s="7"/>
      <c r="G7967" s="7"/>
      <c r="H7967" s="7">
        <f t="shared" si="1"/>
        <v>1029</v>
      </c>
    </row>
    <row r="7968" ht="22.5" customHeight="1">
      <c r="B7968" s="7"/>
      <c r="C7968" s="7"/>
      <c r="D7968" s="7"/>
      <c r="E7968" s="7"/>
      <c r="F7968" s="7"/>
      <c r="G7968" s="7"/>
      <c r="H7968" s="7">
        <f t="shared" si="1"/>
        <v>1029</v>
      </c>
    </row>
    <row r="7969" ht="22.5" customHeight="1">
      <c r="B7969" s="7"/>
      <c r="C7969" s="7"/>
      <c r="D7969" s="7"/>
      <c r="E7969" s="7"/>
      <c r="F7969" s="7"/>
      <c r="G7969" s="7"/>
      <c r="H7969" s="7">
        <f t="shared" si="1"/>
        <v>1029</v>
      </c>
    </row>
    <row r="7970" ht="22.5" customHeight="1">
      <c r="B7970" s="7"/>
      <c r="C7970" s="7"/>
      <c r="D7970" s="7"/>
      <c r="E7970" s="7"/>
      <c r="F7970" s="7"/>
      <c r="G7970" s="7"/>
      <c r="H7970" s="7">
        <f t="shared" si="1"/>
        <v>1029</v>
      </c>
    </row>
    <row r="7971" ht="22.5" customHeight="1">
      <c r="B7971" s="7"/>
      <c r="C7971" s="7"/>
      <c r="D7971" s="7"/>
      <c r="E7971" s="7"/>
      <c r="F7971" s="7"/>
      <c r="G7971" s="7"/>
      <c r="H7971" s="7">
        <f t="shared" si="1"/>
        <v>1029</v>
      </c>
    </row>
    <row r="7972" ht="22.5" customHeight="1">
      <c r="B7972" s="7"/>
      <c r="C7972" s="7"/>
      <c r="D7972" s="7"/>
      <c r="E7972" s="7"/>
      <c r="F7972" s="7"/>
      <c r="G7972" s="7"/>
      <c r="H7972" s="7">
        <f t="shared" si="1"/>
        <v>1029</v>
      </c>
    </row>
    <row r="7973" ht="22.5" customHeight="1">
      <c r="B7973" s="7"/>
      <c r="C7973" s="7"/>
      <c r="D7973" s="7"/>
      <c r="E7973" s="7"/>
      <c r="F7973" s="7"/>
      <c r="G7973" s="7"/>
      <c r="H7973" s="7">
        <f t="shared" si="1"/>
        <v>1029</v>
      </c>
    </row>
    <row r="7974" ht="22.5" customHeight="1">
      <c r="B7974" s="7"/>
      <c r="C7974" s="7"/>
      <c r="D7974" s="7"/>
      <c r="E7974" s="7"/>
      <c r="F7974" s="7"/>
      <c r="G7974" s="7"/>
      <c r="H7974" s="7">
        <f t="shared" si="1"/>
        <v>1029</v>
      </c>
    </row>
    <row r="7975" ht="22.5" customHeight="1">
      <c r="B7975" s="7"/>
      <c r="C7975" s="7"/>
      <c r="D7975" s="7"/>
      <c r="E7975" s="7"/>
      <c r="F7975" s="7"/>
      <c r="G7975" s="7"/>
      <c r="H7975" s="7">
        <f t="shared" si="1"/>
        <v>1029</v>
      </c>
    </row>
    <row r="7976" ht="22.5" customHeight="1">
      <c r="B7976" s="7"/>
      <c r="C7976" s="7"/>
      <c r="D7976" s="7"/>
      <c r="E7976" s="7"/>
      <c r="F7976" s="7"/>
      <c r="G7976" s="7"/>
      <c r="H7976" s="7">
        <f t="shared" si="1"/>
        <v>1029</v>
      </c>
    </row>
    <row r="7977" ht="22.5" customHeight="1">
      <c r="B7977" s="7"/>
      <c r="C7977" s="7"/>
      <c r="D7977" s="7"/>
      <c r="E7977" s="7"/>
      <c r="F7977" s="7"/>
      <c r="G7977" s="7"/>
      <c r="H7977" s="7">
        <f t="shared" si="1"/>
        <v>1029</v>
      </c>
    </row>
    <row r="7978" ht="22.5" customHeight="1">
      <c r="B7978" s="7"/>
      <c r="C7978" s="7"/>
      <c r="D7978" s="7"/>
      <c r="E7978" s="7"/>
      <c r="F7978" s="7"/>
      <c r="G7978" s="7"/>
      <c r="H7978" s="7">
        <f t="shared" si="1"/>
        <v>1029</v>
      </c>
    </row>
    <row r="7979" ht="22.5" customHeight="1">
      <c r="B7979" s="7"/>
      <c r="C7979" s="7"/>
      <c r="D7979" s="7"/>
      <c r="E7979" s="7"/>
      <c r="F7979" s="7"/>
      <c r="G7979" s="7"/>
      <c r="H7979" s="7">
        <f t="shared" si="1"/>
        <v>1029</v>
      </c>
    </row>
    <row r="7980" ht="22.5" customHeight="1">
      <c r="B7980" s="7"/>
      <c r="C7980" s="7"/>
      <c r="D7980" s="7"/>
      <c r="E7980" s="7"/>
      <c r="F7980" s="7"/>
      <c r="G7980" s="7"/>
      <c r="H7980" s="7">
        <f t="shared" si="1"/>
        <v>1029</v>
      </c>
    </row>
    <row r="7981" ht="22.5" customHeight="1">
      <c r="B7981" s="7"/>
      <c r="C7981" s="7"/>
      <c r="D7981" s="7"/>
      <c r="E7981" s="7"/>
      <c r="F7981" s="7"/>
      <c r="G7981" s="7"/>
      <c r="H7981" s="7">
        <f t="shared" si="1"/>
        <v>1029</v>
      </c>
    </row>
    <row r="7982" ht="22.5" customHeight="1">
      <c r="B7982" s="7"/>
      <c r="C7982" s="7"/>
      <c r="D7982" s="7"/>
      <c r="E7982" s="7"/>
      <c r="F7982" s="7"/>
      <c r="G7982" s="7"/>
      <c r="H7982" s="7">
        <f t="shared" si="1"/>
        <v>1029</v>
      </c>
    </row>
    <row r="7983" ht="22.5" customHeight="1">
      <c r="B7983" s="7"/>
      <c r="C7983" s="7"/>
      <c r="D7983" s="7"/>
      <c r="E7983" s="7"/>
      <c r="F7983" s="7"/>
      <c r="G7983" s="7"/>
      <c r="H7983" s="7">
        <f t="shared" si="1"/>
        <v>1029</v>
      </c>
    </row>
    <row r="7984" ht="22.5" customHeight="1">
      <c r="B7984" s="7"/>
      <c r="C7984" s="7"/>
      <c r="D7984" s="7"/>
      <c r="E7984" s="7"/>
      <c r="F7984" s="7"/>
      <c r="G7984" s="7"/>
      <c r="H7984" s="7">
        <f t="shared" si="1"/>
        <v>1029</v>
      </c>
    </row>
    <row r="7985" ht="22.5" customHeight="1">
      <c r="B7985" s="7"/>
      <c r="C7985" s="7"/>
      <c r="D7985" s="7"/>
      <c r="E7985" s="7"/>
      <c r="F7985" s="7"/>
      <c r="G7985" s="7"/>
      <c r="H7985" s="7">
        <f t="shared" si="1"/>
        <v>1029</v>
      </c>
    </row>
    <row r="7986" ht="22.5" customHeight="1">
      <c r="B7986" s="7"/>
      <c r="C7986" s="7"/>
      <c r="D7986" s="7"/>
      <c r="E7986" s="7"/>
      <c r="F7986" s="7"/>
      <c r="G7986" s="7"/>
      <c r="H7986" s="7">
        <f t="shared" si="1"/>
        <v>1029</v>
      </c>
    </row>
    <row r="7987" ht="22.5" customHeight="1">
      <c r="B7987" s="7"/>
      <c r="C7987" s="7"/>
      <c r="D7987" s="7"/>
      <c r="E7987" s="7"/>
      <c r="F7987" s="7"/>
      <c r="G7987" s="7"/>
      <c r="H7987" s="7">
        <f t="shared" si="1"/>
        <v>1029</v>
      </c>
    </row>
    <row r="7988" ht="22.5" customHeight="1">
      <c r="B7988" s="7"/>
      <c r="C7988" s="7"/>
      <c r="D7988" s="7"/>
      <c r="E7988" s="7"/>
      <c r="F7988" s="7"/>
      <c r="G7988" s="7"/>
      <c r="H7988" s="7">
        <f t="shared" si="1"/>
        <v>1029</v>
      </c>
    </row>
    <row r="7989" ht="22.5" customHeight="1">
      <c r="B7989" s="7"/>
      <c r="C7989" s="7"/>
      <c r="D7989" s="7"/>
      <c r="E7989" s="7"/>
      <c r="F7989" s="7"/>
      <c r="G7989" s="7"/>
      <c r="H7989" s="7">
        <f t="shared" si="1"/>
        <v>1029</v>
      </c>
    </row>
    <row r="7990" ht="22.5" customHeight="1">
      <c r="B7990" s="7"/>
      <c r="C7990" s="7"/>
      <c r="D7990" s="7"/>
      <c r="E7990" s="7"/>
      <c r="F7990" s="7"/>
      <c r="G7990" s="7"/>
      <c r="H7990" s="7">
        <f t="shared" si="1"/>
        <v>1029</v>
      </c>
    </row>
    <row r="7991" ht="22.5" customHeight="1">
      <c r="B7991" s="7"/>
      <c r="C7991" s="7"/>
      <c r="D7991" s="7"/>
      <c r="E7991" s="7"/>
      <c r="F7991" s="7"/>
      <c r="G7991" s="7"/>
      <c r="H7991" s="7">
        <f t="shared" si="1"/>
        <v>1029</v>
      </c>
    </row>
    <row r="7992" ht="22.5" customHeight="1">
      <c r="B7992" s="7"/>
      <c r="C7992" s="7"/>
      <c r="D7992" s="7"/>
      <c r="E7992" s="7"/>
      <c r="F7992" s="7"/>
      <c r="G7992" s="7"/>
      <c r="H7992" s="7">
        <f t="shared" si="1"/>
        <v>1029</v>
      </c>
    </row>
    <row r="7993" ht="22.5" customHeight="1">
      <c r="B7993" s="7"/>
      <c r="C7993" s="7"/>
      <c r="D7993" s="7"/>
      <c r="E7993" s="7"/>
      <c r="F7993" s="7"/>
      <c r="G7993" s="7"/>
      <c r="H7993" s="7">
        <f t="shared" si="1"/>
        <v>1029</v>
      </c>
    </row>
    <row r="7994" ht="22.5" customHeight="1">
      <c r="B7994" s="7"/>
      <c r="C7994" s="7"/>
      <c r="D7994" s="7"/>
      <c r="E7994" s="7"/>
      <c r="F7994" s="7"/>
      <c r="G7994" s="7"/>
      <c r="H7994" s="7">
        <f t="shared" si="1"/>
        <v>1029</v>
      </c>
    </row>
    <row r="7995" ht="22.5" customHeight="1">
      <c r="B7995" s="7"/>
      <c r="C7995" s="7"/>
      <c r="D7995" s="7"/>
      <c r="E7995" s="7"/>
      <c r="F7995" s="7"/>
      <c r="G7995" s="7"/>
      <c r="H7995" s="7">
        <f t="shared" si="1"/>
        <v>1029</v>
      </c>
    </row>
    <row r="7996" ht="22.5" customHeight="1">
      <c r="B7996" s="7"/>
      <c r="C7996" s="7"/>
      <c r="D7996" s="7"/>
      <c r="E7996" s="7"/>
      <c r="F7996" s="7"/>
      <c r="G7996" s="7"/>
      <c r="H7996" s="7">
        <f t="shared" si="1"/>
        <v>1029</v>
      </c>
    </row>
    <row r="7997" ht="22.5" customHeight="1">
      <c r="B7997" s="7"/>
      <c r="C7997" s="7"/>
      <c r="D7997" s="7"/>
      <c r="E7997" s="7"/>
      <c r="F7997" s="7"/>
      <c r="G7997" s="7"/>
      <c r="H7997" s="7">
        <f t="shared" si="1"/>
        <v>1029</v>
      </c>
    </row>
    <row r="7998" ht="22.5" customHeight="1">
      <c r="B7998" s="7"/>
      <c r="C7998" s="7"/>
      <c r="D7998" s="7"/>
      <c r="E7998" s="7"/>
      <c r="F7998" s="7"/>
      <c r="G7998" s="7"/>
      <c r="H7998" s="7">
        <f t="shared" si="1"/>
        <v>1029</v>
      </c>
    </row>
    <row r="7999" ht="22.5" customHeight="1">
      <c r="B7999" s="7"/>
      <c r="C7999" s="7"/>
      <c r="D7999" s="7"/>
      <c r="E7999" s="7"/>
      <c r="F7999" s="7"/>
      <c r="G7999" s="7"/>
      <c r="H7999" s="7">
        <f t="shared" si="1"/>
        <v>1029</v>
      </c>
    </row>
    <row r="8000" ht="22.5" customHeight="1">
      <c r="B8000" s="7"/>
      <c r="C8000" s="7"/>
      <c r="D8000" s="7"/>
      <c r="E8000" s="7"/>
      <c r="F8000" s="7"/>
      <c r="G8000" s="7"/>
      <c r="H8000" s="7">
        <f t="shared" si="1"/>
        <v>1029</v>
      </c>
    </row>
    <row r="8001" ht="22.5" customHeight="1">
      <c r="B8001" s="7"/>
      <c r="C8001" s="7"/>
      <c r="D8001" s="7"/>
      <c r="E8001" s="7"/>
      <c r="F8001" s="7"/>
      <c r="G8001" s="7"/>
      <c r="H8001" s="7">
        <f t="shared" si="1"/>
        <v>1029</v>
      </c>
    </row>
    <row r="8002" ht="22.5" customHeight="1">
      <c r="B8002" s="7"/>
      <c r="C8002" s="7"/>
      <c r="D8002" s="7"/>
      <c r="E8002" s="7"/>
      <c r="F8002" s="7"/>
      <c r="G8002" s="7"/>
      <c r="H8002" s="7">
        <f t="shared" si="1"/>
        <v>1029</v>
      </c>
    </row>
    <row r="8003" ht="22.5" customHeight="1">
      <c r="B8003" s="7"/>
      <c r="C8003" s="7"/>
      <c r="D8003" s="7"/>
      <c r="E8003" s="7"/>
      <c r="F8003" s="7"/>
      <c r="G8003" s="7"/>
      <c r="H8003" s="7">
        <f t="shared" si="1"/>
        <v>1029</v>
      </c>
    </row>
    <row r="8004" ht="22.5" customHeight="1">
      <c r="B8004" s="7"/>
      <c r="C8004" s="7"/>
      <c r="D8004" s="7"/>
      <c r="E8004" s="7"/>
      <c r="F8004" s="7"/>
      <c r="G8004" s="7"/>
      <c r="H8004" s="7">
        <f t="shared" si="1"/>
        <v>1029</v>
      </c>
    </row>
    <row r="8005" ht="22.5" customHeight="1">
      <c r="B8005" s="7"/>
      <c r="C8005" s="7"/>
      <c r="D8005" s="7"/>
      <c r="E8005" s="7"/>
      <c r="F8005" s="7"/>
      <c r="G8005" s="7"/>
      <c r="H8005" s="7">
        <f t="shared" si="1"/>
        <v>1029</v>
      </c>
    </row>
    <row r="8006" ht="22.5" customHeight="1">
      <c r="B8006" s="7"/>
      <c r="C8006" s="7"/>
      <c r="D8006" s="7"/>
      <c r="E8006" s="7"/>
      <c r="F8006" s="7"/>
      <c r="G8006" s="7"/>
      <c r="H8006" s="7">
        <f t="shared" si="1"/>
        <v>1029</v>
      </c>
    </row>
    <row r="8007" ht="22.5" customHeight="1">
      <c r="B8007" s="7"/>
      <c r="C8007" s="7"/>
      <c r="D8007" s="7"/>
      <c r="E8007" s="7"/>
      <c r="F8007" s="7"/>
      <c r="G8007" s="7"/>
      <c r="H8007" s="7">
        <f t="shared" si="1"/>
        <v>1029</v>
      </c>
    </row>
    <row r="8008" ht="22.5" customHeight="1">
      <c r="B8008" s="7"/>
      <c r="C8008" s="7"/>
      <c r="D8008" s="7"/>
      <c r="E8008" s="7"/>
      <c r="F8008" s="7"/>
      <c r="G8008" s="7"/>
      <c r="H8008" s="7">
        <f t="shared" si="1"/>
        <v>1029</v>
      </c>
    </row>
    <row r="8009" ht="22.5" customHeight="1">
      <c r="B8009" s="7"/>
      <c r="C8009" s="7"/>
      <c r="D8009" s="7"/>
      <c r="E8009" s="7"/>
      <c r="F8009" s="7"/>
      <c r="G8009" s="7"/>
      <c r="H8009" s="7">
        <f t="shared" si="1"/>
        <v>1029</v>
      </c>
    </row>
    <row r="8010" ht="22.5" customHeight="1">
      <c r="B8010" s="7"/>
      <c r="C8010" s="7"/>
      <c r="D8010" s="7"/>
      <c r="E8010" s="7"/>
      <c r="F8010" s="7"/>
      <c r="G8010" s="7"/>
      <c r="H8010" s="7">
        <f t="shared" si="1"/>
        <v>1029</v>
      </c>
    </row>
    <row r="8011" ht="22.5" customHeight="1">
      <c r="B8011" s="7"/>
      <c r="C8011" s="7"/>
      <c r="D8011" s="7"/>
      <c r="E8011" s="7"/>
      <c r="F8011" s="7"/>
      <c r="G8011" s="7"/>
      <c r="H8011" s="7">
        <f t="shared" si="1"/>
        <v>1029</v>
      </c>
    </row>
    <row r="8012" ht="22.5" customHeight="1">
      <c r="B8012" s="7"/>
      <c r="C8012" s="7"/>
      <c r="D8012" s="7"/>
      <c r="E8012" s="7"/>
      <c r="F8012" s="7"/>
      <c r="G8012" s="7"/>
      <c r="H8012" s="7">
        <f t="shared" si="1"/>
        <v>1029</v>
      </c>
    </row>
    <row r="8013" ht="22.5" customHeight="1">
      <c r="B8013" s="7"/>
      <c r="C8013" s="7"/>
      <c r="D8013" s="7"/>
      <c r="E8013" s="7"/>
      <c r="F8013" s="7"/>
      <c r="G8013" s="7"/>
      <c r="H8013" s="7">
        <f t="shared" si="1"/>
        <v>1029</v>
      </c>
    </row>
    <row r="8014" ht="22.5" customHeight="1">
      <c r="B8014" s="7"/>
      <c r="C8014" s="7"/>
      <c r="D8014" s="7"/>
      <c r="E8014" s="7"/>
      <c r="F8014" s="7"/>
      <c r="G8014" s="7"/>
      <c r="H8014" s="7">
        <f t="shared" si="1"/>
        <v>1029</v>
      </c>
    </row>
    <row r="8015" ht="22.5" customHeight="1">
      <c r="B8015" s="7"/>
      <c r="C8015" s="7"/>
      <c r="D8015" s="7"/>
      <c r="E8015" s="7"/>
      <c r="F8015" s="7"/>
      <c r="G8015" s="7"/>
      <c r="H8015" s="7">
        <f t="shared" si="1"/>
        <v>1029</v>
      </c>
    </row>
    <row r="8016" ht="22.5" customHeight="1">
      <c r="B8016" s="7"/>
      <c r="C8016" s="7"/>
      <c r="D8016" s="7"/>
      <c r="E8016" s="7"/>
      <c r="F8016" s="7"/>
      <c r="G8016" s="7"/>
      <c r="H8016" s="7">
        <f t="shared" si="1"/>
        <v>1029</v>
      </c>
    </row>
    <row r="8017" ht="22.5" customHeight="1">
      <c r="B8017" s="7"/>
      <c r="C8017" s="7"/>
      <c r="D8017" s="7"/>
      <c r="E8017" s="7"/>
      <c r="F8017" s="7"/>
      <c r="G8017" s="7"/>
      <c r="H8017" s="7">
        <f t="shared" si="1"/>
        <v>1029</v>
      </c>
    </row>
    <row r="8018" ht="22.5" customHeight="1">
      <c r="B8018" s="7"/>
      <c r="C8018" s="7"/>
      <c r="D8018" s="7"/>
      <c r="E8018" s="7"/>
      <c r="F8018" s="7"/>
      <c r="G8018" s="7"/>
      <c r="H8018" s="7">
        <f t="shared" si="1"/>
        <v>1029</v>
      </c>
    </row>
    <row r="8019" ht="22.5" customHeight="1">
      <c r="B8019" s="7"/>
      <c r="C8019" s="7"/>
      <c r="D8019" s="7"/>
      <c r="E8019" s="7"/>
      <c r="F8019" s="7"/>
      <c r="G8019" s="7"/>
      <c r="H8019" s="7">
        <f t="shared" si="1"/>
        <v>1029</v>
      </c>
    </row>
    <row r="8020" ht="22.5" customHeight="1">
      <c r="B8020" s="7"/>
      <c r="C8020" s="7"/>
      <c r="D8020" s="7"/>
      <c r="E8020" s="7"/>
      <c r="F8020" s="7"/>
      <c r="G8020" s="7"/>
      <c r="H8020" s="7">
        <f t="shared" si="1"/>
        <v>1029</v>
      </c>
    </row>
    <row r="8021" ht="22.5" customHeight="1">
      <c r="B8021" s="7"/>
      <c r="C8021" s="7"/>
      <c r="D8021" s="7"/>
      <c r="E8021" s="7"/>
      <c r="F8021" s="7"/>
      <c r="G8021" s="7"/>
      <c r="H8021" s="7">
        <f t="shared" si="1"/>
        <v>1029</v>
      </c>
    </row>
    <row r="8022" ht="22.5" customHeight="1">
      <c r="B8022" s="7"/>
      <c r="C8022" s="7"/>
      <c r="D8022" s="7"/>
      <c r="E8022" s="7"/>
      <c r="F8022" s="7"/>
      <c r="G8022" s="7"/>
      <c r="H8022" s="7">
        <f t="shared" si="1"/>
        <v>1029</v>
      </c>
    </row>
    <row r="8023" ht="22.5" customHeight="1">
      <c r="B8023" s="7"/>
      <c r="C8023" s="7"/>
      <c r="D8023" s="7"/>
      <c r="E8023" s="7"/>
      <c r="F8023" s="7"/>
      <c r="G8023" s="7"/>
      <c r="H8023" s="7">
        <f t="shared" si="1"/>
        <v>1029</v>
      </c>
    </row>
    <row r="8024" ht="22.5" customHeight="1">
      <c r="B8024" s="7"/>
      <c r="C8024" s="7"/>
      <c r="D8024" s="7"/>
      <c r="E8024" s="7"/>
      <c r="F8024" s="7"/>
      <c r="G8024" s="7"/>
      <c r="H8024" s="7">
        <f t="shared" si="1"/>
        <v>1029</v>
      </c>
    </row>
    <row r="8025" ht="22.5" customHeight="1">
      <c r="B8025" s="7"/>
      <c r="C8025" s="7"/>
      <c r="D8025" s="7"/>
      <c r="E8025" s="7"/>
      <c r="F8025" s="7"/>
      <c r="G8025" s="7"/>
      <c r="H8025" s="7">
        <f t="shared" si="1"/>
        <v>1029</v>
      </c>
    </row>
    <row r="8026" ht="22.5" customHeight="1">
      <c r="B8026" s="7"/>
      <c r="C8026" s="7"/>
      <c r="D8026" s="7"/>
      <c r="E8026" s="7"/>
      <c r="F8026" s="7"/>
      <c r="G8026" s="7"/>
      <c r="H8026" s="7">
        <f t="shared" si="1"/>
        <v>1029</v>
      </c>
    </row>
    <row r="8027" ht="22.5" customHeight="1">
      <c r="B8027" s="7"/>
      <c r="C8027" s="7"/>
      <c r="D8027" s="7"/>
      <c r="E8027" s="7"/>
      <c r="F8027" s="7"/>
      <c r="G8027" s="7"/>
      <c r="H8027" s="7">
        <f t="shared" si="1"/>
        <v>1029</v>
      </c>
    </row>
    <row r="8028" ht="22.5" customHeight="1">
      <c r="B8028" s="7"/>
      <c r="C8028" s="7"/>
      <c r="D8028" s="7"/>
      <c r="E8028" s="7"/>
      <c r="F8028" s="7"/>
      <c r="G8028" s="7"/>
      <c r="H8028" s="7">
        <f t="shared" si="1"/>
        <v>1029</v>
      </c>
    </row>
    <row r="8029" ht="22.5" customHeight="1">
      <c r="B8029" s="7"/>
      <c r="C8029" s="7"/>
      <c r="D8029" s="7"/>
      <c r="E8029" s="7"/>
      <c r="F8029" s="7"/>
      <c r="G8029" s="7"/>
      <c r="H8029" s="7">
        <f t="shared" si="1"/>
        <v>1029</v>
      </c>
    </row>
    <row r="8030" ht="22.5" customHeight="1">
      <c r="B8030" s="7"/>
      <c r="C8030" s="7"/>
      <c r="D8030" s="7"/>
      <c r="E8030" s="7"/>
      <c r="F8030" s="7"/>
      <c r="G8030" s="7"/>
      <c r="H8030" s="7">
        <f t="shared" si="1"/>
        <v>1029</v>
      </c>
    </row>
    <row r="8031" ht="22.5" customHeight="1">
      <c r="B8031" s="7"/>
      <c r="C8031" s="7"/>
      <c r="D8031" s="7"/>
      <c r="E8031" s="7"/>
      <c r="F8031" s="7"/>
      <c r="G8031" s="7"/>
      <c r="H8031" s="7">
        <f t="shared" si="1"/>
        <v>1029</v>
      </c>
    </row>
    <row r="8032" ht="22.5" customHeight="1">
      <c r="B8032" s="7"/>
      <c r="C8032" s="7"/>
      <c r="D8032" s="7"/>
      <c r="E8032" s="7"/>
      <c r="F8032" s="7"/>
      <c r="G8032" s="7"/>
      <c r="H8032" s="7">
        <f t="shared" si="1"/>
        <v>1029</v>
      </c>
    </row>
    <row r="8033" ht="22.5" customHeight="1">
      <c r="B8033" s="7"/>
      <c r="C8033" s="7"/>
      <c r="D8033" s="7"/>
      <c r="E8033" s="7"/>
      <c r="F8033" s="7"/>
      <c r="G8033" s="7"/>
      <c r="H8033" s="7">
        <f t="shared" si="1"/>
        <v>1029</v>
      </c>
    </row>
    <row r="8034" ht="22.5" customHeight="1">
      <c r="B8034" s="7"/>
      <c r="C8034" s="7"/>
      <c r="D8034" s="7"/>
      <c r="E8034" s="7"/>
      <c r="F8034" s="7"/>
      <c r="G8034" s="7"/>
      <c r="H8034" s="7">
        <f t="shared" si="1"/>
        <v>1029</v>
      </c>
    </row>
    <row r="8035" ht="22.5" customHeight="1">
      <c r="B8035" s="7"/>
      <c r="C8035" s="7"/>
      <c r="D8035" s="7"/>
      <c r="E8035" s="7"/>
      <c r="F8035" s="7"/>
      <c r="G8035" s="7"/>
      <c r="H8035" s="7">
        <f t="shared" si="1"/>
        <v>1029</v>
      </c>
    </row>
    <row r="8036" ht="22.5" customHeight="1">
      <c r="B8036" s="7"/>
      <c r="C8036" s="7"/>
      <c r="D8036" s="7"/>
      <c r="E8036" s="7"/>
      <c r="F8036" s="7"/>
      <c r="G8036" s="7"/>
      <c r="H8036" s="7">
        <f t="shared" si="1"/>
        <v>1029</v>
      </c>
    </row>
    <row r="8037" ht="22.5" customHeight="1">
      <c r="B8037" s="7"/>
      <c r="C8037" s="7"/>
      <c r="D8037" s="7"/>
      <c r="E8037" s="7"/>
      <c r="F8037" s="7"/>
      <c r="G8037" s="7"/>
      <c r="H8037" s="7">
        <f t="shared" si="1"/>
        <v>1029</v>
      </c>
    </row>
    <row r="8038" ht="22.5" customHeight="1">
      <c r="B8038" s="7"/>
      <c r="C8038" s="7"/>
      <c r="D8038" s="7"/>
      <c r="E8038" s="7"/>
      <c r="F8038" s="7"/>
      <c r="G8038" s="7"/>
      <c r="H8038" s="7">
        <f t="shared" si="1"/>
        <v>1029</v>
      </c>
    </row>
    <row r="8039" ht="22.5" customHeight="1">
      <c r="B8039" s="7"/>
      <c r="C8039" s="7"/>
      <c r="D8039" s="7"/>
      <c r="E8039" s="7"/>
      <c r="F8039" s="7"/>
      <c r="G8039" s="7"/>
      <c r="H8039" s="7">
        <f t="shared" si="1"/>
        <v>1029</v>
      </c>
    </row>
    <row r="8040" ht="22.5" customHeight="1">
      <c r="B8040" s="7"/>
      <c r="C8040" s="7"/>
      <c r="D8040" s="7"/>
      <c r="E8040" s="7"/>
      <c r="F8040" s="7"/>
      <c r="G8040" s="7"/>
      <c r="H8040" s="7">
        <f t="shared" si="1"/>
        <v>1029</v>
      </c>
    </row>
    <row r="8041" ht="22.5" customHeight="1">
      <c r="B8041" s="7"/>
      <c r="C8041" s="7"/>
      <c r="D8041" s="7"/>
      <c r="E8041" s="7"/>
      <c r="F8041" s="7"/>
      <c r="G8041" s="7"/>
      <c r="H8041" s="7">
        <f t="shared" si="1"/>
        <v>1029</v>
      </c>
    </row>
    <row r="8042" ht="22.5" customHeight="1">
      <c r="B8042" s="7"/>
      <c r="C8042" s="7"/>
      <c r="D8042" s="7"/>
      <c r="E8042" s="7"/>
      <c r="F8042" s="7"/>
      <c r="G8042" s="7"/>
      <c r="H8042" s="7">
        <f t="shared" si="1"/>
        <v>1029</v>
      </c>
    </row>
    <row r="8043" ht="22.5" customHeight="1">
      <c r="B8043" s="7"/>
      <c r="C8043" s="7"/>
      <c r="D8043" s="7"/>
      <c r="E8043" s="7"/>
      <c r="F8043" s="7"/>
      <c r="G8043" s="7"/>
      <c r="H8043" s="7">
        <f t="shared" si="1"/>
        <v>1029</v>
      </c>
    </row>
    <row r="8044" ht="22.5" customHeight="1">
      <c r="B8044" s="7"/>
      <c r="C8044" s="7"/>
      <c r="D8044" s="7"/>
      <c r="E8044" s="7"/>
      <c r="F8044" s="7"/>
      <c r="G8044" s="7"/>
      <c r="H8044" s="7">
        <f t="shared" si="1"/>
        <v>1029</v>
      </c>
    </row>
    <row r="8045" ht="22.5" customHeight="1">
      <c r="B8045" s="7"/>
      <c r="C8045" s="7"/>
      <c r="D8045" s="7"/>
      <c r="E8045" s="7"/>
      <c r="F8045" s="7"/>
      <c r="G8045" s="7"/>
      <c r="H8045" s="7">
        <f t="shared" si="1"/>
        <v>1029</v>
      </c>
    </row>
    <row r="8046" ht="22.5" customHeight="1">
      <c r="B8046" s="7"/>
      <c r="C8046" s="7"/>
      <c r="D8046" s="7"/>
      <c r="E8046" s="7"/>
      <c r="F8046" s="7"/>
      <c r="G8046" s="7"/>
      <c r="H8046" s="7">
        <f t="shared" si="1"/>
        <v>1029</v>
      </c>
    </row>
    <row r="8047" ht="22.5" customHeight="1">
      <c r="B8047" s="7"/>
      <c r="C8047" s="7"/>
      <c r="D8047" s="7"/>
      <c r="E8047" s="7"/>
      <c r="F8047" s="7"/>
      <c r="G8047" s="7"/>
      <c r="H8047" s="7">
        <f t="shared" si="1"/>
        <v>1029</v>
      </c>
    </row>
    <row r="8048" ht="22.5" customHeight="1">
      <c r="B8048" s="7"/>
      <c r="C8048" s="7"/>
      <c r="D8048" s="7"/>
      <c r="E8048" s="7"/>
      <c r="F8048" s="7"/>
      <c r="G8048" s="7"/>
      <c r="H8048" s="7">
        <f t="shared" si="1"/>
        <v>1029</v>
      </c>
    </row>
    <row r="8049" ht="22.5" customHeight="1">
      <c r="B8049" s="7"/>
      <c r="C8049" s="7"/>
      <c r="D8049" s="7"/>
      <c r="E8049" s="7"/>
      <c r="F8049" s="7"/>
      <c r="G8049" s="7"/>
      <c r="H8049" s="7">
        <f t="shared" si="1"/>
        <v>1029</v>
      </c>
    </row>
    <row r="8050" ht="22.5" customHeight="1">
      <c r="B8050" s="7"/>
      <c r="C8050" s="7"/>
      <c r="D8050" s="7"/>
      <c r="E8050" s="7"/>
      <c r="F8050" s="7"/>
      <c r="G8050" s="7"/>
      <c r="H8050" s="7">
        <f t="shared" si="1"/>
        <v>1029</v>
      </c>
    </row>
    <row r="8051" ht="22.5" customHeight="1">
      <c r="B8051" s="7"/>
      <c r="C8051" s="7"/>
      <c r="D8051" s="7"/>
      <c r="E8051" s="7"/>
      <c r="F8051" s="7"/>
      <c r="G8051" s="7"/>
      <c r="H8051" s="7">
        <f t="shared" si="1"/>
        <v>1029</v>
      </c>
    </row>
    <row r="8052" ht="22.5" customHeight="1">
      <c r="B8052" s="7"/>
      <c r="C8052" s="7"/>
      <c r="D8052" s="7"/>
      <c r="E8052" s="7"/>
      <c r="F8052" s="7"/>
      <c r="G8052" s="7"/>
      <c r="H8052" s="7">
        <f t="shared" si="1"/>
        <v>1029</v>
      </c>
    </row>
    <row r="8053" ht="22.5" customHeight="1">
      <c r="B8053" s="7"/>
      <c r="C8053" s="7"/>
      <c r="D8053" s="7"/>
      <c r="E8053" s="7"/>
      <c r="F8053" s="7"/>
      <c r="G8053" s="7"/>
      <c r="H8053" s="7">
        <f t="shared" si="1"/>
        <v>1029</v>
      </c>
    </row>
    <row r="8054" ht="22.5" customHeight="1">
      <c r="B8054" s="7"/>
      <c r="C8054" s="7"/>
      <c r="D8054" s="7"/>
      <c r="E8054" s="7"/>
      <c r="F8054" s="7"/>
      <c r="G8054" s="7"/>
      <c r="H8054" s="7">
        <f t="shared" si="1"/>
        <v>1029</v>
      </c>
    </row>
    <row r="8055" ht="22.5" customHeight="1">
      <c r="B8055" s="7"/>
      <c r="C8055" s="7"/>
      <c r="D8055" s="7"/>
      <c r="E8055" s="7"/>
      <c r="F8055" s="7"/>
      <c r="G8055" s="7"/>
      <c r="H8055" s="7">
        <f t="shared" si="1"/>
        <v>1029</v>
      </c>
    </row>
    <row r="8056" ht="22.5" customHeight="1">
      <c r="B8056" s="7"/>
      <c r="C8056" s="7"/>
      <c r="D8056" s="7"/>
      <c r="E8056" s="7"/>
      <c r="F8056" s="7"/>
      <c r="G8056" s="7"/>
      <c r="H8056" s="7">
        <f t="shared" si="1"/>
        <v>1029</v>
      </c>
    </row>
    <row r="8057" ht="22.5" customHeight="1">
      <c r="B8057" s="7"/>
      <c r="C8057" s="7"/>
      <c r="D8057" s="7"/>
      <c r="E8057" s="7"/>
      <c r="F8057" s="7"/>
      <c r="G8057" s="7"/>
      <c r="H8057" s="7">
        <f t="shared" si="1"/>
        <v>1029</v>
      </c>
    </row>
    <row r="8058" ht="22.5" customHeight="1">
      <c r="B8058" s="7"/>
      <c r="C8058" s="7"/>
      <c r="D8058" s="7"/>
      <c r="E8058" s="7"/>
      <c r="F8058" s="7"/>
      <c r="G8058" s="7"/>
      <c r="H8058" s="7">
        <f t="shared" si="1"/>
        <v>1029</v>
      </c>
    </row>
    <row r="8059" ht="22.5" customHeight="1">
      <c r="B8059" s="7"/>
      <c r="C8059" s="7"/>
      <c r="D8059" s="7"/>
      <c r="E8059" s="7"/>
      <c r="F8059" s="7"/>
      <c r="G8059" s="7"/>
      <c r="H8059" s="7">
        <f t="shared" si="1"/>
        <v>1029</v>
      </c>
    </row>
    <row r="8060" ht="22.5" customHeight="1">
      <c r="B8060" s="7"/>
      <c r="C8060" s="7"/>
      <c r="D8060" s="7"/>
      <c r="E8060" s="7"/>
      <c r="F8060" s="7"/>
      <c r="G8060" s="7"/>
      <c r="H8060" s="7">
        <f t="shared" si="1"/>
        <v>1029</v>
      </c>
    </row>
    <row r="8061" ht="22.5" customHeight="1">
      <c r="B8061" s="7"/>
      <c r="C8061" s="7"/>
      <c r="D8061" s="7"/>
      <c r="E8061" s="7"/>
      <c r="F8061" s="7"/>
      <c r="G8061" s="7"/>
      <c r="H8061" s="7">
        <f t="shared" si="1"/>
        <v>1029</v>
      </c>
    </row>
    <row r="8062" ht="22.5" customHeight="1">
      <c r="B8062" s="7"/>
      <c r="C8062" s="7"/>
      <c r="D8062" s="7"/>
      <c r="E8062" s="7"/>
      <c r="F8062" s="7"/>
      <c r="G8062" s="7"/>
      <c r="H8062" s="7">
        <f t="shared" si="1"/>
        <v>1029</v>
      </c>
    </row>
    <row r="8063" ht="22.5" customHeight="1">
      <c r="B8063" s="7"/>
      <c r="C8063" s="7"/>
      <c r="D8063" s="7"/>
      <c r="E8063" s="7"/>
      <c r="F8063" s="7"/>
      <c r="G8063" s="7"/>
      <c r="H8063" s="7">
        <f t="shared" si="1"/>
        <v>1029</v>
      </c>
    </row>
    <row r="8064" ht="22.5" customHeight="1">
      <c r="B8064" s="7"/>
      <c r="C8064" s="7"/>
      <c r="D8064" s="7"/>
      <c r="E8064" s="7"/>
      <c r="F8064" s="7"/>
      <c r="G8064" s="7"/>
      <c r="H8064" s="7">
        <f t="shared" si="1"/>
        <v>1029</v>
      </c>
    </row>
    <row r="8065" ht="22.5" customHeight="1">
      <c r="B8065" s="7"/>
      <c r="C8065" s="7"/>
      <c r="D8065" s="7"/>
      <c r="E8065" s="7"/>
      <c r="F8065" s="7"/>
      <c r="G8065" s="7"/>
      <c r="H8065" s="7">
        <f t="shared" si="1"/>
        <v>1029</v>
      </c>
    </row>
    <row r="8066" ht="22.5" customHeight="1">
      <c r="B8066" s="7"/>
      <c r="C8066" s="7"/>
      <c r="D8066" s="7"/>
      <c r="E8066" s="7"/>
      <c r="F8066" s="7"/>
      <c r="G8066" s="7"/>
      <c r="H8066" s="7">
        <f t="shared" si="1"/>
        <v>1029</v>
      </c>
    </row>
    <row r="8067" ht="22.5" customHeight="1">
      <c r="B8067" s="7"/>
      <c r="C8067" s="7"/>
      <c r="D8067" s="7"/>
      <c r="E8067" s="7"/>
      <c r="F8067" s="7"/>
      <c r="G8067" s="7"/>
      <c r="H8067" s="7">
        <f t="shared" si="1"/>
        <v>1029</v>
      </c>
    </row>
    <row r="8068" ht="22.5" customHeight="1">
      <c r="B8068" s="7"/>
      <c r="C8068" s="7"/>
      <c r="D8068" s="7"/>
      <c r="E8068" s="7"/>
      <c r="F8068" s="7"/>
      <c r="G8068" s="7"/>
      <c r="H8068" s="7">
        <f t="shared" si="1"/>
        <v>1029</v>
      </c>
    </row>
    <row r="8069" ht="22.5" customHeight="1">
      <c r="B8069" s="7"/>
      <c r="C8069" s="7"/>
      <c r="D8069" s="7"/>
      <c r="E8069" s="7"/>
      <c r="F8069" s="7"/>
      <c r="G8069" s="7"/>
      <c r="H8069" s="7">
        <f t="shared" si="1"/>
        <v>1029</v>
      </c>
    </row>
    <row r="8070" ht="22.5" customHeight="1">
      <c r="B8070" s="7"/>
      <c r="C8070" s="7"/>
      <c r="D8070" s="7"/>
      <c r="E8070" s="7"/>
      <c r="F8070" s="7"/>
      <c r="G8070" s="7"/>
      <c r="H8070" s="7">
        <f t="shared" si="1"/>
        <v>1029</v>
      </c>
    </row>
    <row r="8071" ht="22.5" customHeight="1">
      <c r="B8071" s="7"/>
      <c r="C8071" s="7"/>
      <c r="D8071" s="7"/>
      <c r="E8071" s="7"/>
      <c r="F8071" s="7"/>
      <c r="G8071" s="7"/>
      <c r="H8071" s="7">
        <f t="shared" si="1"/>
        <v>1029</v>
      </c>
    </row>
    <row r="8072" ht="22.5" customHeight="1">
      <c r="B8072" s="7"/>
      <c r="C8072" s="7"/>
      <c r="D8072" s="7"/>
      <c r="E8072" s="7"/>
      <c r="F8072" s="7"/>
      <c r="G8072" s="7"/>
      <c r="H8072" s="7">
        <f t="shared" si="1"/>
        <v>1029</v>
      </c>
    </row>
    <row r="8073" ht="22.5" customHeight="1">
      <c r="B8073" s="7"/>
      <c r="C8073" s="7"/>
      <c r="D8073" s="7"/>
      <c r="E8073" s="7"/>
      <c r="F8073" s="7"/>
      <c r="G8073" s="7"/>
      <c r="H8073" s="7">
        <f t="shared" si="1"/>
        <v>1029</v>
      </c>
    </row>
    <row r="8074" ht="22.5" customHeight="1">
      <c r="B8074" s="7"/>
      <c r="C8074" s="7"/>
      <c r="D8074" s="7"/>
      <c r="E8074" s="7"/>
      <c r="F8074" s="7"/>
      <c r="G8074" s="7"/>
      <c r="H8074" s="7">
        <f t="shared" si="1"/>
        <v>1029</v>
      </c>
    </row>
    <row r="8075" ht="22.5" customHeight="1">
      <c r="B8075" s="7"/>
      <c r="C8075" s="7"/>
      <c r="D8075" s="7"/>
      <c r="E8075" s="7"/>
      <c r="F8075" s="7"/>
      <c r="G8075" s="7"/>
      <c r="H8075" s="7">
        <f t="shared" si="1"/>
        <v>1029</v>
      </c>
    </row>
    <row r="8076" ht="22.5" customHeight="1">
      <c r="B8076" s="7"/>
      <c r="C8076" s="7"/>
      <c r="D8076" s="7"/>
      <c r="E8076" s="7"/>
      <c r="F8076" s="7"/>
      <c r="G8076" s="7"/>
      <c r="H8076" s="7">
        <f t="shared" si="1"/>
        <v>1029</v>
      </c>
    </row>
    <row r="8077" ht="22.5" customHeight="1">
      <c r="B8077" s="7"/>
      <c r="C8077" s="7"/>
      <c r="D8077" s="7"/>
      <c r="E8077" s="7"/>
      <c r="F8077" s="7"/>
      <c r="G8077" s="7"/>
      <c r="H8077" s="7">
        <f t="shared" si="1"/>
        <v>1029</v>
      </c>
    </row>
    <row r="8078" ht="22.5" customHeight="1">
      <c r="B8078" s="7"/>
      <c r="C8078" s="7"/>
      <c r="D8078" s="7"/>
      <c r="E8078" s="7"/>
      <c r="F8078" s="7"/>
      <c r="G8078" s="7"/>
      <c r="H8078" s="7">
        <f t="shared" si="1"/>
        <v>1029</v>
      </c>
    </row>
    <row r="8079" ht="22.5" customHeight="1">
      <c r="B8079" s="7"/>
      <c r="C8079" s="7"/>
      <c r="D8079" s="7"/>
      <c r="E8079" s="7"/>
      <c r="F8079" s="7"/>
      <c r="G8079" s="7"/>
      <c r="H8079" s="7">
        <f t="shared" si="1"/>
        <v>1029</v>
      </c>
    </row>
    <row r="8080" ht="22.5" customHeight="1">
      <c r="B8080" s="7"/>
      <c r="C8080" s="7"/>
      <c r="D8080" s="7"/>
      <c r="E8080" s="7"/>
      <c r="F8080" s="7"/>
      <c r="G8080" s="7"/>
      <c r="H8080" s="7">
        <f t="shared" si="1"/>
        <v>1029</v>
      </c>
    </row>
    <row r="8081" ht="22.5" customHeight="1">
      <c r="B8081" s="7"/>
      <c r="C8081" s="7"/>
      <c r="D8081" s="7"/>
      <c r="E8081" s="7"/>
      <c r="F8081" s="7"/>
      <c r="G8081" s="7"/>
      <c r="H8081" s="7">
        <f t="shared" si="1"/>
        <v>1029</v>
      </c>
    </row>
    <row r="8082" ht="22.5" customHeight="1">
      <c r="B8082" s="7"/>
      <c r="C8082" s="7"/>
      <c r="D8082" s="7"/>
      <c r="E8082" s="7"/>
      <c r="F8082" s="7"/>
      <c r="G8082" s="7"/>
      <c r="H8082" s="7">
        <f t="shared" si="1"/>
        <v>1029</v>
      </c>
    </row>
    <row r="8083" ht="22.5" customHeight="1">
      <c r="B8083" s="7"/>
      <c r="C8083" s="7"/>
      <c r="D8083" s="7"/>
      <c r="E8083" s="7"/>
      <c r="F8083" s="7"/>
      <c r="G8083" s="7"/>
      <c r="H8083" s="7">
        <f t="shared" si="1"/>
        <v>1029</v>
      </c>
    </row>
    <row r="8084" ht="22.5" customHeight="1">
      <c r="B8084" s="7"/>
      <c r="C8084" s="7"/>
      <c r="D8084" s="7"/>
      <c r="E8084" s="7"/>
      <c r="F8084" s="7"/>
      <c r="G8084" s="7"/>
      <c r="H8084" s="7">
        <f t="shared" si="1"/>
        <v>1029</v>
      </c>
    </row>
    <row r="8085" ht="22.5" customHeight="1">
      <c r="B8085" s="7"/>
      <c r="C8085" s="7"/>
      <c r="D8085" s="7"/>
      <c r="E8085" s="7"/>
      <c r="F8085" s="7"/>
      <c r="G8085" s="7"/>
      <c r="H8085" s="7">
        <f t="shared" si="1"/>
        <v>1029</v>
      </c>
    </row>
    <row r="8086" ht="22.5" customHeight="1">
      <c r="B8086" s="7"/>
      <c r="C8086" s="7"/>
      <c r="D8086" s="7"/>
      <c r="E8086" s="7"/>
      <c r="F8086" s="7"/>
      <c r="G8086" s="7"/>
      <c r="H8086" s="7">
        <f t="shared" si="1"/>
        <v>1029</v>
      </c>
    </row>
    <row r="8087" ht="22.5" customHeight="1">
      <c r="B8087" s="7"/>
      <c r="C8087" s="7"/>
      <c r="D8087" s="7"/>
      <c r="E8087" s="7"/>
      <c r="F8087" s="7"/>
      <c r="G8087" s="7"/>
      <c r="H8087" s="7">
        <f t="shared" si="1"/>
        <v>1029</v>
      </c>
    </row>
    <row r="8088" ht="22.5" customHeight="1">
      <c r="B8088" s="7"/>
      <c r="C8088" s="7"/>
      <c r="D8088" s="7"/>
      <c r="E8088" s="7"/>
      <c r="F8088" s="7"/>
      <c r="G8088" s="7"/>
      <c r="H8088" s="7">
        <f t="shared" si="1"/>
        <v>1029</v>
      </c>
    </row>
    <row r="8089" ht="22.5" customHeight="1">
      <c r="B8089" s="7"/>
      <c r="C8089" s="7"/>
      <c r="D8089" s="7"/>
      <c r="E8089" s="7"/>
      <c r="F8089" s="7"/>
      <c r="G8089" s="7"/>
      <c r="H8089" s="7">
        <f t="shared" si="1"/>
        <v>1029</v>
      </c>
    </row>
    <row r="8090" ht="22.5" customHeight="1">
      <c r="B8090" s="7"/>
      <c r="C8090" s="7"/>
      <c r="D8090" s="7"/>
      <c r="E8090" s="7"/>
      <c r="F8090" s="7"/>
      <c r="G8090" s="7"/>
      <c r="H8090" s="7">
        <f t="shared" si="1"/>
        <v>1029</v>
      </c>
    </row>
    <row r="8091" ht="22.5" customHeight="1">
      <c r="B8091" s="7"/>
      <c r="C8091" s="7"/>
      <c r="D8091" s="7"/>
      <c r="E8091" s="7"/>
      <c r="F8091" s="7"/>
      <c r="G8091" s="7"/>
      <c r="H8091" s="7">
        <f t="shared" si="1"/>
        <v>1029</v>
      </c>
    </row>
    <row r="8092" ht="22.5" customHeight="1">
      <c r="B8092" s="7"/>
      <c r="C8092" s="7"/>
      <c r="D8092" s="7"/>
      <c r="E8092" s="7"/>
      <c r="F8092" s="7"/>
      <c r="G8092" s="7"/>
      <c r="H8092" s="7">
        <f t="shared" si="1"/>
        <v>1029</v>
      </c>
    </row>
    <row r="8093" ht="22.5" customHeight="1">
      <c r="B8093" s="7"/>
      <c r="C8093" s="7"/>
      <c r="D8093" s="7"/>
      <c r="E8093" s="7"/>
      <c r="F8093" s="7"/>
      <c r="G8093" s="7"/>
      <c r="H8093" s="7">
        <f t="shared" si="1"/>
        <v>1029</v>
      </c>
    </row>
    <row r="8094" ht="22.5" customHeight="1">
      <c r="B8094" s="7"/>
      <c r="C8094" s="7"/>
      <c r="D8094" s="7"/>
      <c r="E8094" s="7"/>
      <c r="F8094" s="7"/>
      <c r="G8094" s="7"/>
      <c r="H8094" s="7">
        <f t="shared" si="1"/>
        <v>1029</v>
      </c>
    </row>
    <row r="8095" ht="22.5" customHeight="1">
      <c r="B8095" s="7"/>
      <c r="C8095" s="7"/>
      <c r="D8095" s="7"/>
      <c r="E8095" s="7"/>
      <c r="F8095" s="7"/>
      <c r="G8095" s="7"/>
      <c r="H8095" s="7">
        <f t="shared" si="1"/>
        <v>1029</v>
      </c>
    </row>
    <row r="8096" ht="22.5" customHeight="1">
      <c r="B8096" s="7"/>
      <c r="C8096" s="7"/>
      <c r="D8096" s="7"/>
      <c r="E8096" s="7"/>
      <c r="F8096" s="7"/>
      <c r="G8096" s="7"/>
      <c r="H8096" s="7">
        <f t="shared" si="1"/>
        <v>1029</v>
      </c>
    </row>
    <row r="8097" ht="22.5" customHeight="1">
      <c r="B8097" s="7"/>
      <c r="C8097" s="7"/>
      <c r="D8097" s="7"/>
      <c r="E8097" s="7"/>
      <c r="F8097" s="7"/>
      <c r="G8097" s="7"/>
      <c r="H8097" s="7">
        <f t="shared" si="1"/>
        <v>1029</v>
      </c>
    </row>
    <row r="8098" ht="22.5" customHeight="1">
      <c r="B8098" s="7"/>
      <c r="C8098" s="7"/>
      <c r="D8098" s="7"/>
      <c r="E8098" s="7"/>
      <c r="F8098" s="7"/>
      <c r="G8098" s="7"/>
      <c r="H8098" s="7">
        <f t="shared" si="1"/>
        <v>1029</v>
      </c>
    </row>
    <row r="8099" ht="22.5" customHeight="1">
      <c r="B8099" s="7"/>
      <c r="C8099" s="7"/>
      <c r="D8099" s="7"/>
      <c r="E8099" s="7"/>
      <c r="F8099" s="7"/>
      <c r="G8099" s="7"/>
      <c r="H8099" s="7">
        <f t="shared" si="1"/>
        <v>1029</v>
      </c>
    </row>
    <row r="8100" ht="22.5" customHeight="1">
      <c r="B8100" s="7"/>
      <c r="C8100" s="7"/>
      <c r="D8100" s="7"/>
      <c r="E8100" s="7"/>
      <c r="F8100" s="7"/>
      <c r="G8100" s="7"/>
      <c r="H8100" s="7">
        <f t="shared" si="1"/>
        <v>1029</v>
      </c>
    </row>
    <row r="8101" ht="22.5" customHeight="1">
      <c r="B8101" s="7"/>
      <c r="C8101" s="7"/>
      <c r="D8101" s="7"/>
      <c r="E8101" s="7"/>
      <c r="F8101" s="7"/>
      <c r="G8101" s="7"/>
      <c r="H8101" s="7">
        <f t="shared" si="1"/>
        <v>1029</v>
      </c>
    </row>
    <row r="8102" ht="22.5" customHeight="1">
      <c r="B8102" s="7"/>
      <c r="C8102" s="7"/>
      <c r="D8102" s="7"/>
      <c r="E8102" s="7"/>
      <c r="F8102" s="7"/>
      <c r="G8102" s="7"/>
      <c r="H8102" s="7">
        <f t="shared" si="1"/>
        <v>1029</v>
      </c>
    </row>
    <row r="8103" ht="22.5" customHeight="1">
      <c r="B8103" s="7"/>
      <c r="C8103" s="7"/>
      <c r="D8103" s="7"/>
      <c r="E8103" s="7"/>
      <c r="F8103" s="7"/>
      <c r="G8103" s="7"/>
      <c r="H8103" s="7">
        <f t="shared" si="1"/>
        <v>1029</v>
      </c>
    </row>
    <row r="8104" ht="22.5" customHeight="1">
      <c r="B8104" s="7"/>
      <c r="C8104" s="7"/>
      <c r="D8104" s="7"/>
      <c r="E8104" s="7"/>
      <c r="F8104" s="7"/>
      <c r="G8104" s="7"/>
      <c r="H8104" s="7">
        <f t="shared" si="1"/>
        <v>1029</v>
      </c>
    </row>
    <row r="8105" ht="22.5" customHeight="1">
      <c r="B8105" s="7"/>
      <c r="C8105" s="7"/>
      <c r="D8105" s="7"/>
      <c r="E8105" s="7"/>
      <c r="F8105" s="7"/>
      <c r="G8105" s="7"/>
      <c r="H8105" s="7">
        <f t="shared" si="1"/>
        <v>1029</v>
      </c>
    </row>
    <row r="8106" ht="22.5" customHeight="1">
      <c r="B8106" s="7"/>
      <c r="C8106" s="7"/>
      <c r="D8106" s="7"/>
      <c r="E8106" s="7"/>
      <c r="F8106" s="7"/>
      <c r="G8106" s="7"/>
      <c r="H8106" s="7">
        <f t="shared" si="1"/>
        <v>1029</v>
      </c>
    </row>
    <row r="8107" ht="22.5" customHeight="1">
      <c r="B8107" s="7"/>
      <c r="C8107" s="7"/>
      <c r="D8107" s="7"/>
      <c r="E8107" s="7"/>
      <c r="F8107" s="7"/>
      <c r="G8107" s="7"/>
      <c r="H8107" s="7">
        <f t="shared" si="1"/>
        <v>1029</v>
      </c>
    </row>
    <row r="8108" ht="22.5" customHeight="1">
      <c r="B8108" s="7"/>
      <c r="C8108" s="7"/>
      <c r="D8108" s="7"/>
      <c r="E8108" s="7"/>
      <c r="F8108" s="7"/>
      <c r="G8108" s="7"/>
      <c r="H8108" s="7">
        <f t="shared" si="1"/>
        <v>1029</v>
      </c>
    </row>
    <row r="8109" ht="22.5" customHeight="1">
      <c r="B8109" s="7"/>
      <c r="C8109" s="7"/>
      <c r="D8109" s="7"/>
      <c r="E8109" s="7"/>
      <c r="F8109" s="7"/>
      <c r="G8109" s="7"/>
      <c r="H8109" s="7">
        <f t="shared" si="1"/>
        <v>1029</v>
      </c>
    </row>
    <row r="8110" ht="22.5" customHeight="1">
      <c r="B8110" s="7"/>
      <c r="C8110" s="7"/>
      <c r="D8110" s="7"/>
      <c r="E8110" s="7"/>
      <c r="F8110" s="7"/>
      <c r="G8110" s="7"/>
      <c r="H8110" s="7">
        <f t="shared" si="1"/>
        <v>1029</v>
      </c>
    </row>
    <row r="8111" ht="22.5" customHeight="1">
      <c r="B8111" s="7"/>
      <c r="C8111" s="7"/>
      <c r="D8111" s="7"/>
      <c r="E8111" s="7"/>
      <c r="F8111" s="7"/>
      <c r="G8111" s="7"/>
      <c r="H8111" s="7">
        <f t="shared" si="1"/>
        <v>1029</v>
      </c>
    </row>
    <row r="8112" ht="22.5" customHeight="1">
      <c r="B8112" s="7"/>
      <c r="C8112" s="7"/>
      <c r="D8112" s="7"/>
      <c r="E8112" s="7"/>
      <c r="F8112" s="7"/>
      <c r="G8112" s="7"/>
      <c r="H8112" s="7">
        <f t="shared" si="1"/>
        <v>1029</v>
      </c>
    </row>
    <row r="8113" ht="22.5" customHeight="1">
      <c r="B8113" s="7"/>
      <c r="C8113" s="7"/>
      <c r="D8113" s="7"/>
      <c r="E8113" s="7"/>
      <c r="F8113" s="7"/>
      <c r="G8113" s="7"/>
      <c r="H8113" s="7">
        <f t="shared" si="1"/>
        <v>1029</v>
      </c>
    </row>
    <row r="8114" ht="22.5" customHeight="1">
      <c r="B8114" s="7"/>
      <c r="C8114" s="7"/>
      <c r="D8114" s="7"/>
      <c r="E8114" s="7"/>
      <c r="F8114" s="7"/>
      <c r="G8114" s="7"/>
      <c r="H8114" s="7">
        <f t="shared" si="1"/>
        <v>1029</v>
      </c>
    </row>
    <row r="8115" ht="22.5" customHeight="1">
      <c r="B8115" s="7"/>
      <c r="C8115" s="7"/>
      <c r="D8115" s="7"/>
      <c r="E8115" s="7"/>
      <c r="F8115" s="7"/>
      <c r="G8115" s="7"/>
      <c r="H8115" s="7">
        <f t="shared" si="1"/>
        <v>1029</v>
      </c>
    </row>
    <row r="8116" ht="22.5" customHeight="1">
      <c r="B8116" s="7"/>
      <c r="C8116" s="7"/>
      <c r="D8116" s="7"/>
      <c r="E8116" s="7"/>
      <c r="F8116" s="7"/>
      <c r="G8116" s="7"/>
      <c r="H8116" s="7">
        <f t="shared" si="1"/>
        <v>1029</v>
      </c>
    </row>
    <row r="8117" ht="22.5" customHeight="1">
      <c r="B8117" s="7"/>
      <c r="C8117" s="7"/>
      <c r="D8117" s="7"/>
      <c r="E8117" s="7"/>
      <c r="F8117" s="7"/>
      <c r="G8117" s="7"/>
      <c r="H8117" s="7">
        <f t="shared" si="1"/>
        <v>1029</v>
      </c>
    </row>
    <row r="8118" ht="22.5" customHeight="1">
      <c r="B8118" s="7"/>
      <c r="C8118" s="7"/>
      <c r="D8118" s="7"/>
      <c r="E8118" s="7"/>
      <c r="F8118" s="7"/>
      <c r="G8118" s="7"/>
      <c r="H8118" s="7">
        <f t="shared" si="1"/>
        <v>1029</v>
      </c>
    </row>
    <row r="8119" ht="22.5" customHeight="1">
      <c r="B8119" s="7"/>
      <c r="C8119" s="7"/>
      <c r="D8119" s="7"/>
      <c r="E8119" s="7"/>
      <c r="F8119" s="7"/>
      <c r="G8119" s="7"/>
      <c r="H8119" s="7">
        <f t="shared" si="1"/>
        <v>1029</v>
      </c>
    </row>
    <row r="8120" ht="22.5" customHeight="1">
      <c r="B8120" s="7"/>
      <c r="C8120" s="7"/>
      <c r="D8120" s="7"/>
      <c r="E8120" s="7"/>
      <c r="F8120" s="7"/>
      <c r="G8120" s="7"/>
      <c r="H8120" s="7">
        <f t="shared" si="1"/>
        <v>1029</v>
      </c>
    </row>
    <row r="8121" ht="22.5" customHeight="1">
      <c r="B8121" s="7"/>
      <c r="C8121" s="7"/>
      <c r="D8121" s="7"/>
      <c r="E8121" s="7"/>
      <c r="F8121" s="7"/>
      <c r="G8121" s="7"/>
      <c r="H8121" s="7">
        <f t="shared" si="1"/>
        <v>1029</v>
      </c>
    </row>
    <row r="8122" ht="22.5" customHeight="1">
      <c r="B8122" s="7"/>
      <c r="C8122" s="7"/>
      <c r="D8122" s="7"/>
      <c r="E8122" s="7"/>
      <c r="F8122" s="7"/>
      <c r="G8122" s="7"/>
      <c r="H8122" s="7">
        <f t="shared" si="1"/>
        <v>1029</v>
      </c>
    </row>
    <row r="8123" ht="22.5" customHeight="1">
      <c r="B8123" s="7"/>
      <c r="C8123" s="7"/>
      <c r="D8123" s="7"/>
      <c r="E8123" s="7"/>
      <c r="F8123" s="7"/>
      <c r="G8123" s="7"/>
      <c r="H8123" s="7">
        <f t="shared" si="1"/>
        <v>1029</v>
      </c>
    </row>
    <row r="8124" ht="22.5" customHeight="1">
      <c r="B8124" s="7"/>
      <c r="C8124" s="7"/>
      <c r="D8124" s="7"/>
      <c r="E8124" s="7"/>
      <c r="F8124" s="7"/>
      <c r="G8124" s="7"/>
      <c r="H8124" s="7">
        <f t="shared" si="1"/>
        <v>1029</v>
      </c>
    </row>
    <row r="8125" ht="22.5" customHeight="1">
      <c r="B8125" s="7"/>
      <c r="C8125" s="7"/>
      <c r="D8125" s="7"/>
      <c r="E8125" s="7"/>
      <c r="F8125" s="7"/>
      <c r="G8125" s="7"/>
      <c r="H8125" s="7">
        <f t="shared" si="1"/>
        <v>1029</v>
      </c>
    </row>
    <row r="8126" ht="22.5" customHeight="1">
      <c r="B8126" s="7"/>
      <c r="C8126" s="7"/>
      <c r="D8126" s="7"/>
      <c r="E8126" s="7"/>
      <c r="F8126" s="7"/>
      <c r="G8126" s="7"/>
      <c r="H8126" s="7">
        <f t="shared" si="1"/>
        <v>1029</v>
      </c>
    </row>
    <row r="8127" ht="22.5" customHeight="1">
      <c r="B8127" s="7"/>
      <c r="C8127" s="7"/>
      <c r="D8127" s="7"/>
      <c r="E8127" s="7"/>
      <c r="F8127" s="7"/>
      <c r="G8127" s="7"/>
      <c r="H8127" s="7">
        <f t="shared" si="1"/>
        <v>1029</v>
      </c>
    </row>
    <row r="8128" ht="22.5" customHeight="1">
      <c r="B8128" s="7"/>
      <c r="C8128" s="7"/>
      <c r="D8128" s="7"/>
      <c r="E8128" s="7"/>
      <c r="F8128" s="7"/>
      <c r="G8128" s="7"/>
      <c r="H8128" s="7">
        <f t="shared" si="1"/>
        <v>1029</v>
      </c>
    </row>
    <row r="8129" ht="22.5" customHeight="1">
      <c r="B8129" s="7"/>
      <c r="C8129" s="7"/>
      <c r="D8129" s="7"/>
      <c r="E8129" s="7"/>
      <c r="F8129" s="7"/>
      <c r="G8129" s="7"/>
      <c r="H8129" s="7">
        <f t="shared" si="1"/>
        <v>1029</v>
      </c>
    </row>
    <row r="8130" ht="22.5" customHeight="1">
      <c r="B8130" s="7"/>
      <c r="C8130" s="7"/>
      <c r="D8130" s="7"/>
      <c r="E8130" s="7"/>
      <c r="F8130" s="7"/>
      <c r="G8130" s="7"/>
      <c r="H8130" s="7">
        <f t="shared" si="1"/>
        <v>1029</v>
      </c>
    </row>
    <row r="8131" ht="22.5" customHeight="1">
      <c r="B8131" s="7"/>
      <c r="C8131" s="7"/>
      <c r="D8131" s="7"/>
      <c r="E8131" s="7"/>
      <c r="F8131" s="7"/>
      <c r="G8131" s="7"/>
      <c r="H8131" s="7">
        <f t="shared" si="1"/>
        <v>1029</v>
      </c>
    </row>
    <row r="8132" ht="22.5" customHeight="1">
      <c r="B8132" s="7"/>
      <c r="C8132" s="7"/>
      <c r="D8132" s="7"/>
      <c r="E8132" s="7"/>
      <c r="F8132" s="7"/>
      <c r="G8132" s="7"/>
      <c r="H8132" s="7">
        <f t="shared" si="1"/>
        <v>1029</v>
      </c>
    </row>
    <row r="8133" ht="22.5" customHeight="1">
      <c r="B8133" s="7"/>
      <c r="C8133" s="7"/>
      <c r="D8133" s="7"/>
      <c r="E8133" s="7"/>
      <c r="F8133" s="7"/>
      <c r="G8133" s="7"/>
      <c r="H8133" s="7">
        <f t="shared" si="1"/>
        <v>1029</v>
      </c>
    </row>
    <row r="8134" ht="22.5" customHeight="1">
      <c r="B8134" s="7"/>
      <c r="C8134" s="7"/>
      <c r="D8134" s="7"/>
      <c r="E8134" s="7"/>
      <c r="F8134" s="7"/>
      <c r="G8134" s="7"/>
      <c r="H8134" s="7">
        <f t="shared" si="1"/>
        <v>1029</v>
      </c>
    </row>
    <row r="8135" ht="22.5" customHeight="1">
      <c r="B8135" s="7"/>
      <c r="C8135" s="7"/>
      <c r="D8135" s="7"/>
      <c r="E8135" s="7"/>
      <c r="F8135" s="7"/>
      <c r="G8135" s="7"/>
      <c r="H8135" s="7">
        <f t="shared" si="1"/>
        <v>1029</v>
      </c>
    </row>
    <row r="8136" ht="22.5" customHeight="1">
      <c r="B8136" s="7"/>
      <c r="C8136" s="7"/>
      <c r="D8136" s="7"/>
      <c r="E8136" s="7"/>
      <c r="F8136" s="7"/>
      <c r="G8136" s="7"/>
      <c r="H8136" s="7">
        <f t="shared" si="1"/>
        <v>1029</v>
      </c>
    </row>
    <row r="8137" ht="22.5" customHeight="1">
      <c r="B8137" s="7"/>
      <c r="C8137" s="7"/>
      <c r="D8137" s="7"/>
      <c r="E8137" s="7"/>
      <c r="F8137" s="7"/>
      <c r="G8137" s="7"/>
      <c r="H8137" s="7">
        <f t="shared" si="1"/>
        <v>1029</v>
      </c>
    </row>
    <row r="8138" ht="22.5" customHeight="1">
      <c r="B8138" s="7"/>
      <c r="C8138" s="7"/>
      <c r="D8138" s="7"/>
      <c r="E8138" s="7"/>
      <c r="F8138" s="7"/>
      <c r="G8138" s="7"/>
      <c r="H8138" s="7">
        <f t="shared" si="1"/>
        <v>1029</v>
      </c>
    </row>
    <row r="8139" ht="22.5" customHeight="1">
      <c r="B8139" s="7"/>
      <c r="C8139" s="7"/>
      <c r="D8139" s="7"/>
      <c r="E8139" s="7"/>
      <c r="F8139" s="7"/>
      <c r="G8139" s="7"/>
      <c r="H8139" s="7">
        <f t="shared" si="1"/>
        <v>1029</v>
      </c>
    </row>
    <row r="8140" ht="22.5" customHeight="1">
      <c r="B8140" s="7"/>
      <c r="C8140" s="7"/>
      <c r="D8140" s="7"/>
      <c r="E8140" s="7"/>
      <c r="F8140" s="7"/>
      <c r="G8140" s="7"/>
      <c r="H8140" s="7">
        <f t="shared" si="1"/>
        <v>1029</v>
      </c>
    </row>
    <row r="8141" ht="22.5" customHeight="1">
      <c r="B8141" s="7"/>
      <c r="C8141" s="7"/>
      <c r="D8141" s="7"/>
      <c r="E8141" s="7"/>
      <c r="F8141" s="7"/>
      <c r="G8141" s="7"/>
      <c r="H8141" s="7">
        <f t="shared" si="1"/>
        <v>1029</v>
      </c>
    </row>
    <row r="8142" ht="22.5" customHeight="1">
      <c r="B8142" s="7"/>
      <c r="C8142" s="7"/>
      <c r="D8142" s="7"/>
      <c r="E8142" s="7"/>
      <c r="F8142" s="7"/>
      <c r="G8142" s="7"/>
      <c r="H8142" s="7">
        <f t="shared" si="1"/>
        <v>1029</v>
      </c>
    </row>
    <row r="8143" ht="22.5" customHeight="1">
      <c r="B8143" s="7"/>
      <c r="C8143" s="7"/>
      <c r="D8143" s="7"/>
      <c r="E8143" s="7"/>
      <c r="F8143" s="7"/>
      <c r="G8143" s="7"/>
      <c r="H8143" s="7">
        <f t="shared" si="1"/>
        <v>1029</v>
      </c>
    </row>
    <row r="8144" ht="22.5" customHeight="1">
      <c r="B8144" s="7"/>
      <c r="C8144" s="7"/>
      <c r="D8144" s="7"/>
      <c r="E8144" s="7"/>
      <c r="F8144" s="7"/>
      <c r="G8144" s="7"/>
      <c r="H8144" s="7">
        <f t="shared" si="1"/>
        <v>1029</v>
      </c>
    </row>
    <row r="8145" ht="22.5" customHeight="1">
      <c r="B8145" s="7"/>
      <c r="C8145" s="7"/>
      <c r="D8145" s="7"/>
      <c r="E8145" s="7"/>
      <c r="F8145" s="7"/>
      <c r="G8145" s="7"/>
      <c r="H8145" s="7">
        <f t="shared" si="1"/>
        <v>1029</v>
      </c>
    </row>
    <row r="8146" ht="22.5" customHeight="1">
      <c r="B8146" s="7"/>
      <c r="C8146" s="7"/>
      <c r="D8146" s="7"/>
      <c r="E8146" s="7"/>
      <c r="F8146" s="7"/>
      <c r="G8146" s="7"/>
      <c r="H8146" s="7">
        <f t="shared" si="1"/>
        <v>1029</v>
      </c>
    </row>
    <row r="8147" ht="22.5" customHeight="1">
      <c r="B8147" s="7"/>
      <c r="C8147" s="7"/>
      <c r="D8147" s="7"/>
      <c r="E8147" s="7"/>
      <c r="F8147" s="7"/>
      <c r="G8147" s="7"/>
      <c r="H8147" s="7">
        <f t="shared" si="1"/>
        <v>1029</v>
      </c>
    </row>
    <row r="8148" ht="22.5" customHeight="1">
      <c r="B8148" s="7"/>
      <c r="C8148" s="7"/>
      <c r="D8148" s="7"/>
      <c r="E8148" s="7"/>
      <c r="F8148" s="7"/>
      <c r="G8148" s="7"/>
      <c r="H8148" s="7">
        <f t="shared" si="1"/>
        <v>1029</v>
      </c>
    </row>
    <row r="8149" ht="22.5" customHeight="1">
      <c r="B8149" s="7"/>
      <c r="C8149" s="7"/>
      <c r="D8149" s="7"/>
      <c r="E8149" s="7"/>
      <c r="F8149" s="7"/>
      <c r="G8149" s="7"/>
      <c r="H8149" s="7">
        <f t="shared" si="1"/>
        <v>1029</v>
      </c>
    </row>
    <row r="8150" ht="22.5" customHeight="1">
      <c r="B8150" s="7"/>
      <c r="C8150" s="7"/>
      <c r="D8150" s="7"/>
      <c r="E8150" s="7"/>
      <c r="F8150" s="7"/>
      <c r="G8150" s="7"/>
      <c r="H8150" s="7">
        <f t="shared" si="1"/>
        <v>1029</v>
      </c>
    </row>
    <row r="8151" ht="22.5" customHeight="1">
      <c r="B8151" s="7"/>
      <c r="C8151" s="7"/>
      <c r="D8151" s="7"/>
      <c r="E8151" s="7"/>
      <c r="F8151" s="7"/>
      <c r="G8151" s="7"/>
      <c r="H8151" s="7">
        <f t="shared" si="1"/>
        <v>1029</v>
      </c>
    </row>
    <row r="8152" ht="22.5" customHeight="1">
      <c r="B8152" s="7"/>
      <c r="C8152" s="7"/>
      <c r="D8152" s="7"/>
      <c r="E8152" s="7"/>
      <c r="F8152" s="7"/>
      <c r="G8152" s="7"/>
      <c r="H8152" s="7">
        <f t="shared" si="1"/>
        <v>1029</v>
      </c>
    </row>
    <row r="8153" ht="22.5" customHeight="1">
      <c r="B8153" s="7"/>
      <c r="C8153" s="7"/>
      <c r="D8153" s="7"/>
      <c r="E8153" s="7"/>
      <c r="F8153" s="7"/>
      <c r="G8153" s="7"/>
      <c r="H8153" s="7">
        <f t="shared" si="1"/>
        <v>1029</v>
      </c>
    </row>
    <row r="8154" ht="22.5" customHeight="1">
      <c r="B8154" s="7"/>
      <c r="C8154" s="7"/>
      <c r="D8154" s="7"/>
      <c r="E8154" s="7"/>
      <c r="F8154" s="7"/>
      <c r="G8154" s="7"/>
      <c r="H8154" s="7">
        <f t="shared" si="1"/>
        <v>1029</v>
      </c>
    </row>
    <row r="8155" ht="22.5" customHeight="1">
      <c r="B8155" s="7"/>
      <c r="C8155" s="7"/>
      <c r="D8155" s="7"/>
      <c r="E8155" s="7"/>
      <c r="F8155" s="7"/>
      <c r="G8155" s="7"/>
      <c r="H8155" s="7">
        <f t="shared" si="1"/>
        <v>1029</v>
      </c>
    </row>
    <row r="8156" ht="22.5" customHeight="1">
      <c r="B8156" s="7"/>
      <c r="C8156" s="7"/>
      <c r="D8156" s="7"/>
      <c r="E8156" s="7"/>
      <c r="F8156" s="7"/>
      <c r="G8156" s="7"/>
      <c r="H8156" s="7">
        <f t="shared" si="1"/>
        <v>1029</v>
      </c>
    </row>
    <row r="8157" ht="22.5" customHeight="1">
      <c r="B8157" s="7"/>
      <c r="C8157" s="7"/>
      <c r="D8157" s="7"/>
      <c r="E8157" s="7"/>
      <c r="F8157" s="7"/>
      <c r="G8157" s="7"/>
      <c r="H8157" s="7">
        <f t="shared" si="1"/>
        <v>1029</v>
      </c>
    </row>
    <row r="8158" ht="22.5" customHeight="1">
      <c r="B8158" s="7"/>
      <c r="C8158" s="7"/>
      <c r="D8158" s="7"/>
      <c r="E8158" s="7"/>
      <c r="F8158" s="7"/>
      <c r="G8158" s="7"/>
      <c r="H8158" s="7">
        <f t="shared" si="1"/>
        <v>1029</v>
      </c>
    </row>
    <row r="8159" ht="22.5" customHeight="1">
      <c r="B8159" s="7"/>
      <c r="C8159" s="7"/>
      <c r="D8159" s="7"/>
      <c r="E8159" s="7"/>
      <c r="F8159" s="7"/>
      <c r="G8159" s="7"/>
      <c r="H8159" s="7">
        <f t="shared" si="1"/>
        <v>1029</v>
      </c>
    </row>
    <row r="8160" ht="22.5" customHeight="1">
      <c r="B8160" s="7"/>
      <c r="C8160" s="7"/>
      <c r="D8160" s="7"/>
      <c r="E8160" s="7"/>
      <c r="F8160" s="7"/>
      <c r="G8160" s="7"/>
      <c r="H8160" s="7">
        <f t="shared" si="1"/>
        <v>1029</v>
      </c>
    </row>
    <row r="8161" ht="22.5" customHeight="1">
      <c r="B8161" s="7"/>
      <c r="C8161" s="7"/>
      <c r="D8161" s="7"/>
      <c r="E8161" s="7"/>
      <c r="F8161" s="7"/>
      <c r="G8161" s="7"/>
      <c r="H8161" s="7">
        <f t="shared" si="1"/>
        <v>1029</v>
      </c>
    </row>
    <row r="8162" ht="22.5" customHeight="1">
      <c r="B8162" s="7"/>
      <c r="C8162" s="7"/>
      <c r="D8162" s="7"/>
      <c r="E8162" s="7"/>
      <c r="F8162" s="7"/>
      <c r="G8162" s="7"/>
      <c r="H8162" s="7">
        <f t="shared" si="1"/>
        <v>1029</v>
      </c>
    </row>
    <row r="8163" ht="22.5" customHeight="1">
      <c r="B8163" s="7"/>
      <c r="C8163" s="7"/>
      <c r="D8163" s="7"/>
      <c r="E8163" s="7"/>
      <c r="F8163" s="7"/>
      <c r="G8163" s="7"/>
      <c r="H8163" s="7">
        <f t="shared" si="1"/>
        <v>1029</v>
      </c>
    </row>
    <row r="8164" ht="22.5" customHeight="1">
      <c r="B8164" s="7"/>
      <c r="C8164" s="7"/>
      <c r="D8164" s="7"/>
      <c r="E8164" s="7"/>
      <c r="F8164" s="7"/>
      <c r="G8164" s="7"/>
      <c r="H8164" s="7">
        <f t="shared" si="1"/>
        <v>1029</v>
      </c>
    </row>
    <row r="8165" ht="22.5" customHeight="1">
      <c r="B8165" s="7"/>
      <c r="C8165" s="7"/>
      <c r="D8165" s="7"/>
      <c r="E8165" s="7"/>
      <c r="F8165" s="7"/>
      <c r="G8165" s="7"/>
      <c r="H8165" s="7">
        <f t="shared" si="1"/>
        <v>1029</v>
      </c>
    </row>
    <row r="8166" ht="22.5" customHeight="1">
      <c r="B8166" s="7"/>
      <c r="C8166" s="7"/>
      <c r="D8166" s="7"/>
      <c r="E8166" s="7"/>
      <c r="F8166" s="7"/>
      <c r="G8166" s="7"/>
      <c r="H8166" s="7">
        <f t="shared" si="1"/>
        <v>1029</v>
      </c>
    </row>
    <row r="8167" ht="22.5" customHeight="1">
      <c r="B8167" s="7"/>
      <c r="C8167" s="7"/>
      <c r="D8167" s="7"/>
      <c r="E8167" s="7"/>
      <c r="F8167" s="7"/>
      <c r="G8167" s="7"/>
      <c r="H8167" s="7">
        <f t="shared" si="1"/>
        <v>1029</v>
      </c>
    </row>
    <row r="8168" ht="22.5" customHeight="1">
      <c r="B8168" s="7"/>
      <c r="C8168" s="7"/>
      <c r="D8168" s="7"/>
      <c r="E8168" s="7"/>
      <c r="F8168" s="7"/>
      <c r="G8168" s="7"/>
      <c r="H8168" s="7">
        <f t="shared" si="1"/>
        <v>1029</v>
      </c>
    </row>
    <row r="8169" ht="22.5" customHeight="1">
      <c r="B8169" s="7"/>
      <c r="C8169" s="7"/>
      <c r="D8169" s="7"/>
      <c r="E8169" s="7"/>
      <c r="F8169" s="7"/>
      <c r="G8169" s="7"/>
      <c r="H8169" s="7">
        <f t="shared" si="1"/>
        <v>1029</v>
      </c>
    </row>
    <row r="8170" ht="22.5" customHeight="1">
      <c r="B8170" s="7"/>
      <c r="C8170" s="7"/>
      <c r="D8170" s="7"/>
      <c r="E8170" s="7"/>
      <c r="F8170" s="7"/>
      <c r="G8170" s="7"/>
      <c r="H8170" s="7">
        <f t="shared" si="1"/>
        <v>1029</v>
      </c>
    </row>
    <row r="8171" ht="22.5" customHeight="1">
      <c r="B8171" s="7"/>
      <c r="C8171" s="7"/>
      <c r="D8171" s="7"/>
      <c r="E8171" s="7"/>
      <c r="F8171" s="7"/>
      <c r="G8171" s="7"/>
      <c r="H8171" s="7">
        <f t="shared" si="1"/>
        <v>1029</v>
      </c>
    </row>
    <row r="8172" ht="22.5" customHeight="1">
      <c r="B8172" s="7"/>
      <c r="C8172" s="7"/>
      <c r="D8172" s="7"/>
      <c r="E8172" s="7"/>
      <c r="F8172" s="7"/>
      <c r="G8172" s="7"/>
      <c r="H8172" s="7">
        <f t="shared" si="1"/>
        <v>1029</v>
      </c>
    </row>
    <row r="8173" ht="22.5" customHeight="1">
      <c r="B8173" s="7"/>
      <c r="C8173" s="7"/>
      <c r="D8173" s="7"/>
      <c r="E8173" s="7"/>
      <c r="F8173" s="7"/>
      <c r="G8173" s="7"/>
      <c r="H8173" s="7">
        <f t="shared" si="1"/>
        <v>1029</v>
      </c>
    </row>
    <row r="8174" ht="22.5" customHeight="1">
      <c r="B8174" s="7"/>
      <c r="C8174" s="7"/>
      <c r="D8174" s="7"/>
      <c r="E8174" s="7"/>
      <c r="F8174" s="7"/>
      <c r="G8174" s="7"/>
      <c r="H8174" s="7">
        <f t="shared" si="1"/>
        <v>1029</v>
      </c>
    </row>
    <row r="8175" ht="22.5" customHeight="1">
      <c r="B8175" s="7"/>
      <c r="C8175" s="7"/>
      <c r="D8175" s="7"/>
      <c r="E8175" s="7"/>
      <c r="F8175" s="7"/>
      <c r="G8175" s="7"/>
      <c r="H8175" s="7">
        <f t="shared" si="1"/>
        <v>1029</v>
      </c>
    </row>
    <row r="8176" ht="22.5" customHeight="1">
      <c r="B8176" s="7"/>
      <c r="C8176" s="7"/>
      <c r="D8176" s="7"/>
      <c r="E8176" s="7"/>
      <c r="F8176" s="7"/>
      <c r="G8176" s="7"/>
      <c r="H8176" s="7">
        <f t="shared" si="1"/>
        <v>1029</v>
      </c>
    </row>
    <row r="8177" ht="22.5" customHeight="1">
      <c r="B8177" s="7"/>
      <c r="C8177" s="7"/>
      <c r="D8177" s="7"/>
      <c r="E8177" s="7"/>
      <c r="F8177" s="7"/>
      <c r="G8177" s="7"/>
      <c r="H8177" s="7">
        <f t="shared" si="1"/>
        <v>1029</v>
      </c>
    </row>
    <row r="8178" ht="22.5" customHeight="1">
      <c r="B8178" s="7"/>
      <c r="C8178" s="7"/>
      <c r="D8178" s="7"/>
      <c r="E8178" s="7"/>
      <c r="F8178" s="7"/>
      <c r="G8178" s="7"/>
      <c r="H8178" s="7">
        <f t="shared" si="1"/>
        <v>1029</v>
      </c>
    </row>
    <row r="8179" ht="22.5" customHeight="1">
      <c r="B8179" s="7"/>
      <c r="C8179" s="7"/>
      <c r="D8179" s="7"/>
      <c r="E8179" s="7"/>
      <c r="F8179" s="7"/>
      <c r="G8179" s="7"/>
      <c r="H8179" s="7">
        <f t="shared" si="1"/>
        <v>1029</v>
      </c>
    </row>
    <row r="8180" ht="22.5" customHeight="1">
      <c r="B8180" s="7"/>
      <c r="C8180" s="7"/>
      <c r="D8180" s="7"/>
      <c r="E8180" s="7"/>
      <c r="F8180" s="7"/>
      <c r="G8180" s="7"/>
      <c r="H8180" s="7">
        <f t="shared" si="1"/>
        <v>1029</v>
      </c>
    </row>
    <row r="8181" ht="22.5" customHeight="1">
      <c r="B8181" s="7"/>
      <c r="C8181" s="7"/>
      <c r="D8181" s="7"/>
      <c r="E8181" s="7"/>
      <c r="F8181" s="7"/>
      <c r="G8181" s="7"/>
      <c r="H8181" s="7">
        <f t="shared" si="1"/>
        <v>1029</v>
      </c>
    </row>
    <row r="8182" ht="22.5" customHeight="1">
      <c r="B8182" s="7"/>
      <c r="C8182" s="7"/>
      <c r="D8182" s="7"/>
      <c r="E8182" s="7"/>
      <c r="F8182" s="7"/>
      <c r="G8182" s="7"/>
      <c r="H8182" s="7">
        <f t="shared" si="1"/>
        <v>1029</v>
      </c>
    </row>
    <row r="8183" ht="22.5" customHeight="1">
      <c r="B8183" s="7"/>
      <c r="C8183" s="7"/>
      <c r="D8183" s="7"/>
      <c r="E8183" s="7"/>
      <c r="F8183" s="7"/>
      <c r="G8183" s="7"/>
      <c r="H8183" s="7">
        <f t="shared" si="1"/>
        <v>1029</v>
      </c>
    </row>
    <row r="8184" ht="22.5" customHeight="1">
      <c r="B8184" s="7"/>
      <c r="C8184" s="7"/>
      <c r="D8184" s="7"/>
      <c r="E8184" s="7"/>
      <c r="F8184" s="7"/>
      <c r="G8184" s="7"/>
      <c r="H8184" s="7">
        <f t="shared" si="1"/>
        <v>1029</v>
      </c>
    </row>
    <row r="8185" ht="22.5" customHeight="1">
      <c r="B8185" s="7"/>
      <c r="C8185" s="7"/>
      <c r="D8185" s="7"/>
      <c r="E8185" s="7"/>
      <c r="F8185" s="7"/>
      <c r="G8185" s="7"/>
      <c r="H8185" s="7">
        <f t="shared" si="1"/>
        <v>1029</v>
      </c>
    </row>
    <row r="8186" ht="22.5" customHeight="1">
      <c r="B8186" s="7"/>
      <c r="C8186" s="7"/>
      <c r="D8186" s="7"/>
      <c r="E8186" s="7"/>
      <c r="F8186" s="7"/>
      <c r="G8186" s="7"/>
      <c r="H8186" s="7">
        <f t="shared" si="1"/>
        <v>1029</v>
      </c>
    </row>
    <row r="8187" ht="22.5" customHeight="1">
      <c r="B8187" s="7"/>
      <c r="C8187" s="7"/>
      <c r="D8187" s="7"/>
      <c r="E8187" s="7"/>
      <c r="F8187" s="7"/>
      <c r="G8187" s="7"/>
      <c r="H8187" s="7">
        <f t="shared" si="1"/>
        <v>1029</v>
      </c>
    </row>
    <row r="8188" ht="22.5" customHeight="1">
      <c r="B8188" s="7"/>
      <c r="C8188" s="7"/>
      <c r="D8188" s="7"/>
      <c r="E8188" s="7"/>
      <c r="F8188" s="7"/>
      <c r="G8188" s="7"/>
      <c r="H8188" s="7">
        <f t="shared" si="1"/>
        <v>1029</v>
      </c>
    </row>
    <row r="8189" ht="22.5" customHeight="1">
      <c r="B8189" s="7"/>
      <c r="C8189" s="7"/>
      <c r="D8189" s="7"/>
      <c r="E8189" s="7"/>
      <c r="F8189" s="7"/>
      <c r="G8189" s="7"/>
      <c r="H8189" s="7">
        <f t="shared" si="1"/>
        <v>1029</v>
      </c>
    </row>
    <row r="8190" ht="22.5" customHeight="1">
      <c r="B8190" s="7"/>
      <c r="C8190" s="7"/>
      <c r="D8190" s="7"/>
      <c r="E8190" s="7"/>
      <c r="F8190" s="7"/>
      <c r="G8190" s="7"/>
      <c r="H8190" s="7">
        <f t="shared" si="1"/>
        <v>1029</v>
      </c>
    </row>
    <row r="8191" ht="22.5" customHeight="1">
      <c r="B8191" s="7"/>
      <c r="C8191" s="7"/>
      <c r="D8191" s="7"/>
      <c r="E8191" s="7"/>
      <c r="F8191" s="7"/>
      <c r="G8191" s="7"/>
      <c r="H8191" s="7">
        <f t="shared" si="1"/>
        <v>1029</v>
      </c>
    </row>
    <row r="8192" ht="22.5" customHeight="1">
      <c r="B8192" s="7"/>
      <c r="C8192" s="7"/>
      <c r="D8192" s="7"/>
      <c r="E8192" s="7"/>
      <c r="F8192" s="7"/>
      <c r="G8192" s="7"/>
      <c r="H8192" s="7">
        <f t="shared" si="1"/>
        <v>1029</v>
      </c>
    </row>
    <row r="8193" ht="22.5" customHeight="1">
      <c r="B8193" s="7"/>
      <c r="C8193" s="7"/>
      <c r="D8193" s="7"/>
      <c r="E8193" s="7"/>
      <c r="F8193" s="7"/>
      <c r="G8193" s="7"/>
      <c r="H8193" s="7">
        <f t="shared" si="1"/>
        <v>1029</v>
      </c>
    </row>
    <row r="8194" ht="22.5" customHeight="1">
      <c r="B8194" s="7"/>
      <c r="C8194" s="7"/>
      <c r="D8194" s="7"/>
      <c r="E8194" s="7"/>
      <c r="F8194" s="7"/>
      <c r="G8194" s="7"/>
      <c r="H8194" s="7">
        <f t="shared" si="1"/>
        <v>1029</v>
      </c>
    </row>
    <row r="8195" ht="22.5" customHeight="1">
      <c r="B8195" s="7"/>
      <c r="C8195" s="7"/>
      <c r="D8195" s="7"/>
      <c r="E8195" s="7"/>
      <c r="F8195" s="7"/>
      <c r="G8195" s="7"/>
      <c r="H8195" s="7">
        <f t="shared" si="1"/>
        <v>1029</v>
      </c>
    </row>
    <row r="8196" ht="22.5" customHeight="1">
      <c r="B8196" s="7"/>
      <c r="C8196" s="7"/>
      <c r="D8196" s="7"/>
      <c r="E8196" s="7"/>
      <c r="F8196" s="7"/>
      <c r="G8196" s="7"/>
      <c r="H8196" s="7">
        <f t="shared" si="1"/>
        <v>1029</v>
      </c>
    </row>
    <row r="8197" ht="22.5" customHeight="1">
      <c r="B8197" s="7"/>
      <c r="C8197" s="7"/>
      <c r="D8197" s="7"/>
      <c r="E8197" s="7"/>
      <c r="F8197" s="7"/>
      <c r="G8197" s="7"/>
      <c r="H8197" s="7">
        <f t="shared" si="1"/>
        <v>1029</v>
      </c>
    </row>
    <row r="8198" ht="22.5" customHeight="1">
      <c r="B8198" s="7"/>
      <c r="C8198" s="7"/>
      <c r="D8198" s="7"/>
      <c r="E8198" s="7"/>
      <c r="F8198" s="7"/>
      <c r="G8198" s="7"/>
      <c r="H8198" s="7">
        <f t="shared" si="1"/>
        <v>1029</v>
      </c>
    </row>
    <row r="8199" ht="22.5" customHeight="1">
      <c r="B8199" s="7"/>
      <c r="C8199" s="7"/>
      <c r="D8199" s="7"/>
      <c r="E8199" s="7"/>
      <c r="F8199" s="7"/>
      <c r="G8199" s="7"/>
      <c r="H8199" s="7">
        <f t="shared" si="1"/>
        <v>1029</v>
      </c>
    </row>
    <row r="8200" ht="22.5" customHeight="1">
      <c r="B8200" s="7"/>
      <c r="C8200" s="7"/>
      <c r="D8200" s="7"/>
      <c r="E8200" s="7"/>
      <c r="F8200" s="7"/>
      <c r="G8200" s="7"/>
      <c r="H8200" s="7">
        <f t="shared" si="1"/>
        <v>1029</v>
      </c>
    </row>
    <row r="8201" ht="22.5" customHeight="1">
      <c r="B8201" s="7"/>
      <c r="C8201" s="7"/>
      <c r="D8201" s="7"/>
      <c r="E8201" s="7"/>
      <c r="F8201" s="7"/>
      <c r="G8201" s="7"/>
      <c r="H8201" s="7">
        <f t="shared" si="1"/>
        <v>1029</v>
      </c>
    </row>
    <row r="8202" ht="22.5" customHeight="1">
      <c r="B8202" s="7"/>
      <c r="C8202" s="7"/>
      <c r="D8202" s="7"/>
      <c r="E8202" s="7"/>
      <c r="F8202" s="7"/>
      <c r="G8202" s="7"/>
      <c r="H8202" s="7">
        <f t="shared" si="1"/>
        <v>1029</v>
      </c>
    </row>
    <row r="8203" ht="22.5" customHeight="1">
      <c r="B8203" s="7"/>
      <c r="C8203" s="7"/>
      <c r="D8203" s="7"/>
      <c r="E8203" s="7"/>
      <c r="F8203" s="7"/>
      <c r="G8203" s="7"/>
      <c r="H8203" s="7">
        <f t="shared" si="1"/>
        <v>1029</v>
      </c>
    </row>
    <row r="8204" ht="22.5" customHeight="1">
      <c r="B8204" s="7"/>
      <c r="C8204" s="7"/>
      <c r="D8204" s="7"/>
      <c r="E8204" s="7"/>
      <c r="F8204" s="7"/>
      <c r="G8204" s="7"/>
      <c r="H8204" s="7">
        <f t="shared" si="1"/>
        <v>1029</v>
      </c>
    </row>
    <row r="8205" ht="22.5" customHeight="1">
      <c r="B8205" s="7"/>
      <c r="C8205" s="7"/>
      <c r="D8205" s="7"/>
      <c r="E8205" s="7"/>
      <c r="F8205" s="7"/>
      <c r="G8205" s="7"/>
      <c r="H8205" s="7">
        <f t="shared" si="1"/>
        <v>1029</v>
      </c>
    </row>
    <row r="8206" ht="22.5" customHeight="1">
      <c r="B8206" s="7"/>
      <c r="C8206" s="7"/>
      <c r="D8206" s="7"/>
      <c r="E8206" s="7"/>
      <c r="F8206" s="7"/>
      <c r="G8206" s="7"/>
      <c r="H8206" s="7">
        <f t="shared" si="1"/>
        <v>1029</v>
      </c>
    </row>
    <row r="8207" ht="22.5" customHeight="1">
      <c r="B8207" s="7"/>
      <c r="C8207" s="7"/>
      <c r="D8207" s="7"/>
      <c r="E8207" s="7"/>
      <c r="F8207" s="7"/>
      <c r="G8207" s="7"/>
      <c r="H8207" s="7">
        <f t="shared" si="1"/>
        <v>1029</v>
      </c>
    </row>
    <row r="8208" ht="22.5" customHeight="1">
      <c r="B8208" s="7"/>
      <c r="C8208" s="7"/>
      <c r="D8208" s="7"/>
      <c r="E8208" s="7"/>
      <c r="F8208" s="7"/>
      <c r="G8208" s="7"/>
      <c r="H8208" s="7">
        <f t="shared" si="1"/>
        <v>1029</v>
      </c>
    </row>
    <row r="8209" ht="22.5" customHeight="1">
      <c r="B8209" s="7"/>
      <c r="C8209" s="7"/>
      <c r="D8209" s="7"/>
      <c r="E8209" s="7"/>
      <c r="F8209" s="7"/>
      <c r="G8209" s="7"/>
      <c r="H8209" s="7">
        <f t="shared" si="1"/>
        <v>1029</v>
      </c>
    </row>
    <row r="8210" ht="22.5" customHeight="1">
      <c r="B8210" s="7"/>
      <c r="C8210" s="7"/>
      <c r="D8210" s="7"/>
      <c r="E8210" s="7"/>
      <c r="F8210" s="7"/>
      <c r="G8210" s="7"/>
      <c r="H8210" s="7">
        <f t="shared" si="1"/>
        <v>1029</v>
      </c>
    </row>
    <row r="8211" ht="22.5" customHeight="1">
      <c r="B8211" s="7"/>
      <c r="C8211" s="7"/>
      <c r="D8211" s="7"/>
      <c r="E8211" s="7"/>
      <c r="F8211" s="7"/>
      <c r="G8211" s="7"/>
      <c r="H8211" s="7">
        <f t="shared" si="1"/>
        <v>1029</v>
      </c>
    </row>
    <row r="8212" ht="22.5" customHeight="1">
      <c r="B8212" s="7"/>
      <c r="C8212" s="7"/>
      <c r="D8212" s="7"/>
      <c r="E8212" s="7"/>
      <c r="F8212" s="7"/>
      <c r="G8212" s="7"/>
      <c r="H8212" s="7">
        <f t="shared" si="1"/>
        <v>1029</v>
      </c>
    </row>
    <row r="8213" ht="22.5" customHeight="1">
      <c r="B8213" s="7"/>
      <c r="C8213" s="7"/>
      <c r="D8213" s="7"/>
      <c r="E8213" s="7"/>
      <c r="F8213" s="7"/>
      <c r="G8213" s="7"/>
      <c r="H8213" s="7">
        <f t="shared" si="1"/>
        <v>1029</v>
      </c>
    </row>
    <row r="8214" ht="22.5" customHeight="1">
      <c r="B8214" s="7"/>
      <c r="C8214" s="7"/>
      <c r="D8214" s="7"/>
      <c r="E8214" s="7"/>
      <c r="F8214" s="7"/>
      <c r="G8214" s="7"/>
      <c r="H8214" s="7">
        <f t="shared" si="1"/>
        <v>1029</v>
      </c>
    </row>
    <row r="8215" ht="22.5" customHeight="1">
      <c r="B8215" s="7"/>
      <c r="C8215" s="7"/>
      <c r="D8215" s="7"/>
      <c r="E8215" s="7"/>
      <c r="F8215" s="7"/>
      <c r="G8215" s="7"/>
      <c r="H8215" s="7">
        <f t="shared" si="1"/>
        <v>1029</v>
      </c>
    </row>
    <row r="8216" ht="22.5" customHeight="1">
      <c r="B8216" s="7"/>
      <c r="C8216" s="7"/>
      <c r="D8216" s="7"/>
      <c r="E8216" s="7"/>
      <c r="F8216" s="7"/>
      <c r="G8216" s="7"/>
      <c r="H8216" s="7">
        <f t="shared" si="1"/>
        <v>1029</v>
      </c>
    </row>
    <row r="8217" ht="22.5" customHeight="1">
      <c r="B8217" s="7"/>
      <c r="C8217" s="7"/>
      <c r="D8217" s="7"/>
      <c r="E8217" s="7"/>
      <c r="F8217" s="7"/>
      <c r="G8217" s="7"/>
      <c r="H8217" s="7">
        <f t="shared" si="1"/>
        <v>1029</v>
      </c>
    </row>
    <row r="8218" ht="22.5" customHeight="1">
      <c r="B8218" s="7"/>
      <c r="C8218" s="7"/>
      <c r="D8218" s="7"/>
      <c r="E8218" s="7"/>
      <c r="F8218" s="7"/>
      <c r="G8218" s="7"/>
      <c r="H8218" s="7">
        <f t="shared" si="1"/>
        <v>1029</v>
      </c>
    </row>
    <row r="8219" ht="22.5" customHeight="1">
      <c r="B8219" s="7"/>
      <c r="C8219" s="7"/>
      <c r="D8219" s="7"/>
      <c r="E8219" s="7"/>
      <c r="F8219" s="7"/>
      <c r="G8219" s="7"/>
      <c r="H8219" s="7">
        <f t="shared" si="1"/>
        <v>1029</v>
      </c>
    </row>
    <row r="8220" ht="22.5" customHeight="1">
      <c r="B8220" s="7"/>
      <c r="C8220" s="7"/>
      <c r="D8220" s="7"/>
      <c r="E8220" s="7"/>
      <c r="F8220" s="7"/>
      <c r="G8220" s="7"/>
      <c r="H8220" s="7">
        <f t="shared" si="1"/>
        <v>1029</v>
      </c>
    </row>
    <row r="8221" ht="22.5" customHeight="1">
      <c r="B8221" s="7"/>
      <c r="C8221" s="7"/>
      <c r="D8221" s="7"/>
      <c r="E8221" s="7"/>
      <c r="F8221" s="7"/>
      <c r="G8221" s="7"/>
      <c r="H8221" s="7">
        <f t="shared" si="1"/>
        <v>1029</v>
      </c>
    </row>
    <row r="8222" ht="22.5" customHeight="1">
      <c r="B8222" s="7"/>
      <c r="C8222" s="7"/>
      <c r="D8222" s="7"/>
      <c r="E8222" s="7"/>
      <c r="F8222" s="7"/>
      <c r="G8222" s="7"/>
      <c r="H8222" s="7">
        <f t="shared" si="1"/>
        <v>1029</v>
      </c>
    </row>
    <row r="8223" ht="22.5" customHeight="1">
      <c r="B8223" s="7"/>
      <c r="C8223" s="7"/>
      <c r="D8223" s="7"/>
      <c r="E8223" s="7"/>
      <c r="F8223" s="7"/>
      <c r="G8223" s="7"/>
      <c r="H8223" s="7">
        <f t="shared" si="1"/>
        <v>1029</v>
      </c>
    </row>
    <row r="8224" ht="22.5" customHeight="1">
      <c r="B8224" s="7"/>
      <c r="C8224" s="7"/>
      <c r="D8224" s="7"/>
      <c r="E8224" s="7"/>
      <c r="F8224" s="7"/>
      <c r="G8224" s="7"/>
      <c r="H8224" s="7">
        <f t="shared" si="1"/>
        <v>1029</v>
      </c>
    </row>
    <row r="8225" ht="22.5" customHeight="1">
      <c r="B8225" s="7"/>
      <c r="C8225" s="7"/>
      <c r="D8225" s="7"/>
      <c r="E8225" s="7"/>
      <c r="F8225" s="7"/>
      <c r="G8225" s="7"/>
      <c r="H8225" s="7">
        <f t="shared" si="1"/>
        <v>1029</v>
      </c>
    </row>
    <row r="8226" ht="22.5" customHeight="1">
      <c r="B8226" s="7"/>
      <c r="C8226" s="7"/>
      <c r="D8226" s="7"/>
      <c r="E8226" s="7"/>
      <c r="F8226" s="7"/>
      <c r="G8226" s="7"/>
      <c r="H8226" s="7">
        <f t="shared" si="1"/>
        <v>1029</v>
      </c>
    </row>
    <row r="8227" ht="22.5" customHeight="1">
      <c r="B8227" s="7"/>
      <c r="C8227" s="7"/>
      <c r="D8227" s="7"/>
      <c r="E8227" s="7"/>
      <c r="F8227" s="7"/>
      <c r="G8227" s="7"/>
      <c r="H8227" s="7">
        <f t="shared" si="1"/>
        <v>1029</v>
      </c>
    </row>
    <row r="8228" ht="22.5" customHeight="1">
      <c r="B8228" s="7"/>
      <c r="C8228" s="7"/>
      <c r="D8228" s="7"/>
      <c r="E8228" s="7"/>
      <c r="F8228" s="7"/>
      <c r="G8228" s="7"/>
      <c r="H8228" s="7">
        <f t="shared" si="1"/>
        <v>1029</v>
      </c>
    </row>
    <row r="8229" ht="22.5" customHeight="1">
      <c r="B8229" s="7"/>
      <c r="C8229" s="7"/>
      <c r="D8229" s="7"/>
      <c r="E8229" s="7"/>
      <c r="F8229" s="7"/>
      <c r="G8229" s="7"/>
      <c r="H8229" s="7">
        <f t="shared" si="1"/>
        <v>1029</v>
      </c>
    </row>
    <row r="8230" ht="22.5" customHeight="1">
      <c r="B8230" s="7"/>
      <c r="C8230" s="7"/>
      <c r="D8230" s="7"/>
      <c r="E8230" s="7"/>
      <c r="F8230" s="7"/>
      <c r="G8230" s="7"/>
      <c r="H8230" s="7">
        <f t="shared" si="1"/>
        <v>1029</v>
      </c>
    </row>
    <row r="8231" ht="22.5" customHeight="1">
      <c r="B8231" s="7"/>
      <c r="C8231" s="7"/>
      <c r="D8231" s="7"/>
      <c r="E8231" s="7"/>
      <c r="F8231" s="7"/>
      <c r="G8231" s="7"/>
      <c r="H8231" s="7">
        <f t="shared" si="1"/>
        <v>1029</v>
      </c>
    </row>
    <row r="8232" ht="22.5" customHeight="1">
      <c r="B8232" s="7"/>
      <c r="C8232" s="7"/>
      <c r="D8232" s="7"/>
      <c r="E8232" s="7"/>
      <c r="F8232" s="7"/>
      <c r="G8232" s="7"/>
      <c r="H8232" s="7">
        <f t="shared" si="1"/>
        <v>1029</v>
      </c>
    </row>
    <row r="8233" ht="22.5" customHeight="1">
      <c r="B8233" s="7"/>
      <c r="C8233" s="7"/>
      <c r="D8233" s="7"/>
      <c r="E8233" s="7"/>
      <c r="F8233" s="7"/>
      <c r="G8233" s="7"/>
      <c r="H8233" s="7">
        <f t="shared" si="1"/>
        <v>1029</v>
      </c>
    </row>
    <row r="8234" ht="22.5" customHeight="1">
      <c r="B8234" s="7"/>
      <c r="C8234" s="7"/>
      <c r="D8234" s="7"/>
      <c r="E8234" s="7"/>
      <c r="F8234" s="7"/>
      <c r="G8234" s="7"/>
      <c r="H8234" s="7">
        <f t="shared" si="1"/>
        <v>1029</v>
      </c>
    </row>
    <row r="8235" ht="22.5" customHeight="1">
      <c r="B8235" s="7"/>
      <c r="C8235" s="7"/>
      <c r="D8235" s="7"/>
      <c r="E8235" s="7"/>
      <c r="F8235" s="7"/>
      <c r="G8235" s="7"/>
      <c r="H8235" s="7">
        <f t="shared" si="1"/>
        <v>1029</v>
      </c>
    </row>
    <row r="8236" ht="22.5" customHeight="1">
      <c r="B8236" s="7"/>
      <c r="C8236" s="7"/>
      <c r="D8236" s="7"/>
      <c r="E8236" s="7"/>
      <c r="F8236" s="7"/>
      <c r="G8236" s="7"/>
      <c r="H8236" s="7">
        <f t="shared" si="1"/>
        <v>1029</v>
      </c>
    </row>
    <row r="8237" ht="22.5" customHeight="1">
      <c r="B8237" s="7"/>
      <c r="C8237" s="7"/>
      <c r="D8237" s="7"/>
      <c r="E8237" s="7"/>
      <c r="F8237" s="7"/>
      <c r="G8237" s="7"/>
      <c r="H8237" s="7">
        <f t="shared" si="1"/>
        <v>1029</v>
      </c>
    </row>
    <row r="8238" ht="22.5" customHeight="1">
      <c r="B8238" s="7"/>
      <c r="C8238" s="7"/>
      <c r="D8238" s="7"/>
      <c r="E8238" s="7"/>
      <c r="F8238" s="7"/>
      <c r="G8238" s="7"/>
      <c r="H8238" s="7">
        <f t="shared" si="1"/>
        <v>1029</v>
      </c>
    </row>
    <row r="8239" ht="22.5" customHeight="1">
      <c r="B8239" s="7"/>
      <c r="C8239" s="7"/>
      <c r="D8239" s="7"/>
      <c r="E8239" s="7"/>
      <c r="F8239" s="7"/>
      <c r="G8239" s="7"/>
      <c r="H8239" s="7">
        <f t="shared" si="1"/>
        <v>1029</v>
      </c>
    </row>
    <row r="8240" ht="22.5" customHeight="1">
      <c r="B8240" s="7"/>
      <c r="C8240" s="7"/>
      <c r="D8240" s="7"/>
      <c r="E8240" s="7"/>
      <c r="F8240" s="7"/>
      <c r="G8240" s="7"/>
      <c r="H8240" s="7">
        <f t="shared" si="1"/>
        <v>1029</v>
      </c>
    </row>
    <row r="8241" ht="22.5" customHeight="1">
      <c r="B8241" s="7"/>
      <c r="C8241" s="7"/>
      <c r="D8241" s="7"/>
      <c r="E8241" s="7"/>
      <c r="F8241" s="7"/>
      <c r="G8241" s="7"/>
      <c r="H8241" s="7">
        <f t="shared" si="1"/>
        <v>1029</v>
      </c>
    </row>
    <row r="8242" ht="22.5" customHeight="1">
      <c r="B8242" s="7"/>
      <c r="C8242" s="7"/>
      <c r="D8242" s="7"/>
      <c r="E8242" s="7"/>
      <c r="F8242" s="7"/>
      <c r="G8242" s="7"/>
      <c r="H8242" s="7">
        <f t="shared" si="1"/>
        <v>1029</v>
      </c>
    </row>
    <row r="8243" ht="22.5" customHeight="1">
      <c r="B8243" s="7"/>
      <c r="C8243" s="7"/>
      <c r="D8243" s="7"/>
      <c r="E8243" s="7"/>
      <c r="F8243" s="7"/>
      <c r="G8243" s="7"/>
      <c r="H8243" s="7">
        <f t="shared" si="1"/>
        <v>1029</v>
      </c>
    </row>
    <row r="8244" ht="22.5" customHeight="1">
      <c r="B8244" s="7"/>
      <c r="C8244" s="7"/>
      <c r="D8244" s="7"/>
      <c r="E8244" s="7"/>
      <c r="F8244" s="7"/>
      <c r="G8244" s="7"/>
      <c r="H8244" s="7">
        <f t="shared" si="1"/>
        <v>1029</v>
      </c>
    </row>
    <row r="8245" ht="22.5" customHeight="1">
      <c r="B8245" s="7"/>
      <c r="C8245" s="7"/>
      <c r="D8245" s="7"/>
      <c r="E8245" s="7"/>
      <c r="F8245" s="7"/>
      <c r="G8245" s="7"/>
      <c r="H8245" s="7">
        <f t="shared" si="1"/>
        <v>1029</v>
      </c>
    </row>
    <row r="8246" ht="22.5" customHeight="1">
      <c r="B8246" s="7"/>
      <c r="C8246" s="7"/>
      <c r="D8246" s="7"/>
      <c r="E8246" s="7"/>
      <c r="F8246" s="7"/>
      <c r="G8246" s="7"/>
      <c r="H8246" s="7">
        <f t="shared" si="1"/>
        <v>1029</v>
      </c>
    </row>
    <row r="8247" ht="22.5" customHeight="1">
      <c r="B8247" s="7"/>
      <c r="C8247" s="7"/>
      <c r="D8247" s="7"/>
      <c r="E8247" s="7"/>
      <c r="F8247" s="7"/>
      <c r="G8247" s="7"/>
      <c r="H8247" s="7">
        <f t="shared" si="1"/>
        <v>1029</v>
      </c>
    </row>
    <row r="8248" ht="22.5" customHeight="1">
      <c r="B8248" s="7"/>
      <c r="C8248" s="7"/>
      <c r="D8248" s="7"/>
      <c r="E8248" s="7"/>
      <c r="F8248" s="7"/>
      <c r="G8248" s="7"/>
      <c r="H8248" s="7">
        <f t="shared" si="1"/>
        <v>1029</v>
      </c>
    </row>
    <row r="8249" ht="22.5" customHeight="1">
      <c r="B8249" s="7"/>
      <c r="C8249" s="7"/>
      <c r="D8249" s="7"/>
      <c r="E8249" s="7"/>
      <c r="F8249" s="7"/>
      <c r="G8249" s="7"/>
      <c r="H8249" s="7">
        <f t="shared" si="1"/>
        <v>1029</v>
      </c>
    </row>
    <row r="8250" ht="22.5" customHeight="1">
      <c r="B8250" s="7"/>
      <c r="C8250" s="7"/>
      <c r="D8250" s="7"/>
      <c r="E8250" s="7"/>
      <c r="F8250" s="7"/>
      <c r="G8250" s="7"/>
      <c r="H8250" s="7">
        <f t="shared" si="1"/>
        <v>1029</v>
      </c>
    </row>
    <row r="8251" ht="22.5" customHeight="1">
      <c r="B8251" s="7"/>
      <c r="C8251" s="7"/>
      <c r="D8251" s="7"/>
      <c r="E8251" s="7"/>
      <c r="F8251" s="7"/>
      <c r="G8251" s="7"/>
      <c r="H8251" s="7">
        <f t="shared" si="1"/>
        <v>1029</v>
      </c>
    </row>
    <row r="8252" ht="22.5" customHeight="1">
      <c r="B8252" s="7"/>
      <c r="C8252" s="7"/>
      <c r="D8252" s="7"/>
      <c r="E8252" s="7"/>
      <c r="F8252" s="7"/>
      <c r="G8252" s="7"/>
      <c r="H8252" s="7">
        <f t="shared" si="1"/>
        <v>1029</v>
      </c>
    </row>
    <row r="8253" ht="22.5" customHeight="1">
      <c r="B8253" s="7"/>
      <c r="C8253" s="7"/>
      <c r="D8253" s="7"/>
      <c r="E8253" s="7"/>
      <c r="F8253" s="7"/>
      <c r="G8253" s="7"/>
      <c r="H8253" s="7">
        <f t="shared" si="1"/>
        <v>1029</v>
      </c>
    </row>
    <row r="8254" ht="22.5" customHeight="1">
      <c r="B8254" s="7"/>
      <c r="C8254" s="7"/>
      <c r="D8254" s="7"/>
      <c r="E8254" s="7"/>
      <c r="F8254" s="7"/>
      <c r="G8254" s="7"/>
      <c r="H8254" s="7">
        <f t="shared" si="1"/>
        <v>1029</v>
      </c>
    </row>
    <row r="8255" ht="22.5" customHeight="1">
      <c r="B8255" s="7"/>
      <c r="C8255" s="7"/>
      <c r="D8255" s="7"/>
      <c r="E8255" s="7"/>
      <c r="F8255" s="7"/>
      <c r="G8255" s="7"/>
      <c r="H8255" s="7">
        <f t="shared" si="1"/>
        <v>1029</v>
      </c>
    </row>
    <row r="8256" ht="22.5" customHeight="1">
      <c r="B8256" s="7"/>
      <c r="C8256" s="7"/>
      <c r="D8256" s="7"/>
      <c r="E8256" s="7"/>
      <c r="F8256" s="7"/>
      <c r="G8256" s="7"/>
      <c r="H8256" s="7">
        <f t="shared" si="1"/>
        <v>1029</v>
      </c>
    </row>
    <row r="8257" ht="22.5" customHeight="1">
      <c r="B8257" s="7"/>
      <c r="C8257" s="7"/>
      <c r="D8257" s="7"/>
      <c r="E8257" s="7"/>
      <c r="F8257" s="7"/>
      <c r="G8257" s="7"/>
      <c r="H8257" s="7">
        <f t="shared" si="1"/>
        <v>1029</v>
      </c>
    </row>
    <row r="8258" ht="22.5" customHeight="1">
      <c r="B8258" s="7"/>
      <c r="C8258" s="7"/>
      <c r="D8258" s="7"/>
      <c r="E8258" s="7"/>
      <c r="F8258" s="7"/>
      <c r="G8258" s="7"/>
      <c r="H8258" s="7">
        <f t="shared" si="1"/>
        <v>1029</v>
      </c>
    </row>
    <row r="8259" ht="22.5" customHeight="1">
      <c r="B8259" s="7"/>
      <c r="C8259" s="7"/>
      <c r="D8259" s="7"/>
      <c r="E8259" s="7"/>
      <c r="F8259" s="7"/>
      <c r="G8259" s="7"/>
      <c r="H8259" s="7">
        <f t="shared" si="1"/>
        <v>1029</v>
      </c>
    </row>
    <row r="8260" ht="22.5" customHeight="1">
      <c r="B8260" s="7"/>
      <c r="C8260" s="7"/>
      <c r="D8260" s="7"/>
      <c r="E8260" s="7"/>
      <c r="F8260" s="7"/>
      <c r="G8260" s="7"/>
      <c r="H8260" s="7">
        <f t="shared" si="1"/>
        <v>1029</v>
      </c>
    </row>
    <row r="8261" ht="22.5" customHeight="1">
      <c r="B8261" s="7"/>
      <c r="C8261" s="7"/>
      <c r="D8261" s="7"/>
      <c r="E8261" s="7"/>
      <c r="F8261" s="7"/>
      <c r="G8261" s="7"/>
      <c r="H8261" s="7">
        <f t="shared" si="1"/>
        <v>1029</v>
      </c>
    </row>
    <row r="8262" ht="22.5" customHeight="1">
      <c r="B8262" s="7"/>
      <c r="C8262" s="7"/>
      <c r="D8262" s="7"/>
      <c r="E8262" s="7"/>
      <c r="F8262" s="7"/>
      <c r="G8262" s="7"/>
      <c r="H8262" s="7">
        <f t="shared" si="1"/>
        <v>1029</v>
      </c>
    </row>
    <row r="8263" ht="22.5" customHeight="1">
      <c r="B8263" s="7"/>
      <c r="C8263" s="7"/>
      <c r="D8263" s="7"/>
      <c r="E8263" s="7"/>
      <c r="F8263" s="7"/>
      <c r="G8263" s="7"/>
      <c r="H8263" s="7">
        <f t="shared" si="1"/>
        <v>1029</v>
      </c>
    </row>
    <row r="8264" ht="22.5" customHeight="1">
      <c r="B8264" s="7"/>
      <c r="C8264" s="7"/>
      <c r="D8264" s="7"/>
      <c r="E8264" s="7"/>
      <c r="F8264" s="7"/>
      <c r="G8264" s="7"/>
      <c r="H8264" s="7">
        <f t="shared" si="1"/>
        <v>1029</v>
      </c>
    </row>
    <row r="8265" ht="22.5" customHeight="1">
      <c r="B8265" s="7"/>
      <c r="C8265" s="7"/>
      <c r="D8265" s="7"/>
      <c r="E8265" s="7"/>
      <c r="F8265" s="7"/>
      <c r="G8265" s="7"/>
      <c r="H8265" s="7">
        <f t="shared" si="1"/>
        <v>1029</v>
      </c>
    </row>
    <row r="8266" ht="22.5" customHeight="1">
      <c r="B8266" s="7"/>
      <c r="C8266" s="7"/>
      <c r="D8266" s="7"/>
      <c r="E8266" s="7"/>
      <c r="F8266" s="7"/>
      <c r="G8266" s="7"/>
      <c r="H8266" s="7">
        <f t="shared" si="1"/>
        <v>1029</v>
      </c>
    </row>
    <row r="8267" ht="22.5" customHeight="1">
      <c r="B8267" s="7"/>
      <c r="C8267" s="7"/>
      <c r="D8267" s="7"/>
      <c r="E8267" s="7"/>
      <c r="F8267" s="7"/>
      <c r="G8267" s="7"/>
      <c r="H8267" s="7">
        <f t="shared" si="1"/>
        <v>1029</v>
      </c>
    </row>
    <row r="8268" ht="22.5" customHeight="1">
      <c r="B8268" s="7"/>
      <c r="C8268" s="7"/>
      <c r="D8268" s="7"/>
      <c r="E8268" s="7"/>
      <c r="F8268" s="7"/>
      <c r="G8268" s="7"/>
      <c r="H8268" s="7">
        <f t="shared" si="1"/>
        <v>1029</v>
      </c>
    </row>
    <row r="8269" ht="22.5" customHeight="1">
      <c r="B8269" s="7"/>
      <c r="C8269" s="7"/>
      <c r="D8269" s="7"/>
      <c r="E8269" s="7"/>
      <c r="F8269" s="7"/>
      <c r="G8269" s="7"/>
      <c r="H8269" s="7">
        <f t="shared" si="1"/>
        <v>1029</v>
      </c>
    </row>
    <row r="8270" ht="22.5" customHeight="1">
      <c r="B8270" s="7"/>
      <c r="C8270" s="7"/>
      <c r="D8270" s="7"/>
      <c r="E8270" s="7"/>
      <c r="F8270" s="7"/>
      <c r="G8270" s="7"/>
      <c r="H8270" s="7">
        <f t="shared" si="1"/>
        <v>1029</v>
      </c>
    </row>
    <row r="8271" ht="22.5" customHeight="1">
      <c r="B8271" s="7"/>
      <c r="C8271" s="7"/>
      <c r="D8271" s="7"/>
      <c r="E8271" s="7"/>
      <c r="F8271" s="7"/>
      <c r="G8271" s="7"/>
      <c r="H8271" s="7">
        <f t="shared" si="1"/>
        <v>1029</v>
      </c>
    </row>
    <row r="8272" ht="22.5" customHeight="1">
      <c r="B8272" s="7"/>
      <c r="C8272" s="7"/>
      <c r="D8272" s="7"/>
      <c r="E8272" s="7"/>
      <c r="F8272" s="7"/>
      <c r="G8272" s="7"/>
      <c r="H8272" s="7">
        <f t="shared" si="1"/>
        <v>1029</v>
      </c>
    </row>
    <row r="8273" ht="22.5" customHeight="1">
      <c r="B8273" s="7"/>
      <c r="C8273" s="7"/>
      <c r="D8273" s="7"/>
      <c r="E8273" s="7"/>
      <c r="F8273" s="7"/>
      <c r="G8273" s="7"/>
      <c r="H8273" s="7">
        <f t="shared" si="1"/>
        <v>1029</v>
      </c>
    </row>
    <row r="8274" ht="22.5" customHeight="1">
      <c r="B8274" s="7"/>
      <c r="C8274" s="7"/>
      <c r="D8274" s="7"/>
      <c r="E8274" s="7"/>
      <c r="F8274" s="7"/>
      <c r="G8274" s="7"/>
      <c r="H8274" s="7">
        <f t="shared" si="1"/>
        <v>1029</v>
      </c>
    </row>
    <row r="8275" ht="22.5" customHeight="1">
      <c r="B8275" s="7"/>
      <c r="C8275" s="7"/>
      <c r="D8275" s="7"/>
      <c r="E8275" s="7"/>
      <c r="F8275" s="7"/>
      <c r="G8275" s="7"/>
      <c r="H8275" s="7">
        <f t="shared" si="1"/>
        <v>1029</v>
      </c>
    </row>
    <row r="8276" ht="22.5" customHeight="1">
      <c r="B8276" s="7"/>
      <c r="C8276" s="7"/>
      <c r="D8276" s="7"/>
      <c r="E8276" s="7"/>
      <c r="F8276" s="7"/>
      <c r="G8276" s="7"/>
      <c r="H8276" s="7">
        <f t="shared" si="1"/>
        <v>1029</v>
      </c>
    </row>
    <row r="8277" ht="22.5" customHeight="1">
      <c r="B8277" s="7"/>
      <c r="C8277" s="7"/>
      <c r="D8277" s="7"/>
      <c r="E8277" s="7"/>
      <c r="F8277" s="7"/>
      <c r="G8277" s="7"/>
      <c r="H8277" s="7">
        <f t="shared" si="1"/>
        <v>1029</v>
      </c>
    </row>
    <row r="8278" ht="22.5" customHeight="1">
      <c r="B8278" s="7"/>
      <c r="C8278" s="7"/>
      <c r="D8278" s="7"/>
      <c r="E8278" s="7"/>
      <c r="F8278" s="7"/>
      <c r="G8278" s="7"/>
      <c r="H8278" s="7">
        <f t="shared" si="1"/>
        <v>1029</v>
      </c>
    </row>
    <row r="8279" ht="22.5" customHeight="1">
      <c r="B8279" s="7"/>
      <c r="C8279" s="7"/>
      <c r="D8279" s="7"/>
      <c r="E8279" s="7"/>
      <c r="F8279" s="7"/>
      <c r="G8279" s="7"/>
      <c r="H8279" s="7">
        <f t="shared" si="1"/>
        <v>1029</v>
      </c>
    </row>
    <row r="8280" ht="22.5" customHeight="1">
      <c r="B8280" s="7"/>
      <c r="C8280" s="7"/>
      <c r="D8280" s="7"/>
      <c r="E8280" s="7"/>
      <c r="F8280" s="7"/>
      <c r="G8280" s="7"/>
      <c r="H8280" s="7">
        <f t="shared" si="1"/>
        <v>1029</v>
      </c>
    </row>
    <row r="8281" ht="22.5" customHeight="1">
      <c r="B8281" s="7"/>
      <c r="C8281" s="7"/>
      <c r="D8281" s="7"/>
      <c r="E8281" s="7"/>
      <c r="F8281" s="7"/>
      <c r="G8281" s="7"/>
      <c r="H8281" s="7">
        <f t="shared" si="1"/>
        <v>1029</v>
      </c>
    </row>
    <row r="8282" ht="22.5" customHeight="1">
      <c r="B8282" s="7"/>
      <c r="C8282" s="7"/>
      <c r="D8282" s="7"/>
      <c r="E8282" s="7"/>
      <c r="F8282" s="7"/>
      <c r="G8282" s="7"/>
      <c r="H8282" s="7">
        <f t="shared" si="1"/>
        <v>1029</v>
      </c>
    </row>
    <row r="8283" ht="22.5" customHeight="1">
      <c r="B8283" s="7"/>
      <c r="C8283" s="7"/>
      <c r="D8283" s="7"/>
      <c r="E8283" s="7"/>
      <c r="F8283" s="7"/>
      <c r="G8283" s="7"/>
      <c r="H8283" s="7">
        <f t="shared" si="1"/>
        <v>1029</v>
      </c>
    </row>
    <row r="8284" ht="22.5" customHeight="1">
      <c r="B8284" s="7"/>
      <c r="C8284" s="7"/>
      <c r="D8284" s="7"/>
      <c r="E8284" s="7"/>
      <c r="F8284" s="7"/>
      <c r="G8284" s="7"/>
      <c r="H8284" s="7">
        <f t="shared" si="1"/>
        <v>1029</v>
      </c>
    </row>
    <row r="8285" ht="22.5" customHeight="1">
      <c r="B8285" s="7"/>
      <c r="C8285" s="7"/>
      <c r="D8285" s="7"/>
      <c r="E8285" s="7"/>
      <c r="F8285" s="7"/>
      <c r="G8285" s="7"/>
      <c r="H8285" s="7">
        <f t="shared" si="1"/>
        <v>1029</v>
      </c>
    </row>
    <row r="8286" ht="22.5" customHeight="1">
      <c r="B8286" s="7"/>
      <c r="C8286" s="7"/>
      <c r="D8286" s="7"/>
      <c r="E8286" s="7"/>
      <c r="F8286" s="7"/>
      <c r="G8286" s="7"/>
      <c r="H8286" s="7">
        <f t="shared" si="1"/>
        <v>1029</v>
      </c>
    </row>
    <row r="8287" ht="22.5" customHeight="1">
      <c r="B8287" s="7"/>
      <c r="C8287" s="7"/>
      <c r="D8287" s="7"/>
      <c r="E8287" s="7"/>
      <c r="F8287" s="7"/>
      <c r="G8287" s="7"/>
      <c r="H8287" s="7">
        <f t="shared" si="1"/>
        <v>1029</v>
      </c>
    </row>
    <row r="8288" ht="22.5" customHeight="1">
      <c r="B8288" s="7"/>
      <c r="C8288" s="7"/>
      <c r="D8288" s="7"/>
      <c r="E8288" s="7"/>
      <c r="F8288" s="7"/>
      <c r="G8288" s="7"/>
      <c r="H8288" s="7">
        <f t="shared" si="1"/>
        <v>1029</v>
      </c>
    </row>
    <row r="8289" ht="22.5" customHeight="1">
      <c r="B8289" s="7"/>
      <c r="C8289" s="7"/>
      <c r="D8289" s="7"/>
      <c r="E8289" s="7"/>
      <c r="F8289" s="7"/>
      <c r="G8289" s="7"/>
      <c r="H8289" s="7">
        <f t="shared" si="1"/>
        <v>1029</v>
      </c>
    </row>
    <row r="8290" ht="22.5" customHeight="1">
      <c r="B8290" s="7"/>
      <c r="C8290" s="7"/>
      <c r="D8290" s="7"/>
      <c r="E8290" s="7"/>
      <c r="F8290" s="7"/>
      <c r="G8290" s="7"/>
      <c r="H8290" s="7">
        <f t="shared" si="1"/>
        <v>1029</v>
      </c>
    </row>
    <row r="8291" ht="22.5" customHeight="1">
      <c r="B8291" s="7"/>
      <c r="C8291" s="7"/>
      <c r="D8291" s="7"/>
      <c r="E8291" s="7"/>
      <c r="F8291" s="7"/>
      <c r="G8291" s="7"/>
      <c r="H8291" s="7">
        <f t="shared" si="1"/>
        <v>1029</v>
      </c>
    </row>
    <row r="8292" ht="22.5" customHeight="1">
      <c r="B8292" s="7"/>
      <c r="C8292" s="7"/>
      <c r="D8292" s="7"/>
      <c r="E8292" s="7"/>
      <c r="F8292" s="7"/>
      <c r="G8292" s="7"/>
      <c r="H8292" s="7">
        <f t="shared" si="1"/>
        <v>1029</v>
      </c>
    </row>
    <row r="8293" ht="22.5" customHeight="1">
      <c r="B8293" s="7"/>
      <c r="C8293" s="7"/>
      <c r="D8293" s="7"/>
      <c r="E8293" s="7"/>
      <c r="F8293" s="7"/>
      <c r="G8293" s="7"/>
      <c r="H8293" s="7">
        <f t="shared" si="1"/>
        <v>1029</v>
      </c>
    </row>
    <row r="8294" ht="22.5" customHeight="1">
      <c r="B8294" s="7"/>
      <c r="C8294" s="7"/>
      <c r="D8294" s="7"/>
      <c r="E8294" s="7"/>
      <c r="F8294" s="7"/>
      <c r="G8294" s="7"/>
      <c r="H8294" s="7">
        <f t="shared" si="1"/>
        <v>1029</v>
      </c>
    </row>
    <row r="8295" ht="22.5" customHeight="1">
      <c r="B8295" s="7"/>
      <c r="C8295" s="7"/>
      <c r="D8295" s="7"/>
      <c r="E8295" s="7"/>
      <c r="F8295" s="7"/>
      <c r="G8295" s="7"/>
      <c r="H8295" s="7">
        <f t="shared" si="1"/>
        <v>1029</v>
      </c>
    </row>
    <row r="8296" ht="22.5" customHeight="1">
      <c r="B8296" s="7"/>
      <c r="C8296" s="7"/>
      <c r="D8296" s="7"/>
      <c r="E8296" s="7"/>
      <c r="F8296" s="7"/>
      <c r="G8296" s="7"/>
      <c r="H8296" s="7">
        <f t="shared" si="1"/>
        <v>1029</v>
      </c>
    </row>
    <row r="8297" ht="22.5" customHeight="1">
      <c r="B8297" s="7"/>
      <c r="C8297" s="7"/>
      <c r="D8297" s="7"/>
      <c r="E8297" s="7"/>
      <c r="F8297" s="7"/>
      <c r="G8297" s="7"/>
      <c r="H8297" s="7">
        <f t="shared" si="1"/>
        <v>1029</v>
      </c>
    </row>
    <row r="8298" ht="22.5" customHeight="1">
      <c r="B8298" s="7"/>
      <c r="C8298" s="7"/>
      <c r="D8298" s="7"/>
      <c r="E8298" s="7"/>
      <c r="F8298" s="7"/>
      <c r="G8298" s="7"/>
      <c r="H8298" s="7">
        <f t="shared" si="1"/>
        <v>1029</v>
      </c>
    </row>
    <row r="8299" ht="22.5" customHeight="1">
      <c r="B8299" s="7"/>
      <c r="C8299" s="7"/>
      <c r="D8299" s="7"/>
      <c r="E8299" s="7"/>
      <c r="F8299" s="7"/>
      <c r="G8299" s="7"/>
      <c r="H8299" s="7">
        <f t="shared" si="1"/>
        <v>1029</v>
      </c>
    </row>
    <row r="8300" ht="22.5" customHeight="1">
      <c r="B8300" s="7"/>
      <c r="C8300" s="7"/>
      <c r="D8300" s="7"/>
      <c r="E8300" s="7"/>
      <c r="F8300" s="7"/>
      <c r="G8300" s="7"/>
      <c r="H8300" s="7">
        <f t="shared" si="1"/>
        <v>1029</v>
      </c>
    </row>
    <row r="8301" ht="22.5" customHeight="1">
      <c r="B8301" s="7"/>
      <c r="C8301" s="7"/>
      <c r="D8301" s="7"/>
      <c r="E8301" s="7"/>
      <c r="F8301" s="7"/>
      <c r="G8301" s="7"/>
      <c r="H8301" s="7">
        <f t="shared" si="1"/>
        <v>1029</v>
      </c>
    </row>
    <row r="8302" ht="22.5" customHeight="1">
      <c r="B8302" s="7"/>
      <c r="C8302" s="7"/>
      <c r="D8302" s="7"/>
      <c r="E8302" s="7"/>
      <c r="F8302" s="7"/>
      <c r="G8302" s="7"/>
      <c r="H8302" s="7">
        <f t="shared" si="1"/>
        <v>1029</v>
      </c>
    </row>
    <row r="8303" ht="22.5" customHeight="1">
      <c r="B8303" s="7"/>
      <c r="C8303" s="7"/>
      <c r="D8303" s="7"/>
      <c r="E8303" s="7"/>
      <c r="F8303" s="7"/>
      <c r="G8303" s="7"/>
      <c r="H8303" s="7">
        <f t="shared" si="1"/>
        <v>1029</v>
      </c>
    </row>
    <row r="8304" ht="22.5" customHeight="1">
      <c r="B8304" s="7"/>
      <c r="C8304" s="7"/>
      <c r="D8304" s="7"/>
      <c r="E8304" s="7"/>
      <c r="F8304" s="7"/>
      <c r="G8304" s="7"/>
      <c r="H8304" s="7">
        <f t="shared" si="1"/>
        <v>1029</v>
      </c>
    </row>
    <row r="8305" ht="22.5" customHeight="1">
      <c r="B8305" s="7"/>
      <c r="C8305" s="7"/>
      <c r="D8305" s="7"/>
      <c r="E8305" s="7"/>
      <c r="F8305" s="7"/>
      <c r="G8305" s="7"/>
      <c r="H8305" s="7">
        <f t="shared" si="1"/>
        <v>1029</v>
      </c>
    </row>
    <row r="8306" ht="22.5" customHeight="1">
      <c r="B8306" s="7"/>
      <c r="C8306" s="7"/>
      <c r="D8306" s="7"/>
      <c r="E8306" s="7"/>
      <c r="F8306" s="7"/>
      <c r="G8306" s="7"/>
      <c r="H8306" s="7">
        <f t="shared" si="1"/>
        <v>1029</v>
      </c>
    </row>
    <row r="8307" ht="22.5" customHeight="1">
      <c r="B8307" s="7"/>
      <c r="C8307" s="7"/>
      <c r="D8307" s="7"/>
      <c r="E8307" s="7"/>
      <c r="F8307" s="7"/>
      <c r="G8307" s="7"/>
      <c r="H8307" s="7">
        <f t="shared" si="1"/>
        <v>1029</v>
      </c>
    </row>
    <row r="8308" ht="22.5" customHeight="1">
      <c r="B8308" s="7"/>
      <c r="C8308" s="7"/>
      <c r="D8308" s="7"/>
      <c r="E8308" s="7"/>
      <c r="F8308" s="7"/>
      <c r="G8308" s="7"/>
      <c r="H8308" s="7">
        <f t="shared" si="1"/>
        <v>1029</v>
      </c>
    </row>
    <row r="8309" ht="22.5" customHeight="1">
      <c r="B8309" s="7"/>
      <c r="C8309" s="7"/>
      <c r="D8309" s="7"/>
      <c r="E8309" s="7"/>
      <c r="F8309" s="7"/>
      <c r="G8309" s="7"/>
      <c r="H8309" s="7">
        <f t="shared" si="1"/>
        <v>1029</v>
      </c>
    </row>
    <row r="8310" ht="22.5" customHeight="1">
      <c r="B8310" s="7"/>
      <c r="C8310" s="7"/>
      <c r="D8310" s="7"/>
      <c r="E8310" s="7"/>
      <c r="F8310" s="7"/>
      <c r="G8310" s="7"/>
      <c r="H8310" s="7">
        <f t="shared" si="1"/>
        <v>1029</v>
      </c>
    </row>
    <row r="8311" ht="22.5" customHeight="1">
      <c r="B8311" s="7"/>
      <c r="C8311" s="7"/>
      <c r="D8311" s="7"/>
      <c r="E8311" s="7"/>
      <c r="F8311" s="7"/>
      <c r="G8311" s="7"/>
      <c r="H8311" s="7">
        <f t="shared" si="1"/>
        <v>1029</v>
      </c>
    </row>
    <row r="8312" ht="22.5" customHeight="1">
      <c r="B8312" s="7"/>
      <c r="C8312" s="7"/>
      <c r="D8312" s="7"/>
      <c r="E8312" s="7"/>
      <c r="F8312" s="7"/>
      <c r="G8312" s="7"/>
      <c r="H8312" s="7">
        <f t="shared" si="1"/>
        <v>1029</v>
      </c>
    </row>
    <row r="8313" ht="22.5" customHeight="1">
      <c r="B8313" s="7"/>
      <c r="C8313" s="7"/>
      <c r="D8313" s="7"/>
      <c r="E8313" s="7"/>
      <c r="F8313" s="7"/>
      <c r="G8313" s="7"/>
      <c r="H8313" s="7">
        <f t="shared" si="1"/>
        <v>1029</v>
      </c>
    </row>
    <row r="8314" ht="22.5" customHeight="1">
      <c r="B8314" s="7"/>
      <c r="C8314" s="7"/>
      <c r="D8314" s="7"/>
      <c r="E8314" s="7"/>
      <c r="F8314" s="7"/>
      <c r="G8314" s="7"/>
      <c r="H8314" s="7">
        <f t="shared" si="1"/>
        <v>1029</v>
      </c>
    </row>
    <row r="8315" ht="22.5" customHeight="1">
      <c r="B8315" s="7"/>
      <c r="C8315" s="7"/>
      <c r="D8315" s="7"/>
      <c r="E8315" s="7"/>
      <c r="F8315" s="7"/>
      <c r="G8315" s="7"/>
      <c r="H8315" s="7">
        <f t="shared" si="1"/>
        <v>1029</v>
      </c>
    </row>
    <row r="8316" ht="22.5" customHeight="1">
      <c r="B8316" s="7"/>
      <c r="C8316" s="7"/>
      <c r="D8316" s="7"/>
      <c r="E8316" s="7"/>
      <c r="F8316" s="7"/>
      <c r="G8316" s="7"/>
      <c r="H8316" s="7">
        <f t="shared" si="1"/>
        <v>1029</v>
      </c>
    </row>
    <row r="8317" ht="22.5" customHeight="1">
      <c r="B8317" s="7"/>
      <c r="C8317" s="7"/>
      <c r="D8317" s="7"/>
      <c r="E8317" s="7"/>
      <c r="F8317" s="7"/>
      <c r="G8317" s="7"/>
      <c r="H8317" s="7">
        <f t="shared" si="1"/>
        <v>1029</v>
      </c>
    </row>
    <row r="8318" ht="22.5" customHeight="1">
      <c r="B8318" s="7"/>
      <c r="C8318" s="7"/>
      <c r="D8318" s="7"/>
      <c r="E8318" s="7"/>
      <c r="F8318" s="7"/>
      <c r="G8318" s="7"/>
      <c r="H8318" s="7">
        <f t="shared" si="1"/>
        <v>1029</v>
      </c>
    </row>
    <row r="8319" ht="22.5" customHeight="1">
      <c r="B8319" s="7"/>
      <c r="C8319" s="7"/>
      <c r="D8319" s="7"/>
      <c r="E8319" s="7"/>
      <c r="F8319" s="7"/>
      <c r="G8319" s="7"/>
      <c r="H8319" s="7">
        <f t="shared" si="1"/>
        <v>1029</v>
      </c>
    </row>
    <row r="8320" ht="22.5" customHeight="1">
      <c r="B8320" s="7"/>
      <c r="C8320" s="7"/>
      <c r="D8320" s="7"/>
      <c r="E8320" s="7"/>
      <c r="F8320" s="7"/>
      <c r="G8320" s="7"/>
      <c r="H8320" s="7">
        <f t="shared" si="1"/>
        <v>1029</v>
      </c>
    </row>
    <row r="8321" ht="22.5" customHeight="1">
      <c r="B8321" s="7"/>
      <c r="C8321" s="7"/>
      <c r="D8321" s="7"/>
      <c r="E8321" s="7"/>
      <c r="F8321" s="7"/>
      <c r="G8321" s="7"/>
      <c r="H8321" s="7">
        <f t="shared" si="1"/>
        <v>1029</v>
      </c>
    </row>
    <row r="8322" ht="22.5" customHeight="1">
      <c r="B8322" s="7"/>
      <c r="C8322" s="7"/>
      <c r="D8322" s="7"/>
      <c r="E8322" s="7"/>
      <c r="F8322" s="7"/>
      <c r="G8322" s="7"/>
      <c r="H8322" s="7">
        <f t="shared" si="1"/>
        <v>1029</v>
      </c>
    </row>
    <row r="8323" ht="22.5" customHeight="1">
      <c r="B8323" s="7"/>
      <c r="C8323" s="7"/>
      <c r="D8323" s="7"/>
      <c r="E8323" s="7"/>
      <c r="F8323" s="7"/>
      <c r="G8323" s="7"/>
      <c r="H8323" s="7">
        <f t="shared" si="1"/>
        <v>1029</v>
      </c>
    </row>
    <row r="8324" ht="22.5" customHeight="1">
      <c r="B8324" s="7"/>
      <c r="C8324" s="7"/>
      <c r="D8324" s="7"/>
      <c r="E8324" s="7"/>
      <c r="F8324" s="7"/>
      <c r="G8324" s="7"/>
      <c r="H8324" s="7">
        <f t="shared" si="1"/>
        <v>1029</v>
      </c>
    </row>
    <row r="8325" ht="22.5" customHeight="1">
      <c r="B8325" s="7"/>
      <c r="C8325" s="7"/>
      <c r="D8325" s="7"/>
      <c r="E8325" s="7"/>
      <c r="F8325" s="7"/>
      <c r="G8325" s="7"/>
      <c r="H8325" s="7">
        <f t="shared" si="1"/>
        <v>1029</v>
      </c>
    </row>
    <row r="8326" ht="22.5" customHeight="1">
      <c r="B8326" s="7"/>
      <c r="C8326" s="7"/>
      <c r="D8326" s="7"/>
      <c r="E8326" s="7"/>
      <c r="F8326" s="7"/>
      <c r="G8326" s="7"/>
      <c r="H8326" s="7">
        <f t="shared" si="1"/>
        <v>1029</v>
      </c>
    </row>
    <row r="8327" ht="22.5" customHeight="1">
      <c r="B8327" s="7"/>
      <c r="C8327" s="7"/>
      <c r="D8327" s="7"/>
      <c r="E8327" s="7"/>
      <c r="F8327" s="7"/>
      <c r="G8327" s="7"/>
      <c r="H8327" s="7">
        <f t="shared" si="1"/>
        <v>1029</v>
      </c>
    </row>
    <row r="8328" ht="22.5" customHeight="1">
      <c r="B8328" s="7"/>
      <c r="C8328" s="7"/>
      <c r="D8328" s="7"/>
      <c r="E8328" s="7"/>
      <c r="F8328" s="7"/>
      <c r="G8328" s="7"/>
      <c r="H8328" s="7">
        <f t="shared" si="1"/>
        <v>1029</v>
      </c>
    </row>
    <row r="8329" ht="22.5" customHeight="1">
      <c r="B8329" s="7"/>
      <c r="C8329" s="7"/>
      <c r="D8329" s="7"/>
      <c r="E8329" s="7"/>
      <c r="F8329" s="7"/>
      <c r="G8329" s="7"/>
      <c r="H8329" s="7">
        <f t="shared" si="1"/>
        <v>1029</v>
      </c>
    </row>
    <row r="8330" ht="22.5" customHeight="1">
      <c r="B8330" s="7"/>
      <c r="C8330" s="7"/>
      <c r="D8330" s="7"/>
      <c r="E8330" s="7"/>
      <c r="F8330" s="7"/>
      <c r="G8330" s="7"/>
      <c r="H8330" s="7">
        <f t="shared" si="1"/>
        <v>1029</v>
      </c>
    </row>
    <row r="8331" ht="22.5" customHeight="1">
      <c r="B8331" s="7"/>
      <c r="C8331" s="7"/>
      <c r="D8331" s="7"/>
      <c r="E8331" s="7"/>
      <c r="F8331" s="7"/>
      <c r="G8331" s="7"/>
      <c r="H8331" s="7">
        <f t="shared" si="1"/>
        <v>1029</v>
      </c>
    </row>
    <row r="8332" ht="22.5" customHeight="1">
      <c r="B8332" s="7"/>
      <c r="C8332" s="7"/>
      <c r="D8332" s="7"/>
      <c r="E8332" s="7"/>
      <c r="F8332" s="7"/>
      <c r="G8332" s="7"/>
      <c r="H8332" s="7">
        <f t="shared" si="1"/>
        <v>1029</v>
      </c>
    </row>
    <row r="8333" ht="22.5" customHeight="1">
      <c r="B8333" s="7"/>
      <c r="C8333" s="7"/>
      <c r="D8333" s="7"/>
      <c r="E8333" s="7"/>
      <c r="F8333" s="7"/>
      <c r="G8333" s="7"/>
      <c r="H8333" s="7">
        <f t="shared" si="1"/>
        <v>1029</v>
      </c>
    </row>
    <row r="8334" ht="22.5" customHeight="1">
      <c r="B8334" s="7"/>
      <c r="C8334" s="7"/>
      <c r="D8334" s="7"/>
      <c r="E8334" s="7"/>
      <c r="F8334" s="7"/>
      <c r="G8334" s="7"/>
      <c r="H8334" s="7">
        <f t="shared" si="1"/>
        <v>1029</v>
      </c>
    </row>
    <row r="8335" ht="22.5" customHeight="1">
      <c r="B8335" s="7"/>
      <c r="C8335" s="7"/>
      <c r="D8335" s="7"/>
      <c r="E8335" s="7"/>
      <c r="F8335" s="7"/>
      <c r="G8335" s="7"/>
      <c r="H8335" s="7">
        <f t="shared" si="1"/>
        <v>1029</v>
      </c>
    </row>
    <row r="8336" ht="22.5" customHeight="1">
      <c r="B8336" s="7"/>
      <c r="C8336" s="7"/>
      <c r="D8336" s="7"/>
      <c r="E8336" s="7"/>
      <c r="F8336" s="7"/>
      <c r="G8336" s="7"/>
      <c r="H8336" s="7">
        <f t="shared" si="1"/>
        <v>1029</v>
      </c>
    </row>
    <row r="8337" ht="22.5" customHeight="1">
      <c r="B8337" s="7"/>
      <c r="C8337" s="7"/>
      <c r="D8337" s="7"/>
      <c r="E8337" s="7"/>
      <c r="F8337" s="7"/>
      <c r="G8337" s="7"/>
      <c r="H8337" s="7">
        <f t="shared" si="1"/>
        <v>1029</v>
      </c>
    </row>
    <row r="8338" ht="22.5" customHeight="1">
      <c r="B8338" s="7"/>
      <c r="C8338" s="7"/>
      <c r="D8338" s="7"/>
      <c r="E8338" s="7"/>
      <c r="F8338" s="7"/>
      <c r="G8338" s="7"/>
      <c r="H8338" s="7">
        <f t="shared" si="1"/>
        <v>1029</v>
      </c>
    </row>
    <row r="8339" ht="22.5" customHeight="1">
      <c r="B8339" s="7"/>
      <c r="C8339" s="7"/>
      <c r="D8339" s="7"/>
      <c r="E8339" s="7"/>
      <c r="F8339" s="7"/>
      <c r="G8339" s="7"/>
      <c r="H8339" s="7">
        <f t="shared" si="1"/>
        <v>1029</v>
      </c>
    </row>
    <row r="8340" ht="22.5" customHeight="1">
      <c r="B8340" s="7"/>
      <c r="C8340" s="7"/>
      <c r="D8340" s="7"/>
      <c r="E8340" s="7"/>
      <c r="F8340" s="7"/>
      <c r="G8340" s="7"/>
      <c r="H8340" s="7">
        <f t="shared" si="1"/>
        <v>1029</v>
      </c>
    </row>
    <row r="8341" ht="22.5" customHeight="1">
      <c r="B8341" s="7"/>
      <c r="C8341" s="7"/>
      <c r="D8341" s="7"/>
      <c r="E8341" s="7"/>
      <c r="F8341" s="7"/>
      <c r="G8341" s="7"/>
      <c r="H8341" s="7">
        <f t="shared" si="1"/>
        <v>1029</v>
      </c>
    </row>
    <row r="8342" ht="22.5" customHeight="1">
      <c r="B8342" s="7"/>
      <c r="C8342" s="7"/>
      <c r="D8342" s="7"/>
      <c r="E8342" s="7"/>
      <c r="F8342" s="7"/>
      <c r="G8342" s="7"/>
      <c r="H8342" s="7">
        <f t="shared" si="1"/>
        <v>1029</v>
      </c>
    </row>
    <row r="8343" ht="22.5" customHeight="1">
      <c r="B8343" s="7"/>
      <c r="C8343" s="7"/>
      <c r="D8343" s="7"/>
      <c r="E8343" s="7"/>
      <c r="F8343" s="7"/>
      <c r="G8343" s="7"/>
      <c r="H8343" s="7">
        <f t="shared" si="1"/>
        <v>1029</v>
      </c>
    </row>
    <row r="8344" ht="22.5" customHeight="1">
      <c r="B8344" s="7"/>
      <c r="C8344" s="7"/>
      <c r="D8344" s="7"/>
      <c r="E8344" s="7"/>
      <c r="F8344" s="7"/>
      <c r="G8344" s="7"/>
      <c r="H8344" s="7">
        <f t="shared" si="1"/>
        <v>1029</v>
      </c>
    </row>
    <row r="8345" ht="22.5" customHeight="1">
      <c r="B8345" s="7"/>
      <c r="C8345" s="7"/>
      <c r="D8345" s="7"/>
      <c r="E8345" s="7"/>
      <c r="F8345" s="7"/>
      <c r="G8345" s="7"/>
      <c r="H8345" s="7">
        <f t="shared" si="1"/>
        <v>1029</v>
      </c>
    </row>
    <row r="8346" ht="22.5" customHeight="1">
      <c r="B8346" s="7"/>
      <c r="C8346" s="7"/>
      <c r="D8346" s="7"/>
      <c r="E8346" s="7"/>
      <c r="F8346" s="7"/>
      <c r="G8346" s="7"/>
      <c r="H8346" s="7">
        <f t="shared" si="1"/>
        <v>1029</v>
      </c>
    </row>
    <row r="8347" ht="22.5" customHeight="1">
      <c r="B8347" s="7"/>
      <c r="C8347" s="7"/>
      <c r="D8347" s="7"/>
      <c r="E8347" s="7"/>
      <c r="F8347" s="7"/>
      <c r="G8347" s="7"/>
      <c r="H8347" s="7">
        <f t="shared" si="1"/>
        <v>1029</v>
      </c>
    </row>
    <row r="8348" ht="22.5" customHeight="1">
      <c r="B8348" s="7"/>
      <c r="C8348" s="7"/>
      <c r="D8348" s="7"/>
      <c r="E8348" s="7"/>
      <c r="F8348" s="7"/>
      <c r="G8348" s="7"/>
      <c r="H8348" s="7">
        <f t="shared" si="1"/>
        <v>1029</v>
      </c>
    </row>
    <row r="8349" ht="22.5" customHeight="1">
      <c r="B8349" s="7"/>
      <c r="C8349" s="7"/>
      <c r="D8349" s="7"/>
      <c r="E8349" s="7"/>
      <c r="F8349" s="7"/>
      <c r="G8349" s="7"/>
      <c r="H8349" s="7">
        <f t="shared" si="1"/>
        <v>1029</v>
      </c>
    </row>
    <row r="8350" ht="22.5" customHeight="1">
      <c r="B8350" s="7"/>
      <c r="C8350" s="7"/>
      <c r="D8350" s="7"/>
      <c r="E8350" s="7"/>
      <c r="F8350" s="7"/>
      <c r="G8350" s="7"/>
      <c r="H8350" s="7">
        <f t="shared" si="1"/>
        <v>1029</v>
      </c>
    </row>
    <row r="8351" ht="22.5" customHeight="1">
      <c r="B8351" s="7"/>
      <c r="C8351" s="7"/>
      <c r="D8351" s="7"/>
      <c r="E8351" s="7"/>
      <c r="F8351" s="7"/>
      <c r="G8351" s="7"/>
      <c r="H8351" s="7">
        <f t="shared" si="1"/>
        <v>1029</v>
      </c>
    </row>
    <row r="8352" ht="22.5" customHeight="1">
      <c r="B8352" s="7"/>
      <c r="C8352" s="7"/>
      <c r="D8352" s="7"/>
      <c r="E8352" s="7"/>
      <c r="F8352" s="7"/>
      <c r="G8352" s="7"/>
      <c r="H8352" s="7">
        <f t="shared" si="1"/>
        <v>1029</v>
      </c>
    </row>
    <row r="8353" ht="22.5" customHeight="1">
      <c r="B8353" s="7"/>
      <c r="C8353" s="7"/>
      <c r="D8353" s="7"/>
      <c r="E8353" s="7"/>
      <c r="F8353" s="7"/>
      <c r="G8353" s="7"/>
      <c r="H8353" s="7">
        <f t="shared" si="1"/>
        <v>1029</v>
      </c>
    </row>
    <row r="8354" ht="22.5" customHeight="1">
      <c r="B8354" s="7"/>
      <c r="C8354" s="7"/>
      <c r="D8354" s="7"/>
      <c r="E8354" s="7"/>
      <c r="F8354" s="7"/>
      <c r="G8354" s="7"/>
      <c r="H8354" s="7">
        <f t="shared" si="1"/>
        <v>1029</v>
      </c>
    </row>
    <row r="8355" ht="22.5" customHeight="1">
      <c r="B8355" s="7"/>
      <c r="C8355" s="7"/>
      <c r="D8355" s="7"/>
      <c r="E8355" s="7"/>
      <c r="F8355" s="7"/>
      <c r="G8355" s="7"/>
      <c r="H8355" s="7">
        <f t="shared" si="1"/>
        <v>1029</v>
      </c>
    </row>
    <row r="8356" ht="22.5" customHeight="1">
      <c r="B8356" s="7"/>
      <c r="C8356" s="7"/>
      <c r="D8356" s="7"/>
      <c r="E8356" s="7"/>
      <c r="F8356" s="7"/>
      <c r="G8356" s="7"/>
      <c r="H8356" s="7">
        <f t="shared" si="1"/>
        <v>1029</v>
      </c>
    </row>
    <row r="8357" ht="22.5" customHeight="1">
      <c r="B8357" s="7"/>
      <c r="C8357" s="7"/>
      <c r="D8357" s="7"/>
      <c r="E8357" s="7"/>
      <c r="F8357" s="7"/>
      <c r="G8357" s="7"/>
      <c r="H8357" s="7">
        <f t="shared" si="1"/>
        <v>1029</v>
      </c>
    </row>
    <row r="8358" ht="22.5" customHeight="1">
      <c r="B8358" s="7"/>
      <c r="C8358" s="7"/>
      <c r="D8358" s="7"/>
      <c r="E8358" s="7"/>
      <c r="F8358" s="7"/>
      <c r="G8358" s="7"/>
      <c r="H8358" s="7">
        <f t="shared" si="1"/>
        <v>1029</v>
      </c>
    </row>
    <row r="8359" ht="22.5" customHeight="1">
      <c r="B8359" s="7"/>
      <c r="C8359" s="7"/>
      <c r="D8359" s="7"/>
      <c r="E8359" s="7"/>
      <c r="F8359" s="7"/>
      <c r="G8359" s="7"/>
      <c r="H8359" s="7">
        <f t="shared" si="1"/>
        <v>1029</v>
      </c>
    </row>
    <row r="8360" ht="22.5" customHeight="1">
      <c r="B8360" s="7"/>
      <c r="C8360" s="7"/>
      <c r="D8360" s="7"/>
      <c r="E8360" s="7"/>
      <c r="F8360" s="7"/>
      <c r="G8360" s="7"/>
      <c r="H8360" s="7">
        <f t="shared" si="1"/>
        <v>1029</v>
      </c>
    </row>
    <row r="8361" ht="22.5" customHeight="1">
      <c r="B8361" s="7"/>
      <c r="C8361" s="7"/>
      <c r="D8361" s="7"/>
      <c r="E8361" s="7"/>
      <c r="F8361" s="7"/>
      <c r="G8361" s="7"/>
      <c r="H8361" s="7">
        <f t="shared" si="1"/>
        <v>1029</v>
      </c>
    </row>
    <row r="8362" ht="22.5" customHeight="1">
      <c r="B8362" s="7"/>
      <c r="C8362" s="7"/>
      <c r="D8362" s="7"/>
      <c r="E8362" s="7"/>
      <c r="F8362" s="7"/>
      <c r="G8362" s="7"/>
      <c r="H8362" s="7">
        <f t="shared" si="1"/>
        <v>1029</v>
      </c>
    </row>
    <row r="8363" ht="22.5" customHeight="1">
      <c r="B8363" s="7"/>
      <c r="C8363" s="7"/>
      <c r="D8363" s="7"/>
      <c r="E8363" s="7"/>
      <c r="F8363" s="7"/>
      <c r="G8363" s="7"/>
      <c r="H8363" s="7">
        <f t="shared" si="1"/>
        <v>1029</v>
      </c>
    </row>
    <row r="8364" ht="22.5" customHeight="1">
      <c r="B8364" s="7"/>
      <c r="C8364" s="7"/>
      <c r="D8364" s="7"/>
      <c r="E8364" s="7"/>
      <c r="F8364" s="7"/>
      <c r="G8364" s="7"/>
      <c r="H8364" s="7">
        <f t="shared" si="1"/>
        <v>1029</v>
      </c>
    </row>
    <row r="8365" ht="22.5" customHeight="1">
      <c r="B8365" s="7"/>
      <c r="C8365" s="7"/>
      <c r="D8365" s="7"/>
      <c r="E8365" s="7"/>
      <c r="F8365" s="7"/>
      <c r="G8365" s="7"/>
      <c r="H8365" s="7">
        <f t="shared" si="1"/>
        <v>1029</v>
      </c>
    </row>
    <row r="8366" ht="22.5" customHeight="1">
      <c r="B8366" s="7"/>
      <c r="C8366" s="7"/>
      <c r="D8366" s="7"/>
      <c r="E8366" s="7"/>
      <c r="F8366" s="7"/>
      <c r="G8366" s="7"/>
      <c r="H8366" s="7">
        <f t="shared" si="1"/>
        <v>1029</v>
      </c>
    </row>
    <row r="8367" ht="22.5" customHeight="1">
      <c r="B8367" s="7"/>
      <c r="C8367" s="7"/>
      <c r="D8367" s="7"/>
      <c r="E8367" s="7"/>
      <c r="F8367" s="7"/>
      <c r="G8367" s="7"/>
      <c r="H8367" s="7">
        <f t="shared" si="1"/>
        <v>1029</v>
      </c>
    </row>
    <row r="8368" ht="22.5" customHeight="1">
      <c r="B8368" s="7"/>
      <c r="C8368" s="7"/>
      <c r="D8368" s="7"/>
      <c r="E8368" s="7"/>
      <c r="F8368" s="7"/>
      <c r="G8368" s="7"/>
      <c r="H8368" s="7">
        <f t="shared" si="1"/>
        <v>1029</v>
      </c>
    </row>
    <row r="8369" ht="22.5" customHeight="1">
      <c r="B8369" s="7"/>
      <c r="C8369" s="7"/>
      <c r="D8369" s="7"/>
      <c r="E8369" s="7"/>
      <c r="F8369" s="7"/>
      <c r="G8369" s="7"/>
      <c r="H8369" s="7">
        <f t="shared" si="1"/>
        <v>1029</v>
      </c>
    </row>
    <row r="8370" ht="22.5" customHeight="1">
      <c r="B8370" s="7"/>
      <c r="C8370" s="7"/>
      <c r="D8370" s="7"/>
      <c r="E8370" s="7"/>
      <c r="F8370" s="7"/>
      <c r="G8370" s="7"/>
      <c r="H8370" s="7">
        <f t="shared" si="1"/>
        <v>1029</v>
      </c>
    </row>
    <row r="8371" ht="22.5" customHeight="1">
      <c r="B8371" s="7"/>
      <c r="C8371" s="7"/>
      <c r="D8371" s="7"/>
      <c r="E8371" s="7"/>
      <c r="F8371" s="7"/>
      <c r="G8371" s="7"/>
      <c r="H8371" s="7">
        <f t="shared" si="1"/>
        <v>1029</v>
      </c>
    </row>
    <row r="8372" ht="22.5" customHeight="1">
      <c r="B8372" s="7"/>
      <c r="C8372" s="7"/>
      <c r="D8372" s="7"/>
      <c r="E8372" s="7"/>
      <c r="F8372" s="7"/>
      <c r="G8372" s="7"/>
      <c r="H8372" s="7">
        <f t="shared" si="1"/>
        <v>1029</v>
      </c>
    </row>
    <row r="8373" ht="22.5" customHeight="1">
      <c r="B8373" s="7"/>
      <c r="C8373" s="7"/>
      <c r="D8373" s="7"/>
      <c r="E8373" s="7"/>
      <c r="F8373" s="7"/>
      <c r="G8373" s="7"/>
      <c r="H8373" s="7">
        <f t="shared" si="1"/>
        <v>1029</v>
      </c>
    </row>
    <row r="8374" ht="22.5" customHeight="1">
      <c r="B8374" s="7"/>
      <c r="C8374" s="7"/>
      <c r="D8374" s="7"/>
      <c r="E8374" s="7"/>
      <c r="F8374" s="7"/>
      <c r="G8374" s="7"/>
      <c r="H8374" s="7">
        <f t="shared" si="1"/>
        <v>1029</v>
      </c>
    </row>
    <row r="8375" ht="22.5" customHeight="1">
      <c r="B8375" s="7"/>
      <c r="C8375" s="7"/>
      <c r="D8375" s="7"/>
      <c r="E8375" s="7"/>
      <c r="F8375" s="7"/>
      <c r="G8375" s="7"/>
      <c r="H8375" s="7">
        <f t="shared" si="1"/>
        <v>1029</v>
      </c>
    </row>
    <row r="8376" ht="22.5" customHeight="1">
      <c r="B8376" s="7"/>
      <c r="C8376" s="7"/>
      <c r="D8376" s="7"/>
      <c r="E8376" s="7"/>
      <c r="F8376" s="7"/>
      <c r="G8376" s="7"/>
      <c r="H8376" s="7">
        <f t="shared" si="1"/>
        <v>1029</v>
      </c>
    </row>
    <row r="8377" ht="22.5" customHeight="1">
      <c r="B8377" s="7"/>
      <c r="C8377" s="7"/>
      <c r="D8377" s="7"/>
      <c r="E8377" s="7"/>
      <c r="F8377" s="7"/>
      <c r="G8377" s="7"/>
      <c r="H8377" s="7">
        <f t="shared" si="1"/>
        <v>1029</v>
      </c>
    </row>
    <row r="8378" ht="22.5" customHeight="1">
      <c r="B8378" s="7"/>
      <c r="C8378" s="7"/>
      <c r="D8378" s="7"/>
      <c r="E8378" s="7"/>
      <c r="F8378" s="7"/>
      <c r="G8378" s="7"/>
      <c r="H8378" s="7">
        <f t="shared" si="1"/>
        <v>1029</v>
      </c>
    </row>
    <row r="8379" ht="22.5" customHeight="1">
      <c r="B8379" s="7"/>
      <c r="C8379" s="7"/>
      <c r="D8379" s="7"/>
      <c r="E8379" s="7"/>
      <c r="F8379" s="7"/>
      <c r="G8379" s="7"/>
      <c r="H8379" s="7">
        <f t="shared" si="1"/>
        <v>1029</v>
      </c>
    </row>
    <row r="8380" ht="22.5" customHeight="1">
      <c r="B8380" s="7"/>
      <c r="C8380" s="7"/>
      <c r="D8380" s="7"/>
      <c r="E8380" s="7"/>
      <c r="F8380" s="7"/>
      <c r="G8380" s="7"/>
      <c r="H8380" s="7">
        <f t="shared" si="1"/>
        <v>1029</v>
      </c>
    </row>
    <row r="8381" ht="22.5" customHeight="1">
      <c r="B8381" s="7"/>
      <c r="C8381" s="7"/>
      <c r="D8381" s="7"/>
      <c r="E8381" s="7"/>
      <c r="F8381" s="7"/>
      <c r="G8381" s="7"/>
      <c r="H8381" s="7">
        <f t="shared" si="1"/>
        <v>1029</v>
      </c>
    </row>
    <row r="8382" ht="22.5" customHeight="1">
      <c r="B8382" s="7"/>
      <c r="C8382" s="7"/>
      <c r="D8382" s="7"/>
      <c r="E8382" s="7"/>
      <c r="F8382" s="7"/>
      <c r="G8382" s="7"/>
      <c r="H8382" s="7">
        <f t="shared" si="1"/>
        <v>1029</v>
      </c>
    </row>
    <row r="8383" ht="22.5" customHeight="1">
      <c r="B8383" s="7"/>
      <c r="C8383" s="7"/>
      <c r="D8383" s="7"/>
      <c r="E8383" s="7"/>
      <c r="F8383" s="7"/>
      <c r="G8383" s="7"/>
      <c r="H8383" s="7">
        <f t="shared" si="1"/>
        <v>1029</v>
      </c>
    </row>
    <row r="8384" ht="22.5" customHeight="1">
      <c r="B8384" s="7"/>
      <c r="C8384" s="7"/>
      <c r="D8384" s="7"/>
      <c r="E8384" s="7"/>
      <c r="F8384" s="7"/>
      <c r="G8384" s="7"/>
      <c r="H8384" s="7">
        <f t="shared" si="1"/>
        <v>1029</v>
      </c>
    </row>
    <row r="8385" ht="22.5" customHeight="1">
      <c r="B8385" s="7"/>
      <c r="C8385" s="7"/>
      <c r="D8385" s="7"/>
      <c r="E8385" s="7"/>
      <c r="F8385" s="7"/>
      <c r="G8385" s="7"/>
      <c r="H8385" s="7">
        <f t="shared" si="1"/>
        <v>1029</v>
      </c>
    </row>
    <row r="8386" ht="22.5" customHeight="1">
      <c r="B8386" s="7"/>
      <c r="C8386" s="7"/>
      <c r="D8386" s="7"/>
      <c r="E8386" s="7"/>
      <c r="F8386" s="7"/>
      <c r="G8386" s="7"/>
      <c r="H8386" s="7">
        <f t="shared" si="1"/>
        <v>1029</v>
      </c>
    </row>
    <row r="8387" ht="22.5" customHeight="1">
      <c r="B8387" s="7"/>
      <c r="C8387" s="7"/>
      <c r="D8387" s="7"/>
      <c r="E8387" s="7"/>
      <c r="F8387" s="7"/>
      <c r="G8387" s="7"/>
      <c r="H8387" s="7">
        <f t="shared" si="1"/>
        <v>1029</v>
      </c>
    </row>
    <row r="8388" ht="22.5" customHeight="1">
      <c r="B8388" s="7"/>
      <c r="C8388" s="7"/>
      <c r="D8388" s="7"/>
      <c r="E8388" s="7"/>
      <c r="F8388" s="7"/>
      <c r="G8388" s="7"/>
      <c r="H8388" s="7">
        <f t="shared" si="1"/>
        <v>1029</v>
      </c>
    </row>
    <row r="8389" ht="22.5" customHeight="1">
      <c r="B8389" s="7"/>
      <c r="C8389" s="7"/>
      <c r="D8389" s="7"/>
      <c r="E8389" s="7"/>
      <c r="F8389" s="7"/>
      <c r="G8389" s="7"/>
      <c r="H8389" s="7">
        <f t="shared" si="1"/>
        <v>1029</v>
      </c>
    </row>
    <row r="8390" ht="22.5" customHeight="1">
      <c r="B8390" s="7"/>
      <c r="C8390" s="7"/>
      <c r="D8390" s="7"/>
      <c r="E8390" s="7"/>
      <c r="F8390" s="7"/>
      <c r="G8390" s="7"/>
      <c r="H8390" s="7">
        <f t="shared" si="1"/>
        <v>1029</v>
      </c>
    </row>
    <row r="8391" ht="22.5" customHeight="1">
      <c r="B8391" s="7"/>
      <c r="C8391" s="7"/>
      <c r="D8391" s="7"/>
      <c r="E8391" s="7"/>
      <c r="F8391" s="7"/>
      <c r="G8391" s="7"/>
      <c r="H8391" s="7">
        <f t="shared" si="1"/>
        <v>1029</v>
      </c>
    </row>
    <row r="8392" ht="22.5" customHeight="1">
      <c r="B8392" s="7"/>
      <c r="C8392" s="7"/>
      <c r="D8392" s="7"/>
      <c r="E8392" s="7"/>
      <c r="F8392" s="7"/>
      <c r="G8392" s="7"/>
      <c r="H8392" s="7">
        <f t="shared" si="1"/>
        <v>1029</v>
      </c>
    </row>
    <row r="8393" ht="22.5" customHeight="1">
      <c r="B8393" s="7"/>
      <c r="C8393" s="7"/>
      <c r="D8393" s="7"/>
      <c r="E8393" s="7"/>
      <c r="F8393" s="7"/>
      <c r="G8393" s="7"/>
      <c r="H8393" s="7">
        <f t="shared" si="1"/>
        <v>1029</v>
      </c>
    </row>
    <row r="8394" ht="22.5" customHeight="1">
      <c r="B8394" s="7"/>
      <c r="C8394" s="7"/>
      <c r="D8394" s="7"/>
      <c r="E8394" s="7"/>
      <c r="F8394" s="7"/>
      <c r="G8394" s="7"/>
      <c r="H8394" s="7">
        <f t="shared" si="1"/>
        <v>1029</v>
      </c>
    </row>
    <row r="8395" ht="22.5" customHeight="1">
      <c r="B8395" s="7"/>
      <c r="C8395" s="7"/>
      <c r="D8395" s="7"/>
      <c r="E8395" s="7"/>
      <c r="F8395" s="7"/>
      <c r="G8395" s="7"/>
      <c r="H8395" s="7">
        <f t="shared" si="1"/>
        <v>1029</v>
      </c>
    </row>
    <row r="8396" ht="22.5" customHeight="1">
      <c r="B8396" s="7"/>
      <c r="C8396" s="7"/>
      <c r="D8396" s="7"/>
      <c r="E8396" s="7"/>
      <c r="F8396" s="7"/>
      <c r="G8396" s="7"/>
      <c r="H8396" s="7">
        <f t="shared" si="1"/>
        <v>1029</v>
      </c>
    </row>
    <row r="8397" ht="22.5" customHeight="1">
      <c r="B8397" s="7"/>
      <c r="C8397" s="7"/>
      <c r="D8397" s="7"/>
      <c r="E8397" s="7"/>
      <c r="F8397" s="7"/>
      <c r="G8397" s="7"/>
      <c r="H8397" s="7">
        <f t="shared" si="1"/>
        <v>1029</v>
      </c>
    </row>
    <row r="8398" ht="22.5" customHeight="1">
      <c r="B8398" s="7"/>
      <c r="C8398" s="7"/>
      <c r="D8398" s="7"/>
      <c r="E8398" s="7"/>
      <c r="F8398" s="7"/>
      <c r="G8398" s="7"/>
      <c r="H8398" s="7">
        <f t="shared" si="1"/>
        <v>1029</v>
      </c>
    </row>
    <row r="8399" ht="22.5" customHeight="1">
      <c r="B8399" s="7"/>
      <c r="C8399" s="7"/>
      <c r="D8399" s="7"/>
      <c r="E8399" s="7"/>
      <c r="F8399" s="7"/>
      <c r="G8399" s="7"/>
      <c r="H8399" s="7">
        <f t="shared" si="1"/>
        <v>1029</v>
      </c>
    </row>
    <row r="8400" ht="22.5" customHeight="1">
      <c r="B8400" s="7"/>
      <c r="C8400" s="7"/>
      <c r="D8400" s="7"/>
      <c r="E8400" s="7"/>
      <c r="F8400" s="7"/>
      <c r="G8400" s="7"/>
      <c r="H8400" s="7">
        <f t="shared" si="1"/>
        <v>1029</v>
      </c>
    </row>
    <row r="8401" ht="22.5" customHeight="1">
      <c r="B8401" s="7"/>
      <c r="C8401" s="7"/>
      <c r="D8401" s="7"/>
      <c r="E8401" s="7"/>
      <c r="F8401" s="7"/>
      <c r="G8401" s="7"/>
      <c r="H8401" s="7">
        <f t="shared" si="1"/>
        <v>1029</v>
      </c>
    </row>
    <row r="8402" ht="22.5" customHeight="1">
      <c r="B8402" s="7"/>
      <c r="C8402" s="7"/>
      <c r="D8402" s="7"/>
      <c r="E8402" s="7"/>
      <c r="F8402" s="7"/>
      <c r="G8402" s="7"/>
      <c r="H8402" s="7">
        <f t="shared" si="1"/>
        <v>1029</v>
      </c>
    </row>
    <row r="8403" ht="22.5" customHeight="1">
      <c r="B8403" s="7"/>
      <c r="C8403" s="7"/>
      <c r="D8403" s="7"/>
      <c r="E8403" s="7"/>
      <c r="F8403" s="7"/>
      <c r="G8403" s="7"/>
      <c r="H8403" s="7">
        <f t="shared" si="1"/>
        <v>1029</v>
      </c>
    </row>
    <row r="8404" ht="22.5" customHeight="1">
      <c r="B8404" s="7"/>
      <c r="C8404" s="7"/>
      <c r="D8404" s="7"/>
      <c r="E8404" s="7"/>
      <c r="F8404" s="7"/>
      <c r="G8404" s="7"/>
      <c r="H8404" s="7">
        <f t="shared" si="1"/>
        <v>1029</v>
      </c>
    </row>
    <row r="8405" ht="22.5" customHeight="1">
      <c r="B8405" s="7"/>
      <c r="C8405" s="7"/>
      <c r="D8405" s="7"/>
      <c r="E8405" s="7"/>
      <c r="F8405" s="7"/>
      <c r="G8405" s="7"/>
      <c r="H8405" s="7">
        <f t="shared" si="1"/>
        <v>1029</v>
      </c>
    </row>
    <row r="8406" ht="22.5" customHeight="1">
      <c r="B8406" s="7"/>
      <c r="C8406" s="7"/>
      <c r="D8406" s="7"/>
      <c r="E8406" s="7"/>
      <c r="F8406" s="7"/>
      <c r="G8406" s="7"/>
      <c r="H8406" s="7">
        <f t="shared" si="1"/>
        <v>1029</v>
      </c>
    </row>
    <row r="8407" ht="22.5" customHeight="1">
      <c r="B8407" s="7"/>
      <c r="C8407" s="7"/>
      <c r="D8407" s="7"/>
      <c r="E8407" s="7"/>
      <c r="F8407" s="7"/>
      <c r="G8407" s="7"/>
      <c r="H8407" s="7">
        <f t="shared" si="1"/>
        <v>1029</v>
      </c>
    </row>
    <row r="8408" ht="22.5" customHeight="1">
      <c r="B8408" s="7"/>
      <c r="C8408" s="7"/>
      <c r="D8408" s="7"/>
      <c r="E8408" s="7"/>
      <c r="F8408" s="7"/>
      <c r="G8408" s="7"/>
      <c r="H8408" s="7">
        <f t="shared" si="1"/>
        <v>1029</v>
      </c>
    </row>
    <row r="8409" ht="22.5" customHeight="1">
      <c r="B8409" s="7"/>
      <c r="C8409" s="7"/>
      <c r="D8409" s="7"/>
      <c r="E8409" s="7"/>
      <c r="F8409" s="7"/>
      <c r="G8409" s="7"/>
      <c r="H8409" s="7">
        <f t="shared" si="1"/>
        <v>1029</v>
      </c>
    </row>
    <row r="8410" ht="22.5" customHeight="1">
      <c r="B8410" s="7"/>
      <c r="C8410" s="7"/>
      <c r="D8410" s="7"/>
      <c r="E8410" s="7"/>
      <c r="F8410" s="7"/>
      <c r="G8410" s="7"/>
      <c r="H8410" s="7">
        <f t="shared" si="1"/>
        <v>1029</v>
      </c>
    </row>
    <row r="8411" ht="22.5" customHeight="1">
      <c r="B8411" s="7"/>
      <c r="C8411" s="7"/>
      <c r="D8411" s="7"/>
      <c r="E8411" s="7"/>
      <c r="F8411" s="7"/>
      <c r="G8411" s="7"/>
      <c r="H8411" s="7">
        <f t="shared" si="1"/>
        <v>1029</v>
      </c>
    </row>
    <row r="8412" ht="22.5" customHeight="1">
      <c r="B8412" s="7"/>
      <c r="C8412" s="7"/>
      <c r="D8412" s="7"/>
      <c r="E8412" s="7"/>
      <c r="F8412" s="7"/>
      <c r="G8412" s="7"/>
      <c r="H8412" s="7">
        <f t="shared" si="1"/>
        <v>1029</v>
      </c>
    </row>
    <row r="8413" ht="22.5" customHeight="1">
      <c r="B8413" s="7"/>
      <c r="C8413" s="7"/>
      <c r="D8413" s="7"/>
      <c r="E8413" s="7"/>
      <c r="F8413" s="7"/>
      <c r="G8413" s="7"/>
      <c r="H8413" s="7">
        <f t="shared" si="1"/>
        <v>1029</v>
      </c>
    </row>
    <row r="8414" ht="22.5" customHeight="1">
      <c r="B8414" s="7"/>
      <c r="C8414" s="7"/>
      <c r="D8414" s="7"/>
      <c r="E8414" s="7"/>
      <c r="F8414" s="7"/>
      <c r="G8414" s="7"/>
      <c r="H8414" s="7">
        <f t="shared" si="1"/>
        <v>1029</v>
      </c>
    </row>
    <row r="8415" ht="22.5" customHeight="1">
      <c r="B8415" s="7"/>
      <c r="C8415" s="7"/>
      <c r="D8415" s="7"/>
      <c r="E8415" s="7"/>
      <c r="F8415" s="7"/>
      <c r="G8415" s="7"/>
      <c r="H8415" s="7">
        <f t="shared" si="1"/>
        <v>1029</v>
      </c>
    </row>
    <row r="8416" ht="22.5" customHeight="1">
      <c r="B8416" s="7"/>
      <c r="C8416" s="7"/>
      <c r="D8416" s="7"/>
      <c r="E8416" s="7"/>
      <c r="F8416" s="7"/>
      <c r="G8416" s="7"/>
      <c r="H8416" s="7">
        <f t="shared" si="1"/>
        <v>1029</v>
      </c>
    </row>
    <row r="8417" ht="22.5" customHeight="1">
      <c r="B8417" s="7"/>
      <c r="C8417" s="7"/>
      <c r="D8417" s="7"/>
      <c r="E8417" s="7"/>
      <c r="F8417" s="7"/>
      <c r="G8417" s="7"/>
      <c r="H8417" s="7">
        <f t="shared" si="1"/>
        <v>1029</v>
      </c>
    </row>
    <row r="8418" ht="22.5" customHeight="1">
      <c r="B8418" s="7"/>
      <c r="C8418" s="7"/>
      <c r="D8418" s="7"/>
      <c r="E8418" s="7"/>
      <c r="F8418" s="7"/>
      <c r="G8418" s="7"/>
      <c r="H8418" s="7">
        <f t="shared" si="1"/>
        <v>1029</v>
      </c>
    </row>
    <row r="8419" ht="22.5" customHeight="1">
      <c r="B8419" s="7"/>
      <c r="C8419" s="7"/>
      <c r="D8419" s="7"/>
      <c r="E8419" s="7"/>
      <c r="F8419" s="7"/>
      <c r="G8419" s="7"/>
      <c r="H8419" s="7">
        <f t="shared" si="1"/>
        <v>1029</v>
      </c>
    </row>
    <row r="8420" ht="22.5" customHeight="1">
      <c r="B8420" s="7"/>
      <c r="C8420" s="7"/>
      <c r="D8420" s="7"/>
      <c r="E8420" s="7"/>
      <c r="F8420" s="7"/>
      <c r="G8420" s="7"/>
      <c r="H8420" s="7">
        <f t="shared" si="1"/>
        <v>1029</v>
      </c>
    </row>
    <row r="8421" ht="22.5" customHeight="1">
      <c r="B8421" s="7"/>
      <c r="C8421" s="7"/>
      <c r="D8421" s="7"/>
      <c r="E8421" s="7"/>
      <c r="F8421" s="7"/>
      <c r="G8421" s="7"/>
      <c r="H8421" s="7">
        <f t="shared" si="1"/>
        <v>1029</v>
      </c>
    </row>
    <row r="8422" ht="22.5" customHeight="1">
      <c r="B8422" s="7"/>
      <c r="C8422" s="7"/>
      <c r="D8422" s="7"/>
      <c r="E8422" s="7"/>
      <c r="F8422" s="7"/>
      <c r="G8422" s="7"/>
      <c r="H8422" s="7">
        <f t="shared" si="1"/>
        <v>1029</v>
      </c>
    </row>
    <row r="8423" ht="22.5" customHeight="1">
      <c r="B8423" s="7"/>
      <c r="C8423" s="7"/>
      <c r="D8423" s="7"/>
      <c r="E8423" s="7"/>
      <c r="F8423" s="7"/>
      <c r="G8423" s="7"/>
      <c r="H8423" s="7">
        <f t="shared" si="1"/>
        <v>1029</v>
      </c>
    </row>
    <row r="8424" ht="22.5" customHeight="1">
      <c r="B8424" s="7"/>
      <c r="C8424" s="7"/>
      <c r="D8424" s="7"/>
      <c r="E8424" s="7"/>
      <c r="F8424" s="7"/>
      <c r="G8424" s="7"/>
      <c r="H8424" s="7">
        <f t="shared" si="1"/>
        <v>1029</v>
      </c>
    </row>
    <row r="8425" ht="22.5" customHeight="1">
      <c r="B8425" s="7"/>
      <c r="C8425" s="7"/>
      <c r="D8425" s="7"/>
      <c r="E8425" s="7"/>
      <c r="F8425" s="7"/>
      <c r="G8425" s="7"/>
      <c r="H8425" s="7">
        <f t="shared" si="1"/>
        <v>1029</v>
      </c>
    </row>
    <row r="8426" ht="22.5" customHeight="1">
      <c r="B8426" s="7"/>
      <c r="C8426" s="7"/>
      <c r="D8426" s="7"/>
      <c r="E8426" s="7"/>
      <c r="F8426" s="7"/>
      <c r="G8426" s="7"/>
      <c r="H8426" s="7">
        <f t="shared" si="1"/>
        <v>1029</v>
      </c>
    </row>
    <row r="8427" ht="22.5" customHeight="1">
      <c r="B8427" s="7"/>
      <c r="C8427" s="7"/>
      <c r="D8427" s="7"/>
      <c r="E8427" s="7"/>
      <c r="F8427" s="7"/>
      <c r="G8427" s="7"/>
      <c r="H8427" s="7">
        <f t="shared" si="1"/>
        <v>1029</v>
      </c>
    </row>
    <row r="8428" ht="22.5" customHeight="1">
      <c r="B8428" s="7"/>
      <c r="C8428" s="7"/>
      <c r="D8428" s="7"/>
      <c r="E8428" s="7"/>
      <c r="F8428" s="7"/>
      <c r="G8428" s="7"/>
      <c r="H8428" s="7">
        <f t="shared" si="1"/>
        <v>1029</v>
      </c>
    </row>
    <row r="8429" ht="22.5" customHeight="1">
      <c r="B8429" s="7"/>
      <c r="C8429" s="7"/>
      <c r="D8429" s="7"/>
      <c r="E8429" s="7"/>
      <c r="F8429" s="7"/>
      <c r="G8429" s="7"/>
      <c r="H8429" s="7">
        <f t="shared" si="1"/>
        <v>1029</v>
      </c>
    </row>
    <row r="8430" ht="22.5" customHeight="1">
      <c r="B8430" s="7"/>
      <c r="C8430" s="7"/>
      <c r="D8430" s="7"/>
      <c r="E8430" s="7"/>
      <c r="F8430" s="7"/>
      <c r="G8430" s="7"/>
      <c r="H8430" s="7">
        <f t="shared" si="1"/>
        <v>1029</v>
      </c>
    </row>
    <row r="8431" ht="22.5" customHeight="1">
      <c r="B8431" s="7"/>
      <c r="C8431" s="7"/>
      <c r="D8431" s="7"/>
      <c r="E8431" s="7"/>
      <c r="F8431" s="7"/>
      <c r="G8431" s="7"/>
      <c r="H8431" s="7">
        <f t="shared" si="1"/>
        <v>1029</v>
      </c>
    </row>
    <row r="8432" ht="22.5" customHeight="1">
      <c r="B8432" s="7"/>
      <c r="C8432" s="7"/>
      <c r="D8432" s="7"/>
      <c r="E8432" s="7"/>
      <c r="F8432" s="7"/>
      <c r="G8432" s="7"/>
      <c r="H8432" s="7">
        <f t="shared" si="1"/>
        <v>1029</v>
      </c>
    </row>
    <row r="8433" ht="22.5" customHeight="1">
      <c r="B8433" s="7"/>
      <c r="C8433" s="7"/>
      <c r="D8433" s="7"/>
      <c r="E8433" s="7"/>
      <c r="F8433" s="7"/>
      <c r="G8433" s="7"/>
      <c r="H8433" s="7">
        <f t="shared" si="1"/>
        <v>1029</v>
      </c>
    </row>
    <row r="8434" ht="22.5" customHeight="1">
      <c r="B8434" s="7"/>
      <c r="C8434" s="7"/>
      <c r="D8434" s="7"/>
      <c r="E8434" s="7"/>
      <c r="F8434" s="7"/>
      <c r="G8434" s="7"/>
      <c r="H8434" s="7">
        <f t="shared" si="1"/>
        <v>1029</v>
      </c>
    </row>
    <row r="8435" ht="22.5" customHeight="1">
      <c r="B8435" s="7"/>
      <c r="C8435" s="7"/>
      <c r="D8435" s="7"/>
      <c r="E8435" s="7"/>
      <c r="F8435" s="7"/>
      <c r="G8435" s="7"/>
      <c r="H8435" s="7">
        <f t="shared" si="1"/>
        <v>1029</v>
      </c>
    </row>
    <row r="8436" ht="22.5" customHeight="1">
      <c r="B8436" s="7"/>
      <c r="C8436" s="7"/>
      <c r="D8436" s="7"/>
      <c r="E8436" s="7"/>
      <c r="F8436" s="7"/>
      <c r="G8436" s="7"/>
      <c r="H8436" s="7">
        <f t="shared" si="1"/>
        <v>1029</v>
      </c>
    </row>
    <row r="8437" ht="22.5" customHeight="1">
      <c r="B8437" s="7"/>
      <c r="C8437" s="7"/>
      <c r="D8437" s="7"/>
      <c r="E8437" s="7"/>
      <c r="F8437" s="7"/>
      <c r="G8437" s="7"/>
      <c r="H8437" s="7">
        <f t="shared" si="1"/>
        <v>1029</v>
      </c>
    </row>
    <row r="8438" ht="22.5" customHeight="1">
      <c r="B8438" s="7"/>
      <c r="C8438" s="7"/>
      <c r="D8438" s="7"/>
      <c r="E8438" s="7"/>
      <c r="F8438" s="7"/>
      <c r="G8438" s="7"/>
      <c r="H8438" s="7">
        <f t="shared" si="1"/>
        <v>1029</v>
      </c>
    </row>
    <row r="8439" ht="22.5" customHeight="1">
      <c r="B8439" s="7"/>
      <c r="C8439" s="7"/>
      <c r="D8439" s="7"/>
      <c r="E8439" s="7"/>
      <c r="F8439" s="7"/>
      <c r="G8439" s="7"/>
      <c r="H8439" s="7">
        <f t="shared" si="1"/>
        <v>1029</v>
      </c>
    </row>
    <row r="8440" ht="22.5" customHeight="1">
      <c r="B8440" s="7"/>
      <c r="C8440" s="7"/>
      <c r="D8440" s="7"/>
      <c r="E8440" s="7"/>
      <c r="F8440" s="7"/>
      <c r="G8440" s="7"/>
      <c r="H8440" s="7">
        <f t="shared" si="1"/>
        <v>1029</v>
      </c>
    </row>
    <row r="8441" ht="22.5" customHeight="1">
      <c r="B8441" s="7"/>
      <c r="C8441" s="7"/>
      <c r="D8441" s="7"/>
      <c r="E8441" s="7"/>
      <c r="F8441" s="7"/>
      <c r="G8441" s="7"/>
      <c r="H8441" s="7">
        <f t="shared" si="1"/>
        <v>1029</v>
      </c>
    </row>
    <row r="8442" ht="22.5" customHeight="1">
      <c r="B8442" s="7"/>
      <c r="C8442" s="7"/>
      <c r="D8442" s="7"/>
      <c r="E8442" s="7"/>
      <c r="F8442" s="7"/>
      <c r="G8442" s="7"/>
      <c r="H8442" s="7">
        <f t="shared" si="1"/>
        <v>1029</v>
      </c>
    </row>
    <row r="8443" ht="22.5" customHeight="1">
      <c r="B8443" s="7"/>
      <c r="C8443" s="7"/>
      <c r="D8443" s="7"/>
      <c r="E8443" s="7"/>
      <c r="F8443" s="7"/>
      <c r="G8443" s="7"/>
      <c r="H8443" s="7">
        <f t="shared" si="1"/>
        <v>1029</v>
      </c>
    </row>
    <row r="8444" ht="22.5" customHeight="1">
      <c r="B8444" s="7"/>
      <c r="C8444" s="7"/>
      <c r="D8444" s="7"/>
      <c r="E8444" s="7"/>
      <c r="F8444" s="7"/>
      <c r="G8444" s="7"/>
      <c r="H8444" s="7">
        <f t="shared" si="1"/>
        <v>1029</v>
      </c>
    </row>
    <row r="8445" ht="22.5" customHeight="1">
      <c r="B8445" s="7"/>
      <c r="C8445" s="7"/>
      <c r="D8445" s="7"/>
      <c r="E8445" s="7"/>
      <c r="F8445" s="7"/>
      <c r="G8445" s="7"/>
      <c r="H8445" s="7">
        <f t="shared" si="1"/>
        <v>1029</v>
      </c>
    </row>
    <row r="8446" ht="22.5" customHeight="1">
      <c r="B8446" s="7"/>
      <c r="C8446" s="7"/>
      <c r="D8446" s="7"/>
      <c r="E8446" s="7"/>
      <c r="F8446" s="7"/>
      <c r="G8446" s="7"/>
      <c r="H8446" s="7">
        <f t="shared" si="1"/>
        <v>1029</v>
      </c>
    </row>
    <row r="8447" ht="22.5" customHeight="1">
      <c r="B8447" s="7"/>
      <c r="C8447" s="7"/>
      <c r="D8447" s="7"/>
      <c r="E8447" s="7"/>
      <c r="F8447" s="7"/>
      <c r="G8447" s="7"/>
      <c r="H8447" s="7">
        <f t="shared" si="1"/>
        <v>1029</v>
      </c>
    </row>
    <row r="8448" ht="22.5" customHeight="1">
      <c r="B8448" s="7"/>
      <c r="C8448" s="7"/>
      <c r="D8448" s="7"/>
      <c r="E8448" s="7"/>
      <c r="F8448" s="7"/>
      <c r="G8448" s="7"/>
      <c r="H8448" s="7">
        <f t="shared" si="1"/>
        <v>1029</v>
      </c>
    </row>
    <row r="8449" ht="22.5" customHeight="1">
      <c r="B8449" s="7"/>
      <c r="C8449" s="7"/>
      <c r="D8449" s="7"/>
      <c r="E8449" s="7"/>
      <c r="F8449" s="7"/>
      <c r="G8449" s="7"/>
      <c r="H8449" s="7">
        <f t="shared" si="1"/>
        <v>1029</v>
      </c>
    </row>
    <row r="8450" ht="22.5" customHeight="1">
      <c r="B8450" s="7"/>
      <c r="C8450" s="7"/>
      <c r="D8450" s="7"/>
      <c r="E8450" s="7"/>
      <c r="F8450" s="7"/>
      <c r="G8450" s="7"/>
      <c r="H8450" s="7">
        <f t="shared" si="1"/>
        <v>1029</v>
      </c>
    </row>
    <row r="8451" ht="22.5" customHeight="1">
      <c r="B8451" s="7"/>
      <c r="C8451" s="7"/>
      <c r="D8451" s="7"/>
      <c r="E8451" s="7"/>
      <c r="F8451" s="7"/>
      <c r="G8451" s="7"/>
      <c r="H8451" s="7">
        <f t="shared" si="1"/>
        <v>1029</v>
      </c>
    </row>
    <row r="8452" ht="22.5" customHeight="1">
      <c r="B8452" s="7"/>
      <c r="C8452" s="7"/>
      <c r="D8452" s="7"/>
      <c r="E8452" s="7"/>
      <c r="F8452" s="7"/>
      <c r="G8452" s="7"/>
      <c r="H8452" s="7">
        <f t="shared" si="1"/>
        <v>1029</v>
      </c>
    </row>
    <row r="8453" ht="22.5" customHeight="1">
      <c r="B8453" s="7"/>
      <c r="C8453" s="7"/>
      <c r="D8453" s="7"/>
      <c r="E8453" s="7"/>
      <c r="F8453" s="7"/>
      <c r="G8453" s="7"/>
      <c r="H8453" s="7">
        <f t="shared" si="1"/>
        <v>1029</v>
      </c>
    </row>
    <row r="8454" ht="22.5" customHeight="1">
      <c r="B8454" s="7"/>
      <c r="C8454" s="7"/>
      <c r="D8454" s="7"/>
      <c r="E8454" s="7"/>
      <c r="F8454" s="7"/>
      <c r="G8454" s="7"/>
      <c r="H8454" s="7">
        <f t="shared" si="1"/>
        <v>1029</v>
      </c>
    </row>
    <row r="8455" ht="22.5" customHeight="1">
      <c r="B8455" s="7"/>
      <c r="C8455" s="7"/>
      <c r="D8455" s="7"/>
      <c r="E8455" s="7"/>
      <c r="F8455" s="7"/>
      <c r="G8455" s="7"/>
      <c r="H8455" s="7">
        <f t="shared" si="1"/>
        <v>1029</v>
      </c>
    </row>
    <row r="8456" ht="22.5" customHeight="1">
      <c r="B8456" s="7"/>
      <c r="C8456" s="7"/>
      <c r="D8456" s="7"/>
      <c r="E8456" s="7"/>
      <c r="F8456" s="7"/>
      <c r="G8456" s="7"/>
      <c r="H8456" s="7">
        <f t="shared" si="1"/>
        <v>1029</v>
      </c>
    </row>
    <row r="8457" ht="22.5" customHeight="1">
      <c r="B8457" s="7"/>
      <c r="C8457" s="7"/>
      <c r="D8457" s="7"/>
      <c r="E8457" s="7"/>
      <c r="F8457" s="7"/>
      <c r="G8457" s="7"/>
      <c r="H8457" s="7">
        <f t="shared" si="1"/>
        <v>1029</v>
      </c>
    </row>
    <row r="8458" ht="22.5" customHeight="1">
      <c r="B8458" s="7"/>
      <c r="C8458" s="7"/>
      <c r="D8458" s="7"/>
      <c r="E8458" s="7"/>
      <c r="F8458" s="7"/>
      <c r="G8458" s="7"/>
      <c r="H8458" s="7">
        <f t="shared" si="1"/>
        <v>1029</v>
      </c>
    </row>
    <row r="8459" ht="22.5" customHeight="1">
      <c r="B8459" s="7"/>
      <c r="C8459" s="7"/>
      <c r="D8459" s="7"/>
      <c r="E8459" s="7"/>
      <c r="F8459" s="7"/>
      <c r="G8459" s="7"/>
      <c r="H8459" s="7">
        <f t="shared" si="1"/>
        <v>1029</v>
      </c>
    </row>
    <row r="8460" ht="22.5" customHeight="1">
      <c r="B8460" s="7"/>
      <c r="C8460" s="7"/>
      <c r="D8460" s="7"/>
      <c r="E8460" s="7"/>
      <c r="F8460" s="7"/>
      <c r="G8460" s="7"/>
      <c r="H8460" s="7">
        <f t="shared" si="1"/>
        <v>1029</v>
      </c>
    </row>
    <row r="8461" ht="22.5" customHeight="1">
      <c r="B8461" s="7"/>
      <c r="C8461" s="7"/>
      <c r="D8461" s="7"/>
      <c r="E8461" s="7"/>
      <c r="F8461" s="7"/>
      <c r="G8461" s="7"/>
      <c r="H8461" s="7">
        <f t="shared" si="1"/>
        <v>1029</v>
      </c>
    </row>
    <row r="8462" ht="22.5" customHeight="1">
      <c r="B8462" s="7"/>
      <c r="C8462" s="7"/>
      <c r="D8462" s="7"/>
      <c r="E8462" s="7"/>
      <c r="F8462" s="7"/>
      <c r="G8462" s="7"/>
      <c r="H8462" s="7">
        <f t="shared" si="1"/>
        <v>1029</v>
      </c>
    </row>
    <row r="8463" ht="22.5" customHeight="1">
      <c r="B8463" s="7"/>
      <c r="C8463" s="7"/>
      <c r="D8463" s="7"/>
      <c r="E8463" s="7"/>
      <c r="F8463" s="7"/>
      <c r="G8463" s="7"/>
      <c r="H8463" s="7">
        <f t="shared" si="1"/>
        <v>1029</v>
      </c>
    </row>
    <row r="8464" ht="22.5" customHeight="1">
      <c r="B8464" s="7"/>
      <c r="C8464" s="7"/>
      <c r="D8464" s="7"/>
      <c r="E8464" s="7"/>
      <c r="F8464" s="7"/>
      <c r="G8464" s="7"/>
      <c r="H8464" s="7">
        <f t="shared" si="1"/>
        <v>1029</v>
      </c>
    </row>
    <row r="8465" ht="22.5" customHeight="1">
      <c r="B8465" s="7"/>
      <c r="C8465" s="7"/>
      <c r="D8465" s="7"/>
      <c r="E8465" s="7"/>
      <c r="F8465" s="7"/>
      <c r="G8465" s="7"/>
      <c r="H8465" s="7">
        <f t="shared" si="1"/>
        <v>1029</v>
      </c>
    </row>
    <row r="8466" ht="22.5" customHeight="1">
      <c r="B8466" s="7"/>
      <c r="C8466" s="7"/>
      <c r="D8466" s="7"/>
      <c r="E8466" s="7"/>
      <c r="F8466" s="7"/>
      <c r="G8466" s="7"/>
      <c r="H8466" s="7">
        <f t="shared" si="1"/>
        <v>1029</v>
      </c>
    </row>
    <row r="8467" ht="22.5" customHeight="1">
      <c r="B8467" s="7"/>
      <c r="C8467" s="7"/>
      <c r="D8467" s="7"/>
      <c r="E8467" s="7"/>
      <c r="F8467" s="7"/>
      <c r="G8467" s="7"/>
      <c r="H8467" s="7">
        <f t="shared" si="1"/>
        <v>1029</v>
      </c>
    </row>
    <row r="8468" ht="22.5" customHeight="1">
      <c r="B8468" s="7"/>
      <c r="C8468" s="7"/>
      <c r="D8468" s="7"/>
      <c r="E8468" s="7"/>
      <c r="F8468" s="7"/>
      <c r="G8468" s="7"/>
      <c r="H8468" s="7">
        <f t="shared" si="1"/>
        <v>1029</v>
      </c>
    </row>
    <row r="8469" ht="22.5" customHeight="1">
      <c r="B8469" s="7"/>
      <c r="C8469" s="7"/>
      <c r="D8469" s="7"/>
      <c r="E8469" s="7"/>
      <c r="F8469" s="7"/>
      <c r="G8469" s="7"/>
      <c r="H8469" s="7">
        <f t="shared" si="1"/>
        <v>1029</v>
      </c>
    </row>
    <row r="8470" ht="22.5" customHeight="1">
      <c r="B8470" s="7"/>
      <c r="C8470" s="7"/>
      <c r="D8470" s="7"/>
      <c r="E8470" s="7"/>
      <c r="F8470" s="7"/>
      <c r="G8470" s="7"/>
      <c r="H8470" s="7">
        <f t="shared" si="1"/>
        <v>1029</v>
      </c>
    </row>
    <row r="8471" ht="22.5" customHeight="1">
      <c r="B8471" s="7"/>
      <c r="C8471" s="7"/>
      <c r="D8471" s="7"/>
      <c r="E8471" s="7"/>
      <c r="F8471" s="7"/>
      <c r="G8471" s="7"/>
      <c r="H8471" s="7">
        <f t="shared" si="1"/>
        <v>1029</v>
      </c>
    </row>
    <row r="8472" ht="22.5" customHeight="1">
      <c r="B8472" s="7"/>
      <c r="C8472" s="7"/>
      <c r="D8472" s="7"/>
      <c r="E8472" s="7"/>
      <c r="F8472" s="7"/>
      <c r="G8472" s="7"/>
      <c r="H8472" s="7">
        <f t="shared" si="1"/>
        <v>1029</v>
      </c>
    </row>
    <row r="8473" ht="22.5" customHeight="1">
      <c r="B8473" s="7"/>
      <c r="C8473" s="7"/>
      <c r="D8473" s="7"/>
      <c r="E8473" s="7"/>
      <c r="F8473" s="7"/>
      <c r="G8473" s="7"/>
      <c r="H8473" s="7">
        <f t="shared" si="1"/>
        <v>1029</v>
      </c>
    </row>
    <row r="8474" ht="22.5" customHeight="1">
      <c r="B8474" s="7"/>
      <c r="C8474" s="7"/>
      <c r="D8474" s="7"/>
      <c r="E8474" s="7"/>
      <c r="F8474" s="7"/>
      <c r="G8474" s="7"/>
      <c r="H8474" s="7">
        <f t="shared" si="1"/>
        <v>1029</v>
      </c>
    </row>
    <row r="8475" ht="22.5" customHeight="1">
      <c r="B8475" s="7"/>
      <c r="C8475" s="7"/>
      <c r="D8475" s="7"/>
      <c r="E8475" s="7"/>
      <c r="F8475" s="7"/>
      <c r="G8475" s="7"/>
      <c r="H8475" s="7">
        <f t="shared" si="1"/>
        <v>1029</v>
      </c>
    </row>
    <row r="8476" ht="22.5" customHeight="1">
      <c r="B8476" s="7"/>
      <c r="C8476" s="7"/>
      <c r="D8476" s="7"/>
      <c r="E8476" s="7"/>
      <c r="F8476" s="7"/>
      <c r="G8476" s="7"/>
      <c r="H8476" s="7">
        <f t="shared" si="1"/>
        <v>1029</v>
      </c>
    </row>
    <row r="8477" ht="22.5" customHeight="1">
      <c r="B8477" s="7"/>
      <c r="C8477" s="7"/>
      <c r="D8477" s="7"/>
      <c r="E8477" s="7"/>
      <c r="F8477" s="7"/>
      <c r="G8477" s="7"/>
      <c r="H8477" s="7">
        <f t="shared" si="1"/>
        <v>1029</v>
      </c>
    </row>
    <row r="8478" ht="22.5" customHeight="1">
      <c r="B8478" s="7"/>
      <c r="C8478" s="7"/>
      <c r="D8478" s="7"/>
      <c r="E8478" s="7"/>
      <c r="F8478" s="7"/>
      <c r="G8478" s="7"/>
      <c r="H8478" s="7">
        <f t="shared" si="1"/>
        <v>1029</v>
      </c>
    </row>
    <row r="8479" ht="22.5" customHeight="1">
      <c r="B8479" s="7"/>
      <c r="C8479" s="7"/>
      <c r="D8479" s="7"/>
      <c r="E8479" s="7"/>
      <c r="F8479" s="7"/>
      <c r="G8479" s="7"/>
      <c r="H8479" s="7">
        <f t="shared" si="1"/>
        <v>1029</v>
      </c>
    </row>
    <row r="8480" ht="22.5" customHeight="1">
      <c r="B8480" s="7"/>
      <c r="C8480" s="7"/>
      <c r="D8480" s="7"/>
      <c r="E8480" s="7"/>
      <c r="F8480" s="7"/>
      <c r="G8480" s="7"/>
      <c r="H8480" s="7">
        <f t="shared" si="1"/>
        <v>1029</v>
      </c>
    </row>
    <row r="8481" ht="22.5" customHeight="1">
      <c r="B8481" s="7"/>
      <c r="C8481" s="7"/>
      <c r="D8481" s="7"/>
      <c r="E8481" s="7"/>
      <c r="F8481" s="7"/>
      <c r="G8481" s="7"/>
      <c r="H8481" s="7">
        <f t="shared" si="1"/>
        <v>1029</v>
      </c>
    </row>
    <row r="8482" ht="22.5" customHeight="1">
      <c r="B8482" s="7"/>
      <c r="C8482" s="7"/>
      <c r="D8482" s="7"/>
      <c r="E8482" s="7"/>
      <c r="F8482" s="7"/>
      <c r="G8482" s="7"/>
      <c r="H8482" s="7">
        <f t="shared" si="1"/>
        <v>1029</v>
      </c>
    </row>
    <row r="8483" ht="22.5" customHeight="1">
      <c r="B8483" s="7"/>
      <c r="C8483" s="7"/>
      <c r="D8483" s="7"/>
      <c r="E8483" s="7"/>
      <c r="F8483" s="7"/>
      <c r="G8483" s="7"/>
      <c r="H8483" s="7">
        <f t="shared" si="1"/>
        <v>1029</v>
      </c>
    </row>
    <row r="8484" ht="22.5" customHeight="1">
      <c r="B8484" s="7"/>
      <c r="C8484" s="7"/>
      <c r="D8484" s="7"/>
      <c r="E8484" s="7"/>
      <c r="F8484" s="7"/>
      <c r="G8484" s="7"/>
      <c r="H8484" s="7">
        <f t="shared" si="1"/>
        <v>1029</v>
      </c>
    </row>
    <row r="8485" ht="22.5" customHeight="1">
      <c r="B8485" s="7"/>
      <c r="C8485" s="7"/>
      <c r="D8485" s="7"/>
      <c r="E8485" s="7"/>
      <c r="F8485" s="7"/>
      <c r="G8485" s="7"/>
      <c r="H8485" s="7">
        <f t="shared" si="1"/>
        <v>1029</v>
      </c>
    </row>
    <row r="8486" ht="22.5" customHeight="1">
      <c r="B8486" s="7"/>
      <c r="C8486" s="7"/>
      <c r="D8486" s="7"/>
      <c r="E8486" s="7"/>
      <c r="F8486" s="7"/>
      <c r="G8486" s="7"/>
      <c r="H8486" s="7">
        <f t="shared" si="1"/>
        <v>1029</v>
      </c>
    </row>
    <row r="8487" ht="22.5" customHeight="1">
      <c r="B8487" s="7"/>
      <c r="C8487" s="7"/>
      <c r="D8487" s="7"/>
      <c r="E8487" s="7"/>
      <c r="F8487" s="7"/>
      <c r="G8487" s="7"/>
      <c r="H8487" s="7">
        <f t="shared" si="1"/>
        <v>1029</v>
      </c>
    </row>
    <row r="8488" ht="22.5" customHeight="1">
      <c r="B8488" s="7"/>
      <c r="C8488" s="7"/>
      <c r="D8488" s="7"/>
      <c r="E8488" s="7"/>
      <c r="F8488" s="7"/>
      <c r="G8488" s="7"/>
      <c r="H8488" s="7">
        <f t="shared" si="1"/>
        <v>1029</v>
      </c>
    </row>
    <row r="8489" ht="22.5" customHeight="1">
      <c r="B8489" s="7"/>
      <c r="C8489" s="7"/>
      <c r="D8489" s="7"/>
      <c r="E8489" s="7"/>
      <c r="F8489" s="7"/>
      <c r="G8489" s="7"/>
      <c r="H8489" s="7">
        <f t="shared" si="1"/>
        <v>1029</v>
      </c>
    </row>
    <row r="8490" ht="22.5" customHeight="1">
      <c r="B8490" s="7"/>
      <c r="C8490" s="7"/>
      <c r="D8490" s="7"/>
      <c r="E8490" s="7"/>
      <c r="F8490" s="7"/>
      <c r="G8490" s="7"/>
      <c r="H8490" s="7">
        <f t="shared" si="1"/>
        <v>1029</v>
      </c>
    </row>
    <row r="8491" ht="22.5" customHeight="1">
      <c r="B8491" s="7"/>
      <c r="C8491" s="7"/>
      <c r="D8491" s="7"/>
      <c r="E8491" s="7"/>
      <c r="F8491" s="7"/>
      <c r="G8491" s="7"/>
      <c r="H8491" s="7">
        <f t="shared" si="1"/>
        <v>1029</v>
      </c>
    </row>
    <row r="8492" ht="22.5" customHeight="1">
      <c r="B8492" s="7"/>
      <c r="C8492" s="7"/>
      <c r="D8492" s="7"/>
      <c r="E8492" s="7"/>
      <c r="F8492" s="7"/>
      <c r="G8492" s="7"/>
      <c r="H8492" s="7">
        <f t="shared" si="1"/>
        <v>1029</v>
      </c>
    </row>
    <row r="8493" ht="22.5" customHeight="1">
      <c r="B8493" s="7"/>
      <c r="C8493" s="7"/>
      <c r="D8493" s="7"/>
      <c r="E8493" s="7"/>
      <c r="F8493" s="7"/>
      <c r="G8493" s="7"/>
      <c r="H8493" s="7">
        <f t="shared" si="1"/>
        <v>1029</v>
      </c>
    </row>
    <row r="8494" ht="22.5" customHeight="1">
      <c r="B8494" s="7"/>
      <c r="C8494" s="7"/>
      <c r="D8494" s="7"/>
      <c r="E8494" s="7"/>
      <c r="F8494" s="7"/>
      <c r="G8494" s="7"/>
      <c r="H8494" s="7">
        <f t="shared" si="1"/>
        <v>1029</v>
      </c>
    </row>
    <row r="8495" ht="22.5" customHeight="1">
      <c r="B8495" s="7"/>
      <c r="C8495" s="7"/>
      <c r="D8495" s="7"/>
      <c r="E8495" s="7"/>
      <c r="F8495" s="7"/>
      <c r="G8495" s="7"/>
      <c r="H8495" s="7">
        <f t="shared" si="1"/>
        <v>1029</v>
      </c>
    </row>
    <row r="8496" ht="22.5" customHeight="1">
      <c r="B8496" s="7"/>
      <c r="C8496" s="7"/>
      <c r="D8496" s="7"/>
      <c r="E8496" s="7"/>
      <c r="F8496" s="7"/>
      <c r="G8496" s="7"/>
      <c r="H8496" s="7">
        <f t="shared" si="1"/>
        <v>1029</v>
      </c>
    </row>
    <row r="8497" ht="22.5" customHeight="1">
      <c r="B8497" s="7"/>
      <c r="C8497" s="7"/>
      <c r="D8497" s="7"/>
      <c r="E8497" s="7"/>
      <c r="F8497" s="7"/>
      <c r="G8497" s="7"/>
      <c r="H8497" s="7">
        <f t="shared" si="1"/>
        <v>1029</v>
      </c>
    </row>
    <row r="8498" ht="22.5" customHeight="1">
      <c r="B8498" s="7"/>
      <c r="C8498" s="7"/>
      <c r="D8498" s="7"/>
      <c r="E8498" s="7"/>
      <c r="F8498" s="7"/>
      <c r="G8498" s="7"/>
      <c r="H8498" s="7">
        <f t="shared" si="1"/>
        <v>1029</v>
      </c>
    </row>
    <row r="8499" ht="22.5" customHeight="1">
      <c r="B8499" s="7"/>
      <c r="C8499" s="7"/>
      <c r="D8499" s="7"/>
      <c r="E8499" s="7"/>
      <c r="F8499" s="7"/>
      <c r="G8499" s="7"/>
      <c r="H8499" s="7">
        <f t="shared" si="1"/>
        <v>1029</v>
      </c>
    </row>
    <row r="8500" ht="22.5" customHeight="1">
      <c r="B8500" s="7"/>
      <c r="C8500" s="7"/>
      <c r="D8500" s="7"/>
      <c r="E8500" s="7"/>
      <c r="F8500" s="7"/>
      <c r="G8500" s="7"/>
      <c r="H8500" s="7">
        <f t="shared" si="1"/>
        <v>1029</v>
      </c>
    </row>
    <row r="8501" ht="22.5" customHeight="1">
      <c r="B8501" s="7"/>
      <c r="C8501" s="7"/>
      <c r="D8501" s="7"/>
      <c r="E8501" s="7"/>
      <c r="F8501" s="7"/>
      <c r="G8501" s="7"/>
      <c r="H8501" s="7">
        <f t="shared" si="1"/>
        <v>1029</v>
      </c>
    </row>
    <row r="8502" ht="22.5" customHeight="1">
      <c r="B8502" s="7"/>
      <c r="C8502" s="7"/>
      <c r="D8502" s="7"/>
      <c r="E8502" s="7"/>
      <c r="F8502" s="7"/>
      <c r="G8502" s="7"/>
      <c r="H8502" s="7">
        <f t="shared" si="1"/>
        <v>1029</v>
      </c>
    </row>
    <row r="8503" ht="22.5" customHeight="1">
      <c r="B8503" s="7"/>
      <c r="C8503" s="7"/>
      <c r="D8503" s="7"/>
      <c r="E8503" s="7"/>
      <c r="F8503" s="7"/>
      <c r="G8503" s="7"/>
      <c r="H8503" s="7">
        <f t="shared" si="1"/>
        <v>1029</v>
      </c>
    </row>
    <row r="8504" ht="22.5" customHeight="1">
      <c r="B8504" s="7"/>
      <c r="C8504" s="7"/>
      <c r="D8504" s="7"/>
      <c r="E8504" s="7"/>
      <c r="F8504" s="7"/>
      <c r="G8504" s="7"/>
      <c r="H8504" s="7">
        <f t="shared" si="1"/>
        <v>1029</v>
      </c>
    </row>
    <row r="8505" ht="22.5" customHeight="1">
      <c r="B8505" s="7"/>
      <c r="C8505" s="7"/>
      <c r="D8505" s="7"/>
      <c r="E8505" s="7"/>
      <c r="F8505" s="7"/>
      <c r="G8505" s="7"/>
      <c r="H8505" s="7">
        <f t="shared" si="1"/>
        <v>1029</v>
      </c>
    </row>
    <row r="8506" ht="22.5" customHeight="1">
      <c r="B8506" s="7"/>
      <c r="C8506" s="7"/>
      <c r="D8506" s="7"/>
      <c r="E8506" s="7"/>
      <c r="F8506" s="7"/>
      <c r="G8506" s="7"/>
      <c r="H8506" s="7">
        <f t="shared" si="1"/>
        <v>1029</v>
      </c>
    </row>
    <row r="8507" ht="22.5" customHeight="1">
      <c r="B8507" s="7"/>
      <c r="C8507" s="7"/>
      <c r="D8507" s="7"/>
      <c r="E8507" s="7"/>
      <c r="F8507" s="7"/>
      <c r="G8507" s="7"/>
      <c r="H8507" s="7">
        <f t="shared" si="1"/>
        <v>1029</v>
      </c>
    </row>
    <row r="8508" ht="22.5" customHeight="1">
      <c r="B8508" s="7"/>
      <c r="C8508" s="7"/>
      <c r="D8508" s="7"/>
      <c r="E8508" s="7"/>
      <c r="F8508" s="7"/>
      <c r="G8508" s="7"/>
      <c r="H8508" s="7">
        <f t="shared" si="1"/>
        <v>1029</v>
      </c>
    </row>
    <row r="8509" ht="22.5" customHeight="1">
      <c r="B8509" s="7"/>
      <c r="C8509" s="7"/>
      <c r="D8509" s="7"/>
      <c r="E8509" s="7"/>
      <c r="F8509" s="7"/>
      <c r="G8509" s="7"/>
      <c r="H8509" s="7">
        <f t="shared" si="1"/>
        <v>1029</v>
      </c>
    </row>
    <row r="8510" ht="22.5" customHeight="1">
      <c r="B8510" s="7"/>
      <c r="C8510" s="7"/>
      <c r="D8510" s="7"/>
      <c r="E8510" s="7"/>
      <c r="F8510" s="7"/>
      <c r="G8510" s="7"/>
      <c r="H8510" s="7">
        <f t="shared" si="1"/>
        <v>1029</v>
      </c>
    </row>
    <row r="8511" ht="22.5" customHeight="1">
      <c r="B8511" s="7"/>
      <c r="C8511" s="7"/>
      <c r="D8511" s="7"/>
      <c r="E8511" s="7"/>
      <c r="F8511" s="7"/>
      <c r="G8511" s="7"/>
      <c r="H8511" s="7">
        <f t="shared" si="1"/>
        <v>1029</v>
      </c>
    </row>
    <row r="8512" ht="22.5" customHeight="1">
      <c r="B8512" s="7"/>
      <c r="C8512" s="7"/>
      <c r="D8512" s="7"/>
      <c r="E8512" s="7"/>
      <c r="F8512" s="7"/>
      <c r="G8512" s="7"/>
      <c r="H8512" s="7">
        <f t="shared" si="1"/>
        <v>1029</v>
      </c>
    </row>
    <row r="8513" ht="22.5" customHeight="1">
      <c r="B8513" s="7"/>
      <c r="C8513" s="7"/>
      <c r="D8513" s="7"/>
      <c r="E8513" s="7"/>
      <c r="F8513" s="7"/>
      <c r="G8513" s="7"/>
      <c r="H8513" s="7">
        <f t="shared" si="1"/>
        <v>1029</v>
      </c>
    </row>
    <row r="8514" ht="22.5" customHeight="1">
      <c r="B8514" s="7"/>
      <c r="C8514" s="7"/>
      <c r="D8514" s="7"/>
      <c r="E8514" s="7"/>
      <c r="F8514" s="7"/>
      <c r="G8514" s="7"/>
      <c r="H8514" s="7">
        <f t="shared" si="1"/>
        <v>1029</v>
      </c>
    </row>
    <row r="8515" ht="22.5" customHeight="1">
      <c r="B8515" s="7"/>
      <c r="C8515" s="7"/>
      <c r="D8515" s="7"/>
      <c r="E8515" s="7"/>
      <c r="F8515" s="7"/>
      <c r="G8515" s="7"/>
      <c r="H8515" s="7">
        <f t="shared" si="1"/>
        <v>1029</v>
      </c>
    </row>
    <row r="8516" ht="22.5" customHeight="1">
      <c r="B8516" s="7"/>
      <c r="C8516" s="7"/>
      <c r="D8516" s="7"/>
      <c r="E8516" s="7"/>
      <c r="F8516" s="7"/>
      <c r="G8516" s="7"/>
      <c r="H8516" s="7">
        <f t="shared" si="1"/>
        <v>1029</v>
      </c>
    </row>
    <row r="8517" ht="22.5" customHeight="1">
      <c r="B8517" s="7"/>
      <c r="C8517" s="7"/>
      <c r="D8517" s="7"/>
      <c r="E8517" s="7"/>
      <c r="F8517" s="7"/>
      <c r="G8517" s="7"/>
      <c r="H8517" s="7">
        <f t="shared" si="1"/>
        <v>1029</v>
      </c>
    </row>
    <row r="8518" ht="22.5" customHeight="1">
      <c r="B8518" s="7"/>
      <c r="C8518" s="7"/>
      <c r="D8518" s="7"/>
      <c r="E8518" s="7"/>
      <c r="F8518" s="7"/>
      <c r="G8518" s="7"/>
      <c r="H8518" s="7">
        <f t="shared" si="1"/>
        <v>1029</v>
      </c>
    </row>
    <row r="8519" ht="22.5" customHeight="1">
      <c r="B8519" s="7"/>
      <c r="C8519" s="7"/>
      <c r="D8519" s="7"/>
      <c r="E8519" s="7"/>
      <c r="F8519" s="7"/>
      <c r="G8519" s="7"/>
      <c r="H8519" s="7">
        <f t="shared" si="1"/>
        <v>1029</v>
      </c>
    </row>
    <row r="8520" ht="22.5" customHeight="1">
      <c r="B8520" s="7"/>
      <c r="C8520" s="7"/>
      <c r="D8520" s="7"/>
      <c r="E8520" s="7"/>
      <c r="F8520" s="7"/>
      <c r="G8520" s="7"/>
      <c r="H8520" s="7">
        <f t="shared" si="1"/>
        <v>1029</v>
      </c>
    </row>
    <row r="8521" ht="22.5" customHeight="1">
      <c r="B8521" s="7"/>
      <c r="C8521" s="7"/>
      <c r="D8521" s="7"/>
      <c r="E8521" s="7"/>
      <c r="F8521" s="7"/>
      <c r="G8521" s="7"/>
      <c r="H8521" s="7">
        <f t="shared" si="1"/>
        <v>1029</v>
      </c>
    </row>
    <row r="8522" ht="22.5" customHeight="1">
      <c r="B8522" s="7"/>
      <c r="C8522" s="7"/>
      <c r="D8522" s="7"/>
      <c r="E8522" s="7"/>
      <c r="F8522" s="7"/>
      <c r="G8522" s="7"/>
      <c r="H8522" s="7">
        <f t="shared" si="1"/>
        <v>1029</v>
      </c>
    </row>
    <row r="8523" ht="22.5" customHeight="1">
      <c r="B8523" s="7"/>
      <c r="C8523" s="7"/>
      <c r="D8523" s="7"/>
      <c r="E8523" s="7"/>
      <c r="F8523" s="7"/>
      <c r="G8523" s="7"/>
      <c r="H8523" s="7">
        <f t="shared" si="1"/>
        <v>1029</v>
      </c>
    </row>
    <row r="8524" ht="22.5" customHeight="1">
      <c r="B8524" s="7"/>
      <c r="C8524" s="7"/>
      <c r="D8524" s="7"/>
      <c r="E8524" s="7"/>
      <c r="F8524" s="7"/>
      <c r="G8524" s="7"/>
      <c r="H8524" s="7">
        <f t="shared" si="1"/>
        <v>1029</v>
      </c>
    </row>
    <row r="8525" ht="22.5" customHeight="1">
      <c r="B8525" s="7"/>
      <c r="C8525" s="7"/>
      <c r="D8525" s="7"/>
      <c r="E8525" s="7"/>
      <c r="F8525" s="7"/>
      <c r="G8525" s="7"/>
      <c r="H8525" s="7">
        <f t="shared" si="1"/>
        <v>1029</v>
      </c>
    </row>
    <row r="8526" ht="22.5" customHeight="1">
      <c r="B8526" s="7"/>
      <c r="C8526" s="7"/>
      <c r="D8526" s="7"/>
      <c r="E8526" s="7"/>
      <c r="F8526" s="7"/>
      <c r="G8526" s="7"/>
      <c r="H8526" s="7">
        <f t="shared" si="1"/>
        <v>1029</v>
      </c>
    </row>
    <row r="8527" ht="22.5" customHeight="1">
      <c r="B8527" s="7"/>
      <c r="C8527" s="7"/>
      <c r="D8527" s="7"/>
      <c r="E8527" s="7"/>
      <c r="F8527" s="7"/>
      <c r="G8527" s="7"/>
      <c r="H8527" s="7">
        <f t="shared" si="1"/>
        <v>1029</v>
      </c>
    </row>
    <row r="8528" ht="22.5" customHeight="1">
      <c r="B8528" s="7"/>
      <c r="C8528" s="7"/>
      <c r="D8528" s="7"/>
      <c r="E8528" s="7"/>
      <c r="F8528" s="7"/>
      <c r="G8528" s="7"/>
      <c r="H8528" s="7">
        <f t="shared" si="1"/>
        <v>1029</v>
      </c>
    </row>
    <row r="8529" ht="22.5" customHeight="1">
      <c r="B8529" s="7"/>
      <c r="C8529" s="7"/>
      <c r="D8529" s="7"/>
      <c r="E8529" s="7"/>
      <c r="F8529" s="7"/>
      <c r="G8529" s="7"/>
      <c r="H8529" s="7">
        <f t="shared" si="1"/>
        <v>1029</v>
      </c>
    </row>
    <row r="8530" ht="22.5" customHeight="1">
      <c r="B8530" s="7"/>
      <c r="C8530" s="7"/>
      <c r="D8530" s="7"/>
      <c r="E8530" s="7"/>
      <c r="F8530" s="7"/>
      <c r="G8530" s="7"/>
      <c r="H8530" s="7">
        <f t="shared" si="1"/>
        <v>1029</v>
      </c>
    </row>
    <row r="8531" ht="22.5" customHeight="1">
      <c r="B8531" s="7"/>
      <c r="C8531" s="7"/>
      <c r="D8531" s="7"/>
      <c r="E8531" s="7"/>
      <c r="F8531" s="7"/>
      <c r="G8531" s="7"/>
      <c r="H8531" s="7">
        <f t="shared" si="1"/>
        <v>1029</v>
      </c>
    </row>
    <row r="8532" ht="22.5" customHeight="1">
      <c r="B8532" s="7"/>
      <c r="C8532" s="7"/>
      <c r="D8532" s="7"/>
      <c r="E8532" s="7"/>
      <c r="F8532" s="7"/>
      <c r="G8532" s="7"/>
      <c r="H8532" s="7">
        <f t="shared" si="1"/>
        <v>1029</v>
      </c>
    </row>
    <row r="8533" ht="22.5" customHeight="1">
      <c r="B8533" s="7"/>
      <c r="C8533" s="7"/>
      <c r="D8533" s="7"/>
      <c r="E8533" s="7"/>
      <c r="F8533" s="7"/>
      <c r="G8533" s="7"/>
      <c r="H8533" s="7">
        <f t="shared" si="1"/>
        <v>1029</v>
      </c>
    </row>
    <row r="8534" ht="22.5" customHeight="1">
      <c r="B8534" s="7"/>
      <c r="C8534" s="7"/>
      <c r="D8534" s="7"/>
      <c r="E8534" s="7"/>
      <c r="F8534" s="7"/>
      <c r="G8534" s="7"/>
      <c r="H8534" s="7">
        <f t="shared" si="1"/>
        <v>1029</v>
      </c>
    </row>
    <row r="8535" ht="22.5" customHeight="1">
      <c r="B8535" s="7"/>
      <c r="C8535" s="7"/>
      <c r="D8535" s="7"/>
      <c r="E8535" s="7"/>
      <c r="F8535" s="7"/>
      <c r="G8535" s="7"/>
      <c r="H8535" s="7">
        <f t="shared" si="1"/>
        <v>1029</v>
      </c>
    </row>
    <row r="8536" ht="22.5" customHeight="1">
      <c r="B8536" s="7"/>
      <c r="C8536" s="7"/>
      <c r="D8536" s="7"/>
      <c r="E8536" s="7"/>
      <c r="F8536" s="7"/>
      <c r="G8536" s="7"/>
      <c r="H8536" s="7">
        <f t="shared" si="1"/>
        <v>1029</v>
      </c>
    </row>
    <row r="8537" ht="22.5" customHeight="1">
      <c r="B8537" s="7"/>
      <c r="C8537" s="7"/>
      <c r="D8537" s="7"/>
      <c r="E8537" s="7"/>
      <c r="F8537" s="7"/>
      <c r="G8537" s="7"/>
      <c r="H8537" s="7">
        <f t="shared" si="1"/>
        <v>1029</v>
      </c>
    </row>
    <row r="8538" ht="22.5" customHeight="1">
      <c r="B8538" s="7"/>
      <c r="C8538" s="7"/>
      <c r="D8538" s="7"/>
      <c r="E8538" s="7"/>
      <c r="F8538" s="7"/>
      <c r="G8538" s="7"/>
      <c r="H8538" s="7">
        <f t="shared" si="1"/>
        <v>1029</v>
      </c>
    </row>
    <row r="8539" ht="22.5" customHeight="1">
      <c r="B8539" s="7"/>
      <c r="C8539" s="7"/>
      <c r="D8539" s="7"/>
      <c r="E8539" s="7"/>
      <c r="F8539" s="7"/>
      <c r="G8539" s="7"/>
      <c r="H8539" s="7">
        <f t="shared" si="1"/>
        <v>1029</v>
      </c>
    </row>
    <row r="8540" ht="22.5" customHeight="1">
      <c r="B8540" s="7"/>
      <c r="C8540" s="7"/>
      <c r="D8540" s="7"/>
      <c r="E8540" s="7"/>
      <c r="F8540" s="7"/>
      <c r="G8540" s="7"/>
      <c r="H8540" s="7">
        <f t="shared" si="1"/>
        <v>1029</v>
      </c>
    </row>
    <row r="8541" ht="22.5" customHeight="1">
      <c r="B8541" s="7"/>
      <c r="C8541" s="7"/>
      <c r="D8541" s="7"/>
      <c r="E8541" s="7"/>
      <c r="F8541" s="7"/>
      <c r="G8541" s="7"/>
      <c r="H8541" s="7">
        <f t="shared" si="1"/>
        <v>1029</v>
      </c>
    </row>
    <row r="8542" ht="22.5" customHeight="1">
      <c r="B8542" s="7"/>
      <c r="C8542" s="7"/>
      <c r="D8542" s="7"/>
      <c r="E8542" s="7"/>
      <c r="F8542" s="7"/>
      <c r="G8542" s="7"/>
      <c r="H8542" s="7">
        <f t="shared" si="1"/>
        <v>1029</v>
      </c>
    </row>
    <row r="8543" ht="22.5" customHeight="1">
      <c r="B8543" s="7"/>
      <c r="C8543" s="7"/>
      <c r="D8543" s="7"/>
      <c r="E8543" s="7"/>
      <c r="F8543" s="7"/>
      <c r="G8543" s="7"/>
      <c r="H8543" s="7">
        <f t="shared" si="1"/>
        <v>1029</v>
      </c>
    </row>
    <row r="8544" ht="22.5" customHeight="1">
      <c r="B8544" s="7"/>
      <c r="C8544" s="7"/>
      <c r="D8544" s="7"/>
      <c r="E8544" s="7"/>
      <c r="F8544" s="7"/>
      <c r="G8544" s="7"/>
      <c r="H8544" s="7">
        <f t="shared" si="1"/>
        <v>1029</v>
      </c>
    </row>
    <row r="8545" ht="22.5" customHeight="1">
      <c r="B8545" s="7"/>
      <c r="C8545" s="7"/>
      <c r="D8545" s="7"/>
      <c r="E8545" s="7"/>
      <c r="F8545" s="7"/>
      <c r="G8545" s="7"/>
      <c r="H8545" s="7">
        <f t="shared" si="1"/>
        <v>1029</v>
      </c>
    </row>
    <row r="8546" ht="22.5" customHeight="1">
      <c r="B8546" s="7"/>
      <c r="C8546" s="7"/>
      <c r="D8546" s="7"/>
      <c r="E8546" s="7"/>
      <c r="F8546" s="7"/>
      <c r="G8546" s="7"/>
      <c r="H8546" s="7">
        <f t="shared" si="1"/>
        <v>1029</v>
      </c>
    </row>
    <row r="8547" ht="22.5" customHeight="1">
      <c r="B8547" s="7"/>
      <c r="C8547" s="7"/>
      <c r="D8547" s="7"/>
      <c r="E8547" s="7"/>
      <c r="F8547" s="7"/>
      <c r="G8547" s="7"/>
      <c r="H8547" s="7">
        <f t="shared" si="1"/>
        <v>1029</v>
      </c>
    </row>
    <row r="8548" ht="22.5" customHeight="1">
      <c r="B8548" s="7"/>
      <c r="C8548" s="7"/>
      <c r="D8548" s="7"/>
      <c r="E8548" s="7"/>
      <c r="F8548" s="7"/>
      <c r="G8548" s="7"/>
      <c r="H8548" s="7">
        <f t="shared" si="1"/>
        <v>1029</v>
      </c>
    </row>
    <row r="8549" ht="22.5" customHeight="1">
      <c r="B8549" s="7"/>
      <c r="C8549" s="7"/>
      <c r="D8549" s="7"/>
      <c r="E8549" s="7"/>
      <c r="F8549" s="7"/>
      <c r="G8549" s="7"/>
      <c r="H8549" s="7">
        <f t="shared" si="1"/>
        <v>1029</v>
      </c>
    </row>
    <row r="8550" ht="22.5" customHeight="1">
      <c r="B8550" s="7"/>
      <c r="C8550" s="7"/>
      <c r="D8550" s="7"/>
      <c r="E8550" s="7"/>
      <c r="F8550" s="7"/>
      <c r="G8550" s="7"/>
      <c r="H8550" s="7">
        <f t="shared" si="1"/>
        <v>1029</v>
      </c>
    </row>
    <row r="8551" ht="22.5" customHeight="1">
      <c r="B8551" s="7"/>
      <c r="C8551" s="7"/>
      <c r="D8551" s="7"/>
      <c r="E8551" s="7"/>
      <c r="F8551" s="7"/>
      <c r="G8551" s="7"/>
      <c r="H8551" s="7">
        <f t="shared" si="1"/>
        <v>1029</v>
      </c>
    </row>
    <row r="8552" ht="22.5" customHeight="1">
      <c r="B8552" s="7"/>
      <c r="C8552" s="7"/>
      <c r="D8552" s="7"/>
      <c r="E8552" s="7"/>
      <c r="F8552" s="7"/>
      <c r="G8552" s="7"/>
      <c r="H8552" s="7">
        <f t="shared" si="1"/>
        <v>1029</v>
      </c>
    </row>
    <row r="8553" ht="22.5" customHeight="1">
      <c r="B8553" s="7"/>
      <c r="C8553" s="7"/>
      <c r="D8553" s="7"/>
      <c r="E8553" s="7"/>
      <c r="F8553" s="7"/>
      <c r="G8553" s="7"/>
      <c r="H8553" s="7">
        <f t="shared" si="1"/>
        <v>1029</v>
      </c>
    </row>
    <row r="8554" ht="22.5" customHeight="1">
      <c r="B8554" s="7"/>
      <c r="C8554" s="7"/>
      <c r="D8554" s="7"/>
      <c r="E8554" s="7"/>
      <c r="F8554" s="7"/>
      <c r="G8554" s="7"/>
      <c r="H8554" s="7">
        <f t="shared" si="1"/>
        <v>1029</v>
      </c>
    </row>
    <row r="8555" ht="22.5" customHeight="1">
      <c r="B8555" s="7"/>
      <c r="C8555" s="7"/>
      <c r="D8555" s="7"/>
      <c r="E8555" s="7"/>
      <c r="F8555" s="7"/>
      <c r="G8555" s="7"/>
      <c r="H8555" s="7">
        <f t="shared" si="1"/>
        <v>1029</v>
      </c>
    </row>
    <row r="8556" ht="22.5" customHeight="1">
      <c r="B8556" s="7"/>
      <c r="C8556" s="7"/>
      <c r="D8556" s="7"/>
      <c r="E8556" s="7"/>
      <c r="F8556" s="7"/>
      <c r="G8556" s="7"/>
      <c r="H8556" s="7">
        <f t="shared" si="1"/>
        <v>1029</v>
      </c>
    </row>
    <row r="8557" ht="22.5" customHeight="1">
      <c r="B8557" s="7"/>
      <c r="C8557" s="7"/>
      <c r="D8557" s="7"/>
      <c r="E8557" s="7"/>
      <c r="F8557" s="7"/>
      <c r="G8557" s="7"/>
      <c r="H8557" s="7">
        <f t="shared" si="1"/>
        <v>1029</v>
      </c>
    </row>
    <row r="8558" ht="22.5" customHeight="1">
      <c r="B8558" s="7"/>
      <c r="C8558" s="7"/>
      <c r="D8558" s="7"/>
      <c r="E8558" s="7"/>
      <c r="F8558" s="7"/>
      <c r="G8558" s="7"/>
      <c r="H8558" s="7">
        <f t="shared" si="1"/>
        <v>1029</v>
      </c>
    </row>
    <row r="8559" ht="22.5" customHeight="1">
      <c r="B8559" s="7"/>
      <c r="C8559" s="7"/>
      <c r="D8559" s="7"/>
      <c r="E8559" s="7"/>
      <c r="F8559" s="7"/>
      <c r="G8559" s="7"/>
      <c r="H8559" s="7">
        <f t="shared" si="1"/>
        <v>1029</v>
      </c>
    </row>
    <row r="8560" ht="22.5" customHeight="1">
      <c r="B8560" s="7"/>
      <c r="C8560" s="7"/>
      <c r="D8560" s="7"/>
      <c r="E8560" s="7"/>
      <c r="F8560" s="7"/>
      <c r="G8560" s="7"/>
      <c r="H8560" s="7">
        <f t="shared" si="1"/>
        <v>1029</v>
      </c>
    </row>
    <row r="8561" ht="22.5" customHeight="1">
      <c r="B8561" s="7"/>
      <c r="C8561" s="7"/>
      <c r="D8561" s="7"/>
      <c r="E8561" s="7"/>
      <c r="F8561" s="7"/>
      <c r="G8561" s="7"/>
      <c r="H8561" s="7">
        <f t="shared" si="1"/>
        <v>1029</v>
      </c>
    </row>
    <row r="8562" ht="22.5" customHeight="1">
      <c r="B8562" s="7"/>
      <c r="C8562" s="7"/>
      <c r="D8562" s="7"/>
      <c r="E8562" s="7"/>
      <c r="F8562" s="7"/>
      <c r="G8562" s="7"/>
      <c r="H8562" s="7">
        <f t="shared" si="1"/>
        <v>1029</v>
      </c>
    </row>
    <row r="8563" ht="22.5" customHeight="1">
      <c r="B8563" s="7"/>
      <c r="C8563" s="7"/>
      <c r="D8563" s="7"/>
      <c r="E8563" s="7"/>
      <c r="F8563" s="7"/>
      <c r="G8563" s="7"/>
      <c r="H8563" s="7">
        <f t="shared" si="1"/>
        <v>1029</v>
      </c>
    </row>
    <row r="8564" ht="22.5" customHeight="1">
      <c r="B8564" s="7"/>
      <c r="C8564" s="7"/>
      <c r="D8564" s="7"/>
      <c r="E8564" s="7"/>
      <c r="F8564" s="7"/>
      <c r="G8564" s="7"/>
      <c r="H8564" s="7">
        <f t="shared" si="1"/>
        <v>1029</v>
      </c>
    </row>
    <row r="8565" ht="22.5" customHeight="1">
      <c r="B8565" s="7"/>
      <c r="C8565" s="7"/>
      <c r="D8565" s="7"/>
      <c r="E8565" s="7"/>
      <c r="F8565" s="7"/>
      <c r="G8565" s="7"/>
      <c r="H8565" s="7">
        <f t="shared" si="1"/>
        <v>1029</v>
      </c>
    </row>
    <row r="8566" ht="22.5" customHeight="1">
      <c r="B8566" s="7"/>
      <c r="C8566" s="7"/>
      <c r="D8566" s="7"/>
      <c r="E8566" s="7"/>
      <c r="F8566" s="7"/>
      <c r="G8566" s="7"/>
      <c r="H8566" s="7">
        <f t="shared" si="1"/>
        <v>1029</v>
      </c>
    </row>
    <row r="8567" ht="22.5" customHeight="1">
      <c r="B8567" s="7"/>
      <c r="C8567" s="7"/>
      <c r="D8567" s="7"/>
      <c r="E8567" s="7"/>
      <c r="F8567" s="7"/>
      <c r="G8567" s="7"/>
      <c r="H8567" s="7">
        <f t="shared" si="1"/>
        <v>1029</v>
      </c>
    </row>
    <row r="8568" ht="22.5" customHeight="1">
      <c r="B8568" s="7"/>
      <c r="C8568" s="7"/>
      <c r="D8568" s="7"/>
      <c r="E8568" s="7"/>
      <c r="F8568" s="7"/>
      <c r="G8568" s="7"/>
      <c r="H8568" s="7">
        <f t="shared" si="1"/>
        <v>1029</v>
      </c>
    </row>
    <row r="8569" ht="22.5" customHeight="1">
      <c r="B8569" s="7"/>
      <c r="C8569" s="7"/>
      <c r="D8569" s="7"/>
      <c r="E8569" s="7"/>
      <c r="F8569" s="7"/>
      <c r="G8569" s="7"/>
      <c r="H8569" s="7">
        <f t="shared" si="1"/>
        <v>1029</v>
      </c>
    </row>
    <row r="8570" ht="22.5" customHeight="1">
      <c r="B8570" s="7"/>
      <c r="C8570" s="7"/>
      <c r="D8570" s="7"/>
      <c r="E8570" s="7"/>
      <c r="F8570" s="7"/>
      <c r="G8570" s="7"/>
      <c r="H8570" s="7">
        <f t="shared" si="1"/>
        <v>1029</v>
      </c>
    </row>
    <row r="8571" ht="22.5" customHeight="1">
      <c r="B8571" s="7"/>
      <c r="C8571" s="7"/>
      <c r="D8571" s="7"/>
      <c r="E8571" s="7"/>
      <c r="F8571" s="7"/>
      <c r="G8571" s="7"/>
      <c r="H8571" s="7">
        <f t="shared" si="1"/>
        <v>1029</v>
      </c>
    </row>
    <row r="8572" ht="22.5" customHeight="1">
      <c r="B8572" s="7"/>
      <c r="C8572" s="7"/>
      <c r="D8572" s="7"/>
      <c r="E8572" s="7"/>
      <c r="F8572" s="7"/>
      <c r="G8572" s="7"/>
      <c r="H8572" s="7">
        <f t="shared" si="1"/>
        <v>1029</v>
      </c>
    </row>
    <row r="8573" ht="22.5" customHeight="1">
      <c r="B8573" s="7"/>
      <c r="C8573" s="7"/>
      <c r="D8573" s="7"/>
      <c r="E8573" s="7"/>
      <c r="F8573" s="7"/>
      <c r="G8573" s="7"/>
      <c r="H8573" s="7">
        <f t="shared" si="1"/>
        <v>1029</v>
      </c>
    </row>
    <row r="8574" ht="22.5" customHeight="1">
      <c r="B8574" s="7"/>
      <c r="C8574" s="7"/>
      <c r="D8574" s="7"/>
      <c r="E8574" s="7"/>
      <c r="F8574" s="7"/>
      <c r="G8574" s="7"/>
      <c r="H8574" s="7">
        <f t="shared" si="1"/>
        <v>1029</v>
      </c>
    </row>
    <row r="8575" ht="22.5" customHeight="1">
      <c r="B8575" s="7"/>
      <c r="C8575" s="7"/>
      <c r="D8575" s="7"/>
      <c r="E8575" s="7"/>
      <c r="F8575" s="7"/>
      <c r="G8575" s="7"/>
      <c r="H8575" s="7">
        <f t="shared" si="1"/>
        <v>1029</v>
      </c>
    </row>
    <row r="8576" ht="22.5" customHeight="1">
      <c r="B8576" s="7"/>
      <c r="C8576" s="7"/>
      <c r="D8576" s="7"/>
      <c r="E8576" s="7"/>
      <c r="F8576" s="7"/>
      <c r="G8576" s="7"/>
      <c r="H8576" s="7">
        <f t="shared" si="1"/>
        <v>1029</v>
      </c>
    </row>
    <row r="8577" ht="22.5" customHeight="1">
      <c r="B8577" s="7"/>
      <c r="C8577" s="7"/>
      <c r="D8577" s="7"/>
      <c r="E8577" s="7"/>
      <c r="F8577" s="7"/>
      <c r="G8577" s="7"/>
      <c r="H8577" s="7">
        <f t="shared" si="1"/>
        <v>1029</v>
      </c>
    </row>
    <row r="8578" ht="22.5" customHeight="1">
      <c r="B8578" s="7"/>
      <c r="C8578" s="7"/>
      <c r="D8578" s="7"/>
      <c r="E8578" s="7"/>
      <c r="F8578" s="7"/>
      <c r="G8578" s="7"/>
      <c r="H8578" s="7">
        <f t="shared" si="1"/>
        <v>1029</v>
      </c>
    </row>
    <row r="8579" ht="22.5" customHeight="1">
      <c r="B8579" s="7"/>
      <c r="C8579" s="7"/>
      <c r="D8579" s="7"/>
      <c r="E8579" s="7"/>
      <c r="F8579" s="7"/>
      <c r="G8579" s="7"/>
      <c r="H8579" s="7">
        <f t="shared" si="1"/>
        <v>1029</v>
      </c>
    </row>
    <row r="8580" ht="22.5" customHeight="1">
      <c r="B8580" s="7"/>
      <c r="C8580" s="7"/>
      <c r="D8580" s="7"/>
      <c r="E8580" s="7"/>
      <c r="F8580" s="7"/>
      <c r="G8580" s="7"/>
      <c r="H8580" s="7">
        <f t="shared" si="1"/>
        <v>1029</v>
      </c>
    </row>
    <row r="8581" ht="22.5" customHeight="1">
      <c r="B8581" s="7"/>
      <c r="C8581" s="7"/>
      <c r="D8581" s="7"/>
      <c r="E8581" s="7"/>
      <c r="F8581" s="7"/>
      <c r="G8581" s="7"/>
      <c r="H8581" s="7">
        <f t="shared" si="1"/>
        <v>1029</v>
      </c>
    </row>
    <row r="8582" ht="22.5" customHeight="1">
      <c r="B8582" s="7"/>
      <c r="C8582" s="7"/>
      <c r="D8582" s="7"/>
      <c r="E8582" s="7"/>
      <c r="F8582" s="7"/>
      <c r="G8582" s="7"/>
      <c r="H8582" s="7">
        <f t="shared" si="1"/>
        <v>1029</v>
      </c>
    </row>
    <row r="8583" ht="22.5" customHeight="1">
      <c r="B8583" s="7"/>
      <c r="C8583" s="7"/>
      <c r="D8583" s="7"/>
      <c r="E8583" s="7"/>
      <c r="F8583" s="7"/>
      <c r="G8583" s="7"/>
      <c r="H8583" s="7">
        <f t="shared" si="1"/>
        <v>1029</v>
      </c>
    </row>
    <row r="8584" ht="22.5" customHeight="1">
      <c r="B8584" s="7"/>
      <c r="C8584" s="7"/>
      <c r="D8584" s="7"/>
      <c r="E8584" s="7"/>
      <c r="F8584" s="7"/>
      <c r="G8584" s="7"/>
      <c r="H8584" s="7">
        <f t="shared" si="1"/>
        <v>1029</v>
      </c>
    </row>
    <row r="8585" ht="22.5" customHeight="1">
      <c r="B8585" s="7"/>
      <c r="C8585" s="7"/>
      <c r="D8585" s="7"/>
      <c r="E8585" s="7"/>
      <c r="F8585" s="7"/>
      <c r="G8585" s="7"/>
      <c r="H8585" s="7">
        <f t="shared" si="1"/>
        <v>1029</v>
      </c>
    </row>
    <row r="8586" ht="22.5" customHeight="1">
      <c r="B8586" s="7"/>
      <c r="C8586" s="7"/>
      <c r="D8586" s="7"/>
      <c r="E8586" s="7"/>
      <c r="F8586" s="7"/>
      <c r="G8586" s="7"/>
      <c r="H8586" s="7">
        <f t="shared" si="1"/>
        <v>1029</v>
      </c>
    </row>
    <row r="8587" ht="22.5" customHeight="1">
      <c r="B8587" s="7"/>
      <c r="C8587" s="7"/>
      <c r="D8587" s="7"/>
      <c r="E8587" s="7"/>
      <c r="F8587" s="7"/>
      <c r="G8587" s="7"/>
      <c r="H8587" s="7">
        <f t="shared" si="1"/>
        <v>1029</v>
      </c>
    </row>
    <row r="8588" ht="22.5" customHeight="1">
      <c r="B8588" s="7"/>
      <c r="C8588" s="7"/>
      <c r="D8588" s="7"/>
      <c r="E8588" s="7"/>
      <c r="F8588" s="7"/>
      <c r="G8588" s="7"/>
      <c r="H8588" s="7">
        <f t="shared" si="1"/>
        <v>1029</v>
      </c>
    </row>
    <row r="8589" ht="22.5" customHeight="1">
      <c r="B8589" s="7"/>
      <c r="C8589" s="7"/>
      <c r="D8589" s="7"/>
      <c r="E8589" s="7"/>
      <c r="F8589" s="7"/>
      <c r="G8589" s="7"/>
      <c r="H8589" s="7">
        <f t="shared" si="1"/>
        <v>1029</v>
      </c>
    </row>
    <row r="8590" ht="22.5" customHeight="1">
      <c r="B8590" s="7"/>
      <c r="C8590" s="7"/>
      <c r="D8590" s="7"/>
      <c r="E8590" s="7"/>
      <c r="F8590" s="7"/>
      <c r="G8590" s="7"/>
      <c r="H8590" s="7">
        <f t="shared" si="1"/>
        <v>1029</v>
      </c>
    </row>
    <row r="8591" ht="22.5" customHeight="1">
      <c r="B8591" s="7"/>
      <c r="C8591" s="7"/>
      <c r="D8591" s="7"/>
      <c r="E8591" s="7"/>
      <c r="F8591" s="7"/>
      <c r="G8591" s="7"/>
      <c r="H8591" s="7">
        <f t="shared" si="1"/>
        <v>1029</v>
      </c>
    </row>
    <row r="8592" ht="22.5" customHeight="1">
      <c r="B8592" s="7"/>
      <c r="C8592" s="7"/>
      <c r="D8592" s="7"/>
      <c r="E8592" s="7"/>
      <c r="F8592" s="7"/>
      <c r="G8592" s="7"/>
      <c r="H8592" s="7">
        <f t="shared" si="1"/>
        <v>1029</v>
      </c>
    </row>
    <row r="8593" ht="22.5" customHeight="1">
      <c r="B8593" s="7"/>
      <c r="C8593" s="7"/>
      <c r="D8593" s="7"/>
      <c r="E8593" s="7"/>
      <c r="F8593" s="7"/>
      <c r="G8593" s="7"/>
      <c r="H8593" s="7">
        <f t="shared" si="1"/>
        <v>1029</v>
      </c>
    </row>
    <row r="8594" ht="22.5" customHeight="1">
      <c r="B8594" s="7"/>
      <c r="C8594" s="7"/>
      <c r="D8594" s="7"/>
      <c r="E8594" s="7"/>
      <c r="F8594" s="7"/>
      <c r="G8594" s="7"/>
      <c r="H8594" s="7">
        <f t="shared" si="1"/>
        <v>1029</v>
      </c>
    </row>
    <row r="8595" ht="22.5" customHeight="1">
      <c r="B8595" s="7"/>
      <c r="C8595" s="7"/>
      <c r="D8595" s="7"/>
      <c r="E8595" s="7"/>
      <c r="F8595" s="7"/>
      <c r="G8595" s="7"/>
      <c r="H8595" s="7">
        <f t="shared" si="1"/>
        <v>1029</v>
      </c>
    </row>
    <row r="8596" ht="22.5" customHeight="1">
      <c r="B8596" s="7"/>
      <c r="C8596" s="7"/>
      <c r="D8596" s="7"/>
      <c r="E8596" s="7"/>
      <c r="F8596" s="7"/>
      <c r="G8596" s="7"/>
      <c r="H8596" s="7">
        <f t="shared" si="1"/>
        <v>1029</v>
      </c>
    </row>
    <row r="8597" ht="22.5" customHeight="1">
      <c r="B8597" s="7"/>
      <c r="C8597" s="7"/>
      <c r="D8597" s="7"/>
      <c r="E8597" s="7"/>
      <c r="F8597" s="7"/>
      <c r="G8597" s="7"/>
      <c r="H8597" s="7">
        <f t="shared" si="1"/>
        <v>1029</v>
      </c>
    </row>
    <row r="8598" ht="22.5" customHeight="1">
      <c r="B8598" s="7"/>
      <c r="C8598" s="7"/>
      <c r="D8598" s="7"/>
      <c r="E8598" s="7"/>
      <c r="F8598" s="7"/>
      <c r="G8598" s="7"/>
      <c r="H8598" s="7">
        <f t="shared" si="1"/>
        <v>1029</v>
      </c>
    </row>
    <row r="8599" ht="22.5" customHeight="1">
      <c r="B8599" s="7"/>
      <c r="C8599" s="7"/>
      <c r="D8599" s="7"/>
      <c r="E8599" s="7"/>
      <c r="F8599" s="7"/>
      <c r="G8599" s="7"/>
      <c r="H8599" s="7">
        <f t="shared" si="1"/>
        <v>1029</v>
      </c>
    </row>
    <row r="8600" ht="22.5" customHeight="1">
      <c r="B8600" s="7"/>
      <c r="C8600" s="7"/>
      <c r="D8600" s="7"/>
      <c r="E8600" s="7"/>
      <c r="F8600" s="7"/>
      <c r="G8600" s="7"/>
      <c r="H8600" s="7">
        <f t="shared" si="1"/>
        <v>1029</v>
      </c>
    </row>
    <row r="8601" ht="22.5" customHeight="1">
      <c r="B8601" s="7"/>
      <c r="C8601" s="7"/>
      <c r="D8601" s="7"/>
      <c r="E8601" s="7"/>
      <c r="F8601" s="7"/>
      <c r="G8601" s="7"/>
      <c r="H8601" s="7">
        <f t="shared" si="1"/>
        <v>1029</v>
      </c>
    </row>
    <row r="8602" ht="22.5" customHeight="1">
      <c r="B8602" s="7"/>
      <c r="C8602" s="7"/>
      <c r="D8602" s="7"/>
      <c r="E8602" s="7"/>
      <c r="F8602" s="7"/>
      <c r="G8602" s="7"/>
      <c r="H8602" s="7">
        <f t="shared" si="1"/>
        <v>1029</v>
      </c>
    </row>
    <row r="8603" ht="22.5" customHeight="1">
      <c r="B8603" s="7"/>
      <c r="C8603" s="7"/>
      <c r="D8603" s="7"/>
      <c r="E8603" s="7"/>
      <c r="F8603" s="7"/>
      <c r="G8603" s="7"/>
      <c r="H8603" s="7">
        <f t="shared" si="1"/>
        <v>1029</v>
      </c>
    </row>
    <row r="8604" ht="22.5" customHeight="1">
      <c r="B8604" s="7"/>
      <c r="C8604" s="7"/>
      <c r="D8604" s="7"/>
      <c r="E8604" s="7"/>
      <c r="F8604" s="7"/>
      <c r="G8604" s="7"/>
      <c r="H8604" s="7">
        <f t="shared" si="1"/>
        <v>1029</v>
      </c>
    </row>
    <row r="8605" ht="22.5" customHeight="1">
      <c r="B8605" s="7"/>
      <c r="C8605" s="7"/>
      <c r="D8605" s="7"/>
      <c r="E8605" s="7"/>
      <c r="F8605" s="7"/>
      <c r="G8605" s="7"/>
      <c r="H8605" s="7">
        <f t="shared" si="1"/>
        <v>1029</v>
      </c>
    </row>
    <row r="8606" ht="22.5" customHeight="1">
      <c r="B8606" s="7"/>
      <c r="C8606" s="7"/>
      <c r="D8606" s="7"/>
      <c r="E8606" s="7"/>
      <c r="F8606" s="7"/>
      <c r="G8606" s="7"/>
      <c r="H8606" s="7">
        <f t="shared" si="1"/>
        <v>1029</v>
      </c>
    </row>
    <row r="8607" ht="22.5" customHeight="1">
      <c r="B8607" s="7"/>
      <c r="C8607" s="7"/>
      <c r="D8607" s="7"/>
      <c r="E8607" s="7"/>
      <c r="F8607" s="7"/>
      <c r="G8607" s="7"/>
      <c r="H8607" s="7">
        <f t="shared" si="1"/>
        <v>1029</v>
      </c>
    </row>
    <row r="8608" ht="22.5" customHeight="1">
      <c r="B8608" s="7"/>
      <c r="C8608" s="7"/>
      <c r="D8608" s="7"/>
      <c r="E8608" s="7"/>
      <c r="F8608" s="7"/>
      <c r="G8608" s="7"/>
      <c r="H8608" s="7">
        <f t="shared" si="1"/>
        <v>1029</v>
      </c>
    </row>
    <row r="8609" ht="22.5" customHeight="1">
      <c r="B8609" s="7"/>
      <c r="C8609" s="7"/>
      <c r="D8609" s="7"/>
      <c r="E8609" s="7"/>
      <c r="F8609" s="7"/>
      <c r="G8609" s="7"/>
      <c r="H8609" s="7">
        <f t="shared" si="1"/>
        <v>1029</v>
      </c>
    </row>
    <row r="8610" ht="22.5" customHeight="1">
      <c r="B8610" s="7"/>
      <c r="C8610" s="7"/>
      <c r="D8610" s="7"/>
      <c r="E8610" s="7"/>
      <c r="F8610" s="7"/>
      <c r="G8610" s="7"/>
      <c r="H8610" s="7">
        <f t="shared" si="1"/>
        <v>1029</v>
      </c>
    </row>
    <row r="8611" ht="22.5" customHeight="1">
      <c r="B8611" s="7"/>
      <c r="C8611" s="7"/>
      <c r="D8611" s="7"/>
      <c r="E8611" s="7"/>
      <c r="F8611" s="7"/>
      <c r="G8611" s="7"/>
      <c r="H8611" s="7">
        <f t="shared" si="1"/>
        <v>1029</v>
      </c>
    </row>
    <row r="8612" ht="22.5" customHeight="1">
      <c r="B8612" s="7"/>
      <c r="C8612" s="7"/>
      <c r="D8612" s="7"/>
      <c r="E8612" s="7"/>
      <c r="F8612" s="7"/>
      <c r="G8612" s="7"/>
      <c r="H8612" s="7">
        <f t="shared" si="1"/>
        <v>1029</v>
      </c>
    </row>
    <row r="8613" ht="22.5" customHeight="1">
      <c r="B8613" s="7"/>
      <c r="C8613" s="7"/>
      <c r="D8613" s="7"/>
      <c r="E8613" s="7"/>
      <c r="F8613" s="7"/>
      <c r="G8613" s="7"/>
      <c r="H8613" s="7">
        <f t="shared" si="1"/>
        <v>1029</v>
      </c>
    </row>
    <row r="8614" ht="22.5" customHeight="1">
      <c r="B8614" s="7"/>
      <c r="C8614" s="7"/>
      <c r="D8614" s="7"/>
      <c r="E8614" s="7"/>
      <c r="F8614" s="7"/>
      <c r="G8614" s="7"/>
      <c r="H8614" s="7">
        <f t="shared" si="1"/>
        <v>1029</v>
      </c>
    </row>
    <row r="8615" ht="22.5" customHeight="1">
      <c r="B8615" s="7"/>
      <c r="C8615" s="7"/>
      <c r="D8615" s="7"/>
      <c r="E8615" s="7"/>
      <c r="F8615" s="7"/>
      <c r="G8615" s="7"/>
      <c r="H8615" s="7">
        <f t="shared" si="1"/>
        <v>1029</v>
      </c>
    </row>
    <row r="8616" ht="22.5" customHeight="1">
      <c r="B8616" s="7"/>
      <c r="C8616" s="7"/>
      <c r="D8616" s="7"/>
      <c r="E8616" s="7"/>
      <c r="F8616" s="7"/>
      <c r="G8616" s="7"/>
      <c r="H8616" s="7">
        <f t="shared" si="1"/>
        <v>1029</v>
      </c>
    </row>
    <row r="8617" ht="22.5" customHeight="1">
      <c r="B8617" s="7"/>
      <c r="C8617" s="7"/>
      <c r="D8617" s="7"/>
      <c r="E8617" s="7"/>
      <c r="F8617" s="7"/>
      <c r="G8617" s="7"/>
      <c r="H8617" s="7">
        <f t="shared" si="1"/>
        <v>1029</v>
      </c>
    </row>
    <row r="8618" ht="22.5" customHeight="1">
      <c r="B8618" s="7"/>
      <c r="C8618" s="7"/>
      <c r="D8618" s="7"/>
      <c r="E8618" s="7"/>
      <c r="F8618" s="7"/>
      <c r="G8618" s="7"/>
      <c r="H8618" s="7">
        <f t="shared" si="1"/>
        <v>1029</v>
      </c>
    </row>
    <row r="8619" ht="22.5" customHeight="1">
      <c r="B8619" s="7"/>
      <c r="C8619" s="7"/>
      <c r="D8619" s="7"/>
      <c r="E8619" s="7"/>
      <c r="F8619" s="7"/>
      <c r="G8619" s="7"/>
      <c r="H8619" s="7">
        <f t="shared" si="1"/>
        <v>1029</v>
      </c>
    </row>
    <row r="8620" ht="22.5" customHeight="1">
      <c r="B8620" s="7"/>
      <c r="C8620" s="7"/>
      <c r="D8620" s="7"/>
      <c r="E8620" s="7"/>
      <c r="F8620" s="7"/>
      <c r="G8620" s="7"/>
      <c r="H8620" s="7">
        <f t="shared" si="1"/>
        <v>1029</v>
      </c>
    </row>
    <row r="8621" ht="22.5" customHeight="1">
      <c r="B8621" s="7"/>
      <c r="C8621" s="7"/>
      <c r="D8621" s="7"/>
      <c r="E8621" s="7"/>
      <c r="F8621" s="7"/>
      <c r="G8621" s="7"/>
      <c r="H8621" s="7">
        <f t="shared" si="1"/>
        <v>1029</v>
      </c>
    </row>
    <row r="8622" ht="22.5" customHeight="1">
      <c r="B8622" s="7"/>
      <c r="C8622" s="7"/>
      <c r="D8622" s="7"/>
      <c r="E8622" s="7"/>
      <c r="F8622" s="7"/>
      <c r="G8622" s="7"/>
      <c r="H8622" s="7">
        <f t="shared" si="1"/>
        <v>1029</v>
      </c>
    </row>
    <row r="8623" ht="22.5" customHeight="1">
      <c r="B8623" s="7"/>
      <c r="C8623" s="7"/>
      <c r="D8623" s="7"/>
      <c r="E8623" s="7"/>
      <c r="F8623" s="7"/>
      <c r="G8623" s="7"/>
      <c r="H8623" s="7">
        <f t="shared" si="1"/>
        <v>1029</v>
      </c>
    </row>
    <row r="8624" ht="22.5" customHeight="1">
      <c r="B8624" s="7"/>
      <c r="C8624" s="7"/>
      <c r="D8624" s="7"/>
      <c r="E8624" s="7"/>
      <c r="F8624" s="7"/>
      <c r="G8624" s="7"/>
      <c r="H8624" s="7">
        <f t="shared" si="1"/>
        <v>1029</v>
      </c>
    </row>
    <row r="8625" ht="22.5" customHeight="1">
      <c r="B8625" s="7"/>
      <c r="C8625" s="7"/>
      <c r="D8625" s="7"/>
      <c r="E8625" s="7"/>
      <c r="F8625" s="7"/>
      <c r="G8625" s="7"/>
      <c r="H8625" s="7">
        <f t="shared" si="1"/>
        <v>1029</v>
      </c>
    </row>
    <row r="8626" ht="22.5" customHeight="1">
      <c r="B8626" s="7"/>
      <c r="C8626" s="7"/>
      <c r="D8626" s="7"/>
      <c r="E8626" s="7"/>
      <c r="F8626" s="7"/>
      <c r="G8626" s="7"/>
      <c r="H8626" s="7">
        <f t="shared" si="1"/>
        <v>1029</v>
      </c>
    </row>
    <row r="8627" ht="22.5" customHeight="1">
      <c r="B8627" s="7"/>
      <c r="C8627" s="7"/>
      <c r="D8627" s="7"/>
      <c r="E8627" s="7"/>
      <c r="F8627" s="7"/>
      <c r="G8627" s="7"/>
      <c r="H8627" s="7">
        <f t="shared" si="1"/>
        <v>1029</v>
      </c>
    </row>
    <row r="8628" ht="22.5" customHeight="1">
      <c r="B8628" s="7"/>
      <c r="C8628" s="7"/>
      <c r="D8628" s="7"/>
      <c r="E8628" s="7"/>
      <c r="F8628" s="7"/>
      <c r="G8628" s="7"/>
      <c r="H8628" s="7">
        <f t="shared" si="1"/>
        <v>1029</v>
      </c>
    </row>
    <row r="8629" ht="22.5" customHeight="1">
      <c r="B8629" s="7"/>
      <c r="C8629" s="7"/>
      <c r="D8629" s="7"/>
      <c r="E8629" s="7"/>
      <c r="F8629" s="7"/>
      <c r="G8629" s="7"/>
      <c r="H8629" s="7">
        <f t="shared" si="1"/>
        <v>1029</v>
      </c>
    </row>
    <row r="8630" ht="22.5" customHeight="1">
      <c r="B8630" s="7"/>
      <c r="C8630" s="7"/>
      <c r="D8630" s="7"/>
      <c r="E8630" s="7"/>
      <c r="F8630" s="7"/>
      <c r="G8630" s="7"/>
      <c r="H8630" s="7">
        <f t="shared" si="1"/>
        <v>1029</v>
      </c>
    </row>
    <row r="8631" ht="22.5" customHeight="1">
      <c r="B8631" s="7"/>
      <c r="C8631" s="7"/>
      <c r="D8631" s="7"/>
      <c r="E8631" s="7"/>
      <c r="F8631" s="7"/>
      <c r="G8631" s="7"/>
      <c r="H8631" s="7">
        <f t="shared" si="1"/>
        <v>1029</v>
      </c>
    </row>
    <row r="8632" ht="22.5" customHeight="1">
      <c r="B8632" s="7"/>
      <c r="C8632" s="7"/>
      <c r="D8632" s="7"/>
      <c r="E8632" s="7"/>
      <c r="F8632" s="7"/>
      <c r="G8632" s="7"/>
      <c r="H8632" s="7">
        <f t="shared" si="1"/>
        <v>1029</v>
      </c>
    </row>
    <row r="8633" ht="22.5" customHeight="1">
      <c r="B8633" s="7"/>
      <c r="C8633" s="7"/>
      <c r="D8633" s="7"/>
      <c r="E8633" s="7"/>
      <c r="F8633" s="7"/>
      <c r="G8633" s="7"/>
      <c r="H8633" s="7">
        <f t="shared" si="1"/>
        <v>1029</v>
      </c>
    </row>
    <row r="8634" ht="22.5" customHeight="1">
      <c r="B8634" s="7"/>
      <c r="C8634" s="7"/>
      <c r="D8634" s="7"/>
      <c r="E8634" s="7"/>
      <c r="F8634" s="7"/>
      <c r="G8634" s="7"/>
      <c r="H8634" s="7">
        <f t="shared" si="1"/>
        <v>1029</v>
      </c>
    </row>
    <row r="8635" ht="22.5" customHeight="1">
      <c r="B8635" s="7"/>
      <c r="C8635" s="7"/>
      <c r="D8635" s="7"/>
      <c r="E8635" s="7"/>
      <c r="F8635" s="7"/>
      <c r="G8635" s="7"/>
      <c r="H8635" s="7">
        <f t="shared" si="1"/>
        <v>1029</v>
      </c>
    </row>
    <row r="8636" ht="22.5" customHeight="1">
      <c r="B8636" s="7"/>
      <c r="C8636" s="7"/>
      <c r="D8636" s="7"/>
      <c r="E8636" s="7"/>
      <c r="F8636" s="7"/>
      <c r="G8636" s="7"/>
      <c r="H8636" s="7">
        <f t="shared" si="1"/>
        <v>1029</v>
      </c>
    </row>
    <row r="8637" ht="22.5" customHeight="1">
      <c r="B8637" s="7"/>
      <c r="C8637" s="7"/>
      <c r="D8637" s="7"/>
      <c r="E8637" s="7"/>
      <c r="F8637" s="7"/>
      <c r="G8637" s="7"/>
      <c r="H8637" s="7">
        <f t="shared" si="1"/>
        <v>1029</v>
      </c>
    </row>
    <row r="8638" ht="22.5" customHeight="1">
      <c r="B8638" s="7"/>
      <c r="C8638" s="7"/>
      <c r="D8638" s="7"/>
      <c r="E8638" s="7"/>
      <c r="F8638" s="7"/>
      <c r="G8638" s="7"/>
      <c r="H8638" s="7">
        <f t="shared" si="1"/>
        <v>1029</v>
      </c>
    </row>
    <row r="8639" ht="22.5" customHeight="1">
      <c r="B8639" s="7"/>
      <c r="C8639" s="7"/>
      <c r="D8639" s="7"/>
      <c r="E8639" s="7"/>
      <c r="F8639" s="7"/>
      <c r="G8639" s="7"/>
      <c r="H8639" s="7">
        <f t="shared" si="1"/>
        <v>1029</v>
      </c>
    </row>
    <row r="8640" ht="22.5" customHeight="1">
      <c r="B8640" s="7"/>
      <c r="C8640" s="7"/>
      <c r="D8640" s="7"/>
      <c r="E8640" s="7"/>
      <c r="F8640" s="7"/>
      <c r="G8640" s="7"/>
      <c r="H8640" s="7">
        <f t="shared" si="1"/>
        <v>1029</v>
      </c>
    </row>
    <row r="8641" ht="22.5" customHeight="1">
      <c r="B8641" s="7"/>
      <c r="C8641" s="7"/>
      <c r="D8641" s="7"/>
      <c r="E8641" s="7"/>
      <c r="F8641" s="7"/>
      <c r="G8641" s="7"/>
      <c r="H8641" s="7">
        <f t="shared" si="1"/>
        <v>1029</v>
      </c>
    </row>
    <row r="8642" ht="22.5" customHeight="1">
      <c r="B8642" s="7"/>
      <c r="C8642" s="7"/>
      <c r="D8642" s="7"/>
      <c r="E8642" s="7"/>
      <c r="F8642" s="7"/>
      <c r="G8642" s="7"/>
      <c r="H8642" s="7">
        <f t="shared" si="1"/>
        <v>1029</v>
      </c>
    </row>
    <row r="8643" ht="22.5" customHeight="1">
      <c r="B8643" s="7"/>
      <c r="C8643" s="7"/>
      <c r="D8643" s="7"/>
      <c r="E8643" s="7"/>
      <c r="F8643" s="7"/>
      <c r="G8643" s="7"/>
      <c r="H8643" s="7">
        <f t="shared" si="1"/>
        <v>1029</v>
      </c>
    </row>
    <row r="8644" ht="22.5" customHeight="1">
      <c r="B8644" s="7"/>
      <c r="C8644" s="7"/>
      <c r="D8644" s="7"/>
      <c r="E8644" s="7"/>
      <c r="F8644" s="7"/>
      <c r="G8644" s="7"/>
      <c r="H8644" s="7">
        <f t="shared" si="1"/>
        <v>1029</v>
      </c>
    </row>
    <row r="8645" ht="22.5" customHeight="1">
      <c r="B8645" s="7"/>
      <c r="C8645" s="7"/>
      <c r="D8645" s="7"/>
      <c r="E8645" s="7"/>
      <c r="F8645" s="7"/>
      <c r="G8645" s="7"/>
      <c r="H8645" s="7">
        <f t="shared" si="1"/>
        <v>1029</v>
      </c>
    </row>
    <row r="8646" ht="22.5" customHeight="1">
      <c r="B8646" s="7"/>
      <c r="C8646" s="7"/>
      <c r="D8646" s="7"/>
      <c r="E8646" s="7"/>
      <c r="F8646" s="7"/>
      <c r="G8646" s="7"/>
      <c r="H8646" s="7">
        <f t="shared" si="1"/>
        <v>1029</v>
      </c>
    </row>
    <row r="8647" ht="22.5" customHeight="1">
      <c r="B8647" s="7"/>
      <c r="C8647" s="7"/>
      <c r="D8647" s="7"/>
      <c r="E8647" s="7"/>
      <c r="F8647" s="7"/>
      <c r="G8647" s="7"/>
      <c r="H8647" s="7">
        <f t="shared" si="1"/>
        <v>1029</v>
      </c>
    </row>
    <row r="8648" ht="22.5" customHeight="1">
      <c r="B8648" s="7"/>
      <c r="C8648" s="7"/>
      <c r="D8648" s="7"/>
      <c r="E8648" s="7"/>
      <c r="F8648" s="7"/>
      <c r="G8648" s="7"/>
      <c r="H8648" s="7">
        <f t="shared" si="1"/>
        <v>1029</v>
      </c>
    </row>
    <row r="8649" ht="22.5" customHeight="1">
      <c r="B8649" s="7"/>
      <c r="C8649" s="7"/>
      <c r="D8649" s="7"/>
      <c r="E8649" s="7"/>
      <c r="F8649" s="7"/>
      <c r="G8649" s="7"/>
      <c r="H8649" s="7">
        <f t="shared" si="1"/>
        <v>1029</v>
      </c>
    </row>
    <row r="8650" ht="22.5" customHeight="1">
      <c r="B8650" s="7"/>
      <c r="C8650" s="7"/>
      <c r="D8650" s="7"/>
      <c r="E8650" s="7"/>
      <c r="F8650" s="7"/>
      <c r="G8650" s="7"/>
      <c r="H8650" s="7">
        <f t="shared" si="1"/>
        <v>1029</v>
      </c>
    </row>
    <row r="8651" ht="22.5" customHeight="1">
      <c r="B8651" s="7"/>
      <c r="C8651" s="7"/>
      <c r="D8651" s="7"/>
      <c r="E8651" s="7"/>
      <c r="F8651" s="7"/>
      <c r="G8651" s="7"/>
      <c r="H8651" s="7">
        <f t="shared" si="1"/>
        <v>1029</v>
      </c>
    </row>
    <row r="8652" ht="22.5" customHeight="1">
      <c r="B8652" s="7"/>
      <c r="C8652" s="7"/>
      <c r="D8652" s="7"/>
      <c r="E8652" s="7"/>
      <c r="F8652" s="7"/>
      <c r="G8652" s="7"/>
      <c r="H8652" s="7">
        <f t="shared" si="1"/>
        <v>1029</v>
      </c>
    </row>
    <row r="8653" ht="22.5" customHeight="1">
      <c r="B8653" s="7"/>
      <c r="C8653" s="7"/>
      <c r="D8653" s="7"/>
      <c r="E8653" s="7"/>
      <c r="F8653" s="7"/>
      <c r="G8653" s="7"/>
      <c r="H8653" s="7">
        <f t="shared" si="1"/>
        <v>1029</v>
      </c>
    </row>
    <row r="8654" ht="22.5" customHeight="1">
      <c r="B8654" s="7"/>
      <c r="C8654" s="7"/>
      <c r="D8654" s="7"/>
      <c r="E8654" s="7"/>
      <c r="F8654" s="7"/>
      <c r="G8654" s="7"/>
      <c r="H8654" s="7">
        <f t="shared" si="1"/>
        <v>1029</v>
      </c>
    </row>
    <row r="8655" ht="22.5" customHeight="1">
      <c r="B8655" s="7"/>
      <c r="C8655" s="7"/>
      <c r="D8655" s="7"/>
      <c r="E8655" s="7"/>
      <c r="F8655" s="7"/>
      <c r="G8655" s="7"/>
      <c r="H8655" s="7">
        <f t="shared" si="1"/>
        <v>1029</v>
      </c>
    </row>
    <row r="8656" ht="22.5" customHeight="1">
      <c r="B8656" s="7"/>
      <c r="C8656" s="7"/>
      <c r="D8656" s="7"/>
      <c r="E8656" s="7"/>
      <c r="F8656" s="7"/>
      <c r="G8656" s="7"/>
      <c r="H8656" s="7">
        <f t="shared" si="1"/>
        <v>1029</v>
      </c>
    </row>
    <row r="8657" ht="22.5" customHeight="1">
      <c r="B8657" s="7"/>
      <c r="C8657" s="7"/>
      <c r="D8657" s="7"/>
      <c r="E8657" s="7"/>
      <c r="F8657" s="7"/>
      <c r="G8657" s="7"/>
      <c r="H8657" s="7">
        <f t="shared" si="1"/>
        <v>1029</v>
      </c>
    </row>
    <row r="8658" ht="22.5" customHeight="1">
      <c r="B8658" s="7"/>
      <c r="C8658" s="7"/>
      <c r="D8658" s="7"/>
      <c r="E8658" s="7"/>
      <c r="F8658" s="7"/>
      <c r="G8658" s="7"/>
      <c r="H8658" s="7">
        <f t="shared" si="1"/>
        <v>1029</v>
      </c>
    </row>
    <row r="8659" ht="22.5" customHeight="1">
      <c r="B8659" s="7"/>
      <c r="C8659" s="7"/>
      <c r="D8659" s="7"/>
      <c r="E8659" s="7"/>
      <c r="F8659" s="7"/>
      <c r="G8659" s="7"/>
      <c r="H8659" s="7">
        <f t="shared" si="1"/>
        <v>1029</v>
      </c>
    </row>
    <row r="8660" ht="22.5" customHeight="1">
      <c r="B8660" s="7"/>
      <c r="C8660" s="7"/>
      <c r="D8660" s="7"/>
      <c r="E8660" s="7"/>
      <c r="F8660" s="7"/>
      <c r="G8660" s="7"/>
      <c r="H8660" s="7">
        <f t="shared" si="1"/>
        <v>1029</v>
      </c>
    </row>
    <row r="8661" ht="22.5" customHeight="1">
      <c r="B8661" s="7"/>
      <c r="C8661" s="7"/>
      <c r="D8661" s="7"/>
      <c r="E8661" s="7"/>
      <c r="F8661" s="7"/>
      <c r="G8661" s="7"/>
      <c r="H8661" s="7">
        <f t="shared" si="1"/>
        <v>1029</v>
      </c>
    </row>
    <row r="8662" ht="22.5" customHeight="1">
      <c r="B8662" s="7"/>
      <c r="C8662" s="7"/>
      <c r="D8662" s="7"/>
      <c r="E8662" s="7"/>
      <c r="F8662" s="7"/>
      <c r="G8662" s="7"/>
      <c r="H8662" s="7">
        <f t="shared" si="1"/>
        <v>1029</v>
      </c>
    </row>
    <row r="8663" ht="22.5" customHeight="1">
      <c r="B8663" s="7"/>
      <c r="C8663" s="7"/>
      <c r="D8663" s="7"/>
      <c r="E8663" s="7"/>
      <c r="F8663" s="7"/>
      <c r="G8663" s="7"/>
      <c r="H8663" s="7">
        <f t="shared" si="1"/>
        <v>1029</v>
      </c>
    </row>
    <row r="8664" ht="22.5" customHeight="1">
      <c r="B8664" s="7"/>
      <c r="C8664" s="7"/>
      <c r="D8664" s="7"/>
      <c r="E8664" s="7"/>
      <c r="F8664" s="7"/>
      <c r="G8664" s="7"/>
      <c r="H8664" s="7">
        <f t="shared" si="1"/>
        <v>1029</v>
      </c>
    </row>
    <row r="8665" ht="22.5" customHeight="1">
      <c r="B8665" s="7"/>
      <c r="C8665" s="7"/>
      <c r="D8665" s="7"/>
      <c r="E8665" s="7"/>
      <c r="F8665" s="7"/>
      <c r="G8665" s="7"/>
      <c r="H8665" s="7">
        <f t="shared" si="1"/>
        <v>1029</v>
      </c>
    </row>
    <row r="8666" ht="22.5" customHeight="1">
      <c r="B8666" s="7"/>
      <c r="C8666" s="7"/>
      <c r="D8666" s="7"/>
      <c r="E8666" s="7"/>
      <c r="F8666" s="7"/>
      <c r="G8666" s="7"/>
      <c r="H8666" s="7">
        <f t="shared" si="1"/>
        <v>1029</v>
      </c>
    </row>
    <row r="8667" ht="22.5" customHeight="1">
      <c r="B8667" s="7"/>
      <c r="C8667" s="7"/>
      <c r="D8667" s="7"/>
      <c r="E8667" s="7"/>
      <c r="F8667" s="7"/>
      <c r="G8667" s="7"/>
      <c r="H8667" s="7">
        <f t="shared" si="1"/>
        <v>1029</v>
      </c>
    </row>
    <row r="8668" ht="22.5" customHeight="1">
      <c r="B8668" s="7"/>
      <c r="C8668" s="7"/>
      <c r="D8668" s="7"/>
      <c r="E8668" s="7"/>
      <c r="F8668" s="7"/>
      <c r="G8668" s="7"/>
      <c r="H8668" s="7">
        <f t="shared" si="1"/>
        <v>1029</v>
      </c>
    </row>
    <row r="8669" ht="22.5" customHeight="1">
      <c r="B8669" s="7"/>
      <c r="C8669" s="7"/>
      <c r="D8669" s="7"/>
      <c r="E8669" s="7"/>
      <c r="F8669" s="7"/>
      <c r="G8669" s="7"/>
      <c r="H8669" s="7">
        <f t="shared" si="1"/>
        <v>1029</v>
      </c>
    </row>
    <row r="8670" ht="22.5" customHeight="1">
      <c r="B8670" s="7"/>
      <c r="C8670" s="7"/>
      <c r="D8670" s="7"/>
      <c r="E8670" s="7"/>
      <c r="F8670" s="7"/>
      <c r="G8670" s="7"/>
      <c r="H8670" s="7">
        <f t="shared" si="1"/>
        <v>1029</v>
      </c>
    </row>
    <row r="8671" ht="22.5" customHeight="1">
      <c r="B8671" s="7"/>
      <c r="C8671" s="7"/>
      <c r="D8671" s="7"/>
      <c r="E8671" s="7"/>
      <c r="F8671" s="7"/>
      <c r="G8671" s="7"/>
      <c r="H8671" s="7">
        <f t="shared" si="1"/>
        <v>1029</v>
      </c>
    </row>
    <row r="8672" ht="22.5" customHeight="1">
      <c r="B8672" s="7"/>
      <c r="C8672" s="7"/>
      <c r="D8672" s="7"/>
      <c r="E8672" s="7"/>
      <c r="F8672" s="7"/>
      <c r="G8672" s="7"/>
      <c r="H8672" s="7">
        <f t="shared" si="1"/>
        <v>1029</v>
      </c>
    </row>
    <row r="8673" ht="22.5" customHeight="1">
      <c r="B8673" s="7"/>
      <c r="C8673" s="7"/>
      <c r="D8673" s="7"/>
      <c r="E8673" s="7"/>
      <c r="F8673" s="7"/>
      <c r="G8673" s="7"/>
      <c r="H8673" s="7">
        <f t="shared" si="1"/>
        <v>1029</v>
      </c>
    </row>
    <row r="8674" ht="22.5" customHeight="1">
      <c r="B8674" s="7"/>
      <c r="C8674" s="7"/>
      <c r="D8674" s="7"/>
      <c r="E8674" s="7"/>
      <c r="F8674" s="7"/>
      <c r="G8674" s="7"/>
      <c r="H8674" s="7">
        <f t="shared" si="1"/>
        <v>1029</v>
      </c>
    </row>
    <row r="8675" ht="22.5" customHeight="1">
      <c r="B8675" s="7"/>
      <c r="C8675" s="7"/>
      <c r="D8675" s="7"/>
      <c r="E8675" s="7"/>
      <c r="F8675" s="7"/>
      <c r="G8675" s="7"/>
      <c r="H8675" s="7">
        <f t="shared" si="1"/>
        <v>1029</v>
      </c>
    </row>
    <row r="8676" ht="22.5" customHeight="1">
      <c r="B8676" s="7"/>
      <c r="C8676" s="7"/>
      <c r="D8676" s="7"/>
      <c r="E8676" s="7"/>
      <c r="F8676" s="7"/>
      <c r="G8676" s="7"/>
      <c r="H8676" s="7">
        <f t="shared" si="1"/>
        <v>1029</v>
      </c>
    </row>
    <row r="8677" ht="22.5" customHeight="1">
      <c r="B8677" s="7"/>
      <c r="C8677" s="7"/>
      <c r="D8677" s="7"/>
      <c r="E8677" s="7"/>
      <c r="F8677" s="7"/>
      <c r="G8677" s="7"/>
      <c r="H8677" s="7">
        <f t="shared" si="1"/>
        <v>1029</v>
      </c>
    </row>
    <row r="8678" ht="22.5" customHeight="1">
      <c r="B8678" s="7"/>
      <c r="C8678" s="7"/>
      <c r="D8678" s="7"/>
      <c r="E8678" s="7"/>
      <c r="F8678" s="7"/>
      <c r="G8678" s="7"/>
      <c r="H8678" s="7">
        <f t="shared" si="1"/>
        <v>1029</v>
      </c>
    </row>
    <row r="8679" ht="22.5" customHeight="1">
      <c r="B8679" s="7"/>
      <c r="C8679" s="7"/>
      <c r="D8679" s="7"/>
      <c r="E8679" s="7"/>
      <c r="F8679" s="7"/>
      <c r="G8679" s="7"/>
      <c r="H8679" s="7">
        <f t="shared" si="1"/>
        <v>1029</v>
      </c>
    </row>
    <row r="8680" ht="22.5" customHeight="1">
      <c r="B8680" s="7"/>
      <c r="C8680" s="7"/>
      <c r="D8680" s="7"/>
      <c r="E8680" s="7"/>
      <c r="F8680" s="7"/>
      <c r="G8680" s="7"/>
      <c r="H8680" s="7">
        <f t="shared" si="1"/>
        <v>1029</v>
      </c>
    </row>
    <row r="8681" ht="22.5" customHeight="1">
      <c r="B8681" s="7"/>
      <c r="C8681" s="7"/>
      <c r="D8681" s="7"/>
      <c r="E8681" s="7"/>
      <c r="F8681" s="7"/>
      <c r="G8681" s="7"/>
      <c r="H8681" s="7">
        <f t="shared" si="1"/>
        <v>1029</v>
      </c>
    </row>
    <row r="8682" ht="22.5" customHeight="1">
      <c r="B8682" s="7"/>
      <c r="C8682" s="7"/>
      <c r="D8682" s="7"/>
      <c r="E8682" s="7"/>
      <c r="F8682" s="7"/>
      <c r="G8682" s="7"/>
      <c r="H8682" s="7">
        <f t="shared" si="1"/>
        <v>1029</v>
      </c>
    </row>
    <row r="8683" ht="22.5" customHeight="1">
      <c r="B8683" s="7"/>
      <c r="C8683" s="7"/>
      <c r="D8683" s="7"/>
      <c r="E8683" s="7"/>
      <c r="F8683" s="7"/>
      <c r="G8683" s="7"/>
      <c r="H8683" s="7">
        <f t="shared" si="1"/>
        <v>1029</v>
      </c>
    </row>
    <row r="8684" ht="22.5" customHeight="1">
      <c r="B8684" s="7"/>
      <c r="C8684" s="7"/>
      <c r="D8684" s="7"/>
      <c r="E8684" s="7"/>
      <c r="F8684" s="7"/>
      <c r="G8684" s="7"/>
      <c r="H8684" s="7">
        <f t="shared" si="1"/>
        <v>1029</v>
      </c>
    </row>
    <row r="8685" ht="22.5" customHeight="1">
      <c r="B8685" s="7"/>
      <c r="C8685" s="7"/>
      <c r="D8685" s="7"/>
      <c r="E8685" s="7"/>
      <c r="F8685" s="7"/>
      <c r="G8685" s="7"/>
      <c r="H8685" s="7">
        <f t="shared" si="1"/>
        <v>1029</v>
      </c>
    </row>
    <row r="8686" ht="22.5" customHeight="1">
      <c r="B8686" s="7"/>
      <c r="C8686" s="7"/>
      <c r="D8686" s="7"/>
      <c r="E8686" s="7"/>
      <c r="F8686" s="7"/>
      <c r="G8686" s="7"/>
      <c r="H8686" s="7">
        <f t="shared" si="1"/>
        <v>1029</v>
      </c>
    </row>
    <row r="8687" ht="22.5" customHeight="1">
      <c r="B8687" s="7"/>
      <c r="C8687" s="7"/>
      <c r="D8687" s="7"/>
      <c r="E8687" s="7"/>
      <c r="F8687" s="7"/>
      <c r="G8687" s="7"/>
      <c r="H8687" s="7">
        <f t="shared" si="1"/>
        <v>1029</v>
      </c>
    </row>
    <row r="8688" ht="22.5" customHeight="1">
      <c r="B8688" s="7"/>
      <c r="C8688" s="7"/>
      <c r="D8688" s="7"/>
      <c r="E8688" s="7"/>
      <c r="F8688" s="7"/>
      <c r="G8688" s="7"/>
      <c r="H8688" s="7">
        <f t="shared" si="1"/>
        <v>1029</v>
      </c>
    </row>
    <row r="8689" ht="22.5" customHeight="1">
      <c r="B8689" s="7"/>
      <c r="C8689" s="7"/>
      <c r="D8689" s="7"/>
      <c r="E8689" s="7"/>
      <c r="F8689" s="7"/>
      <c r="G8689" s="7"/>
      <c r="H8689" s="7">
        <f t="shared" si="1"/>
        <v>1029</v>
      </c>
    </row>
    <row r="8690" ht="22.5" customHeight="1">
      <c r="B8690" s="7"/>
      <c r="C8690" s="7"/>
      <c r="D8690" s="7"/>
      <c r="E8690" s="7"/>
      <c r="F8690" s="7"/>
      <c r="G8690" s="7"/>
      <c r="H8690" s="7">
        <f t="shared" si="1"/>
        <v>1029</v>
      </c>
    </row>
    <row r="8691" ht="22.5" customHeight="1">
      <c r="B8691" s="7"/>
      <c r="C8691" s="7"/>
      <c r="D8691" s="7"/>
      <c r="E8691" s="7"/>
      <c r="F8691" s="7"/>
      <c r="G8691" s="7"/>
      <c r="H8691" s="7">
        <f t="shared" si="1"/>
        <v>1029</v>
      </c>
    </row>
    <row r="8692" ht="22.5" customHeight="1">
      <c r="B8692" s="7"/>
      <c r="C8692" s="7"/>
      <c r="D8692" s="7"/>
      <c r="E8692" s="7"/>
      <c r="F8692" s="7"/>
      <c r="G8692" s="7"/>
      <c r="H8692" s="7">
        <f t="shared" si="1"/>
        <v>1029</v>
      </c>
    </row>
    <row r="8693" ht="22.5" customHeight="1">
      <c r="B8693" s="7"/>
      <c r="C8693" s="7"/>
      <c r="D8693" s="7"/>
      <c r="E8693" s="7"/>
      <c r="F8693" s="7"/>
      <c r="G8693" s="7"/>
      <c r="H8693" s="7">
        <f t="shared" si="1"/>
        <v>1029</v>
      </c>
    </row>
    <row r="8694" ht="22.5" customHeight="1">
      <c r="B8694" s="7"/>
      <c r="C8694" s="7"/>
      <c r="D8694" s="7"/>
      <c r="E8694" s="7"/>
      <c r="F8694" s="7"/>
      <c r="G8694" s="7"/>
      <c r="H8694" s="7">
        <f t="shared" si="1"/>
        <v>1029</v>
      </c>
    </row>
    <row r="8695" ht="22.5" customHeight="1">
      <c r="B8695" s="7"/>
      <c r="C8695" s="7"/>
      <c r="D8695" s="7"/>
      <c r="E8695" s="7"/>
      <c r="F8695" s="7"/>
      <c r="G8695" s="7"/>
      <c r="H8695" s="7">
        <f t="shared" si="1"/>
        <v>1029</v>
      </c>
    </row>
    <row r="8696" ht="22.5" customHeight="1">
      <c r="B8696" s="7"/>
      <c r="C8696" s="7"/>
      <c r="D8696" s="7"/>
      <c r="E8696" s="7"/>
      <c r="F8696" s="7"/>
      <c r="G8696" s="7"/>
      <c r="H8696" s="7">
        <f t="shared" si="1"/>
        <v>1029</v>
      </c>
    </row>
    <row r="8697" ht="22.5" customHeight="1">
      <c r="B8697" s="7"/>
      <c r="C8697" s="7"/>
      <c r="D8697" s="7"/>
      <c r="E8697" s="7"/>
      <c r="F8697" s="7"/>
      <c r="G8697" s="7"/>
      <c r="H8697" s="7">
        <f t="shared" si="1"/>
        <v>1029</v>
      </c>
    </row>
    <row r="8698" ht="22.5" customHeight="1">
      <c r="B8698" s="7"/>
      <c r="C8698" s="7"/>
      <c r="D8698" s="7"/>
      <c r="E8698" s="7"/>
      <c r="F8698" s="7"/>
      <c r="G8698" s="7"/>
      <c r="H8698" s="7">
        <f t="shared" si="1"/>
        <v>1029</v>
      </c>
    </row>
    <row r="8699" ht="22.5" customHeight="1">
      <c r="B8699" s="7"/>
      <c r="C8699" s="7"/>
      <c r="D8699" s="7"/>
      <c r="E8699" s="7"/>
      <c r="F8699" s="7"/>
      <c r="G8699" s="7"/>
      <c r="H8699" s="7">
        <f t="shared" si="1"/>
        <v>1029</v>
      </c>
    </row>
    <row r="8700" ht="22.5" customHeight="1">
      <c r="B8700" s="7"/>
      <c r="C8700" s="7"/>
      <c r="D8700" s="7"/>
      <c r="E8700" s="7"/>
      <c r="F8700" s="7"/>
      <c r="G8700" s="7"/>
      <c r="H8700" s="7">
        <f t="shared" si="1"/>
        <v>1029</v>
      </c>
    </row>
    <row r="8701" ht="22.5" customHeight="1">
      <c r="B8701" s="7"/>
      <c r="C8701" s="7"/>
      <c r="D8701" s="7"/>
      <c r="E8701" s="7"/>
      <c r="F8701" s="7"/>
      <c r="G8701" s="7"/>
      <c r="H8701" s="7">
        <f t="shared" si="1"/>
        <v>1029</v>
      </c>
    </row>
    <row r="8702" ht="22.5" customHeight="1">
      <c r="B8702" s="7"/>
      <c r="C8702" s="7"/>
      <c r="D8702" s="7"/>
      <c r="E8702" s="7"/>
      <c r="F8702" s="7"/>
      <c r="G8702" s="7"/>
      <c r="H8702" s="7">
        <f t="shared" si="1"/>
        <v>1029</v>
      </c>
    </row>
    <row r="8703" ht="22.5" customHeight="1">
      <c r="B8703" s="7"/>
      <c r="C8703" s="7"/>
      <c r="D8703" s="7"/>
      <c r="E8703" s="7"/>
      <c r="F8703" s="7"/>
      <c r="G8703" s="7"/>
      <c r="H8703" s="7">
        <f t="shared" si="1"/>
        <v>1029</v>
      </c>
    </row>
    <row r="8704" ht="22.5" customHeight="1">
      <c r="B8704" s="7"/>
      <c r="C8704" s="7"/>
      <c r="D8704" s="7"/>
      <c r="E8704" s="7"/>
      <c r="F8704" s="7"/>
      <c r="G8704" s="7"/>
      <c r="H8704" s="7">
        <f t="shared" si="1"/>
        <v>1029</v>
      </c>
    </row>
    <row r="8705" ht="22.5" customHeight="1">
      <c r="B8705" s="7"/>
      <c r="C8705" s="7"/>
      <c r="D8705" s="7"/>
      <c r="E8705" s="7"/>
      <c r="F8705" s="7"/>
      <c r="G8705" s="7"/>
      <c r="H8705" s="7">
        <f t="shared" si="1"/>
        <v>1029</v>
      </c>
    </row>
    <row r="8706" ht="22.5" customHeight="1">
      <c r="B8706" s="7"/>
      <c r="C8706" s="7"/>
      <c r="D8706" s="7"/>
      <c r="E8706" s="7"/>
      <c r="F8706" s="7"/>
      <c r="G8706" s="7"/>
      <c r="H8706" s="7">
        <f t="shared" si="1"/>
        <v>1029</v>
      </c>
    </row>
    <row r="8707" ht="22.5" customHeight="1">
      <c r="B8707" s="7"/>
      <c r="C8707" s="7"/>
      <c r="D8707" s="7"/>
      <c r="E8707" s="7"/>
      <c r="F8707" s="7"/>
      <c r="G8707" s="7"/>
      <c r="H8707" s="7">
        <f t="shared" si="1"/>
        <v>1029</v>
      </c>
    </row>
    <row r="8708" ht="22.5" customHeight="1">
      <c r="B8708" s="7"/>
      <c r="C8708" s="7"/>
      <c r="D8708" s="7"/>
      <c r="E8708" s="7"/>
      <c r="F8708" s="7"/>
      <c r="G8708" s="7"/>
      <c r="H8708" s="7">
        <f t="shared" si="1"/>
        <v>1029</v>
      </c>
    </row>
    <row r="8709" ht="22.5" customHeight="1">
      <c r="B8709" s="7"/>
      <c r="C8709" s="7"/>
      <c r="D8709" s="7"/>
      <c r="E8709" s="7"/>
      <c r="F8709" s="7"/>
      <c r="G8709" s="7"/>
      <c r="H8709" s="7">
        <f t="shared" si="1"/>
        <v>1029</v>
      </c>
    </row>
    <row r="8710" ht="22.5" customHeight="1">
      <c r="B8710" s="7"/>
      <c r="C8710" s="7"/>
      <c r="D8710" s="7"/>
      <c r="E8710" s="7"/>
      <c r="F8710" s="7"/>
      <c r="G8710" s="7"/>
      <c r="H8710" s="7">
        <f t="shared" si="1"/>
        <v>1029</v>
      </c>
    </row>
    <row r="8711" ht="22.5" customHeight="1">
      <c r="B8711" s="7"/>
      <c r="C8711" s="7"/>
      <c r="D8711" s="7"/>
      <c r="E8711" s="7"/>
      <c r="F8711" s="7"/>
      <c r="G8711" s="7"/>
      <c r="H8711" s="7">
        <f t="shared" si="1"/>
        <v>1029</v>
      </c>
    </row>
    <row r="8712" ht="22.5" customHeight="1">
      <c r="B8712" s="7"/>
      <c r="C8712" s="7"/>
      <c r="D8712" s="7"/>
      <c r="E8712" s="7"/>
      <c r="F8712" s="7"/>
      <c r="G8712" s="7"/>
      <c r="H8712" s="7">
        <f t="shared" si="1"/>
        <v>1029</v>
      </c>
    </row>
    <row r="8713" ht="22.5" customHeight="1">
      <c r="B8713" s="7"/>
      <c r="C8713" s="7"/>
      <c r="D8713" s="7"/>
      <c r="E8713" s="7"/>
      <c r="F8713" s="7"/>
      <c r="G8713" s="7"/>
      <c r="H8713" s="7">
        <f t="shared" si="1"/>
        <v>1029</v>
      </c>
    </row>
    <row r="8714" ht="22.5" customHeight="1">
      <c r="B8714" s="7"/>
      <c r="C8714" s="7"/>
      <c r="D8714" s="7"/>
      <c r="E8714" s="7"/>
      <c r="F8714" s="7"/>
      <c r="G8714" s="7"/>
      <c r="H8714" s="7">
        <f t="shared" si="1"/>
        <v>1029</v>
      </c>
    </row>
    <row r="8715" ht="22.5" customHeight="1">
      <c r="B8715" s="7"/>
      <c r="C8715" s="7"/>
      <c r="D8715" s="7"/>
      <c r="E8715" s="7"/>
      <c r="F8715" s="7"/>
      <c r="G8715" s="7"/>
      <c r="H8715" s="7">
        <f t="shared" si="1"/>
        <v>1029</v>
      </c>
    </row>
    <row r="8716" ht="22.5" customHeight="1">
      <c r="B8716" s="7"/>
      <c r="C8716" s="7"/>
      <c r="D8716" s="7"/>
      <c r="E8716" s="7"/>
      <c r="F8716" s="7"/>
      <c r="G8716" s="7"/>
      <c r="H8716" s="7">
        <f t="shared" si="1"/>
        <v>1029</v>
      </c>
    </row>
    <row r="8717" ht="22.5" customHeight="1">
      <c r="B8717" s="7"/>
      <c r="C8717" s="7"/>
      <c r="D8717" s="7"/>
      <c r="E8717" s="7"/>
      <c r="F8717" s="7"/>
      <c r="G8717" s="7"/>
      <c r="H8717" s="7">
        <f t="shared" si="1"/>
        <v>1029</v>
      </c>
    </row>
    <row r="8718" ht="22.5" customHeight="1">
      <c r="B8718" s="7"/>
      <c r="C8718" s="7"/>
      <c r="D8718" s="7"/>
      <c r="E8718" s="7"/>
      <c r="F8718" s="7"/>
      <c r="G8718" s="7"/>
      <c r="H8718" s="7">
        <f t="shared" si="1"/>
        <v>1029</v>
      </c>
    </row>
    <row r="8719" ht="22.5" customHeight="1">
      <c r="B8719" s="7"/>
      <c r="C8719" s="7"/>
      <c r="D8719" s="7"/>
      <c r="E8719" s="7"/>
      <c r="F8719" s="7"/>
      <c r="G8719" s="7"/>
      <c r="H8719" s="7">
        <f t="shared" si="1"/>
        <v>1029</v>
      </c>
    </row>
    <row r="8720" ht="22.5" customHeight="1">
      <c r="B8720" s="7"/>
      <c r="C8720" s="7"/>
      <c r="D8720" s="7"/>
      <c r="E8720" s="7"/>
      <c r="F8720" s="7"/>
      <c r="G8720" s="7"/>
      <c r="H8720" s="7">
        <f t="shared" si="1"/>
        <v>1029</v>
      </c>
    </row>
    <row r="8721" ht="22.5" customHeight="1">
      <c r="B8721" s="7"/>
      <c r="C8721" s="7"/>
      <c r="D8721" s="7"/>
      <c r="E8721" s="7"/>
      <c r="F8721" s="7"/>
      <c r="G8721" s="7"/>
      <c r="H8721" s="7">
        <f t="shared" si="1"/>
        <v>1029</v>
      </c>
    </row>
    <row r="8722" ht="22.5" customHeight="1">
      <c r="B8722" s="7"/>
      <c r="C8722" s="7"/>
      <c r="D8722" s="7"/>
      <c r="E8722" s="7"/>
      <c r="F8722" s="7"/>
      <c r="G8722" s="7"/>
      <c r="H8722" s="7">
        <f t="shared" si="1"/>
        <v>1029</v>
      </c>
    </row>
    <row r="8723" ht="22.5" customHeight="1">
      <c r="B8723" s="7"/>
      <c r="C8723" s="7"/>
      <c r="D8723" s="7"/>
      <c r="E8723" s="7"/>
      <c r="F8723" s="7"/>
      <c r="G8723" s="7"/>
      <c r="H8723" s="7">
        <f t="shared" si="1"/>
        <v>1029</v>
      </c>
    </row>
    <row r="8724" ht="22.5" customHeight="1">
      <c r="B8724" s="7"/>
      <c r="C8724" s="7"/>
      <c r="D8724" s="7"/>
      <c r="E8724" s="7"/>
      <c r="F8724" s="7"/>
      <c r="G8724" s="7"/>
      <c r="H8724" s="7">
        <f t="shared" si="1"/>
        <v>1029</v>
      </c>
    </row>
    <row r="8725" ht="22.5" customHeight="1">
      <c r="B8725" s="7"/>
      <c r="C8725" s="7"/>
      <c r="D8725" s="7"/>
      <c r="E8725" s="7"/>
      <c r="F8725" s="7"/>
      <c r="G8725" s="7"/>
      <c r="H8725" s="7">
        <f t="shared" si="1"/>
        <v>1029</v>
      </c>
    </row>
    <row r="8726" ht="22.5" customHeight="1">
      <c r="B8726" s="7"/>
      <c r="C8726" s="7"/>
      <c r="D8726" s="7"/>
      <c r="E8726" s="7"/>
      <c r="F8726" s="7"/>
      <c r="G8726" s="7"/>
      <c r="H8726" s="7">
        <f t="shared" si="1"/>
        <v>1029</v>
      </c>
    </row>
    <row r="8727" ht="22.5" customHeight="1">
      <c r="B8727" s="7"/>
      <c r="C8727" s="7"/>
      <c r="D8727" s="7"/>
      <c r="E8727" s="7"/>
      <c r="F8727" s="7"/>
      <c r="G8727" s="7"/>
      <c r="H8727" s="7">
        <f t="shared" si="1"/>
        <v>1029</v>
      </c>
    </row>
    <row r="8728" ht="22.5" customHeight="1">
      <c r="B8728" s="7"/>
      <c r="C8728" s="7"/>
      <c r="D8728" s="7"/>
      <c r="E8728" s="7"/>
      <c r="F8728" s="7"/>
      <c r="G8728" s="7"/>
      <c r="H8728" s="7">
        <f t="shared" si="1"/>
        <v>1029</v>
      </c>
    </row>
    <row r="8729" ht="22.5" customHeight="1">
      <c r="B8729" s="7"/>
      <c r="C8729" s="7"/>
      <c r="D8729" s="7"/>
      <c r="E8729" s="7"/>
      <c r="F8729" s="7"/>
      <c r="G8729" s="7"/>
      <c r="H8729" s="7">
        <f t="shared" si="1"/>
        <v>1029</v>
      </c>
    </row>
    <row r="8730" ht="22.5" customHeight="1">
      <c r="B8730" s="7"/>
      <c r="C8730" s="7"/>
      <c r="D8730" s="7"/>
      <c r="E8730" s="7"/>
      <c r="F8730" s="7"/>
      <c r="G8730" s="7"/>
      <c r="H8730" s="7">
        <f t="shared" si="1"/>
        <v>1029</v>
      </c>
    </row>
    <row r="8731" ht="22.5" customHeight="1">
      <c r="B8731" s="7"/>
      <c r="C8731" s="7"/>
      <c r="D8731" s="7"/>
      <c r="E8731" s="7"/>
      <c r="F8731" s="7"/>
      <c r="G8731" s="7"/>
      <c r="H8731" s="7">
        <f t="shared" si="1"/>
        <v>1029</v>
      </c>
    </row>
    <row r="8732" ht="22.5" customHeight="1">
      <c r="B8732" s="7"/>
      <c r="C8732" s="7"/>
      <c r="D8732" s="7"/>
      <c r="E8732" s="7"/>
      <c r="F8732" s="7"/>
      <c r="G8732" s="7"/>
      <c r="H8732" s="7">
        <f t="shared" si="1"/>
        <v>1029</v>
      </c>
    </row>
    <row r="8733" ht="22.5" customHeight="1">
      <c r="B8733" s="7"/>
      <c r="C8733" s="7"/>
      <c r="D8733" s="7"/>
      <c r="E8733" s="7"/>
      <c r="F8733" s="7"/>
      <c r="G8733" s="7"/>
      <c r="H8733" s="7">
        <f t="shared" si="1"/>
        <v>1029</v>
      </c>
    </row>
    <row r="8734" ht="22.5" customHeight="1">
      <c r="B8734" s="7"/>
      <c r="C8734" s="7"/>
      <c r="D8734" s="7"/>
      <c r="E8734" s="7"/>
      <c r="F8734" s="7"/>
      <c r="G8734" s="7"/>
      <c r="H8734" s="7">
        <f t="shared" si="1"/>
        <v>1029</v>
      </c>
    </row>
    <row r="8735" ht="22.5" customHeight="1">
      <c r="B8735" s="7"/>
      <c r="C8735" s="7"/>
      <c r="D8735" s="7"/>
      <c r="E8735" s="7"/>
      <c r="F8735" s="7"/>
      <c r="G8735" s="7"/>
      <c r="H8735" s="7">
        <f t="shared" si="1"/>
        <v>1029</v>
      </c>
    </row>
    <row r="8736" ht="22.5" customHeight="1">
      <c r="B8736" s="7"/>
      <c r="C8736" s="7"/>
      <c r="D8736" s="7"/>
      <c r="E8736" s="7"/>
      <c r="F8736" s="7"/>
      <c r="G8736" s="7"/>
      <c r="H8736" s="7">
        <f t="shared" si="1"/>
        <v>1029</v>
      </c>
    </row>
    <row r="8737" ht="22.5" customHeight="1">
      <c r="B8737" s="7"/>
      <c r="C8737" s="7"/>
      <c r="D8737" s="7"/>
      <c r="E8737" s="7"/>
      <c r="F8737" s="7"/>
      <c r="G8737" s="7"/>
      <c r="H8737" s="7">
        <f t="shared" si="1"/>
        <v>1029</v>
      </c>
    </row>
    <row r="8738" ht="22.5" customHeight="1">
      <c r="B8738" s="7"/>
      <c r="C8738" s="7"/>
      <c r="D8738" s="7"/>
      <c r="E8738" s="7"/>
      <c r="F8738" s="7"/>
      <c r="G8738" s="7"/>
      <c r="H8738" s="7">
        <f t="shared" si="1"/>
        <v>1029</v>
      </c>
    </row>
    <row r="8739" ht="22.5" customHeight="1">
      <c r="B8739" s="7"/>
      <c r="C8739" s="7"/>
      <c r="D8739" s="7"/>
      <c r="E8739" s="7"/>
      <c r="F8739" s="7"/>
      <c r="G8739" s="7"/>
      <c r="H8739" s="7">
        <f t="shared" si="1"/>
        <v>1029</v>
      </c>
    </row>
    <row r="8740" ht="22.5" customHeight="1">
      <c r="B8740" s="7"/>
      <c r="C8740" s="7"/>
      <c r="D8740" s="7"/>
      <c r="E8740" s="7"/>
      <c r="F8740" s="7"/>
      <c r="G8740" s="7"/>
      <c r="H8740" s="7">
        <f t="shared" si="1"/>
        <v>1029</v>
      </c>
    </row>
    <row r="8741" ht="22.5" customHeight="1">
      <c r="B8741" s="7"/>
      <c r="C8741" s="7"/>
      <c r="D8741" s="7"/>
      <c r="E8741" s="7"/>
      <c r="F8741" s="7"/>
      <c r="G8741" s="7"/>
      <c r="H8741" s="7">
        <f t="shared" si="1"/>
        <v>1029</v>
      </c>
    </row>
    <row r="8742" ht="22.5" customHeight="1">
      <c r="B8742" s="7"/>
      <c r="C8742" s="7"/>
      <c r="D8742" s="7"/>
      <c r="E8742" s="7"/>
      <c r="F8742" s="7"/>
      <c r="G8742" s="7"/>
      <c r="H8742" s="7">
        <f t="shared" si="1"/>
        <v>1029</v>
      </c>
    </row>
    <row r="8743" ht="22.5" customHeight="1">
      <c r="B8743" s="7"/>
      <c r="C8743" s="7"/>
      <c r="D8743" s="7"/>
      <c r="E8743" s="7"/>
      <c r="F8743" s="7"/>
      <c r="G8743" s="7"/>
      <c r="H8743" s="7">
        <f t="shared" si="1"/>
        <v>1029</v>
      </c>
    </row>
    <row r="8744" ht="22.5" customHeight="1">
      <c r="B8744" s="7"/>
      <c r="C8744" s="7"/>
      <c r="D8744" s="7"/>
      <c r="E8744" s="7"/>
      <c r="F8744" s="7"/>
      <c r="G8744" s="7"/>
      <c r="H8744" s="7">
        <f t="shared" si="1"/>
        <v>1029</v>
      </c>
    </row>
    <row r="8745" ht="22.5" customHeight="1">
      <c r="B8745" s="7"/>
      <c r="C8745" s="7"/>
      <c r="D8745" s="7"/>
      <c r="E8745" s="7"/>
      <c r="F8745" s="7"/>
      <c r="G8745" s="7"/>
      <c r="H8745" s="7">
        <f t="shared" si="1"/>
        <v>1029</v>
      </c>
    </row>
    <row r="8746" ht="22.5" customHeight="1">
      <c r="B8746" s="7"/>
      <c r="C8746" s="7"/>
      <c r="D8746" s="7"/>
      <c r="E8746" s="7"/>
      <c r="F8746" s="7"/>
      <c r="G8746" s="7"/>
      <c r="H8746" s="7">
        <f t="shared" si="1"/>
        <v>1029</v>
      </c>
    </row>
    <row r="8747" ht="22.5" customHeight="1">
      <c r="B8747" s="7"/>
      <c r="C8747" s="7"/>
      <c r="D8747" s="7"/>
      <c r="E8747" s="7"/>
      <c r="F8747" s="7"/>
      <c r="G8747" s="7"/>
      <c r="H8747" s="7">
        <f t="shared" si="1"/>
        <v>1029</v>
      </c>
    </row>
    <row r="8748" ht="22.5" customHeight="1">
      <c r="B8748" s="7"/>
      <c r="C8748" s="7"/>
      <c r="D8748" s="7"/>
      <c r="E8748" s="7"/>
      <c r="F8748" s="7"/>
      <c r="G8748" s="7"/>
      <c r="H8748" s="7">
        <f t="shared" si="1"/>
        <v>1029</v>
      </c>
    </row>
    <row r="8749" ht="22.5" customHeight="1">
      <c r="B8749" s="7"/>
      <c r="C8749" s="7"/>
      <c r="D8749" s="7"/>
      <c r="E8749" s="7"/>
      <c r="F8749" s="7"/>
      <c r="G8749" s="7"/>
      <c r="H8749" s="7">
        <f t="shared" si="1"/>
        <v>1029</v>
      </c>
    </row>
    <row r="8750" ht="22.5" customHeight="1">
      <c r="B8750" s="7"/>
      <c r="C8750" s="7"/>
      <c r="D8750" s="7"/>
      <c r="E8750" s="7"/>
      <c r="F8750" s="7"/>
      <c r="G8750" s="7"/>
      <c r="H8750" s="7">
        <f t="shared" si="1"/>
        <v>1029</v>
      </c>
    </row>
    <row r="8751" ht="22.5" customHeight="1">
      <c r="B8751" s="7"/>
      <c r="C8751" s="7"/>
      <c r="D8751" s="7"/>
      <c r="E8751" s="7"/>
      <c r="F8751" s="7"/>
      <c r="G8751" s="7"/>
      <c r="H8751" s="7">
        <f t="shared" si="1"/>
        <v>1029</v>
      </c>
    </row>
    <row r="8752" ht="22.5" customHeight="1">
      <c r="B8752" s="7"/>
      <c r="C8752" s="7"/>
      <c r="D8752" s="7"/>
      <c r="E8752" s="7"/>
      <c r="F8752" s="7"/>
      <c r="G8752" s="7"/>
      <c r="H8752" s="7">
        <f t="shared" si="1"/>
        <v>1029</v>
      </c>
    </row>
    <row r="8753" ht="22.5" customHeight="1">
      <c r="B8753" s="7"/>
      <c r="C8753" s="7"/>
      <c r="D8753" s="7"/>
      <c r="E8753" s="7"/>
      <c r="F8753" s="7"/>
      <c r="G8753" s="7"/>
      <c r="H8753" s="7">
        <f t="shared" si="1"/>
        <v>1029</v>
      </c>
    </row>
    <row r="8754" ht="22.5" customHeight="1">
      <c r="B8754" s="7"/>
      <c r="C8754" s="7"/>
      <c r="D8754" s="7"/>
      <c r="E8754" s="7"/>
      <c r="F8754" s="7"/>
      <c r="G8754" s="7"/>
      <c r="H8754" s="7">
        <f t="shared" si="1"/>
        <v>1029</v>
      </c>
    </row>
    <row r="8755" ht="22.5" customHeight="1">
      <c r="B8755" s="7"/>
      <c r="C8755" s="7"/>
      <c r="D8755" s="7"/>
      <c r="E8755" s="7"/>
      <c r="F8755" s="7"/>
      <c r="G8755" s="7"/>
      <c r="H8755" s="7">
        <f t="shared" si="1"/>
        <v>1029</v>
      </c>
    </row>
    <row r="8756" ht="22.5" customHeight="1">
      <c r="B8756" s="7"/>
      <c r="C8756" s="7"/>
      <c r="D8756" s="7"/>
      <c r="E8756" s="7"/>
      <c r="F8756" s="7"/>
      <c r="G8756" s="7"/>
      <c r="H8756" s="7">
        <f t="shared" si="1"/>
        <v>1029</v>
      </c>
    </row>
    <row r="8757" ht="22.5" customHeight="1">
      <c r="B8757" s="7"/>
      <c r="C8757" s="7"/>
      <c r="D8757" s="7"/>
      <c r="E8757" s="7"/>
      <c r="F8757" s="7"/>
      <c r="G8757" s="7"/>
      <c r="H8757" s="7">
        <f t="shared" si="1"/>
        <v>1029</v>
      </c>
    </row>
    <row r="8758" ht="22.5" customHeight="1">
      <c r="B8758" s="7"/>
      <c r="C8758" s="7"/>
      <c r="D8758" s="7"/>
      <c r="E8758" s="7"/>
      <c r="F8758" s="7"/>
      <c r="G8758" s="7"/>
      <c r="H8758" s="7">
        <f t="shared" si="1"/>
        <v>1029</v>
      </c>
    </row>
    <row r="8759" ht="22.5" customHeight="1">
      <c r="B8759" s="7"/>
      <c r="C8759" s="7"/>
      <c r="D8759" s="7"/>
      <c r="E8759" s="7"/>
      <c r="F8759" s="7"/>
      <c r="G8759" s="7"/>
      <c r="H8759" s="7">
        <f t="shared" si="1"/>
        <v>1029</v>
      </c>
    </row>
    <row r="8760" ht="22.5" customHeight="1">
      <c r="B8760" s="7"/>
      <c r="C8760" s="7"/>
      <c r="D8760" s="7"/>
      <c r="E8760" s="7"/>
      <c r="F8760" s="7"/>
      <c r="G8760" s="7"/>
      <c r="H8760" s="7">
        <f t="shared" si="1"/>
        <v>1029</v>
      </c>
    </row>
    <row r="8761" ht="22.5" customHeight="1">
      <c r="B8761" s="7"/>
      <c r="C8761" s="7"/>
      <c r="D8761" s="7"/>
      <c r="E8761" s="7"/>
      <c r="F8761" s="7"/>
      <c r="G8761" s="7"/>
      <c r="H8761" s="7">
        <f t="shared" si="1"/>
        <v>1029</v>
      </c>
    </row>
    <row r="8762" ht="22.5" customHeight="1">
      <c r="B8762" s="7"/>
      <c r="C8762" s="7"/>
      <c r="D8762" s="7"/>
      <c r="E8762" s="7"/>
      <c r="F8762" s="7"/>
      <c r="G8762" s="7"/>
      <c r="H8762" s="7">
        <f t="shared" si="1"/>
        <v>1029</v>
      </c>
    </row>
    <row r="8763" ht="22.5" customHeight="1">
      <c r="B8763" s="7"/>
      <c r="C8763" s="7"/>
      <c r="D8763" s="7"/>
      <c r="E8763" s="7"/>
      <c r="F8763" s="7"/>
      <c r="G8763" s="7"/>
      <c r="H8763" s="7">
        <f t="shared" si="1"/>
        <v>1029</v>
      </c>
    </row>
    <row r="8764" ht="22.5" customHeight="1">
      <c r="B8764" s="7"/>
      <c r="C8764" s="7"/>
      <c r="D8764" s="7"/>
      <c r="E8764" s="7"/>
      <c r="F8764" s="7"/>
      <c r="G8764" s="7"/>
      <c r="H8764" s="7">
        <f t="shared" si="1"/>
        <v>1029</v>
      </c>
    </row>
    <row r="8765" ht="22.5" customHeight="1">
      <c r="B8765" s="7"/>
      <c r="C8765" s="7"/>
      <c r="D8765" s="7"/>
      <c r="E8765" s="7"/>
      <c r="F8765" s="7"/>
      <c r="G8765" s="7"/>
      <c r="H8765" s="7">
        <f t="shared" si="1"/>
        <v>1029</v>
      </c>
    </row>
    <row r="8766" ht="22.5" customHeight="1">
      <c r="B8766" s="7"/>
      <c r="C8766" s="7"/>
      <c r="D8766" s="7"/>
      <c r="E8766" s="7"/>
      <c r="F8766" s="7"/>
      <c r="G8766" s="7"/>
      <c r="H8766" s="7">
        <f t="shared" si="1"/>
        <v>1029</v>
      </c>
    </row>
    <row r="8767" ht="22.5" customHeight="1">
      <c r="B8767" s="7"/>
      <c r="C8767" s="7"/>
      <c r="D8767" s="7"/>
      <c r="E8767" s="7"/>
      <c r="F8767" s="7"/>
      <c r="G8767" s="7"/>
      <c r="H8767" s="7">
        <f t="shared" si="1"/>
        <v>1029</v>
      </c>
    </row>
    <row r="8768" ht="22.5" customHeight="1">
      <c r="B8768" s="7"/>
      <c r="C8768" s="7"/>
      <c r="D8768" s="7"/>
      <c r="E8768" s="7"/>
      <c r="F8768" s="7"/>
      <c r="G8768" s="7"/>
      <c r="H8768" s="7">
        <f t="shared" si="1"/>
        <v>1029</v>
      </c>
    </row>
    <row r="8769" ht="22.5" customHeight="1">
      <c r="B8769" s="7"/>
      <c r="C8769" s="7"/>
      <c r="D8769" s="7"/>
      <c r="E8769" s="7"/>
      <c r="F8769" s="7"/>
      <c r="G8769" s="7"/>
      <c r="H8769" s="7">
        <f t="shared" si="1"/>
        <v>1029</v>
      </c>
    </row>
    <row r="8770" ht="22.5" customHeight="1">
      <c r="B8770" s="7"/>
      <c r="C8770" s="7"/>
      <c r="D8770" s="7"/>
      <c r="E8770" s="7"/>
      <c r="F8770" s="7"/>
      <c r="G8770" s="7"/>
      <c r="H8770" s="7">
        <f t="shared" si="1"/>
        <v>1029</v>
      </c>
    </row>
    <row r="8771" ht="22.5" customHeight="1">
      <c r="B8771" s="7"/>
      <c r="C8771" s="7"/>
      <c r="D8771" s="7"/>
      <c r="E8771" s="7"/>
      <c r="F8771" s="7"/>
      <c r="G8771" s="7"/>
      <c r="H8771" s="7">
        <f t="shared" si="1"/>
        <v>1029</v>
      </c>
    </row>
    <row r="8772" ht="22.5" customHeight="1">
      <c r="B8772" s="7"/>
      <c r="C8772" s="7"/>
      <c r="D8772" s="7"/>
      <c r="E8772" s="7"/>
      <c r="F8772" s="7"/>
      <c r="G8772" s="7"/>
      <c r="H8772" s="7">
        <f t="shared" si="1"/>
        <v>1029</v>
      </c>
    </row>
    <row r="8773" ht="22.5" customHeight="1">
      <c r="B8773" s="7"/>
      <c r="C8773" s="7"/>
      <c r="D8773" s="7"/>
      <c r="E8773" s="7"/>
      <c r="F8773" s="7"/>
      <c r="G8773" s="7"/>
      <c r="H8773" s="7">
        <f t="shared" si="1"/>
        <v>1029</v>
      </c>
    </row>
    <row r="8774" ht="22.5" customHeight="1">
      <c r="B8774" s="7"/>
      <c r="C8774" s="7"/>
      <c r="D8774" s="7"/>
      <c r="E8774" s="7"/>
      <c r="F8774" s="7"/>
      <c r="G8774" s="7"/>
      <c r="H8774" s="7">
        <f t="shared" si="1"/>
        <v>1029</v>
      </c>
    </row>
    <row r="8775" ht="22.5" customHeight="1">
      <c r="B8775" s="7"/>
      <c r="C8775" s="7"/>
      <c r="D8775" s="7"/>
      <c r="E8775" s="7"/>
      <c r="F8775" s="7"/>
      <c r="G8775" s="7"/>
      <c r="H8775" s="7">
        <f t="shared" si="1"/>
        <v>1029</v>
      </c>
    </row>
    <row r="8776" ht="22.5" customHeight="1">
      <c r="B8776" s="7"/>
      <c r="C8776" s="7"/>
      <c r="D8776" s="7"/>
      <c r="E8776" s="7"/>
      <c r="F8776" s="7"/>
      <c r="G8776" s="7"/>
      <c r="H8776" s="7">
        <f t="shared" si="1"/>
        <v>1029</v>
      </c>
    </row>
    <row r="8777" ht="22.5" customHeight="1">
      <c r="B8777" s="7"/>
      <c r="C8777" s="7"/>
      <c r="D8777" s="7"/>
      <c r="E8777" s="7"/>
      <c r="F8777" s="7"/>
      <c r="G8777" s="7"/>
      <c r="H8777" s="7">
        <f t="shared" si="1"/>
        <v>1029</v>
      </c>
    </row>
    <row r="8778" ht="22.5" customHeight="1">
      <c r="B8778" s="7"/>
      <c r="C8778" s="7"/>
      <c r="D8778" s="7"/>
      <c r="E8778" s="7"/>
      <c r="F8778" s="7"/>
      <c r="G8778" s="7"/>
      <c r="H8778" s="7">
        <f t="shared" si="1"/>
        <v>1029</v>
      </c>
    </row>
    <row r="8779" ht="22.5" customHeight="1">
      <c r="B8779" s="7"/>
      <c r="C8779" s="7"/>
      <c r="D8779" s="7"/>
      <c r="E8779" s="7"/>
      <c r="F8779" s="7"/>
      <c r="G8779" s="7"/>
      <c r="H8779" s="7">
        <f t="shared" si="1"/>
        <v>1029</v>
      </c>
    </row>
    <row r="8780" ht="22.5" customHeight="1">
      <c r="B8780" s="7"/>
      <c r="C8780" s="7"/>
      <c r="D8780" s="7"/>
      <c r="E8780" s="7"/>
      <c r="F8780" s="7"/>
      <c r="G8780" s="7"/>
      <c r="H8780" s="7">
        <f t="shared" si="1"/>
        <v>1029</v>
      </c>
    </row>
    <row r="8781" ht="22.5" customHeight="1">
      <c r="B8781" s="7"/>
      <c r="C8781" s="7"/>
      <c r="D8781" s="7"/>
      <c r="E8781" s="7"/>
      <c r="F8781" s="7"/>
      <c r="G8781" s="7"/>
      <c r="H8781" s="7">
        <f t="shared" si="1"/>
        <v>1029</v>
      </c>
    </row>
    <row r="8782" ht="22.5" customHeight="1">
      <c r="B8782" s="7"/>
      <c r="C8782" s="7"/>
      <c r="D8782" s="7"/>
      <c r="E8782" s="7"/>
      <c r="F8782" s="7"/>
      <c r="G8782" s="7"/>
      <c r="H8782" s="7">
        <f t="shared" si="1"/>
        <v>1029</v>
      </c>
    </row>
    <row r="8783" ht="22.5" customHeight="1">
      <c r="B8783" s="7"/>
      <c r="C8783" s="7"/>
      <c r="D8783" s="7"/>
      <c r="E8783" s="7"/>
      <c r="F8783" s="7"/>
      <c r="G8783" s="7"/>
      <c r="H8783" s="7">
        <f t="shared" si="1"/>
        <v>1029</v>
      </c>
    </row>
    <row r="8784" ht="22.5" customHeight="1">
      <c r="B8784" s="7"/>
      <c r="C8784" s="7"/>
      <c r="D8784" s="7"/>
      <c r="E8784" s="7"/>
      <c r="F8784" s="7"/>
      <c r="G8784" s="7"/>
      <c r="H8784" s="7">
        <f t="shared" si="1"/>
        <v>1029</v>
      </c>
    </row>
    <row r="8785" ht="22.5" customHeight="1">
      <c r="B8785" s="7"/>
      <c r="C8785" s="7"/>
      <c r="D8785" s="7"/>
      <c r="E8785" s="7"/>
      <c r="F8785" s="7"/>
      <c r="G8785" s="7"/>
      <c r="H8785" s="7">
        <f t="shared" si="1"/>
        <v>1029</v>
      </c>
    </row>
    <row r="8786" ht="22.5" customHeight="1">
      <c r="B8786" s="7"/>
      <c r="C8786" s="7"/>
      <c r="D8786" s="7"/>
      <c r="E8786" s="7"/>
      <c r="F8786" s="7"/>
      <c r="G8786" s="7"/>
      <c r="H8786" s="7">
        <f t="shared" si="1"/>
        <v>1029</v>
      </c>
    </row>
    <row r="8787" ht="22.5" customHeight="1">
      <c r="B8787" s="7"/>
      <c r="C8787" s="7"/>
      <c r="D8787" s="7"/>
      <c r="E8787" s="7"/>
      <c r="F8787" s="7"/>
      <c r="G8787" s="7"/>
      <c r="H8787" s="7">
        <f t="shared" si="1"/>
        <v>1029</v>
      </c>
    </row>
    <row r="8788" ht="22.5" customHeight="1">
      <c r="B8788" s="7"/>
      <c r="C8788" s="7"/>
      <c r="D8788" s="7"/>
      <c r="E8788" s="7"/>
      <c r="F8788" s="7"/>
      <c r="G8788" s="7"/>
      <c r="H8788" s="7">
        <f t="shared" si="1"/>
        <v>1029</v>
      </c>
    </row>
    <row r="8789" ht="22.5" customHeight="1">
      <c r="B8789" s="7"/>
      <c r="C8789" s="7"/>
      <c r="D8789" s="7"/>
      <c r="E8789" s="7"/>
      <c r="F8789" s="7"/>
      <c r="G8789" s="7"/>
      <c r="H8789" s="7">
        <f t="shared" si="1"/>
        <v>1029</v>
      </c>
    </row>
    <row r="8790" ht="22.5" customHeight="1">
      <c r="B8790" s="7"/>
      <c r="C8790" s="7"/>
      <c r="D8790" s="7"/>
      <c r="E8790" s="7"/>
      <c r="F8790" s="7"/>
      <c r="G8790" s="7"/>
      <c r="H8790" s="7">
        <f t="shared" si="1"/>
        <v>1029</v>
      </c>
    </row>
    <row r="8791" ht="22.5" customHeight="1">
      <c r="B8791" s="7"/>
      <c r="C8791" s="7"/>
      <c r="D8791" s="7"/>
      <c r="E8791" s="7"/>
      <c r="F8791" s="7"/>
      <c r="G8791" s="7"/>
      <c r="H8791" s="7">
        <f t="shared" si="1"/>
        <v>1029</v>
      </c>
    </row>
    <row r="8792" ht="22.5" customHeight="1">
      <c r="B8792" s="7"/>
      <c r="C8792" s="7"/>
      <c r="D8792" s="7"/>
      <c r="E8792" s="7"/>
      <c r="F8792" s="7"/>
      <c r="G8792" s="7"/>
      <c r="H8792" s="7">
        <f t="shared" si="1"/>
        <v>1029</v>
      </c>
    </row>
    <row r="8793" ht="22.5" customHeight="1">
      <c r="B8793" s="7"/>
      <c r="C8793" s="7"/>
      <c r="D8793" s="7"/>
      <c r="E8793" s="7"/>
      <c r="F8793" s="7"/>
      <c r="G8793" s="7"/>
      <c r="H8793" s="7">
        <f t="shared" si="1"/>
        <v>1029</v>
      </c>
    </row>
    <row r="8794" ht="22.5" customHeight="1">
      <c r="B8794" s="7"/>
      <c r="C8794" s="7"/>
      <c r="D8794" s="7"/>
      <c r="E8794" s="7"/>
      <c r="F8794" s="7"/>
      <c r="G8794" s="7"/>
      <c r="H8794" s="7">
        <f t="shared" si="1"/>
        <v>1029</v>
      </c>
    </row>
    <row r="8795" ht="22.5" customHeight="1">
      <c r="B8795" s="7"/>
      <c r="C8795" s="7"/>
      <c r="D8795" s="7"/>
      <c r="E8795" s="7"/>
      <c r="F8795" s="7"/>
      <c r="G8795" s="7"/>
      <c r="H8795" s="7">
        <f t="shared" si="1"/>
        <v>1029</v>
      </c>
    </row>
    <row r="8796" ht="22.5" customHeight="1">
      <c r="B8796" s="7"/>
      <c r="C8796" s="7"/>
      <c r="D8796" s="7"/>
      <c r="E8796" s="7"/>
      <c r="F8796" s="7"/>
      <c r="G8796" s="7"/>
      <c r="H8796" s="7">
        <f t="shared" si="1"/>
        <v>1029</v>
      </c>
    </row>
    <row r="8797" ht="22.5" customHeight="1">
      <c r="B8797" s="7"/>
      <c r="C8797" s="7"/>
      <c r="D8797" s="7"/>
      <c r="E8797" s="7"/>
      <c r="F8797" s="7"/>
      <c r="G8797" s="7"/>
      <c r="H8797" s="7">
        <f t="shared" si="1"/>
        <v>1029</v>
      </c>
    </row>
    <row r="8798" ht="22.5" customHeight="1">
      <c r="B8798" s="7"/>
      <c r="C8798" s="7"/>
      <c r="D8798" s="7"/>
      <c r="E8798" s="7"/>
      <c r="F8798" s="7"/>
      <c r="G8798" s="7"/>
      <c r="H8798" s="7">
        <f t="shared" si="1"/>
        <v>1029</v>
      </c>
    </row>
    <row r="8799" ht="22.5" customHeight="1">
      <c r="B8799" s="7"/>
      <c r="C8799" s="7"/>
      <c r="D8799" s="7"/>
      <c r="E8799" s="7"/>
      <c r="F8799" s="7"/>
      <c r="G8799" s="7"/>
      <c r="H8799" s="7">
        <f t="shared" si="1"/>
        <v>1029</v>
      </c>
    </row>
    <row r="8800" ht="22.5" customHeight="1">
      <c r="B8800" s="7"/>
      <c r="C8800" s="7"/>
      <c r="D8800" s="7"/>
      <c r="E8800" s="7"/>
      <c r="F8800" s="7"/>
      <c r="G8800" s="7"/>
      <c r="H8800" s="7">
        <f t="shared" si="1"/>
        <v>1029</v>
      </c>
    </row>
    <row r="8801" ht="22.5" customHeight="1">
      <c r="B8801" s="7"/>
      <c r="C8801" s="7"/>
      <c r="D8801" s="7"/>
      <c r="E8801" s="7"/>
      <c r="F8801" s="7"/>
      <c r="G8801" s="7"/>
      <c r="H8801" s="7">
        <f t="shared" si="1"/>
        <v>1029</v>
      </c>
    </row>
    <row r="8802" ht="22.5" customHeight="1">
      <c r="B8802" s="7"/>
      <c r="C8802" s="7"/>
      <c r="D8802" s="7"/>
      <c r="E8802" s="7"/>
      <c r="F8802" s="7"/>
      <c r="G8802" s="7"/>
      <c r="H8802" s="7">
        <f t="shared" si="1"/>
        <v>1029</v>
      </c>
    </row>
    <row r="8803" ht="22.5" customHeight="1">
      <c r="B8803" s="7"/>
      <c r="C8803" s="7"/>
      <c r="D8803" s="7"/>
      <c r="E8803" s="7"/>
      <c r="F8803" s="7"/>
      <c r="G8803" s="7"/>
      <c r="H8803" s="7">
        <f t="shared" si="1"/>
        <v>1029</v>
      </c>
    </row>
    <row r="8804" ht="22.5" customHeight="1">
      <c r="B8804" s="7"/>
      <c r="C8804" s="7"/>
      <c r="D8804" s="7"/>
      <c r="E8804" s="7"/>
      <c r="F8804" s="7"/>
      <c r="G8804" s="7"/>
      <c r="H8804" s="7">
        <f t="shared" si="1"/>
        <v>1029</v>
      </c>
    </row>
    <row r="8805" ht="22.5" customHeight="1">
      <c r="B8805" s="7"/>
      <c r="C8805" s="7"/>
      <c r="D8805" s="7"/>
      <c r="E8805" s="7"/>
      <c r="F8805" s="7"/>
      <c r="G8805" s="7"/>
      <c r="H8805" s="7">
        <f t="shared" si="1"/>
        <v>1029</v>
      </c>
    </row>
    <row r="8806" ht="22.5" customHeight="1">
      <c r="B8806" s="7"/>
      <c r="C8806" s="7"/>
      <c r="D8806" s="7"/>
      <c r="E8806" s="7"/>
      <c r="F8806" s="7"/>
      <c r="G8806" s="7"/>
      <c r="H8806" s="7">
        <f t="shared" si="1"/>
        <v>1029</v>
      </c>
    </row>
    <row r="8807" ht="22.5" customHeight="1">
      <c r="B8807" s="7"/>
      <c r="C8807" s="7"/>
      <c r="D8807" s="7"/>
      <c r="E8807" s="7"/>
      <c r="F8807" s="7"/>
      <c r="G8807" s="7"/>
      <c r="H8807" s="7">
        <f t="shared" si="1"/>
        <v>1029</v>
      </c>
    </row>
    <row r="8808" ht="22.5" customHeight="1">
      <c r="B8808" s="7"/>
      <c r="C8808" s="7"/>
      <c r="D8808" s="7"/>
      <c r="E8808" s="7"/>
      <c r="F8808" s="7"/>
      <c r="G8808" s="7"/>
      <c r="H8808" s="7">
        <f t="shared" si="1"/>
        <v>1029</v>
      </c>
    </row>
    <row r="8809" ht="22.5" customHeight="1">
      <c r="B8809" s="7"/>
      <c r="C8809" s="7"/>
      <c r="D8809" s="7"/>
      <c r="E8809" s="7"/>
      <c r="F8809" s="7"/>
      <c r="G8809" s="7"/>
      <c r="H8809" s="7">
        <f t="shared" si="1"/>
        <v>1029</v>
      </c>
    </row>
    <row r="8810" ht="22.5" customHeight="1">
      <c r="B8810" s="7"/>
      <c r="C8810" s="7"/>
      <c r="D8810" s="7"/>
      <c r="E8810" s="7"/>
      <c r="F8810" s="7"/>
      <c r="G8810" s="7"/>
      <c r="H8810" s="7">
        <f t="shared" si="1"/>
        <v>1029</v>
      </c>
    </row>
    <row r="8811" ht="22.5" customHeight="1">
      <c r="B8811" s="7"/>
      <c r="C8811" s="7"/>
      <c r="D8811" s="7"/>
      <c r="E8811" s="7"/>
      <c r="F8811" s="7"/>
      <c r="G8811" s="7"/>
      <c r="H8811" s="7">
        <f t="shared" si="1"/>
        <v>1029</v>
      </c>
    </row>
    <row r="8812" ht="22.5" customHeight="1">
      <c r="B8812" s="7"/>
      <c r="C8812" s="7"/>
      <c r="D8812" s="7"/>
      <c r="E8812" s="7"/>
      <c r="F8812" s="7"/>
      <c r="G8812" s="7"/>
      <c r="H8812" s="7">
        <f t="shared" si="1"/>
        <v>1029</v>
      </c>
    </row>
    <row r="8813" ht="22.5" customHeight="1">
      <c r="B8813" s="7"/>
      <c r="C8813" s="7"/>
      <c r="D8813" s="7"/>
      <c r="E8813" s="7"/>
      <c r="F8813" s="7"/>
      <c r="G8813" s="7"/>
      <c r="H8813" s="7">
        <f t="shared" si="1"/>
        <v>1029</v>
      </c>
    </row>
    <row r="8814" ht="22.5" customHeight="1">
      <c r="B8814" s="7"/>
      <c r="C8814" s="7"/>
      <c r="D8814" s="7"/>
      <c r="E8814" s="7"/>
      <c r="F8814" s="7"/>
      <c r="G8814" s="7"/>
      <c r="H8814" s="7">
        <f t="shared" si="1"/>
        <v>1029</v>
      </c>
    </row>
    <row r="8815" ht="22.5" customHeight="1">
      <c r="B8815" s="7"/>
      <c r="C8815" s="7"/>
      <c r="D8815" s="7"/>
      <c r="E8815" s="7"/>
      <c r="F8815" s="7"/>
      <c r="G8815" s="7"/>
      <c r="H8815" s="7">
        <f t="shared" si="1"/>
        <v>1029</v>
      </c>
    </row>
    <row r="8816" ht="22.5" customHeight="1">
      <c r="B8816" s="7"/>
      <c r="C8816" s="7"/>
      <c r="D8816" s="7"/>
      <c r="E8816" s="7"/>
      <c r="F8816" s="7"/>
      <c r="G8816" s="7"/>
      <c r="H8816" s="7">
        <f t="shared" si="1"/>
        <v>1029</v>
      </c>
    </row>
    <row r="8817" ht="22.5" customHeight="1">
      <c r="B8817" s="7"/>
      <c r="C8817" s="7"/>
      <c r="D8817" s="7"/>
      <c r="E8817" s="7"/>
      <c r="F8817" s="7"/>
      <c r="G8817" s="7"/>
      <c r="H8817" s="7">
        <f t="shared" si="1"/>
        <v>1029</v>
      </c>
    </row>
    <row r="8818" ht="22.5" customHeight="1">
      <c r="B8818" s="7"/>
      <c r="C8818" s="7"/>
      <c r="D8818" s="7"/>
      <c r="E8818" s="7"/>
      <c r="F8818" s="7"/>
      <c r="G8818" s="7"/>
      <c r="H8818" s="7">
        <f t="shared" si="1"/>
        <v>1029</v>
      </c>
    </row>
    <row r="8819" ht="22.5" customHeight="1">
      <c r="B8819" s="7"/>
      <c r="C8819" s="7"/>
      <c r="D8819" s="7"/>
      <c r="E8819" s="7"/>
      <c r="F8819" s="7"/>
      <c r="G8819" s="7"/>
      <c r="H8819" s="7">
        <f t="shared" si="1"/>
        <v>1029</v>
      </c>
    </row>
    <row r="8820" ht="22.5" customHeight="1">
      <c r="B8820" s="7"/>
      <c r="C8820" s="7"/>
      <c r="D8820" s="7"/>
      <c r="E8820" s="7"/>
      <c r="F8820" s="7"/>
      <c r="G8820" s="7"/>
      <c r="H8820" s="7">
        <f t="shared" si="1"/>
        <v>1029</v>
      </c>
    </row>
    <row r="8821" ht="22.5" customHeight="1">
      <c r="B8821" s="7"/>
      <c r="C8821" s="7"/>
      <c r="D8821" s="7"/>
      <c r="E8821" s="7"/>
      <c r="F8821" s="7"/>
      <c r="G8821" s="7"/>
      <c r="H8821" s="7">
        <f t="shared" si="1"/>
        <v>1029</v>
      </c>
    </row>
    <row r="8822" ht="22.5" customHeight="1">
      <c r="B8822" s="7"/>
      <c r="C8822" s="7"/>
      <c r="D8822" s="7"/>
      <c r="E8822" s="7"/>
      <c r="F8822" s="7"/>
      <c r="G8822" s="7"/>
      <c r="H8822" s="7">
        <f t="shared" si="1"/>
        <v>1029</v>
      </c>
    </row>
    <row r="8823" ht="22.5" customHeight="1">
      <c r="B8823" s="7"/>
      <c r="C8823" s="7"/>
      <c r="D8823" s="7"/>
      <c r="E8823" s="7"/>
      <c r="F8823" s="7"/>
      <c r="G8823" s="7"/>
      <c r="H8823" s="7">
        <f t="shared" si="1"/>
        <v>1029</v>
      </c>
    </row>
    <row r="8824" ht="22.5" customHeight="1">
      <c r="B8824" s="7"/>
      <c r="C8824" s="7"/>
      <c r="D8824" s="7"/>
      <c r="E8824" s="7"/>
      <c r="F8824" s="7"/>
      <c r="G8824" s="7"/>
      <c r="H8824" s="7">
        <f t="shared" si="1"/>
        <v>1029</v>
      </c>
    </row>
    <row r="8825" ht="22.5" customHeight="1">
      <c r="B8825" s="7"/>
      <c r="C8825" s="7"/>
      <c r="D8825" s="7"/>
      <c r="E8825" s="7"/>
      <c r="F8825" s="7"/>
      <c r="G8825" s="7"/>
      <c r="H8825" s="7">
        <f t="shared" si="1"/>
        <v>1029</v>
      </c>
    </row>
    <row r="8826" ht="22.5" customHeight="1">
      <c r="B8826" s="7"/>
      <c r="C8826" s="7"/>
      <c r="D8826" s="7"/>
      <c r="E8826" s="7"/>
      <c r="F8826" s="7"/>
      <c r="G8826" s="7"/>
      <c r="H8826" s="7">
        <f t="shared" si="1"/>
        <v>1029</v>
      </c>
    </row>
    <row r="8827" ht="22.5" customHeight="1">
      <c r="B8827" s="7"/>
      <c r="C8827" s="7"/>
      <c r="D8827" s="7"/>
      <c r="E8827" s="7"/>
      <c r="F8827" s="7"/>
      <c r="G8827" s="7"/>
      <c r="H8827" s="7">
        <f t="shared" si="1"/>
        <v>1029</v>
      </c>
    </row>
    <row r="8828" ht="22.5" customHeight="1">
      <c r="B8828" s="7"/>
      <c r="C8828" s="7"/>
      <c r="D8828" s="7"/>
      <c r="E8828" s="7"/>
      <c r="F8828" s="7"/>
      <c r="G8828" s="7"/>
      <c r="H8828" s="7">
        <f t="shared" si="1"/>
        <v>1029</v>
      </c>
    </row>
    <row r="8829" ht="22.5" customHeight="1">
      <c r="B8829" s="7"/>
      <c r="C8829" s="7"/>
      <c r="D8829" s="7"/>
      <c r="E8829" s="7"/>
      <c r="F8829" s="7"/>
      <c r="G8829" s="7"/>
      <c r="H8829" s="7">
        <f t="shared" si="1"/>
        <v>1029</v>
      </c>
    </row>
    <row r="8830" ht="22.5" customHeight="1">
      <c r="B8830" s="7"/>
      <c r="C8830" s="7"/>
      <c r="D8830" s="7"/>
      <c r="E8830" s="7"/>
      <c r="F8830" s="7"/>
      <c r="G8830" s="7"/>
      <c r="H8830" s="7">
        <f t="shared" si="1"/>
        <v>1029</v>
      </c>
    </row>
    <row r="8831" ht="22.5" customHeight="1">
      <c r="B8831" s="7"/>
      <c r="C8831" s="7"/>
      <c r="D8831" s="7"/>
      <c r="E8831" s="7"/>
      <c r="F8831" s="7"/>
      <c r="G8831" s="7"/>
      <c r="H8831" s="7">
        <f t="shared" si="1"/>
        <v>1029</v>
      </c>
    </row>
    <row r="8832" ht="22.5" customHeight="1">
      <c r="B8832" s="7"/>
      <c r="C8832" s="7"/>
      <c r="D8832" s="7"/>
      <c r="E8832" s="7"/>
      <c r="F8832" s="7"/>
      <c r="G8832" s="7"/>
      <c r="H8832" s="7">
        <f t="shared" si="1"/>
        <v>1029</v>
      </c>
    </row>
    <row r="8833" ht="22.5" customHeight="1">
      <c r="B8833" s="7"/>
      <c r="C8833" s="7"/>
      <c r="D8833" s="7"/>
      <c r="E8833" s="7"/>
      <c r="F8833" s="7"/>
      <c r="G8833" s="7"/>
      <c r="H8833" s="7">
        <f t="shared" si="1"/>
        <v>1029</v>
      </c>
    </row>
    <row r="8834" ht="22.5" customHeight="1">
      <c r="B8834" s="7"/>
      <c r="C8834" s="7"/>
      <c r="D8834" s="7"/>
      <c r="E8834" s="7"/>
      <c r="F8834" s="7"/>
      <c r="G8834" s="7"/>
      <c r="H8834" s="7">
        <f t="shared" si="1"/>
        <v>1029</v>
      </c>
    </row>
    <row r="8835" ht="22.5" customHeight="1">
      <c r="B8835" s="7"/>
      <c r="C8835" s="7"/>
      <c r="D8835" s="7"/>
      <c r="E8835" s="7"/>
      <c r="F8835" s="7"/>
      <c r="G8835" s="7"/>
      <c r="H8835" s="7">
        <f t="shared" si="1"/>
        <v>1029</v>
      </c>
    </row>
    <row r="8836" ht="22.5" customHeight="1">
      <c r="B8836" s="7"/>
      <c r="C8836" s="7"/>
      <c r="D8836" s="7"/>
      <c r="E8836" s="7"/>
      <c r="F8836" s="7"/>
      <c r="G8836" s="7"/>
      <c r="H8836" s="7">
        <f t="shared" si="1"/>
        <v>1029</v>
      </c>
    </row>
    <row r="8837" ht="22.5" customHeight="1">
      <c r="B8837" s="7"/>
      <c r="C8837" s="7"/>
      <c r="D8837" s="7"/>
      <c r="E8837" s="7"/>
      <c r="F8837" s="7"/>
      <c r="G8837" s="7"/>
      <c r="H8837" s="7">
        <f t="shared" si="1"/>
        <v>1029</v>
      </c>
    </row>
    <row r="8838" ht="22.5" customHeight="1">
      <c r="B8838" s="7"/>
      <c r="C8838" s="7"/>
      <c r="D8838" s="7"/>
      <c r="E8838" s="7"/>
      <c r="F8838" s="7"/>
      <c r="G8838" s="7"/>
      <c r="H8838" s="7">
        <f t="shared" si="1"/>
        <v>1029</v>
      </c>
    </row>
    <row r="8839" ht="22.5" customHeight="1">
      <c r="B8839" s="7"/>
      <c r="C8839" s="7"/>
      <c r="D8839" s="7"/>
      <c r="E8839" s="7"/>
      <c r="F8839" s="7"/>
      <c r="G8839" s="7"/>
      <c r="H8839" s="7">
        <f t="shared" si="1"/>
        <v>1029</v>
      </c>
    </row>
    <row r="8840" ht="22.5" customHeight="1">
      <c r="B8840" s="7"/>
      <c r="C8840" s="7"/>
      <c r="D8840" s="7"/>
      <c r="E8840" s="7"/>
      <c r="F8840" s="7"/>
      <c r="G8840" s="7"/>
      <c r="H8840" s="7">
        <f t="shared" si="1"/>
        <v>1029</v>
      </c>
    </row>
    <row r="8841" ht="22.5" customHeight="1">
      <c r="B8841" s="7"/>
      <c r="C8841" s="7"/>
      <c r="D8841" s="7"/>
      <c r="E8841" s="7"/>
      <c r="F8841" s="7"/>
      <c r="G8841" s="7"/>
      <c r="H8841" s="7">
        <f t="shared" si="1"/>
        <v>1029</v>
      </c>
    </row>
    <row r="8842" ht="22.5" customHeight="1">
      <c r="B8842" s="7"/>
      <c r="C8842" s="7"/>
      <c r="D8842" s="7"/>
      <c r="E8842" s="7"/>
      <c r="F8842" s="7"/>
      <c r="G8842" s="7"/>
      <c r="H8842" s="7">
        <f t="shared" si="1"/>
        <v>1029</v>
      </c>
    </row>
    <row r="8843" ht="22.5" customHeight="1">
      <c r="B8843" s="7"/>
      <c r="C8843" s="7"/>
      <c r="D8843" s="7"/>
      <c r="E8843" s="7"/>
      <c r="F8843" s="7"/>
      <c r="G8843" s="7"/>
      <c r="H8843" s="7">
        <f t="shared" si="1"/>
        <v>1029</v>
      </c>
    </row>
    <row r="8844" ht="22.5" customHeight="1">
      <c r="B8844" s="7"/>
      <c r="C8844" s="7"/>
      <c r="D8844" s="7"/>
      <c r="E8844" s="7"/>
      <c r="F8844" s="7"/>
      <c r="G8844" s="7"/>
      <c r="H8844" s="7">
        <f t="shared" si="1"/>
        <v>1029</v>
      </c>
    </row>
    <row r="8845" ht="22.5" customHeight="1">
      <c r="B8845" s="7"/>
      <c r="C8845" s="7"/>
      <c r="D8845" s="7"/>
      <c r="E8845" s="7"/>
      <c r="F8845" s="7"/>
      <c r="G8845" s="7"/>
      <c r="H8845" s="7">
        <f t="shared" si="1"/>
        <v>1029</v>
      </c>
    </row>
    <row r="8846" ht="22.5" customHeight="1">
      <c r="B8846" s="7"/>
      <c r="C8846" s="7"/>
      <c r="D8846" s="7"/>
      <c r="E8846" s="7"/>
      <c r="F8846" s="7"/>
      <c r="G8846" s="7"/>
      <c r="H8846" s="7">
        <f t="shared" si="1"/>
        <v>1029</v>
      </c>
    </row>
    <row r="8847" ht="22.5" customHeight="1">
      <c r="B8847" s="7"/>
      <c r="C8847" s="7"/>
      <c r="D8847" s="7"/>
      <c r="E8847" s="7"/>
      <c r="F8847" s="7"/>
      <c r="G8847" s="7"/>
      <c r="H8847" s="7">
        <f t="shared" si="1"/>
        <v>1029</v>
      </c>
    </row>
    <row r="8848" ht="22.5" customHeight="1">
      <c r="B8848" s="7"/>
      <c r="C8848" s="7"/>
      <c r="D8848" s="7"/>
      <c r="E8848" s="7"/>
      <c r="F8848" s="7"/>
      <c r="G8848" s="7"/>
      <c r="H8848" s="7">
        <f t="shared" si="1"/>
        <v>1029</v>
      </c>
    </row>
    <row r="8849" ht="22.5" customHeight="1">
      <c r="B8849" s="7"/>
      <c r="C8849" s="7"/>
      <c r="D8849" s="7"/>
      <c r="E8849" s="7"/>
      <c r="F8849" s="7"/>
      <c r="G8849" s="7"/>
      <c r="H8849" s="7">
        <f t="shared" si="1"/>
        <v>1029</v>
      </c>
    </row>
    <row r="8850" ht="22.5" customHeight="1">
      <c r="B8850" s="7"/>
      <c r="C8850" s="7"/>
      <c r="D8850" s="7"/>
      <c r="E8850" s="7"/>
      <c r="F8850" s="7"/>
      <c r="G8850" s="7"/>
      <c r="H8850" s="7">
        <f t="shared" si="1"/>
        <v>1029</v>
      </c>
    </row>
    <row r="8851" ht="22.5" customHeight="1">
      <c r="B8851" s="7"/>
      <c r="C8851" s="7"/>
      <c r="D8851" s="7"/>
      <c r="E8851" s="7"/>
      <c r="F8851" s="7"/>
      <c r="G8851" s="7"/>
      <c r="H8851" s="7">
        <f t="shared" si="1"/>
        <v>1029</v>
      </c>
    </row>
    <row r="8852" ht="22.5" customHeight="1">
      <c r="B8852" s="7"/>
      <c r="C8852" s="7"/>
      <c r="D8852" s="7"/>
      <c r="E8852" s="7"/>
      <c r="F8852" s="7"/>
      <c r="G8852" s="7"/>
      <c r="H8852" s="7">
        <f t="shared" si="1"/>
        <v>1029</v>
      </c>
    </row>
    <row r="8853" ht="22.5" customHeight="1">
      <c r="B8853" s="7"/>
      <c r="C8853" s="7"/>
      <c r="D8853" s="7"/>
      <c r="E8853" s="7"/>
      <c r="F8853" s="7"/>
      <c r="G8853" s="7"/>
      <c r="H8853" s="7">
        <f t="shared" si="1"/>
        <v>1029</v>
      </c>
    </row>
    <row r="8854" ht="22.5" customHeight="1">
      <c r="B8854" s="7"/>
      <c r="C8854" s="7"/>
      <c r="D8854" s="7"/>
      <c r="E8854" s="7"/>
      <c r="F8854" s="7"/>
      <c r="G8854" s="7"/>
      <c r="H8854" s="7">
        <f t="shared" si="1"/>
        <v>1029</v>
      </c>
    </row>
    <row r="8855" ht="22.5" customHeight="1">
      <c r="B8855" s="7"/>
      <c r="C8855" s="7"/>
      <c r="D8855" s="7"/>
      <c r="E8855" s="7"/>
      <c r="F8855" s="7"/>
      <c r="G8855" s="7"/>
      <c r="H8855" s="7">
        <f t="shared" si="1"/>
        <v>1029</v>
      </c>
    </row>
    <row r="8856" ht="22.5" customHeight="1">
      <c r="B8856" s="7"/>
      <c r="C8856" s="7"/>
      <c r="D8856" s="7"/>
      <c r="E8856" s="7"/>
      <c r="F8856" s="7"/>
      <c r="G8856" s="7"/>
      <c r="H8856" s="7">
        <f t="shared" si="1"/>
        <v>1029</v>
      </c>
    </row>
    <row r="8857" ht="22.5" customHeight="1">
      <c r="B8857" s="7"/>
      <c r="C8857" s="7"/>
      <c r="D8857" s="7"/>
      <c r="E8857" s="7"/>
      <c r="F8857" s="7"/>
      <c r="G8857" s="7"/>
      <c r="H8857" s="7">
        <f t="shared" si="1"/>
        <v>1029</v>
      </c>
    </row>
    <row r="8858" ht="22.5" customHeight="1">
      <c r="B8858" s="7"/>
      <c r="C8858" s="7"/>
      <c r="D8858" s="7"/>
      <c r="E8858" s="7"/>
      <c r="F8858" s="7"/>
      <c r="G8858" s="7"/>
      <c r="H8858" s="7">
        <f t="shared" si="1"/>
        <v>1029</v>
      </c>
    </row>
    <row r="8859" ht="22.5" customHeight="1">
      <c r="B8859" s="7"/>
      <c r="C8859" s="7"/>
      <c r="D8859" s="7"/>
      <c r="E8859" s="7"/>
      <c r="F8859" s="7"/>
      <c r="G8859" s="7"/>
      <c r="H8859" s="7">
        <f t="shared" si="1"/>
        <v>1029</v>
      </c>
    </row>
    <row r="8860" ht="22.5" customHeight="1">
      <c r="B8860" s="7"/>
      <c r="C8860" s="7"/>
      <c r="D8860" s="7"/>
      <c r="E8860" s="7"/>
      <c r="F8860" s="7"/>
      <c r="G8860" s="7"/>
      <c r="H8860" s="7">
        <f t="shared" si="1"/>
        <v>1029</v>
      </c>
    </row>
    <row r="8861" ht="22.5" customHeight="1">
      <c r="B8861" s="7"/>
      <c r="C8861" s="7"/>
      <c r="D8861" s="7"/>
      <c r="E8861" s="7"/>
      <c r="F8861" s="7"/>
      <c r="G8861" s="7"/>
      <c r="H8861" s="7">
        <f t="shared" si="1"/>
        <v>1029</v>
      </c>
    </row>
    <row r="8862" ht="22.5" customHeight="1">
      <c r="B8862" s="7"/>
      <c r="C8862" s="7"/>
      <c r="D8862" s="7"/>
      <c r="E8862" s="7"/>
      <c r="F8862" s="7"/>
      <c r="G8862" s="7"/>
      <c r="H8862" s="7">
        <f t="shared" si="1"/>
        <v>1029</v>
      </c>
    </row>
    <row r="8863" ht="22.5" customHeight="1">
      <c r="B8863" s="7"/>
      <c r="C8863" s="7"/>
      <c r="D8863" s="7"/>
      <c r="E8863" s="7"/>
      <c r="F8863" s="7"/>
      <c r="G8863" s="7"/>
      <c r="H8863" s="7">
        <f t="shared" si="1"/>
        <v>1029</v>
      </c>
    </row>
    <row r="8864" ht="22.5" customHeight="1">
      <c r="B8864" s="7"/>
      <c r="C8864" s="7"/>
      <c r="D8864" s="7"/>
      <c r="E8864" s="7"/>
      <c r="F8864" s="7"/>
      <c r="G8864" s="7"/>
      <c r="H8864" s="7">
        <f t="shared" si="1"/>
        <v>1029</v>
      </c>
    </row>
    <row r="8865" ht="22.5" customHeight="1">
      <c r="B8865" s="7"/>
      <c r="C8865" s="7"/>
      <c r="D8865" s="7"/>
      <c r="E8865" s="7"/>
      <c r="F8865" s="7"/>
      <c r="G8865" s="7"/>
      <c r="H8865" s="7">
        <f t="shared" si="1"/>
        <v>1029</v>
      </c>
    </row>
    <row r="8866" ht="22.5" customHeight="1">
      <c r="B8866" s="7"/>
      <c r="C8866" s="7"/>
      <c r="D8866" s="7"/>
      <c r="E8866" s="7"/>
      <c r="F8866" s="7"/>
      <c r="G8866" s="7"/>
      <c r="H8866" s="7">
        <f t="shared" si="1"/>
        <v>1029</v>
      </c>
    </row>
    <row r="8867" ht="22.5" customHeight="1">
      <c r="B8867" s="7"/>
      <c r="C8867" s="7"/>
      <c r="D8867" s="7"/>
      <c r="E8867" s="7"/>
      <c r="F8867" s="7"/>
      <c r="G8867" s="7"/>
      <c r="H8867" s="7">
        <f t="shared" si="1"/>
        <v>1029</v>
      </c>
    </row>
    <row r="8868" ht="22.5" customHeight="1">
      <c r="B8868" s="7"/>
      <c r="C8868" s="7"/>
      <c r="D8868" s="7"/>
      <c r="E8868" s="7"/>
      <c r="F8868" s="7"/>
      <c r="G8868" s="7"/>
      <c r="H8868" s="7">
        <f t="shared" si="1"/>
        <v>1029</v>
      </c>
    </row>
    <row r="8869" ht="22.5" customHeight="1">
      <c r="B8869" s="7"/>
      <c r="C8869" s="7"/>
      <c r="D8869" s="7"/>
      <c r="E8869" s="7"/>
      <c r="F8869" s="7"/>
      <c r="G8869" s="7"/>
      <c r="H8869" s="7">
        <f t="shared" si="1"/>
        <v>1029</v>
      </c>
    </row>
    <row r="8870" ht="22.5" customHeight="1">
      <c r="B8870" s="7"/>
      <c r="C8870" s="7"/>
      <c r="D8870" s="7"/>
      <c r="E8870" s="7"/>
      <c r="F8870" s="7"/>
      <c r="G8870" s="7"/>
      <c r="H8870" s="7">
        <f t="shared" si="1"/>
        <v>1029</v>
      </c>
    </row>
    <row r="8871" ht="22.5" customHeight="1">
      <c r="B8871" s="7"/>
      <c r="C8871" s="7"/>
      <c r="D8871" s="7"/>
      <c r="E8871" s="7"/>
      <c r="F8871" s="7"/>
      <c r="G8871" s="7"/>
      <c r="H8871" s="7">
        <f t="shared" si="1"/>
        <v>1029</v>
      </c>
    </row>
    <row r="8872" ht="22.5" customHeight="1">
      <c r="B8872" s="7"/>
      <c r="C8872" s="7"/>
      <c r="D8872" s="7"/>
      <c r="E8872" s="7"/>
      <c r="F8872" s="7"/>
      <c r="G8872" s="7"/>
      <c r="H8872" s="7">
        <f t="shared" si="1"/>
        <v>1029</v>
      </c>
    </row>
    <row r="8873" ht="22.5" customHeight="1">
      <c r="B8873" s="7"/>
      <c r="C8873" s="7"/>
      <c r="D8873" s="7"/>
      <c r="E8873" s="7"/>
      <c r="F8873" s="7"/>
      <c r="G8873" s="7"/>
      <c r="H8873" s="7">
        <f t="shared" si="1"/>
        <v>1029</v>
      </c>
    </row>
    <row r="8874" ht="22.5" customHeight="1">
      <c r="B8874" s="7"/>
      <c r="C8874" s="7"/>
      <c r="D8874" s="7"/>
      <c r="E8874" s="7"/>
      <c r="F8874" s="7"/>
      <c r="G8874" s="7"/>
      <c r="H8874" s="7">
        <f t="shared" si="1"/>
        <v>1029</v>
      </c>
    </row>
    <row r="8875" ht="22.5" customHeight="1">
      <c r="B8875" s="7"/>
      <c r="C8875" s="7"/>
      <c r="D8875" s="7"/>
      <c r="E8875" s="7"/>
      <c r="F8875" s="7"/>
      <c r="G8875" s="7"/>
      <c r="H8875" s="7">
        <f t="shared" si="1"/>
        <v>1029</v>
      </c>
    </row>
    <row r="8876" ht="22.5" customHeight="1">
      <c r="B8876" s="7"/>
      <c r="C8876" s="7"/>
      <c r="D8876" s="7"/>
      <c r="E8876" s="7"/>
      <c r="F8876" s="7"/>
      <c r="G8876" s="7"/>
      <c r="H8876" s="7">
        <f t="shared" si="1"/>
        <v>1029</v>
      </c>
    </row>
    <row r="8877" ht="22.5" customHeight="1">
      <c r="B8877" s="7"/>
      <c r="C8877" s="7"/>
      <c r="D8877" s="7"/>
      <c r="E8877" s="7"/>
      <c r="F8877" s="7"/>
      <c r="G8877" s="7"/>
      <c r="H8877" s="7">
        <f t="shared" si="1"/>
        <v>1029</v>
      </c>
    </row>
    <row r="8878" ht="22.5" customHeight="1">
      <c r="B8878" s="7"/>
      <c r="C8878" s="7"/>
      <c r="D8878" s="7"/>
      <c r="E8878" s="7"/>
      <c r="F8878" s="7"/>
      <c r="G8878" s="7"/>
      <c r="H8878" s="7">
        <f t="shared" si="1"/>
        <v>1029</v>
      </c>
    </row>
    <row r="8879" ht="22.5" customHeight="1">
      <c r="B8879" s="7"/>
      <c r="C8879" s="7"/>
      <c r="D8879" s="7"/>
      <c r="E8879" s="7"/>
      <c r="F8879" s="7"/>
      <c r="G8879" s="7"/>
      <c r="H8879" s="7">
        <f t="shared" si="1"/>
        <v>1029</v>
      </c>
    </row>
    <row r="8880" ht="22.5" customHeight="1">
      <c r="B8880" s="7"/>
      <c r="C8880" s="7"/>
      <c r="D8880" s="7"/>
      <c r="E8880" s="7"/>
      <c r="F8880" s="7"/>
      <c r="G8880" s="7"/>
      <c r="H8880" s="7">
        <f t="shared" si="1"/>
        <v>1029</v>
      </c>
    </row>
    <row r="8881" ht="22.5" customHeight="1">
      <c r="B8881" s="7"/>
      <c r="C8881" s="7"/>
      <c r="D8881" s="7"/>
      <c r="E8881" s="7"/>
      <c r="F8881" s="7"/>
      <c r="G8881" s="7"/>
      <c r="H8881" s="7">
        <f t="shared" si="1"/>
        <v>1029</v>
      </c>
    </row>
    <row r="8882" ht="22.5" customHeight="1">
      <c r="B8882" s="7"/>
      <c r="C8882" s="7"/>
      <c r="D8882" s="7"/>
      <c r="E8882" s="7"/>
      <c r="F8882" s="7"/>
      <c r="G8882" s="7"/>
      <c r="H8882" s="7">
        <f t="shared" si="1"/>
        <v>1029</v>
      </c>
    </row>
    <row r="8883" ht="22.5" customHeight="1">
      <c r="B8883" s="7"/>
      <c r="C8883" s="7"/>
      <c r="D8883" s="7"/>
      <c r="E8883" s="7"/>
      <c r="F8883" s="7"/>
      <c r="G8883" s="7"/>
      <c r="H8883" s="7">
        <f t="shared" si="1"/>
        <v>1029</v>
      </c>
    </row>
    <row r="8884" ht="22.5" customHeight="1">
      <c r="B8884" s="7"/>
      <c r="C8884" s="7"/>
      <c r="D8884" s="7"/>
      <c r="E8884" s="7"/>
      <c r="F8884" s="7"/>
      <c r="G8884" s="7"/>
      <c r="H8884" s="7">
        <f t="shared" si="1"/>
        <v>1029</v>
      </c>
    </row>
    <row r="8885" ht="22.5" customHeight="1">
      <c r="B8885" s="7"/>
      <c r="C8885" s="7"/>
      <c r="D8885" s="7"/>
      <c r="E8885" s="7"/>
      <c r="F8885" s="7"/>
      <c r="G8885" s="7"/>
      <c r="H8885" s="7">
        <f t="shared" si="1"/>
        <v>1029</v>
      </c>
    </row>
    <row r="8886" ht="22.5" customHeight="1">
      <c r="B8886" s="7"/>
      <c r="C8886" s="7"/>
      <c r="D8886" s="7"/>
      <c r="E8886" s="7"/>
      <c r="F8886" s="7"/>
      <c r="G8886" s="7"/>
      <c r="H8886" s="7">
        <f t="shared" si="1"/>
        <v>1029</v>
      </c>
    </row>
    <row r="8887" ht="22.5" customHeight="1">
      <c r="B8887" s="7"/>
      <c r="C8887" s="7"/>
      <c r="D8887" s="7"/>
      <c r="E8887" s="7"/>
      <c r="F8887" s="7"/>
      <c r="G8887" s="7"/>
      <c r="H8887" s="7">
        <f t="shared" si="1"/>
        <v>1029</v>
      </c>
    </row>
    <row r="8888" ht="22.5" customHeight="1">
      <c r="B8888" s="7"/>
      <c r="C8888" s="7"/>
      <c r="D8888" s="7"/>
      <c r="E8888" s="7"/>
      <c r="F8888" s="7"/>
      <c r="G8888" s="7"/>
      <c r="H8888" s="7">
        <f t="shared" si="1"/>
        <v>1029</v>
      </c>
    </row>
    <row r="8889" ht="22.5" customHeight="1">
      <c r="B8889" s="7"/>
      <c r="C8889" s="7"/>
      <c r="D8889" s="7"/>
      <c r="E8889" s="7"/>
      <c r="F8889" s="7"/>
      <c r="G8889" s="7"/>
      <c r="H8889" s="7">
        <f t="shared" si="1"/>
        <v>1029</v>
      </c>
    </row>
    <row r="8890" ht="22.5" customHeight="1">
      <c r="B8890" s="7"/>
      <c r="C8890" s="7"/>
      <c r="D8890" s="7"/>
      <c r="E8890" s="7"/>
      <c r="F8890" s="7"/>
      <c r="G8890" s="7"/>
      <c r="H8890" s="7">
        <f t="shared" si="1"/>
        <v>1029</v>
      </c>
    </row>
    <row r="8891" ht="22.5" customHeight="1">
      <c r="B8891" s="7"/>
      <c r="C8891" s="7"/>
      <c r="D8891" s="7"/>
      <c r="E8891" s="7"/>
      <c r="F8891" s="7"/>
      <c r="G8891" s="7"/>
      <c r="H8891" s="7">
        <f t="shared" si="1"/>
        <v>1029</v>
      </c>
    </row>
    <row r="8892" ht="22.5" customHeight="1">
      <c r="B8892" s="7"/>
      <c r="C8892" s="7"/>
      <c r="D8892" s="7"/>
      <c r="E8892" s="7"/>
      <c r="F8892" s="7"/>
      <c r="G8892" s="7"/>
      <c r="H8892" s="7">
        <f t="shared" si="1"/>
        <v>1029</v>
      </c>
    </row>
    <row r="8893" ht="22.5" customHeight="1">
      <c r="B8893" s="7"/>
      <c r="C8893" s="7"/>
      <c r="D8893" s="7"/>
      <c r="E8893" s="7"/>
      <c r="F8893" s="7"/>
      <c r="G8893" s="7"/>
      <c r="H8893" s="7">
        <f t="shared" si="1"/>
        <v>1029</v>
      </c>
    </row>
    <row r="8894" ht="22.5" customHeight="1">
      <c r="B8894" s="7"/>
      <c r="C8894" s="7"/>
      <c r="D8894" s="7"/>
      <c r="E8894" s="7"/>
      <c r="F8894" s="7"/>
      <c r="G8894" s="7"/>
      <c r="H8894" s="7">
        <f t="shared" si="1"/>
        <v>1029</v>
      </c>
    </row>
    <row r="8895" ht="22.5" customHeight="1">
      <c r="B8895" s="7"/>
      <c r="C8895" s="7"/>
      <c r="D8895" s="7"/>
      <c r="E8895" s="7"/>
      <c r="F8895" s="7"/>
      <c r="G8895" s="7"/>
      <c r="H8895" s="7">
        <f t="shared" si="1"/>
        <v>1029</v>
      </c>
    </row>
    <row r="8896" ht="22.5" customHeight="1">
      <c r="B8896" s="7"/>
      <c r="C8896" s="7"/>
      <c r="D8896" s="7"/>
      <c r="E8896" s="7"/>
      <c r="F8896" s="7"/>
      <c r="G8896" s="7"/>
      <c r="H8896" s="7">
        <f t="shared" si="1"/>
        <v>1029</v>
      </c>
    </row>
    <row r="8897" ht="22.5" customHeight="1">
      <c r="B8897" s="7"/>
      <c r="C8897" s="7"/>
      <c r="D8897" s="7"/>
      <c r="E8897" s="7"/>
      <c r="F8897" s="7"/>
      <c r="G8897" s="7"/>
      <c r="H8897" s="7">
        <f t="shared" si="1"/>
        <v>1029</v>
      </c>
    </row>
    <row r="8898" ht="22.5" customHeight="1">
      <c r="B8898" s="7"/>
      <c r="C8898" s="7"/>
      <c r="D8898" s="7"/>
      <c r="E8898" s="7"/>
      <c r="F8898" s="7"/>
      <c r="G8898" s="7"/>
      <c r="H8898" s="7">
        <f t="shared" si="1"/>
        <v>1029</v>
      </c>
    </row>
    <row r="8899" ht="22.5" customHeight="1">
      <c r="B8899" s="7"/>
      <c r="C8899" s="7"/>
      <c r="D8899" s="7"/>
      <c r="E8899" s="7"/>
      <c r="F8899" s="7"/>
      <c r="G8899" s="7"/>
      <c r="H8899" s="7">
        <f t="shared" si="1"/>
        <v>1029</v>
      </c>
    </row>
    <row r="8900" ht="22.5" customHeight="1">
      <c r="B8900" s="7"/>
      <c r="C8900" s="7"/>
      <c r="D8900" s="7"/>
      <c r="E8900" s="7"/>
      <c r="F8900" s="7"/>
      <c r="G8900" s="7"/>
      <c r="H8900" s="7">
        <f t="shared" si="1"/>
        <v>1029</v>
      </c>
    </row>
    <row r="8901" ht="22.5" customHeight="1">
      <c r="B8901" s="7"/>
      <c r="C8901" s="7"/>
      <c r="D8901" s="7"/>
      <c r="E8901" s="7"/>
      <c r="F8901" s="7"/>
      <c r="G8901" s="7"/>
      <c r="H8901" s="7">
        <f t="shared" si="1"/>
        <v>1029</v>
      </c>
    </row>
    <row r="8902" ht="22.5" customHeight="1">
      <c r="B8902" s="7"/>
      <c r="C8902" s="7"/>
      <c r="D8902" s="7"/>
      <c r="E8902" s="7"/>
      <c r="F8902" s="7"/>
      <c r="G8902" s="7"/>
      <c r="H8902" s="7">
        <f t="shared" si="1"/>
        <v>1029</v>
      </c>
    </row>
    <row r="8903" ht="22.5" customHeight="1">
      <c r="B8903" s="7"/>
      <c r="C8903" s="7"/>
      <c r="D8903" s="7"/>
      <c r="E8903" s="7"/>
      <c r="F8903" s="7"/>
      <c r="G8903" s="7"/>
      <c r="H8903" s="7">
        <f t="shared" si="1"/>
        <v>1029</v>
      </c>
    </row>
    <row r="8904" ht="22.5" customHeight="1">
      <c r="B8904" s="7"/>
      <c r="C8904" s="7"/>
      <c r="D8904" s="7"/>
      <c r="E8904" s="7"/>
      <c r="F8904" s="7"/>
      <c r="G8904" s="7"/>
      <c r="H8904" s="7">
        <f t="shared" si="1"/>
        <v>1029</v>
      </c>
    </row>
    <row r="8905" ht="22.5" customHeight="1">
      <c r="B8905" s="7"/>
      <c r="C8905" s="7"/>
      <c r="D8905" s="7"/>
      <c r="E8905" s="7"/>
      <c r="F8905" s="7"/>
      <c r="G8905" s="7"/>
      <c r="H8905" s="7">
        <f t="shared" si="1"/>
        <v>1029</v>
      </c>
    </row>
    <row r="8906" ht="22.5" customHeight="1">
      <c r="B8906" s="7"/>
      <c r="C8906" s="7"/>
      <c r="D8906" s="7"/>
      <c r="E8906" s="7"/>
      <c r="F8906" s="7"/>
      <c r="G8906" s="7"/>
      <c r="H8906" s="7">
        <f t="shared" si="1"/>
        <v>1029</v>
      </c>
    </row>
    <row r="8907" ht="22.5" customHeight="1">
      <c r="B8907" s="7"/>
      <c r="C8907" s="7"/>
      <c r="D8907" s="7"/>
      <c r="E8907" s="7"/>
      <c r="F8907" s="7"/>
      <c r="G8907" s="7"/>
      <c r="H8907" s="7">
        <f t="shared" si="1"/>
        <v>1029</v>
      </c>
    </row>
    <row r="8908" ht="22.5" customHeight="1">
      <c r="B8908" s="7"/>
      <c r="C8908" s="7"/>
      <c r="D8908" s="7"/>
      <c r="E8908" s="7"/>
      <c r="F8908" s="7"/>
      <c r="G8908" s="7"/>
      <c r="H8908" s="7">
        <f t="shared" si="1"/>
        <v>1029</v>
      </c>
    </row>
    <row r="8909" ht="22.5" customHeight="1">
      <c r="B8909" s="7"/>
      <c r="C8909" s="7"/>
      <c r="D8909" s="7"/>
      <c r="E8909" s="7"/>
      <c r="F8909" s="7"/>
      <c r="G8909" s="7"/>
      <c r="H8909" s="7">
        <f t="shared" si="1"/>
        <v>1029</v>
      </c>
    </row>
    <row r="8910" ht="22.5" customHeight="1">
      <c r="B8910" s="7"/>
      <c r="C8910" s="7"/>
      <c r="D8910" s="7"/>
      <c r="E8910" s="7"/>
      <c r="F8910" s="7"/>
      <c r="G8910" s="7"/>
      <c r="H8910" s="7">
        <f t="shared" si="1"/>
        <v>1029</v>
      </c>
    </row>
    <row r="8911" ht="22.5" customHeight="1">
      <c r="B8911" s="7"/>
      <c r="C8911" s="7"/>
      <c r="D8911" s="7"/>
      <c r="E8911" s="7"/>
      <c r="F8911" s="7"/>
      <c r="G8911" s="7"/>
      <c r="H8911" s="7">
        <f t="shared" si="1"/>
        <v>1029</v>
      </c>
    </row>
    <row r="8912" ht="22.5" customHeight="1">
      <c r="B8912" s="7"/>
      <c r="C8912" s="7"/>
      <c r="D8912" s="7"/>
      <c r="E8912" s="7"/>
      <c r="F8912" s="7"/>
      <c r="G8912" s="7"/>
      <c r="H8912" s="7">
        <f t="shared" si="1"/>
        <v>1029</v>
      </c>
    </row>
    <row r="8913" ht="22.5" customHeight="1">
      <c r="B8913" s="7"/>
      <c r="C8913" s="7"/>
      <c r="D8913" s="7"/>
      <c r="E8913" s="7"/>
      <c r="F8913" s="7"/>
      <c r="G8913" s="7"/>
      <c r="H8913" s="7">
        <f t="shared" si="1"/>
        <v>1029</v>
      </c>
    </row>
    <row r="8914" ht="22.5" customHeight="1">
      <c r="B8914" s="7"/>
      <c r="C8914" s="7"/>
      <c r="D8914" s="7"/>
      <c r="E8914" s="7"/>
      <c r="F8914" s="7"/>
      <c r="G8914" s="7"/>
      <c r="H8914" s="7">
        <f t="shared" si="1"/>
        <v>1029</v>
      </c>
    </row>
    <row r="8915" ht="22.5" customHeight="1">
      <c r="B8915" s="7"/>
      <c r="C8915" s="7"/>
      <c r="D8915" s="7"/>
      <c r="E8915" s="7"/>
      <c r="F8915" s="7"/>
      <c r="G8915" s="7"/>
      <c r="H8915" s="7">
        <f t="shared" si="1"/>
        <v>1029</v>
      </c>
    </row>
    <row r="8916" ht="22.5" customHeight="1">
      <c r="B8916" s="7"/>
      <c r="C8916" s="7"/>
      <c r="D8916" s="7"/>
      <c r="E8916" s="7"/>
      <c r="F8916" s="7"/>
      <c r="G8916" s="7"/>
      <c r="H8916" s="7">
        <f t="shared" si="1"/>
        <v>1029</v>
      </c>
    </row>
    <row r="8917" ht="22.5" customHeight="1">
      <c r="B8917" s="7"/>
      <c r="C8917" s="7"/>
      <c r="D8917" s="7"/>
      <c r="E8917" s="7"/>
      <c r="F8917" s="7"/>
      <c r="G8917" s="7"/>
      <c r="H8917" s="7">
        <f t="shared" si="1"/>
        <v>1029</v>
      </c>
    </row>
    <row r="8918" ht="22.5" customHeight="1">
      <c r="B8918" s="7"/>
      <c r="C8918" s="7"/>
      <c r="D8918" s="7"/>
      <c r="E8918" s="7"/>
      <c r="F8918" s="7"/>
      <c r="G8918" s="7"/>
      <c r="H8918" s="7">
        <f t="shared" si="1"/>
        <v>1029</v>
      </c>
    </row>
    <row r="8919" ht="22.5" customHeight="1">
      <c r="B8919" s="7"/>
      <c r="C8919" s="7"/>
      <c r="D8919" s="7"/>
      <c r="E8919" s="7"/>
      <c r="F8919" s="7"/>
      <c r="G8919" s="7"/>
      <c r="H8919" s="7">
        <f t="shared" si="1"/>
        <v>1029</v>
      </c>
    </row>
    <row r="8920" ht="22.5" customHeight="1">
      <c r="B8920" s="7"/>
      <c r="C8920" s="7"/>
      <c r="D8920" s="7"/>
      <c r="E8920" s="7"/>
      <c r="F8920" s="7"/>
      <c r="G8920" s="7"/>
      <c r="H8920" s="7">
        <f t="shared" si="1"/>
        <v>1029</v>
      </c>
    </row>
    <row r="8921" ht="22.5" customHeight="1">
      <c r="B8921" s="7"/>
      <c r="C8921" s="7"/>
      <c r="D8921" s="7"/>
      <c r="E8921" s="7"/>
      <c r="F8921" s="7"/>
      <c r="G8921" s="7"/>
      <c r="H8921" s="7">
        <f t="shared" si="1"/>
        <v>1029</v>
      </c>
    </row>
    <row r="8922" ht="22.5" customHeight="1">
      <c r="B8922" s="7"/>
      <c r="C8922" s="7"/>
      <c r="D8922" s="7"/>
      <c r="E8922" s="7"/>
      <c r="F8922" s="7"/>
      <c r="G8922" s="7"/>
      <c r="H8922" s="7">
        <f t="shared" si="1"/>
        <v>1029</v>
      </c>
    </row>
    <row r="8923" ht="22.5" customHeight="1">
      <c r="B8923" s="7"/>
      <c r="C8923" s="7"/>
      <c r="D8923" s="7"/>
      <c r="E8923" s="7"/>
      <c r="F8923" s="7"/>
      <c r="G8923" s="7"/>
      <c r="H8923" s="7">
        <f t="shared" si="1"/>
        <v>1029</v>
      </c>
    </row>
    <row r="8924" ht="22.5" customHeight="1">
      <c r="B8924" s="7"/>
      <c r="C8924" s="7"/>
      <c r="D8924" s="7"/>
      <c r="E8924" s="7"/>
      <c r="F8924" s="7"/>
      <c r="G8924" s="7"/>
      <c r="H8924" s="7">
        <f t="shared" si="1"/>
        <v>1029</v>
      </c>
    </row>
    <row r="8925" ht="22.5" customHeight="1">
      <c r="B8925" s="7"/>
      <c r="C8925" s="7"/>
      <c r="D8925" s="7"/>
      <c r="E8925" s="7"/>
      <c r="F8925" s="7"/>
      <c r="G8925" s="7"/>
      <c r="H8925" s="7">
        <f t="shared" si="1"/>
        <v>1029</v>
      </c>
    </row>
    <row r="8926" ht="22.5" customHeight="1">
      <c r="B8926" s="7"/>
      <c r="C8926" s="7"/>
      <c r="D8926" s="7"/>
      <c r="E8926" s="7"/>
      <c r="F8926" s="7"/>
      <c r="G8926" s="7"/>
      <c r="H8926" s="7">
        <f t="shared" si="1"/>
        <v>1029</v>
      </c>
    </row>
    <row r="8927" ht="22.5" customHeight="1">
      <c r="B8927" s="7"/>
      <c r="C8927" s="7"/>
      <c r="D8927" s="7"/>
      <c r="E8927" s="7"/>
      <c r="F8927" s="7"/>
      <c r="G8927" s="7"/>
      <c r="H8927" s="7">
        <f t="shared" si="1"/>
        <v>1029</v>
      </c>
    </row>
    <row r="8928" ht="22.5" customHeight="1">
      <c r="B8928" s="7"/>
      <c r="C8928" s="7"/>
      <c r="D8928" s="7"/>
      <c r="E8928" s="7"/>
      <c r="F8928" s="7"/>
      <c r="G8928" s="7"/>
      <c r="H8928" s="7">
        <f t="shared" si="1"/>
        <v>1029</v>
      </c>
    </row>
    <row r="8929" ht="22.5" customHeight="1">
      <c r="B8929" s="7"/>
      <c r="C8929" s="7"/>
      <c r="D8929" s="7"/>
      <c r="E8929" s="7"/>
      <c r="F8929" s="7"/>
      <c r="G8929" s="7"/>
      <c r="H8929" s="7">
        <f t="shared" si="1"/>
        <v>1029</v>
      </c>
    </row>
    <row r="8930" ht="22.5" customHeight="1">
      <c r="B8930" s="7"/>
      <c r="C8930" s="7"/>
      <c r="D8930" s="7"/>
      <c r="E8930" s="7"/>
      <c r="F8930" s="7"/>
      <c r="G8930" s="7"/>
      <c r="H8930" s="7">
        <f t="shared" si="1"/>
        <v>1029</v>
      </c>
    </row>
    <row r="8931" ht="22.5" customHeight="1">
      <c r="B8931" s="7"/>
      <c r="C8931" s="7"/>
      <c r="D8931" s="7"/>
      <c r="E8931" s="7"/>
      <c r="F8931" s="7"/>
      <c r="G8931" s="7"/>
      <c r="H8931" s="7">
        <f t="shared" si="1"/>
        <v>1029</v>
      </c>
    </row>
    <row r="8932" ht="22.5" customHeight="1">
      <c r="B8932" s="7"/>
      <c r="C8932" s="7"/>
      <c r="D8932" s="7"/>
      <c r="E8932" s="7"/>
      <c r="F8932" s="7"/>
      <c r="G8932" s="7"/>
      <c r="H8932" s="7">
        <f t="shared" si="1"/>
        <v>1029</v>
      </c>
    </row>
    <row r="8933" ht="22.5" customHeight="1">
      <c r="B8933" s="7"/>
      <c r="C8933" s="7"/>
      <c r="D8933" s="7"/>
      <c r="E8933" s="7"/>
      <c r="F8933" s="7"/>
      <c r="G8933" s="7"/>
      <c r="H8933" s="7">
        <f t="shared" si="1"/>
        <v>1029</v>
      </c>
    </row>
    <row r="8934" ht="22.5" customHeight="1">
      <c r="B8934" s="7"/>
      <c r="C8934" s="7"/>
      <c r="D8934" s="7"/>
      <c r="E8934" s="7"/>
      <c r="F8934" s="7"/>
      <c r="G8934" s="7"/>
      <c r="H8934" s="7">
        <f t="shared" si="1"/>
        <v>1029</v>
      </c>
    </row>
    <row r="8935" ht="22.5" customHeight="1">
      <c r="B8935" s="7"/>
      <c r="C8935" s="7"/>
      <c r="D8935" s="7"/>
      <c r="E8935" s="7"/>
      <c r="F8935" s="7"/>
      <c r="G8935" s="7"/>
      <c r="H8935" s="7">
        <f t="shared" si="1"/>
        <v>1029</v>
      </c>
    </row>
    <row r="8936" ht="22.5" customHeight="1">
      <c r="B8936" s="7"/>
      <c r="C8936" s="7"/>
      <c r="D8936" s="7"/>
      <c r="E8936" s="7"/>
      <c r="F8936" s="7"/>
      <c r="G8936" s="7"/>
      <c r="H8936" s="7">
        <f t="shared" si="1"/>
        <v>1029</v>
      </c>
    </row>
    <row r="8937" ht="22.5" customHeight="1">
      <c r="B8937" s="7"/>
      <c r="C8937" s="7"/>
      <c r="D8937" s="7"/>
      <c r="E8937" s="7"/>
      <c r="F8937" s="7"/>
      <c r="G8937" s="7"/>
      <c r="H8937" s="7">
        <f t="shared" si="1"/>
        <v>1029</v>
      </c>
    </row>
    <row r="8938" ht="22.5" customHeight="1">
      <c r="B8938" s="7"/>
      <c r="C8938" s="7"/>
      <c r="D8938" s="7"/>
      <c r="E8938" s="7"/>
      <c r="F8938" s="7"/>
      <c r="G8938" s="7"/>
      <c r="H8938" s="7">
        <f t="shared" si="1"/>
        <v>1029</v>
      </c>
    </row>
    <row r="8939" ht="22.5" customHeight="1">
      <c r="B8939" s="7"/>
      <c r="C8939" s="7"/>
      <c r="D8939" s="7"/>
      <c r="E8939" s="7"/>
      <c r="F8939" s="7"/>
      <c r="G8939" s="7"/>
      <c r="H8939" s="7">
        <f t="shared" si="1"/>
        <v>1029</v>
      </c>
    </row>
    <row r="8940" ht="22.5" customHeight="1">
      <c r="B8940" s="7"/>
      <c r="C8940" s="7"/>
      <c r="D8940" s="7"/>
      <c r="E8940" s="7"/>
      <c r="F8940" s="7"/>
      <c r="G8940" s="7"/>
      <c r="H8940" s="7">
        <f t="shared" si="1"/>
        <v>1029</v>
      </c>
    </row>
    <row r="8941" ht="22.5" customHeight="1">
      <c r="B8941" s="7"/>
      <c r="C8941" s="7"/>
      <c r="D8941" s="7"/>
      <c r="E8941" s="7"/>
      <c r="F8941" s="7"/>
      <c r="G8941" s="7"/>
      <c r="H8941" s="7">
        <f t="shared" si="1"/>
        <v>1029</v>
      </c>
    </row>
    <row r="8942" ht="22.5" customHeight="1">
      <c r="B8942" s="7"/>
      <c r="C8942" s="7"/>
      <c r="D8942" s="7"/>
      <c r="E8942" s="7"/>
      <c r="F8942" s="7"/>
      <c r="G8942" s="7"/>
      <c r="H8942" s="7">
        <f t="shared" si="1"/>
        <v>1029</v>
      </c>
    </row>
    <row r="8943" ht="22.5" customHeight="1">
      <c r="B8943" s="7"/>
      <c r="C8943" s="7"/>
      <c r="D8943" s="7"/>
      <c r="E8943" s="7"/>
      <c r="F8943" s="7"/>
      <c r="G8943" s="7"/>
      <c r="H8943" s="7">
        <f t="shared" si="1"/>
        <v>1029</v>
      </c>
    </row>
    <row r="8944" ht="22.5" customHeight="1">
      <c r="B8944" s="7"/>
      <c r="C8944" s="7"/>
      <c r="D8944" s="7"/>
      <c r="E8944" s="7"/>
      <c r="F8944" s="7"/>
      <c r="G8944" s="7"/>
      <c r="H8944" s="7">
        <f t="shared" si="1"/>
        <v>1029</v>
      </c>
    </row>
    <row r="8945" ht="22.5" customHeight="1">
      <c r="B8945" s="7"/>
      <c r="C8945" s="7"/>
      <c r="D8945" s="7"/>
      <c r="E8945" s="7"/>
      <c r="F8945" s="7"/>
      <c r="G8945" s="7"/>
      <c r="H8945" s="7">
        <f t="shared" si="1"/>
        <v>1029</v>
      </c>
    </row>
    <row r="8946" ht="22.5" customHeight="1">
      <c r="B8946" s="7"/>
      <c r="C8946" s="7"/>
      <c r="D8946" s="7"/>
      <c r="E8946" s="7"/>
      <c r="F8946" s="7"/>
      <c r="G8946" s="7"/>
      <c r="H8946" s="7">
        <f t="shared" si="1"/>
        <v>1029</v>
      </c>
    </row>
    <row r="8947" ht="22.5" customHeight="1">
      <c r="B8947" s="7"/>
      <c r="C8947" s="7"/>
      <c r="D8947" s="7"/>
      <c r="E8947" s="7"/>
      <c r="F8947" s="7"/>
      <c r="G8947" s="7"/>
      <c r="H8947" s="7">
        <f t="shared" si="1"/>
        <v>1029</v>
      </c>
    </row>
    <row r="8948" ht="22.5" customHeight="1">
      <c r="B8948" s="7"/>
      <c r="C8948" s="7"/>
      <c r="D8948" s="7"/>
      <c r="E8948" s="7"/>
      <c r="F8948" s="7"/>
      <c r="G8948" s="7"/>
      <c r="H8948" s="7">
        <f t="shared" si="1"/>
        <v>1029</v>
      </c>
    </row>
    <row r="8949" ht="22.5" customHeight="1">
      <c r="B8949" s="7"/>
      <c r="C8949" s="7"/>
      <c r="D8949" s="7"/>
      <c r="E8949" s="7"/>
      <c r="F8949" s="7"/>
      <c r="G8949" s="7"/>
      <c r="H8949" s="7">
        <f t="shared" si="1"/>
        <v>1029</v>
      </c>
    </row>
    <row r="8950" ht="22.5" customHeight="1">
      <c r="B8950" s="7"/>
      <c r="C8950" s="7"/>
      <c r="D8950" s="7"/>
      <c r="E8950" s="7"/>
      <c r="F8950" s="7"/>
      <c r="G8950" s="7"/>
      <c r="H8950" s="7">
        <f t="shared" si="1"/>
        <v>1029</v>
      </c>
    </row>
    <row r="8951" ht="22.5" customHeight="1">
      <c r="B8951" s="7"/>
      <c r="C8951" s="7"/>
      <c r="D8951" s="7"/>
      <c r="E8951" s="7"/>
      <c r="F8951" s="7"/>
      <c r="G8951" s="7"/>
      <c r="H8951" s="7">
        <f t="shared" si="1"/>
        <v>1029</v>
      </c>
    </row>
    <row r="8952" ht="22.5" customHeight="1">
      <c r="B8952" s="7"/>
      <c r="C8952" s="7"/>
      <c r="D8952" s="7"/>
      <c r="E8952" s="7"/>
      <c r="F8952" s="7"/>
      <c r="G8952" s="7"/>
      <c r="H8952" s="7">
        <f t="shared" si="1"/>
        <v>1029</v>
      </c>
    </row>
    <row r="8953" ht="22.5" customHeight="1">
      <c r="B8953" s="7"/>
      <c r="C8953" s="7"/>
      <c r="D8953" s="7"/>
      <c r="E8953" s="7"/>
      <c r="F8953" s="7"/>
      <c r="G8953" s="7"/>
      <c r="H8953" s="7">
        <f t="shared" si="1"/>
        <v>1029</v>
      </c>
    </row>
    <row r="8954" ht="22.5" customHeight="1">
      <c r="B8954" s="7"/>
      <c r="C8954" s="7"/>
      <c r="D8954" s="7"/>
      <c r="E8954" s="7"/>
      <c r="F8954" s="7"/>
      <c r="G8954" s="7"/>
      <c r="H8954" s="7">
        <f t="shared" si="1"/>
        <v>1029</v>
      </c>
    </row>
    <row r="8955" ht="22.5" customHeight="1">
      <c r="B8955" s="7"/>
      <c r="C8955" s="7"/>
      <c r="D8955" s="7"/>
      <c r="E8955" s="7"/>
      <c r="F8955" s="7"/>
      <c r="G8955" s="7"/>
      <c r="H8955" s="7">
        <f t="shared" si="1"/>
        <v>1029</v>
      </c>
    </row>
    <row r="8956" ht="22.5" customHeight="1">
      <c r="B8956" s="7"/>
      <c r="C8956" s="7"/>
      <c r="D8956" s="7"/>
      <c r="E8956" s="7"/>
      <c r="F8956" s="7"/>
      <c r="G8956" s="7"/>
      <c r="H8956" s="7">
        <f t="shared" si="1"/>
        <v>1029</v>
      </c>
    </row>
    <row r="8957" ht="22.5" customHeight="1">
      <c r="B8957" s="7"/>
      <c r="C8957" s="7"/>
      <c r="D8957" s="7"/>
      <c r="E8957" s="7"/>
      <c r="F8957" s="7"/>
      <c r="G8957" s="7"/>
      <c r="H8957" s="7">
        <f t="shared" si="1"/>
        <v>1029</v>
      </c>
    </row>
    <row r="8958" ht="22.5" customHeight="1">
      <c r="B8958" s="7"/>
      <c r="C8958" s="7"/>
      <c r="D8958" s="7"/>
      <c r="E8958" s="7"/>
      <c r="F8958" s="7"/>
      <c r="G8958" s="7"/>
      <c r="H8958" s="7">
        <f t="shared" si="1"/>
        <v>1029</v>
      </c>
    </row>
    <row r="8959" ht="22.5" customHeight="1">
      <c r="B8959" s="7"/>
      <c r="C8959" s="7"/>
      <c r="D8959" s="7"/>
      <c r="E8959" s="7"/>
      <c r="F8959" s="7"/>
      <c r="G8959" s="7"/>
      <c r="H8959" s="7">
        <f t="shared" si="1"/>
        <v>1029</v>
      </c>
    </row>
    <row r="8960" ht="22.5" customHeight="1">
      <c r="B8960" s="7"/>
      <c r="C8960" s="7"/>
      <c r="D8960" s="7"/>
      <c r="E8960" s="7"/>
      <c r="F8960" s="7"/>
      <c r="G8960" s="7"/>
      <c r="H8960" s="7">
        <f t="shared" si="1"/>
        <v>1029</v>
      </c>
    </row>
    <row r="8961" ht="22.5" customHeight="1">
      <c r="B8961" s="7"/>
      <c r="C8961" s="7"/>
      <c r="D8961" s="7"/>
      <c r="E8961" s="7"/>
      <c r="F8961" s="7"/>
      <c r="G8961" s="7"/>
      <c r="H8961" s="7">
        <f t="shared" si="1"/>
        <v>1029</v>
      </c>
    </row>
    <row r="8962" ht="22.5" customHeight="1">
      <c r="B8962" s="7"/>
      <c r="C8962" s="7"/>
      <c r="D8962" s="7"/>
      <c r="E8962" s="7"/>
      <c r="F8962" s="7"/>
      <c r="G8962" s="7"/>
      <c r="H8962" s="7">
        <f t="shared" si="1"/>
        <v>1029</v>
      </c>
    </row>
    <row r="8963" ht="22.5" customHeight="1">
      <c r="B8963" s="7"/>
      <c r="C8963" s="7"/>
      <c r="D8963" s="7"/>
      <c r="E8963" s="7"/>
      <c r="F8963" s="7"/>
      <c r="G8963" s="7"/>
      <c r="H8963" s="7">
        <f t="shared" si="1"/>
        <v>1029</v>
      </c>
    </row>
    <row r="8964" ht="22.5" customHeight="1">
      <c r="B8964" s="7"/>
      <c r="C8964" s="7"/>
      <c r="D8964" s="7"/>
      <c r="E8964" s="7"/>
      <c r="F8964" s="7"/>
      <c r="G8964" s="7"/>
      <c r="H8964" s="7">
        <f t="shared" si="1"/>
        <v>1029</v>
      </c>
    </row>
    <row r="8965" ht="22.5" customHeight="1">
      <c r="B8965" s="7"/>
      <c r="C8965" s="7"/>
      <c r="D8965" s="7"/>
      <c r="E8965" s="7"/>
      <c r="F8965" s="7"/>
      <c r="G8965" s="7"/>
      <c r="H8965" s="7">
        <f t="shared" si="1"/>
        <v>1029</v>
      </c>
    </row>
    <row r="8966" ht="22.5" customHeight="1">
      <c r="B8966" s="7"/>
      <c r="C8966" s="7"/>
      <c r="D8966" s="7"/>
      <c r="E8966" s="7"/>
      <c r="F8966" s="7"/>
      <c r="G8966" s="7"/>
      <c r="H8966" s="7">
        <f t="shared" si="1"/>
        <v>1029</v>
      </c>
    </row>
    <row r="8967" ht="22.5" customHeight="1">
      <c r="B8967" s="7"/>
      <c r="C8967" s="7"/>
      <c r="D8967" s="7"/>
      <c r="E8967" s="7"/>
      <c r="F8967" s="7"/>
      <c r="G8967" s="7"/>
      <c r="H8967" s="7">
        <f t="shared" si="1"/>
        <v>1029</v>
      </c>
    </row>
    <row r="8968" ht="22.5" customHeight="1">
      <c r="B8968" s="7"/>
      <c r="C8968" s="7"/>
      <c r="D8968" s="7"/>
      <c r="E8968" s="7"/>
      <c r="F8968" s="7"/>
      <c r="G8968" s="7"/>
      <c r="H8968" s="7">
        <f t="shared" si="1"/>
        <v>1029</v>
      </c>
    </row>
    <row r="8969" ht="22.5" customHeight="1">
      <c r="B8969" s="7"/>
      <c r="C8969" s="7"/>
      <c r="D8969" s="7"/>
      <c r="E8969" s="7"/>
      <c r="F8969" s="7"/>
      <c r="G8969" s="7"/>
      <c r="H8969" s="7">
        <f t="shared" si="1"/>
        <v>1029</v>
      </c>
    </row>
    <row r="8970" ht="22.5" customHeight="1">
      <c r="B8970" s="7"/>
      <c r="C8970" s="7"/>
      <c r="D8970" s="7"/>
      <c r="E8970" s="7"/>
      <c r="F8970" s="7"/>
      <c r="G8970" s="7"/>
      <c r="H8970" s="7">
        <f t="shared" si="1"/>
        <v>1029</v>
      </c>
    </row>
    <row r="8971" ht="22.5" customHeight="1">
      <c r="B8971" s="7"/>
      <c r="C8971" s="7"/>
      <c r="D8971" s="7"/>
      <c r="E8971" s="7"/>
      <c r="F8971" s="7"/>
      <c r="G8971" s="7"/>
      <c r="H8971" s="7">
        <f t="shared" si="1"/>
        <v>1029</v>
      </c>
    </row>
    <row r="8972" ht="22.5" customHeight="1">
      <c r="B8972" s="7"/>
      <c r="C8972" s="7"/>
      <c r="D8972" s="7"/>
      <c r="E8972" s="7"/>
      <c r="F8972" s="7"/>
      <c r="G8972" s="7"/>
      <c r="H8972" s="7">
        <f t="shared" si="1"/>
        <v>1029</v>
      </c>
    </row>
    <row r="8973" ht="22.5" customHeight="1">
      <c r="B8973" s="7"/>
      <c r="C8973" s="7"/>
      <c r="D8973" s="7"/>
      <c r="E8973" s="7"/>
      <c r="F8973" s="7"/>
      <c r="G8973" s="7"/>
      <c r="H8973" s="7">
        <f t="shared" si="1"/>
        <v>1029</v>
      </c>
    </row>
    <row r="8974" ht="22.5" customHeight="1">
      <c r="B8974" s="7"/>
      <c r="C8974" s="7"/>
      <c r="D8974" s="7"/>
      <c r="E8974" s="7"/>
      <c r="F8974" s="7"/>
      <c r="G8974" s="7"/>
      <c r="H8974" s="7">
        <f t="shared" si="1"/>
        <v>1029</v>
      </c>
    </row>
    <row r="8975" ht="22.5" customHeight="1">
      <c r="B8975" s="7"/>
      <c r="C8975" s="7"/>
      <c r="D8975" s="7"/>
      <c r="E8975" s="7"/>
      <c r="F8975" s="7"/>
      <c r="G8975" s="7"/>
      <c r="H8975" s="7">
        <f t="shared" si="1"/>
        <v>1029</v>
      </c>
    </row>
    <row r="8976" ht="22.5" customHeight="1">
      <c r="B8976" s="7"/>
      <c r="C8976" s="7"/>
      <c r="D8976" s="7"/>
      <c r="E8976" s="7"/>
      <c r="F8976" s="7"/>
      <c r="G8976" s="7"/>
      <c r="H8976" s="7">
        <f t="shared" si="1"/>
        <v>1029</v>
      </c>
    </row>
    <row r="8977" ht="22.5" customHeight="1">
      <c r="B8977" s="7"/>
      <c r="C8977" s="7"/>
      <c r="D8977" s="7"/>
      <c r="E8977" s="7"/>
      <c r="F8977" s="7"/>
      <c r="G8977" s="7"/>
      <c r="H8977" s="7">
        <f t="shared" si="1"/>
        <v>1029</v>
      </c>
    </row>
    <row r="8978" ht="22.5" customHeight="1">
      <c r="B8978" s="7"/>
      <c r="C8978" s="7"/>
      <c r="D8978" s="7"/>
      <c r="E8978" s="7"/>
      <c r="F8978" s="7"/>
      <c r="G8978" s="7"/>
      <c r="H8978" s="7">
        <f t="shared" si="1"/>
        <v>1029</v>
      </c>
    </row>
    <row r="8979" ht="22.5" customHeight="1">
      <c r="B8979" s="7"/>
      <c r="C8979" s="7"/>
      <c r="D8979" s="7"/>
      <c r="E8979" s="7"/>
      <c r="F8979" s="7"/>
      <c r="G8979" s="7"/>
      <c r="H8979" s="7">
        <f t="shared" si="1"/>
        <v>1029</v>
      </c>
    </row>
    <row r="8980" ht="22.5" customHeight="1">
      <c r="B8980" s="7"/>
      <c r="C8980" s="7"/>
      <c r="D8980" s="7"/>
      <c r="E8980" s="7"/>
      <c r="F8980" s="7"/>
      <c r="G8980" s="7"/>
      <c r="H8980" s="7">
        <f t="shared" si="1"/>
        <v>1029</v>
      </c>
    </row>
    <row r="8981" ht="22.5" customHeight="1">
      <c r="B8981" s="7"/>
      <c r="C8981" s="7"/>
      <c r="D8981" s="7"/>
      <c r="E8981" s="7"/>
      <c r="F8981" s="7"/>
      <c r="G8981" s="7"/>
      <c r="H8981" s="7">
        <f t="shared" si="1"/>
        <v>1029</v>
      </c>
    </row>
    <row r="8982" ht="22.5" customHeight="1">
      <c r="B8982" s="7"/>
      <c r="C8982" s="7"/>
      <c r="D8982" s="7"/>
      <c r="E8982" s="7"/>
      <c r="F8982" s="7"/>
      <c r="G8982" s="7"/>
      <c r="H8982" s="7">
        <f t="shared" si="1"/>
        <v>1029</v>
      </c>
    </row>
    <row r="8983" ht="22.5" customHeight="1">
      <c r="B8983" s="7"/>
      <c r="C8983" s="7"/>
      <c r="D8983" s="7"/>
      <c r="E8983" s="7"/>
      <c r="F8983" s="7"/>
      <c r="G8983" s="7"/>
      <c r="H8983" s="7">
        <f t="shared" si="1"/>
        <v>1029</v>
      </c>
    </row>
    <row r="8984" ht="22.5" customHeight="1">
      <c r="B8984" s="7"/>
      <c r="C8984" s="7"/>
      <c r="D8984" s="7"/>
      <c r="E8984" s="7"/>
      <c r="F8984" s="7"/>
      <c r="G8984" s="7"/>
      <c r="H8984" s="7">
        <f t="shared" si="1"/>
        <v>1029</v>
      </c>
    </row>
    <row r="8985" ht="22.5" customHeight="1">
      <c r="B8985" s="7"/>
      <c r="C8985" s="7"/>
      <c r="D8985" s="7"/>
      <c r="E8985" s="7"/>
      <c r="F8985" s="7"/>
      <c r="G8985" s="7"/>
      <c r="H8985" s="7">
        <f t="shared" si="1"/>
        <v>1029</v>
      </c>
    </row>
    <row r="8986" ht="22.5" customHeight="1">
      <c r="B8986" s="7"/>
      <c r="C8986" s="7"/>
      <c r="D8986" s="7"/>
      <c r="E8986" s="7"/>
      <c r="F8986" s="7"/>
      <c r="G8986" s="7"/>
      <c r="H8986" s="7">
        <f t="shared" si="1"/>
        <v>1029</v>
      </c>
    </row>
    <row r="8987" ht="22.5" customHeight="1">
      <c r="B8987" s="7"/>
      <c r="C8987" s="7"/>
      <c r="D8987" s="7"/>
      <c r="E8987" s="7"/>
      <c r="F8987" s="7"/>
      <c r="G8987" s="7"/>
      <c r="H8987" s="7">
        <f t="shared" si="1"/>
        <v>1029</v>
      </c>
    </row>
    <row r="8988" ht="22.5" customHeight="1">
      <c r="B8988" s="7"/>
      <c r="C8988" s="7"/>
      <c r="D8988" s="7"/>
      <c r="E8988" s="7"/>
      <c r="F8988" s="7"/>
      <c r="G8988" s="7"/>
      <c r="H8988" s="7">
        <f t="shared" si="1"/>
        <v>1029</v>
      </c>
    </row>
    <row r="8989" ht="22.5" customHeight="1">
      <c r="B8989" s="7"/>
      <c r="C8989" s="7"/>
      <c r="D8989" s="7"/>
      <c r="E8989" s="7"/>
      <c r="F8989" s="7"/>
      <c r="G8989" s="7"/>
      <c r="H8989" s="7">
        <f t="shared" si="1"/>
        <v>1029</v>
      </c>
    </row>
    <row r="8990" ht="22.5" customHeight="1">
      <c r="B8990" s="7"/>
      <c r="C8990" s="7"/>
      <c r="D8990" s="7"/>
      <c r="E8990" s="7"/>
      <c r="F8990" s="7"/>
      <c r="G8990" s="7"/>
      <c r="H8990" s="7">
        <f t="shared" si="1"/>
        <v>1029</v>
      </c>
    </row>
    <row r="8991" ht="22.5" customHeight="1">
      <c r="B8991" s="7"/>
      <c r="C8991" s="7"/>
      <c r="D8991" s="7"/>
      <c r="E8991" s="7"/>
      <c r="F8991" s="7"/>
      <c r="G8991" s="7"/>
      <c r="H8991" s="7">
        <f t="shared" si="1"/>
        <v>1029</v>
      </c>
    </row>
    <row r="8992" ht="22.5" customHeight="1">
      <c r="B8992" s="7"/>
      <c r="C8992" s="7"/>
      <c r="D8992" s="7"/>
      <c r="E8992" s="7"/>
      <c r="F8992" s="7"/>
      <c r="G8992" s="7"/>
      <c r="H8992" s="7">
        <f t="shared" si="1"/>
        <v>1029</v>
      </c>
    </row>
    <row r="8993" ht="22.5" customHeight="1">
      <c r="B8993" s="7"/>
      <c r="C8993" s="7"/>
      <c r="D8993" s="7"/>
      <c r="E8993" s="7"/>
      <c r="F8993" s="7"/>
      <c r="G8993" s="7"/>
      <c r="H8993" s="7">
        <f t="shared" si="1"/>
        <v>1029</v>
      </c>
    </row>
    <row r="8994" ht="22.5" customHeight="1">
      <c r="B8994" s="7"/>
      <c r="C8994" s="7"/>
      <c r="D8994" s="7"/>
      <c r="E8994" s="7"/>
      <c r="F8994" s="7"/>
      <c r="G8994" s="7"/>
      <c r="H8994" s="7">
        <f t="shared" si="1"/>
        <v>1029</v>
      </c>
    </row>
    <row r="8995" ht="22.5" customHeight="1">
      <c r="B8995" s="7"/>
      <c r="C8995" s="7"/>
      <c r="D8995" s="7"/>
      <c r="E8995" s="7"/>
      <c r="F8995" s="7"/>
      <c r="G8995" s="7"/>
      <c r="H8995" s="7">
        <f t="shared" si="1"/>
        <v>1029</v>
      </c>
    </row>
    <row r="8996" ht="22.5" customHeight="1">
      <c r="B8996" s="7"/>
      <c r="C8996" s="7"/>
      <c r="D8996" s="7"/>
      <c r="E8996" s="7"/>
      <c r="F8996" s="7"/>
      <c r="G8996" s="7"/>
      <c r="H8996" s="7">
        <f t="shared" si="1"/>
        <v>1029</v>
      </c>
    </row>
    <row r="8997" ht="22.5" customHeight="1">
      <c r="B8997" s="7"/>
      <c r="C8997" s="7"/>
      <c r="D8997" s="7"/>
      <c r="E8997" s="7"/>
      <c r="F8997" s="7"/>
      <c r="G8997" s="7"/>
      <c r="H8997" s="7">
        <f t="shared" si="1"/>
        <v>1029</v>
      </c>
    </row>
    <row r="8998" ht="22.5" customHeight="1">
      <c r="B8998" s="7"/>
      <c r="C8998" s="7"/>
      <c r="D8998" s="7"/>
      <c r="E8998" s="7"/>
      <c r="F8998" s="7"/>
      <c r="G8998" s="7"/>
      <c r="H8998" s="7">
        <f t="shared" si="1"/>
        <v>1029</v>
      </c>
    </row>
    <row r="8999" ht="22.5" customHeight="1">
      <c r="B8999" s="7"/>
      <c r="C8999" s="7"/>
      <c r="D8999" s="7"/>
      <c r="E8999" s="7"/>
      <c r="F8999" s="7"/>
      <c r="G8999" s="7"/>
      <c r="H8999" s="7">
        <f t="shared" si="1"/>
        <v>1029</v>
      </c>
    </row>
    <row r="9000" ht="22.5" customHeight="1">
      <c r="B9000" s="7"/>
      <c r="C9000" s="7"/>
      <c r="D9000" s="7"/>
      <c r="E9000" s="7"/>
      <c r="F9000" s="7"/>
      <c r="G9000" s="7"/>
      <c r="H9000" s="7">
        <f t="shared" si="1"/>
        <v>1029</v>
      </c>
    </row>
    <row r="9001" ht="22.5" customHeight="1">
      <c r="B9001" s="7"/>
      <c r="C9001" s="7"/>
      <c r="D9001" s="7"/>
      <c r="E9001" s="7"/>
      <c r="F9001" s="7"/>
      <c r="G9001" s="7"/>
      <c r="H9001" s="7">
        <f t="shared" si="1"/>
        <v>1029</v>
      </c>
    </row>
    <row r="9002" ht="22.5" customHeight="1">
      <c r="B9002" s="7"/>
      <c r="C9002" s="7"/>
      <c r="D9002" s="7"/>
      <c r="E9002" s="7"/>
      <c r="F9002" s="7"/>
      <c r="G9002" s="7"/>
      <c r="H9002" s="7">
        <f t="shared" si="1"/>
        <v>1029</v>
      </c>
    </row>
    <row r="9003" ht="22.5" customHeight="1">
      <c r="B9003" s="7"/>
      <c r="C9003" s="7"/>
      <c r="D9003" s="7"/>
      <c r="E9003" s="7"/>
      <c r="F9003" s="7"/>
      <c r="G9003" s="7"/>
      <c r="H9003" s="7">
        <f t="shared" si="1"/>
        <v>1029</v>
      </c>
    </row>
    <row r="9004" ht="22.5" customHeight="1">
      <c r="B9004" s="7"/>
      <c r="C9004" s="7"/>
      <c r="D9004" s="7"/>
      <c r="E9004" s="7"/>
      <c r="F9004" s="7"/>
      <c r="G9004" s="7"/>
      <c r="H9004" s="7">
        <f t="shared" si="1"/>
        <v>1029</v>
      </c>
    </row>
    <row r="9005" ht="22.5" customHeight="1">
      <c r="B9005" s="7"/>
      <c r="C9005" s="7"/>
      <c r="D9005" s="7"/>
      <c r="E9005" s="7"/>
      <c r="F9005" s="7"/>
      <c r="G9005" s="7"/>
      <c r="H9005" s="7">
        <f t="shared" si="1"/>
        <v>1029</v>
      </c>
    </row>
    <row r="9006" ht="22.5" customHeight="1">
      <c r="B9006" s="7"/>
      <c r="C9006" s="7"/>
      <c r="D9006" s="7"/>
      <c r="E9006" s="7"/>
      <c r="F9006" s="7"/>
      <c r="G9006" s="7"/>
      <c r="H9006" s="7">
        <f t="shared" si="1"/>
        <v>1029</v>
      </c>
    </row>
    <row r="9007" ht="22.5" customHeight="1">
      <c r="B9007" s="7"/>
      <c r="C9007" s="7"/>
      <c r="D9007" s="7"/>
      <c r="E9007" s="7"/>
      <c r="F9007" s="7"/>
      <c r="G9007" s="7"/>
      <c r="H9007" s="7">
        <f t="shared" si="1"/>
        <v>1029</v>
      </c>
    </row>
    <row r="9008" ht="22.5" customHeight="1">
      <c r="B9008" s="7"/>
      <c r="C9008" s="7"/>
      <c r="D9008" s="7"/>
      <c r="E9008" s="7"/>
      <c r="F9008" s="7"/>
      <c r="G9008" s="7"/>
      <c r="H9008" s="7">
        <f t="shared" si="1"/>
        <v>1029</v>
      </c>
    </row>
    <row r="9009" ht="22.5" customHeight="1">
      <c r="B9009" s="7"/>
      <c r="C9009" s="7"/>
      <c r="D9009" s="7"/>
      <c r="E9009" s="7"/>
      <c r="F9009" s="7"/>
      <c r="G9009" s="7"/>
      <c r="H9009" s="7">
        <f t="shared" si="1"/>
        <v>1029</v>
      </c>
    </row>
    <row r="9010" ht="22.5" customHeight="1">
      <c r="B9010" s="7"/>
      <c r="C9010" s="7"/>
      <c r="D9010" s="7"/>
      <c r="E9010" s="7"/>
      <c r="F9010" s="7"/>
      <c r="G9010" s="7"/>
      <c r="H9010" s="7">
        <f t="shared" si="1"/>
        <v>1029</v>
      </c>
    </row>
    <row r="9011" ht="22.5" customHeight="1">
      <c r="B9011" s="7"/>
      <c r="C9011" s="7"/>
      <c r="D9011" s="7"/>
      <c r="E9011" s="7"/>
      <c r="F9011" s="7"/>
      <c r="G9011" s="7"/>
      <c r="H9011" s="7">
        <f t="shared" si="1"/>
        <v>1029</v>
      </c>
    </row>
    <row r="9012" ht="22.5" customHeight="1">
      <c r="B9012" s="7"/>
      <c r="C9012" s="7"/>
      <c r="D9012" s="7"/>
      <c r="E9012" s="7"/>
      <c r="F9012" s="7"/>
      <c r="G9012" s="7"/>
      <c r="H9012" s="7">
        <f t="shared" si="1"/>
        <v>1029</v>
      </c>
    </row>
    <row r="9013" ht="22.5" customHeight="1">
      <c r="B9013" s="7"/>
      <c r="C9013" s="7"/>
      <c r="D9013" s="7"/>
      <c r="E9013" s="7"/>
      <c r="F9013" s="7"/>
      <c r="G9013" s="7"/>
      <c r="H9013" s="7">
        <f t="shared" si="1"/>
        <v>1029</v>
      </c>
    </row>
    <row r="9014" ht="22.5" customHeight="1">
      <c r="B9014" s="7"/>
      <c r="C9014" s="7"/>
      <c r="D9014" s="7"/>
      <c r="E9014" s="7"/>
      <c r="F9014" s="7"/>
      <c r="G9014" s="7"/>
      <c r="H9014" s="7">
        <f t="shared" si="1"/>
        <v>1029</v>
      </c>
    </row>
    <row r="9015" ht="22.5" customHeight="1">
      <c r="B9015" s="7"/>
      <c r="C9015" s="7"/>
      <c r="D9015" s="7"/>
      <c r="E9015" s="7"/>
      <c r="F9015" s="7"/>
      <c r="G9015" s="7"/>
      <c r="H9015" s="7">
        <f t="shared" si="1"/>
        <v>1029</v>
      </c>
    </row>
    <row r="9016" ht="22.5" customHeight="1">
      <c r="B9016" s="7"/>
      <c r="C9016" s="7"/>
      <c r="D9016" s="7"/>
      <c r="E9016" s="7"/>
      <c r="F9016" s="7"/>
      <c r="G9016" s="7"/>
      <c r="H9016" s="7">
        <f t="shared" si="1"/>
        <v>1029</v>
      </c>
    </row>
    <row r="9017" ht="22.5" customHeight="1">
      <c r="B9017" s="7"/>
      <c r="C9017" s="7"/>
      <c r="D9017" s="7"/>
      <c r="E9017" s="7"/>
      <c r="F9017" s="7"/>
      <c r="G9017" s="7"/>
      <c r="H9017" s="7">
        <f t="shared" si="1"/>
        <v>1029</v>
      </c>
    </row>
    <row r="9018" ht="22.5" customHeight="1">
      <c r="B9018" s="7"/>
      <c r="C9018" s="7"/>
      <c r="D9018" s="7"/>
      <c r="E9018" s="7"/>
      <c r="F9018" s="7"/>
      <c r="G9018" s="7"/>
      <c r="H9018" s="7">
        <f t="shared" si="1"/>
        <v>1029</v>
      </c>
    </row>
    <row r="9019" ht="22.5" customHeight="1">
      <c r="B9019" s="7"/>
      <c r="C9019" s="7"/>
      <c r="D9019" s="7"/>
      <c r="E9019" s="7"/>
      <c r="F9019" s="7"/>
      <c r="G9019" s="7"/>
      <c r="H9019" s="7">
        <f t="shared" si="1"/>
        <v>1029</v>
      </c>
    </row>
    <row r="9020" ht="22.5" customHeight="1">
      <c r="B9020" s="7"/>
      <c r="C9020" s="7"/>
      <c r="D9020" s="7"/>
      <c r="E9020" s="7"/>
      <c r="F9020" s="7"/>
      <c r="G9020" s="7"/>
      <c r="H9020" s="7">
        <f t="shared" si="1"/>
        <v>1029</v>
      </c>
    </row>
    <row r="9021" ht="22.5" customHeight="1">
      <c r="B9021" s="7"/>
      <c r="C9021" s="7"/>
      <c r="D9021" s="7"/>
      <c r="E9021" s="7"/>
      <c r="F9021" s="7"/>
      <c r="G9021" s="7"/>
      <c r="H9021" s="7">
        <f t="shared" si="1"/>
        <v>1029</v>
      </c>
    </row>
    <row r="9022" ht="22.5" customHeight="1">
      <c r="B9022" s="7"/>
      <c r="C9022" s="7"/>
      <c r="D9022" s="7"/>
      <c r="E9022" s="7"/>
      <c r="F9022" s="7"/>
      <c r="G9022" s="7"/>
      <c r="H9022" s="7">
        <f t="shared" si="1"/>
        <v>1029</v>
      </c>
    </row>
    <row r="9023" ht="22.5" customHeight="1">
      <c r="B9023" s="7"/>
      <c r="C9023" s="7"/>
      <c r="D9023" s="7"/>
      <c r="E9023" s="7"/>
      <c r="F9023" s="7"/>
      <c r="G9023" s="7"/>
      <c r="H9023" s="7">
        <f t="shared" si="1"/>
        <v>1029</v>
      </c>
    </row>
    <row r="9024" ht="22.5" customHeight="1">
      <c r="B9024" s="7"/>
      <c r="C9024" s="7"/>
      <c r="D9024" s="7"/>
      <c r="E9024" s="7"/>
      <c r="F9024" s="7"/>
      <c r="G9024" s="7"/>
      <c r="H9024" s="7">
        <f t="shared" si="1"/>
        <v>1029</v>
      </c>
    </row>
    <row r="9025" ht="22.5" customHeight="1">
      <c r="B9025" s="7"/>
      <c r="C9025" s="7"/>
      <c r="D9025" s="7"/>
      <c r="E9025" s="7"/>
      <c r="F9025" s="7"/>
      <c r="G9025" s="7"/>
      <c r="H9025" s="7">
        <f t="shared" si="1"/>
        <v>1029</v>
      </c>
    </row>
    <row r="9026" ht="22.5" customHeight="1">
      <c r="B9026" s="7"/>
      <c r="C9026" s="7"/>
      <c r="D9026" s="7"/>
      <c r="E9026" s="7"/>
      <c r="F9026" s="7"/>
      <c r="G9026" s="7"/>
      <c r="H9026" s="7">
        <f t="shared" si="1"/>
        <v>1029</v>
      </c>
    </row>
    <row r="9027" ht="22.5" customHeight="1">
      <c r="B9027" s="7"/>
      <c r="C9027" s="7"/>
      <c r="D9027" s="7"/>
      <c r="E9027" s="7"/>
      <c r="F9027" s="7"/>
      <c r="G9027" s="7"/>
      <c r="H9027" s="7">
        <f t="shared" si="1"/>
        <v>1029</v>
      </c>
    </row>
    <row r="9028" ht="22.5" customHeight="1">
      <c r="B9028" s="7"/>
      <c r="C9028" s="7"/>
      <c r="D9028" s="7"/>
      <c r="E9028" s="7"/>
      <c r="F9028" s="7"/>
      <c r="G9028" s="7"/>
      <c r="H9028" s="7">
        <f t="shared" si="1"/>
        <v>1029</v>
      </c>
    </row>
    <row r="9029" ht="22.5" customHeight="1">
      <c r="B9029" s="7"/>
      <c r="C9029" s="7"/>
      <c r="D9029" s="7"/>
      <c r="E9029" s="7"/>
      <c r="F9029" s="7"/>
      <c r="G9029" s="7"/>
      <c r="H9029" s="7">
        <f t="shared" si="1"/>
        <v>1029</v>
      </c>
    </row>
    <row r="9030" ht="22.5" customHeight="1">
      <c r="B9030" s="7"/>
      <c r="C9030" s="7"/>
      <c r="D9030" s="7"/>
      <c r="E9030" s="7"/>
      <c r="F9030" s="7"/>
      <c r="G9030" s="7"/>
      <c r="H9030" s="7">
        <f t="shared" si="1"/>
        <v>1029</v>
      </c>
    </row>
    <row r="9031" ht="22.5" customHeight="1">
      <c r="B9031" s="7"/>
      <c r="C9031" s="7"/>
      <c r="D9031" s="7"/>
      <c r="E9031" s="7"/>
      <c r="F9031" s="7"/>
      <c r="G9031" s="7"/>
      <c r="H9031" s="7">
        <f t="shared" si="1"/>
        <v>1029</v>
      </c>
    </row>
    <row r="9032" ht="22.5" customHeight="1">
      <c r="B9032" s="7"/>
      <c r="C9032" s="7"/>
      <c r="D9032" s="7"/>
      <c r="E9032" s="7"/>
      <c r="F9032" s="7"/>
      <c r="G9032" s="7"/>
      <c r="H9032" s="7">
        <f t="shared" si="1"/>
        <v>1029</v>
      </c>
    </row>
    <row r="9033" ht="22.5" customHeight="1">
      <c r="B9033" s="7"/>
      <c r="C9033" s="7"/>
      <c r="D9033" s="7"/>
      <c r="E9033" s="7"/>
      <c r="F9033" s="7"/>
      <c r="G9033" s="7"/>
      <c r="H9033" s="7">
        <f t="shared" si="1"/>
        <v>1029</v>
      </c>
    </row>
    <row r="9034" ht="22.5" customHeight="1">
      <c r="B9034" s="7"/>
      <c r="C9034" s="7"/>
      <c r="D9034" s="7"/>
      <c r="E9034" s="7"/>
      <c r="F9034" s="7"/>
      <c r="G9034" s="7"/>
      <c r="H9034" s="7">
        <f t="shared" si="1"/>
        <v>1029</v>
      </c>
    </row>
    <row r="9035" ht="22.5" customHeight="1">
      <c r="B9035" s="7"/>
      <c r="C9035" s="7"/>
      <c r="D9035" s="7"/>
      <c r="E9035" s="7"/>
      <c r="F9035" s="7"/>
      <c r="G9035" s="7"/>
      <c r="H9035" s="7">
        <f t="shared" si="1"/>
        <v>1029</v>
      </c>
    </row>
    <row r="9036" ht="22.5" customHeight="1">
      <c r="B9036" s="7"/>
      <c r="C9036" s="7"/>
      <c r="D9036" s="7"/>
      <c r="E9036" s="7"/>
      <c r="F9036" s="7"/>
      <c r="G9036" s="7"/>
      <c r="H9036" s="7">
        <f t="shared" si="1"/>
        <v>1029</v>
      </c>
    </row>
    <row r="9037" ht="22.5" customHeight="1">
      <c r="B9037" s="7"/>
      <c r="C9037" s="7"/>
      <c r="D9037" s="7"/>
      <c r="E9037" s="7"/>
      <c r="F9037" s="7"/>
      <c r="G9037" s="7"/>
      <c r="H9037" s="7">
        <f t="shared" si="1"/>
        <v>1029</v>
      </c>
    </row>
    <row r="9038" ht="22.5" customHeight="1">
      <c r="B9038" s="7"/>
      <c r="C9038" s="7"/>
      <c r="D9038" s="7"/>
      <c r="E9038" s="7"/>
      <c r="F9038" s="7"/>
      <c r="G9038" s="7"/>
      <c r="H9038" s="7">
        <f t="shared" si="1"/>
        <v>1029</v>
      </c>
    </row>
    <row r="9039" ht="22.5" customHeight="1">
      <c r="B9039" s="7"/>
      <c r="C9039" s="7"/>
      <c r="D9039" s="7"/>
      <c r="E9039" s="7"/>
      <c r="F9039" s="7"/>
      <c r="G9039" s="7"/>
      <c r="H9039" s="7">
        <f t="shared" si="1"/>
        <v>1029</v>
      </c>
    </row>
    <row r="9040" ht="22.5" customHeight="1">
      <c r="B9040" s="7"/>
      <c r="C9040" s="7"/>
      <c r="D9040" s="7"/>
      <c r="E9040" s="7"/>
      <c r="F9040" s="7"/>
      <c r="G9040" s="7"/>
      <c r="H9040" s="7">
        <f t="shared" si="1"/>
        <v>1029</v>
      </c>
    </row>
    <row r="9041" ht="22.5" customHeight="1">
      <c r="B9041" s="7"/>
      <c r="C9041" s="7"/>
      <c r="D9041" s="7"/>
      <c r="E9041" s="7"/>
      <c r="F9041" s="7"/>
      <c r="G9041" s="7"/>
      <c r="H9041" s="7">
        <f t="shared" si="1"/>
        <v>1029</v>
      </c>
    </row>
    <row r="9042" ht="22.5" customHeight="1">
      <c r="B9042" s="7"/>
      <c r="C9042" s="7"/>
      <c r="D9042" s="7"/>
      <c r="E9042" s="7"/>
      <c r="F9042" s="7"/>
      <c r="G9042" s="7"/>
      <c r="H9042" s="7">
        <f t="shared" si="1"/>
        <v>1029</v>
      </c>
    </row>
    <row r="9043" ht="22.5" customHeight="1">
      <c r="B9043" s="7"/>
      <c r="C9043" s="7"/>
      <c r="D9043" s="7"/>
      <c r="E9043" s="7"/>
      <c r="F9043" s="7"/>
      <c r="G9043" s="7"/>
      <c r="H9043" s="7">
        <f t="shared" si="1"/>
        <v>1029</v>
      </c>
    </row>
    <row r="9044" ht="22.5" customHeight="1">
      <c r="B9044" s="7"/>
      <c r="C9044" s="7"/>
      <c r="D9044" s="7"/>
      <c r="E9044" s="7"/>
      <c r="F9044" s="7"/>
      <c r="G9044" s="7"/>
      <c r="H9044" s="7">
        <f t="shared" si="1"/>
        <v>1029</v>
      </c>
    </row>
    <row r="9045" ht="22.5" customHeight="1">
      <c r="B9045" s="7"/>
      <c r="C9045" s="7"/>
      <c r="D9045" s="7"/>
      <c r="E9045" s="7"/>
      <c r="F9045" s="7"/>
      <c r="G9045" s="7"/>
      <c r="H9045" s="7">
        <f t="shared" si="1"/>
        <v>1029</v>
      </c>
    </row>
    <row r="9046" ht="22.5" customHeight="1">
      <c r="B9046" s="7"/>
      <c r="C9046" s="7"/>
      <c r="D9046" s="7"/>
      <c r="E9046" s="7"/>
      <c r="F9046" s="7"/>
      <c r="G9046" s="7"/>
      <c r="H9046" s="7">
        <f t="shared" si="1"/>
        <v>1029</v>
      </c>
    </row>
    <row r="9047" ht="22.5" customHeight="1">
      <c r="B9047" s="7"/>
      <c r="C9047" s="7"/>
      <c r="D9047" s="7"/>
      <c r="E9047" s="7"/>
      <c r="F9047" s="7"/>
      <c r="G9047" s="7"/>
      <c r="H9047" s="7">
        <f t="shared" si="1"/>
        <v>1029</v>
      </c>
    </row>
    <row r="9048" ht="22.5" customHeight="1">
      <c r="B9048" s="7"/>
      <c r="C9048" s="7"/>
      <c r="D9048" s="7"/>
      <c r="E9048" s="7"/>
      <c r="F9048" s="7"/>
      <c r="G9048" s="7"/>
      <c r="H9048" s="7">
        <f t="shared" si="1"/>
        <v>1029</v>
      </c>
    </row>
    <row r="9049" ht="22.5" customHeight="1">
      <c r="B9049" s="7"/>
      <c r="C9049" s="7"/>
      <c r="D9049" s="7"/>
      <c r="E9049" s="7"/>
      <c r="F9049" s="7"/>
      <c r="G9049" s="7"/>
      <c r="H9049" s="7">
        <f t="shared" si="1"/>
        <v>1029</v>
      </c>
    </row>
    <row r="9050" ht="22.5" customHeight="1">
      <c r="B9050" s="7"/>
      <c r="C9050" s="7"/>
      <c r="D9050" s="7"/>
      <c r="E9050" s="7"/>
      <c r="F9050" s="7"/>
      <c r="G9050" s="7"/>
      <c r="H9050" s="7">
        <f t="shared" si="1"/>
        <v>1029</v>
      </c>
    </row>
    <row r="9051" ht="22.5" customHeight="1">
      <c r="B9051" s="7"/>
      <c r="C9051" s="7"/>
      <c r="D9051" s="7"/>
      <c r="E9051" s="7"/>
      <c r="F9051" s="7"/>
      <c r="G9051" s="7"/>
      <c r="H9051" s="7">
        <f t="shared" si="1"/>
        <v>1029</v>
      </c>
    </row>
    <row r="9052" ht="22.5" customHeight="1">
      <c r="B9052" s="7"/>
      <c r="C9052" s="7"/>
      <c r="D9052" s="7"/>
      <c r="E9052" s="7"/>
      <c r="F9052" s="7"/>
      <c r="G9052" s="7"/>
      <c r="H9052" s="7">
        <f t="shared" si="1"/>
        <v>1029</v>
      </c>
    </row>
    <row r="9053" ht="22.5" customHeight="1">
      <c r="B9053" s="7"/>
      <c r="C9053" s="7"/>
      <c r="D9053" s="7"/>
      <c r="E9053" s="7"/>
      <c r="F9053" s="7"/>
      <c r="G9053" s="7"/>
      <c r="H9053" s="7">
        <f t="shared" si="1"/>
        <v>1029</v>
      </c>
    </row>
    <row r="9054" ht="22.5" customHeight="1">
      <c r="B9054" s="7"/>
      <c r="C9054" s="7"/>
      <c r="D9054" s="7"/>
      <c r="E9054" s="7"/>
      <c r="F9054" s="7"/>
      <c r="G9054" s="7"/>
      <c r="H9054" s="7">
        <f t="shared" si="1"/>
        <v>1029</v>
      </c>
    </row>
    <row r="9055" ht="22.5" customHeight="1">
      <c r="B9055" s="7"/>
      <c r="C9055" s="7"/>
      <c r="D9055" s="7"/>
      <c r="E9055" s="7"/>
      <c r="F9055" s="7"/>
      <c r="G9055" s="7"/>
      <c r="H9055" s="7">
        <f t="shared" si="1"/>
        <v>1029</v>
      </c>
    </row>
    <row r="9056" ht="22.5" customHeight="1">
      <c r="B9056" s="7"/>
      <c r="C9056" s="7"/>
      <c r="D9056" s="7"/>
      <c r="E9056" s="7"/>
      <c r="F9056" s="7"/>
      <c r="G9056" s="7"/>
      <c r="H9056" s="7">
        <f t="shared" si="1"/>
        <v>1029</v>
      </c>
    </row>
    <row r="9057" ht="22.5" customHeight="1">
      <c r="B9057" s="7"/>
      <c r="C9057" s="7"/>
      <c r="D9057" s="7"/>
      <c r="E9057" s="7"/>
      <c r="F9057" s="7"/>
      <c r="G9057" s="7"/>
      <c r="H9057" s="7">
        <f t="shared" si="1"/>
        <v>1029</v>
      </c>
    </row>
    <row r="9058" ht="22.5" customHeight="1">
      <c r="B9058" s="7"/>
      <c r="C9058" s="7"/>
      <c r="D9058" s="7"/>
      <c r="E9058" s="7"/>
      <c r="F9058" s="7"/>
      <c r="G9058" s="7"/>
      <c r="H9058" s="7">
        <f t="shared" si="1"/>
        <v>1029</v>
      </c>
    </row>
    <row r="9059" ht="22.5" customHeight="1">
      <c r="B9059" s="7"/>
      <c r="C9059" s="7"/>
      <c r="D9059" s="7"/>
      <c r="E9059" s="7"/>
      <c r="F9059" s="7"/>
      <c r="G9059" s="7"/>
      <c r="H9059" s="7">
        <f t="shared" si="1"/>
        <v>1029</v>
      </c>
    </row>
    <row r="9060" ht="22.5" customHeight="1">
      <c r="B9060" s="7"/>
      <c r="C9060" s="7"/>
      <c r="D9060" s="7"/>
      <c r="E9060" s="7"/>
      <c r="F9060" s="7"/>
      <c r="G9060" s="7"/>
      <c r="H9060" s="7">
        <f t="shared" si="1"/>
        <v>1029</v>
      </c>
    </row>
    <row r="9061" ht="22.5" customHeight="1">
      <c r="B9061" s="7"/>
      <c r="C9061" s="7"/>
      <c r="D9061" s="7"/>
      <c r="E9061" s="7"/>
      <c r="F9061" s="7"/>
      <c r="G9061" s="7"/>
      <c r="H9061" s="7">
        <f t="shared" si="1"/>
        <v>1029</v>
      </c>
    </row>
    <row r="9062" ht="22.5" customHeight="1">
      <c r="B9062" s="7"/>
      <c r="C9062" s="7"/>
      <c r="D9062" s="7"/>
      <c r="E9062" s="7"/>
      <c r="F9062" s="7"/>
      <c r="G9062" s="7"/>
      <c r="H9062" s="7">
        <f t="shared" si="1"/>
        <v>1029</v>
      </c>
    </row>
    <row r="9063" ht="22.5" customHeight="1">
      <c r="B9063" s="7"/>
      <c r="C9063" s="7"/>
      <c r="D9063" s="7"/>
      <c r="E9063" s="7"/>
      <c r="F9063" s="7"/>
      <c r="G9063" s="7"/>
      <c r="H9063" s="7">
        <f t="shared" si="1"/>
        <v>1029</v>
      </c>
    </row>
    <row r="9064" ht="22.5" customHeight="1">
      <c r="B9064" s="7"/>
      <c r="C9064" s="7"/>
      <c r="D9064" s="7"/>
      <c r="E9064" s="7"/>
      <c r="F9064" s="7"/>
      <c r="G9064" s="7"/>
      <c r="H9064" s="7">
        <f t="shared" si="1"/>
        <v>1029</v>
      </c>
    </row>
    <row r="9065" ht="22.5" customHeight="1">
      <c r="B9065" s="7"/>
      <c r="C9065" s="7"/>
      <c r="D9065" s="7"/>
      <c r="E9065" s="7"/>
      <c r="F9065" s="7"/>
      <c r="G9065" s="7"/>
      <c r="H9065" s="7">
        <f t="shared" si="1"/>
        <v>1029</v>
      </c>
    </row>
    <row r="9066" ht="22.5" customHeight="1">
      <c r="B9066" s="7"/>
      <c r="C9066" s="7"/>
      <c r="D9066" s="7"/>
      <c r="E9066" s="7"/>
      <c r="F9066" s="7"/>
      <c r="G9066" s="7"/>
      <c r="H9066" s="7">
        <f t="shared" si="1"/>
        <v>1029</v>
      </c>
    </row>
    <row r="9067" ht="22.5" customHeight="1">
      <c r="B9067" s="7"/>
      <c r="C9067" s="7"/>
      <c r="D9067" s="7"/>
      <c r="E9067" s="7"/>
      <c r="F9067" s="7"/>
      <c r="G9067" s="7"/>
      <c r="H9067" s="7">
        <f t="shared" si="1"/>
        <v>1029</v>
      </c>
    </row>
    <row r="9068" ht="22.5" customHeight="1">
      <c r="B9068" s="7"/>
      <c r="C9068" s="7"/>
      <c r="D9068" s="7"/>
      <c r="E9068" s="7"/>
      <c r="F9068" s="7"/>
      <c r="G9068" s="7"/>
      <c r="H9068" s="7">
        <f t="shared" si="1"/>
        <v>1029</v>
      </c>
    </row>
    <row r="9069" ht="22.5" customHeight="1">
      <c r="B9069" s="7"/>
      <c r="C9069" s="7"/>
      <c r="D9069" s="7"/>
      <c r="E9069" s="7"/>
      <c r="F9069" s="7"/>
      <c r="G9069" s="7"/>
      <c r="H9069" s="7">
        <f t="shared" si="1"/>
        <v>1029</v>
      </c>
    </row>
    <row r="9070" ht="22.5" customHeight="1">
      <c r="B9070" s="7"/>
      <c r="C9070" s="7"/>
      <c r="D9070" s="7"/>
      <c r="E9070" s="7"/>
      <c r="F9070" s="7"/>
      <c r="G9070" s="7"/>
      <c r="H9070" s="7">
        <f t="shared" si="1"/>
        <v>1029</v>
      </c>
    </row>
    <row r="9071" ht="22.5" customHeight="1">
      <c r="B9071" s="7"/>
      <c r="C9071" s="7"/>
      <c r="D9071" s="7"/>
      <c r="E9071" s="7"/>
      <c r="F9071" s="7"/>
      <c r="G9071" s="7"/>
      <c r="H9071" s="7">
        <f t="shared" si="1"/>
        <v>1029</v>
      </c>
    </row>
    <row r="9072" ht="22.5" customHeight="1">
      <c r="B9072" s="7"/>
      <c r="C9072" s="7"/>
      <c r="D9072" s="7"/>
      <c r="E9072" s="7"/>
      <c r="F9072" s="7"/>
      <c r="G9072" s="7"/>
      <c r="H9072" s="7">
        <f t="shared" si="1"/>
        <v>1029</v>
      </c>
    </row>
    <row r="9073" ht="22.5" customHeight="1">
      <c r="B9073" s="7"/>
      <c r="C9073" s="7"/>
      <c r="D9073" s="7"/>
      <c r="E9073" s="7"/>
      <c r="F9073" s="7"/>
      <c r="G9073" s="7"/>
      <c r="H9073" s="7">
        <f t="shared" si="1"/>
        <v>1029</v>
      </c>
    </row>
    <row r="9074" ht="22.5" customHeight="1">
      <c r="B9074" s="7"/>
      <c r="C9074" s="7"/>
      <c r="D9074" s="7"/>
      <c r="E9074" s="7"/>
      <c r="F9074" s="7"/>
      <c r="G9074" s="7"/>
      <c r="H9074" s="7">
        <f t="shared" si="1"/>
        <v>1029</v>
      </c>
    </row>
    <row r="9075" ht="22.5" customHeight="1">
      <c r="B9075" s="7"/>
      <c r="C9075" s="7"/>
      <c r="D9075" s="7"/>
      <c r="E9075" s="7"/>
      <c r="F9075" s="7"/>
      <c r="G9075" s="7"/>
      <c r="H9075" s="7">
        <f t="shared" si="1"/>
        <v>1029</v>
      </c>
    </row>
    <row r="9076" ht="22.5" customHeight="1">
      <c r="B9076" s="7"/>
      <c r="C9076" s="7"/>
      <c r="D9076" s="7"/>
      <c r="E9076" s="7"/>
      <c r="F9076" s="7"/>
      <c r="G9076" s="7"/>
      <c r="H9076" s="7">
        <f t="shared" si="1"/>
        <v>1029</v>
      </c>
    </row>
    <row r="9077" ht="22.5" customHeight="1">
      <c r="B9077" s="7"/>
      <c r="C9077" s="7"/>
      <c r="D9077" s="7"/>
      <c r="E9077" s="7"/>
      <c r="F9077" s="7"/>
      <c r="G9077" s="7"/>
      <c r="H9077" s="7">
        <f t="shared" si="1"/>
        <v>1029</v>
      </c>
    </row>
    <row r="9078" ht="22.5" customHeight="1">
      <c r="B9078" s="7"/>
      <c r="C9078" s="7"/>
      <c r="D9078" s="7"/>
      <c r="E9078" s="7"/>
      <c r="F9078" s="7"/>
      <c r="G9078" s="7"/>
      <c r="H9078" s="7">
        <f t="shared" si="1"/>
        <v>1029</v>
      </c>
    </row>
    <row r="9079" ht="22.5" customHeight="1">
      <c r="B9079" s="7"/>
      <c r="C9079" s="7"/>
      <c r="D9079" s="7"/>
      <c r="E9079" s="7"/>
      <c r="F9079" s="7"/>
      <c r="G9079" s="7"/>
      <c r="H9079" s="7">
        <f t="shared" si="1"/>
        <v>1029</v>
      </c>
    </row>
    <row r="9080" ht="22.5" customHeight="1">
      <c r="B9080" s="7"/>
      <c r="C9080" s="7"/>
      <c r="D9080" s="7"/>
      <c r="E9080" s="7"/>
      <c r="F9080" s="7"/>
      <c r="G9080" s="7"/>
      <c r="H9080" s="7">
        <f t="shared" si="1"/>
        <v>1029</v>
      </c>
    </row>
    <row r="9081" ht="22.5" customHeight="1">
      <c r="B9081" s="7"/>
      <c r="C9081" s="7"/>
      <c r="D9081" s="7"/>
      <c r="E9081" s="7"/>
      <c r="F9081" s="7"/>
      <c r="G9081" s="7"/>
      <c r="H9081" s="7">
        <f t="shared" si="1"/>
        <v>1029</v>
      </c>
    </row>
    <row r="9082" ht="22.5" customHeight="1">
      <c r="B9082" s="7"/>
      <c r="C9082" s="7"/>
      <c r="D9082" s="7"/>
      <c r="E9082" s="7"/>
      <c r="F9082" s="7"/>
      <c r="G9082" s="7"/>
      <c r="H9082" s="7">
        <f t="shared" si="1"/>
        <v>1029</v>
      </c>
    </row>
    <row r="9083" ht="22.5" customHeight="1">
      <c r="B9083" s="7"/>
      <c r="C9083" s="7"/>
      <c r="D9083" s="7"/>
      <c r="E9083" s="7"/>
      <c r="F9083" s="7"/>
      <c r="G9083" s="7"/>
      <c r="H9083" s="7">
        <f t="shared" si="1"/>
        <v>1029</v>
      </c>
    </row>
    <row r="9084" ht="22.5" customHeight="1">
      <c r="B9084" s="7"/>
      <c r="C9084" s="7"/>
      <c r="D9084" s="7"/>
      <c r="E9084" s="7"/>
      <c r="F9084" s="7"/>
      <c r="G9084" s="7"/>
      <c r="H9084" s="7">
        <f t="shared" si="1"/>
        <v>1029</v>
      </c>
    </row>
    <row r="9085" ht="22.5" customHeight="1">
      <c r="B9085" s="7"/>
      <c r="C9085" s="7"/>
      <c r="D9085" s="7"/>
      <c r="E9085" s="7"/>
      <c r="F9085" s="7"/>
      <c r="G9085" s="7"/>
      <c r="H9085" s="7">
        <f t="shared" si="1"/>
        <v>1029</v>
      </c>
    </row>
    <row r="9086" ht="22.5" customHeight="1">
      <c r="B9086" s="7"/>
      <c r="C9086" s="7"/>
      <c r="D9086" s="7"/>
      <c r="E9086" s="7"/>
      <c r="F9086" s="7"/>
      <c r="G9086" s="7"/>
      <c r="H9086" s="7">
        <f t="shared" si="1"/>
        <v>1029</v>
      </c>
    </row>
    <row r="9087" ht="22.5" customHeight="1">
      <c r="B9087" s="7"/>
      <c r="C9087" s="7"/>
      <c r="D9087" s="7"/>
      <c r="E9087" s="7"/>
      <c r="F9087" s="7"/>
      <c r="G9087" s="7"/>
      <c r="H9087" s="7">
        <f t="shared" si="1"/>
        <v>1029</v>
      </c>
    </row>
    <row r="9088" ht="22.5" customHeight="1">
      <c r="B9088" s="7"/>
      <c r="C9088" s="7"/>
      <c r="D9088" s="7"/>
      <c r="E9088" s="7"/>
      <c r="F9088" s="7"/>
      <c r="G9088" s="7"/>
      <c r="H9088" s="7">
        <f t="shared" si="1"/>
        <v>1029</v>
      </c>
    </row>
    <row r="9089" ht="22.5" customHeight="1">
      <c r="B9089" s="7"/>
      <c r="C9089" s="7"/>
      <c r="D9089" s="7"/>
      <c r="E9089" s="7"/>
      <c r="F9089" s="7"/>
      <c r="G9089" s="7"/>
      <c r="H9089" s="7">
        <f t="shared" si="1"/>
        <v>1029</v>
      </c>
    </row>
    <row r="9090" ht="22.5" customHeight="1">
      <c r="B9090" s="7"/>
      <c r="C9090" s="7"/>
      <c r="D9090" s="7"/>
      <c r="E9090" s="7"/>
      <c r="F9090" s="7"/>
      <c r="G9090" s="7"/>
      <c r="H9090" s="7">
        <f t="shared" si="1"/>
        <v>1029</v>
      </c>
    </row>
    <row r="9091" ht="22.5" customHeight="1">
      <c r="B9091" s="7"/>
      <c r="C9091" s="7"/>
      <c r="D9091" s="7"/>
      <c r="E9091" s="7"/>
      <c r="F9091" s="7"/>
      <c r="G9091" s="7"/>
      <c r="H9091" s="7">
        <f t="shared" si="1"/>
        <v>1029</v>
      </c>
    </row>
    <row r="9092" ht="22.5" customHeight="1">
      <c r="B9092" s="7"/>
      <c r="C9092" s="7"/>
      <c r="D9092" s="7"/>
      <c r="E9092" s="7"/>
      <c r="F9092" s="7"/>
      <c r="G9092" s="7"/>
      <c r="H9092" s="7">
        <f t="shared" si="1"/>
        <v>1029</v>
      </c>
    </row>
    <row r="9093" ht="22.5" customHeight="1">
      <c r="B9093" s="7"/>
      <c r="C9093" s="7"/>
      <c r="D9093" s="7"/>
      <c r="E9093" s="7"/>
      <c r="F9093" s="7"/>
      <c r="G9093" s="7"/>
      <c r="H9093" s="7">
        <f t="shared" si="1"/>
        <v>1029</v>
      </c>
    </row>
    <row r="9094" ht="22.5" customHeight="1">
      <c r="B9094" s="7"/>
      <c r="C9094" s="7"/>
      <c r="D9094" s="7"/>
      <c r="E9094" s="7"/>
      <c r="F9094" s="7"/>
      <c r="G9094" s="7"/>
      <c r="H9094" s="7">
        <f t="shared" si="1"/>
        <v>1029</v>
      </c>
    </row>
    <row r="9095" ht="22.5" customHeight="1">
      <c r="B9095" s="7"/>
      <c r="C9095" s="7"/>
      <c r="D9095" s="7"/>
      <c r="E9095" s="7"/>
      <c r="F9095" s="7"/>
      <c r="G9095" s="7"/>
      <c r="H9095" s="7">
        <f t="shared" si="1"/>
        <v>1029</v>
      </c>
    </row>
    <row r="9096" ht="22.5" customHeight="1">
      <c r="B9096" s="7"/>
      <c r="C9096" s="7"/>
      <c r="D9096" s="7"/>
      <c r="E9096" s="7"/>
      <c r="F9096" s="7"/>
      <c r="G9096" s="7"/>
      <c r="H9096" s="7">
        <f t="shared" si="1"/>
        <v>1029</v>
      </c>
    </row>
    <row r="9097" ht="22.5" customHeight="1">
      <c r="B9097" s="7"/>
      <c r="C9097" s="7"/>
      <c r="D9097" s="7"/>
      <c r="E9097" s="7"/>
      <c r="F9097" s="7"/>
      <c r="G9097" s="7"/>
      <c r="H9097" s="7">
        <f t="shared" si="1"/>
        <v>1029</v>
      </c>
    </row>
    <row r="9098" ht="22.5" customHeight="1">
      <c r="B9098" s="7"/>
      <c r="C9098" s="7"/>
      <c r="D9098" s="7"/>
      <c r="E9098" s="7"/>
      <c r="F9098" s="7"/>
      <c r="G9098" s="7"/>
      <c r="H9098" s="7">
        <f t="shared" si="1"/>
        <v>1029</v>
      </c>
    </row>
    <row r="9099" ht="22.5" customHeight="1">
      <c r="B9099" s="7"/>
      <c r="C9099" s="7"/>
      <c r="D9099" s="7"/>
      <c r="E9099" s="7"/>
      <c r="F9099" s="7"/>
      <c r="G9099" s="7"/>
      <c r="H9099" s="7">
        <f t="shared" si="1"/>
        <v>1029</v>
      </c>
    </row>
    <row r="9100" ht="22.5" customHeight="1">
      <c r="B9100" s="7"/>
      <c r="C9100" s="7"/>
      <c r="D9100" s="7"/>
      <c r="E9100" s="7"/>
      <c r="F9100" s="7"/>
      <c r="G9100" s="7"/>
      <c r="H9100" s="7">
        <f t="shared" si="1"/>
        <v>1029</v>
      </c>
    </row>
    <row r="9101" ht="22.5" customHeight="1">
      <c r="B9101" s="7"/>
      <c r="C9101" s="7"/>
      <c r="D9101" s="7"/>
      <c r="E9101" s="7"/>
      <c r="F9101" s="7"/>
      <c r="G9101" s="7"/>
      <c r="H9101" s="7">
        <f t="shared" si="1"/>
        <v>1029</v>
      </c>
    </row>
    <row r="9102" ht="22.5" customHeight="1">
      <c r="B9102" s="7"/>
      <c r="C9102" s="7"/>
      <c r="D9102" s="7"/>
      <c r="E9102" s="7"/>
      <c r="F9102" s="7"/>
      <c r="G9102" s="7"/>
      <c r="H9102" s="7">
        <f t="shared" si="1"/>
        <v>1029</v>
      </c>
    </row>
    <row r="9103" ht="22.5" customHeight="1">
      <c r="B9103" s="7"/>
      <c r="C9103" s="7"/>
      <c r="D9103" s="7"/>
      <c r="E9103" s="7"/>
      <c r="F9103" s="7"/>
      <c r="G9103" s="7"/>
      <c r="H9103" s="7">
        <f t="shared" si="1"/>
        <v>1029</v>
      </c>
    </row>
    <row r="9104" ht="22.5" customHeight="1">
      <c r="B9104" s="7"/>
      <c r="C9104" s="7"/>
      <c r="D9104" s="7"/>
      <c r="E9104" s="7"/>
      <c r="F9104" s="7"/>
      <c r="G9104" s="7"/>
      <c r="H9104" s="7">
        <f t="shared" si="1"/>
        <v>1029</v>
      </c>
    </row>
    <row r="9105" ht="22.5" customHeight="1">
      <c r="B9105" s="7"/>
      <c r="C9105" s="7"/>
      <c r="D9105" s="7"/>
      <c r="E9105" s="7"/>
      <c r="F9105" s="7"/>
      <c r="G9105" s="7"/>
      <c r="H9105" s="7">
        <f t="shared" si="1"/>
        <v>1029</v>
      </c>
    </row>
    <row r="9106" ht="22.5" customHeight="1">
      <c r="B9106" s="7"/>
      <c r="C9106" s="7"/>
      <c r="D9106" s="7"/>
      <c r="E9106" s="7"/>
      <c r="F9106" s="7"/>
      <c r="G9106" s="7"/>
      <c r="H9106" s="7">
        <f t="shared" si="1"/>
        <v>1029</v>
      </c>
    </row>
    <row r="9107" ht="22.5" customHeight="1">
      <c r="B9107" s="7"/>
      <c r="C9107" s="7"/>
      <c r="D9107" s="7"/>
      <c r="E9107" s="7"/>
      <c r="F9107" s="7"/>
      <c r="G9107" s="7"/>
      <c r="H9107" s="7">
        <f t="shared" si="1"/>
        <v>1029</v>
      </c>
    </row>
    <row r="9108" ht="22.5" customHeight="1">
      <c r="B9108" s="7"/>
      <c r="C9108" s="7"/>
      <c r="D9108" s="7"/>
      <c r="E9108" s="7"/>
      <c r="F9108" s="7"/>
      <c r="G9108" s="7"/>
      <c r="H9108" s="7">
        <f t="shared" si="1"/>
        <v>1029</v>
      </c>
    </row>
    <row r="9109" ht="22.5" customHeight="1">
      <c r="B9109" s="7"/>
      <c r="C9109" s="7"/>
      <c r="D9109" s="7"/>
      <c r="E9109" s="7"/>
      <c r="F9109" s="7"/>
      <c r="G9109" s="7"/>
      <c r="H9109" s="7">
        <f t="shared" si="1"/>
        <v>1029</v>
      </c>
    </row>
    <row r="9110" ht="22.5" customHeight="1">
      <c r="B9110" s="7"/>
      <c r="C9110" s="7"/>
      <c r="D9110" s="7"/>
      <c r="E9110" s="7"/>
      <c r="F9110" s="7"/>
      <c r="G9110" s="7"/>
      <c r="H9110" s="7">
        <f t="shared" si="1"/>
        <v>1029</v>
      </c>
    </row>
    <row r="9111" ht="22.5" customHeight="1">
      <c r="B9111" s="7"/>
      <c r="C9111" s="7"/>
      <c r="D9111" s="7"/>
      <c r="E9111" s="7"/>
      <c r="F9111" s="7"/>
      <c r="G9111" s="7"/>
      <c r="H9111" s="7">
        <f t="shared" si="1"/>
        <v>1029</v>
      </c>
    </row>
    <row r="9112" ht="22.5" customHeight="1">
      <c r="B9112" s="7"/>
      <c r="C9112" s="7"/>
      <c r="D9112" s="7"/>
      <c r="E9112" s="7"/>
      <c r="F9112" s="7"/>
      <c r="G9112" s="7"/>
      <c r="H9112" s="7">
        <f t="shared" si="1"/>
        <v>1029</v>
      </c>
    </row>
    <row r="9113" ht="22.5" customHeight="1">
      <c r="B9113" s="7"/>
      <c r="C9113" s="7"/>
      <c r="D9113" s="7"/>
      <c r="E9113" s="7"/>
      <c r="F9113" s="7"/>
      <c r="G9113" s="7"/>
      <c r="H9113" s="7">
        <f t="shared" si="1"/>
        <v>1029</v>
      </c>
    </row>
    <row r="9114" ht="22.5" customHeight="1">
      <c r="B9114" s="7"/>
      <c r="C9114" s="7"/>
      <c r="D9114" s="7"/>
      <c r="E9114" s="7"/>
      <c r="F9114" s="7"/>
      <c r="G9114" s="7"/>
      <c r="H9114" s="7">
        <f t="shared" si="1"/>
        <v>1029</v>
      </c>
    </row>
    <row r="9115" ht="22.5" customHeight="1">
      <c r="B9115" s="7"/>
      <c r="C9115" s="7"/>
      <c r="D9115" s="7"/>
      <c r="E9115" s="7"/>
      <c r="F9115" s="7"/>
      <c r="G9115" s="7"/>
      <c r="H9115" s="7">
        <f t="shared" si="1"/>
        <v>1029</v>
      </c>
    </row>
    <row r="9116" ht="22.5" customHeight="1">
      <c r="B9116" s="7"/>
      <c r="C9116" s="7"/>
      <c r="D9116" s="7"/>
      <c r="E9116" s="7"/>
      <c r="F9116" s="7"/>
      <c r="G9116" s="7"/>
      <c r="H9116" s="7">
        <f t="shared" si="1"/>
        <v>1029</v>
      </c>
    </row>
    <row r="9117" ht="22.5" customHeight="1">
      <c r="B9117" s="7"/>
      <c r="C9117" s="7"/>
      <c r="D9117" s="7"/>
      <c r="E9117" s="7"/>
      <c r="F9117" s="7"/>
      <c r="G9117" s="7"/>
      <c r="H9117" s="7">
        <f t="shared" si="1"/>
        <v>1029</v>
      </c>
    </row>
    <row r="9118" ht="22.5" customHeight="1">
      <c r="B9118" s="7"/>
      <c r="C9118" s="7"/>
      <c r="D9118" s="7"/>
      <c r="E9118" s="7"/>
      <c r="F9118" s="7"/>
      <c r="G9118" s="7"/>
      <c r="H9118" s="7">
        <f t="shared" si="1"/>
        <v>1029</v>
      </c>
    </row>
    <row r="9119" ht="22.5" customHeight="1">
      <c r="B9119" s="7"/>
      <c r="C9119" s="7"/>
      <c r="D9119" s="7"/>
      <c r="E9119" s="7"/>
      <c r="F9119" s="7"/>
      <c r="G9119" s="7"/>
      <c r="H9119" s="7">
        <f t="shared" si="1"/>
        <v>1029</v>
      </c>
    </row>
    <row r="9120" ht="22.5" customHeight="1">
      <c r="B9120" s="7"/>
      <c r="C9120" s="7"/>
      <c r="D9120" s="7"/>
      <c r="E9120" s="7"/>
      <c r="F9120" s="7"/>
      <c r="G9120" s="7"/>
      <c r="H9120" s="7">
        <f t="shared" si="1"/>
        <v>1029</v>
      </c>
    </row>
    <row r="9121" ht="22.5" customHeight="1">
      <c r="B9121" s="7"/>
      <c r="C9121" s="7"/>
      <c r="D9121" s="7"/>
      <c r="E9121" s="7"/>
      <c r="F9121" s="7"/>
      <c r="G9121" s="7"/>
      <c r="H9121" s="7">
        <f t="shared" si="1"/>
        <v>1029</v>
      </c>
    </row>
    <row r="9122" ht="22.5" customHeight="1">
      <c r="B9122" s="7"/>
      <c r="C9122" s="7"/>
      <c r="D9122" s="7"/>
      <c r="E9122" s="7"/>
      <c r="F9122" s="7"/>
      <c r="G9122" s="7"/>
      <c r="H9122" s="7">
        <f t="shared" si="1"/>
        <v>1029</v>
      </c>
    </row>
    <row r="9123" ht="22.5" customHeight="1">
      <c r="B9123" s="7"/>
      <c r="C9123" s="7"/>
      <c r="D9123" s="7"/>
      <c r="E9123" s="7"/>
      <c r="F9123" s="7"/>
      <c r="G9123" s="7"/>
      <c r="H9123" s="7">
        <f t="shared" si="1"/>
        <v>1029</v>
      </c>
    </row>
    <row r="9124" ht="22.5" customHeight="1">
      <c r="B9124" s="7"/>
      <c r="C9124" s="7"/>
      <c r="D9124" s="7"/>
      <c r="E9124" s="7"/>
      <c r="F9124" s="7"/>
      <c r="G9124" s="7"/>
      <c r="H9124" s="7">
        <f t="shared" si="1"/>
        <v>1029</v>
      </c>
    </row>
    <row r="9125" ht="22.5" customHeight="1">
      <c r="B9125" s="7"/>
      <c r="C9125" s="7"/>
      <c r="D9125" s="7"/>
      <c r="E9125" s="7"/>
      <c r="F9125" s="7"/>
      <c r="G9125" s="7"/>
      <c r="H9125" s="7">
        <f t="shared" si="1"/>
        <v>1029</v>
      </c>
    </row>
    <row r="9126" ht="22.5" customHeight="1">
      <c r="B9126" s="7"/>
      <c r="C9126" s="7"/>
      <c r="D9126" s="7"/>
      <c r="E9126" s="7"/>
      <c r="F9126" s="7"/>
      <c r="G9126" s="7"/>
      <c r="H9126" s="7">
        <f t="shared" si="1"/>
        <v>1029</v>
      </c>
    </row>
    <row r="9127" ht="22.5" customHeight="1">
      <c r="B9127" s="7"/>
      <c r="C9127" s="7"/>
      <c r="D9127" s="7"/>
      <c r="E9127" s="7"/>
      <c r="F9127" s="7"/>
      <c r="G9127" s="7"/>
      <c r="H9127" s="7">
        <f t="shared" si="1"/>
        <v>1029</v>
      </c>
    </row>
    <row r="9128" ht="22.5" customHeight="1">
      <c r="B9128" s="7"/>
      <c r="C9128" s="7"/>
      <c r="D9128" s="7"/>
      <c r="E9128" s="7"/>
      <c r="F9128" s="7"/>
      <c r="G9128" s="7"/>
      <c r="H9128" s="7">
        <f t="shared" si="1"/>
        <v>1029</v>
      </c>
    </row>
    <row r="9129" ht="22.5" customHeight="1">
      <c r="B9129" s="7"/>
      <c r="C9129" s="7"/>
      <c r="D9129" s="7"/>
      <c r="E9129" s="7"/>
      <c r="F9129" s="7"/>
      <c r="G9129" s="7"/>
      <c r="H9129" s="7">
        <f t="shared" si="1"/>
        <v>1029</v>
      </c>
    </row>
    <row r="9130" ht="22.5" customHeight="1">
      <c r="B9130" s="7"/>
      <c r="C9130" s="7"/>
      <c r="D9130" s="7"/>
      <c r="E9130" s="7"/>
      <c r="F9130" s="7"/>
      <c r="G9130" s="7"/>
      <c r="H9130" s="7">
        <f t="shared" si="1"/>
        <v>1029</v>
      </c>
    </row>
    <row r="9131" ht="22.5" customHeight="1">
      <c r="B9131" s="7"/>
      <c r="C9131" s="7"/>
      <c r="D9131" s="7"/>
      <c r="E9131" s="7"/>
      <c r="F9131" s="7"/>
      <c r="G9131" s="7"/>
      <c r="H9131" s="7">
        <f t="shared" si="1"/>
        <v>1029</v>
      </c>
    </row>
    <row r="9132" ht="22.5" customHeight="1">
      <c r="B9132" s="7"/>
      <c r="C9132" s="7"/>
      <c r="D9132" s="7"/>
      <c r="E9132" s="7"/>
      <c r="F9132" s="7"/>
      <c r="G9132" s="7"/>
      <c r="H9132" s="7">
        <f t="shared" si="1"/>
        <v>1029</v>
      </c>
    </row>
    <row r="9133" ht="22.5" customHeight="1">
      <c r="B9133" s="7"/>
      <c r="C9133" s="7"/>
      <c r="D9133" s="7"/>
      <c r="E9133" s="7"/>
      <c r="F9133" s="7"/>
      <c r="G9133" s="7"/>
      <c r="H9133" s="7">
        <f t="shared" si="1"/>
        <v>1029</v>
      </c>
    </row>
    <row r="9134" ht="22.5" customHeight="1">
      <c r="B9134" s="7"/>
      <c r="C9134" s="7"/>
      <c r="D9134" s="7"/>
      <c r="E9134" s="7"/>
      <c r="F9134" s="7"/>
      <c r="G9134" s="7"/>
      <c r="H9134" s="7">
        <f t="shared" si="1"/>
        <v>1029</v>
      </c>
    </row>
    <row r="9135" ht="22.5" customHeight="1">
      <c r="B9135" s="7"/>
      <c r="C9135" s="7"/>
      <c r="D9135" s="7"/>
      <c r="E9135" s="7"/>
      <c r="F9135" s="7"/>
      <c r="G9135" s="7"/>
      <c r="H9135" s="7">
        <f t="shared" si="1"/>
        <v>1029</v>
      </c>
    </row>
    <row r="9136" ht="22.5" customHeight="1">
      <c r="B9136" s="7"/>
      <c r="C9136" s="7"/>
      <c r="D9136" s="7"/>
      <c r="E9136" s="7"/>
      <c r="F9136" s="7"/>
      <c r="G9136" s="7"/>
      <c r="H9136" s="7">
        <f t="shared" si="1"/>
        <v>1029</v>
      </c>
    </row>
    <row r="9137" ht="22.5" customHeight="1">
      <c r="B9137" s="7"/>
      <c r="C9137" s="7"/>
      <c r="D9137" s="7"/>
      <c r="E9137" s="7"/>
      <c r="F9137" s="7"/>
      <c r="G9137" s="7"/>
      <c r="H9137" s="7">
        <f t="shared" si="1"/>
        <v>1029</v>
      </c>
    </row>
    <row r="9138" ht="22.5" customHeight="1">
      <c r="B9138" s="7"/>
      <c r="C9138" s="7"/>
      <c r="D9138" s="7"/>
      <c r="E9138" s="7"/>
      <c r="F9138" s="7"/>
      <c r="G9138" s="7"/>
      <c r="H9138" s="7">
        <f t="shared" si="1"/>
        <v>1029</v>
      </c>
    </row>
    <row r="9139" ht="22.5" customHeight="1">
      <c r="B9139" s="7"/>
      <c r="C9139" s="7"/>
      <c r="D9139" s="7"/>
      <c r="E9139" s="7"/>
      <c r="F9139" s="7"/>
      <c r="G9139" s="7"/>
      <c r="H9139" s="7">
        <f t="shared" si="1"/>
        <v>1029</v>
      </c>
    </row>
    <row r="9140" ht="22.5" customHeight="1">
      <c r="B9140" s="7"/>
      <c r="C9140" s="7"/>
      <c r="D9140" s="7"/>
      <c r="E9140" s="7"/>
      <c r="F9140" s="7"/>
      <c r="G9140" s="7"/>
      <c r="H9140" s="7">
        <f t="shared" si="1"/>
        <v>1029</v>
      </c>
    </row>
    <row r="9141" ht="22.5" customHeight="1">
      <c r="B9141" s="7"/>
      <c r="C9141" s="7"/>
      <c r="D9141" s="7"/>
      <c r="E9141" s="7"/>
      <c r="F9141" s="7"/>
      <c r="G9141" s="7"/>
      <c r="H9141" s="7">
        <f t="shared" si="1"/>
        <v>1029</v>
      </c>
    </row>
    <row r="9142" ht="22.5" customHeight="1">
      <c r="B9142" s="7"/>
      <c r="C9142" s="7"/>
      <c r="D9142" s="7"/>
      <c r="E9142" s="7"/>
      <c r="F9142" s="7"/>
      <c r="G9142" s="7"/>
      <c r="H9142" s="7">
        <f t="shared" si="1"/>
        <v>1029</v>
      </c>
    </row>
    <row r="9143" ht="22.5" customHeight="1">
      <c r="B9143" s="7"/>
      <c r="C9143" s="7"/>
      <c r="D9143" s="7"/>
      <c r="E9143" s="7"/>
      <c r="F9143" s="7"/>
      <c r="G9143" s="7"/>
      <c r="H9143" s="7">
        <f t="shared" si="1"/>
        <v>1029</v>
      </c>
    </row>
    <row r="9144" ht="22.5" customHeight="1">
      <c r="B9144" s="7"/>
      <c r="C9144" s="7"/>
      <c r="D9144" s="7"/>
      <c r="E9144" s="7"/>
      <c r="F9144" s="7"/>
      <c r="G9144" s="7"/>
      <c r="H9144" s="7">
        <f t="shared" si="1"/>
        <v>1029</v>
      </c>
    </row>
    <row r="9145" ht="22.5" customHeight="1">
      <c r="B9145" s="7"/>
      <c r="C9145" s="7"/>
      <c r="D9145" s="7"/>
      <c r="E9145" s="7"/>
      <c r="F9145" s="7"/>
      <c r="G9145" s="7"/>
      <c r="H9145" s="7">
        <f t="shared" si="1"/>
        <v>1029</v>
      </c>
    </row>
    <row r="9146" ht="22.5" customHeight="1">
      <c r="B9146" s="7"/>
      <c r="C9146" s="7"/>
      <c r="D9146" s="7"/>
      <c r="E9146" s="7"/>
      <c r="F9146" s="7"/>
      <c r="G9146" s="7"/>
      <c r="H9146" s="7">
        <f t="shared" si="1"/>
        <v>1029</v>
      </c>
    </row>
    <row r="9147" ht="22.5" customHeight="1">
      <c r="B9147" s="7"/>
      <c r="C9147" s="7"/>
      <c r="D9147" s="7"/>
      <c r="E9147" s="7"/>
      <c r="F9147" s="7"/>
      <c r="G9147" s="7"/>
      <c r="H9147" s="7">
        <f t="shared" si="1"/>
        <v>1029</v>
      </c>
    </row>
    <row r="9148" ht="22.5" customHeight="1">
      <c r="B9148" s="7"/>
      <c r="C9148" s="7"/>
      <c r="D9148" s="7"/>
      <c r="E9148" s="7"/>
      <c r="F9148" s="7"/>
      <c r="G9148" s="7"/>
      <c r="H9148" s="7">
        <f t="shared" si="1"/>
        <v>1029</v>
      </c>
    </row>
    <row r="9149" ht="22.5" customHeight="1">
      <c r="B9149" s="7"/>
      <c r="C9149" s="7"/>
      <c r="D9149" s="7"/>
      <c r="E9149" s="7"/>
      <c r="F9149" s="7"/>
      <c r="G9149" s="7"/>
      <c r="H9149" s="7">
        <f t="shared" si="1"/>
        <v>1029</v>
      </c>
    </row>
    <row r="9150" ht="22.5" customHeight="1">
      <c r="B9150" s="7"/>
      <c r="C9150" s="7"/>
      <c r="D9150" s="7"/>
      <c r="E9150" s="7"/>
      <c r="F9150" s="7"/>
      <c r="G9150" s="7"/>
      <c r="H9150" s="7">
        <f t="shared" si="1"/>
        <v>1029</v>
      </c>
    </row>
    <row r="9151" ht="22.5" customHeight="1">
      <c r="B9151" s="7"/>
      <c r="C9151" s="7"/>
      <c r="D9151" s="7"/>
      <c r="E9151" s="7"/>
      <c r="F9151" s="7"/>
      <c r="G9151" s="7"/>
      <c r="H9151" s="7">
        <f t="shared" si="1"/>
        <v>1029</v>
      </c>
    </row>
    <row r="9152" ht="22.5" customHeight="1">
      <c r="B9152" s="7"/>
      <c r="C9152" s="7"/>
      <c r="D9152" s="7"/>
      <c r="E9152" s="7"/>
      <c r="F9152" s="7"/>
      <c r="G9152" s="7"/>
      <c r="H9152" s="7">
        <f t="shared" si="1"/>
        <v>1029</v>
      </c>
    </row>
    <row r="9153" ht="22.5" customHeight="1">
      <c r="B9153" s="7"/>
      <c r="C9153" s="7"/>
      <c r="D9153" s="7"/>
      <c r="E9153" s="7"/>
      <c r="F9153" s="7"/>
      <c r="G9153" s="7"/>
      <c r="H9153" s="7">
        <f t="shared" si="1"/>
        <v>1029</v>
      </c>
    </row>
    <row r="9154" ht="22.5" customHeight="1">
      <c r="B9154" s="7"/>
      <c r="C9154" s="7"/>
      <c r="D9154" s="7"/>
      <c r="E9154" s="7"/>
      <c r="F9154" s="7"/>
      <c r="G9154" s="7"/>
      <c r="H9154" s="7">
        <f t="shared" si="1"/>
        <v>1029</v>
      </c>
    </row>
    <row r="9155" ht="22.5" customHeight="1">
      <c r="B9155" s="7"/>
      <c r="C9155" s="7"/>
      <c r="D9155" s="7"/>
      <c r="E9155" s="7"/>
      <c r="F9155" s="7"/>
      <c r="G9155" s="7"/>
      <c r="H9155" s="7">
        <f t="shared" si="1"/>
        <v>1029</v>
      </c>
    </row>
    <row r="9156" ht="22.5" customHeight="1">
      <c r="B9156" s="7"/>
      <c r="C9156" s="7"/>
      <c r="D9156" s="7"/>
      <c r="E9156" s="7"/>
      <c r="F9156" s="7"/>
      <c r="G9156" s="7"/>
      <c r="H9156" s="7">
        <f t="shared" si="1"/>
        <v>1029</v>
      </c>
    </row>
    <row r="9157" ht="22.5" customHeight="1">
      <c r="B9157" s="7"/>
      <c r="C9157" s="7"/>
      <c r="D9157" s="7"/>
      <c r="E9157" s="7"/>
      <c r="F9157" s="7"/>
      <c r="G9157" s="7"/>
      <c r="H9157" s="7">
        <f t="shared" si="1"/>
        <v>1029</v>
      </c>
    </row>
    <row r="9158" ht="22.5" customHeight="1">
      <c r="B9158" s="7"/>
      <c r="C9158" s="7"/>
      <c r="D9158" s="7"/>
      <c r="E9158" s="7"/>
      <c r="F9158" s="7"/>
      <c r="G9158" s="7"/>
      <c r="H9158" s="7">
        <f t="shared" si="1"/>
        <v>1029</v>
      </c>
    </row>
    <row r="9159" ht="22.5" customHeight="1">
      <c r="B9159" s="7"/>
      <c r="C9159" s="7"/>
      <c r="D9159" s="7"/>
      <c r="E9159" s="7"/>
      <c r="F9159" s="7"/>
      <c r="G9159" s="7"/>
      <c r="H9159" s="7">
        <f t="shared" si="1"/>
        <v>1029</v>
      </c>
    </row>
    <row r="9160" ht="22.5" customHeight="1">
      <c r="B9160" s="7"/>
      <c r="C9160" s="7"/>
      <c r="D9160" s="7"/>
      <c r="E9160" s="7"/>
      <c r="F9160" s="7"/>
      <c r="G9160" s="7"/>
      <c r="H9160" s="7">
        <f t="shared" si="1"/>
        <v>1029</v>
      </c>
    </row>
    <row r="9161" ht="22.5" customHeight="1">
      <c r="B9161" s="7"/>
      <c r="C9161" s="7"/>
      <c r="D9161" s="7"/>
      <c r="E9161" s="7"/>
      <c r="F9161" s="7"/>
      <c r="G9161" s="7"/>
      <c r="H9161" s="7">
        <f t="shared" si="1"/>
        <v>1029</v>
      </c>
    </row>
    <row r="9162" ht="22.5" customHeight="1">
      <c r="B9162" s="7"/>
      <c r="C9162" s="7"/>
      <c r="D9162" s="7"/>
      <c r="E9162" s="7"/>
      <c r="F9162" s="7"/>
      <c r="G9162" s="7"/>
      <c r="H9162" s="7">
        <f t="shared" si="1"/>
        <v>1029</v>
      </c>
    </row>
    <row r="9163" ht="22.5" customHeight="1">
      <c r="B9163" s="7"/>
      <c r="C9163" s="7"/>
      <c r="D9163" s="7"/>
      <c r="E9163" s="7"/>
      <c r="F9163" s="7"/>
      <c r="G9163" s="7"/>
      <c r="H9163" s="7">
        <f t="shared" si="1"/>
        <v>1029</v>
      </c>
    </row>
    <row r="9164" ht="22.5" customHeight="1">
      <c r="B9164" s="7"/>
      <c r="C9164" s="7"/>
      <c r="D9164" s="7"/>
      <c r="E9164" s="7"/>
      <c r="F9164" s="7"/>
      <c r="G9164" s="7"/>
      <c r="H9164" s="7">
        <f t="shared" si="1"/>
        <v>1029</v>
      </c>
    </row>
    <row r="9165" ht="22.5" customHeight="1">
      <c r="B9165" s="7"/>
      <c r="C9165" s="7"/>
      <c r="D9165" s="7"/>
      <c r="E9165" s="7"/>
      <c r="F9165" s="7"/>
      <c r="G9165" s="7"/>
      <c r="H9165" s="7">
        <f t="shared" si="1"/>
        <v>1029</v>
      </c>
    </row>
    <row r="9166" ht="22.5" customHeight="1">
      <c r="B9166" s="7"/>
      <c r="C9166" s="7"/>
      <c r="D9166" s="7"/>
      <c r="E9166" s="7"/>
      <c r="F9166" s="7"/>
      <c r="G9166" s="7"/>
      <c r="H9166" s="7">
        <f t="shared" si="1"/>
        <v>1029</v>
      </c>
    </row>
    <row r="9167" ht="22.5" customHeight="1">
      <c r="B9167" s="7"/>
      <c r="C9167" s="7"/>
      <c r="D9167" s="7"/>
      <c r="E9167" s="7"/>
      <c r="F9167" s="7"/>
      <c r="G9167" s="7"/>
      <c r="H9167" s="7">
        <f t="shared" si="1"/>
        <v>1029</v>
      </c>
    </row>
    <row r="9168" ht="22.5" customHeight="1">
      <c r="B9168" s="7"/>
      <c r="C9168" s="7"/>
      <c r="D9168" s="7"/>
      <c r="E9168" s="7"/>
      <c r="F9168" s="7"/>
      <c r="G9168" s="7"/>
      <c r="H9168" s="7">
        <f t="shared" si="1"/>
        <v>1029</v>
      </c>
    </row>
    <row r="9169" ht="22.5" customHeight="1">
      <c r="B9169" s="7"/>
      <c r="C9169" s="7"/>
      <c r="D9169" s="7"/>
      <c r="E9169" s="7"/>
      <c r="F9169" s="7"/>
      <c r="G9169" s="7"/>
      <c r="H9169" s="7">
        <f t="shared" si="1"/>
        <v>1029</v>
      </c>
    </row>
    <row r="9170" ht="22.5" customHeight="1">
      <c r="B9170" s="7"/>
      <c r="C9170" s="7"/>
      <c r="D9170" s="7"/>
      <c r="E9170" s="7"/>
      <c r="F9170" s="7"/>
      <c r="G9170" s="7"/>
      <c r="H9170" s="7">
        <f t="shared" si="1"/>
        <v>1029</v>
      </c>
    </row>
    <row r="9171" ht="22.5" customHeight="1">
      <c r="B9171" s="7"/>
      <c r="C9171" s="7"/>
      <c r="D9171" s="7"/>
      <c r="E9171" s="7"/>
      <c r="F9171" s="7"/>
      <c r="G9171" s="7"/>
      <c r="H9171" s="7">
        <f t="shared" si="1"/>
        <v>1029</v>
      </c>
    </row>
    <row r="9172" ht="22.5" customHeight="1">
      <c r="B9172" s="7"/>
      <c r="C9172" s="7"/>
      <c r="D9172" s="7"/>
      <c r="E9172" s="7"/>
      <c r="F9172" s="7"/>
      <c r="G9172" s="7"/>
      <c r="H9172" s="7">
        <f t="shared" si="1"/>
        <v>1029</v>
      </c>
    </row>
    <row r="9173" ht="22.5" customHeight="1">
      <c r="B9173" s="7"/>
      <c r="C9173" s="7"/>
      <c r="D9173" s="7"/>
      <c r="E9173" s="7"/>
      <c r="F9173" s="7"/>
      <c r="G9173" s="7"/>
      <c r="H9173" s="7">
        <f t="shared" si="1"/>
        <v>1029</v>
      </c>
    </row>
    <row r="9174" ht="22.5" customHeight="1">
      <c r="B9174" s="7"/>
      <c r="C9174" s="7"/>
      <c r="D9174" s="7"/>
      <c r="E9174" s="7"/>
      <c r="F9174" s="7"/>
      <c r="G9174" s="7"/>
      <c r="H9174" s="7">
        <f t="shared" si="1"/>
        <v>1029</v>
      </c>
    </row>
    <row r="9175" ht="22.5" customHeight="1">
      <c r="B9175" s="7"/>
      <c r="C9175" s="7"/>
      <c r="D9175" s="7"/>
      <c r="E9175" s="7"/>
      <c r="F9175" s="7"/>
      <c r="G9175" s="7"/>
      <c r="H9175" s="7">
        <f t="shared" si="1"/>
        <v>1029</v>
      </c>
    </row>
    <row r="9176" ht="22.5" customHeight="1">
      <c r="B9176" s="7"/>
      <c r="C9176" s="7"/>
      <c r="D9176" s="7"/>
      <c r="E9176" s="7"/>
      <c r="F9176" s="7"/>
      <c r="G9176" s="7"/>
      <c r="H9176" s="7">
        <f t="shared" si="1"/>
        <v>1029</v>
      </c>
    </row>
    <row r="9177" ht="22.5" customHeight="1">
      <c r="B9177" s="7"/>
      <c r="C9177" s="7"/>
      <c r="D9177" s="7"/>
      <c r="E9177" s="7"/>
      <c r="F9177" s="7"/>
      <c r="G9177" s="7"/>
      <c r="H9177" s="7">
        <f t="shared" si="1"/>
        <v>1029</v>
      </c>
    </row>
    <row r="9178" ht="22.5" customHeight="1">
      <c r="B9178" s="7"/>
      <c r="C9178" s="7"/>
      <c r="D9178" s="7"/>
      <c r="E9178" s="7"/>
      <c r="F9178" s="7"/>
      <c r="G9178" s="7"/>
      <c r="H9178" s="7">
        <f t="shared" si="1"/>
        <v>1029</v>
      </c>
    </row>
    <row r="9179" ht="22.5" customHeight="1">
      <c r="B9179" s="7"/>
      <c r="C9179" s="7"/>
      <c r="D9179" s="7"/>
      <c r="E9179" s="7"/>
      <c r="F9179" s="7"/>
      <c r="G9179" s="7"/>
      <c r="H9179" s="7">
        <f t="shared" si="1"/>
        <v>1029</v>
      </c>
    </row>
    <row r="9180" ht="22.5" customHeight="1">
      <c r="B9180" s="7"/>
      <c r="C9180" s="7"/>
      <c r="D9180" s="7"/>
      <c r="E9180" s="7"/>
      <c r="F9180" s="7"/>
      <c r="G9180" s="7"/>
      <c r="H9180" s="7">
        <f t="shared" si="1"/>
        <v>1029</v>
      </c>
    </row>
    <row r="9181" ht="22.5" customHeight="1">
      <c r="B9181" s="7"/>
      <c r="C9181" s="7"/>
      <c r="D9181" s="7"/>
      <c r="E9181" s="7"/>
      <c r="F9181" s="7"/>
      <c r="G9181" s="7"/>
      <c r="H9181" s="7">
        <f t="shared" si="1"/>
        <v>1029</v>
      </c>
    </row>
    <row r="9182" ht="22.5" customHeight="1">
      <c r="B9182" s="7"/>
      <c r="C9182" s="7"/>
      <c r="D9182" s="7"/>
      <c r="E9182" s="7"/>
      <c r="F9182" s="7"/>
      <c r="G9182" s="7"/>
      <c r="H9182" s="7">
        <f t="shared" si="1"/>
        <v>1029</v>
      </c>
    </row>
    <row r="9183" ht="22.5" customHeight="1">
      <c r="B9183" s="7"/>
      <c r="C9183" s="7"/>
      <c r="D9183" s="7"/>
      <c r="E9183" s="7"/>
      <c r="F9183" s="7"/>
      <c r="G9183" s="7"/>
      <c r="H9183" s="7">
        <f t="shared" si="1"/>
        <v>1029</v>
      </c>
    </row>
    <row r="9184" ht="22.5" customHeight="1">
      <c r="B9184" s="7"/>
      <c r="C9184" s="7"/>
      <c r="D9184" s="7"/>
      <c r="E9184" s="7"/>
      <c r="F9184" s="7"/>
      <c r="G9184" s="7"/>
      <c r="H9184" s="7">
        <f t="shared" si="1"/>
        <v>1029</v>
      </c>
    </row>
    <row r="9185" ht="22.5" customHeight="1">
      <c r="B9185" s="7"/>
      <c r="C9185" s="7"/>
      <c r="D9185" s="7"/>
      <c r="E9185" s="7"/>
      <c r="F9185" s="7"/>
      <c r="G9185" s="7"/>
      <c r="H9185" s="7">
        <f t="shared" si="1"/>
        <v>1029</v>
      </c>
    </row>
    <row r="9186" ht="22.5" customHeight="1">
      <c r="B9186" s="7"/>
      <c r="C9186" s="7"/>
      <c r="D9186" s="7"/>
      <c r="E9186" s="7"/>
      <c r="F9186" s="7"/>
      <c r="G9186" s="7"/>
      <c r="H9186" s="7">
        <f t="shared" si="1"/>
        <v>1029</v>
      </c>
    </row>
    <row r="9187" ht="22.5" customHeight="1">
      <c r="B9187" s="7"/>
      <c r="C9187" s="7"/>
      <c r="D9187" s="7"/>
      <c r="E9187" s="7"/>
      <c r="F9187" s="7"/>
      <c r="G9187" s="7"/>
      <c r="H9187" s="7">
        <f t="shared" si="1"/>
        <v>1029</v>
      </c>
    </row>
    <row r="9188" ht="22.5" customHeight="1">
      <c r="B9188" s="7"/>
      <c r="C9188" s="7"/>
      <c r="D9188" s="7"/>
      <c r="E9188" s="7"/>
      <c r="F9188" s="7"/>
      <c r="G9188" s="7"/>
      <c r="H9188" s="7">
        <f t="shared" si="1"/>
        <v>1029</v>
      </c>
    </row>
    <row r="9189" ht="22.5" customHeight="1">
      <c r="B9189" s="7"/>
      <c r="C9189" s="7"/>
      <c r="D9189" s="7"/>
      <c r="E9189" s="7"/>
      <c r="F9189" s="7"/>
      <c r="G9189" s="7"/>
      <c r="H9189" s="7">
        <f t="shared" si="1"/>
        <v>1029</v>
      </c>
    </row>
    <row r="9190" ht="22.5" customHeight="1">
      <c r="B9190" s="7"/>
      <c r="C9190" s="7"/>
      <c r="D9190" s="7"/>
      <c r="E9190" s="7"/>
      <c r="F9190" s="7"/>
      <c r="G9190" s="7"/>
      <c r="H9190" s="7">
        <f t="shared" si="1"/>
        <v>1029</v>
      </c>
    </row>
    <row r="9191" ht="22.5" customHeight="1">
      <c r="B9191" s="7"/>
      <c r="C9191" s="7"/>
      <c r="D9191" s="7"/>
      <c r="E9191" s="7"/>
      <c r="F9191" s="7"/>
      <c r="G9191" s="7"/>
      <c r="H9191" s="7">
        <f t="shared" si="1"/>
        <v>1029</v>
      </c>
    </row>
    <row r="9192" ht="22.5" customHeight="1">
      <c r="B9192" s="7"/>
      <c r="C9192" s="7"/>
      <c r="D9192" s="7"/>
      <c r="E9192" s="7"/>
      <c r="F9192" s="7"/>
      <c r="G9192" s="7"/>
      <c r="H9192" s="7">
        <f t="shared" si="1"/>
        <v>1029</v>
      </c>
    </row>
    <row r="9193" ht="22.5" customHeight="1">
      <c r="B9193" s="7"/>
      <c r="C9193" s="7"/>
      <c r="D9193" s="7"/>
      <c r="E9193" s="7"/>
      <c r="F9193" s="7"/>
      <c r="G9193" s="7"/>
      <c r="H9193" s="7">
        <f t="shared" si="1"/>
        <v>1029</v>
      </c>
    </row>
    <row r="9194" ht="22.5" customHeight="1">
      <c r="B9194" s="7"/>
      <c r="C9194" s="7"/>
      <c r="D9194" s="7"/>
      <c r="E9194" s="7"/>
      <c r="F9194" s="7"/>
      <c r="G9194" s="7"/>
      <c r="H9194" s="7">
        <f t="shared" si="1"/>
        <v>1029</v>
      </c>
    </row>
    <row r="9195" ht="22.5" customHeight="1">
      <c r="B9195" s="7"/>
      <c r="C9195" s="7"/>
      <c r="D9195" s="7"/>
      <c r="E9195" s="7"/>
      <c r="F9195" s="7"/>
      <c r="G9195" s="7"/>
      <c r="H9195" s="7">
        <f t="shared" si="1"/>
        <v>1029</v>
      </c>
    </row>
    <row r="9196" ht="22.5" customHeight="1">
      <c r="B9196" s="7"/>
      <c r="C9196" s="7"/>
      <c r="D9196" s="7"/>
      <c r="E9196" s="7"/>
      <c r="F9196" s="7"/>
      <c r="G9196" s="7"/>
      <c r="H9196" s="7">
        <f t="shared" si="1"/>
        <v>1029</v>
      </c>
    </row>
    <row r="9197" ht="22.5" customHeight="1">
      <c r="B9197" s="7"/>
      <c r="C9197" s="7"/>
      <c r="D9197" s="7"/>
      <c r="E9197" s="7"/>
      <c r="F9197" s="7"/>
      <c r="G9197" s="7"/>
      <c r="H9197" s="7">
        <f t="shared" si="1"/>
        <v>1029</v>
      </c>
    </row>
    <row r="9198" ht="22.5" customHeight="1">
      <c r="B9198" s="7"/>
      <c r="C9198" s="7"/>
      <c r="D9198" s="7"/>
      <c r="E9198" s="7"/>
      <c r="F9198" s="7"/>
      <c r="G9198" s="7"/>
      <c r="H9198" s="7">
        <f t="shared" si="1"/>
        <v>1029</v>
      </c>
    </row>
    <row r="9199" ht="22.5" customHeight="1">
      <c r="B9199" s="7"/>
      <c r="C9199" s="7"/>
      <c r="D9199" s="7"/>
      <c r="E9199" s="7"/>
      <c r="F9199" s="7"/>
      <c r="G9199" s="7"/>
      <c r="H9199" s="7">
        <f t="shared" si="1"/>
        <v>1029</v>
      </c>
    </row>
    <row r="9200" ht="22.5" customHeight="1">
      <c r="B9200" s="7"/>
      <c r="C9200" s="7"/>
      <c r="D9200" s="7"/>
      <c r="E9200" s="7"/>
      <c r="F9200" s="7"/>
      <c r="G9200" s="7"/>
      <c r="H9200" s="7">
        <f t="shared" si="1"/>
        <v>1029</v>
      </c>
    </row>
    <row r="9201" ht="22.5" customHeight="1">
      <c r="B9201" s="7"/>
      <c r="C9201" s="7"/>
      <c r="D9201" s="7"/>
      <c r="E9201" s="7"/>
      <c r="F9201" s="7"/>
      <c r="G9201" s="7"/>
      <c r="H9201" s="7">
        <f t="shared" si="1"/>
        <v>1029</v>
      </c>
    </row>
    <row r="9202" ht="22.5" customHeight="1">
      <c r="B9202" s="7"/>
      <c r="C9202" s="7"/>
      <c r="D9202" s="7"/>
      <c r="E9202" s="7"/>
      <c r="F9202" s="7"/>
      <c r="G9202" s="7"/>
      <c r="H9202" s="7">
        <f t="shared" si="1"/>
        <v>1029</v>
      </c>
    </row>
    <row r="9203" ht="22.5" customHeight="1">
      <c r="B9203" s="7"/>
      <c r="C9203" s="7"/>
      <c r="D9203" s="7"/>
      <c r="E9203" s="7"/>
      <c r="F9203" s="7"/>
      <c r="G9203" s="7"/>
      <c r="H9203" s="7">
        <f t="shared" si="1"/>
        <v>1029</v>
      </c>
    </row>
    <row r="9204" ht="22.5" customHeight="1">
      <c r="B9204" s="7"/>
      <c r="C9204" s="7"/>
      <c r="D9204" s="7"/>
      <c r="E9204" s="7"/>
      <c r="F9204" s="7"/>
      <c r="G9204" s="7"/>
      <c r="H9204" s="7">
        <f t="shared" si="1"/>
        <v>1029</v>
      </c>
    </row>
    <row r="9205" ht="22.5" customHeight="1">
      <c r="B9205" s="7"/>
      <c r="C9205" s="7"/>
      <c r="D9205" s="7"/>
      <c r="E9205" s="7"/>
      <c r="F9205" s="7"/>
      <c r="G9205" s="7"/>
      <c r="H9205" s="7">
        <f t="shared" si="1"/>
        <v>1029</v>
      </c>
    </row>
    <row r="9206" ht="22.5" customHeight="1">
      <c r="B9206" s="7"/>
      <c r="C9206" s="7"/>
      <c r="D9206" s="7"/>
      <c r="E9206" s="7"/>
      <c r="F9206" s="7"/>
      <c r="G9206" s="7"/>
      <c r="H9206" s="7">
        <f t="shared" si="1"/>
        <v>1029</v>
      </c>
    </row>
    <row r="9207" ht="22.5" customHeight="1">
      <c r="B9207" s="7"/>
      <c r="C9207" s="7"/>
      <c r="D9207" s="7"/>
      <c r="E9207" s="7"/>
      <c r="F9207" s="7"/>
      <c r="G9207" s="7"/>
      <c r="H9207" s="7">
        <f t="shared" si="1"/>
        <v>1029</v>
      </c>
    </row>
    <row r="9208" ht="22.5" customHeight="1">
      <c r="B9208" s="7"/>
      <c r="C9208" s="7"/>
      <c r="D9208" s="7"/>
      <c r="E9208" s="7"/>
      <c r="F9208" s="7"/>
      <c r="G9208" s="7"/>
      <c r="H9208" s="7">
        <f t="shared" si="1"/>
        <v>1029</v>
      </c>
    </row>
    <row r="9209" ht="22.5" customHeight="1">
      <c r="B9209" s="7"/>
      <c r="C9209" s="7"/>
      <c r="D9209" s="7"/>
      <c r="E9209" s="7"/>
      <c r="F9209" s="7"/>
      <c r="G9209" s="7"/>
      <c r="H9209" s="7">
        <f t="shared" si="1"/>
        <v>1029</v>
      </c>
    </row>
    <row r="9210" ht="22.5" customHeight="1">
      <c r="B9210" s="7"/>
      <c r="C9210" s="7"/>
      <c r="D9210" s="7"/>
      <c r="E9210" s="7"/>
      <c r="F9210" s="7"/>
      <c r="G9210" s="7"/>
      <c r="H9210" s="7">
        <f t="shared" si="1"/>
        <v>1029</v>
      </c>
    </row>
    <row r="9211" ht="22.5" customHeight="1">
      <c r="B9211" s="7"/>
      <c r="C9211" s="7"/>
      <c r="D9211" s="7"/>
      <c r="E9211" s="7"/>
      <c r="F9211" s="7"/>
      <c r="G9211" s="7"/>
      <c r="H9211" s="7">
        <f t="shared" si="1"/>
        <v>1029</v>
      </c>
    </row>
    <row r="9212" ht="22.5" customHeight="1">
      <c r="B9212" s="7"/>
      <c r="C9212" s="7"/>
      <c r="D9212" s="7"/>
      <c r="E9212" s="7"/>
      <c r="F9212" s="7"/>
      <c r="G9212" s="7"/>
      <c r="H9212" s="7">
        <f t="shared" si="1"/>
        <v>1029</v>
      </c>
    </row>
    <row r="9213" ht="22.5" customHeight="1">
      <c r="B9213" s="7"/>
      <c r="C9213" s="7"/>
      <c r="D9213" s="7"/>
      <c r="E9213" s="7"/>
      <c r="F9213" s="7"/>
      <c r="G9213" s="7"/>
      <c r="H9213" s="7">
        <f t="shared" si="1"/>
        <v>1029</v>
      </c>
    </row>
    <row r="9214" ht="22.5" customHeight="1">
      <c r="B9214" s="7"/>
      <c r="C9214" s="7"/>
      <c r="D9214" s="7"/>
      <c r="E9214" s="7"/>
      <c r="F9214" s="7"/>
      <c r="G9214" s="7"/>
      <c r="H9214" s="7">
        <f t="shared" si="1"/>
        <v>1029</v>
      </c>
    </row>
    <row r="9215" ht="22.5" customHeight="1">
      <c r="B9215" s="7"/>
      <c r="C9215" s="7"/>
      <c r="D9215" s="7"/>
      <c r="E9215" s="7"/>
      <c r="F9215" s="7"/>
      <c r="G9215" s="7"/>
      <c r="H9215" s="7">
        <f t="shared" si="1"/>
        <v>1029</v>
      </c>
    </row>
    <row r="9216" ht="22.5" customHeight="1">
      <c r="B9216" s="7"/>
      <c r="C9216" s="7"/>
      <c r="D9216" s="7"/>
      <c r="E9216" s="7"/>
      <c r="F9216" s="7"/>
      <c r="G9216" s="7"/>
      <c r="H9216" s="7">
        <f t="shared" si="1"/>
        <v>1029</v>
      </c>
    </row>
    <row r="9217" ht="22.5" customHeight="1">
      <c r="B9217" s="7"/>
      <c r="C9217" s="7"/>
      <c r="D9217" s="7"/>
      <c r="E9217" s="7"/>
      <c r="F9217" s="7"/>
      <c r="G9217" s="7"/>
      <c r="H9217" s="7">
        <f t="shared" si="1"/>
        <v>1029</v>
      </c>
    </row>
    <row r="9218" ht="22.5" customHeight="1">
      <c r="B9218" s="7"/>
      <c r="C9218" s="7"/>
      <c r="D9218" s="7"/>
      <c r="E9218" s="7"/>
      <c r="F9218" s="7"/>
      <c r="G9218" s="7"/>
      <c r="H9218" s="7">
        <f t="shared" si="1"/>
        <v>1029</v>
      </c>
    </row>
    <row r="9219" ht="22.5" customHeight="1">
      <c r="B9219" s="7"/>
      <c r="C9219" s="7"/>
      <c r="D9219" s="7"/>
      <c r="E9219" s="7"/>
      <c r="F9219" s="7"/>
      <c r="G9219" s="7"/>
      <c r="H9219" s="7">
        <f t="shared" si="1"/>
        <v>1029</v>
      </c>
    </row>
    <row r="9220" ht="22.5" customHeight="1">
      <c r="B9220" s="7"/>
      <c r="C9220" s="7"/>
      <c r="D9220" s="7"/>
      <c r="E9220" s="7"/>
      <c r="F9220" s="7"/>
      <c r="G9220" s="7"/>
      <c r="H9220" s="7">
        <f t="shared" si="1"/>
        <v>1029</v>
      </c>
    </row>
    <row r="9221" ht="22.5" customHeight="1">
      <c r="B9221" s="7"/>
      <c r="C9221" s="7"/>
      <c r="D9221" s="7"/>
      <c r="E9221" s="7"/>
      <c r="F9221" s="7"/>
      <c r="G9221" s="7"/>
      <c r="H9221" s="7">
        <f t="shared" si="1"/>
        <v>1029</v>
      </c>
    </row>
    <row r="9222" ht="22.5" customHeight="1">
      <c r="B9222" s="7"/>
      <c r="C9222" s="7"/>
      <c r="D9222" s="7"/>
      <c r="E9222" s="7"/>
      <c r="F9222" s="7"/>
      <c r="G9222" s="7"/>
      <c r="H9222" s="7">
        <f t="shared" si="1"/>
        <v>1029</v>
      </c>
    </row>
    <row r="9223" ht="22.5" customHeight="1">
      <c r="B9223" s="7"/>
      <c r="C9223" s="7"/>
      <c r="D9223" s="7"/>
      <c r="E9223" s="7"/>
      <c r="F9223" s="7"/>
      <c r="G9223" s="7"/>
      <c r="H9223" s="7">
        <f t="shared" si="1"/>
        <v>1029</v>
      </c>
    </row>
    <row r="9224" ht="22.5" customHeight="1">
      <c r="B9224" s="7"/>
      <c r="C9224" s="7"/>
      <c r="D9224" s="7"/>
      <c r="E9224" s="7"/>
      <c r="F9224" s="7"/>
      <c r="G9224" s="7"/>
      <c r="H9224" s="7">
        <f t="shared" si="1"/>
        <v>1029</v>
      </c>
    </row>
    <row r="9225" ht="22.5" customHeight="1">
      <c r="B9225" s="7"/>
      <c r="C9225" s="7"/>
      <c r="D9225" s="7"/>
      <c r="E9225" s="7"/>
      <c r="F9225" s="7"/>
      <c r="G9225" s="7"/>
      <c r="H9225" s="7">
        <f t="shared" si="1"/>
        <v>1029</v>
      </c>
    </row>
    <row r="9226" ht="22.5" customHeight="1">
      <c r="B9226" s="7"/>
      <c r="C9226" s="7"/>
      <c r="D9226" s="7"/>
      <c r="E9226" s="7"/>
      <c r="F9226" s="7"/>
      <c r="G9226" s="7"/>
      <c r="H9226" s="7">
        <f t="shared" si="1"/>
        <v>1029</v>
      </c>
    </row>
    <row r="9227" ht="22.5" customHeight="1">
      <c r="B9227" s="7"/>
      <c r="C9227" s="7"/>
      <c r="D9227" s="7"/>
      <c r="E9227" s="7"/>
      <c r="F9227" s="7"/>
      <c r="G9227" s="7"/>
      <c r="H9227" s="7">
        <f t="shared" si="1"/>
        <v>1029</v>
      </c>
    </row>
    <row r="9228" ht="22.5" customHeight="1">
      <c r="B9228" s="7"/>
      <c r="C9228" s="7"/>
      <c r="D9228" s="7"/>
      <c r="E9228" s="7"/>
      <c r="F9228" s="7"/>
      <c r="G9228" s="7"/>
      <c r="H9228" s="7">
        <f t="shared" si="1"/>
        <v>1029</v>
      </c>
    </row>
    <row r="9229" ht="22.5" customHeight="1">
      <c r="B9229" s="7"/>
      <c r="C9229" s="7"/>
      <c r="D9229" s="7"/>
      <c r="E9229" s="7"/>
      <c r="F9229" s="7"/>
      <c r="G9229" s="7"/>
      <c r="H9229" s="7">
        <f t="shared" si="1"/>
        <v>1029</v>
      </c>
    </row>
    <row r="9230" ht="22.5" customHeight="1">
      <c r="B9230" s="7"/>
      <c r="C9230" s="7"/>
      <c r="D9230" s="7"/>
      <c r="E9230" s="7"/>
      <c r="F9230" s="7"/>
      <c r="G9230" s="7"/>
      <c r="H9230" s="7">
        <f t="shared" si="1"/>
        <v>1029</v>
      </c>
    </row>
    <row r="9231" ht="22.5" customHeight="1">
      <c r="B9231" s="7"/>
      <c r="C9231" s="7"/>
      <c r="D9231" s="7"/>
      <c r="E9231" s="7"/>
      <c r="F9231" s="7"/>
      <c r="G9231" s="7"/>
      <c r="H9231" s="7">
        <f t="shared" si="1"/>
        <v>1029</v>
      </c>
    </row>
    <row r="9232" ht="22.5" customHeight="1">
      <c r="B9232" s="7"/>
      <c r="C9232" s="7"/>
      <c r="D9232" s="7"/>
      <c r="E9232" s="7"/>
      <c r="F9232" s="7"/>
      <c r="G9232" s="7"/>
      <c r="H9232" s="7">
        <f t="shared" si="1"/>
        <v>1029</v>
      </c>
    </row>
    <row r="9233" ht="22.5" customHeight="1">
      <c r="B9233" s="7"/>
      <c r="C9233" s="7"/>
      <c r="D9233" s="7"/>
      <c r="E9233" s="7"/>
      <c r="F9233" s="7"/>
      <c r="G9233" s="7"/>
      <c r="H9233" s="7">
        <f t="shared" si="1"/>
        <v>1029</v>
      </c>
    </row>
    <row r="9234" ht="22.5" customHeight="1">
      <c r="B9234" s="7"/>
      <c r="C9234" s="7"/>
      <c r="D9234" s="7"/>
      <c r="E9234" s="7"/>
      <c r="F9234" s="7"/>
      <c r="G9234" s="7"/>
      <c r="H9234" s="7">
        <f t="shared" si="1"/>
        <v>1029</v>
      </c>
    </row>
    <row r="9235" ht="22.5" customHeight="1">
      <c r="B9235" s="7"/>
      <c r="C9235" s="7"/>
      <c r="D9235" s="7"/>
      <c r="E9235" s="7"/>
      <c r="F9235" s="7"/>
      <c r="G9235" s="7"/>
      <c r="H9235" s="7">
        <f t="shared" si="1"/>
        <v>1029</v>
      </c>
    </row>
    <row r="9236" ht="22.5" customHeight="1">
      <c r="B9236" s="7"/>
      <c r="C9236" s="7"/>
      <c r="D9236" s="7"/>
      <c r="E9236" s="7"/>
      <c r="F9236" s="7"/>
      <c r="G9236" s="7"/>
      <c r="H9236" s="7">
        <f t="shared" si="1"/>
        <v>1029</v>
      </c>
    </row>
    <row r="9237" ht="22.5" customHeight="1">
      <c r="B9237" s="7"/>
      <c r="C9237" s="7"/>
      <c r="D9237" s="7"/>
      <c r="E9237" s="7"/>
      <c r="F9237" s="7"/>
      <c r="G9237" s="7"/>
      <c r="H9237" s="7">
        <f t="shared" si="1"/>
        <v>1029</v>
      </c>
    </row>
    <row r="9238" ht="22.5" customHeight="1">
      <c r="B9238" s="7"/>
      <c r="C9238" s="7"/>
      <c r="D9238" s="7"/>
      <c r="E9238" s="7"/>
      <c r="F9238" s="7"/>
      <c r="G9238" s="7"/>
      <c r="H9238" s="7">
        <f t="shared" si="1"/>
        <v>1029</v>
      </c>
    </row>
    <row r="9239" ht="22.5" customHeight="1">
      <c r="B9239" s="7"/>
      <c r="C9239" s="7"/>
      <c r="D9239" s="7"/>
      <c r="E9239" s="7"/>
      <c r="F9239" s="7"/>
      <c r="G9239" s="7"/>
      <c r="H9239" s="7">
        <f t="shared" si="1"/>
        <v>1029</v>
      </c>
    </row>
    <row r="9240" ht="22.5" customHeight="1">
      <c r="B9240" s="7"/>
      <c r="C9240" s="7"/>
      <c r="D9240" s="7"/>
      <c r="E9240" s="7"/>
      <c r="F9240" s="7"/>
      <c r="G9240" s="7"/>
      <c r="H9240" s="7">
        <f t="shared" si="1"/>
        <v>1029</v>
      </c>
    </row>
    <row r="9241" ht="22.5" customHeight="1">
      <c r="B9241" s="7"/>
      <c r="C9241" s="7"/>
      <c r="D9241" s="7"/>
      <c r="E9241" s="7"/>
      <c r="F9241" s="7"/>
      <c r="G9241" s="7"/>
      <c r="H9241" s="7">
        <f t="shared" si="1"/>
        <v>1029</v>
      </c>
    </row>
    <row r="9242" ht="22.5" customHeight="1">
      <c r="B9242" s="7"/>
      <c r="C9242" s="7"/>
      <c r="D9242" s="7"/>
      <c r="E9242" s="7"/>
      <c r="F9242" s="7"/>
      <c r="G9242" s="7"/>
      <c r="H9242" s="7">
        <f t="shared" si="1"/>
        <v>1029</v>
      </c>
    </row>
    <row r="9243" ht="22.5" customHeight="1">
      <c r="B9243" s="7"/>
      <c r="C9243" s="7"/>
      <c r="D9243" s="7"/>
      <c r="E9243" s="7"/>
      <c r="F9243" s="7"/>
      <c r="G9243" s="7"/>
      <c r="H9243" s="7">
        <f t="shared" si="1"/>
        <v>1029</v>
      </c>
    </row>
    <row r="9244" ht="22.5" customHeight="1">
      <c r="B9244" s="7"/>
      <c r="C9244" s="7"/>
      <c r="D9244" s="7"/>
      <c r="E9244" s="7"/>
      <c r="F9244" s="7"/>
      <c r="G9244" s="7"/>
      <c r="H9244" s="7">
        <f t="shared" si="1"/>
        <v>1029</v>
      </c>
    </row>
    <row r="9245" ht="22.5" customHeight="1">
      <c r="B9245" s="7"/>
      <c r="C9245" s="7"/>
      <c r="D9245" s="7"/>
      <c r="E9245" s="7"/>
      <c r="F9245" s="7"/>
      <c r="G9245" s="7"/>
      <c r="H9245" s="7">
        <f t="shared" si="1"/>
        <v>1029</v>
      </c>
    </row>
    <row r="9246" ht="22.5" customHeight="1">
      <c r="B9246" s="7"/>
      <c r="C9246" s="7"/>
      <c r="D9246" s="7"/>
      <c r="E9246" s="7"/>
      <c r="F9246" s="7"/>
      <c r="G9246" s="7"/>
      <c r="H9246" s="7">
        <f t="shared" si="1"/>
        <v>1029</v>
      </c>
    </row>
    <row r="9247" ht="22.5" customHeight="1">
      <c r="B9247" s="7"/>
      <c r="C9247" s="7"/>
      <c r="D9247" s="7"/>
      <c r="E9247" s="7"/>
      <c r="F9247" s="7"/>
      <c r="G9247" s="7"/>
      <c r="H9247" s="7">
        <f t="shared" si="1"/>
        <v>1029</v>
      </c>
    </row>
    <row r="9248" ht="22.5" customHeight="1">
      <c r="B9248" s="7"/>
      <c r="C9248" s="7"/>
      <c r="D9248" s="7"/>
      <c r="E9248" s="7"/>
      <c r="F9248" s="7"/>
      <c r="G9248" s="7"/>
      <c r="H9248" s="7">
        <f t="shared" si="1"/>
        <v>1029</v>
      </c>
    </row>
    <row r="9249" ht="22.5" customHeight="1">
      <c r="B9249" s="7"/>
      <c r="C9249" s="7"/>
      <c r="D9249" s="7"/>
      <c r="E9249" s="7"/>
      <c r="F9249" s="7"/>
      <c r="G9249" s="7"/>
      <c r="H9249" s="7">
        <f t="shared" si="1"/>
        <v>1029</v>
      </c>
    </row>
    <row r="9250" ht="22.5" customHeight="1">
      <c r="B9250" s="7"/>
      <c r="C9250" s="7"/>
      <c r="D9250" s="7"/>
      <c r="E9250" s="7"/>
      <c r="F9250" s="7"/>
      <c r="G9250" s="7"/>
      <c r="H9250" s="7">
        <f t="shared" si="1"/>
        <v>1029</v>
      </c>
    </row>
    <row r="9251" ht="22.5" customHeight="1">
      <c r="B9251" s="7"/>
      <c r="C9251" s="7"/>
      <c r="D9251" s="7"/>
      <c r="E9251" s="7"/>
      <c r="F9251" s="7"/>
      <c r="G9251" s="7"/>
      <c r="H9251" s="7">
        <f t="shared" si="1"/>
        <v>1029</v>
      </c>
    </row>
    <row r="9252" ht="22.5" customHeight="1">
      <c r="B9252" s="7"/>
      <c r="C9252" s="7"/>
      <c r="D9252" s="7"/>
      <c r="E9252" s="7"/>
      <c r="F9252" s="7"/>
      <c r="G9252" s="7"/>
      <c r="H9252" s="7">
        <f t="shared" si="1"/>
        <v>1029</v>
      </c>
    </row>
    <row r="9253" ht="22.5" customHeight="1">
      <c r="B9253" s="7"/>
      <c r="C9253" s="7"/>
      <c r="D9253" s="7"/>
      <c r="E9253" s="7"/>
      <c r="F9253" s="7"/>
      <c r="G9253" s="7"/>
      <c r="H9253" s="7">
        <f t="shared" si="1"/>
        <v>1029</v>
      </c>
    </row>
    <row r="9254" ht="22.5" customHeight="1">
      <c r="B9254" s="7"/>
      <c r="C9254" s="7"/>
      <c r="D9254" s="7"/>
      <c r="E9254" s="7"/>
      <c r="F9254" s="7"/>
      <c r="G9254" s="7"/>
      <c r="H9254" s="7">
        <f t="shared" si="1"/>
        <v>1029</v>
      </c>
    </row>
    <row r="9255" ht="22.5" customHeight="1">
      <c r="B9255" s="7"/>
      <c r="C9255" s="7"/>
      <c r="D9255" s="7"/>
      <c r="E9255" s="7"/>
      <c r="F9255" s="7"/>
      <c r="G9255" s="7"/>
      <c r="H9255" s="7">
        <f t="shared" si="1"/>
        <v>1029</v>
      </c>
    </row>
    <row r="9256" ht="22.5" customHeight="1">
      <c r="B9256" s="7"/>
      <c r="C9256" s="7"/>
      <c r="D9256" s="7"/>
      <c r="E9256" s="7"/>
      <c r="F9256" s="7"/>
      <c r="G9256" s="7"/>
      <c r="H9256" s="7">
        <f t="shared" si="1"/>
        <v>1029</v>
      </c>
    </row>
    <row r="9257" ht="22.5" customHeight="1">
      <c r="B9257" s="7"/>
      <c r="C9257" s="7"/>
      <c r="D9257" s="7"/>
      <c r="E9257" s="7"/>
      <c r="F9257" s="7"/>
      <c r="G9257" s="7"/>
      <c r="H9257" s="7">
        <f t="shared" si="1"/>
        <v>1029</v>
      </c>
    </row>
    <row r="9258" ht="22.5" customHeight="1">
      <c r="B9258" s="7"/>
      <c r="C9258" s="7"/>
      <c r="D9258" s="7"/>
      <c r="E9258" s="7"/>
      <c r="F9258" s="7"/>
      <c r="G9258" s="7"/>
      <c r="H9258" s="7">
        <f t="shared" si="1"/>
        <v>1029</v>
      </c>
    </row>
    <row r="9259" ht="22.5" customHeight="1">
      <c r="B9259" s="7"/>
      <c r="C9259" s="7"/>
      <c r="D9259" s="7"/>
      <c r="E9259" s="7"/>
      <c r="F9259" s="7"/>
      <c r="G9259" s="7"/>
      <c r="H9259" s="7">
        <f t="shared" si="1"/>
        <v>1029</v>
      </c>
    </row>
    <row r="9260" ht="22.5" customHeight="1">
      <c r="B9260" s="7"/>
      <c r="C9260" s="7"/>
      <c r="D9260" s="7"/>
      <c r="E9260" s="7"/>
      <c r="F9260" s="7"/>
      <c r="G9260" s="7"/>
      <c r="H9260" s="7">
        <f t="shared" si="1"/>
        <v>1029</v>
      </c>
    </row>
    <row r="9261" ht="22.5" customHeight="1">
      <c r="B9261" s="7"/>
      <c r="C9261" s="7"/>
      <c r="D9261" s="7"/>
      <c r="E9261" s="7"/>
      <c r="F9261" s="7"/>
      <c r="G9261" s="7"/>
      <c r="H9261" s="7">
        <f t="shared" si="1"/>
        <v>1029</v>
      </c>
    </row>
    <row r="9262" ht="22.5" customHeight="1">
      <c r="B9262" s="7"/>
      <c r="C9262" s="7"/>
      <c r="D9262" s="7"/>
      <c r="E9262" s="7"/>
      <c r="F9262" s="7"/>
      <c r="G9262" s="7"/>
      <c r="H9262" s="7">
        <f t="shared" si="1"/>
        <v>1029</v>
      </c>
    </row>
    <row r="9263" ht="22.5" customHeight="1">
      <c r="B9263" s="7"/>
      <c r="C9263" s="7"/>
      <c r="D9263" s="7"/>
      <c r="E9263" s="7"/>
      <c r="F9263" s="7"/>
      <c r="G9263" s="7"/>
      <c r="H9263" s="7">
        <f t="shared" si="1"/>
        <v>1029</v>
      </c>
    </row>
    <row r="9264" ht="22.5" customHeight="1">
      <c r="B9264" s="7"/>
      <c r="C9264" s="7"/>
      <c r="D9264" s="7"/>
      <c r="E9264" s="7"/>
      <c r="F9264" s="7"/>
      <c r="G9264" s="7"/>
      <c r="H9264" s="7">
        <f t="shared" si="1"/>
        <v>1029</v>
      </c>
    </row>
    <row r="9265" ht="22.5" customHeight="1">
      <c r="B9265" s="7"/>
      <c r="C9265" s="7"/>
      <c r="D9265" s="7"/>
      <c r="E9265" s="7"/>
      <c r="F9265" s="7"/>
      <c r="G9265" s="7"/>
      <c r="H9265" s="7">
        <f t="shared" si="1"/>
        <v>1029</v>
      </c>
    </row>
    <row r="9266" ht="22.5" customHeight="1">
      <c r="B9266" s="7"/>
      <c r="C9266" s="7"/>
      <c r="D9266" s="7"/>
      <c r="E9266" s="7"/>
      <c r="F9266" s="7"/>
      <c r="G9266" s="7"/>
      <c r="H9266" s="7">
        <f t="shared" si="1"/>
        <v>1029</v>
      </c>
    </row>
    <row r="9267" ht="22.5" customHeight="1">
      <c r="B9267" s="7"/>
      <c r="C9267" s="7"/>
      <c r="D9267" s="7"/>
      <c r="E9267" s="7"/>
      <c r="F9267" s="7"/>
      <c r="G9267" s="7"/>
      <c r="H9267" s="7">
        <f t="shared" si="1"/>
        <v>1029</v>
      </c>
    </row>
    <row r="9268" ht="22.5" customHeight="1">
      <c r="B9268" s="7"/>
      <c r="C9268" s="7"/>
      <c r="D9268" s="7"/>
      <c r="E9268" s="7"/>
      <c r="F9268" s="7"/>
      <c r="G9268" s="7"/>
      <c r="H9268" s="7">
        <f t="shared" si="1"/>
        <v>1029</v>
      </c>
    </row>
    <row r="9269" ht="22.5" customHeight="1">
      <c r="B9269" s="7"/>
      <c r="C9269" s="7"/>
      <c r="D9269" s="7"/>
      <c r="E9269" s="7"/>
      <c r="F9269" s="7"/>
      <c r="G9269" s="7"/>
      <c r="H9269" s="7">
        <f t="shared" si="1"/>
        <v>1029</v>
      </c>
    </row>
    <row r="9270" ht="22.5" customHeight="1">
      <c r="B9270" s="7"/>
      <c r="C9270" s="7"/>
      <c r="D9270" s="7"/>
      <c r="E9270" s="7"/>
      <c r="F9270" s="7"/>
      <c r="G9270" s="7"/>
      <c r="H9270" s="7">
        <f t="shared" si="1"/>
        <v>1029</v>
      </c>
    </row>
    <row r="9271" ht="22.5" customHeight="1">
      <c r="B9271" s="7"/>
      <c r="C9271" s="7"/>
      <c r="D9271" s="7"/>
      <c r="E9271" s="7"/>
      <c r="F9271" s="7"/>
      <c r="G9271" s="7"/>
      <c r="H9271" s="7">
        <f t="shared" si="1"/>
        <v>1029</v>
      </c>
    </row>
    <row r="9272" ht="22.5" customHeight="1">
      <c r="B9272" s="7"/>
      <c r="C9272" s="7"/>
      <c r="D9272" s="7"/>
      <c r="E9272" s="7"/>
      <c r="F9272" s="7"/>
      <c r="G9272" s="7"/>
      <c r="H9272" s="7">
        <f t="shared" si="1"/>
        <v>1029</v>
      </c>
    </row>
    <row r="9273" ht="22.5" customHeight="1">
      <c r="B9273" s="7"/>
      <c r="C9273" s="7"/>
      <c r="D9273" s="7"/>
      <c r="E9273" s="7"/>
      <c r="F9273" s="7"/>
      <c r="G9273" s="7"/>
      <c r="H9273" s="7">
        <f t="shared" si="1"/>
        <v>1029</v>
      </c>
    </row>
    <row r="9274" ht="22.5" customHeight="1">
      <c r="B9274" s="7"/>
      <c r="C9274" s="7"/>
      <c r="D9274" s="7"/>
      <c r="E9274" s="7"/>
      <c r="F9274" s="7"/>
      <c r="G9274" s="7"/>
      <c r="H9274" s="7">
        <f t="shared" si="1"/>
        <v>1029</v>
      </c>
    </row>
    <row r="9275" ht="22.5" customHeight="1">
      <c r="B9275" s="7"/>
      <c r="C9275" s="7"/>
      <c r="D9275" s="7"/>
      <c r="E9275" s="7"/>
      <c r="F9275" s="7"/>
      <c r="G9275" s="7"/>
      <c r="H9275" s="7">
        <f t="shared" si="1"/>
        <v>1029</v>
      </c>
    </row>
    <row r="9276" ht="22.5" customHeight="1">
      <c r="B9276" s="7"/>
      <c r="C9276" s="7"/>
      <c r="D9276" s="7"/>
      <c r="E9276" s="7"/>
      <c r="F9276" s="7"/>
      <c r="G9276" s="7"/>
      <c r="H9276" s="7">
        <f t="shared" si="1"/>
        <v>1029</v>
      </c>
    </row>
    <row r="9277" ht="22.5" customHeight="1">
      <c r="B9277" s="7"/>
      <c r="C9277" s="7"/>
      <c r="D9277" s="7"/>
      <c r="E9277" s="7"/>
      <c r="F9277" s="7"/>
      <c r="G9277" s="7"/>
      <c r="H9277" s="7">
        <f t="shared" si="1"/>
        <v>1029</v>
      </c>
    </row>
    <row r="9278" ht="22.5" customHeight="1">
      <c r="B9278" s="7"/>
      <c r="C9278" s="7"/>
      <c r="D9278" s="7"/>
      <c r="E9278" s="7"/>
      <c r="F9278" s="7"/>
      <c r="G9278" s="7"/>
      <c r="H9278" s="7">
        <f t="shared" si="1"/>
        <v>1029</v>
      </c>
    </row>
    <row r="9279" ht="22.5" customHeight="1">
      <c r="B9279" s="7"/>
      <c r="C9279" s="7"/>
      <c r="D9279" s="7"/>
      <c r="E9279" s="7"/>
      <c r="F9279" s="7"/>
      <c r="G9279" s="7"/>
      <c r="H9279" s="7">
        <f t="shared" si="1"/>
        <v>1029</v>
      </c>
    </row>
    <row r="9280" ht="22.5" customHeight="1">
      <c r="B9280" s="7"/>
      <c r="C9280" s="7"/>
      <c r="D9280" s="7"/>
      <c r="E9280" s="7"/>
      <c r="F9280" s="7"/>
      <c r="G9280" s="7"/>
      <c r="H9280" s="7">
        <f t="shared" si="1"/>
        <v>1029</v>
      </c>
    </row>
    <row r="9281" ht="22.5" customHeight="1">
      <c r="B9281" s="7"/>
      <c r="C9281" s="7"/>
      <c r="D9281" s="7"/>
      <c r="E9281" s="7"/>
      <c r="F9281" s="7"/>
      <c r="G9281" s="7"/>
      <c r="H9281" s="7">
        <f t="shared" si="1"/>
        <v>1029</v>
      </c>
    </row>
    <row r="9282" ht="22.5" customHeight="1">
      <c r="B9282" s="7"/>
      <c r="C9282" s="7"/>
      <c r="D9282" s="7"/>
      <c r="E9282" s="7"/>
      <c r="F9282" s="7"/>
      <c r="G9282" s="7"/>
      <c r="H9282" s="7">
        <f t="shared" si="1"/>
        <v>1029</v>
      </c>
    </row>
    <row r="9283" ht="22.5" customHeight="1">
      <c r="B9283" s="7"/>
      <c r="C9283" s="7"/>
      <c r="D9283" s="7"/>
      <c r="E9283" s="7"/>
      <c r="F9283" s="7"/>
      <c r="G9283" s="7"/>
      <c r="H9283" s="7">
        <f t="shared" si="1"/>
        <v>1029</v>
      </c>
    </row>
    <row r="9284" ht="22.5" customHeight="1">
      <c r="B9284" s="7"/>
      <c r="C9284" s="7"/>
      <c r="D9284" s="7"/>
      <c r="E9284" s="7"/>
      <c r="F9284" s="7"/>
      <c r="G9284" s="7"/>
      <c r="H9284" s="7">
        <f t="shared" si="1"/>
        <v>1029</v>
      </c>
    </row>
    <row r="9285" ht="22.5" customHeight="1">
      <c r="B9285" s="7"/>
      <c r="C9285" s="7"/>
      <c r="D9285" s="7"/>
      <c r="E9285" s="7"/>
      <c r="F9285" s="7"/>
      <c r="G9285" s="7"/>
      <c r="H9285" s="7">
        <f t="shared" si="1"/>
        <v>1029</v>
      </c>
    </row>
    <row r="9286" ht="22.5" customHeight="1">
      <c r="B9286" s="7"/>
      <c r="C9286" s="7"/>
      <c r="D9286" s="7"/>
      <c r="E9286" s="7"/>
      <c r="F9286" s="7"/>
      <c r="G9286" s="7"/>
      <c r="H9286" s="7">
        <f t="shared" si="1"/>
        <v>1029</v>
      </c>
    </row>
    <row r="9287" ht="22.5" customHeight="1">
      <c r="B9287" s="7"/>
      <c r="C9287" s="7"/>
      <c r="D9287" s="7"/>
      <c r="E9287" s="7"/>
      <c r="F9287" s="7"/>
      <c r="G9287" s="7"/>
      <c r="H9287" s="7">
        <f t="shared" si="1"/>
        <v>1029</v>
      </c>
    </row>
    <row r="9288" ht="22.5" customHeight="1">
      <c r="B9288" s="7"/>
      <c r="C9288" s="7"/>
      <c r="D9288" s="7"/>
      <c r="E9288" s="7"/>
      <c r="F9288" s="7"/>
      <c r="G9288" s="7"/>
      <c r="H9288" s="7">
        <f t="shared" si="1"/>
        <v>1029</v>
      </c>
    </row>
    <row r="9289" ht="22.5" customHeight="1">
      <c r="B9289" s="7"/>
      <c r="C9289" s="7"/>
      <c r="D9289" s="7"/>
      <c r="E9289" s="7"/>
      <c r="F9289" s="7"/>
      <c r="G9289" s="7"/>
      <c r="H9289" s="7">
        <f t="shared" si="1"/>
        <v>1029</v>
      </c>
    </row>
    <row r="9290" ht="22.5" customHeight="1">
      <c r="B9290" s="7"/>
      <c r="C9290" s="7"/>
      <c r="D9290" s="7"/>
      <c r="E9290" s="7"/>
      <c r="F9290" s="7"/>
      <c r="G9290" s="7"/>
      <c r="H9290" s="7">
        <f t="shared" si="1"/>
        <v>1029</v>
      </c>
    </row>
    <row r="9291" ht="22.5" customHeight="1">
      <c r="B9291" s="7"/>
      <c r="C9291" s="7"/>
      <c r="D9291" s="7"/>
      <c r="E9291" s="7"/>
      <c r="F9291" s="7"/>
      <c r="G9291" s="7"/>
      <c r="H9291" s="7">
        <f t="shared" si="1"/>
        <v>1029</v>
      </c>
    </row>
    <row r="9292" ht="22.5" customHeight="1">
      <c r="B9292" s="7"/>
      <c r="C9292" s="7"/>
      <c r="D9292" s="7"/>
      <c r="E9292" s="7"/>
      <c r="F9292" s="7"/>
      <c r="G9292" s="7"/>
      <c r="H9292" s="7">
        <f t="shared" si="1"/>
        <v>1029</v>
      </c>
    </row>
    <row r="9293" ht="22.5" customHeight="1">
      <c r="B9293" s="7"/>
      <c r="C9293" s="7"/>
      <c r="D9293" s="7"/>
      <c r="E9293" s="7"/>
      <c r="F9293" s="7"/>
      <c r="G9293" s="7"/>
      <c r="H9293" s="7">
        <f t="shared" si="1"/>
        <v>1029</v>
      </c>
    </row>
    <row r="9294" ht="22.5" customHeight="1">
      <c r="B9294" s="7"/>
      <c r="C9294" s="7"/>
      <c r="D9294" s="7"/>
      <c r="E9294" s="7"/>
      <c r="F9294" s="7"/>
      <c r="G9294" s="7"/>
      <c r="H9294" s="7">
        <f t="shared" si="1"/>
        <v>1029</v>
      </c>
    </row>
    <row r="9295" ht="22.5" customHeight="1">
      <c r="B9295" s="7"/>
      <c r="C9295" s="7"/>
      <c r="D9295" s="7"/>
      <c r="E9295" s="7"/>
      <c r="F9295" s="7"/>
      <c r="G9295" s="7"/>
      <c r="H9295" s="7">
        <f t="shared" si="1"/>
        <v>1029</v>
      </c>
    </row>
    <row r="9296" ht="22.5" customHeight="1">
      <c r="B9296" s="7"/>
      <c r="C9296" s="7"/>
      <c r="D9296" s="7"/>
      <c r="E9296" s="7"/>
      <c r="F9296" s="7"/>
      <c r="G9296" s="7"/>
      <c r="H9296" s="7">
        <f t="shared" si="1"/>
        <v>1029</v>
      </c>
    </row>
    <row r="9297" ht="22.5" customHeight="1">
      <c r="B9297" s="7"/>
      <c r="C9297" s="7"/>
      <c r="D9297" s="7"/>
      <c r="E9297" s="7"/>
      <c r="F9297" s="7"/>
      <c r="G9297" s="7"/>
      <c r="H9297" s="7">
        <f t="shared" si="1"/>
        <v>1029</v>
      </c>
    </row>
    <row r="9298" ht="22.5" customHeight="1">
      <c r="B9298" s="7"/>
      <c r="C9298" s="7"/>
      <c r="D9298" s="7"/>
      <c r="E9298" s="7"/>
      <c r="F9298" s="7"/>
      <c r="G9298" s="7"/>
      <c r="H9298" s="7">
        <f t="shared" si="1"/>
        <v>1029</v>
      </c>
    </row>
    <row r="9299" ht="22.5" customHeight="1">
      <c r="B9299" s="7"/>
      <c r="C9299" s="7"/>
      <c r="D9299" s="7"/>
      <c r="E9299" s="7"/>
      <c r="F9299" s="7"/>
      <c r="G9299" s="7"/>
      <c r="H9299" s="7">
        <f t="shared" si="1"/>
        <v>1029</v>
      </c>
    </row>
    <row r="9300" ht="22.5" customHeight="1">
      <c r="B9300" s="7"/>
      <c r="C9300" s="7"/>
      <c r="D9300" s="7"/>
      <c r="E9300" s="7"/>
      <c r="F9300" s="7"/>
      <c r="G9300" s="7"/>
      <c r="H9300" s="7">
        <f t="shared" si="1"/>
        <v>1029</v>
      </c>
    </row>
    <row r="9301" ht="22.5" customHeight="1">
      <c r="B9301" s="7"/>
      <c r="C9301" s="7"/>
      <c r="D9301" s="7"/>
      <c r="E9301" s="7"/>
      <c r="F9301" s="7"/>
      <c r="G9301" s="7"/>
      <c r="H9301" s="7">
        <f t="shared" si="1"/>
        <v>1029</v>
      </c>
    </row>
    <row r="9302" ht="22.5" customHeight="1">
      <c r="B9302" s="7"/>
      <c r="C9302" s="7"/>
      <c r="D9302" s="7"/>
      <c r="E9302" s="7"/>
      <c r="F9302" s="7"/>
      <c r="G9302" s="7"/>
      <c r="H9302" s="7">
        <f t="shared" si="1"/>
        <v>1029</v>
      </c>
    </row>
    <row r="9303" ht="22.5" customHeight="1">
      <c r="B9303" s="7"/>
      <c r="C9303" s="7"/>
      <c r="D9303" s="7"/>
      <c r="E9303" s="7"/>
      <c r="F9303" s="7"/>
      <c r="G9303" s="7"/>
      <c r="H9303" s="7">
        <f t="shared" si="1"/>
        <v>1029</v>
      </c>
    </row>
    <row r="9304" ht="22.5" customHeight="1">
      <c r="B9304" s="7"/>
      <c r="C9304" s="7"/>
      <c r="D9304" s="7"/>
      <c r="E9304" s="7"/>
      <c r="F9304" s="7"/>
      <c r="G9304" s="7"/>
      <c r="H9304" s="7">
        <f t="shared" si="1"/>
        <v>1029</v>
      </c>
    </row>
    <row r="9305" ht="22.5" customHeight="1">
      <c r="B9305" s="7"/>
      <c r="C9305" s="7"/>
      <c r="D9305" s="7"/>
      <c r="E9305" s="7"/>
      <c r="F9305" s="7"/>
      <c r="G9305" s="7"/>
      <c r="H9305" s="7">
        <f t="shared" si="1"/>
        <v>1029</v>
      </c>
    </row>
    <row r="9306" ht="22.5" customHeight="1">
      <c r="B9306" s="7"/>
      <c r="C9306" s="7"/>
      <c r="D9306" s="7"/>
      <c r="E9306" s="7"/>
      <c r="F9306" s="7"/>
      <c r="G9306" s="7"/>
      <c r="H9306" s="7">
        <f t="shared" si="1"/>
        <v>1029</v>
      </c>
    </row>
    <row r="9307" ht="22.5" customHeight="1">
      <c r="B9307" s="7"/>
      <c r="C9307" s="7"/>
      <c r="D9307" s="7"/>
      <c r="E9307" s="7"/>
      <c r="F9307" s="7"/>
      <c r="G9307" s="7"/>
      <c r="H9307" s="7">
        <f t="shared" si="1"/>
        <v>1029</v>
      </c>
    </row>
    <row r="9308" ht="22.5" customHeight="1">
      <c r="B9308" s="7"/>
      <c r="C9308" s="7"/>
      <c r="D9308" s="7"/>
      <c r="E9308" s="7"/>
      <c r="F9308" s="7"/>
      <c r="G9308" s="7"/>
      <c r="H9308" s="7">
        <f t="shared" si="1"/>
        <v>1029</v>
      </c>
    </row>
    <row r="9309" ht="22.5" customHeight="1">
      <c r="B9309" s="7"/>
      <c r="C9309" s="7"/>
      <c r="D9309" s="7"/>
      <c r="E9309" s="7"/>
      <c r="F9309" s="7"/>
      <c r="G9309" s="7"/>
      <c r="H9309" s="7">
        <f t="shared" si="1"/>
        <v>1029</v>
      </c>
    </row>
    <row r="9310" ht="22.5" customHeight="1">
      <c r="B9310" s="7"/>
      <c r="C9310" s="7"/>
      <c r="D9310" s="7"/>
      <c r="E9310" s="7"/>
      <c r="F9310" s="7"/>
      <c r="G9310" s="7"/>
      <c r="H9310" s="7">
        <f t="shared" si="1"/>
        <v>1029</v>
      </c>
    </row>
    <row r="9311" ht="22.5" customHeight="1">
      <c r="B9311" s="7"/>
      <c r="C9311" s="7"/>
      <c r="D9311" s="7"/>
      <c r="E9311" s="7"/>
      <c r="F9311" s="7"/>
      <c r="G9311" s="7"/>
      <c r="H9311" s="7">
        <f t="shared" si="1"/>
        <v>1029</v>
      </c>
    </row>
    <row r="9312" ht="22.5" customHeight="1">
      <c r="B9312" s="7"/>
      <c r="C9312" s="7"/>
      <c r="D9312" s="7"/>
      <c r="E9312" s="7"/>
      <c r="F9312" s="7"/>
      <c r="G9312" s="7"/>
      <c r="H9312" s="7">
        <f t="shared" si="1"/>
        <v>1029</v>
      </c>
    </row>
    <row r="9313" ht="22.5" customHeight="1">
      <c r="B9313" s="7"/>
      <c r="C9313" s="7"/>
      <c r="D9313" s="7"/>
      <c r="E9313" s="7"/>
      <c r="F9313" s="7"/>
      <c r="G9313" s="7"/>
      <c r="H9313" s="7">
        <f t="shared" si="1"/>
        <v>1029</v>
      </c>
    </row>
    <row r="9314" ht="22.5" customHeight="1">
      <c r="B9314" s="7"/>
      <c r="C9314" s="7"/>
      <c r="D9314" s="7"/>
      <c r="E9314" s="7"/>
      <c r="F9314" s="7"/>
      <c r="G9314" s="7"/>
      <c r="H9314" s="7">
        <f t="shared" si="1"/>
        <v>1029</v>
      </c>
    </row>
    <row r="9315" ht="22.5" customHeight="1">
      <c r="B9315" s="7"/>
      <c r="C9315" s="7"/>
      <c r="D9315" s="7"/>
      <c r="E9315" s="7"/>
      <c r="F9315" s="7"/>
      <c r="G9315" s="7"/>
      <c r="H9315" s="7">
        <f t="shared" si="1"/>
        <v>1029</v>
      </c>
    </row>
    <row r="9316" ht="22.5" customHeight="1">
      <c r="B9316" s="7"/>
      <c r="C9316" s="7"/>
      <c r="D9316" s="7"/>
      <c r="E9316" s="7"/>
      <c r="F9316" s="7"/>
      <c r="G9316" s="7"/>
      <c r="H9316" s="7">
        <f t="shared" si="1"/>
        <v>1029</v>
      </c>
    </row>
    <row r="9317" ht="22.5" customHeight="1">
      <c r="B9317" s="7"/>
      <c r="C9317" s="7"/>
      <c r="D9317" s="7"/>
      <c r="E9317" s="7"/>
      <c r="F9317" s="7"/>
      <c r="G9317" s="7"/>
      <c r="H9317" s="7">
        <f t="shared" si="1"/>
        <v>1029</v>
      </c>
    </row>
    <row r="9318" ht="22.5" customHeight="1">
      <c r="B9318" s="7"/>
      <c r="C9318" s="7"/>
      <c r="D9318" s="7"/>
      <c r="E9318" s="7"/>
      <c r="F9318" s="7"/>
      <c r="G9318" s="7"/>
      <c r="H9318" s="7">
        <f t="shared" si="1"/>
        <v>1029</v>
      </c>
    </row>
    <row r="9319" ht="22.5" customHeight="1">
      <c r="B9319" s="7"/>
      <c r="C9319" s="7"/>
      <c r="D9319" s="7"/>
      <c r="E9319" s="7"/>
      <c r="F9319" s="7"/>
      <c r="G9319" s="7"/>
      <c r="H9319" s="7">
        <f t="shared" si="1"/>
        <v>1029</v>
      </c>
    </row>
    <row r="9320" ht="22.5" customHeight="1">
      <c r="B9320" s="7"/>
      <c r="C9320" s="7"/>
      <c r="D9320" s="7"/>
      <c r="E9320" s="7"/>
      <c r="F9320" s="7"/>
      <c r="G9320" s="7"/>
      <c r="H9320" s="7">
        <f t="shared" si="1"/>
        <v>1029</v>
      </c>
    </row>
    <row r="9321" ht="22.5" customHeight="1">
      <c r="B9321" s="7"/>
      <c r="C9321" s="7"/>
      <c r="D9321" s="7"/>
      <c r="E9321" s="7"/>
      <c r="F9321" s="7"/>
      <c r="G9321" s="7"/>
      <c r="H9321" s="7">
        <f t="shared" si="1"/>
        <v>1029</v>
      </c>
    </row>
    <row r="9322" ht="22.5" customHeight="1">
      <c r="B9322" s="7"/>
      <c r="C9322" s="7"/>
      <c r="D9322" s="7"/>
      <c r="E9322" s="7"/>
      <c r="F9322" s="7"/>
      <c r="G9322" s="7"/>
      <c r="H9322" s="7">
        <f t="shared" si="1"/>
        <v>1029</v>
      </c>
    </row>
    <row r="9323" ht="22.5" customHeight="1">
      <c r="B9323" s="7"/>
      <c r="C9323" s="7"/>
      <c r="D9323" s="7"/>
      <c r="E9323" s="7"/>
      <c r="F9323" s="7"/>
      <c r="G9323" s="7"/>
      <c r="H9323" s="7">
        <f t="shared" si="1"/>
        <v>1029</v>
      </c>
    </row>
    <row r="9324" ht="22.5" customHeight="1">
      <c r="B9324" s="7"/>
      <c r="C9324" s="7"/>
      <c r="D9324" s="7"/>
      <c r="E9324" s="7"/>
      <c r="F9324" s="7"/>
      <c r="G9324" s="7"/>
      <c r="H9324" s="7">
        <f t="shared" si="1"/>
        <v>1029</v>
      </c>
    </row>
    <row r="9325" ht="22.5" customHeight="1">
      <c r="B9325" s="7"/>
      <c r="C9325" s="7"/>
      <c r="D9325" s="7"/>
      <c r="E9325" s="7"/>
      <c r="F9325" s="7"/>
      <c r="G9325" s="7"/>
      <c r="H9325" s="7">
        <f t="shared" si="1"/>
        <v>1029</v>
      </c>
    </row>
    <row r="9326" ht="22.5" customHeight="1">
      <c r="B9326" s="7"/>
      <c r="C9326" s="7"/>
      <c r="D9326" s="7"/>
      <c r="E9326" s="7"/>
      <c r="F9326" s="7"/>
      <c r="G9326" s="7"/>
      <c r="H9326" s="7">
        <f t="shared" si="1"/>
        <v>1029</v>
      </c>
    </row>
    <row r="9327" ht="22.5" customHeight="1">
      <c r="B9327" s="7"/>
      <c r="C9327" s="7"/>
      <c r="D9327" s="7"/>
      <c r="E9327" s="7"/>
      <c r="F9327" s="7"/>
      <c r="G9327" s="7"/>
      <c r="H9327" s="7">
        <f t="shared" si="1"/>
        <v>1029</v>
      </c>
    </row>
    <row r="9328" ht="22.5" customHeight="1">
      <c r="B9328" s="7"/>
      <c r="C9328" s="7"/>
      <c r="D9328" s="7"/>
      <c r="E9328" s="7"/>
      <c r="F9328" s="7"/>
      <c r="G9328" s="7"/>
      <c r="H9328" s="7">
        <f t="shared" si="1"/>
        <v>1029</v>
      </c>
    </row>
    <row r="9329" ht="22.5" customHeight="1">
      <c r="B9329" s="7"/>
      <c r="C9329" s="7"/>
      <c r="D9329" s="7"/>
      <c r="E9329" s="7"/>
      <c r="F9329" s="7"/>
      <c r="G9329" s="7"/>
      <c r="H9329" s="7">
        <f t="shared" si="1"/>
        <v>1029</v>
      </c>
    </row>
    <row r="9330" ht="22.5" customHeight="1">
      <c r="B9330" s="7"/>
      <c r="C9330" s="7"/>
      <c r="D9330" s="7"/>
      <c r="E9330" s="7"/>
      <c r="F9330" s="7"/>
      <c r="G9330" s="7"/>
      <c r="H9330" s="7">
        <f t="shared" si="1"/>
        <v>1029</v>
      </c>
    </row>
    <row r="9331" ht="22.5" customHeight="1">
      <c r="B9331" s="7"/>
      <c r="C9331" s="7"/>
      <c r="D9331" s="7"/>
      <c r="E9331" s="7"/>
      <c r="F9331" s="7"/>
      <c r="G9331" s="7"/>
      <c r="H9331" s="7">
        <f t="shared" si="1"/>
        <v>1029</v>
      </c>
    </row>
    <row r="9332" ht="22.5" customHeight="1">
      <c r="B9332" s="7"/>
      <c r="C9332" s="7"/>
      <c r="D9332" s="7"/>
      <c r="E9332" s="7"/>
      <c r="F9332" s="7"/>
      <c r="G9332" s="7"/>
      <c r="H9332" s="7">
        <f t="shared" si="1"/>
        <v>1029</v>
      </c>
    </row>
    <row r="9333" ht="22.5" customHeight="1">
      <c r="B9333" s="7"/>
      <c r="C9333" s="7"/>
      <c r="D9333" s="7"/>
      <c r="E9333" s="7"/>
      <c r="F9333" s="7"/>
      <c r="G9333" s="7"/>
      <c r="H9333" s="7">
        <f t="shared" si="1"/>
        <v>1029</v>
      </c>
    </row>
    <row r="9334" ht="22.5" customHeight="1">
      <c r="B9334" s="7"/>
      <c r="C9334" s="7"/>
      <c r="D9334" s="7"/>
      <c r="E9334" s="7"/>
      <c r="F9334" s="7"/>
      <c r="G9334" s="7"/>
      <c r="H9334" s="7">
        <f t="shared" si="1"/>
        <v>1029</v>
      </c>
    </row>
    <row r="9335" ht="22.5" customHeight="1">
      <c r="B9335" s="7"/>
      <c r="C9335" s="7"/>
      <c r="D9335" s="7"/>
      <c r="E9335" s="7"/>
      <c r="F9335" s="7"/>
      <c r="G9335" s="7"/>
      <c r="H9335" s="7">
        <f t="shared" si="1"/>
        <v>1029</v>
      </c>
    </row>
    <row r="9336" ht="22.5" customHeight="1">
      <c r="B9336" s="7"/>
      <c r="C9336" s="7"/>
      <c r="D9336" s="7"/>
      <c r="E9336" s="7"/>
      <c r="F9336" s="7"/>
      <c r="G9336" s="7"/>
      <c r="H9336" s="7">
        <f t="shared" si="1"/>
        <v>1029</v>
      </c>
    </row>
    <row r="9337" ht="22.5" customHeight="1">
      <c r="B9337" s="7"/>
      <c r="C9337" s="7"/>
      <c r="D9337" s="7"/>
      <c r="E9337" s="7"/>
      <c r="F9337" s="7"/>
      <c r="G9337" s="7"/>
      <c r="H9337" s="7">
        <f t="shared" si="1"/>
        <v>1029</v>
      </c>
    </row>
    <row r="9338" ht="22.5" customHeight="1">
      <c r="B9338" s="7"/>
      <c r="C9338" s="7"/>
      <c r="D9338" s="7"/>
      <c r="E9338" s="7"/>
      <c r="F9338" s="7"/>
      <c r="G9338" s="7"/>
      <c r="H9338" s="7">
        <f t="shared" si="1"/>
        <v>1029</v>
      </c>
    </row>
    <row r="9339" ht="22.5" customHeight="1">
      <c r="B9339" s="7"/>
      <c r="C9339" s="7"/>
      <c r="D9339" s="7"/>
      <c r="E9339" s="7"/>
      <c r="F9339" s="7"/>
      <c r="G9339" s="7"/>
      <c r="H9339" s="7">
        <f t="shared" si="1"/>
        <v>1029</v>
      </c>
    </row>
    <row r="9340" ht="22.5" customHeight="1">
      <c r="B9340" s="7"/>
      <c r="C9340" s="7"/>
      <c r="D9340" s="7"/>
      <c r="E9340" s="7"/>
      <c r="F9340" s="7"/>
      <c r="G9340" s="7"/>
      <c r="H9340" s="7">
        <f t="shared" si="1"/>
        <v>1029</v>
      </c>
    </row>
    <row r="9341" ht="22.5" customHeight="1">
      <c r="B9341" s="7"/>
      <c r="C9341" s="7"/>
      <c r="D9341" s="7"/>
      <c r="E9341" s="7"/>
      <c r="F9341" s="7"/>
      <c r="G9341" s="7"/>
      <c r="H9341" s="7">
        <f t="shared" si="1"/>
        <v>1029</v>
      </c>
    </row>
    <row r="9342" ht="22.5" customHeight="1">
      <c r="B9342" s="7"/>
      <c r="C9342" s="7"/>
      <c r="D9342" s="7"/>
      <c r="E9342" s="7"/>
      <c r="F9342" s="7"/>
      <c r="G9342" s="7"/>
      <c r="H9342" s="7">
        <f t="shared" si="1"/>
        <v>1029</v>
      </c>
    </row>
    <row r="9343" ht="22.5" customHeight="1">
      <c r="B9343" s="7"/>
      <c r="C9343" s="7"/>
      <c r="D9343" s="7"/>
      <c r="E9343" s="7"/>
      <c r="F9343" s="7"/>
      <c r="G9343" s="7"/>
      <c r="H9343" s="7">
        <f t="shared" si="1"/>
        <v>1029</v>
      </c>
    </row>
    <row r="9344" ht="22.5" customHeight="1">
      <c r="B9344" s="7"/>
      <c r="C9344" s="7"/>
      <c r="D9344" s="7"/>
      <c r="E9344" s="7"/>
      <c r="F9344" s="7"/>
      <c r="G9344" s="7"/>
      <c r="H9344" s="7">
        <f t="shared" si="1"/>
        <v>1029</v>
      </c>
    </row>
    <row r="9345" ht="22.5" customHeight="1">
      <c r="B9345" s="7"/>
      <c r="C9345" s="7"/>
      <c r="D9345" s="7"/>
      <c r="E9345" s="7"/>
      <c r="F9345" s="7"/>
      <c r="G9345" s="7"/>
      <c r="H9345" s="7">
        <f t="shared" si="1"/>
        <v>1029</v>
      </c>
    </row>
    <row r="9346" ht="22.5" customHeight="1">
      <c r="B9346" s="7"/>
      <c r="C9346" s="7"/>
      <c r="D9346" s="7"/>
      <c r="E9346" s="7"/>
      <c r="F9346" s="7"/>
      <c r="G9346" s="7"/>
      <c r="H9346" s="7">
        <f t="shared" si="1"/>
        <v>1029</v>
      </c>
    </row>
    <row r="9347" ht="22.5" customHeight="1">
      <c r="B9347" s="7"/>
      <c r="C9347" s="7"/>
      <c r="D9347" s="7"/>
      <c r="E9347" s="7"/>
      <c r="F9347" s="7"/>
      <c r="G9347" s="7"/>
      <c r="H9347" s="7">
        <f t="shared" si="1"/>
        <v>1029</v>
      </c>
    </row>
    <row r="9348" ht="22.5" customHeight="1">
      <c r="B9348" s="7"/>
      <c r="C9348" s="7"/>
      <c r="D9348" s="7"/>
      <c r="E9348" s="7"/>
      <c r="F9348" s="7"/>
      <c r="G9348" s="7"/>
      <c r="H9348" s="7">
        <f t="shared" si="1"/>
        <v>1029</v>
      </c>
    </row>
    <row r="9349" ht="22.5" customHeight="1">
      <c r="B9349" s="7"/>
      <c r="C9349" s="7"/>
      <c r="D9349" s="7"/>
      <c r="E9349" s="7"/>
      <c r="F9349" s="7"/>
      <c r="G9349" s="7"/>
      <c r="H9349" s="7">
        <f t="shared" si="1"/>
        <v>1029</v>
      </c>
    </row>
    <row r="9350" ht="22.5" customHeight="1">
      <c r="B9350" s="7"/>
      <c r="C9350" s="7"/>
      <c r="D9350" s="7"/>
      <c r="E9350" s="7"/>
      <c r="F9350" s="7"/>
      <c r="G9350" s="7"/>
      <c r="H9350" s="7">
        <f t="shared" si="1"/>
        <v>1029</v>
      </c>
    </row>
    <row r="9351" ht="22.5" customHeight="1">
      <c r="B9351" s="7"/>
      <c r="C9351" s="7"/>
      <c r="D9351" s="7"/>
      <c r="E9351" s="7"/>
      <c r="F9351" s="7"/>
      <c r="G9351" s="7"/>
      <c r="H9351" s="7">
        <f t="shared" si="1"/>
        <v>1029</v>
      </c>
    </row>
    <row r="9352" ht="22.5" customHeight="1">
      <c r="B9352" s="7"/>
      <c r="C9352" s="7"/>
      <c r="D9352" s="7"/>
      <c r="E9352" s="7"/>
      <c r="F9352" s="7"/>
      <c r="G9352" s="7"/>
      <c r="H9352" s="7">
        <f t="shared" si="1"/>
        <v>1029</v>
      </c>
    </row>
    <row r="9353" ht="22.5" customHeight="1">
      <c r="B9353" s="7"/>
      <c r="C9353" s="7"/>
      <c r="D9353" s="7"/>
      <c r="E9353" s="7"/>
      <c r="F9353" s="7"/>
      <c r="G9353" s="7"/>
      <c r="H9353" s="7">
        <f t="shared" si="1"/>
        <v>1029</v>
      </c>
    </row>
    <row r="9354" ht="22.5" customHeight="1">
      <c r="B9354" s="7"/>
      <c r="C9354" s="7"/>
      <c r="D9354" s="7"/>
      <c r="E9354" s="7"/>
      <c r="F9354" s="7"/>
      <c r="G9354" s="7"/>
      <c r="H9354" s="7">
        <f t="shared" si="1"/>
        <v>1029</v>
      </c>
    </row>
    <row r="9355" ht="22.5" customHeight="1">
      <c r="B9355" s="7"/>
      <c r="C9355" s="7"/>
      <c r="D9355" s="7"/>
      <c r="E9355" s="7"/>
      <c r="F9355" s="7"/>
      <c r="G9355" s="7"/>
      <c r="H9355" s="7">
        <f t="shared" si="1"/>
        <v>1029</v>
      </c>
    </row>
    <row r="9356" ht="22.5" customHeight="1">
      <c r="B9356" s="7"/>
      <c r="C9356" s="7"/>
      <c r="D9356" s="7"/>
      <c r="E9356" s="7"/>
      <c r="F9356" s="7"/>
      <c r="G9356" s="7"/>
      <c r="H9356" s="7">
        <f t="shared" si="1"/>
        <v>1029</v>
      </c>
    </row>
    <row r="9357" ht="22.5" customHeight="1">
      <c r="B9357" s="7"/>
      <c r="C9357" s="7"/>
      <c r="D9357" s="7"/>
      <c r="E9357" s="7"/>
      <c r="F9357" s="7"/>
      <c r="G9357" s="7"/>
      <c r="H9357" s="7">
        <f t="shared" si="1"/>
        <v>1029</v>
      </c>
    </row>
    <row r="9358" ht="22.5" customHeight="1">
      <c r="B9358" s="7"/>
      <c r="C9358" s="7"/>
      <c r="D9358" s="7"/>
      <c r="E9358" s="7"/>
      <c r="F9358" s="7"/>
      <c r="G9358" s="7"/>
      <c r="H9358" s="7">
        <f t="shared" si="1"/>
        <v>1029</v>
      </c>
    </row>
    <row r="9359" ht="22.5" customHeight="1">
      <c r="B9359" s="7"/>
      <c r="C9359" s="7"/>
      <c r="D9359" s="7"/>
      <c r="E9359" s="7"/>
      <c r="F9359" s="7"/>
      <c r="G9359" s="7"/>
      <c r="H9359" s="7">
        <f t="shared" si="1"/>
        <v>1029</v>
      </c>
    </row>
    <row r="9360" ht="22.5" customHeight="1">
      <c r="B9360" s="7"/>
      <c r="C9360" s="7"/>
      <c r="D9360" s="7"/>
      <c r="E9360" s="7"/>
      <c r="F9360" s="7"/>
      <c r="G9360" s="7"/>
      <c r="H9360" s="7">
        <f t="shared" si="1"/>
        <v>1029</v>
      </c>
    </row>
    <row r="9361" ht="22.5" customHeight="1">
      <c r="B9361" s="7"/>
      <c r="C9361" s="7"/>
      <c r="D9361" s="7"/>
      <c r="E9361" s="7"/>
      <c r="F9361" s="7"/>
      <c r="G9361" s="7"/>
      <c r="H9361" s="7">
        <f t="shared" si="1"/>
        <v>1029</v>
      </c>
    </row>
    <row r="9362" ht="22.5" customHeight="1">
      <c r="B9362" s="7"/>
      <c r="C9362" s="7"/>
      <c r="D9362" s="7"/>
      <c r="E9362" s="7"/>
      <c r="F9362" s="7"/>
      <c r="G9362" s="7"/>
      <c r="H9362" s="7">
        <f t="shared" si="1"/>
        <v>1029</v>
      </c>
    </row>
    <row r="9363" ht="22.5" customHeight="1">
      <c r="B9363" s="7"/>
      <c r="C9363" s="7"/>
      <c r="D9363" s="7"/>
      <c r="E9363" s="7"/>
      <c r="F9363" s="7"/>
      <c r="G9363" s="7"/>
      <c r="H9363" s="7">
        <f t="shared" si="1"/>
        <v>1029</v>
      </c>
    </row>
    <row r="9364" ht="22.5" customHeight="1">
      <c r="B9364" s="7"/>
      <c r="C9364" s="7"/>
      <c r="D9364" s="7"/>
      <c r="E9364" s="7"/>
      <c r="F9364" s="7"/>
      <c r="G9364" s="7"/>
      <c r="H9364" s="7">
        <f t="shared" si="1"/>
        <v>1029</v>
      </c>
    </row>
    <row r="9365" ht="22.5" customHeight="1">
      <c r="B9365" s="7"/>
      <c r="C9365" s="7"/>
      <c r="D9365" s="7"/>
      <c r="E9365" s="7"/>
      <c r="F9365" s="7"/>
      <c r="G9365" s="7"/>
      <c r="H9365" s="7">
        <f t="shared" si="1"/>
        <v>1029</v>
      </c>
    </row>
    <row r="9366" ht="22.5" customHeight="1">
      <c r="B9366" s="7"/>
      <c r="C9366" s="7"/>
      <c r="D9366" s="7"/>
      <c r="E9366" s="7"/>
      <c r="F9366" s="7"/>
      <c r="G9366" s="7"/>
      <c r="H9366" s="7">
        <f t="shared" si="1"/>
        <v>1029</v>
      </c>
    </row>
    <row r="9367" ht="22.5" customHeight="1">
      <c r="B9367" s="7"/>
      <c r="C9367" s="7"/>
      <c r="D9367" s="7"/>
      <c r="E9367" s="7"/>
      <c r="F9367" s="7"/>
      <c r="G9367" s="7"/>
      <c r="H9367" s="7">
        <f t="shared" si="1"/>
        <v>1029</v>
      </c>
    </row>
    <row r="9368" ht="22.5" customHeight="1">
      <c r="B9368" s="7"/>
      <c r="C9368" s="7"/>
      <c r="D9368" s="7"/>
      <c r="E9368" s="7"/>
      <c r="F9368" s="7"/>
      <c r="G9368" s="7"/>
      <c r="H9368" s="7">
        <f t="shared" si="1"/>
        <v>1029</v>
      </c>
    </row>
    <row r="9369" ht="22.5" customHeight="1">
      <c r="B9369" s="7"/>
      <c r="C9369" s="7"/>
      <c r="D9369" s="7"/>
      <c r="E9369" s="7"/>
      <c r="F9369" s="7"/>
      <c r="G9369" s="7"/>
      <c r="H9369" s="7">
        <f t="shared" si="1"/>
        <v>1029</v>
      </c>
    </row>
    <row r="9370" ht="22.5" customHeight="1">
      <c r="B9370" s="7"/>
      <c r="C9370" s="7"/>
      <c r="D9370" s="7"/>
      <c r="E9370" s="7"/>
      <c r="F9370" s="7"/>
      <c r="G9370" s="7"/>
      <c r="H9370" s="7">
        <f t="shared" si="1"/>
        <v>1029</v>
      </c>
    </row>
    <row r="9371" ht="22.5" customHeight="1">
      <c r="B9371" s="7"/>
      <c r="C9371" s="7"/>
      <c r="D9371" s="7"/>
      <c r="E9371" s="7"/>
      <c r="F9371" s="7"/>
      <c r="G9371" s="7"/>
      <c r="H9371" s="7">
        <f t="shared" si="1"/>
        <v>1029</v>
      </c>
    </row>
    <row r="9372" ht="22.5" customHeight="1">
      <c r="B9372" s="7"/>
      <c r="C9372" s="7"/>
      <c r="D9372" s="7"/>
      <c r="E9372" s="7"/>
      <c r="F9372" s="7"/>
      <c r="G9372" s="7"/>
      <c r="H9372" s="7">
        <f t="shared" si="1"/>
        <v>1029</v>
      </c>
    </row>
    <row r="9373" ht="22.5" customHeight="1">
      <c r="B9373" s="7"/>
      <c r="C9373" s="7"/>
      <c r="D9373" s="7"/>
      <c r="E9373" s="7"/>
      <c r="F9373" s="7"/>
      <c r="G9373" s="7"/>
      <c r="H9373" s="7">
        <f t="shared" si="1"/>
        <v>1029</v>
      </c>
    </row>
    <row r="9374" ht="22.5" customHeight="1">
      <c r="B9374" s="7"/>
      <c r="C9374" s="7"/>
      <c r="D9374" s="7"/>
      <c r="E9374" s="7"/>
      <c r="F9374" s="7"/>
      <c r="G9374" s="7"/>
      <c r="H9374" s="7">
        <f t="shared" si="1"/>
        <v>1029</v>
      </c>
    </row>
    <row r="9375" ht="22.5" customHeight="1">
      <c r="B9375" s="7"/>
      <c r="C9375" s="7"/>
      <c r="D9375" s="7"/>
      <c r="E9375" s="7"/>
      <c r="F9375" s="7"/>
      <c r="G9375" s="7"/>
      <c r="H9375" s="7">
        <f t="shared" si="1"/>
        <v>1029</v>
      </c>
    </row>
    <row r="9376" ht="22.5" customHeight="1">
      <c r="B9376" s="7"/>
      <c r="C9376" s="7"/>
      <c r="D9376" s="7"/>
      <c r="E9376" s="7"/>
      <c r="F9376" s="7"/>
      <c r="G9376" s="7"/>
      <c r="H9376" s="7">
        <f t="shared" si="1"/>
        <v>1029</v>
      </c>
    </row>
    <row r="9377" ht="22.5" customHeight="1">
      <c r="B9377" s="7"/>
      <c r="C9377" s="7"/>
      <c r="D9377" s="7"/>
      <c r="E9377" s="7"/>
      <c r="F9377" s="7"/>
      <c r="G9377" s="7"/>
      <c r="H9377" s="7">
        <f t="shared" si="1"/>
        <v>1029</v>
      </c>
    </row>
    <row r="9378" ht="22.5" customHeight="1">
      <c r="B9378" s="7"/>
      <c r="C9378" s="7"/>
      <c r="D9378" s="7"/>
      <c r="E9378" s="7"/>
      <c r="F9378" s="7"/>
      <c r="G9378" s="7"/>
      <c r="H9378" s="7">
        <f t="shared" si="1"/>
        <v>1029</v>
      </c>
    </row>
    <row r="9379" ht="22.5" customHeight="1">
      <c r="B9379" s="7"/>
      <c r="C9379" s="7"/>
      <c r="D9379" s="7"/>
      <c r="E9379" s="7"/>
      <c r="F9379" s="7"/>
      <c r="G9379" s="7"/>
      <c r="H9379" s="7">
        <f t="shared" si="1"/>
        <v>1029</v>
      </c>
    </row>
    <row r="9380" ht="22.5" customHeight="1">
      <c r="B9380" s="7"/>
      <c r="C9380" s="7"/>
      <c r="D9380" s="7"/>
      <c r="E9380" s="7"/>
      <c r="F9380" s="7"/>
      <c r="G9380" s="7"/>
      <c r="H9380" s="7">
        <f t="shared" si="1"/>
        <v>1029</v>
      </c>
    </row>
    <row r="9381" ht="22.5" customHeight="1">
      <c r="B9381" s="7"/>
      <c r="C9381" s="7"/>
      <c r="D9381" s="7"/>
      <c r="E9381" s="7"/>
      <c r="F9381" s="7"/>
      <c r="G9381" s="7"/>
      <c r="H9381" s="7">
        <f t="shared" si="1"/>
        <v>1029</v>
      </c>
    </row>
    <row r="9382" ht="22.5" customHeight="1">
      <c r="B9382" s="7"/>
      <c r="C9382" s="7"/>
      <c r="D9382" s="7"/>
      <c r="E9382" s="7"/>
      <c r="F9382" s="7"/>
      <c r="G9382" s="7"/>
      <c r="H9382" s="7">
        <f t="shared" si="1"/>
        <v>1029</v>
      </c>
    </row>
    <row r="9383" ht="22.5" customHeight="1">
      <c r="B9383" s="7"/>
      <c r="C9383" s="7"/>
      <c r="D9383" s="7"/>
      <c r="E9383" s="7"/>
      <c r="F9383" s="7"/>
      <c r="G9383" s="7"/>
      <c r="H9383" s="7">
        <f t="shared" si="1"/>
        <v>1029</v>
      </c>
    </row>
    <row r="9384" ht="22.5" customHeight="1">
      <c r="B9384" s="7"/>
      <c r="C9384" s="7"/>
      <c r="D9384" s="7"/>
      <c r="E9384" s="7"/>
      <c r="F9384" s="7"/>
      <c r="G9384" s="7"/>
      <c r="H9384" s="7">
        <f t="shared" si="1"/>
        <v>1029</v>
      </c>
    </row>
    <row r="9385" ht="22.5" customHeight="1">
      <c r="B9385" s="7"/>
      <c r="C9385" s="7"/>
      <c r="D9385" s="7"/>
      <c r="E9385" s="7"/>
      <c r="F9385" s="7"/>
      <c r="G9385" s="7"/>
      <c r="H9385" s="7">
        <f t="shared" si="1"/>
        <v>1029</v>
      </c>
    </row>
    <row r="9386" ht="22.5" customHeight="1">
      <c r="B9386" s="7"/>
      <c r="C9386" s="7"/>
      <c r="D9386" s="7"/>
      <c r="E9386" s="7"/>
      <c r="F9386" s="7"/>
      <c r="G9386" s="7"/>
      <c r="H9386" s="7">
        <f t="shared" si="1"/>
        <v>1029</v>
      </c>
    </row>
    <row r="9387" ht="22.5" customHeight="1">
      <c r="B9387" s="7"/>
      <c r="C9387" s="7"/>
      <c r="D9387" s="7"/>
      <c r="E9387" s="7"/>
      <c r="F9387" s="7"/>
      <c r="G9387" s="7"/>
      <c r="H9387" s="7">
        <f t="shared" si="1"/>
        <v>1029</v>
      </c>
    </row>
    <row r="9388" ht="22.5" customHeight="1">
      <c r="B9388" s="7"/>
      <c r="C9388" s="7"/>
      <c r="D9388" s="7"/>
      <c r="E9388" s="7"/>
      <c r="F9388" s="7"/>
      <c r="G9388" s="7"/>
      <c r="H9388" s="7">
        <f t="shared" si="1"/>
        <v>1029</v>
      </c>
    </row>
    <row r="9389" ht="22.5" customHeight="1">
      <c r="B9389" s="7"/>
      <c r="C9389" s="7"/>
      <c r="D9389" s="7"/>
      <c r="E9389" s="7"/>
      <c r="F9389" s="7"/>
      <c r="G9389" s="7"/>
      <c r="H9389" s="7">
        <f t="shared" si="1"/>
        <v>1029</v>
      </c>
    </row>
    <row r="9390" ht="22.5" customHeight="1">
      <c r="B9390" s="7"/>
      <c r="C9390" s="7"/>
      <c r="D9390" s="7"/>
      <c r="E9390" s="7"/>
      <c r="F9390" s="7"/>
      <c r="G9390" s="7"/>
      <c r="H9390" s="7">
        <f t="shared" si="1"/>
        <v>1029</v>
      </c>
    </row>
    <row r="9391" ht="22.5" customHeight="1">
      <c r="B9391" s="7"/>
      <c r="C9391" s="7"/>
      <c r="D9391" s="7"/>
      <c r="E9391" s="7"/>
      <c r="F9391" s="7"/>
      <c r="G9391" s="7"/>
      <c r="H9391" s="7">
        <f t="shared" si="1"/>
        <v>1029</v>
      </c>
    </row>
    <row r="9392" ht="22.5" customHeight="1">
      <c r="B9392" s="7"/>
      <c r="C9392" s="7"/>
      <c r="D9392" s="7"/>
      <c r="E9392" s="7"/>
      <c r="F9392" s="7"/>
      <c r="G9392" s="7"/>
      <c r="H9392" s="7">
        <f t="shared" si="1"/>
        <v>1029</v>
      </c>
    </row>
    <row r="9393" ht="22.5" customHeight="1">
      <c r="B9393" s="7"/>
      <c r="C9393" s="7"/>
      <c r="D9393" s="7"/>
      <c r="E9393" s="7"/>
      <c r="F9393" s="7"/>
      <c r="G9393" s="7"/>
      <c r="H9393" s="7">
        <f t="shared" si="1"/>
        <v>1029</v>
      </c>
    </row>
    <row r="9394" ht="22.5" customHeight="1">
      <c r="B9394" s="7"/>
      <c r="C9394" s="7"/>
      <c r="D9394" s="7"/>
      <c r="E9394" s="7"/>
      <c r="F9394" s="7"/>
      <c r="G9394" s="7"/>
      <c r="H9394" s="7">
        <f t="shared" si="1"/>
        <v>1029</v>
      </c>
    </row>
    <row r="9395" ht="22.5" customHeight="1">
      <c r="B9395" s="7"/>
      <c r="C9395" s="7"/>
      <c r="D9395" s="7"/>
      <c r="E9395" s="7"/>
      <c r="F9395" s="7"/>
      <c r="G9395" s="7"/>
      <c r="H9395" s="7">
        <f t="shared" si="1"/>
        <v>1029</v>
      </c>
    </row>
    <row r="9396" ht="22.5" customHeight="1">
      <c r="B9396" s="7"/>
      <c r="C9396" s="7"/>
      <c r="D9396" s="7"/>
      <c r="E9396" s="7"/>
      <c r="F9396" s="7"/>
      <c r="G9396" s="7"/>
      <c r="H9396" s="7">
        <f t="shared" si="1"/>
        <v>1029</v>
      </c>
    </row>
    <row r="9397" ht="22.5" customHeight="1">
      <c r="B9397" s="7"/>
      <c r="C9397" s="7"/>
      <c r="D9397" s="7"/>
      <c r="E9397" s="7"/>
      <c r="F9397" s="7"/>
      <c r="G9397" s="7"/>
      <c r="H9397" s="7">
        <f t="shared" si="1"/>
        <v>1029</v>
      </c>
    </row>
    <row r="9398" ht="22.5" customHeight="1">
      <c r="B9398" s="7"/>
      <c r="C9398" s="7"/>
      <c r="D9398" s="7"/>
      <c r="E9398" s="7"/>
      <c r="F9398" s="7"/>
      <c r="G9398" s="7"/>
      <c r="H9398" s="7">
        <f t="shared" si="1"/>
        <v>1029</v>
      </c>
    </row>
    <row r="9399" ht="22.5" customHeight="1">
      <c r="B9399" s="7"/>
      <c r="C9399" s="7"/>
      <c r="D9399" s="7"/>
      <c r="E9399" s="7"/>
      <c r="F9399" s="7"/>
      <c r="G9399" s="7"/>
      <c r="H9399" s="7">
        <f t="shared" si="1"/>
        <v>1029</v>
      </c>
    </row>
    <row r="9400" ht="22.5" customHeight="1">
      <c r="B9400" s="7"/>
      <c r="C9400" s="7"/>
      <c r="D9400" s="7"/>
      <c r="E9400" s="7"/>
      <c r="F9400" s="7"/>
      <c r="G9400" s="7"/>
      <c r="H9400" s="7">
        <f t="shared" si="1"/>
        <v>1029</v>
      </c>
    </row>
    <row r="9401" ht="22.5" customHeight="1">
      <c r="B9401" s="7"/>
      <c r="C9401" s="7"/>
      <c r="D9401" s="7"/>
      <c r="E9401" s="7"/>
      <c r="F9401" s="7"/>
      <c r="G9401" s="7"/>
      <c r="H9401" s="7">
        <f t="shared" si="1"/>
        <v>1029</v>
      </c>
    </row>
    <row r="9402" ht="22.5" customHeight="1">
      <c r="B9402" s="7"/>
      <c r="C9402" s="7"/>
      <c r="D9402" s="7"/>
      <c r="E9402" s="7"/>
      <c r="F9402" s="7"/>
      <c r="G9402" s="7"/>
      <c r="H9402" s="7">
        <f t="shared" si="1"/>
        <v>1029</v>
      </c>
    </row>
    <row r="9403" ht="22.5" customHeight="1">
      <c r="B9403" s="7"/>
      <c r="C9403" s="7"/>
      <c r="D9403" s="7"/>
      <c r="E9403" s="7"/>
      <c r="F9403" s="7"/>
      <c r="G9403" s="7"/>
      <c r="H9403" s="7">
        <f t="shared" si="1"/>
        <v>1029</v>
      </c>
    </row>
    <row r="9404" ht="22.5" customHeight="1">
      <c r="B9404" s="7"/>
      <c r="C9404" s="7"/>
      <c r="D9404" s="7"/>
      <c r="E9404" s="7"/>
      <c r="F9404" s="7"/>
      <c r="G9404" s="7"/>
      <c r="H9404" s="7">
        <f t="shared" si="1"/>
        <v>1029</v>
      </c>
    </row>
    <row r="9405" ht="22.5" customHeight="1">
      <c r="B9405" s="7"/>
      <c r="C9405" s="7"/>
      <c r="D9405" s="7"/>
      <c r="E9405" s="7"/>
      <c r="F9405" s="7"/>
      <c r="G9405" s="7"/>
      <c r="H9405" s="7">
        <f t="shared" si="1"/>
        <v>1029</v>
      </c>
    </row>
    <row r="9406" ht="22.5" customHeight="1">
      <c r="B9406" s="7"/>
      <c r="C9406" s="7"/>
      <c r="D9406" s="7"/>
      <c r="E9406" s="7"/>
      <c r="F9406" s="7"/>
      <c r="G9406" s="7"/>
      <c r="H9406" s="7">
        <f t="shared" si="1"/>
        <v>1029</v>
      </c>
    </row>
    <row r="9407" ht="22.5" customHeight="1">
      <c r="B9407" s="7"/>
      <c r="C9407" s="7"/>
      <c r="D9407" s="7"/>
      <c r="E9407" s="7"/>
      <c r="F9407" s="7"/>
      <c r="G9407" s="7"/>
      <c r="H9407" s="7">
        <f t="shared" si="1"/>
        <v>1029</v>
      </c>
    </row>
    <row r="9408" ht="22.5" customHeight="1">
      <c r="B9408" s="7"/>
      <c r="C9408" s="7"/>
      <c r="D9408" s="7"/>
      <c r="E9408" s="7"/>
      <c r="F9408" s="7"/>
      <c r="G9408" s="7"/>
      <c r="H9408" s="7">
        <f t="shared" si="1"/>
        <v>1029</v>
      </c>
    </row>
    <row r="9409" ht="22.5" customHeight="1">
      <c r="B9409" s="7"/>
      <c r="C9409" s="7"/>
      <c r="D9409" s="7"/>
      <c r="E9409" s="7"/>
      <c r="F9409" s="7"/>
      <c r="G9409" s="7"/>
      <c r="H9409" s="7">
        <f t="shared" si="1"/>
        <v>1029</v>
      </c>
    </row>
    <row r="9410" ht="22.5" customHeight="1">
      <c r="B9410" s="7"/>
      <c r="C9410" s="7"/>
      <c r="D9410" s="7"/>
      <c r="E9410" s="7"/>
      <c r="F9410" s="7"/>
      <c r="G9410" s="7"/>
      <c r="H9410" s="7">
        <f t="shared" si="1"/>
        <v>1029</v>
      </c>
    </row>
    <row r="9411" ht="22.5" customHeight="1">
      <c r="B9411" s="7"/>
      <c r="C9411" s="7"/>
      <c r="D9411" s="7"/>
      <c r="E9411" s="7"/>
      <c r="F9411" s="7"/>
      <c r="G9411" s="7"/>
      <c r="H9411" s="7">
        <f t="shared" si="1"/>
        <v>1029</v>
      </c>
    </row>
    <row r="9412" ht="22.5" customHeight="1">
      <c r="B9412" s="7"/>
      <c r="C9412" s="7"/>
      <c r="D9412" s="7"/>
      <c r="E9412" s="7"/>
      <c r="F9412" s="7"/>
      <c r="G9412" s="7"/>
      <c r="H9412" s="7">
        <f t="shared" si="1"/>
        <v>1029</v>
      </c>
    </row>
    <row r="9413" ht="22.5" customHeight="1">
      <c r="B9413" s="7"/>
      <c r="C9413" s="7"/>
      <c r="D9413" s="7"/>
      <c r="E9413" s="7"/>
      <c r="F9413" s="7"/>
      <c r="G9413" s="7"/>
      <c r="H9413" s="7">
        <f t="shared" si="1"/>
        <v>1029</v>
      </c>
    </row>
    <row r="9414" ht="22.5" customHeight="1">
      <c r="B9414" s="7"/>
      <c r="C9414" s="7"/>
      <c r="D9414" s="7"/>
      <c r="E9414" s="7"/>
      <c r="F9414" s="7"/>
      <c r="G9414" s="7"/>
      <c r="H9414" s="7">
        <f t="shared" si="1"/>
        <v>1029</v>
      </c>
    </row>
    <row r="9415" ht="22.5" customHeight="1">
      <c r="B9415" s="7"/>
      <c r="C9415" s="7"/>
      <c r="D9415" s="7"/>
      <c r="E9415" s="7"/>
      <c r="F9415" s="7"/>
      <c r="G9415" s="7"/>
      <c r="H9415" s="7">
        <f t="shared" si="1"/>
        <v>1029</v>
      </c>
    </row>
    <row r="9416" ht="22.5" customHeight="1">
      <c r="B9416" s="7"/>
      <c r="C9416" s="7"/>
      <c r="D9416" s="7"/>
      <c r="E9416" s="7"/>
      <c r="F9416" s="7"/>
      <c r="G9416" s="7"/>
      <c r="H9416" s="7">
        <f t="shared" si="1"/>
        <v>1029</v>
      </c>
    </row>
    <row r="9417" ht="22.5" customHeight="1">
      <c r="B9417" s="7"/>
      <c r="C9417" s="7"/>
      <c r="D9417" s="7"/>
      <c r="E9417" s="7"/>
      <c r="F9417" s="7"/>
      <c r="G9417" s="7"/>
      <c r="H9417" s="7">
        <f t="shared" si="1"/>
        <v>1029</v>
      </c>
    </row>
    <row r="9418" ht="22.5" customHeight="1">
      <c r="B9418" s="7"/>
      <c r="C9418" s="7"/>
      <c r="D9418" s="7"/>
      <c r="E9418" s="7"/>
      <c r="F9418" s="7"/>
      <c r="G9418" s="7"/>
      <c r="H9418" s="7">
        <f t="shared" si="1"/>
        <v>1029</v>
      </c>
    </row>
    <row r="9419" ht="22.5" customHeight="1">
      <c r="B9419" s="7"/>
      <c r="C9419" s="7"/>
      <c r="D9419" s="7"/>
      <c r="E9419" s="7"/>
      <c r="F9419" s="7"/>
      <c r="G9419" s="7"/>
      <c r="H9419" s="7">
        <f t="shared" si="1"/>
        <v>1029</v>
      </c>
    </row>
    <row r="9420" ht="22.5" customHeight="1">
      <c r="B9420" s="7"/>
      <c r="C9420" s="7"/>
      <c r="D9420" s="7"/>
      <c r="E9420" s="7"/>
      <c r="F9420" s="7"/>
      <c r="G9420" s="7"/>
      <c r="H9420" s="7">
        <f t="shared" si="1"/>
        <v>1029</v>
      </c>
    </row>
    <row r="9421" ht="22.5" customHeight="1">
      <c r="B9421" s="7"/>
      <c r="C9421" s="7"/>
      <c r="D9421" s="7"/>
      <c r="E9421" s="7"/>
      <c r="F9421" s="7"/>
      <c r="G9421" s="7"/>
      <c r="H9421" s="7">
        <f t="shared" si="1"/>
        <v>1029</v>
      </c>
    </row>
    <row r="9422" ht="22.5" customHeight="1">
      <c r="B9422" s="7"/>
      <c r="C9422" s="7"/>
      <c r="D9422" s="7"/>
      <c r="E9422" s="7"/>
      <c r="F9422" s="7"/>
      <c r="G9422" s="7"/>
      <c r="H9422" s="7">
        <f t="shared" si="1"/>
        <v>1029</v>
      </c>
    </row>
    <row r="9423" ht="22.5" customHeight="1">
      <c r="B9423" s="7"/>
      <c r="C9423" s="7"/>
      <c r="D9423" s="7"/>
      <c r="E9423" s="7"/>
      <c r="F9423" s="7"/>
      <c r="G9423" s="7"/>
      <c r="H9423" s="7">
        <f t="shared" si="1"/>
        <v>1029</v>
      </c>
    </row>
    <row r="9424" ht="22.5" customHeight="1">
      <c r="B9424" s="7"/>
      <c r="C9424" s="7"/>
      <c r="D9424" s="7"/>
      <c r="E9424" s="7"/>
      <c r="F9424" s="7"/>
      <c r="G9424" s="7"/>
      <c r="H9424" s="7">
        <f t="shared" si="1"/>
        <v>1029</v>
      </c>
    </row>
    <row r="9425" ht="22.5" customHeight="1">
      <c r="B9425" s="7"/>
      <c r="C9425" s="7"/>
      <c r="D9425" s="7"/>
      <c r="E9425" s="7"/>
      <c r="F9425" s="7"/>
      <c r="G9425" s="7"/>
      <c r="H9425" s="7">
        <f t="shared" si="1"/>
        <v>1029</v>
      </c>
    </row>
    <row r="9426" ht="22.5" customHeight="1">
      <c r="B9426" s="7"/>
      <c r="C9426" s="7"/>
      <c r="D9426" s="7"/>
      <c r="E9426" s="7"/>
      <c r="F9426" s="7"/>
      <c r="G9426" s="7"/>
      <c r="H9426" s="7">
        <f t="shared" si="1"/>
        <v>1029</v>
      </c>
    </row>
    <row r="9427" ht="22.5" customHeight="1">
      <c r="B9427" s="7"/>
      <c r="C9427" s="7"/>
      <c r="D9427" s="7"/>
      <c r="E9427" s="7"/>
      <c r="F9427" s="7"/>
      <c r="G9427" s="7"/>
      <c r="H9427" s="7">
        <f t="shared" si="1"/>
        <v>1029</v>
      </c>
    </row>
    <row r="9428" ht="22.5" customHeight="1">
      <c r="B9428" s="7"/>
      <c r="C9428" s="7"/>
      <c r="D9428" s="7"/>
      <c r="E9428" s="7"/>
      <c r="F9428" s="7"/>
      <c r="G9428" s="7"/>
      <c r="H9428" s="7">
        <f t="shared" si="1"/>
        <v>1029</v>
      </c>
    </row>
    <row r="9429" ht="22.5" customHeight="1">
      <c r="B9429" s="7"/>
      <c r="C9429" s="7"/>
      <c r="D9429" s="7"/>
      <c r="E9429" s="7"/>
      <c r="F9429" s="7"/>
      <c r="G9429" s="7"/>
      <c r="H9429" s="7">
        <f t="shared" si="1"/>
        <v>1029</v>
      </c>
    </row>
    <row r="9430" ht="22.5" customHeight="1">
      <c r="B9430" s="7"/>
      <c r="C9430" s="7"/>
      <c r="D9430" s="7"/>
      <c r="E9430" s="7"/>
      <c r="F9430" s="7"/>
      <c r="G9430" s="7"/>
      <c r="H9430" s="7">
        <f t="shared" si="1"/>
        <v>1029</v>
      </c>
    </row>
    <row r="9431" ht="22.5" customHeight="1">
      <c r="B9431" s="7"/>
      <c r="C9431" s="7"/>
      <c r="D9431" s="7"/>
      <c r="E9431" s="7"/>
      <c r="F9431" s="7"/>
      <c r="G9431" s="7"/>
      <c r="H9431" s="7">
        <f t="shared" si="1"/>
        <v>1029</v>
      </c>
    </row>
    <row r="9432" ht="22.5" customHeight="1">
      <c r="B9432" s="7"/>
      <c r="C9432" s="7"/>
      <c r="D9432" s="7"/>
      <c r="E9432" s="7"/>
      <c r="F9432" s="7"/>
      <c r="G9432" s="7"/>
      <c r="H9432" s="7">
        <f t="shared" si="1"/>
        <v>1029</v>
      </c>
    </row>
    <row r="9433" ht="22.5" customHeight="1">
      <c r="B9433" s="7"/>
      <c r="C9433" s="7"/>
      <c r="D9433" s="7"/>
      <c r="E9433" s="7"/>
      <c r="F9433" s="7"/>
      <c r="G9433" s="7"/>
      <c r="H9433" s="7">
        <f t="shared" si="1"/>
        <v>1029</v>
      </c>
    </row>
    <row r="9434" ht="22.5" customHeight="1">
      <c r="B9434" s="7"/>
      <c r="C9434" s="7"/>
      <c r="D9434" s="7"/>
      <c r="E9434" s="7"/>
      <c r="F9434" s="7"/>
      <c r="G9434" s="7"/>
      <c r="H9434" s="7">
        <f t="shared" si="1"/>
        <v>1029</v>
      </c>
    </row>
    <row r="9435" ht="22.5" customHeight="1">
      <c r="B9435" s="7"/>
      <c r="C9435" s="7"/>
      <c r="D9435" s="7"/>
      <c r="E9435" s="7"/>
      <c r="F9435" s="7"/>
      <c r="G9435" s="7"/>
      <c r="H9435" s="7">
        <f t="shared" si="1"/>
        <v>1029</v>
      </c>
    </row>
    <row r="9436" ht="22.5" customHeight="1">
      <c r="B9436" s="7"/>
      <c r="C9436" s="7"/>
      <c r="D9436" s="7"/>
      <c r="E9436" s="7"/>
      <c r="F9436" s="7"/>
      <c r="G9436" s="7"/>
      <c r="H9436" s="7">
        <f t="shared" si="1"/>
        <v>1029</v>
      </c>
    </row>
    <row r="9437" ht="22.5" customHeight="1">
      <c r="B9437" s="7"/>
      <c r="C9437" s="7"/>
      <c r="D9437" s="7"/>
      <c r="E9437" s="7"/>
      <c r="F9437" s="7"/>
      <c r="G9437" s="7"/>
      <c r="H9437" s="7">
        <f t="shared" si="1"/>
        <v>1029</v>
      </c>
    </row>
    <row r="9438" ht="22.5" customHeight="1">
      <c r="B9438" s="7"/>
      <c r="C9438" s="7"/>
      <c r="D9438" s="7"/>
      <c r="E9438" s="7"/>
      <c r="F9438" s="7"/>
      <c r="G9438" s="7"/>
      <c r="H9438" s="7">
        <f t="shared" si="1"/>
        <v>1029</v>
      </c>
    </row>
    <row r="9439" ht="22.5" customHeight="1">
      <c r="B9439" s="7"/>
      <c r="C9439" s="7"/>
      <c r="D9439" s="7"/>
      <c r="E9439" s="7"/>
      <c r="F9439" s="7"/>
      <c r="G9439" s="7"/>
      <c r="H9439" s="7">
        <f t="shared" si="1"/>
        <v>1029</v>
      </c>
    </row>
    <row r="9440" ht="22.5" customHeight="1">
      <c r="B9440" s="7"/>
      <c r="C9440" s="7"/>
      <c r="D9440" s="7"/>
      <c r="E9440" s="7"/>
      <c r="F9440" s="7"/>
      <c r="G9440" s="7"/>
      <c r="H9440" s="7">
        <f t="shared" si="1"/>
        <v>1029</v>
      </c>
    </row>
    <row r="9441" ht="22.5" customHeight="1">
      <c r="B9441" s="7"/>
      <c r="C9441" s="7"/>
      <c r="D9441" s="7"/>
      <c r="E9441" s="7"/>
      <c r="F9441" s="7"/>
      <c r="G9441" s="7"/>
      <c r="H9441" s="7">
        <f t="shared" si="1"/>
        <v>1029</v>
      </c>
    </row>
    <row r="9442" ht="22.5" customHeight="1">
      <c r="B9442" s="7"/>
      <c r="C9442" s="7"/>
      <c r="D9442" s="7"/>
      <c r="E9442" s="7"/>
      <c r="F9442" s="7"/>
      <c r="G9442" s="7"/>
      <c r="H9442" s="7">
        <f t="shared" si="1"/>
        <v>1029</v>
      </c>
    </row>
    <row r="9443" ht="22.5" customHeight="1">
      <c r="B9443" s="7"/>
      <c r="C9443" s="7"/>
      <c r="D9443" s="7"/>
      <c r="E9443" s="7"/>
      <c r="F9443" s="7"/>
      <c r="G9443" s="7"/>
      <c r="H9443" s="7">
        <f t="shared" si="1"/>
        <v>1029</v>
      </c>
    </row>
    <row r="9444" ht="22.5" customHeight="1">
      <c r="B9444" s="7"/>
      <c r="C9444" s="7"/>
      <c r="D9444" s="7"/>
      <c r="E9444" s="7"/>
      <c r="F9444" s="7"/>
      <c r="G9444" s="7"/>
      <c r="H9444" s="7">
        <f t="shared" si="1"/>
        <v>1029</v>
      </c>
    </row>
    <row r="9445" ht="22.5" customHeight="1">
      <c r="B9445" s="7"/>
      <c r="C9445" s="7"/>
      <c r="D9445" s="7"/>
      <c r="E9445" s="7"/>
      <c r="F9445" s="7"/>
      <c r="G9445" s="7"/>
      <c r="H9445" s="7">
        <f t="shared" si="1"/>
        <v>1029</v>
      </c>
    </row>
    <row r="9446" ht="22.5" customHeight="1">
      <c r="B9446" s="7"/>
      <c r="C9446" s="7"/>
      <c r="D9446" s="7"/>
      <c r="E9446" s="7"/>
      <c r="F9446" s="7"/>
      <c r="G9446" s="7"/>
      <c r="H9446" s="7">
        <f t="shared" si="1"/>
        <v>1029</v>
      </c>
    </row>
    <row r="9447" ht="22.5" customHeight="1">
      <c r="B9447" s="7"/>
      <c r="C9447" s="7"/>
      <c r="D9447" s="7"/>
      <c r="E9447" s="7"/>
      <c r="F9447" s="7"/>
      <c r="G9447" s="7"/>
      <c r="H9447" s="7">
        <f t="shared" si="1"/>
        <v>1029</v>
      </c>
    </row>
    <row r="9448" ht="22.5" customHeight="1">
      <c r="B9448" s="7"/>
      <c r="C9448" s="7"/>
      <c r="D9448" s="7"/>
      <c r="E9448" s="7"/>
      <c r="F9448" s="7"/>
      <c r="G9448" s="7"/>
      <c r="H9448" s="7">
        <f t="shared" si="1"/>
        <v>1029</v>
      </c>
    </row>
    <row r="9449" ht="22.5" customHeight="1">
      <c r="B9449" s="7"/>
      <c r="C9449" s="7"/>
      <c r="D9449" s="7"/>
      <c r="E9449" s="7"/>
      <c r="F9449" s="7"/>
      <c r="G9449" s="7"/>
      <c r="H9449" s="7">
        <f t="shared" si="1"/>
        <v>1029</v>
      </c>
    </row>
    <row r="9450" ht="22.5" customHeight="1">
      <c r="B9450" s="7"/>
      <c r="C9450" s="7"/>
      <c r="D9450" s="7"/>
      <c r="E9450" s="7"/>
      <c r="F9450" s="7"/>
      <c r="G9450" s="7"/>
      <c r="H9450" s="7">
        <f t="shared" si="1"/>
        <v>1029</v>
      </c>
    </row>
    <row r="9451" ht="22.5" customHeight="1">
      <c r="B9451" s="7"/>
      <c r="C9451" s="7"/>
      <c r="D9451" s="7"/>
      <c r="E9451" s="7"/>
      <c r="F9451" s="7"/>
      <c r="G9451" s="7"/>
      <c r="H9451" s="7">
        <f t="shared" si="1"/>
        <v>1029</v>
      </c>
    </row>
    <row r="9452" ht="22.5" customHeight="1">
      <c r="B9452" s="7"/>
      <c r="C9452" s="7"/>
      <c r="D9452" s="7"/>
      <c r="E9452" s="7"/>
      <c r="F9452" s="7"/>
      <c r="G9452" s="7"/>
      <c r="H9452" s="7">
        <f t="shared" si="1"/>
        <v>1029</v>
      </c>
    </row>
    <row r="9453" ht="22.5" customHeight="1">
      <c r="B9453" s="7"/>
      <c r="C9453" s="7"/>
      <c r="D9453" s="7"/>
      <c r="E9453" s="7"/>
      <c r="F9453" s="7"/>
      <c r="G9453" s="7"/>
      <c r="H9453" s="7">
        <f t="shared" si="1"/>
        <v>1029</v>
      </c>
    </row>
    <row r="9454" ht="22.5" customHeight="1">
      <c r="B9454" s="7"/>
      <c r="C9454" s="7"/>
      <c r="D9454" s="7"/>
      <c r="E9454" s="7"/>
      <c r="F9454" s="7"/>
      <c r="G9454" s="7"/>
      <c r="H9454" s="7">
        <f t="shared" si="1"/>
        <v>1029</v>
      </c>
    </row>
    <row r="9455" ht="22.5" customHeight="1">
      <c r="B9455" s="7"/>
      <c r="C9455" s="7"/>
      <c r="D9455" s="7"/>
      <c r="E9455" s="7"/>
      <c r="F9455" s="7"/>
      <c r="G9455" s="7"/>
      <c r="H9455" s="7">
        <f t="shared" si="1"/>
        <v>1029</v>
      </c>
    </row>
    <row r="9456" ht="22.5" customHeight="1">
      <c r="B9456" s="7"/>
      <c r="C9456" s="7"/>
      <c r="D9456" s="7"/>
      <c r="E9456" s="7"/>
      <c r="F9456" s="7"/>
      <c r="G9456" s="7"/>
      <c r="H9456" s="7">
        <f t="shared" si="1"/>
        <v>1029</v>
      </c>
    </row>
    <row r="9457" ht="22.5" customHeight="1">
      <c r="B9457" s="7"/>
      <c r="C9457" s="7"/>
      <c r="D9457" s="7"/>
      <c r="E9457" s="7"/>
      <c r="F9457" s="7"/>
      <c r="G9457" s="7"/>
      <c r="H9457" s="7">
        <f t="shared" si="1"/>
        <v>1029</v>
      </c>
    </row>
    <row r="9458" ht="22.5" customHeight="1">
      <c r="B9458" s="7"/>
      <c r="C9458" s="7"/>
      <c r="D9458" s="7"/>
      <c r="E9458" s="7"/>
      <c r="F9458" s="7"/>
      <c r="G9458" s="7"/>
      <c r="H9458" s="7">
        <f t="shared" si="1"/>
        <v>1029</v>
      </c>
    </row>
    <row r="9459" ht="22.5" customHeight="1">
      <c r="B9459" s="7"/>
      <c r="C9459" s="7"/>
      <c r="D9459" s="7"/>
      <c r="E9459" s="7"/>
      <c r="F9459" s="7"/>
      <c r="G9459" s="7"/>
      <c r="H9459" s="7">
        <f t="shared" si="1"/>
        <v>1029</v>
      </c>
    </row>
    <row r="9460" ht="22.5" customHeight="1">
      <c r="B9460" s="7"/>
      <c r="C9460" s="7"/>
      <c r="D9460" s="7"/>
      <c r="E9460" s="7"/>
      <c r="F9460" s="7"/>
      <c r="G9460" s="7"/>
      <c r="H9460" s="7">
        <f t="shared" si="1"/>
        <v>1029</v>
      </c>
    </row>
    <row r="9461" ht="22.5" customHeight="1">
      <c r="B9461" s="7"/>
      <c r="C9461" s="7"/>
      <c r="D9461" s="7"/>
      <c r="E9461" s="7"/>
      <c r="F9461" s="7"/>
      <c r="G9461" s="7"/>
      <c r="H9461" s="7">
        <f t="shared" si="1"/>
        <v>1029</v>
      </c>
    </row>
    <row r="9462" ht="22.5" customHeight="1">
      <c r="B9462" s="7"/>
      <c r="C9462" s="7"/>
      <c r="D9462" s="7"/>
      <c r="E9462" s="7"/>
      <c r="F9462" s="7"/>
      <c r="G9462" s="7"/>
      <c r="H9462" s="7">
        <f t="shared" si="1"/>
        <v>1029</v>
      </c>
    </row>
    <row r="9463" ht="22.5" customHeight="1">
      <c r="B9463" s="7"/>
      <c r="C9463" s="7"/>
      <c r="D9463" s="7"/>
      <c r="E9463" s="7"/>
      <c r="F9463" s="7"/>
      <c r="G9463" s="7"/>
      <c r="H9463" s="7">
        <f t="shared" si="1"/>
        <v>1029</v>
      </c>
    </row>
    <row r="9464" ht="22.5" customHeight="1">
      <c r="B9464" s="7"/>
      <c r="C9464" s="7"/>
      <c r="D9464" s="7"/>
      <c r="E9464" s="7"/>
      <c r="F9464" s="7"/>
      <c r="G9464" s="7"/>
      <c r="H9464" s="7">
        <f t="shared" si="1"/>
        <v>1029</v>
      </c>
    </row>
    <row r="9465" ht="22.5" customHeight="1">
      <c r="B9465" s="7"/>
      <c r="C9465" s="7"/>
      <c r="D9465" s="7"/>
      <c r="E9465" s="7"/>
      <c r="F9465" s="7"/>
      <c r="G9465" s="7"/>
      <c r="H9465" s="7">
        <f t="shared" si="1"/>
        <v>1029</v>
      </c>
    </row>
    <row r="9466" ht="22.5" customHeight="1">
      <c r="B9466" s="7"/>
      <c r="C9466" s="7"/>
      <c r="D9466" s="7"/>
      <c r="E9466" s="7"/>
      <c r="F9466" s="7"/>
      <c r="G9466" s="7"/>
      <c r="H9466" s="7">
        <f t="shared" si="1"/>
        <v>1029</v>
      </c>
    </row>
    <row r="9467" ht="22.5" customHeight="1">
      <c r="B9467" s="7"/>
      <c r="C9467" s="7"/>
      <c r="D9467" s="7"/>
      <c r="E9467" s="7"/>
      <c r="F9467" s="7"/>
      <c r="G9467" s="7"/>
      <c r="H9467" s="7">
        <f t="shared" si="1"/>
        <v>1029</v>
      </c>
    </row>
    <row r="9468" ht="22.5" customHeight="1">
      <c r="B9468" s="7"/>
      <c r="C9468" s="7"/>
      <c r="D9468" s="7"/>
      <c r="E9468" s="7"/>
      <c r="F9468" s="7"/>
      <c r="G9468" s="7"/>
      <c r="H9468" s="7">
        <f t="shared" si="1"/>
        <v>1029</v>
      </c>
    </row>
    <row r="9469" ht="22.5" customHeight="1">
      <c r="B9469" s="7"/>
      <c r="C9469" s="7"/>
      <c r="D9469" s="7"/>
      <c r="E9469" s="7"/>
      <c r="F9469" s="7"/>
      <c r="G9469" s="7"/>
      <c r="H9469" s="7">
        <f t="shared" si="1"/>
        <v>1029</v>
      </c>
    </row>
    <row r="9470" ht="22.5" customHeight="1">
      <c r="B9470" s="7"/>
      <c r="C9470" s="7"/>
      <c r="D9470" s="7"/>
      <c r="E9470" s="7"/>
      <c r="F9470" s="7"/>
      <c r="G9470" s="7"/>
      <c r="H9470" s="7">
        <f t="shared" si="1"/>
        <v>1029</v>
      </c>
    </row>
    <row r="9471" ht="22.5" customHeight="1">
      <c r="B9471" s="7"/>
      <c r="C9471" s="7"/>
      <c r="D9471" s="7"/>
      <c r="E9471" s="7"/>
      <c r="F9471" s="7"/>
      <c r="G9471" s="7"/>
      <c r="H9471" s="7">
        <f t="shared" si="1"/>
        <v>1029</v>
      </c>
    </row>
    <row r="9472" ht="22.5" customHeight="1">
      <c r="B9472" s="7"/>
      <c r="C9472" s="7"/>
      <c r="D9472" s="7"/>
      <c r="E9472" s="7"/>
      <c r="F9472" s="7"/>
      <c r="G9472" s="7"/>
      <c r="H9472" s="7">
        <f t="shared" si="1"/>
        <v>1029</v>
      </c>
    </row>
    <row r="9473" ht="22.5" customHeight="1">
      <c r="B9473" s="7"/>
      <c r="C9473" s="7"/>
      <c r="D9473" s="7"/>
      <c r="E9473" s="7"/>
      <c r="F9473" s="7"/>
      <c r="G9473" s="7"/>
      <c r="H9473" s="7">
        <f t="shared" si="1"/>
        <v>1029</v>
      </c>
    </row>
    <row r="9474" ht="22.5" customHeight="1">
      <c r="B9474" s="7"/>
      <c r="C9474" s="7"/>
      <c r="D9474" s="7"/>
      <c r="E9474" s="7"/>
      <c r="F9474" s="7"/>
      <c r="G9474" s="7"/>
      <c r="H9474" s="7">
        <f t="shared" si="1"/>
        <v>1029</v>
      </c>
    </row>
    <row r="9475" ht="22.5" customHeight="1">
      <c r="B9475" s="7"/>
      <c r="C9475" s="7"/>
      <c r="D9475" s="7"/>
      <c r="E9475" s="7"/>
      <c r="F9475" s="7"/>
      <c r="G9475" s="7"/>
      <c r="H9475" s="7">
        <f t="shared" si="1"/>
        <v>1029</v>
      </c>
    </row>
    <row r="9476" ht="22.5" customHeight="1">
      <c r="B9476" s="7"/>
      <c r="C9476" s="7"/>
      <c r="D9476" s="7"/>
      <c r="E9476" s="7"/>
      <c r="F9476" s="7"/>
      <c r="G9476" s="7"/>
      <c r="H9476" s="7">
        <f t="shared" si="1"/>
        <v>1029</v>
      </c>
    </row>
    <row r="9477" ht="22.5" customHeight="1">
      <c r="B9477" s="7"/>
      <c r="C9477" s="7"/>
      <c r="D9477" s="7"/>
      <c r="E9477" s="7"/>
      <c r="F9477" s="7"/>
      <c r="G9477" s="7"/>
      <c r="H9477" s="7">
        <f t="shared" si="1"/>
        <v>1029</v>
      </c>
    </row>
    <row r="9478" ht="22.5" customHeight="1">
      <c r="B9478" s="7"/>
      <c r="C9478" s="7"/>
      <c r="D9478" s="7"/>
      <c r="E9478" s="7"/>
      <c r="F9478" s="7"/>
      <c r="G9478" s="7"/>
      <c r="H9478" s="7">
        <f t="shared" si="1"/>
        <v>1029</v>
      </c>
    </row>
    <row r="9479" ht="22.5" customHeight="1">
      <c r="B9479" s="7"/>
      <c r="C9479" s="7"/>
      <c r="D9479" s="7"/>
      <c r="E9479" s="7"/>
      <c r="F9479" s="7"/>
      <c r="G9479" s="7"/>
      <c r="H9479" s="7">
        <f t="shared" si="1"/>
        <v>1029</v>
      </c>
    </row>
    <row r="9480" ht="22.5" customHeight="1">
      <c r="B9480" s="7"/>
      <c r="C9480" s="7"/>
      <c r="D9480" s="7"/>
      <c r="E9480" s="7"/>
      <c r="F9480" s="7"/>
      <c r="G9480" s="7"/>
      <c r="H9480" s="7">
        <f t="shared" si="1"/>
        <v>1029</v>
      </c>
    </row>
    <row r="9481" ht="22.5" customHeight="1">
      <c r="B9481" s="7"/>
      <c r="C9481" s="7"/>
      <c r="D9481" s="7"/>
      <c r="E9481" s="7"/>
      <c r="F9481" s="7"/>
      <c r="G9481" s="7"/>
      <c r="H9481" s="7">
        <f t="shared" si="1"/>
        <v>1029</v>
      </c>
    </row>
    <row r="9482" ht="22.5" customHeight="1">
      <c r="B9482" s="7"/>
      <c r="C9482" s="7"/>
      <c r="D9482" s="7"/>
      <c r="E9482" s="7"/>
      <c r="F9482" s="7"/>
      <c r="G9482" s="7"/>
      <c r="H9482" s="7">
        <f t="shared" si="1"/>
        <v>1029</v>
      </c>
    </row>
    <row r="9483" ht="22.5" customHeight="1">
      <c r="B9483" s="7"/>
      <c r="C9483" s="7"/>
      <c r="D9483" s="7"/>
      <c r="E9483" s="7"/>
      <c r="F9483" s="7"/>
      <c r="G9483" s="7"/>
      <c r="H9483" s="7">
        <f t="shared" si="1"/>
        <v>1029</v>
      </c>
    </row>
    <row r="9484" ht="22.5" customHeight="1">
      <c r="B9484" s="7"/>
      <c r="C9484" s="7"/>
      <c r="D9484" s="7"/>
      <c r="E9484" s="7"/>
      <c r="F9484" s="7"/>
      <c r="G9484" s="7"/>
      <c r="H9484" s="7">
        <f t="shared" si="1"/>
        <v>1029</v>
      </c>
    </row>
    <row r="9485" ht="22.5" customHeight="1">
      <c r="B9485" s="7"/>
      <c r="C9485" s="7"/>
      <c r="D9485" s="7"/>
      <c r="E9485" s="7"/>
      <c r="F9485" s="7"/>
      <c r="G9485" s="7"/>
      <c r="H9485" s="7">
        <f t="shared" si="1"/>
        <v>1029</v>
      </c>
    </row>
    <row r="9486" ht="22.5" customHeight="1">
      <c r="B9486" s="7"/>
      <c r="C9486" s="7"/>
      <c r="D9486" s="7"/>
      <c r="E9486" s="7"/>
      <c r="F9486" s="7"/>
      <c r="G9486" s="7"/>
      <c r="H9486" s="7">
        <f t="shared" si="1"/>
        <v>1029</v>
      </c>
    </row>
    <row r="9487" ht="22.5" customHeight="1">
      <c r="B9487" s="7"/>
      <c r="C9487" s="7"/>
      <c r="D9487" s="7"/>
      <c r="E9487" s="7"/>
      <c r="F9487" s="7"/>
      <c r="G9487" s="7"/>
      <c r="H9487" s="7">
        <f t="shared" si="1"/>
        <v>1029</v>
      </c>
    </row>
    <row r="9488" ht="22.5" customHeight="1">
      <c r="B9488" s="7"/>
      <c r="C9488" s="7"/>
      <c r="D9488" s="7"/>
      <c r="E9488" s="7"/>
      <c r="F9488" s="7"/>
      <c r="G9488" s="7"/>
      <c r="H9488" s="7">
        <f t="shared" si="1"/>
        <v>1029</v>
      </c>
    </row>
    <row r="9489" ht="22.5" customHeight="1">
      <c r="B9489" s="7"/>
      <c r="C9489" s="7"/>
      <c r="D9489" s="7"/>
      <c r="E9489" s="7"/>
      <c r="F9489" s="7"/>
      <c r="G9489" s="7"/>
      <c r="H9489" s="7">
        <f t="shared" si="1"/>
        <v>1029</v>
      </c>
    </row>
    <row r="9490" ht="22.5" customHeight="1">
      <c r="B9490" s="7"/>
      <c r="C9490" s="7"/>
      <c r="D9490" s="7"/>
      <c r="E9490" s="7"/>
      <c r="F9490" s="7"/>
      <c r="G9490" s="7"/>
      <c r="H9490" s="7">
        <f t="shared" si="1"/>
        <v>1029</v>
      </c>
    </row>
    <row r="9491" ht="22.5" customHeight="1">
      <c r="B9491" s="7"/>
      <c r="C9491" s="7"/>
      <c r="D9491" s="7"/>
      <c r="E9491" s="7"/>
      <c r="F9491" s="7"/>
      <c r="G9491" s="7"/>
      <c r="H9491" s="7">
        <f t="shared" si="1"/>
        <v>1029</v>
      </c>
    </row>
    <row r="9492" ht="22.5" customHeight="1">
      <c r="B9492" s="7"/>
      <c r="C9492" s="7"/>
      <c r="D9492" s="7"/>
      <c r="E9492" s="7"/>
      <c r="F9492" s="7"/>
      <c r="G9492" s="7"/>
      <c r="H9492" s="7">
        <f t="shared" si="1"/>
        <v>1029</v>
      </c>
    </row>
    <row r="9493" ht="22.5" customHeight="1">
      <c r="B9493" s="7"/>
      <c r="C9493" s="7"/>
      <c r="D9493" s="7"/>
      <c r="E9493" s="7"/>
      <c r="F9493" s="7"/>
      <c r="G9493" s="7"/>
      <c r="H9493" s="7">
        <f t="shared" si="1"/>
        <v>1029</v>
      </c>
    </row>
    <row r="9494" ht="22.5" customHeight="1">
      <c r="B9494" s="7"/>
      <c r="C9494" s="7"/>
      <c r="D9494" s="7"/>
      <c r="E9494" s="7"/>
      <c r="F9494" s="7"/>
      <c r="G9494" s="7"/>
      <c r="H9494" s="7">
        <f t="shared" si="1"/>
        <v>1029</v>
      </c>
    </row>
    <row r="9495" ht="22.5" customHeight="1">
      <c r="B9495" s="7"/>
      <c r="C9495" s="7"/>
      <c r="D9495" s="7"/>
      <c r="E9495" s="7"/>
      <c r="F9495" s="7"/>
      <c r="G9495" s="7"/>
      <c r="H9495" s="7">
        <f t="shared" si="1"/>
        <v>1029</v>
      </c>
    </row>
    <row r="9496" ht="22.5" customHeight="1">
      <c r="B9496" s="7"/>
      <c r="C9496" s="7"/>
      <c r="D9496" s="7"/>
      <c r="E9496" s="7"/>
      <c r="F9496" s="7"/>
      <c r="G9496" s="7"/>
      <c r="H9496" s="7">
        <f t="shared" si="1"/>
        <v>1029</v>
      </c>
    </row>
    <row r="9497" ht="22.5" customHeight="1">
      <c r="B9497" s="7"/>
      <c r="C9497" s="7"/>
      <c r="D9497" s="7"/>
      <c r="E9497" s="7"/>
      <c r="F9497" s="7"/>
      <c r="G9497" s="7"/>
      <c r="H9497" s="7">
        <f t="shared" si="1"/>
        <v>1029</v>
      </c>
    </row>
    <row r="9498" ht="22.5" customHeight="1">
      <c r="B9498" s="7"/>
      <c r="C9498" s="7"/>
      <c r="D9498" s="7"/>
      <c r="E9498" s="7"/>
      <c r="F9498" s="7"/>
      <c r="G9498" s="7"/>
      <c r="H9498" s="7">
        <f t="shared" si="1"/>
        <v>1029</v>
      </c>
    </row>
    <row r="9499" ht="22.5" customHeight="1">
      <c r="B9499" s="7"/>
      <c r="C9499" s="7"/>
      <c r="D9499" s="7"/>
      <c r="E9499" s="7"/>
      <c r="F9499" s="7"/>
      <c r="G9499" s="7"/>
      <c r="H9499" s="7">
        <f t="shared" si="1"/>
        <v>1029</v>
      </c>
    </row>
    <row r="9500" ht="22.5" customHeight="1">
      <c r="B9500" s="7"/>
      <c r="C9500" s="7"/>
      <c r="D9500" s="7"/>
      <c r="E9500" s="7"/>
      <c r="F9500" s="7"/>
      <c r="G9500" s="7"/>
      <c r="H9500" s="7">
        <f t="shared" si="1"/>
        <v>1029</v>
      </c>
    </row>
    <row r="9501" ht="22.5" customHeight="1">
      <c r="B9501" s="7"/>
      <c r="C9501" s="7"/>
      <c r="D9501" s="7"/>
      <c r="E9501" s="7"/>
      <c r="F9501" s="7"/>
      <c r="G9501" s="7"/>
      <c r="H9501" s="7">
        <f t="shared" si="1"/>
        <v>1029</v>
      </c>
    </row>
    <row r="9502" ht="22.5" customHeight="1">
      <c r="B9502" s="7"/>
      <c r="C9502" s="7"/>
      <c r="D9502" s="7"/>
      <c r="E9502" s="7"/>
      <c r="F9502" s="7"/>
      <c r="G9502" s="7"/>
      <c r="H9502" s="7">
        <f t="shared" si="1"/>
        <v>1029</v>
      </c>
    </row>
    <row r="9503" ht="22.5" customHeight="1">
      <c r="B9503" s="7"/>
      <c r="C9503" s="7"/>
      <c r="D9503" s="7"/>
      <c r="E9503" s="7"/>
      <c r="F9503" s="7"/>
      <c r="G9503" s="7"/>
      <c r="H9503" s="7">
        <f t="shared" si="1"/>
        <v>1029</v>
      </c>
    </row>
    <row r="9504" ht="22.5" customHeight="1">
      <c r="B9504" s="7"/>
      <c r="C9504" s="7"/>
      <c r="D9504" s="7"/>
      <c r="E9504" s="7"/>
      <c r="F9504" s="7"/>
      <c r="G9504" s="7"/>
      <c r="H9504" s="7">
        <f t="shared" si="1"/>
        <v>1029</v>
      </c>
    </row>
    <row r="9505" ht="22.5" customHeight="1">
      <c r="B9505" s="7"/>
      <c r="C9505" s="7"/>
      <c r="D9505" s="7"/>
      <c r="E9505" s="7"/>
      <c r="F9505" s="7"/>
      <c r="G9505" s="7"/>
      <c r="H9505" s="7">
        <f t="shared" si="1"/>
        <v>1029</v>
      </c>
    </row>
    <row r="9506" ht="22.5" customHeight="1">
      <c r="B9506" s="7"/>
      <c r="C9506" s="7"/>
      <c r="D9506" s="7"/>
      <c r="E9506" s="7"/>
      <c r="F9506" s="7"/>
      <c r="G9506" s="7"/>
      <c r="H9506" s="7">
        <f t="shared" si="1"/>
        <v>1029</v>
      </c>
    </row>
    <row r="9507" ht="22.5" customHeight="1">
      <c r="B9507" s="7"/>
      <c r="C9507" s="7"/>
      <c r="D9507" s="7"/>
      <c r="E9507" s="7"/>
      <c r="F9507" s="7"/>
      <c r="G9507" s="7"/>
      <c r="H9507" s="7">
        <f t="shared" si="1"/>
        <v>1029</v>
      </c>
    </row>
    <row r="9508" ht="22.5" customHeight="1">
      <c r="B9508" s="7"/>
      <c r="C9508" s="7"/>
      <c r="D9508" s="7"/>
      <c r="E9508" s="7"/>
      <c r="F9508" s="7"/>
      <c r="G9508" s="7"/>
      <c r="H9508" s="7">
        <f t="shared" si="1"/>
        <v>1029</v>
      </c>
    </row>
    <row r="9509" ht="22.5" customHeight="1">
      <c r="B9509" s="7"/>
      <c r="C9509" s="7"/>
      <c r="D9509" s="7"/>
      <c r="E9509" s="7"/>
      <c r="F9509" s="7"/>
      <c r="G9509" s="7"/>
      <c r="H9509" s="7">
        <f t="shared" si="1"/>
        <v>1029</v>
      </c>
    </row>
    <row r="9510" ht="22.5" customHeight="1">
      <c r="B9510" s="7"/>
      <c r="C9510" s="7"/>
      <c r="D9510" s="7"/>
      <c r="E9510" s="7"/>
      <c r="F9510" s="7"/>
      <c r="G9510" s="7"/>
      <c r="H9510" s="7">
        <f t="shared" si="1"/>
        <v>1029</v>
      </c>
    </row>
    <row r="9511" ht="22.5" customHeight="1">
      <c r="B9511" s="7"/>
      <c r="C9511" s="7"/>
      <c r="D9511" s="7"/>
      <c r="E9511" s="7"/>
      <c r="F9511" s="7"/>
      <c r="G9511" s="7"/>
      <c r="H9511" s="7">
        <f t="shared" si="1"/>
        <v>1029</v>
      </c>
    </row>
    <row r="9512" ht="22.5" customHeight="1">
      <c r="B9512" s="7"/>
      <c r="C9512" s="7"/>
      <c r="D9512" s="7"/>
      <c r="E9512" s="7"/>
      <c r="F9512" s="7"/>
      <c r="G9512" s="7"/>
      <c r="H9512" s="7">
        <f t="shared" si="1"/>
        <v>1029</v>
      </c>
    </row>
    <row r="9513" ht="22.5" customHeight="1">
      <c r="B9513" s="7"/>
      <c r="C9513" s="7"/>
      <c r="D9513" s="7"/>
      <c r="E9513" s="7"/>
      <c r="F9513" s="7"/>
      <c r="G9513" s="7"/>
      <c r="H9513" s="7">
        <f t="shared" si="1"/>
        <v>1029</v>
      </c>
    </row>
    <row r="9514" ht="22.5" customHeight="1">
      <c r="B9514" s="7"/>
      <c r="C9514" s="7"/>
      <c r="D9514" s="7"/>
      <c r="E9514" s="7"/>
      <c r="F9514" s="7"/>
      <c r="G9514" s="7"/>
      <c r="H9514" s="7">
        <f t="shared" si="1"/>
        <v>1029</v>
      </c>
    </row>
    <row r="9515" ht="22.5" customHeight="1">
      <c r="B9515" s="7"/>
      <c r="C9515" s="7"/>
      <c r="D9515" s="7"/>
      <c r="E9515" s="7"/>
      <c r="F9515" s="7"/>
      <c r="G9515" s="7"/>
      <c r="H9515" s="7">
        <f t="shared" si="1"/>
        <v>1029</v>
      </c>
    </row>
    <row r="9516" ht="22.5" customHeight="1">
      <c r="B9516" s="7"/>
      <c r="C9516" s="7"/>
      <c r="D9516" s="7"/>
      <c r="E9516" s="7"/>
      <c r="F9516" s="7"/>
      <c r="G9516" s="7"/>
      <c r="H9516" s="7">
        <f t="shared" si="1"/>
        <v>1029</v>
      </c>
    </row>
    <row r="9517" ht="22.5" customHeight="1">
      <c r="B9517" s="7"/>
      <c r="C9517" s="7"/>
      <c r="D9517" s="7"/>
      <c r="E9517" s="7"/>
      <c r="F9517" s="7"/>
      <c r="G9517" s="7"/>
      <c r="H9517" s="7">
        <f t="shared" si="1"/>
        <v>1029</v>
      </c>
    </row>
    <row r="9518" ht="22.5" customHeight="1">
      <c r="B9518" s="7"/>
      <c r="C9518" s="7"/>
      <c r="D9518" s="7"/>
      <c r="E9518" s="7"/>
      <c r="F9518" s="7"/>
      <c r="G9518" s="7"/>
      <c r="H9518" s="7">
        <f t="shared" si="1"/>
        <v>1029</v>
      </c>
    </row>
    <row r="9519" ht="22.5" customHeight="1">
      <c r="B9519" s="7"/>
      <c r="C9519" s="7"/>
      <c r="D9519" s="7"/>
      <c r="E9519" s="7"/>
      <c r="F9519" s="7"/>
      <c r="G9519" s="7"/>
      <c r="H9519" s="7">
        <f t="shared" si="1"/>
        <v>1029</v>
      </c>
    </row>
    <row r="9520" ht="22.5" customHeight="1">
      <c r="B9520" s="7"/>
      <c r="C9520" s="7"/>
      <c r="D9520" s="7"/>
      <c r="E9520" s="7"/>
      <c r="F9520" s="7"/>
      <c r="G9520" s="7"/>
      <c r="H9520" s="7">
        <f t="shared" si="1"/>
        <v>1029</v>
      </c>
    </row>
    <row r="9521" ht="22.5" customHeight="1">
      <c r="B9521" s="7"/>
      <c r="C9521" s="7"/>
      <c r="D9521" s="7"/>
      <c r="E9521" s="7"/>
      <c r="F9521" s="7"/>
      <c r="G9521" s="7"/>
      <c r="H9521" s="7">
        <f t="shared" si="1"/>
        <v>1029</v>
      </c>
    </row>
    <row r="9522" ht="22.5" customHeight="1">
      <c r="B9522" s="7"/>
      <c r="C9522" s="7"/>
      <c r="D9522" s="7"/>
      <c r="E9522" s="7"/>
      <c r="F9522" s="7"/>
      <c r="G9522" s="7"/>
      <c r="H9522" s="7">
        <f t="shared" si="1"/>
        <v>1029</v>
      </c>
    </row>
    <row r="9523" ht="22.5" customHeight="1">
      <c r="B9523" s="7"/>
      <c r="C9523" s="7"/>
      <c r="D9523" s="7"/>
      <c r="E9523" s="7"/>
      <c r="F9523" s="7"/>
      <c r="G9523" s="7"/>
      <c r="H9523" s="7">
        <f t="shared" si="1"/>
        <v>1029</v>
      </c>
    </row>
    <row r="9524" ht="22.5" customHeight="1">
      <c r="B9524" s="7"/>
      <c r="C9524" s="7"/>
      <c r="D9524" s="7"/>
      <c r="E9524" s="7"/>
      <c r="F9524" s="7"/>
      <c r="G9524" s="7"/>
      <c r="H9524" s="7">
        <f t="shared" si="1"/>
        <v>1029</v>
      </c>
    </row>
    <row r="9525" ht="22.5" customHeight="1">
      <c r="B9525" s="7"/>
      <c r="C9525" s="7"/>
      <c r="D9525" s="7"/>
      <c r="E9525" s="7"/>
      <c r="F9525" s="7"/>
      <c r="G9525" s="7"/>
      <c r="H9525" s="7">
        <f t="shared" si="1"/>
        <v>1029</v>
      </c>
    </row>
    <row r="9526" ht="22.5" customHeight="1">
      <c r="B9526" s="7"/>
      <c r="C9526" s="7"/>
      <c r="D9526" s="7"/>
      <c r="E9526" s="7"/>
      <c r="F9526" s="7"/>
      <c r="G9526" s="7"/>
      <c r="H9526" s="7">
        <f t="shared" si="1"/>
        <v>1029</v>
      </c>
    </row>
    <row r="9527" ht="22.5" customHeight="1">
      <c r="B9527" s="7"/>
      <c r="C9527" s="7"/>
      <c r="D9527" s="7"/>
      <c r="E9527" s="7"/>
      <c r="F9527" s="7"/>
      <c r="G9527" s="7"/>
      <c r="H9527" s="7">
        <f t="shared" si="1"/>
        <v>1029</v>
      </c>
    </row>
    <row r="9528" ht="22.5" customHeight="1">
      <c r="B9528" s="7"/>
      <c r="C9528" s="7"/>
      <c r="D9528" s="7"/>
      <c r="E9528" s="7"/>
      <c r="F9528" s="7"/>
      <c r="G9528" s="7"/>
      <c r="H9528" s="7">
        <f t="shared" si="1"/>
        <v>1029</v>
      </c>
    </row>
    <row r="9529" ht="22.5" customHeight="1">
      <c r="B9529" s="7"/>
      <c r="C9529" s="7"/>
      <c r="D9529" s="7"/>
      <c r="E9529" s="7"/>
      <c r="F9529" s="7"/>
      <c r="G9529" s="7"/>
      <c r="H9529" s="7">
        <f t="shared" si="1"/>
        <v>1029</v>
      </c>
    </row>
    <row r="9530" ht="22.5" customHeight="1">
      <c r="B9530" s="7"/>
      <c r="C9530" s="7"/>
      <c r="D9530" s="7"/>
      <c r="E9530" s="7"/>
      <c r="F9530" s="7"/>
      <c r="G9530" s="7"/>
      <c r="H9530" s="7">
        <f t="shared" si="1"/>
        <v>1029</v>
      </c>
    </row>
    <row r="9531" ht="22.5" customHeight="1">
      <c r="B9531" s="7"/>
      <c r="C9531" s="7"/>
      <c r="D9531" s="7"/>
      <c r="E9531" s="7"/>
      <c r="F9531" s="7"/>
      <c r="G9531" s="7"/>
      <c r="H9531" s="7">
        <f t="shared" si="1"/>
        <v>1029</v>
      </c>
    </row>
    <row r="9532" ht="22.5" customHeight="1">
      <c r="B9532" s="7"/>
      <c r="C9532" s="7"/>
      <c r="D9532" s="7"/>
      <c r="E9532" s="7"/>
      <c r="F9532" s="7"/>
      <c r="G9532" s="7"/>
      <c r="H9532" s="7">
        <f t="shared" si="1"/>
        <v>1029</v>
      </c>
    </row>
    <row r="9533" ht="22.5" customHeight="1">
      <c r="B9533" s="7"/>
      <c r="C9533" s="7"/>
      <c r="D9533" s="7"/>
      <c r="E9533" s="7"/>
      <c r="F9533" s="7"/>
      <c r="G9533" s="7"/>
      <c r="H9533" s="7">
        <f t="shared" si="1"/>
        <v>1029</v>
      </c>
    </row>
    <row r="9534" ht="22.5" customHeight="1">
      <c r="B9534" s="7"/>
      <c r="C9534" s="7"/>
      <c r="D9534" s="7"/>
      <c r="E9534" s="7"/>
      <c r="F9534" s="7"/>
      <c r="G9534" s="7"/>
      <c r="H9534" s="7">
        <f t="shared" si="1"/>
        <v>1029</v>
      </c>
    </row>
    <row r="9535" ht="22.5" customHeight="1">
      <c r="B9535" s="7"/>
      <c r="C9535" s="7"/>
      <c r="D9535" s="7"/>
      <c r="E9535" s="7"/>
      <c r="F9535" s="7"/>
      <c r="G9535" s="7"/>
      <c r="H9535" s="7">
        <f t="shared" si="1"/>
        <v>1029</v>
      </c>
    </row>
    <row r="9536" ht="22.5" customHeight="1">
      <c r="B9536" s="7"/>
      <c r="C9536" s="7"/>
      <c r="D9536" s="7"/>
      <c r="E9536" s="7"/>
      <c r="F9536" s="7"/>
      <c r="G9536" s="7"/>
      <c r="H9536" s="7">
        <f t="shared" si="1"/>
        <v>1029</v>
      </c>
    </row>
    <row r="9537" ht="22.5" customHeight="1">
      <c r="B9537" s="7"/>
      <c r="C9537" s="7"/>
      <c r="D9537" s="7"/>
      <c r="E9537" s="7"/>
      <c r="F9537" s="7"/>
      <c r="G9537" s="7"/>
      <c r="H9537" s="7">
        <f t="shared" si="1"/>
        <v>1029</v>
      </c>
    </row>
    <row r="9538" ht="22.5" customHeight="1">
      <c r="B9538" s="7"/>
      <c r="C9538" s="7"/>
      <c r="D9538" s="7"/>
      <c r="E9538" s="7"/>
      <c r="F9538" s="7"/>
      <c r="G9538" s="7"/>
      <c r="H9538" s="7">
        <f t="shared" si="1"/>
        <v>1029</v>
      </c>
    </row>
    <row r="9539" ht="22.5" customHeight="1">
      <c r="B9539" s="7"/>
      <c r="C9539" s="7"/>
      <c r="D9539" s="7"/>
      <c r="E9539" s="7"/>
      <c r="F9539" s="7"/>
      <c r="G9539" s="7"/>
      <c r="H9539" s="7">
        <f t="shared" si="1"/>
        <v>1029</v>
      </c>
    </row>
    <row r="9540" ht="22.5" customHeight="1">
      <c r="B9540" s="7"/>
      <c r="C9540" s="7"/>
      <c r="D9540" s="7"/>
      <c r="E9540" s="7"/>
      <c r="F9540" s="7"/>
      <c r="G9540" s="7"/>
      <c r="H9540" s="7">
        <f t="shared" si="1"/>
        <v>1029</v>
      </c>
    </row>
    <row r="9541" ht="22.5" customHeight="1">
      <c r="B9541" s="7"/>
      <c r="C9541" s="7"/>
      <c r="D9541" s="7"/>
      <c r="E9541" s="7"/>
      <c r="F9541" s="7"/>
      <c r="G9541" s="7"/>
      <c r="H9541" s="7">
        <f t="shared" si="1"/>
        <v>1029</v>
      </c>
    </row>
    <row r="9542" ht="22.5" customHeight="1">
      <c r="B9542" s="7"/>
      <c r="C9542" s="7"/>
      <c r="D9542" s="7"/>
      <c r="E9542" s="7"/>
      <c r="F9542" s="7"/>
      <c r="G9542" s="7"/>
      <c r="H9542" s="7">
        <f t="shared" si="1"/>
        <v>1029</v>
      </c>
    </row>
    <row r="9543" ht="22.5" customHeight="1">
      <c r="B9543" s="7"/>
      <c r="C9543" s="7"/>
      <c r="D9543" s="7"/>
      <c r="E9543" s="7"/>
      <c r="F9543" s="7"/>
      <c r="G9543" s="7"/>
      <c r="H9543" s="7">
        <f t="shared" si="1"/>
        <v>1029</v>
      </c>
    </row>
    <row r="9544" ht="22.5" customHeight="1">
      <c r="B9544" s="7"/>
      <c r="C9544" s="7"/>
      <c r="D9544" s="7"/>
      <c r="E9544" s="7"/>
      <c r="F9544" s="7"/>
      <c r="G9544" s="7"/>
      <c r="H9544" s="7">
        <f t="shared" si="1"/>
        <v>1029</v>
      </c>
    </row>
    <row r="9545" ht="22.5" customHeight="1">
      <c r="B9545" s="7"/>
      <c r="C9545" s="7"/>
      <c r="D9545" s="7"/>
      <c r="E9545" s="7"/>
      <c r="F9545" s="7"/>
      <c r="G9545" s="7"/>
      <c r="H9545" s="7">
        <f t="shared" si="1"/>
        <v>1029</v>
      </c>
    </row>
    <row r="9546" ht="22.5" customHeight="1">
      <c r="B9546" s="7"/>
      <c r="C9546" s="7"/>
      <c r="D9546" s="7"/>
      <c r="E9546" s="7"/>
      <c r="F9546" s="7"/>
      <c r="G9546" s="7"/>
      <c r="H9546" s="7">
        <f t="shared" si="1"/>
        <v>1029</v>
      </c>
    </row>
    <row r="9547" ht="22.5" customHeight="1">
      <c r="B9547" s="7"/>
      <c r="C9547" s="7"/>
      <c r="D9547" s="7"/>
      <c r="E9547" s="7"/>
      <c r="F9547" s="7"/>
      <c r="G9547" s="7"/>
      <c r="H9547" s="7">
        <f t="shared" si="1"/>
        <v>1029</v>
      </c>
    </row>
    <row r="9548" ht="22.5" customHeight="1">
      <c r="B9548" s="7"/>
      <c r="C9548" s="7"/>
      <c r="D9548" s="7"/>
      <c r="E9548" s="7"/>
      <c r="F9548" s="7"/>
      <c r="G9548" s="7"/>
      <c r="H9548" s="7">
        <f t="shared" si="1"/>
        <v>1029</v>
      </c>
    </row>
    <row r="9549" ht="22.5" customHeight="1">
      <c r="B9549" s="7"/>
      <c r="C9549" s="7"/>
      <c r="D9549" s="7"/>
      <c r="E9549" s="7"/>
      <c r="F9549" s="7"/>
      <c r="G9549" s="7"/>
      <c r="H9549" s="7">
        <f t="shared" si="1"/>
        <v>1029</v>
      </c>
    </row>
    <row r="9550" ht="22.5" customHeight="1">
      <c r="B9550" s="7"/>
      <c r="C9550" s="7"/>
      <c r="D9550" s="7"/>
      <c r="E9550" s="7"/>
      <c r="F9550" s="7"/>
      <c r="G9550" s="7"/>
      <c r="H9550" s="7">
        <f t="shared" si="1"/>
        <v>1029</v>
      </c>
    </row>
    <row r="9551" ht="22.5" customHeight="1">
      <c r="B9551" s="7"/>
      <c r="C9551" s="7"/>
      <c r="D9551" s="7"/>
      <c r="E9551" s="7"/>
      <c r="F9551" s="7"/>
      <c r="G9551" s="7"/>
      <c r="H9551" s="7">
        <f t="shared" si="1"/>
        <v>1029</v>
      </c>
    </row>
    <row r="9552" ht="22.5" customHeight="1">
      <c r="B9552" s="7"/>
      <c r="C9552" s="7"/>
      <c r="D9552" s="7"/>
      <c r="E9552" s="7"/>
      <c r="F9552" s="7"/>
      <c r="G9552" s="7"/>
      <c r="H9552" s="7">
        <f t="shared" si="1"/>
        <v>1029</v>
      </c>
    </row>
    <row r="9553" ht="22.5" customHeight="1">
      <c r="B9553" s="7"/>
      <c r="C9553" s="7"/>
      <c r="D9553" s="7"/>
      <c r="E9553" s="7"/>
      <c r="F9553" s="7"/>
      <c r="G9553" s="7"/>
      <c r="H9553" s="7">
        <f t="shared" si="1"/>
        <v>1029</v>
      </c>
    </row>
    <row r="9554" ht="22.5" customHeight="1">
      <c r="B9554" s="7"/>
      <c r="C9554" s="7"/>
      <c r="D9554" s="7"/>
      <c r="E9554" s="7"/>
      <c r="F9554" s="7"/>
      <c r="G9554" s="7"/>
      <c r="H9554" s="7">
        <f t="shared" si="1"/>
        <v>1029</v>
      </c>
    </row>
    <row r="9555" ht="22.5" customHeight="1">
      <c r="B9555" s="7"/>
      <c r="C9555" s="7"/>
      <c r="D9555" s="7"/>
      <c r="E9555" s="7"/>
      <c r="F9555" s="7"/>
      <c r="G9555" s="7"/>
      <c r="H9555" s="7">
        <f t="shared" si="1"/>
        <v>1029</v>
      </c>
    </row>
    <row r="9556" ht="22.5" customHeight="1">
      <c r="B9556" s="7"/>
      <c r="C9556" s="7"/>
      <c r="D9556" s="7"/>
      <c r="E9556" s="7"/>
      <c r="F9556" s="7"/>
      <c r="G9556" s="7"/>
      <c r="H9556" s="7">
        <f t="shared" si="1"/>
        <v>1029</v>
      </c>
    </row>
    <row r="9557" ht="22.5" customHeight="1">
      <c r="B9557" s="7"/>
      <c r="C9557" s="7"/>
      <c r="D9557" s="7"/>
      <c r="E9557" s="7"/>
      <c r="F9557" s="7"/>
      <c r="G9557" s="7"/>
      <c r="H9557" s="7">
        <f t="shared" si="1"/>
        <v>1029</v>
      </c>
    </row>
    <row r="9558" ht="22.5" customHeight="1">
      <c r="B9558" s="7"/>
      <c r="C9558" s="7"/>
      <c r="D9558" s="7"/>
      <c r="E9558" s="7"/>
      <c r="F9558" s="7"/>
      <c r="G9558" s="7"/>
      <c r="H9558" s="7">
        <f t="shared" si="1"/>
        <v>1029</v>
      </c>
    </row>
    <row r="9559" ht="22.5" customHeight="1">
      <c r="B9559" s="7"/>
      <c r="C9559" s="7"/>
      <c r="D9559" s="7"/>
      <c r="E9559" s="7"/>
      <c r="F9559" s="7"/>
      <c r="G9559" s="7"/>
      <c r="H9559" s="7">
        <f t="shared" si="1"/>
        <v>1029</v>
      </c>
    </row>
    <row r="9560" ht="22.5" customHeight="1">
      <c r="B9560" s="7"/>
      <c r="C9560" s="7"/>
      <c r="D9560" s="7"/>
      <c r="E9560" s="7"/>
      <c r="F9560" s="7"/>
      <c r="G9560" s="7"/>
      <c r="H9560" s="7">
        <f t="shared" si="1"/>
        <v>1029</v>
      </c>
    </row>
    <row r="9561" ht="22.5" customHeight="1">
      <c r="B9561" s="7"/>
      <c r="C9561" s="7"/>
      <c r="D9561" s="7"/>
      <c r="E9561" s="7"/>
      <c r="F9561" s="7"/>
      <c r="G9561" s="7"/>
      <c r="H9561" s="7">
        <f t="shared" si="1"/>
        <v>1029</v>
      </c>
    </row>
    <row r="9562" ht="22.5" customHeight="1">
      <c r="B9562" s="7"/>
      <c r="C9562" s="7"/>
      <c r="D9562" s="7"/>
      <c r="E9562" s="7"/>
      <c r="F9562" s="7"/>
      <c r="G9562" s="7"/>
      <c r="H9562" s="7">
        <f t="shared" si="1"/>
        <v>1029</v>
      </c>
    </row>
    <row r="9563" ht="22.5" customHeight="1">
      <c r="B9563" s="7"/>
      <c r="C9563" s="7"/>
      <c r="D9563" s="7"/>
      <c r="E9563" s="7"/>
      <c r="F9563" s="7"/>
      <c r="G9563" s="7"/>
      <c r="H9563" s="7">
        <f t="shared" si="1"/>
        <v>1029</v>
      </c>
    </row>
    <row r="9564" ht="22.5" customHeight="1">
      <c r="B9564" s="7"/>
      <c r="C9564" s="7"/>
      <c r="D9564" s="7"/>
      <c r="E9564" s="7"/>
      <c r="F9564" s="7"/>
      <c r="G9564" s="7"/>
      <c r="H9564" s="7">
        <f t="shared" si="1"/>
        <v>1029</v>
      </c>
    </row>
    <row r="9565" ht="22.5" customHeight="1">
      <c r="B9565" s="7"/>
      <c r="C9565" s="7"/>
      <c r="D9565" s="7"/>
      <c r="E9565" s="7"/>
      <c r="F9565" s="7"/>
      <c r="G9565" s="7"/>
      <c r="H9565" s="7">
        <f t="shared" si="1"/>
        <v>1029</v>
      </c>
    </row>
    <row r="9566" ht="22.5" customHeight="1">
      <c r="B9566" s="7"/>
      <c r="C9566" s="7"/>
      <c r="D9566" s="7"/>
      <c r="E9566" s="7"/>
      <c r="F9566" s="7"/>
      <c r="G9566" s="7"/>
      <c r="H9566" s="7">
        <f t="shared" si="1"/>
        <v>1029</v>
      </c>
    </row>
    <row r="9567" ht="22.5" customHeight="1">
      <c r="B9567" s="7"/>
      <c r="C9567" s="7"/>
      <c r="D9567" s="7"/>
      <c r="E9567" s="7"/>
      <c r="F9567" s="7"/>
      <c r="G9567" s="7"/>
      <c r="H9567" s="7">
        <f t="shared" si="1"/>
        <v>1029</v>
      </c>
    </row>
    <row r="9568" ht="22.5" customHeight="1">
      <c r="B9568" s="7"/>
      <c r="C9568" s="7"/>
      <c r="D9568" s="7"/>
      <c r="E9568" s="7"/>
      <c r="F9568" s="7"/>
      <c r="G9568" s="7"/>
      <c r="H9568" s="7">
        <f t="shared" si="1"/>
        <v>1029</v>
      </c>
    </row>
    <row r="9569" ht="22.5" customHeight="1">
      <c r="B9569" s="7"/>
      <c r="C9569" s="7"/>
      <c r="D9569" s="7"/>
      <c r="E9569" s="7"/>
      <c r="F9569" s="7"/>
      <c r="G9569" s="7"/>
      <c r="H9569" s="7">
        <f t="shared" si="1"/>
        <v>1029</v>
      </c>
    </row>
    <row r="9570" ht="22.5" customHeight="1">
      <c r="B9570" s="7"/>
      <c r="C9570" s="7"/>
      <c r="D9570" s="7"/>
      <c r="E9570" s="7"/>
      <c r="F9570" s="7"/>
      <c r="G9570" s="7"/>
      <c r="H9570" s="7">
        <f t="shared" si="1"/>
        <v>1029</v>
      </c>
    </row>
    <row r="9571" ht="22.5" customHeight="1">
      <c r="B9571" s="7"/>
      <c r="C9571" s="7"/>
      <c r="D9571" s="7"/>
      <c r="E9571" s="7"/>
      <c r="F9571" s="7"/>
      <c r="G9571" s="7"/>
      <c r="H9571" s="7">
        <f t="shared" si="1"/>
        <v>1029</v>
      </c>
    </row>
    <row r="9572" ht="22.5" customHeight="1">
      <c r="B9572" s="7"/>
      <c r="C9572" s="7"/>
      <c r="D9572" s="7"/>
      <c r="E9572" s="7"/>
      <c r="F9572" s="7"/>
      <c r="G9572" s="7"/>
      <c r="H9572" s="7">
        <f t="shared" si="1"/>
        <v>1029</v>
      </c>
    </row>
    <row r="9573" ht="22.5" customHeight="1">
      <c r="B9573" s="7"/>
      <c r="C9573" s="7"/>
      <c r="D9573" s="7"/>
      <c r="E9573" s="7"/>
      <c r="F9573" s="7"/>
      <c r="G9573" s="7"/>
      <c r="H9573" s="7">
        <f t="shared" si="1"/>
        <v>1029</v>
      </c>
    </row>
    <row r="9574" ht="22.5" customHeight="1">
      <c r="B9574" s="7"/>
      <c r="C9574" s="7"/>
      <c r="D9574" s="7"/>
      <c r="E9574" s="7"/>
      <c r="F9574" s="7"/>
      <c r="G9574" s="7"/>
      <c r="H9574" s="7">
        <f t="shared" si="1"/>
        <v>1029</v>
      </c>
    </row>
    <row r="9575" ht="22.5" customHeight="1">
      <c r="B9575" s="7"/>
      <c r="C9575" s="7"/>
      <c r="D9575" s="7"/>
      <c r="E9575" s="7"/>
      <c r="F9575" s="7"/>
      <c r="G9575" s="7"/>
      <c r="H9575" s="7">
        <f t="shared" si="1"/>
        <v>1029</v>
      </c>
    </row>
    <row r="9576" ht="22.5" customHeight="1">
      <c r="B9576" s="7"/>
      <c r="C9576" s="7"/>
      <c r="D9576" s="7"/>
      <c r="E9576" s="7"/>
      <c r="F9576" s="7"/>
      <c r="G9576" s="7"/>
      <c r="H9576" s="7">
        <f t="shared" si="1"/>
        <v>1029</v>
      </c>
    </row>
    <row r="9577" ht="22.5" customHeight="1">
      <c r="B9577" s="7"/>
      <c r="C9577" s="7"/>
      <c r="D9577" s="7"/>
      <c r="E9577" s="7"/>
      <c r="F9577" s="7"/>
      <c r="G9577" s="7"/>
      <c r="H9577" s="7">
        <f t="shared" si="1"/>
        <v>1029</v>
      </c>
    </row>
    <row r="9578" ht="22.5" customHeight="1">
      <c r="B9578" s="7"/>
      <c r="C9578" s="7"/>
      <c r="D9578" s="7"/>
      <c r="E9578" s="7"/>
      <c r="F9578" s="7"/>
      <c r="G9578" s="7"/>
      <c r="H9578" s="7">
        <f t="shared" si="1"/>
        <v>1029</v>
      </c>
    </row>
    <row r="9579" ht="22.5" customHeight="1">
      <c r="B9579" s="7"/>
      <c r="C9579" s="7"/>
      <c r="D9579" s="7"/>
      <c r="E9579" s="7"/>
      <c r="F9579" s="7"/>
      <c r="G9579" s="7"/>
      <c r="H9579" s="7">
        <f t="shared" si="1"/>
        <v>1029</v>
      </c>
    </row>
    <row r="9580" ht="22.5" customHeight="1">
      <c r="B9580" s="7"/>
      <c r="C9580" s="7"/>
      <c r="D9580" s="7"/>
      <c r="E9580" s="7"/>
      <c r="F9580" s="7"/>
      <c r="G9580" s="7"/>
      <c r="H9580" s="7">
        <f t="shared" si="1"/>
        <v>1029</v>
      </c>
    </row>
    <row r="9581" ht="22.5" customHeight="1">
      <c r="B9581" s="7"/>
      <c r="C9581" s="7"/>
      <c r="D9581" s="7"/>
      <c r="E9581" s="7"/>
      <c r="F9581" s="7"/>
      <c r="G9581" s="7"/>
      <c r="H9581" s="7">
        <f t="shared" si="1"/>
        <v>1029</v>
      </c>
    </row>
    <row r="9582" ht="22.5" customHeight="1">
      <c r="B9582" s="7"/>
      <c r="C9582" s="7"/>
      <c r="D9582" s="7"/>
      <c r="E9582" s="7"/>
      <c r="F9582" s="7"/>
      <c r="G9582" s="7"/>
      <c r="H9582" s="7">
        <f t="shared" si="1"/>
        <v>1029</v>
      </c>
    </row>
    <row r="9583" ht="22.5" customHeight="1">
      <c r="B9583" s="7"/>
      <c r="C9583" s="7"/>
      <c r="D9583" s="7"/>
      <c r="E9583" s="7"/>
      <c r="F9583" s="7"/>
      <c r="G9583" s="7"/>
      <c r="H9583" s="7">
        <f t="shared" si="1"/>
        <v>1029</v>
      </c>
    </row>
    <row r="9584" ht="22.5" customHeight="1">
      <c r="B9584" s="7"/>
      <c r="C9584" s="7"/>
      <c r="D9584" s="7"/>
      <c r="E9584" s="7"/>
      <c r="F9584" s="7"/>
      <c r="G9584" s="7"/>
      <c r="H9584" s="7">
        <f t="shared" si="1"/>
        <v>1029</v>
      </c>
    </row>
    <row r="9585" ht="22.5" customHeight="1">
      <c r="B9585" s="7"/>
      <c r="C9585" s="7"/>
      <c r="D9585" s="7"/>
      <c r="E9585" s="7"/>
      <c r="F9585" s="7"/>
      <c r="G9585" s="7"/>
      <c r="H9585" s="7">
        <f t="shared" si="1"/>
        <v>1029</v>
      </c>
    </row>
    <row r="9586" ht="22.5" customHeight="1">
      <c r="B9586" s="7"/>
      <c r="C9586" s="7"/>
      <c r="D9586" s="7"/>
      <c r="E9586" s="7"/>
      <c r="F9586" s="7"/>
      <c r="G9586" s="7"/>
      <c r="H9586" s="7">
        <f t="shared" si="1"/>
        <v>1029</v>
      </c>
    </row>
    <row r="9587" ht="22.5" customHeight="1">
      <c r="B9587" s="7"/>
      <c r="C9587" s="7"/>
      <c r="D9587" s="7"/>
      <c r="E9587" s="7"/>
      <c r="F9587" s="7"/>
      <c r="G9587" s="7"/>
      <c r="H9587" s="7">
        <f t="shared" si="1"/>
        <v>1029</v>
      </c>
    </row>
    <row r="9588" ht="22.5" customHeight="1">
      <c r="B9588" s="7"/>
      <c r="C9588" s="7"/>
      <c r="D9588" s="7"/>
      <c r="E9588" s="7"/>
      <c r="F9588" s="7"/>
      <c r="G9588" s="7"/>
      <c r="H9588" s="7">
        <f t="shared" si="1"/>
        <v>1029</v>
      </c>
    </row>
    <row r="9589" ht="22.5" customHeight="1">
      <c r="B9589" s="7"/>
      <c r="C9589" s="7"/>
      <c r="D9589" s="7"/>
      <c r="E9589" s="7"/>
      <c r="F9589" s="7"/>
      <c r="G9589" s="7"/>
      <c r="H9589" s="7">
        <f t="shared" si="1"/>
        <v>1029</v>
      </c>
    </row>
    <row r="9590" ht="22.5" customHeight="1">
      <c r="B9590" s="7"/>
      <c r="C9590" s="7"/>
      <c r="D9590" s="7"/>
      <c r="E9590" s="7"/>
      <c r="F9590" s="7"/>
      <c r="G9590" s="7"/>
      <c r="H9590" s="7">
        <f t="shared" si="1"/>
        <v>1029</v>
      </c>
    </row>
    <row r="9591" ht="22.5" customHeight="1">
      <c r="B9591" s="7"/>
      <c r="C9591" s="7"/>
      <c r="D9591" s="7"/>
      <c r="E9591" s="7"/>
      <c r="F9591" s="7"/>
      <c r="G9591" s="7"/>
      <c r="H9591" s="7">
        <f t="shared" si="1"/>
        <v>1029</v>
      </c>
    </row>
    <row r="9592" ht="22.5" customHeight="1">
      <c r="B9592" s="7"/>
      <c r="C9592" s="7"/>
      <c r="D9592" s="7"/>
      <c r="E9592" s="7"/>
      <c r="F9592" s="7"/>
      <c r="G9592" s="7"/>
      <c r="H9592" s="7">
        <f t="shared" si="1"/>
        <v>1029</v>
      </c>
    </row>
    <row r="9593" ht="22.5" customHeight="1">
      <c r="B9593" s="7"/>
      <c r="C9593" s="7"/>
      <c r="D9593" s="7"/>
      <c r="E9593" s="7"/>
      <c r="F9593" s="7"/>
      <c r="G9593" s="7"/>
      <c r="H9593" s="7">
        <f t="shared" si="1"/>
        <v>1029</v>
      </c>
    </row>
    <row r="9594" ht="22.5" customHeight="1">
      <c r="B9594" s="7"/>
      <c r="C9594" s="7"/>
      <c r="D9594" s="7"/>
      <c r="E9594" s="7"/>
      <c r="F9594" s="7"/>
      <c r="G9594" s="7"/>
      <c r="H9594" s="7">
        <f t="shared" si="1"/>
        <v>1029</v>
      </c>
    </row>
    <row r="9595" ht="22.5" customHeight="1">
      <c r="B9595" s="7"/>
      <c r="C9595" s="7"/>
      <c r="D9595" s="7"/>
      <c r="E9595" s="7"/>
      <c r="F9595" s="7"/>
      <c r="G9595" s="7"/>
      <c r="H9595" s="7">
        <f t="shared" si="1"/>
        <v>1029</v>
      </c>
    </row>
    <row r="9596" ht="22.5" customHeight="1">
      <c r="B9596" s="7"/>
      <c r="C9596" s="7"/>
      <c r="D9596" s="7"/>
      <c r="E9596" s="7"/>
      <c r="F9596" s="7"/>
      <c r="G9596" s="7"/>
      <c r="H9596" s="7">
        <f t="shared" si="1"/>
        <v>1029</v>
      </c>
    </row>
    <row r="9597" ht="22.5" customHeight="1">
      <c r="B9597" s="7"/>
      <c r="C9597" s="7"/>
      <c r="D9597" s="7"/>
      <c r="E9597" s="7"/>
      <c r="F9597" s="7"/>
      <c r="G9597" s="7"/>
      <c r="H9597" s="7">
        <f t="shared" si="1"/>
        <v>1029</v>
      </c>
    </row>
    <row r="9598" ht="22.5" customHeight="1">
      <c r="B9598" s="7"/>
      <c r="C9598" s="7"/>
      <c r="D9598" s="7"/>
      <c r="E9598" s="7"/>
      <c r="F9598" s="7"/>
      <c r="G9598" s="7"/>
      <c r="H9598" s="7">
        <f t="shared" si="1"/>
        <v>1029</v>
      </c>
    </row>
    <row r="9599" ht="22.5" customHeight="1">
      <c r="B9599" s="7"/>
      <c r="C9599" s="7"/>
      <c r="D9599" s="7"/>
      <c r="E9599" s="7"/>
      <c r="F9599" s="7"/>
      <c r="G9599" s="7"/>
      <c r="H9599" s="7">
        <f t="shared" si="1"/>
        <v>1029</v>
      </c>
    </row>
    <row r="9600" ht="22.5" customHeight="1">
      <c r="B9600" s="7"/>
      <c r="C9600" s="7"/>
      <c r="D9600" s="7"/>
      <c r="E9600" s="7"/>
      <c r="F9600" s="7"/>
      <c r="G9600" s="7"/>
      <c r="H9600" s="7">
        <f t="shared" si="1"/>
        <v>1029</v>
      </c>
    </row>
    <row r="9601" ht="22.5" customHeight="1">
      <c r="B9601" s="7"/>
      <c r="C9601" s="7"/>
      <c r="D9601" s="7"/>
      <c r="E9601" s="7"/>
      <c r="F9601" s="7"/>
      <c r="G9601" s="7"/>
      <c r="H9601" s="7">
        <f t="shared" si="1"/>
        <v>1029</v>
      </c>
    </row>
    <row r="9602" ht="22.5" customHeight="1">
      <c r="B9602" s="7"/>
      <c r="C9602" s="7"/>
      <c r="D9602" s="7"/>
      <c r="E9602" s="7"/>
      <c r="F9602" s="7"/>
      <c r="G9602" s="7"/>
      <c r="H9602" s="7">
        <f t="shared" si="1"/>
        <v>1029</v>
      </c>
    </row>
    <row r="9603" ht="22.5" customHeight="1">
      <c r="B9603" s="7"/>
      <c r="C9603" s="7"/>
      <c r="D9603" s="7"/>
      <c r="E9603" s="7"/>
      <c r="F9603" s="7"/>
      <c r="G9603" s="7"/>
      <c r="H9603" s="7">
        <f t="shared" si="1"/>
        <v>1029</v>
      </c>
    </row>
    <row r="9604" ht="22.5" customHeight="1">
      <c r="B9604" s="7"/>
      <c r="C9604" s="7"/>
      <c r="D9604" s="7"/>
      <c r="E9604" s="7"/>
      <c r="F9604" s="7"/>
      <c r="G9604" s="7"/>
      <c r="H9604" s="7">
        <f t="shared" si="1"/>
        <v>1029</v>
      </c>
    </row>
    <row r="9605" ht="22.5" customHeight="1">
      <c r="B9605" s="7"/>
      <c r="C9605" s="7"/>
      <c r="D9605" s="7"/>
      <c r="E9605" s="7"/>
      <c r="F9605" s="7"/>
      <c r="G9605" s="7"/>
      <c r="H9605" s="7">
        <f t="shared" si="1"/>
        <v>1029</v>
      </c>
    </row>
    <row r="9606" ht="22.5" customHeight="1">
      <c r="B9606" s="7"/>
      <c r="C9606" s="7"/>
      <c r="D9606" s="7"/>
      <c r="E9606" s="7"/>
      <c r="F9606" s="7"/>
      <c r="G9606" s="7"/>
      <c r="H9606" s="7">
        <f t="shared" si="1"/>
        <v>1029</v>
      </c>
    </row>
    <row r="9607" ht="22.5" customHeight="1">
      <c r="B9607" s="7"/>
      <c r="C9607" s="7"/>
      <c r="D9607" s="7"/>
      <c r="E9607" s="7"/>
      <c r="F9607" s="7"/>
      <c r="G9607" s="7"/>
      <c r="H9607" s="7">
        <f t="shared" si="1"/>
        <v>1029</v>
      </c>
    </row>
    <row r="9608" ht="22.5" customHeight="1">
      <c r="B9608" s="7"/>
      <c r="C9608" s="7"/>
      <c r="D9608" s="7"/>
      <c r="E9608" s="7"/>
      <c r="F9608" s="7"/>
      <c r="G9608" s="7"/>
      <c r="H9608" s="7">
        <f t="shared" si="1"/>
        <v>1029</v>
      </c>
    </row>
    <row r="9609" ht="22.5" customHeight="1">
      <c r="B9609" s="7"/>
      <c r="C9609" s="7"/>
      <c r="D9609" s="7"/>
      <c r="E9609" s="7"/>
      <c r="F9609" s="7"/>
      <c r="G9609" s="7"/>
      <c r="H9609" s="7">
        <f t="shared" si="1"/>
        <v>1029</v>
      </c>
    </row>
    <row r="9610" ht="22.5" customHeight="1">
      <c r="B9610" s="7"/>
      <c r="C9610" s="7"/>
      <c r="D9610" s="7"/>
      <c r="E9610" s="7"/>
      <c r="F9610" s="7"/>
      <c r="G9610" s="7"/>
      <c r="H9610" s="7">
        <f t="shared" si="1"/>
        <v>1029</v>
      </c>
    </row>
    <row r="9611" ht="22.5" customHeight="1">
      <c r="B9611" s="7"/>
      <c r="C9611" s="7"/>
      <c r="D9611" s="7"/>
      <c r="E9611" s="7"/>
      <c r="F9611" s="7"/>
      <c r="G9611" s="7"/>
      <c r="H9611" s="7">
        <f t="shared" si="1"/>
        <v>1029</v>
      </c>
    </row>
    <row r="9612" ht="22.5" customHeight="1">
      <c r="B9612" s="7"/>
      <c r="C9612" s="7"/>
      <c r="D9612" s="7"/>
      <c r="E9612" s="7"/>
      <c r="F9612" s="7"/>
      <c r="G9612" s="7"/>
      <c r="H9612" s="7">
        <f t="shared" si="1"/>
        <v>1029</v>
      </c>
    </row>
    <row r="9613" ht="22.5" customHeight="1">
      <c r="B9613" s="7"/>
      <c r="C9613" s="7"/>
      <c r="D9613" s="7"/>
      <c r="E9613" s="7"/>
      <c r="F9613" s="7"/>
      <c r="G9613" s="7"/>
      <c r="H9613" s="7">
        <f t="shared" si="1"/>
        <v>1029</v>
      </c>
    </row>
    <row r="9614" ht="22.5" customHeight="1">
      <c r="B9614" s="7"/>
      <c r="C9614" s="7"/>
      <c r="D9614" s="7"/>
      <c r="E9614" s="7"/>
      <c r="F9614" s="7"/>
      <c r="G9614" s="7"/>
      <c r="H9614" s="7">
        <f t="shared" si="1"/>
        <v>1029</v>
      </c>
    </row>
    <row r="9615" ht="22.5" customHeight="1">
      <c r="B9615" s="7"/>
      <c r="C9615" s="7"/>
      <c r="D9615" s="7"/>
      <c r="E9615" s="7"/>
      <c r="F9615" s="7"/>
      <c r="G9615" s="7"/>
      <c r="H9615" s="7">
        <f t="shared" si="1"/>
        <v>1029</v>
      </c>
    </row>
    <row r="9616" ht="22.5" customHeight="1">
      <c r="B9616" s="7"/>
      <c r="C9616" s="7"/>
      <c r="D9616" s="7"/>
      <c r="E9616" s="7"/>
      <c r="F9616" s="7"/>
      <c r="G9616" s="7"/>
      <c r="H9616" s="7">
        <f t="shared" si="1"/>
        <v>1029</v>
      </c>
    </row>
    <row r="9617" ht="22.5" customHeight="1">
      <c r="B9617" s="7"/>
      <c r="C9617" s="7"/>
      <c r="D9617" s="7"/>
      <c r="E9617" s="7"/>
      <c r="F9617" s="7"/>
      <c r="G9617" s="7"/>
      <c r="H9617" s="7">
        <f t="shared" si="1"/>
        <v>1029</v>
      </c>
    </row>
    <row r="9618" ht="22.5" customHeight="1">
      <c r="B9618" s="7"/>
      <c r="C9618" s="7"/>
      <c r="D9618" s="7"/>
      <c r="E9618" s="7"/>
      <c r="F9618" s="7"/>
      <c r="G9618" s="7"/>
      <c r="H9618" s="7">
        <f t="shared" si="1"/>
        <v>1029</v>
      </c>
    </row>
    <row r="9619" ht="22.5" customHeight="1">
      <c r="B9619" s="7"/>
      <c r="C9619" s="7"/>
      <c r="D9619" s="7"/>
      <c r="E9619" s="7"/>
      <c r="F9619" s="7"/>
      <c r="G9619" s="7"/>
      <c r="H9619" s="7">
        <f t="shared" si="1"/>
        <v>1029</v>
      </c>
    </row>
    <row r="9620" ht="22.5" customHeight="1">
      <c r="B9620" s="7"/>
      <c r="C9620" s="7"/>
      <c r="D9620" s="7"/>
      <c r="E9620" s="7"/>
      <c r="F9620" s="7"/>
      <c r="G9620" s="7"/>
      <c r="H9620" s="7">
        <f t="shared" si="1"/>
        <v>1029</v>
      </c>
    </row>
    <row r="9621" ht="22.5" customHeight="1">
      <c r="B9621" s="7"/>
      <c r="C9621" s="7"/>
      <c r="D9621" s="7"/>
      <c r="E9621" s="7"/>
      <c r="F9621" s="7"/>
      <c r="G9621" s="7"/>
      <c r="H9621" s="7">
        <f t="shared" si="1"/>
        <v>1029</v>
      </c>
    </row>
    <row r="9622" ht="22.5" customHeight="1">
      <c r="B9622" s="7"/>
      <c r="C9622" s="7"/>
      <c r="D9622" s="7"/>
      <c r="E9622" s="7"/>
      <c r="F9622" s="7"/>
      <c r="G9622" s="7"/>
      <c r="H9622" s="7">
        <f t="shared" si="1"/>
        <v>1029</v>
      </c>
    </row>
    <row r="9623" ht="22.5" customHeight="1">
      <c r="B9623" s="7"/>
      <c r="C9623" s="7"/>
      <c r="D9623" s="7"/>
      <c r="E9623" s="7"/>
      <c r="F9623" s="7"/>
      <c r="G9623" s="7"/>
      <c r="H9623" s="7">
        <f t="shared" si="1"/>
        <v>1029</v>
      </c>
    </row>
    <row r="9624" ht="22.5" customHeight="1">
      <c r="B9624" s="7"/>
      <c r="C9624" s="7"/>
      <c r="D9624" s="7"/>
      <c r="E9624" s="7"/>
      <c r="F9624" s="7"/>
      <c r="G9624" s="7"/>
      <c r="H9624" s="7">
        <f t="shared" si="1"/>
        <v>1029</v>
      </c>
    </row>
    <row r="9625" ht="22.5" customHeight="1">
      <c r="B9625" s="7"/>
      <c r="C9625" s="7"/>
      <c r="D9625" s="7"/>
      <c r="E9625" s="7"/>
      <c r="F9625" s="7"/>
      <c r="G9625" s="7"/>
      <c r="H9625" s="7">
        <f t="shared" si="1"/>
        <v>1029</v>
      </c>
    </row>
    <row r="9626" ht="22.5" customHeight="1">
      <c r="B9626" s="7"/>
      <c r="C9626" s="7"/>
      <c r="D9626" s="7"/>
      <c r="E9626" s="7"/>
      <c r="F9626" s="7"/>
      <c r="G9626" s="7"/>
      <c r="H9626" s="7">
        <f t="shared" si="1"/>
        <v>1029</v>
      </c>
    </row>
    <row r="9627" ht="22.5" customHeight="1">
      <c r="B9627" s="7"/>
      <c r="C9627" s="7"/>
      <c r="D9627" s="7"/>
      <c r="E9627" s="7"/>
      <c r="F9627" s="7"/>
      <c r="G9627" s="7"/>
      <c r="H9627" s="7">
        <f t="shared" si="1"/>
        <v>1029</v>
      </c>
    </row>
    <row r="9628" ht="22.5" customHeight="1">
      <c r="B9628" s="7"/>
      <c r="C9628" s="7"/>
      <c r="D9628" s="7"/>
      <c r="E9628" s="7"/>
      <c r="F9628" s="7"/>
      <c r="G9628" s="7"/>
      <c r="H9628" s="7">
        <f t="shared" si="1"/>
        <v>1029</v>
      </c>
    </row>
    <row r="9629" ht="22.5" customHeight="1">
      <c r="B9629" s="7"/>
      <c r="C9629" s="7"/>
      <c r="D9629" s="7"/>
      <c r="E9629" s="7"/>
      <c r="F9629" s="7"/>
      <c r="G9629" s="7"/>
      <c r="H9629" s="7">
        <f t="shared" si="1"/>
        <v>1029</v>
      </c>
    </row>
    <row r="9630" ht="22.5" customHeight="1">
      <c r="B9630" s="7"/>
      <c r="C9630" s="7"/>
      <c r="D9630" s="7"/>
      <c r="E9630" s="7"/>
      <c r="F9630" s="7"/>
      <c r="G9630" s="7"/>
      <c r="H9630" s="7">
        <f t="shared" si="1"/>
        <v>1029</v>
      </c>
    </row>
    <row r="9631" ht="22.5" customHeight="1">
      <c r="B9631" s="7"/>
      <c r="C9631" s="7"/>
      <c r="D9631" s="7"/>
      <c r="E9631" s="7"/>
      <c r="F9631" s="7"/>
      <c r="G9631" s="7"/>
      <c r="H9631" s="7">
        <f t="shared" si="1"/>
        <v>1029</v>
      </c>
    </row>
    <row r="9632" ht="22.5" customHeight="1">
      <c r="B9632" s="7"/>
      <c r="C9632" s="7"/>
      <c r="D9632" s="7"/>
      <c r="E9632" s="7"/>
      <c r="F9632" s="7"/>
      <c r="G9632" s="7"/>
      <c r="H9632" s="7">
        <f t="shared" si="1"/>
        <v>1029</v>
      </c>
    </row>
    <row r="9633" ht="22.5" customHeight="1">
      <c r="B9633" s="7"/>
      <c r="C9633" s="7"/>
      <c r="D9633" s="7"/>
      <c r="E9633" s="7"/>
      <c r="F9633" s="7"/>
      <c r="G9633" s="7"/>
      <c r="H9633" s="7">
        <f t="shared" si="1"/>
        <v>1029</v>
      </c>
    </row>
    <row r="9634" ht="22.5" customHeight="1">
      <c r="B9634" s="7"/>
      <c r="C9634" s="7"/>
      <c r="D9634" s="7"/>
      <c r="E9634" s="7"/>
      <c r="F9634" s="7"/>
      <c r="G9634" s="7"/>
      <c r="H9634" s="7">
        <f t="shared" si="1"/>
        <v>1029</v>
      </c>
    </row>
    <row r="9635" ht="22.5" customHeight="1">
      <c r="B9635" s="7"/>
      <c r="C9635" s="7"/>
      <c r="D9635" s="7"/>
      <c r="E9635" s="7"/>
      <c r="F9635" s="7"/>
      <c r="G9635" s="7"/>
      <c r="H9635" s="7">
        <f t="shared" si="1"/>
        <v>1029</v>
      </c>
    </row>
    <row r="9636" ht="22.5" customHeight="1">
      <c r="B9636" s="7"/>
      <c r="C9636" s="7"/>
      <c r="D9636" s="7"/>
      <c r="E9636" s="7"/>
      <c r="F9636" s="7"/>
      <c r="G9636" s="7"/>
      <c r="H9636" s="7">
        <f t="shared" si="1"/>
        <v>1029</v>
      </c>
    </row>
    <row r="9637" ht="22.5" customHeight="1">
      <c r="B9637" s="7"/>
      <c r="C9637" s="7"/>
      <c r="D9637" s="7"/>
      <c r="E9637" s="7"/>
      <c r="F9637" s="7"/>
      <c r="G9637" s="7"/>
      <c r="H9637" s="7">
        <f t="shared" si="1"/>
        <v>1029</v>
      </c>
    </row>
    <row r="9638" ht="22.5" customHeight="1">
      <c r="B9638" s="7"/>
      <c r="C9638" s="7"/>
      <c r="D9638" s="7"/>
      <c r="E9638" s="7"/>
      <c r="F9638" s="7"/>
      <c r="G9638" s="7"/>
      <c r="H9638" s="7">
        <f t="shared" si="1"/>
        <v>1029</v>
      </c>
    </row>
    <row r="9639" ht="22.5" customHeight="1">
      <c r="B9639" s="7"/>
      <c r="C9639" s="7"/>
      <c r="D9639" s="7"/>
      <c r="E9639" s="7"/>
      <c r="F9639" s="7"/>
      <c r="G9639" s="7"/>
      <c r="H9639" s="7">
        <f t="shared" si="1"/>
        <v>1029</v>
      </c>
    </row>
    <row r="9640" ht="22.5" customHeight="1">
      <c r="B9640" s="7"/>
      <c r="C9640" s="7"/>
      <c r="D9640" s="7"/>
      <c r="E9640" s="7"/>
      <c r="F9640" s="7"/>
      <c r="G9640" s="7"/>
      <c r="H9640" s="7">
        <f t="shared" si="1"/>
        <v>1029</v>
      </c>
    </row>
    <row r="9641" ht="22.5" customHeight="1">
      <c r="B9641" s="7"/>
      <c r="C9641" s="7"/>
      <c r="D9641" s="7"/>
      <c r="E9641" s="7"/>
      <c r="F9641" s="7"/>
      <c r="G9641" s="7"/>
      <c r="H9641" s="7">
        <f t="shared" si="1"/>
        <v>1029</v>
      </c>
    </row>
    <row r="9642" ht="22.5" customHeight="1">
      <c r="B9642" s="7"/>
      <c r="C9642" s="7"/>
      <c r="D9642" s="7"/>
      <c r="E9642" s="7"/>
      <c r="F9642" s="7"/>
      <c r="G9642" s="7"/>
      <c r="H9642" s="7">
        <f t="shared" si="1"/>
        <v>1029</v>
      </c>
    </row>
    <row r="9643" ht="22.5" customHeight="1">
      <c r="B9643" s="7"/>
      <c r="C9643" s="7"/>
      <c r="D9643" s="7"/>
      <c r="E9643" s="7"/>
      <c r="F9643" s="7"/>
      <c r="G9643" s="7"/>
      <c r="H9643" s="7">
        <f t="shared" si="1"/>
        <v>1029</v>
      </c>
    </row>
    <row r="9644" ht="22.5" customHeight="1">
      <c r="B9644" s="7"/>
      <c r="C9644" s="7"/>
      <c r="D9644" s="7"/>
      <c r="E9644" s="7"/>
      <c r="F9644" s="7"/>
      <c r="G9644" s="7"/>
      <c r="H9644" s="7">
        <f t="shared" si="1"/>
        <v>1029</v>
      </c>
    </row>
    <row r="9645" ht="22.5" customHeight="1">
      <c r="B9645" s="7"/>
      <c r="C9645" s="7"/>
      <c r="D9645" s="7"/>
      <c r="E9645" s="7"/>
      <c r="F9645" s="7"/>
      <c r="G9645" s="7"/>
      <c r="H9645" s="7">
        <f t="shared" si="1"/>
        <v>1029</v>
      </c>
    </row>
    <row r="9646" ht="22.5" customHeight="1">
      <c r="B9646" s="7"/>
      <c r="C9646" s="7"/>
      <c r="D9646" s="7"/>
      <c r="E9646" s="7"/>
      <c r="F9646" s="7"/>
      <c r="G9646" s="7"/>
      <c r="H9646" s="7">
        <f t="shared" si="1"/>
        <v>1029</v>
      </c>
    </row>
    <row r="9647" ht="22.5" customHeight="1">
      <c r="B9647" s="7"/>
      <c r="C9647" s="7"/>
      <c r="D9647" s="7"/>
      <c r="E9647" s="7"/>
      <c r="F9647" s="7"/>
      <c r="G9647" s="7"/>
      <c r="H9647" s="7">
        <f t="shared" si="1"/>
        <v>1029</v>
      </c>
    </row>
    <row r="9648" ht="22.5" customHeight="1">
      <c r="B9648" s="7"/>
      <c r="C9648" s="7"/>
      <c r="D9648" s="7"/>
      <c r="E9648" s="7"/>
      <c r="F9648" s="7"/>
      <c r="G9648" s="7"/>
      <c r="H9648" s="7">
        <f t="shared" si="1"/>
        <v>1029</v>
      </c>
    </row>
    <row r="9649" ht="22.5" customHeight="1">
      <c r="B9649" s="7"/>
      <c r="C9649" s="7"/>
      <c r="D9649" s="7"/>
      <c r="E9649" s="7"/>
      <c r="F9649" s="7"/>
      <c r="G9649" s="7"/>
      <c r="H9649" s="7">
        <f t="shared" si="1"/>
        <v>1029</v>
      </c>
    </row>
    <row r="9650" ht="22.5" customHeight="1">
      <c r="B9650" s="7"/>
      <c r="C9650" s="7"/>
      <c r="D9650" s="7"/>
      <c r="E9650" s="7"/>
      <c r="F9650" s="7"/>
      <c r="G9650" s="7"/>
      <c r="H9650" s="7">
        <f t="shared" si="1"/>
        <v>1029</v>
      </c>
    </row>
    <row r="9651" ht="22.5" customHeight="1">
      <c r="B9651" s="7"/>
      <c r="C9651" s="7"/>
      <c r="D9651" s="7"/>
      <c r="E9651" s="7"/>
      <c r="F9651" s="7"/>
      <c r="G9651" s="7"/>
      <c r="H9651" s="7">
        <f t="shared" si="1"/>
        <v>1029</v>
      </c>
    </row>
    <row r="9652" ht="22.5" customHeight="1">
      <c r="B9652" s="7"/>
      <c r="C9652" s="7"/>
      <c r="D9652" s="7"/>
      <c r="E9652" s="7"/>
      <c r="F9652" s="7"/>
      <c r="G9652" s="7"/>
      <c r="H9652" s="7">
        <f t="shared" si="1"/>
        <v>1029</v>
      </c>
    </row>
    <row r="9653" ht="22.5" customHeight="1">
      <c r="B9653" s="7"/>
      <c r="C9653" s="7"/>
      <c r="D9653" s="7"/>
      <c r="E9653" s="7"/>
      <c r="F9653" s="7"/>
      <c r="G9653" s="7"/>
      <c r="H9653" s="7">
        <f t="shared" si="1"/>
        <v>1029</v>
      </c>
    </row>
    <row r="9654" ht="22.5" customHeight="1">
      <c r="B9654" s="7"/>
      <c r="C9654" s="7"/>
      <c r="D9654" s="7"/>
      <c r="E9654" s="7"/>
      <c r="F9654" s="7"/>
      <c r="G9654" s="7"/>
      <c r="H9654" s="7">
        <f t="shared" si="1"/>
        <v>1029</v>
      </c>
    </row>
    <row r="9655" ht="22.5" customHeight="1">
      <c r="B9655" s="7"/>
      <c r="C9655" s="7"/>
      <c r="D9655" s="7"/>
      <c r="E9655" s="7"/>
      <c r="F9655" s="7"/>
      <c r="G9655" s="7"/>
      <c r="H9655" s="7">
        <f t="shared" si="1"/>
        <v>1029</v>
      </c>
    </row>
    <row r="9656" ht="22.5" customHeight="1">
      <c r="B9656" s="7"/>
      <c r="C9656" s="7"/>
      <c r="D9656" s="7"/>
      <c r="E9656" s="7"/>
      <c r="F9656" s="7"/>
      <c r="G9656" s="7"/>
      <c r="H9656" s="7">
        <f t="shared" si="1"/>
        <v>1029</v>
      </c>
    </row>
    <row r="9657" ht="22.5" customHeight="1">
      <c r="B9657" s="7"/>
      <c r="C9657" s="7"/>
      <c r="D9657" s="7"/>
      <c r="E9657" s="7"/>
      <c r="F9657" s="7"/>
      <c r="G9657" s="7"/>
      <c r="H9657" s="7">
        <f t="shared" si="1"/>
        <v>1029</v>
      </c>
    </row>
    <row r="9658" ht="22.5" customHeight="1">
      <c r="B9658" s="7"/>
      <c r="C9658" s="7"/>
      <c r="D9658" s="7"/>
      <c r="E9658" s="7"/>
      <c r="F9658" s="7"/>
      <c r="G9658" s="7"/>
      <c r="H9658" s="7">
        <f t="shared" si="1"/>
        <v>1029</v>
      </c>
    </row>
    <row r="9659" ht="22.5" customHeight="1">
      <c r="B9659" s="7"/>
      <c r="C9659" s="7"/>
      <c r="D9659" s="7"/>
      <c r="E9659" s="7"/>
      <c r="F9659" s="7"/>
      <c r="G9659" s="7"/>
      <c r="H9659" s="7">
        <f t="shared" si="1"/>
        <v>1029</v>
      </c>
    </row>
    <row r="9660" ht="22.5" customHeight="1">
      <c r="B9660" s="7"/>
      <c r="C9660" s="7"/>
      <c r="D9660" s="7"/>
      <c r="E9660" s="7"/>
      <c r="F9660" s="7"/>
      <c r="G9660" s="7"/>
      <c r="H9660" s="7">
        <f t="shared" si="1"/>
        <v>1029</v>
      </c>
    </row>
    <row r="9661" ht="22.5" customHeight="1">
      <c r="B9661" s="7"/>
      <c r="C9661" s="7"/>
      <c r="D9661" s="7"/>
      <c r="E9661" s="7"/>
      <c r="F9661" s="7"/>
      <c r="G9661" s="7"/>
      <c r="H9661" s="7">
        <f t="shared" si="1"/>
        <v>1029</v>
      </c>
    </row>
    <row r="9662" ht="22.5" customHeight="1">
      <c r="B9662" s="7"/>
      <c r="C9662" s="7"/>
      <c r="D9662" s="7"/>
      <c r="E9662" s="7"/>
      <c r="F9662" s="7"/>
      <c r="G9662" s="7"/>
      <c r="H9662" s="7">
        <f t="shared" si="1"/>
        <v>1029</v>
      </c>
    </row>
    <row r="9663" ht="22.5" customHeight="1">
      <c r="B9663" s="7"/>
      <c r="C9663" s="7"/>
      <c r="D9663" s="7"/>
      <c r="E9663" s="7"/>
      <c r="F9663" s="7"/>
      <c r="G9663" s="7"/>
      <c r="H9663" s="7">
        <f t="shared" si="1"/>
        <v>1029</v>
      </c>
    </row>
    <row r="9664" ht="22.5" customHeight="1">
      <c r="B9664" s="7"/>
      <c r="C9664" s="7"/>
      <c r="D9664" s="7"/>
      <c r="E9664" s="7"/>
      <c r="F9664" s="7"/>
      <c r="G9664" s="7"/>
      <c r="H9664" s="7">
        <f t="shared" si="1"/>
        <v>1029</v>
      </c>
    </row>
    <row r="9665" ht="22.5" customHeight="1">
      <c r="B9665" s="7"/>
      <c r="C9665" s="7"/>
      <c r="D9665" s="7"/>
      <c r="E9665" s="7"/>
      <c r="F9665" s="7"/>
      <c r="G9665" s="7"/>
      <c r="H9665" s="7">
        <f t="shared" si="1"/>
        <v>1029</v>
      </c>
    </row>
    <row r="9666" ht="22.5" customHeight="1">
      <c r="B9666" s="7"/>
      <c r="C9666" s="7"/>
      <c r="D9666" s="7"/>
      <c r="E9666" s="7"/>
      <c r="F9666" s="7"/>
      <c r="G9666" s="7"/>
      <c r="H9666" s="7">
        <f t="shared" si="1"/>
        <v>1029</v>
      </c>
    </row>
    <row r="9667" ht="22.5" customHeight="1">
      <c r="B9667" s="7"/>
      <c r="C9667" s="7"/>
      <c r="D9667" s="7"/>
      <c r="E9667" s="7"/>
      <c r="F9667" s="7"/>
      <c r="G9667" s="7"/>
      <c r="H9667" s="7">
        <f t="shared" si="1"/>
        <v>1029</v>
      </c>
    </row>
    <row r="9668" ht="22.5" customHeight="1">
      <c r="B9668" s="7"/>
      <c r="C9668" s="7"/>
      <c r="D9668" s="7"/>
      <c r="E9668" s="7"/>
      <c r="F9668" s="7"/>
      <c r="G9668" s="7"/>
      <c r="H9668" s="7">
        <f t="shared" si="1"/>
        <v>1029</v>
      </c>
    </row>
    <row r="9669" ht="22.5" customHeight="1">
      <c r="B9669" s="7"/>
      <c r="C9669" s="7"/>
      <c r="D9669" s="7"/>
      <c r="E9669" s="7"/>
      <c r="F9669" s="7"/>
      <c r="G9669" s="7"/>
      <c r="H9669" s="7">
        <f t="shared" si="1"/>
        <v>1029</v>
      </c>
    </row>
    <row r="9670" ht="22.5" customHeight="1">
      <c r="B9670" s="7"/>
      <c r="C9670" s="7"/>
      <c r="D9670" s="7"/>
      <c r="E9670" s="7"/>
      <c r="F9670" s="7"/>
      <c r="G9670" s="7"/>
      <c r="H9670" s="7">
        <f t="shared" si="1"/>
        <v>1029</v>
      </c>
    </row>
    <row r="9671" ht="22.5" customHeight="1">
      <c r="B9671" s="7"/>
      <c r="C9671" s="7"/>
      <c r="D9671" s="7"/>
      <c r="E9671" s="7"/>
      <c r="F9671" s="7"/>
      <c r="G9671" s="7"/>
      <c r="H9671" s="7">
        <f t="shared" si="1"/>
        <v>1029</v>
      </c>
    </row>
    <row r="9672" ht="22.5" customHeight="1">
      <c r="B9672" s="7"/>
      <c r="C9672" s="7"/>
      <c r="D9672" s="7"/>
      <c r="E9672" s="7"/>
      <c r="F9672" s="7"/>
      <c r="G9672" s="7"/>
      <c r="H9672" s="7">
        <f t="shared" si="1"/>
        <v>1029</v>
      </c>
    </row>
    <row r="9673" ht="22.5" customHeight="1">
      <c r="B9673" s="7"/>
      <c r="C9673" s="7"/>
      <c r="D9673" s="7"/>
      <c r="E9673" s="7"/>
      <c r="F9673" s="7"/>
      <c r="G9673" s="7"/>
      <c r="H9673" s="7">
        <f t="shared" si="1"/>
        <v>1029</v>
      </c>
    </row>
    <row r="9674" ht="22.5" customHeight="1">
      <c r="B9674" s="7"/>
      <c r="C9674" s="7"/>
      <c r="D9674" s="7"/>
      <c r="E9674" s="7"/>
      <c r="F9674" s="7"/>
      <c r="G9674" s="7"/>
      <c r="H9674" s="7">
        <f t="shared" si="1"/>
        <v>1029</v>
      </c>
    </row>
    <row r="9675" ht="22.5" customHeight="1">
      <c r="B9675" s="7"/>
      <c r="C9675" s="7"/>
      <c r="D9675" s="7"/>
      <c r="E9675" s="7"/>
      <c r="F9675" s="7"/>
      <c r="G9675" s="7"/>
      <c r="H9675" s="7">
        <f t="shared" si="1"/>
        <v>1029</v>
      </c>
    </row>
    <row r="9676" ht="22.5" customHeight="1">
      <c r="B9676" s="7"/>
      <c r="C9676" s="7"/>
      <c r="D9676" s="7"/>
      <c r="E9676" s="7"/>
      <c r="F9676" s="7"/>
      <c r="G9676" s="7"/>
      <c r="H9676" s="7">
        <f t="shared" si="1"/>
        <v>1029</v>
      </c>
    </row>
    <row r="9677" ht="22.5" customHeight="1">
      <c r="B9677" s="7"/>
      <c r="C9677" s="7"/>
      <c r="D9677" s="7"/>
      <c r="E9677" s="7"/>
      <c r="F9677" s="7"/>
      <c r="G9677" s="7"/>
      <c r="H9677" s="7">
        <f t="shared" si="1"/>
        <v>1029</v>
      </c>
    </row>
    <row r="9678" ht="22.5" customHeight="1">
      <c r="B9678" s="7"/>
      <c r="C9678" s="7"/>
      <c r="D9678" s="7"/>
      <c r="E9678" s="7"/>
      <c r="F9678" s="7"/>
      <c r="G9678" s="7"/>
      <c r="H9678" s="7">
        <f t="shared" si="1"/>
        <v>1029</v>
      </c>
    </row>
    <row r="9679" ht="22.5" customHeight="1">
      <c r="B9679" s="7"/>
      <c r="C9679" s="7"/>
      <c r="D9679" s="7"/>
      <c r="E9679" s="7"/>
      <c r="F9679" s="7"/>
      <c r="G9679" s="7"/>
      <c r="H9679" s="7">
        <f t="shared" si="1"/>
        <v>1029</v>
      </c>
    </row>
    <row r="9680" ht="22.5" customHeight="1">
      <c r="B9680" s="7"/>
      <c r="C9680" s="7"/>
      <c r="D9680" s="7"/>
      <c r="E9680" s="7"/>
      <c r="F9680" s="7"/>
      <c r="G9680" s="7"/>
      <c r="H9680" s="7">
        <f t="shared" si="1"/>
        <v>1029</v>
      </c>
    </row>
    <row r="9681" ht="22.5" customHeight="1">
      <c r="B9681" s="7"/>
      <c r="C9681" s="7"/>
      <c r="D9681" s="7"/>
      <c r="E9681" s="7"/>
      <c r="F9681" s="7"/>
      <c r="G9681" s="7"/>
      <c r="H9681" s="7">
        <f t="shared" si="1"/>
        <v>1029</v>
      </c>
    </row>
    <row r="9682" ht="22.5" customHeight="1">
      <c r="B9682" s="7"/>
      <c r="C9682" s="7"/>
      <c r="D9682" s="7"/>
      <c r="E9682" s="7"/>
      <c r="F9682" s="7"/>
      <c r="G9682" s="7"/>
      <c r="H9682" s="7">
        <f t="shared" si="1"/>
        <v>1029</v>
      </c>
    </row>
    <row r="9683" ht="22.5" customHeight="1">
      <c r="B9683" s="7"/>
      <c r="C9683" s="7"/>
      <c r="D9683" s="7"/>
      <c r="E9683" s="7"/>
      <c r="F9683" s="7"/>
      <c r="G9683" s="7"/>
      <c r="H9683" s="7">
        <f t="shared" si="1"/>
        <v>1029</v>
      </c>
    </row>
    <row r="9684" ht="22.5" customHeight="1">
      <c r="B9684" s="7"/>
      <c r="C9684" s="7"/>
      <c r="D9684" s="7"/>
      <c r="E9684" s="7"/>
      <c r="F9684" s="7"/>
      <c r="G9684" s="7"/>
      <c r="H9684" s="7">
        <f t="shared" si="1"/>
        <v>1029</v>
      </c>
    </row>
    <row r="9685" ht="22.5" customHeight="1">
      <c r="B9685" s="7"/>
      <c r="C9685" s="7"/>
      <c r="D9685" s="7"/>
      <c r="E9685" s="7"/>
      <c r="F9685" s="7"/>
      <c r="G9685" s="7"/>
      <c r="H9685" s="7">
        <f t="shared" si="1"/>
        <v>1029</v>
      </c>
    </row>
    <row r="9686" ht="22.5" customHeight="1">
      <c r="B9686" s="7"/>
      <c r="C9686" s="7"/>
      <c r="D9686" s="7"/>
      <c r="E9686" s="7"/>
      <c r="F9686" s="7"/>
      <c r="G9686" s="7"/>
      <c r="H9686" s="7">
        <f t="shared" si="1"/>
        <v>1029</v>
      </c>
    </row>
    <row r="9687" ht="22.5" customHeight="1">
      <c r="B9687" s="7"/>
      <c r="C9687" s="7"/>
      <c r="D9687" s="7"/>
      <c r="E9687" s="7"/>
      <c r="F9687" s="7"/>
      <c r="G9687" s="7"/>
      <c r="H9687" s="7">
        <f t="shared" si="1"/>
        <v>1029</v>
      </c>
    </row>
    <row r="9688" ht="22.5" customHeight="1">
      <c r="B9688" s="7"/>
      <c r="C9688" s="7"/>
      <c r="D9688" s="7"/>
      <c r="E9688" s="7"/>
      <c r="F9688" s="7"/>
      <c r="G9688" s="7"/>
      <c r="H9688" s="7">
        <f t="shared" si="1"/>
        <v>1029</v>
      </c>
    </row>
    <row r="9689" ht="22.5" customHeight="1">
      <c r="B9689" s="7"/>
      <c r="C9689" s="7"/>
      <c r="D9689" s="7"/>
      <c r="E9689" s="7"/>
      <c r="F9689" s="7"/>
      <c r="G9689" s="7"/>
      <c r="H9689" s="7">
        <f t="shared" si="1"/>
        <v>1029</v>
      </c>
    </row>
    <row r="9690" ht="22.5" customHeight="1">
      <c r="B9690" s="7"/>
      <c r="C9690" s="7"/>
      <c r="D9690" s="7"/>
      <c r="E9690" s="7"/>
      <c r="F9690" s="7"/>
      <c r="G9690" s="7"/>
      <c r="H9690" s="7">
        <f t="shared" si="1"/>
        <v>1029</v>
      </c>
    </row>
    <row r="9691" ht="22.5" customHeight="1">
      <c r="B9691" s="7"/>
      <c r="C9691" s="7"/>
      <c r="D9691" s="7"/>
      <c r="E9691" s="7"/>
      <c r="F9691" s="7"/>
      <c r="G9691" s="7"/>
      <c r="H9691" s="7">
        <f t="shared" si="1"/>
        <v>1029</v>
      </c>
    </row>
    <row r="9692" ht="22.5" customHeight="1">
      <c r="B9692" s="7"/>
      <c r="C9692" s="7"/>
      <c r="D9692" s="7"/>
      <c r="E9692" s="7"/>
      <c r="F9692" s="7"/>
      <c r="G9692" s="7"/>
      <c r="H9692" s="7">
        <f t="shared" si="1"/>
        <v>1029</v>
      </c>
    </row>
    <row r="9693" ht="22.5" customHeight="1">
      <c r="B9693" s="7"/>
      <c r="C9693" s="7"/>
      <c r="D9693" s="7"/>
      <c r="E9693" s="7"/>
      <c r="F9693" s="7"/>
      <c r="G9693" s="7"/>
      <c r="H9693" s="7">
        <f t="shared" si="1"/>
        <v>1029</v>
      </c>
    </row>
    <row r="9694" ht="22.5" customHeight="1">
      <c r="B9694" s="7"/>
      <c r="C9694" s="7"/>
      <c r="D9694" s="7"/>
      <c r="E9694" s="7"/>
      <c r="F9694" s="7"/>
      <c r="G9694" s="7"/>
      <c r="H9694" s="7">
        <f t="shared" si="1"/>
        <v>1029</v>
      </c>
    </row>
    <row r="9695" ht="22.5" customHeight="1">
      <c r="B9695" s="7"/>
      <c r="C9695" s="7"/>
      <c r="D9695" s="7"/>
      <c r="E9695" s="7"/>
      <c r="F9695" s="7"/>
      <c r="G9695" s="7"/>
      <c r="H9695" s="7">
        <f t="shared" si="1"/>
        <v>1029</v>
      </c>
    </row>
    <row r="9696" ht="22.5" customHeight="1">
      <c r="B9696" s="7"/>
      <c r="C9696" s="7"/>
      <c r="D9696" s="7"/>
      <c r="E9696" s="7"/>
      <c r="F9696" s="7"/>
      <c r="G9696" s="7"/>
      <c r="H9696" s="7">
        <f t="shared" si="1"/>
        <v>1029</v>
      </c>
    </row>
    <row r="9697" ht="22.5" customHeight="1">
      <c r="B9697" s="7"/>
      <c r="C9697" s="7"/>
      <c r="D9697" s="7"/>
      <c r="E9697" s="7"/>
      <c r="F9697" s="7"/>
      <c r="G9697" s="7"/>
      <c r="H9697" s="7">
        <f t="shared" si="1"/>
        <v>1029</v>
      </c>
    </row>
    <row r="9698" ht="22.5" customHeight="1">
      <c r="B9698" s="7"/>
      <c r="C9698" s="7"/>
      <c r="D9698" s="7"/>
      <c r="E9698" s="7"/>
      <c r="F9698" s="7"/>
      <c r="G9698" s="7"/>
      <c r="H9698" s="7">
        <f t="shared" si="1"/>
        <v>1029</v>
      </c>
    </row>
    <row r="9699" ht="22.5" customHeight="1">
      <c r="B9699" s="7"/>
      <c r="C9699" s="7"/>
      <c r="D9699" s="7"/>
      <c r="E9699" s="7"/>
      <c r="F9699" s="7"/>
      <c r="G9699" s="7"/>
      <c r="H9699" s="7">
        <f t="shared" si="1"/>
        <v>1029</v>
      </c>
    </row>
    <row r="9700" ht="22.5" customHeight="1">
      <c r="B9700" s="7"/>
      <c r="C9700" s="7"/>
      <c r="D9700" s="7"/>
      <c r="E9700" s="7"/>
      <c r="F9700" s="7"/>
      <c r="G9700" s="7"/>
      <c r="H9700" s="7">
        <f t="shared" si="1"/>
        <v>1029</v>
      </c>
    </row>
    <row r="9701" ht="22.5" customHeight="1">
      <c r="B9701" s="7"/>
      <c r="C9701" s="7"/>
      <c r="D9701" s="7"/>
      <c r="E9701" s="7"/>
      <c r="F9701" s="7"/>
      <c r="G9701" s="7"/>
      <c r="H9701" s="7">
        <f t="shared" si="1"/>
        <v>1029</v>
      </c>
    </row>
    <row r="9702" ht="22.5" customHeight="1">
      <c r="B9702" s="7"/>
      <c r="C9702" s="7"/>
      <c r="D9702" s="7"/>
      <c r="E9702" s="7"/>
      <c r="F9702" s="7"/>
      <c r="G9702" s="7"/>
      <c r="H9702" s="7">
        <f t="shared" si="1"/>
        <v>1029</v>
      </c>
    </row>
    <row r="9703" ht="22.5" customHeight="1">
      <c r="B9703" s="7"/>
      <c r="C9703" s="7"/>
      <c r="D9703" s="7"/>
      <c r="E9703" s="7"/>
      <c r="F9703" s="7"/>
      <c r="G9703" s="7"/>
      <c r="H9703" s="7">
        <f t="shared" si="1"/>
        <v>1029</v>
      </c>
    </row>
    <row r="9704" ht="22.5" customHeight="1">
      <c r="B9704" s="7"/>
      <c r="C9704" s="7"/>
      <c r="D9704" s="7"/>
      <c r="E9704" s="7"/>
      <c r="F9704" s="7"/>
      <c r="G9704" s="7"/>
      <c r="H9704" s="7">
        <f t="shared" si="1"/>
        <v>1029</v>
      </c>
    </row>
    <row r="9705" ht="22.5" customHeight="1">
      <c r="B9705" s="7"/>
      <c r="C9705" s="7"/>
      <c r="D9705" s="7"/>
      <c r="E9705" s="7"/>
      <c r="F9705" s="7"/>
      <c r="G9705" s="7"/>
      <c r="H9705" s="7">
        <f t="shared" si="1"/>
        <v>1029</v>
      </c>
    </row>
    <row r="9706" ht="22.5" customHeight="1">
      <c r="B9706" s="7"/>
      <c r="C9706" s="7"/>
      <c r="D9706" s="7"/>
      <c r="E9706" s="7"/>
      <c r="F9706" s="7"/>
      <c r="G9706" s="7"/>
      <c r="H9706" s="7">
        <f t="shared" si="1"/>
        <v>1029</v>
      </c>
    </row>
    <row r="9707" ht="22.5" customHeight="1">
      <c r="B9707" s="7"/>
      <c r="C9707" s="7"/>
      <c r="D9707" s="7"/>
      <c r="E9707" s="7"/>
      <c r="F9707" s="7"/>
      <c r="G9707" s="7"/>
      <c r="H9707" s="7">
        <f t="shared" si="1"/>
        <v>1029</v>
      </c>
    </row>
    <row r="9708" ht="22.5" customHeight="1">
      <c r="B9708" s="7"/>
      <c r="C9708" s="7"/>
      <c r="D9708" s="7"/>
      <c r="E9708" s="7"/>
      <c r="F9708" s="7"/>
      <c r="G9708" s="7"/>
      <c r="H9708" s="7">
        <f t="shared" si="1"/>
        <v>1029</v>
      </c>
    </row>
    <row r="9709" ht="22.5" customHeight="1">
      <c r="B9709" s="7"/>
      <c r="C9709" s="7"/>
      <c r="D9709" s="7"/>
      <c r="E9709" s="7"/>
      <c r="F9709" s="7"/>
      <c r="G9709" s="7"/>
      <c r="H9709" s="7">
        <f t="shared" si="1"/>
        <v>1029</v>
      </c>
    </row>
    <row r="9710" ht="22.5" customHeight="1">
      <c r="B9710" s="7"/>
      <c r="C9710" s="7"/>
      <c r="D9710" s="7"/>
      <c r="E9710" s="7"/>
      <c r="F9710" s="7"/>
      <c r="G9710" s="7"/>
      <c r="H9710" s="7">
        <f t="shared" si="1"/>
        <v>1029</v>
      </c>
    </row>
    <row r="9711" ht="22.5" customHeight="1">
      <c r="B9711" s="7"/>
      <c r="C9711" s="7"/>
      <c r="D9711" s="7"/>
      <c r="E9711" s="7"/>
      <c r="F9711" s="7"/>
      <c r="G9711" s="7"/>
      <c r="H9711" s="7">
        <f t="shared" si="1"/>
        <v>1029</v>
      </c>
    </row>
    <row r="9712" ht="22.5" customHeight="1">
      <c r="B9712" s="7"/>
      <c r="C9712" s="7"/>
      <c r="D9712" s="7"/>
      <c r="E9712" s="7"/>
      <c r="F9712" s="7"/>
      <c r="G9712" s="7"/>
      <c r="H9712" s="7">
        <f t="shared" si="1"/>
        <v>1029</v>
      </c>
    </row>
    <row r="9713" ht="22.5" customHeight="1">
      <c r="B9713" s="7"/>
      <c r="C9713" s="7"/>
      <c r="D9713" s="7"/>
      <c r="E9713" s="7"/>
      <c r="F9713" s="7"/>
      <c r="G9713" s="7"/>
      <c r="H9713" s="7">
        <f t="shared" si="1"/>
        <v>1029</v>
      </c>
    </row>
    <row r="9714" ht="22.5" customHeight="1">
      <c r="B9714" s="7"/>
      <c r="C9714" s="7"/>
      <c r="D9714" s="7"/>
      <c r="E9714" s="7"/>
      <c r="F9714" s="7"/>
      <c r="G9714" s="7"/>
      <c r="H9714" s="7">
        <f t="shared" si="1"/>
        <v>1029</v>
      </c>
    </row>
    <row r="9715" ht="22.5" customHeight="1">
      <c r="B9715" s="7"/>
      <c r="C9715" s="7"/>
      <c r="D9715" s="7"/>
      <c r="E9715" s="7"/>
      <c r="F9715" s="7"/>
      <c r="G9715" s="7"/>
      <c r="H9715" s="7">
        <f t="shared" si="1"/>
        <v>1029</v>
      </c>
    </row>
    <row r="9716" ht="22.5" customHeight="1">
      <c r="B9716" s="7"/>
      <c r="C9716" s="7"/>
      <c r="D9716" s="7"/>
      <c r="E9716" s="7"/>
      <c r="F9716" s="7"/>
      <c r="G9716" s="7"/>
      <c r="H9716" s="7">
        <f t="shared" si="1"/>
        <v>1029</v>
      </c>
    </row>
    <row r="9717" ht="22.5" customHeight="1">
      <c r="B9717" s="7"/>
      <c r="C9717" s="7"/>
      <c r="D9717" s="7"/>
      <c r="E9717" s="7"/>
      <c r="F9717" s="7"/>
      <c r="G9717" s="7"/>
      <c r="H9717" s="7">
        <f t="shared" si="1"/>
        <v>1029</v>
      </c>
    </row>
    <row r="9718" ht="22.5" customHeight="1">
      <c r="B9718" s="7"/>
      <c r="C9718" s="7"/>
      <c r="D9718" s="7"/>
      <c r="E9718" s="7"/>
      <c r="F9718" s="7"/>
      <c r="G9718" s="7"/>
      <c r="H9718" s="7">
        <f t="shared" si="1"/>
        <v>1029</v>
      </c>
    </row>
    <row r="9719" ht="22.5" customHeight="1">
      <c r="B9719" s="7"/>
      <c r="C9719" s="7"/>
      <c r="D9719" s="7"/>
      <c r="E9719" s="7"/>
      <c r="F9719" s="7"/>
      <c r="G9719" s="7"/>
      <c r="H9719" s="7">
        <f t="shared" si="1"/>
        <v>1029</v>
      </c>
    </row>
    <row r="9720" ht="22.5" customHeight="1">
      <c r="B9720" s="7"/>
      <c r="C9720" s="7"/>
      <c r="D9720" s="7"/>
      <c r="E9720" s="7"/>
      <c r="F9720" s="7"/>
      <c r="G9720" s="7"/>
      <c r="H9720" s="7">
        <f t="shared" si="1"/>
        <v>1029</v>
      </c>
    </row>
    <row r="9721" ht="22.5" customHeight="1">
      <c r="B9721" s="7"/>
      <c r="C9721" s="7"/>
      <c r="D9721" s="7"/>
      <c r="E9721" s="7"/>
      <c r="F9721" s="7"/>
      <c r="G9721" s="7"/>
      <c r="H9721" s="7">
        <f t="shared" si="1"/>
        <v>1029</v>
      </c>
    </row>
    <row r="9722" ht="22.5" customHeight="1">
      <c r="B9722" s="7"/>
      <c r="C9722" s="7"/>
      <c r="D9722" s="7"/>
      <c r="E9722" s="7"/>
      <c r="F9722" s="7"/>
      <c r="G9722" s="7"/>
      <c r="H9722" s="7">
        <f t="shared" si="1"/>
        <v>1029</v>
      </c>
    </row>
    <row r="9723" ht="22.5" customHeight="1">
      <c r="B9723" s="7"/>
      <c r="C9723" s="7"/>
      <c r="D9723" s="7"/>
      <c r="E9723" s="7"/>
      <c r="F9723" s="7"/>
      <c r="G9723" s="7"/>
      <c r="H9723" s="7">
        <f t="shared" si="1"/>
        <v>1029</v>
      </c>
    </row>
    <row r="9724" ht="22.5" customHeight="1">
      <c r="B9724" s="7"/>
      <c r="C9724" s="7"/>
      <c r="D9724" s="7"/>
      <c r="E9724" s="7"/>
      <c r="F9724" s="7"/>
      <c r="G9724" s="7"/>
      <c r="H9724" s="7">
        <f t="shared" si="1"/>
        <v>1029</v>
      </c>
    </row>
    <row r="9725" ht="22.5" customHeight="1">
      <c r="B9725" s="7"/>
      <c r="C9725" s="7"/>
      <c r="D9725" s="7"/>
      <c r="E9725" s="7"/>
      <c r="F9725" s="7"/>
      <c r="G9725" s="7"/>
      <c r="H9725" s="7">
        <f t="shared" si="1"/>
        <v>1029</v>
      </c>
    </row>
    <row r="9726" ht="22.5" customHeight="1">
      <c r="B9726" s="7"/>
      <c r="C9726" s="7"/>
      <c r="D9726" s="7"/>
      <c r="E9726" s="7"/>
      <c r="F9726" s="7"/>
      <c r="G9726" s="7"/>
      <c r="H9726" s="7">
        <f t="shared" si="1"/>
        <v>1029</v>
      </c>
    </row>
    <row r="9727" ht="22.5" customHeight="1">
      <c r="B9727" s="7"/>
      <c r="C9727" s="7"/>
      <c r="D9727" s="7"/>
      <c r="E9727" s="7"/>
      <c r="F9727" s="7"/>
      <c r="G9727" s="7"/>
      <c r="H9727" s="7">
        <f t="shared" si="1"/>
        <v>1029</v>
      </c>
    </row>
    <row r="9728" ht="22.5" customHeight="1">
      <c r="B9728" s="7"/>
      <c r="C9728" s="7"/>
      <c r="D9728" s="7"/>
      <c r="E9728" s="7"/>
      <c r="F9728" s="7"/>
      <c r="G9728" s="7"/>
      <c r="H9728" s="7">
        <f t="shared" si="1"/>
        <v>1029</v>
      </c>
    </row>
    <row r="9729" ht="22.5" customHeight="1">
      <c r="B9729" s="7"/>
      <c r="C9729" s="7"/>
      <c r="D9729" s="7"/>
      <c r="E9729" s="7"/>
      <c r="F9729" s="7"/>
      <c r="G9729" s="7"/>
      <c r="H9729" s="7">
        <f t="shared" si="1"/>
        <v>1029</v>
      </c>
    </row>
    <row r="9730" ht="22.5" customHeight="1">
      <c r="B9730" s="7"/>
      <c r="C9730" s="7"/>
      <c r="D9730" s="7"/>
      <c r="E9730" s="7"/>
      <c r="F9730" s="7"/>
      <c r="G9730" s="7"/>
      <c r="H9730" s="7">
        <f t="shared" si="1"/>
        <v>1029</v>
      </c>
    </row>
    <row r="9731" ht="22.5" customHeight="1">
      <c r="B9731" s="7"/>
      <c r="C9731" s="7"/>
      <c r="D9731" s="7"/>
      <c r="E9731" s="7"/>
      <c r="F9731" s="7"/>
      <c r="G9731" s="7"/>
      <c r="H9731" s="7">
        <f t="shared" si="1"/>
        <v>1029</v>
      </c>
    </row>
    <row r="9732" ht="22.5" customHeight="1">
      <c r="B9732" s="7"/>
      <c r="C9732" s="7"/>
      <c r="D9732" s="7"/>
      <c r="E9732" s="7"/>
      <c r="F9732" s="7"/>
      <c r="G9732" s="7"/>
      <c r="H9732" s="7">
        <f t="shared" si="1"/>
        <v>1029</v>
      </c>
    </row>
    <row r="9733" ht="22.5" customHeight="1">
      <c r="B9733" s="7"/>
      <c r="C9733" s="7"/>
      <c r="D9733" s="7"/>
      <c r="E9733" s="7"/>
      <c r="F9733" s="7"/>
      <c r="G9733" s="7"/>
      <c r="H9733" s="7">
        <f t="shared" si="1"/>
        <v>1029</v>
      </c>
    </row>
    <row r="9734" ht="22.5" customHeight="1">
      <c r="B9734" s="7"/>
      <c r="C9734" s="7"/>
      <c r="D9734" s="7"/>
      <c r="E9734" s="7"/>
      <c r="F9734" s="7"/>
      <c r="G9734" s="7"/>
      <c r="H9734" s="7">
        <f t="shared" si="1"/>
        <v>1029</v>
      </c>
    </row>
    <row r="9735" ht="22.5" customHeight="1">
      <c r="B9735" s="7"/>
      <c r="C9735" s="7"/>
      <c r="D9735" s="7"/>
      <c r="E9735" s="7"/>
      <c r="F9735" s="7"/>
      <c r="G9735" s="7"/>
      <c r="H9735" s="7">
        <f t="shared" si="1"/>
        <v>1029</v>
      </c>
    </row>
    <row r="9736" ht="22.5" customHeight="1">
      <c r="B9736" s="7"/>
      <c r="C9736" s="7"/>
      <c r="D9736" s="7"/>
      <c r="E9736" s="7"/>
      <c r="F9736" s="7"/>
      <c r="G9736" s="7"/>
      <c r="H9736" s="7">
        <f t="shared" si="1"/>
        <v>1029</v>
      </c>
    </row>
    <row r="9737" ht="22.5" customHeight="1">
      <c r="B9737" s="7"/>
      <c r="C9737" s="7"/>
      <c r="D9737" s="7"/>
      <c r="E9737" s="7"/>
      <c r="F9737" s="7"/>
      <c r="G9737" s="7"/>
      <c r="H9737" s="7">
        <f t="shared" si="1"/>
        <v>1029</v>
      </c>
    </row>
    <row r="9738" ht="22.5" customHeight="1">
      <c r="B9738" s="7"/>
      <c r="C9738" s="7"/>
      <c r="D9738" s="7"/>
      <c r="E9738" s="7"/>
      <c r="F9738" s="7"/>
      <c r="G9738" s="7"/>
      <c r="H9738" s="7">
        <f t="shared" si="1"/>
        <v>1029</v>
      </c>
    </row>
    <row r="9739" ht="22.5" customHeight="1">
      <c r="B9739" s="7"/>
      <c r="C9739" s="7"/>
      <c r="D9739" s="7"/>
      <c r="E9739" s="7"/>
      <c r="F9739" s="7"/>
      <c r="G9739" s="7"/>
      <c r="H9739" s="7">
        <f t="shared" si="1"/>
        <v>1029</v>
      </c>
    </row>
    <row r="9740" ht="22.5" customHeight="1">
      <c r="B9740" s="7"/>
      <c r="C9740" s="7"/>
      <c r="D9740" s="7"/>
      <c r="E9740" s="7"/>
      <c r="F9740" s="7"/>
      <c r="G9740" s="7"/>
      <c r="H9740" s="7">
        <f t="shared" si="1"/>
        <v>1029</v>
      </c>
    </row>
    <row r="9741" ht="22.5" customHeight="1">
      <c r="B9741" s="7"/>
      <c r="C9741" s="7"/>
      <c r="D9741" s="7"/>
      <c r="E9741" s="7"/>
      <c r="F9741" s="7"/>
      <c r="G9741" s="7"/>
      <c r="H9741" s="7">
        <f t="shared" si="1"/>
        <v>1029</v>
      </c>
    </row>
    <row r="9742" ht="22.5" customHeight="1">
      <c r="B9742" s="7"/>
      <c r="C9742" s="7"/>
      <c r="D9742" s="7"/>
      <c r="E9742" s="7"/>
      <c r="F9742" s="7"/>
      <c r="G9742" s="7"/>
      <c r="H9742" s="7">
        <f t="shared" si="1"/>
        <v>1029</v>
      </c>
    </row>
    <row r="9743" ht="22.5" customHeight="1">
      <c r="B9743" s="7"/>
      <c r="C9743" s="7"/>
      <c r="D9743" s="7"/>
      <c r="E9743" s="7"/>
      <c r="F9743" s="7"/>
      <c r="G9743" s="7"/>
      <c r="H9743" s="7">
        <f t="shared" si="1"/>
        <v>1029</v>
      </c>
    </row>
    <row r="9744" ht="22.5" customHeight="1">
      <c r="B9744" s="7"/>
      <c r="C9744" s="7"/>
      <c r="D9744" s="7"/>
      <c r="E9744" s="7"/>
      <c r="F9744" s="7"/>
      <c r="G9744" s="7"/>
      <c r="H9744" s="7">
        <f t="shared" si="1"/>
        <v>1029</v>
      </c>
    </row>
    <row r="9745" ht="22.5" customHeight="1">
      <c r="B9745" s="7"/>
      <c r="C9745" s="7"/>
      <c r="D9745" s="7"/>
      <c r="E9745" s="7"/>
      <c r="F9745" s="7"/>
      <c r="G9745" s="7"/>
      <c r="H9745" s="7">
        <f t="shared" si="1"/>
        <v>1029</v>
      </c>
    </row>
    <row r="9746" ht="22.5" customHeight="1">
      <c r="B9746" s="7"/>
      <c r="C9746" s="7"/>
      <c r="D9746" s="7"/>
      <c r="E9746" s="7"/>
      <c r="F9746" s="7"/>
      <c r="G9746" s="7"/>
      <c r="H9746" s="7">
        <f t="shared" si="1"/>
        <v>1029</v>
      </c>
    </row>
    <row r="9747" ht="22.5" customHeight="1">
      <c r="B9747" s="7"/>
      <c r="C9747" s="7"/>
      <c r="D9747" s="7"/>
      <c r="E9747" s="7"/>
      <c r="F9747" s="7"/>
      <c r="G9747" s="7"/>
      <c r="H9747" s="7">
        <f t="shared" si="1"/>
        <v>1029</v>
      </c>
    </row>
    <row r="9748" ht="22.5" customHeight="1">
      <c r="B9748" s="7"/>
      <c r="C9748" s="7"/>
      <c r="D9748" s="7"/>
      <c r="E9748" s="7"/>
      <c r="F9748" s="7"/>
      <c r="G9748" s="7"/>
      <c r="H9748" s="7">
        <f t="shared" si="1"/>
        <v>1029</v>
      </c>
    </row>
    <row r="9749" ht="22.5" customHeight="1">
      <c r="B9749" s="7"/>
      <c r="C9749" s="7"/>
      <c r="D9749" s="7"/>
      <c r="E9749" s="7"/>
      <c r="F9749" s="7"/>
      <c r="G9749" s="7"/>
      <c r="H9749" s="7">
        <f t="shared" si="1"/>
        <v>1029</v>
      </c>
    </row>
    <row r="9750" ht="22.5" customHeight="1">
      <c r="B9750" s="7"/>
      <c r="C9750" s="7"/>
      <c r="D9750" s="7"/>
      <c r="E9750" s="7"/>
      <c r="F9750" s="7"/>
      <c r="G9750" s="7"/>
      <c r="H9750" s="7">
        <f t="shared" si="1"/>
        <v>1029</v>
      </c>
    </row>
    <row r="9751" ht="22.5" customHeight="1">
      <c r="B9751" s="7"/>
      <c r="C9751" s="7"/>
      <c r="D9751" s="7"/>
      <c r="E9751" s="7"/>
      <c r="F9751" s="7"/>
      <c r="G9751" s="7"/>
      <c r="H9751" s="7">
        <f t="shared" si="1"/>
        <v>1029</v>
      </c>
    </row>
    <row r="9752" ht="22.5" customHeight="1">
      <c r="B9752" s="7"/>
      <c r="C9752" s="7"/>
      <c r="D9752" s="7"/>
      <c r="E9752" s="7"/>
      <c r="F9752" s="7"/>
      <c r="G9752" s="7"/>
      <c r="H9752" s="7">
        <f t="shared" si="1"/>
        <v>1029</v>
      </c>
    </row>
    <row r="9753" ht="22.5" customHeight="1">
      <c r="B9753" s="7"/>
      <c r="C9753" s="7"/>
      <c r="D9753" s="7"/>
      <c r="E9753" s="7"/>
      <c r="F9753" s="7"/>
      <c r="G9753" s="7"/>
      <c r="H9753" s="7">
        <f t="shared" si="1"/>
        <v>1029</v>
      </c>
    </row>
    <row r="9754" ht="22.5" customHeight="1">
      <c r="B9754" s="7"/>
      <c r="C9754" s="7"/>
      <c r="D9754" s="7"/>
      <c r="E9754" s="7"/>
      <c r="F9754" s="7"/>
      <c r="G9754" s="7"/>
      <c r="H9754" s="7">
        <f t="shared" si="1"/>
        <v>1029</v>
      </c>
    </row>
    <row r="9755" ht="22.5" customHeight="1">
      <c r="B9755" s="7"/>
      <c r="C9755" s="7"/>
      <c r="D9755" s="7"/>
      <c r="E9755" s="7"/>
      <c r="F9755" s="7"/>
      <c r="G9755" s="7"/>
      <c r="H9755" s="7">
        <f t="shared" si="1"/>
        <v>1029</v>
      </c>
    </row>
    <row r="9756" ht="22.5" customHeight="1">
      <c r="B9756" s="7"/>
      <c r="C9756" s="7"/>
      <c r="D9756" s="7"/>
      <c r="E9756" s="7"/>
      <c r="F9756" s="7"/>
      <c r="G9756" s="7"/>
      <c r="H9756" s="7">
        <f t="shared" si="1"/>
        <v>1029</v>
      </c>
    </row>
    <row r="9757" ht="22.5" customHeight="1">
      <c r="B9757" s="7"/>
      <c r="C9757" s="7"/>
      <c r="D9757" s="7"/>
      <c r="E9757" s="7"/>
      <c r="F9757" s="7"/>
      <c r="G9757" s="7"/>
      <c r="H9757" s="7">
        <f t="shared" si="1"/>
        <v>1029</v>
      </c>
    </row>
    <row r="9758" ht="22.5" customHeight="1">
      <c r="B9758" s="7"/>
      <c r="C9758" s="7"/>
      <c r="D9758" s="7"/>
      <c r="E9758" s="7"/>
      <c r="F9758" s="7"/>
      <c r="G9758" s="7"/>
      <c r="H9758" s="7">
        <f t="shared" si="1"/>
        <v>1029</v>
      </c>
    </row>
    <row r="9759" ht="22.5" customHeight="1">
      <c r="B9759" s="7"/>
      <c r="C9759" s="7"/>
      <c r="D9759" s="7"/>
      <c r="E9759" s="7"/>
      <c r="F9759" s="7"/>
      <c r="G9759" s="7"/>
      <c r="H9759" s="7">
        <f t="shared" si="1"/>
        <v>1029</v>
      </c>
    </row>
    <row r="9760" ht="22.5" customHeight="1">
      <c r="B9760" s="7"/>
      <c r="C9760" s="7"/>
      <c r="D9760" s="7"/>
      <c r="E9760" s="7"/>
      <c r="F9760" s="7"/>
      <c r="G9760" s="7"/>
      <c r="H9760" s="7">
        <f t="shared" si="1"/>
        <v>1029</v>
      </c>
    </row>
    <row r="9761" ht="22.5" customHeight="1">
      <c r="B9761" s="7"/>
      <c r="C9761" s="7"/>
      <c r="D9761" s="7"/>
      <c r="E9761" s="7"/>
      <c r="F9761" s="7"/>
      <c r="G9761" s="7"/>
      <c r="H9761" s="7">
        <f t="shared" si="1"/>
        <v>1029</v>
      </c>
    </row>
    <row r="9762" ht="22.5" customHeight="1">
      <c r="B9762" s="7"/>
      <c r="C9762" s="7"/>
      <c r="D9762" s="7"/>
      <c r="E9762" s="7"/>
      <c r="F9762" s="7"/>
      <c r="G9762" s="7"/>
      <c r="H9762" s="7">
        <f t="shared" si="1"/>
        <v>1029</v>
      </c>
    </row>
    <row r="9763" ht="22.5" customHeight="1">
      <c r="B9763" s="7"/>
      <c r="C9763" s="7"/>
      <c r="D9763" s="7"/>
      <c r="E9763" s="7"/>
      <c r="F9763" s="7"/>
      <c r="G9763" s="7"/>
      <c r="H9763" s="7">
        <f t="shared" si="1"/>
        <v>1029</v>
      </c>
    </row>
    <row r="9764" ht="22.5" customHeight="1">
      <c r="B9764" s="7"/>
      <c r="C9764" s="7"/>
      <c r="D9764" s="7"/>
      <c r="E9764" s="7"/>
      <c r="F9764" s="7"/>
      <c r="G9764" s="7"/>
      <c r="H9764" s="7">
        <f t="shared" si="1"/>
        <v>1029</v>
      </c>
    </row>
    <row r="9765" ht="22.5" customHeight="1">
      <c r="B9765" s="7"/>
      <c r="C9765" s="7"/>
      <c r="D9765" s="7"/>
      <c r="E9765" s="7"/>
      <c r="F9765" s="7"/>
      <c r="G9765" s="7"/>
      <c r="H9765" s="7">
        <f t="shared" si="1"/>
        <v>1029</v>
      </c>
    </row>
    <row r="9766" ht="22.5" customHeight="1">
      <c r="B9766" s="7"/>
      <c r="C9766" s="7"/>
      <c r="D9766" s="7"/>
      <c r="E9766" s="7"/>
      <c r="F9766" s="7"/>
      <c r="G9766" s="7"/>
      <c r="H9766" s="7">
        <f t="shared" si="1"/>
        <v>1029</v>
      </c>
    </row>
    <row r="9767" ht="22.5" customHeight="1">
      <c r="B9767" s="7"/>
      <c r="C9767" s="7"/>
      <c r="D9767" s="7"/>
      <c r="E9767" s="7"/>
      <c r="F9767" s="7"/>
      <c r="G9767" s="7"/>
      <c r="H9767" s="7">
        <f t="shared" si="1"/>
        <v>1029</v>
      </c>
    </row>
    <row r="9768" ht="22.5" customHeight="1">
      <c r="B9768" s="7"/>
      <c r="C9768" s="7"/>
      <c r="D9768" s="7"/>
      <c r="E9768" s="7"/>
      <c r="F9768" s="7"/>
      <c r="G9768" s="7"/>
      <c r="H9768" s="7">
        <f t="shared" si="1"/>
        <v>1029</v>
      </c>
    </row>
    <row r="9769" ht="22.5" customHeight="1">
      <c r="B9769" s="7"/>
      <c r="C9769" s="7"/>
      <c r="D9769" s="7"/>
      <c r="E9769" s="7"/>
      <c r="F9769" s="7"/>
      <c r="G9769" s="7"/>
      <c r="H9769" s="7">
        <f t="shared" si="1"/>
        <v>1029</v>
      </c>
    </row>
    <row r="9770" ht="22.5" customHeight="1">
      <c r="B9770" s="7"/>
      <c r="C9770" s="7"/>
      <c r="D9770" s="7"/>
      <c r="E9770" s="7"/>
      <c r="F9770" s="7"/>
      <c r="G9770" s="7"/>
      <c r="H9770" s="7">
        <f t="shared" si="1"/>
        <v>1029</v>
      </c>
    </row>
    <row r="9771" ht="22.5" customHeight="1">
      <c r="B9771" s="7"/>
      <c r="C9771" s="7"/>
      <c r="D9771" s="7"/>
      <c r="E9771" s="7"/>
      <c r="F9771" s="7"/>
      <c r="G9771" s="7"/>
      <c r="H9771" s="7">
        <f t="shared" si="1"/>
        <v>1029</v>
      </c>
    </row>
    <row r="9772" ht="22.5" customHeight="1">
      <c r="B9772" s="7"/>
      <c r="C9772" s="7"/>
      <c r="D9772" s="7"/>
      <c r="E9772" s="7"/>
      <c r="F9772" s="7"/>
      <c r="G9772" s="7"/>
      <c r="H9772" s="7">
        <f t="shared" si="1"/>
        <v>1029</v>
      </c>
    </row>
    <row r="9773" ht="22.5" customHeight="1">
      <c r="B9773" s="7"/>
      <c r="C9773" s="7"/>
      <c r="D9773" s="7"/>
      <c r="E9773" s="7"/>
      <c r="F9773" s="7"/>
      <c r="G9773" s="7"/>
      <c r="H9773" s="7">
        <f t="shared" si="1"/>
        <v>1029</v>
      </c>
    </row>
    <row r="9774" ht="22.5" customHeight="1">
      <c r="B9774" s="7"/>
      <c r="C9774" s="7"/>
      <c r="D9774" s="7"/>
      <c r="E9774" s="7"/>
      <c r="F9774" s="7"/>
      <c r="G9774" s="7"/>
      <c r="H9774" s="7">
        <f t="shared" si="1"/>
        <v>1029</v>
      </c>
    </row>
    <row r="9775" ht="22.5" customHeight="1">
      <c r="B9775" s="7"/>
      <c r="C9775" s="7"/>
      <c r="D9775" s="7"/>
      <c r="E9775" s="7"/>
      <c r="F9775" s="7"/>
      <c r="G9775" s="7"/>
      <c r="H9775" s="7">
        <f t="shared" si="1"/>
        <v>1029</v>
      </c>
    </row>
    <row r="9776" ht="22.5" customHeight="1">
      <c r="B9776" s="7"/>
      <c r="C9776" s="7"/>
      <c r="D9776" s="7"/>
      <c r="E9776" s="7"/>
      <c r="F9776" s="7"/>
      <c r="G9776" s="7"/>
      <c r="H9776" s="7">
        <f t="shared" si="1"/>
        <v>1029</v>
      </c>
    </row>
    <row r="9777" ht="22.5" customHeight="1">
      <c r="B9777" s="7"/>
      <c r="C9777" s="7"/>
      <c r="D9777" s="7"/>
      <c r="E9777" s="7"/>
      <c r="F9777" s="7"/>
      <c r="G9777" s="7"/>
      <c r="H9777" s="7">
        <f t="shared" si="1"/>
        <v>1029</v>
      </c>
    </row>
    <row r="9778" ht="22.5" customHeight="1">
      <c r="B9778" s="7"/>
      <c r="C9778" s="7"/>
      <c r="D9778" s="7"/>
      <c r="E9778" s="7"/>
      <c r="F9778" s="7"/>
      <c r="G9778" s="7"/>
      <c r="H9778" s="7">
        <f t="shared" si="1"/>
        <v>1029</v>
      </c>
    </row>
    <row r="9779" ht="22.5" customHeight="1">
      <c r="B9779" s="7"/>
      <c r="C9779" s="7"/>
      <c r="D9779" s="7"/>
      <c r="E9779" s="7"/>
      <c r="F9779" s="7"/>
      <c r="G9779" s="7"/>
      <c r="H9779" s="7">
        <f t="shared" si="1"/>
        <v>1029</v>
      </c>
    </row>
    <row r="9780" ht="22.5" customHeight="1">
      <c r="B9780" s="7"/>
      <c r="C9780" s="7"/>
      <c r="D9780" s="7"/>
      <c r="E9780" s="7"/>
      <c r="F9780" s="7"/>
      <c r="G9780" s="7"/>
      <c r="H9780" s="7">
        <f t="shared" si="1"/>
        <v>1029</v>
      </c>
    </row>
    <row r="9781" ht="22.5" customHeight="1">
      <c r="B9781" s="7"/>
      <c r="C9781" s="7"/>
      <c r="D9781" s="7"/>
      <c r="E9781" s="7"/>
      <c r="F9781" s="7"/>
      <c r="G9781" s="7"/>
      <c r="H9781" s="7">
        <f t="shared" si="1"/>
        <v>1029</v>
      </c>
    </row>
    <row r="9782" ht="22.5" customHeight="1">
      <c r="B9782" s="7"/>
      <c r="C9782" s="7"/>
      <c r="D9782" s="7"/>
      <c r="E9782" s="7"/>
      <c r="F9782" s="7"/>
      <c r="G9782" s="7"/>
      <c r="H9782" s="7">
        <f t="shared" si="1"/>
        <v>1029</v>
      </c>
    </row>
    <row r="9783" ht="22.5" customHeight="1">
      <c r="B9783" s="7"/>
      <c r="C9783" s="7"/>
      <c r="D9783" s="7"/>
      <c r="E9783" s="7"/>
      <c r="F9783" s="7"/>
      <c r="G9783" s="7"/>
      <c r="H9783" s="7">
        <f t="shared" si="1"/>
        <v>1029</v>
      </c>
    </row>
    <row r="9784" ht="22.5" customHeight="1">
      <c r="B9784" s="7"/>
      <c r="C9784" s="7"/>
      <c r="D9784" s="7"/>
      <c r="E9784" s="7"/>
      <c r="F9784" s="7"/>
      <c r="G9784" s="7"/>
      <c r="H9784" s="7">
        <f t="shared" si="1"/>
        <v>1029</v>
      </c>
    </row>
    <row r="9785" ht="22.5" customHeight="1">
      <c r="B9785" s="7"/>
      <c r="C9785" s="7"/>
      <c r="D9785" s="7"/>
      <c r="E9785" s="7"/>
      <c r="F9785" s="7"/>
      <c r="G9785" s="7"/>
      <c r="H9785" s="7">
        <f t="shared" si="1"/>
        <v>1029</v>
      </c>
    </row>
    <row r="9786" ht="22.5" customHeight="1">
      <c r="B9786" s="7"/>
      <c r="C9786" s="7"/>
      <c r="D9786" s="7"/>
      <c r="E9786" s="7"/>
      <c r="F9786" s="7"/>
      <c r="G9786" s="7"/>
      <c r="H9786" s="7">
        <f t="shared" si="1"/>
        <v>1029</v>
      </c>
    </row>
    <row r="9787" ht="22.5" customHeight="1">
      <c r="B9787" s="7"/>
      <c r="C9787" s="7"/>
      <c r="D9787" s="7"/>
      <c r="E9787" s="7"/>
      <c r="F9787" s="7"/>
      <c r="G9787" s="7"/>
      <c r="H9787" s="7">
        <f t="shared" si="1"/>
        <v>1029</v>
      </c>
    </row>
    <row r="9788" ht="22.5" customHeight="1">
      <c r="B9788" s="7"/>
      <c r="C9788" s="7"/>
      <c r="D9788" s="7"/>
      <c r="E9788" s="7"/>
      <c r="F9788" s="7"/>
      <c r="G9788" s="7"/>
      <c r="H9788" s="7">
        <f t="shared" si="1"/>
        <v>1029</v>
      </c>
    </row>
    <row r="9789" ht="22.5" customHeight="1">
      <c r="B9789" s="7"/>
      <c r="C9789" s="7"/>
      <c r="D9789" s="7"/>
      <c r="E9789" s="7"/>
      <c r="F9789" s="7"/>
      <c r="G9789" s="7"/>
      <c r="H9789" s="7">
        <f t="shared" si="1"/>
        <v>1029</v>
      </c>
    </row>
    <row r="9790" ht="22.5" customHeight="1">
      <c r="B9790" s="7"/>
      <c r="C9790" s="7"/>
      <c r="D9790" s="7"/>
      <c r="E9790" s="7"/>
      <c r="F9790" s="7"/>
      <c r="G9790" s="7"/>
      <c r="H9790" s="7">
        <f t="shared" si="1"/>
        <v>1029</v>
      </c>
    </row>
    <row r="9791" ht="22.5" customHeight="1">
      <c r="B9791" s="7"/>
      <c r="C9791" s="7"/>
      <c r="D9791" s="7"/>
      <c r="E9791" s="7"/>
      <c r="F9791" s="7"/>
      <c r="G9791" s="7"/>
      <c r="H9791" s="7">
        <f t="shared" si="1"/>
        <v>1029</v>
      </c>
    </row>
    <row r="9792" ht="22.5" customHeight="1">
      <c r="B9792" s="7"/>
      <c r="C9792" s="7"/>
      <c r="D9792" s="7"/>
      <c r="E9792" s="7"/>
      <c r="F9792" s="7"/>
      <c r="G9792" s="7"/>
      <c r="H9792" s="7">
        <f t="shared" si="1"/>
        <v>1029</v>
      </c>
    </row>
    <row r="9793" ht="22.5" customHeight="1">
      <c r="B9793" s="7"/>
      <c r="C9793" s="7"/>
      <c r="D9793" s="7"/>
      <c r="E9793" s="7"/>
      <c r="F9793" s="7"/>
      <c r="G9793" s="7"/>
      <c r="H9793" s="7">
        <f t="shared" si="1"/>
        <v>1029</v>
      </c>
    </row>
    <row r="9794" ht="22.5" customHeight="1">
      <c r="B9794" s="7"/>
      <c r="C9794" s="7"/>
      <c r="D9794" s="7"/>
      <c r="E9794" s="7"/>
      <c r="F9794" s="7"/>
      <c r="G9794" s="7"/>
      <c r="H9794" s="7">
        <f t="shared" si="1"/>
        <v>1029</v>
      </c>
    </row>
    <row r="9795" ht="22.5" customHeight="1">
      <c r="B9795" s="7"/>
      <c r="C9795" s="7"/>
      <c r="D9795" s="7"/>
      <c r="E9795" s="7"/>
      <c r="F9795" s="7"/>
      <c r="G9795" s="7"/>
      <c r="H9795" s="7">
        <f t="shared" si="1"/>
        <v>1029</v>
      </c>
    </row>
    <row r="9796" ht="22.5" customHeight="1">
      <c r="B9796" s="7"/>
      <c r="C9796" s="7"/>
      <c r="D9796" s="7"/>
      <c r="E9796" s="7"/>
      <c r="F9796" s="7"/>
      <c r="G9796" s="7"/>
      <c r="H9796" s="7">
        <f t="shared" si="1"/>
        <v>1029</v>
      </c>
    </row>
    <row r="9797" ht="22.5" customHeight="1">
      <c r="B9797" s="7"/>
      <c r="C9797" s="7"/>
      <c r="D9797" s="7"/>
      <c r="E9797" s="7"/>
      <c r="F9797" s="7"/>
      <c r="G9797" s="7"/>
      <c r="H9797" s="7">
        <f t="shared" si="1"/>
        <v>1029</v>
      </c>
    </row>
    <row r="9798" ht="22.5" customHeight="1">
      <c r="B9798" s="7"/>
      <c r="C9798" s="7"/>
      <c r="D9798" s="7"/>
      <c r="E9798" s="7"/>
      <c r="F9798" s="7"/>
      <c r="G9798" s="7"/>
      <c r="H9798" s="7">
        <f t="shared" si="1"/>
        <v>1029</v>
      </c>
    </row>
    <row r="9799" ht="22.5" customHeight="1">
      <c r="B9799" s="7"/>
      <c r="C9799" s="7"/>
      <c r="D9799" s="7"/>
      <c r="E9799" s="7"/>
      <c r="F9799" s="7"/>
      <c r="G9799" s="7"/>
      <c r="H9799" s="7">
        <f t="shared" si="1"/>
        <v>1029</v>
      </c>
    </row>
    <row r="9800" ht="22.5" customHeight="1">
      <c r="B9800" s="7"/>
      <c r="C9800" s="7"/>
      <c r="D9800" s="7"/>
      <c r="E9800" s="7"/>
      <c r="F9800" s="7"/>
      <c r="G9800" s="7"/>
      <c r="H9800" s="7">
        <f t="shared" si="1"/>
        <v>1029</v>
      </c>
    </row>
    <row r="9801" ht="22.5" customHeight="1">
      <c r="B9801" s="7"/>
      <c r="C9801" s="7"/>
      <c r="D9801" s="7"/>
      <c r="E9801" s="7"/>
      <c r="F9801" s="7"/>
      <c r="G9801" s="7"/>
      <c r="H9801" s="7">
        <f t="shared" si="1"/>
        <v>1029</v>
      </c>
    </row>
    <row r="9802" ht="22.5" customHeight="1">
      <c r="B9802" s="7"/>
      <c r="C9802" s="7"/>
      <c r="D9802" s="7"/>
      <c r="E9802" s="7"/>
      <c r="F9802" s="7"/>
      <c r="G9802" s="7"/>
      <c r="H9802" s="7">
        <f t="shared" si="1"/>
        <v>1029</v>
      </c>
    </row>
    <row r="9803" ht="22.5" customHeight="1">
      <c r="B9803" s="7"/>
      <c r="C9803" s="7"/>
      <c r="D9803" s="7"/>
      <c r="E9803" s="7"/>
      <c r="F9803" s="7"/>
      <c r="G9803" s="7"/>
      <c r="H9803" s="7">
        <f t="shared" si="1"/>
        <v>1029</v>
      </c>
    </row>
    <row r="9804" ht="22.5" customHeight="1">
      <c r="B9804" s="7"/>
      <c r="C9804" s="7"/>
      <c r="D9804" s="7"/>
      <c r="E9804" s="7"/>
      <c r="F9804" s="7"/>
      <c r="G9804" s="7"/>
      <c r="H9804" s="7">
        <f t="shared" si="1"/>
        <v>1029</v>
      </c>
    </row>
    <row r="9805" ht="22.5" customHeight="1">
      <c r="B9805" s="7"/>
      <c r="C9805" s="7"/>
      <c r="D9805" s="7"/>
      <c r="E9805" s="7"/>
      <c r="F9805" s="7"/>
      <c r="G9805" s="7"/>
      <c r="H9805" s="7">
        <f t="shared" si="1"/>
        <v>1029</v>
      </c>
    </row>
    <row r="9806" ht="22.5" customHeight="1">
      <c r="B9806" s="7"/>
      <c r="C9806" s="7"/>
      <c r="D9806" s="7"/>
      <c r="E9806" s="7"/>
      <c r="F9806" s="7"/>
      <c r="G9806" s="7"/>
      <c r="H9806" s="7">
        <f t="shared" si="1"/>
        <v>1029</v>
      </c>
    </row>
    <row r="9807" ht="22.5" customHeight="1">
      <c r="B9807" s="7"/>
      <c r="C9807" s="7"/>
      <c r="D9807" s="7"/>
      <c r="E9807" s="7"/>
      <c r="F9807" s="7"/>
      <c r="G9807" s="7"/>
      <c r="H9807" s="7">
        <f t="shared" si="1"/>
        <v>1029</v>
      </c>
    </row>
    <row r="9808" ht="22.5" customHeight="1">
      <c r="B9808" s="7"/>
      <c r="C9808" s="7"/>
      <c r="D9808" s="7"/>
      <c r="E9808" s="7"/>
      <c r="F9808" s="7"/>
      <c r="G9808" s="7"/>
      <c r="H9808" s="7">
        <f t="shared" si="1"/>
        <v>1029</v>
      </c>
    </row>
    <row r="9809" ht="22.5" customHeight="1">
      <c r="B9809" s="7"/>
      <c r="C9809" s="7"/>
      <c r="D9809" s="7"/>
      <c r="E9809" s="7"/>
      <c r="F9809" s="7"/>
      <c r="G9809" s="7"/>
      <c r="H9809" s="7">
        <f t="shared" si="1"/>
        <v>1029</v>
      </c>
    </row>
    <row r="9810" ht="22.5" customHeight="1">
      <c r="B9810" s="7"/>
      <c r="C9810" s="7"/>
      <c r="D9810" s="7"/>
      <c r="E9810" s="7"/>
      <c r="F9810" s="7"/>
      <c r="G9810" s="7"/>
      <c r="H9810" s="7">
        <f t="shared" si="1"/>
        <v>1029</v>
      </c>
    </row>
    <row r="9811" ht="22.5" customHeight="1">
      <c r="B9811" s="7"/>
      <c r="C9811" s="7"/>
      <c r="D9811" s="7"/>
      <c r="E9811" s="7"/>
      <c r="F9811" s="7"/>
      <c r="G9811" s="7"/>
      <c r="H9811" s="7">
        <f t="shared" si="1"/>
        <v>1029</v>
      </c>
    </row>
    <row r="9812" ht="22.5" customHeight="1">
      <c r="B9812" s="7"/>
      <c r="C9812" s="7"/>
      <c r="D9812" s="7"/>
      <c r="E9812" s="7"/>
      <c r="F9812" s="7"/>
      <c r="G9812" s="7"/>
      <c r="H9812" s="7">
        <f t="shared" si="1"/>
        <v>1029</v>
      </c>
    </row>
    <row r="9813" ht="22.5" customHeight="1">
      <c r="B9813" s="7"/>
      <c r="C9813" s="7"/>
      <c r="D9813" s="7"/>
      <c r="E9813" s="7"/>
      <c r="F9813" s="7"/>
      <c r="G9813" s="7"/>
      <c r="H9813" s="7">
        <f t="shared" si="1"/>
        <v>1029</v>
      </c>
    </row>
    <row r="9814" ht="22.5" customHeight="1">
      <c r="B9814" s="7"/>
      <c r="C9814" s="7"/>
      <c r="D9814" s="7"/>
      <c r="E9814" s="7"/>
      <c r="F9814" s="7"/>
      <c r="G9814" s="7"/>
      <c r="H9814" s="7">
        <f t="shared" si="1"/>
        <v>1029</v>
      </c>
    </row>
    <row r="9815" ht="22.5" customHeight="1">
      <c r="B9815" s="7"/>
      <c r="C9815" s="7"/>
      <c r="D9815" s="7"/>
      <c r="E9815" s="7"/>
      <c r="F9815" s="7"/>
      <c r="G9815" s="7"/>
      <c r="H9815" s="7">
        <f t="shared" si="1"/>
        <v>1029</v>
      </c>
    </row>
    <row r="9816" ht="22.5" customHeight="1">
      <c r="B9816" s="7"/>
      <c r="C9816" s="7"/>
      <c r="D9816" s="7"/>
      <c r="E9816" s="7"/>
      <c r="F9816" s="7"/>
      <c r="G9816" s="7"/>
      <c r="H9816" s="7">
        <f t="shared" si="1"/>
        <v>1029</v>
      </c>
    </row>
    <row r="9817" ht="22.5" customHeight="1">
      <c r="B9817" s="7"/>
      <c r="C9817" s="7"/>
      <c r="D9817" s="7"/>
      <c r="E9817" s="7"/>
      <c r="F9817" s="7"/>
      <c r="G9817" s="7"/>
      <c r="H9817" s="7">
        <f t="shared" si="1"/>
        <v>1029</v>
      </c>
    </row>
    <row r="9818" ht="22.5" customHeight="1">
      <c r="B9818" s="7"/>
      <c r="C9818" s="7"/>
      <c r="D9818" s="7"/>
      <c r="E9818" s="7"/>
      <c r="F9818" s="7"/>
      <c r="G9818" s="7"/>
      <c r="H9818" s="7">
        <f t="shared" si="1"/>
        <v>1029</v>
      </c>
    </row>
    <row r="9819" ht="22.5" customHeight="1">
      <c r="B9819" s="7"/>
      <c r="C9819" s="7"/>
      <c r="D9819" s="7"/>
      <c r="E9819" s="7"/>
      <c r="F9819" s="7"/>
      <c r="G9819" s="7"/>
      <c r="H9819" s="7">
        <f t="shared" si="1"/>
        <v>1029</v>
      </c>
    </row>
    <row r="9820" ht="22.5" customHeight="1">
      <c r="B9820" s="7"/>
      <c r="C9820" s="7"/>
      <c r="D9820" s="7"/>
      <c r="E9820" s="7"/>
      <c r="F9820" s="7"/>
      <c r="G9820" s="7"/>
      <c r="H9820" s="7">
        <f t="shared" si="1"/>
        <v>1029</v>
      </c>
    </row>
    <row r="9821" ht="22.5" customHeight="1">
      <c r="B9821" s="7"/>
      <c r="C9821" s="7"/>
      <c r="D9821" s="7"/>
      <c r="E9821" s="7"/>
      <c r="F9821" s="7"/>
      <c r="G9821" s="7"/>
      <c r="H9821" s="7">
        <f t="shared" si="1"/>
        <v>1029</v>
      </c>
    </row>
    <row r="9822" ht="22.5" customHeight="1">
      <c r="B9822" s="7"/>
      <c r="C9822" s="7"/>
      <c r="D9822" s="7"/>
      <c r="E9822" s="7"/>
      <c r="F9822" s="7"/>
      <c r="G9822" s="7"/>
      <c r="H9822" s="7">
        <f t="shared" si="1"/>
        <v>1029</v>
      </c>
    </row>
    <row r="9823" ht="22.5" customHeight="1">
      <c r="B9823" s="7"/>
      <c r="C9823" s="7"/>
      <c r="D9823" s="7"/>
      <c r="E9823" s="7"/>
      <c r="F9823" s="7"/>
      <c r="G9823" s="7"/>
      <c r="H9823" s="7">
        <f t="shared" si="1"/>
        <v>1029</v>
      </c>
    </row>
    <row r="9824" ht="22.5" customHeight="1">
      <c r="B9824" s="7"/>
      <c r="C9824" s="7"/>
      <c r="D9824" s="7"/>
      <c r="E9824" s="7"/>
      <c r="F9824" s="7"/>
      <c r="G9824" s="7"/>
      <c r="H9824" s="7">
        <f t="shared" si="1"/>
        <v>1029</v>
      </c>
    </row>
    <row r="9825" ht="22.5" customHeight="1">
      <c r="B9825" s="7"/>
      <c r="C9825" s="7"/>
      <c r="D9825" s="7"/>
      <c r="E9825" s="7"/>
      <c r="F9825" s="7"/>
      <c r="G9825" s="7"/>
      <c r="H9825" s="7">
        <f t="shared" si="1"/>
        <v>1029</v>
      </c>
    </row>
    <row r="9826" ht="22.5" customHeight="1">
      <c r="B9826" s="7"/>
      <c r="C9826" s="7"/>
      <c r="D9826" s="7"/>
      <c r="E9826" s="7"/>
      <c r="F9826" s="7"/>
      <c r="G9826" s="7"/>
      <c r="H9826" s="7">
        <f t="shared" si="1"/>
        <v>1029</v>
      </c>
    </row>
    <row r="9827" ht="22.5" customHeight="1">
      <c r="B9827" s="7"/>
      <c r="C9827" s="7"/>
      <c r="D9827" s="7"/>
      <c r="E9827" s="7"/>
      <c r="F9827" s="7"/>
      <c r="G9827" s="7"/>
      <c r="H9827" s="7">
        <f t="shared" si="1"/>
        <v>1029</v>
      </c>
    </row>
    <row r="9828" ht="22.5" customHeight="1">
      <c r="B9828" s="7"/>
      <c r="C9828" s="7"/>
      <c r="D9828" s="7"/>
      <c r="E9828" s="7"/>
      <c r="F9828" s="7"/>
      <c r="G9828" s="7"/>
      <c r="H9828" s="7">
        <f t="shared" si="1"/>
        <v>1029</v>
      </c>
    </row>
    <row r="9829" ht="22.5" customHeight="1">
      <c r="B9829" s="7"/>
      <c r="C9829" s="7"/>
      <c r="D9829" s="7"/>
      <c r="E9829" s="7"/>
      <c r="F9829" s="7"/>
      <c r="G9829" s="7"/>
      <c r="H9829" s="7">
        <f t="shared" si="1"/>
        <v>1029</v>
      </c>
    </row>
    <row r="9830" ht="22.5" customHeight="1">
      <c r="B9830" s="7"/>
      <c r="C9830" s="7"/>
      <c r="D9830" s="7"/>
      <c r="E9830" s="7"/>
      <c r="F9830" s="7"/>
      <c r="G9830" s="7"/>
      <c r="H9830" s="7">
        <f t="shared" si="1"/>
        <v>1029</v>
      </c>
    </row>
    <row r="9831" ht="22.5" customHeight="1">
      <c r="B9831" s="7"/>
      <c r="C9831" s="7"/>
      <c r="D9831" s="7"/>
      <c r="E9831" s="7"/>
      <c r="F9831" s="7"/>
      <c r="G9831" s="7"/>
      <c r="H9831" s="7">
        <f t="shared" si="1"/>
        <v>1029</v>
      </c>
    </row>
    <row r="9832" ht="22.5" customHeight="1">
      <c r="B9832" s="7"/>
      <c r="C9832" s="7"/>
      <c r="D9832" s="7"/>
      <c r="E9832" s="7"/>
      <c r="F9832" s="7"/>
      <c r="G9832" s="7"/>
      <c r="H9832" s="7">
        <f t="shared" si="1"/>
        <v>1029</v>
      </c>
    </row>
    <row r="9833" ht="22.5" customHeight="1">
      <c r="B9833" s="7"/>
      <c r="C9833" s="7"/>
      <c r="D9833" s="7"/>
      <c r="E9833" s="7"/>
      <c r="F9833" s="7"/>
      <c r="G9833" s="7"/>
      <c r="H9833" s="7">
        <f t="shared" si="1"/>
        <v>1029</v>
      </c>
    </row>
    <row r="9834" ht="22.5" customHeight="1">
      <c r="B9834" s="7"/>
      <c r="C9834" s="7"/>
      <c r="D9834" s="7"/>
      <c r="E9834" s="7"/>
      <c r="F9834" s="7"/>
      <c r="G9834" s="7"/>
      <c r="H9834" s="7">
        <f t="shared" si="1"/>
        <v>1029</v>
      </c>
    </row>
    <row r="9835" ht="22.5" customHeight="1">
      <c r="B9835" s="7"/>
      <c r="C9835" s="7"/>
      <c r="D9835" s="7"/>
      <c r="E9835" s="7"/>
      <c r="F9835" s="7"/>
      <c r="G9835" s="7"/>
      <c r="H9835" s="7">
        <f t="shared" si="1"/>
        <v>1029</v>
      </c>
    </row>
    <row r="9836" ht="22.5" customHeight="1">
      <c r="B9836" s="7"/>
      <c r="C9836" s="7"/>
      <c r="D9836" s="7"/>
      <c r="E9836" s="7"/>
      <c r="F9836" s="7"/>
      <c r="G9836" s="7"/>
      <c r="H9836" s="7">
        <f t="shared" si="1"/>
        <v>1029</v>
      </c>
    </row>
    <row r="9837" ht="22.5" customHeight="1">
      <c r="B9837" s="7"/>
      <c r="C9837" s="7"/>
      <c r="D9837" s="7"/>
      <c r="E9837" s="7"/>
      <c r="F9837" s="7"/>
      <c r="G9837" s="7"/>
      <c r="H9837" s="7">
        <f t="shared" si="1"/>
        <v>1029</v>
      </c>
    </row>
    <row r="9838" ht="22.5" customHeight="1">
      <c r="B9838" s="7"/>
      <c r="C9838" s="7"/>
      <c r="D9838" s="7"/>
      <c r="E9838" s="7"/>
      <c r="F9838" s="7"/>
      <c r="G9838" s="7"/>
      <c r="H9838" s="7">
        <f t="shared" si="1"/>
        <v>1029</v>
      </c>
    </row>
    <row r="9839" ht="22.5" customHeight="1">
      <c r="B9839" s="7"/>
      <c r="C9839" s="7"/>
      <c r="D9839" s="7"/>
      <c r="E9839" s="7"/>
      <c r="F9839" s="7"/>
      <c r="G9839" s="7"/>
      <c r="H9839" s="7">
        <f t="shared" si="1"/>
        <v>1029</v>
      </c>
    </row>
    <row r="9840" ht="22.5" customHeight="1">
      <c r="B9840" s="7"/>
      <c r="C9840" s="7"/>
      <c r="D9840" s="7"/>
      <c r="E9840" s="7"/>
      <c r="F9840" s="7"/>
      <c r="G9840" s="7"/>
      <c r="H9840" s="7">
        <f t="shared" si="1"/>
        <v>1029</v>
      </c>
    </row>
    <row r="9841" ht="22.5" customHeight="1">
      <c r="B9841" s="7"/>
      <c r="C9841" s="7"/>
      <c r="D9841" s="7"/>
      <c r="E9841" s="7"/>
      <c r="F9841" s="7"/>
      <c r="G9841" s="7"/>
      <c r="H9841" s="7">
        <f t="shared" si="1"/>
        <v>1029</v>
      </c>
    </row>
    <row r="9842" ht="22.5" customHeight="1">
      <c r="B9842" s="7"/>
      <c r="C9842" s="7"/>
      <c r="D9842" s="7"/>
      <c r="E9842" s="7"/>
      <c r="F9842" s="7"/>
      <c r="G9842" s="7"/>
      <c r="H9842" s="7">
        <f t="shared" si="1"/>
        <v>1029</v>
      </c>
    </row>
    <row r="9843" ht="22.5" customHeight="1">
      <c r="B9843" s="7"/>
      <c r="C9843" s="7"/>
      <c r="D9843" s="7"/>
      <c r="E9843" s="7"/>
      <c r="F9843" s="7"/>
      <c r="G9843" s="7"/>
      <c r="H9843" s="7">
        <f t="shared" si="1"/>
        <v>1029</v>
      </c>
    </row>
    <row r="9844" ht="22.5" customHeight="1">
      <c r="B9844" s="7"/>
      <c r="C9844" s="7"/>
      <c r="D9844" s="7"/>
      <c r="E9844" s="7"/>
      <c r="F9844" s="7"/>
      <c r="G9844" s="7"/>
      <c r="H9844" s="7">
        <f t="shared" si="1"/>
        <v>1029</v>
      </c>
    </row>
    <row r="9845" ht="22.5" customHeight="1">
      <c r="B9845" s="7"/>
      <c r="C9845" s="7"/>
      <c r="D9845" s="7"/>
      <c r="E9845" s="7"/>
      <c r="F9845" s="7"/>
      <c r="G9845" s="7"/>
      <c r="H9845" s="7">
        <f t="shared" si="1"/>
        <v>1029</v>
      </c>
    </row>
    <row r="9846" ht="22.5" customHeight="1">
      <c r="B9846" s="7"/>
      <c r="C9846" s="7"/>
      <c r="D9846" s="7"/>
      <c r="E9846" s="7"/>
      <c r="F9846" s="7"/>
      <c r="G9846" s="7"/>
      <c r="H9846" s="7">
        <f t="shared" si="1"/>
        <v>1029</v>
      </c>
    </row>
    <row r="9847" ht="22.5" customHeight="1">
      <c r="B9847" s="7"/>
      <c r="C9847" s="7"/>
      <c r="D9847" s="7"/>
      <c r="E9847" s="7"/>
      <c r="F9847" s="7"/>
      <c r="G9847" s="7"/>
      <c r="H9847" s="7">
        <f t="shared" si="1"/>
        <v>1029</v>
      </c>
    </row>
    <row r="9848" ht="22.5" customHeight="1">
      <c r="B9848" s="7"/>
      <c r="C9848" s="7"/>
      <c r="D9848" s="7"/>
      <c r="E9848" s="7"/>
      <c r="F9848" s="7"/>
      <c r="G9848" s="7"/>
      <c r="H9848" s="7">
        <f t="shared" si="1"/>
        <v>1029</v>
      </c>
    </row>
    <row r="9849" ht="22.5" customHeight="1">
      <c r="B9849" s="7"/>
      <c r="C9849" s="7"/>
      <c r="D9849" s="7"/>
      <c r="E9849" s="7"/>
      <c r="F9849" s="7"/>
      <c r="G9849" s="7"/>
      <c r="H9849" s="7">
        <f t="shared" si="1"/>
        <v>1029</v>
      </c>
    </row>
    <row r="9850" ht="22.5" customHeight="1">
      <c r="B9850" s="7"/>
      <c r="C9850" s="7"/>
      <c r="D9850" s="7"/>
      <c r="E9850" s="7"/>
      <c r="F9850" s="7"/>
      <c r="G9850" s="7"/>
      <c r="H9850" s="7">
        <f t="shared" si="1"/>
        <v>1029</v>
      </c>
    </row>
    <row r="9851" ht="22.5" customHeight="1">
      <c r="B9851" s="7"/>
      <c r="C9851" s="7"/>
      <c r="D9851" s="7"/>
      <c r="E9851" s="7"/>
      <c r="F9851" s="7"/>
      <c r="G9851" s="7"/>
      <c r="H9851" s="7">
        <f t="shared" si="1"/>
        <v>1029</v>
      </c>
    </row>
    <row r="9852" ht="22.5" customHeight="1">
      <c r="B9852" s="7"/>
      <c r="C9852" s="7"/>
      <c r="D9852" s="7"/>
      <c r="E9852" s="7"/>
      <c r="F9852" s="7"/>
      <c r="G9852" s="7"/>
      <c r="H9852" s="7">
        <f t="shared" si="1"/>
        <v>1029</v>
      </c>
    </row>
    <row r="9853" ht="22.5" customHeight="1">
      <c r="B9853" s="7"/>
      <c r="C9853" s="7"/>
      <c r="D9853" s="7"/>
      <c r="E9853" s="7"/>
      <c r="F9853" s="7"/>
      <c r="G9853" s="7"/>
      <c r="H9853" s="7">
        <f t="shared" si="1"/>
        <v>1029</v>
      </c>
    </row>
    <row r="9854" ht="22.5" customHeight="1">
      <c r="B9854" s="7"/>
      <c r="C9854" s="7"/>
      <c r="D9854" s="7"/>
      <c r="E9854" s="7"/>
      <c r="F9854" s="7"/>
      <c r="G9854" s="7"/>
      <c r="H9854" s="7">
        <f t="shared" si="1"/>
        <v>1029</v>
      </c>
    </row>
    <row r="9855" ht="22.5" customHeight="1">
      <c r="B9855" s="7"/>
      <c r="C9855" s="7"/>
      <c r="D9855" s="7"/>
      <c r="E9855" s="7"/>
      <c r="F9855" s="7"/>
      <c r="G9855" s="7"/>
      <c r="H9855" s="7">
        <f t="shared" si="1"/>
        <v>1029</v>
      </c>
    </row>
    <row r="9856" ht="22.5" customHeight="1">
      <c r="B9856" s="7"/>
      <c r="C9856" s="7"/>
      <c r="D9856" s="7"/>
      <c r="E9856" s="7"/>
      <c r="F9856" s="7"/>
      <c r="G9856" s="7"/>
      <c r="H9856" s="7">
        <f t="shared" si="1"/>
        <v>1029</v>
      </c>
    </row>
    <row r="9857" ht="22.5" customHeight="1">
      <c r="B9857" s="7"/>
      <c r="C9857" s="7"/>
      <c r="D9857" s="7"/>
      <c r="E9857" s="7"/>
      <c r="F9857" s="7"/>
      <c r="G9857" s="7"/>
      <c r="H9857" s="7">
        <f t="shared" si="1"/>
        <v>1029</v>
      </c>
    </row>
    <row r="9858" ht="22.5" customHeight="1">
      <c r="B9858" s="7"/>
      <c r="C9858" s="7"/>
      <c r="D9858" s="7"/>
      <c r="E9858" s="7"/>
      <c r="F9858" s="7"/>
      <c r="G9858" s="7"/>
      <c r="H9858" s="7">
        <f t="shared" si="1"/>
        <v>1029</v>
      </c>
    </row>
    <row r="9859" ht="22.5" customHeight="1">
      <c r="B9859" s="7"/>
      <c r="C9859" s="7"/>
      <c r="D9859" s="7"/>
      <c r="E9859" s="7"/>
      <c r="F9859" s="7"/>
      <c r="G9859" s="7"/>
      <c r="H9859" s="7">
        <f t="shared" si="1"/>
        <v>1029</v>
      </c>
    </row>
    <row r="9860" ht="22.5" customHeight="1">
      <c r="B9860" s="7"/>
      <c r="C9860" s="7"/>
      <c r="D9860" s="7"/>
      <c r="E9860" s="7"/>
      <c r="F9860" s="7"/>
      <c r="G9860" s="7"/>
      <c r="H9860" s="7">
        <f t="shared" si="1"/>
        <v>1029</v>
      </c>
    </row>
    <row r="9861" ht="22.5" customHeight="1">
      <c r="B9861" s="7"/>
      <c r="C9861" s="7"/>
      <c r="D9861" s="7"/>
      <c r="E9861" s="7"/>
      <c r="F9861" s="7"/>
      <c r="G9861" s="7"/>
      <c r="H9861" s="7">
        <f t="shared" si="1"/>
        <v>1029</v>
      </c>
    </row>
    <row r="9862" ht="22.5" customHeight="1">
      <c r="B9862" s="7"/>
      <c r="C9862" s="7"/>
      <c r="D9862" s="7"/>
      <c r="E9862" s="7"/>
      <c r="F9862" s="7"/>
      <c r="G9862" s="7"/>
      <c r="H9862" s="7">
        <f t="shared" si="1"/>
        <v>1029</v>
      </c>
    </row>
    <row r="9863" ht="22.5" customHeight="1">
      <c r="B9863" s="7"/>
      <c r="C9863" s="7"/>
      <c r="D9863" s="7"/>
      <c r="E9863" s="7"/>
      <c r="F9863" s="7"/>
      <c r="G9863" s="7"/>
      <c r="H9863" s="7">
        <f t="shared" si="1"/>
        <v>1029</v>
      </c>
    </row>
    <row r="9864" ht="22.5" customHeight="1">
      <c r="B9864" s="7"/>
      <c r="C9864" s="7"/>
      <c r="D9864" s="7"/>
      <c r="E9864" s="7"/>
      <c r="F9864" s="7"/>
      <c r="G9864" s="7"/>
      <c r="H9864" s="7">
        <f t="shared" si="1"/>
        <v>1029</v>
      </c>
    </row>
    <row r="9865" ht="22.5" customHeight="1">
      <c r="B9865" s="7"/>
      <c r="C9865" s="7"/>
      <c r="D9865" s="7"/>
      <c r="E9865" s="7"/>
      <c r="F9865" s="7"/>
      <c r="G9865" s="7"/>
      <c r="H9865" s="7">
        <f t="shared" si="1"/>
        <v>1029</v>
      </c>
    </row>
    <row r="9866" ht="22.5" customHeight="1">
      <c r="B9866" s="7"/>
      <c r="C9866" s="7"/>
      <c r="D9866" s="7"/>
      <c r="E9866" s="7"/>
      <c r="F9866" s="7"/>
      <c r="G9866" s="7"/>
      <c r="H9866" s="7">
        <f t="shared" si="1"/>
        <v>1029</v>
      </c>
    </row>
    <row r="9867" ht="22.5" customHeight="1">
      <c r="B9867" s="7"/>
      <c r="C9867" s="7"/>
      <c r="D9867" s="7"/>
      <c r="E9867" s="7"/>
      <c r="F9867" s="7"/>
      <c r="G9867" s="7"/>
      <c r="H9867" s="7">
        <f t="shared" si="1"/>
        <v>1029</v>
      </c>
    </row>
    <row r="9868" ht="22.5" customHeight="1">
      <c r="B9868" s="7"/>
      <c r="C9868" s="7"/>
      <c r="D9868" s="7"/>
      <c r="E9868" s="7"/>
      <c r="F9868" s="7"/>
      <c r="G9868" s="7"/>
      <c r="H9868" s="7">
        <f t="shared" si="1"/>
        <v>1029</v>
      </c>
    </row>
    <row r="9869" ht="22.5" customHeight="1">
      <c r="B9869" s="7"/>
      <c r="C9869" s="7"/>
      <c r="D9869" s="7"/>
      <c r="E9869" s="7"/>
      <c r="F9869" s="7"/>
      <c r="G9869" s="7"/>
      <c r="H9869" s="7">
        <f t="shared" si="1"/>
        <v>1029</v>
      </c>
    </row>
    <row r="9870" ht="22.5" customHeight="1">
      <c r="B9870" s="7"/>
      <c r="C9870" s="7"/>
      <c r="D9870" s="7"/>
      <c r="E9870" s="7"/>
      <c r="F9870" s="7"/>
      <c r="G9870" s="7"/>
      <c r="H9870" s="7">
        <f t="shared" si="1"/>
        <v>1029</v>
      </c>
    </row>
    <row r="9871" ht="22.5" customHeight="1">
      <c r="B9871" s="7"/>
      <c r="C9871" s="7"/>
      <c r="D9871" s="7"/>
      <c r="E9871" s="7"/>
      <c r="F9871" s="7"/>
      <c r="G9871" s="7"/>
      <c r="H9871" s="7">
        <f t="shared" si="1"/>
        <v>1029</v>
      </c>
    </row>
    <row r="9872" ht="22.5" customHeight="1">
      <c r="B9872" s="7"/>
      <c r="C9872" s="7"/>
      <c r="D9872" s="7"/>
      <c r="E9872" s="7"/>
      <c r="F9872" s="7"/>
      <c r="G9872" s="7"/>
      <c r="H9872" s="7">
        <f t="shared" si="1"/>
        <v>1029</v>
      </c>
    </row>
    <row r="9873" ht="22.5" customHeight="1">
      <c r="B9873" s="7"/>
      <c r="C9873" s="7"/>
      <c r="D9873" s="7"/>
      <c r="E9873" s="7"/>
      <c r="F9873" s="7"/>
      <c r="G9873" s="7"/>
      <c r="H9873" s="7">
        <f t="shared" si="1"/>
        <v>1029</v>
      </c>
    </row>
    <row r="9874" ht="22.5" customHeight="1">
      <c r="B9874" s="7"/>
      <c r="C9874" s="7"/>
      <c r="D9874" s="7"/>
      <c r="E9874" s="7"/>
      <c r="F9874" s="7"/>
      <c r="G9874" s="7"/>
      <c r="H9874" s="7">
        <f t="shared" si="1"/>
        <v>1029</v>
      </c>
    </row>
    <row r="9875" ht="22.5" customHeight="1">
      <c r="B9875" s="7"/>
      <c r="C9875" s="7"/>
      <c r="D9875" s="7"/>
      <c r="E9875" s="7"/>
      <c r="F9875" s="7"/>
      <c r="G9875" s="7"/>
      <c r="H9875" s="7">
        <f t="shared" si="1"/>
        <v>1029</v>
      </c>
    </row>
    <row r="9876" ht="22.5" customHeight="1">
      <c r="B9876" s="7"/>
      <c r="C9876" s="7"/>
      <c r="D9876" s="7"/>
      <c r="E9876" s="7"/>
      <c r="F9876" s="7"/>
      <c r="G9876" s="7"/>
      <c r="H9876" s="7">
        <f t="shared" si="1"/>
        <v>1029</v>
      </c>
    </row>
    <row r="9877" ht="22.5" customHeight="1">
      <c r="B9877" s="7"/>
      <c r="C9877" s="7"/>
      <c r="D9877" s="7"/>
      <c r="E9877" s="7"/>
      <c r="F9877" s="7"/>
      <c r="G9877" s="7"/>
      <c r="H9877" s="7">
        <f t="shared" si="1"/>
        <v>1029</v>
      </c>
    </row>
    <row r="9878" ht="22.5" customHeight="1">
      <c r="B9878" s="7"/>
      <c r="C9878" s="7"/>
      <c r="D9878" s="7"/>
      <c r="E9878" s="7"/>
      <c r="F9878" s="7"/>
      <c r="G9878" s="7"/>
      <c r="H9878" s="7">
        <f t="shared" si="1"/>
        <v>1029</v>
      </c>
    </row>
    <row r="9879" ht="22.5" customHeight="1">
      <c r="B9879" s="7"/>
      <c r="C9879" s="7"/>
      <c r="D9879" s="7"/>
      <c r="E9879" s="7"/>
      <c r="F9879" s="7"/>
      <c r="G9879" s="7"/>
      <c r="H9879" s="7">
        <f t="shared" si="1"/>
        <v>1029</v>
      </c>
    </row>
    <row r="9880" ht="22.5" customHeight="1">
      <c r="B9880" s="7"/>
      <c r="C9880" s="7"/>
      <c r="D9880" s="7"/>
      <c r="E9880" s="7"/>
      <c r="F9880" s="7"/>
      <c r="G9880" s="7"/>
      <c r="H9880" s="7">
        <f t="shared" si="1"/>
        <v>1029</v>
      </c>
    </row>
    <row r="9881" ht="22.5" customHeight="1">
      <c r="B9881" s="7"/>
      <c r="C9881" s="7"/>
      <c r="D9881" s="7"/>
      <c r="E9881" s="7"/>
      <c r="F9881" s="7"/>
      <c r="G9881" s="7"/>
      <c r="H9881" s="7">
        <f t="shared" si="1"/>
        <v>1029</v>
      </c>
    </row>
    <row r="9882" ht="22.5" customHeight="1">
      <c r="B9882" s="7"/>
      <c r="C9882" s="7"/>
      <c r="D9882" s="7"/>
      <c r="E9882" s="7"/>
      <c r="F9882" s="7"/>
      <c r="G9882" s="7"/>
      <c r="H9882" s="7">
        <f t="shared" si="1"/>
        <v>1029</v>
      </c>
    </row>
    <row r="9883" ht="22.5" customHeight="1">
      <c r="B9883" s="7"/>
      <c r="C9883" s="7"/>
      <c r="D9883" s="7"/>
      <c r="E9883" s="7"/>
      <c r="F9883" s="7"/>
      <c r="G9883" s="7"/>
      <c r="H9883" s="7">
        <f t="shared" si="1"/>
        <v>1029</v>
      </c>
    </row>
    <row r="9884" ht="22.5" customHeight="1">
      <c r="B9884" s="7"/>
      <c r="C9884" s="7"/>
      <c r="D9884" s="7"/>
      <c r="E9884" s="7"/>
      <c r="F9884" s="7"/>
      <c r="G9884" s="7"/>
      <c r="H9884" s="7">
        <f t="shared" si="1"/>
        <v>1029</v>
      </c>
    </row>
    <row r="9885" ht="22.5" customHeight="1">
      <c r="B9885" s="7"/>
      <c r="C9885" s="7"/>
      <c r="D9885" s="7"/>
      <c r="E9885" s="7"/>
      <c r="F9885" s="7"/>
      <c r="G9885" s="7"/>
      <c r="H9885" s="7">
        <f t="shared" si="1"/>
        <v>1029</v>
      </c>
    </row>
    <row r="9886" ht="22.5" customHeight="1">
      <c r="B9886" s="7"/>
      <c r="C9886" s="7"/>
      <c r="D9886" s="7"/>
      <c r="E9886" s="7"/>
      <c r="F9886" s="7"/>
      <c r="G9886" s="7"/>
      <c r="H9886" s="7">
        <f t="shared" si="1"/>
        <v>1029</v>
      </c>
    </row>
    <row r="9887" ht="22.5" customHeight="1">
      <c r="B9887" s="7"/>
      <c r="C9887" s="7"/>
      <c r="D9887" s="7"/>
      <c r="E9887" s="7"/>
      <c r="F9887" s="7"/>
      <c r="G9887" s="7"/>
      <c r="H9887" s="7">
        <f t="shared" si="1"/>
        <v>1029</v>
      </c>
    </row>
    <row r="9888" ht="22.5" customHeight="1">
      <c r="B9888" s="7"/>
      <c r="C9888" s="7"/>
      <c r="D9888" s="7"/>
      <c r="E9888" s="7"/>
      <c r="F9888" s="7"/>
      <c r="G9888" s="7"/>
      <c r="H9888" s="7">
        <f t="shared" si="1"/>
        <v>1029</v>
      </c>
    </row>
    <row r="9889" ht="22.5" customHeight="1">
      <c r="B9889" s="7"/>
      <c r="C9889" s="7"/>
      <c r="D9889" s="7"/>
      <c r="E9889" s="7"/>
      <c r="F9889" s="7"/>
      <c r="G9889" s="7"/>
      <c r="H9889" s="7">
        <f t="shared" si="1"/>
        <v>1029</v>
      </c>
    </row>
    <row r="9890" ht="22.5" customHeight="1">
      <c r="B9890" s="7"/>
      <c r="C9890" s="7"/>
      <c r="D9890" s="7"/>
      <c r="E9890" s="7"/>
      <c r="F9890" s="7"/>
      <c r="G9890" s="7"/>
      <c r="H9890" s="7">
        <f t="shared" si="1"/>
        <v>1029</v>
      </c>
    </row>
    <row r="9891" ht="22.5" customHeight="1">
      <c r="B9891" s="7"/>
      <c r="C9891" s="7"/>
      <c r="D9891" s="7"/>
      <c r="E9891" s="7"/>
      <c r="F9891" s="7"/>
      <c r="G9891" s="7"/>
      <c r="H9891" s="7">
        <f t="shared" si="1"/>
        <v>1029</v>
      </c>
    </row>
    <row r="9892" ht="22.5" customHeight="1">
      <c r="B9892" s="7"/>
      <c r="C9892" s="7"/>
      <c r="D9892" s="7"/>
      <c r="E9892" s="7"/>
      <c r="F9892" s="7"/>
      <c r="G9892" s="7"/>
      <c r="H9892" s="7">
        <f t="shared" si="1"/>
        <v>1029</v>
      </c>
    </row>
    <row r="9893" ht="22.5" customHeight="1">
      <c r="B9893" s="7"/>
      <c r="C9893" s="7"/>
      <c r="D9893" s="7"/>
      <c r="E9893" s="7"/>
      <c r="F9893" s="7"/>
      <c r="G9893" s="7"/>
      <c r="H9893" s="7">
        <f t="shared" si="1"/>
        <v>1029</v>
      </c>
    </row>
    <row r="9894" ht="22.5" customHeight="1">
      <c r="B9894" s="7"/>
      <c r="C9894" s="7"/>
      <c r="D9894" s="7"/>
      <c r="E9894" s="7"/>
      <c r="F9894" s="7"/>
      <c r="G9894" s="7"/>
      <c r="H9894" s="7">
        <f t="shared" si="1"/>
        <v>1029</v>
      </c>
    </row>
    <row r="9895" ht="22.5" customHeight="1">
      <c r="B9895" s="7"/>
      <c r="C9895" s="7"/>
      <c r="D9895" s="7"/>
      <c r="E9895" s="7"/>
      <c r="F9895" s="7"/>
      <c r="G9895" s="7"/>
      <c r="H9895" s="7">
        <f t="shared" si="1"/>
        <v>1029</v>
      </c>
    </row>
    <row r="9896" ht="22.5" customHeight="1">
      <c r="B9896" s="7"/>
      <c r="C9896" s="7"/>
      <c r="D9896" s="7"/>
      <c r="E9896" s="7"/>
      <c r="F9896" s="7"/>
      <c r="G9896" s="7"/>
      <c r="H9896" s="7">
        <f t="shared" si="1"/>
        <v>1029</v>
      </c>
    </row>
    <row r="9897" ht="22.5" customHeight="1">
      <c r="B9897" s="7"/>
      <c r="C9897" s="7"/>
      <c r="D9897" s="7"/>
      <c r="E9897" s="7"/>
      <c r="F9897" s="7"/>
      <c r="G9897" s="7"/>
      <c r="H9897" s="7">
        <f t="shared" si="1"/>
        <v>1029</v>
      </c>
    </row>
    <row r="9898" ht="22.5" customHeight="1">
      <c r="B9898" s="7"/>
      <c r="C9898" s="7"/>
      <c r="D9898" s="7"/>
      <c r="E9898" s="7"/>
      <c r="F9898" s="7"/>
      <c r="G9898" s="7"/>
      <c r="H9898" s="7">
        <f t="shared" si="1"/>
        <v>1029</v>
      </c>
    </row>
    <row r="9899" ht="22.5" customHeight="1">
      <c r="B9899" s="7"/>
      <c r="C9899" s="7"/>
      <c r="D9899" s="7"/>
      <c r="E9899" s="7"/>
      <c r="F9899" s="7"/>
      <c r="G9899" s="7"/>
      <c r="H9899" s="7">
        <f t="shared" si="1"/>
        <v>1029</v>
      </c>
    </row>
    <row r="9900" ht="22.5" customHeight="1">
      <c r="B9900" s="7"/>
      <c r="C9900" s="7"/>
      <c r="D9900" s="7"/>
      <c r="E9900" s="7"/>
      <c r="F9900" s="7"/>
      <c r="G9900" s="7"/>
      <c r="H9900" s="7">
        <f t="shared" si="1"/>
        <v>1029</v>
      </c>
    </row>
    <row r="9901" ht="22.5" customHeight="1">
      <c r="B9901" s="7"/>
      <c r="C9901" s="7"/>
      <c r="D9901" s="7"/>
      <c r="E9901" s="7"/>
      <c r="F9901" s="7"/>
      <c r="G9901" s="7"/>
      <c r="H9901" s="7">
        <f t="shared" si="1"/>
        <v>1029</v>
      </c>
    </row>
    <row r="9902" ht="22.5" customHeight="1">
      <c r="B9902" s="7"/>
      <c r="C9902" s="7"/>
      <c r="D9902" s="7"/>
      <c r="E9902" s="7"/>
      <c r="F9902" s="7"/>
      <c r="G9902" s="7"/>
      <c r="H9902" s="7">
        <f t="shared" si="1"/>
        <v>1029</v>
      </c>
    </row>
    <row r="9903" ht="22.5" customHeight="1">
      <c r="B9903" s="7"/>
      <c r="C9903" s="7"/>
      <c r="D9903" s="7"/>
      <c r="E9903" s="7"/>
      <c r="F9903" s="7"/>
      <c r="G9903" s="7"/>
      <c r="H9903" s="7">
        <f t="shared" si="1"/>
        <v>1029</v>
      </c>
    </row>
    <row r="9904" ht="22.5" customHeight="1">
      <c r="B9904" s="7"/>
      <c r="C9904" s="7"/>
      <c r="D9904" s="7"/>
      <c r="E9904" s="7"/>
      <c r="F9904" s="7"/>
      <c r="G9904" s="7"/>
      <c r="H9904" s="7">
        <f t="shared" si="1"/>
        <v>1029</v>
      </c>
    </row>
    <row r="9905" ht="22.5" customHeight="1">
      <c r="B9905" s="7"/>
      <c r="C9905" s="7"/>
      <c r="D9905" s="7"/>
      <c r="E9905" s="7"/>
      <c r="F9905" s="7"/>
      <c r="G9905" s="7"/>
      <c r="H9905" s="7">
        <f t="shared" si="1"/>
        <v>1029</v>
      </c>
    </row>
    <row r="9906" ht="22.5" customHeight="1">
      <c r="B9906" s="7"/>
      <c r="C9906" s="7"/>
      <c r="D9906" s="7"/>
      <c r="E9906" s="7"/>
      <c r="F9906" s="7"/>
      <c r="G9906" s="7"/>
      <c r="H9906" s="7">
        <f t="shared" si="1"/>
        <v>1029</v>
      </c>
    </row>
    <row r="9907" ht="22.5" customHeight="1">
      <c r="B9907" s="7"/>
      <c r="C9907" s="7"/>
      <c r="D9907" s="7"/>
      <c r="E9907" s="7"/>
      <c r="F9907" s="7"/>
      <c r="G9907" s="7"/>
      <c r="H9907" s="7">
        <f t="shared" si="1"/>
        <v>1029</v>
      </c>
    </row>
    <row r="9908" ht="22.5" customHeight="1">
      <c r="B9908" s="7"/>
      <c r="C9908" s="7"/>
      <c r="D9908" s="7"/>
      <c r="E9908" s="7"/>
      <c r="F9908" s="7"/>
      <c r="G9908" s="7"/>
      <c r="H9908" s="7">
        <f t="shared" si="1"/>
        <v>1029</v>
      </c>
    </row>
    <row r="9909" ht="22.5" customHeight="1">
      <c r="B9909" s="7"/>
      <c r="C9909" s="7"/>
      <c r="D9909" s="7"/>
      <c r="E9909" s="7"/>
      <c r="F9909" s="7"/>
      <c r="G9909" s="7"/>
      <c r="H9909" s="7">
        <f t="shared" si="1"/>
        <v>1029</v>
      </c>
    </row>
    <row r="9910" ht="22.5" customHeight="1">
      <c r="B9910" s="7"/>
      <c r="C9910" s="7"/>
      <c r="D9910" s="7"/>
      <c r="E9910" s="7"/>
      <c r="F9910" s="7"/>
      <c r="G9910" s="7"/>
      <c r="H9910" s="7">
        <f t="shared" si="1"/>
        <v>1029</v>
      </c>
    </row>
    <row r="9911" ht="22.5" customHeight="1">
      <c r="B9911" s="7"/>
      <c r="C9911" s="7"/>
      <c r="D9911" s="7"/>
      <c r="E9911" s="7"/>
      <c r="F9911" s="7"/>
      <c r="G9911" s="7"/>
      <c r="H9911" s="7">
        <f t="shared" si="1"/>
        <v>1029</v>
      </c>
    </row>
    <row r="9912" ht="22.5" customHeight="1">
      <c r="B9912" s="7"/>
      <c r="C9912" s="7"/>
      <c r="D9912" s="7"/>
      <c r="E9912" s="7"/>
      <c r="F9912" s="7"/>
      <c r="G9912" s="7"/>
      <c r="H9912" s="7">
        <f t="shared" si="1"/>
        <v>1029</v>
      </c>
    </row>
    <row r="9913" ht="22.5" customHeight="1">
      <c r="B9913" s="7"/>
      <c r="C9913" s="7"/>
      <c r="D9913" s="7"/>
      <c r="E9913" s="7"/>
      <c r="F9913" s="7"/>
      <c r="G9913" s="7"/>
      <c r="H9913" s="7">
        <f t="shared" si="1"/>
        <v>1029</v>
      </c>
    </row>
    <row r="9914" ht="22.5" customHeight="1">
      <c r="B9914" s="7"/>
      <c r="C9914" s="7"/>
      <c r="D9914" s="7"/>
      <c r="E9914" s="7"/>
      <c r="F9914" s="7"/>
      <c r="G9914" s="7"/>
      <c r="H9914" s="7">
        <f t="shared" si="1"/>
        <v>1029</v>
      </c>
    </row>
    <row r="9915" ht="22.5" customHeight="1">
      <c r="B9915" s="7"/>
      <c r="C9915" s="7"/>
      <c r="D9915" s="7"/>
      <c r="E9915" s="7"/>
      <c r="F9915" s="7"/>
      <c r="G9915" s="7"/>
      <c r="H9915" s="7">
        <f t="shared" si="1"/>
        <v>1029</v>
      </c>
    </row>
    <row r="9916" ht="22.5" customHeight="1">
      <c r="B9916" s="7"/>
      <c r="C9916" s="7"/>
      <c r="D9916" s="7"/>
      <c r="E9916" s="7"/>
      <c r="F9916" s="7"/>
      <c r="G9916" s="7"/>
      <c r="H9916" s="7">
        <f t="shared" si="1"/>
        <v>1029</v>
      </c>
    </row>
    <row r="9917" ht="22.5" customHeight="1">
      <c r="B9917" s="7"/>
      <c r="C9917" s="7"/>
      <c r="D9917" s="7"/>
      <c r="E9917" s="7"/>
      <c r="F9917" s="7"/>
      <c r="G9917" s="7"/>
      <c r="H9917" s="7">
        <f t="shared" si="1"/>
        <v>1029</v>
      </c>
    </row>
    <row r="9918" ht="22.5" customHeight="1">
      <c r="B9918" s="7"/>
      <c r="C9918" s="7"/>
      <c r="D9918" s="7"/>
      <c r="E9918" s="7"/>
      <c r="F9918" s="7"/>
      <c r="G9918" s="7"/>
      <c r="H9918" s="7">
        <f t="shared" si="1"/>
        <v>1029</v>
      </c>
    </row>
    <row r="9919" ht="22.5" customHeight="1">
      <c r="B9919" s="7"/>
      <c r="C9919" s="7"/>
      <c r="D9919" s="7"/>
      <c r="E9919" s="7"/>
      <c r="F9919" s="7"/>
      <c r="G9919" s="7"/>
      <c r="H9919" s="7">
        <f t="shared" si="1"/>
        <v>1029</v>
      </c>
    </row>
    <row r="9920" ht="22.5" customHeight="1">
      <c r="B9920" s="7"/>
      <c r="C9920" s="7"/>
      <c r="D9920" s="7"/>
      <c r="E9920" s="7"/>
      <c r="F9920" s="7"/>
      <c r="G9920" s="7"/>
      <c r="H9920" s="7">
        <f t="shared" si="1"/>
        <v>1029</v>
      </c>
    </row>
    <row r="9921" ht="22.5" customHeight="1">
      <c r="B9921" s="7"/>
      <c r="C9921" s="7"/>
      <c r="D9921" s="7"/>
      <c r="E9921" s="7"/>
      <c r="F9921" s="7"/>
      <c r="G9921" s="7"/>
      <c r="H9921" s="7">
        <f t="shared" si="1"/>
        <v>1029</v>
      </c>
    </row>
    <row r="9922" ht="22.5" customHeight="1">
      <c r="B9922" s="7"/>
      <c r="C9922" s="7"/>
      <c r="D9922" s="7"/>
      <c r="E9922" s="7"/>
      <c r="F9922" s="7"/>
      <c r="G9922" s="7"/>
      <c r="H9922" s="7">
        <f t="shared" si="1"/>
        <v>1029</v>
      </c>
    </row>
    <row r="9923" ht="22.5" customHeight="1">
      <c r="B9923" s="7"/>
      <c r="C9923" s="7"/>
      <c r="D9923" s="7"/>
      <c r="E9923" s="7"/>
      <c r="F9923" s="7"/>
      <c r="G9923" s="7"/>
      <c r="H9923" s="7">
        <f t="shared" si="1"/>
        <v>1029</v>
      </c>
    </row>
    <row r="9924" ht="22.5" customHeight="1">
      <c r="B9924" s="7"/>
      <c r="C9924" s="7"/>
      <c r="D9924" s="7"/>
      <c r="E9924" s="7"/>
      <c r="F9924" s="7"/>
      <c r="G9924" s="7"/>
      <c r="H9924" s="7">
        <f t="shared" si="1"/>
        <v>1029</v>
      </c>
    </row>
    <row r="9925" ht="22.5" customHeight="1">
      <c r="B9925" s="7"/>
      <c r="C9925" s="7"/>
      <c r="D9925" s="7"/>
      <c r="E9925" s="7"/>
      <c r="F9925" s="7"/>
      <c r="G9925" s="7"/>
      <c r="H9925" s="7">
        <f t="shared" si="1"/>
        <v>1029</v>
      </c>
    </row>
    <row r="9926" ht="22.5" customHeight="1">
      <c r="B9926" s="7"/>
      <c r="C9926" s="7"/>
      <c r="D9926" s="7"/>
      <c r="E9926" s="7"/>
      <c r="F9926" s="7"/>
      <c r="G9926" s="7"/>
      <c r="H9926" s="7">
        <f t="shared" si="1"/>
        <v>1029</v>
      </c>
    </row>
    <row r="9927" ht="22.5" customHeight="1">
      <c r="B9927" s="7"/>
      <c r="C9927" s="7"/>
      <c r="D9927" s="7"/>
      <c r="E9927" s="7"/>
      <c r="F9927" s="7"/>
      <c r="G9927" s="7"/>
      <c r="H9927" s="7">
        <f t="shared" si="1"/>
        <v>1029</v>
      </c>
    </row>
    <row r="9928" ht="22.5" customHeight="1">
      <c r="B9928" s="7"/>
      <c r="C9928" s="7"/>
      <c r="D9928" s="7"/>
      <c r="E9928" s="7"/>
      <c r="F9928" s="7"/>
      <c r="G9928" s="7"/>
      <c r="H9928" s="7">
        <f t="shared" si="1"/>
        <v>1029</v>
      </c>
    </row>
    <row r="9929" ht="22.5" customHeight="1">
      <c r="B9929" s="7"/>
      <c r="C9929" s="7"/>
      <c r="D9929" s="7"/>
      <c r="E9929" s="7"/>
      <c r="F9929" s="7"/>
      <c r="G9929" s="7"/>
      <c r="H9929" s="7">
        <f t="shared" si="1"/>
        <v>1029</v>
      </c>
    </row>
    <row r="9930" ht="22.5" customHeight="1">
      <c r="B9930" s="7"/>
      <c r="C9930" s="7"/>
      <c r="D9930" s="7"/>
      <c r="E9930" s="7"/>
      <c r="F9930" s="7"/>
      <c r="G9930" s="7"/>
      <c r="H9930" s="7">
        <f t="shared" si="1"/>
        <v>1029</v>
      </c>
    </row>
    <row r="9931" ht="22.5" customHeight="1">
      <c r="B9931" s="7"/>
      <c r="C9931" s="7"/>
      <c r="D9931" s="7"/>
      <c r="E9931" s="7"/>
      <c r="F9931" s="7"/>
      <c r="G9931" s="7"/>
      <c r="H9931" s="7">
        <f t="shared" si="1"/>
        <v>1029</v>
      </c>
    </row>
    <row r="9932" ht="22.5" customHeight="1">
      <c r="B9932" s="7"/>
      <c r="C9932" s="7"/>
      <c r="D9932" s="7"/>
      <c r="E9932" s="7"/>
      <c r="F9932" s="7"/>
      <c r="G9932" s="7"/>
      <c r="H9932" s="7">
        <f t="shared" si="1"/>
        <v>1029</v>
      </c>
    </row>
    <row r="9933" ht="22.5" customHeight="1">
      <c r="B9933" s="7"/>
      <c r="C9933" s="7"/>
      <c r="D9933" s="7"/>
      <c r="E9933" s="7"/>
      <c r="F9933" s="7"/>
      <c r="G9933" s="7"/>
      <c r="H9933" s="7">
        <f t="shared" si="1"/>
        <v>1029</v>
      </c>
    </row>
    <row r="9934" ht="22.5" customHeight="1">
      <c r="B9934" s="7"/>
      <c r="C9934" s="7"/>
      <c r="D9934" s="7"/>
      <c r="E9934" s="7"/>
      <c r="F9934" s="7"/>
      <c r="G9934" s="7"/>
      <c r="H9934" s="7">
        <f t="shared" si="1"/>
        <v>1029</v>
      </c>
    </row>
    <row r="9935" ht="22.5" customHeight="1">
      <c r="B9935" s="7"/>
      <c r="C9935" s="7"/>
      <c r="D9935" s="7"/>
      <c r="E9935" s="7"/>
      <c r="F9935" s="7"/>
      <c r="G9935" s="7"/>
      <c r="H9935" s="7">
        <f t="shared" si="1"/>
        <v>1029</v>
      </c>
    </row>
    <row r="9936" ht="22.5" customHeight="1">
      <c r="B9936" s="7"/>
      <c r="C9936" s="7"/>
      <c r="D9936" s="7"/>
      <c r="E9936" s="7"/>
      <c r="F9936" s="7"/>
      <c r="G9936" s="7"/>
      <c r="H9936" s="7">
        <f t="shared" si="1"/>
        <v>1029</v>
      </c>
    </row>
    <row r="9937" ht="22.5" customHeight="1">
      <c r="B9937" s="7"/>
      <c r="C9937" s="7"/>
      <c r="D9937" s="7"/>
      <c r="E9937" s="7"/>
      <c r="F9937" s="7"/>
      <c r="G9937" s="7"/>
      <c r="H9937" s="7">
        <f t="shared" si="1"/>
        <v>1029</v>
      </c>
    </row>
    <row r="9938" ht="22.5" customHeight="1">
      <c r="B9938" s="7"/>
      <c r="C9938" s="7"/>
      <c r="D9938" s="7"/>
      <c r="E9938" s="7"/>
      <c r="F9938" s="7"/>
      <c r="G9938" s="7"/>
      <c r="H9938" s="7">
        <f t="shared" si="1"/>
        <v>1029</v>
      </c>
    </row>
    <row r="9939" ht="22.5" customHeight="1">
      <c r="B9939" s="7"/>
      <c r="C9939" s="7"/>
      <c r="D9939" s="7"/>
      <c r="E9939" s="7"/>
      <c r="F9939" s="7"/>
      <c r="G9939" s="7"/>
      <c r="H9939" s="7">
        <f t="shared" si="1"/>
        <v>1029</v>
      </c>
    </row>
    <row r="9940" ht="22.5" customHeight="1">
      <c r="B9940" s="7"/>
      <c r="C9940" s="7"/>
      <c r="D9940" s="7"/>
      <c r="E9940" s="7"/>
      <c r="F9940" s="7"/>
      <c r="G9940" s="7"/>
      <c r="H9940" s="7">
        <f t="shared" si="1"/>
        <v>1029</v>
      </c>
    </row>
    <row r="9941" ht="22.5" customHeight="1">
      <c r="B9941" s="7"/>
      <c r="C9941" s="7"/>
      <c r="D9941" s="7"/>
      <c r="E9941" s="7"/>
      <c r="F9941" s="7"/>
      <c r="G9941" s="7"/>
      <c r="H9941" s="7">
        <f t="shared" si="1"/>
        <v>1029</v>
      </c>
    </row>
    <row r="9942" ht="22.5" customHeight="1">
      <c r="B9942" s="7"/>
      <c r="C9942" s="7"/>
      <c r="D9942" s="7"/>
      <c r="E9942" s="7"/>
      <c r="F9942" s="7"/>
      <c r="G9942" s="7"/>
      <c r="H9942" s="7">
        <f t="shared" si="1"/>
        <v>1029</v>
      </c>
    </row>
    <row r="9943" ht="22.5" customHeight="1">
      <c r="B9943" s="7"/>
      <c r="C9943" s="7"/>
      <c r="D9943" s="7"/>
      <c r="E9943" s="7"/>
      <c r="F9943" s="7"/>
      <c r="G9943" s="7"/>
      <c r="H9943" s="7">
        <f t="shared" si="1"/>
        <v>1029</v>
      </c>
    </row>
    <row r="9944" ht="22.5" customHeight="1">
      <c r="B9944" s="7"/>
      <c r="C9944" s="7"/>
      <c r="D9944" s="7"/>
      <c r="E9944" s="7"/>
      <c r="F9944" s="7"/>
      <c r="G9944" s="7"/>
      <c r="H9944" s="7">
        <f t="shared" si="1"/>
        <v>1029</v>
      </c>
    </row>
    <row r="9945" ht="22.5" customHeight="1">
      <c r="B9945" s="7"/>
      <c r="C9945" s="7"/>
      <c r="D9945" s="7"/>
      <c r="E9945" s="7"/>
      <c r="F9945" s="7"/>
      <c r="G9945" s="7"/>
      <c r="H9945" s="7">
        <f t="shared" si="1"/>
        <v>1029</v>
      </c>
    </row>
    <row r="9946" ht="22.5" customHeight="1">
      <c r="B9946" s="7"/>
      <c r="C9946" s="7"/>
      <c r="D9946" s="7"/>
      <c r="E9946" s="7"/>
      <c r="F9946" s="7"/>
      <c r="G9946" s="7"/>
      <c r="H9946" s="7">
        <f t="shared" si="1"/>
        <v>1029</v>
      </c>
    </row>
    <row r="9947" ht="22.5" customHeight="1">
      <c r="B9947" s="7"/>
      <c r="C9947" s="7"/>
      <c r="D9947" s="7"/>
      <c r="E9947" s="7"/>
      <c r="F9947" s="7"/>
      <c r="G9947" s="7"/>
      <c r="H9947" s="7">
        <f t="shared" si="1"/>
        <v>1029</v>
      </c>
    </row>
    <row r="9948" ht="22.5" customHeight="1">
      <c r="B9948" s="7"/>
      <c r="C9948" s="7"/>
      <c r="D9948" s="7"/>
      <c r="E9948" s="7"/>
      <c r="F9948" s="7"/>
      <c r="G9948" s="7"/>
      <c r="H9948" s="7">
        <f t="shared" si="1"/>
        <v>1029</v>
      </c>
    </row>
    <row r="9949" ht="22.5" customHeight="1">
      <c r="B9949" s="7"/>
      <c r="C9949" s="7"/>
      <c r="D9949" s="7"/>
      <c r="E9949" s="7"/>
      <c r="F9949" s="7"/>
      <c r="G9949" s="7"/>
      <c r="H9949" s="7">
        <f t="shared" si="1"/>
        <v>1029</v>
      </c>
    </row>
    <row r="9950" ht="22.5" customHeight="1">
      <c r="B9950" s="7"/>
      <c r="C9950" s="7"/>
      <c r="D9950" s="7"/>
      <c r="E9950" s="7"/>
      <c r="F9950" s="7"/>
      <c r="G9950" s="7"/>
      <c r="H9950" s="7">
        <f t="shared" si="1"/>
        <v>1029</v>
      </c>
    </row>
    <row r="9951" ht="22.5" customHeight="1">
      <c r="B9951" s="7"/>
      <c r="C9951" s="7"/>
      <c r="D9951" s="7"/>
      <c r="E9951" s="7"/>
      <c r="F9951" s="7"/>
      <c r="G9951" s="7"/>
      <c r="H9951" s="7">
        <f t="shared" si="1"/>
        <v>1029</v>
      </c>
    </row>
    <row r="9952" ht="22.5" customHeight="1">
      <c r="B9952" s="7"/>
      <c r="C9952" s="7"/>
      <c r="D9952" s="7"/>
      <c r="E9952" s="7"/>
      <c r="F9952" s="7"/>
      <c r="G9952" s="7"/>
      <c r="H9952" s="7">
        <f t="shared" si="1"/>
        <v>1029</v>
      </c>
    </row>
    <row r="9953" ht="22.5" customHeight="1">
      <c r="B9953" s="7"/>
      <c r="C9953" s="7"/>
      <c r="D9953" s="7"/>
      <c r="E9953" s="7"/>
      <c r="F9953" s="7"/>
      <c r="G9953" s="7"/>
      <c r="H9953" s="7">
        <f t="shared" si="1"/>
        <v>1029</v>
      </c>
    </row>
    <row r="9954" ht="22.5" customHeight="1">
      <c r="B9954" s="7"/>
      <c r="C9954" s="7"/>
      <c r="D9954" s="7"/>
      <c r="E9954" s="7"/>
      <c r="F9954" s="7"/>
      <c r="G9954" s="7"/>
      <c r="H9954" s="7">
        <f t="shared" si="1"/>
        <v>1029</v>
      </c>
    </row>
    <row r="9955" ht="22.5" customHeight="1">
      <c r="B9955" s="7"/>
      <c r="C9955" s="7"/>
      <c r="D9955" s="7"/>
      <c r="E9955" s="7"/>
      <c r="F9955" s="7"/>
      <c r="G9955" s="7"/>
      <c r="H9955" s="7">
        <f t="shared" si="1"/>
        <v>1029</v>
      </c>
    </row>
    <row r="9956" ht="22.5" customHeight="1">
      <c r="B9956" s="7"/>
      <c r="C9956" s="7"/>
      <c r="D9956" s="7"/>
      <c r="E9956" s="7"/>
      <c r="F9956" s="7"/>
      <c r="G9956" s="7"/>
      <c r="H9956" s="7">
        <f t="shared" si="1"/>
        <v>1029</v>
      </c>
    </row>
    <row r="9957" ht="22.5" customHeight="1">
      <c r="B9957" s="7"/>
      <c r="C9957" s="7"/>
      <c r="D9957" s="7"/>
      <c r="E9957" s="7"/>
      <c r="F9957" s="7"/>
      <c r="G9957" s="7"/>
      <c r="H9957" s="7">
        <f t="shared" si="1"/>
        <v>1029</v>
      </c>
    </row>
    <row r="9958" ht="22.5" customHeight="1">
      <c r="B9958" s="7"/>
      <c r="C9958" s="7"/>
      <c r="D9958" s="7"/>
      <c r="E9958" s="7"/>
      <c r="F9958" s="7"/>
      <c r="G9958" s="7"/>
      <c r="H9958" s="7">
        <f t="shared" si="1"/>
        <v>1029</v>
      </c>
    </row>
    <row r="9959" ht="22.5" customHeight="1">
      <c r="B9959" s="7"/>
      <c r="C9959" s="7"/>
      <c r="D9959" s="7"/>
      <c r="E9959" s="7"/>
      <c r="F9959" s="7"/>
      <c r="G9959" s="7"/>
      <c r="H9959" s="7">
        <f t="shared" si="1"/>
        <v>1029</v>
      </c>
    </row>
    <row r="9960" ht="22.5" customHeight="1">
      <c r="B9960" s="7"/>
      <c r="C9960" s="7"/>
      <c r="D9960" s="7"/>
      <c r="E9960" s="7"/>
      <c r="F9960" s="7"/>
      <c r="G9960" s="7"/>
      <c r="H9960" s="7">
        <f t="shared" si="1"/>
        <v>1029</v>
      </c>
    </row>
    <row r="9961" ht="22.5" customHeight="1">
      <c r="B9961" s="7"/>
      <c r="C9961" s="7"/>
      <c r="D9961" s="7"/>
      <c r="E9961" s="7"/>
      <c r="F9961" s="7"/>
      <c r="G9961" s="7"/>
      <c r="H9961" s="7">
        <f t="shared" si="1"/>
        <v>1029</v>
      </c>
    </row>
    <row r="9962" ht="22.5" customHeight="1">
      <c r="B9962" s="7"/>
      <c r="C9962" s="7"/>
      <c r="D9962" s="7"/>
      <c r="E9962" s="7"/>
      <c r="F9962" s="7"/>
      <c r="G9962" s="7"/>
      <c r="H9962" s="7">
        <f t="shared" si="1"/>
        <v>1029</v>
      </c>
    </row>
    <row r="9963" ht="22.5" customHeight="1">
      <c r="B9963" s="7"/>
      <c r="C9963" s="7"/>
      <c r="D9963" s="7"/>
      <c r="E9963" s="7"/>
      <c r="F9963" s="7"/>
      <c r="G9963" s="7"/>
      <c r="H9963" s="7">
        <f t="shared" si="1"/>
        <v>1029</v>
      </c>
    </row>
    <row r="9964" ht="22.5" customHeight="1">
      <c r="B9964" s="7"/>
      <c r="C9964" s="7"/>
      <c r="D9964" s="7"/>
      <c r="E9964" s="7"/>
      <c r="F9964" s="7"/>
      <c r="G9964" s="7"/>
      <c r="H9964" s="7">
        <f t="shared" si="1"/>
        <v>1029</v>
      </c>
    </row>
    <row r="9965" ht="22.5" customHeight="1">
      <c r="B9965" s="7"/>
      <c r="C9965" s="7"/>
      <c r="D9965" s="7"/>
      <c r="E9965" s="7"/>
      <c r="F9965" s="7"/>
      <c r="G9965" s="7"/>
      <c r="H9965" s="7">
        <f t="shared" si="1"/>
        <v>1029</v>
      </c>
    </row>
    <row r="9966" ht="22.5" customHeight="1">
      <c r="B9966" s="7"/>
      <c r="C9966" s="7"/>
      <c r="D9966" s="7"/>
      <c r="E9966" s="7"/>
      <c r="F9966" s="7"/>
      <c r="G9966" s="7"/>
      <c r="H9966" s="7">
        <f t="shared" si="1"/>
        <v>1029</v>
      </c>
    </row>
    <row r="9967" ht="22.5" customHeight="1">
      <c r="B9967" s="7"/>
      <c r="C9967" s="7"/>
      <c r="D9967" s="7"/>
      <c r="E9967" s="7"/>
      <c r="F9967" s="7"/>
      <c r="G9967" s="7"/>
      <c r="H9967" s="7">
        <f t="shared" si="1"/>
        <v>1029</v>
      </c>
    </row>
    <row r="9968" ht="22.5" customHeight="1">
      <c r="B9968" s="7"/>
      <c r="C9968" s="7"/>
      <c r="D9968" s="7"/>
      <c r="E9968" s="7"/>
      <c r="F9968" s="7"/>
      <c r="G9968" s="7"/>
      <c r="H9968" s="7">
        <f t="shared" si="1"/>
        <v>1029</v>
      </c>
    </row>
    <row r="9969" ht="22.5" customHeight="1">
      <c r="B9969" s="7"/>
      <c r="C9969" s="7"/>
      <c r="D9969" s="7"/>
      <c r="E9969" s="7"/>
      <c r="F9969" s="7"/>
      <c r="G9969" s="7"/>
      <c r="H9969" s="7">
        <f t="shared" si="1"/>
        <v>1029</v>
      </c>
    </row>
    <row r="9970" ht="22.5" customHeight="1">
      <c r="B9970" s="7"/>
      <c r="C9970" s="7"/>
      <c r="D9970" s="7"/>
      <c r="E9970" s="7"/>
      <c r="F9970" s="7"/>
      <c r="G9970" s="7"/>
      <c r="H9970" s="7">
        <f t="shared" si="1"/>
        <v>1029</v>
      </c>
    </row>
    <row r="9971" ht="22.5" customHeight="1">
      <c r="B9971" s="7"/>
      <c r="C9971" s="7"/>
      <c r="D9971" s="7"/>
      <c r="E9971" s="7"/>
      <c r="F9971" s="7"/>
      <c r="G9971" s="7"/>
      <c r="H9971" s="7">
        <f t="shared" si="1"/>
        <v>1029</v>
      </c>
    </row>
    <row r="9972" ht="22.5" customHeight="1">
      <c r="B9972" s="7"/>
      <c r="C9972" s="7"/>
      <c r="D9972" s="7"/>
      <c r="E9972" s="7"/>
      <c r="F9972" s="7"/>
      <c r="G9972" s="7"/>
      <c r="H9972" s="7">
        <f t="shared" si="1"/>
        <v>1029</v>
      </c>
    </row>
    <row r="9973" ht="22.5" customHeight="1">
      <c r="B9973" s="7"/>
      <c r="C9973" s="7"/>
      <c r="D9973" s="7"/>
      <c r="E9973" s="7"/>
      <c r="F9973" s="7"/>
      <c r="G9973" s="7"/>
      <c r="H9973" s="7">
        <f t="shared" si="1"/>
        <v>1029</v>
      </c>
    </row>
    <row r="9974" ht="22.5" customHeight="1">
      <c r="B9974" s="7"/>
      <c r="C9974" s="7"/>
      <c r="D9974" s="7"/>
      <c r="E9974" s="7"/>
      <c r="F9974" s="7"/>
      <c r="G9974" s="7"/>
      <c r="H9974" s="7">
        <f t="shared" si="1"/>
        <v>1029</v>
      </c>
    </row>
    <row r="9975" ht="22.5" customHeight="1">
      <c r="B9975" s="7"/>
      <c r="C9975" s="7"/>
      <c r="D9975" s="7"/>
      <c r="E9975" s="7"/>
      <c r="F9975" s="7"/>
      <c r="G9975" s="7"/>
      <c r="H9975" s="7">
        <f t="shared" si="1"/>
        <v>1029</v>
      </c>
    </row>
    <row r="9976" ht="22.5" customHeight="1">
      <c r="B9976" s="7"/>
      <c r="C9976" s="7"/>
      <c r="D9976" s="7"/>
      <c r="E9976" s="7"/>
      <c r="F9976" s="7"/>
      <c r="G9976" s="7"/>
      <c r="H9976" s="7">
        <f t="shared" si="1"/>
        <v>1029</v>
      </c>
    </row>
    <row r="9977" ht="22.5" customHeight="1">
      <c r="B9977" s="7"/>
      <c r="C9977" s="7"/>
      <c r="D9977" s="7"/>
      <c r="E9977" s="7"/>
      <c r="F9977" s="7"/>
      <c r="G9977" s="7"/>
      <c r="H9977" s="7">
        <f t="shared" si="1"/>
        <v>1029</v>
      </c>
    </row>
    <row r="9978" ht="22.5" customHeight="1">
      <c r="B9978" s="7"/>
      <c r="C9978" s="7"/>
      <c r="D9978" s="7"/>
      <c r="E9978" s="7"/>
      <c r="F9978" s="7"/>
      <c r="G9978" s="7"/>
      <c r="H9978" s="7">
        <f t="shared" si="1"/>
        <v>1029</v>
      </c>
    </row>
    <row r="9979" ht="22.5" customHeight="1">
      <c r="B9979" s="7"/>
      <c r="C9979" s="7"/>
      <c r="D9979" s="7"/>
      <c r="E9979" s="7"/>
      <c r="F9979" s="7"/>
      <c r="G9979" s="7"/>
      <c r="H9979" s="7">
        <f t="shared" si="1"/>
        <v>1029</v>
      </c>
    </row>
    <row r="9980" ht="22.5" customHeight="1">
      <c r="B9980" s="7"/>
      <c r="C9980" s="7"/>
      <c r="D9980" s="7"/>
      <c r="E9980" s="7"/>
      <c r="F9980" s="7"/>
      <c r="G9980" s="7"/>
      <c r="H9980" s="7">
        <f t="shared" si="1"/>
        <v>1029</v>
      </c>
    </row>
    <row r="9981" ht="22.5" customHeight="1">
      <c r="B9981" s="7"/>
      <c r="C9981" s="7"/>
      <c r="D9981" s="7"/>
      <c r="E9981" s="7"/>
      <c r="F9981" s="7"/>
      <c r="G9981" s="7"/>
      <c r="H9981" s="7">
        <f t="shared" si="1"/>
        <v>1029</v>
      </c>
    </row>
    <row r="9982" ht="22.5" customHeight="1">
      <c r="B9982" s="7"/>
      <c r="C9982" s="7"/>
      <c r="D9982" s="7"/>
      <c r="E9982" s="7"/>
      <c r="F9982" s="7"/>
      <c r="G9982" s="7"/>
      <c r="H9982" s="7">
        <f t="shared" si="1"/>
        <v>1029</v>
      </c>
    </row>
    <row r="9983" ht="22.5" customHeight="1">
      <c r="B9983" s="7"/>
      <c r="C9983" s="7"/>
      <c r="D9983" s="7"/>
      <c r="E9983" s="7"/>
      <c r="F9983" s="7"/>
      <c r="G9983" s="7"/>
      <c r="H9983" s="7">
        <f t="shared" si="1"/>
        <v>1029</v>
      </c>
    </row>
    <row r="9984" ht="22.5" customHeight="1">
      <c r="B9984" s="7"/>
      <c r="C9984" s="7"/>
      <c r="D9984" s="7"/>
      <c r="E9984" s="7"/>
      <c r="F9984" s="7"/>
      <c r="G9984" s="7"/>
      <c r="H9984" s="7">
        <f t="shared" si="1"/>
        <v>1029</v>
      </c>
    </row>
    <row r="9985" ht="22.5" customHeight="1">
      <c r="B9985" s="7"/>
      <c r="C9985" s="7"/>
      <c r="D9985" s="7"/>
      <c r="E9985" s="7"/>
      <c r="F9985" s="7"/>
      <c r="G9985" s="7"/>
      <c r="H9985" s="7">
        <f t="shared" si="1"/>
        <v>1029</v>
      </c>
    </row>
    <row r="9986" ht="22.5" customHeight="1">
      <c r="B9986" s="7"/>
      <c r="C9986" s="7"/>
      <c r="D9986" s="7"/>
      <c r="E9986" s="7"/>
      <c r="F9986" s="7"/>
      <c r="G9986" s="7"/>
      <c r="H9986" s="7">
        <f t="shared" si="1"/>
        <v>1029</v>
      </c>
    </row>
    <row r="9987" ht="22.5" customHeight="1">
      <c r="B9987" s="7"/>
      <c r="C9987" s="7"/>
      <c r="D9987" s="7"/>
      <c r="E9987" s="7"/>
      <c r="F9987" s="7"/>
      <c r="G9987" s="7"/>
      <c r="H9987" s="7">
        <f t="shared" si="1"/>
        <v>1029</v>
      </c>
    </row>
    <row r="9988" ht="22.5" customHeight="1">
      <c r="B9988" s="7"/>
      <c r="C9988" s="7"/>
      <c r="D9988" s="7"/>
      <c r="E9988" s="7"/>
      <c r="F9988" s="7"/>
      <c r="G9988" s="7"/>
      <c r="H9988" s="7">
        <f t="shared" si="1"/>
        <v>1029</v>
      </c>
    </row>
    <row r="9989" ht="22.5" customHeight="1">
      <c r="B9989" s="7"/>
      <c r="C9989" s="7"/>
      <c r="D9989" s="7"/>
      <c r="E9989" s="7"/>
      <c r="F9989" s="7"/>
      <c r="G9989" s="7"/>
      <c r="H9989" s="7">
        <f t="shared" si="1"/>
        <v>1029</v>
      </c>
    </row>
    <row r="9990" ht="22.5" customHeight="1">
      <c r="B9990" s="7"/>
      <c r="C9990" s="7"/>
      <c r="D9990" s="7"/>
      <c r="E9990" s="7"/>
      <c r="F9990" s="7"/>
      <c r="G9990" s="7"/>
      <c r="H9990" s="7">
        <f t="shared" si="1"/>
        <v>1029</v>
      </c>
    </row>
    <row r="9991" ht="22.5" customHeight="1">
      <c r="B9991" s="7"/>
      <c r="C9991" s="7"/>
      <c r="D9991" s="7"/>
      <c r="E9991" s="7"/>
      <c r="F9991" s="7"/>
      <c r="G9991" s="7"/>
      <c r="H9991" s="7">
        <f t="shared" si="1"/>
        <v>1029</v>
      </c>
    </row>
    <row r="9992" ht="22.5" customHeight="1">
      <c r="B9992" s="7"/>
      <c r="C9992" s="7"/>
      <c r="D9992" s="7"/>
      <c r="E9992" s="7"/>
      <c r="F9992" s="7"/>
      <c r="G9992" s="7"/>
      <c r="H9992" s="7">
        <f t="shared" si="1"/>
        <v>1029</v>
      </c>
    </row>
    <row r="9993" ht="22.5" customHeight="1">
      <c r="B9993" s="7"/>
      <c r="C9993" s="7"/>
      <c r="D9993" s="7"/>
      <c r="E9993" s="7"/>
      <c r="F9993" s="7"/>
      <c r="G9993" s="7"/>
      <c r="H9993" s="7">
        <f t="shared" si="1"/>
        <v>1029</v>
      </c>
    </row>
    <row r="9994" ht="22.5" customHeight="1">
      <c r="B9994" s="7"/>
      <c r="C9994" s="7"/>
      <c r="D9994" s="7"/>
      <c r="E9994" s="7"/>
      <c r="F9994" s="7"/>
      <c r="G9994" s="7"/>
      <c r="H9994" s="7">
        <f t="shared" si="1"/>
        <v>1029</v>
      </c>
    </row>
    <row r="9995" ht="22.5" customHeight="1">
      <c r="B9995" s="7"/>
      <c r="C9995" s="7"/>
      <c r="D9995" s="7"/>
      <c r="E9995" s="7"/>
      <c r="F9995" s="7"/>
      <c r="G9995" s="7"/>
      <c r="H9995" s="7">
        <f t="shared" si="1"/>
        <v>1029</v>
      </c>
    </row>
    <row r="9996" ht="22.5" customHeight="1">
      <c r="B9996" s="7"/>
      <c r="C9996" s="7"/>
      <c r="D9996" s="7"/>
      <c r="E9996" s="7"/>
      <c r="F9996" s="7"/>
      <c r="G9996" s="7"/>
      <c r="H9996" s="7">
        <f t="shared" si="1"/>
        <v>1029</v>
      </c>
    </row>
    <row r="9997" ht="22.5" customHeight="1">
      <c r="B9997" s="7"/>
      <c r="C9997" s="7"/>
      <c r="D9997" s="7"/>
      <c r="E9997" s="7"/>
      <c r="F9997" s="7"/>
      <c r="G9997" s="7"/>
      <c r="H9997" s="7">
        <f t="shared" si="1"/>
        <v>1029</v>
      </c>
    </row>
    <row r="9998" ht="22.5" customHeight="1">
      <c r="B9998" s="7"/>
      <c r="C9998" s="7"/>
      <c r="D9998" s="7"/>
      <c r="E9998" s="7"/>
      <c r="F9998" s="7"/>
      <c r="G9998" s="7"/>
      <c r="H9998" s="7">
        <f t="shared" si="1"/>
        <v>1029</v>
      </c>
    </row>
    <row r="9999" ht="22.5" customHeight="1">
      <c r="B9999" s="7"/>
      <c r="C9999" s="7"/>
      <c r="D9999" s="7"/>
      <c r="E9999" s="7"/>
      <c r="F9999" s="7"/>
      <c r="G9999" s="7"/>
      <c r="H9999" s="7">
        <f t="shared" si="1"/>
        <v>1029</v>
      </c>
    </row>
    <row r="10000" ht="22.5" customHeight="1">
      <c r="B10000" s="7"/>
      <c r="C10000" s="7"/>
      <c r="D10000" s="7"/>
      <c r="E10000" s="7"/>
      <c r="F10000" s="7"/>
      <c r="G10000" s="7"/>
      <c r="H10000" s="7">
        <f t="shared" si="1"/>
        <v>1029</v>
      </c>
    </row>
    <row r="10001" ht="22.5" customHeight="1">
      <c r="B10001" s="7"/>
      <c r="C10001" s="7"/>
      <c r="D10001" s="7"/>
      <c r="E10001" s="7"/>
      <c r="F10001" s="7"/>
      <c r="G10001" s="7"/>
      <c r="H10001" s="7">
        <f t="shared" si="1"/>
        <v>1029</v>
      </c>
    </row>
    <row r="10002" ht="22.5" customHeight="1">
      <c r="B10002" s="7"/>
      <c r="C10002" s="7"/>
      <c r="D10002" s="7"/>
      <c r="E10002" s="7"/>
      <c r="F10002" s="7"/>
      <c r="G10002" s="7"/>
      <c r="H10002" s="7">
        <f t="shared" si="1"/>
        <v>1029</v>
      </c>
    </row>
    <row r="10003" ht="22.5" customHeight="1">
      <c r="B10003" s="7"/>
      <c r="C10003" s="7"/>
      <c r="D10003" s="7"/>
      <c r="E10003" s="7"/>
      <c r="F10003" s="7"/>
      <c r="G10003" s="7"/>
      <c r="H10003" s="7">
        <f t="shared" si="1"/>
        <v>1029</v>
      </c>
    </row>
    <row r="10004" ht="22.5" customHeight="1">
      <c r="B10004" s="7"/>
      <c r="C10004" s="7"/>
      <c r="D10004" s="7"/>
      <c r="E10004" s="7"/>
      <c r="F10004" s="7"/>
      <c r="G10004" s="7"/>
      <c r="H10004" s="7">
        <f t="shared" si="1"/>
        <v>1029</v>
      </c>
    </row>
    <row r="10005" ht="22.5" customHeight="1">
      <c r="B10005" s="7"/>
      <c r="C10005" s="7"/>
      <c r="D10005" s="7"/>
      <c r="E10005" s="7"/>
      <c r="F10005" s="7"/>
      <c r="G10005" s="7"/>
      <c r="H10005" s="7">
        <f t="shared" si="1"/>
        <v>1029</v>
      </c>
    </row>
    <row r="10006" ht="22.5" customHeight="1">
      <c r="B10006" s="7"/>
      <c r="C10006" s="7"/>
      <c r="D10006" s="7"/>
      <c r="E10006" s="7"/>
      <c r="F10006" s="7"/>
      <c r="G10006" s="7"/>
      <c r="H10006" s="7">
        <f t="shared" si="1"/>
        <v>1029</v>
      </c>
    </row>
    <row r="10007" ht="22.5" customHeight="1">
      <c r="B10007" s="7"/>
      <c r="C10007" s="7"/>
      <c r="D10007" s="7"/>
      <c r="E10007" s="7"/>
      <c r="F10007" s="7"/>
      <c r="G10007" s="7"/>
      <c r="H10007" s="7">
        <f t="shared" si="1"/>
        <v>1029</v>
      </c>
    </row>
    <row r="10008" ht="22.5" customHeight="1">
      <c r="B10008" s="7"/>
      <c r="C10008" s="7"/>
      <c r="D10008" s="7"/>
      <c r="E10008" s="7"/>
      <c r="F10008" s="7"/>
      <c r="G10008" s="7"/>
      <c r="H10008" s="7">
        <f t="shared" si="1"/>
        <v>1029</v>
      </c>
    </row>
    <row r="10009" ht="22.5" customHeight="1">
      <c r="B10009" s="7"/>
      <c r="C10009" s="7"/>
      <c r="D10009" s="7"/>
      <c r="E10009" s="7"/>
      <c r="F10009" s="7"/>
      <c r="G10009" s="7"/>
      <c r="H10009" s="7">
        <f t="shared" si="1"/>
        <v>1029</v>
      </c>
    </row>
    <row r="10010" ht="22.5" customHeight="1">
      <c r="B10010" s="7"/>
      <c r="C10010" s="7"/>
      <c r="D10010" s="7"/>
      <c r="E10010" s="7"/>
      <c r="F10010" s="7"/>
      <c r="G10010" s="7"/>
      <c r="H10010" s="7">
        <f t="shared" si="1"/>
        <v>1029</v>
      </c>
    </row>
    <row r="10011" ht="22.5" customHeight="1">
      <c r="B10011" s="7"/>
      <c r="C10011" s="7"/>
      <c r="D10011" s="7"/>
      <c r="E10011" s="7"/>
      <c r="F10011" s="7"/>
      <c r="G10011" s="7"/>
      <c r="H10011" s="7">
        <f t="shared" si="1"/>
        <v>1029</v>
      </c>
    </row>
    <row r="10012" ht="22.5" customHeight="1">
      <c r="B10012" s="7"/>
      <c r="C10012" s="7"/>
      <c r="D10012" s="7"/>
      <c r="E10012" s="7"/>
      <c r="F10012" s="7"/>
      <c r="G10012" s="7"/>
      <c r="H10012" s="7">
        <f t="shared" si="1"/>
        <v>1029</v>
      </c>
    </row>
    <row r="10013" ht="22.5" customHeight="1">
      <c r="B10013" s="7"/>
      <c r="C10013" s="7"/>
      <c r="D10013" s="7"/>
      <c r="E10013" s="7"/>
      <c r="F10013" s="7"/>
      <c r="G10013" s="7"/>
      <c r="H10013" s="7">
        <f t="shared" si="1"/>
        <v>1029</v>
      </c>
    </row>
    <row r="10014" ht="22.5" customHeight="1">
      <c r="B10014" s="7"/>
      <c r="C10014" s="7"/>
      <c r="D10014" s="7"/>
      <c r="E10014" s="7"/>
      <c r="F10014" s="7"/>
      <c r="G10014" s="7"/>
      <c r="H10014" s="7">
        <f t="shared" si="1"/>
        <v>1029</v>
      </c>
    </row>
    <row r="10015" ht="22.5" customHeight="1">
      <c r="B10015" s="7"/>
      <c r="C10015" s="7"/>
      <c r="D10015" s="7"/>
      <c r="E10015" s="7"/>
      <c r="F10015" s="7"/>
      <c r="G10015" s="7"/>
      <c r="H10015" s="7">
        <f t="shared" si="1"/>
        <v>1029</v>
      </c>
    </row>
    <row r="10016" ht="22.5" customHeight="1">
      <c r="B10016" s="7"/>
      <c r="C10016" s="7"/>
      <c r="D10016" s="7"/>
      <c r="E10016" s="7"/>
      <c r="F10016" s="7"/>
      <c r="G10016" s="7"/>
      <c r="H10016" s="7">
        <f t="shared" si="1"/>
        <v>1029</v>
      </c>
    </row>
    <row r="10017" ht="22.5" customHeight="1">
      <c r="B10017" s="7"/>
      <c r="C10017" s="7"/>
      <c r="D10017" s="7"/>
      <c r="E10017" s="7"/>
      <c r="F10017" s="7"/>
      <c r="G10017" s="7"/>
      <c r="H10017" s="7">
        <f t="shared" si="1"/>
        <v>1029</v>
      </c>
    </row>
    <row r="10018" ht="22.5" customHeight="1">
      <c r="B10018" s="7"/>
      <c r="C10018" s="7"/>
      <c r="D10018" s="7"/>
      <c r="E10018" s="7"/>
      <c r="F10018" s="7"/>
      <c r="G10018" s="7"/>
      <c r="H10018" s="7">
        <f t="shared" si="1"/>
        <v>1029</v>
      </c>
    </row>
    <row r="10019" ht="22.5" customHeight="1">
      <c r="B10019" s="7"/>
      <c r="C10019" s="7"/>
      <c r="D10019" s="7"/>
      <c r="E10019" s="7"/>
      <c r="F10019" s="7"/>
      <c r="G10019" s="7"/>
      <c r="H10019" s="7">
        <f t="shared" si="1"/>
        <v>1029</v>
      </c>
    </row>
    <row r="10020" ht="22.5" customHeight="1">
      <c r="B10020" s="7"/>
      <c r="C10020" s="7"/>
      <c r="D10020" s="7"/>
      <c r="E10020" s="7"/>
      <c r="F10020" s="7"/>
      <c r="G10020" s="7"/>
      <c r="H10020" s="7">
        <f t="shared" si="1"/>
        <v>1029</v>
      </c>
    </row>
    <row r="10021" ht="22.5" customHeight="1">
      <c r="B10021" s="7"/>
      <c r="C10021" s="7"/>
      <c r="D10021" s="7"/>
      <c r="E10021" s="7"/>
      <c r="F10021" s="7"/>
      <c r="G10021" s="7"/>
      <c r="H10021" s="7">
        <f t="shared" si="1"/>
        <v>1029</v>
      </c>
    </row>
    <row r="10022" ht="22.5" customHeight="1">
      <c r="B10022" s="7"/>
      <c r="C10022" s="7"/>
      <c r="D10022" s="7"/>
      <c r="E10022" s="7"/>
      <c r="F10022" s="7"/>
      <c r="G10022" s="7"/>
      <c r="H10022" s="7">
        <f t="shared" si="1"/>
        <v>1029</v>
      </c>
    </row>
    <row r="10023" ht="22.5" customHeight="1">
      <c r="B10023" s="7"/>
      <c r="C10023" s="7"/>
      <c r="D10023" s="7"/>
      <c r="E10023" s="7"/>
      <c r="F10023" s="7"/>
      <c r="G10023" s="7"/>
      <c r="H10023" s="7">
        <f t="shared" si="1"/>
        <v>1029</v>
      </c>
    </row>
    <row r="10024" ht="22.5" customHeight="1">
      <c r="B10024" s="7"/>
      <c r="C10024" s="7"/>
      <c r="D10024" s="7"/>
      <c r="E10024" s="7"/>
      <c r="F10024" s="7"/>
      <c r="G10024" s="7"/>
      <c r="H10024" s="7">
        <f t="shared" si="1"/>
        <v>1029</v>
      </c>
    </row>
    <row r="10025" ht="22.5" customHeight="1">
      <c r="B10025" s="7"/>
      <c r="C10025" s="7"/>
      <c r="D10025" s="7"/>
      <c r="E10025" s="7"/>
      <c r="F10025" s="7"/>
      <c r="G10025" s="7"/>
      <c r="H10025" s="7">
        <f t="shared" si="1"/>
        <v>1029</v>
      </c>
    </row>
    <row r="10026" ht="22.5" customHeight="1">
      <c r="B10026" s="7"/>
      <c r="C10026" s="7"/>
      <c r="D10026" s="7"/>
      <c r="E10026" s="7"/>
      <c r="F10026" s="7"/>
      <c r="G10026" s="7"/>
      <c r="H10026" s="7">
        <f t="shared" si="1"/>
        <v>1029</v>
      </c>
    </row>
    <row r="10027" ht="22.5" customHeight="1">
      <c r="B10027" s="7"/>
      <c r="C10027" s="7"/>
      <c r="D10027" s="7"/>
      <c r="E10027" s="7"/>
      <c r="F10027" s="7"/>
      <c r="G10027" s="7"/>
      <c r="H10027" s="7">
        <f t="shared" si="1"/>
        <v>1029</v>
      </c>
    </row>
    <row r="10028" ht="22.5" customHeight="1">
      <c r="B10028" s="7"/>
      <c r="C10028" s="7"/>
      <c r="D10028" s="7"/>
      <c r="E10028" s="7"/>
      <c r="F10028" s="7"/>
      <c r="G10028" s="7"/>
      <c r="H10028" s="7">
        <f t="shared" si="1"/>
        <v>1029</v>
      </c>
    </row>
    <row r="10029" ht="22.5" customHeight="1">
      <c r="B10029" s="7"/>
      <c r="C10029" s="7"/>
      <c r="D10029" s="7"/>
      <c r="E10029" s="7"/>
      <c r="F10029" s="7"/>
      <c r="G10029" s="7"/>
      <c r="H10029" s="7">
        <f t="shared" si="1"/>
        <v>1029</v>
      </c>
    </row>
    <row r="10030" ht="22.5" customHeight="1">
      <c r="B10030" s="7"/>
      <c r="C10030" s="7"/>
      <c r="D10030" s="7"/>
      <c r="E10030" s="7"/>
      <c r="F10030" s="7"/>
      <c r="G10030" s="7"/>
      <c r="H10030" s="7">
        <f t="shared" si="1"/>
        <v>1029</v>
      </c>
    </row>
    <row r="10031" ht="22.5" customHeight="1">
      <c r="B10031" s="7"/>
      <c r="C10031" s="7"/>
      <c r="D10031" s="7"/>
      <c r="E10031" s="7"/>
      <c r="F10031" s="7"/>
      <c r="G10031" s="7"/>
      <c r="H10031" s="7">
        <f t="shared" si="1"/>
        <v>1029</v>
      </c>
    </row>
    <row r="10032" ht="22.5" customHeight="1">
      <c r="B10032" s="7"/>
      <c r="C10032" s="7"/>
      <c r="D10032" s="7"/>
      <c r="E10032" s="7"/>
      <c r="F10032" s="7"/>
      <c r="G10032" s="7"/>
      <c r="H10032" s="7">
        <f t="shared" si="1"/>
        <v>1029</v>
      </c>
    </row>
    <row r="10033" ht="22.5" customHeight="1">
      <c r="B10033" s="7"/>
      <c r="C10033" s="7"/>
      <c r="D10033" s="7"/>
      <c r="E10033" s="7"/>
      <c r="F10033" s="7"/>
      <c r="G10033" s="7"/>
      <c r="H10033" s="7">
        <f t="shared" si="1"/>
        <v>1029</v>
      </c>
    </row>
    <row r="10034" ht="22.5" customHeight="1">
      <c r="B10034" s="7"/>
      <c r="C10034" s="7"/>
      <c r="D10034" s="7"/>
      <c r="E10034" s="7"/>
      <c r="F10034" s="7"/>
      <c r="G10034" s="7"/>
      <c r="H10034" s="7">
        <f t="shared" si="1"/>
        <v>1029</v>
      </c>
    </row>
    <row r="10035" ht="22.5" customHeight="1">
      <c r="B10035" s="7"/>
      <c r="C10035" s="7"/>
      <c r="D10035" s="7"/>
      <c r="E10035" s="7"/>
      <c r="F10035" s="7"/>
      <c r="G10035" s="7"/>
      <c r="H10035" s="7">
        <f t="shared" si="1"/>
        <v>1029</v>
      </c>
    </row>
    <row r="10036" ht="22.5" customHeight="1">
      <c r="B10036" s="7"/>
      <c r="C10036" s="7"/>
      <c r="D10036" s="7"/>
      <c r="E10036" s="7"/>
      <c r="F10036" s="7"/>
      <c r="G10036" s="7"/>
      <c r="H10036" s="7">
        <f t="shared" si="1"/>
        <v>1029</v>
      </c>
    </row>
    <row r="10037" ht="22.5" customHeight="1">
      <c r="B10037" s="7"/>
      <c r="C10037" s="7"/>
      <c r="D10037" s="7"/>
      <c r="E10037" s="7"/>
      <c r="F10037" s="7"/>
      <c r="G10037" s="7"/>
      <c r="H10037" s="7">
        <f t="shared" si="1"/>
        <v>1029</v>
      </c>
    </row>
    <row r="10038" ht="22.5" customHeight="1">
      <c r="B10038" s="7"/>
      <c r="C10038" s="7"/>
      <c r="D10038" s="7"/>
      <c r="E10038" s="7"/>
      <c r="F10038" s="7"/>
      <c r="G10038" s="7"/>
      <c r="H10038" s="7">
        <f t="shared" si="1"/>
        <v>1029</v>
      </c>
    </row>
    <row r="10039" ht="22.5" customHeight="1">
      <c r="B10039" s="7"/>
      <c r="C10039" s="7"/>
      <c r="D10039" s="7"/>
      <c r="E10039" s="7"/>
      <c r="F10039" s="7"/>
      <c r="G10039" s="7"/>
      <c r="H10039" s="7">
        <f t="shared" si="1"/>
        <v>1029</v>
      </c>
    </row>
    <row r="10040" ht="22.5" customHeight="1">
      <c r="B10040" s="7"/>
      <c r="C10040" s="7"/>
      <c r="D10040" s="7"/>
      <c r="E10040" s="7"/>
      <c r="F10040" s="7"/>
      <c r="G10040" s="7"/>
      <c r="H10040" s="7">
        <f t="shared" si="1"/>
        <v>1029</v>
      </c>
    </row>
    <row r="10041" ht="22.5" customHeight="1">
      <c r="B10041" s="7"/>
      <c r="C10041" s="7"/>
      <c r="D10041" s="7"/>
      <c r="E10041" s="7"/>
      <c r="F10041" s="7"/>
      <c r="G10041" s="7"/>
      <c r="H10041" s="7">
        <f t="shared" si="1"/>
        <v>1029</v>
      </c>
    </row>
    <row r="10042" ht="22.5" customHeight="1">
      <c r="B10042" s="7"/>
      <c r="C10042" s="7"/>
      <c r="D10042" s="7"/>
      <c r="E10042" s="7"/>
      <c r="F10042" s="7"/>
      <c r="G10042" s="7"/>
      <c r="H10042" s="7">
        <f t="shared" si="1"/>
        <v>1029</v>
      </c>
    </row>
    <row r="10043" ht="22.5" customHeight="1">
      <c r="B10043" s="7"/>
      <c r="C10043" s="7"/>
      <c r="D10043" s="7"/>
      <c r="E10043" s="7"/>
      <c r="F10043" s="7"/>
      <c r="G10043" s="7"/>
      <c r="H10043" s="7">
        <f t="shared" si="1"/>
        <v>1029</v>
      </c>
    </row>
    <row r="10044" ht="22.5" customHeight="1">
      <c r="B10044" s="7"/>
      <c r="C10044" s="7"/>
      <c r="D10044" s="7"/>
      <c r="E10044" s="7"/>
      <c r="F10044" s="7"/>
      <c r="G10044" s="7"/>
      <c r="H10044" s="7">
        <f t="shared" si="1"/>
        <v>1029</v>
      </c>
    </row>
    <row r="10045" ht="22.5" customHeight="1">
      <c r="B10045" s="7"/>
      <c r="C10045" s="7"/>
      <c r="D10045" s="7"/>
      <c r="E10045" s="7"/>
      <c r="F10045" s="7"/>
      <c r="G10045" s="7"/>
      <c r="H10045" s="7">
        <f t="shared" si="1"/>
        <v>1029</v>
      </c>
    </row>
    <row r="10046" ht="22.5" customHeight="1">
      <c r="B10046" s="7"/>
      <c r="C10046" s="7"/>
      <c r="D10046" s="7"/>
      <c r="E10046" s="7"/>
      <c r="F10046" s="7"/>
      <c r="G10046" s="7"/>
      <c r="H10046" s="7">
        <f t="shared" si="1"/>
        <v>1029</v>
      </c>
    </row>
    <row r="10047" ht="22.5" customHeight="1">
      <c r="B10047" s="7"/>
      <c r="C10047" s="7"/>
      <c r="D10047" s="7"/>
      <c r="E10047" s="7"/>
      <c r="F10047" s="7"/>
      <c r="G10047" s="7"/>
      <c r="H10047" s="7">
        <f t="shared" si="1"/>
        <v>1029</v>
      </c>
    </row>
    <row r="10048" ht="22.5" customHeight="1">
      <c r="B10048" s="7"/>
      <c r="C10048" s="7"/>
      <c r="D10048" s="7"/>
      <c r="E10048" s="7"/>
      <c r="F10048" s="7"/>
      <c r="G10048" s="7"/>
      <c r="H10048" s="7">
        <f t="shared" si="1"/>
        <v>1029</v>
      </c>
    </row>
    <row r="10049" ht="22.5" customHeight="1">
      <c r="B10049" s="7"/>
      <c r="C10049" s="7"/>
      <c r="D10049" s="7"/>
      <c r="E10049" s="7"/>
      <c r="F10049" s="7"/>
      <c r="G10049" s="7"/>
      <c r="H10049" s="7">
        <f t="shared" si="1"/>
        <v>1029</v>
      </c>
    </row>
    <row r="10050" ht="22.5" customHeight="1">
      <c r="B10050" s="7"/>
      <c r="C10050" s="7"/>
      <c r="D10050" s="7"/>
      <c r="E10050" s="7"/>
      <c r="F10050" s="7"/>
      <c r="G10050" s="7"/>
      <c r="H10050" s="7">
        <f t="shared" si="1"/>
        <v>1029</v>
      </c>
    </row>
    <row r="10051" ht="22.5" customHeight="1">
      <c r="B10051" s="7"/>
      <c r="C10051" s="7"/>
      <c r="D10051" s="7"/>
      <c r="E10051" s="7"/>
      <c r="F10051" s="7"/>
      <c r="G10051" s="7"/>
      <c r="H10051" s="7">
        <f t="shared" si="1"/>
        <v>1029</v>
      </c>
    </row>
    <row r="10052" ht="22.5" customHeight="1">
      <c r="B10052" s="7"/>
      <c r="C10052" s="7"/>
      <c r="D10052" s="7"/>
      <c r="E10052" s="7"/>
      <c r="F10052" s="7"/>
      <c r="G10052" s="7"/>
      <c r="H10052" s="7">
        <f t="shared" si="1"/>
        <v>1029</v>
      </c>
    </row>
    <row r="10053" ht="22.5" customHeight="1">
      <c r="B10053" s="7"/>
      <c r="C10053" s="7"/>
      <c r="D10053" s="7"/>
      <c r="E10053" s="7"/>
      <c r="F10053" s="7"/>
      <c r="G10053" s="7"/>
      <c r="H10053" s="7">
        <f t="shared" si="1"/>
        <v>1029</v>
      </c>
    </row>
    <row r="10054" ht="22.5" customHeight="1">
      <c r="B10054" s="7"/>
      <c r="C10054" s="7"/>
      <c r="D10054" s="7"/>
      <c r="E10054" s="7"/>
      <c r="F10054" s="7"/>
      <c r="G10054" s="7"/>
      <c r="H10054" s="7">
        <f t="shared" si="1"/>
        <v>1029</v>
      </c>
    </row>
    <row r="10055" ht="22.5" customHeight="1">
      <c r="B10055" s="7"/>
      <c r="C10055" s="7"/>
      <c r="D10055" s="7"/>
      <c r="E10055" s="7"/>
      <c r="F10055" s="7"/>
      <c r="G10055" s="7"/>
      <c r="H10055" s="7">
        <f t="shared" si="1"/>
        <v>1029</v>
      </c>
    </row>
    <row r="10056" ht="22.5" customHeight="1">
      <c r="B10056" s="7"/>
      <c r="C10056" s="7"/>
      <c r="D10056" s="7"/>
      <c r="E10056" s="7"/>
      <c r="F10056" s="7"/>
      <c r="G10056" s="7"/>
      <c r="H10056" s="7">
        <f t="shared" si="1"/>
        <v>1029</v>
      </c>
    </row>
    <row r="10057" ht="22.5" customHeight="1">
      <c r="B10057" s="7"/>
      <c r="C10057" s="7"/>
      <c r="D10057" s="7"/>
      <c r="E10057" s="7"/>
      <c r="F10057" s="7"/>
      <c r="G10057" s="7"/>
      <c r="H10057" s="7">
        <f t="shared" si="1"/>
        <v>1029</v>
      </c>
    </row>
    <row r="10058" ht="22.5" customHeight="1">
      <c r="B10058" s="7"/>
      <c r="C10058" s="7"/>
      <c r="D10058" s="7"/>
      <c r="E10058" s="7"/>
      <c r="F10058" s="7"/>
      <c r="G10058" s="7"/>
      <c r="H10058" s="7">
        <f t="shared" si="1"/>
        <v>1029</v>
      </c>
    </row>
    <row r="10059" ht="22.5" customHeight="1">
      <c r="B10059" s="7"/>
      <c r="C10059" s="7"/>
      <c r="D10059" s="7"/>
      <c r="E10059" s="7"/>
      <c r="F10059" s="7"/>
      <c r="G10059" s="7"/>
      <c r="H10059" s="7">
        <f t="shared" si="1"/>
        <v>1029</v>
      </c>
    </row>
    <row r="10060" ht="22.5" customHeight="1">
      <c r="B10060" s="7"/>
      <c r="C10060" s="7"/>
      <c r="D10060" s="7"/>
      <c r="E10060" s="7"/>
      <c r="F10060" s="7"/>
      <c r="G10060" s="7"/>
      <c r="H10060" s="7">
        <f t="shared" si="1"/>
        <v>1029</v>
      </c>
    </row>
    <row r="10061" ht="22.5" customHeight="1">
      <c r="B10061" s="7"/>
      <c r="C10061" s="7"/>
      <c r="D10061" s="7"/>
      <c r="E10061" s="7"/>
      <c r="F10061" s="7"/>
      <c r="G10061" s="7"/>
      <c r="H10061" s="7">
        <f t="shared" si="1"/>
        <v>1029</v>
      </c>
    </row>
    <row r="10062" ht="22.5" customHeight="1">
      <c r="B10062" s="7"/>
      <c r="C10062" s="7"/>
      <c r="D10062" s="7"/>
      <c r="E10062" s="7"/>
      <c r="F10062" s="7"/>
      <c r="G10062" s="7"/>
      <c r="H10062" s="7">
        <f t="shared" si="1"/>
        <v>1029</v>
      </c>
    </row>
    <row r="10063" ht="22.5" customHeight="1">
      <c r="B10063" s="7"/>
      <c r="C10063" s="7"/>
      <c r="D10063" s="7"/>
      <c r="E10063" s="7"/>
      <c r="F10063" s="7"/>
      <c r="G10063" s="7"/>
      <c r="H10063" s="7">
        <f t="shared" si="1"/>
        <v>1029</v>
      </c>
    </row>
    <row r="10064" ht="22.5" customHeight="1">
      <c r="B10064" s="7"/>
      <c r="C10064" s="7"/>
      <c r="D10064" s="7"/>
      <c r="E10064" s="7"/>
      <c r="F10064" s="7"/>
      <c r="G10064" s="7"/>
      <c r="H10064" s="7">
        <f t="shared" si="1"/>
        <v>1029</v>
      </c>
    </row>
    <row r="10065" ht="22.5" customHeight="1">
      <c r="B10065" s="7"/>
      <c r="C10065" s="7"/>
      <c r="D10065" s="7"/>
      <c r="E10065" s="7"/>
      <c r="F10065" s="7"/>
      <c r="G10065" s="7"/>
      <c r="H10065" s="7">
        <f t="shared" si="1"/>
        <v>1029</v>
      </c>
    </row>
    <row r="10066" ht="22.5" customHeight="1">
      <c r="B10066" s="7"/>
      <c r="C10066" s="7"/>
      <c r="D10066" s="7"/>
      <c r="E10066" s="7"/>
      <c r="F10066" s="7"/>
      <c r="G10066" s="7"/>
      <c r="H10066" s="7">
        <f t="shared" si="1"/>
        <v>1029</v>
      </c>
    </row>
    <row r="10067" ht="22.5" customHeight="1">
      <c r="B10067" s="7"/>
      <c r="C10067" s="7"/>
      <c r="D10067" s="7"/>
      <c r="E10067" s="7"/>
      <c r="F10067" s="7"/>
      <c r="G10067" s="7"/>
      <c r="H10067" s="7">
        <f t="shared" si="1"/>
        <v>1029</v>
      </c>
    </row>
    <row r="10068" ht="22.5" customHeight="1">
      <c r="B10068" s="7"/>
      <c r="C10068" s="7"/>
      <c r="D10068" s="7"/>
      <c r="E10068" s="7"/>
      <c r="F10068" s="7"/>
      <c r="G10068" s="7"/>
      <c r="H10068" s="7">
        <f t="shared" si="1"/>
        <v>1029</v>
      </c>
    </row>
    <row r="10069" ht="22.5" customHeight="1">
      <c r="B10069" s="7"/>
      <c r="C10069" s="7"/>
      <c r="D10069" s="7"/>
      <c r="E10069" s="7"/>
      <c r="F10069" s="7"/>
      <c r="G10069" s="7"/>
      <c r="H10069" s="7">
        <f t="shared" si="1"/>
        <v>1029</v>
      </c>
    </row>
    <row r="10070" ht="22.5" customHeight="1">
      <c r="B10070" s="7"/>
      <c r="C10070" s="7"/>
      <c r="D10070" s="7"/>
      <c r="E10070" s="7"/>
      <c r="F10070" s="7"/>
      <c r="G10070" s="7"/>
      <c r="H10070" s="7">
        <f t="shared" si="1"/>
        <v>1029</v>
      </c>
    </row>
    <row r="10071" ht="22.5" customHeight="1">
      <c r="B10071" s="7"/>
      <c r="C10071" s="7"/>
      <c r="D10071" s="7"/>
      <c r="E10071" s="7"/>
      <c r="F10071" s="7"/>
      <c r="G10071" s="7"/>
      <c r="H10071" s="7">
        <f t="shared" si="1"/>
        <v>1029</v>
      </c>
    </row>
    <row r="10072" ht="22.5" customHeight="1">
      <c r="B10072" s="7"/>
      <c r="C10072" s="7"/>
      <c r="D10072" s="7"/>
      <c r="E10072" s="7"/>
      <c r="F10072" s="7"/>
      <c r="G10072" s="7"/>
      <c r="H10072" s="7">
        <f t="shared" si="1"/>
        <v>1029</v>
      </c>
    </row>
    <row r="10073" ht="22.5" customHeight="1">
      <c r="B10073" s="7"/>
      <c r="C10073" s="7"/>
      <c r="D10073" s="7"/>
      <c r="E10073" s="7"/>
      <c r="F10073" s="7"/>
      <c r="G10073" s="7"/>
      <c r="H10073" s="7">
        <f t="shared" si="1"/>
        <v>1029</v>
      </c>
    </row>
    <row r="10074" ht="22.5" customHeight="1">
      <c r="B10074" s="7"/>
      <c r="C10074" s="7"/>
      <c r="D10074" s="7"/>
      <c r="E10074" s="7"/>
      <c r="F10074" s="7"/>
      <c r="G10074" s="7"/>
      <c r="H10074" s="7">
        <f t="shared" si="1"/>
        <v>1029</v>
      </c>
    </row>
    <row r="10075" ht="22.5" customHeight="1">
      <c r="B10075" s="7"/>
      <c r="C10075" s="7"/>
      <c r="D10075" s="7"/>
      <c r="E10075" s="7"/>
      <c r="F10075" s="7"/>
      <c r="G10075" s="7"/>
      <c r="H10075" s="7">
        <f t="shared" si="1"/>
        <v>1029</v>
      </c>
    </row>
    <row r="10076" ht="22.5" customHeight="1">
      <c r="B10076" s="7"/>
      <c r="C10076" s="7"/>
      <c r="D10076" s="7"/>
      <c r="E10076" s="7"/>
      <c r="F10076" s="7"/>
      <c r="G10076" s="7"/>
      <c r="H10076" s="7">
        <f t="shared" si="1"/>
        <v>1029</v>
      </c>
    </row>
    <row r="10077" ht="22.5" customHeight="1">
      <c r="B10077" s="7"/>
      <c r="C10077" s="7"/>
      <c r="D10077" s="7"/>
      <c r="E10077" s="7"/>
      <c r="F10077" s="7"/>
      <c r="G10077" s="7"/>
      <c r="H10077" s="7">
        <f t="shared" si="1"/>
        <v>1029</v>
      </c>
    </row>
    <row r="10078" ht="22.5" customHeight="1">
      <c r="B10078" s="7"/>
      <c r="C10078" s="7"/>
      <c r="D10078" s="7"/>
      <c r="E10078" s="7"/>
      <c r="F10078" s="7"/>
      <c r="G10078" s="7"/>
      <c r="H10078" s="7">
        <f t="shared" si="1"/>
        <v>1029</v>
      </c>
    </row>
    <row r="10079" ht="22.5" customHeight="1">
      <c r="B10079" s="7"/>
      <c r="C10079" s="7"/>
      <c r="D10079" s="7"/>
      <c r="E10079" s="7"/>
      <c r="F10079" s="7"/>
      <c r="G10079" s="7"/>
      <c r="H10079" s="7">
        <f t="shared" si="1"/>
        <v>1029</v>
      </c>
    </row>
    <row r="10080" ht="22.5" customHeight="1">
      <c r="B10080" s="7"/>
      <c r="C10080" s="7"/>
      <c r="D10080" s="7"/>
      <c r="E10080" s="7"/>
      <c r="F10080" s="7"/>
      <c r="G10080" s="7"/>
      <c r="H10080" s="7">
        <f t="shared" si="1"/>
        <v>1029</v>
      </c>
    </row>
    <row r="10081" ht="22.5" customHeight="1">
      <c r="B10081" s="7"/>
      <c r="C10081" s="7"/>
      <c r="D10081" s="7"/>
      <c r="E10081" s="7"/>
      <c r="F10081" s="7"/>
      <c r="G10081" s="7"/>
      <c r="H10081" s="7">
        <f t="shared" si="1"/>
        <v>1029</v>
      </c>
    </row>
    <row r="10082" ht="22.5" customHeight="1">
      <c r="B10082" s="7"/>
      <c r="C10082" s="7"/>
      <c r="D10082" s="7"/>
      <c r="E10082" s="7"/>
      <c r="F10082" s="7"/>
      <c r="G10082" s="7"/>
      <c r="H10082" s="7">
        <f t="shared" si="1"/>
        <v>1029</v>
      </c>
    </row>
    <row r="10083" ht="22.5" customHeight="1">
      <c r="B10083" s="7"/>
      <c r="C10083" s="7"/>
      <c r="D10083" s="7"/>
      <c r="E10083" s="7"/>
      <c r="F10083" s="7"/>
      <c r="G10083" s="7"/>
      <c r="H10083" s="7">
        <f t="shared" si="1"/>
        <v>1029</v>
      </c>
    </row>
    <row r="10084" ht="22.5" customHeight="1">
      <c r="B10084" s="7"/>
      <c r="C10084" s="7"/>
      <c r="D10084" s="7"/>
      <c r="E10084" s="7"/>
      <c r="F10084" s="7"/>
      <c r="G10084" s="7"/>
      <c r="H10084" s="7">
        <f t="shared" si="1"/>
        <v>1029</v>
      </c>
    </row>
    <row r="10085" ht="22.5" customHeight="1">
      <c r="B10085" s="7"/>
      <c r="C10085" s="7"/>
      <c r="D10085" s="7"/>
      <c r="E10085" s="7"/>
      <c r="F10085" s="7"/>
      <c r="G10085" s="7"/>
      <c r="H10085" s="7">
        <f t="shared" si="1"/>
        <v>1029</v>
      </c>
    </row>
    <row r="10086" ht="22.5" customHeight="1">
      <c r="B10086" s="7"/>
      <c r="C10086" s="7"/>
      <c r="D10086" s="7"/>
      <c r="E10086" s="7"/>
      <c r="F10086" s="7"/>
      <c r="G10086" s="7"/>
      <c r="H10086" s="7">
        <f t="shared" si="1"/>
        <v>1029</v>
      </c>
    </row>
    <row r="10087" ht="22.5" customHeight="1">
      <c r="B10087" s="7"/>
      <c r="C10087" s="7"/>
      <c r="D10087" s="7"/>
      <c r="E10087" s="7"/>
      <c r="F10087" s="7"/>
      <c r="G10087" s="7"/>
      <c r="H10087" s="7">
        <f t="shared" si="1"/>
        <v>1029</v>
      </c>
    </row>
    <row r="10088" ht="22.5" customHeight="1">
      <c r="B10088" s="7"/>
      <c r="C10088" s="7"/>
      <c r="D10088" s="7"/>
      <c r="E10088" s="7"/>
      <c r="F10088" s="7"/>
      <c r="G10088" s="7"/>
      <c r="H10088" s="7">
        <f t="shared" si="1"/>
        <v>1029</v>
      </c>
    </row>
    <row r="10089" ht="22.5" customHeight="1">
      <c r="B10089" s="7"/>
      <c r="C10089" s="7"/>
      <c r="D10089" s="7"/>
      <c r="E10089" s="7"/>
      <c r="F10089" s="7"/>
      <c r="G10089" s="7"/>
      <c r="H10089" s="7">
        <f t="shared" si="1"/>
        <v>1029</v>
      </c>
    </row>
    <row r="10090" ht="22.5" customHeight="1">
      <c r="B10090" s="7"/>
      <c r="C10090" s="7"/>
      <c r="D10090" s="7"/>
      <c r="E10090" s="7"/>
      <c r="F10090" s="7"/>
      <c r="G10090" s="7"/>
      <c r="H10090" s="7">
        <f t="shared" si="1"/>
        <v>1029</v>
      </c>
    </row>
    <row r="10091" ht="22.5" customHeight="1">
      <c r="B10091" s="7"/>
      <c r="C10091" s="7"/>
      <c r="D10091" s="7"/>
      <c r="E10091" s="7"/>
      <c r="F10091" s="7"/>
      <c r="G10091" s="7"/>
      <c r="H10091" s="7">
        <f t="shared" si="1"/>
        <v>1029</v>
      </c>
    </row>
    <row r="10092" ht="22.5" customHeight="1">
      <c r="B10092" s="7"/>
      <c r="C10092" s="7"/>
      <c r="D10092" s="7"/>
      <c r="E10092" s="7"/>
      <c r="F10092" s="7"/>
      <c r="G10092" s="7"/>
      <c r="H10092" s="7">
        <f t="shared" si="1"/>
        <v>1029</v>
      </c>
    </row>
    <row r="10093" ht="22.5" customHeight="1">
      <c r="B10093" s="7"/>
      <c r="C10093" s="7"/>
      <c r="D10093" s="7"/>
      <c r="E10093" s="7"/>
      <c r="F10093" s="7"/>
      <c r="G10093" s="7"/>
      <c r="H10093" s="7">
        <f t="shared" si="1"/>
        <v>1029</v>
      </c>
    </row>
    <row r="10094" ht="22.5" customHeight="1">
      <c r="B10094" s="7"/>
      <c r="C10094" s="7"/>
      <c r="D10094" s="7"/>
      <c r="E10094" s="7"/>
      <c r="F10094" s="7"/>
      <c r="G10094" s="7"/>
      <c r="H10094" s="7">
        <f t="shared" si="1"/>
        <v>1029</v>
      </c>
    </row>
    <row r="10095" ht="22.5" customHeight="1">
      <c r="B10095" s="7"/>
      <c r="C10095" s="7"/>
      <c r="D10095" s="7"/>
      <c r="E10095" s="7"/>
      <c r="F10095" s="7"/>
      <c r="G10095" s="7"/>
      <c r="H10095" s="7">
        <f t="shared" si="1"/>
        <v>1029</v>
      </c>
    </row>
    <row r="10096" ht="22.5" customHeight="1">
      <c r="B10096" s="7"/>
      <c r="C10096" s="7"/>
      <c r="D10096" s="7"/>
      <c r="E10096" s="7"/>
      <c r="F10096" s="7"/>
      <c r="G10096" s="7"/>
      <c r="H10096" s="7">
        <f t="shared" si="1"/>
        <v>1029</v>
      </c>
    </row>
    <row r="10097" ht="22.5" customHeight="1">
      <c r="B10097" s="7"/>
      <c r="C10097" s="7"/>
      <c r="D10097" s="7"/>
      <c r="E10097" s="7"/>
      <c r="F10097" s="7"/>
      <c r="G10097" s="7"/>
      <c r="H10097" s="7">
        <f t="shared" si="1"/>
        <v>1029</v>
      </c>
    </row>
    <row r="10098" ht="22.5" customHeight="1">
      <c r="B10098" s="7"/>
      <c r="C10098" s="7"/>
      <c r="D10098" s="7"/>
      <c r="E10098" s="7"/>
      <c r="F10098" s="7"/>
      <c r="G10098" s="7"/>
      <c r="H10098" s="7">
        <f t="shared" si="1"/>
        <v>1029</v>
      </c>
    </row>
    <row r="10099" ht="22.5" customHeight="1">
      <c r="B10099" s="7"/>
      <c r="C10099" s="7"/>
      <c r="D10099" s="7"/>
      <c r="E10099" s="7"/>
      <c r="F10099" s="7"/>
      <c r="G10099" s="7"/>
      <c r="H10099" s="7">
        <f t="shared" si="1"/>
        <v>1029</v>
      </c>
    </row>
    <row r="10100" ht="22.5" customHeight="1">
      <c r="B10100" s="7"/>
      <c r="C10100" s="7"/>
      <c r="D10100" s="7"/>
      <c r="E10100" s="7"/>
      <c r="F10100" s="7"/>
      <c r="G10100" s="7"/>
      <c r="H10100" s="7">
        <f t="shared" si="1"/>
        <v>1029</v>
      </c>
    </row>
    <row r="10101" ht="22.5" customHeight="1">
      <c r="B10101" s="7"/>
      <c r="C10101" s="7"/>
      <c r="D10101" s="7"/>
      <c r="E10101" s="7"/>
      <c r="F10101" s="7"/>
      <c r="G10101" s="7"/>
      <c r="H10101" s="7">
        <f t="shared" si="1"/>
        <v>1029</v>
      </c>
    </row>
    <row r="10102" ht="22.5" customHeight="1">
      <c r="B10102" s="7"/>
      <c r="C10102" s="7"/>
      <c r="D10102" s="7"/>
      <c r="E10102" s="7"/>
      <c r="F10102" s="7"/>
      <c r="G10102" s="7"/>
      <c r="H10102" s="7">
        <f t="shared" si="1"/>
        <v>1029</v>
      </c>
    </row>
    <row r="10103" ht="22.5" customHeight="1">
      <c r="B10103" s="7"/>
      <c r="C10103" s="7"/>
      <c r="D10103" s="7"/>
      <c r="E10103" s="7"/>
      <c r="F10103" s="7"/>
      <c r="G10103" s="7"/>
      <c r="H10103" s="7">
        <f t="shared" si="1"/>
        <v>1029</v>
      </c>
    </row>
    <row r="10104" ht="22.5" customHeight="1">
      <c r="B10104" s="7"/>
      <c r="C10104" s="7"/>
      <c r="D10104" s="7"/>
      <c r="E10104" s="7"/>
      <c r="F10104" s="7"/>
      <c r="G10104" s="7"/>
      <c r="H10104" s="7">
        <f t="shared" si="1"/>
        <v>1029</v>
      </c>
    </row>
    <row r="10105" ht="22.5" customHeight="1">
      <c r="B10105" s="7"/>
      <c r="C10105" s="7"/>
      <c r="D10105" s="7"/>
      <c r="E10105" s="7"/>
      <c r="F10105" s="7"/>
      <c r="G10105" s="7"/>
      <c r="H10105" s="7">
        <f t="shared" si="1"/>
        <v>1029</v>
      </c>
    </row>
    <row r="10106" ht="22.5" customHeight="1">
      <c r="B10106" s="7"/>
      <c r="C10106" s="7"/>
      <c r="D10106" s="7"/>
      <c r="E10106" s="7"/>
      <c r="F10106" s="7"/>
      <c r="G10106" s="7"/>
      <c r="H10106" s="7">
        <f t="shared" si="1"/>
        <v>1029</v>
      </c>
    </row>
    <row r="10107" ht="22.5" customHeight="1">
      <c r="B10107" s="7"/>
      <c r="C10107" s="7"/>
      <c r="D10107" s="7"/>
      <c r="E10107" s="7"/>
      <c r="F10107" s="7"/>
      <c r="G10107" s="7"/>
      <c r="H10107" s="7">
        <f t="shared" si="1"/>
        <v>1029</v>
      </c>
    </row>
    <row r="10108" ht="22.5" customHeight="1">
      <c r="B10108" s="7"/>
      <c r="C10108" s="7"/>
      <c r="D10108" s="7"/>
      <c r="E10108" s="7"/>
      <c r="F10108" s="7"/>
      <c r="G10108" s="7"/>
      <c r="H10108" s="7">
        <f t="shared" si="1"/>
        <v>1029</v>
      </c>
    </row>
    <row r="10109" ht="22.5" customHeight="1">
      <c r="B10109" s="7"/>
      <c r="C10109" s="7"/>
      <c r="D10109" s="7"/>
      <c r="E10109" s="7"/>
      <c r="F10109" s="7"/>
      <c r="G10109" s="7"/>
      <c r="H10109" s="7">
        <f t="shared" si="1"/>
        <v>1029</v>
      </c>
    </row>
    <row r="10110" ht="22.5" customHeight="1">
      <c r="B10110" s="7"/>
      <c r="C10110" s="7"/>
      <c r="D10110" s="7"/>
      <c r="E10110" s="7"/>
      <c r="F10110" s="7"/>
      <c r="G10110" s="7"/>
      <c r="H10110" s="7">
        <f t="shared" si="1"/>
        <v>1029</v>
      </c>
    </row>
    <row r="10111" ht="22.5" customHeight="1">
      <c r="B10111" s="7"/>
      <c r="C10111" s="7"/>
      <c r="D10111" s="7"/>
      <c r="E10111" s="7"/>
      <c r="F10111" s="7"/>
      <c r="G10111" s="7"/>
      <c r="H10111" s="7">
        <f t="shared" si="1"/>
        <v>1029</v>
      </c>
    </row>
    <row r="10112" ht="22.5" customHeight="1">
      <c r="B10112" s="7"/>
      <c r="C10112" s="7"/>
      <c r="D10112" s="7"/>
      <c r="E10112" s="7"/>
      <c r="F10112" s="7"/>
      <c r="G10112" s="7"/>
      <c r="H10112" s="7">
        <f t="shared" si="1"/>
        <v>1029</v>
      </c>
    </row>
    <row r="10113" ht="22.5" customHeight="1">
      <c r="B10113" s="7"/>
      <c r="C10113" s="7"/>
      <c r="D10113" s="7"/>
      <c r="E10113" s="7"/>
      <c r="F10113" s="7"/>
      <c r="G10113" s="7"/>
      <c r="H10113" s="7">
        <f t="shared" si="1"/>
        <v>1029</v>
      </c>
    </row>
    <row r="10114" ht="22.5" customHeight="1">
      <c r="B10114" s="7"/>
      <c r="C10114" s="7"/>
      <c r="D10114" s="7"/>
      <c r="E10114" s="7"/>
      <c r="F10114" s="7"/>
      <c r="G10114" s="7"/>
      <c r="H10114" s="7">
        <f t="shared" si="1"/>
        <v>1029</v>
      </c>
    </row>
    <row r="10115" ht="22.5" customHeight="1">
      <c r="B10115" s="7"/>
      <c r="C10115" s="7"/>
      <c r="D10115" s="7"/>
      <c r="E10115" s="7"/>
      <c r="F10115" s="7"/>
      <c r="G10115" s="7"/>
      <c r="H10115" s="7">
        <f t="shared" si="1"/>
        <v>1029</v>
      </c>
    </row>
    <row r="10116" ht="22.5" customHeight="1">
      <c r="B10116" s="7"/>
      <c r="C10116" s="7"/>
      <c r="D10116" s="7"/>
      <c r="E10116" s="7"/>
      <c r="F10116" s="7"/>
      <c r="G10116" s="7"/>
      <c r="H10116" s="7">
        <f t="shared" si="1"/>
        <v>1029</v>
      </c>
    </row>
    <row r="10117" ht="22.5" customHeight="1">
      <c r="B10117" s="7"/>
      <c r="C10117" s="7"/>
      <c r="D10117" s="7"/>
      <c r="E10117" s="7"/>
      <c r="F10117" s="7"/>
      <c r="G10117" s="7"/>
      <c r="H10117" s="7">
        <f t="shared" si="1"/>
        <v>1029</v>
      </c>
    </row>
    <row r="10118" ht="22.5" customHeight="1">
      <c r="B10118" s="7"/>
      <c r="C10118" s="7"/>
      <c r="D10118" s="7"/>
      <c r="E10118" s="7"/>
      <c r="F10118" s="7"/>
      <c r="G10118" s="7"/>
      <c r="H10118" s="7">
        <f t="shared" si="1"/>
        <v>1029</v>
      </c>
    </row>
    <row r="10119" ht="22.5" customHeight="1">
      <c r="B10119" s="7"/>
      <c r="C10119" s="7"/>
      <c r="D10119" s="7"/>
      <c r="E10119" s="7"/>
      <c r="F10119" s="7"/>
      <c r="G10119" s="7"/>
      <c r="H10119" s="7">
        <f t="shared" si="1"/>
        <v>1029</v>
      </c>
    </row>
    <row r="10120" ht="22.5" customHeight="1">
      <c r="B10120" s="7"/>
      <c r="C10120" s="7"/>
      <c r="D10120" s="7"/>
      <c r="E10120" s="7"/>
      <c r="F10120" s="7"/>
      <c r="G10120" s="7"/>
      <c r="H10120" s="7">
        <f t="shared" si="1"/>
        <v>1029</v>
      </c>
    </row>
    <row r="10121" ht="22.5" customHeight="1">
      <c r="B10121" s="7"/>
      <c r="C10121" s="7"/>
      <c r="D10121" s="7"/>
      <c r="E10121" s="7"/>
      <c r="F10121" s="7"/>
      <c r="G10121" s="7"/>
      <c r="H10121" s="7">
        <f t="shared" si="1"/>
        <v>1029</v>
      </c>
    </row>
    <row r="10122" ht="22.5" customHeight="1">
      <c r="B10122" s="7"/>
      <c r="C10122" s="7"/>
      <c r="D10122" s="7"/>
      <c r="E10122" s="7"/>
      <c r="F10122" s="7"/>
      <c r="G10122" s="7"/>
      <c r="H10122" s="7">
        <f t="shared" si="1"/>
        <v>1029</v>
      </c>
    </row>
    <row r="10123" ht="22.5" customHeight="1">
      <c r="B10123" s="7"/>
      <c r="C10123" s="7"/>
      <c r="D10123" s="7"/>
      <c r="E10123" s="7"/>
      <c r="F10123" s="7"/>
      <c r="G10123" s="7"/>
      <c r="H10123" s="7">
        <f t="shared" si="1"/>
        <v>1029</v>
      </c>
    </row>
    <row r="10124" ht="22.5" customHeight="1">
      <c r="B10124" s="7"/>
      <c r="C10124" s="7"/>
      <c r="D10124" s="7"/>
      <c r="E10124" s="7"/>
      <c r="F10124" s="7"/>
      <c r="G10124" s="7"/>
      <c r="H10124" s="7">
        <f t="shared" si="1"/>
        <v>1029</v>
      </c>
    </row>
    <row r="10125" ht="22.5" customHeight="1">
      <c r="B10125" s="7"/>
      <c r="C10125" s="7"/>
      <c r="D10125" s="7"/>
      <c r="E10125" s="7"/>
      <c r="F10125" s="7"/>
      <c r="G10125" s="7"/>
      <c r="H10125" s="7">
        <f t="shared" si="1"/>
        <v>1029</v>
      </c>
    </row>
    <row r="10126" ht="22.5" customHeight="1">
      <c r="B10126" s="7"/>
      <c r="C10126" s="7"/>
      <c r="D10126" s="7"/>
      <c r="E10126" s="7"/>
      <c r="F10126" s="7"/>
      <c r="G10126" s="7"/>
      <c r="H10126" s="7">
        <f t="shared" si="1"/>
        <v>1029</v>
      </c>
    </row>
    <row r="10127" ht="22.5" customHeight="1">
      <c r="B10127" s="7"/>
      <c r="C10127" s="7"/>
      <c r="D10127" s="7"/>
      <c r="E10127" s="7"/>
      <c r="F10127" s="7"/>
      <c r="G10127" s="7"/>
      <c r="H10127" s="7">
        <f t="shared" si="1"/>
        <v>1029</v>
      </c>
    </row>
    <row r="10128" ht="22.5" customHeight="1">
      <c r="B10128" s="7"/>
      <c r="C10128" s="7"/>
      <c r="D10128" s="7"/>
      <c r="E10128" s="7"/>
      <c r="F10128" s="7"/>
      <c r="G10128" s="7"/>
      <c r="H10128" s="7">
        <f t="shared" si="1"/>
        <v>1029</v>
      </c>
    </row>
    <row r="10129" ht="22.5" customHeight="1">
      <c r="B10129" s="7"/>
      <c r="C10129" s="7"/>
      <c r="D10129" s="7"/>
      <c r="E10129" s="7"/>
      <c r="F10129" s="7"/>
      <c r="G10129" s="7"/>
      <c r="H10129" s="7">
        <f t="shared" si="1"/>
        <v>1029</v>
      </c>
    </row>
    <row r="10130" ht="22.5" customHeight="1">
      <c r="B10130" s="7"/>
      <c r="C10130" s="7"/>
      <c r="D10130" s="7"/>
      <c r="E10130" s="7"/>
      <c r="F10130" s="7"/>
      <c r="G10130" s="7"/>
      <c r="H10130" s="7">
        <f t="shared" si="1"/>
        <v>1029</v>
      </c>
    </row>
    <row r="10131" ht="22.5" customHeight="1">
      <c r="B10131" s="7"/>
      <c r="C10131" s="7"/>
      <c r="D10131" s="7"/>
      <c r="E10131" s="7"/>
      <c r="F10131" s="7"/>
      <c r="G10131" s="7"/>
      <c r="H10131" s="7">
        <f t="shared" si="1"/>
        <v>1029</v>
      </c>
    </row>
    <row r="10132" ht="22.5" customHeight="1">
      <c r="B10132" s="7"/>
      <c r="C10132" s="7"/>
      <c r="D10132" s="7"/>
      <c r="E10132" s="7"/>
      <c r="F10132" s="7"/>
      <c r="G10132" s="7"/>
      <c r="H10132" s="7">
        <f t="shared" si="1"/>
        <v>1029</v>
      </c>
    </row>
    <row r="10133" ht="22.5" customHeight="1">
      <c r="B10133" s="7"/>
      <c r="C10133" s="7"/>
      <c r="D10133" s="7"/>
      <c r="E10133" s="7"/>
      <c r="F10133" s="7"/>
      <c r="G10133" s="7"/>
      <c r="H10133" s="7">
        <f t="shared" si="1"/>
        <v>1029</v>
      </c>
    </row>
    <row r="10134" ht="22.5" customHeight="1">
      <c r="B10134" s="7"/>
      <c r="C10134" s="7"/>
      <c r="D10134" s="7"/>
      <c r="E10134" s="7"/>
      <c r="F10134" s="7"/>
      <c r="G10134" s="7"/>
      <c r="H10134" s="7">
        <f t="shared" si="1"/>
        <v>1029</v>
      </c>
    </row>
    <row r="10135" ht="22.5" customHeight="1">
      <c r="B10135" s="7"/>
      <c r="C10135" s="7"/>
      <c r="D10135" s="7"/>
      <c r="E10135" s="7"/>
      <c r="F10135" s="7"/>
      <c r="G10135" s="7"/>
      <c r="H10135" s="7">
        <f t="shared" si="1"/>
        <v>1029</v>
      </c>
    </row>
    <row r="10136" ht="22.5" customHeight="1">
      <c r="B10136" s="7"/>
      <c r="C10136" s="7"/>
      <c r="D10136" s="7"/>
      <c r="E10136" s="7"/>
      <c r="F10136" s="7"/>
      <c r="G10136" s="7"/>
      <c r="H10136" s="7">
        <f t="shared" si="1"/>
        <v>1029</v>
      </c>
    </row>
    <row r="10137" ht="22.5" customHeight="1">
      <c r="B10137" s="7"/>
      <c r="C10137" s="7"/>
      <c r="D10137" s="7"/>
      <c r="E10137" s="7"/>
      <c r="F10137" s="7"/>
      <c r="G10137" s="7"/>
      <c r="H10137" s="7">
        <f t="shared" si="1"/>
        <v>1029</v>
      </c>
    </row>
    <row r="10138" ht="22.5" customHeight="1">
      <c r="B10138" s="7"/>
      <c r="C10138" s="7"/>
      <c r="D10138" s="7"/>
      <c r="E10138" s="7"/>
      <c r="F10138" s="7"/>
      <c r="G10138" s="7"/>
      <c r="H10138" s="7">
        <f t="shared" si="1"/>
        <v>1029</v>
      </c>
    </row>
    <row r="10139" ht="22.5" customHeight="1">
      <c r="B10139" s="7"/>
      <c r="C10139" s="7"/>
      <c r="D10139" s="7"/>
      <c r="E10139" s="7"/>
      <c r="F10139" s="7"/>
      <c r="G10139" s="7"/>
      <c r="H10139" s="7">
        <f t="shared" si="1"/>
        <v>1029</v>
      </c>
    </row>
    <row r="10140" ht="22.5" customHeight="1">
      <c r="B10140" s="7"/>
      <c r="C10140" s="7"/>
      <c r="D10140" s="7"/>
      <c r="E10140" s="7"/>
      <c r="F10140" s="7"/>
      <c r="G10140" s="7"/>
      <c r="H10140" s="7">
        <f t="shared" si="1"/>
        <v>1029</v>
      </c>
    </row>
    <row r="10141" ht="22.5" customHeight="1">
      <c r="B10141" s="7"/>
      <c r="C10141" s="7"/>
      <c r="D10141" s="7"/>
      <c r="E10141" s="7"/>
      <c r="F10141" s="7"/>
      <c r="G10141" s="7"/>
      <c r="H10141" s="7">
        <f t="shared" si="1"/>
        <v>1029</v>
      </c>
    </row>
    <row r="10142" ht="22.5" customHeight="1">
      <c r="B10142" s="7"/>
      <c r="C10142" s="7"/>
      <c r="D10142" s="7"/>
      <c r="E10142" s="7"/>
      <c r="F10142" s="7"/>
      <c r="G10142" s="7"/>
      <c r="H10142" s="7">
        <f t="shared" si="1"/>
        <v>1029</v>
      </c>
    </row>
    <row r="10143" ht="22.5" customHeight="1">
      <c r="B10143" s="7"/>
      <c r="C10143" s="7"/>
      <c r="D10143" s="7"/>
      <c r="E10143" s="7"/>
      <c r="F10143" s="7"/>
      <c r="G10143" s="7"/>
      <c r="H10143" s="7">
        <f t="shared" si="1"/>
        <v>1029</v>
      </c>
    </row>
    <row r="10144" ht="22.5" customHeight="1">
      <c r="B10144" s="7"/>
      <c r="C10144" s="7"/>
      <c r="D10144" s="7"/>
      <c r="E10144" s="7"/>
      <c r="F10144" s="7"/>
      <c r="G10144" s="7"/>
      <c r="H10144" s="7">
        <f t="shared" si="1"/>
        <v>1029</v>
      </c>
    </row>
    <row r="10145" ht="22.5" customHeight="1">
      <c r="B10145" s="7"/>
      <c r="C10145" s="7"/>
      <c r="D10145" s="7"/>
      <c r="E10145" s="7"/>
      <c r="F10145" s="7"/>
      <c r="G10145" s="7"/>
      <c r="H10145" s="7">
        <f t="shared" si="1"/>
        <v>1029</v>
      </c>
    </row>
    <row r="10146" ht="22.5" customHeight="1">
      <c r="B10146" s="7"/>
      <c r="C10146" s="7"/>
      <c r="D10146" s="7"/>
      <c r="E10146" s="7"/>
      <c r="F10146" s="7"/>
      <c r="G10146" s="7"/>
      <c r="H10146" s="7">
        <f t="shared" si="1"/>
        <v>1029</v>
      </c>
    </row>
    <row r="10147" ht="22.5" customHeight="1">
      <c r="B10147" s="7"/>
      <c r="C10147" s="7"/>
      <c r="D10147" s="7"/>
      <c r="E10147" s="7"/>
      <c r="F10147" s="7"/>
      <c r="G10147" s="7"/>
      <c r="H10147" s="7">
        <f t="shared" si="1"/>
        <v>1029</v>
      </c>
    </row>
    <row r="10148" ht="22.5" customHeight="1">
      <c r="B10148" s="7"/>
      <c r="C10148" s="7"/>
      <c r="D10148" s="7"/>
      <c r="E10148" s="7"/>
      <c r="F10148" s="7"/>
      <c r="G10148" s="7"/>
      <c r="H10148" s="7">
        <f t="shared" si="1"/>
        <v>1029</v>
      </c>
    </row>
    <row r="10149" ht="22.5" customHeight="1">
      <c r="B10149" s="7"/>
      <c r="C10149" s="7"/>
      <c r="D10149" s="7"/>
      <c r="E10149" s="7"/>
      <c r="F10149" s="7"/>
      <c r="G10149" s="7"/>
      <c r="H10149" s="7">
        <f t="shared" si="1"/>
        <v>1029</v>
      </c>
    </row>
    <row r="10150" ht="22.5" customHeight="1">
      <c r="B10150" s="7"/>
      <c r="C10150" s="7"/>
      <c r="D10150" s="7"/>
      <c r="E10150" s="7"/>
      <c r="F10150" s="7"/>
      <c r="G10150" s="7"/>
      <c r="H10150" s="7">
        <f t="shared" si="1"/>
        <v>1029</v>
      </c>
    </row>
    <row r="10151" ht="22.5" customHeight="1">
      <c r="B10151" s="7"/>
      <c r="C10151" s="7"/>
      <c r="D10151" s="7"/>
      <c r="E10151" s="7"/>
      <c r="F10151" s="7"/>
      <c r="G10151" s="7"/>
      <c r="H10151" s="7">
        <f t="shared" si="1"/>
        <v>1029</v>
      </c>
    </row>
    <row r="10152" ht="22.5" customHeight="1">
      <c r="B10152" s="7"/>
      <c r="C10152" s="7"/>
      <c r="D10152" s="7"/>
      <c r="E10152" s="7"/>
      <c r="F10152" s="7"/>
      <c r="G10152" s="7"/>
      <c r="H10152" s="7">
        <f t="shared" si="1"/>
        <v>1029</v>
      </c>
    </row>
    <row r="10153" ht="22.5" customHeight="1">
      <c r="B10153" s="7"/>
      <c r="C10153" s="7"/>
      <c r="D10153" s="7"/>
      <c r="E10153" s="7"/>
      <c r="F10153" s="7"/>
      <c r="G10153" s="7"/>
      <c r="H10153" s="7">
        <f t="shared" si="1"/>
        <v>1029</v>
      </c>
    </row>
    <row r="10154" ht="22.5" customHeight="1">
      <c r="B10154" s="7"/>
      <c r="C10154" s="7"/>
      <c r="D10154" s="7"/>
      <c r="E10154" s="7"/>
      <c r="F10154" s="7"/>
      <c r="G10154" s="7"/>
      <c r="H10154" s="7">
        <f t="shared" si="1"/>
        <v>1029</v>
      </c>
    </row>
    <row r="10155" ht="22.5" customHeight="1">
      <c r="B10155" s="7"/>
      <c r="C10155" s="7"/>
      <c r="D10155" s="7"/>
      <c r="E10155" s="7"/>
      <c r="F10155" s="7"/>
      <c r="G10155" s="7"/>
      <c r="H10155" s="7">
        <f t="shared" si="1"/>
        <v>1029</v>
      </c>
    </row>
    <row r="10156" ht="22.5" customHeight="1">
      <c r="B10156" s="7"/>
      <c r="C10156" s="7"/>
      <c r="D10156" s="7"/>
      <c r="E10156" s="7"/>
      <c r="F10156" s="7"/>
      <c r="G10156" s="7"/>
      <c r="H10156" s="7">
        <f t="shared" si="1"/>
        <v>1029</v>
      </c>
    </row>
    <row r="10157" ht="22.5" customHeight="1">
      <c r="B10157" s="7"/>
      <c r="C10157" s="7"/>
      <c r="D10157" s="7"/>
      <c r="E10157" s="7"/>
      <c r="F10157" s="7"/>
      <c r="G10157" s="7"/>
      <c r="H10157" s="7">
        <f t="shared" si="1"/>
        <v>1029</v>
      </c>
    </row>
    <row r="10158" ht="22.5" customHeight="1">
      <c r="B10158" s="7"/>
      <c r="C10158" s="7"/>
      <c r="D10158" s="7"/>
      <c r="E10158" s="7"/>
      <c r="F10158" s="7"/>
      <c r="G10158" s="7"/>
      <c r="H10158" s="7">
        <f t="shared" si="1"/>
        <v>1029</v>
      </c>
    </row>
    <row r="10159" ht="22.5" customHeight="1">
      <c r="B10159" s="7"/>
      <c r="C10159" s="7"/>
      <c r="D10159" s="7"/>
      <c r="E10159" s="7"/>
      <c r="F10159" s="7"/>
      <c r="G10159" s="7"/>
      <c r="H10159" s="7">
        <f t="shared" si="1"/>
        <v>1029</v>
      </c>
    </row>
    <row r="10160" ht="22.5" customHeight="1">
      <c r="B10160" s="7"/>
      <c r="C10160" s="7"/>
      <c r="D10160" s="7"/>
      <c r="E10160" s="7"/>
      <c r="F10160" s="7"/>
      <c r="G10160" s="7"/>
      <c r="H10160" s="7">
        <f t="shared" si="1"/>
        <v>1029</v>
      </c>
    </row>
    <row r="10161" ht="22.5" customHeight="1">
      <c r="B10161" s="7"/>
      <c r="C10161" s="7"/>
      <c r="D10161" s="7"/>
      <c r="E10161" s="7"/>
      <c r="F10161" s="7"/>
      <c r="G10161" s="7"/>
      <c r="H10161" s="7">
        <f t="shared" si="1"/>
        <v>1029</v>
      </c>
    </row>
    <row r="10162" ht="22.5" customHeight="1">
      <c r="B10162" s="7"/>
      <c r="C10162" s="7"/>
      <c r="D10162" s="7"/>
      <c r="E10162" s="7"/>
      <c r="F10162" s="7"/>
      <c r="G10162" s="7"/>
      <c r="H10162" s="7">
        <f t="shared" si="1"/>
        <v>1029</v>
      </c>
    </row>
    <row r="10163" ht="22.5" customHeight="1">
      <c r="B10163" s="7"/>
      <c r="C10163" s="7"/>
      <c r="D10163" s="7"/>
      <c r="E10163" s="7"/>
      <c r="F10163" s="7"/>
      <c r="G10163" s="7"/>
      <c r="H10163" s="7">
        <f t="shared" si="1"/>
        <v>1029</v>
      </c>
    </row>
    <row r="10164" ht="22.5" customHeight="1">
      <c r="B10164" s="7"/>
      <c r="C10164" s="7"/>
      <c r="D10164" s="7"/>
      <c r="E10164" s="7"/>
      <c r="F10164" s="7"/>
      <c r="G10164" s="7"/>
      <c r="H10164" s="7">
        <f t="shared" si="1"/>
        <v>1029</v>
      </c>
    </row>
    <row r="10165" ht="22.5" customHeight="1">
      <c r="B10165" s="7"/>
      <c r="C10165" s="7"/>
      <c r="D10165" s="7"/>
      <c r="E10165" s="7"/>
      <c r="F10165" s="7"/>
      <c r="G10165" s="7"/>
      <c r="H10165" s="7">
        <f t="shared" si="1"/>
        <v>1029</v>
      </c>
    </row>
    <row r="10166" ht="22.5" customHeight="1">
      <c r="B10166" s="7"/>
      <c r="C10166" s="7"/>
      <c r="D10166" s="7"/>
      <c r="E10166" s="7"/>
      <c r="F10166" s="7"/>
      <c r="G10166" s="7"/>
      <c r="H10166" s="7">
        <f t="shared" si="1"/>
        <v>1029</v>
      </c>
    </row>
    <row r="10167" ht="22.5" customHeight="1">
      <c r="B10167" s="7"/>
      <c r="C10167" s="7"/>
      <c r="D10167" s="7"/>
      <c r="E10167" s="7"/>
      <c r="F10167" s="7"/>
      <c r="G10167" s="7"/>
      <c r="H10167" s="7">
        <f t="shared" si="1"/>
        <v>1029</v>
      </c>
    </row>
    <row r="10168" ht="22.5" customHeight="1">
      <c r="B10168" s="7"/>
      <c r="C10168" s="7"/>
      <c r="D10168" s="7"/>
      <c r="E10168" s="7"/>
      <c r="F10168" s="7"/>
      <c r="G10168" s="7"/>
      <c r="H10168" s="7">
        <f t="shared" si="1"/>
        <v>1029</v>
      </c>
    </row>
    <row r="10169" ht="22.5" customHeight="1">
      <c r="B10169" s="7"/>
      <c r="C10169" s="7"/>
      <c r="D10169" s="7"/>
      <c r="E10169" s="7"/>
      <c r="F10169" s="7"/>
      <c r="G10169" s="7"/>
      <c r="H10169" s="7">
        <f t="shared" si="1"/>
        <v>1029</v>
      </c>
    </row>
    <row r="10170" ht="22.5" customHeight="1">
      <c r="B10170" s="7"/>
      <c r="C10170" s="7"/>
      <c r="D10170" s="7"/>
      <c r="E10170" s="7"/>
      <c r="F10170" s="7"/>
      <c r="G10170" s="7"/>
      <c r="H10170" s="7">
        <f t="shared" si="1"/>
        <v>1029</v>
      </c>
    </row>
    <row r="10171" ht="22.5" customHeight="1">
      <c r="B10171" s="7"/>
      <c r="C10171" s="7"/>
      <c r="D10171" s="7"/>
      <c r="E10171" s="7"/>
      <c r="F10171" s="7"/>
      <c r="G10171" s="7"/>
      <c r="H10171" s="7">
        <f t="shared" si="1"/>
        <v>1029</v>
      </c>
    </row>
    <row r="10172" ht="22.5" customHeight="1">
      <c r="B10172" s="7"/>
      <c r="C10172" s="7"/>
      <c r="D10172" s="7"/>
      <c r="E10172" s="7"/>
      <c r="F10172" s="7"/>
      <c r="G10172" s="7"/>
      <c r="H10172" s="7">
        <f t="shared" si="1"/>
        <v>1029</v>
      </c>
    </row>
    <row r="10173" ht="22.5" customHeight="1">
      <c r="B10173" s="7"/>
      <c r="C10173" s="7"/>
      <c r="D10173" s="7"/>
      <c r="E10173" s="7"/>
      <c r="F10173" s="7"/>
      <c r="G10173" s="7"/>
      <c r="H10173" s="7">
        <f t="shared" si="1"/>
        <v>1029</v>
      </c>
    </row>
    <row r="10174" ht="22.5" customHeight="1">
      <c r="B10174" s="7"/>
      <c r="C10174" s="7"/>
      <c r="D10174" s="7"/>
      <c r="E10174" s="7"/>
      <c r="F10174" s="7"/>
      <c r="G10174" s="7"/>
      <c r="H10174" s="7">
        <f t="shared" si="1"/>
        <v>1029</v>
      </c>
    </row>
    <row r="10175" ht="22.5" customHeight="1">
      <c r="B10175" s="7"/>
      <c r="C10175" s="7"/>
      <c r="D10175" s="7"/>
      <c r="E10175" s="7"/>
      <c r="F10175" s="7"/>
      <c r="G10175" s="7"/>
      <c r="H10175" s="7">
        <f t="shared" si="1"/>
        <v>1029</v>
      </c>
    </row>
    <row r="10176" ht="22.5" customHeight="1">
      <c r="B10176" s="7"/>
      <c r="C10176" s="7"/>
      <c r="D10176" s="7"/>
      <c r="E10176" s="7"/>
      <c r="F10176" s="7"/>
      <c r="G10176" s="7"/>
      <c r="H10176" s="7">
        <f t="shared" si="1"/>
        <v>1029</v>
      </c>
    </row>
    <row r="10177" ht="22.5" customHeight="1">
      <c r="B10177" s="7"/>
      <c r="C10177" s="7"/>
      <c r="D10177" s="7"/>
      <c r="E10177" s="7"/>
      <c r="F10177" s="7"/>
      <c r="G10177" s="7"/>
      <c r="H10177" s="7">
        <f t="shared" si="1"/>
        <v>1029</v>
      </c>
    </row>
    <row r="10178" ht="22.5" customHeight="1">
      <c r="B10178" s="7"/>
      <c r="C10178" s="7"/>
      <c r="D10178" s="7"/>
      <c r="E10178" s="7"/>
      <c r="F10178" s="7"/>
      <c r="G10178" s="7"/>
      <c r="H10178" s="7">
        <f t="shared" si="1"/>
        <v>1029</v>
      </c>
    </row>
    <row r="10179" ht="22.5" customHeight="1">
      <c r="B10179" s="7"/>
      <c r="C10179" s="7"/>
      <c r="D10179" s="7"/>
      <c r="E10179" s="7"/>
      <c r="F10179" s="7"/>
      <c r="G10179" s="7"/>
      <c r="H10179" s="7">
        <f t="shared" si="1"/>
        <v>1029</v>
      </c>
    </row>
    <row r="10180" ht="22.5" customHeight="1">
      <c r="B10180" s="7"/>
      <c r="C10180" s="7"/>
      <c r="D10180" s="7"/>
      <c r="E10180" s="7"/>
      <c r="F10180" s="7"/>
      <c r="G10180" s="7"/>
      <c r="H10180" s="7">
        <f t="shared" si="1"/>
        <v>1029</v>
      </c>
    </row>
    <row r="10181" ht="22.5" customHeight="1">
      <c r="B10181" s="7"/>
      <c r="C10181" s="7"/>
      <c r="D10181" s="7"/>
      <c r="E10181" s="7"/>
      <c r="F10181" s="7"/>
      <c r="G10181" s="7"/>
      <c r="H10181" s="7">
        <f t="shared" si="1"/>
        <v>1029</v>
      </c>
    </row>
    <row r="10182" ht="22.5" customHeight="1">
      <c r="B10182" s="7"/>
      <c r="C10182" s="7"/>
      <c r="D10182" s="7"/>
      <c r="E10182" s="7"/>
      <c r="F10182" s="7"/>
      <c r="G10182" s="7"/>
      <c r="H10182" s="7">
        <f t="shared" si="1"/>
        <v>1029</v>
      </c>
    </row>
    <row r="10183" ht="22.5" customHeight="1">
      <c r="B10183" s="7"/>
      <c r="C10183" s="7"/>
      <c r="D10183" s="7"/>
      <c r="E10183" s="7"/>
      <c r="F10183" s="7"/>
      <c r="G10183" s="7"/>
      <c r="H10183" s="7">
        <f t="shared" si="1"/>
        <v>1029</v>
      </c>
    </row>
    <row r="10184" ht="22.5" customHeight="1">
      <c r="B10184" s="7"/>
      <c r="C10184" s="7"/>
      <c r="D10184" s="7"/>
      <c r="E10184" s="7"/>
      <c r="F10184" s="7"/>
      <c r="G10184" s="7"/>
      <c r="H10184" s="7">
        <f t="shared" si="1"/>
        <v>1029</v>
      </c>
    </row>
    <row r="10185" ht="22.5" customHeight="1">
      <c r="B10185" s="7"/>
      <c r="C10185" s="7"/>
      <c r="D10185" s="7"/>
      <c r="E10185" s="7"/>
      <c r="F10185" s="7"/>
      <c r="G10185" s="7"/>
      <c r="H10185" s="7">
        <f t="shared" si="1"/>
        <v>1029</v>
      </c>
    </row>
    <row r="10186" ht="22.5" customHeight="1">
      <c r="B10186" s="7"/>
      <c r="C10186" s="7"/>
      <c r="D10186" s="7"/>
      <c r="E10186" s="7"/>
      <c r="F10186" s="7"/>
      <c r="G10186" s="7"/>
      <c r="H10186" s="7">
        <f t="shared" si="1"/>
        <v>1029</v>
      </c>
    </row>
    <row r="10187" ht="22.5" customHeight="1">
      <c r="B10187" s="7"/>
      <c r="C10187" s="7"/>
      <c r="D10187" s="7"/>
      <c r="E10187" s="7"/>
      <c r="F10187" s="7"/>
      <c r="G10187" s="7"/>
      <c r="H10187" s="7">
        <f t="shared" si="1"/>
        <v>1029</v>
      </c>
    </row>
    <row r="10188" ht="22.5" customHeight="1">
      <c r="B10188" s="7"/>
      <c r="C10188" s="7"/>
      <c r="D10188" s="7"/>
      <c r="E10188" s="7"/>
      <c r="F10188" s="7"/>
      <c r="G10188" s="7"/>
      <c r="H10188" s="7">
        <f t="shared" si="1"/>
        <v>1029</v>
      </c>
    </row>
    <row r="10189" ht="22.5" customHeight="1">
      <c r="B10189" s="7"/>
      <c r="C10189" s="7"/>
      <c r="D10189" s="7"/>
      <c r="E10189" s="7"/>
      <c r="F10189" s="7"/>
      <c r="G10189" s="7"/>
      <c r="H10189" s="7">
        <f t="shared" si="1"/>
        <v>1029</v>
      </c>
    </row>
    <row r="10190" ht="22.5" customHeight="1">
      <c r="B10190" s="7"/>
      <c r="C10190" s="7"/>
      <c r="D10190" s="7"/>
      <c r="E10190" s="7"/>
      <c r="F10190" s="7"/>
      <c r="G10190" s="7"/>
      <c r="H10190" s="7">
        <f t="shared" si="1"/>
        <v>1029</v>
      </c>
    </row>
    <row r="10191" ht="22.5" customHeight="1">
      <c r="B10191" s="7"/>
      <c r="C10191" s="7"/>
      <c r="D10191" s="7"/>
      <c r="E10191" s="7"/>
      <c r="F10191" s="7"/>
      <c r="G10191" s="7"/>
      <c r="H10191" s="7">
        <f t="shared" si="1"/>
        <v>1029</v>
      </c>
    </row>
    <row r="10192" ht="22.5" customHeight="1">
      <c r="B10192" s="7"/>
      <c r="C10192" s="7"/>
      <c r="D10192" s="7"/>
      <c r="E10192" s="7"/>
      <c r="F10192" s="7"/>
      <c r="G10192" s="7"/>
      <c r="H10192" s="7">
        <f t="shared" si="1"/>
        <v>1029</v>
      </c>
    </row>
    <row r="10193" ht="22.5" customHeight="1">
      <c r="B10193" s="7"/>
      <c r="C10193" s="7"/>
      <c r="D10193" s="7"/>
      <c r="E10193" s="7"/>
      <c r="F10193" s="7"/>
      <c r="G10193" s="7"/>
      <c r="H10193" s="7">
        <f t="shared" si="1"/>
        <v>1029</v>
      </c>
    </row>
    <row r="10194" ht="22.5" customHeight="1">
      <c r="B10194" s="7"/>
      <c r="C10194" s="7"/>
      <c r="D10194" s="7"/>
      <c r="E10194" s="7"/>
      <c r="F10194" s="7"/>
      <c r="G10194" s="7"/>
      <c r="H10194" s="7">
        <f t="shared" si="1"/>
        <v>1029</v>
      </c>
    </row>
    <row r="10195" ht="22.5" customHeight="1">
      <c r="B10195" s="7"/>
      <c r="C10195" s="7"/>
      <c r="D10195" s="7"/>
      <c r="E10195" s="7"/>
      <c r="F10195" s="7"/>
      <c r="G10195" s="7"/>
      <c r="H10195" s="7">
        <f t="shared" si="1"/>
        <v>1029</v>
      </c>
    </row>
    <row r="10196" ht="22.5" customHeight="1">
      <c r="B10196" s="7"/>
      <c r="C10196" s="7"/>
      <c r="D10196" s="7"/>
      <c r="E10196" s="7"/>
      <c r="F10196" s="7"/>
      <c r="G10196" s="7"/>
      <c r="H10196" s="7">
        <f t="shared" si="1"/>
        <v>1029</v>
      </c>
    </row>
    <row r="10197" ht="22.5" customHeight="1">
      <c r="B10197" s="7"/>
      <c r="C10197" s="7"/>
      <c r="D10197" s="7"/>
      <c r="E10197" s="7"/>
      <c r="F10197" s="7"/>
      <c r="G10197" s="7"/>
      <c r="H10197" s="7">
        <f t="shared" si="1"/>
        <v>1029</v>
      </c>
    </row>
    <row r="10198" ht="22.5" customHeight="1">
      <c r="B10198" s="7"/>
      <c r="C10198" s="7"/>
      <c r="D10198" s="7"/>
      <c r="E10198" s="7"/>
      <c r="F10198" s="7"/>
      <c r="G10198" s="7"/>
      <c r="H10198" s="7">
        <f t="shared" si="1"/>
        <v>1029</v>
      </c>
    </row>
    <row r="10199" ht="22.5" customHeight="1">
      <c r="B10199" s="7"/>
      <c r="C10199" s="7"/>
      <c r="D10199" s="7"/>
      <c r="E10199" s="7"/>
      <c r="F10199" s="7"/>
      <c r="G10199" s="7"/>
      <c r="H10199" s="7">
        <f t="shared" si="1"/>
        <v>1029</v>
      </c>
    </row>
    <row r="10200" ht="22.5" customHeight="1">
      <c r="B10200" s="7"/>
      <c r="C10200" s="7"/>
      <c r="D10200" s="7"/>
      <c r="E10200" s="7"/>
      <c r="F10200" s="7"/>
      <c r="G10200" s="7"/>
      <c r="H10200" s="7">
        <f t="shared" si="1"/>
        <v>1029</v>
      </c>
    </row>
    <row r="10201" ht="22.5" customHeight="1">
      <c r="B10201" s="7"/>
      <c r="C10201" s="7"/>
      <c r="D10201" s="7"/>
      <c r="E10201" s="7"/>
      <c r="F10201" s="7"/>
      <c r="G10201" s="7"/>
      <c r="H10201" s="7">
        <f t="shared" si="1"/>
        <v>1029</v>
      </c>
    </row>
    <row r="10202" ht="22.5" customHeight="1">
      <c r="B10202" s="7"/>
      <c r="C10202" s="7"/>
      <c r="D10202" s="7"/>
      <c r="E10202" s="7"/>
      <c r="F10202" s="7"/>
      <c r="G10202" s="7"/>
      <c r="H10202" s="7">
        <f t="shared" si="1"/>
        <v>1029</v>
      </c>
    </row>
    <row r="10203" ht="22.5" customHeight="1">
      <c r="B10203" s="7"/>
      <c r="C10203" s="7"/>
      <c r="D10203" s="7"/>
      <c r="E10203" s="7"/>
      <c r="F10203" s="7"/>
      <c r="G10203" s="7"/>
      <c r="H10203" s="7">
        <f t="shared" si="1"/>
        <v>1029</v>
      </c>
    </row>
    <row r="10204" ht="22.5" customHeight="1">
      <c r="B10204" s="7"/>
      <c r="C10204" s="7"/>
      <c r="D10204" s="7"/>
      <c r="E10204" s="7"/>
      <c r="F10204" s="7"/>
      <c r="G10204" s="7"/>
      <c r="H10204" s="7">
        <f t="shared" si="1"/>
        <v>1029</v>
      </c>
    </row>
    <row r="10205" ht="22.5" customHeight="1">
      <c r="B10205" s="7"/>
      <c r="C10205" s="7"/>
      <c r="D10205" s="7"/>
      <c r="E10205" s="7"/>
      <c r="F10205" s="7"/>
      <c r="G10205" s="7"/>
      <c r="H10205" s="7">
        <f t="shared" si="1"/>
        <v>1029</v>
      </c>
    </row>
    <row r="10206" ht="22.5" customHeight="1">
      <c r="B10206" s="7"/>
      <c r="C10206" s="7"/>
      <c r="D10206" s="7"/>
      <c r="E10206" s="7"/>
      <c r="F10206" s="7"/>
      <c r="G10206" s="7"/>
      <c r="H10206" s="7">
        <f t="shared" si="1"/>
        <v>1029</v>
      </c>
    </row>
    <row r="10207" ht="22.5" customHeight="1">
      <c r="B10207" s="7"/>
      <c r="C10207" s="7"/>
      <c r="D10207" s="7"/>
      <c r="E10207" s="7"/>
      <c r="F10207" s="7"/>
      <c r="G10207" s="7"/>
      <c r="H10207" s="7">
        <f t="shared" si="1"/>
        <v>1029</v>
      </c>
    </row>
    <row r="10208" ht="22.5" customHeight="1">
      <c r="B10208" s="7"/>
      <c r="C10208" s="7"/>
      <c r="D10208" s="7"/>
      <c r="E10208" s="7"/>
      <c r="F10208" s="7"/>
      <c r="G10208" s="7"/>
      <c r="H10208" s="7">
        <f t="shared" si="1"/>
        <v>1029</v>
      </c>
    </row>
    <row r="10209" ht="22.5" customHeight="1">
      <c r="B10209" s="7"/>
      <c r="C10209" s="7"/>
      <c r="D10209" s="7"/>
      <c r="E10209" s="7"/>
      <c r="F10209" s="7"/>
      <c r="G10209" s="7"/>
      <c r="H10209" s="7">
        <f t="shared" si="1"/>
        <v>1029</v>
      </c>
    </row>
    <row r="10210" ht="22.5" customHeight="1">
      <c r="B10210" s="7"/>
      <c r="C10210" s="7"/>
      <c r="D10210" s="7"/>
      <c r="E10210" s="7"/>
      <c r="F10210" s="7"/>
      <c r="G10210" s="7"/>
      <c r="H10210" s="7">
        <f t="shared" si="1"/>
        <v>1029</v>
      </c>
    </row>
    <row r="10211" ht="22.5" customHeight="1">
      <c r="B10211" s="7"/>
      <c r="C10211" s="7"/>
      <c r="D10211" s="7"/>
      <c r="E10211" s="7"/>
      <c r="F10211" s="7"/>
      <c r="G10211" s="7"/>
      <c r="H10211" s="7">
        <f t="shared" si="1"/>
        <v>1029</v>
      </c>
    </row>
    <row r="10212" ht="22.5" customHeight="1">
      <c r="B10212" s="7"/>
      <c r="C10212" s="7"/>
      <c r="D10212" s="7"/>
      <c r="E10212" s="7"/>
      <c r="F10212" s="7"/>
      <c r="G10212" s="7"/>
      <c r="H10212" s="7">
        <f t="shared" si="1"/>
        <v>1029</v>
      </c>
    </row>
    <row r="10213" ht="22.5" customHeight="1">
      <c r="B10213" s="7"/>
      <c r="C10213" s="7"/>
      <c r="D10213" s="7"/>
      <c r="E10213" s="7"/>
      <c r="F10213" s="7"/>
      <c r="G10213" s="7"/>
      <c r="H10213" s="7">
        <f t="shared" si="1"/>
        <v>1029</v>
      </c>
    </row>
    <row r="10214" ht="22.5" customHeight="1">
      <c r="B10214" s="7"/>
      <c r="C10214" s="7"/>
      <c r="D10214" s="7"/>
      <c r="E10214" s="7"/>
      <c r="F10214" s="7"/>
      <c r="G10214" s="7"/>
      <c r="H10214" s="7">
        <f t="shared" si="1"/>
        <v>1029</v>
      </c>
    </row>
    <row r="10215" ht="22.5" customHeight="1">
      <c r="B10215" s="7"/>
      <c r="C10215" s="7"/>
      <c r="D10215" s="7"/>
      <c r="E10215" s="7"/>
      <c r="F10215" s="7"/>
      <c r="G10215" s="7"/>
      <c r="H10215" s="7">
        <f t="shared" si="1"/>
        <v>1029</v>
      </c>
    </row>
    <row r="10216" ht="22.5" customHeight="1">
      <c r="B10216" s="7"/>
      <c r="C10216" s="7"/>
      <c r="D10216" s="7"/>
      <c r="E10216" s="7"/>
      <c r="F10216" s="7"/>
      <c r="G10216" s="7"/>
      <c r="H10216" s="7">
        <f t="shared" si="1"/>
        <v>1029</v>
      </c>
    </row>
    <row r="10217" ht="22.5" customHeight="1">
      <c r="B10217" s="7"/>
      <c r="C10217" s="7"/>
      <c r="D10217" s="7"/>
      <c r="E10217" s="7"/>
      <c r="F10217" s="7"/>
      <c r="G10217" s="7"/>
      <c r="H10217" s="7">
        <f t="shared" si="1"/>
        <v>1029</v>
      </c>
    </row>
    <row r="10218" ht="22.5" customHeight="1">
      <c r="B10218" s="7"/>
      <c r="C10218" s="7"/>
      <c r="D10218" s="7"/>
      <c r="E10218" s="7"/>
      <c r="F10218" s="7"/>
      <c r="G10218" s="7"/>
      <c r="H10218" s="7">
        <f t="shared" si="1"/>
        <v>1029</v>
      </c>
    </row>
    <row r="10219" ht="22.5" customHeight="1">
      <c r="B10219" s="7"/>
      <c r="C10219" s="7"/>
      <c r="D10219" s="7"/>
      <c r="E10219" s="7"/>
      <c r="F10219" s="7"/>
      <c r="G10219" s="7"/>
      <c r="H10219" s="7">
        <f t="shared" si="1"/>
        <v>1029</v>
      </c>
    </row>
    <row r="10220" ht="22.5" customHeight="1">
      <c r="B10220" s="7"/>
      <c r="C10220" s="7"/>
      <c r="D10220" s="7"/>
      <c r="E10220" s="7"/>
      <c r="F10220" s="7"/>
      <c r="G10220" s="7"/>
      <c r="H10220" s="7">
        <f t="shared" si="1"/>
        <v>1029</v>
      </c>
    </row>
    <row r="10221" ht="22.5" customHeight="1">
      <c r="B10221" s="7"/>
      <c r="C10221" s="7"/>
      <c r="D10221" s="7"/>
      <c r="E10221" s="7"/>
      <c r="F10221" s="7"/>
      <c r="G10221" s="7"/>
      <c r="H10221" s="7">
        <f t="shared" si="1"/>
        <v>1029</v>
      </c>
    </row>
    <row r="10222" ht="22.5" customHeight="1">
      <c r="B10222" s="7"/>
      <c r="C10222" s="7"/>
      <c r="D10222" s="7"/>
      <c r="E10222" s="7"/>
      <c r="F10222" s="7"/>
      <c r="G10222" s="7"/>
      <c r="H10222" s="7">
        <f t="shared" si="1"/>
        <v>1029</v>
      </c>
    </row>
    <row r="10223" ht="22.5" customHeight="1">
      <c r="B10223" s="7"/>
      <c r="C10223" s="7"/>
      <c r="D10223" s="7"/>
      <c r="E10223" s="7"/>
      <c r="F10223" s="7"/>
      <c r="G10223" s="7"/>
      <c r="H10223" s="7">
        <f t="shared" si="1"/>
        <v>1029</v>
      </c>
    </row>
    <row r="10224" ht="22.5" customHeight="1">
      <c r="B10224" s="7"/>
      <c r="C10224" s="7"/>
      <c r="D10224" s="7"/>
      <c r="E10224" s="7"/>
      <c r="F10224" s="7"/>
      <c r="G10224" s="7"/>
      <c r="H10224" s="7">
        <f t="shared" si="1"/>
        <v>1029</v>
      </c>
    </row>
    <row r="10225" ht="22.5" customHeight="1">
      <c r="B10225" s="7"/>
      <c r="C10225" s="7"/>
      <c r="D10225" s="7"/>
      <c r="E10225" s="7"/>
      <c r="F10225" s="7"/>
      <c r="G10225" s="7"/>
      <c r="H10225" s="7">
        <f t="shared" si="1"/>
        <v>1029</v>
      </c>
    </row>
    <row r="10226" ht="22.5" customHeight="1">
      <c r="B10226" s="7"/>
      <c r="C10226" s="7"/>
      <c r="D10226" s="7"/>
      <c r="E10226" s="7"/>
      <c r="F10226" s="7"/>
      <c r="G10226" s="7"/>
      <c r="H10226" s="7">
        <f t="shared" si="1"/>
        <v>1029</v>
      </c>
    </row>
    <row r="10227" ht="22.5" customHeight="1">
      <c r="B10227" s="7"/>
      <c r="C10227" s="7"/>
      <c r="D10227" s="7"/>
      <c r="E10227" s="7"/>
      <c r="F10227" s="7"/>
      <c r="G10227" s="7"/>
      <c r="H10227" s="7">
        <f t="shared" si="1"/>
        <v>1029</v>
      </c>
    </row>
    <row r="10228" ht="22.5" customHeight="1">
      <c r="B10228" s="7"/>
      <c r="C10228" s="7"/>
      <c r="D10228" s="7"/>
      <c r="E10228" s="7"/>
      <c r="F10228" s="7"/>
      <c r="G10228" s="7"/>
      <c r="H10228" s="7">
        <f t="shared" si="1"/>
        <v>1029</v>
      </c>
    </row>
    <row r="10229" ht="22.5" customHeight="1">
      <c r="B10229" s="7"/>
      <c r="C10229" s="7"/>
      <c r="D10229" s="7"/>
      <c r="E10229" s="7"/>
      <c r="F10229" s="7"/>
      <c r="G10229" s="7"/>
      <c r="H10229" s="7">
        <f t="shared" si="1"/>
        <v>1029</v>
      </c>
    </row>
    <row r="10230" ht="22.5" customHeight="1">
      <c r="B10230" s="7"/>
      <c r="C10230" s="7"/>
      <c r="D10230" s="7"/>
      <c r="E10230" s="7"/>
      <c r="F10230" s="7"/>
      <c r="G10230" s="7"/>
      <c r="H10230" s="7">
        <f t="shared" si="1"/>
        <v>1029</v>
      </c>
    </row>
    <row r="10231" ht="22.5" customHeight="1">
      <c r="B10231" s="7"/>
      <c r="C10231" s="7"/>
      <c r="D10231" s="7"/>
      <c r="E10231" s="7"/>
      <c r="F10231" s="7"/>
      <c r="G10231" s="7"/>
      <c r="H10231" s="7">
        <f t="shared" si="1"/>
        <v>1029</v>
      </c>
    </row>
    <row r="10232" ht="22.5" customHeight="1">
      <c r="B10232" s="7"/>
      <c r="C10232" s="7"/>
      <c r="D10232" s="7"/>
      <c r="E10232" s="7"/>
      <c r="F10232" s="7"/>
      <c r="G10232" s="7"/>
      <c r="H10232" s="7">
        <f t="shared" si="1"/>
        <v>1029</v>
      </c>
    </row>
    <row r="10233" ht="22.5" customHeight="1">
      <c r="B10233" s="7"/>
      <c r="C10233" s="7"/>
      <c r="D10233" s="7"/>
      <c r="E10233" s="7"/>
      <c r="F10233" s="7"/>
      <c r="G10233" s="7"/>
      <c r="H10233" s="7">
        <f t="shared" si="1"/>
        <v>1029</v>
      </c>
    </row>
    <row r="10234" ht="22.5" customHeight="1">
      <c r="B10234" s="7"/>
      <c r="C10234" s="7"/>
      <c r="D10234" s="7"/>
      <c r="E10234" s="7"/>
      <c r="F10234" s="7"/>
      <c r="G10234" s="7"/>
      <c r="H10234" s="7">
        <f t="shared" si="1"/>
        <v>1029</v>
      </c>
    </row>
    <row r="10235" ht="22.5" customHeight="1">
      <c r="B10235" s="7"/>
      <c r="C10235" s="7"/>
      <c r="D10235" s="7"/>
      <c r="E10235" s="7"/>
      <c r="F10235" s="7"/>
      <c r="G10235" s="7"/>
      <c r="H10235" s="7">
        <f t="shared" si="1"/>
        <v>1029</v>
      </c>
    </row>
    <row r="10236" ht="22.5" customHeight="1">
      <c r="B10236" s="7"/>
      <c r="C10236" s="7"/>
      <c r="D10236" s="7"/>
      <c r="E10236" s="7"/>
      <c r="F10236" s="7"/>
      <c r="G10236" s="7"/>
      <c r="H10236" s="7">
        <f t="shared" si="1"/>
        <v>1029</v>
      </c>
    </row>
    <row r="10237" ht="22.5" customHeight="1">
      <c r="B10237" s="7"/>
      <c r="C10237" s="7"/>
      <c r="D10237" s="7"/>
      <c r="E10237" s="7"/>
      <c r="F10237" s="7"/>
      <c r="G10237" s="7"/>
      <c r="H10237" s="7">
        <f t="shared" si="1"/>
        <v>1029</v>
      </c>
    </row>
    <row r="10238" ht="22.5" customHeight="1">
      <c r="B10238" s="7"/>
      <c r="C10238" s="7"/>
      <c r="D10238" s="7"/>
      <c r="E10238" s="7"/>
      <c r="F10238" s="7"/>
      <c r="G10238" s="7"/>
      <c r="H10238" s="7">
        <f t="shared" si="1"/>
        <v>1029</v>
      </c>
    </row>
    <row r="10239" ht="22.5" customHeight="1">
      <c r="B10239" s="7"/>
      <c r="C10239" s="7"/>
      <c r="D10239" s="7"/>
      <c r="E10239" s="7"/>
      <c r="F10239" s="7"/>
      <c r="G10239" s="7"/>
      <c r="H10239" s="7">
        <f t="shared" si="1"/>
        <v>1029</v>
      </c>
    </row>
    <row r="10240" ht="22.5" customHeight="1">
      <c r="B10240" s="7"/>
      <c r="C10240" s="7"/>
      <c r="D10240" s="7"/>
      <c r="E10240" s="7"/>
      <c r="F10240" s="7"/>
      <c r="G10240" s="7"/>
      <c r="H10240" s="7">
        <f t="shared" si="1"/>
        <v>1029</v>
      </c>
    </row>
    <row r="10241" ht="22.5" customHeight="1">
      <c r="B10241" s="7"/>
      <c r="C10241" s="7"/>
      <c r="D10241" s="7"/>
      <c r="E10241" s="7"/>
      <c r="F10241" s="7"/>
      <c r="G10241" s="7"/>
      <c r="H10241" s="7">
        <f t="shared" si="1"/>
        <v>1029</v>
      </c>
    </row>
    <row r="10242" ht="22.5" customHeight="1">
      <c r="B10242" s="7"/>
      <c r="C10242" s="7"/>
      <c r="D10242" s="7"/>
      <c r="E10242" s="7"/>
      <c r="F10242" s="7"/>
      <c r="G10242" s="7"/>
      <c r="H10242" s="7">
        <f t="shared" si="1"/>
        <v>1029</v>
      </c>
    </row>
    <row r="10243" ht="22.5" customHeight="1">
      <c r="B10243" s="7"/>
      <c r="C10243" s="7"/>
      <c r="D10243" s="7"/>
      <c r="E10243" s="7"/>
      <c r="F10243" s="7"/>
      <c r="G10243" s="7"/>
      <c r="H10243" s="7">
        <f t="shared" si="1"/>
        <v>1029</v>
      </c>
    </row>
    <row r="10244" ht="22.5" customHeight="1">
      <c r="B10244" s="7"/>
      <c r="C10244" s="7"/>
      <c r="D10244" s="7"/>
      <c r="E10244" s="7"/>
      <c r="F10244" s="7"/>
      <c r="G10244" s="7"/>
      <c r="H10244" s="7">
        <f t="shared" si="1"/>
        <v>1029</v>
      </c>
    </row>
    <row r="10245" ht="22.5" customHeight="1">
      <c r="B10245" s="7"/>
      <c r="C10245" s="7"/>
      <c r="D10245" s="7"/>
      <c r="E10245" s="7"/>
      <c r="F10245" s="7"/>
      <c r="G10245" s="7"/>
      <c r="H10245" s="7">
        <f t="shared" si="1"/>
        <v>1029</v>
      </c>
    </row>
    <row r="10246" ht="22.5" customHeight="1">
      <c r="B10246" s="7"/>
      <c r="C10246" s="7"/>
      <c r="D10246" s="7"/>
      <c r="E10246" s="7"/>
      <c r="F10246" s="7"/>
      <c r="G10246" s="7"/>
      <c r="H10246" s="7">
        <f t="shared" si="1"/>
        <v>1029</v>
      </c>
    </row>
    <row r="10247" ht="22.5" customHeight="1">
      <c r="B10247" s="7"/>
      <c r="C10247" s="7"/>
      <c r="D10247" s="7"/>
      <c r="E10247" s="7"/>
      <c r="F10247" s="7"/>
      <c r="G10247" s="7"/>
      <c r="H10247" s="7">
        <f t="shared" si="1"/>
        <v>1029</v>
      </c>
    </row>
    <row r="10248" ht="22.5" customHeight="1">
      <c r="B10248" s="7"/>
      <c r="C10248" s="7"/>
      <c r="D10248" s="7"/>
      <c r="E10248" s="7"/>
      <c r="F10248" s="7"/>
      <c r="G10248" s="7"/>
      <c r="H10248" s="7">
        <f t="shared" si="1"/>
        <v>1029</v>
      </c>
    </row>
    <row r="10249" ht="22.5" customHeight="1">
      <c r="B10249" s="7"/>
      <c r="C10249" s="7"/>
      <c r="D10249" s="7"/>
      <c r="E10249" s="7"/>
      <c r="F10249" s="7"/>
      <c r="G10249" s="7"/>
      <c r="H10249" s="7">
        <f t="shared" si="1"/>
        <v>1029</v>
      </c>
    </row>
    <row r="10250" ht="22.5" customHeight="1">
      <c r="B10250" s="7"/>
      <c r="C10250" s="7"/>
      <c r="D10250" s="7"/>
      <c r="E10250" s="7"/>
      <c r="F10250" s="7"/>
      <c r="G10250" s="7"/>
      <c r="H10250" s="7">
        <f t="shared" si="1"/>
        <v>1029</v>
      </c>
    </row>
    <row r="10251" ht="22.5" customHeight="1">
      <c r="B10251" s="7"/>
      <c r="C10251" s="7"/>
      <c r="D10251" s="7"/>
      <c r="E10251" s="7"/>
      <c r="F10251" s="7"/>
      <c r="G10251" s="7"/>
      <c r="H10251" s="7">
        <f t="shared" si="1"/>
        <v>1029</v>
      </c>
    </row>
    <row r="10252" ht="22.5" customHeight="1">
      <c r="B10252" s="7"/>
      <c r="C10252" s="7"/>
      <c r="D10252" s="7"/>
      <c r="E10252" s="7"/>
      <c r="F10252" s="7"/>
      <c r="G10252" s="7"/>
      <c r="H10252" s="7">
        <f t="shared" si="1"/>
        <v>1029</v>
      </c>
    </row>
    <row r="10253" ht="22.5" customHeight="1">
      <c r="B10253" s="7"/>
      <c r="C10253" s="7"/>
      <c r="D10253" s="7"/>
      <c r="E10253" s="7"/>
      <c r="F10253" s="7"/>
      <c r="G10253" s="7"/>
      <c r="H10253" s="7">
        <f t="shared" si="1"/>
        <v>1029</v>
      </c>
    </row>
    <row r="10254" ht="22.5" customHeight="1">
      <c r="B10254" s="7"/>
      <c r="C10254" s="7"/>
      <c r="D10254" s="7"/>
      <c r="E10254" s="7"/>
      <c r="F10254" s="7"/>
      <c r="G10254" s="7"/>
      <c r="H10254" s="7">
        <f t="shared" si="1"/>
        <v>1029</v>
      </c>
    </row>
    <row r="10255" ht="22.5" customHeight="1">
      <c r="B10255" s="7"/>
      <c r="C10255" s="7"/>
      <c r="D10255" s="7"/>
      <c r="E10255" s="7"/>
      <c r="F10255" s="7"/>
      <c r="G10255" s="7"/>
      <c r="H10255" s="7">
        <f t="shared" si="1"/>
        <v>1029</v>
      </c>
    </row>
    <row r="10256" ht="22.5" customHeight="1">
      <c r="B10256" s="7"/>
      <c r="C10256" s="7"/>
      <c r="D10256" s="7"/>
      <c r="E10256" s="7"/>
      <c r="F10256" s="7"/>
      <c r="G10256" s="7"/>
      <c r="H10256" s="7">
        <f t="shared" si="1"/>
        <v>1029</v>
      </c>
    </row>
    <row r="10257" ht="22.5" customHeight="1">
      <c r="B10257" s="7"/>
      <c r="C10257" s="7"/>
      <c r="D10257" s="7"/>
      <c r="E10257" s="7"/>
      <c r="F10257" s="7"/>
      <c r="G10257" s="7"/>
      <c r="H10257" s="7">
        <f t="shared" si="1"/>
        <v>1029</v>
      </c>
    </row>
    <row r="10258" ht="22.5" customHeight="1">
      <c r="B10258" s="7"/>
      <c r="C10258" s="7"/>
      <c r="D10258" s="7"/>
      <c r="E10258" s="7"/>
      <c r="F10258" s="7"/>
      <c r="G10258" s="7"/>
      <c r="H10258" s="7">
        <f t="shared" si="1"/>
        <v>1029</v>
      </c>
    </row>
    <row r="10259" ht="22.5" customHeight="1">
      <c r="B10259" s="7"/>
      <c r="C10259" s="7"/>
      <c r="D10259" s="7"/>
      <c r="E10259" s="7"/>
      <c r="F10259" s="7"/>
      <c r="G10259" s="7"/>
      <c r="H10259" s="7">
        <f t="shared" si="1"/>
        <v>1029</v>
      </c>
    </row>
    <row r="10260" ht="22.5" customHeight="1">
      <c r="B10260" s="7"/>
      <c r="C10260" s="7"/>
      <c r="D10260" s="7"/>
      <c r="E10260" s="7"/>
      <c r="F10260" s="7"/>
      <c r="G10260" s="7"/>
      <c r="H10260" s="7">
        <f t="shared" si="1"/>
        <v>1029</v>
      </c>
    </row>
    <row r="10261" ht="22.5" customHeight="1">
      <c r="B10261" s="7"/>
      <c r="C10261" s="7"/>
      <c r="D10261" s="7"/>
      <c r="E10261" s="7"/>
      <c r="F10261" s="7"/>
      <c r="G10261" s="7"/>
      <c r="H10261" s="7">
        <f t="shared" si="1"/>
        <v>1029</v>
      </c>
    </row>
    <row r="10262" ht="22.5" customHeight="1">
      <c r="B10262" s="7"/>
      <c r="C10262" s="7"/>
      <c r="D10262" s="7"/>
      <c r="E10262" s="7"/>
      <c r="F10262" s="7"/>
      <c r="G10262" s="7"/>
      <c r="H10262" s="7">
        <f t="shared" si="1"/>
        <v>1029</v>
      </c>
    </row>
    <row r="10263" ht="22.5" customHeight="1">
      <c r="B10263" s="7"/>
      <c r="C10263" s="7"/>
      <c r="D10263" s="7"/>
      <c r="E10263" s="7"/>
      <c r="F10263" s="7"/>
      <c r="G10263" s="7"/>
      <c r="H10263" s="7">
        <f t="shared" si="1"/>
        <v>1029</v>
      </c>
    </row>
    <row r="10264" ht="22.5" customHeight="1">
      <c r="B10264" s="7"/>
      <c r="C10264" s="7"/>
      <c r="D10264" s="7"/>
      <c r="E10264" s="7"/>
      <c r="F10264" s="7"/>
      <c r="G10264" s="7"/>
      <c r="H10264" s="7">
        <f t="shared" si="1"/>
        <v>1029</v>
      </c>
    </row>
    <row r="10265" ht="22.5" customHeight="1">
      <c r="B10265" s="7"/>
      <c r="C10265" s="7"/>
      <c r="D10265" s="7"/>
      <c r="E10265" s="7"/>
      <c r="F10265" s="7"/>
      <c r="G10265" s="7"/>
      <c r="H10265" s="7">
        <f t="shared" si="1"/>
        <v>1029</v>
      </c>
    </row>
    <row r="10266" ht="22.5" customHeight="1">
      <c r="B10266" s="7"/>
      <c r="C10266" s="7"/>
      <c r="D10266" s="7"/>
      <c r="E10266" s="7"/>
      <c r="F10266" s="7"/>
      <c r="G10266" s="7"/>
      <c r="H10266" s="7">
        <f t="shared" si="1"/>
        <v>1029</v>
      </c>
    </row>
    <row r="10267" ht="22.5" customHeight="1">
      <c r="B10267" s="7"/>
      <c r="C10267" s="7"/>
      <c r="D10267" s="7"/>
      <c r="E10267" s="7"/>
      <c r="F10267" s="7"/>
      <c r="G10267" s="7"/>
      <c r="H10267" s="7">
        <f t="shared" si="1"/>
        <v>1029</v>
      </c>
    </row>
    <row r="10268" ht="22.5" customHeight="1">
      <c r="B10268" s="7"/>
      <c r="C10268" s="7"/>
      <c r="D10268" s="7"/>
      <c r="E10268" s="7"/>
      <c r="F10268" s="7"/>
      <c r="G10268" s="7"/>
      <c r="H10268" s="7">
        <f t="shared" si="1"/>
        <v>1029</v>
      </c>
    </row>
    <row r="10269" ht="22.5" customHeight="1">
      <c r="B10269" s="7"/>
      <c r="C10269" s="7"/>
      <c r="D10269" s="7"/>
      <c r="E10269" s="7"/>
      <c r="F10269" s="7"/>
      <c r="G10269" s="7"/>
      <c r="H10269" s="7">
        <f t="shared" si="1"/>
        <v>1029</v>
      </c>
    </row>
    <row r="10270" ht="22.5" customHeight="1">
      <c r="B10270" s="7"/>
      <c r="C10270" s="7"/>
      <c r="D10270" s="7"/>
      <c r="E10270" s="7"/>
      <c r="F10270" s="7"/>
      <c r="G10270" s="7"/>
      <c r="H10270" s="7">
        <f t="shared" si="1"/>
        <v>1029</v>
      </c>
    </row>
    <row r="10271" ht="22.5" customHeight="1">
      <c r="B10271" s="7"/>
      <c r="C10271" s="7"/>
      <c r="D10271" s="7"/>
      <c r="E10271" s="7"/>
      <c r="F10271" s="7"/>
      <c r="G10271" s="7"/>
      <c r="H10271" s="7">
        <f t="shared" si="1"/>
        <v>1029</v>
      </c>
    </row>
    <row r="10272" ht="22.5" customHeight="1">
      <c r="B10272" s="7"/>
      <c r="C10272" s="7"/>
      <c r="D10272" s="7"/>
      <c r="E10272" s="7"/>
      <c r="F10272" s="7"/>
      <c r="G10272" s="7"/>
      <c r="H10272" s="7">
        <f t="shared" si="1"/>
        <v>1029</v>
      </c>
    </row>
    <row r="10273" ht="22.5" customHeight="1">
      <c r="B10273" s="7"/>
      <c r="C10273" s="7"/>
      <c r="D10273" s="7"/>
      <c r="E10273" s="7"/>
      <c r="F10273" s="7"/>
      <c r="G10273" s="7"/>
      <c r="H10273" s="7">
        <f t="shared" si="1"/>
        <v>1029</v>
      </c>
    </row>
    <row r="10274" ht="22.5" customHeight="1">
      <c r="B10274" s="7"/>
      <c r="C10274" s="7"/>
      <c r="D10274" s="7"/>
      <c r="E10274" s="7"/>
      <c r="F10274" s="7"/>
      <c r="G10274" s="7"/>
      <c r="H10274" s="7">
        <f t="shared" si="1"/>
        <v>1029</v>
      </c>
    </row>
    <row r="10275" ht="22.5" customHeight="1">
      <c r="B10275" s="7"/>
      <c r="C10275" s="7"/>
      <c r="D10275" s="7"/>
      <c r="E10275" s="7"/>
      <c r="F10275" s="7"/>
      <c r="G10275" s="7"/>
      <c r="H10275" s="7">
        <f t="shared" si="1"/>
        <v>1029</v>
      </c>
    </row>
    <row r="10276" ht="22.5" customHeight="1">
      <c r="B10276" s="7"/>
      <c r="C10276" s="7"/>
      <c r="D10276" s="7"/>
      <c r="E10276" s="7"/>
      <c r="F10276" s="7"/>
      <c r="G10276" s="7"/>
      <c r="H10276" s="7">
        <f t="shared" si="1"/>
        <v>1029</v>
      </c>
    </row>
    <row r="10277" ht="22.5" customHeight="1">
      <c r="B10277" s="7"/>
      <c r="C10277" s="7"/>
      <c r="D10277" s="7"/>
      <c r="E10277" s="7"/>
      <c r="F10277" s="7"/>
      <c r="G10277" s="7"/>
      <c r="H10277" s="7">
        <f t="shared" si="1"/>
        <v>1029</v>
      </c>
    </row>
    <row r="10278" ht="22.5" customHeight="1">
      <c r="B10278" s="7"/>
      <c r="C10278" s="7"/>
      <c r="D10278" s="7"/>
      <c r="E10278" s="7"/>
      <c r="F10278" s="7"/>
      <c r="G10278" s="7"/>
      <c r="H10278" s="7">
        <f t="shared" si="1"/>
        <v>1029</v>
      </c>
    </row>
    <row r="10279" ht="22.5" customHeight="1">
      <c r="B10279" s="7"/>
      <c r="C10279" s="7"/>
      <c r="D10279" s="7"/>
      <c r="E10279" s="7"/>
      <c r="F10279" s="7"/>
      <c r="G10279" s="7"/>
      <c r="H10279" s="7">
        <f t="shared" si="1"/>
        <v>1029</v>
      </c>
    </row>
    <row r="10280" ht="22.5" customHeight="1">
      <c r="B10280" s="7"/>
      <c r="C10280" s="7"/>
      <c r="D10280" s="7"/>
      <c r="E10280" s="7"/>
      <c r="F10280" s="7"/>
      <c r="G10280" s="7"/>
      <c r="H10280" s="7">
        <f t="shared" si="1"/>
        <v>1029</v>
      </c>
    </row>
    <row r="10281" ht="22.5" customHeight="1">
      <c r="B10281" s="7"/>
      <c r="C10281" s="7"/>
      <c r="D10281" s="7"/>
      <c r="E10281" s="7"/>
      <c r="F10281" s="7"/>
      <c r="G10281" s="7"/>
      <c r="H10281" s="7">
        <f t="shared" si="1"/>
        <v>1029</v>
      </c>
    </row>
    <row r="10282" ht="22.5" customHeight="1">
      <c r="B10282" s="7"/>
      <c r="C10282" s="7"/>
      <c r="D10282" s="7"/>
      <c r="E10282" s="7"/>
      <c r="F10282" s="7"/>
      <c r="G10282" s="7"/>
      <c r="H10282" s="7">
        <f t="shared" si="1"/>
        <v>1029</v>
      </c>
    </row>
    <row r="10283" ht="22.5" customHeight="1">
      <c r="B10283" s="7"/>
      <c r="C10283" s="7"/>
      <c r="D10283" s="7"/>
      <c r="E10283" s="7"/>
      <c r="F10283" s="7"/>
      <c r="G10283" s="7"/>
      <c r="H10283" s="7">
        <f t="shared" si="1"/>
        <v>1029</v>
      </c>
    </row>
    <row r="10284" ht="22.5" customHeight="1">
      <c r="B10284" s="7"/>
      <c r="C10284" s="7"/>
      <c r="D10284" s="7"/>
      <c r="E10284" s="7"/>
      <c r="F10284" s="7"/>
      <c r="G10284" s="7"/>
      <c r="H10284" s="7">
        <f t="shared" si="1"/>
        <v>1029</v>
      </c>
    </row>
    <row r="10285" ht="22.5" customHeight="1">
      <c r="B10285" s="7"/>
      <c r="C10285" s="7"/>
      <c r="D10285" s="7"/>
      <c r="E10285" s="7"/>
      <c r="F10285" s="7"/>
      <c r="G10285" s="7"/>
      <c r="H10285" s="7">
        <f t="shared" si="1"/>
        <v>1029</v>
      </c>
    </row>
    <row r="10286" ht="22.5" customHeight="1">
      <c r="B10286" s="7"/>
      <c r="C10286" s="7"/>
      <c r="D10286" s="7"/>
      <c r="E10286" s="7"/>
      <c r="F10286" s="7"/>
      <c r="G10286" s="7"/>
      <c r="H10286" s="7">
        <f t="shared" si="1"/>
        <v>1029</v>
      </c>
    </row>
    <row r="10287" ht="22.5" customHeight="1">
      <c r="B10287" s="7"/>
      <c r="C10287" s="7"/>
      <c r="D10287" s="7"/>
      <c r="E10287" s="7"/>
      <c r="F10287" s="7"/>
      <c r="G10287" s="7"/>
      <c r="H10287" s="7">
        <f t="shared" si="1"/>
        <v>1029</v>
      </c>
    </row>
    <row r="10288" ht="22.5" customHeight="1">
      <c r="B10288" s="7"/>
      <c r="C10288" s="7"/>
      <c r="D10288" s="7"/>
      <c r="E10288" s="7"/>
      <c r="F10288" s="7"/>
      <c r="G10288" s="7"/>
      <c r="H10288" s="7">
        <f t="shared" si="1"/>
        <v>1029</v>
      </c>
    </row>
    <row r="10289" ht="22.5" customHeight="1">
      <c r="B10289" s="7"/>
      <c r="C10289" s="7"/>
      <c r="D10289" s="7"/>
      <c r="E10289" s="7"/>
      <c r="F10289" s="7"/>
      <c r="G10289" s="7"/>
      <c r="H10289" s="7">
        <f t="shared" si="1"/>
        <v>1029</v>
      </c>
    </row>
    <row r="10290" ht="22.5" customHeight="1">
      <c r="B10290" s="7"/>
      <c r="C10290" s="7"/>
      <c r="D10290" s="7"/>
      <c r="E10290" s="7"/>
      <c r="F10290" s="7"/>
      <c r="G10290" s="7"/>
      <c r="H10290" s="7">
        <f t="shared" si="1"/>
        <v>1029</v>
      </c>
    </row>
    <row r="10291" ht="22.5" customHeight="1">
      <c r="B10291" s="7"/>
      <c r="C10291" s="7"/>
      <c r="D10291" s="7"/>
      <c r="E10291" s="7"/>
      <c r="F10291" s="7"/>
      <c r="G10291" s="7"/>
      <c r="H10291" s="7">
        <f t="shared" si="1"/>
        <v>1029</v>
      </c>
    </row>
    <row r="10292" ht="22.5" customHeight="1">
      <c r="B10292" s="7"/>
      <c r="C10292" s="7"/>
      <c r="D10292" s="7"/>
      <c r="E10292" s="7"/>
      <c r="F10292" s="7"/>
      <c r="G10292" s="7"/>
      <c r="H10292" s="7">
        <f t="shared" si="1"/>
        <v>1029</v>
      </c>
    </row>
    <row r="10293" ht="22.5" customHeight="1">
      <c r="B10293" s="7"/>
      <c r="C10293" s="7"/>
      <c r="D10293" s="7"/>
      <c r="E10293" s="7"/>
      <c r="F10293" s="7"/>
      <c r="G10293" s="7"/>
      <c r="H10293" s="7">
        <f t="shared" si="1"/>
        <v>1029</v>
      </c>
    </row>
    <row r="10294" ht="22.5" customHeight="1">
      <c r="B10294" s="7"/>
      <c r="C10294" s="7"/>
      <c r="D10294" s="7"/>
      <c r="E10294" s="7"/>
      <c r="F10294" s="7"/>
      <c r="G10294" s="7"/>
      <c r="H10294" s="7">
        <f t="shared" si="1"/>
        <v>1029</v>
      </c>
    </row>
    <row r="10295" ht="22.5" customHeight="1">
      <c r="B10295" s="7"/>
      <c r="C10295" s="7"/>
      <c r="D10295" s="7"/>
      <c r="E10295" s="7"/>
      <c r="F10295" s="7"/>
      <c r="G10295" s="7"/>
      <c r="H10295" s="7">
        <f t="shared" si="1"/>
        <v>1029</v>
      </c>
    </row>
    <row r="10296" ht="22.5" customHeight="1">
      <c r="B10296" s="7"/>
      <c r="C10296" s="7"/>
      <c r="D10296" s="7"/>
      <c r="E10296" s="7"/>
      <c r="F10296" s="7"/>
      <c r="G10296" s="7"/>
      <c r="H10296" s="7">
        <f t="shared" si="1"/>
        <v>1029</v>
      </c>
    </row>
    <row r="10297" ht="22.5" customHeight="1">
      <c r="B10297" s="7"/>
      <c r="C10297" s="7"/>
      <c r="D10297" s="7"/>
      <c r="E10297" s="7"/>
      <c r="F10297" s="7"/>
      <c r="G10297" s="7"/>
      <c r="H10297" s="7">
        <f t="shared" si="1"/>
        <v>1029</v>
      </c>
    </row>
    <row r="10298" ht="22.5" customHeight="1">
      <c r="B10298" s="7"/>
      <c r="C10298" s="7"/>
      <c r="D10298" s="7"/>
      <c r="E10298" s="7"/>
      <c r="F10298" s="7"/>
      <c r="G10298" s="7"/>
      <c r="H10298" s="7">
        <f t="shared" si="1"/>
        <v>1029</v>
      </c>
    </row>
    <row r="10299" ht="22.5" customHeight="1">
      <c r="B10299" s="7"/>
      <c r="C10299" s="7"/>
      <c r="D10299" s="7"/>
      <c r="E10299" s="7"/>
      <c r="F10299" s="7"/>
      <c r="G10299" s="7"/>
      <c r="H10299" s="7">
        <f t="shared" si="1"/>
        <v>1029</v>
      </c>
    </row>
    <row r="10300" ht="22.5" customHeight="1">
      <c r="B10300" s="7"/>
      <c r="C10300" s="7"/>
      <c r="D10300" s="7"/>
      <c r="E10300" s="7"/>
      <c r="F10300" s="7"/>
      <c r="G10300" s="7"/>
      <c r="H10300" s="7">
        <f t="shared" si="1"/>
        <v>1029</v>
      </c>
    </row>
    <row r="10301" ht="22.5" customHeight="1">
      <c r="B10301" s="7"/>
      <c r="C10301" s="7"/>
      <c r="D10301" s="7"/>
      <c r="E10301" s="7"/>
      <c r="F10301" s="7"/>
      <c r="G10301" s="7"/>
      <c r="H10301" s="7">
        <f t="shared" si="1"/>
        <v>1029</v>
      </c>
    </row>
    <row r="10302" ht="22.5" customHeight="1">
      <c r="B10302" s="7"/>
      <c r="C10302" s="7"/>
      <c r="D10302" s="7"/>
      <c r="E10302" s="7"/>
      <c r="F10302" s="7"/>
      <c r="G10302" s="7"/>
      <c r="H10302" s="7">
        <f t="shared" si="1"/>
        <v>1029</v>
      </c>
    </row>
    <row r="10303" ht="22.5" customHeight="1">
      <c r="B10303" s="7"/>
      <c r="C10303" s="7"/>
      <c r="D10303" s="7"/>
      <c r="E10303" s="7"/>
      <c r="F10303" s="7"/>
      <c r="G10303" s="7"/>
      <c r="H10303" s="7">
        <f t="shared" si="1"/>
        <v>1029</v>
      </c>
    </row>
    <row r="10304" ht="22.5" customHeight="1">
      <c r="B10304" s="7"/>
      <c r="C10304" s="7"/>
      <c r="D10304" s="7"/>
      <c r="E10304" s="7"/>
      <c r="F10304" s="7"/>
      <c r="G10304" s="7"/>
      <c r="H10304" s="7">
        <f t="shared" si="1"/>
        <v>1029</v>
      </c>
    </row>
    <row r="10305" ht="22.5" customHeight="1">
      <c r="B10305" s="7"/>
      <c r="C10305" s="7"/>
      <c r="D10305" s="7"/>
      <c r="E10305" s="7"/>
      <c r="F10305" s="7"/>
      <c r="G10305" s="7"/>
      <c r="H10305" s="7">
        <f t="shared" si="1"/>
        <v>1029</v>
      </c>
    </row>
    <row r="10306" ht="22.5" customHeight="1">
      <c r="B10306" s="7"/>
      <c r="C10306" s="7"/>
      <c r="D10306" s="7"/>
      <c r="E10306" s="7"/>
      <c r="F10306" s="7"/>
      <c r="G10306" s="7"/>
      <c r="H10306" s="7">
        <f t="shared" si="1"/>
        <v>1029</v>
      </c>
    </row>
    <row r="10307" ht="22.5" customHeight="1">
      <c r="B10307" s="7"/>
      <c r="C10307" s="7"/>
      <c r="D10307" s="7"/>
      <c r="E10307" s="7"/>
      <c r="F10307" s="7"/>
      <c r="G10307" s="7"/>
      <c r="H10307" s="7">
        <f t="shared" si="1"/>
        <v>1029</v>
      </c>
    </row>
    <row r="10308" ht="22.5" customHeight="1">
      <c r="B10308" s="7"/>
      <c r="C10308" s="7"/>
      <c r="D10308" s="7"/>
      <c r="E10308" s="7"/>
      <c r="F10308" s="7"/>
      <c r="G10308" s="7"/>
      <c r="H10308" s="7">
        <f t="shared" si="1"/>
        <v>1029</v>
      </c>
    </row>
    <row r="10309" ht="22.5" customHeight="1">
      <c r="B10309" s="7"/>
      <c r="C10309" s="7"/>
      <c r="D10309" s="7"/>
      <c r="E10309" s="7"/>
      <c r="F10309" s="7"/>
      <c r="G10309" s="7"/>
      <c r="H10309" s="7">
        <f t="shared" si="1"/>
        <v>1029</v>
      </c>
    </row>
    <row r="10310" ht="22.5" customHeight="1">
      <c r="B10310" s="7"/>
      <c r="C10310" s="7"/>
      <c r="D10310" s="7"/>
      <c r="E10310" s="7"/>
      <c r="F10310" s="7"/>
      <c r="G10310" s="7"/>
      <c r="H10310" s="7">
        <f t="shared" si="1"/>
        <v>1029</v>
      </c>
    </row>
    <row r="10311" ht="22.5" customHeight="1">
      <c r="B10311" s="7"/>
      <c r="C10311" s="7"/>
      <c r="D10311" s="7"/>
      <c r="E10311" s="7"/>
      <c r="F10311" s="7"/>
      <c r="G10311" s="7"/>
      <c r="H10311" s="7">
        <f t="shared" si="1"/>
        <v>1029</v>
      </c>
    </row>
    <row r="10312" ht="22.5" customHeight="1">
      <c r="B10312" s="7"/>
      <c r="C10312" s="7"/>
      <c r="D10312" s="7"/>
      <c r="E10312" s="7"/>
      <c r="F10312" s="7"/>
      <c r="G10312" s="7"/>
      <c r="H10312" s="7">
        <f t="shared" si="1"/>
        <v>1029</v>
      </c>
    </row>
    <row r="10313" ht="22.5" customHeight="1">
      <c r="B10313" s="7"/>
      <c r="C10313" s="7"/>
      <c r="D10313" s="7"/>
      <c r="E10313" s="7"/>
      <c r="F10313" s="7"/>
      <c r="G10313" s="7"/>
      <c r="H10313" s="7">
        <f t="shared" si="1"/>
        <v>1029</v>
      </c>
    </row>
    <row r="10314" ht="22.5" customHeight="1">
      <c r="B10314" s="7"/>
      <c r="C10314" s="7"/>
      <c r="D10314" s="7"/>
      <c r="E10314" s="7"/>
      <c r="F10314" s="7"/>
      <c r="G10314" s="7"/>
      <c r="H10314" s="7">
        <f t="shared" si="1"/>
        <v>1029</v>
      </c>
    </row>
    <row r="10315" ht="22.5" customHeight="1">
      <c r="B10315" s="7"/>
      <c r="C10315" s="7"/>
      <c r="D10315" s="7"/>
      <c r="E10315" s="7"/>
      <c r="F10315" s="7"/>
      <c r="G10315" s="7"/>
      <c r="H10315" s="7">
        <f t="shared" si="1"/>
        <v>1029</v>
      </c>
    </row>
    <row r="10316" ht="22.5" customHeight="1">
      <c r="B10316" s="7"/>
      <c r="C10316" s="7"/>
      <c r="D10316" s="7"/>
      <c r="E10316" s="7"/>
      <c r="F10316" s="7"/>
      <c r="G10316" s="7"/>
      <c r="H10316" s="7">
        <f t="shared" si="1"/>
        <v>1029</v>
      </c>
    </row>
    <row r="10317" ht="22.5" customHeight="1">
      <c r="B10317" s="7"/>
      <c r="C10317" s="7"/>
      <c r="D10317" s="7"/>
      <c r="E10317" s="7"/>
      <c r="F10317" s="7"/>
      <c r="G10317" s="7"/>
      <c r="H10317" s="7">
        <f t="shared" si="1"/>
        <v>1029</v>
      </c>
    </row>
    <row r="10318" ht="22.5" customHeight="1">
      <c r="B10318" s="7"/>
      <c r="C10318" s="7"/>
      <c r="D10318" s="7"/>
      <c r="E10318" s="7"/>
      <c r="F10318" s="7"/>
      <c r="G10318" s="7"/>
      <c r="H10318" s="7">
        <f t="shared" si="1"/>
        <v>1029</v>
      </c>
    </row>
    <row r="10319" ht="22.5" customHeight="1">
      <c r="B10319" s="7"/>
      <c r="C10319" s="7"/>
      <c r="D10319" s="7"/>
      <c r="E10319" s="7"/>
      <c r="F10319" s="7"/>
      <c r="G10319" s="7"/>
      <c r="H10319" s="7">
        <f t="shared" si="1"/>
        <v>1029</v>
      </c>
    </row>
    <row r="10320" ht="22.5" customHeight="1">
      <c r="B10320" s="7"/>
      <c r="C10320" s="7"/>
      <c r="D10320" s="7"/>
      <c r="E10320" s="7"/>
      <c r="F10320" s="7"/>
      <c r="G10320" s="7"/>
      <c r="H10320" s="7">
        <f t="shared" si="1"/>
        <v>1029</v>
      </c>
    </row>
    <row r="10321" ht="22.5" customHeight="1">
      <c r="B10321" s="7"/>
      <c r="C10321" s="7"/>
      <c r="D10321" s="7"/>
      <c r="E10321" s="7"/>
      <c r="F10321" s="7"/>
      <c r="G10321" s="7"/>
      <c r="H10321" s="7">
        <f t="shared" si="1"/>
        <v>1029</v>
      </c>
    </row>
    <row r="10322" ht="22.5" customHeight="1">
      <c r="B10322" s="7"/>
      <c r="C10322" s="7"/>
      <c r="D10322" s="7"/>
      <c r="E10322" s="7"/>
      <c r="F10322" s="7"/>
      <c r="G10322" s="7"/>
      <c r="H10322" s="7">
        <f t="shared" si="1"/>
        <v>1029</v>
      </c>
    </row>
    <row r="10323" ht="22.5" customHeight="1">
      <c r="B10323" s="7"/>
      <c r="C10323" s="7"/>
      <c r="D10323" s="7"/>
      <c r="E10323" s="7"/>
      <c r="F10323" s="7"/>
      <c r="G10323" s="7"/>
      <c r="H10323" s="7">
        <f t="shared" si="1"/>
        <v>1029</v>
      </c>
    </row>
    <row r="10324" ht="22.5" customHeight="1">
      <c r="B10324" s="7"/>
      <c r="C10324" s="7"/>
      <c r="D10324" s="7"/>
      <c r="E10324" s="7"/>
      <c r="F10324" s="7"/>
      <c r="G10324" s="7"/>
      <c r="H10324" s="7">
        <f t="shared" si="1"/>
        <v>1029</v>
      </c>
    </row>
    <row r="10325" ht="22.5" customHeight="1">
      <c r="B10325" s="7"/>
      <c r="C10325" s="7"/>
      <c r="D10325" s="7"/>
      <c r="E10325" s="7"/>
      <c r="F10325" s="7"/>
      <c r="G10325" s="7"/>
      <c r="H10325" s="7">
        <f t="shared" si="1"/>
        <v>1029</v>
      </c>
    </row>
    <row r="10326" ht="22.5" customHeight="1">
      <c r="B10326" s="7"/>
      <c r="C10326" s="7"/>
      <c r="D10326" s="7"/>
      <c r="E10326" s="7"/>
      <c r="F10326" s="7"/>
      <c r="G10326" s="7"/>
      <c r="H10326" s="7">
        <f t="shared" si="1"/>
        <v>1029</v>
      </c>
    </row>
    <row r="10327" ht="22.5" customHeight="1">
      <c r="B10327" s="7"/>
      <c r="C10327" s="7"/>
      <c r="D10327" s="7"/>
      <c r="E10327" s="7"/>
      <c r="F10327" s="7"/>
      <c r="G10327" s="7"/>
      <c r="H10327" s="7">
        <f t="shared" si="1"/>
        <v>1029</v>
      </c>
    </row>
    <row r="10328" ht="22.5" customHeight="1">
      <c r="B10328" s="7"/>
      <c r="C10328" s="7"/>
      <c r="D10328" s="7"/>
      <c r="E10328" s="7"/>
      <c r="F10328" s="7"/>
      <c r="G10328" s="7"/>
      <c r="H10328" s="7">
        <f t="shared" si="1"/>
        <v>1029</v>
      </c>
    </row>
    <row r="10329" ht="22.5" customHeight="1">
      <c r="B10329" s="7"/>
      <c r="C10329" s="7"/>
      <c r="D10329" s="7"/>
      <c r="E10329" s="7"/>
      <c r="F10329" s="7"/>
      <c r="G10329" s="7"/>
      <c r="H10329" s="7">
        <f t="shared" si="1"/>
        <v>1029</v>
      </c>
    </row>
    <row r="10330" ht="22.5" customHeight="1">
      <c r="B10330" s="7"/>
      <c r="C10330" s="7"/>
      <c r="D10330" s="7"/>
      <c r="E10330" s="7"/>
      <c r="F10330" s="7"/>
      <c r="G10330" s="7"/>
      <c r="H10330" s="7">
        <f t="shared" si="1"/>
        <v>1029</v>
      </c>
    </row>
    <row r="10331" ht="22.5" customHeight="1">
      <c r="B10331" s="7"/>
      <c r="C10331" s="7"/>
      <c r="D10331" s="7"/>
      <c r="E10331" s="7"/>
      <c r="F10331" s="7"/>
      <c r="G10331" s="7"/>
      <c r="H10331" s="7">
        <f t="shared" si="1"/>
        <v>1029</v>
      </c>
    </row>
    <row r="10332" ht="22.5" customHeight="1">
      <c r="B10332" s="7"/>
      <c r="C10332" s="7"/>
      <c r="D10332" s="7"/>
      <c r="E10332" s="7"/>
      <c r="F10332" s="7"/>
      <c r="G10332" s="7"/>
      <c r="H10332" s="7">
        <f t="shared" si="1"/>
        <v>1029</v>
      </c>
    </row>
    <row r="10333" ht="22.5" customHeight="1">
      <c r="B10333" s="7"/>
      <c r="C10333" s="7"/>
      <c r="D10333" s="7"/>
      <c r="E10333" s="7"/>
      <c r="F10333" s="7"/>
      <c r="G10333" s="7"/>
      <c r="H10333" s="7">
        <f t="shared" si="1"/>
        <v>1029</v>
      </c>
    </row>
    <row r="10334" ht="22.5" customHeight="1">
      <c r="B10334" s="7"/>
      <c r="C10334" s="7"/>
      <c r="D10334" s="7"/>
      <c r="E10334" s="7"/>
      <c r="F10334" s="7"/>
      <c r="G10334" s="7"/>
      <c r="H10334" s="7">
        <f t="shared" si="1"/>
        <v>1029</v>
      </c>
    </row>
    <row r="10335" ht="22.5" customHeight="1">
      <c r="B10335" s="7"/>
      <c r="C10335" s="7"/>
      <c r="D10335" s="7"/>
      <c r="E10335" s="7"/>
      <c r="F10335" s="7"/>
      <c r="G10335" s="7"/>
      <c r="H10335" s="7">
        <f t="shared" si="1"/>
        <v>1029</v>
      </c>
    </row>
    <row r="10336" ht="22.5" customHeight="1">
      <c r="B10336" s="7"/>
      <c r="C10336" s="7"/>
      <c r="D10336" s="7"/>
      <c r="E10336" s="7"/>
      <c r="F10336" s="7"/>
      <c r="G10336" s="7"/>
      <c r="H10336" s="7">
        <f t="shared" si="1"/>
        <v>1029</v>
      </c>
    </row>
    <row r="10337" ht="22.5" customHeight="1">
      <c r="B10337" s="7"/>
      <c r="C10337" s="7"/>
      <c r="D10337" s="7"/>
      <c r="E10337" s="7"/>
      <c r="F10337" s="7"/>
      <c r="G10337" s="7"/>
      <c r="H10337" s="7">
        <f t="shared" si="1"/>
        <v>1029</v>
      </c>
    </row>
    <row r="10338" ht="22.5" customHeight="1">
      <c r="B10338" s="7"/>
      <c r="C10338" s="7"/>
      <c r="D10338" s="7"/>
      <c r="E10338" s="7"/>
      <c r="F10338" s="7"/>
      <c r="G10338" s="7"/>
      <c r="H10338" s="7">
        <f t="shared" si="1"/>
        <v>1029</v>
      </c>
    </row>
    <row r="10339" ht="22.5" customHeight="1">
      <c r="B10339" s="7"/>
      <c r="C10339" s="7"/>
      <c r="D10339" s="7"/>
      <c r="E10339" s="7"/>
      <c r="F10339" s="7"/>
      <c r="G10339" s="7"/>
      <c r="H10339" s="7">
        <f t="shared" si="1"/>
        <v>1029</v>
      </c>
    </row>
    <row r="10340" ht="22.5" customHeight="1">
      <c r="B10340" s="7"/>
      <c r="C10340" s="7"/>
      <c r="D10340" s="7"/>
      <c r="E10340" s="7"/>
      <c r="F10340" s="7"/>
      <c r="G10340" s="7"/>
      <c r="H10340" s="7">
        <f t="shared" si="1"/>
        <v>1029</v>
      </c>
    </row>
    <row r="10341" ht="22.5" customHeight="1">
      <c r="B10341" s="7"/>
      <c r="C10341" s="7"/>
      <c r="D10341" s="7"/>
      <c r="E10341" s="7"/>
      <c r="F10341" s="7"/>
      <c r="G10341" s="7"/>
      <c r="H10341" s="7">
        <f t="shared" si="1"/>
        <v>1029</v>
      </c>
    </row>
    <row r="10342" ht="22.5" customHeight="1">
      <c r="B10342" s="7"/>
      <c r="C10342" s="7"/>
      <c r="D10342" s="7"/>
      <c r="E10342" s="7"/>
      <c r="F10342" s="7"/>
      <c r="G10342" s="7"/>
      <c r="H10342" s="7">
        <f t="shared" si="1"/>
        <v>1029</v>
      </c>
    </row>
    <row r="10343" ht="22.5" customHeight="1">
      <c r="B10343" s="7"/>
      <c r="C10343" s="7"/>
      <c r="D10343" s="7"/>
      <c r="E10343" s="7"/>
      <c r="F10343" s="7"/>
      <c r="G10343" s="7"/>
      <c r="H10343" s="7">
        <f t="shared" si="1"/>
        <v>1029</v>
      </c>
    </row>
    <row r="10344" ht="22.5" customHeight="1">
      <c r="B10344" s="7"/>
      <c r="C10344" s="7"/>
      <c r="D10344" s="7"/>
      <c r="E10344" s="7"/>
      <c r="F10344" s="7"/>
      <c r="G10344" s="7"/>
      <c r="H10344" s="7">
        <f t="shared" si="1"/>
        <v>1029</v>
      </c>
    </row>
    <row r="10345" ht="22.5" customHeight="1">
      <c r="B10345" s="7"/>
      <c r="C10345" s="7"/>
      <c r="D10345" s="7"/>
      <c r="E10345" s="7"/>
      <c r="F10345" s="7"/>
      <c r="G10345" s="7"/>
      <c r="H10345" s="7">
        <f t="shared" si="1"/>
        <v>1029</v>
      </c>
    </row>
    <row r="10346" ht="22.5" customHeight="1">
      <c r="B10346" s="7"/>
      <c r="C10346" s="7"/>
      <c r="D10346" s="7"/>
      <c r="E10346" s="7"/>
      <c r="F10346" s="7"/>
      <c r="G10346" s="7"/>
      <c r="H10346" s="7">
        <f t="shared" si="1"/>
        <v>1029</v>
      </c>
    </row>
    <row r="10347" ht="22.5" customHeight="1">
      <c r="B10347" s="7"/>
      <c r="C10347" s="7"/>
      <c r="D10347" s="7"/>
      <c r="E10347" s="7"/>
      <c r="F10347" s="7"/>
      <c r="G10347" s="7"/>
      <c r="H10347" s="7">
        <f t="shared" si="1"/>
        <v>1029</v>
      </c>
    </row>
    <row r="10348" ht="22.5" customHeight="1">
      <c r="B10348" s="7"/>
      <c r="C10348" s="7"/>
      <c r="D10348" s="7"/>
      <c r="E10348" s="7"/>
      <c r="F10348" s="7"/>
      <c r="G10348" s="7"/>
      <c r="H10348" s="7">
        <f t="shared" si="1"/>
        <v>1029</v>
      </c>
    </row>
    <row r="10349" ht="22.5" customHeight="1">
      <c r="B10349" s="7"/>
      <c r="C10349" s="7"/>
      <c r="D10349" s="7"/>
      <c r="E10349" s="7"/>
      <c r="F10349" s="7"/>
      <c r="G10349" s="7"/>
      <c r="H10349" s="7">
        <f t="shared" si="1"/>
        <v>1029</v>
      </c>
    </row>
    <row r="10350" ht="22.5" customHeight="1">
      <c r="B10350" s="7"/>
      <c r="C10350" s="7"/>
      <c r="D10350" s="7"/>
      <c r="E10350" s="7"/>
      <c r="F10350" s="7"/>
      <c r="G10350" s="7"/>
      <c r="H10350" s="7">
        <f t="shared" si="1"/>
        <v>1029</v>
      </c>
    </row>
    <row r="10351" ht="22.5" customHeight="1">
      <c r="B10351" s="7"/>
      <c r="C10351" s="7"/>
      <c r="D10351" s="7"/>
      <c r="E10351" s="7"/>
      <c r="F10351" s="7"/>
      <c r="G10351" s="7"/>
      <c r="H10351" s="7">
        <f t="shared" si="1"/>
        <v>1029</v>
      </c>
    </row>
    <row r="10352" ht="22.5" customHeight="1">
      <c r="B10352" s="7"/>
      <c r="C10352" s="7"/>
      <c r="D10352" s="7"/>
      <c r="E10352" s="7"/>
      <c r="F10352" s="7"/>
      <c r="G10352" s="7"/>
      <c r="H10352" s="7">
        <f t="shared" si="1"/>
        <v>1029</v>
      </c>
    </row>
    <row r="10353" ht="22.5" customHeight="1">
      <c r="B10353" s="7"/>
      <c r="C10353" s="7"/>
      <c r="D10353" s="7"/>
      <c r="E10353" s="7"/>
      <c r="F10353" s="7"/>
      <c r="G10353" s="7"/>
      <c r="H10353" s="7">
        <f t="shared" si="1"/>
        <v>1029</v>
      </c>
    </row>
    <row r="10354" ht="22.5" customHeight="1">
      <c r="B10354" s="7"/>
      <c r="C10354" s="7"/>
      <c r="D10354" s="7"/>
      <c r="E10354" s="7"/>
      <c r="F10354" s="7"/>
      <c r="G10354" s="7"/>
      <c r="H10354" s="7">
        <f t="shared" si="1"/>
        <v>1029</v>
      </c>
    </row>
    <row r="10355" ht="22.5" customHeight="1">
      <c r="B10355" s="7"/>
      <c r="C10355" s="7"/>
      <c r="D10355" s="7"/>
      <c r="E10355" s="7"/>
      <c r="F10355" s="7"/>
      <c r="G10355" s="7"/>
      <c r="H10355" s="7">
        <f t="shared" si="1"/>
        <v>1029</v>
      </c>
    </row>
    <row r="10356" ht="22.5" customHeight="1">
      <c r="B10356" s="7"/>
      <c r="C10356" s="7"/>
      <c r="D10356" s="7"/>
      <c r="E10356" s="7"/>
      <c r="F10356" s="7"/>
      <c r="G10356" s="7"/>
      <c r="H10356" s="7">
        <f t="shared" si="1"/>
        <v>1029</v>
      </c>
    </row>
    <row r="10357" ht="22.5" customHeight="1">
      <c r="B10357" s="7"/>
      <c r="C10357" s="7"/>
      <c r="D10357" s="7"/>
      <c r="E10357" s="7"/>
      <c r="F10357" s="7"/>
      <c r="G10357" s="7"/>
      <c r="H10357" s="7">
        <f t="shared" si="1"/>
        <v>1029</v>
      </c>
    </row>
    <row r="10358" ht="22.5" customHeight="1">
      <c r="B10358" s="7"/>
      <c r="C10358" s="7"/>
      <c r="D10358" s="7"/>
      <c r="E10358" s="7"/>
      <c r="F10358" s="7"/>
      <c r="G10358" s="7"/>
      <c r="H10358" s="7">
        <f t="shared" si="1"/>
        <v>1029</v>
      </c>
    </row>
    <row r="10359" ht="22.5" customHeight="1">
      <c r="B10359" s="7"/>
      <c r="C10359" s="7"/>
      <c r="D10359" s="7"/>
      <c r="E10359" s="7"/>
      <c r="F10359" s="7"/>
      <c r="G10359" s="7"/>
      <c r="H10359" s="7">
        <f t="shared" si="1"/>
        <v>1029</v>
      </c>
    </row>
    <row r="10360" ht="22.5" customHeight="1">
      <c r="B10360" s="7"/>
      <c r="C10360" s="7"/>
      <c r="D10360" s="7"/>
      <c r="E10360" s="7"/>
      <c r="F10360" s="7"/>
      <c r="G10360" s="7"/>
      <c r="H10360" s="7">
        <f t="shared" si="1"/>
        <v>1029</v>
      </c>
    </row>
    <row r="10361" ht="22.5" customHeight="1">
      <c r="B10361" s="7"/>
      <c r="C10361" s="7"/>
      <c r="D10361" s="7"/>
      <c r="E10361" s="7"/>
      <c r="F10361" s="7"/>
      <c r="G10361" s="7"/>
      <c r="H10361" s="7">
        <f t="shared" si="1"/>
        <v>1029</v>
      </c>
    </row>
    <row r="10362" ht="22.5" customHeight="1">
      <c r="B10362" s="7"/>
      <c r="C10362" s="7"/>
      <c r="D10362" s="7"/>
      <c r="E10362" s="7"/>
      <c r="F10362" s="7"/>
      <c r="G10362" s="7"/>
      <c r="H10362" s="7">
        <f t="shared" si="1"/>
        <v>1029</v>
      </c>
    </row>
    <row r="10363" ht="22.5" customHeight="1">
      <c r="B10363" s="7"/>
      <c r="C10363" s="7"/>
      <c r="D10363" s="7"/>
      <c r="E10363" s="7"/>
      <c r="F10363" s="7"/>
      <c r="G10363" s="7"/>
      <c r="H10363" s="7">
        <f t="shared" si="1"/>
        <v>1029</v>
      </c>
    </row>
    <row r="10364" ht="22.5" customHeight="1">
      <c r="B10364" s="7"/>
      <c r="C10364" s="7"/>
      <c r="D10364" s="7"/>
      <c r="E10364" s="7"/>
      <c r="F10364" s="7"/>
      <c r="G10364" s="7"/>
      <c r="H10364" s="7">
        <f t="shared" si="1"/>
        <v>1029</v>
      </c>
    </row>
    <row r="10365" ht="22.5" customHeight="1">
      <c r="B10365" s="7"/>
      <c r="C10365" s="7"/>
      <c r="D10365" s="7"/>
      <c r="E10365" s="7"/>
      <c r="F10365" s="7"/>
      <c r="G10365" s="7"/>
      <c r="H10365" s="7">
        <f t="shared" si="1"/>
        <v>1029</v>
      </c>
    </row>
    <row r="10366" ht="22.5" customHeight="1">
      <c r="B10366" s="7"/>
      <c r="C10366" s="7"/>
      <c r="D10366" s="7"/>
      <c r="E10366" s="7"/>
      <c r="F10366" s="7"/>
      <c r="G10366" s="7"/>
      <c r="H10366" s="7">
        <f t="shared" si="1"/>
        <v>1029</v>
      </c>
    </row>
    <row r="10367" ht="22.5" customHeight="1">
      <c r="B10367" s="7"/>
      <c r="C10367" s="7"/>
      <c r="D10367" s="7"/>
      <c r="E10367" s="7"/>
      <c r="F10367" s="7"/>
      <c r="G10367" s="7"/>
      <c r="H10367" s="7">
        <f t="shared" si="1"/>
        <v>1029</v>
      </c>
    </row>
    <row r="10368" ht="22.5" customHeight="1">
      <c r="B10368" s="7"/>
      <c r="C10368" s="7"/>
      <c r="D10368" s="7"/>
      <c r="E10368" s="7"/>
      <c r="F10368" s="7"/>
      <c r="G10368" s="7"/>
      <c r="H10368" s="7">
        <f t="shared" si="1"/>
        <v>1029</v>
      </c>
    </row>
    <row r="10369" ht="22.5" customHeight="1">
      <c r="B10369" s="7"/>
      <c r="C10369" s="7"/>
      <c r="D10369" s="7"/>
      <c r="E10369" s="7"/>
      <c r="F10369" s="7"/>
      <c r="G10369" s="7"/>
      <c r="H10369" s="7">
        <f t="shared" si="1"/>
        <v>1029</v>
      </c>
    </row>
    <row r="10370" ht="22.5" customHeight="1">
      <c r="B10370" s="7"/>
      <c r="C10370" s="7"/>
      <c r="D10370" s="7"/>
      <c r="E10370" s="7"/>
      <c r="F10370" s="7"/>
      <c r="G10370" s="7"/>
      <c r="H10370" s="7">
        <f t="shared" si="1"/>
        <v>1029</v>
      </c>
    </row>
    <row r="10371" ht="22.5" customHeight="1">
      <c r="B10371" s="7"/>
      <c r="C10371" s="7"/>
      <c r="D10371" s="7"/>
      <c r="E10371" s="7"/>
      <c r="F10371" s="7"/>
      <c r="G10371" s="7"/>
      <c r="H10371" s="7">
        <f t="shared" si="1"/>
        <v>1029</v>
      </c>
    </row>
    <row r="10372" ht="22.5" customHeight="1">
      <c r="B10372" s="7"/>
      <c r="C10372" s="7"/>
      <c r="D10372" s="7"/>
      <c r="E10372" s="7"/>
      <c r="F10372" s="7"/>
      <c r="G10372" s="7"/>
      <c r="H10372" s="7">
        <f t="shared" si="1"/>
        <v>1029</v>
      </c>
    </row>
    <row r="10373" ht="22.5" customHeight="1">
      <c r="B10373" s="7"/>
      <c r="C10373" s="7"/>
      <c r="D10373" s="7"/>
      <c r="E10373" s="7"/>
      <c r="F10373" s="7"/>
      <c r="G10373" s="7"/>
      <c r="H10373" s="7">
        <f t="shared" si="1"/>
        <v>1029</v>
      </c>
    </row>
    <row r="10374" ht="22.5" customHeight="1">
      <c r="B10374" s="7"/>
      <c r="C10374" s="7"/>
      <c r="D10374" s="7"/>
      <c r="E10374" s="7"/>
      <c r="F10374" s="7"/>
      <c r="G10374" s="7"/>
      <c r="H10374" s="7">
        <f t="shared" si="1"/>
        <v>1029</v>
      </c>
    </row>
    <row r="10375" ht="22.5" customHeight="1">
      <c r="B10375" s="7"/>
      <c r="C10375" s="7"/>
      <c r="D10375" s="7"/>
      <c r="E10375" s="7"/>
      <c r="F10375" s="7"/>
      <c r="G10375" s="7"/>
      <c r="H10375" s="7">
        <f t="shared" si="1"/>
        <v>1029</v>
      </c>
    </row>
    <row r="10376" ht="22.5" customHeight="1">
      <c r="B10376" s="7"/>
      <c r="C10376" s="7"/>
      <c r="D10376" s="7"/>
      <c r="E10376" s="7"/>
      <c r="F10376" s="7"/>
      <c r="G10376" s="7"/>
      <c r="H10376" s="7">
        <f t="shared" si="1"/>
        <v>1029</v>
      </c>
    </row>
    <row r="10377" ht="22.5" customHeight="1">
      <c r="B10377" s="7"/>
      <c r="C10377" s="7"/>
      <c r="D10377" s="7"/>
      <c r="E10377" s="7"/>
      <c r="F10377" s="7"/>
      <c r="G10377" s="7"/>
      <c r="H10377" s="7">
        <f t="shared" si="1"/>
        <v>1029</v>
      </c>
    </row>
    <row r="10378" ht="22.5" customHeight="1">
      <c r="B10378" s="7"/>
      <c r="C10378" s="7"/>
      <c r="D10378" s="7"/>
      <c r="E10378" s="7"/>
      <c r="F10378" s="7"/>
      <c r="G10378" s="7"/>
      <c r="H10378" s="7">
        <f t="shared" si="1"/>
        <v>1029</v>
      </c>
    </row>
    <row r="10379" ht="22.5" customHeight="1">
      <c r="B10379" s="7"/>
      <c r="C10379" s="7"/>
      <c r="D10379" s="7"/>
      <c r="E10379" s="7"/>
      <c r="F10379" s="7"/>
      <c r="G10379" s="7"/>
      <c r="H10379" s="7">
        <f t="shared" si="1"/>
        <v>1029</v>
      </c>
    </row>
    <row r="10380" ht="22.5" customHeight="1">
      <c r="B10380" s="7"/>
      <c r="C10380" s="7"/>
      <c r="D10380" s="7"/>
      <c r="E10380" s="7"/>
      <c r="F10380" s="7"/>
      <c r="G10380" s="7"/>
      <c r="H10380" s="7">
        <f t="shared" si="1"/>
        <v>1029</v>
      </c>
    </row>
    <row r="10381" ht="22.5" customHeight="1">
      <c r="B10381" s="7"/>
      <c r="C10381" s="7"/>
      <c r="D10381" s="7"/>
      <c r="E10381" s="7"/>
      <c r="F10381" s="7"/>
      <c r="G10381" s="7"/>
      <c r="H10381" s="7">
        <f t="shared" si="1"/>
        <v>1029</v>
      </c>
    </row>
    <row r="10382" ht="22.5" customHeight="1">
      <c r="B10382" s="7"/>
      <c r="C10382" s="7"/>
      <c r="D10382" s="7"/>
      <c r="E10382" s="7"/>
      <c r="F10382" s="7"/>
      <c r="G10382" s="7"/>
      <c r="H10382" s="7">
        <f t="shared" si="1"/>
        <v>1029</v>
      </c>
    </row>
    <row r="10383" ht="22.5" customHeight="1">
      <c r="B10383" s="7"/>
      <c r="C10383" s="7"/>
      <c r="D10383" s="7"/>
      <c r="E10383" s="7"/>
      <c r="F10383" s="7"/>
      <c r="G10383" s="7"/>
      <c r="H10383" s="7">
        <f t="shared" si="1"/>
        <v>1029</v>
      </c>
    </row>
    <row r="10384" ht="22.5" customHeight="1">
      <c r="B10384" s="7"/>
      <c r="C10384" s="7"/>
      <c r="D10384" s="7"/>
      <c r="E10384" s="7"/>
      <c r="F10384" s="7"/>
      <c r="G10384" s="7"/>
      <c r="H10384" s="7">
        <f t="shared" si="1"/>
        <v>1029</v>
      </c>
    </row>
    <row r="10385" ht="22.5" customHeight="1">
      <c r="B10385" s="7"/>
      <c r="C10385" s="7"/>
      <c r="D10385" s="7"/>
      <c r="E10385" s="7"/>
      <c r="F10385" s="7"/>
      <c r="G10385" s="7"/>
      <c r="H10385" s="7">
        <f t="shared" si="1"/>
        <v>1029</v>
      </c>
    </row>
    <row r="10386" ht="22.5" customHeight="1">
      <c r="B10386" s="7"/>
      <c r="C10386" s="7"/>
      <c r="D10386" s="7"/>
      <c r="E10386" s="7"/>
      <c r="F10386" s="7"/>
      <c r="G10386" s="7"/>
      <c r="H10386" s="7">
        <f t="shared" si="1"/>
        <v>1029</v>
      </c>
    </row>
    <row r="10387" ht="22.5" customHeight="1">
      <c r="B10387" s="7"/>
      <c r="C10387" s="7"/>
      <c r="D10387" s="7"/>
      <c r="E10387" s="7"/>
      <c r="F10387" s="7"/>
      <c r="G10387" s="7"/>
      <c r="H10387" s="7">
        <f t="shared" si="1"/>
        <v>1029</v>
      </c>
    </row>
    <row r="10388" ht="22.5" customHeight="1">
      <c r="B10388" s="7"/>
      <c r="C10388" s="7"/>
      <c r="D10388" s="7"/>
      <c r="E10388" s="7"/>
      <c r="F10388" s="7"/>
      <c r="G10388" s="7"/>
      <c r="H10388" s="7">
        <f t="shared" si="1"/>
        <v>1029</v>
      </c>
    </row>
    <row r="10389" ht="22.5" customHeight="1">
      <c r="B10389" s="7"/>
      <c r="C10389" s="7"/>
      <c r="D10389" s="7"/>
      <c r="E10389" s="7"/>
      <c r="F10389" s="7"/>
      <c r="G10389" s="7"/>
      <c r="H10389" s="7">
        <f t="shared" si="1"/>
        <v>1029</v>
      </c>
    </row>
    <row r="10390" ht="22.5" customHeight="1">
      <c r="B10390" s="7"/>
      <c r="C10390" s="7"/>
      <c r="D10390" s="7"/>
      <c r="E10390" s="7"/>
      <c r="F10390" s="7"/>
      <c r="G10390" s="7"/>
      <c r="H10390" s="7">
        <f t="shared" si="1"/>
        <v>1029</v>
      </c>
    </row>
    <row r="10391" ht="22.5" customHeight="1">
      <c r="B10391" s="7"/>
      <c r="C10391" s="7"/>
      <c r="D10391" s="7"/>
      <c r="E10391" s="7"/>
      <c r="F10391" s="7"/>
      <c r="G10391" s="7"/>
      <c r="H10391" s="7">
        <f t="shared" si="1"/>
        <v>1029</v>
      </c>
    </row>
    <row r="10392" ht="22.5" customHeight="1">
      <c r="B10392" s="7"/>
      <c r="C10392" s="7"/>
      <c r="D10392" s="7"/>
      <c r="E10392" s="7"/>
      <c r="F10392" s="7"/>
      <c r="G10392" s="7"/>
      <c r="H10392" s="7">
        <f t="shared" si="1"/>
        <v>1029</v>
      </c>
    </row>
    <row r="10393" ht="22.5" customHeight="1">
      <c r="B10393" s="7"/>
      <c r="C10393" s="7"/>
      <c r="D10393" s="7"/>
      <c r="E10393" s="7"/>
      <c r="F10393" s="7"/>
      <c r="G10393" s="7"/>
      <c r="H10393" s="7">
        <f t="shared" si="1"/>
        <v>1029</v>
      </c>
    </row>
    <row r="10394" ht="22.5" customHeight="1">
      <c r="B10394" s="7"/>
      <c r="C10394" s="7"/>
      <c r="D10394" s="7"/>
      <c r="E10394" s="7"/>
      <c r="F10394" s="7"/>
      <c r="G10394" s="7"/>
      <c r="H10394" s="7">
        <f t="shared" si="1"/>
        <v>1029</v>
      </c>
    </row>
    <row r="10395" ht="22.5" customHeight="1">
      <c r="B10395" s="7"/>
      <c r="C10395" s="7"/>
      <c r="D10395" s="7"/>
      <c r="E10395" s="7"/>
      <c r="F10395" s="7"/>
      <c r="G10395" s="7"/>
      <c r="H10395" s="7">
        <f t="shared" si="1"/>
        <v>1029</v>
      </c>
    </row>
    <row r="10396" ht="22.5" customHeight="1">
      <c r="B10396" s="7"/>
      <c r="C10396" s="7"/>
      <c r="D10396" s="7"/>
      <c r="E10396" s="7"/>
      <c r="F10396" s="7"/>
      <c r="G10396" s="7"/>
      <c r="H10396" s="7">
        <f t="shared" si="1"/>
        <v>1029</v>
      </c>
    </row>
    <row r="10397" ht="22.5" customHeight="1">
      <c r="B10397" s="7"/>
      <c r="C10397" s="7"/>
      <c r="D10397" s="7"/>
      <c r="E10397" s="7"/>
      <c r="F10397" s="7"/>
      <c r="G10397" s="7"/>
      <c r="H10397" s="7">
        <f t="shared" si="1"/>
        <v>1029</v>
      </c>
    </row>
    <row r="10398" ht="22.5" customHeight="1">
      <c r="B10398" s="7"/>
      <c r="C10398" s="7"/>
      <c r="D10398" s="7"/>
      <c r="E10398" s="7"/>
      <c r="F10398" s="7"/>
      <c r="G10398" s="7"/>
      <c r="H10398" s="7">
        <f t="shared" si="1"/>
        <v>1029</v>
      </c>
    </row>
    <row r="10399" ht="22.5" customHeight="1">
      <c r="B10399" s="7"/>
      <c r="C10399" s="7"/>
      <c r="D10399" s="7"/>
      <c r="E10399" s="7"/>
      <c r="F10399" s="7"/>
      <c r="G10399" s="7"/>
      <c r="H10399" s="7">
        <f t="shared" si="1"/>
        <v>1029</v>
      </c>
    </row>
    <row r="10400" ht="22.5" customHeight="1">
      <c r="B10400" s="7"/>
      <c r="C10400" s="7"/>
      <c r="D10400" s="7"/>
      <c r="E10400" s="7"/>
      <c r="F10400" s="7"/>
      <c r="G10400" s="7"/>
      <c r="H10400" s="7">
        <f t="shared" si="1"/>
        <v>1029</v>
      </c>
    </row>
    <row r="10401" ht="22.5" customHeight="1">
      <c r="B10401" s="7"/>
      <c r="C10401" s="7"/>
      <c r="D10401" s="7"/>
      <c r="E10401" s="7"/>
      <c r="F10401" s="7"/>
      <c r="G10401" s="7"/>
      <c r="H10401" s="7">
        <f t="shared" si="1"/>
        <v>1029</v>
      </c>
    </row>
    <row r="10402" ht="22.5" customHeight="1">
      <c r="B10402" s="7"/>
      <c r="C10402" s="7"/>
      <c r="D10402" s="7"/>
      <c r="E10402" s="7"/>
      <c r="F10402" s="7"/>
      <c r="G10402" s="7"/>
      <c r="H10402" s="7">
        <f t="shared" si="1"/>
        <v>1029</v>
      </c>
    </row>
    <row r="10403" ht="22.5" customHeight="1">
      <c r="B10403" s="7"/>
      <c r="C10403" s="7"/>
      <c r="D10403" s="7"/>
      <c r="E10403" s="7"/>
      <c r="F10403" s="7"/>
      <c r="G10403" s="7"/>
      <c r="H10403" s="7">
        <f t="shared" si="1"/>
        <v>1029</v>
      </c>
    </row>
    <row r="10404" ht="22.5" customHeight="1">
      <c r="B10404" s="7"/>
      <c r="C10404" s="7"/>
      <c r="D10404" s="7"/>
      <c r="E10404" s="7"/>
      <c r="F10404" s="7"/>
      <c r="G10404" s="7"/>
      <c r="H10404" s="7">
        <f t="shared" si="1"/>
        <v>1029</v>
      </c>
    </row>
    <row r="10405" ht="22.5" customHeight="1">
      <c r="B10405" s="7"/>
      <c r="C10405" s="7"/>
      <c r="D10405" s="7"/>
      <c r="E10405" s="7"/>
      <c r="F10405" s="7"/>
      <c r="G10405" s="7"/>
      <c r="H10405" s="7">
        <f t="shared" si="1"/>
        <v>1029</v>
      </c>
    </row>
    <row r="10406" ht="22.5" customHeight="1">
      <c r="B10406" s="7"/>
      <c r="C10406" s="7"/>
      <c r="D10406" s="7"/>
      <c r="E10406" s="7"/>
      <c r="F10406" s="7"/>
      <c r="G10406" s="7"/>
      <c r="H10406" s="7">
        <f t="shared" si="1"/>
        <v>1029</v>
      </c>
    </row>
    <row r="10407" ht="22.5" customHeight="1">
      <c r="B10407" s="7"/>
      <c r="C10407" s="7"/>
      <c r="D10407" s="7"/>
      <c r="E10407" s="7"/>
      <c r="F10407" s="7"/>
      <c r="G10407" s="7"/>
      <c r="H10407" s="7">
        <f t="shared" si="1"/>
        <v>1029</v>
      </c>
    </row>
    <row r="10408" ht="22.5" customHeight="1">
      <c r="B10408" s="7"/>
      <c r="C10408" s="7"/>
      <c r="D10408" s="7"/>
      <c r="E10408" s="7"/>
      <c r="F10408" s="7"/>
      <c r="G10408" s="7"/>
      <c r="H10408" s="7">
        <f t="shared" si="1"/>
        <v>1029</v>
      </c>
    </row>
    <row r="10409" ht="22.5" customHeight="1">
      <c r="B10409" s="7"/>
      <c r="C10409" s="7"/>
      <c r="D10409" s="7"/>
      <c r="E10409" s="7"/>
      <c r="F10409" s="7"/>
      <c r="G10409" s="7"/>
      <c r="H10409" s="7">
        <f t="shared" si="1"/>
        <v>1029</v>
      </c>
    </row>
    <row r="10410" ht="22.5" customHeight="1">
      <c r="B10410" s="7"/>
      <c r="C10410" s="7"/>
      <c r="D10410" s="7"/>
      <c r="E10410" s="7"/>
      <c r="F10410" s="7"/>
      <c r="G10410" s="7"/>
      <c r="H10410" s="7">
        <f t="shared" si="1"/>
        <v>1029</v>
      </c>
    </row>
    <row r="10411" ht="22.5" customHeight="1">
      <c r="B10411" s="7"/>
      <c r="C10411" s="7"/>
      <c r="D10411" s="7"/>
      <c r="E10411" s="7"/>
      <c r="F10411" s="7"/>
      <c r="G10411" s="7"/>
      <c r="H10411" s="7">
        <f t="shared" si="1"/>
        <v>1029</v>
      </c>
    </row>
    <row r="10412" ht="22.5" customHeight="1">
      <c r="B10412" s="7"/>
      <c r="C10412" s="7"/>
      <c r="D10412" s="7"/>
      <c r="E10412" s="7"/>
      <c r="F10412" s="7"/>
      <c r="G10412" s="7"/>
      <c r="H10412" s="7">
        <f t="shared" si="1"/>
        <v>1029</v>
      </c>
    </row>
    <row r="10413" ht="22.5" customHeight="1">
      <c r="B10413" s="7"/>
      <c r="C10413" s="7"/>
      <c r="D10413" s="7"/>
      <c r="E10413" s="7"/>
      <c r="F10413" s="7"/>
      <c r="G10413" s="7"/>
      <c r="H10413" s="7">
        <f t="shared" si="1"/>
        <v>1029</v>
      </c>
    </row>
    <row r="10414" ht="22.5" customHeight="1">
      <c r="B10414" s="7"/>
      <c r="C10414" s="7"/>
      <c r="D10414" s="7"/>
      <c r="E10414" s="7"/>
      <c r="F10414" s="7"/>
      <c r="G10414" s="7"/>
      <c r="H10414" s="7">
        <f t="shared" si="1"/>
        <v>1029</v>
      </c>
    </row>
    <row r="10415" ht="22.5" customHeight="1">
      <c r="B10415" s="7"/>
      <c r="C10415" s="7"/>
      <c r="D10415" s="7"/>
      <c r="E10415" s="7"/>
      <c r="F10415" s="7"/>
      <c r="G10415" s="7"/>
      <c r="H10415" s="7">
        <f t="shared" si="1"/>
        <v>1029</v>
      </c>
    </row>
    <row r="10416" ht="22.5" customHeight="1">
      <c r="B10416" s="7"/>
      <c r="C10416" s="7"/>
      <c r="D10416" s="7"/>
      <c r="E10416" s="7"/>
      <c r="F10416" s="7"/>
      <c r="G10416" s="7"/>
      <c r="H10416" s="7">
        <f t="shared" si="1"/>
        <v>1029</v>
      </c>
    </row>
    <row r="10417" ht="22.5" customHeight="1">
      <c r="B10417" s="7"/>
      <c r="C10417" s="7"/>
      <c r="D10417" s="7"/>
      <c r="E10417" s="7"/>
      <c r="F10417" s="7"/>
      <c r="G10417" s="7"/>
      <c r="H10417" s="7">
        <f t="shared" si="1"/>
        <v>1029</v>
      </c>
    </row>
    <row r="10418" ht="22.5" customHeight="1">
      <c r="B10418" s="7"/>
      <c r="C10418" s="7"/>
      <c r="D10418" s="7"/>
      <c r="E10418" s="7"/>
      <c r="F10418" s="7"/>
      <c r="G10418" s="7"/>
      <c r="H10418" s="7">
        <f t="shared" si="1"/>
        <v>1029</v>
      </c>
    </row>
    <row r="10419" ht="22.5" customHeight="1">
      <c r="B10419" s="7"/>
      <c r="C10419" s="7"/>
      <c r="D10419" s="7"/>
      <c r="E10419" s="7"/>
      <c r="F10419" s="7"/>
      <c r="G10419" s="7"/>
      <c r="H10419" s="7">
        <f t="shared" si="1"/>
        <v>1029</v>
      </c>
    </row>
    <row r="10420" ht="22.5" customHeight="1">
      <c r="B10420" s="7"/>
      <c r="C10420" s="7"/>
      <c r="D10420" s="7"/>
      <c r="E10420" s="7"/>
      <c r="F10420" s="7"/>
      <c r="G10420" s="7"/>
      <c r="H10420" s="7">
        <f t="shared" si="1"/>
        <v>1029</v>
      </c>
    </row>
    <row r="10421" ht="22.5" customHeight="1">
      <c r="B10421" s="7"/>
      <c r="C10421" s="7"/>
      <c r="D10421" s="7"/>
      <c r="E10421" s="7"/>
      <c r="F10421" s="7"/>
      <c r="G10421" s="7"/>
      <c r="H10421" s="7">
        <f t="shared" si="1"/>
        <v>1029</v>
      </c>
    </row>
    <row r="10422" ht="22.5" customHeight="1">
      <c r="B10422" s="7"/>
      <c r="C10422" s="7"/>
      <c r="D10422" s="7"/>
      <c r="E10422" s="7"/>
      <c r="F10422" s="7"/>
      <c r="G10422" s="7"/>
      <c r="H10422" s="7">
        <f t="shared" si="1"/>
        <v>1029</v>
      </c>
    </row>
    <row r="10423" ht="22.5" customHeight="1">
      <c r="B10423" s="7"/>
      <c r="C10423" s="7"/>
      <c r="D10423" s="7"/>
      <c r="E10423" s="7"/>
      <c r="F10423" s="7"/>
      <c r="G10423" s="7"/>
      <c r="H10423" s="7">
        <f t="shared" si="1"/>
        <v>1029</v>
      </c>
    </row>
    <row r="10424" ht="22.5" customHeight="1">
      <c r="B10424" s="7"/>
      <c r="C10424" s="7"/>
      <c r="D10424" s="7"/>
      <c r="E10424" s="7"/>
      <c r="F10424" s="7"/>
      <c r="G10424" s="7"/>
      <c r="H10424" s="7">
        <f t="shared" si="1"/>
        <v>1029</v>
      </c>
    </row>
    <row r="10425" ht="22.5" customHeight="1">
      <c r="B10425" s="7"/>
      <c r="C10425" s="7"/>
      <c r="D10425" s="7"/>
      <c r="E10425" s="7"/>
      <c r="F10425" s="7"/>
      <c r="G10425" s="7"/>
      <c r="H10425" s="7">
        <f t="shared" si="1"/>
        <v>1029</v>
      </c>
    </row>
    <row r="10426" ht="22.5" customHeight="1">
      <c r="B10426" s="7"/>
      <c r="C10426" s="7"/>
      <c r="D10426" s="7"/>
      <c r="E10426" s="7"/>
      <c r="F10426" s="7"/>
      <c r="G10426" s="7"/>
      <c r="H10426" s="7">
        <f t="shared" si="1"/>
        <v>1029</v>
      </c>
    </row>
    <row r="10427" ht="22.5" customHeight="1">
      <c r="B10427" s="7"/>
      <c r="C10427" s="7"/>
      <c r="D10427" s="7"/>
      <c r="E10427" s="7"/>
      <c r="F10427" s="7"/>
      <c r="G10427" s="7"/>
      <c r="H10427" s="7">
        <f t="shared" si="1"/>
        <v>1029</v>
      </c>
    </row>
    <row r="10428" ht="22.5" customHeight="1">
      <c r="B10428" s="7"/>
      <c r="C10428" s="7"/>
      <c r="D10428" s="7"/>
      <c r="E10428" s="7"/>
      <c r="F10428" s="7"/>
      <c r="G10428" s="7"/>
      <c r="H10428" s="7">
        <f t="shared" si="1"/>
        <v>1029</v>
      </c>
    </row>
    <row r="10429" ht="22.5" customHeight="1">
      <c r="B10429" s="7"/>
      <c r="C10429" s="7"/>
      <c r="D10429" s="7"/>
      <c r="E10429" s="7"/>
      <c r="F10429" s="7"/>
      <c r="G10429" s="7"/>
      <c r="H10429" s="7">
        <f t="shared" si="1"/>
        <v>1029</v>
      </c>
    </row>
    <row r="10430" ht="22.5" customHeight="1">
      <c r="B10430" s="7"/>
      <c r="C10430" s="7"/>
      <c r="D10430" s="7"/>
      <c r="E10430" s="7"/>
      <c r="F10430" s="7"/>
      <c r="G10430" s="7"/>
      <c r="H10430" s="7">
        <f t="shared" si="1"/>
        <v>1029</v>
      </c>
    </row>
    <row r="10431" ht="22.5" customHeight="1">
      <c r="B10431" s="7"/>
      <c r="C10431" s="7"/>
      <c r="D10431" s="7"/>
      <c r="E10431" s="7"/>
      <c r="F10431" s="7"/>
      <c r="G10431" s="7"/>
      <c r="H10431" s="7">
        <f t="shared" si="1"/>
        <v>1029</v>
      </c>
    </row>
    <row r="10432" ht="22.5" customHeight="1">
      <c r="B10432" s="7"/>
      <c r="C10432" s="7"/>
      <c r="D10432" s="7"/>
      <c r="E10432" s="7"/>
      <c r="F10432" s="7"/>
      <c r="G10432" s="7"/>
      <c r="H10432" s="7">
        <f t="shared" si="1"/>
        <v>1029</v>
      </c>
    </row>
    <row r="10433" ht="22.5" customHeight="1">
      <c r="B10433" s="7"/>
      <c r="C10433" s="7"/>
      <c r="D10433" s="7"/>
      <c r="E10433" s="7"/>
      <c r="F10433" s="7"/>
      <c r="G10433" s="7"/>
      <c r="H10433" s="7">
        <f t="shared" si="1"/>
        <v>1029</v>
      </c>
    </row>
    <row r="10434" ht="22.5" customHeight="1">
      <c r="B10434" s="7"/>
      <c r="C10434" s="7"/>
      <c r="D10434" s="7"/>
      <c r="E10434" s="7"/>
      <c r="F10434" s="7"/>
      <c r="G10434" s="7"/>
      <c r="H10434" s="7">
        <f t="shared" si="1"/>
        <v>1029</v>
      </c>
    </row>
    <row r="10435" ht="22.5" customHeight="1">
      <c r="B10435" s="7"/>
      <c r="C10435" s="7"/>
      <c r="D10435" s="7"/>
      <c r="E10435" s="7"/>
      <c r="F10435" s="7"/>
      <c r="G10435" s="7"/>
      <c r="H10435" s="7">
        <f t="shared" si="1"/>
        <v>1029</v>
      </c>
    </row>
    <row r="10436" ht="22.5" customHeight="1">
      <c r="B10436" s="7"/>
      <c r="C10436" s="7"/>
      <c r="D10436" s="7"/>
      <c r="E10436" s="7"/>
      <c r="F10436" s="7"/>
      <c r="G10436" s="7"/>
      <c r="H10436" s="7">
        <f t="shared" si="1"/>
        <v>1029</v>
      </c>
    </row>
    <row r="10437" ht="22.5" customHeight="1">
      <c r="B10437" s="7"/>
      <c r="C10437" s="7"/>
      <c r="D10437" s="7"/>
      <c r="E10437" s="7"/>
      <c r="F10437" s="7"/>
      <c r="G10437" s="7"/>
      <c r="H10437" s="7">
        <f t="shared" si="1"/>
        <v>1029</v>
      </c>
    </row>
    <row r="10438" ht="22.5" customHeight="1">
      <c r="B10438" s="7"/>
      <c r="C10438" s="7"/>
      <c r="D10438" s="7"/>
      <c r="E10438" s="7"/>
      <c r="F10438" s="7"/>
      <c r="G10438" s="7"/>
      <c r="H10438" s="7">
        <f t="shared" si="1"/>
        <v>1029</v>
      </c>
    </row>
    <row r="10439" ht="22.5" customHeight="1">
      <c r="B10439" s="7"/>
      <c r="C10439" s="7"/>
      <c r="D10439" s="7"/>
      <c r="E10439" s="7"/>
      <c r="F10439" s="7"/>
      <c r="G10439" s="7"/>
      <c r="H10439" s="7">
        <f t="shared" si="1"/>
        <v>1029</v>
      </c>
    </row>
    <row r="10440" ht="22.5" customHeight="1">
      <c r="B10440" s="7"/>
      <c r="C10440" s="7"/>
      <c r="D10440" s="7"/>
      <c r="E10440" s="7"/>
      <c r="F10440" s="7"/>
      <c r="G10440" s="7"/>
      <c r="H10440" s="7">
        <f t="shared" si="1"/>
        <v>1029</v>
      </c>
    </row>
    <row r="10441" ht="22.5" customHeight="1">
      <c r="B10441" s="7"/>
      <c r="C10441" s="7"/>
      <c r="D10441" s="7"/>
      <c r="E10441" s="7"/>
      <c r="F10441" s="7"/>
      <c r="G10441" s="7"/>
      <c r="H10441" s="7">
        <f t="shared" si="1"/>
        <v>1029</v>
      </c>
    </row>
    <row r="10442" ht="22.5" customHeight="1">
      <c r="B10442" s="7"/>
      <c r="C10442" s="7"/>
      <c r="D10442" s="7"/>
      <c r="E10442" s="7"/>
      <c r="F10442" s="7"/>
      <c r="G10442" s="7"/>
      <c r="H10442" s="7">
        <f t="shared" si="1"/>
        <v>1029</v>
      </c>
    </row>
    <row r="10443" ht="22.5" customHeight="1">
      <c r="B10443" s="7"/>
      <c r="C10443" s="7"/>
      <c r="D10443" s="7"/>
      <c r="E10443" s="7"/>
      <c r="F10443" s="7"/>
      <c r="G10443" s="7"/>
      <c r="H10443" s="7">
        <f t="shared" si="1"/>
        <v>1029</v>
      </c>
    </row>
    <row r="10444" ht="22.5" customHeight="1">
      <c r="B10444" s="7"/>
      <c r="C10444" s="7"/>
      <c r="D10444" s="7"/>
      <c r="E10444" s="7"/>
      <c r="F10444" s="7"/>
      <c r="G10444" s="7"/>
      <c r="H10444" s="7">
        <f t="shared" si="1"/>
        <v>1029</v>
      </c>
    </row>
    <row r="10445" ht="22.5" customHeight="1">
      <c r="B10445" s="7"/>
      <c r="C10445" s="7"/>
      <c r="D10445" s="7"/>
      <c r="E10445" s="7"/>
      <c r="F10445" s="7"/>
      <c r="G10445" s="7"/>
      <c r="H10445" s="7">
        <f t="shared" si="1"/>
        <v>1029</v>
      </c>
    </row>
    <row r="10446" ht="22.5" customHeight="1">
      <c r="B10446" s="7"/>
      <c r="C10446" s="7"/>
      <c r="D10446" s="7"/>
      <c r="E10446" s="7"/>
      <c r="F10446" s="7"/>
      <c r="G10446" s="7"/>
      <c r="H10446" s="7">
        <f t="shared" si="1"/>
        <v>1029</v>
      </c>
    </row>
    <row r="10447" ht="22.5" customHeight="1">
      <c r="B10447" s="7"/>
      <c r="C10447" s="7"/>
      <c r="D10447" s="7"/>
      <c r="E10447" s="7"/>
      <c r="F10447" s="7"/>
      <c r="G10447" s="7"/>
      <c r="H10447" s="7">
        <f t="shared" si="1"/>
        <v>1029</v>
      </c>
    </row>
    <row r="10448" ht="22.5" customHeight="1">
      <c r="B10448" s="7"/>
      <c r="C10448" s="7"/>
      <c r="D10448" s="7"/>
      <c r="E10448" s="7"/>
      <c r="F10448" s="7"/>
      <c r="G10448" s="7"/>
      <c r="H10448" s="7">
        <f t="shared" si="1"/>
        <v>1029</v>
      </c>
    </row>
    <row r="10449" ht="22.5" customHeight="1">
      <c r="B10449" s="7"/>
      <c r="C10449" s="7"/>
      <c r="D10449" s="7"/>
      <c r="E10449" s="7"/>
      <c r="F10449" s="7"/>
      <c r="G10449" s="7"/>
      <c r="H10449" s="7">
        <f t="shared" si="1"/>
        <v>1029</v>
      </c>
    </row>
    <row r="10450" ht="22.5" customHeight="1">
      <c r="B10450" s="7"/>
      <c r="C10450" s="7"/>
      <c r="D10450" s="7"/>
      <c r="E10450" s="7"/>
      <c r="F10450" s="7"/>
      <c r="G10450" s="7"/>
      <c r="H10450" s="7">
        <f t="shared" si="1"/>
        <v>1029</v>
      </c>
    </row>
    <row r="10451" ht="22.5" customHeight="1">
      <c r="B10451" s="7"/>
      <c r="C10451" s="7"/>
      <c r="D10451" s="7"/>
      <c r="E10451" s="7"/>
      <c r="F10451" s="7"/>
      <c r="G10451" s="7"/>
      <c r="H10451" s="7">
        <f t="shared" si="1"/>
        <v>1029</v>
      </c>
    </row>
    <row r="10452" ht="22.5" customHeight="1">
      <c r="B10452" s="7"/>
      <c r="C10452" s="7"/>
      <c r="D10452" s="7"/>
      <c r="E10452" s="7"/>
      <c r="F10452" s="7"/>
      <c r="G10452" s="7"/>
      <c r="H10452" s="7">
        <f t="shared" si="1"/>
        <v>1029</v>
      </c>
    </row>
    <row r="10453" ht="22.5" customHeight="1">
      <c r="B10453" s="7"/>
      <c r="C10453" s="7"/>
      <c r="D10453" s="7"/>
      <c r="E10453" s="7"/>
      <c r="F10453" s="7"/>
      <c r="G10453" s="7"/>
      <c r="H10453" s="7">
        <f t="shared" si="1"/>
        <v>1029</v>
      </c>
    </row>
    <row r="10454" ht="22.5" customHeight="1">
      <c r="B10454" s="7"/>
      <c r="C10454" s="7"/>
      <c r="D10454" s="7"/>
      <c r="E10454" s="7"/>
      <c r="F10454" s="7"/>
      <c r="G10454" s="7"/>
      <c r="H10454" s="7">
        <f t="shared" si="1"/>
        <v>1029</v>
      </c>
    </row>
    <row r="10455" ht="22.5" customHeight="1">
      <c r="B10455" s="7"/>
      <c r="C10455" s="7"/>
      <c r="D10455" s="7"/>
      <c r="E10455" s="7"/>
      <c r="F10455" s="7"/>
      <c r="G10455" s="7"/>
      <c r="H10455" s="7">
        <f t="shared" si="1"/>
        <v>1029</v>
      </c>
    </row>
    <row r="10456" ht="22.5" customHeight="1">
      <c r="B10456" s="7"/>
      <c r="C10456" s="7"/>
      <c r="D10456" s="7"/>
      <c r="E10456" s="7"/>
      <c r="F10456" s="7"/>
      <c r="G10456" s="7"/>
      <c r="H10456" s="7">
        <f t="shared" si="1"/>
        <v>1029</v>
      </c>
    </row>
    <row r="10457" ht="22.5" customHeight="1">
      <c r="B10457" s="7"/>
      <c r="C10457" s="7"/>
      <c r="D10457" s="7"/>
      <c r="E10457" s="7"/>
      <c r="F10457" s="7"/>
      <c r="G10457" s="7"/>
      <c r="H10457" s="7">
        <f t="shared" si="1"/>
        <v>1029</v>
      </c>
    </row>
    <row r="10458" ht="22.5" customHeight="1">
      <c r="B10458" s="7"/>
      <c r="C10458" s="7"/>
      <c r="D10458" s="7"/>
      <c r="E10458" s="7"/>
      <c r="F10458" s="7"/>
      <c r="G10458" s="7"/>
      <c r="H10458" s="7">
        <f t="shared" si="1"/>
        <v>1029</v>
      </c>
    </row>
    <row r="10459" ht="22.5" customHeight="1">
      <c r="B10459" s="7"/>
      <c r="C10459" s="7"/>
      <c r="D10459" s="7"/>
      <c r="E10459" s="7"/>
      <c r="F10459" s="7"/>
      <c r="G10459" s="7"/>
      <c r="H10459" s="7">
        <f t="shared" si="1"/>
        <v>1029</v>
      </c>
    </row>
    <row r="10460" ht="22.5" customHeight="1">
      <c r="B10460" s="7"/>
      <c r="C10460" s="7"/>
      <c r="D10460" s="7"/>
      <c r="E10460" s="7"/>
      <c r="F10460" s="7"/>
      <c r="G10460" s="7"/>
      <c r="H10460" s="7">
        <f t="shared" si="1"/>
        <v>1029</v>
      </c>
    </row>
    <row r="10461" ht="22.5" customHeight="1">
      <c r="B10461" s="7"/>
      <c r="C10461" s="7"/>
      <c r="D10461" s="7"/>
      <c r="E10461" s="7"/>
      <c r="F10461" s="7"/>
      <c r="G10461" s="7"/>
      <c r="H10461" s="7">
        <f t="shared" si="1"/>
        <v>1029</v>
      </c>
    </row>
    <row r="10462" ht="22.5" customHeight="1">
      <c r="B10462" s="7"/>
      <c r="C10462" s="7"/>
      <c r="D10462" s="7"/>
      <c r="E10462" s="7"/>
      <c r="F10462" s="7"/>
      <c r="G10462" s="7"/>
      <c r="H10462" s="7">
        <f t="shared" si="1"/>
        <v>1029</v>
      </c>
    </row>
    <row r="10463" ht="22.5" customHeight="1">
      <c r="B10463" s="7"/>
      <c r="C10463" s="7"/>
      <c r="D10463" s="7"/>
      <c r="E10463" s="7"/>
      <c r="F10463" s="7"/>
      <c r="G10463" s="7"/>
      <c r="H10463" s="7">
        <f t="shared" si="1"/>
        <v>1029</v>
      </c>
    </row>
    <row r="10464" ht="22.5" customHeight="1">
      <c r="B10464" s="7"/>
      <c r="C10464" s="7"/>
      <c r="D10464" s="7"/>
      <c r="E10464" s="7"/>
      <c r="F10464" s="7"/>
      <c r="G10464" s="7"/>
      <c r="H10464" s="7">
        <f t="shared" si="1"/>
        <v>1029</v>
      </c>
    </row>
    <row r="10465" ht="22.5" customHeight="1">
      <c r="B10465" s="7"/>
      <c r="C10465" s="7"/>
      <c r="D10465" s="7"/>
      <c r="E10465" s="7"/>
      <c r="F10465" s="7"/>
      <c r="G10465" s="7"/>
      <c r="H10465" s="7">
        <f t="shared" si="1"/>
        <v>1029</v>
      </c>
    </row>
    <row r="10466" ht="22.5" customHeight="1">
      <c r="B10466" s="7"/>
      <c r="C10466" s="7"/>
      <c r="D10466" s="7"/>
      <c r="E10466" s="7"/>
      <c r="F10466" s="7"/>
      <c r="G10466" s="7"/>
      <c r="H10466" s="7">
        <f t="shared" si="1"/>
        <v>1029</v>
      </c>
    </row>
    <row r="10467" ht="22.5" customHeight="1">
      <c r="B10467" s="7"/>
      <c r="C10467" s="7"/>
      <c r="D10467" s="7"/>
      <c r="E10467" s="7"/>
      <c r="F10467" s="7"/>
      <c r="G10467" s="7"/>
      <c r="H10467" s="7">
        <f t="shared" si="1"/>
        <v>1029</v>
      </c>
    </row>
    <row r="10468" ht="22.5" customHeight="1">
      <c r="B10468" s="7"/>
      <c r="C10468" s="7"/>
      <c r="D10468" s="7"/>
      <c r="E10468" s="7"/>
      <c r="F10468" s="7"/>
      <c r="G10468" s="7"/>
      <c r="H10468" s="7">
        <f t="shared" si="1"/>
        <v>1029</v>
      </c>
    </row>
    <row r="10469" ht="22.5" customHeight="1">
      <c r="B10469" s="7"/>
      <c r="C10469" s="7"/>
      <c r="D10469" s="7"/>
      <c r="E10469" s="7"/>
      <c r="F10469" s="7"/>
      <c r="G10469" s="7"/>
      <c r="H10469" s="7">
        <f t="shared" si="1"/>
        <v>1029</v>
      </c>
    </row>
    <row r="10470" ht="22.5" customHeight="1">
      <c r="B10470" s="7"/>
      <c r="C10470" s="7"/>
      <c r="D10470" s="7"/>
      <c r="E10470" s="7"/>
      <c r="F10470" s="7"/>
      <c r="G10470" s="7"/>
      <c r="H10470" s="7">
        <f t="shared" si="1"/>
        <v>1029</v>
      </c>
    </row>
    <row r="10471" ht="22.5" customHeight="1">
      <c r="B10471" s="7"/>
      <c r="C10471" s="7"/>
      <c r="D10471" s="7"/>
      <c r="E10471" s="7"/>
      <c r="F10471" s="7"/>
      <c r="G10471" s="7"/>
      <c r="H10471" s="7">
        <f t="shared" si="1"/>
        <v>1029</v>
      </c>
    </row>
    <row r="10472" ht="22.5" customHeight="1">
      <c r="B10472" s="7"/>
      <c r="C10472" s="7"/>
      <c r="D10472" s="7"/>
      <c r="E10472" s="7"/>
      <c r="F10472" s="7"/>
      <c r="G10472" s="7"/>
      <c r="H10472" s="7">
        <f t="shared" si="1"/>
        <v>1029</v>
      </c>
    </row>
    <row r="10473" ht="22.5" customHeight="1">
      <c r="B10473" s="7"/>
      <c r="C10473" s="7"/>
      <c r="D10473" s="7"/>
      <c r="E10473" s="7"/>
      <c r="F10473" s="7"/>
      <c r="G10473" s="7"/>
      <c r="H10473" s="7">
        <f t="shared" si="1"/>
        <v>1029</v>
      </c>
    </row>
    <row r="10474" ht="22.5" customHeight="1">
      <c r="B10474" s="7"/>
      <c r="C10474" s="7"/>
      <c r="D10474" s="7"/>
      <c r="E10474" s="7"/>
      <c r="F10474" s="7"/>
      <c r="G10474" s="7"/>
      <c r="H10474" s="7">
        <f t="shared" si="1"/>
        <v>1029</v>
      </c>
    </row>
    <row r="10475" ht="22.5" customHeight="1">
      <c r="B10475" s="7"/>
      <c r="C10475" s="7"/>
      <c r="D10475" s="7"/>
      <c r="E10475" s="7"/>
      <c r="F10475" s="7"/>
      <c r="G10475" s="7"/>
      <c r="H10475" s="7">
        <f t="shared" si="1"/>
        <v>1029</v>
      </c>
    </row>
    <row r="10476" ht="22.5" customHeight="1">
      <c r="B10476" s="7"/>
      <c r="C10476" s="7"/>
      <c r="D10476" s="7"/>
      <c r="E10476" s="7"/>
      <c r="F10476" s="7"/>
      <c r="G10476" s="7"/>
      <c r="H10476" s="7">
        <f t="shared" si="1"/>
        <v>1029</v>
      </c>
    </row>
    <row r="10477" ht="22.5" customHeight="1">
      <c r="B10477" s="7"/>
      <c r="C10477" s="7"/>
      <c r="D10477" s="7"/>
      <c r="E10477" s="7"/>
      <c r="F10477" s="7"/>
      <c r="G10477" s="7"/>
      <c r="H10477" s="7">
        <f t="shared" si="1"/>
        <v>1029</v>
      </c>
    </row>
    <row r="10478" ht="22.5" customHeight="1">
      <c r="B10478" s="7"/>
      <c r="C10478" s="7"/>
      <c r="D10478" s="7"/>
      <c r="E10478" s="7"/>
      <c r="F10478" s="7"/>
      <c r="G10478" s="7"/>
      <c r="H10478" s="7">
        <f t="shared" si="1"/>
        <v>1029</v>
      </c>
    </row>
    <row r="10479" ht="22.5" customHeight="1">
      <c r="B10479" s="7"/>
      <c r="C10479" s="7"/>
      <c r="D10479" s="7"/>
      <c r="E10479" s="7"/>
      <c r="F10479" s="7"/>
      <c r="G10479" s="7"/>
      <c r="H10479" s="7">
        <f t="shared" si="1"/>
        <v>1029</v>
      </c>
    </row>
    <row r="10480" ht="22.5" customHeight="1">
      <c r="B10480" s="7"/>
      <c r="C10480" s="7"/>
      <c r="D10480" s="7"/>
      <c r="E10480" s="7"/>
      <c r="F10480" s="7"/>
      <c r="G10480" s="7"/>
      <c r="H10480" s="7">
        <f t="shared" si="1"/>
        <v>1029</v>
      </c>
    </row>
    <row r="10481" ht="22.5" customHeight="1">
      <c r="B10481" s="7"/>
      <c r="C10481" s="7"/>
      <c r="D10481" s="7"/>
      <c r="E10481" s="7"/>
      <c r="F10481" s="7"/>
      <c r="G10481" s="7"/>
      <c r="H10481" s="7">
        <f t="shared" si="1"/>
        <v>1029</v>
      </c>
    </row>
    <row r="10482" ht="22.5" customHeight="1">
      <c r="B10482" s="7"/>
      <c r="C10482" s="7"/>
      <c r="D10482" s="7"/>
      <c r="E10482" s="7"/>
      <c r="F10482" s="7"/>
      <c r="G10482" s="7"/>
      <c r="H10482" s="7">
        <f t="shared" si="1"/>
        <v>1029</v>
      </c>
    </row>
    <row r="10483" ht="22.5" customHeight="1">
      <c r="B10483" s="7"/>
      <c r="C10483" s="7"/>
      <c r="D10483" s="7"/>
      <c r="E10483" s="7"/>
      <c r="F10483" s="7"/>
      <c r="G10483" s="7"/>
      <c r="H10483" s="7">
        <f t="shared" si="1"/>
        <v>1029</v>
      </c>
    </row>
    <row r="10484" ht="22.5" customHeight="1">
      <c r="B10484" s="7"/>
      <c r="C10484" s="7"/>
      <c r="D10484" s="7"/>
      <c r="E10484" s="7"/>
      <c r="F10484" s="7"/>
      <c r="G10484" s="7"/>
      <c r="H10484" s="7">
        <f t="shared" si="1"/>
        <v>1029</v>
      </c>
    </row>
    <row r="10485" ht="22.5" customHeight="1">
      <c r="B10485" s="7"/>
      <c r="C10485" s="7"/>
      <c r="D10485" s="7"/>
      <c r="E10485" s="7"/>
      <c r="F10485" s="7"/>
      <c r="G10485" s="7"/>
      <c r="H10485" s="7">
        <f t="shared" si="1"/>
        <v>1029</v>
      </c>
    </row>
    <row r="10486" ht="22.5" customHeight="1">
      <c r="B10486" s="7"/>
      <c r="C10486" s="7"/>
      <c r="D10486" s="7"/>
      <c r="E10486" s="7"/>
      <c r="F10486" s="7"/>
      <c r="G10486" s="7"/>
      <c r="H10486" s="7">
        <f t="shared" si="1"/>
        <v>1029</v>
      </c>
    </row>
    <row r="10487" ht="22.5" customHeight="1">
      <c r="B10487" s="7"/>
      <c r="C10487" s="7"/>
      <c r="D10487" s="7"/>
      <c r="E10487" s="7"/>
      <c r="F10487" s="7"/>
      <c r="G10487" s="7"/>
      <c r="H10487" s="7">
        <f t="shared" si="1"/>
        <v>1029</v>
      </c>
    </row>
    <row r="10488" ht="22.5" customHeight="1">
      <c r="B10488" s="7"/>
      <c r="C10488" s="7"/>
      <c r="D10488" s="7"/>
      <c r="E10488" s="7"/>
      <c r="F10488" s="7"/>
      <c r="G10488" s="7"/>
      <c r="H10488" s="7">
        <f t="shared" si="1"/>
        <v>1029</v>
      </c>
    </row>
    <row r="10489" ht="22.5" customHeight="1">
      <c r="B10489" s="7"/>
      <c r="C10489" s="7"/>
      <c r="D10489" s="7"/>
      <c r="E10489" s="7"/>
      <c r="F10489" s="7"/>
      <c r="G10489" s="7"/>
      <c r="H10489" s="7">
        <f t="shared" si="1"/>
        <v>1029</v>
      </c>
    </row>
    <row r="10490" ht="22.5" customHeight="1">
      <c r="B10490" s="7"/>
      <c r="C10490" s="7"/>
      <c r="D10490" s="7"/>
      <c r="E10490" s="7"/>
      <c r="F10490" s="7"/>
      <c r="G10490" s="7"/>
      <c r="H10490" s="7">
        <f t="shared" si="1"/>
        <v>1029</v>
      </c>
    </row>
    <row r="10491" ht="22.5" customHeight="1">
      <c r="B10491" s="7"/>
      <c r="C10491" s="7"/>
      <c r="D10491" s="7"/>
      <c r="E10491" s="7"/>
      <c r="F10491" s="7"/>
      <c r="G10491" s="7"/>
      <c r="H10491" s="7">
        <f t="shared" si="1"/>
        <v>1029</v>
      </c>
    </row>
    <row r="10492" ht="22.5" customHeight="1">
      <c r="B10492" s="7"/>
      <c r="C10492" s="7"/>
      <c r="D10492" s="7"/>
      <c r="E10492" s="7"/>
      <c r="F10492" s="7"/>
      <c r="G10492" s="7"/>
      <c r="H10492" s="7">
        <f t="shared" si="1"/>
        <v>1029</v>
      </c>
    </row>
    <row r="10493" ht="22.5" customHeight="1">
      <c r="B10493" s="7"/>
      <c r="C10493" s="7"/>
      <c r="D10493" s="7"/>
      <c r="E10493" s="7"/>
      <c r="F10493" s="7"/>
      <c r="G10493" s="7"/>
      <c r="H10493" s="7">
        <f t="shared" si="1"/>
        <v>1029</v>
      </c>
    </row>
    <row r="10494" ht="22.5" customHeight="1">
      <c r="B10494" s="7"/>
      <c r="C10494" s="7"/>
      <c r="D10494" s="7"/>
      <c r="E10494" s="7"/>
      <c r="F10494" s="7"/>
      <c r="G10494" s="7"/>
      <c r="H10494" s="7">
        <f t="shared" si="1"/>
        <v>1029</v>
      </c>
    </row>
    <row r="10495" ht="22.5" customHeight="1">
      <c r="B10495" s="7"/>
      <c r="C10495" s="7"/>
      <c r="D10495" s="7"/>
      <c r="E10495" s="7"/>
      <c r="F10495" s="7"/>
      <c r="G10495" s="7"/>
      <c r="H10495" s="7">
        <f t="shared" si="1"/>
        <v>1029</v>
      </c>
    </row>
    <row r="10496" ht="22.5" customHeight="1">
      <c r="B10496" s="7"/>
      <c r="C10496" s="7"/>
      <c r="D10496" s="7"/>
      <c r="E10496" s="7"/>
      <c r="F10496" s="7"/>
      <c r="G10496" s="7"/>
      <c r="H10496" s="7">
        <f t="shared" si="1"/>
        <v>1029</v>
      </c>
    </row>
    <row r="10497" ht="22.5" customHeight="1">
      <c r="B10497" s="7"/>
      <c r="C10497" s="7"/>
      <c r="D10497" s="7"/>
      <c r="E10497" s="7"/>
      <c r="F10497" s="7"/>
      <c r="G10497" s="7"/>
      <c r="H10497" s="7">
        <f t="shared" si="1"/>
        <v>1029</v>
      </c>
    </row>
    <row r="10498" ht="22.5" customHeight="1">
      <c r="B10498" s="7"/>
      <c r="C10498" s="7"/>
      <c r="D10498" s="7"/>
      <c r="E10498" s="7"/>
      <c r="F10498" s="7"/>
      <c r="G10498" s="7"/>
      <c r="H10498" s="7">
        <f t="shared" si="1"/>
        <v>1029</v>
      </c>
    </row>
    <row r="10499" ht="22.5" customHeight="1">
      <c r="B10499" s="7"/>
      <c r="C10499" s="7"/>
      <c r="D10499" s="7"/>
      <c r="E10499" s="7"/>
      <c r="F10499" s="7"/>
      <c r="G10499" s="7"/>
      <c r="H10499" s="7">
        <f t="shared" si="1"/>
        <v>1029</v>
      </c>
    </row>
    <row r="10500" ht="22.5" customHeight="1">
      <c r="B10500" s="7"/>
      <c r="C10500" s="7"/>
      <c r="D10500" s="7"/>
      <c r="E10500" s="7"/>
      <c r="F10500" s="7"/>
      <c r="G10500" s="7"/>
      <c r="H10500" s="7">
        <f t="shared" si="1"/>
        <v>1029</v>
      </c>
    </row>
    <row r="10501" ht="22.5" customHeight="1">
      <c r="B10501" s="7"/>
      <c r="C10501" s="7"/>
      <c r="D10501" s="7"/>
      <c r="E10501" s="7"/>
      <c r="F10501" s="7"/>
      <c r="G10501" s="7"/>
      <c r="H10501" s="7">
        <f t="shared" si="1"/>
        <v>1029</v>
      </c>
    </row>
    <row r="10502" ht="22.5" customHeight="1">
      <c r="B10502" s="7"/>
      <c r="C10502" s="7"/>
      <c r="D10502" s="7"/>
      <c r="E10502" s="7"/>
      <c r="F10502" s="7"/>
      <c r="G10502" s="7"/>
      <c r="H10502" s="7">
        <f t="shared" si="1"/>
        <v>1029</v>
      </c>
    </row>
    <row r="10503" ht="22.5" customHeight="1">
      <c r="B10503" s="7"/>
      <c r="C10503" s="7"/>
      <c r="D10503" s="7"/>
      <c r="E10503" s="7"/>
      <c r="F10503" s="7"/>
      <c r="G10503" s="7"/>
      <c r="H10503" s="7">
        <f t="shared" si="1"/>
        <v>1029</v>
      </c>
    </row>
    <row r="10504" ht="22.5" customHeight="1">
      <c r="B10504" s="7"/>
      <c r="C10504" s="7"/>
      <c r="D10504" s="7"/>
      <c r="E10504" s="7"/>
      <c r="F10504" s="7"/>
      <c r="G10504" s="7"/>
      <c r="H10504" s="7">
        <f t="shared" si="1"/>
        <v>1029</v>
      </c>
    </row>
  </sheetData>
  <hyperlinks>
    <hyperlink r:id="rId1" ref="C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25"/>
    <col customWidth="1" min="2" max="2" width="5.13"/>
    <col customWidth="1" min="3" max="3" width="27.75"/>
    <col customWidth="1" min="4" max="4" width="14.13"/>
    <col customWidth="1" min="5" max="5" width="18.63"/>
    <col customWidth="1" min="6" max="6" width="12.25"/>
    <col customWidth="1" min="7" max="8" width="17.0"/>
    <col customWidth="1" min="9" max="9" width="15.75"/>
    <col customWidth="1" min="10" max="10" width="15.88"/>
    <col customWidth="1" min="11" max="11" width="17.88"/>
    <col customWidth="1" min="12" max="12" width="14.63"/>
    <col customWidth="1" min="13" max="13" width="11.5"/>
    <col customWidth="1" min="14" max="14" width="16.5"/>
    <col customWidth="1" min="15" max="16" width="13.38"/>
    <col customWidth="1" min="17" max="17" width="16.88"/>
    <col customWidth="1" min="18" max="18" width="18.38"/>
    <col customWidth="1" min="19" max="19" width="14.25"/>
    <col customWidth="1" min="20" max="20" width="19.38"/>
  </cols>
  <sheetData>
    <row r="1" ht="8.25" customHeight="1">
      <c r="A1" s="10" t="s">
        <v>8</v>
      </c>
    </row>
    <row r="2" ht="1.5" customHeight="1"/>
    <row r="3">
      <c r="B3" s="11" t="s">
        <v>9</v>
      </c>
      <c r="E3" s="12" t="s">
        <v>10</v>
      </c>
      <c r="F3" s="12" t="s">
        <v>11</v>
      </c>
      <c r="G3" s="13"/>
      <c r="H3" s="13"/>
      <c r="I3" s="13"/>
      <c r="J3" s="13"/>
      <c r="K3" s="13"/>
    </row>
    <row r="4">
      <c r="B4" s="14" t="s">
        <v>12</v>
      </c>
      <c r="E4" s="15" t="s">
        <v>13</v>
      </c>
    </row>
    <row r="5" ht="25.5" customHeight="1"/>
    <row r="6" ht="22.5" customHeight="1">
      <c r="B6" s="16" t="s">
        <v>14</v>
      </c>
      <c r="C6" s="17" t="s">
        <v>2</v>
      </c>
      <c r="D6" s="16" t="s">
        <v>1</v>
      </c>
      <c r="E6" s="6" t="s">
        <v>15</v>
      </c>
      <c r="F6" s="6" t="s">
        <v>16</v>
      </c>
      <c r="G6" s="17" t="s">
        <v>6</v>
      </c>
      <c r="H6" s="17" t="s">
        <v>17</v>
      </c>
      <c r="I6" s="6" t="s">
        <v>18</v>
      </c>
      <c r="J6" s="6" t="s">
        <v>19</v>
      </c>
      <c r="K6" s="6" t="s">
        <v>20</v>
      </c>
      <c r="L6" s="6" t="s">
        <v>21</v>
      </c>
      <c r="M6" s="6" t="s">
        <v>22</v>
      </c>
      <c r="N6" s="6" t="s">
        <v>23</v>
      </c>
      <c r="O6" s="6" t="s">
        <v>24</v>
      </c>
      <c r="P6" s="6" t="s">
        <v>25</v>
      </c>
      <c r="Q6" s="6" t="s">
        <v>26</v>
      </c>
      <c r="R6" s="6" t="s">
        <v>27</v>
      </c>
      <c r="S6" s="6" t="s">
        <v>28</v>
      </c>
      <c r="T6" s="6" t="s">
        <v>29</v>
      </c>
    </row>
    <row r="7" ht="22.5" hidden="1" customHeight="1">
      <c r="B7" s="8">
        <v>1.0</v>
      </c>
      <c r="C7" s="18" t="s">
        <v>30</v>
      </c>
      <c r="D7" s="19" t="str">
        <f t="array" ref="D7">IFNA(_xlfn.XLOOKUP(C7,Table_Tarikan_Warkah[Nomor Sertipikat],Table_Tarikan_Warkah[Nomor Tiket]),"")</f>
        <v>K/22/141024/1</v>
      </c>
      <c r="E7" s="20">
        <f t="array" ref="E7">IFNA(_xlfn.XLOOKUP(C7,Table_Tarikan_Warkah[Nomor Sertipikat],Table_Tarikan_Warkah[Tanggal diserahkan kepada Validator]),"")</f>
        <v>45579.62845</v>
      </c>
      <c r="F7" s="20" t="str">
        <f t="array" ref="F7">IFNA(_xlfn.XLOOKUP(C7,Table_Tarikan_Warkah[Nomor Sertipikat],Table_Tarikan_Warkah[Nama Petugas Warkah]),"")</f>
        <v>Berry</v>
      </c>
      <c r="G7" s="21" t="str">
        <f t="array" ref="G7">IFNA(_xlfn.XLOOKUP(C7,Table_Tarikan_Warkah[Nomor Sertipikat],Table_Tarikan_Warkah[Jenis Permohonan]),"")</f>
        <v>PERALIHAN JUAL BELI</v>
      </c>
      <c r="H7" s="22" t="s">
        <v>31</v>
      </c>
      <c r="I7" s="22" t="s">
        <v>32</v>
      </c>
      <c r="J7" s="20">
        <f t="shared" ref="J7:J67" si="1">IF(I7="Selesai",IF(J7&lt;&gt;"",J7,NOW()),"")</f>
        <v>45580.4657</v>
      </c>
      <c r="K7" s="22" t="s">
        <v>33</v>
      </c>
      <c r="L7" s="22" t="s">
        <v>32</v>
      </c>
      <c r="M7" s="20">
        <f t="shared" ref="M7:M67" si="2">IF(L7="Selesai",IF(M7&lt;&gt;"",M7,NOW()),"")</f>
        <v>45581.41792</v>
      </c>
      <c r="N7" s="8" t="str">
        <f t="shared" ref="N7:N2006" si="3">if(D7="","", IF(AND(I7="Selesai",L7="Selesai"),"SELESAI",if(and(I7="Selesai (Via Permohonan)",L7="Selesai (Via Permohonan)"),"Selesai",if(and(I7="Selesai (Via Permohonan)",L7="Selesai"),"Selesai",if(and(I7="Selesai",L7="Selesai (Via Permohonan)"),"Selesai","BT atau SU Belum Valid")))))</f>
        <v>SELESAI</v>
      </c>
      <c r="O7" s="23">
        <f t="shared" ref="O7:O32" si="4">IF(and(L7="Selesai",I7="Selesai"),IF(M7&lt;&gt;"",M7,NOW()),"")</f>
        <v>45581.41792</v>
      </c>
      <c r="P7" s="24" t="b">
        <v>0</v>
      </c>
      <c r="Q7" s="20" t="str">
        <f t="shared" ref="Q7:Q682" si="5">IF(P7=TRUE,IF(Q7&lt;&gt;"",Q7,NOW()),"")</f>
        <v/>
      </c>
      <c r="R7" s="24" t="b">
        <v>1</v>
      </c>
      <c r="S7" s="20">
        <f t="shared" ref="S7:S2006" si="6">IF(R7=TRUE,IF(S7&lt;&gt;"",S7,NOW()),"")</f>
        <v>45581.42029</v>
      </c>
      <c r="T7" s="7"/>
    </row>
    <row r="8" ht="22.5" hidden="1" customHeight="1">
      <c r="B8" s="7">
        <f t="shared" ref="B8:B2006" si="7">B7+1</f>
        <v>2</v>
      </c>
      <c r="C8" s="18" t="s">
        <v>34</v>
      </c>
      <c r="D8" s="19" t="str">
        <f t="array" ref="D8">IFNA(_xlfn.XLOOKUP(C8,Table_Tarikan_Warkah[Nomor Sertipikat],Table_Tarikan_Warkah[Nomor Tiket]),"")</f>
        <v>K/19/141024/1</v>
      </c>
      <c r="E8" s="20">
        <f t="array" ref="E8">IFNA(_xlfn.XLOOKUP(C8,Table_Tarikan_Warkah[Nomor Sertipikat],Table_Tarikan_Warkah[Tanggal diserahkan kepada Validator]),"")</f>
        <v>45579.62654</v>
      </c>
      <c r="F8" s="20" t="str">
        <f t="array" ref="F8">IFNA(_xlfn.XLOOKUP(C8,Table_Tarikan_Warkah[Nomor Sertipikat],Table_Tarikan_Warkah[Nama Petugas Warkah]),"")</f>
        <v>Berry</v>
      </c>
      <c r="G8" s="21" t="str">
        <f t="array" ref="G8">IFNA(_xlfn.XLOOKUP(C8,Table_Tarikan_Warkah[Nomor Sertipikat],Table_Tarikan_Warkah[Jenis Permohonan]),"")</f>
        <v>PERALIHAN JUAL BELI</v>
      </c>
      <c r="H8" s="22" t="s">
        <v>31</v>
      </c>
      <c r="I8" s="22" t="s">
        <v>32</v>
      </c>
      <c r="J8" s="20">
        <f t="shared" si="1"/>
        <v>45580.46928</v>
      </c>
      <c r="K8" s="22" t="s">
        <v>33</v>
      </c>
      <c r="L8" s="22" t="s">
        <v>32</v>
      </c>
      <c r="M8" s="20">
        <f t="shared" si="2"/>
        <v>45581.41767</v>
      </c>
      <c r="N8" s="19" t="str">
        <f t="shared" si="3"/>
        <v>SELESAI</v>
      </c>
      <c r="O8" s="23">
        <f t="shared" si="4"/>
        <v>45581.41767</v>
      </c>
      <c r="P8" s="24" t="b">
        <v>0</v>
      </c>
      <c r="Q8" s="20" t="str">
        <f t="shared" si="5"/>
        <v/>
      </c>
      <c r="R8" s="24" t="b">
        <v>1</v>
      </c>
      <c r="S8" s="20">
        <f t="shared" si="6"/>
        <v>45581.42025</v>
      </c>
      <c r="T8" s="7"/>
    </row>
    <row r="9" ht="22.5" hidden="1" customHeight="1">
      <c r="B9" s="7">
        <f t="shared" si="7"/>
        <v>3</v>
      </c>
      <c r="C9" s="18" t="s">
        <v>35</v>
      </c>
      <c r="D9" s="19" t="str">
        <f t="array" ref="D9">IFNA(_xlfn.XLOOKUP(C9,Table_Tarikan_Warkah[Nomor Sertipikat],Table_Tarikan_Warkah[Nomor Tiket]),"")</f>
        <v>K/3/151024/1</v>
      </c>
      <c r="E9" s="20">
        <f t="array" ref="E9">IFNA(_xlfn.XLOOKUP(C9,Table_Tarikan_Warkah[Nomor Sertipikat],Table_Tarikan_Warkah[Tanggal diserahkan kepada Validator]),"")</f>
        <v>45580.66832</v>
      </c>
      <c r="F9" s="20" t="str">
        <f t="array" ref="F9">IFNA(_xlfn.XLOOKUP(C9,Table_Tarikan_Warkah[Nomor Sertipikat],Table_Tarikan_Warkah[Nama Petugas Warkah]),"")</f>
        <v>David</v>
      </c>
      <c r="G9" s="21" t="str">
        <f t="array" ref="G9">IFNA(_xlfn.XLOOKUP(C9,Table_Tarikan_Warkah[Nomor Sertipikat],Table_Tarikan_Warkah[Jenis Permohonan]),"")</f>
        <v>PERALIHAN JUAL BELI</v>
      </c>
      <c r="H9" s="22" t="s">
        <v>31</v>
      </c>
      <c r="I9" s="22" t="s">
        <v>32</v>
      </c>
      <c r="J9" s="20">
        <f t="shared" si="1"/>
        <v>45580.47177</v>
      </c>
      <c r="K9" s="22" t="s">
        <v>33</v>
      </c>
      <c r="L9" s="22" t="s">
        <v>32</v>
      </c>
      <c r="M9" s="20">
        <f t="shared" si="2"/>
        <v>45581.41752</v>
      </c>
      <c r="N9" s="8" t="str">
        <f t="shared" si="3"/>
        <v>SELESAI</v>
      </c>
      <c r="O9" s="23">
        <f t="shared" si="4"/>
        <v>45581.41752</v>
      </c>
      <c r="P9" s="24" t="b">
        <v>0</v>
      </c>
      <c r="Q9" s="20" t="str">
        <f t="shared" si="5"/>
        <v/>
      </c>
      <c r="R9" s="24" t="b">
        <v>1</v>
      </c>
      <c r="S9" s="20">
        <f t="shared" si="6"/>
        <v>45581.42022</v>
      </c>
      <c r="T9" s="7"/>
    </row>
    <row r="10" ht="22.5" hidden="1" customHeight="1">
      <c r="B10" s="7">
        <f t="shared" si="7"/>
        <v>4</v>
      </c>
      <c r="C10" s="18" t="s">
        <v>36</v>
      </c>
      <c r="D10" s="19" t="str">
        <f t="array" ref="D10">IFNA(_xlfn.XLOOKUP(C10,Table_Tarikan_Warkah[Nomor Sertipikat],Table_Tarikan_Warkah[Nomor Tiket]),"")</f>
        <v>L/2/141024/1</v>
      </c>
      <c r="E10" s="20">
        <f t="array" ref="E10">IFNA(_xlfn.XLOOKUP(C10,Table_Tarikan_Warkah[Nomor Sertipikat],Table_Tarikan_Warkah[Tanggal diserahkan kepada Validator]),"")</f>
        <v>45579.6308</v>
      </c>
      <c r="F10" s="20" t="str">
        <f t="array" ref="F10">IFNA(_xlfn.XLOOKUP(C10,Table_Tarikan_Warkah[Nomor Sertipikat],Table_Tarikan_Warkah[Nama Petugas Warkah]),"")</f>
        <v>Berry</v>
      </c>
      <c r="G10" s="21" t="str">
        <f t="array" ref="G10">IFNA(_xlfn.XLOOKUP(C10,Table_Tarikan_Warkah[Nomor Sertipikat],Table_Tarikan_Warkah[Jenis Permohonan]),"")</f>
        <v>ROYA</v>
      </c>
      <c r="H10" s="22" t="s">
        <v>37</v>
      </c>
      <c r="I10" s="22" t="s">
        <v>32</v>
      </c>
      <c r="J10" s="20">
        <f t="shared" si="1"/>
        <v>45580.701</v>
      </c>
      <c r="K10" s="22" t="s">
        <v>33</v>
      </c>
      <c r="L10" s="22" t="s">
        <v>32</v>
      </c>
      <c r="M10" s="20">
        <f t="shared" si="2"/>
        <v>45580.72457</v>
      </c>
      <c r="N10" s="8" t="str">
        <f t="shared" si="3"/>
        <v>SELESAI</v>
      </c>
      <c r="O10" s="23">
        <f t="shared" si="4"/>
        <v>45580.72457</v>
      </c>
      <c r="P10" s="24" t="b">
        <v>0</v>
      </c>
      <c r="Q10" s="20" t="str">
        <f t="shared" si="5"/>
        <v/>
      </c>
      <c r="R10" s="24" t="b">
        <v>1</v>
      </c>
      <c r="S10" s="20">
        <f t="shared" si="6"/>
        <v>45581.42021</v>
      </c>
      <c r="T10" s="7"/>
    </row>
    <row r="11" ht="22.5" hidden="1" customHeight="1">
      <c r="B11" s="7">
        <f t="shared" si="7"/>
        <v>5</v>
      </c>
      <c r="C11" s="18" t="s">
        <v>38</v>
      </c>
      <c r="D11" s="19" t="str">
        <f t="array" ref="D11">IFNA(_xlfn.XLOOKUP(C11,Table_Tarikan_Warkah[Nomor Sertipikat],Table_Tarikan_Warkah[Nomor Tiket]),"")</f>
        <v>K/13/141024/2</v>
      </c>
      <c r="E11" s="20">
        <f t="array" ref="E11">IFNA(_xlfn.XLOOKUP(C11,Table_Tarikan_Warkah[Nomor Sertipikat],Table_Tarikan_Warkah[Tanggal diserahkan kepada Validator]),"")</f>
        <v>45579.6305</v>
      </c>
      <c r="F11" s="20" t="str">
        <f t="array" ref="F11">IFNA(_xlfn.XLOOKUP(C11,Table_Tarikan_Warkah[Nomor Sertipikat],Table_Tarikan_Warkah[Nama Petugas Warkah]),"")</f>
        <v>Berry</v>
      </c>
      <c r="G11" s="21" t="str">
        <f t="array" ref="G11">IFNA(_xlfn.XLOOKUP(C11,Table_Tarikan_Warkah[Nomor Sertipikat],Table_Tarikan_Warkah[Jenis Permohonan]),"")</f>
        <v>ROYA</v>
      </c>
      <c r="H11" s="22" t="s">
        <v>37</v>
      </c>
      <c r="I11" s="22" t="s">
        <v>32</v>
      </c>
      <c r="J11" s="20">
        <f t="shared" si="1"/>
        <v>45580.701</v>
      </c>
      <c r="K11" s="22" t="s">
        <v>33</v>
      </c>
      <c r="L11" s="22" t="s">
        <v>32</v>
      </c>
      <c r="M11" s="20">
        <f t="shared" si="2"/>
        <v>45580.72457</v>
      </c>
      <c r="N11" s="8" t="str">
        <f t="shared" si="3"/>
        <v>SELESAI</v>
      </c>
      <c r="O11" s="23">
        <f t="shared" si="4"/>
        <v>45580.72457</v>
      </c>
      <c r="P11" s="24" t="b">
        <v>0</v>
      </c>
      <c r="Q11" s="20" t="str">
        <f t="shared" si="5"/>
        <v/>
      </c>
      <c r="R11" s="24" t="b">
        <v>1</v>
      </c>
      <c r="S11" s="20">
        <f t="shared" si="6"/>
        <v>45581.42018</v>
      </c>
      <c r="T11" s="7"/>
    </row>
    <row r="12" ht="22.5" hidden="1" customHeight="1">
      <c r="B12" s="7">
        <f t="shared" si="7"/>
        <v>6</v>
      </c>
      <c r="C12" s="18" t="s">
        <v>39</v>
      </c>
      <c r="D12" s="19" t="str">
        <f t="array" ref="D12">IFNA(_xlfn.XLOOKUP(C12,Table_Tarikan_Warkah[Nomor Sertipikat],Table_Tarikan_Warkah[Nomor Tiket]),"")</f>
        <v>K/14/141024/3</v>
      </c>
      <c r="E12" s="20">
        <f t="array" ref="E12">IFNA(_xlfn.XLOOKUP(C12,Table_Tarikan_Warkah[Nomor Sertipikat],Table_Tarikan_Warkah[Tanggal diserahkan kepada Validator]),"")</f>
        <v>45579.63061</v>
      </c>
      <c r="F12" s="20" t="str">
        <f t="array" ref="F12">IFNA(_xlfn.XLOOKUP(C12,Table_Tarikan_Warkah[Nomor Sertipikat],Table_Tarikan_Warkah[Nama Petugas Warkah]),"")</f>
        <v>Berry</v>
      </c>
      <c r="G12" s="21" t="str">
        <f t="array" ref="G12">IFNA(_xlfn.XLOOKUP(C12,Table_Tarikan_Warkah[Nomor Sertipikat],Table_Tarikan_Warkah[Jenis Permohonan]),"")</f>
        <v>ROYA</v>
      </c>
      <c r="H12" s="22" t="s">
        <v>37</v>
      </c>
      <c r="I12" s="22" t="s">
        <v>32</v>
      </c>
      <c r="J12" s="20">
        <f t="shared" si="1"/>
        <v>45580.701</v>
      </c>
      <c r="K12" s="22" t="s">
        <v>33</v>
      </c>
      <c r="L12" s="22" t="s">
        <v>32</v>
      </c>
      <c r="M12" s="20">
        <f t="shared" si="2"/>
        <v>45581.42008</v>
      </c>
      <c r="N12" s="8" t="str">
        <f t="shared" si="3"/>
        <v>SELESAI</v>
      </c>
      <c r="O12" s="23">
        <f t="shared" si="4"/>
        <v>45581.42008</v>
      </c>
      <c r="P12" s="24" t="b">
        <v>0</v>
      </c>
      <c r="Q12" s="20" t="str">
        <f t="shared" si="5"/>
        <v/>
      </c>
      <c r="R12" s="24" t="b">
        <v>1</v>
      </c>
      <c r="S12" s="20">
        <f t="shared" si="6"/>
        <v>45581.42012</v>
      </c>
      <c r="T12" s="7"/>
    </row>
    <row r="13" ht="22.5" hidden="1" customHeight="1">
      <c r="B13" s="7">
        <f t="shared" si="7"/>
        <v>7</v>
      </c>
      <c r="C13" s="18" t="s">
        <v>40</v>
      </c>
      <c r="D13" s="19" t="str">
        <f t="array" ref="D13">IFNA(_xlfn.XLOOKUP(C13,Table_Tarikan_Warkah[Nomor Sertipikat],Table_Tarikan_Warkah[Nomor Tiket]),"")</f>
        <v>K/28/141024/1</v>
      </c>
      <c r="E13" s="20">
        <f t="array" ref="E13">IFNA(_xlfn.XLOOKUP(C13,Table_Tarikan_Warkah[Nomor Sertipikat],Table_Tarikan_Warkah[Tanggal diserahkan kepada Validator]),"")</f>
        <v>45579.63017</v>
      </c>
      <c r="F13" s="20" t="str">
        <f t="array" ref="F13">IFNA(_xlfn.XLOOKUP(C13,Table_Tarikan_Warkah[Nomor Sertipikat],Table_Tarikan_Warkah[Nama Petugas Warkah]),"")</f>
        <v>Berry</v>
      </c>
      <c r="G13" s="21" t="str">
        <f t="array" ref="G13">IFNA(_xlfn.XLOOKUP(C13,Table_Tarikan_Warkah[Nomor Sertipikat],Table_Tarikan_Warkah[Jenis Permohonan]),"")</f>
        <v>PERALIHAN JUAL BELI</v>
      </c>
      <c r="H13" s="22" t="s">
        <v>37</v>
      </c>
      <c r="I13" s="22" t="s">
        <v>32</v>
      </c>
      <c r="J13" s="20">
        <f t="shared" si="1"/>
        <v>45580.701</v>
      </c>
      <c r="K13" s="22" t="s">
        <v>33</v>
      </c>
      <c r="L13" s="22" t="s">
        <v>32</v>
      </c>
      <c r="M13" s="20">
        <f t="shared" si="2"/>
        <v>45580.72457</v>
      </c>
      <c r="N13" s="8" t="str">
        <f t="shared" si="3"/>
        <v>SELESAI</v>
      </c>
      <c r="O13" s="23">
        <f t="shared" si="4"/>
        <v>45580.72457</v>
      </c>
      <c r="P13" s="24" t="b">
        <v>0</v>
      </c>
      <c r="Q13" s="20" t="str">
        <f t="shared" si="5"/>
        <v/>
      </c>
      <c r="R13" s="24" t="b">
        <v>1</v>
      </c>
      <c r="S13" s="20">
        <f t="shared" si="6"/>
        <v>45581.4198</v>
      </c>
      <c r="T13" s="7"/>
    </row>
    <row r="14" ht="22.5" hidden="1" customHeight="1">
      <c r="B14" s="7">
        <f t="shared" si="7"/>
        <v>8</v>
      </c>
      <c r="C14" s="18" t="s">
        <v>41</v>
      </c>
      <c r="D14" s="19" t="str">
        <f t="array" ref="D14">IFNA(_xlfn.XLOOKUP(C14,Table_Tarikan_Warkah[Nomor Sertipikat],Table_Tarikan_Warkah[Nomor Tiket]),"")</f>
        <v>K/9/141024/1</v>
      </c>
      <c r="E14" s="20">
        <f t="array" ref="E14">IFNA(_xlfn.XLOOKUP(C14,Table_Tarikan_Warkah[Nomor Sertipikat],Table_Tarikan_Warkah[Tanggal diserahkan kepada Validator]),"")</f>
        <v>45579.62989</v>
      </c>
      <c r="F14" s="20" t="str">
        <f t="array" ref="F14">IFNA(_xlfn.XLOOKUP(C14,Table_Tarikan_Warkah[Nomor Sertipikat],Table_Tarikan_Warkah[Nama Petugas Warkah]),"")</f>
        <v>Berry</v>
      </c>
      <c r="G14" s="21" t="str">
        <f t="array" ref="G14">IFNA(_xlfn.XLOOKUP(C14,Table_Tarikan_Warkah[Nomor Sertipikat],Table_Tarikan_Warkah[Jenis Permohonan]),"")</f>
        <v>ROYA</v>
      </c>
      <c r="H14" s="22" t="s">
        <v>37</v>
      </c>
      <c r="I14" s="22" t="s">
        <v>32</v>
      </c>
      <c r="J14" s="20">
        <f t="shared" si="1"/>
        <v>45580.701</v>
      </c>
      <c r="K14" s="22" t="s">
        <v>33</v>
      </c>
      <c r="L14" s="22" t="s">
        <v>32</v>
      </c>
      <c r="M14" s="20">
        <f t="shared" si="2"/>
        <v>45580.72457</v>
      </c>
      <c r="N14" s="8" t="str">
        <f t="shared" si="3"/>
        <v>SELESAI</v>
      </c>
      <c r="O14" s="23">
        <f t="shared" si="4"/>
        <v>45580.72457</v>
      </c>
      <c r="P14" s="24" t="b">
        <v>0</v>
      </c>
      <c r="Q14" s="20" t="str">
        <f t="shared" si="5"/>
        <v/>
      </c>
      <c r="R14" s="24" t="b">
        <v>1</v>
      </c>
      <c r="S14" s="20">
        <f t="shared" si="6"/>
        <v>45581.41975</v>
      </c>
      <c r="T14" s="7"/>
    </row>
    <row r="15" ht="22.5" hidden="1" customHeight="1">
      <c r="B15" s="7">
        <f t="shared" si="7"/>
        <v>9</v>
      </c>
      <c r="C15" s="18" t="s">
        <v>42</v>
      </c>
      <c r="D15" s="19" t="str">
        <f t="array" ref="D15">IFNA(_xlfn.XLOOKUP(C15,Table_Tarikan_Warkah[Nomor Sertipikat],Table_Tarikan_Warkah[Nomor Tiket]),"")</f>
        <v>L/17/141024/1</v>
      </c>
      <c r="E15" s="20">
        <f t="array" ref="E15">IFNA(_xlfn.XLOOKUP(C15,Table_Tarikan_Warkah[Nomor Sertipikat],Table_Tarikan_Warkah[Tanggal diserahkan kepada Validator]),"")</f>
        <v>45579.62965</v>
      </c>
      <c r="F15" s="20" t="str">
        <f t="array" ref="F15">IFNA(_xlfn.XLOOKUP(C15,Table_Tarikan_Warkah[Nomor Sertipikat],Table_Tarikan_Warkah[Nama Petugas Warkah]),"")</f>
        <v>Berry</v>
      </c>
      <c r="G15" s="21" t="str">
        <f t="array" ref="G15">IFNA(_xlfn.XLOOKUP(C15,Table_Tarikan_Warkah[Nomor Sertipikat],Table_Tarikan_Warkah[Jenis Permohonan]),"")</f>
        <v>ROYA</v>
      </c>
      <c r="H15" s="22" t="s">
        <v>37</v>
      </c>
      <c r="I15" s="22" t="s">
        <v>32</v>
      </c>
      <c r="J15" s="20">
        <f t="shared" si="1"/>
        <v>45580.701</v>
      </c>
      <c r="K15" s="22" t="s">
        <v>33</v>
      </c>
      <c r="L15" s="22" t="s">
        <v>32</v>
      </c>
      <c r="M15" s="20">
        <f t="shared" si="2"/>
        <v>45580.72513</v>
      </c>
      <c r="N15" s="8" t="str">
        <f t="shared" si="3"/>
        <v>SELESAI</v>
      </c>
      <c r="O15" s="23">
        <f t="shared" si="4"/>
        <v>45580.72513</v>
      </c>
      <c r="P15" s="24" t="b">
        <v>1</v>
      </c>
      <c r="Q15" s="20">
        <f t="shared" si="5"/>
        <v>45616.43109</v>
      </c>
      <c r="R15" s="24" t="s">
        <v>43</v>
      </c>
      <c r="S15" s="7" t="str">
        <f t="shared" si="6"/>
        <v/>
      </c>
      <c r="T15" s="7"/>
    </row>
    <row r="16" ht="22.5" hidden="1" customHeight="1">
      <c r="B16" s="7">
        <f t="shared" si="7"/>
        <v>10</v>
      </c>
      <c r="C16" s="18" t="s">
        <v>44</v>
      </c>
      <c r="D16" s="19" t="str">
        <f t="array" ref="D16">IFNA(_xlfn.XLOOKUP(C16,Table_Tarikan_Warkah[Nomor Sertipikat],Table_Tarikan_Warkah[Nomor Tiket]),"")</f>
        <v>K/30/141024/1</v>
      </c>
      <c r="E16" s="20">
        <f t="array" ref="E16">IFNA(_xlfn.XLOOKUP(C16,Table_Tarikan_Warkah[Nomor Sertipikat],Table_Tarikan_Warkah[Tanggal diserahkan kepada Validator]),"")</f>
        <v>45579.63193</v>
      </c>
      <c r="F16" s="20" t="str">
        <f t="array" ref="F16">IFNA(_xlfn.XLOOKUP(C16,Table_Tarikan_Warkah[Nomor Sertipikat],Table_Tarikan_Warkah[Nama Petugas Warkah]),"")</f>
        <v>Berry</v>
      </c>
      <c r="G16" s="21" t="str">
        <f t="array" ref="G16">IFNA(_xlfn.XLOOKUP(C16,Table_Tarikan_Warkah[Nomor Sertipikat],Table_Tarikan_Warkah[Jenis Permohonan]),"")</f>
        <v>ROYA</v>
      </c>
      <c r="H16" s="22" t="s">
        <v>37</v>
      </c>
      <c r="I16" s="22" t="s">
        <v>32</v>
      </c>
      <c r="J16" s="20">
        <f t="shared" si="1"/>
        <v>45580.701</v>
      </c>
      <c r="K16" s="22" t="s">
        <v>33</v>
      </c>
      <c r="L16" s="22" t="s">
        <v>32</v>
      </c>
      <c r="M16" s="20">
        <f t="shared" si="2"/>
        <v>45581.41954</v>
      </c>
      <c r="N16" s="8" t="str">
        <f t="shared" si="3"/>
        <v>SELESAI</v>
      </c>
      <c r="O16" s="23">
        <f t="shared" si="4"/>
        <v>45581.41954</v>
      </c>
      <c r="P16" s="24" t="b">
        <v>0</v>
      </c>
      <c r="Q16" s="20" t="str">
        <f t="shared" si="5"/>
        <v/>
      </c>
      <c r="R16" s="24" t="b">
        <v>1</v>
      </c>
      <c r="S16" s="20">
        <f t="shared" si="6"/>
        <v>45581.41958</v>
      </c>
      <c r="T16" s="7"/>
    </row>
    <row r="17" ht="22.5" hidden="1" customHeight="1">
      <c r="B17" s="7">
        <f t="shared" si="7"/>
        <v>11</v>
      </c>
      <c r="C17" s="18" t="s">
        <v>45</v>
      </c>
      <c r="D17" s="19" t="str">
        <f t="array" ref="D17">IFNA(_xlfn.XLOOKUP(C17,Table_Tarikan_Warkah[Nomor Sertipikat],Table_Tarikan_Warkah[Nomor Tiket]),"")</f>
        <v>L/5/141024/1</v>
      </c>
      <c r="E17" s="20">
        <f t="array" ref="E17">IFNA(_xlfn.XLOOKUP(C17,Table_Tarikan_Warkah[Nomor Sertipikat],Table_Tarikan_Warkah[Tanggal diserahkan kepada Validator]),"")</f>
        <v>45579.6289</v>
      </c>
      <c r="F17" s="20" t="str">
        <f t="array" ref="F17">IFNA(_xlfn.XLOOKUP(C17,Table_Tarikan_Warkah[Nomor Sertipikat],Table_Tarikan_Warkah[Nama Petugas Warkah]),"")</f>
        <v>Berry</v>
      </c>
      <c r="G17" s="21" t="str">
        <f t="array" ref="G17">IFNA(_xlfn.XLOOKUP(C17,Table_Tarikan_Warkah[Nomor Sertipikat],Table_Tarikan_Warkah[Jenis Permohonan]),"")</f>
        <v>ROYA</v>
      </c>
      <c r="H17" s="22" t="s">
        <v>37</v>
      </c>
      <c r="I17" s="22" t="s">
        <v>32</v>
      </c>
      <c r="J17" s="20">
        <f t="shared" si="1"/>
        <v>45580.701</v>
      </c>
      <c r="K17" s="22" t="s">
        <v>33</v>
      </c>
      <c r="L17" s="22" t="s">
        <v>32</v>
      </c>
      <c r="M17" s="20">
        <f t="shared" si="2"/>
        <v>45580.72572</v>
      </c>
      <c r="N17" s="8" t="str">
        <f t="shared" si="3"/>
        <v>SELESAI</v>
      </c>
      <c r="O17" s="23">
        <f t="shared" si="4"/>
        <v>45580.72572</v>
      </c>
      <c r="P17" s="24" t="b">
        <v>0</v>
      </c>
      <c r="Q17" s="20" t="str">
        <f t="shared" si="5"/>
        <v/>
      </c>
      <c r="R17" s="24" t="b">
        <v>1</v>
      </c>
      <c r="S17" s="20">
        <f t="shared" si="6"/>
        <v>45581.41869</v>
      </c>
      <c r="T17" s="7"/>
    </row>
    <row r="18" ht="22.5" hidden="1" customHeight="1">
      <c r="B18" s="7">
        <f t="shared" si="7"/>
        <v>12</v>
      </c>
      <c r="C18" s="18" t="s">
        <v>46</v>
      </c>
      <c r="D18" s="19" t="str">
        <f t="array" ref="D18">IFNA(_xlfn.XLOOKUP(C18,Table_Tarikan_Warkah[Nomor Sertipikat],Table_Tarikan_Warkah[Nomor Tiket]),"")</f>
        <v>K/25/141024/3</v>
      </c>
      <c r="E18" s="20">
        <f t="array" ref="E18">IFNA(_xlfn.XLOOKUP(C18,Table_Tarikan_Warkah[Nomor Sertipikat],Table_Tarikan_Warkah[Tanggal diserahkan kepada Validator]),"")</f>
        <v>45579.62857</v>
      </c>
      <c r="F18" s="20" t="str">
        <f t="array" ref="F18">IFNA(_xlfn.XLOOKUP(C18,Table_Tarikan_Warkah[Nomor Sertipikat],Table_Tarikan_Warkah[Nama Petugas Warkah]),"")</f>
        <v>Berry</v>
      </c>
      <c r="G18" s="21" t="str">
        <f t="array" ref="G18">IFNA(_xlfn.XLOOKUP(C18,Table_Tarikan_Warkah[Nomor Sertipikat],Table_Tarikan_Warkah[Jenis Permohonan]),"")</f>
        <v>PERALIHAN JUAL BELI</v>
      </c>
      <c r="H18" s="22" t="s">
        <v>37</v>
      </c>
      <c r="I18" s="22" t="s">
        <v>32</v>
      </c>
      <c r="J18" s="20">
        <f t="shared" si="1"/>
        <v>45580.701</v>
      </c>
      <c r="K18" s="22" t="s">
        <v>33</v>
      </c>
      <c r="L18" s="22" t="s">
        <v>32</v>
      </c>
      <c r="M18" s="20">
        <f t="shared" si="2"/>
        <v>45580.72651</v>
      </c>
      <c r="N18" s="8" t="str">
        <f t="shared" si="3"/>
        <v>SELESAI</v>
      </c>
      <c r="O18" s="23">
        <f t="shared" si="4"/>
        <v>45580.72651</v>
      </c>
      <c r="P18" s="24" t="b">
        <v>1</v>
      </c>
      <c r="Q18" s="20">
        <f t="shared" si="5"/>
        <v>45636.70676</v>
      </c>
      <c r="R18" s="24" t="b">
        <v>1</v>
      </c>
      <c r="S18" s="20">
        <f t="shared" si="6"/>
        <v>45581.41868</v>
      </c>
      <c r="T18" s="7"/>
    </row>
    <row r="19" ht="22.5" hidden="1" customHeight="1">
      <c r="B19" s="7">
        <f t="shared" si="7"/>
        <v>13</v>
      </c>
      <c r="C19" s="18" t="s">
        <v>47</v>
      </c>
      <c r="D19" s="19" t="str">
        <f t="array" ref="D19">IFNA(_xlfn.XLOOKUP(C19,Table_Tarikan_Warkah[Nomor Sertipikat],Table_Tarikan_Warkah[Nomor Tiket]),"")</f>
        <v>K/5/151024/2</v>
      </c>
      <c r="E19" s="20">
        <f t="array" ref="E19">IFNA(_xlfn.XLOOKUP(C19,Table_Tarikan_Warkah[Nomor Sertipikat],Table_Tarikan_Warkah[Tanggal diserahkan kepada Validator]),"")</f>
        <v>45580.66878</v>
      </c>
      <c r="F19" s="20" t="str">
        <f t="array" ref="F19">IFNA(_xlfn.XLOOKUP(C19,Table_Tarikan_Warkah[Nomor Sertipikat],Table_Tarikan_Warkah[Nama Petugas Warkah]),"")</f>
        <v>David</v>
      </c>
      <c r="G19" s="21" t="str">
        <f t="array" ref="G19">IFNA(_xlfn.XLOOKUP(C19,Table_Tarikan_Warkah[Nomor Sertipikat],Table_Tarikan_Warkah[Jenis Permohonan]),"")</f>
        <v>Roya</v>
      </c>
      <c r="H19" s="22" t="s">
        <v>37</v>
      </c>
      <c r="I19" s="22" t="s">
        <v>32</v>
      </c>
      <c r="J19" s="20">
        <f t="shared" si="1"/>
        <v>45580.701</v>
      </c>
      <c r="K19" s="22" t="s">
        <v>33</v>
      </c>
      <c r="L19" s="22" t="s">
        <v>32</v>
      </c>
      <c r="M19" s="20">
        <f t="shared" si="2"/>
        <v>45580.72717</v>
      </c>
      <c r="N19" s="8" t="str">
        <f t="shared" si="3"/>
        <v>SELESAI</v>
      </c>
      <c r="O19" s="23">
        <f t="shared" si="4"/>
        <v>45580.72717</v>
      </c>
      <c r="P19" s="24" t="b">
        <v>0</v>
      </c>
      <c r="Q19" s="20" t="str">
        <f t="shared" si="5"/>
        <v/>
      </c>
      <c r="R19" s="24" t="b">
        <v>1</v>
      </c>
      <c r="S19" s="20">
        <f t="shared" si="6"/>
        <v>45581.41861</v>
      </c>
      <c r="T19" s="7"/>
    </row>
    <row r="20" ht="22.5" hidden="1" customHeight="1">
      <c r="B20" s="7">
        <f t="shared" si="7"/>
        <v>14</v>
      </c>
      <c r="C20" s="18" t="s">
        <v>48</v>
      </c>
      <c r="D20" s="19" t="str">
        <f t="array" ref="D20">IFNA(_xlfn.XLOOKUP(C20,Table_Tarikan_Warkah[Nomor Sertipikat],Table_Tarikan_Warkah[Nomor Tiket]),"")</f>
        <v>K/36/141024/1</v>
      </c>
      <c r="E20" s="20">
        <f t="array" ref="E20">IFNA(_xlfn.XLOOKUP(C20,Table_Tarikan_Warkah[Nomor Sertipikat],Table_Tarikan_Warkah[Tanggal diserahkan kepada Validator]),"")</f>
        <v>45580.66795</v>
      </c>
      <c r="F20" s="20" t="str">
        <f t="array" ref="F20">IFNA(_xlfn.XLOOKUP(C20,Table_Tarikan_Warkah[Nomor Sertipikat],Table_Tarikan_Warkah[Nama Petugas Warkah]),"")</f>
        <v>David</v>
      </c>
      <c r="G20" s="21" t="str">
        <f t="array" ref="G20">IFNA(_xlfn.XLOOKUP(C20,Table_Tarikan_Warkah[Nomor Sertipikat],Table_Tarikan_Warkah[Jenis Permohonan]),"")</f>
        <v>PERALIHAN JUAL BELI</v>
      </c>
      <c r="H20" s="22" t="s">
        <v>37</v>
      </c>
      <c r="I20" s="22" t="s">
        <v>32</v>
      </c>
      <c r="J20" s="20">
        <f t="shared" si="1"/>
        <v>45580.701</v>
      </c>
      <c r="K20" s="22" t="s">
        <v>33</v>
      </c>
      <c r="L20" s="22" t="s">
        <v>32</v>
      </c>
      <c r="M20" s="20">
        <f t="shared" si="2"/>
        <v>45580.72771</v>
      </c>
      <c r="N20" s="8" t="str">
        <f t="shared" si="3"/>
        <v>SELESAI</v>
      </c>
      <c r="O20" s="23">
        <f t="shared" si="4"/>
        <v>45580.72771</v>
      </c>
      <c r="P20" s="24" t="b">
        <v>0</v>
      </c>
      <c r="Q20" s="20" t="str">
        <f t="shared" si="5"/>
        <v/>
      </c>
      <c r="R20" s="24" t="b">
        <v>1</v>
      </c>
      <c r="S20" s="20">
        <f t="shared" si="6"/>
        <v>45581.41859</v>
      </c>
      <c r="T20" s="7"/>
    </row>
    <row r="21" ht="22.5" hidden="1" customHeight="1">
      <c r="B21" s="7">
        <f t="shared" si="7"/>
        <v>15</v>
      </c>
      <c r="C21" s="18" t="s">
        <v>49</v>
      </c>
      <c r="D21" s="19" t="str">
        <f t="array" ref="D21">IFNA(_xlfn.XLOOKUP(C21,Table_Tarikan_Warkah[Nomor Sertipikat],Table_Tarikan_Warkah[Nomor Tiket]),"")</f>
        <v>K/6/151024/1</v>
      </c>
      <c r="E21" s="20">
        <f t="array" ref="E21">IFNA(_xlfn.XLOOKUP(C21,Table_Tarikan_Warkah[Nomor Sertipikat],Table_Tarikan_Warkah[Tanggal diserahkan kepada Validator]),"")</f>
        <v>45580.66749</v>
      </c>
      <c r="F21" s="20" t="str">
        <f t="array" ref="F21">IFNA(_xlfn.XLOOKUP(C21,Table_Tarikan_Warkah[Nomor Sertipikat],Table_Tarikan_Warkah[Nama Petugas Warkah]),"")</f>
        <v>David</v>
      </c>
      <c r="G21" s="21" t="str">
        <f t="array" ref="G21">IFNA(_xlfn.XLOOKUP(C21,Table_Tarikan_Warkah[Nomor Sertipikat],Table_Tarikan_Warkah[Jenis Permohonan]),"")</f>
        <v>BN Jual Beli</v>
      </c>
      <c r="H21" s="22" t="s">
        <v>37</v>
      </c>
      <c r="I21" s="22" t="s">
        <v>32</v>
      </c>
      <c r="J21" s="20">
        <f t="shared" si="1"/>
        <v>45580.701</v>
      </c>
      <c r="K21" s="22" t="s">
        <v>33</v>
      </c>
      <c r="L21" s="22" t="s">
        <v>32</v>
      </c>
      <c r="M21" s="20">
        <f t="shared" si="2"/>
        <v>45580.701</v>
      </c>
      <c r="N21" s="8" t="str">
        <f t="shared" si="3"/>
        <v>SELESAI</v>
      </c>
      <c r="O21" s="23">
        <f t="shared" si="4"/>
        <v>45580.701</v>
      </c>
      <c r="P21" s="24" t="b">
        <v>0</v>
      </c>
      <c r="Q21" s="20" t="str">
        <f t="shared" si="5"/>
        <v/>
      </c>
      <c r="R21" s="24" t="b">
        <v>1</v>
      </c>
      <c r="S21" s="20">
        <f t="shared" si="6"/>
        <v>45581.41855</v>
      </c>
      <c r="T21" s="7"/>
    </row>
    <row r="22" ht="22.5" hidden="1" customHeight="1">
      <c r="B22" s="7">
        <f t="shared" si="7"/>
        <v>16</v>
      </c>
      <c r="C22" s="18" t="s">
        <v>50</v>
      </c>
      <c r="D22" s="19" t="str">
        <f t="array" ref="D22">IFNA(_xlfn.XLOOKUP(C22,Table_Tarikan_Warkah[Nomor Sertipikat],Table_Tarikan_Warkah[Nomor Tiket]),"")</f>
        <v>K/41/141024/1</v>
      </c>
      <c r="E22" s="20">
        <f t="array" ref="E22">IFNA(_xlfn.XLOOKUP(C22,Table_Tarikan_Warkah[Nomor Sertipikat],Table_Tarikan_Warkah[Tanggal diserahkan kepada Validator]),"")</f>
        <v>45580.66824</v>
      </c>
      <c r="F22" s="20" t="str">
        <f t="array" ref="F22">IFNA(_xlfn.XLOOKUP(C22,Table_Tarikan_Warkah[Nomor Sertipikat],Table_Tarikan_Warkah[Nama Petugas Warkah]),"")</f>
        <v>David</v>
      </c>
      <c r="G22" s="21" t="str">
        <f t="array" ref="G22">IFNA(_xlfn.XLOOKUP(C22,Table_Tarikan_Warkah[Nomor Sertipikat],Table_Tarikan_Warkah[Jenis Permohonan]),"")</f>
        <v>ROYA</v>
      </c>
      <c r="H22" s="22" t="s">
        <v>37</v>
      </c>
      <c r="I22" s="22" t="s">
        <v>32</v>
      </c>
      <c r="J22" s="20">
        <f t="shared" si="1"/>
        <v>45580.701</v>
      </c>
      <c r="K22" s="22" t="s">
        <v>33</v>
      </c>
      <c r="L22" s="22" t="s">
        <v>32</v>
      </c>
      <c r="M22" s="20">
        <f t="shared" si="2"/>
        <v>45580.701</v>
      </c>
      <c r="N22" s="8" t="str">
        <f t="shared" si="3"/>
        <v>SELESAI</v>
      </c>
      <c r="O22" s="23">
        <f t="shared" si="4"/>
        <v>45580.701</v>
      </c>
      <c r="P22" s="24" t="b">
        <v>0</v>
      </c>
      <c r="Q22" s="20" t="str">
        <f t="shared" si="5"/>
        <v/>
      </c>
      <c r="R22" s="24" t="b">
        <v>1</v>
      </c>
      <c r="S22" s="20">
        <f t="shared" si="6"/>
        <v>45581.41854</v>
      </c>
      <c r="T22" s="7"/>
    </row>
    <row r="23" ht="22.5" hidden="1" customHeight="1">
      <c r="B23" s="7">
        <f t="shared" si="7"/>
        <v>17</v>
      </c>
      <c r="C23" s="18" t="s">
        <v>51</v>
      </c>
      <c r="D23" s="19" t="str">
        <f t="array" ref="D23">IFNA(_xlfn.XLOOKUP(C23,Table_Tarikan_Warkah[Nomor Sertipikat],Table_Tarikan_Warkah[Nomor Tiket]),"")</f>
        <v>L/10/151024/1</v>
      </c>
      <c r="E23" s="20">
        <f t="array" ref="E23">IFNA(_xlfn.XLOOKUP(C23,Table_Tarikan_Warkah[Nomor Sertipikat],Table_Tarikan_Warkah[Tanggal diserahkan kepada Validator]),"")</f>
        <v>45580.45984</v>
      </c>
      <c r="F23" s="20" t="str">
        <f t="array" ref="F23">IFNA(_xlfn.XLOOKUP(C23,Table_Tarikan_Warkah[Nomor Sertipikat],Table_Tarikan_Warkah[Nama Petugas Warkah]),"")</f>
        <v>David</v>
      </c>
      <c r="G23" s="21" t="str">
        <f t="array" ref="G23">IFNA(_xlfn.XLOOKUP(C23,Table_Tarikan_Warkah[Nomor Sertipikat],Table_Tarikan_Warkah[Jenis Permohonan]),"")</f>
        <v>PERUBAHAN HAK</v>
      </c>
      <c r="H23" s="22" t="s">
        <v>37</v>
      </c>
      <c r="I23" s="22" t="s">
        <v>32</v>
      </c>
      <c r="J23" s="20">
        <f t="shared" si="1"/>
        <v>45580.701</v>
      </c>
      <c r="K23" s="22" t="s">
        <v>33</v>
      </c>
      <c r="L23" s="22" t="s">
        <v>32</v>
      </c>
      <c r="M23" s="20">
        <f t="shared" si="2"/>
        <v>45580.72457</v>
      </c>
      <c r="N23" s="8" t="str">
        <f t="shared" si="3"/>
        <v>SELESAI</v>
      </c>
      <c r="O23" s="23">
        <f t="shared" si="4"/>
        <v>45580.72457</v>
      </c>
      <c r="P23" s="24" t="b">
        <v>1</v>
      </c>
      <c r="Q23" s="20">
        <f t="shared" si="5"/>
        <v>45593.59903</v>
      </c>
      <c r="R23" s="24" t="b">
        <v>1</v>
      </c>
      <c r="S23" s="20">
        <f t="shared" si="6"/>
        <v>45581.41852</v>
      </c>
      <c r="T23" s="7"/>
    </row>
    <row r="24" ht="22.5" hidden="1" customHeight="1">
      <c r="B24" s="7">
        <f t="shared" si="7"/>
        <v>18</v>
      </c>
      <c r="C24" s="18" t="s">
        <v>52</v>
      </c>
      <c r="D24" s="19" t="str">
        <f t="array" ref="D24">IFNA(_xlfn.XLOOKUP(C24,Table_Tarikan_Warkah[Nomor Sertipikat],Table_Tarikan_Warkah[Nomor Tiket]),"")</f>
        <v>K/4/151024/1</v>
      </c>
      <c r="E24" s="20">
        <f t="array" ref="E24">IFNA(_xlfn.XLOOKUP(C24,Table_Tarikan_Warkah[Nomor Sertipikat],Table_Tarikan_Warkah[Tanggal diserahkan kepada Validator]),"")</f>
        <v>45580.66873</v>
      </c>
      <c r="F24" s="20" t="str">
        <f t="array" ref="F24">IFNA(_xlfn.XLOOKUP(C24,Table_Tarikan_Warkah[Nomor Sertipikat],Table_Tarikan_Warkah[Nama Petugas Warkah]),"")</f>
        <v>David</v>
      </c>
      <c r="G24" s="21" t="str">
        <f t="array" ref="G24">IFNA(_xlfn.XLOOKUP(C24,Table_Tarikan_Warkah[Nomor Sertipikat],Table_Tarikan_Warkah[Jenis Permohonan]),"")</f>
        <v>Roya</v>
      </c>
      <c r="H24" s="22" t="s">
        <v>31</v>
      </c>
      <c r="I24" s="22" t="s">
        <v>32</v>
      </c>
      <c r="J24" s="20">
        <f t="shared" si="1"/>
        <v>45580.701</v>
      </c>
      <c r="K24" s="22" t="s">
        <v>33</v>
      </c>
      <c r="L24" s="22" t="s">
        <v>32</v>
      </c>
      <c r="M24" s="20">
        <f t="shared" si="2"/>
        <v>45581.41527</v>
      </c>
      <c r="N24" s="8" t="str">
        <f t="shared" si="3"/>
        <v>SELESAI</v>
      </c>
      <c r="O24" s="23">
        <f t="shared" si="4"/>
        <v>45581.41527</v>
      </c>
      <c r="P24" s="24" t="b">
        <v>0</v>
      </c>
      <c r="Q24" s="20" t="str">
        <f t="shared" si="5"/>
        <v/>
      </c>
      <c r="R24" s="24" t="b">
        <v>1</v>
      </c>
      <c r="S24" s="20">
        <f t="shared" si="6"/>
        <v>45581.4185</v>
      </c>
      <c r="T24" s="25" t="s">
        <v>53</v>
      </c>
    </row>
    <row r="25" ht="22.5" hidden="1" customHeight="1">
      <c r="B25" s="7">
        <f t="shared" si="7"/>
        <v>19</v>
      </c>
      <c r="C25" s="18" t="s">
        <v>54</v>
      </c>
      <c r="D25" s="19" t="str">
        <f t="array" ref="D25">IFNA(_xlfn.XLOOKUP(C25,Table_Tarikan_Warkah[Nomor Sertipikat],Table_Tarikan_Warkah[Nomor Tiket]),"")</f>
        <v>K/26/141024/1</v>
      </c>
      <c r="E25" s="20">
        <f t="array" ref="E25">IFNA(_xlfn.XLOOKUP(C25,Table_Tarikan_Warkah[Nomor Sertipikat],Table_Tarikan_Warkah[Tanggal diserahkan kepada Validator]),"")</f>
        <v>45579.62709</v>
      </c>
      <c r="F25" s="20" t="str">
        <f t="array" ref="F25">IFNA(_xlfn.XLOOKUP(C25,Table_Tarikan_Warkah[Nomor Sertipikat],Table_Tarikan_Warkah[Nama Petugas Warkah]),"")</f>
        <v>Berry</v>
      </c>
      <c r="G25" s="21" t="str">
        <f t="array" ref="G25">IFNA(_xlfn.XLOOKUP(C25,Table_Tarikan_Warkah[Nomor Sertipikat],Table_Tarikan_Warkah[Jenis Permohonan]),"")</f>
        <v>PERALIHAN JUAL BELI</v>
      </c>
      <c r="H25" s="22" t="s">
        <v>31</v>
      </c>
      <c r="I25" s="22" t="s">
        <v>32</v>
      </c>
      <c r="J25" s="20">
        <f t="shared" si="1"/>
        <v>45580.701</v>
      </c>
      <c r="K25" s="22" t="s">
        <v>33</v>
      </c>
      <c r="L25" s="22" t="s">
        <v>32</v>
      </c>
      <c r="M25" s="20">
        <f t="shared" si="2"/>
        <v>45581.41712</v>
      </c>
      <c r="N25" s="8" t="str">
        <f t="shared" si="3"/>
        <v>SELESAI</v>
      </c>
      <c r="O25" s="23">
        <f t="shared" si="4"/>
        <v>45581.41712</v>
      </c>
      <c r="P25" s="24" t="b">
        <v>0</v>
      </c>
      <c r="Q25" s="20" t="str">
        <f t="shared" si="5"/>
        <v/>
      </c>
      <c r="R25" s="24" t="b">
        <v>1</v>
      </c>
      <c r="S25" s="20">
        <f t="shared" si="6"/>
        <v>45581.4185</v>
      </c>
      <c r="T25" s="7"/>
    </row>
    <row r="26" ht="22.5" hidden="1" customHeight="1">
      <c r="B26" s="7">
        <f t="shared" si="7"/>
        <v>20</v>
      </c>
      <c r="C26" s="18" t="s">
        <v>55</v>
      </c>
      <c r="D26" s="19" t="str">
        <f t="array" ref="D26">IFNA(_xlfn.XLOOKUP(C26,Table_Tarikan_Warkah[Nomor Sertipikat],Table_Tarikan_Warkah[Nomor Tiket]),"")</f>
        <v>K/12/141024/1</v>
      </c>
      <c r="E26" s="20">
        <f t="array" ref="E26">IFNA(_xlfn.XLOOKUP(C26,Table_Tarikan_Warkah[Nomor Sertipikat],Table_Tarikan_Warkah[Tanggal diserahkan kepada Validator]),"")</f>
        <v>45579.62749</v>
      </c>
      <c r="F26" s="20" t="str">
        <f t="array" ref="F26">IFNA(_xlfn.XLOOKUP(C26,Table_Tarikan_Warkah[Nomor Sertipikat],Table_Tarikan_Warkah[Nama Petugas Warkah]),"")</f>
        <v>Berry</v>
      </c>
      <c r="G26" s="21" t="str">
        <f t="array" ref="G26">IFNA(_xlfn.XLOOKUP(C26,Table_Tarikan_Warkah[Nomor Sertipikat],Table_Tarikan_Warkah[Jenis Permohonan]),"")</f>
        <v>ROYA</v>
      </c>
      <c r="H26" s="22" t="s">
        <v>31</v>
      </c>
      <c r="I26" s="22" t="s">
        <v>32</v>
      </c>
      <c r="J26" s="20">
        <f t="shared" si="1"/>
        <v>45580.701</v>
      </c>
      <c r="K26" s="22" t="s">
        <v>33</v>
      </c>
      <c r="L26" s="22" t="s">
        <v>32</v>
      </c>
      <c r="M26" s="20">
        <f t="shared" si="2"/>
        <v>45581.41497</v>
      </c>
      <c r="N26" s="8" t="str">
        <f t="shared" si="3"/>
        <v>SELESAI</v>
      </c>
      <c r="O26" s="23">
        <f t="shared" si="4"/>
        <v>45581.41497</v>
      </c>
      <c r="P26" s="24" t="b">
        <v>0</v>
      </c>
      <c r="Q26" s="20" t="str">
        <f t="shared" si="5"/>
        <v/>
      </c>
      <c r="R26" s="24" t="b">
        <v>1</v>
      </c>
      <c r="S26" s="20">
        <f t="shared" si="6"/>
        <v>45581.41847</v>
      </c>
      <c r="T26" s="25" t="s">
        <v>53</v>
      </c>
    </row>
    <row r="27" ht="22.5" hidden="1" customHeight="1">
      <c r="B27" s="7">
        <f t="shared" si="7"/>
        <v>21</v>
      </c>
      <c r="C27" s="18" t="s">
        <v>56</v>
      </c>
      <c r="D27" s="19" t="str">
        <f t="array" ref="D27">IFNA(_xlfn.XLOOKUP(C27,Table_Tarikan_Warkah[Nomor Sertipikat],Table_Tarikan_Warkah[Nomor Tiket]),"")</f>
        <v>L/35/141024/1</v>
      </c>
      <c r="E27" s="20">
        <f t="array" ref="E27">IFNA(_xlfn.XLOOKUP(C27,Table_Tarikan_Warkah[Nomor Sertipikat],Table_Tarikan_Warkah[Tanggal diserahkan kepada Validator]),"")</f>
        <v>45580.66789</v>
      </c>
      <c r="F27" s="20" t="str">
        <f t="array" ref="F27">IFNA(_xlfn.XLOOKUP(C27,Table_Tarikan_Warkah[Nomor Sertipikat],Table_Tarikan_Warkah[Nama Petugas Warkah]),"")</f>
        <v>David</v>
      </c>
      <c r="G27" s="21" t="str">
        <f t="array" ref="G27">IFNA(_xlfn.XLOOKUP(C27,Table_Tarikan_Warkah[Nomor Sertipikat],Table_Tarikan_Warkah[Jenis Permohonan]),"")</f>
        <v>ROYA LELANG</v>
      </c>
      <c r="H27" s="22" t="s">
        <v>31</v>
      </c>
      <c r="I27" s="22" t="s">
        <v>32</v>
      </c>
      <c r="J27" s="20">
        <f t="shared" si="1"/>
        <v>45580.701</v>
      </c>
      <c r="K27" s="22" t="s">
        <v>33</v>
      </c>
      <c r="L27" s="22" t="s">
        <v>32</v>
      </c>
      <c r="M27" s="20">
        <f t="shared" si="2"/>
        <v>45581.41674</v>
      </c>
      <c r="N27" s="8" t="str">
        <f t="shared" si="3"/>
        <v>SELESAI</v>
      </c>
      <c r="O27" s="23">
        <f t="shared" si="4"/>
        <v>45581.41674</v>
      </c>
      <c r="P27" s="24" t="b">
        <v>0</v>
      </c>
      <c r="Q27" s="20" t="str">
        <f t="shared" si="5"/>
        <v/>
      </c>
      <c r="R27" s="24" t="b">
        <v>1</v>
      </c>
      <c r="S27" s="20">
        <f t="shared" si="6"/>
        <v>45581.41847</v>
      </c>
      <c r="T27" s="7"/>
    </row>
    <row r="28" ht="22.5" hidden="1" customHeight="1">
      <c r="B28" s="7">
        <f t="shared" si="7"/>
        <v>22</v>
      </c>
      <c r="C28" s="18" t="s">
        <v>57</v>
      </c>
      <c r="D28" s="19" t="str">
        <f t="array" ref="D28">IFNA(_xlfn.XLOOKUP(C28,Table_Tarikan_Warkah[Nomor Sertipikat],Table_Tarikan_Warkah[Nomor Tiket]),"")</f>
        <v>K/38/141024/1</v>
      </c>
      <c r="E28" s="20">
        <f t="array" ref="E28">IFNA(_xlfn.XLOOKUP(C28,Table_Tarikan_Warkah[Nomor Sertipikat],Table_Tarikan_Warkah[Tanggal diserahkan kepada Validator]),"")</f>
        <v>45580.66801</v>
      </c>
      <c r="F28" s="20" t="str">
        <f t="array" ref="F28">IFNA(_xlfn.XLOOKUP(C28,Table_Tarikan_Warkah[Nomor Sertipikat],Table_Tarikan_Warkah[Nama Petugas Warkah]),"")</f>
        <v>David</v>
      </c>
      <c r="G28" s="21" t="str">
        <f t="array" ref="G28">IFNA(_xlfn.XLOOKUP(C28,Table_Tarikan_Warkah[Nomor Sertipikat],Table_Tarikan_Warkah[Jenis Permohonan]),"")</f>
        <v>PERALIHAN HAK JUAL BELI</v>
      </c>
      <c r="H28" s="22" t="s">
        <v>31</v>
      </c>
      <c r="I28" s="22" t="s">
        <v>32</v>
      </c>
      <c r="J28" s="20">
        <f t="shared" si="1"/>
        <v>45580.701</v>
      </c>
      <c r="K28" s="22" t="s">
        <v>33</v>
      </c>
      <c r="L28" s="22" t="s">
        <v>32</v>
      </c>
      <c r="M28" s="20">
        <f t="shared" si="2"/>
        <v>45581.37419</v>
      </c>
      <c r="N28" s="8" t="str">
        <f t="shared" si="3"/>
        <v>SELESAI</v>
      </c>
      <c r="O28" s="23">
        <f t="shared" si="4"/>
        <v>45581.37419</v>
      </c>
      <c r="P28" s="24" t="b">
        <v>0</v>
      </c>
      <c r="Q28" s="20" t="str">
        <f t="shared" si="5"/>
        <v/>
      </c>
      <c r="R28" s="24" t="b">
        <v>1</v>
      </c>
      <c r="S28" s="20">
        <f t="shared" si="6"/>
        <v>45581.41845</v>
      </c>
      <c r="T28" s="7"/>
    </row>
    <row r="29" ht="22.5" hidden="1" customHeight="1">
      <c r="B29" s="7">
        <f t="shared" si="7"/>
        <v>23</v>
      </c>
      <c r="C29" s="18" t="s">
        <v>58</v>
      </c>
      <c r="D29" s="19" t="str">
        <f t="array" ref="D29">IFNA(_xlfn.XLOOKUP(C29,Table_Tarikan_Warkah[Nomor Sertipikat],Table_Tarikan_Warkah[Nomor Tiket]),"")</f>
        <v>K/9/151024/2</v>
      </c>
      <c r="E29" s="20">
        <f t="array" ref="E29">IFNA(_xlfn.XLOOKUP(C29,Table_Tarikan_Warkah[Nomor Sertipikat],Table_Tarikan_Warkah[Tanggal diserahkan kepada Validator]),"")</f>
        <v>45580.6676</v>
      </c>
      <c r="F29" s="20" t="str">
        <f t="array" ref="F29">IFNA(_xlfn.XLOOKUP(C29,Table_Tarikan_Warkah[Nomor Sertipikat],Table_Tarikan_Warkah[Nama Petugas Warkah]),"")</f>
        <v>David</v>
      </c>
      <c r="G29" s="21" t="str">
        <f t="array" ref="G29">IFNA(_xlfn.XLOOKUP(C29,Table_Tarikan_Warkah[Nomor Sertipikat],Table_Tarikan_Warkah[Jenis Permohonan]),"")</f>
        <v>BN Jual Beli</v>
      </c>
      <c r="H29" s="22" t="s">
        <v>31</v>
      </c>
      <c r="I29" s="22" t="s">
        <v>32</v>
      </c>
      <c r="J29" s="20">
        <f t="shared" si="1"/>
        <v>45580.701</v>
      </c>
      <c r="K29" s="22" t="s">
        <v>33</v>
      </c>
      <c r="L29" s="22" t="s">
        <v>32</v>
      </c>
      <c r="M29" s="20">
        <f t="shared" si="2"/>
        <v>45581.41545</v>
      </c>
      <c r="N29" s="8" t="str">
        <f t="shared" si="3"/>
        <v>SELESAI</v>
      </c>
      <c r="O29" s="23">
        <f t="shared" si="4"/>
        <v>45581.41545</v>
      </c>
      <c r="P29" s="24" t="b">
        <v>0</v>
      </c>
      <c r="Q29" s="20" t="str">
        <f t="shared" si="5"/>
        <v/>
      </c>
      <c r="R29" s="24" t="b">
        <v>1</v>
      </c>
      <c r="S29" s="20">
        <f t="shared" si="6"/>
        <v>45581.41844</v>
      </c>
      <c r="T29" s="7"/>
    </row>
    <row r="30" ht="22.5" hidden="1" customHeight="1">
      <c r="B30" s="7">
        <f t="shared" si="7"/>
        <v>24</v>
      </c>
      <c r="C30" s="18" t="s">
        <v>59</v>
      </c>
      <c r="D30" s="19" t="str">
        <f t="array" ref="D30">IFNA(_xlfn.XLOOKUP(C30,Table_Tarikan_Warkah[Nomor Sertipikat],Table_Tarikan_Warkah[Nomor Tiket]),"")</f>
        <v>L/24/141024/1</v>
      </c>
      <c r="E30" s="20">
        <f t="array" ref="E30">IFNA(_xlfn.XLOOKUP(C30,Table_Tarikan_Warkah[Nomor Sertipikat],Table_Tarikan_Warkah[Tanggal diserahkan kepada Validator]),"")</f>
        <v>45579.62615</v>
      </c>
      <c r="F30" s="20" t="str">
        <f t="array" ref="F30">IFNA(_xlfn.XLOOKUP(C30,Table_Tarikan_Warkah[Nomor Sertipikat],Table_Tarikan_Warkah[Nama Petugas Warkah]),"")</f>
        <v>Berry</v>
      </c>
      <c r="G30" s="21" t="str">
        <f t="array" ref="G30">IFNA(_xlfn.XLOOKUP(C30,Table_Tarikan_Warkah[Nomor Sertipikat],Table_Tarikan_Warkah[Jenis Permohonan]),"")</f>
        <v>ROYA</v>
      </c>
      <c r="H30" s="22" t="s">
        <v>31</v>
      </c>
      <c r="I30" s="22" t="s">
        <v>32</v>
      </c>
      <c r="J30" s="20">
        <f t="shared" si="1"/>
        <v>45580.701</v>
      </c>
      <c r="K30" s="22" t="s">
        <v>33</v>
      </c>
      <c r="L30" s="22" t="s">
        <v>32</v>
      </c>
      <c r="M30" s="20">
        <f t="shared" si="2"/>
        <v>45581.37017</v>
      </c>
      <c r="N30" s="8" t="str">
        <f t="shared" si="3"/>
        <v>SELESAI</v>
      </c>
      <c r="O30" s="23">
        <f t="shared" si="4"/>
        <v>45581.37017</v>
      </c>
      <c r="P30" s="24" t="b">
        <v>0</v>
      </c>
      <c r="Q30" s="20" t="str">
        <f t="shared" si="5"/>
        <v/>
      </c>
      <c r="R30" s="24" t="b">
        <v>1</v>
      </c>
      <c r="S30" s="20">
        <f t="shared" si="6"/>
        <v>45581.4184</v>
      </c>
      <c r="T30" s="7"/>
    </row>
    <row r="31" ht="22.5" hidden="1" customHeight="1">
      <c r="B31" s="7">
        <f t="shared" si="7"/>
        <v>25</v>
      </c>
      <c r="C31" s="18" t="s">
        <v>60</v>
      </c>
      <c r="D31" s="19" t="str">
        <f t="array" ref="D31">IFNA(_xlfn.XLOOKUP(C31,Table_Tarikan_Warkah[Nomor Sertipikat],Table_Tarikan_Warkah[Nomor Tiket]),"")</f>
        <v>K/16/141024/1</v>
      </c>
      <c r="E31" s="20">
        <f t="array" ref="E31">IFNA(_xlfn.XLOOKUP(C31,Table_Tarikan_Warkah[Nomor Sertipikat],Table_Tarikan_Warkah[Tanggal diserahkan kepada Validator]),"")</f>
        <v>45579.62729</v>
      </c>
      <c r="F31" s="20" t="str">
        <f t="array" ref="F31">IFNA(_xlfn.XLOOKUP(C31,Table_Tarikan_Warkah[Nomor Sertipikat],Table_Tarikan_Warkah[Nama Petugas Warkah]),"")</f>
        <v>Berry</v>
      </c>
      <c r="G31" s="21" t="str">
        <f t="array" ref="G31">IFNA(_xlfn.XLOOKUP(C31,Table_Tarikan_Warkah[Nomor Sertipikat],Table_Tarikan_Warkah[Jenis Permohonan]),"")</f>
        <v>SKPT</v>
      </c>
      <c r="H31" s="22" t="s">
        <v>31</v>
      </c>
      <c r="I31" s="22" t="s">
        <v>32</v>
      </c>
      <c r="J31" s="20">
        <f t="shared" si="1"/>
        <v>45580.701</v>
      </c>
      <c r="K31" s="22" t="s">
        <v>33</v>
      </c>
      <c r="L31" s="22" t="s">
        <v>32</v>
      </c>
      <c r="M31" s="20">
        <f t="shared" si="2"/>
        <v>45581.34451</v>
      </c>
      <c r="N31" s="8" t="str">
        <f t="shared" si="3"/>
        <v>SELESAI</v>
      </c>
      <c r="O31" s="23">
        <f t="shared" si="4"/>
        <v>45581.34451</v>
      </c>
      <c r="P31" s="24" t="b">
        <v>0</v>
      </c>
      <c r="Q31" s="20" t="str">
        <f t="shared" si="5"/>
        <v/>
      </c>
      <c r="R31" s="24" t="b">
        <v>1</v>
      </c>
      <c r="S31" s="20">
        <f t="shared" si="6"/>
        <v>45581.41837</v>
      </c>
      <c r="T31" s="7"/>
    </row>
    <row r="32" ht="22.5" hidden="1" customHeight="1">
      <c r="B32" s="7">
        <f t="shared" si="7"/>
        <v>26</v>
      </c>
      <c r="C32" s="18" t="s">
        <v>61</v>
      </c>
      <c r="D32" s="19" t="str">
        <f t="array" ref="D32">IFNA(_xlfn.XLOOKUP(C32,Table_Tarikan_Warkah[Nomor Sertipikat],Table_Tarikan_Warkah[Nomor Tiket]),"")</f>
        <v>L/21/141024/1</v>
      </c>
      <c r="E32" s="20">
        <f t="array" ref="E32">IFNA(_xlfn.XLOOKUP(C32,Table_Tarikan_Warkah[Nomor Sertipikat],Table_Tarikan_Warkah[Tanggal diserahkan kepada Validator]),"")</f>
        <v>45579.62833</v>
      </c>
      <c r="F32" s="20" t="str">
        <f t="array" ref="F32">IFNA(_xlfn.XLOOKUP(C32,Table_Tarikan_Warkah[Nomor Sertipikat],Table_Tarikan_Warkah[Nama Petugas Warkah]),"")</f>
        <v>Berry</v>
      </c>
      <c r="G32" s="21" t="str">
        <f t="array" ref="G32">IFNA(_xlfn.XLOOKUP(C32,Table_Tarikan_Warkah[Nomor Sertipikat],Table_Tarikan_Warkah[Jenis Permohonan]),"")</f>
        <v>ROYA</v>
      </c>
      <c r="H32" s="22" t="s">
        <v>31</v>
      </c>
      <c r="I32" s="22" t="s">
        <v>32</v>
      </c>
      <c r="J32" s="20">
        <f t="shared" si="1"/>
        <v>45580.701</v>
      </c>
      <c r="K32" s="22" t="s">
        <v>33</v>
      </c>
      <c r="L32" s="22" t="s">
        <v>32</v>
      </c>
      <c r="M32" s="20">
        <f t="shared" si="2"/>
        <v>45581.34552</v>
      </c>
      <c r="N32" s="8" t="str">
        <f t="shared" si="3"/>
        <v>SELESAI</v>
      </c>
      <c r="O32" s="23">
        <f t="shared" si="4"/>
        <v>45581.34552</v>
      </c>
      <c r="P32" s="24" t="b">
        <v>0</v>
      </c>
      <c r="Q32" s="20" t="str">
        <f t="shared" si="5"/>
        <v/>
      </c>
      <c r="R32" s="24" t="b">
        <v>1</v>
      </c>
      <c r="S32" s="20">
        <f t="shared" si="6"/>
        <v>45581.41834</v>
      </c>
      <c r="T32" s="7"/>
    </row>
    <row r="33" ht="22.5" hidden="1" customHeight="1">
      <c r="B33" s="7">
        <f t="shared" si="7"/>
        <v>27</v>
      </c>
      <c r="C33" s="18" t="s">
        <v>62</v>
      </c>
      <c r="D33" s="19" t="str">
        <f t="array" ref="D33">IFNA(_xlfn.XLOOKUP(C33,Table_Tarikan_Warkah[Nomor Sertipikat],Table_Tarikan_Warkah[Nomor Tiket]),"")</f>
        <v>L/33/141024/1</v>
      </c>
      <c r="E33" s="20">
        <f t="array" ref="E33">IFNA(_xlfn.XLOOKUP(C33,Table_Tarikan_Warkah[Nomor Sertipikat],Table_Tarikan_Warkah[Tanggal diserahkan kepada Validator]),"")</f>
        <v>45580.66785</v>
      </c>
      <c r="F33" s="20" t="str">
        <f t="array" ref="F33">IFNA(_xlfn.XLOOKUP(C33,Table_Tarikan_Warkah[Nomor Sertipikat],Table_Tarikan_Warkah[Nama Petugas Warkah]),"")</f>
        <v>David</v>
      </c>
      <c r="G33" s="21" t="str">
        <f t="array" ref="G33">IFNA(_xlfn.XLOOKUP(C33,Table_Tarikan_Warkah[Nomor Sertipikat],Table_Tarikan_Warkah[Jenis Permohonan]),"")</f>
        <v>ROYA</v>
      </c>
      <c r="H33" s="22" t="s">
        <v>31</v>
      </c>
      <c r="I33" s="22" t="s">
        <v>32</v>
      </c>
      <c r="J33" s="20">
        <f t="shared" si="1"/>
        <v>45580.701</v>
      </c>
      <c r="K33" s="22" t="s">
        <v>33</v>
      </c>
      <c r="L33" s="22"/>
      <c r="M33" s="20" t="str">
        <f t="shared" si="2"/>
        <v/>
      </c>
      <c r="N33" s="8" t="str">
        <f t="shared" si="3"/>
        <v>BT atau SU Belum Valid</v>
      </c>
      <c r="O33" s="21" t="str">
        <f>IF(N33="Selesai",IF(M33&lt;&gt;"",M33,NOW()),"")</f>
        <v/>
      </c>
      <c r="P33" s="24" t="b">
        <v>0</v>
      </c>
      <c r="Q33" s="20" t="str">
        <f t="shared" si="5"/>
        <v/>
      </c>
      <c r="R33" s="24" t="b">
        <v>1</v>
      </c>
      <c r="S33" s="20">
        <f t="shared" si="6"/>
        <v>45581.42049</v>
      </c>
      <c r="T33" s="8" t="s">
        <v>53</v>
      </c>
    </row>
    <row r="34" ht="22.5" hidden="1" customHeight="1">
      <c r="B34" s="7">
        <f t="shared" si="7"/>
        <v>28</v>
      </c>
      <c r="C34" s="18" t="s">
        <v>63</v>
      </c>
      <c r="D34" s="19" t="str">
        <f t="array" ref="D34">IFNA(_xlfn.XLOOKUP(C34,Table_Tarikan_Warkah[Nomor Sertipikat],Table_Tarikan_Warkah[Nomor Tiket]),"")</f>
        <v>L/18/151024/1</v>
      </c>
      <c r="E34" s="20">
        <f t="array" ref="E34">IFNA(_xlfn.XLOOKUP(C34,Table_Tarikan_Warkah[Nomor Sertipikat],Table_Tarikan_Warkah[Tanggal diserahkan kepada Validator]),"")</f>
        <v>45581.34961</v>
      </c>
      <c r="F34" s="20" t="str">
        <f t="array" ref="F34">IFNA(_xlfn.XLOOKUP(C34,Table_Tarikan_Warkah[Nomor Sertipikat],Table_Tarikan_Warkah[Nama Petugas Warkah]),"")</f>
        <v>Berry</v>
      </c>
      <c r="G34" s="21" t="str">
        <f t="array" ref="G34">IFNA(_xlfn.XLOOKUP(C34,Table_Tarikan_Warkah[Nomor Sertipikat],Table_Tarikan_Warkah[Jenis Permohonan]),"")</f>
        <v>BN JUAL BELI</v>
      </c>
      <c r="H34" s="22" t="s">
        <v>37</v>
      </c>
      <c r="I34" s="22" t="s">
        <v>32</v>
      </c>
      <c r="J34" s="20">
        <f t="shared" si="1"/>
        <v>45581.48616</v>
      </c>
      <c r="K34" s="22" t="s">
        <v>33</v>
      </c>
      <c r="L34" s="22" t="s">
        <v>32</v>
      </c>
      <c r="M34" s="20">
        <f t="shared" si="2"/>
        <v>45581.48315</v>
      </c>
      <c r="N34" s="8" t="str">
        <f t="shared" si="3"/>
        <v>SELESAI</v>
      </c>
      <c r="O34" s="23">
        <f t="shared" ref="O34:O40" si="8">IF(and(L34="Selesai",I34="Selesai"),IF(M34&lt;&gt;"",M34,NOW()),"")</f>
        <v>45581.48315</v>
      </c>
      <c r="P34" s="24" t="b">
        <v>1</v>
      </c>
      <c r="Q34" s="20">
        <f t="shared" si="5"/>
        <v>45581.48323</v>
      </c>
      <c r="R34" s="24" t="b">
        <v>0</v>
      </c>
      <c r="S34" s="7" t="str">
        <f t="shared" si="6"/>
        <v/>
      </c>
      <c r="T34" s="7"/>
    </row>
    <row r="35" ht="22.5" hidden="1" customHeight="1">
      <c r="B35" s="7">
        <f t="shared" si="7"/>
        <v>29</v>
      </c>
      <c r="C35" s="18" t="s">
        <v>64</v>
      </c>
      <c r="D35" s="19" t="str">
        <f t="array" ref="D35">IFNA(_xlfn.XLOOKUP(C35,Table_Tarikan_Warkah[Nomor Sertipikat],Table_Tarikan_Warkah[Nomor Tiket]),"")</f>
        <v>K/13/151024/3</v>
      </c>
      <c r="E35" s="20">
        <f t="array" ref="E35">IFNA(_xlfn.XLOOKUP(C35,Table_Tarikan_Warkah[Nomor Sertipikat],Table_Tarikan_Warkah[Tanggal diserahkan kepada Validator]),"")</f>
        <v>45581.40763</v>
      </c>
      <c r="F35" s="20" t="str">
        <f t="array" ref="F35">IFNA(_xlfn.XLOOKUP(C35,Table_Tarikan_Warkah[Nomor Sertipikat],Table_Tarikan_Warkah[Nama Petugas Warkah]),"")</f>
        <v>Berry</v>
      </c>
      <c r="G35" s="21" t="str">
        <f t="array" ref="G35">IFNA(_xlfn.XLOOKUP(C35,Table_Tarikan_Warkah[Nomor Sertipikat],Table_Tarikan_Warkah[Jenis Permohonan]),"")</f>
        <v>BN Jual Beli</v>
      </c>
      <c r="H35" s="22" t="s">
        <v>37</v>
      </c>
      <c r="I35" s="22" t="s">
        <v>32</v>
      </c>
      <c r="J35" s="20">
        <f t="shared" si="1"/>
        <v>45581.49339</v>
      </c>
      <c r="K35" s="22" t="s">
        <v>65</v>
      </c>
      <c r="L35" s="22" t="s">
        <v>32</v>
      </c>
      <c r="M35" s="20">
        <f t="shared" si="2"/>
        <v>45582.61327</v>
      </c>
      <c r="N35" s="8" t="str">
        <f t="shared" si="3"/>
        <v>SELESAI</v>
      </c>
      <c r="O35" s="23">
        <f t="shared" si="8"/>
        <v>45582.61327</v>
      </c>
      <c r="P35" s="24" t="b">
        <v>0</v>
      </c>
      <c r="Q35" s="20" t="str">
        <f t="shared" si="5"/>
        <v/>
      </c>
      <c r="R35" s="24" t="b">
        <v>1</v>
      </c>
      <c r="S35" s="20">
        <f t="shared" si="6"/>
        <v>45582.61331</v>
      </c>
      <c r="T35" s="7"/>
    </row>
    <row r="36" ht="22.5" hidden="1" customHeight="1">
      <c r="B36" s="7">
        <f t="shared" si="7"/>
        <v>30</v>
      </c>
      <c r="C36" s="18" t="s">
        <v>66</v>
      </c>
      <c r="D36" s="19" t="str">
        <f t="array" ref="D36">IFNA(_xlfn.XLOOKUP(C36,Table_Tarikan_Warkah[Nomor Sertipikat],Table_Tarikan_Warkah[Nomor Tiket]),"")</f>
        <v>K/14/151024/1</v>
      </c>
      <c r="E36" s="20">
        <f t="array" ref="E36">IFNA(_xlfn.XLOOKUP(C36,Table_Tarikan_Warkah[Nomor Sertipikat],Table_Tarikan_Warkah[Tanggal diserahkan kepada Validator]),"")</f>
        <v>45581.34974</v>
      </c>
      <c r="F36" s="20" t="str">
        <f t="array" ref="F36">IFNA(_xlfn.XLOOKUP(C36,Table_Tarikan_Warkah[Nomor Sertipikat],Table_Tarikan_Warkah[Nama Petugas Warkah]),"")</f>
        <v>Berry</v>
      </c>
      <c r="G36" s="21" t="str">
        <f t="array" ref="G36">IFNA(_xlfn.XLOOKUP(C36,Table_Tarikan_Warkah[Nomor Sertipikat],Table_Tarikan_Warkah[Jenis Permohonan]),"")</f>
        <v>Roya</v>
      </c>
      <c r="H36" s="22" t="s">
        <v>37</v>
      </c>
      <c r="I36" s="22" t="s">
        <v>32</v>
      </c>
      <c r="J36" s="20">
        <f t="shared" si="1"/>
        <v>45581.58434</v>
      </c>
      <c r="K36" s="22" t="s">
        <v>65</v>
      </c>
      <c r="L36" s="22" t="s">
        <v>32</v>
      </c>
      <c r="M36" s="20">
        <f t="shared" si="2"/>
        <v>45582.61318</v>
      </c>
      <c r="N36" s="8" t="str">
        <f t="shared" si="3"/>
        <v>SELESAI</v>
      </c>
      <c r="O36" s="23">
        <f t="shared" si="8"/>
        <v>45582.61318</v>
      </c>
      <c r="P36" s="24" t="b">
        <v>0</v>
      </c>
      <c r="Q36" s="20" t="str">
        <f t="shared" si="5"/>
        <v/>
      </c>
      <c r="R36" s="24" t="b">
        <v>1</v>
      </c>
      <c r="S36" s="20">
        <f t="shared" si="6"/>
        <v>45582.61318</v>
      </c>
      <c r="T36" s="7"/>
    </row>
    <row r="37" ht="22.5" hidden="1" customHeight="1">
      <c r="B37" s="7">
        <f t="shared" si="7"/>
        <v>31</v>
      </c>
      <c r="C37" s="18" t="s">
        <v>67</v>
      </c>
      <c r="D37" s="19" t="str">
        <f t="array" ref="D37">IFNA(_xlfn.XLOOKUP(C37,Table_Tarikan_Warkah[Nomor Sertipikat],Table_Tarikan_Warkah[Nomor Tiket]),"")</f>
        <v>L/43/151024/1</v>
      </c>
      <c r="E37" s="20">
        <f t="array" ref="E37">IFNA(_xlfn.XLOOKUP(C37,Table_Tarikan_Warkah[Nomor Sertipikat],Table_Tarikan_Warkah[Tanggal diserahkan kepada Validator]),"")</f>
        <v>45581.34985</v>
      </c>
      <c r="F37" s="20" t="str">
        <f t="array" ref="F37">IFNA(_xlfn.XLOOKUP(C37,Table_Tarikan_Warkah[Nomor Sertipikat],Table_Tarikan_Warkah[Nama Petugas Warkah]),"")</f>
        <v>Berry</v>
      </c>
      <c r="G37" s="21" t="str">
        <f t="array" ref="G37">IFNA(_xlfn.XLOOKUP(C37,Table_Tarikan_Warkah[Nomor Sertipikat],Table_Tarikan_Warkah[Jenis Permohonan]),"")</f>
        <v>ROYA</v>
      </c>
      <c r="H37" s="22" t="s">
        <v>37</v>
      </c>
      <c r="I37" s="22" t="s">
        <v>32</v>
      </c>
      <c r="J37" s="20">
        <f t="shared" si="1"/>
        <v>45581.58696</v>
      </c>
      <c r="K37" s="22" t="s">
        <v>65</v>
      </c>
      <c r="L37" s="22" t="s">
        <v>32</v>
      </c>
      <c r="M37" s="20">
        <f t="shared" si="2"/>
        <v>45582.61318</v>
      </c>
      <c r="N37" s="8" t="str">
        <f t="shared" si="3"/>
        <v>SELESAI</v>
      </c>
      <c r="O37" s="23">
        <f t="shared" si="8"/>
        <v>45582.61318</v>
      </c>
      <c r="P37" s="24" t="b">
        <v>0</v>
      </c>
      <c r="Q37" s="20" t="str">
        <f t="shared" si="5"/>
        <v/>
      </c>
      <c r="R37" s="24" t="b">
        <v>1</v>
      </c>
      <c r="S37" s="20">
        <f t="shared" si="6"/>
        <v>45582.61318</v>
      </c>
      <c r="T37" s="7"/>
    </row>
    <row r="38" ht="22.5" hidden="1" customHeight="1">
      <c r="B38" s="7">
        <f t="shared" si="7"/>
        <v>32</v>
      </c>
      <c r="C38" s="18" t="s">
        <v>68</v>
      </c>
      <c r="D38" s="19" t="str">
        <f t="array" ref="D38">IFNA(_xlfn.XLOOKUP(C38,Table_Tarikan_Warkah[Nomor Sertipikat],Table_Tarikan_Warkah[Nomor Tiket]),"")</f>
        <v>K/42/151024/3</v>
      </c>
      <c r="E38" s="20">
        <f t="array" ref="E38">IFNA(_xlfn.XLOOKUP(C38,Table_Tarikan_Warkah[Nomor Sertipikat],Table_Tarikan_Warkah[Tanggal diserahkan kepada Validator]),"")</f>
        <v>45581.34998</v>
      </c>
      <c r="F38" s="20" t="str">
        <f t="array" ref="F38">IFNA(_xlfn.XLOOKUP(C38,Table_Tarikan_Warkah[Nomor Sertipikat],Table_Tarikan_Warkah[Nama Petugas Warkah]),"")</f>
        <v>Berry</v>
      </c>
      <c r="G38" s="21" t="str">
        <f t="array" ref="G38">IFNA(_xlfn.XLOOKUP(C38,Table_Tarikan_Warkah[Nomor Sertipikat],Table_Tarikan_Warkah[Jenis Permohonan]),"")</f>
        <v>BN Kewarisan</v>
      </c>
      <c r="H38" s="22" t="s">
        <v>37</v>
      </c>
      <c r="I38" s="22" t="s">
        <v>32</v>
      </c>
      <c r="J38" s="20">
        <f t="shared" si="1"/>
        <v>45581.58894</v>
      </c>
      <c r="K38" s="22" t="s">
        <v>65</v>
      </c>
      <c r="L38" s="22" t="s">
        <v>32</v>
      </c>
      <c r="M38" s="20">
        <f t="shared" si="2"/>
        <v>45582.61318</v>
      </c>
      <c r="N38" s="8" t="str">
        <f t="shared" si="3"/>
        <v>SELESAI</v>
      </c>
      <c r="O38" s="23">
        <f t="shared" si="8"/>
        <v>45582.61318</v>
      </c>
      <c r="P38" s="24" t="b">
        <v>0</v>
      </c>
      <c r="Q38" s="20" t="str">
        <f t="shared" si="5"/>
        <v/>
      </c>
      <c r="R38" s="24" t="b">
        <v>1</v>
      </c>
      <c r="S38" s="20">
        <f t="shared" si="6"/>
        <v>45582.61318</v>
      </c>
      <c r="T38" s="7"/>
    </row>
    <row r="39" ht="22.5" hidden="1" customHeight="1">
      <c r="B39" s="7">
        <f t="shared" si="7"/>
        <v>33</v>
      </c>
      <c r="C39" s="18" t="s">
        <v>69</v>
      </c>
      <c r="D39" s="19" t="str">
        <f t="array" ref="D39">IFNA(_xlfn.XLOOKUP(C39,Table_Tarikan_Warkah[Nomor Sertipikat],Table_Tarikan_Warkah[Nomor Tiket]),"")</f>
        <v>K/34/151024/2</v>
      </c>
      <c r="E39" s="20">
        <f t="array" ref="E39">IFNA(_xlfn.XLOOKUP(C39,Table_Tarikan_Warkah[Nomor Sertipikat],Table_Tarikan_Warkah[Tanggal diserahkan kepada Validator]),"")</f>
        <v>45581.40885</v>
      </c>
      <c r="F39" s="20" t="str">
        <f t="array" ref="F39">IFNA(_xlfn.XLOOKUP(C39,Table_Tarikan_Warkah[Nomor Sertipikat],Table_Tarikan_Warkah[Nama Petugas Warkah]),"")</f>
        <v>David</v>
      </c>
      <c r="G39" s="21" t="str">
        <f t="array" ref="G39">IFNA(_xlfn.XLOOKUP(C39,Table_Tarikan_Warkah[Nomor Sertipikat],Table_Tarikan_Warkah[Jenis Permohonan]),"")</f>
        <v>BN Hibah</v>
      </c>
      <c r="H39" s="22" t="s">
        <v>37</v>
      </c>
      <c r="I39" s="22" t="s">
        <v>32</v>
      </c>
      <c r="J39" s="20">
        <f t="shared" si="1"/>
        <v>45581.59234</v>
      </c>
      <c r="K39" s="22" t="s">
        <v>65</v>
      </c>
      <c r="L39" s="22" t="s">
        <v>32</v>
      </c>
      <c r="M39" s="20">
        <f t="shared" si="2"/>
        <v>45582.61318</v>
      </c>
      <c r="N39" s="8" t="str">
        <f t="shared" si="3"/>
        <v>SELESAI</v>
      </c>
      <c r="O39" s="23">
        <f t="shared" si="8"/>
        <v>45582.61318</v>
      </c>
      <c r="P39" s="24" t="b">
        <v>0</v>
      </c>
      <c r="Q39" s="20" t="str">
        <f t="shared" si="5"/>
        <v/>
      </c>
      <c r="R39" s="24" t="b">
        <v>1</v>
      </c>
      <c r="S39" s="20">
        <f t="shared" si="6"/>
        <v>45582.61318</v>
      </c>
      <c r="T39" s="7"/>
    </row>
    <row r="40" ht="22.5" hidden="1" customHeight="1">
      <c r="B40" s="7">
        <f t="shared" si="7"/>
        <v>34</v>
      </c>
      <c r="C40" s="18" t="s">
        <v>70</v>
      </c>
      <c r="D40" s="19" t="str">
        <f t="array" ref="D40">IFNA(_xlfn.XLOOKUP(C40,Table_Tarikan_Warkah[Nomor Sertipikat],Table_Tarikan_Warkah[Nomor Tiket]),"")</f>
        <v>K/48/151024/1</v>
      </c>
      <c r="E40" s="20">
        <f t="array" ref="E40">IFNA(_xlfn.XLOOKUP(C40,Table_Tarikan_Warkah[Nomor Sertipikat],Table_Tarikan_Warkah[Tanggal diserahkan kepada Validator]),"")</f>
        <v>45581.409</v>
      </c>
      <c r="F40" s="20" t="str">
        <f t="array" ref="F40">IFNA(_xlfn.XLOOKUP(C40,Table_Tarikan_Warkah[Nomor Sertipikat],Table_Tarikan_Warkah[Nama Petugas Warkah]),"")</f>
        <v>David</v>
      </c>
      <c r="G40" s="21" t="str">
        <f t="array" ref="G40">IFNA(_xlfn.XLOOKUP(C40,Table_Tarikan_Warkah[Nomor Sertipikat],Table_Tarikan_Warkah[Jenis Permohonan]),"")</f>
        <v>PERALIHAN JUAL BELI</v>
      </c>
      <c r="H40" s="22" t="s">
        <v>37</v>
      </c>
      <c r="I40" s="22" t="s">
        <v>32</v>
      </c>
      <c r="J40" s="20">
        <f t="shared" si="1"/>
        <v>45581.59506</v>
      </c>
      <c r="K40" s="22" t="s">
        <v>65</v>
      </c>
      <c r="L40" s="22" t="s">
        <v>32</v>
      </c>
      <c r="M40" s="20">
        <f t="shared" si="2"/>
        <v>45583.71007</v>
      </c>
      <c r="N40" s="8" t="str">
        <f t="shared" si="3"/>
        <v>SELESAI</v>
      </c>
      <c r="O40" s="23">
        <f t="shared" si="8"/>
        <v>45583.71007</v>
      </c>
      <c r="P40" s="24" t="b">
        <v>0</v>
      </c>
      <c r="Q40" s="20" t="str">
        <f t="shared" si="5"/>
        <v/>
      </c>
      <c r="R40" s="24" t="b">
        <v>1</v>
      </c>
      <c r="S40" s="20">
        <f t="shared" si="6"/>
        <v>45583.71007</v>
      </c>
      <c r="T40" s="8"/>
    </row>
    <row r="41" ht="22.5" hidden="1" customHeight="1">
      <c r="B41" s="7">
        <f t="shared" si="7"/>
        <v>35</v>
      </c>
      <c r="C41" s="18" t="s">
        <v>71</v>
      </c>
      <c r="D41" s="19" t="str">
        <f t="array" ref="D41">IFNA(_xlfn.XLOOKUP(C41,Table_Tarikan_Warkah[Nomor Sertipikat],Table_Tarikan_Warkah[Nomor Tiket]),"")</f>
        <v>L/26/151024/1</v>
      </c>
      <c r="E41" s="20">
        <f t="array" ref="E41">IFNA(_xlfn.XLOOKUP(C41,Table_Tarikan_Warkah[Nomor Sertipikat],Table_Tarikan_Warkah[Tanggal diserahkan kepada Validator]),"")</f>
        <v>45581.3501</v>
      </c>
      <c r="F41" s="20" t="str">
        <f t="array" ref="F41">IFNA(_xlfn.XLOOKUP(C41,Table_Tarikan_Warkah[Nomor Sertipikat],Table_Tarikan_Warkah[Nama Petugas Warkah]),"")</f>
        <v>Berry</v>
      </c>
      <c r="G41" s="21" t="str">
        <f t="array" ref="G41">IFNA(_xlfn.XLOOKUP(C41,Table_Tarikan_Warkah[Nomor Sertipikat],Table_Tarikan_Warkah[Jenis Permohonan]),"")</f>
        <v>ROYA</v>
      </c>
      <c r="H41" s="22" t="s">
        <v>37</v>
      </c>
      <c r="I41" s="22" t="s">
        <v>32</v>
      </c>
      <c r="J41" s="20">
        <f t="shared" si="1"/>
        <v>45581.62427</v>
      </c>
      <c r="K41" s="22" t="s">
        <v>65</v>
      </c>
      <c r="L41" s="22" t="s">
        <v>32</v>
      </c>
      <c r="M41" s="20">
        <f t="shared" si="2"/>
        <v>45594.40357</v>
      </c>
      <c r="N41" s="8" t="str">
        <f t="shared" si="3"/>
        <v>SELESAI</v>
      </c>
      <c r="O41" s="23">
        <f>IF(N41="Selesai",IF(M41&lt;&gt;"",M41,NOW()),"")</f>
        <v>45594.40357</v>
      </c>
      <c r="P41" s="24" t="b">
        <v>0</v>
      </c>
      <c r="Q41" s="20" t="str">
        <f t="shared" si="5"/>
        <v/>
      </c>
      <c r="R41" s="24" t="b">
        <v>0</v>
      </c>
      <c r="S41" s="7" t="str">
        <f t="shared" si="6"/>
        <v/>
      </c>
      <c r="T41" s="7"/>
    </row>
    <row r="42" ht="22.5" hidden="1" customHeight="1">
      <c r="B42" s="7">
        <f t="shared" si="7"/>
        <v>36</v>
      </c>
      <c r="C42" s="18" t="s">
        <v>72</v>
      </c>
      <c r="D42" s="19" t="str">
        <f t="array" ref="D42">IFNA(_xlfn.XLOOKUP(C42,Table_Tarikan_Warkah[Nomor Sertipikat],Table_Tarikan_Warkah[Nomor Tiket]),"")</f>
        <v>K/16/151024/2</v>
      </c>
      <c r="E42" s="20">
        <f t="array" ref="E42">IFNA(_xlfn.XLOOKUP(C42,Table_Tarikan_Warkah[Nomor Sertipikat],Table_Tarikan_Warkah[Tanggal diserahkan kepada Validator]),"")</f>
        <v>45581.42062</v>
      </c>
      <c r="F42" s="20" t="str">
        <f t="array" ref="F42">IFNA(_xlfn.XLOOKUP(C42,Table_Tarikan_Warkah[Nomor Sertipikat],Table_Tarikan_Warkah[Nama Petugas Warkah]),"")</f>
        <v>David</v>
      </c>
      <c r="G42" s="21" t="str">
        <f t="array" ref="G42">IFNA(_xlfn.XLOOKUP(C42,Table_Tarikan_Warkah[Nomor Sertipikat],Table_Tarikan_Warkah[Jenis Permohonan]),"")</f>
        <v>BN JUAL BELI</v>
      </c>
      <c r="H42" s="22" t="s">
        <v>37</v>
      </c>
      <c r="I42" s="22" t="s">
        <v>32</v>
      </c>
      <c r="J42" s="20">
        <f t="shared" si="1"/>
        <v>45581.62751</v>
      </c>
      <c r="K42" s="22" t="s">
        <v>65</v>
      </c>
      <c r="L42" s="22" t="s">
        <v>32</v>
      </c>
      <c r="M42" s="20">
        <f t="shared" si="2"/>
        <v>45582.61318</v>
      </c>
      <c r="N42" s="8" t="str">
        <f t="shared" si="3"/>
        <v>SELESAI</v>
      </c>
      <c r="O42" s="23">
        <f t="shared" ref="O42:O67" si="9">IF(and(L42="Selesai",I42="Selesai"),IF(M42&lt;&gt;"",M42,NOW()),"")</f>
        <v>45582.61318</v>
      </c>
      <c r="P42" s="24" t="b">
        <v>0</v>
      </c>
      <c r="Q42" s="20" t="str">
        <f t="shared" si="5"/>
        <v/>
      </c>
      <c r="R42" s="24" t="b">
        <v>1</v>
      </c>
      <c r="S42" s="20">
        <f t="shared" si="6"/>
        <v>45582.61318</v>
      </c>
      <c r="T42" s="7"/>
    </row>
    <row r="43" ht="22.5" hidden="1" customHeight="1">
      <c r="B43" s="7">
        <f t="shared" si="7"/>
        <v>37</v>
      </c>
      <c r="C43" s="18" t="s">
        <v>73</v>
      </c>
      <c r="D43" s="19" t="str">
        <f t="array" ref="D43">IFNA(_xlfn.XLOOKUP(C43,Table_Tarikan_Warkah[Nomor Sertipikat],Table_Tarikan_Warkah[Nomor Tiket]),"")</f>
        <v>K/15/151024/1</v>
      </c>
      <c r="E43" s="20">
        <f t="array" ref="E43">IFNA(_xlfn.XLOOKUP(C43,Table_Tarikan_Warkah[Nomor Sertipikat],Table_Tarikan_Warkah[Tanggal diserahkan kepada Validator]),"")</f>
        <v>45581.42071</v>
      </c>
      <c r="F43" s="20" t="str">
        <f t="array" ref="F43">IFNA(_xlfn.XLOOKUP(C43,Table_Tarikan_Warkah[Nomor Sertipikat],Table_Tarikan_Warkah[Nama Petugas Warkah]),"")</f>
        <v>David</v>
      </c>
      <c r="G43" s="21" t="str">
        <f t="array" ref="G43">IFNA(_xlfn.XLOOKUP(C43,Table_Tarikan_Warkah[Nomor Sertipikat],Table_Tarikan_Warkah[Jenis Permohonan]),"")</f>
        <v>BN JUAL BELI</v>
      </c>
      <c r="H43" s="22" t="s">
        <v>37</v>
      </c>
      <c r="I43" s="22" t="s">
        <v>32</v>
      </c>
      <c r="J43" s="20">
        <f t="shared" si="1"/>
        <v>45581.62752</v>
      </c>
      <c r="K43" s="22" t="s">
        <v>65</v>
      </c>
      <c r="L43" s="22" t="s">
        <v>32</v>
      </c>
      <c r="M43" s="20">
        <f t="shared" si="2"/>
        <v>45582.61318</v>
      </c>
      <c r="N43" s="8" t="str">
        <f t="shared" si="3"/>
        <v>SELESAI</v>
      </c>
      <c r="O43" s="23">
        <f t="shared" si="9"/>
        <v>45582.61318</v>
      </c>
      <c r="P43" s="24" t="b">
        <v>0</v>
      </c>
      <c r="Q43" s="20" t="str">
        <f t="shared" si="5"/>
        <v/>
      </c>
      <c r="R43" s="24" t="b">
        <v>1</v>
      </c>
      <c r="S43" s="20">
        <f t="shared" si="6"/>
        <v>45582.61318</v>
      </c>
      <c r="T43" s="7"/>
    </row>
    <row r="44" ht="22.5" hidden="1" customHeight="1">
      <c r="B44" s="7">
        <f t="shared" si="7"/>
        <v>38</v>
      </c>
      <c r="C44" s="18" t="s">
        <v>74</v>
      </c>
      <c r="D44" s="19" t="str">
        <f t="array" ref="D44">IFNA(_xlfn.XLOOKUP(C44,Table_Tarikan_Warkah[Nomor Sertipikat],Table_Tarikan_Warkah[Nomor Tiket]),"")</f>
        <v>K/17/151024/1</v>
      </c>
      <c r="E44" s="20">
        <f t="array" ref="E44">IFNA(_xlfn.XLOOKUP(C44,Table_Tarikan_Warkah[Nomor Sertipikat],Table_Tarikan_Warkah[Tanggal diserahkan kepada Validator]),"")</f>
        <v>45581.34947</v>
      </c>
      <c r="F44" s="20" t="str">
        <f t="array" ref="F44">IFNA(_xlfn.XLOOKUP(C44,Table_Tarikan_Warkah[Nomor Sertipikat],Table_Tarikan_Warkah[Nama Petugas Warkah]),"")</f>
        <v>Berry</v>
      </c>
      <c r="G44" s="21" t="str">
        <f t="array" ref="G44">IFNA(_xlfn.XLOOKUP(C44,Table_Tarikan_Warkah[Nomor Sertipikat],Table_Tarikan_Warkah[Jenis Permohonan]),"")</f>
        <v>BN JUAL BELI</v>
      </c>
      <c r="H44" s="22" t="s">
        <v>31</v>
      </c>
      <c r="I44" s="22" t="s">
        <v>32</v>
      </c>
      <c r="J44" s="20">
        <f t="shared" si="1"/>
        <v>45581.64688</v>
      </c>
      <c r="K44" s="22" t="s">
        <v>65</v>
      </c>
      <c r="L44" s="22" t="s">
        <v>32</v>
      </c>
      <c r="M44" s="20">
        <f t="shared" si="2"/>
        <v>45582.61406</v>
      </c>
      <c r="N44" s="8" t="str">
        <f t="shared" si="3"/>
        <v>SELESAI</v>
      </c>
      <c r="O44" s="23">
        <f t="shared" si="9"/>
        <v>45582.61406</v>
      </c>
      <c r="P44" s="24" t="b">
        <v>0</v>
      </c>
      <c r="Q44" s="20" t="str">
        <f t="shared" si="5"/>
        <v/>
      </c>
      <c r="R44" s="24" t="b">
        <v>1</v>
      </c>
      <c r="S44" s="20">
        <f t="shared" si="6"/>
        <v>45582.61406</v>
      </c>
      <c r="T44" s="7"/>
    </row>
    <row r="45" ht="22.5" hidden="1" customHeight="1">
      <c r="B45" s="7">
        <f t="shared" si="7"/>
        <v>39</v>
      </c>
      <c r="C45" s="18" t="s">
        <v>75</v>
      </c>
      <c r="D45" s="19" t="str">
        <f t="array" ref="D45">IFNA(_xlfn.XLOOKUP(C45,Table_Tarikan_Warkah[Nomor Sertipikat],Table_Tarikan_Warkah[Nomor Tiket]),"")</f>
        <v>K/23/151024/3</v>
      </c>
      <c r="E45" s="20">
        <f t="array" ref="E45">IFNA(_xlfn.XLOOKUP(C45,Table_Tarikan_Warkah[Nomor Sertipikat],Table_Tarikan_Warkah[Tanggal diserahkan kepada Validator]),"")</f>
        <v>45581.34841</v>
      </c>
      <c r="F45" s="20" t="str">
        <f t="array" ref="F45">IFNA(_xlfn.XLOOKUP(C45,Table_Tarikan_Warkah[Nomor Sertipikat],Table_Tarikan_Warkah[Nama Petugas Warkah]),"")</f>
        <v>David</v>
      </c>
      <c r="G45" s="21" t="str">
        <f t="array" ref="G45">IFNA(_xlfn.XLOOKUP(C45,Table_Tarikan_Warkah[Nomor Sertipikat],Table_Tarikan_Warkah[Jenis Permohonan]),"")</f>
        <v>BN JUAL BELI</v>
      </c>
      <c r="H45" s="22" t="s">
        <v>31</v>
      </c>
      <c r="I45" s="22" t="s">
        <v>32</v>
      </c>
      <c r="J45" s="20">
        <f t="shared" si="1"/>
        <v>45581.64706</v>
      </c>
      <c r="K45" s="22" t="s">
        <v>65</v>
      </c>
      <c r="L45" s="22" t="s">
        <v>32</v>
      </c>
      <c r="M45" s="20">
        <f t="shared" si="2"/>
        <v>45582.6145</v>
      </c>
      <c r="N45" s="8" t="str">
        <f t="shared" si="3"/>
        <v>SELESAI</v>
      </c>
      <c r="O45" s="23">
        <f t="shared" si="9"/>
        <v>45582.6145</v>
      </c>
      <c r="P45" s="24" t="b">
        <v>0</v>
      </c>
      <c r="Q45" s="20" t="str">
        <f t="shared" si="5"/>
        <v/>
      </c>
      <c r="R45" s="24" t="b">
        <v>1</v>
      </c>
      <c r="S45" s="20">
        <f t="shared" si="6"/>
        <v>45582.61454</v>
      </c>
      <c r="T45" s="7"/>
    </row>
    <row r="46" ht="22.5" hidden="1" customHeight="1">
      <c r="B46" s="7">
        <f t="shared" si="7"/>
        <v>40</v>
      </c>
      <c r="C46" s="18" t="s">
        <v>76</v>
      </c>
      <c r="D46" s="19" t="str">
        <f t="array" ref="D46">IFNA(_xlfn.XLOOKUP(C46,Table_Tarikan_Warkah[Nomor Sertipikat],Table_Tarikan_Warkah[Nomor Tiket]),"")</f>
        <v>K/47/151024/1</v>
      </c>
      <c r="E46" s="20">
        <f t="array" ref="E46">IFNA(_xlfn.XLOOKUP(C46,Table_Tarikan_Warkah[Nomor Sertipikat],Table_Tarikan_Warkah[Tanggal diserahkan kepada Validator]),"")</f>
        <v>45581.34854</v>
      </c>
      <c r="F46" s="20" t="str">
        <f t="array" ref="F46">IFNA(_xlfn.XLOOKUP(C46,Table_Tarikan_Warkah[Nomor Sertipikat],Table_Tarikan_Warkah[Nama Petugas Warkah]),"")</f>
        <v>David</v>
      </c>
      <c r="G46" s="21" t="str">
        <f t="array" ref="G46">IFNA(_xlfn.XLOOKUP(C46,Table_Tarikan_Warkah[Nomor Sertipikat],Table_Tarikan_Warkah[Jenis Permohonan]),"")</f>
        <v>BN JUAL BELI</v>
      </c>
      <c r="H46" s="22" t="s">
        <v>31</v>
      </c>
      <c r="I46" s="22" t="s">
        <v>32</v>
      </c>
      <c r="J46" s="20">
        <f t="shared" si="1"/>
        <v>45581.64723</v>
      </c>
      <c r="K46" s="22" t="s">
        <v>65</v>
      </c>
      <c r="L46" s="22" t="s">
        <v>32</v>
      </c>
      <c r="M46" s="20">
        <f t="shared" si="2"/>
        <v>45582.61479</v>
      </c>
      <c r="N46" s="8" t="str">
        <f t="shared" si="3"/>
        <v>SELESAI</v>
      </c>
      <c r="O46" s="23">
        <f t="shared" si="9"/>
        <v>45582.61479</v>
      </c>
      <c r="P46" s="24" t="b">
        <v>0</v>
      </c>
      <c r="Q46" s="20" t="str">
        <f t="shared" si="5"/>
        <v/>
      </c>
      <c r="R46" s="24" t="b">
        <v>1</v>
      </c>
      <c r="S46" s="20">
        <f t="shared" si="6"/>
        <v>45582.61484</v>
      </c>
      <c r="T46" s="7"/>
    </row>
    <row r="47" ht="22.5" hidden="1" customHeight="1">
      <c r="B47" s="7">
        <f t="shared" si="7"/>
        <v>41</v>
      </c>
      <c r="C47" s="18" t="s">
        <v>77</v>
      </c>
      <c r="D47" s="19" t="str">
        <f t="array" ref="D47">IFNA(_xlfn.XLOOKUP(C47,Table_Tarikan_Warkah[Nomor Sertipikat],Table_Tarikan_Warkah[Nomor Tiket]),"")</f>
        <v>L/49/151024/1</v>
      </c>
      <c r="E47" s="20">
        <f t="array" ref="E47">IFNA(_xlfn.XLOOKUP(C47,Table_Tarikan_Warkah[Nomor Sertipikat],Table_Tarikan_Warkah[Tanggal diserahkan kepada Validator]),"")</f>
        <v>45581.34923</v>
      </c>
      <c r="F47" s="20" t="str">
        <f t="array" ref="F47">IFNA(_xlfn.XLOOKUP(C47,Table_Tarikan_Warkah[Nomor Sertipikat],Table_Tarikan_Warkah[Nama Petugas Warkah]),"")</f>
        <v>Berry</v>
      </c>
      <c r="G47" s="21" t="str">
        <f t="array" ref="G47">IFNA(_xlfn.XLOOKUP(C47,Table_Tarikan_Warkah[Nomor Sertipikat],Table_Tarikan_Warkah[Jenis Permohonan]),"")</f>
        <v>PERUBAHAN HAK</v>
      </c>
      <c r="H47" s="22" t="s">
        <v>31</v>
      </c>
      <c r="I47" s="22" t="s">
        <v>32</v>
      </c>
      <c r="J47" s="20">
        <f t="shared" si="1"/>
        <v>45581.64738</v>
      </c>
      <c r="K47" s="22" t="s">
        <v>33</v>
      </c>
      <c r="L47" s="22" t="s">
        <v>32</v>
      </c>
      <c r="M47" s="20">
        <f t="shared" si="2"/>
        <v>45582.61508</v>
      </c>
      <c r="N47" s="8" t="str">
        <f t="shared" si="3"/>
        <v>SELESAI</v>
      </c>
      <c r="O47" s="23">
        <f t="shared" si="9"/>
        <v>45582.61508</v>
      </c>
      <c r="P47" s="24" t="b">
        <v>0</v>
      </c>
      <c r="Q47" s="20" t="str">
        <f t="shared" si="5"/>
        <v/>
      </c>
      <c r="R47" s="24" t="b">
        <v>1</v>
      </c>
      <c r="S47" s="20">
        <f t="shared" si="6"/>
        <v>45582.61513</v>
      </c>
      <c r="T47" s="7"/>
    </row>
    <row r="48" ht="22.5" hidden="1" customHeight="1">
      <c r="B48" s="7">
        <f t="shared" si="7"/>
        <v>42</v>
      </c>
      <c r="C48" s="18" t="s">
        <v>78</v>
      </c>
      <c r="D48" s="19" t="str">
        <f t="array" ref="D48">IFNA(_xlfn.XLOOKUP(C48,Table_Tarikan_Warkah[Nomor Sertipikat],Table_Tarikan_Warkah[Nomor Tiket]),"")</f>
        <v>L/50/151024/1</v>
      </c>
      <c r="E48" s="20">
        <f t="array" ref="E48">IFNA(_xlfn.XLOOKUP(C48,Table_Tarikan_Warkah[Nomor Sertipikat],Table_Tarikan_Warkah[Tanggal diserahkan kepada Validator]),"")</f>
        <v>45581.34935</v>
      </c>
      <c r="F48" s="20" t="str">
        <f t="array" ref="F48">IFNA(_xlfn.XLOOKUP(C48,Table_Tarikan_Warkah[Nomor Sertipikat],Table_Tarikan_Warkah[Nama Petugas Warkah]),"")</f>
        <v>Berry</v>
      </c>
      <c r="G48" s="21" t="str">
        <f t="array" ref="G48">IFNA(_xlfn.XLOOKUP(C48,Table_Tarikan_Warkah[Nomor Sertipikat],Table_Tarikan_Warkah[Jenis Permohonan]),"")</f>
        <v>BN JUAL-BELI</v>
      </c>
      <c r="H48" s="22" t="s">
        <v>31</v>
      </c>
      <c r="I48" s="22" t="s">
        <v>32</v>
      </c>
      <c r="J48" s="20">
        <f t="shared" si="1"/>
        <v>45581.64752</v>
      </c>
      <c r="K48" s="22" t="s">
        <v>65</v>
      </c>
      <c r="L48" s="22" t="s">
        <v>32</v>
      </c>
      <c r="M48" s="20">
        <f t="shared" si="2"/>
        <v>45582.61594</v>
      </c>
      <c r="N48" s="8" t="str">
        <f t="shared" si="3"/>
        <v>SELESAI</v>
      </c>
      <c r="O48" s="23">
        <f t="shared" si="9"/>
        <v>45582.61594</v>
      </c>
      <c r="P48" s="24" t="b">
        <v>0</v>
      </c>
      <c r="Q48" s="20" t="str">
        <f t="shared" si="5"/>
        <v/>
      </c>
      <c r="R48" s="24" t="b">
        <v>1</v>
      </c>
      <c r="S48" s="20">
        <f t="shared" si="6"/>
        <v>45582.61599</v>
      </c>
      <c r="T48" s="7"/>
    </row>
    <row r="49" ht="22.5" hidden="1" customHeight="1">
      <c r="B49" s="7">
        <f t="shared" si="7"/>
        <v>43</v>
      </c>
      <c r="C49" s="18" t="s">
        <v>79</v>
      </c>
      <c r="D49" s="19" t="str">
        <f t="array" ref="D49">IFNA(_xlfn.XLOOKUP(C49,Table_Tarikan_Warkah[Nomor Sertipikat],Table_Tarikan_Warkah[Nomor Tiket]),"")</f>
        <v>K/30/151024/1</v>
      </c>
      <c r="E49" s="20">
        <f t="array" ref="E49">IFNA(_xlfn.XLOOKUP(C49,Table_Tarikan_Warkah[Nomor Sertipikat],Table_Tarikan_Warkah[Tanggal diserahkan kepada Validator]),"")</f>
        <v>45581.34897</v>
      </c>
      <c r="F49" s="20" t="str">
        <f t="array" ref="F49">IFNA(_xlfn.XLOOKUP(C49,Table_Tarikan_Warkah[Nomor Sertipikat],Table_Tarikan_Warkah[Nama Petugas Warkah]),"")</f>
        <v>David</v>
      </c>
      <c r="G49" s="21" t="str">
        <f t="array" ref="G49">IFNA(_xlfn.XLOOKUP(C49,Table_Tarikan_Warkah[Nomor Sertipikat],Table_Tarikan_Warkah[Jenis Permohonan]),"")</f>
        <v>HAPUS BPHTB</v>
      </c>
      <c r="H49" s="22" t="s">
        <v>31</v>
      </c>
      <c r="I49" s="22" t="s">
        <v>32</v>
      </c>
      <c r="J49" s="20">
        <f t="shared" si="1"/>
        <v>45581.64766</v>
      </c>
      <c r="K49" s="22" t="s">
        <v>65</v>
      </c>
      <c r="L49" s="22" t="s">
        <v>32</v>
      </c>
      <c r="M49" s="20">
        <f t="shared" si="2"/>
        <v>45582.61616</v>
      </c>
      <c r="N49" s="8" t="str">
        <f t="shared" si="3"/>
        <v>SELESAI</v>
      </c>
      <c r="O49" s="23">
        <f t="shared" si="9"/>
        <v>45582.61616</v>
      </c>
      <c r="P49" s="24" t="b">
        <v>0</v>
      </c>
      <c r="Q49" s="20" t="str">
        <f t="shared" si="5"/>
        <v/>
      </c>
      <c r="R49" s="24" t="b">
        <v>1</v>
      </c>
      <c r="S49" s="20">
        <f t="shared" si="6"/>
        <v>45582.6162</v>
      </c>
      <c r="T49" s="7"/>
    </row>
    <row r="50" ht="22.5" hidden="1" customHeight="1">
      <c r="B50" s="7">
        <f t="shared" si="7"/>
        <v>44</v>
      </c>
      <c r="C50" s="18" t="s">
        <v>80</v>
      </c>
      <c r="D50" s="19" t="str">
        <f t="array" ref="D50">IFNA(_xlfn.XLOOKUP(C50,Table_Tarikan_Warkah[Nomor Sertipikat],Table_Tarikan_Warkah[Nomor Tiket]),"")</f>
        <v>K/39/151024/1</v>
      </c>
      <c r="E50" s="20">
        <f t="array" ref="E50">IFNA(_xlfn.XLOOKUP(C50,Table_Tarikan_Warkah[Nomor Sertipikat],Table_Tarikan_Warkah[Tanggal diserahkan kepada Validator]),"")</f>
        <v>45581.34887</v>
      </c>
      <c r="F50" s="20" t="str">
        <f t="array" ref="F50">IFNA(_xlfn.XLOOKUP(C50,Table_Tarikan_Warkah[Nomor Sertipikat],Table_Tarikan_Warkah[Nama Petugas Warkah]),"")</f>
        <v>David</v>
      </c>
      <c r="G50" s="21" t="str">
        <f t="array" ref="G50">IFNA(_xlfn.XLOOKUP(C50,Table_Tarikan_Warkah[Nomor Sertipikat],Table_Tarikan_Warkah[Jenis Permohonan]),"")</f>
        <v>PERALIHAN JUAL BELI</v>
      </c>
      <c r="H50" s="22" t="s">
        <v>31</v>
      </c>
      <c r="I50" s="22" t="s">
        <v>32</v>
      </c>
      <c r="J50" s="20">
        <f t="shared" si="1"/>
        <v>45581.64794</v>
      </c>
      <c r="K50" s="22" t="s">
        <v>65</v>
      </c>
      <c r="L50" s="22" t="s">
        <v>32</v>
      </c>
      <c r="M50" s="20">
        <f t="shared" si="2"/>
        <v>45582.6164</v>
      </c>
      <c r="N50" s="8" t="str">
        <f t="shared" si="3"/>
        <v>SELESAI</v>
      </c>
      <c r="O50" s="23">
        <f t="shared" si="9"/>
        <v>45582.6164</v>
      </c>
      <c r="P50" s="24" t="b">
        <v>0</v>
      </c>
      <c r="Q50" s="20" t="str">
        <f t="shared" si="5"/>
        <v/>
      </c>
      <c r="R50" s="24" t="b">
        <v>1</v>
      </c>
      <c r="S50" s="20">
        <f t="shared" si="6"/>
        <v>45582.61644</v>
      </c>
      <c r="T50" s="7"/>
    </row>
    <row r="51" ht="22.5" hidden="1" customHeight="1">
      <c r="B51" s="7">
        <f t="shared" si="7"/>
        <v>45</v>
      </c>
      <c r="C51" s="18" t="s">
        <v>81</v>
      </c>
      <c r="D51" s="19" t="str">
        <f t="array" ref="D51">IFNA(_xlfn.XLOOKUP(C51,Table_Tarikan_Warkah[Nomor Sertipikat],Table_Tarikan_Warkah[Nomor Tiket]),"")</f>
        <v>K/45/151024/1</v>
      </c>
      <c r="E51" s="20">
        <f t="array" ref="E51">IFNA(_xlfn.XLOOKUP(C51,Table_Tarikan_Warkah[Nomor Sertipikat],Table_Tarikan_Warkah[Tanggal diserahkan kepada Validator]),"")</f>
        <v>45581.34828</v>
      </c>
      <c r="F51" s="20" t="str">
        <f t="array" ref="F51">IFNA(_xlfn.XLOOKUP(C51,Table_Tarikan_Warkah[Nomor Sertipikat],Table_Tarikan_Warkah[Nama Petugas Warkah]),"")</f>
        <v>David</v>
      </c>
      <c r="G51" s="21" t="str">
        <f t="array" ref="G51">IFNA(_xlfn.XLOOKUP(C51,Table_Tarikan_Warkah[Nomor Sertipikat],Table_Tarikan_Warkah[Jenis Permohonan]),"")</f>
        <v>PERALIHAN HAK KEWARISAN</v>
      </c>
      <c r="H51" s="22" t="s">
        <v>31</v>
      </c>
      <c r="I51" s="22" t="s">
        <v>32</v>
      </c>
      <c r="J51" s="20">
        <f t="shared" si="1"/>
        <v>45581.64814</v>
      </c>
      <c r="K51" s="22" t="s">
        <v>65</v>
      </c>
      <c r="L51" s="22" t="s">
        <v>32</v>
      </c>
      <c r="M51" s="20">
        <f t="shared" si="2"/>
        <v>45582.61657</v>
      </c>
      <c r="N51" s="8" t="str">
        <f t="shared" si="3"/>
        <v>SELESAI</v>
      </c>
      <c r="O51" s="23">
        <f t="shared" si="9"/>
        <v>45582.61657</v>
      </c>
      <c r="P51" s="24" t="b">
        <v>0</v>
      </c>
      <c r="Q51" s="20" t="str">
        <f t="shared" si="5"/>
        <v/>
      </c>
      <c r="R51" s="24" t="b">
        <v>1</v>
      </c>
      <c r="S51" s="20">
        <f t="shared" si="6"/>
        <v>45582.6166</v>
      </c>
      <c r="T51" s="7"/>
    </row>
    <row r="52" ht="22.5" hidden="1" customHeight="1">
      <c r="B52" s="7">
        <f t="shared" si="7"/>
        <v>46</v>
      </c>
      <c r="C52" s="18" t="s">
        <v>82</v>
      </c>
      <c r="D52" s="19" t="str">
        <f t="array" ref="D52">IFNA(_xlfn.XLOOKUP(C52,Table_Tarikan_Warkah[Nomor Sertipikat],Table_Tarikan_Warkah[Nomor Tiket]),"")</f>
        <v>K/41/151024/2</v>
      </c>
      <c r="E52" s="20">
        <f t="array" ref="E52">IFNA(_xlfn.XLOOKUP(C52,Table_Tarikan_Warkah[Nomor Sertipikat],Table_Tarikan_Warkah[Tanggal diserahkan kepada Validator]),"")</f>
        <v>45581.34873</v>
      </c>
      <c r="F52" s="20" t="str">
        <f t="array" ref="F52">IFNA(_xlfn.XLOOKUP(C52,Table_Tarikan_Warkah[Nomor Sertipikat],Table_Tarikan_Warkah[Nama Petugas Warkah]),"")</f>
        <v>David</v>
      </c>
      <c r="G52" s="21" t="str">
        <f t="array" ref="G52">IFNA(_xlfn.XLOOKUP(C52,Table_Tarikan_Warkah[Nomor Sertipikat],Table_Tarikan_Warkah[Jenis Permohonan]),"")</f>
        <v>BN Jual Beli</v>
      </c>
      <c r="H52" s="22" t="s">
        <v>31</v>
      </c>
      <c r="I52" s="22" t="s">
        <v>32</v>
      </c>
      <c r="J52" s="20">
        <f t="shared" si="1"/>
        <v>45581.64832</v>
      </c>
      <c r="K52" s="22" t="s">
        <v>65</v>
      </c>
      <c r="L52" s="22" t="s">
        <v>32</v>
      </c>
      <c r="M52" s="20">
        <f t="shared" si="2"/>
        <v>45582.61377</v>
      </c>
      <c r="N52" s="8" t="str">
        <f t="shared" si="3"/>
        <v>SELESAI</v>
      </c>
      <c r="O52" s="23">
        <f t="shared" si="9"/>
        <v>45582.61377</v>
      </c>
      <c r="P52" s="24" t="b">
        <v>0</v>
      </c>
      <c r="Q52" s="20" t="str">
        <f t="shared" si="5"/>
        <v/>
      </c>
      <c r="R52" s="24" t="b">
        <v>1</v>
      </c>
      <c r="S52" s="20">
        <f t="shared" si="6"/>
        <v>45582.61379</v>
      </c>
      <c r="T52" s="7"/>
    </row>
    <row r="53" ht="22.5" hidden="1" customHeight="1">
      <c r="B53" s="7">
        <f t="shared" si="7"/>
        <v>47</v>
      </c>
      <c r="C53" s="18" t="s">
        <v>83</v>
      </c>
      <c r="D53" s="19" t="str">
        <f t="array" ref="D53">IFNA(_xlfn.XLOOKUP(C53,Table_Tarikan_Warkah[Nomor Sertipikat],Table_Tarikan_Warkah[Nomor Tiket]),"")</f>
        <v>L/35/151024/1</v>
      </c>
      <c r="E53" s="20">
        <f t="array" ref="E53">IFNA(_xlfn.XLOOKUP(C53,Table_Tarikan_Warkah[Nomor Sertipikat],Table_Tarikan_Warkah[Tanggal diserahkan kepada Validator]),"")</f>
        <v>45581.34805</v>
      </c>
      <c r="F53" s="20" t="str">
        <f t="array" ref="F53">IFNA(_xlfn.XLOOKUP(C53,Table_Tarikan_Warkah[Nomor Sertipikat],Table_Tarikan_Warkah[Nama Petugas Warkah]),"")</f>
        <v>David</v>
      </c>
      <c r="G53" s="21" t="str">
        <f t="array" ref="G53">IFNA(_xlfn.XLOOKUP(C53,Table_Tarikan_Warkah[Nomor Sertipikat],Table_Tarikan_Warkah[Jenis Permohonan]),"")</f>
        <v>BN PUTUSAN PENGADILAN (AHLI WARIS)</v>
      </c>
      <c r="H53" s="22" t="s">
        <v>31</v>
      </c>
      <c r="I53" s="22" t="s">
        <v>32</v>
      </c>
      <c r="J53" s="20">
        <f t="shared" si="1"/>
        <v>45581.64867</v>
      </c>
      <c r="K53" s="22" t="s">
        <v>65</v>
      </c>
      <c r="L53" s="22" t="s">
        <v>32</v>
      </c>
      <c r="M53" s="20">
        <f t="shared" si="2"/>
        <v>45582.61348</v>
      </c>
      <c r="N53" s="8" t="str">
        <f t="shared" si="3"/>
        <v>SELESAI</v>
      </c>
      <c r="O53" s="23">
        <f t="shared" si="9"/>
        <v>45582.61348</v>
      </c>
      <c r="P53" s="24" t="b">
        <v>0</v>
      </c>
      <c r="Q53" s="20" t="str">
        <f t="shared" si="5"/>
        <v/>
      </c>
      <c r="R53" s="24" t="b">
        <v>1</v>
      </c>
      <c r="S53" s="20">
        <f t="shared" si="6"/>
        <v>45588.49888</v>
      </c>
      <c r="T53" s="7"/>
    </row>
    <row r="54" ht="22.5" hidden="1" customHeight="1">
      <c r="B54" s="7">
        <f t="shared" si="7"/>
        <v>48</v>
      </c>
      <c r="C54" s="18" t="s">
        <v>84</v>
      </c>
      <c r="D54" s="19" t="str">
        <f t="array" ref="D54">IFNA(_xlfn.XLOOKUP(C54,Table_Tarikan_Warkah[Nomor Sertipikat],Table_Tarikan_Warkah[Nomor Tiket]),"")</f>
        <v>K/12/151024/2</v>
      </c>
      <c r="E54" s="20">
        <f t="array" ref="E54">IFNA(_xlfn.XLOOKUP(C54,Table_Tarikan_Warkah[Nomor Sertipikat],Table_Tarikan_Warkah[Tanggal diserahkan kepada Validator]),"")</f>
        <v>45587.64174</v>
      </c>
      <c r="F54" s="20" t="str">
        <f t="array" ref="F54">IFNA(_xlfn.XLOOKUP(C54,Table_Tarikan_Warkah[Nomor Sertipikat],Table_Tarikan_Warkah[Nama Petugas Warkah]),"")</f>
        <v>David</v>
      </c>
      <c r="G54" s="21" t="str">
        <f t="array" ref="G54">IFNA(_xlfn.XLOOKUP(C54,Table_Tarikan_Warkah[Nomor Sertipikat],Table_Tarikan_Warkah[Jenis Permohonan]),"")</f>
        <v>BN Jual Beli</v>
      </c>
      <c r="H54" s="22" t="s">
        <v>37</v>
      </c>
      <c r="I54" s="22" t="s">
        <v>32</v>
      </c>
      <c r="J54" s="20">
        <f t="shared" si="1"/>
        <v>45582.48803</v>
      </c>
      <c r="K54" s="22" t="s">
        <v>65</v>
      </c>
      <c r="L54" s="22" t="s">
        <v>32</v>
      </c>
      <c r="M54" s="20">
        <f t="shared" si="2"/>
        <v>45587.66803</v>
      </c>
      <c r="N54" s="8" t="str">
        <f t="shared" si="3"/>
        <v>SELESAI</v>
      </c>
      <c r="O54" s="23">
        <f t="shared" si="9"/>
        <v>45587.66803</v>
      </c>
      <c r="P54" s="24" t="b">
        <v>0</v>
      </c>
      <c r="Q54" s="20" t="str">
        <f t="shared" si="5"/>
        <v/>
      </c>
      <c r="R54" s="24" t="b">
        <v>1</v>
      </c>
      <c r="S54" s="20">
        <f t="shared" si="6"/>
        <v>45587.66803</v>
      </c>
      <c r="T54" s="8" t="s">
        <v>85</v>
      </c>
    </row>
    <row r="55" ht="22.5" hidden="1" customHeight="1">
      <c r="B55" s="7">
        <f t="shared" si="7"/>
        <v>49</v>
      </c>
      <c r="C55" s="18" t="s">
        <v>86</v>
      </c>
      <c r="D55" s="19" t="str">
        <f t="array" ref="D55">IFNA(_xlfn.XLOOKUP(C55,Table_Tarikan_Warkah[Nomor Sertipikat],Table_Tarikan_Warkah[Nomor Tiket]),"")</f>
        <v>K/37/161024/1</v>
      </c>
      <c r="E55" s="20">
        <f t="array" ref="E55">IFNA(_xlfn.XLOOKUP(C55,Table_Tarikan_Warkah[Nomor Sertipikat],Table_Tarikan_Warkah[Tanggal diserahkan kepada Validator]),"")</f>
        <v>45587.56232</v>
      </c>
      <c r="F55" s="20" t="str">
        <f t="array" ref="F55">IFNA(_xlfn.XLOOKUP(C55,Table_Tarikan_Warkah[Nomor Sertipikat],Table_Tarikan_Warkah[Nama Petugas Warkah]),"")</f>
        <v>Berry</v>
      </c>
      <c r="G55" s="21" t="str">
        <f t="array" ref="G55">IFNA(_xlfn.XLOOKUP(C55,Table_Tarikan_Warkah[Nomor Sertipikat],Table_Tarikan_Warkah[Jenis Permohonan]),"")</f>
        <v>BN Jual Beli</v>
      </c>
      <c r="H55" s="22" t="s">
        <v>37</v>
      </c>
      <c r="I55" s="22" t="s">
        <v>32</v>
      </c>
      <c r="J55" s="20">
        <f t="shared" si="1"/>
        <v>45582.61318</v>
      </c>
      <c r="K55" s="22" t="s">
        <v>65</v>
      </c>
      <c r="L55" s="22" t="s">
        <v>32</v>
      </c>
      <c r="M55" s="20">
        <f t="shared" si="2"/>
        <v>45583.71007</v>
      </c>
      <c r="N55" s="8" t="str">
        <f t="shared" si="3"/>
        <v>SELESAI</v>
      </c>
      <c r="O55" s="23">
        <f t="shared" si="9"/>
        <v>45583.71007</v>
      </c>
      <c r="P55" s="24" t="b">
        <v>0</v>
      </c>
      <c r="Q55" s="20" t="str">
        <f t="shared" si="5"/>
        <v/>
      </c>
      <c r="R55" s="24" t="b">
        <v>1</v>
      </c>
      <c r="S55" s="20">
        <f t="shared" si="6"/>
        <v>45583.71007</v>
      </c>
      <c r="T55" s="7"/>
    </row>
    <row r="56" ht="22.5" hidden="1" customHeight="1">
      <c r="B56" s="7">
        <f t="shared" si="7"/>
        <v>50</v>
      </c>
      <c r="C56" s="18" t="s">
        <v>87</v>
      </c>
      <c r="D56" s="19" t="str">
        <f t="array" ref="D56">IFNA(_xlfn.XLOOKUP(C56,Table_Tarikan_Warkah[Nomor Sertipikat],Table_Tarikan_Warkah[Nomor Tiket]),"")</f>
        <v/>
      </c>
      <c r="E56" s="20" t="str">
        <f t="array" ref="E56">IFNA(_xlfn.XLOOKUP(C56,Table_Tarikan_Warkah[Nomor Sertipikat],Table_Tarikan_Warkah[Tanggal diserahkan kepada Validator]),"")</f>
        <v/>
      </c>
      <c r="F56" s="20" t="str">
        <f t="array" ref="F56">IFNA(_xlfn.XLOOKUP(C56,Table_Tarikan_Warkah[Nomor Sertipikat],Table_Tarikan_Warkah[Nama Petugas Warkah]),"")</f>
        <v/>
      </c>
      <c r="G56" s="21" t="str">
        <f t="array" ref="G56">IFNA(_xlfn.XLOOKUP(C56,Table_Tarikan_Warkah[Nomor Sertipikat],Table_Tarikan_Warkah[Jenis Permohonan]),"")</f>
        <v/>
      </c>
      <c r="H56" s="22" t="s">
        <v>37</v>
      </c>
      <c r="I56" s="22" t="s">
        <v>32</v>
      </c>
      <c r="J56" s="20">
        <f t="shared" si="1"/>
        <v>45582.61318</v>
      </c>
      <c r="K56" s="22" t="s">
        <v>65</v>
      </c>
      <c r="L56" s="22" t="s">
        <v>32</v>
      </c>
      <c r="M56" s="20">
        <f t="shared" si="2"/>
        <v>45583.71007</v>
      </c>
      <c r="N56" s="8" t="str">
        <f t="shared" si="3"/>
        <v/>
      </c>
      <c r="O56" s="23">
        <f t="shared" si="9"/>
        <v>45583.71007</v>
      </c>
      <c r="P56" s="24" t="b">
        <v>0</v>
      </c>
      <c r="Q56" s="20" t="str">
        <f t="shared" si="5"/>
        <v/>
      </c>
      <c r="R56" s="24" t="b">
        <v>1</v>
      </c>
      <c r="S56" s="20">
        <f t="shared" si="6"/>
        <v>45583.71007</v>
      </c>
      <c r="T56" s="7"/>
    </row>
    <row r="57" ht="22.5" hidden="1" customHeight="1">
      <c r="B57" s="7">
        <f t="shared" si="7"/>
        <v>51</v>
      </c>
      <c r="C57" s="18" t="s">
        <v>88</v>
      </c>
      <c r="D57" s="19" t="str">
        <f t="array" ref="D57">IFNA(_xlfn.XLOOKUP(C57,Table_Tarikan_Warkah[Nomor Sertipikat],Table_Tarikan_Warkah[Nomor Tiket]),"")</f>
        <v>K/55/151024/1</v>
      </c>
      <c r="E57" s="20">
        <f t="array" ref="E57">IFNA(_xlfn.XLOOKUP(C57,Table_Tarikan_Warkah[Nomor Sertipikat],Table_Tarikan_Warkah[Tanggal diserahkan kepada Validator]),"")</f>
        <v>45582.58565</v>
      </c>
      <c r="F57" s="20" t="str">
        <f t="array" ref="F57">IFNA(_xlfn.XLOOKUP(C57,Table_Tarikan_Warkah[Nomor Sertipikat],Table_Tarikan_Warkah[Nama Petugas Warkah]),"")</f>
        <v>David</v>
      </c>
      <c r="G57" s="21" t="str">
        <f t="array" ref="G57">IFNA(_xlfn.XLOOKUP(C57,Table_Tarikan_Warkah[Nomor Sertipikat],Table_Tarikan_Warkah[Jenis Permohonan]),"")</f>
        <v>BN Jual Beli</v>
      </c>
      <c r="H57" s="22" t="s">
        <v>37</v>
      </c>
      <c r="I57" s="22" t="s">
        <v>32</v>
      </c>
      <c r="J57" s="20">
        <f t="shared" si="1"/>
        <v>45582.61318</v>
      </c>
      <c r="K57" s="22" t="s">
        <v>65</v>
      </c>
      <c r="L57" s="22" t="s">
        <v>32</v>
      </c>
      <c r="M57" s="20">
        <f t="shared" si="2"/>
        <v>45583.71007</v>
      </c>
      <c r="N57" s="8" t="str">
        <f t="shared" si="3"/>
        <v>SELESAI</v>
      </c>
      <c r="O57" s="23">
        <f t="shared" si="9"/>
        <v>45583.71007</v>
      </c>
      <c r="P57" s="24" t="b">
        <v>0</v>
      </c>
      <c r="Q57" s="20" t="str">
        <f t="shared" si="5"/>
        <v/>
      </c>
      <c r="R57" s="24" t="b">
        <v>1</v>
      </c>
      <c r="S57" s="20">
        <f t="shared" si="6"/>
        <v>45583.71007</v>
      </c>
      <c r="T57" s="7"/>
    </row>
    <row r="58" ht="22.5" hidden="1" customHeight="1">
      <c r="B58" s="7">
        <f t="shared" si="7"/>
        <v>52</v>
      </c>
      <c r="C58" s="18" t="s">
        <v>89</v>
      </c>
      <c r="D58" s="19" t="str">
        <f t="array" ref="D58">IFNA(_xlfn.XLOOKUP(C58,Table_Tarikan_Warkah[Nomor Sertipikat],Table_Tarikan_Warkah[Nomor Tiket]),"")</f>
        <v>K/40/151024/1</v>
      </c>
      <c r="E58" s="20">
        <f t="array" ref="E58">IFNA(_xlfn.XLOOKUP(C58,Table_Tarikan_Warkah[Nomor Sertipikat],Table_Tarikan_Warkah[Tanggal diserahkan kepada Validator]),"")</f>
        <v>45582.34961</v>
      </c>
      <c r="F58" s="20" t="str">
        <f t="array" ref="F58">IFNA(_xlfn.XLOOKUP(C58,Table_Tarikan_Warkah[Nomor Sertipikat],Table_Tarikan_Warkah[Nama Petugas Warkah]),"")</f>
        <v>Berry</v>
      </c>
      <c r="G58" s="21" t="str">
        <f t="array" ref="G58">IFNA(_xlfn.XLOOKUP(C58,Table_Tarikan_Warkah[Nomor Sertipikat],Table_Tarikan_Warkah[Jenis Permohonan]),"")</f>
        <v>BN Jual Beli</v>
      </c>
      <c r="H58" s="22" t="s">
        <v>37</v>
      </c>
      <c r="I58" s="22" t="s">
        <v>32</v>
      </c>
      <c r="J58" s="20">
        <f t="shared" si="1"/>
        <v>45582.61341</v>
      </c>
      <c r="K58" s="22" t="s">
        <v>65</v>
      </c>
      <c r="L58" s="22" t="s">
        <v>32</v>
      </c>
      <c r="M58" s="20">
        <f t="shared" si="2"/>
        <v>45583.71007</v>
      </c>
      <c r="N58" s="8" t="str">
        <f t="shared" si="3"/>
        <v>SELESAI</v>
      </c>
      <c r="O58" s="23">
        <f t="shared" si="9"/>
        <v>45583.71007</v>
      </c>
      <c r="P58" s="24" t="b">
        <v>0</v>
      </c>
      <c r="Q58" s="20" t="str">
        <f t="shared" si="5"/>
        <v/>
      </c>
      <c r="R58" s="24" t="b">
        <v>1</v>
      </c>
      <c r="S58" s="20">
        <f t="shared" si="6"/>
        <v>45583.71007</v>
      </c>
      <c r="T58" s="7"/>
    </row>
    <row r="59" ht="22.5" hidden="1" customHeight="1">
      <c r="B59" s="7">
        <f t="shared" si="7"/>
        <v>53</v>
      </c>
      <c r="C59" s="18" t="s">
        <v>90</v>
      </c>
      <c r="D59" s="19" t="str">
        <f t="array" ref="D59">IFNA(_xlfn.XLOOKUP(C59,Table_Tarikan_Warkah[Nomor Sertipikat],Table_Tarikan_Warkah[Nomor Tiket]),"")</f>
        <v>K/33/161024/2</v>
      </c>
      <c r="E59" s="20">
        <f t="array" ref="E59">IFNA(_xlfn.XLOOKUP(C59,Table_Tarikan_Warkah[Nomor Sertipikat],Table_Tarikan_Warkah[Tanggal diserahkan kepada Validator]),"")</f>
        <v>45582.41757</v>
      </c>
      <c r="F59" s="20" t="str">
        <f t="array" ref="F59">IFNA(_xlfn.XLOOKUP(C59,Table_Tarikan_Warkah[Nomor Sertipikat],Table_Tarikan_Warkah[Nama Petugas Warkah]),"")</f>
        <v>David</v>
      </c>
      <c r="G59" s="21" t="str">
        <f t="array" ref="G59">IFNA(_xlfn.XLOOKUP(C59,Table_Tarikan_Warkah[Nomor Sertipikat],Table_Tarikan_Warkah[Jenis Permohonan]),"")</f>
        <v>BN JUAL BELI</v>
      </c>
      <c r="H59" s="22" t="s">
        <v>37</v>
      </c>
      <c r="I59" s="22" t="s">
        <v>32</v>
      </c>
      <c r="J59" s="20">
        <f t="shared" si="1"/>
        <v>45582.61406</v>
      </c>
      <c r="K59" s="22" t="s">
        <v>65</v>
      </c>
      <c r="L59" s="22" t="s">
        <v>32</v>
      </c>
      <c r="M59" s="20">
        <f t="shared" si="2"/>
        <v>45583.71007</v>
      </c>
      <c r="N59" s="8" t="str">
        <f t="shared" si="3"/>
        <v>SELESAI</v>
      </c>
      <c r="O59" s="23">
        <f t="shared" si="9"/>
        <v>45583.71007</v>
      </c>
      <c r="P59" s="24" t="b">
        <v>0</v>
      </c>
      <c r="Q59" s="20" t="str">
        <f t="shared" si="5"/>
        <v/>
      </c>
      <c r="R59" s="24" t="b">
        <v>1</v>
      </c>
      <c r="S59" s="20">
        <f t="shared" si="6"/>
        <v>45583.7101</v>
      </c>
      <c r="T59" s="7"/>
    </row>
    <row r="60" ht="22.5" hidden="1" customHeight="1">
      <c r="B60" s="7">
        <f t="shared" si="7"/>
        <v>54</v>
      </c>
      <c r="C60" s="18" t="s">
        <v>91</v>
      </c>
      <c r="D60" s="19" t="str">
        <f t="array" ref="D60">IFNA(_xlfn.XLOOKUP(C60,Table_Tarikan_Warkah[Nomor Sertipikat],Table_Tarikan_Warkah[Nomor Tiket]),"")</f>
        <v>K/13/161024/1</v>
      </c>
      <c r="E60" s="20">
        <f t="array" ref="E60">IFNA(_xlfn.XLOOKUP(C60,Table_Tarikan_Warkah[Nomor Sertipikat],Table_Tarikan_Warkah[Tanggal diserahkan kepada Validator]),"")</f>
        <v>45582.58565</v>
      </c>
      <c r="F60" s="20" t="str">
        <f t="array" ref="F60">IFNA(_xlfn.XLOOKUP(C60,Table_Tarikan_Warkah[Nomor Sertipikat],Table_Tarikan_Warkah[Nama Petugas Warkah]),"")</f>
        <v>David</v>
      </c>
      <c r="G60" s="21" t="str">
        <f t="array" ref="G60">IFNA(_xlfn.XLOOKUP(C60,Table_Tarikan_Warkah[Nomor Sertipikat],Table_Tarikan_Warkah[Jenis Permohonan]),"")</f>
        <v>BN Jual Beli</v>
      </c>
      <c r="H60" s="22" t="s">
        <v>31</v>
      </c>
      <c r="I60" s="22" t="s">
        <v>32</v>
      </c>
      <c r="J60" s="20">
        <f t="shared" si="1"/>
        <v>45582.61777</v>
      </c>
      <c r="K60" s="22" t="s">
        <v>65</v>
      </c>
      <c r="L60" s="22" t="s">
        <v>32</v>
      </c>
      <c r="M60" s="20">
        <f t="shared" si="2"/>
        <v>45583.71007</v>
      </c>
      <c r="N60" s="8" t="str">
        <f t="shared" si="3"/>
        <v>SELESAI</v>
      </c>
      <c r="O60" s="23">
        <f t="shared" si="9"/>
        <v>45583.71007</v>
      </c>
      <c r="P60" s="24" t="b">
        <v>0</v>
      </c>
      <c r="Q60" s="20" t="str">
        <f t="shared" si="5"/>
        <v/>
      </c>
      <c r="R60" s="24" t="b">
        <v>1</v>
      </c>
      <c r="S60" s="20">
        <f t="shared" si="6"/>
        <v>45583.71011</v>
      </c>
      <c r="T60" s="7"/>
    </row>
    <row r="61" ht="22.5" hidden="1" customHeight="1">
      <c r="B61" s="7">
        <f t="shared" si="7"/>
        <v>55</v>
      </c>
      <c r="C61" s="18" t="s">
        <v>92</v>
      </c>
      <c r="D61" s="19" t="str">
        <f t="array" ref="D61">IFNA(_xlfn.XLOOKUP(C61,Table_Tarikan_Warkah[Nomor Sertipikat],Table_Tarikan_Warkah[Nomor Tiket]),"")</f>
        <v>K/52/151024/1</v>
      </c>
      <c r="E61" s="20">
        <f t="array" ref="E61">IFNA(_xlfn.XLOOKUP(C61,Table_Tarikan_Warkah[Nomor Sertipikat],Table_Tarikan_Warkah[Tanggal diserahkan kepada Validator]),"")</f>
        <v>45582.58565</v>
      </c>
      <c r="F61" s="20" t="str">
        <f t="array" ref="F61">IFNA(_xlfn.XLOOKUP(C61,Table_Tarikan_Warkah[Nomor Sertipikat],Table_Tarikan_Warkah[Nama Petugas Warkah]),"")</f>
        <v>David</v>
      </c>
      <c r="G61" s="21" t="str">
        <f t="array" ref="G61">IFNA(_xlfn.XLOOKUP(C61,Table_Tarikan_Warkah[Nomor Sertipikat],Table_Tarikan_Warkah[Jenis Permohonan]),"")</f>
        <v>BN WARIS</v>
      </c>
      <c r="H61" s="22" t="s">
        <v>31</v>
      </c>
      <c r="I61" s="22" t="s">
        <v>32</v>
      </c>
      <c r="J61" s="20">
        <f t="shared" si="1"/>
        <v>45582.61785</v>
      </c>
      <c r="K61" s="22" t="s">
        <v>65</v>
      </c>
      <c r="L61" s="22" t="s">
        <v>32</v>
      </c>
      <c r="M61" s="20">
        <f t="shared" si="2"/>
        <v>45583.36271</v>
      </c>
      <c r="N61" s="8" t="str">
        <f t="shared" si="3"/>
        <v>SELESAI</v>
      </c>
      <c r="O61" s="23">
        <f t="shared" si="9"/>
        <v>45583.36271</v>
      </c>
      <c r="P61" s="24" t="b">
        <v>0</v>
      </c>
      <c r="Q61" s="20" t="str">
        <f t="shared" si="5"/>
        <v/>
      </c>
      <c r="R61" s="24" t="b">
        <v>1</v>
      </c>
      <c r="S61" s="20">
        <f t="shared" si="6"/>
        <v>45583.36275</v>
      </c>
      <c r="T61" s="7"/>
    </row>
    <row r="62" ht="22.5" hidden="1" customHeight="1">
      <c r="B62" s="7">
        <f t="shared" si="7"/>
        <v>56</v>
      </c>
      <c r="C62" s="18" t="s">
        <v>93</v>
      </c>
      <c r="D62" s="19" t="str">
        <f t="array" ref="D62">IFNA(_xlfn.XLOOKUP(C62,Table_Tarikan_Warkah[Nomor Sertipikat],Table_Tarikan_Warkah[Nomor Tiket]),"")</f>
        <v>K/32/161024/1</v>
      </c>
      <c r="E62" s="20">
        <f t="array" ref="E62">IFNA(_xlfn.XLOOKUP(C62,Table_Tarikan_Warkah[Nomor Sertipikat],Table_Tarikan_Warkah[Tanggal diserahkan kepada Validator]),"")</f>
        <v>45582.41748</v>
      </c>
      <c r="F62" s="20" t="str">
        <f t="array" ref="F62">IFNA(_xlfn.XLOOKUP(C62,Table_Tarikan_Warkah[Nomor Sertipikat],Table_Tarikan_Warkah[Nama Petugas Warkah]),"")</f>
        <v>David</v>
      </c>
      <c r="G62" s="21" t="str">
        <f t="array" ref="G62">IFNA(_xlfn.XLOOKUP(C62,Table_Tarikan_Warkah[Nomor Sertipikat],Table_Tarikan_Warkah[Jenis Permohonan]),"")</f>
        <v>BN JUAL BELI</v>
      </c>
      <c r="H62" s="22" t="s">
        <v>31</v>
      </c>
      <c r="I62" s="22" t="s">
        <v>32</v>
      </c>
      <c r="J62" s="20">
        <f t="shared" si="1"/>
        <v>45582.61803</v>
      </c>
      <c r="K62" s="22" t="s">
        <v>65</v>
      </c>
      <c r="L62" s="22" t="s">
        <v>32</v>
      </c>
      <c r="M62" s="20">
        <f t="shared" si="2"/>
        <v>45583.36046</v>
      </c>
      <c r="N62" s="8" t="str">
        <f t="shared" si="3"/>
        <v>SELESAI</v>
      </c>
      <c r="O62" s="23">
        <f t="shared" si="9"/>
        <v>45583.36046</v>
      </c>
      <c r="P62" s="24" t="b">
        <v>0</v>
      </c>
      <c r="Q62" s="20" t="str">
        <f t="shared" si="5"/>
        <v/>
      </c>
      <c r="R62" s="24" t="b">
        <v>1</v>
      </c>
      <c r="S62" s="20">
        <f t="shared" si="6"/>
        <v>45583.3605</v>
      </c>
      <c r="T62" s="7"/>
    </row>
    <row r="63" ht="22.5" hidden="1" customHeight="1">
      <c r="B63" s="7">
        <f t="shared" si="7"/>
        <v>57</v>
      </c>
      <c r="C63" s="18" t="s">
        <v>94</v>
      </c>
      <c r="D63" s="19" t="str">
        <f t="array" ref="D63">IFNA(_xlfn.XLOOKUP(C63,Table_Tarikan_Warkah[Nomor Sertipikat],Table_Tarikan_Warkah[Nomor Tiket]),"")</f>
        <v>K/24/161024/2</v>
      </c>
      <c r="E63" s="20">
        <f t="array" ref="E63">IFNA(_xlfn.XLOOKUP(C63,Table_Tarikan_Warkah[Nomor Sertipikat],Table_Tarikan_Warkah[Tanggal diserahkan kepada Validator]),"")</f>
        <v>45582.41738</v>
      </c>
      <c r="F63" s="20" t="str">
        <f t="array" ref="F63">IFNA(_xlfn.XLOOKUP(C63,Table_Tarikan_Warkah[Nomor Sertipikat],Table_Tarikan_Warkah[Nama Petugas Warkah]),"")</f>
        <v>David</v>
      </c>
      <c r="G63" s="21" t="str">
        <f t="array" ref="G63">IFNA(_xlfn.XLOOKUP(C63,Table_Tarikan_Warkah[Nomor Sertipikat],Table_Tarikan_Warkah[Jenis Permohonan]),"")</f>
        <v>BN JUAL BELI</v>
      </c>
      <c r="H63" s="22" t="s">
        <v>31</v>
      </c>
      <c r="I63" s="22" t="s">
        <v>32</v>
      </c>
      <c r="J63" s="20">
        <f t="shared" si="1"/>
        <v>45582.61816</v>
      </c>
      <c r="K63" s="22" t="s">
        <v>65</v>
      </c>
      <c r="L63" s="22" t="s">
        <v>32</v>
      </c>
      <c r="M63" s="20">
        <f t="shared" si="2"/>
        <v>45583.35951</v>
      </c>
      <c r="N63" s="8" t="str">
        <f t="shared" si="3"/>
        <v>SELESAI</v>
      </c>
      <c r="O63" s="23">
        <f t="shared" si="9"/>
        <v>45583.35951</v>
      </c>
      <c r="P63" s="24" t="b">
        <v>0</v>
      </c>
      <c r="Q63" s="20" t="str">
        <f t="shared" si="5"/>
        <v/>
      </c>
      <c r="R63" s="24" t="b">
        <v>1</v>
      </c>
      <c r="S63" s="20">
        <f t="shared" si="6"/>
        <v>45583.35964</v>
      </c>
      <c r="T63" s="7"/>
    </row>
    <row r="64" ht="22.5" hidden="1" customHeight="1">
      <c r="B64" s="7">
        <f t="shared" si="7"/>
        <v>58</v>
      </c>
      <c r="C64" s="18" t="s">
        <v>95</v>
      </c>
      <c r="D64" s="19" t="str">
        <f t="array" ref="D64">IFNA(_xlfn.XLOOKUP(C64,Table_Tarikan_Warkah[Nomor Sertipikat],Table_Tarikan_Warkah[Nomor Tiket]),"")</f>
        <v>L/19/161024/1</v>
      </c>
      <c r="E64" s="20">
        <f t="array" ref="E64">IFNA(_xlfn.XLOOKUP(C64,Table_Tarikan_Warkah[Nomor Sertipikat],Table_Tarikan_Warkah[Tanggal diserahkan kepada Validator]),"")</f>
        <v>45582.41672</v>
      </c>
      <c r="F64" s="20" t="str">
        <f t="array" ref="F64">IFNA(_xlfn.XLOOKUP(C64,Table_Tarikan_Warkah[Nomor Sertipikat],Table_Tarikan_Warkah[Nama Petugas Warkah]),"")</f>
        <v>David</v>
      </c>
      <c r="G64" s="21" t="str">
        <f t="array" ref="G64">IFNA(_xlfn.XLOOKUP(C64,Table_Tarikan_Warkah[Nomor Sertipikat],Table_Tarikan_Warkah[Jenis Permohonan]),"")</f>
        <v>BN HIBAH</v>
      </c>
      <c r="H64" s="22" t="s">
        <v>31</v>
      </c>
      <c r="I64" s="22" t="s">
        <v>32</v>
      </c>
      <c r="J64" s="20">
        <f t="shared" si="1"/>
        <v>45582.61831</v>
      </c>
      <c r="K64" s="22" t="s">
        <v>65</v>
      </c>
      <c r="L64" s="22" t="s">
        <v>32</v>
      </c>
      <c r="M64" s="20">
        <f t="shared" si="2"/>
        <v>45583.35559</v>
      </c>
      <c r="N64" s="8" t="str">
        <f t="shared" si="3"/>
        <v>SELESAI</v>
      </c>
      <c r="O64" s="23">
        <f t="shared" si="9"/>
        <v>45583.35559</v>
      </c>
      <c r="P64" s="24" t="b">
        <v>0</v>
      </c>
      <c r="Q64" s="20" t="str">
        <f t="shared" si="5"/>
        <v/>
      </c>
      <c r="R64" s="24" t="b">
        <v>1</v>
      </c>
      <c r="S64" s="20">
        <f t="shared" si="6"/>
        <v>45583.35569</v>
      </c>
      <c r="T64" s="7"/>
    </row>
    <row r="65" ht="22.5" hidden="1" customHeight="1">
      <c r="B65" s="7">
        <f t="shared" si="7"/>
        <v>59</v>
      </c>
      <c r="C65" s="18" t="s">
        <v>96</v>
      </c>
      <c r="D65" s="19" t="str">
        <f t="array" ref="D65">IFNA(_xlfn.XLOOKUP(C65,Table_Tarikan_Warkah[Nomor Sertipikat],Table_Tarikan_Warkah[Nomor Tiket]),"")</f>
        <v>K/14/161024/2</v>
      </c>
      <c r="E65" s="20">
        <f t="array" ref="E65">IFNA(_xlfn.XLOOKUP(C65,Table_Tarikan_Warkah[Nomor Sertipikat],Table_Tarikan_Warkah[Tanggal diserahkan kepada Validator]),"")</f>
        <v>45582.4164</v>
      </c>
      <c r="F65" s="20" t="str">
        <f t="array" ref="F65">IFNA(_xlfn.XLOOKUP(C65,Table_Tarikan_Warkah[Nomor Sertipikat],Table_Tarikan_Warkah[Nama Petugas Warkah]),"")</f>
        <v>David</v>
      </c>
      <c r="G65" s="21" t="str">
        <f t="array" ref="G65">IFNA(_xlfn.XLOOKUP(C65,Table_Tarikan_Warkah[Nomor Sertipikat],Table_Tarikan_Warkah[Jenis Permohonan]),"")</f>
        <v>BN Jual Beli</v>
      </c>
      <c r="H65" s="22" t="s">
        <v>31</v>
      </c>
      <c r="I65" s="22" t="s">
        <v>32</v>
      </c>
      <c r="J65" s="20">
        <f t="shared" si="1"/>
        <v>45582.61848</v>
      </c>
      <c r="K65" s="22" t="s">
        <v>65</v>
      </c>
      <c r="L65" s="22" t="s">
        <v>32</v>
      </c>
      <c r="M65" s="20">
        <f t="shared" si="2"/>
        <v>45583.36074</v>
      </c>
      <c r="N65" s="8" t="str">
        <f t="shared" si="3"/>
        <v>SELESAI</v>
      </c>
      <c r="O65" s="23">
        <f t="shared" si="9"/>
        <v>45583.36074</v>
      </c>
      <c r="P65" s="24" t="b">
        <v>0</v>
      </c>
      <c r="Q65" s="20" t="str">
        <f t="shared" si="5"/>
        <v/>
      </c>
      <c r="R65" s="24" t="b">
        <v>1</v>
      </c>
      <c r="S65" s="20">
        <f t="shared" si="6"/>
        <v>45583.36117</v>
      </c>
      <c r="T65" s="7"/>
    </row>
    <row r="66" ht="22.5" hidden="1" customHeight="1">
      <c r="B66" s="7">
        <f t="shared" si="7"/>
        <v>60</v>
      </c>
      <c r="C66" s="18" t="s">
        <v>97</v>
      </c>
      <c r="D66" s="19" t="str">
        <f t="array" ref="D66">IFNA(_xlfn.XLOOKUP(C66,Table_Tarikan_Warkah[Nomor Sertipikat],Table_Tarikan_Warkah[Nomor Tiket]),"")</f>
        <v>L/16/161024/1</v>
      </c>
      <c r="E66" s="20">
        <f t="array" ref="E66">IFNA(_xlfn.XLOOKUP(C66,Table_Tarikan_Warkah[Nomor Sertipikat],Table_Tarikan_Warkah[Tanggal diserahkan kepada Validator]),"")</f>
        <v>45582.41726</v>
      </c>
      <c r="F66" s="20" t="str">
        <f t="array" ref="F66">IFNA(_xlfn.XLOOKUP(C66,Table_Tarikan_Warkah[Nomor Sertipikat],Table_Tarikan_Warkah[Nama Petugas Warkah]),"")</f>
        <v>David</v>
      </c>
      <c r="G66" s="21" t="str">
        <f t="array" ref="G66">IFNA(_xlfn.XLOOKUP(C66,Table_Tarikan_Warkah[Nomor Sertipikat],Table_Tarikan_Warkah[Jenis Permohonan]),"")</f>
        <v>ROYA</v>
      </c>
      <c r="H66" s="22" t="s">
        <v>31</v>
      </c>
      <c r="I66" s="22" t="s">
        <v>32</v>
      </c>
      <c r="J66" s="20">
        <f t="shared" si="1"/>
        <v>45582.61887</v>
      </c>
      <c r="K66" s="22" t="s">
        <v>65</v>
      </c>
      <c r="L66" s="22" t="s">
        <v>32</v>
      </c>
      <c r="M66" s="20">
        <f t="shared" si="2"/>
        <v>45583.71037</v>
      </c>
      <c r="N66" s="8" t="str">
        <f t="shared" si="3"/>
        <v>SELESAI</v>
      </c>
      <c r="O66" s="23">
        <f t="shared" si="9"/>
        <v>45583.71037</v>
      </c>
      <c r="P66" s="24" t="b">
        <v>0</v>
      </c>
      <c r="Q66" s="20" t="str">
        <f t="shared" si="5"/>
        <v/>
      </c>
      <c r="R66" s="24" t="b">
        <v>0</v>
      </c>
      <c r="S66" s="7" t="str">
        <f t="shared" si="6"/>
        <v/>
      </c>
      <c r="T66" s="7"/>
    </row>
    <row r="67" ht="22.5" hidden="1" customHeight="1">
      <c r="B67" s="7">
        <f t="shared" si="7"/>
        <v>61</v>
      </c>
      <c r="C67" s="18" t="s">
        <v>98</v>
      </c>
      <c r="D67" s="19" t="str">
        <f t="array" ref="D67">IFNA(_xlfn.XLOOKUP(C67,Table_Tarikan_Warkah[Nomor Sertipikat],Table_Tarikan_Warkah[Nomor Tiket]),"")</f>
        <v>K/57/151024/3</v>
      </c>
      <c r="E67" s="20">
        <f t="array" ref="E67">IFNA(_xlfn.XLOOKUP(C67,Table_Tarikan_Warkah[Nomor Sertipikat],Table_Tarikan_Warkah[Tanggal diserahkan kepada Validator]),"")</f>
        <v>45582.58565</v>
      </c>
      <c r="F67" s="20" t="str">
        <f t="array" ref="F67">IFNA(_xlfn.XLOOKUP(C67,Table_Tarikan_Warkah[Nomor Sertipikat],Table_Tarikan_Warkah[Nama Petugas Warkah]),"")</f>
        <v>David</v>
      </c>
      <c r="G67" s="21" t="str">
        <f t="array" ref="G67">IFNA(_xlfn.XLOOKUP(C67,Table_Tarikan_Warkah[Nomor Sertipikat],Table_Tarikan_Warkah[Jenis Permohonan]),"")</f>
        <v>Roya</v>
      </c>
      <c r="H67" s="22" t="s">
        <v>31</v>
      </c>
      <c r="I67" s="22" t="s">
        <v>32</v>
      </c>
      <c r="J67" s="20">
        <f t="shared" si="1"/>
        <v>45582.61912</v>
      </c>
      <c r="K67" s="22" t="s">
        <v>65</v>
      </c>
      <c r="L67" s="22" t="s">
        <v>32</v>
      </c>
      <c r="M67" s="20">
        <f t="shared" si="2"/>
        <v>45583.35857</v>
      </c>
      <c r="N67" s="8" t="str">
        <f t="shared" si="3"/>
        <v>SELESAI</v>
      </c>
      <c r="O67" s="23">
        <f t="shared" si="9"/>
        <v>45583.35857</v>
      </c>
      <c r="P67" s="24" t="b">
        <v>0</v>
      </c>
      <c r="Q67" s="20" t="str">
        <f t="shared" si="5"/>
        <v/>
      </c>
      <c r="R67" s="24" t="b">
        <v>1</v>
      </c>
      <c r="S67" s="20">
        <f t="shared" si="6"/>
        <v>45583.35864</v>
      </c>
      <c r="T67" s="8" t="s">
        <v>99</v>
      </c>
    </row>
    <row r="68" ht="22.5" hidden="1" customHeight="1">
      <c r="B68" s="7">
        <f t="shared" si="7"/>
        <v>62</v>
      </c>
      <c r="C68" s="18"/>
      <c r="D68" s="19" t="str">
        <f t="array" ref="D68">IFNA(_xlfn.XLOOKUP(C68,Table_Tarikan_Warkah[Nomor Sertipikat],Table_Tarikan_Warkah[Nomor Tiket]),"")</f>
        <v/>
      </c>
      <c r="E68" s="20" t="str">
        <f t="array" ref="E68">IFNA(_xlfn.XLOOKUP(C68,Table_Tarikan_Warkah[Nomor Sertipikat],Table_Tarikan_Warkah[Tanggal diserahkan kepada Validator]),"")</f>
        <v/>
      </c>
      <c r="F68" s="20" t="str">
        <f t="array" ref="F68">IFNA(_xlfn.XLOOKUP(C68,Table_Tarikan_Warkah[Nomor Sertipikat],Table_Tarikan_Warkah[Nama Petugas Warkah]),"")</f>
        <v/>
      </c>
      <c r="G68" s="21" t="str">
        <f t="array" ref="G68">IFNA(_xlfn.XLOOKUP(C68,Table_Tarikan_Warkah[Nomor Sertipikat],Table_Tarikan_Warkah[Jenis Permohonan]),"")</f>
        <v/>
      </c>
      <c r="H68" s="22" t="s">
        <v>31</v>
      </c>
      <c r="I68" s="22"/>
      <c r="J68" s="20" t="str">
        <f>IF(OR(I68="Selesai",I68="SELESAI (VIA PERMOHONAN)"),IF(J68&lt;&gt;"",J68,NOW()),"")</f>
        <v/>
      </c>
      <c r="K68" s="26"/>
      <c r="L68" s="22"/>
      <c r="M68" s="20" t="str">
        <f>IF(OR(L68="Selesai",L68="SELESAI (VIA PERMOHONAN)"),IF(M68&lt;&gt;"",M68,NOW()),"")</f>
        <v/>
      </c>
      <c r="N68" s="8" t="str">
        <f t="shared" si="3"/>
        <v/>
      </c>
      <c r="O68" s="21" t="str">
        <f t="shared" ref="O68:O69" si="10">IF(N68="Selesai",IF(M68&lt;&gt;"",M68,NOW()),"")</f>
        <v/>
      </c>
      <c r="P68" s="24" t="b">
        <v>0</v>
      </c>
      <c r="Q68" s="20" t="str">
        <f t="shared" si="5"/>
        <v/>
      </c>
      <c r="R68" s="24" t="b">
        <v>0</v>
      </c>
      <c r="S68" s="7" t="str">
        <f t="shared" si="6"/>
        <v/>
      </c>
      <c r="T68" s="7"/>
    </row>
    <row r="69" ht="22.5" hidden="1" customHeight="1">
      <c r="B69" s="7">
        <f t="shared" si="7"/>
        <v>63</v>
      </c>
      <c r="C69" s="18" t="s">
        <v>100</v>
      </c>
      <c r="D69" s="19" t="str">
        <f t="array" ref="D69">IFNA(_xlfn.XLOOKUP(C69,Table_Tarikan_Warkah[Nomor Sertipikat],Table_Tarikan_Warkah[Nomor Tiket]),"")</f>
        <v>K/20/161024/1</v>
      </c>
      <c r="E69" s="20">
        <f t="array" ref="E69">IFNA(_xlfn.XLOOKUP(C69,Table_Tarikan_Warkah[Nomor Sertipikat],Table_Tarikan_Warkah[Tanggal diserahkan kepada Validator]),"")</f>
        <v>45582.41655</v>
      </c>
      <c r="F69" s="20" t="str">
        <f t="array" ref="F69">IFNA(_xlfn.XLOOKUP(C69,Table_Tarikan_Warkah[Nomor Sertipikat],Table_Tarikan_Warkah[Nama Petugas Warkah]),"")</f>
        <v>David</v>
      </c>
      <c r="G69" s="21" t="str">
        <f t="array" ref="G69">IFNA(_xlfn.XLOOKUP(C69,Table_Tarikan_Warkah[Nomor Sertipikat],Table_Tarikan_Warkah[Jenis Permohonan]),"")</f>
        <v>PERALIHAN KEWARISAN</v>
      </c>
      <c r="H69" s="22" t="s">
        <v>37</v>
      </c>
      <c r="I69" s="22" t="s">
        <v>32</v>
      </c>
      <c r="J69" s="20">
        <f t="shared" ref="J69:J151" si="11">IF(I69="Selesai",IF(J69&lt;&gt;"",J69,NOW()),"")</f>
        <v>45582.6293</v>
      </c>
      <c r="K69" s="22" t="s">
        <v>65</v>
      </c>
      <c r="L69" s="22" t="s">
        <v>32</v>
      </c>
      <c r="M69" s="20">
        <f t="shared" ref="M69:M151" si="12">IF(L69="Selesai",IF(M69&lt;&gt;"",M69,NOW()),"")</f>
        <v>45594.40386</v>
      </c>
      <c r="N69" s="8" t="str">
        <f t="shared" si="3"/>
        <v>SELESAI</v>
      </c>
      <c r="O69" s="23">
        <f t="shared" si="10"/>
        <v>45594.40386</v>
      </c>
      <c r="P69" s="24" t="b">
        <v>0</v>
      </c>
      <c r="Q69" s="20" t="str">
        <f t="shared" si="5"/>
        <v/>
      </c>
      <c r="R69" s="24" t="b">
        <v>0</v>
      </c>
      <c r="S69" s="7" t="str">
        <f t="shared" si="6"/>
        <v/>
      </c>
      <c r="T69" s="7"/>
    </row>
    <row r="70" ht="22.5" hidden="1" customHeight="1">
      <c r="B70" s="7">
        <f t="shared" si="7"/>
        <v>64</v>
      </c>
      <c r="C70" s="18" t="s">
        <v>101</v>
      </c>
      <c r="D70" s="19" t="str">
        <f t="array" ref="D70">IFNA(_xlfn.XLOOKUP(C70,Table_Tarikan_Warkah[Nomor Sertipikat],Table_Tarikan_Warkah[Nomor Tiket]),"")</f>
        <v>K/21/171024/2</v>
      </c>
      <c r="E70" s="20">
        <f t="array" ref="E70">IFNA(_xlfn.XLOOKUP(C70,Table_Tarikan_Warkah[Nomor Sertipikat],Table_Tarikan_Warkah[Tanggal diserahkan kepada Validator]),"")</f>
        <v>45582.63918</v>
      </c>
      <c r="F70" s="20" t="str">
        <f t="array" ref="F70">IFNA(_xlfn.XLOOKUP(C70,Table_Tarikan_Warkah[Nomor Sertipikat],Table_Tarikan_Warkah[Nama Petugas Warkah]),"")</f>
        <v>David</v>
      </c>
      <c r="G70" s="21" t="str">
        <f t="array" ref="G70">IFNA(_xlfn.XLOOKUP(C70,Table_Tarikan_Warkah[Nomor Sertipikat],Table_Tarikan_Warkah[Jenis Permohonan]),"")</f>
        <v>BN Jual Beli</v>
      </c>
      <c r="H70" s="22" t="s">
        <v>31</v>
      </c>
      <c r="I70" s="22" t="s">
        <v>32</v>
      </c>
      <c r="J70" s="20">
        <f t="shared" si="11"/>
        <v>45582.68874</v>
      </c>
      <c r="K70" s="22" t="s">
        <v>65</v>
      </c>
      <c r="L70" s="22" t="s">
        <v>32</v>
      </c>
      <c r="M70" s="20">
        <f t="shared" si="12"/>
        <v>45583.71007</v>
      </c>
      <c r="N70" s="8" t="str">
        <f t="shared" si="3"/>
        <v>SELESAI</v>
      </c>
      <c r="O70" s="23">
        <f t="shared" ref="O70:O73" si="13">IF(and(L70="Selesai",I70="Selesai"),IF(M70&lt;&gt;"",M70,NOW()),"")</f>
        <v>45583.71007</v>
      </c>
      <c r="P70" s="24" t="b">
        <v>0</v>
      </c>
      <c r="Q70" s="20" t="str">
        <f t="shared" si="5"/>
        <v/>
      </c>
      <c r="R70" s="24" t="b">
        <v>1</v>
      </c>
      <c r="S70" s="20">
        <f t="shared" si="6"/>
        <v>45583.71007</v>
      </c>
      <c r="T70" s="7"/>
    </row>
    <row r="71" ht="22.5" hidden="1" customHeight="1">
      <c r="B71" s="7">
        <f t="shared" si="7"/>
        <v>65</v>
      </c>
      <c r="C71" s="18" t="s">
        <v>102</v>
      </c>
      <c r="D71" s="19" t="str">
        <f t="array" ref="D71">IFNA(_xlfn.XLOOKUP(C71,Table_Tarikan_Warkah[Nomor Sertipikat],Table_Tarikan_Warkah[Nomor Tiket]),"")</f>
        <v>K/18/171024/1</v>
      </c>
      <c r="E71" s="20">
        <f t="array" ref="E71">IFNA(_xlfn.XLOOKUP(C71,Table_Tarikan_Warkah[Nomor Sertipikat],Table_Tarikan_Warkah[Tanggal diserahkan kepada Validator]),"")</f>
        <v>45582.63897</v>
      </c>
      <c r="F71" s="20" t="str">
        <f t="array" ref="F71">IFNA(_xlfn.XLOOKUP(C71,Table_Tarikan_Warkah[Nomor Sertipikat],Table_Tarikan_Warkah[Nama Petugas Warkah]),"")</f>
        <v>David</v>
      </c>
      <c r="G71" s="21" t="str">
        <f t="array" ref="G71">IFNA(_xlfn.XLOOKUP(C71,Table_Tarikan_Warkah[Nomor Sertipikat],Table_Tarikan_Warkah[Jenis Permohonan]),"")</f>
        <v>BN JUAL BELI</v>
      </c>
      <c r="H71" s="22" t="s">
        <v>31</v>
      </c>
      <c r="I71" s="22" t="s">
        <v>32</v>
      </c>
      <c r="J71" s="20">
        <f t="shared" si="11"/>
        <v>45582.68887</v>
      </c>
      <c r="K71" s="22" t="s">
        <v>65</v>
      </c>
      <c r="L71" s="22" t="s">
        <v>32</v>
      </c>
      <c r="M71" s="20">
        <f t="shared" si="12"/>
        <v>45583.71007</v>
      </c>
      <c r="N71" s="8" t="str">
        <f t="shared" si="3"/>
        <v>SELESAI</v>
      </c>
      <c r="O71" s="23">
        <f t="shared" si="13"/>
        <v>45583.71007</v>
      </c>
      <c r="P71" s="24" t="b">
        <v>0</v>
      </c>
      <c r="Q71" s="20" t="str">
        <f t="shared" si="5"/>
        <v/>
      </c>
      <c r="R71" s="24" t="b">
        <v>1</v>
      </c>
      <c r="S71" s="20">
        <f t="shared" si="6"/>
        <v>45583.71007</v>
      </c>
      <c r="T71" s="7"/>
    </row>
    <row r="72" ht="22.5" hidden="1" customHeight="1">
      <c r="B72" s="7">
        <f t="shared" si="7"/>
        <v>66</v>
      </c>
      <c r="C72" s="18" t="s">
        <v>103</v>
      </c>
      <c r="D72" s="19" t="str">
        <f t="array" ref="D72">IFNA(_xlfn.XLOOKUP(C72,Table_Tarikan_Warkah[Nomor Sertipikat],Table_Tarikan_Warkah[Nomor Tiket]),"")</f>
        <v>L/6/171024/1</v>
      </c>
      <c r="E72" s="20">
        <f t="array" ref="E72">IFNA(_xlfn.XLOOKUP(C72,Table_Tarikan_Warkah[Nomor Sertipikat],Table_Tarikan_Warkah[Tanggal diserahkan kepada Validator]),"")</f>
        <v>45582.63588</v>
      </c>
      <c r="F72" s="20" t="str">
        <f t="array" ref="F72">IFNA(_xlfn.XLOOKUP(C72,Table_Tarikan_Warkah[Nomor Sertipikat],Table_Tarikan_Warkah[Nama Petugas Warkah]),"")</f>
        <v>Berry</v>
      </c>
      <c r="G72" s="21" t="str">
        <f t="array" ref="G72">IFNA(_xlfn.XLOOKUP(C72,Table_Tarikan_Warkah[Nomor Sertipikat],Table_Tarikan_Warkah[Jenis Permohonan]),"")</f>
        <v>ROYA</v>
      </c>
      <c r="H72" s="22" t="s">
        <v>31</v>
      </c>
      <c r="I72" s="22" t="s">
        <v>32</v>
      </c>
      <c r="J72" s="20">
        <f t="shared" si="11"/>
        <v>45582.68904</v>
      </c>
      <c r="K72" s="22" t="s">
        <v>65</v>
      </c>
      <c r="L72" s="22" t="s">
        <v>32</v>
      </c>
      <c r="M72" s="20">
        <f t="shared" si="12"/>
        <v>45583.71007</v>
      </c>
      <c r="N72" s="8" t="str">
        <f t="shared" si="3"/>
        <v>SELESAI</v>
      </c>
      <c r="O72" s="23">
        <f t="shared" si="13"/>
        <v>45583.71007</v>
      </c>
      <c r="P72" s="24" t="b">
        <v>0</v>
      </c>
      <c r="Q72" s="20" t="str">
        <f t="shared" si="5"/>
        <v/>
      </c>
      <c r="R72" s="24" t="b">
        <v>1</v>
      </c>
      <c r="S72" s="20">
        <f t="shared" si="6"/>
        <v>45583.71007</v>
      </c>
      <c r="T72" s="7"/>
    </row>
    <row r="73" ht="22.5" hidden="1" customHeight="1">
      <c r="B73" s="7">
        <f t="shared" si="7"/>
        <v>67</v>
      </c>
      <c r="C73" s="18" t="s">
        <v>104</v>
      </c>
      <c r="D73" s="19" t="str">
        <f t="array" ref="D73">IFNA(_xlfn.XLOOKUP(C73,Table_Tarikan_Warkah[Nomor Sertipikat],Table_Tarikan_Warkah[Nomor Tiket]),"")</f>
        <v>L/11/171024/1</v>
      </c>
      <c r="E73" s="20">
        <f t="array" ref="E73">IFNA(_xlfn.XLOOKUP(C73,Table_Tarikan_Warkah[Nomor Sertipikat],Table_Tarikan_Warkah[Tanggal diserahkan kepada Validator]),"")</f>
        <v>45582.63561</v>
      </c>
      <c r="F73" s="20" t="str">
        <f t="array" ref="F73">IFNA(_xlfn.XLOOKUP(C73,Table_Tarikan_Warkah[Nomor Sertipikat],Table_Tarikan_Warkah[Nama Petugas Warkah]),"")</f>
        <v>Berry</v>
      </c>
      <c r="G73" s="21" t="str">
        <f t="array" ref="G73">IFNA(_xlfn.XLOOKUP(C73,Table_Tarikan_Warkah[Nomor Sertipikat],Table_Tarikan_Warkah[Jenis Permohonan]),"")</f>
        <v>ROYA</v>
      </c>
      <c r="H73" s="22" t="s">
        <v>31</v>
      </c>
      <c r="I73" s="22" t="s">
        <v>32</v>
      </c>
      <c r="J73" s="20">
        <f t="shared" si="11"/>
        <v>45582.68917</v>
      </c>
      <c r="K73" s="22" t="s">
        <v>65</v>
      </c>
      <c r="L73" s="22" t="s">
        <v>32</v>
      </c>
      <c r="M73" s="20">
        <f t="shared" si="12"/>
        <v>45583.71007</v>
      </c>
      <c r="N73" s="8" t="str">
        <f t="shared" si="3"/>
        <v>SELESAI</v>
      </c>
      <c r="O73" s="23">
        <f t="shared" si="13"/>
        <v>45583.71007</v>
      </c>
      <c r="P73" s="24" t="b">
        <v>0</v>
      </c>
      <c r="Q73" s="20" t="str">
        <f t="shared" si="5"/>
        <v/>
      </c>
      <c r="R73" s="24" t="b">
        <v>1</v>
      </c>
      <c r="S73" s="20">
        <f t="shared" si="6"/>
        <v>45583.71007</v>
      </c>
      <c r="T73" s="7"/>
    </row>
    <row r="74" ht="22.5" hidden="1" customHeight="1">
      <c r="B74" s="7">
        <f t="shared" si="7"/>
        <v>68</v>
      </c>
      <c r="C74" s="18" t="s">
        <v>105</v>
      </c>
      <c r="D74" s="19" t="str">
        <f t="array" ref="D74">IFNA(_xlfn.XLOOKUP(C74,Table_Tarikan_Warkah[Nomor Sertipikat],Table_Tarikan_Warkah[Nomor Tiket]),"")</f>
        <v>K/14/171024/5</v>
      </c>
      <c r="E74" s="20">
        <f t="array" ref="E74">IFNA(_xlfn.XLOOKUP(C74,Table_Tarikan_Warkah[Nomor Sertipikat],Table_Tarikan_Warkah[Tanggal diserahkan kepada Validator]),"")</f>
        <v>45582.63884</v>
      </c>
      <c r="F74" s="20" t="str">
        <f t="array" ref="F74">IFNA(_xlfn.XLOOKUP(C74,Table_Tarikan_Warkah[Nomor Sertipikat],Table_Tarikan_Warkah[Nama Petugas Warkah]),"")</f>
        <v>David</v>
      </c>
      <c r="G74" s="21" t="str">
        <f t="array" ref="G74">IFNA(_xlfn.XLOOKUP(C74,Table_Tarikan_Warkah[Nomor Sertipikat],Table_Tarikan_Warkah[Jenis Permohonan]),"")</f>
        <v>BN Jual Beli</v>
      </c>
      <c r="H74" s="22" t="s">
        <v>31</v>
      </c>
      <c r="I74" s="22" t="s">
        <v>32</v>
      </c>
      <c r="J74" s="20">
        <f t="shared" si="11"/>
        <v>45582.68931</v>
      </c>
      <c r="K74" s="22" t="s">
        <v>65</v>
      </c>
      <c r="L74" s="22" t="s">
        <v>32</v>
      </c>
      <c r="M74" s="20">
        <f t="shared" si="12"/>
        <v>45594.40397</v>
      </c>
      <c r="N74" s="8" t="str">
        <f t="shared" si="3"/>
        <v>SELESAI</v>
      </c>
      <c r="O74" s="23">
        <f>IF(N74="Selesai",IF(M74&lt;&gt;"",M74,NOW()),"")</f>
        <v>45594.40397</v>
      </c>
      <c r="P74" s="24" t="b">
        <v>0</v>
      </c>
      <c r="Q74" s="20" t="str">
        <f t="shared" si="5"/>
        <v/>
      </c>
      <c r="R74" s="24" t="b">
        <v>0</v>
      </c>
      <c r="S74" s="7" t="str">
        <f t="shared" si="6"/>
        <v/>
      </c>
      <c r="T74" s="7"/>
    </row>
    <row r="75" ht="22.5" hidden="1" customHeight="1">
      <c r="B75" s="7">
        <f t="shared" si="7"/>
        <v>69</v>
      </c>
      <c r="C75" s="18" t="s">
        <v>106</v>
      </c>
      <c r="D75" s="19" t="str">
        <f t="array" ref="D75">IFNA(_xlfn.XLOOKUP(C75,Table_Tarikan_Warkah[Nomor Sertipikat],Table_Tarikan_Warkah[Nomor Tiket]),"")</f>
        <v>K/13/171024/4</v>
      </c>
      <c r="E75" s="20">
        <f t="array" ref="E75">IFNA(_xlfn.XLOOKUP(C75,Table_Tarikan_Warkah[Nomor Sertipikat],Table_Tarikan_Warkah[Tanggal diserahkan kepada Validator]),"")</f>
        <v>45582.6387</v>
      </c>
      <c r="F75" s="20" t="str">
        <f t="array" ref="F75">IFNA(_xlfn.XLOOKUP(C75,Table_Tarikan_Warkah[Nomor Sertipikat],Table_Tarikan_Warkah[Nama Petugas Warkah]),"")</f>
        <v>David</v>
      </c>
      <c r="G75" s="21" t="str">
        <f t="array" ref="G75">IFNA(_xlfn.XLOOKUP(C75,Table_Tarikan_Warkah[Nomor Sertipikat],Table_Tarikan_Warkah[Jenis Permohonan]),"")</f>
        <v>BN Jual beli</v>
      </c>
      <c r="H75" s="22" t="s">
        <v>31</v>
      </c>
      <c r="I75" s="22" t="s">
        <v>32</v>
      </c>
      <c r="J75" s="20">
        <f t="shared" si="11"/>
        <v>45582.68942</v>
      </c>
      <c r="K75" s="22" t="s">
        <v>65</v>
      </c>
      <c r="L75" s="22" t="s">
        <v>32</v>
      </c>
      <c r="M75" s="20">
        <f t="shared" si="12"/>
        <v>45583.71007</v>
      </c>
      <c r="N75" s="8" t="str">
        <f t="shared" si="3"/>
        <v>SELESAI</v>
      </c>
      <c r="O75" s="23">
        <f t="shared" ref="O75:O109" si="14">IF(and(L75="Selesai",I75="Selesai"),IF(M75&lt;&gt;"",M75,NOW()),"")</f>
        <v>45583.71007</v>
      </c>
      <c r="P75" s="24" t="b">
        <v>0</v>
      </c>
      <c r="Q75" s="20" t="str">
        <f t="shared" si="5"/>
        <v/>
      </c>
      <c r="R75" s="24" t="b">
        <v>1</v>
      </c>
      <c r="S75" s="20">
        <f t="shared" si="6"/>
        <v>45583.71007</v>
      </c>
      <c r="T75" s="7"/>
    </row>
    <row r="76" ht="22.5" hidden="1" customHeight="1">
      <c r="B76" s="7">
        <f t="shared" si="7"/>
        <v>70</v>
      </c>
      <c r="C76" s="18" t="s">
        <v>107</v>
      </c>
      <c r="D76" s="19" t="str">
        <f t="array" ref="D76">IFNA(_xlfn.XLOOKUP(C76,Table_Tarikan_Warkah[Nomor Sertipikat],Table_Tarikan_Warkah[Nomor Tiket]),"")</f>
        <v>L/8/161024/1</v>
      </c>
      <c r="E76" s="20">
        <f t="array" ref="E76">IFNA(_xlfn.XLOOKUP(C76,Table_Tarikan_Warkah[Nomor Sertipikat],Table_Tarikan_Warkah[Tanggal diserahkan kepada Validator]),"")</f>
        <v>45582.58565</v>
      </c>
      <c r="F76" s="20" t="str">
        <f t="array" ref="F76">IFNA(_xlfn.XLOOKUP(C76,Table_Tarikan_Warkah[Nomor Sertipikat],Table_Tarikan_Warkah[Nama Petugas Warkah]),"")</f>
        <v>David</v>
      </c>
      <c r="G76" s="21" t="str">
        <f t="array" ref="G76">IFNA(_xlfn.XLOOKUP(C76,Table_Tarikan_Warkah[Nomor Sertipikat],Table_Tarikan_Warkah[Jenis Permohonan]),"")</f>
        <v>PERUBAHAN HAK</v>
      </c>
      <c r="H76" s="22" t="s">
        <v>37</v>
      </c>
      <c r="I76" s="22" t="s">
        <v>32</v>
      </c>
      <c r="J76" s="20">
        <f t="shared" si="11"/>
        <v>45583.63599</v>
      </c>
      <c r="K76" s="22" t="s">
        <v>65</v>
      </c>
      <c r="L76" s="22" t="s">
        <v>32</v>
      </c>
      <c r="M76" s="20">
        <f t="shared" si="12"/>
        <v>45587.66803</v>
      </c>
      <c r="N76" s="8" t="str">
        <f t="shared" si="3"/>
        <v>SELESAI</v>
      </c>
      <c r="O76" s="23">
        <f t="shared" si="14"/>
        <v>45587.66803</v>
      </c>
      <c r="P76" s="24" t="b">
        <v>0</v>
      </c>
      <c r="Q76" s="20" t="str">
        <f t="shared" si="5"/>
        <v/>
      </c>
      <c r="R76" s="24" t="b">
        <v>1</v>
      </c>
      <c r="S76" s="20">
        <f t="shared" si="6"/>
        <v>45587.66803</v>
      </c>
      <c r="T76" s="7"/>
    </row>
    <row r="77" ht="22.5" hidden="1" customHeight="1">
      <c r="B77" s="7">
        <f t="shared" si="7"/>
        <v>71</v>
      </c>
      <c r="C77" s="18" t="s">
        <v>108</v>
      </c>
      <c r="D77" s="19" t="str">
        <f t="array" ref="D77">IFNA(_xlfn.XLOOKUP(C77,Table_Tarikan_Warkah[Nomor Sertipikat],Table_Tarikan_Warkah[Nomor Tiket]),"")</f>
        <v>K/21/161024/1</v>
      </c>
      <c r="E77" s="20">
        <f t="array" ref="E77">IFNA(_xlfn.XLOOKUP(C77,Table_Tarikan_Warkah[Nomor Sertipikat],Table_Tarikan_Warkah[Tanggal diserahkan kepada Validator]),"")</f>
        <v>45582.41697</v>
      </c>
      <c r="F77" s="20" t="str">
        <f t="array" ref="F77">IFNA(_xlfn.XLOOKUP(C77,Table_Tarikan_Warkah[Nomor Sertipikat],Table_Tarikan_Warkah[Nama Petugas Warkah]),"")</f>
        <v>David</v>
      </c>
      <c r="G77" s="21" t="str">
        <f t="array" ref="G77">IFNA(_xlfn.XLOOKUP(C77,Table_Tarikan_Warkah[Nomor Sertipikat],Table_Tarikan_Warkah[Jenis Permohonan]),"")</f>
        <v>BN PHB</v>
      </c>
      <c r="H77" s="22" t="s">
        <v>37</v>
      </c>
      <c r="I77" s="22" t="s">
        <v>32</v>
      </c>
      <c r="J77" s="20">
        <f t="shared" si="11"/>
        <v>45583.63599</v>
      </c>
      <c r="K77" s="22" t="s">
        <v>65</v>
      </c>
      <c r="L77" s="22" t="s">
        <v>32</v>
      </c>
      <c r="M77" s="20">
        <f t="shared" si="12"/>
        <v>45587.66803</v>
      </c>
      <c r="N77" s="8" t="str">
        <f t="shared" si="3"/>
        <v>SELESAI</v>
      </c>
      <c r="O77" s="23">
        <f t="shared" si="14"/>
        <v>45587.66803</v>
      </c>
      <c r="P77" s="24" t="b">
        <v>0</v>
      </c>
      <c r="Q77" s="20" t="str">
        <f t="shared" si="5"/>
        <v/>
      </c>
      <c r="R77" s="24" t="b">
        <v>1</v>
      </c>
      <c r="S77" s="20">
        <f t="shared" si="6"/>
        <v>45587.66803</v>
      </c>
      <c r="T77" s="7"/>
    </row>
    <row r="78" ht="22.5" hidden="1" customHeight="1">
      <c r="B78" s="7">
        <f t="shared" si="7"/>
        <v>72</v>
      </c>
      <c r="C78" s="18" t="s">
        <v>109</v>
      </c>
      <c r="D78" s="19" t="str">
        <f t="array" ref="D78">IFNA(_xlfn.XLOOKUP(C78,Table_Tarikan_Warkah[Nomor Sertipikat],Table_Tarikan_Warkah[Nomor Tiket]),"")</f>
        <v>K/10/171024/2</v>
      </c>
      <c r="E78" s="20">
        <f t="array" ref="E78">IFNA(_xlfn.XLOOKUP(C78,Table_Tarikan_Warkah[Nomor Sertipikat],Table_Tarikan_Warkah[Tanggal diserahkan kepada Validator]),"")</f>
        <v>45582.63704</v>
      </c>
      <c r="F78" s="20" t="str">
        <f t="array" ref="F78">IFNA(_xlfn.XLOOKUP(C78,Table_Tarikan_Warkah[Nomor Sertipikat],Table_Tarikan_Warkah[Nama Petugas Warkah]),"")</f>
        <v>Berry</v>
      </c>
      <c r="G78" s="21" t="str">
        <f t="array" ref="G78">IFNA(_xlfn.XLOOKUP(C78,Table_Tarikan_Warkah[Nomor Sertipikat],Table_Tarikan_Warkah[Jenis Permohonan]),"")</f>
        <v>BN JUAL BELI</v>
      </c>
      <c r="H78" s="22" t="s">
        <v>37</v>
      </c>
      <c r="I78" s="22" t="s">
        <v>32</v>
      </c>
      <c r="J78" s="20">
        <f t="shared" si="11"/>
        <v>45583.63599</v>
      </c>
      <c r="K78" s="22" t="s">
        <v>65</v>
      </c>
      <c r="L78" s="22" t="s">
        <v>32</v>
      </c>
      <c r="M78" s="20">
        <f t="shared" si="12"/>
        <v>45587.66803</v>
      </c>
      <c r="N78" s="8" t="str">
        <f t="shared" si="3"/>
        <v>SELESAI</v>
      </c>
      <c r="O78" s="23">
        <f t="shared" si="14"/>
        <v>45587.66803</v>
      </c>
      <c r="P78" s="24" t="b">
        <v>0</v>
      </c>
      <c r="Q78" s="20" t="str">
        <f t="shared" si="5"/>
        <v/>
      </c>
      <c r="R78" s="24" t="b">
        <v>1</v>
      </c>
      <c r="S78" s="20">
        <f t="shared" si="6"/>
        <v>45587.66803</v>
      </c>
      <c r="T78" s="7"/>
    </row>
    <row r="79" ht="22.5" hidden="1" customHeight="1">
      <c r="B79" s="7">
        <f t="shared" si="7"/>
        <v>73</v>
      </c>
      <c r="C79" s="18" t="s">
        <v>110</v>
      </c>
      <c r="D79" s="19" t="str">
        <f t="array" ref="D79">IFNA(_xlfn.XLOOKUP(C79,Table_Tarikan_Warkah[Nomor Sertipikat],Table_Tarikan_Warkah[Nomor Tiket]),"")</f>
        <v>K/12/171024/3</v>
      </c>
      <c r="E79" s="20">
        <f t="array" ref="E79">IFNA(_xlfn.XLOOKUP(C79,Table_Tarikan_Warkah[Nomor Sertipikat],Table_Tarikan_Warkah[Tanggal diserahkan kepada Validator]),"")</f>
        <v>45582.63547</v>
      </c>
      <c r="F79" s="20" t="str">
        <f t="array" ref="F79">IFNA(_xlfn.XLOOKUP(C79,Table_Tarikan_Warkah[Nomor Sertipikat],Table_Tarikan_Warkah[Nama Petugas Warkah]),"")</f>
        <v>Berry</v>
      </c>
      <c r="G79" s="21" t="str">
        <f t="array" ref="G79">IFNA(_xlfn.XLOOKUP(C79,Table_Tarikan_Warkah[Nomor Sertipikat],Table_Tarikan_Warkah[Jenis Permohonan]),"")</f>
        <v>BN Jual beli</v>
      </c>
      <c r="H79" s="22" t="s">
        <v>37</v>
      </c>
      <c r="I79" s="22" t="s">
        <v>32</v>
      </c>
      <c r="J79" s="20">
        <f t="shared" si="11"/>
        <v>45583.71007</v>
      </c>
      <c r="K79" s="22" t="s">
        <v>65</v>
      </c>
      <c r="L79" s="22" t="s">
        <v>32</v>
      </c>
      <c r="M79" s="20">
        <f t="shared" si="12"/>
        <v>45587.66803</v>
      </c>
      <c r="N79" s="8" t="str">
        <f t="shared" si="3"/>
        <v>SELESAI</v>
      </c>
      <c r="O79" s="23">
        <f t="shared" si="14"/>
        <v>45587.66803</v>
      </c>
      <c r="P79" s="24" t="b">
        <v>0</v>
      </c>
      <c r="Q79" s="20" t="str">
        <f t="shared" si="5"/>
        <v/>
      </c>
      <c r="R79" s="24" t="b">
        <v>1</v>
      </c>
      <c r="S79" s="20">
        <f t="shared" si="6"/>
        <v>45587.66803</v>
      </c>
      <c r="T79" s="8" t="s">
        <v>111</v>
      </c>
    </row>
    <row r="80" ht="22.5" hidden="1" customHeight="1">
      <c r="B80" s="7">
        <f t="shared" si="7"/>
        <v>74</v>
      </c>
      <c r="C80" s="18" t="s">
        <v>112</v>
      </c>
      <c r="D80" s="19" t="str">
        <f t="array" ref="D80">IFNA(_xlfn.XLOOKUP(C80,Table_Tarikan_Warkah[Nomor Sertipikat],Table_Tarikan_Warkah[Nomor Tiket]),"")</f>
        <v>K/8/171024/1</v>
      </c>
      <c r="E80" s="20">
        <f t="array" ref="E80">IFNA(_xlfn.XLOOKUP(C80,Table_Tarikan_Warkah[Nomor Sertipikat],Table_Tarikan_Warkah[Tanggal diserahkan kepada Validator]),"")</f>
        <v>45582.63514</v>
      </c>
      <c r="F80" s="20" t="str">
        <f t="array" ref="F80">IFNA(_xlfn.XLOOKUP(C80,Table_Tarikan_Warkah[Nomor Sertipikat],Table_Tarikan_Warkah[Nama Petugas Warkah]),"")</f>
        <v>Berry</v>
      </c>
      <c r="G80" s="21" t="str">
        <f t="array" ref="G80">IFNA(_xlfn.XLOOKUP(C80,Table_Tarikan_Warkah[Nomor Sertipikat],Table_Tarikan_Warkah[Jenis Permohonan]),"")</f>
        <v>PERALIHAN JUAL BELI</v>
      </c>
      <c r="H80" s="22" t="s">
        <v>37</v>
      </c>
      <c r="I80" s="22" t="s">
        <v>32</v>
      </c>
      <c r="J80" s="20">
        <f t="shared" si="11"/>
        <v>45583.71007</v>
      </c>
      <c r="K80" s="22" t="s">
        <v>65</v>
      </c>
      <c r="L80" s="22" t="s">
        <v>32</v>
      </c>
      <c r="M80" s="20">
        <f t="shared" si="12"/>
        <v>45583.71055</v>
      </c>
      <c r="N80" s="8" t="str">
        <f t="shared" si="3"/>
        <v>SELESAI</v>
      </c>
      <c r="O80" s="23">
        <f t="shared" si="14"/>
        <v>45583.71055</v>
      </c>
      <c r="P80" s="24" t="b">
        <v>0</v>
      </c>
      <c r="Q80" s="20" t="str">
        <f t="shared" si="5"/>
        <v/>
      </c>
      <c r="R80" s="24" t="b">
        <v>1</v>
      </c>
      <c r="S80" s="20">
        <f t="shared" si="6"/>
        <v>45583.71057</v>
      </c>
      <c r="T80" s="7"/>
    </row>
    <row r="81" ht="22.5" hidden="1" customHeight="1">
      <c r="B81" s="7">
        <f t="shared" si="7"/>
        <v>75</v>
      </c>
      <c r="C81" s="18" t="s">
        <v>113</v>
      </c>
      <c r="D81" s="19" t="str">
        <f t="array" ref="D81">IFNA(_xlfn.XLOOKUP(C81,Table_Tarikan_Warkah[Nomor Sertipikat],Table_Tarikan_Warkah[Nomor Tiket]),"")</f>
        <v>K/5/171024/1</v>
      </c>
      <c r="E81" s="20">
        <f t="array" ref="E81">IFNA(_xlfn.XLOOKUP(C81,Table_Tarikan_Warkah[Nomor Sertipikat],Table_Tarikan_Warkah[Tanggal diserahkan kepada Validator]),"")</f>
        <v>45582.63491</v>
      </c>
      <c r="F81" s="20" t="str">
        <f t="array" ref="F81">IFNA(_xlfn.XLOOKUP(C81,Table_Tarikan_Warkah[Nomor Sertipikat],Table_Tarikan_Warkah[Nama Petugas Warkah]),"")</f>
        <v>Berry</v>
      </c>
      <c r="G81" s="21" t="str">
        <f t="array" ref="G81">IFNA(_xlfn.XLOOKUP(C81,Table_Tarikan_Warkah[Nomor Sertipikat],Table_Tarikan_Warkah[Jenis Permohonan]),"")</f>
        <v>BN Waris</v>
      </c>
      <c r="H81" s="22" t="s">
        <v>37</v>
      </c>
      <c r="I81" s="22" t="s">
        <v>32</v>
      </c>
      <c r="J81" s="20">
        <f t="shared" si="11"/>
        <v>45583.71007</v>
      </c>
      <c r="K81" s="22" t="s">
        <v>65</v>
      </c>
      <c r="L81" s="22" t="s">
        <v>32</v>
      </c>
      <c r="M81" s="20">
        <f t="shared" si="12"/>
        <v>45587.66803</v>
      </c>
      <c r="N81" s="8" t="str">
        <f t="shared" si="3"/>
        <v>SELESAI</v>
      </c>
      <c r="O81" s="23">
        <f t="shared" si="14"/>
        <v>45587.66803</v>
      </c>
      <c r="P81" s="24" t="b">
        <v>0</v>
      </c>
      <c r="Q81" s="20" t="str">
        <f t="shared" si="5"/>
        <v/>
      </c>
      <c r="R81" s="24" t="b">
        <v>1</v>
      </c>
      <c r="S81" s="20">
        <f t="shared" si="6"/>
        <v>45587.66803</v>
      </c>
      <c r="T81" s="7"/>
    </row>
    <row r="82" ht="22.5" hidden="1" customHeight="1">
      <c r="B82" s="7">
        <f t="shared" si="7"/>
        <v>76</v>
      </c>
      <c r="C82" s="18" t="s">
        <v>114</v>
      </c>
      <c r="D82" s="19" t="str">
        <f t="array" ref="D82">IFNA(_xlfn.XLOOKUP(C82,Table_Tarikan_Warkah[Nomor Sertipikat],Table_Tarikan_Warkah[Nomor Tiket]),"")</f>
        <v>K/39/161024/1</v>
      </c>
      <c r="E82" s="20">
        <f t="array" ref="E82">IFNA(_xlfn.XLOOKUP(C82,Table_Tarikan_Warkah[Nomor Sertipikat],Table_Tarikan_Warkah[Tanggal diserahkan kepada Validator]),"")</f>
        <v>45582.63658</v>
      </c>
      <c r="F82" s="20" t="str">
        <f t="array" ref="F82">IFNA(_xlfn.XLOOKUP(C82,Table_Tarikan_Warkah[Nomor Sertipikat],Table_Tarikan_Warkah[Nama Petugas Warkah]),"")</f>
        <v>Berry</v>
      </c>
      <c r="G82" s="21" t="str">
        <f t="array" ref="G82">IFNA(_xlfn.XLOOKUP(C82,Table_Tarikan_Warkah[Nomor Sertipikat],Table_Tarikan_Warkah[Jenis Permohonan]),"")</f>
        <v>BN Jual Beli</v>
      </c>
      <c r="H82" s="22" t="s">
        <v>37</v>
      </c>
      <c r="I82" s="22" t="s">
        <v>32</v>
      </c>
      <c r="J82" s="20">
        <f t="shared" si="11"/>
        <v>45583.71007</v>
      </c>
      <c r="K82" s="22" t="s">
        <v>65</v>
      </c>
      <c r="L82" s="22" t="s">
        <v>32</v>
      </c>
      <c r="M82" s="20">
        <f t="shared" si="12"/>
        <v>45587.66803</v>
      </c>
      <c r="N82" s="8" t="str">
        <f t="shared" si="3"/>
        <v>SELESAI</v>
      </c>
      <c r="O82" s="23">
        <f t="shared" si="14"/>
        <v>45587.66803</v>
      </c>
      <c r="P82" s="24" t="b">
        <v>0</v>
      </c>
      <c r="Q82" s="20" t="str">
        <f t="shared" si="5"/>
        <v/>
      </c>
      <c r="R82" s="24" t="b">
        <v>1</v>
      </c>
      <c r="S82" s="20">
        <f t="shared" si="6"/>
        <v>45587.66803</v>
      </c>
      <c r="T82" s="7"/>
    </row>
    <row r="83" ht="22.5" hidden="1" customHeight="1">
      <c r="B83" s="7">
        <f t="shared" si="7"/>
        <v>77</v>
      </c>
      <c r="C83" s="18" t="s">
        <v>115</v>
      </c>
      <c r="D83" s="19" t="str">
        <f t="array" ref="D83">IFNA(_xlfn.XLOOKUP(C83,Table_Tarikan_Warkah[Nomor Sertipikat],Table_Tarikan_Warkah[Nomor Tiket]),"")</f>
        <v>K/49/181024/4</v>
      </c>
      <c r="E83" s="20">
        <f t="array" ref="E83">IFNA(_xlfn.XLOOKUP(C83,Table_Tarikan_Warkah[Nomor Sertipikat],Table_Tarikan_Warkah[Tanggal diserahkan kepada Validator]),"")</f>
        <v>45586.48779</v>
      </c>
      <c r="F83" s="20" t="str">
        <f t="array" ref="F83">IFNA(_xlfn.XLOOKUP(C83,Table_Tarikan_Warkah[Nomor Sertipikat],Table_Tarikan_Warkah[Nama Petugas Warkah]),"")</f>
        <v>David</v>
      </c>
      <c r="G83" s="21" t="str">
        <f t="array" ref="G83">IFNA(_xlfn.XLOOKUP(C83,Table_Tarikan_Warkah[Nomor Sertipikat],Table_Tarikan_Warkah[Jenis Permohonan]),"")</f>
        <v>PERALIHAN HAK</v>
      </c>
      <c r="H83" s="22" t="s">
        <v>37</v>
      </c>
      <c r="I83" s="22" t="s">
        <v>32</v>
      </c>
      <c r="J83" s="20">
        <f t="shared" si="11"/>
        <v>45586.59011</v>
      </c>
      <c r="K83" s="22" t="s">
        <v>33</v>
      </c>
      <c r="L83" s="22" t="s">
        <v>32</v>
      </c>
      <c r="M83" s="20">
        <f t="shared" si="12"/>
        <v>45588.38025</v>
      </c>
      <c r="N83" s="8" t="str">
        <f t="shared" si="3"/>
        <v>SELESAI</v>
      </c>
      <c r="O83" s="23">
        <f t="shared" si="14"/>
        <v>45588.38025</v>
      </c>
      <c r="P83" s="24" t="b">
        <v>0</v>
      </c>
      <c r="Q83" s="20" t="str">
        <f t="shared" si="5"/>
        <v/>
      </c>
      <c r="R83" s="24" t="b">
        <v>1</v>
      </c>
      <c r="S83" s="20">
        <f t="shared" si="6"/>
        <v>45588.38028</v>
      </c>
      <c r="T83" s="7"/>
    </row>
    <row r="84" ht="22.5" hidden="1" customHeight="1">
      <c r="B84" s="7">
        <f t="shared" si="7"/>
        <v>78</v>
      </c>
      <c r="C84" s="18" t="s">
        <v>116</v>
      </c>
      <c r="D84" s="19" t="str">
        <f t="array" ref="D84">IFNA(_xlfn.XLOOKUP(C84,Table_Tarikan_Warkah[Nomor Sertipikat],Table_Tarikan_Warkah[Nomor Tiket]),"")</f>
        <v>K/9/181024/1</v>
      </c>
      <c r="E84" s="20">
        <f t="array" ref="E84">IFNA(_xlfn.XLOOKUP(C84,Table_Tarikan_Warkah[Nomor Sertipikat],Table_Tarikan_Warkah[Tanggal diserahkan kepada Validator]),"")</f>
        <v>45586.48779</v>
      </c>
      <c r="F84" s="20" t="str">
        <f t="array" ref="F84">IFNA(_xlfn.XLOOKUP(C84,Table_Tarikan_Warkah[Nomor Sertipikat],Table_Tarikan_Warkah[Nama Petugas Warkah]),"")</f>
        <v>David</v>
      </c>
      <c r="G84" s="21" t="str">
        <f t="array" ref="G84">IFNA(_xlfn.XLOOKUP(C84,Table_Tarikan_Warkah[Nomor Sertipikat],Table_Tarikan_Warkah[Jenis Permohonan]),"")</f>
        <v>PERALIHAN JUAL BELI</v>
      </c>
      <c r="H84" s="22" t="s">
        <v>37</v>
      </c>
      <c r="I84" s="22" t="s">
        <v>32</v>
      </c>
      <c r="J84" s="20">
        <f t="shared" si="11"/>
        <v>45586.59041</v>
      </c>
      <c r="K84" s="22" t="s">
        <v>65</v>
      </c>
      <c r="L84" s="22" t="s">
        <v>32</v>
      </c>
      <c r="M84" s="20">
        <f t="shared" si="12"/>
        <v>45587.69167</v>
      </c>
      <c r="N84" s="8" t="str">
        <f t="shared" si="3"/>
        <v>SELESAI</v>
      </c>
      <c r="O84" s="23">
        <f t="shared" si="14"/>
        <v>45587.69167</v>
      </c>
      <c r="P84" s="24" t="b">
        <v>0</v>
      </c>
      <c r="Q84" s="20" t="str">
        <f t="shared" si="5"/>
        <v/>
      </c>
      <c r="R84" s="24" t="b">
        <v>1</v>
      </c>
      <c r="S84" s="20">
        <f t="shared" si="6"/>
        <v>45587.69177</v>
      </c>
      <c r="T84" s="7"/>
    </row>
    <row r="85" ht="22.5" hidden="1" customHeight="1">
      <c r="B85" s="7">
        <f t="shared" si="7"/>
        <v>79</v>
      </c>
      <c r="C85" s="18" t="s">
        <v>117</v>
      </c>
      <c r="D85" s="19" t="str">
        <f t="array" ref="D85">IFNA(_xlfn.XLOOKUP(C85,Table_Tarikan_Warkah[Nomor Sertipikat],Table_Tarikan_Warkah[Nomor Tiket]),"")</f>
        <v>K/25/181024/1</v>
      </c>
      <c r="E85" s="20">
        <f t="array" ref="E85">IFNA(_xlfn.XLOOKUP(C85,Table_Tarikan_Warkah[Nomor Sertipikat],Table_Tarikan_Warkah[Tanggal diserahkan kepada Validator]),"")</f>
        <v>45586.48779</v>
      </c>
      <c r="F85" s="20" t="str">
        <f t="array" ref="F85">IFNA(_xlfn.XLOOKUP(C85,Table_Tarikan_Warkah[Nomor Sertipikat],Table_Tarikan_Warkah[Nama Petugas Warkah]),"")</f>
        <v>David</v>
      </c>
      <c r="G85" s="21" t="str">
        <f t="array" ref="G85">IFNA(_xlfn.XLOOKUP(C85,Table_Tarikan_Warkah[Nomor Sertipikat],Table_Tarikan_Warkah[Jenis Permohonan]),"")</f>
        <v>BN Jual Beli</v>
      </c>
      <c r="H85" s="22" t="s">
        <v>37</v>
      </c>
      <c r="I85" s="22" t="s">
        <v>32</v>
      </c>
      <c r="J85" s="20">
        <f t="shared" si="11"/>
        <v>45586.59053</v>
      </c>
      <c r="K85" s="22" t="s">
        <v>33</v>
      </c>
      <c r="L85" s="22" t="s">
        <v>32</v>
      </c>
      <c r="M85" s="20">
        <f t="shared" si="12"/>
        <v>45588.38332</v>
      </c>
      <c r="N85" s="8" t="str">
        <f t="shared" si="3"/>
        <v>SELESAI</v>
      </c>
      <c r="O85" s="23">
        <f t="shared" si="14"/>
        <v>45588.38332</v>
      </c>
      <c r="P85" s="24" t="b">
        <v>0</v>
      </c>
      <c r="Q85" s="20" t="str">
        <f t="shared" si="5"/>
        <v/>
      </c>
      <c r="R85" s="24" t="b">
        <v>1</v>
      </c>
      <c r="S85" s="20">
        <f t="shared" si="6"/>
        <v>45588.38335</v>
      </c>
      <c r="T85" s="7"/>
    </row>
    <row r="86" ht="22.5" hidden="1" customHeight="1">
      <c r="B86" s="7">
        <f t="shared" si="7"/>
        <v>80</v>
      </c>
      <c r="C86" s="18" t="s">
        <v>118</v>
      </c>
      <c r="D86" s="19" t="str">
        <f t="array" ref="D86">IFNA(_xlfn.XLOOKUP(C86,Table_Tarikan_Warkah[Nomor Sertipikat],Table_Tarikan_Warkah[Nomor Tiket]),"")</f>
        <v>K/38/181024/1</v>
      </c>
      <c r="E86" s="20">
        <f t="array" ref="E86">IFNA(_xlfn.XLOOKUP(C86,Table_Tarikan_Warkah[Nomor Sertipikat],Table_Tarikan_Warkah[Tanggal diserahkan kepada Validator]),"")</f>
        <v>45586.48779</v>
      </c>
      <c r="F86" s="20" t="str">
        <f t="array" ref="F86">IFNA(_xlfn.XLOOKUP(C86,Table_Tarikan_Warkah[Nomor Sertipikat],Table_Tarikan_Warkah[Nama Petugas Warkah]),"")</f>
        <v>David</v>
      </c>
      <c r="G86" s="21" t="str">
        <f t="array" ref="G86">IFNA(_xlfn.XLOOKUP(C86,Table_Tarikan_Warkah[Nomor Sertipikat],Table_Tarikan_Warkah[Jenis Permohonan]),"")</f>
        <v>BN Jual Beli</v>
      </c>
      <c r="H86" s="22" t="s">
        <v>37</v>
      </c>
      <c r="I86" s="22" t="s">
        <v>32</v>
      </c>
      <c r="J86" s="20">
        <f t="shared" si="11"/>
        <v>45586.59452</v>
      </c>
      <c r="K86" s="22" t="s">
        <v>33</v>
      </c>
      <c r="L86" s="22" t="s">
        <v>32</v>
      </c>
      <c r="M86" s="20">
        <f t="shared" si="12"/>
        <v>45588.36748</v>
      </c>
      <c r="N86" s="8" t="str">
        <f t="shared" si="3"/>
        <v>SELESAI</v>
      </c>
      <c r="O86" s="23">
        <f t="shared" si="14"/>
        <v>45588.36748</v>
      </c>
      <c r="P86" s="24" t="b">
        <v>0</v>
      </c>
      <c r="Q86" s="20" t="str">
        <f t="shared" si="5"/>
        <v/>
      </c>
      <c r="R86" s="24" t="b">
        <v>1</v>
      </c>
      <c r="S86" s="20">
        <f t="shared" si="6"/>
        <v>45588.36753</v>
      </c>
      <c r="T86" s="7"/>
    </row>
    <row r="87" ht="22.5" hidden="1" customHeight="1">
      <c r="B87" s="7">
        <f t="shared" si="7"/>
        <v>81</v>
      </c>
      <c r="C87" s="18" t="s">
        <v>119</v>
      </c>
      <c r="D87" s="19" t="str">
        <f t="array" ref="D87">IFNA(_xlfn.XLOOKUP(C87,Table_Tarikan_Warkah[Nomor Sertipikat],Table_Tarikan_Warkah[Nomor Tiket]),"")</f>
        <v>K/34/181024/2</v>
      </c>
      <c r="E87" s="20">
        <f t="array" ref="E87">IFNA(_xlfn.XLOOKUP(C87,Table_Tarikan_Warkah[Nomor Sertipikat],Table_Tarikan_Warkah[Tanggal diserahkan kepada Validator]),"")</f>
        <v>45586.48779</v>
      </c>
      <c r="F87" s="20" t="str">
        <f t="array" ref="F87">IFNA(_xlfn.XLOOKUP(C87,Table_Tarikan_Warkah[Nomor Sertipikat],Table_Tarikan_Warkah[Nama Petugas Warkah]),"")</f>
        <v>David</v>
      </c>
      <c r="G87" s="21" t="str">
        <f t="array" ref="G87">IFNA(_xlfn.XLOOKUP(C87,Table_Tarikan_Warkah[Nomor Sertipikat],Table_Tarikan_Warkah[Jenis Permohonan]),"")</f>
        <v>PERALIHAN JUAL BELI</v>
      </c>
      <c r="H87" s="22" t="s">
        <v>37</v>
      </c>
      <c r="I87" s="22" t="s">
        <v>32</v>
      </c>
      <c r="J87" s="20">
        <f t="shared" si="11"/>
        <v>45586.5969</v>
      </c>
      <c r="K87" s="22" t="s">
        <v>65</v>
      </c>
      <c r="L87" s="22" t="s">
        <v>32</v>
      </c>
      <c r="M87" s="20">
        <f t="shared" si="12"/>
        <v>45587.69142</v>
      </c>
      <c r="N87" s="8" t="str">
        <f t="shared" si="3"/>
        <v>SELESAI</v>
      </c>
      <c r="O87" s="23">
        <f t="shared" si="14"/>
        <v>45587.69142</v>
      </c>
      <c r="P87" s="24" t="b">
        <v>0</v>
      </c>
      <c r="Q87" s="20" t="str">
        <f t="shared" si="5"/>
        <v/>
      </c>
      <c r="R87" s="24" t="b">
        <v>1</v>
      </c>
      <c r="S87" s="20">
        <f t="shared" si="6"/>
        <v>45587.69147</v>
      </c>
      <c r="T87" s="7"/>
    </row>
    <row r="88" ht="22.5" hidden="1" customHeight="1">
      <c r="B88" s="7">
        <f t="shared" si="7"/>
        <v>82</v>
      </c>
      <c r="C88" s="18" t="s">
        <v>120</v>
      </c>
      <c r="D88" s="19" t="str">
        <f t="array" ref="D88">IFNA(_xlfn.XLOOKUP(C88,Table_Tarikan_Warkah[Nomor Sertipikat],Table_Tarikan_Warkah[Nomor Tiket]),"")</f>
        <v>K/24/181024/1</v>
      </c>
      <c r="E88" s="20">
        <f t="array" ref="E88">IFNA(_xlfn.XLOOKUP(C88,Table_Tarikan_Warkah[Nomor Sertipikat],Table_Tarikan_Warkah[Tanggal diserahkan kepada Validator]),"")</f>
        <v>45586.48779</v>
      </c>
      <c r="F88" s="20" t="str">
        <f t="array" ref="F88">IFNA(_xlfn.XLOOKUP(C88,Table_Tarikan_Warkah[Nomor Sertipikat],Table_Tarikan_Warkah[Nama Petugas Warkah]),"")</f>
        <v>David</v>
      </c>
      <c r="G88" s="21" t="str">
        <f t="array" ref="G88">IFNA(_xlfn.XLOOKUP(C88,Table_Tarikan_Warkah[Nomor Sertipikat],Table_Tarikan_Warkah[Jenis Permohonan]),"")</f>
        <v>BN Hibah</v>
      </c>
      <c r="H88" s="22" t="s">
        <v>37</v>
      </c>
      <c r="I88" s="22" t="s">
        <v>32</v>
      </c>
      <c r="J88" s="20">
        <f t="shared" si="11"/>
        <v>45586.59981</v>
      </c>
      <c r="K88" s="22" t="s">
        <v>33</v>
      </c>
      <c r="L88" s="22" t="s">
        <v>32</v>
      </c>
      <c r="M88" s="20">
        <f t="shared" si="12"/>
        <v>45588.39154</v>
      </c>
      <c r="N88" s="8" t="str">
        <f t="shared" si="3"/>
        <v>SELESAI</v>
      </c>
      <c r="O88" s="23">
        <f t="shared" si="14"/>
        <v>45588.39154</v>
      </c>
      <c r="P88" s="24" t="b">
        <v>0</v>
      </c>
      <c r="Q88" s="20" t="str">
        <f t="shared" si="5"/>
        <v/>
      </c>
      <c r="R88" s="24" t="b">
        <v>1</v>
      </c>
      <c r="S88" s="20">
        <f t="shared" si="6"/>
        <v>45588.39158</v>
      </c>
      <c r="T88" s="7"/>
    </row>
    <row r="89" ht="22.5" hidden="1" customHeight="1">
      <c r="B89" s="7">
        <f t="shared" si="7"/>
        <v>83</v>
      </c>
      <c r="C89" s="18" t="s">
        <v>121</v>
      </c>
      <c r="D89" s="19" t="str">
        <f t="array" ref="D89">IFNA(_xlfn.XLOOKUP(C89,Table_Tarikan_Warkah[Nomor Sertipikat],Table_Tarikan_Warkah[Nomor Tiket]),"")</f>
        <v>K/6/181024/1</v>
      </c>
      <c r="E89" s="20">
        <f t="array" ref="E89">IFNA(_xlfn.XLOOKUP(C89,Table_Tarikan_Warkah[Nomor Sertipikat],Table_Tarikan_Warkah[Tanggal diserahkan kepada Validator]),"")</f>
        <v>45586.48779</v>
      </c>
      <c r="F89" s="20" t="str">
        <f t="array" ref="F89">IFNA(_xlfn.XLOOKUP(C89,Table_Tarikan_Warkah[Nomor Sertipikat],Table_Tarikan_Warkah[Nama Petugas Warkah]),"")</f>
        <v>David</v>
      </c>
      <c r="G89" s="21" t="str">
        <f t="array" ref="G89">IFNA(_xlfn.XLOOKUP(C89,Table_Tarikan_Warkah[Nomor Sertipikat],Table_Tarikan_Warkah[Jenis Permohonan]),"")</f>
        <v>Roya</v>
      </c>
      <c r="H89" s="22" t="s">
        <v>37</v>
      </c>
      <c r="I89" s="22" t="s">
        <v>32</v>
      </c>
      <c r="J89" s="20">
        <f t="shared" si="11"/>
        <v>45586.60736</v>
      </c>
      <c r="K89" s="22" t="s">
        <v>65</v>
      </c>
      <c r="L89" s="22" t="s">
        <v>32</v>
      </c>
      <c r="M89" s="20">
        <f t="shared" si="12"/>
        <v>45587.69121</v>
      </c>
      <c r="N89" s="8" t="str">
        <f t="shared" si="3"/>
        <v>SELESAI</v>
      </c>
      <c r="O89" s="23">
        <f t="shared" si="14"/>
        <v>45587.69121</v>
      </c>
      <c r="P89" s="24" t="b">
        <v>0</v>
      </c>
      <c r="Q89" s="20" t="str">
        <f t="shared" si="5"/>
        <v/>
      </c>
      <c r="R89" s="24" t="b">
        <v>1</v>
      </c>
      <c r="S89" s="20">
        <f t="shared" si="6"/>
        <v>45587.69124</v>
      </c>
      <c r="T89" s="7"/>
    </row>
    <row r="90" ht="22.5" hidden="1" customHeight="1">
      <c r="B90" s="7">
        <f t="shared" si="7"/>
        <v>84</v>
      </c>
      <c r="C90" s="18" t="s">
        <v>122</v>
      </c>
      <c r="D90" s="19" t="str">
        <f t="array" ref="D90">IFNA(_xlfn.XLOOKUP(C90,Table_Tarikan_Warkah[Nomor Sertipikat],Table_Tarikan_Warkah[Nomor Tiket]),"")</f>
        <v>L/40/171024/1</v>
      </c>
      <c r="E90" s="20">
        <f t="array" ref="E90">IFNA(_xlfn.XLOOKUP(C90,Table_Tarikan_Warkah[Nomor Sertipikat],Table_Tarikan_Warkah[Tanggal diserahkan kepada Validator]),"")</f>
        <v>45586.48779</v>
      </c>
      <c r="F90" s="20" t="str">
        <f t="array" ref="F90">IFNA(_xlfn.XLOOKUP(C90,Table_Tarikan_Warkah[Nomor Sertipikat],Table_Tarikan_Warkah[Nama Petugas Warkah]),"")</f>
        <v>Berry</v>
      </c>
      <c r="G90" s="21" t="str">
        <f t="array" ref="G90">IFNA(_xlfn.XLOOKUP(C90,Table_Tarikan_Warkah[Nomor Sertipikat],Table_Tarikan_Warkah[Jenis Permohonan]),"")</f>
        <v>ROYA</v>
      </c>
      <c r="H90" s="22" t="s">
        <v>31</v>
      </c>
      <c r="I90" s="22" t="s">
        <v>32</v>
      </c>
      <c r="J90" s="20">
        <f t="shared" si="11"/>
        <v>45586.63064</v>
      </c>
      <c r="K90" s="22" t="s">
        <v>65</v>
      </c>
      <c r="L90" s="22" t="s">
        <v>32</v>
      </c>
      <c r="M90" s="20">
        <f t="shared" si="12"/>
        <v>45587.66803</v>
      </c>
      <c r="N90" s="8" t="str">
        <f t="shared" si="3"/>
        <v>SELESAI</v>
      </c>
      <c r="O90" s="23">
        <f t="shared" si="14"/>
        <v>45587.66803</v>
      </c>
      <c r="P90" s="24" t="b">
        <v>0</v>
      </c>
      <c r="Q90" s="20" t="str">
        <f t="shared" si="5"/>
        <v/>
      </c>
      <c r="R90" s="24" t="b">
        <v>1</v>
      </c>
      <c r="S90" s="20">
        <f t="shared" si="6"/>
        <v>45587.66803</v>
      </c>
      <c r="T90" s="7"/>
    </row>
    <row r="91" ht="22.5" hidden="1" customHeight="1">
      <c r="B91" s="7">
        <f t="shared" si="7"/>
        <v>85</v>
      </c>
      <c r="C91" s="18" t="s">
        <v>123</v>
      </c>
      <c r="D91" s="19" t="str">
        <f t="array" ref="D91">IFNA(_xlfn.XLOOKUP(C91,Table_Tarikan_Warkah[Nomor Sertipikat],Table_Tarikan_Warkah[Nomor Tiket]),"")</f>
        <v>K/41/171024/1</v>
      </c>
      <c r="E91" s="20">
        <f t="array" ref="E91">IFNA(_xlfn.XLOOKUP(C91,Table_Tarikan_Warkah[Nomor Sertipikat],Table_Tarikan_Warkah[Tanggal diserahkan kepada Validator]),"")</f>
        <v>45586.48779</v>
      </c>
      <c r="F91" s="20" t="str">
        <f t="array" ref="F91">IFNA(_xlfn.XLOOKUP(C91,Table_Tarikan_Warkah[Nomor Sertipikat],Table_Tarikan_Warkah[Nama Petugas Warkah]),"")</f>
        <v>Berry</v>
      </c>
      <c r="G91" s="21" t="str">
        <f t="array" ref="G91">IFNA(_xlfn.XLOOKUP(C91,Table_Tarikan_Warkah[Nomor Sertipikat],Table_Tarikan_Warkah[Jenis Permohonan]),"")</f>
        <v>Roya</v>
      </c>
      <c r="H91" s="22" t="s">
        <v>31</v>
      </c>
      <c r="I91" s="22" t="s">
        <v>32</v>
      </c>
      <c r="J91" s="20">
        <f t="shared" si="11"/>
        <v>45586.6306</v>
      </c>
      <c r="K91" s="22" t="s">
        <v>65</v>
      </c>
      <c r="L91" s="22" t="s">
        <v>32</v>
      </c>
      <c r="M91" s="20">
        <f t="shared" si="12"/>
        <v>45587.66803</v>
      </c>
      <c r="N91" s="8" t="str">
        <f t="shared" si="3"/>
        <v>SELESAI</v>
      </c>
      <c r="O91" s="23">
        <f t="shared" si="14"/>
        <v>45587.66803</v>
      </c>
      <c r="P91" s="24" t="b">
        <v>0</v>
      </c>
      <c r="Q91" s="20" t="str">
        <f t="shared" si="5"/>
        <v/>
      </c>
      <c r="R91" s="24" t="b">
        <v>1</v>
      </c>
      <c r="S91" s="20">
        <f t="shared" si="6"/>
        <v>45587.66803</v>
      </c>
      <c r="T91" s="7"/>
    </row>
    <row r="92" ht="22.5" hidden="1" customHeight="1">
      <c r="B92" s="7">
        <f t="shared" si="7"/>
        <v>86</v>
      </c>
      <c r="C92" s="18" t="s">
        <v>124</v>
      </c>
      <c r="D92" s="19" t="str">
        <f t="array" ref="D92">IFNA(_xlfn.XLOOKUP(C92,Table_Tarikan_Warkah[Nomor Sertipikat],Table_Tarikan_Warkah[Nomor Tiket]),"")</f>
        <v>L/44/171024/1</v>
      </c>
      <c r="E92" s="20">
        <f t="array" ref="E92">IFNA(_xlfn.XLOOKUP(C92,Table_Tarikan_Warkah[Nomor Sertipikat],Table_Tarikan_Warkah[Tanggal diserahkan kepada Validator]),"")</f>
        <v>45586.48779</v>
      </c>
      <c r="F92" s="20" t="str">
        <f t="array" ref="F92">IFNA(_xlfn.XLOOKUP(C92,Table_Tarikan_Warkah[Nomor Sertipikat],Table_Tarikan_Warkah[Nama Petugas Warkah]),"")</f>
        <v>Berry</v>
      </c>
      <c r="G92" s="21" t="str">
        <f t="array" ref="G92">IFNA(_xlfn.XLOOKUP(C92,Table_Tarikan_Warkah[Nomor Sertipikat],Table_Tarikan_Warkah[Jenis Permohonan]),"")</f>
        <v>ROYA</v>
      </c>
      <c r="H92" s="22" t="s">
        <v>31</v>
      </c>
      <c r="I92" s="22" t="s">
        <v>32</v>
      </c>
      <c r="J92" s="20">
        <f t="shared" si="11"/>
        <v>45586.63057</v>
      </c>
      <c r="K92" s="22" t="s">
        <v>65</v>
      </c>
      <c r="L92" s="22" t="s">
        <v>32</v>
      </c>
      <c r="M92" s="20">
        <f t="shared" si="12"/>
        <v>45587.66803</v>
      </c>
      <c r="N92" s="8" t="str">
        <f t="shared" si="3"/>
        <v>SELESAI</v>
      </c>
      <c r="O92" s="23">
        <f t="shared" si="14"/>
        <v>45587.66803</v>
      </c>
      <c r="P92" s="24" t="b">
        <v>0</v>
      </c>
      <c r="Q92" s="20" t="str">
        <f t="shared" si="5"/>
        <v/>
      </c>
      <c r="R92" s="24" t="b">
        <v>1</v>
      </c>
      <c r="S92" s="20">
        <f t="shared" si="6"/>
        <v>45587.66803</v>
      </c>
      <c r="T92" s="8" t="s">
        <v>125</v>
      </c>
    </row>
    <row r="93" ht="22.5" hidden="1" customHeight="1">
      <c r="B93" s="7">
        <f t="shared" si="7"/>
        <v>87</v>
      </c>
      <c r="C93" s="18" t="s">
        <v>126</v>
      </c>
      <c r="D93" s="19" t="str">
        <f t="array" ref="D93">IFNA(_xlfn.XLOOKUP(C93,Table_Tarikan_Warkah[Nomor Sertipikat],Table_Tarikan_Warkah[Nomor Tiket]),"")</f>
        <v>K/46/171024/1</v>
      </c>
      <c r="E93" s="20">
        <f t="array" ref="E93">IFNA(_xlfn.XLOOKUP(C93,Table_Tarikan_Warkah[Nomor Sertipikat],Table_Tarikan_Warkah[Tanggal diserahkan kepada Validator]),"")</f>
        <v>45586.48779</v>
      </c>
      <c r="F93" s="20" t="str">
        <f t="array" ref="F93">IFNA(_xlfn.XLOOKUP(C93,Table_Tarikan_Warkah[Nomor Sertipikat],Table_Tarikan_Warkah[Nama Petugas Warkah]),"")</f>
        <v>Berry</v>
      </c>
      <c r="G93" s="21" t="str">
        <f t="array" ref="G93">IFNA(_xlfn.XLOOKUP(C93,Table_Tarikan_Warkah[Nomor Sertipikat],Table_Tarikan_Warkah[Jenis Permohonan]),"")</f>
        <v>PERALIHAN JUAL BELI</v>
      </c>
      <c r="H93" s="22" t="s">
        <v>31</v>
      </c>
      <c r="I93" s="22" t="s">
        <v>32</v>
      </c>
      <c r="J93" s="20">
        <f t="shared" si="11"/>
        <v>45586.63054</v>
      </c>
      <c r="K93" s="22" t="s">
        <v>65</v>
      </c>
      <c r="L93" s="22" t="s">
        <v>32</v>
      </c>
      <c r="M93" s="20">
        <f t="shared" si="12"/>
        <v>45587.66803</v>
      </c>
      <c r="N93" s="8" t="str">
        <f t="shared" si="3"/>
        <v>SELESAI</v>
      </c>
      <c r="O93" s="23">
        <f t="shared" si="14"/>
        <v>45587.66803</v>
      </c>
      <c r="P93" s="24" t="b">
        <v>0</v>
      </c>
      <c r="Q93" s="20" t="str">
        <f t="shared" si="5"/>
        <v/>
      </c>
      <c r="R93" s="24" t="b">
        <v>1</v>
      </c>
      <c r="S93" s="20">
        <f t="shared" si="6"/>
        <v>45587.66803</v>
      </c>
      <c r="T93" s="7"/>
    </row>
    <row r="94" ht="22.5" hidden="1" customHeight="1">
      <c r="B94" s="7">
        <f t="shared" si="7"/>
        <v>88</v>
      </c>
      <c r="C94" s="18" t="s">
        <v>127</v>
      </c>
      <c r="D94" s="19" t="str">
        <f t="array" ref="D94">IFNA(_xlfn.XLOOKUP(C94,Table_Tarikan_Warkah[Nomor Sertipikat],Table_Tarikan_Warkah[Nomor Tiket]),"")</f>
        <v>K/56/171024/1</v>
      </c>
      <c r="E94" s="20">
        <f t="array" ref="E94">IFNA(_xlfn.XLOOKUP(C94,Table_Tarikan_Warkah[Nomor Sertipikat],Table_Tarikan_Warkah[Tanggal diserahkan kepada Validator]),"")</f>
        <v>45586.48779</v>
      </c>
      <c r="F94" s="20" t="str">
        <f t="array" ref="F94">IFNA(_xlfn.XLOOKUP(C94,Table_Tarikan_Warkah[Nomor Sertipikat],Table_Tarikan_Warkah[Nama Petugas Warkah]),"")</f>
        <v>Berry</v>
      </c>
      <c r="G94" s="21" t="str">
        <f t="array" ref="G94">IFNA(_xlfn.XLOOKUP(C94,Table_Tarikan_Warkah[Nomor Sertipikat],Table_Tarikan_Warkah[Jenis Permohonan]),"")</f>
        <v>ROYA</v>
      </c>
      <c r="H94" s="22" t="s">
        <v>31</v>
      </c>
      <c r="I94" s="22" t="s">
        <v>32</v>
      </c>
      <c r="J94" s="20">
        <f t="shared" si="11"/>
        <v>45586.63051</v>
      </c>
      <c r="K94" s="22" t="s">
        <v>65</v>
      </c>
      <c r="L94" s="22" t="s">
        <v>32</v>
      </c>
      <c r="M94" s="20">
        <f t="shared" si="12"/>
        <v>45587.66803</v>
      </c>
      <c r="N94" s="8" t="str">
        <f t="shared" si="3"/>
        <v>SELESAI</v>
      </c>
      <c r="O94" s="23">
        <f t="shared" si="14"/>
        <v>45587.66803</v>
      </c>
      <c r="P94" s="24" t="b">
        <v>0</v>
      </c>
      <c r="Q94" s="20" t="str">
        <f t="shared" si="5"/>
        <v/>
      </c>
      <c r="R94" s="24" t="b">
        <v>1</v>
      </c>
      <c r="S94" s="20">
        <f t="shared" si="6"/>
        <v>45587.66803</v>
      </c>
      <c r="T94" s="7"/>
    </row>
    <row r="95" ht="22.5" hidden="1" customHeight="1">
      <c r="B95" s="7">
        <f t="shared" si="7"/>
        <v>89</v>
      </c>
      <c r="C95" s="18" t="s">
        <v>128</v>
      </c>
      <c r="D95" s="19" t="str">
        <f t="array" ref="D95">IFNA(_xlfn.XLOOKUP(C95,Table_Tarikan_Warkah[Nomor Sertipikat],Table_Tarikan_Warkah[Nomor Tiket]),"")</f>
        <v>K/49/171024/2</v>
      </c>
      <c r="E95" s="20">
        <f t="array" ref="E95">IFNA(_xlfn.XLOOKUP(C95,Table_Tarikan_Warkah[Nomor Sertipikat],Table_Tarikan_Warkah[Tanggal diserahkan kepada Validator]),"")</f>
        <v>45586.48779</v>
      </c>
      <c r="F95" s="20" t="str">
        <f t="array" ref="F95">IFNA(_xlfn.XLOOKUP(C95,Table_Tarikan_Warkah[Nomor Sertipikat],Table_Tarikan_Warkah[Nama Petugas Warkah]),"")</f>
        <v>Berry</v>
      </c>
      <c r="G95" s="21" t="str">
        <f t="array" ref="G95">IFNA(_xlfn.XLOOKUP(C95,Table_Tarikan_Warkah[Nomor Sertipikat],Table_Tarikan_Warkah[Jenis Permohonan]),"")</f>
        <v>BN Jual Beli</v>
      </c>
      <c r="H95" s="22" t="s">
        <v>31</v>
      </c>
      <c r="I95" s="22" t="s">
        <v>32</v>
      </c>
      <c r="J95" s="20">
        <f t="shared" si="11"/>
        <v>45586.63047</v>
      </c>
      <c r="K95" s="22" t="s">
        <v>65</v>
      </c>
      <c r="L95" s="22" t="s">
        <v>32</v>
      </c>
      <c r="M95" s="20">
        <f t="shared" si="12"/>
        <v>45587.66803</v>
      </c>
      <c r="N95" s="8" t="str">
        <f t="shared" si="3"/>
        <v>SELESAI</v>
      </c>
      <c r="O95" s="23">
        <f t="shared" si="14"/>
        <v>45587.66803</v>
      </c>
      <c r="P95" s="24" t="b">
        <v>0</v>
      </c>
      <c r="Q95" s="20" t="str">
        <f t="shared" si="5"/>
        <v/>
      </c>
      <c r="R95" s="24" t="b">
        <v>1</v>
      </c>
      <c r="S95" s="20">
        <f t="shared" si="6"/>
        <v>45587.66803</v>
      </c>
      <c r="T95" s="7"/>
    </row>
    <row r="96" ht="22.5" hidden="1" customHeight="1">
      <c r="B96" s="7">
        <f t="shared" si="7"/>
        <v>90</v>
      </c>
      <c r="C96" s="18" t="s">
        <v>129</v>
      </c>
      <c r="D96" s="19" t="str">
        <f t="array" ref="D96">IFNA(_xlfn.XLOOKUP(C96,Table_Tarikan_Warkah[Nomor Sertipikat],Table_Tarikan_Warkah[Nomor Tiket]),"")</f>
        <v>K/48/171024/1</v>
      </c>
      <c r="E96" s="20">
        <f t="array" ref="E96">IFNA(_xlfn.XLOOKUP(C96,Table_Tarikan_Warkah[Nomor Sertipikat],Table_Tarikan_Warkah[Tanggal diserahkan kepada Validator]),"")</f>
        <v>45586.48779</v>
      </c>
      <c r="F96" s="20" t="str">
        <f t="array" ref="F96">IFNA(_xlfn.XLOOKUP(C96,Table_Tarikan_Warkah[Nomor Sertipikat],Table_Tarikan_Warkah[Nama Petugas Warkah]),"")</f>
        <v>Berry</v>
      </c>
      <c r="G96" s="21" t="str">
        <f t="array" ref="G96">IFNA(_xlfn.XLOOKUP(C96,Table_Tarikan_Warkah[Nomor Sertipikat],Table_Tarikan_Warkah[Jenis Permohonan]),"")</f>
        <v>BN Jual Beli</v>
      </c>
      <c r="H96" s="22" t="s">
        <v>31</v>
      </c>
      <c r="I96" s="22" t="s">
        <v>32</v>
      </c>
      <c r="J96" s="20">
        <f t="shared" si="11"/>
        <v>45586.63044</v>
      </c>
      <c r="K96" s="22" t="s">
        <v>65</v>
      </c>
      <c r="L96" s="22" t="s">
        <v>32</v>
      </c>
      <c r="M96" s="20">
        <f t="shared" si="12"/>
        <v>45587.66803</v>
      </c>
      <c r="N96" s="8" t="str">
        <f t="shared" si="3"/>
        <v>SELESAI</v>
      </c>
      <c r="O96" s="23">
        <f t="shared" si="14"/>
        <v>45587.66803</v>
      </c>
      <c r="P96" s="24" t="b">
        <v>0</v>
      </c>
      <c r="Q96" s="20" t="str">
        <f t="shared" si="5"/>
        <v/>
      </c>
      <c r="R96" s="24" t="b">
        <v>1</v>
      </c>
      <c r="S96" s="20">
        <f t="shared" si="6"/>
        <v>45587.66803</v>
      </c>
      <c r="T96" s="7"/>
    </row>
    <row r="97" ht="22.5" hidden="1" customHeight="1">
      <c r="B97" s="7">
        <f t="shared" si="7"/>
        <v>91</v>
      </c>
      <c r="C97" s="18" t="s">
        <v>130</v>
      </c>
      <c r="D97" s="19" t="str">
        <f t="array" ref="D97">IFNA(_xlfn.XLOOKUP(C97,Table_Tarikan_Warkah[Nomor Sertipikat],Table_Tarikan_Warkah[Nomor Tiket]),"")</f>
        <v>K/42/171024/1</v>
      </c>
      <c r="E97" s="20">
        <f t="array" ref="E97">IFNA(_xlfn.XLOOKUP(C97,Table_Tarikan_Warkah[Nomor Sertipikat],Table_Tarikan_Warkah[Tanggal diserahkan kepada Validator]),"")</f>
        <v>45586.48779</v>
      </c>
      <c r="F97" s="20" t="str">
        <f t="array" ref="F97">IFNA(_xlfn.XLOOKUP(C97,Table_Tarikan_Warkah[Nomor Sertipikat],Table_Tarikan_Warkah[Nama Petugas Warkah]),"")</f>
        <v>Berry</v>
      </c>
      <c r="G97" s="21" t="str">
        <f t="array" ref="G97">IFNA(_xlfn.XLOOKUP(C97,Table_Tarikan_Warkah[Nomor Sertipikat],Table_Tarikan_Warkah[Jenis Permohonan]),"")</f>
        <v>BN Jual Beli</v>
      </c>
      <c r="H97" s="22" t="s">
        <v>31</v>
      </c>
      <c r="I97" s="22" t="s">
        <v>32</v>
      </c>
      <c r="J97" s="20">
        <f t="shared" si="11"/>
        <v>45586.63041</v>
      </c>
      <c r="K97" s="22" t="s">
        <v>65</v>
      </c>
      <c r="L97" s="22" t="s">
        <v>32</v>
      </c>
      <c r="M97" s="20">
        <f t="shared" si="12"/>
        <v>45587.66803</v>
      </c>
      <c r="N97" s="8" t="str">
        <f t="shared" si="3"/>
        <v>SELESAI</v>
      </c>
      <c r="O97" s="23">
        <f t="shared" si="14"/>
        <v>45587.66803</v>
      </c>
      <c r="P97" s="24" t="b">
        <v>0</v>
      </c>
      <c r="Q97" s="20" t="str">
        <f t="shared" si="5"/>
        <v/>
      </c>
      <c r="R97" s="24" t="b">
        <v>1</v>
      </c>
      <c r="S97" s="20">
        <f t="shared" si="6"/>
        <v>45587.66803</v>
      </c>
      <c r="T97" s="7"/>
    </row>
    <row r="98" ht="22.5" hidden="1" customHeight="1">
      <c r="B98" s="7">
        <f t="shared" si="7"/>
        <v>92</v>
      </c>
      <c r="C98" s="18" t="s">
        <v>131</v>
      </c>
      <c r="D98" s="19" t="str">
        <f t="array" ref="D98">IFNA(_xlfn.XLOOKUP(C98,Table_Tarikan_Warkah[Nomor Sertipikat],Table_Tarikan_Warkah[Nomor Tiket]),"")</f>
        <v>K/38/171024/2</v>
      </c>
      <c r="E98" s="20">
        <f t="array" ref="E98">IFNA(_xlfn.XLOOKUP(C98,Table_Tarikan_Warkah[Nomor Sertipikat],Table_Tarikan_Warkah[Tanggal diserahkan kepada Validator]),"")</f>
        <v>45586.48779</v>
      </c>
      <c r="F98" s="20" t="str">
        <f t="array" ref="F98">IFNA(_xlfn.XLOOKUP(C98,Table_Tarikan_Warkah[Nomor Sertipikat],Table_Tarikan_Warkah[Nama Petugas Warkah]),"")</f>
        <v>Berry</v>
      </c>
      <c r="G98" s="21" t="str">
        <f t="array" ref="G98">IFNA(_xlfn.XLOOKUP(C98,Table_Tarikan_Warkah[Nomor Sertipikat],Table_Tarikan_Warkah[Jenis Permohonan]),"")</f>
        <v>BN Jual Beli</v>
      </c>
      <c r="H98" s="22" t="s">
        <v>31</v>
      </c>
      <c r="I98" s="22" t="s">
        <v>32</v>
      </c>
      <c r="J98" s="20">
        <f t="shared" si="11"/>
        <v>45586.63036</v>
      </c>
      <c r="K98" s="22" t="s">
        <v>65</v>
      </c>
      <c r="L98" s="22" t="s">
        <v>32</v>
      </c>
      <c r="M98" s="20">
        <f t="shared" si="12"/>
        <v>45587.66803</v>
      </c>
      <c r="N98" s="8" t="str">
        <f t="shared" si="3"/>
        <v>SELESAI</v>
      </c>
      <c r="O98" s="23">
        <f t="shared" si="14"/>
        <v>45587.66803</v>
      </c>
      <c r="P98" s="24" t="b">
        <v>0</v>
      </c>
      <c r="Q98" s="20" t="str">
        <f t="shared" si="5"/>
        <v/>
      </c>
      <c r="R98" s="24" t="b">
        <v>1</v>
      </c>
      <c r="S98" s="20">
        <f t="shared" si="6"/>
        <v>45587.66803</v>
      </c>
      <c r="T98" s="8" t="s">
        <v>132</v>
      </c>
    </row>
    <row r="99" ht="22.5" hidden="1" customHeight="1">
      <c r="B99" s="7">
        <f t="shared" si="7"/>
        <v>93</v>
      </c>
      <c r="C99" s="18" t="s">
        <v>133</v>
      </c>
      <c r="D99" s="19" t="str">
        <f t="array" ref="D99">IFNA(_xlfn.XLOOKUP(C99,Table_Tarikan_Warkah[Nomor Sertipikat],Table_Tarikan_Warkah[Nomor Tiket]),"")</f>
        <v>K/34/171024/2</v>
      </c>
      <c r="E99" s="20">
        <f t="array" ref="E99">IFNA(_xlfn.XLOOKUP(C99,Table_Tarikan_Warkah[Nomor Sertipikat],Table_Tarikan_Warkah[Tanggal diserahkan kepada Validator]),"")</f>
        <v>45586.48779</v>
      </c>
      <c r="F99" s="20" t="str">
        <f t="array" ref="F99">IFNA(_xlfn.XLOOKUP(C99,Table_Tarikan_Warkah[Nomor Sertipikat],Table_Tarikan_Warkah[Nama Petugas Warkah]),"")</f>
        <v>Berry</v>
      </c>
      <c r="G99" s="21" t="str">
        <f t="array" ref="G99">IFNA(_xlfn.XLOOKUP(C99,Table_Tarikan_Warkah[Nomor Sertipikat],Table_Tarikan_Warkah[Jenis Permohonan]),"")</f>
        <v>BN Jual Beli</v>
      </c>
      <c r="H99" s="22" t="s">
        <v>31</v>
      </c>
      <c r="I99" s="22" t="s">
        <v>32</v>
      </c>
      <c r="J99" s="20">
        <f t="shared" si="11"/>
        <v>45586.63034</v>
      </c>
      <c r="K99" s="22" t="s">
        <v>65</v>
      </c>
      <c r="L99" s="22" t="s">
        <v>32</v>
      </c>
      <c r="M99" s="20">
        <f t="shared" si="12"/>
        <v>45587.66803</v>
      </c>
      <c r="N99" s="8" t="str">
        <f t="shared" si="3"/>
        <v>SELESAI</v>
      </c>
      <c r="O99" s="23">
        <f t="shared" si="14"/>
        <v>45587.66803</v>
      </c>
      <c r="P99" s="24" t="b">
        <v>0</v>
      </c>
      <c r="Q99" s="20" t="str">
        <f t="shared" si="5"/>
        <v/>
      </c>
      <c r="R99" s="24" t="b">
        <v>1</v>
      </c>
      <c r="S99" s="20">
        <f t="shared" si="6"/>
        <v>45587.66803</v>
      </c>
      <c r="T99" s="7"/>
    </row>
    <row r="100" ht="22.5" hidden="1" customHeight="1">
      <c r="B100" s="7">
        <f t="shared" si="7"/>
        <v>94</v>
      </c>
      <c r="C100" s="18" t="s">
        <v>134</v>
      </c>
      <c r="D100" s="19" t="str">
        <f t="array" ref="D100">IFNA(_xlfn.XLOOKUP(C100,Table_Tarikan_Warkah[Nomor Sertipikat],Table_Tarikan_Warkah[Nomor Tiket]),"")</f>
        <v>K/31/171024/1</v>
      </c>
      <c r="E100" s="20">
        <f t="array" ref="E100">IFNA(_xlfn.XLOOKUP(C100,Table_Tarikan_Warkah[Nomor Sertipikat],Table_Tarikan_Warkah[Tanggal diserahkan kepada Validator]),"")</f>
        <v>45586.48779</v>
      </c>
      <c r="F100" s="20" t="str">
        <f t="array" ref="F100">IFNA(_xlfn.XLOOKUP(C100,Table_Tarikan_Warkah[Nomor Sertipikat],Table_Tarikan_Warkah[Nama Petugas Warkah]),"")</f>
        <v>Berry</v>
      </c>
      <c r="G100" s="21" t="str">
        <f t="array" ref="G100">IFNA(_xlfn.XLOOKUP(C100,Table_Tarikan_Warkah[Nomor Sertipikat],Table_Tarikan_Warkah[Jenis Permohonan]),"")</f>
        <v>BN Jual Beli</v>
      </c>
      <c r="H100" s="22" t="s">
        <v>31</v>
      </c>
      <c r="I100" s="22" t="s">
        <v>32</v>
      </c>
      <c r="J100" s="20">
        <f t="shared" si="11"/>
        <v>45586.63031</v>
      </c>
      <c r="K100" s="22" t="s">
        <v>65</v>
      </c>
      <c r="L100" s="22" t="s">
        <v>32</v>
      </c>
      <c r="M100" s="20">
        <f t="shared" si="12"/>
        <v>45587.66803</v>
      </c>
      <c r="N100" s="8" t="str">
        <f t="shared" si="3"/>
        <v>SELESAI</v>
      </c>
      <c r="O100" s="23">
        <f t="shared" si="14"/>
        <v>45587.66803</v>
      </c>
      <c r="P100" s="24" t="b">
        <v>0</v>
      </c>
      <c r="Q100" s="20" t="str">
        <f t="shared" si="5"/>
        <v/>
      </c>
      <c r="R100" s="24" t="b">
        <v>1</v>
      </c>
      <c r="S100" s="20">
        <f t="shared" si="6"/>
        <v>45587.66803</v>
      </c>
      <c r="T100" s="7"/>
    </row>
    <row r="101" ht="22.5" hidden="1" customHeight="1">
      <c r="B101" s="7">
        <f t="shared" si="7"/>
        <v>95</v>
      </c>
      <c r="C101" s="18" t="s">
        <v>135</v>
      </c>
      <c r="D101" s="19" t="str">
        <f t="array" ref="D101">IFNA(_xlfn.XLOOKUP(C101,Table_Tarikan_Warkah[Nomor Sertipikat],Table_Tarikan_Warkah[Nomor Tiket]),"")</f>
        <v>L/35/171024/1</v>
      </c>
      <c r="E101" s="20">
        <f t="array" ref="E101">IFNA(_xlfn.XLOOKUP(C101,Table_Tarikan_Warkah[Nomor Sertipikat],Table_Tarikan_Warkah[Tanggal diserahkan kepada Validator]),"")</f>
        <v>45586.48779</v>
      </c>
      <c r="F101" s="20" t="str">
        <f t="array" ref="F101">IFNA(_xlfn.XLOOKUP(C101,Table_Tarikan_Warkah[Nomor Sertipikat],Table_Tarikan_Warkah[Nama Petugas Warkah]),"")</f>
        <v>Berry</v>
      </c>
      <c r="G101" s="21" t="str">
        <f t="array" ref="G101">IFNA(_xlfn.XLOOKUP(C101,Table_Tarikan_Warkah[Nomor Sertipikat],Table_Tarikan_Warkah[Jenis Permohonan]),"")</f>
        <v>ROYA</v>
      </c>
      <c r="H101" s="22" t="s">
        <v>31</v>
      </c>
      <c r="I101" s="22" t="s">
        <v>32</v>
      </c>
      <c r="J101" s="20">
        <f t="shared" si="11"/>
        <v>45586.6303</v>
      </c>
      <c r="K101" s="22" t="s">
        <v>65</v>
      </c>
      <c r="L101" s="22" t="s">
        <v>32</v>
      </c>
      <c r="M101" s="20">
        <f t="shared" si="12"/>
        <v>45587.66803</v>
      </c>
      <c r="N101" s="8" t="str">
        <f t="shared" si="3"/>
        <v>SELESAI</v>
      </c>
      <c r="O101" s="23">
        <f t="shared" si="14"/>
        <v>45587.66803</v>
      </c>
      <c r="P101" s="24" t="b">
        <v>0</v>
      </c>
      <c r="Q101" s="20" t="str">
        <f t="shared" si="5"/>
        <v/>
      </c>
      <c r="R101" s="24" t="b">
        <v>1</v>
      </c>
      <c r="S101" s="20">
        <f t="shared" si="6"/>
        <v>45587.66803</v>
      </c>
      <c r="T101" s="7"/>
    </row>
    <row r="102" ht="22.5" hidden="1" customHeight="1">
      <c r="B102" s="7">
        <f t="shared" si="7"/>
        <v>96</v>
      </c>
      <c r="C102" s="18" t="s">
        <v>136</v>
      </c>
      <c r="D102" s="19" t="str">
        <f t="array" ref="D102">IFNA(_xlfn.XLOOKUP(C102,Table_Tarikan_Warkah[Nomor Sertipikat],Table_Tarikan_Warkah[Nomor Tiket]),"")</f>
        <v>K/8/181024/1</v>
      </c>
      <c r="E102" s="20">
        <f t="array" ref="E102">IFNA(_xlfn.XLOOKUP(C102,Table_Tarikan_Warkah[Nomor Sertipikat],Table_Tarikan_Warkah[Tanggal diserahkan kepada Validator]),"")</f>
        <v>45586.48779</v>
      </c>
      <c r="F102" s="20" t="str">
        <f t="array" ref="F102">IFNA(_xlfn.XLOOKUP(C102,Table_Tarikan_Warkah[Nomor Sertipikat],Table_Tarikan_Warkah[Nama Petugas Warkah]),"")</f>
        <v>Berry</v>
      </c>
      <c r="G102" s="21" t="str">
        <f t="array" ref="G102">IFNA(_xlfn.XLOOKUP(C102,Table_Tarikan_Warkah[Nomor Sertipikat],Table_Tarikan_Warkah[Jenis Permohonan]),"")</f>
        <v>BN JUAL BELI</v>
      </c>
      <c r="H102" s="22" t="s">
        <v>37</v>
      </c>
      <c r="I102" s="22" t="s">
        <v>32</v>
      </c>
      <c r="J102" s="20">
        <f t="shared" si="11"/>
        <v>45586.66884</v>
      </c>
      <c r="K102" s="22" t="s">
        <v>33</v>
      </c>
      <c r="L102" s="22" t="s">
        <v>32</v>
      </c>
      <c r="M102" s="20">
        <f t="shared" si="12"/>
        <v>45588.38908</v>
      </c>
      <c r="N102" s="8" t="str">
        <f t="shared" si="3"/>
        <v>SELESAI</v>
      </c>
      <c r="O102" s="23">
        <f t="shared" si="14"/>
        <v>45588.38908</v>
      </c>
      <c r="P102" s="24" t="b">
        <v>0</v>
      </c>
      <c r="Q102" s="20" t="str">
        <f t="shared" si="5"/>
        <v/>
      </c>
      <c r="R102" s="24" t="b">
        <v>1</v>
      </c>
      <c r="S102" s="20">
        <f t="shared" si="6"/>
        <v>45588.38909</v>
      </c>
      <c r="T102" s="7"/>
    </row>
    <row r="103" ht="22.5" hidden="1" customHeight="1">
      <c r="B103" s="7">
        <f t="shared" si="7"/>
        <v>97</v>
      </c>
      <c r="C103" s="18" t="s">
        <v>137</v>
      </c>
      <c r="D103" s="19" t="str">
        <f t="array" ref="D103">IFNA(_xlfn.XLOOKUP(C103,Table_Tarikan_Warkah[Nomor Sertipikat],Table_Tarikan_Warkah[Nomor Tiket]),"")</f>
        <v>K/3/181024/3</v>
      </c>
      <c r="E103" s="20">
        <f t="array" ref="E103">IFNA(_xlfn.XLOOKUP(C103,Table_Tarikan_Warkah[Nomor Sertipikat],Table_Tarikan_Warkah[Tanggal diserahkan kepada Validator]),"")</f>
        <v>45586.48779</v>
      </c>
      <c r="F103" s="20" t="str">
        <f t="array" ref="F103">IFNA(_xlfn.XLOOKUP(C103,Table_Tarikan_Warkah[Nomor Sertipikat],Table_Tarikan_Warkah[Nama Petugas Warkah]),"")</f>
        <v>Berry</v>
      </c>
      <c r="G103" s="21" t="str">
        <f t="array" ref="G103">IFNA(_xlfn.XLOOKUP(C103,Table_Tarikan_Warkah[Nomor Sertipikat],Table_Tarikan_Warkah[Jenis Permohonan]),"")</f>
        <v>BN JUAL BELI</v>
      </c>
      <c r="H103" s="22" t="s">
        <v>37</v>
      </c>
      <c r="I103" s="22" t="s">
        <v>32</v>
      </c>
      <c r="J103" s="20">
        <f t="shared" si="11"/>
        <v>45587.41237</v>
      </c>
      <c r="K103" s="22" t="s">
        <v>65</v>
      </c>
      <c r="L103" s="22" t="s">
        <v>32</v>
      </c>
      <c r="M103" s="20">
        <f t="shared" si="12"/>
        <v>45587.69018</v>
      </c>
      <c r="N103" s="8" t="str">
        <f t="shared" si="3"/>
        <v>SELESAI</v>
      </c>
      <c r="O103" s="23">
        <f t="shared" si="14"/>
        <v>45587.69018</v>
      </c>
      <c r="P103" s="24" t="b">
        <v>0</v>
      </c>
      <c r="Q103" s="20" t="str">
        <f t="shared" si="5"/>
        <v/>
      </c>
      <c r="R103" s="24" t="b">
        <v>1</v>
      </c>
      <c r="S103" s="20">
        <f t="shared" si="6"/>
        <v>45587.69023</v>
      </c>
      <c r="T103" s="7"/>
    </row>
    <row r="104" ht="22.5" hidden="1" customHeight="1">
      <c r="B104" s="7">
        <f t="shared" si="7"/>
        <v>98</v>
      </c>
      <c r="C104" s="18" t="s">
        <v>138</v>
      </c>
      <c r="D104" s="19" t="str">
        <f t="array" ref="D104">IFNA(_xlfn.XLOOKUP(C104,Table_Tarikan_Warkah[Nomor Sertipikat],Table_Tarikan_Warkah[Nomor Tiket]),"")</f>
        <v>L/57/181024/1</v>
      </c>
      <c r="E104" s="20">
        <f t="array" ref="E104">IFNA(_xlfn.XLOOKUP(C104,Table_Tarikan_Warkah[Nomor Sertipikat],Table_Tarikan_Warkah[Tanggal diserahkan kepada Validator]),"")</f>
        <v>45586.48779</v>
      </c>
      <c r="F104" s="20" t="str">
        <f t="array" ref="F104">IFNA(_xlfn.XLOOKUP(C104,Table_Tarikan_Warkah[Nomor Sertipikat],Table_Tarikan_Warkah[Nama Petugas Warkah]),"")</f>
        <v>Berry</v>
      </c>
      <c r="G104" s="21" t="str">
        <f t="array" ref="G104">IFNA(_xlfn.XLOOKUP(C104,Table_Tarikan_Warkah[Nomor Sertipikat],Table_Tarikan_Warkah[Jenis Permohonan]),"")</f>
        <v>ROYA</v>
      </c>
      <c r="H104" s="22" t="s">
        <v>37</v>
      </c>
      <c r="I104" s="22" t="s">
        <v>32</v>
      </c>
      <c r="J104" s="20">
        <f t="shared" si="11"/>
        <v>45587.48331</v>
      </c>
      <c r="K104" s="22" t="s">
        <v>65</v>
      </c>
      <c r="L104" s="22" t="s">
        <v>32</v>
      </c>
      <c r="M104" s="20">
        <f t="shared" si="12"/>
        <v>45587.69071</v>
      </c>
      <c r="N104" s="8" t="str">
        <f t="shared" si="3"/>
        <v>SELESAI</v>
      </c>
      <c r="O104" s="23">
        <f t="shared" si="14"/>
        <v>45587.69071</v>
      </c>
      <c r="P104" s="24" t="b">
        <v>0</v>
      </c>
      <c r="Q104" s="20" t="str">
        <f t="shared" si="5"/>
        <v/>
      </c>
      <c r="R104" s="24" t="b">
        <v>1</v>
      </c>
      <c r="S104" s="20">
        <f t="shared" si="6"/>
        <v>45587.69078</v>
      </c>
      <c r="T104" s="7"/>
    </row>
    <row r="105" ht="22.5" hidden="1" customHeight="1">
      <c r="B105" s="7">
        <f t="shared" si="7"/>
        <v>99</v>
      </c>
      <c r="C105" s="18" t="s">
        <v>139</v>
      </c>
      <c r="D105" s="19" t="str">
        <f t="array" ref="D105">IFNA(_xlfn.XLOOKUP(C105,Table_Tarikan_Warkah[Nomor Sertipikat],Table_Tarikan_Warkah[Nomor Tiket]),"")</f>
        <v>K/4/181024/1</v>
      </c>
      <c r="E105" s="20">
        <f t="array" ref="E105">IFNA(_xlfn.XLOOKUP(C105,Table_Tarikan_Warkah[Nomor Sertipikat],Table_Tarikan_Warkah[Tanggal diserahkan kepada Validator]),"")</f>
        <v>45586.48779</v>
      </c>
      <c r="F105" s="20" t="str">
        <f t="array" ref="F105">IFNA(_xlfn.XLOOKUP(C105,Table_Tarikan_Warkah[Nomor Sertipikat],Table_Tarikan_Warkah[Nama Petugas Warkah]),"")</f>
        <v>Berry</v>
      </c>
      <c r="G105" s="21" t="str">
        <f t="array" ref="G105">IFNA(_xlfn.XLOOKUP(C105,Table_Tarikan_Warkah[Nomor Sertipikat],Table_Tarikan_Warkah[Jenis Permohonan]),"")</f>
        <v>Roya</v>
      </c>
      <c r="H105" s="22" t="s">
        <v>37</v>
      </c>
      <c r="I105" s="22" t="s">
        <v>32</v>
      </c>
      <c r="J105" s="20">
        <f t="shared" si="11"/>
        <v>45587.66803</v>
      </c>
      <c r="K105" s="22" t="s">
        <v>33</v>
      </c>
      <c r="L105" s="22" t="s">
        <v>32</v>
      </c>
      <c r="M105" s="20">
        <f t="shared" si="12"/>
        <v>45588.37808</v>
      </c>
      <c r="N105" s="8" t="str">
        <f t="shared" si="3"/>
        <v>SELESAI</v>
      </c>
      <c r="O105" s="23">
        <f t="shared" si="14"/>
        <v>45588.37808</v>
      </c>
      <c r="P105" s="24" t="b">
        <v>0</v>
      </c>
      <c r="Q105" s="20" t="str">
        <f t="shared" si="5"/>
        <v/>
      </c>
      <c r="R105" s="24" t="b">
        <v>1</v>
      </c>
      <c r="S105" s="20">
        <f t="shared" si="6"/>
        <v>45588.37813</v>
      </c>
      <c r="T105" s="7"/>
    </row>
    <row r="106" ht="22.5" hidden="1" customHeight="1">
      <c r="B106" s="7">
        <f t="shared" si="7"/>
        <v>100</v>
      </c>
      <c r="C106" s="18" t="s">
        <v>140</v>
      </c>
      <c r="D106" s="19" t="str">
        <f t="array" ref="D106">IFNA(_xlfn.XLOOKUP(C106,Table_Tarikan_Warkah[Nomor Sertipikat],Table_Tarikan_Warkah[Nomor Tiket]),"")</f>
        <v>K/46/181024/2</v>
      </c>
      <c r="E106" s="20">
        <f t="array" ref="E106">IFNA(_xlfn.XLOOKUP(C106,Table_Tarikan_Warkah[Nomor Sertipikat],Table_Tarikan_Warkah[Tanggal diserahkan kepada Validator]),"")</f>
        <v>45587.37703</v>
      </c>
      <c r="F106" s="20" t="str">
        <f t="array" ref="F106">IFNA(_xlfn.XLOOKUP(C106,Table_Tarikan_Warkah[Nomor Sertipikat],Table_Tarikan_Warkah[Nama Petugas Warkah]),"")</f>
        <v>Bayu</v>
      </c>
      <c r="G106" s="21" t="str">
        <f t="array" ref="G106">IFNA(_xlfn.XLOOKUP(C106,Table_Tarikan_Warkah[Nomor Sertipikat],Table_Tarikan_Warkah[Jenis Permohonan]),"")</f>
        <v>KEWARISAN</v>
      </c>
      <c r="H106" s="22" t="s">
        <v>37</v>
      </c>
      <c r="I106" s="22" t="s">
        <v>32</v>
      </c>
      <c r="J106" s="20">
        <f t="shared" si="11"/>
        <v>45587.66803</v>
      </c>
      <c r="K106" s="22" t="s">
        <v>33</v>
      </c>
      <c r="L106" s="22" t="s">
        <v>32</v>
      </c>
      <c r="M106" s="20">
        <f t="shared" si="12"/>
        <v>45588.39084</v>
      </c>
      <c r="N106" s="8" t="str">
        <f t="shared" si="3"/>
        <v>SELESAI</v>
      </c>
      <c r="O106" s="23">
        <f t="shared" si="14"/>
        <v>45588.39084</v>
      </c>
      <c r="P106" s="24" t="b">
        <v>0</v>
      </c>
      <c r="Q106" s="20" t="str">
        <f t="shared" si="5"/>
        <v/>
      </c>
      <c r="R106" s="24" t="b">
        <v>1</v>
      </c>
      <c r="S106" s="20">
        <f t="shared" si="6"/>
        <v>45588.39087</v>
      </c>
      <c r="T106" s="7"/>
    </row>
    <row r="107" ht="22.5" hidden="1" customHeight="1">
      <c r="B107" s="7">
        <f t="shared" si="7"/>
        <v>101</v>
      </c>
      <c r="C107" s="18" t="s">
        <v>141</v>
      </c>
      <c r="D107" s="19" t="str">
        <f t="array" ref="D107">IFNA(_xlfn.XLOOKUP(C107,Table_Tarikan_Warkah[Nomor Sertipikat],Table_Tarikan_Warkah[Nomor Tiket]),"")</f>
        <v>K/47/181024/3</v>
      </c>
      <c r="E107" s="20">
        <f t="array" ref="E107">IFNA(_xlfn.XLOOKUP(C107,Table_Tarikan_Warkah[Nomor Sertipikat],Table_Tarikan_Warkah[Tanggal diserahkan kepada Validator]),"")</f>
        <v>45587.37682</v>
      </c>
      <c r="F107" s="20" t="str">
        <f t="array" ref="F107">IFNA(_xlfn.XLOOKUP(C107,Table_Tarikan_Warkah[Nomor Sertipikat],Table_Tarikan_Warkah[Nama Petugas Warkah]),"")</f>
        <v>Pras</v>
      </c>
      <c r="G107" s="21" t="str">
        <f t="array" ref="G107">IFNA(_xlfn.XLOOKUP(C107,Table_Tarikan_Warkah[Nomor Sertipikat],Table_Tarikan_Warkah[Jenis Permohonan]),"")</f>
        <v>KEWARISAN</v>
      </c>
      <c r="H107" s="22" t="s">
        <v>37</v>
      </c>
      <c r="I107" s="22" t="s">
        <v>32</v>
      </c>
      <c r="J107" s="20">
        <f t="shared" si="11"/>
        <v>45587.66803</v>
      </c>
      <c r="K107" s="22" t="s">
        <v>65</v>
      </c>
      <c r="L107" s="22" t="s">
        <v>32</v>
      </c>
      <c r="M107" s="20">
        <f t="shared" si="12"/>
        <v>45587.69045</v>
      </c>
      <c r="N107" s="8" t="str">
        <f t="shared" si="3"/>
        <v>SELESAI</v>
      </c>
      <c r="O107" s="23">
        <f t="shared" si="14"/>
        <v>45587.69045</v>
      </c>
      <c r="P107" s="24" t="b">
        <v>0</v>
      </c>
      <c r="Q107" s="20" t="str">
        <f t="shared" si="5"/>
        <v/>
      </c>
      <c r="R107" s="24" t="b">
        <v>1</v>
      </c>
      <c r="S107" s="20">
        <f t="shared" si="6"/>
        <v>45587.69056</v>
      </c>
      <c r="T107" s="7"/>
    </row>
    <row r="108" ht="22.5" hidden="1" customHeight="1">
      <c r="B108" s="7">
        <f t="shared" si="7"/>
        <v>102</v>
      </c>
      <c r="C108" s="18" t="s">
        <v>142</v>
      </c>
      <c r="D108" s="19" t="str">
        <f t="array" ref="D108">IFNA(_xlfn.XLOOKUP(C108,Table_Tarikan_Warkah[Nomor Sertipikat],Table_Tarikan_Warkah[Nomor Tiket]),"")</f>
        <v>K/48/181024/4</v>
      </c>
      <c r="E108" s="20">
        <f t="array" ref="E108">IFNA(_xlfn.XLOOKUP(C108,Table_Tarikan_Warkah[Nomor Sertipikat],Table_Tarikan_Warkah[Tanggal diserahkan kepada Validator]),"")</f>
        <v>45587.37644</v>
      </c>
      <c r="F108" s="20" t="str">
        <f t="array" ref="F108">IFNA(_xlfn.XLOOKUP(C108,Table_Tarikan_Warkah[Nomor Sertipikat],Table_Tarikan_Warkah[Nama Petugas Warkah]),"")</f>
        <v>Pras</v>
      </c>
      <c r="G108" s="21" t="str">
        <f t="array" ref="G108">IFNA(_xlfn.XLOOKUP(C108,Table_Tarikan_Warkah[Nomor Sertipikat],Table_Tarikan_Warkah[Jenis Permohonan]),"")</f>
        <v>ROYA LELANG</v>
      </c>
      <c r="H108" s="22" t="s">
        <v>37</v>
      </c>
      <c r="I108" s="22" t="s">
        <v>32</v>
      </c>
      <c r="J108" s="20">
        <f t="shared" si="11"/>
        <v>45587.66803</v>
      </c>
      <c r="K108" s="22" t="s">
        <v>65</v>
      </c>
      <c r="L108" s="22" t="s">
        <v>32</v>
      </c>
      <c r="M108" s="20">
        <f t="shared" si="12"/>
        <v>45587.68992</v>
      </c>
      <c r="N108" s="8" t="str">
        <f t="shared" si="3"/>
        <v>SELESAI</v>
      </c>
      <c r="O108" s="23">
        <f t="shared" si="14"/>
        <v>45587.68992</v>
      </c>
      <c r="P108" s="24" t="b">
        <v>0</v>
      </c>
      <c r="Q108" s="20" t="str">
        <f t="shared" si="5"/>
        <v/>
      </c>
      <c r="R108" s="24" t="b">
        <v>1</v>
      </c>
      <c r="S108" s="20">
        <f t="shared" si="6"/>
        <v>45587.68995</v>
      </c>
      <c r="T108" s="7"/>
    </row>
    <row r="109" ht="22.5" hidden="1" customHeight="1">
      <c r="B109" s="7">
        <f t="shared" si="7"/>
        <v>103</v>
      </c>
      <c r="C109" s="18" t="s">
        <v>143</v>
      </c>
      <c r="D109" s="19" t="str">
        <f t="array" ref="D109">IFNA(_xlfn.XLOOKUP(C109,Table_Tarikan_Warkah[Nomor Sertipikat],Table_Tarikan_Warkah[Nomor Tiket]),"")</f>
        <v>K/45/181024/1</v>
      </c>
      <c r="E109" s="20">
        <f t="array" ref="E109">IFNA(_xlfn.XLOOKUP(C109,Table_Tarikan_Warkah[Nomor Sertipikat],Table_Tarikan_Warkah[Tanggal diserahkan kepada Validator]),"")</f>
        <v>45587.37665</v>
      </c>
      <c r="F109" s="20" t="str">
        <f t="array" ref="F109">IFNA(_xlfn.XLOOKUP(C109,Table_Tarikan_Warkah[Nomor Sertipikat],Table_Tarikan_Warkah[Nama Petugas Warkah]),"")</f>
        <v>Bayu</v>
      </c>
      <c r="G109" s="21" t="str">
        <f t="array" ref="G109">IFNA(_xlfn.XLOOKUP(C109,Table_Tarikan_Warkah[Nomor Sertipikat],Table_Tarikan_Warkah[Jenis Permohonan]),"")</f>
        <v>KEWARISAN</v>
      </c>
      <c r="H109" s="22" t="s">
        <v>37</v>
      </c>
      <c r="I109" s="22" t="s">
        <v>32</v>
      </c>
      <c r="J109" s="20">
        <f t="shared" si="11"/>
        <v>45587.66803</v>
      </c>
      <c r="K109" s="22" t="s">
        <v>65</v>
      </c>
      <c r="L109" s="22" t="s">
        <v>32</v>
      </c>
      <c r="M109" s="20">
        <f t="shared" si="12"/>
        <v>45587.68955</v>
      </c>
      <c r="N109" s="8" t="str">
        <f t="shared" si="3"/>
        <v>SELESAI</v>
      </c>
      <c r="O109" s="23">
        <f t="shared" si="14"/>
        <v>45587.68955</v>
      </c>
      <c r="P109" s="24" t="b">
        <v>0</v>
      </c>
      <c r="Q109" s="20" t="str">
        <f t="shared" si="5"/>
        <v/>
      </c>
      <c r="R109" s="24" t="b">
        <v>1</v>
      </c>
      <c r="S109" s="20">
        <f t="shared" si="6"/>
        <v>45587.6896</v>
      </c>
      <c r="T109" s="7"/>
    </row>
    <row r="110" ht="22.5" hidden="1" customHeight="1">
      <c r="B110" s="7">
        <f t="shared" si="7"/>
        <v>104</v>
      </c>
      <c r="C110" s="18" t="s">
        <v>139</v>
      </c>
      <c r="D110" s="19" t="str">
        <f t="array" ref="D110">IFNA(_xlfn.XLOOKUP(C110,Table_Tarikan_Warkah[Nomor Sertipikat],Table_Tarikan_Warkah[Nomor Tiket]),"")</f>
        <v>K/4/181024/1</v>
      </c>
      <c r="E110" s="20">
        <f t="array" ref="E110">IFNA(_xlfn.XLOOKUP(C110,Table_Tarikan_Warkah[Nomor Sertipikat],Table_Tarikan_Warkah[Tanggal diserahkan kepada Validator]),"")</f>
        <v>45586.48779</v>
      </c>
      <c r="F110" s="20" t="str">
        <f t="array" ref="F110">IFNA(_xlfn.XLOOKUP(C110,Table_Tarikan_Warkah[Nomor Sertipikat],Table_Tarikan_Warkah[Nama Petugas Warkah]),"")</f>
        <v>Berry</v>
      </c>
      <c r="G110" s="21" t="str">
        <f t="array" ref="G110">IFNA(_xlfn.XLOOKUP(C110,Table_Tarikan_Warkah[Nomor Sertipikat],Table_Tarikan_Warkah[Jenis Permohonan]),"")</f>
        <v>Roya</v>
      </c>
      <c r="H110" s="22" t="s">
        <v>37</v>
      </c>
      <c r="I110" s="22" t="s">
        <v>32</v>
      </c>
      <c r="J110" s="20">
        <f t="shared" si="11"/>
        <v>45587.66803</v>
      </c>
      <c r="K110" s="22" t="s">
        <v>33</v>
      </c>
      <c r="L110" s="22" t="s">
        <v>32</v>
      </c>
      <c r="M110" s="20">
        <f t="shared" si="12"/>
        <v>45594.40413</v>
      </c>
      <c r="N110" s="8" t="str">
        <f t="shared" si="3"/>
        <v>SELESAI</v>
      </c>
      <c r="O110" s="23">
        <f>IF(N110="Selesai",IF(M110&lt;&gt;"",M110,NOW()),"")</f>
        <v>45594.40413</v>
      </c>
      <c r="P110" s="24" t="b">
        <v>0</v>
      </c>
      <c r="Q110" s="20" t="str">
        <f t="shared" si="5"/>
        <v/>
      </c>
      <c r="R110" s="24" t="b">
        <v>0</v>
      </c>
      <c r="S110" s="7" t="str">
        <f t="shared" si="6"/>
        <v/>
      </c>
      <c r="T110" s="7"/>
    </row>
    <row r="111" ht="22.5" hidden="1" customHeight="1">
      <c r="B111" s="7">
        <f t="shared" si="7"/>
        <v>105</v>
      </c>
      <c r="C111" s="18" t="s">
        <v>144</v>
      </c>
      <c r="D111" s="19" t="str">
        <f t="array" ref="D111">IFNA(_xlfn.XLOOKUP(C111,Table_Tarikan_Warkah[Nomor Sertipikat],Table_Tarikan_Warkah[Nomor Tiket]),"")</f>
        <v>L/33/211024/1</v>
      </c>
      <c r="E111" s="20">
        <f t="array" ref="E111">IFNA(_xlfn.XLOOKUP(C111,Table_Tarikan_Warkah[Nomor Sertipikat],Table_Tarikan_Warkah[Tanggal diserahkan kepada Validator]),"")</f>
        <v>45587.42042</v>
      </c>
      <c r="F111" s="20" t="str">
        <f t="array" ref="F111">IFNA(_xlfn.XLOOKUP(C111,Table_Tarikan_Warkah[Nomor Sertipikat],Table_Tarikan_Warkah[Nama Petugas Warkah]),"")</f>
        <v>David</v>
      </c>
      <c r="G111" s="21" t="str">
        <f t="array" ref="G111">IFNA(_xlfn.XLOOKUP(C111,Table_Tarikan_Warkah[Nomor Sertipikat],Table_Tarikan_Warkah[Jenis Permohonan]),"")</f>
        <v>ROYA</v>
      </c>
      <c r="H111" s="22" t="s">
        <v>31</v>
      </c>
      <c r="I111" s="22" t="s">
        <v>32</v>
      </c>
      <c r="J111" s="20">
        <f t="shared" si="11"/>
        <v>45587.68926</v>
      </c>
      <c r="K111" s="22" t="s">
        <v>65</v>
      </c>
      <c r="L111" s="22" t="s">
        <v>32</v>
      </c>
      <c r="M111" s="20">
        <f t="shared" si="12"/>
        <v>45588.46065</v>
      </c>
      <c r="N111" s="8" t="str">
        <f t="shared" si="3"/>
        <v>SELESAI</v>
      </c>
      <c r="O111" s="23">
        <f t="shared" ref="O111:O150" si="15">IF(and(L111="Selesai",I111="Selesai"),IF(M111&lt;&gt;"",M111,NOW()),"")</f>
        <v>45588.46065</v>
      </c>
      <c r="P111" s="24" t="b">
        <v>0</v>
      </c>
      <c r="Q111" s="20" t="str">
        <f t="shared" si="5"/>
        <v/>
      </c>
      <c r="R111" s="24" t="b">
        <v>1</v>
      </c>
      <c r="S111" s="20">
        <f t="shared" si="6"/>
        <v>45588.46069</v>
      </c>
      <c r="T111" s="7"/>
    </row>
    <row r="112" ht="22.5" hidden="1" customHeight="1">
      <c r="B112" s="7">
        <f t="shared" si="7"/>
        <v>106</v>
      </c>
      <c r="C112" s="18" t="s">
        <v>145</v>
      </c>
      <c r="D112" s="19" t="str">
        <f t="array" ref="D112">IFNA(_xlfn.XLOOKUP(C112,Table_Tarikan_Warkah[Nomor Sertipikat],Table_Tarikan_Warkah[Nomor Tiket]),"")</f>
        <v>L/28/211024/1</v>
      </c>
      <c r="E112" s="20">
        <f t="array" ref="E112">IFNA(_xlfn.XLOOKUP(C112,Table_Tarikan_Warkah[Nomor Sertipikat],Table_Tarikan_Warkah[Tanggal diserahkan kepada Validator]),"")</f>
        <v>45587.41911</v>
      </c>
      <c r="F112" s="20" t="str">
        <f t="array" ref="F112">IFNA(_xlfn.XLOOKUP(C112,Table_Tarikan_Warkah[Nomor Sertipikat],Table_Tarikan_Warkah[Nama Petugas Warkah]),"")</f>
        <v>David</v>
      </c>
      <c r="G112" s="21" t="str">
        <f t="array" ref="G112">IFNA(_xlfn.XLOOKUP(C112,Table_Tarikan_Warkah[Nomor Sertipikat],Table_Tarikan_Warkah[Jenis Permohonan]),"")</f>
        <v>ROYA</v>
      </c>
      <c r="H112" s="22" t="s">
        <v>31</v>
      </c>
      <c r="I112" s="22" t="s">
        <v>32</v>
      </c>
      <c r="J112" s="20">
        <f t="shared" si="11"/>
        <v>45587.68946</v>
      </c>
      <c r="K112" s="22" t="s">
        <v>65</v>
      </c>
      <c r="L112" s="22" t="s">
        <v>32</v>
      </c>
      <c r="M112" s="20">
        <f t="shared" si="12"/>
        <v>45588.46036</v>
      </c>
      <c r="N112" s="8" t="str">
        <f t="shared" si="3"/>
        <v>SELESAI</v>
      </c>
      <c r="O112" s="23">
        <f t="shared" si="15"/>
        <v>45588.46036</v>
      </c>
      <c r="P112" s="24" t="b">
        <v>0</v>
      </c>
      <c r="Q112" s="20" t="str">
        <f t="shared" si="5"/>
        <v/>
      </c>
      <c r="R112" s="24" t="b">
        <v>1</v>
      </c>
      <c r="S112" s="20">
        <f t="shared" si="6"/>
        <v>45588.46039</v>
      </c>
      <c r="T112" s="7"/>
    </row>
    <row r="113" ht="22.5" hidden="1" customHeight="1">
      <c r="B113" s="7">
        <f t="shared" si="7"/>
        <v>107</v>
      </c>
      <c r="C113" s="18" t="s">
        <v>146</v>
      </c>
      <c r="D113" s="19" t="str">
        <f t="array" ref="D113">IFNA(_xlfn.XLOOKUP(C113,Table_Tarikan_Warkah[Nomor Sertipikat],Table_Tarikan_Warkah[Nomor Tiket]),"")</f>
        <v>K/16/211024/2</v>
      </c>
      <c r="E113" s="20">
        <f t="array" ref="E113">IFNA(_xlfn.XLOOKUP(C113,Table_Tarikan_Warkah[Nomor Sertipikat],Table_Tarikan_Warkah[Tanggal diserahkan kepada Validator]),"")</f>
        <v>45587.41363</v>
      </c>
      <c r="F113" s="20" t="str">
        <f t="array" ref="F113">IFNA(_xlfn.XLOOKUP(C113,Table_Tarikan_Warkah[Nomor Sertipikat],Table_Tarikan_Warkah[Nama Petugas Warkah]),"")</f>
        <v>Berry</v>
      </c>
      <c r="G113" s="21" t="str">
        <f t="array" ref="G113">IFNA(_xlfn.XLOOKUP(C113,Table_Tarikan_Warkah[Nomor Sertipikat],Table_Tarikan_Warkah[Jenis Permohonan]),"")</f>
        <v>BN Jual Beli</v>
      </c>
      <c r="H113" s="22" t="s">
        <v>31</v>
      </c>
      <c r="I113" s="22" t="s">
        <v>32</v>
      </c>
      <c r="J113" s="20">
        <f t="shared" si="11"/>
        <v>45587.68965</v>
      </c>
      <c r="K113" s="22" t="s">
        <v>33</v>
      </c>
      <c r="L113" s="22" t="s">
        <v>32</v>
      </c>
      <c r="M113" s="20">
        <f t="shared" si="12"/>
        <v>45588.46005</v>
      </c>
      <c r="N113" s="8" t="str">
        <f t="shared" si="3"/>
        <v>SELESAI</v>
      </c>
      <c r="O113" s="23">
        <f t="shared" si="15"/>
        <v>45588.46005</v>
      </c>
      <c r="P113" s="24" t="b">
        <v>0</v>
      </c>
      <c r="Q113" s="20" t="str">
        <f t="shared" si="5"/>
        <v/>
      </c>
      <c r="R113" s="24" t="b">
        <v>1</v>
      </c>
      <c r="S113" s="20">
        <f t="shared" si="6"/>
        <v>45588.46011</v>
      </c>
      <c r="T113" s="7"/>
    </row>
    <row r="114" ht="22.5" hidden="1" customHeight="1">
      <c r="B114" s="7">
        <f t="shared" si="7"/>
        <v>108</v>
      </c>
      <c r="C114" s="18" t="s">
        <v>147</v>
      </c>
      <c r="D114" s="19" t="str">
        <f t="array" ref="D114">IFNA(_xlfn.XLOOKUP(C114,Table_Tarikan_Warkah[Nomor Sertipikat],Table_Tarikan_Warkah[Nomor Tiket]),"")</f>
        <v>K/47/211024/1</v>
      </c>
      <c r="E114" s="20">
        <f t="array" ref="E114">IFNA(_xlfn.XLOOKUP(C114,Table_Tarikan_Warkah[Nomor Sertipikat],Table_Tarikan_Warkah[Tanggal diserahkan kepada Validator]),"")</f>
        <v>45587.42208</v>
      </c>
      <c r="F114" s="20" t="str">
        <f t="array" ref="F114">IFNA(_xlfn.XLOOKUP(C114,Table_Tarikan_Warkah[Nomor Sertipikat],Table_Tarikan_Warkah[Nama Petugas Warkah]),"")</f>
        <v>David</v>
      </c>
      <c r="G114" s="21" t="str">
        <f t="array" ref="G114">IFNA(_xlfn.XLOOKUP(C114,Table_Tarikan_Warkah[Nomor Sertipikat],Table_Tarikan_Warkah[Jenis Permohonan]),"")</f>
        <v>PERALIHAN JUAL BELI</v>
      </c>
      <c r="H114" s="22" t="s">
        <v>31</v>
      </c>
      <c r="I114" s="22" t="s">
        <v>32</v>
      </c>
      <c r="J114" s="20">
        <f t="shared" si="11"/>
        <v>45587.6898</v>
      </c>
      <c r="K114" s="22" t="s">
        <v>65</v>
      </c>
      <c r="L114" s="22" t="s">
        <v>32</v>
      </c>
      <c r="M114" s="20">
        <f t="shared" si="12"/>
        <v>45588.46086</v>
      </c>
      <c r="N114" s="8" t="str">
        <f t="shared" si="3"/>
        <v>SELESAI</v>
      </c>
      <c r="O114" s="23">
        <f t="shared" si="15"/>
        <v>45588.46086</v>
      </c>
      <c r="P114" s="24" t="b">
        <v>0</v>
      </c>
      <c r="Q114" s="20" t="str">
        <f t="shared" si="5"/>
        <v/>
      </c>
      <c r="R114" s="24" t="b">
        <v>1</v>
      </c>
      <c r="S114" s="20">
        <f t="shared" si="6"/>
        <v>45588.46089</v>
      </c>
      <c r="T114" s="7"/>
    </row>
    <row r="115" ht="22.5" hidden="1" customHeight="1">
      <c r="B115" s="7">
        <f t="shared" si="7"/>
        <v>109</v>
      </c>
      <c r="C115" s="18" t="s">
        <v>148</v>
      </c>
      <c r="D115" s="19" t="str">
        <f t="array" ref="D115">IFNA(_xlfn.XLOOKUP(C115,Table_Tarikan_Warkah[Nomor Sertipikat],Table_Tarikan_Warkah[Nomor Tiket]),"")</f>
        <v>K/22/211024/1</v>
      </c>
      <c r="E115" s="20">
        <f t="array" ref="E115">IFNA(_xlfn.XLOOKUP(C115,Table_Tarikan_Warkah[Nomor Sertipikat],Table_Tarikan_Warkah[Tanggal diserahkan kepada Validator]),"")</f>
        <v>45587.41709</v>
      </c>
      <c r="F115" s="20" t="str">
        <f t="array" ref="F115">IFNA(_xlfn.XLOOKUP(C115,Table_Tarikan_Warkah[Nomor Sertipikat],Table_Tarikan_Warkah[Nama Petugas Warkah]),"")</f>
        <v>Berry</v>
      </c>
      <c r="G115" s="21" t="str">
        <f t="array" ref="G115">IFNA(_xlfn.XLOOKUP(C115,Table_Tarikan_Warkah[Nomor Sertipikat],Table_Tarikan_Warkah[Jenis Permohonan]),"")</f>
        <v>BN Waris</v>
      </c>
      <c r="H115" s="22" t="s">
        <v>31</v>
      </c>
      <c r="I115" s="22" t="s">
        <v>32</v>
      </c>
      <c r="J115" s="20">
        <f t="shared" si="11"/>
        <v>45587.68994</v>
      </c>
      <c r="K115" s="22" t="s">
        <v>33</v>
      </c>
      <c r="L115" s="22" t="s">
        <v>32</v>
      </c>
      <c r="M115" s="20">
        <f t="shared" si="12"/>
        <v>45588.45735</v>
      </c>
      <c r="N115" s="8" t="str">
        <f t="shared" si="3"/>
        <v>SELESAI</v>
      </c>
      <c r="O115" s="23">
        <f t="shared" si="15"/>
        <v>45588.45735</v>
      </c>
      <c r="P115" s="24" t="b">
        <v>0</v>
      </c>
      <c r="Q115" s="20" t="str">
        <f t="shared" si="5"/>
        <v/>
      </c>
      <c r="R115" s="24" t="b">
        <v>1</v>
      </c>
      <c r="S115" s="20">
        <f t="shared" si="6"/>
        <v>45588.45735</v>
      </c>
      <c r="T115" s="7"/>
    </row>
    <row r="116" ht="22.5" hidden="1" customHeight="1">
      <c r="B116" s="7">
        <f t="shared" si="7"/>
        <v>110</v>
      </c>
      <c r="C116" s="18" t="s">
        <v>149</v>
      </c>
      <c r="D116" s="19" t="str">
        <f t="array" ref="D116">IFNA(_xlfn.XLOOKUP(C116,Table_Tarikan_Warkah[Nomor Sertipikat],Table_Tarikan_Warkah[Nomor Tiket]),"")</f>
        <v>L/40/211024/1</v>
      </c>
      <c r="E116" s="20">
        <f t="array" ref="E116">IFNA(_xlfn.XLOOKUP(C116,Table_Tarikan_Warkah[Nomor Sertipikat],Table_Tarikan_Warkah[Tanggal diserahkan kepada Validator]),"")</f>
        <v>45587.42079</v>
      </c>
      <c r="F116" s="20" t="str">
        <f t="array" ref="F116">IFNA(_xlfn.XLOOKUP(C116,Table_Tarikan_Warkah[Nomor Sertipikat],Table_Tarikan_Warkah[Nama Petugas Warkah]),"")</f>
        <v>David</v>
      </c>
      <c r="G116" s="21" t="str">
        <f t="array" ref="G116">IFNA(_xlfn.XLOOKUP(C116,Table_Tarikan_Warkah[Nomor Sertipikat],Table_Tarikan_Warkah[Jenis Permohonan]),"")</f>
        <v>ROYA LELANG</v>
      </c>
      <c r="H116" s="22" t="s">
        <v>31</v>
      </c>
      <c r="I116" s="22" t="s">
        <v>32</v>
      </c>
      <c r="J116" s="20">
        <f t="shared" si="11"/>
        <v>45587.69008</v>
      </c>
      <c r="K116" s="22" t="s">
        <v>65</v>
      </c>
      <c r="L116" s="22" t="s">
        <v>32</v>
      </c>
      <c r="M116" s="20">
        <f t="shared" si="12"/>
        <v>45588.46157</v>
      </c>
      <c r="N116" s="8" t="str">
        <f t="shared" si="3"/>
        <v>SELESAI</v>
      </c>
      <c r="O116" s="23">
        <f t="shared" si="15"/>
        <v>45588.46157</v>
      </c>
      <c r="P116" s="24" t="b">
        <v>0</v>
      </c>
      <c r="Q116" s="20" t="str">
        <f t="shared" si="5"/>
        <v/>
      </c>
      <c r="R116" s="24" t="b">
        <v>1</v>
      </c>
      <c r="S116" s="20">
        <f t="shared" si="6"/>
        <v>45588.4616</v>
      </c>
      <c r="T116" s="7"/>
    </row>
    <row r="117" ht="22.5" hidden="1" customHeight="1">
      <c r="B117" s="7">
        <f t="shared" si="7"/>
        <v>111</v>
      </c>
      <c r="C117" s="18" t="s">
        <v>150</v>
      </c>
      <c r="D117" s="19" t="str">
        <f t="array" ref="D117">IFNA(_xlfn.XLOOKUP(C117,Table_Tarikan_Warkah[Nomor Sertipikat],Table_Tarikan_Warkah[Nomor Tiket]),"")</f>
        <v>L/23/211024/1</v>
      </c>
      <c r="E117" s="20">
        <f t="array" ref="E117">IFNA(_xlfn.XLOOKUP(C117,Table_Tarikan_Warkah[Nomor Sertipikat],Table_Tarikan_Warkah[Tanggal diserahkan kepada Validator]),"")</f>
        <v>45587.4228</v>
      </c>
      <c r="F117" s="20" t="str">
        <f t="array" ref="F117">IFNA(_xlfn.XLOOKUP(C117,Table_Tarikan_Warkah[Nomor Sertipikat],Table_Tarikan_Warkah[Nama Petugas Warkah]),"")</f>
        <v>David</v>
      </c>
      <c r="G117" s="21" t="str">
        <f t="array" ref="G117">IFNA(_xlfn.XLOOKUP(C117,Table_Tarikan_Warkah[Nomor Sertipikat],Table_Tarikan_Warkah[Jenis Permohonan]),"")</f>
        <v>PH</v>
      </c>
      <c r="H117" s="22" t="s">
        <v>31</v>
      </c>
      <c r="I117" s="22" t="s">
        <v>32</v>
      </c>
      <c r="J117" s="20">
        <f t="shared" si="11"/>
        <v>45587.69033</v>
      </c>
      <c r="K117" s="22" t="s">
        <v>33</v>
      </c>
      <c r="L117" s="22" t="s">
        <v>32</v>
      </c>
      <c r="M117" s="20">
        <f t="shared" si="12"/>
        <v>45588.45916</v>
      </c>
      <c r="N117" s="8" t="str">
        <f t="shared" si="3"/>
        <v>SELESAI</v>
      </c>
      <c r="O117" s="23">
        <f t="shared" si="15"/>
        <v>45588.45916</v>
      </c>
      <c r="P117" s="24" t="b">
        <v>0</v>
      </c>
      <c r="Q117" s="20" t="str">
        <f t="shared" si="5"/>
        <v/>
      </c>
      <c r="R117" s="24" t="b">
        <v>1</v>
      </c>
      <c r="S117" s="20">
        <f t="shared" si="6"/>
        <v>45588.45919</v>
      </c>
      <c r="T117" s="7"/>
    </row>
    <row r="118" ht="22.5" hidden="1" customHeight="1">
      <c r="B118" s="7">
        <f t="shared" si="7"/>
        <v>112</v>
      </c>
      <c r="C118" s="18" t="s">
        <v>151</v>
      </c>
      <c r="D118" s="19" t="str">
        <f t="array" ref="D118">IFNA(_xlfn.XLOOKUP(C118,Table_Tarikan_Warkah[Nomor Sertipikat],Table_Tarikan_Warkah[Nomor Tiket]),"")</f>
        <v>K/41/211024/1</v>
      </c>
      <c r="E118" s="20">
        <f t="array" ref="E118">IFNA(_xlfn.XLOOKUP(C118,Table_Tarikan_Warkah[Nomor Sertipikat],Table_Tarikan_Warkah[Tanggal diserahkan kepada Validator]),"")</f>
        <v>45586.68544</v>
      </c>
      <c r="F118" s="20" t="str">
        <f t="array" ref="F118">IFNA(_xlfn.XLOOKUP(C118,Table_Tarikan_Warkah[Nomor Sertipikat],Table_Tarikan_Warkah[Nama Petugas Warkah]),"")</f>
        <v>Sahelia</v>
      </c>
      <c r="G118" s="21" t="str">
        <f t="array" ref="G118">IFNA(_xlfn.XLOOKUP(C118,Table_Tarikan_Warkah[Nomor Sertipikat],Table_Tarikan_Warkah[Jenis Permohonan]),"")</f>
        <v>PENINGKATAN HAK</v>
      </c>
      <c r="H118" s="22" t="s">
        <v>31</v>
      </c>
      <c r="I118" s="22" t="s">
        <v>32</v>
      </c>
      <c r="J118" s="20">
        <f t="shared" si="11"/>
        <v>45587.69045</v>
      </c>
      <c r="K118" s="22" t="s">
        <v>33</v>
      </c>
      <c r="L118" s="22" t="s">
        <v>32</v>
      </c>
      <c r="M118" s="20">
        <f t="shared" si="12"/>
        <v>45588.45847</v>
      </c>
      <c r="N118" s="8" t="str">
        <f t="shared" si="3"/>
        <v>SELESAI</v>
      </c>
      <c r="O118" s="23">
        <f t="shared" si="15"/>
        <v>45588.45847</v>
      </c>
      <c r="P118" s="24" t="b">
        <v>0</v>
      </c>
      <c r="Q118" s="20" t="str">
        <f t="shared" si="5"/>
        <v/>
      </c>
      <c r="R118" s="24" t="b">
        <v>1</v>
      </c>
      <c r="S118" s="20">
        <f t="shared" si="6"/>
        <v>45588.4585</v>
      </c>
      <c r="T118" s="7"/>
    </row>
    <row r="119" ht="22.5" hidden="1" customHeight="1">
      <c r="B119" s="7">
        <f t="shared" si="7"/>
        <v>113</v>
      </c>
      <c r="C119" s="18" t="s">
        <v>152</v>
      </c>
      <c r="D119" s="19" t="str">
        <f t="array" ref="D119">IFNA(_xlfn.XLOOKUP(C119,Table_Tarikan_Warkah[Nomor Sertipikat],Table_Tarikan_Warkah[Nomor Tiket]),"")</f>
        <v>K/48/211024/1</v>
      </c>
      <c r="E119" s="20">
        <f t="array" ref="E119">IFNA(_xlfn.XLOOKUP(C119,Table_Tarikan_Warkah[Nomor Sertipikat],Table_Tarikan_Warkah[Tanggal diserahkan kepada Validator]),"")</f>
        <v>45587.42215</v>
      </c>
      <c r="F119" s="20" t="str">
        <f t="array" ref="F119">IFNA(_xlfn.XLOOKUP(C119,Table_Tarikan_Warkah[Nomor Sertipikat],Table_Tarikan_Warkah[Nama Petugas Warkah]),"")</f>
        <v>David</v>
      </c>
      <c r="G119" s="21" t="str">
        <f t="array" ref="G119">IFNA(_xlfn.XLOOKUP(C119,Table_Tarikan_Warkah[Nomor Sertipikat],Table_Tarikan_Warkah[Jenis Permohonan]),"")</f>
        <v>BN Jual Beli</v>
      </c>
      <c r="H119" s="22" t="s">
        <v>31</v>
      </c>
      <c r="I119" s="22" t="s">
        <v>32</v>
      </c>
      <c r="J119" s="20">
        <f t="shared" si="11"/>
        <v>45587.69061</v>
      </c>
      <c r="K119" s="22" t="s">
        <v>65</v>
      </c>
      <c r="L119" s="22" t="s">
        <v>32</v>
      </c>
      <c r="M119" s="20">
        <f t="shared" si="12"/>
        <v>45588.46133</v>
      </c>
      <c r="N119" s="8" t="str">
        <f t="shared" si="3"/>
        <v>SELESAI</v>
      </c>
      <c r="O119" s="23">
        <f t="shared" si="15"/>
        <v>45588.46133</v>
      </c>
      <c r="P119" s="24" t="b">
        <v>0</v>
      </c>
      <c r="Q119" s="20" t="str">
        <f t="shared" si="5"/>
        <v/>
      </c>
      <c r="R119" s="24" t="b">
        <v>1</v>
      </c>
      <c r="S119" s="20">
        <f t="shared" si="6"/>
        <v>45588.46139</v>
      </c>
      <c r="T119" s="7"/>
    </row>
    <row r="120" ht="22.5" hidden="1" customHeight="1">
      <c r="B120" s="7">
        <f t="shared" si="7"/>
        <v>114</v>
      </c>
      <c r="C120" s="18" t="s">
        <v>153</v>
      </c>
      <c r="D120" s="19" t="str">
        <f t="array" ref="D120">IFNA(_xlfn.XLOOKUP(C120,Table_Tarikan_Warkah[Nomor Sertipikat],Table_Tarikan_Warkah[Nomor Tiket]),"")</f>
        <v>K/30/211024/2</v>
      </c>
      <c r="E120" s="20">
        <f t="array" ref="E120">IFNA(_xlfn.XLOOKUP(C120,Table_Tarikan_Warkah[Nomor Sertipikat],Table_Tarikan_Warkah[Tanggal diserahkan kepada Validator]),"")</f>
        <v>45587.42008</v>
      </c>
      <c r="F120" s="20" t="str">
        <f t="array" ref="F120">IFNA(_xlfn.XLOOKUP(C120,Table_Tarikan_Warkah[Nomor Sertipikat],Table_Tarikan_Warkah[Nama Petugas Warkah]),"")</f>
        <v>David</v>
      </c>
      <c r="G120" s="21" t="str">
        <f t="array" ref="G120">IFNA(_xlfn.XLOOKUP(C120,Table_Tarikan_Warkah[Nomor Sertipikat],Table_Tarikan_Warkah[Jenis Permohonan]),"")</f>
        <v>BN Jual Beli</v>
      </c>
      <c r="H120" s="22" t="s">
        <v>31</v>
      </c>
      <c r="I120" s="22" t="s">
        <v>32</v>
      </c>
      <c r="J120" s="20">
        <f t="shared" si="11"/>
        <v>45587.69069</v>
      </c>
      <c r="K120" s="22" t="s">
        <v>33</v>
      </c>
      <c r="L120" s="22" t="s">
        <v>32</v>
      </c>
      <c r="M120" s="20">
        <f t="shared" si="12"/>
        <v>45588.45759</v>
      </c>
      <c r="N120" s="8" t="str">
        <f t="shared" si="3"/>
        <v>SELESAI</v>
      </c>
      <c r="O120" s="23">
        <f t="shared" si="15"/>
        <v>45588.45759</v>
      </c>
      <c r="P120" s="24" t="b">
        <v>0</v>
      </c>
      <c r="Q120" s="20" t="str">
        <f t="shared" si="5"/>
        <v/>
      </c>
      <c r="R120" s="24" t="b">
        <v>1</v>
      </c>
      <c r="S120" s="20">
        <f t="shared" si="6"/>
        <v>45588.45824</v>
      </c>
      <c r="T120" s="7"/>
    </row>
    <row r="121" ht="22.5" hidden="1" customHeight="1">
      <c r="B121" s="7">
        <f t="shared" si="7"/>
        <v>115</v>
      </c>
      <c r="C121" s="18" t="s">
        <v>154</v>
      </c>
      <c r="D121" s="19" t="str">
        <f t="array" ref="D121">IFNA(_xlfn.XLOOKUP(C121,Table_Tarikan_Warkah[Nomor Sertipikat],Table_Tarikan_Warkah[Nomor Tiket]),"")</f>
        <v>K/7/181024/2</v>
      </c>
      <c r="E121" s="20">
        <f t="array" ref="E121">IFNA(_xlfn.XLOOKUP(C121,Table_Tarikan_Warkah[Nomor Sertipikat],Table_Tarikan_Warkah[Tanggal diserahkan kepada Validator]),"")</f>
        <v>45587.42304</v>
      </c>
      <c r="F121" s="20" t="str">
        <f t="array" ref="F121">IFNA(_xlfn.XLOOKUP(C121,Table_Tarikan_Warkah[Nomor Sertipikat],Table_Tarikan_Warkah[Nama Petugas Warkah]),"")</f>
        <v>David</v>
      </c>
      <c r="G121" s="21" t="str">
        <f t="array" ref="G121">IFNA(_xlfn.XLOOKUP(C121,Table_Tarikan_Warkah[Nomor Sertipikat],Table_Tarikan_Warkah[Jenis Permohonan]),"")</f>
        <v>Roya</v>
      </c>
      <c r="H121" s="22" t="s">
        <v>31</v>
      </c>
      <c r="I121" s="22" t="s">
        <v>32</v>
      </c>
      <c r="J121" s="20">
        <f t="shared" si="11"/>
        <v>45587.69097</v>
      </c>
      <c r="K121" s="22" t="s">
        <v>65</v>
      </c>
      <c r="L121" s="22" t="s">
        <v>32</v>
      </c>
      <c r="M121" s="20">
        <f t="shared" si="12"/>
        <v>45588.46106</v>
      </c>
      <c r="N121" s="8" t="str">
        <f t="shared" si="3"/>
        <v>SELESAI</v>
      </c>
      <c r="O121" s="23">
        <f t="shared" si="15"/>
        <v>45588.46106</v>
      </c>
      <c r="P121" s="24" t="b">
        <v>0</v>
      </c>
      <c r="Q121" s="20" t="str">
        <f t="shared" si="5"/>
        <v/>
      </c>
      <c r="R121" s="24" t="b">
        <v>1</v>
      </c>
      <c r="S121" s="20">
        <f t="shared" si="6"/>
        <v>45588.46109</v>
      </c>
      <c r="T121" s="7"/>
    </row>
    <row r="122" ht="22.5" hidden="1" customHeight="1">
      <c r="B122" s="7">
        <f t="shared" si="7"/>
        <v>116</v>
      </c>
      <c r="C122" s="18" t="s">
        <v>155</v>
      </c>
      <c r="D122" s="19" t="str">
        <f t="array" ref="D122">IFNA(_xlfn.XLOOKUP(C122,Table_Tarikan_Warkah[Nomor Sertipikat],Table_Tarikan_Warkah[Nomor Tiket]),"")</f>
        <v>K/3/211024/1</v>
      </c>
      <c r="E122" s="20">
        <f t="array" ref="E122">IFNA(_xlfn.XLOOKUP(C122,Table_Tarikan_Warkah[Nomor Sertipikat],Table_Tarikan_Warkah[Tanggal diserahkan kepada Validator]),"")</f>
        <v>45587.41103</v>
      </c>
      <c r="F122" s="20" t="str">
        <f t="array" ref="F122">IFNA(_xlfn.XLOOKUP(C122,Table_Tarikan_Warkah[Nomor Sertipikat],Table_Tarikan_Warkah[Nama Petugas Warkah]),"")</f>
        <v>Berry</v>
      </c>
      <c r="G122" s="21" t="str">
        <f t="array" ref="G122">IFNA(_xlfn.XLOOKUP(C122,Table_Tarikan_Warkah[Nomor Sertipikat],Table_Tarikan_Warkah[Jenis Permohonan]),"")</f>
        <v>PENINGKATAN HAK</v>
      </c>
      <c r="H122" s="22" t="s">
        <v>37</v>
      </c>
      <c r="I122" s="22" t="s">
        <v>32</v>
      </c>
      <c r="J122" s="20">
        <f t="shared" si="11"/>
        <v>45587.73516</v>
      </c>
      <c r="K122" s="22" t="s">
        <v>65</v>
      </c>
      <c r="L122" s="22" t="s">
        <v>32</v>
      </c>
      <c r="M122" s="20">
        <f t="shared" si="12"/>
        <v>45588.62058</v>
      </c>
      <c r="N122" s="8" t="str">
        <f t="shared" si="3"/>
        <v>SELESAI</v>
      </c>
      <c r="O122" s="23">
        <f t="shared" si="15"/>
        <v>45588.62058</v>
      </c>
      <c r="P122" s="24" t="b">
        <v>0</v>
      </c>
      <c r="Q122" s="20" t="str">
        <f t="shared" si="5"/>
        <v/>
      </c>
      <c r="R122" s="24" t="b">
        <v>1</v>
      </c>
      <c r="S122" s="20">
        <f t="shared" si="6"/>
        <v>45588.62064</v>
      </c>
      <c r="T122" s="7"/>
    </row>
    <row r="123" ht="22.5" hidden="1" customHeight="1">
      <c r="B123" s="7">
        <f t="shared" si="7"/>
        <v>117</v>
      </c>
      <c r="C123" s="18" t="s">
        <v>156</v>
      </c>
      <c r="D123" s="19" t="str">
        <f t="array" ref="D123">IFNA(_xlfn.XLOOKUP(C123,Table_Tarikan_Warkah[Nomor Sertipikat],Table_Tarikan_Warkah[Nomor Tiket]),"")</f>
        <v>L/8/211024/1</v>
      </c>
      <c r="E123" s="20">
        <f t="array" ref="E123">IFNA(_xlfn.XLOOKUP(C123,Table_Tarikan_Warkah[Nomor Sertipikat],Table_Tarikan_Warkah[Tanggal diserahkan kepada Validator]),"")</f>
        <v>45587.41164</v>
      </c>
      <c r="F123" s="20" t="str">
        <f t="array" ref="F123">IFNA(_xlfn.XLOOKUP(C123,Table_Tarikan_Warkah[Nomor Sertipikat],Table_Tarikan_Warkah[Nama Petugas Warkah]),"")</f>
        <v>Berry</v>
      </c>
      <c r="G123" s="21" t="str">
        <f t="array" ref="G123">IFNA(_xlfn.XLOOKUP(C123,Table_Tarikan_Warkah[Nomor Sertipikat],Table_Tarikan_Warkah[Jenis Permohonan]),"")</f>
        <v>ROYA</v>
      </c>
      <c r="H123" s="22" t="s">
        <v>37</v>
      </c>
      <c r="I123" s="22" t="s">
        <v>32</v>
      </c>
      <c r="J123" s="20">
        <f t="shared" si="11"/>
        <v>45587.74088</v>
      </c>
      <c r="K123" s="22" t="s">
        <v>65</v>
      </c>
      <c r="L123" s="22" t="s">
        <v>32</v>
      </c>
      <c r="M123" s="20">
        <f t="shared" si="12"/>
        <v>45588.61665</v>
      </c>
      <c r="N123" s="8" t="str">
        <f t="shared" si="3"/>
        <v>SELESAI</v>
      </c>
      <c r="O123" s="23">
        <f t="shared" si="15"/>
        <v>45588.61665</v>
      </c>
      <c r="P123" s="24" t="b">
        <v>0</v>
      </c>
      <c r="Q123" s="20" t="str">
        <f t="shared" si="5"/>
        <v/>
      </c>
      <c r="R123" s="24" t="b">
        <v>1</v>
      </c>
      <c r="S123" s="20">
        <f t="shared" si="6"/>
        <v>45588.6167</v>
      </c>
      <c r="T123" s="7"/>
    </row>
    <row r="124" ht="22.5" hidden="1" customHeight="1">
      <c r="B124" s="7">
        <f t="shared" si="7"/>
        <v>118</v>
      </c>
      <c r="C124" s="18" t="s">
        <v>157</v>
      </c>
      <c r="D124" s="19" t="str">
        <f t="array" ref="D124">IFNA(_xlfn.XLOOKUP(C124,Table_Tarikan_Warkah[Nomor Sertipikat],Table_Tarikan_Warkah[Nomor Tiket]),"")</f>
        <v>L/9/211024/1</v>
      </c>
      <c r="E124" s="20">
        <f t="array" ref="E124">IFNA(_xlfn.XLOOKUP(C124,Table_Tarikan_Warkah[Nomor Sertipikat],Table_Tarikan_Warkah[Tanggal diserahkan kepada Validator]),"")</f>
        <v>45587.41191</v>
      </c>
      <c r="F124" s="20" t="str">
        <f t="array" ref="F124">IFNA(_xlfn.XLOOKUP(C124,Table_Tarikan_Warkah[Nomor Sertipikat],Table_Tarikan_Warkah[Nama Petugas Warkah]),"")</f>
        <v>Berry</v>
      </c>
      <c r="G124" s="21" t="str">
        <f t="array" ref="G124">IFNA(_xlfn.XLOOKUP(C124,Table_Tarikan_Warkah[Nomor Sertipikat],Table_Tarikan_Warkah[Jenis Permohonan]),"")</f>
        <v>ROYA</v>
      </c>
      <c r="H124" s="22" t="s">
        <v>37</v>
      </c>
      <c r="I124" s="22" t="s">
        <v>32</v>
      </c>
      <c r="J124" s="20">
        <f t="shared" si="11"/>
        <v>45587.74213</v>
      </c>
      <c r="K124" s="22" t="s">
        <v>65</v>
      </c>
      <c r="L124" s="22" t="s">
        <v>32</v>
      </c>
      <c r="M124" s="20">
        <f t="shared" si="12"/>
        <v>45588.6206</v>
      </c>
      <c r="N124" s="8" t="str">
        <f t="shared" si="3"/>
        <v>SELESAI</v>
      </c>
      <c r="O124" s="23">
        <f t="shared" si="15"/>
        <v>45588.6206</v>
      </c>
      <c r="P124" s="24" t="b">
        <v>0</v>
      </c>
      <c r="Q124" s="20" t="str">
        <f t="shared" si="5"/>
        <v/>
      </c>
      <c r="R124" s="24" t="b">
        <v>1</v>
      </c>
      <c r="S124" s="20">
        <f t="shared" si="6"/>
        <v>45588.62065</v>
      </c>
      <c r="T124" s="7"/>
    </row>
    <row r="125" ht="22.5" hidden="1" customHeight="1">
      <c r="B125" s="7">
        <f t="shared" si="7"/>
        <v>119</v>
      </c>
      <c r="C125" s="18" t="s">
        <v>158</v>
      </c>
      <c r="D125" s="19" t="str">
        <f t="array" ref="D125">IFNA(_xlfn.XLOOKUP(C125,Table_Tarikan_Warkah[Nomor Sertipikat],Table_Tarikan_Warkah[Nomor Tiket]),"")</f>
        <v>K/14/211024/1</v>
      </c>
      <c r="E125" s="20">
        <f t="array" ref="E125">IFNA(_xlfn.XLOOKUP(C125,Table_Tarikan_Warkah[Nomor Sertipikat],Table_Tarikan_Warkah[Tanggal diserahkan kepada Validator]),"")</f>
        <v>45587.41335</v>
      </c>
      <c r="F125" s="20" t="str">
        <f t="array" ref="F125">IFNA(_xlfn.XLOOKUP(C125,Table_Tarikan_Warkah[Nomor Sertipikat],Table_Tarikan_Warkah[Nama Petugas Warkah]),"")</f>
        <v>Berry</v>
      </c>
      <c r="G125" s="21" t="str">
        <f t="array" ref="G125">IFNA(_xlfn.XLOOKUP(C125,Table_Tarikan_Warkah[Nomor Sertipikat],Table_Tarikan_Warkah[Jenis Permohonan]),"")</f>
        <v>BN Jual Beli</v>
      </c>
      <c r="H125" s="22" t="s">
        <v>37</v>
      </c>
      <c r="I125" s="22" t="s">
        <v>32</v>
      </c>
      <c r="J125" s="20">
        <f t="shared" si="11"/>
        <v>45587.74594</v>
      </c>
      <c r="K125" s="22" t="s">
        <v>65</v>
      </c>
      <c r="L125" s="22" t="s">
        <v>32</v>
      </c>
      <c r="M125" s="20">
        <f t="shared" si="12"/>
        <v>45588.61692</v>
      </c>
      <c r="N125" s="8" t="str">
        <f t="shared" si="3"/>
        <v>SELESAI</v>
      </c>
      <c r="O125" s="23">
        <f t="shared" si="15"/>
        <v>45588.61692</v>
      </c>
      <c r="P125" s="24" t="b">
        <v>0</v>
      </c>
      <c r="Q125" s="20" t="str">
        <f t="shared" si="5"/>
        <v/>
      </c>
      <c r="R125" s="24" t="b">
        <v>1</v>
      </c>
      <c r="S125" s="20">
        <f t="shared" si="6"/>
        <v>45588.61685</v>
      </c>
      <c r="T125" s="7"/>
    </row>
    <row r="126" ht="22.5" hidden="1" customHeight="1">
      <c r="B126" s="7">
        <f t="shared" si="7"/>
        <v>120</v>
      </c>
      <c r="C126" s="18" t="s">
        <v>159</v>
      </c>
      <c r="D126" s="19" t="str">
        <f t="array" ref="D126">IFNA(_xlfn.XLOOKUP(C126,Table_Tarikan_Warkah[Nomor Sertipikat],Table_Tarikan_Warkah[Nomor Tiket]),"")</f>
        <v>K/39/181024/2</v>
      </c>
      <c r="E126" s="20">
        <f t="array" ref="E126">IFNA(_xlfn.XLOOKUP(C126,Table_Tarikan_Warkah[Nomor Sertipikat],Table_Tarikan_Warkah[Tanggal diserahkan kepada Validator]),"")</f>
        <v>45586.48779</v>
      </c>
      <c r="F126" s="20" t="str">
        <f t="array" ref="F126">IFNA(_xlfn.XLOOKUP(C126,Table_Tarikan_Warkah[Nomor Sertipikat],Table_Tarikan_Warkah[Nama Petugas Warkah]),"")</f>
        <v>David</v>
      </c>
      <c r="G126" s="21" t="str">
        <f t="array" ref="G126">IFNA(_xlfn.XLOOKUP(C126,Table_Tarikan_Warkah[Nomor Sertipikat],Table_Tarikan_Warkah[Jenis Permohonan]),"")</f>
        <v>ROYA</v>
      </c>
      <c r="H126" s="22" t="s">
        <v>37</v>
      </c>
      <c r="I126" s="22" t="s">
        <v>32</v>
      </c>
      <c r="J126" s="20">
        <f t="shared" si="11"/>
        <v>45588.37517</v>
      </c>
      <c r="K126" s="22" t="s">
        <v>33</v>
      </c>
      <c r="L126" s="22" t="s">
        <v>32</v>
      </c>
      <c r="M126" s="20">
        <f t="shared" si="12"/>
        <v>45588.37528</v>
      </c>
      <c r="N126" s="8" t="str">
        <f t="shared" si="3"/>
        <v>SELESAI</v>
      </c>
      <c r="O126" s="23">
        <f t="shared" si="15"/>
        <v>45588.37528</v>
      </c>
      <c r="P126" s="24" t="b">
        <v>0</v>
      </c>
      <c r="Q126" s="20" t="str">
        <f t="shared" si="5"/>
        <v/>
      </c>
      <c r="R126" s="24" t="b">
        <v>1</v>
      </c>
      <c r="S126" s="20">
        <f t="shared" si="6"/>
        <v>45588.37531</v>
      </c>
      <c r="T126" s="7"/>
    </row>
    <row r="127" ht="22.5" hidden="1" customHeight="1">
      <c r="B127" s="7">
        <f t="shared" si="7"/>
        <v>121</v>
      </c>
      <c r="C127" s="18" t="s">
        <v>160</v>
      </c>
      <c r="D127" s="19" t="str">
        <f t="array" ref="D127">IFNA(_xlfn.XLOOKUP(C127,Table_Tarikan_Warkah[Nomor Sertipikat],Table_Tarikan_Warkah[Nomor Tiket]),"")</f>
        <v>K/2/231024/2</v>
      </c>
      <c r="E127" s="20">
        <f t="array" ref="E127">IFNA(_xlfn.XLOOKUP(C127,Table_Tarikan_Warkah[Nomor Sertipikat],Table_Tarikan_Warkah[Tanggal diserahkan kepada Validator]),"")</f>
        <v>45588.38733</v>
      </c>
      <c r="F127" s="20" t="str">
        <f t="array" ref="F127">IFNA(_xlfn.XLOOKUP(C127,Table_Tarikan_Warkah[Nomor Sertipikat],Table_Tarikan_Warkah[Nama Petugas Warkah]),"")</f>
        <v>Berry</v>
      </c>
      <c r="G127" s="21" t="str">
        <f t="array" ref="G127">IFNA(_xlfn.XLOOKUP(C127,Table_Tarikan_Warkah[Nomor Sertipikat],Table_Tarikan_Warkah[Jenis Permohonan]),"")</f>
        <v>BN Hibah</v>
      </c>
      <c r="H127" s="22" t="s">
        <v>37</v>
      </c>
      <c r="I127" s="22" t="s">
        <v>32</v>
      </c>
      <c r="J127" s="20">
        <f t="shared" si="11"/>
        <v>45588.59941</v>
      </c>
      <c r="K127" s="22" t="s">
        <v>65</v>
      </c>
      <c r="L127" s="22" t="s">
        <v>32</v>
      </c>
      <c r="M127" s="20">
        <f t="shared" si="12"/>
        <v>45588.61638</v>
      </c>
      <c r="N127" s="8" t="str">
        <f t="shared" si="3"/>
        <v>SELESAI</v>
      </c>
      <c r="O127" s="23">
        <f t="shared" si="15"/>
        <v>45588.61638</v>
      </c>
      <c r="P127" s="24" t="b">
        <v>0</v>
      </c>
      <c r="Q127" s="20" t="str">
        <f t="shared" si="5"/>
        <v/>
      </c>
      <c r="R127" s="24" t="b">
        <v>1</v>
      </c>
      <c r="S127" s="20">
        <f t="shared" si="6"/>
        <v>45588.61642</v>
      </c>
      <c r="T127" s="7"/>
    </row>
    <row r="128" ht="22.5" hidden="1" customHeight="1">
      <c r="B128" s="7">
        <f t="shared" si="7"/>
        <v>122</v>
      </c>
      <c r="C128" s="18" t="s">
        <v>161</v>
      </c>
      <c r="D128" s="19" t="str">
        <f t="array" ref="D128">IFNA(_xlfn.XLOOKUP(C128,Table_Tarikan_Warkah[Nomor Sertipikat],Table_Tarikan_Warkah[Nomor Tiket]),"")</f>
        <v>K/17/211024/1</v>
      </c>
      <c r="E128" s="20">
        <f t="array" ref="E128">IFNA(_xlfn.XLOOKUP(C128,Table_Tarikan_Warkah[Nomor Sertipikat],Table_Tarikan_Warkah[Tanggal diserahkan kepada Validator]),"")</f>
        <v>45587.41383</v>
      </c>
      <c r="F128" s="20" t="str">
        <f t="array" ref="F128">IFNA(_xlfn.XLOOKUP(C128,Table_Tarikan_Warkah[Nomor Sertipikat],Table_Tarikan_Warkah[Nama Petugas Warkah]),"")</f>
        <v>Berry</v>
      </c>
      <c r="G128" s="21" t="str">
        <f t="array" ref="G128">IFNA(_xlfn.XLOOKUP(C128,Table_Tarikan_Warkah[Nomor Sertipikat],Table_Tarikan_Warkah[Jenis Permohonan]),"")</f>
        <v>BN Jual Beli</v>
      </c>
      <c r="H128" s="22" t="s">
        <v>37</v>
      </c>
      <c r="I128" s="22" t="s">
        <v>32</v>
      </c>
      <c r="J128" s="20">
        <f t="shared" si="11"/>
        <v>45588.59941</v>
      </c>
      <c r="K128" s="22" t="s">
        <v>33</v>
      </c>
      <c r="L128" s="22" t="s">
        <v>32</v>
      </c>
      <c r="M128" s="20">
        <f t="shared" si="12"/>
        <v>45588.61801</v>
      </c>
      <c r="N128" s="8" t="str">
        <f t="shared" si="3"/>
        <v>SELESAI</v>
      </c>
      <c r="O128" s="23">
        <f t="shared" si="15"/>
        <v>45588.61801</v>
      </c>
      <c r="P128" s="24" t="b">
        <v>0</v>
      </c>
      <c r="Q128" s="20" t="str">
        <f t="shared" si="5"/>
        <v/>
      </c>
      <c r="R128" s="24" t="b">
        <v>1</v>
      </c>
      <c r="S128" s="20">
        <f t="shared" si="6"/>
        <v>45588.61805</v>
      </c>
      <c r="T128" s="7"/>
    </row>
    <row r="129" ht="22.5" hidden="1" customHeight="1">
      <c r="B129" s="7">
        <f t="shared" si="7"/>
        <v>123</v>
      </c>
      <c r="C129" s="18" t="s">
        <v>162</v>
      </c>
      <c r="D129" s="19" t="str">
        <f t="array" ref="D129">IFNA(_xlfn.XLOOKUP(C129,Table_Tarikan_Warkah[Nomor Sertipikat],Table_Tarikan_Warkah[Nomor Tiket]),"")</f>
        <v>K/18/211024/1</v>
      </c>
      <c r="E129" s="20">
        <f t="array" ref="E129">IFNA(_xlfn.XLOOKUP(C129,Table_Tarikan_Warkah[Nomor Sertipikat],Table_Tarikan_Warkah[Tanggal diserahkan kepada Validator]),"")</f>
        <v>45587.41405</v>
      </c>
      <c r="F129" s="20" t="str">
        <f t="array" ref="F129">IFNA(_xlfn.XLOOKUP(C129,Table_Tarikan_Warkah[Nomor Sertipikat],Table_Tarikan_Warkah[Nama Petugas Warkah]),"")</f>
        <v>Berry</v>
      </c>
      <c r="G129" s="21" t="str">
        <f t="array" ref="G129">IFNA(_xlfn.XLOOKUP(C129,Table_Tarikan_Warkah[Nomor Sertipikat],Table_Tarikan_Warkah[Jenis Permohonan]),"")</f>
        <v>Bn Jual Beli</v>
      </c>
      <c r="H129" s="22" t="s">
        <v>37</v>
      </c>
      <c r="I129" s="22" t="s">
        <v>32</v>
      </c>
      <c r="J129" s="20">
        <f t="shared" si="11"/>
        <v>45588.59941</v>
      </c>
      <c r="K129" s="22" t="s">
        <v>65</v>
      </c>
      <c r="L129" s="22" t="s">
        <v>32</v>
      </c>
      <c r="M129" s="20">
        <f t="shared" si="12"/>
        <v>45588.61827</v>
      </c>
      <c r="N129" s="8" t="str">
        <f t="shared" si="3"/>
        <v>SELESAI</v>
      </c>
      <c r="O129" s="23">
        <f t="shared" si="15"/>
        <v>45588.61827</v>
      </c>
      <c r="P129" s="24" t="b">
        <v>0</v>
      </c>
      <c r="Q129" s="20" t="str">
        <f t="shared" si="5"/>
        <v/>
      </c>
      <c r="R129" s="24" t="b">
        <v>1</v>
      </c>
      <c r="S129" s="20">
        <f t="shared" si="6"/>
        <v>45588.61831</v>
      </c>
      <c r="T129" s="7"/>
    </row>
    <row r="130" ht="22.5" hidden="1" customHeight="1">
      <c r="B130" s="7">
        <f t="shared" si="7"/>
        <v>124</v>
      </c>
      <c r="C130" s="18" t="s">
        <v>163</v>
      </c>
      <c r="D130" s="19" t="str">
        <f t="array" ref="D130">IFNA(_xlfn.XLOOKUP(C130,Table_Tarikan_Warkah[Nomor Sertipikat],Table_Tarikan_Warkah[Nomor Tiket]),"")</f>
        <v>K/20/211024/3</v>
      </c>
      <c r="E130" s="20">
        <f t="array" ref="E130">IFNA(_xlfn.XLOOKUP(C130,Table_Tarikan_Warkah[Nomor Sertipikat],Table_Tarikan_Warkah[Tanggal diserahkan kepada Validator]),"")</f>
        <v>45587.41557</v>
      </c>
      <c r="F130" s="20" t="str">
        <f t="array" ref="F130">IFNA(_xlfn.XLOOKUP(C130,Table_Tarikan_Warkah[Nomor Sertipikat],Table_Tarikan_Warkah[Nama Petugas Warkah]),"")</f>
        <v>Berry</v>
      </c>
      <c r="G130" s="21" t="str">
        <f t="array" ref="G130">IFNA(_xlfn.XLOOKUP(C130,Table_Tarikan_Warkah[Nomor Sertipikat],Table_Tarikan_Warkah[Jenis Permohonan]),"")</f>
        <v>BN Jual Beli</v>
      </c>
      <c r="H130" s="22" t="s">
        <v>37</v>
      </c>
      <c r="I130" s="22" t="s">
        <v>32</v>
      </c>
      <c r="J130" s="20">
        <f t="shared" si="11"/>
        <v>45588.59941</v>
      </c>
      <c r="K130" s="22" t="s">
        <v>65</v>
      </c>
      <c r="L130" s="22" t="s">
        <v>32</v>
      </c>
      <c r="M130" s="20">
        <f t="shared" si="12"/>
        <v>45588.61865</v>
      </c>
      <c r="N130" s="8" t="str">
        <f t="shared" si="3"/>
        <v>SELESAI</v>
      </c>
      <c r="O130" s="23">
        <f t="shared" si="15"/>
        <v>45588.61865</v>
      </c>
      <c r="P130" s="24" t="b">
        <v>0</v>
      </c>
      <c r="Q130" s="20" t="str">
        <f t="shared" si="5"/>
        <v/>
      </c>
      <c r="R130" s="24" t="b">
        <v>1</v>
      </c>
      <c r="S130" s="20">
        <f t="shared" si="6"/>
        <v>45588.61979</v>
      </c>
      <c r="T130" s="7"/>
    </row>
    <row r="131" ht="22.5" hidden="1" customHeight="1">
      <c r="B131" s="7">
        <f t="shared" si="7"/>
        <v>125</v>
      </c>
      <c r="C131" s="18" t="s">
        <v>164</v>
      </c>
      <c r="D131" s="19" t="str">
        <f t="array" ref="D131">IFNA(_xlfn.XLOOKUP(C131,Table_Tarikan_Warkah[Nomor Sertipikat],Table_Tarikan_Warkah[Nomor Tiket]),"")</f>
        <v>K/21/211024/4</v>
      </c>
      <c r="E131" s="20">
        <f t="array" ref="E131">IFNA(_xlfn.XLOOKUP(C131,Table_Tarikan_Warkah[Nomor Sertipikat],Table_Tarikan_Warkah[Tanggal diserahkan kepada Validator]),"")</f>
        <v>45587.4156</v>
      </c>
      <c r="F131" s="20" t="str">
        <f t="array" ref="F131">IFNA(_xlfn.XLOOKUP(C131,Table_Tarikan_Warkah[Nomor Sertipikat],Table_Tarikan_Warkah[Nama Petugas Warkah]),"")</f>
        <v>Berry</v>
      </c>
      <c r="G131" s="21" t="str">
        <f t="array" ref="G131">IFNA(_xlfn.XLOOKUP(C131,Table_Tarikan_Warkah[Nomor Sertipikat],Table_Tarikan_Warkah[Jenis Permohonan]),"")</f>
        <v>BN Jual Beli</v>
      </c>
      <c r="H131" s="22" t="s">
        <v>37</v>
      </c>
      <c r="I131" s="22" t="s">
        <v>32</v>
      </c>
      <c r="J131" s="20">
        <f t="shared" si="11"/>
        <v>45588.59941</v>
      </c>
      <c r="K131" s="22" t="s">
        <v>65</v>
      </c>
      <c r="L131" s="22" t="s">
        <v>32</v>
      </c>
      <c r="M131" s="20">
        <f t="shared" si="12"/>
        <v>45588.61866</v>
      </c>
      <c r="N131" s="8" t="str">
        <f t="shared" si="3"/>
        <v>SELESAI</v>
      </c>
      <c r="O131" s="23">
        <f t="shared" si="15"/>
        <v>45588.61866</v>
      </c>
      <c r="P131" s="24" t="b">
        <v>0</v>
      </c>
      <c r="Q131" s="20" t="str">
        <f t="shared" si="5"/>
        <v/>
      </c>
      <c r="R131" s="24" t="b">
        <v>1</v>
      </c>
      <c r="S131" s="20">
        <f t="shared" si="6"/>
        <v>45588.6198</v>
      </c>
      <c r="T131" s="7"/>
    </row>
    <row r="132" ht="22.5" hidden="1" customHeight="1">
      <c r="B132" s="7">
        <f t="shared" si="7"/>
        <v>126</v>
      </c>
      <c r="C132" s="18" t="s">
        <v>165</v>
      </c>
      <c r="D132" s="19" t="str">
        <f t="array" ref="D132">IFNA(_xlfn.XLOOKUP(C132,Table_Tarikan_Warkah[Nomor Sertipikat],Table_Tarikan_Warkah[Nomor Tiket]),"")</f>
        <v>K/19/211024/2</v>
      </c>
      <c r="E132" s="20">
        <f t="array" ref="E132">IFNA(_xlfn.XLOOKUP(C132,Table_Tarikan_Warkah[Nomor Sertipikat],Table_Tarikan_Warkah[Tanggal diserahkan kepada Validator]),"")</f>
        <v>45587.41428</v>
      </c>
      <c r="F132" s="20" t="str">
        <f t="array" ref="F132">IFNA(_xlfn.XLOOKUP(C132,Table_Tarikan_Warkah[Nomor Sertipikat],Table_Tarikan_Warkah[Nama Petugas Warkah]),"")</f>
        <v>Berry</v>
      </c>
      <c r="G132" s="21" t="str">
        <f t="array" ref="G132">IFNA(_xlfn.XLOOKUP(C132,Table_Tarikan_Warkah[Nomor Sertipikat],Table_Tarikan_Warkah[Jenis Permohonan]),"")</f>
        <v>BN Jual Beli</v>
      </c>
      <c r="H132" s="22" t="s">
        <v>37</v>
      </c>
      <c r="I132" s="22" t="s">
        <v>32</v>
      </c>
      <c r="J132" s="20">
        <f t="shared" si="11"/>
        <v>45588.59941</v>
      </c>
      <c r="K132" s="22" t="s">
        <v>65</v>
      </c>
      <c r="L132" s="22" t="s">
        <v>32</v>
      </c>
      <c r="M132" s="20">
        <f t="shared" si="12"/>
        <v>45588.61974</v>
      </c>
      <c r="N132" s="8" t="str">
        <f t="shared" si="3"/>
        <v>SELESAI</v>
      </c>
      <c r="O132" s="23">
        <f t="shared" si="15"/>
        <v>45588.61974</v>
      </c>
      <c r="P132" s="24" t="b">
        <v>0</v>
      </c>
      <c r="Q132" s="20" t="str">
        <f t="shared" si="5"/>
        <v/>
      </c>
      <c r="R132" s="24" t="b">
        <v>1</v>
      </c>
      <c r="S132" s="20">
        <f t="shared" si="6"/>
        <v>45588.61982</v>
      </c>
      <c r="T132" s="7"/>
    </row>
    <row r="133" ht="22.5" hidden="1" customHeight="1">
      <c r="B133" s="7">
        <f t="shared" si="7"/>
        <v>127</v>
      </c>
      <c r="C133" s="18" t="s">
        <v>166</v>
      </c>
      <c r="D133" s="19" t="str">
        <f t="array" ref="D133">IFNA(_xlfn.XLOOKUP(C133,Table_Tarikan_Warkah[Nomor Sertipikat],Table_Tarikan_Warkah[Nomor Tiket]),"")</f>
        <v>K/10/211024/1</v>
      </c>
      <c r="E133" s="20">
        <f t="array" ref="E133">IFNA(_xlfn.XLOOKUP(C133,Table_Tarikan_Warkah[Nomor Sertipikat],Table_Tarikan_Warkah[Tanggal diserahkan kepada Validator]),"")</f>
        <v>45587.41227</v>
      </c>
      <c r="F133" s="20" t="str">
        <f t="array" ref="F133">IFNA(_xlfn.XLOOKUP(C133,Table_Tarikan_Warkah[Nomor Sertipikat],Table_Tarikan_Warkah[Nama Petugas Warkah]),"")</f>
        <v>Berry</v>
      </c>
      <c r="G133" s="21" t="str">
        <f t="array" ref="G133">IFNA(_xlfn.XLOOKUP(C133,Table_Tarikan_Warkah[Nomor Sertipikat],Table_Tarikan_Warkah[Jenis Permohonan]),"")</f>
        <v>BN Jual Beli</v>
      </c>
      <c r="H133" s="22" t="s">
        <v>37</v>
      </c>
      <c r="I133" s="22" t="s">
        <v>32</v>
      </c>
      <c r="J133" s="20">
        <f t="shared" si="11"/>
        <v>45588.59941</v>
      </c>
      <c r="K133" s="22" t="s">
        <v>65</v>
      </c>
      <c r="L133" s="22" t="s">
        <v>32</v>
      </c>
      <c r="M133" s="20">
        <f t="shared" si="12"/>
        <v>45588.61771</v>
      </c>
      <c r="N133" s="8" t="str">
        <f t="shared" si="3"/>
        <v>SELESAI</v>
      </c>
      <c r="O133" s="23">
        <f t="shared" si="15"/>
        <v>45588.61771</v>
      </c>
      <c r="P133" s="24" t="b">
        <v>0</v>
      </c>
      <c r="Q133" s="20" t="str">
        <f t="shared" si="5"/>
        <v/>
      </c>
      <c r="R133" s="24" t="b">
        <v>1</v>
      </c>
      <c r="S133" s="20">
        <f t="shared" si="6"/>
        <v>45588.61776</v>
      </c>
      <c r="T133" s="7"/>
    </row>
    <row r="134" ht="22.5" hidden="1" customHeight="1">
      <c r="B134" s="7">
        <f t="shared" si="7"/>
        <v>128</v>
      </c>
      <c r="C134" s="18" t="s">
        <v>167</v>
      </c>
      <c r="D134" s="19" t="str">
        <f t="array" ref="D134">IFNA(_xlfn.XLOOKUP(C134,Table_Tarikan_Warkah[Nomor Sertipikat],Table_Tarikan_Warkah[Nomor Tiket]),"")</f>
        <v>K/65/221024/2</v>
      </c>
      <c r="E134" s="20">
        <f t="array" ref="E134">IFNA(_xlfn.XLOOKUP(C134,Table_Tarikan_Warkah[Nomor Sertipikat],Table_Tarikan_Warkah[Tanggal diserahkan kepada Validator]),"")</f>
        <v>45588.46426</v>
      </c>
      <c r="F134" s="20" t="str">
        <f t="array" ref="F134">IFNA(_xlfn.XLOOKUP(C134,Table_Tarikan_Warkah[Nomor Sertipikat],Table_Tarikan_Warkah[Nama Petugas Warkah]),"")</f>
        <v>Rahma</v>
      </c>
      <c r="G134" s="21" t="str">
        <f t="array" ref="G134">IFNA(_xlfn.XLOOKUP(C134,Table_Tarikan_Warkah[Nomor Sertipikat],Table_Tarikan_Warkah[Jenis Permohonan]),"")</f>
        <v>BN Jual Beli</v>
      </c>
      <c r="H134" s="22" t="s">
        <v>37</v>
      </c>
      <c r="I134" s="22" t="s">
        <v>32</v>
      </c>
      <c r="J134" s="20">
        <f t="shared" si="11"/>
        <v>45588.78766</v>
      </c>
      <c r="K134" s="22" t="s">
        <v>65</v>
      </c>
      <c r="L134" s="22" t="s">
        <v>32</v>
      </c>
      <c r="M134" s="20">
        <f t="shared" si="12"/>
        <v>45589.47628</v>
      </c>
      <c r="N134" s="8" t="str">
        <f t="shared" si="3"/>
        <v>SELESAI</v>
      </c>
      <c r="O134" s="23">
        <f t="shared" si="15"/>
        <v>45589.47628</v>
      </c>
      <c r="P134" s="24" t="b">
        <v>0</v>
      </c>
      <c r="Q134" s="20" t="str">
        <f t="shared" si="5"/>
        <v/>
      </c>
      <c r="R134" s="24" t="b">
        <v>1</v>
      </c>
      <c r="S134" s="20">
        <f t="shared" si="6"/>
        <v>45589.47631</v>
      </c>
      <c r="T134" s="7"/>
    </row>
    <row r="135" ht="22.5" hidden="1" customHeight="1">
      <c r="B135" s="7">
        <f t="shared" si="7"/>
        <v>129</v>
      </c>
      <c r="C135" s="18" t="s">
        <v>168</v>
      </c>
      <c r="D135" s="19" t="str">
        <f t="array" ref="D135">IFNA(_xlfn.XLOOKUP(C135,Table_Tarikan_Warkah[Nomor Sertipikat],Table_Tarikan_Warkah[Nomor Tiket]),"")</f>
        <v>K/53/221024/3</v>
      </c>
      <c r="E135" s="20">
        <f t="array" ref="E135">IFNA(_xlfn.XLOOKUP(C135,Table_Tarikan_Warkah[Nomor Sertipikat],Table_Tarikan_Warkah[Tanggal diserahkan kepada Validator]),"")</f>
        <v>45588.46426</v>
      </c>
      <c r="F135" s="20" t="str">
        <f t="array" ref="F135">IFNA(_xlfn.XLOOKUP(C135,Table_Tarikan_Warkah[Nomor Sertipikat],Table_Tarikan_Warkah[Nama Petugas Warkah]),"")</f>
        <v>Rahma</v>
      </c>
      <c r="G135" s="21" t="str">
        <f t="array" ref="G135">IFNA(_xlfn.XLOOKUP(C135,Table_Tarikan_Warkah[Nomor Sertipikat],Table_Tarikan_Warkah[Jenis Permohonan]),"")</f>
        <v>BN Jual Beli</v>
      </c>
      <c r="H135" s="22" t="s">
        <v>37</v>
      </c>
      <c r="I135" s="22" t="s">
        <v>32</v>
      </c>
      <c r="J135" s="20">
        <f t="shared" si="11"/>
        <v>45588.78778</v>
      </c>
      <c r="K135" s="22" t="s">
        <v>65</v>
      </c>
      <c r="L135" s="22" t="s">
        <v>32</v>
      </c>
      <c r="M135" s="20">
        <f t="shared" si="12"/>
        <v>45589.476</v>
      </c>
      <c r="N135" s="8" t="str">
        <f t="shared" si="3"/>
        <v>SELESAI</v>
      </c>
      <c r="O135" s="23">
        <f t="shared" si="15"/>
        <v>45589.476</v>
      </c>
      <c r="P135" s="24" t="b">
        <v>0</v>
      </c>
      <c r="Q135" s="20" t="str">
        <f t="shared" si="5"/>
        <v/>
      </c>
      <c r="R135" s="24" t="b">
        <v>1</v>
      </c>
      <c r="S135" s="20">
        <f t="shared" si="6"/>
        <v>45589.47603</v>
      </c>
      <c r="T135" s="7"/>
    </row>
    <row r="136" ht="22.5" hidden="1" customHeight="1">
      <c r="B136" s="7">
        <f t="shared" si="7"/>
        <v>130</v>
      </c>
      <c r="C136" s="18" t="s">
        <v>169</v>
      </c>
      <c r="D136" s="19" t="str">
        <f t="array" ref="D136">IFNA(_xlfn.XLOOKUP(C136,Table_Tarikan_Warkah[Nomor Sertipikat],Table_Tarikan_Warkah[Nomor Tiket]),"")</f>
        <v>K/41/181024/1</v>
      </c>
      <c r="E136" s="20">
        <f t="array" ref="E136">IFNA(_xlfn.XLOOKUP(C136,Table_Tarikan_Warkah[Nomor Sertipikat],Table_Tarikan_Warkah[Tanggal diserahkan kepada Validator]),"")</f>
        <v>45588.38544</v>
      </c>
      <c r="F136" s="20" t="str">
        <f t="array" ref="F136">IFNA(_xlfn.XLOOKUP(C136,Table_Tarikan_Warkah[Nomor Sertipikat],Table_Tarikan_Warkah[Nama Petugas Warkah]),"")</f>
        <v>David</v>
      </c>
      <c r="G136" s="21" t="str">
        <f t="array" ref="G136">IFNA(_xlfn.XLOOKUP(C136,Table_Tarikan_Warkah[Nomor Sertipikat],Table_Tarikan_Warkah[Jenis Permohonan]),"")</f>
        <v>BN Jual Beli</v>
      </c>
      <c r="H136" s="22" t="s">
        <v>37</v>
      </c>
      <c r="I136" s="22" t="s">
        <v>32</v>
      </c>
      <c r="J136" s="20">
        <f t="shared" si="11"/>
        <v>45588.78788</v>
      </c>
      <c r="K136" s="22" t="s">
        <v>65</v>
      </c>
      <c r="L136" s="22" t="s">
        <v>32</v>
      </c>
      <c r="M136" s="20">
        <f t="shared" si="12"/>
        <v>45589.47579</v>
      </c>
      <c r="N136" s="8" t="str">
        <f t="shared" si="3"/>
        <v>SELESAI</v>
      </c>
      <c r="O136" s="23">
        <f t="shared" si="15"/>
        <v>45589.47579</v>
      </c>
      <c r="P136" s="24" t="b">
        <v>0</v>
      </c>
      <c r="Q136" s="20" t="str">
        <f t="shared" si="5"/>
        <v/>
      </c>
      <c r="R136" s="24" t="b">
        <v>1</v>
      </c>
      <c r="S136" s="20">
        <f t="shared" si="6"/>
        <v>45589.47583</v>
      </c>
      <c r="T136" s="7"/>
    </row>
    <row r="137" ht="22.5" hidden="1" customHeight="1">
      <c r="B137" s="7">
        <f t="shared" si="7"/>
        <v>131</v>
      </c>
      <c r="C137" s="18" t="s">
        <v>170</v>
      </c>
      <c r="D137" s="19" t="str">
        <f t="array" ref="D137">IFNA(_xlfn.XLOOKUP(C137,Table_Tarikan_Warkah[Nomor Sertipikat],Table_Tarikan_Warkah[Nomor Tiket]),"")</f>
        <v>L/26/211024/1</v>
      </c>
      <c r="E137" s="20">
        <f t="array" ref="E137">IFNA(_xlfn.XLOOKUP(C137,Table_Tarikan_Warkah[Nomor Sertipikat],Table_Tarikan_Warkah[Tanggal diserahkan kepada Validator]),"")</f>
        <v>45588.3852</v>
      </c>
      <c r="F137" s="20" t="str">
        <f t="array" ref="F137">IFNA(_xlfn.XLOOKUP(C137,Table_Tarikan_Warkah[Nomor Sertipikat],Table_Tarikan_Warkah[Nama Petugas Warkah]),"")</f>
        <v>David</v>
      </c>
      <c r="G137" s="21" t="str">
        <f t="array" ref="G137">IFNA(_xlfn.XLOOKUP(C137,Table_Tarikan_Warkah[Nomor Sertipikat],Table_Tarikan_Warkah[Jenis Permohonan]),"")</f>
        <v>PERUBAHAN HAK</v>
      </c>
      <c r="H137" s="22" t="s">
        <v>37</v>
      </c>
      <c r="I137" s="22" t="s">
        <v>32</v>
      </c>
      <c r="J137" s="20">
        <f t="shared" si="11"/>
        <v>45588.78801</v>
      </c>
      <c r="K137" s="22" t="s">
        <v>65</v>
      </c>
      <c r="L137" s="22" t="s">
        <v>32</v>
      </c>
      <c r="M137" s="20">
        <f t="shared" si="12"/>
        <v>45589.47527</v>
      </c>
      <c r="N137" s="8" t="str">
        <f t="shared" si="3"/>
        <v>SELESAI</v>
      </c>
      <c r="O137" s="23">
        <f t="shared" si="15"/>
        <v>45589.47527</v>
      </c>
      <c r="P137" s="24" t="b">
        <v>0</v>
      </c>
      <c r="Q137" s="20" t="str">
        <f t="shared" si="5"/>
        <v/>
      </c>
      <c r="R137" s="24" t="b">
        <v>1</v>
      </c>
      <c r="S137" s="20">
        <f t="shared" si="6"/>
        <v>45589.4753</v>
      </c>
      <c r="T137" s="7"/>
    </row>
    <row r="138" ht="22.5" hidden="1" customHeight="1">
      <c r="B138" s="7">
        <f t="shared" si="7"/>
        <v>132</v>
      </c>
      <c r="C138" s="18" t="s">
        <v>171</v>
      </c>
      <c r="D138" s="19" t="str">
        <f t="array" ref="D138">IFNA(_xlfn.XLOOKUP(C138,Table_Tarikan_Warkah[Nomor Sertipikat],Table_Tarikan_Warkah[Nomor Tiket]),"")</f>
        <v>K/52/221024/2</v>
      </c>
      <c r="E138" s="20">
        <f t="array" ref="E138">IFNA(_xlfn.XLOOKUP(C138,Table_Tarikan_Warkah[Nomor Sertipikat],Table_Tarikan_Warkah[Tanggal diserahkan kepada Validator]),"")</f>
        <v>45588.46426</v>
      </c>
      <c r="F138" s="20" t="str">
        <f t="array" ref="F138">IFNA(_xlfn.XLOOKUP(C138,Table_Tarikan_Warkah[Nomor Sertipikat],Table_Tarikan_Warkah[Nama Petugas Warkah]),"")</f>
        <v>Rahma</v>
      </c>
      <c r="G138" s="21" t="str">
        <f t="array" ref="G138">IFNA(_xlfn.XLOOKUP(C138,Table_Tarikan_Warkah[Nomor Sertipikat],Table_Tarikan_Warkah[Jenis Permohonan]),"")</f>
        <v>BN Jual Beli</v>
      </c>
      <c r="H138" s="22" t="s">
        <v>37</v>
      </c>
      <c r="I138" s="22" t="s">
        <v>32</v>
      </c>
      <c r="J138" s="20">
        <f t="shared" si="11"/>
        <v>45588.78814</v>
      </c>
      <c r="K138" s="22" t="s">
        <v>65</v>
      </c>
      <c r="L138" s="22" t="s">
        <v>32</v>
      </c>
      <c r="M138" s="20">
        <f t="shared" si="12"/>
        <v>45589.47456</v>
      </c>
      <c r="N138" s="8" t="str">
        <f t="shared" si="3"/>
        <v>SELESAI</v>
      </c>
      <c r="O138" s="23">
        <f t="shared" si="15"/>
        <v>45589.47456</v>
      </c>
      <c r="P138" s="24" t="b">
        <v>0</v>
      </c>
      <c r="Q138" s="20" t="str">
        <f t="shared" si="5"/>
        <v/>
      </c>
      <c r="R138" s="24" t="b">
        <v>1</v>
      </c>
      <c r="S138" s="20">
        <f t="shared" si="6"/>
        <v>45589.4746</v>
      </c>
      <c r="T138" s="7"/>
    </row>
    <row r="139" ht="22.5" hidden="1" customHeight="1">
      <c r="B139" s="7">
        <f t="shared" si="7"/>
        <v>133</v>
      </c>
      <c r="C139" s="18" t="s">
        <v>172</v>
      </c>
      <c r="D139" s="19" t="str">
        <f t="array" ref="D139">IFNA(_xlfn.XLOOKUP(C139,Table_Tarikan_Warkah[Nomor Sertipikat],Table_Tarikan_Warkah[Nomor Tiket]),"")</f>
        <v>K/45/221024/1</v>
      </c>
      <c r="E139" s="20">
        <f t="array" ref="E139">IFNA(_xlfn.XLOOKUP(C139,Table_Tarikan_Warkah[Nomor Sertipikat],Table_Tarikan_Warkah[Tanggal diserahkan kepada Validator]),"")</f>
        <v>45588.38436</v>
      </c>
      <c r="F139" s="20" t="str">
        <f t="array" ref="F139">IFNA(_xlfn.XLOOKUP(C139,Table_Tarikan_Warkah[Nomor Sertipikat],Table_Tarikan_Warkah[Nama Petugas Warkah]),"")</f>
        <v>David</v>
      </c>
      <c r="G139" s="21" t="str">
        <f t="array" ref="G139">IFNA(_xlfn.XLOOKUP(C139,Table_Tarikan_Warkah[Nomor Sertipikat],Table_Tarikan_Warkah[Jenis Permohonan]),"")</f>
        <v>Roya</v>
      </c>
      <c r="H139" s="22" t="s">
        <v>37</v>
      </c>
      <c r="I139" s="22" t="s">
        <v>32</v>
      </c>
      <c r="J139" s="20">
        <f t="shared" si="11"/>
        <v>45588.78825</v>
      </c>
      <c r="K139" s="22" t="s">
        <v>33</v>
      </c>
      <c r="L139" s="22" t="s">
        <v>32</v>
      </c>
      <c r="M139" s="20">
        <f t="shared" si="12"/>
        <v>45589.47153</v>
      </c>
      <c r="N139" s="8" t="str">
        <f t="shared" si="3"/>
        <v>SELESAI</v>
      </c>
      <c r="O139" s="23">
        <f t="shared" si="15"/>
        <v>45589.47153</v>
      </c>
      <c r="P139" s="24" t="b">
        <v>0</v>
      </c>
      <c r="Q139" s="20" t="str">
        <f t="shared" si="5"/>
        <v/>
      </c>
      <c r="R139" s="24" t="b">
        <v>1</v>
      </c>
      <c r="S139" s="20">
        <f t="shared" si="6"/>
        <v>45589.47159</v>
      </c>
      <c r="T139" s="7"/>
    </row>
    <row r="140" ht="22.5" hidden="1" customHeight="1">
      <c r="B140" s="7">
        <f t="shared" si="7"/>
        <v>134</v>
      </c>
      <c r="C140" s="18" t="s">
        <v>173</v>
      </c>
      <c r="D140" s="19" t="str">
        <f t="array" ref="D140">IFNA(_xlfn.XLOOKUP(C140,Table_Tarikan_Warkah[Nomor Sertipikat],Table_Tarikan_Warkah[Nomor Tiket]),"")</f>
        <v>K/40/221024/2</v>
      </c>
      <c r="E140" s="20">
        <f t="array" ref="E140">IFNA(_xlfn.XLOOKUP(C140,Table_Tarikan_Warkah[Nomor Sertipikat],Table_Tarikan_Warkah[Tanggal diserahkan kepada Validator]),"")</f>
        <v>45588.38385</v>
      </c>
      <c r="F140" s="20" t="str">
        <f t="array" ref="F140">IFNA(_xlfn.XLOOKUP(C140,Table_Tarikan_Warkah[Nomor Sertipikat],Table_Tarikan_Warkah[Nama Petugas Warkah]),"")</f>
        <v>David</v>
      </c>
      <c r="G140" s="21" t="str">
        <f t="array" ref="G140">IFNA(_xlfn.XLOOKUP(C140,Table_Tarikan_Warkah[Nomor Sertipikat],Table_Tarikan_Warkah[Jenis Permohonan]),"")</f>
        <v>BN Jual Beli</v>
      </c>
      <c r="H140" s="22" t="s">
        <v>37</v>
      </c>
      <c r="I140" s="22" t="s">
        <v>32</v>
      </c>
      <c r="J140" s="20">
        <f t="shared" si="11"/>
        <v>45588.78837</v>
      </c>
      <c r="K140" s="22" t="s">
        <v>65</v>
      </c>
      <c r="L140" s="22" t="s">
        <v>32</v>
      </c>
      <c r="M140" s="20">
        <f t="shared" si="12"/>
        <v>45589.47052</v>
      </c>
      <c r="N140" s="8" t="str">
        <f t="shared" si="3"/>
        <v>SELESAI</v>
      </c>
      <c r="O140" s="23">
        <f t="shared" si="15"/>
        <v>45589.47052</v>
      </c>
      <c r="P140" s="24" t="b">
        <v>0</v>
      </c>
      <c r="Q140" s="20" t="str">
        <f t="shared" si="5"/>
        <v/>
      </c>
      <c r="R140" s="24" t="b">
        <v>1</v>
      </c>
      <c r="S140" s="20">
        <f t="shared" si="6"/>
        <v>45589.47055</v>
      </c>
      <c r="T140" s="7"/>
    </row>
    <row r="141" ht="22.5" hidden="1" customHeight="1">
      <c r="B141" s="7">
        <f t="shared" si="7"/>
        <v>135</v>
      </c>
      <c r="C141" s="18" t="s">
        <v>174</v>
      </c>
      <c r="D141" s="19" t="str">
        <f t="array" ref="D141">IFNA(_xlfn.XLOOKUP(C141,Table_Tarikan_Warkah[Nomor Sertipikat],Table_Tarikan_Warkah[Nomor Tiket]),"")</f>
        <v>K/28/221024/1</v>
      </c>
      <c r="E141" s="20">
        <f t="array" ref="E141">IFNA(_xlfn.XLOOKUP(C141,Table_Tarikan_Warkah[Nomor Sertipikat],Table_Tarikan_Warkah[Tanggal diserahkan kepada Validator]),"")</f>
        <v>45588.38213</v>
      </c>
      <c r="F141" s="20" t="str">
        <f t="array" ref="F141">IFNA(_xlfn.XLOOKUP(C141,Table_Tarikan_Warkah[Nomor Sertipikat],Table_Tarikan_Warkah[Nama Petugas Warkah]),"")</f>
        <v>David</v>
      </c>
      <c r="G141" s="21" t="str">
        <f t="array" ref="G141">IFNA(_xlfn.XLOOKUP(C141,Table_Tarikan_Warkah[Nomor Sertipikat],Table_Tarikan_Warkah[Jenis Permohonan]),"")</f>
        <v>Bn Jual Beli</v>
      </c>
      <c r="H141" s="22" t="s">
        <v>37</v>
      </c>
      <c r="I141" s="22" t="s">
        <v>32</v>
      </c>
      <c r="J141" s="20">
        <f t="shared" si="11"/>
        <v>45588.7885</v>
      </c>
      <c r="K141" s="22" t="s">
        <v>33</v>
      </c>
      <c r="L141" s="22" t="s">
        <v>32</v>
      </c>
      <c r="M141" s="20">
        <f t="shared" si="12"/>
        <v>45589.47001</v>
      </c>
      <c r="N141" s="8" t="str">
        <f t="shared" si="3"/>
        <v>SELESAI</v>
      </c>
      <c r="O141" s="23">
        <f t="shared" si="15"/>
        <v>45589.47001</v>
      </c>
      <c r="P141" s="24" t="b">
        <v>0</v>
      </c>
      <c r="Q141" s="20" t="str">
        <f t="shared" si="5"/>
        <v/>
      </c>
      <c r="R141" s="24" t="b">
        <v>1</v>
      </c>
      <c r="S141" s="20">
        <f t="shared" si="6"/>
        <v>45589.47004</v>
      </c>
      <c r="T141" s="8" t="s">
        <v>175</v>
      </c>
    </row>
    <row r="142" ht="22.5" hidden="1" customHeight="1">
      <c r="B142" s="7">
        <f t="shared" si="7"/>
        <v>136</v>
      </c>
      <c r="C142" s="18" t="s">
        <v>176</v>
      </c>
      <c r="D142" s="19" t="str">
        <f t="array" ref="D142">IFNA(_xlfn.XLOOKUP(C142,Table_Tarikan_Warkah[Nomor Sertipikat],Table_Tarikan_Warkah[Nomor Tiket]),"")</f>
        <v>K/3/221024/1c</v>
      </c>
      <c r="E142" s="20">
        <f t="array" ref="E142">IFNA(_xlfn.XLOOKUP(C142,Table_Tarikan_Warkah[Nomor Sertipikat],Table_Tarikan_Warkah[Tanggal diserahkan kepada Validator]),"")</f>
        <v>45588.37738</v>
      </c>
      <c r="F142" s="20" t="str">
        <f t="array" ref="F142">IFNA(_xlfn.XLOOKUP(C142,Table_Tarikan_Warkah[Nomor Sertipikat],Table_Tarikan_Warkah[Nama Petugas Warkah]),"")</f>
        <v>Berry</v>
      </c>
      <c r="G142" s="21" t="str">
        <f t="array" ref="G142">IFNA(_xlfn.XLOOKUP(C142,Table_Tarikan_Warkah[Nomor Sertipikat],Table_Tarikan_Warkah[Jenis Permohonan]),"")</f>
        <v>ROYA</v>
      </c>
      <c r="H142" s="22" t="s">
        <v>37</v>
      </c>
      <c r="I142" s="22" t="s">
        <v>32</v>
      </c>
      <c r="J142" s="20">
        <f t="shared" si="11"/>
        <v>45588.78861</v>
      </c>
      <c r="K142" s="22" t="s">
        <v>33</v>
      </c>
      <c r="L142" s="22" t="s">
        <v>32</v>
      </c>
      <c r="M142" s="20">
        <f t="shared" si="12"/>
        <v>45589.47429</v>
      </c>
      <c r="N142" s="8" t="str">
        <f t="shared" si="3"/>
        <v>SELESAI</v>
      </c>
      <c r="O142" s="23">
        <f t="shared" si="15"/>
        <v>45589.47429</v>
      </c>
      <c r="P142" s="24" t="b">
        <v>0</v>
      </c>
      <c r="Q142" s="20" t="str">
        <f t="shared" si="5"/>
        <v/>
      </c>
      <c r="R142" s="24" t="b">
        <v>1</v>
      </c>
      <c r="S142" s="20">
        <f t="shared" si="6"/>
        <v>45589.47432</v>
      </c>
      <c r="T142" s="7"/>
    </row>
    <row r="143" ht="22.5" hidden="1" customHeight="1">
      <c r="B143" s="7">
        <f t="shared" si="7"/>
        <v>137</v>
      </c>
      <c r="C143" s="18" t="s">
        <v>177</v>
      </c>
      <c r="D143" s="19" t="str">
        <f t="array" ref="D143">IFNA(_xlfn.XLOOKUP(C143,Table_Tarikan_Warkah[Nomor Sertipikat],Table_Tarikan_Warkah[Nomor Tiket]),"")</f>
        <v>K/2/171024/1</v>
      </c>
      <c r="E143" s="20">
        <f t="array" ref="E143">IFNA(_xlfn.XLOOKUP(C143,Table_Tarikan_Warkah[Nomor Sertipikat],Table_Tarikan_Warkah[Tanggal diserahkan kepada Validator]),"")</f>
        <v>45588.37738</v>
      </c>
      <c r="F143" s="20" t="str">
        <f t="array" ref="F143">IFNA(_xlfn.XLOOKUP(C143,Table_Tarikan_Warkah[Nomor Sertipikat],Table_Tarikan_Warkah[Nama Petugas Warkah]),"")</f>
        <v>Berry</v>
      </c>
      <c r="G143" s="21" t="str">
        <f t="array" ref="G143">IFNA(_xlfn.XLOOKUP(C143,Table_Tarikan_Warkah[Nomor Sertipikat],Table_Tarikan_Warkah[Jenis Permohonan]),"")</f>
        <v>PEMECAHAN BIDANG</v>
      </c>
      <c r="H143" s="22" t="s">
        <v>37</v>
      </c>
      <c r="I143" s="22" t="s">
        <v>32</v>
      </c>
      <c r="J143" s="20">
        <f t="shared" si="11"/>
        <v>45588.78884</v>
      </c>
      <c r="K143" s="22" t="s">
        <v>65</v>
      </c>
      <c r="L143" s="22" t="s">
        <v>32</v>
      </c>
      <c r="M143" s="20">
        <f t="shared" si="12"/>
        <v>45589.47398</v>
      </c>
      <c r="N143" s="8" t="str">
        <f t="shared" si="3"/>
        <v>SELESAI</v>
      </c>
      <c r="O143" s="23">
        <f t="shared" si="15"/>
        <v>45589.47398</v>
      </c>
      <c r="P143" s="24" t="b">
        <v>0</v>
      </c>
      <c r="Q143" s="20" t="str">
        <f t="shared" si="5"/>
        <v/>
      </c>
      <c r="R143" s="24" t="b">
        <v>1</v>
      </c>
      <c r="S143" s="20">
        <f t="shared" si="6"/>
        <v>45589.47401</v>
      </c>
      <c r="T143" s="7"/>
    </row>
    <row r="144" ht="22.5" hidden="1" customHeight="1">
      <c r="B144" s="7">
        <f t="shared" si="7"/>
        <v>138</v>
      </c>
      <c r="C144" s="18" t="s">
        <v>178</v>
      </c>
      <c r="D144" s="19" t="str">
        <f t="array" ref="D144">IFNA(_xlfn.XLOOKUP(C144,Table_Tarikan_Warkah[Nomor Sertipikat],Table_Tarikan_Warkah[Nomor Tiket]),"")</f>
        <v>K/36/161024/1</v>
      </c>
      <c r="E144" s="20">
        <f t="array" ref="E144">IFNA(_xlfn.XLOOKUP(C144,Table_Tarikan_Warkah[Nomor Sertipikat],Table_Tarikan_Warkah[Tanggal diserahkan kepada Validator]),"")</f>
        <v>45588.37738</v>
      </c>
      <c r="F144" s="20" t="str">
        <f t="array" ref="F144">IFNA(_xlfn.XLOOKUP(C144,Table_Tarikan_Warkah[Nomor Sertipikat],Table_Tarikan_Warkah[Nama Petugas Warkah]),"")</f>
        <v>Berry</v>
      </c>
      <c r="G144" s="21" t="str">
        <f t="array" ref="G144">IFNA(_xlfn.XLOOKUP(C144,Table_Tarikan_Warkah[Nomor Sertipikat],Table_Tarikan_Warkah[Jenis Permohonan]),"")</f>
        <v>PEMECAHAN BIDANG</v>
      </c>
      <c r="H144" s="22" t="s">
        <v>37</v>
      </c>
      <c r="I144" s="22" t="s">
        <v>32</v>
      </c>
      <c r="J144" s="20">
        <f t="shared" si="11"/>
        <v>45588.789</v>
      </c>
      <c r="K144" s="22" t="s">
        <v>65</v>
      </c>
      <c r="L144" s="22" t="s">
        <v>32</v>
      </c>
      <c r="M144" s="20">
        <f t="shared" si="12"/>
        <v>45589.47664</v>
      </c>
      <c r="N144" s="8" t="str">
        <f t="shared" si="3"/>
        <v>SELESAI</v>
      </c>
      <c r="O144" s="23">
        <f t="shared" si="15"/>
        <v>45589.47664</v>
      </c>
      <c r="P144" s="24" t="b">
        <v>0</v>
      </c>
      <c r="Q144" s="20" t="str">
        <f t="shared" si="5"/>
        <v/>
      </c>
      <c r="R144" s="24" t="b">
        <v>1</v>
      </c>
      <c r="S144" s="20">
        <f t="shared" si="6"/>
        <v>45589.4767</v>
      </c>
      <c r="T144" s="7"/>
    </row>
    <row r="145" ht="22.5" hidden="1" customHeight="1">
      <c r="B145" s="7">
        <f t="shared" si="7"/>
        <v>139</v>
      </c>
      <c r="C145" s="18" t="s">
        <v>179</v>
      </c>
      <c r="D145" s="19" t="str">
        <f t="array" ref="D145">IFNA(_xlfn.XLOOKUP(C145,Table_Tarikan_Warkah[Nomor Sertipikat],Table_Tarikan_Warkah[Nomor Tiket]),"")</f>
        <v>K/25/231024/2</v>
      </c>
      <c r="E145" s="20">
        <f t="array" ref="E145">IFNA(_xlfn.XLOOKUP(C145,Table_Tarikan_Warkah[Nomor Sertipikat],Table_Tarikan_Warkah[Tanggal diserahkan kepada Validator]),"")</f>
        <v>45588.60237</v>
      </c>
      <c r="F145" s="20" t="str">
        <f t="array" ref="F145">IFNA(_xlfn.XLOOKUP(C145,Table_Tarikan_Warkah[Nomor Sertipikat],Table_Tarikan_Warkah[Nama Petugas Warkah]),"")</f>
        <v>Rahma</v>
      </c>
      <c r="G145" s="21" t="str">
        <f t="array" ref="G145">IFNA(_xlfn.XLOOKUP(C145,Table_Tarikan_Warkah[Nomor Sertipikat],Table_Tarikan_Warkah[Jenis Permohonan]),"")</f>
        <v>BN JUAL BELI</v>
      </c>
      <c r="H145" s="22" t="s">
        <v>37</v>
      </c>
      <c r="I145" s="22" t="s">
        <v>32</v>
      </c>
      <c r="J145" s="20">
        <f t="shared" si="11"/>
        <v>45588.78915</v>
      </c>
      <c r="K145" s="22" t="s">
        <v>65</v>
      </c>
      <c r="L145" s="22" t="s">
        <v>32</v>
      </c>
      <c r="M145" s="20">
        <f t="shared" si="12"/>
        <v>45589.46914</v>
      </c>
      <c r="N145" s="8" t="str">
        <f t="shared" si="3"/>
        <v>SELESAI</v>
      </c>
      <c r="O145" s="23">
        <f t="shared" si="15"/>
        <v>45589.46914</v>
      </c>
      <c r="P145" s="24" t="b">
        <v>0</v>
      </c>
      <c r="Q145" s="20" t="str">
        <f t="shared" si="5"/>
        <v/>
      </c>
      <c r="R145" s="24" t="b">
        <v>1</v>
      </c>
      <c r="S145" s="20">
        <f t="shared" si="6"/>
        <v>45589.46915</v>
      </c>
      <c r="T145" s="7"/>
    </row>
    <row r="146" ht="22.5" hidden="1" customHeight="1">
      <c r="B146" s="7">
        <f t="shared" si="7"/>
        <v>140</v>
      </c>
      <c r="C146" s="18" t="s">
        <v>180</v>
      </c>
      <c r="D146" s="19" t="str">
        <f t="array" ref="D146">IFNA(_xlfn.XLOOKUP(C146,Table_Tarikan_Warkah[Nomor Sertipikat],Table_Tarikan_Warkah[Nomor Tiket]),"")</f>
        <v>K/24/231024/1</v>
      </c>
      <c r="E146" s="20">
        <f t="array" ref="E146">IFNA(_xlfn.XLOOKUP(C146,Table_Tarikan_Warkah[Nomor Sertipikat],Table_Tarikan_Warkah[Tanggal diserahkan kepada Validator]),"")</f>
        <v>45588.60235</v>
      </c>
      <c r="F146" s="20" t="str">
        <f t="array" ref="F146">IFNA(_xlfn.XLOOKUP(C146,Table_Tarikan_Warkah[Nomor Sertipikat],Table_Tarikan_Warkah[Nama Petugas Warkah]),"")</f>
        <v>Rahma</v>
      </c>
      <c r="G146" s="21" t="str">
        <f t="array" ref="G146">IFNA(_xlfn.XLOOKUP(C146,Table_Tarikan_Warkah[Nomor Sertipikat],Table_Tarikan_Warkah[Jenis Permohonan]),"")</f>
        <v>BN JUAL BELI</v>
      </c>
      <c r="H146" s="22" t="s">
        <v>37</v>
      </c>
      <c r="I146" s="22" t="s">
        <v>32</v>
      </c>
      <c r="J146" s="20">
        <f t="shared" si="11"/>
        <v>45588.78929</v>
      </c>
      <c r="K146" s="22" t="s">
        <v>65</v>
      </c>
      <c r="L146" s="22" t="s">
        <v>32</v>
      </c>
      <c r="M146" s="20">
        <f t="shared" si="12"/>
        <v>45589.46869</v>
      </c>
      <c r="N146" s="8" t="str">
        <f t="shared" si="3"/>
        <v>SELESAI</v>
      </c>
      <c r="O146" s="23">
        <f t="shared" si="15"/>
        <v>45589.46869</v>
      </c>
      <c r="P146" s="24" t="b">
        <v>0</v>
      </c>
      <c r="Q146" s="20" t="str">
        <f t="shared" si="5"/>
        <v/>
      </c>
      <c r="R146" s="24" t="b">
        <v>1</v>
      </c>
      <c r="S146" s="20">
        <f t="shared" si="6"/>
        <v>45589.46877</v>
      </c>
      <c r="T146" s="7"/>
    </row>
    <row r="147" ht="22.5" hidden="1" customHeight="1">
      <c r="B147" s="7">
        <f t="shared" si="7"/>
        <v>141</v>
      </c>
      <c r="C147" s="18" t="s">
        <v>181</v>
      </c>
      <c r="D147" s="19" t="str">
        <f t="array" ref="D147">IFNA(_xlfn.XLOOKUP(C147,Table_Tarikan_Warkah[Nomor Sertipikat],Table_Tarikan_Warkah[Nomor Tiket]),"")</f>
        <v>K/15/231024/1</v>
      </c>
      <c r="E147" s="20">
        <f t="array" ref="E147">IFNA(_xlfn.XLOOKUP(C147,Table_Tarikan_Warkah[Nomor Sertipikat],Table_Tarikan_Warkah[Tanggal diserahkan kepada Validator]),"")</f>
        <v>45588.60808</v>
      </c>
      <c r="F147" s="20" t="str">
        <f t="array" ref="F147">IFNA(_xlfn.XLOOKUP(C147,Table_Tarikan_Warkah[Nomor Sertipikat],Table_Tarikan_Warkah[Nama Petugas Warkah]),"")</f>
        <v>Rahma</v>
      </c>
      <c r="G147" s="21" t="str">
        <f t="array" ref="G147">IFNA(_xlfn.XLOOKUP(C147,Table_Tarikan_Warkah[Nomor Sertipikat],Table_Tarikan_Warkah[Jenis Permohonan]),"")</f>
        <v>BN Jual Beli</v>
      </c>
      <c r="H147" s="22" t="s">
        <v>37</v>
      </c>
      <c r="I147" s="22" t="s">
        <v>32</v>
      </c>
      <c r="J147" s="20">
        <f t="shared" si="11"/>
        <v>45588.7894</v>
      </c>
      <c r="K147" s="22" t="s">
        <v>33</v>
      </c>
      <c r="L147" s="22" t="s">
        <v>32</v>
      </c>
      <c r="M147" s="20">
        <f t="shared" si="12"/>
        <v>45589.47326</v>
      </c>
      <c r="N147" s="8" t="str">
        <f t="shared" si="3"/>
        <v>SELESAI</v>
      </c>
      <c r="O147" s="23">
        <f t="shared" si="15"/>
        <v>45589.47326</v>
      </c>
      <c r="P147" s="24" t="b">
        <v>0</v>
      </c>
      <c r="Q147" s="20" t="str">
        <f t="shared" si="5"/>
        <v/>
      </c>
      <c r="R147" s="24" t="b">
        <v>1</v>
      </c>
      <c r="S147" s="20">
        <f t="shared" si="6"/>
        <v>45589.4733</v>
      </c>
      <c r="T147" s="7"/>
    </row>
    <row r="148" ht="22.5" hidden="1" customHeight="1">
      <c r="B148" s="7">
        <f t="shared" si="7"/>
        <v>142</v>
      </c>
      <c r="C148" s="18" t="s">
        <v>182</v>
      </c>
      <c r="D148" s="19" t="str">
        <f t="array" ref="D148">IFNA(_xlfn.XLOOKUP(C148,Table_Tarikan_Warkah[Nomor Sertipikat],Table_Tarikan_Warkah[Nomor Tiket]),"")</f>
        <v>K/12/231024/1</v>
      </c>
      <c r="E148" s="20">
        <f t="array" ref="E148">IFNA(_xlfn.XLOOKUP(C148,Table_Tarikan_Warkah[Nomor Sertipikat],Table_Tarikan_Warkah[Tanggal diserahkan kepada Validator]),"")</f>
        <v>45588.60104</v>
      </c>
      <c r="F148" s="20" t="str">
        <f t="array" ref="F148">IFNA(_xlfn.XLOOKUP(C148,Table_Tarikan_Warkah[Nomor Sertipikat],Table_Tarikan_Warkah[Nama Petugas Warkah]),"")</f>
        <v>Rahma</v>
      </c>
      <c r="G148" s="21" t="str">
        <f t="array" ref="G148">IFNA(_xlfn.XLOOKUP(C148,Table_Tarikan_Warkah[Nomor Sertipikat],Table_Tarikan_Warkah[Jenis Permohonan]),"")</f>
        <v>BN Jual Beli</v>
      </c>
      <c r="H148" s="22" t="s">
        <v>37</v>
      </c>
      <c r="I148" s="22" t="s">
        <v>32</v>
      </c>
      <c r="J148" s="20">
        <f t="shared" si="11"/>
        <v>45588.78954</v>
      </c>
      <c r="K148" s="22" t="s">
        <v>65</v>
      </c>
      <c r="L148" s="22" t="s">
        <v>32</v>
      </c>
      <c r="M148" s="20">
        <f t="shared" si="12"/>
        <v>45589.47292</v>
      </c>
      <c r="N148" s="8" t="str">
        <f t="shared" si="3"/>
        <v>SELESAI</v>
      </c>
      <c r="O148" s="23">
        <f t="shared" si="15"/>
        <v>45589.47292</v>
      </c>
      <c r="P148" s="24" t="b">
        <v>0</v>
      </c>
      <c r="Q148" s="20" t="str">
        <f t="shared" si="5"/>
        <v/>
      </c>
      <c r="R148" s="24" t="b">
        <v>1</v>
      </c>
      <c r="S148" s="20">
        <f t="shared" si="6"/>
        <v>45589.47295</v>
      </c>
      <c r="T148" s="7"/>
    </row>
    <row r="149" ht="22.5" hidden="1" customHeight="1">
      <c r="B149" s="7">
        <f t="shared" si="7"/>
        <v>143</v>
      </c>
      <c r="C149" s="18" t="s">
        <v>183</v>
      </c>
      <c r="D149" s="19" t="str">
        <f t="array" ref="D149">IFNA(_xlfn.XLOOKUP(C149,Table_Tarikan_Warkah[Nomor Sertipikat],Table_Tarikan_Warkah[Nomor Tiket]),"")</f>
        <v>L/7/231024/1</v>
      </c>
      <c r="E149" s="20">
        <f t="array" ref="E149">IFNA(_xlfn.XLOOKUP(C149,Table_Tarikan_Warkah[Nomor Sertipikat],Table_Tarikan_Warkah[Tanggal diserahkan kepada Validator]),"")</f>
        <v>45588.60028</v>
      </c>
      <c r="F149" s="20" t="str">
        <f t="array" ref="F149">IFNA(_xlfn.XLOOKUP(C149,Table_Tarikan_Warkah[Nomor Sertipikat],Table_Tarikan_Warkah[Nama Petugas Warkah]),"")</f>
        <v>Rahma</v>
      </c>
      <c r="G149" s="21" t="str">
        <f t="array" ref="G149">IFNA(_xlfn.XLOOKUP(C149,Table_Tarikan_Warkah[Nomor Sertipikat],Table_Tarikan_Warkah[Jenis Permohonan]),"")</f>
        <v>ROYA WARIS</v>
      </c>
      <c r="H149" s="22" t="s">
        <v>37</v>
      </c>
      <c r="I149" s="22" t="s">
        <v>32</v>
      </c>
      <c r="J149" s="20">
        <f t="shared" si="11"/>
        <v>45588.78969</v>
      </c>
      <c r="K149" s="22" t="s">
        <v>65</v>
      </c>
      <c r="L149" s="22" t="s">
        <v>32</v>
      </c>
      <c r="M149" s="20">
        <f t="shared" si="12"/>
        <v>45589.47261</v>
      </c>
      <c r="N149" s="8" t="str">
        <f t="shared" si="3"/>
        <v>SELESAI</v>
      </c>
      <c r="O149" s="23">
        <f t="shared" si="15"/>
        <v>45589.47261</v>
      </c>
      <c r="P149" s="24" t="b">
        <v>0</v>
      </c>
      <c r="Q149" s="20" t="str">
        <f t="shared" si="5"/>
        <v/>
      </c>
      <c r="R149" s="24" t="b">
        <v>1</v>
      </c>
      <c r="S149" s="20">
        <f t="shared" si="6"/>
        <v>45589.47265</v>
      </c>
      <c r="T149" s="8"/>
    </row>
    <row r="150" ht="22.5" hidden="1" customHeight="1">
      <c r="B150" s="7">
        <f t="shared" si="7"/>
        <v>144</v>
      </c>
      <c r="C150" s="18" t="s">
        <v>184</v>
      </c>
      <c r="D150" s="19" t="str">
        <f t="array" ref="D150">IFNA(_xlfn.XLOOKUP(C150,Table_Tarikan_Warkah[Nomor Sertipikat],Table_Tarikan_Warkah[Nomor Tiket]),"")</f>
        <v>K/5/231024/1</v>
      </c>
      <c r="E150" s="20">
        <f t="array" ref="E150">IFNA(_xlfn.XLOOKUP(C150,Table_Tarikan_Warkah[Nomor Sertipikat],Table_Tarikan_Warkah[Tanggal diserahkan kepada Validator]),"")</f>
        <v>45588.59419</v>
      </c>
      <c r="F150" s="20" t="str">
        <f t="array" ref="F150">IFNA(_xlfn.XLOOKUP(C150,Table_Tarikan_Warkah[Nomor Sertipikat],Table_Tarikan_Warkah[Nama Petugas Warkah]),"")</f>
        <v>Rahma</v>
      </c>
      <c r="G150" s="21" t="str">
        <f t="array" ref="G150">IFNA(_xlfn.XLOOKUP(C150,Table_Tarikan_Warkah[Nomor Sertipikat],Table_Tarikan_Warkah[Jenis Permohonan]),"")</f>
        <v>Roya</v>
      </c>
      <c r="H150" s="22" t="s">
        <v>37</v>
      </c>
      <c r="I150" s="22" t="s">
        <v>32</v>
      </c>
      <c r="J150" s="20">
        <f t="shared" si="11"/>
        <v>45588.78994</v>
      </c>
      <c r="K150" s="22" t="s">
        <v>33</v>
      </c>
      <c r="L150" s="22" t="s">
        <v>32</v>
      </c>
      <c r="M150" s="20">
        <f t="shared" si="12"/>
        <v>45589.47206</v>
      </c>
      <c r="N150" s="8" t="str">
        <f t="shared" si="3"/>
        <v>SELESAI</v>
      </c>
      <c r="O150" s="23">
        <f t="shared" si="15"/>
        <v>45589.47206</v>
      </c>
      <c r="P150" s="24" t="b">
        <v>0</v>
      </c>
      <c r="Q150" s="20" t="str">
        <f t="shared" si="5"/>
        <v/>
      </c>
      <c r="R150" s="24" t="b">
        <v>1</v>
      </c>
      <c r="S150" s="20">
        <f t="shared" si="6"/>
        <v>45589.4721</v>
      </c>
      <c r="T150" s="8" t="s">
        <v>175</v>
      </c>
    </row>
    <row r="151" ht="22.5" hidden="1" customHeight="1">
      <c r="B151" s="7">
        <f t="shared" si="7"/>
        <v>145</v>
      </c>
      <c r="C151" s="18" t="s">
        <v>185</v>
      </c>
      <c r="D151" s="19" t="str">
        <f t="array" ref="D151">IFNA(_xlfn.XLOOKUP(C151,Table_Tarikan_Warkah[Nomor Sertipikat],Table_Tarikan_Warkah[Nomor Tiket]),"")</f>
        <v>K/56/221024/2</v>
      </c>
      <c r="E151" s="20">
        <f t="array" ref="E151">IFNA(_xlfn.XLOOKUP(C151,Table_Tarikan_Warkah[Nomor Sertipikat],Table_Tarikan_Warkah[Tanggal diserahkan kepada Validator]),"")</f>
        <v>45588.46426</v>
      </c>
      <c r="F151" s="20" t="str">
        <f t="array" ref="F151">IFNA(_xlfn.XLOOKUP(C151,Table_Tarikan_Warkah[Nomor Sertipikat],Table_Tarikan_Warkah[Nama Petugas Warkah]),"")</f>
        <v>Rahma</v>
      </c>
      <c r="G151" s="21" t="str">
        <f t="array" ref="G151">IFNA(_xlfn.XLOOKUP(C151,Table_Tarikan_Warkah[Nomor Sertipikat],Table_Tarikan_Warkah[Jenis Permohonan]),"")</f>
        <v>PEMISAHAN</v>
      </c>
      <c r="H151" s="22" t="s">
        <v>37</v>
      </c>
      <c r="I151" s="22" t="s">
        <v>32</v>
      </c>
      <c r="J151" s="20">
        <f t="shared" si="11"/>
        <v>45589.40012</v>
      </c>
      <c r="K151" s="22" t="s">
        <v>33</v>
      </c>
      <c r="L151" s="22" t="s">
        <v>32</v>
      </c>
      <c r="M151" s="20">
        <f t="shared" si="12"/>
        <v>45594.40223</v>
      </c>
      <c r="N151" s="8" t="str">
        <f t="shared" si="3"/>
        <v>SELESAI</v>
      </c>
      <c r="O151" s="23">
        <f t="shared" ref="O151:O176" si="16">IF(N151="Selesai",IF(M151&lt;&gt;"",M151,NOW()),"")</f>
        <v>45594.40223</v>
      </c>
      <c r="P151" s="24" t="b">
        <v>0</v>
      </c>
      <c r="Q151" s="20" t="str">
        <f t="shared" si="5"/>
        <v/>
      </c>
      <c r="R151" s="24" t="b">
        <v>1</v>
      </c>
      <c r="S151" s="20">
        <f t="shared" si="6"/>
        <v>45594.40227</v>
      </c>
      <c r="T151" s="7"/>
    </row>
    <row r="152" ht="22.5" hidden="1" customHeight="1">
      <c r="B152" s="7">
        <f t="shared" si="7"/>
        <v>146</v>
      </c>
      <c r="C152" s="18" t="s">
        <v>186</v>
      </c>
      <c r="D152" s="19" t="str">
        <f t="array" ref="D152">IFNA(_xlfn.XLOOKUP(C152,Table_Tarikan_Warkah[Nomor Sertipikat],Table_Tarikan_Warkah[Nomor Tiket]),"")</f>
        <v>K/28/171024/2</v>
      </c>
      <c r="E152" s="20">
        <f t="array" ref="E152">IFNA(_xlfn.XLOOKUP(C152,Table_Tarikan_Warkah[Nomor Sertipikat],Table_Tarikan_Warkah[Tanggal diserahkan kepada Validator]),"")</f>
        <v>45593.67773</v>
      </c>
      <c r="F152" s="20" t="str">
        <f t="array" ref="F152">IFNA(_xlfn.XLOOKUP(C152,Table_Tarikan_Warkah[Nomor Sertipikat],Table_Tarikan_Warkah[Nama Petugas Warkah]),"")</f>
        <v>Sahelia</v>
      </c>
      <c r="G152" s="21" t="str">
        <f t="array" ref="G152">IFNA(_xlfn.XLOOKUP(C152,Table_Tarikan_Warkah[Nomor Sertipikat],Table_Tarikan_Warkah[Jenis Permohonan]),"")</f>
        <v>BN Jual Beli</v>
      </c>
      <c r="H152" s="22" t="s">
        <v>37</v>
      </c>
      <c r="I152" s="22" t="s">
        <v>187</v>
      </c>
      <c r="J152" s="20">
        <f t="shared" ref="J152:J156" si="17">IF(OR(I152="Selesai",I152="SELESAI (VIA PERMOHONAN)"),IF(J152&lt;&gt;"",J152,NOW()),"")</f>
        <v>45591.36952</v>
      </c>
      <c r="K152" s="22" t="s">
        <v>33</v>
      </c>
      <c r="L152" s="22" t="s">
        <v>187</v>
      </c>
      <c r="M152" s="20">
        <f t="shared" ref="M152:M156" si="18">IF(OR(L152="Selesai",L152="SELESAI (VIA PERMOHONAN)"),IF(M152&lt;&gt;"",M152,NOW()),"")</f>
        <v>45591.36965</v>
      </c>
      <c r="N152" s="8" t="str">
        <f t="shared" si="3"/>
        <v>Selesai</v>
      </c>
      <c r="O152" s="23">
        <f t="shared" si="16"/>
        <v>45591.36965</v>
      </c>
      <c r="P152" s="24" t="b">
        <v>0</v>
      </c>
      <c r="Q152" s="20" t="str">
        <f t="shared" si="5"/>
        <v/>
      </c>
      <c r="R152" s="24" t="b">
        <v>1</v>
      </c>
      <c r="S152" s="20">
        <f t="shared" si="6"/>
        <v>45590.6017</v>
      </c>
      <c r="T152" s="7"/>
    </row>
    <row r="153" ht="22.5" hidden="1" customHeight="1">
      <c r="B153" s="7">
        <f t="shared" si="7"/>
        <v>147</v>
      </c>
      <c r="C153" s="18" t="s">
        <v>188</v>
      </c>
      <c r="D153" s="19" t="str">
        <f t="array" ref="D153">IFNA(_xlfn.XLOOKUP(C153,Table_Tarikan_Warkah[Nomor Sertipikat],Table_Tarikan_Warkah[Nomor Tiket]),"")</f>
        <v>K/3/161024/2</v>
      </c>
      <c r="E153" s="20" t="str">
        <f t="array" ref="E153">IFNA(_xlfn.XLOOKUP(C153,Table_Tarikan_Warkah[Nomor Sertipikat],Table_Tarikan_Warkah[Tanggal diserahkan kepada Validator]),"")</f>
        <v/>
      </c>
      <c r="F153" s="20" t="str">
        <f t="array" ref="F153">IFNA(_xlfn.XLOOKUP(C153,Table_Tarikan_Warkah[Nomor Sertipikat],Table_Tarikan_Warkah[Nama Petugas Warkah]),"")</f>
        <v/>
      </c>
      <c r="G153" s="21" t="str">
        <f t="array" ref="G153">IFNA(_xlfn.XLOOKUP(C153,Table_Tarikan_Warkah[Nomor Sertipikat],Table_Tarikan_Warkah[Jenis Permohonan]),"")</f>
        <v>BN Jual Beli</v>
      </c>
      <c r="H153" s="22" t="s">
        <v>37</v>
      </c>
      <c r="I153" s="22" t="s">
        <v>187</v>
      </c>
      <c r="J153" s="20">
        <f t="shared" si="17"/>
        <v>45591.36955</v>
      </c>
      <c r="K153" s="22" t="s">
        <v>33</v>
      </c>
      <c r="L153" s="22" t="s">
        <v>187</v>
      </c>
      <c r="M153" s="20">
        <f t="shared" si="18"/>
        <v>45591.36965</v>
      </c>
      <c r="N153" s="8" t="str">
        <f t="shared" si="3"/>
        <v>Selesai</v>
      </c>
      <c r="O153" s="23">
        <f t="shared" si="16"/>
        <v>45591.36965</v>
      </c>
      <c r="P153" s="24" t="b">
        <v>0</v>
      </c>
      <c r="Q153" s="20" t="str">
        <f t="shared" si="5"/>
        <v/>
      </c>
      <c r="R153" s="24" t="b">
        <v>1</v>
      </c>
      <c r="S153" s="20">
        <f t="shared" si="6"/>
        <v>45590.60064</v>
      </c>
      <c r="T153" s="7"/>
    </row>
    <row r="154" ht="22.5" hidden="1" customHeight="1">
      <c r="B154" s="7">
        <f t="shared" si="7"/>
        <v>148</v>
      </c>
      <c r="C154" s="18" t="s">
        <v>189</v>
      </c>
      <c r="D154" s="19" t="str">
        <f t="array" ref="D154">IFNA(_xlfn.XLOOKUP(C154,Table_Tarikan_Warkah[Nomor Sertipikat],Table_Tarikan_Warkah[Nomor Tiket]),"")</f>
        <v>K/37/171024/1</v>
      </c>
      <c r="E154" s="20" t="str">
        <f t="array" ref="E154">IFNA(_xlfn.XLOOKUP(C154,Table_Tarikan_Warkah[Nomor Sertipikat],Table_Tarikan_Warkah[Tanggal diserahkan kepada Validator]),"")</f>
        <v/>
      </c>
      <c r="F154" s="20" t="str">
        <f t="array" ref="F154">IFNA(_xlfn.XLOOKUP(C154,Table_Tarikan_Warkah[Nomor Sertipikat],Table_Tarikan_Warkah[Nama Petugas Warkah]),"")</f>
        <v/>
      </c>
      <c r="G154" s="21" t="str">
        <f t="array" ref="G154">IFNA(_xlfn.XLOOKUP(C154,Table_Tarikan_Warkah[Nomor Sertipikat],Table_Tarikan_Warkah[Jenis Permohonan]),"")</f>
        <v>BN Jual Beli</v>
      </c>
      <c r="H154" s="22" t="s">
        <v>37</v>
      </c>
      <c r="I154" s="22" t="s">
        <v>187</v>
      </c>
      <c r="J154" s="20">
        <f t="shared" si="17"/>
        <v>45591.36955</v>
      </c>
      <c r="K154" s="22" t="s">
        <v>33</v>
      </c>
      <c r="L154" s="22" t="s">
        <v>187</v>
      </c>
      <c r="M154" s="20">
        <f t="shared" si="18"/>
        <v>45591.36965</v>
      </c>
      <c r="N154" s="8" t="str">
        <f t="shared" si="3"/>
        <v>Selesai</v>
      </c>
      <c r="O154" s="23">
        <f t="shared" si="16"/>
        <v>45591.36965</v>
      </c>
      <c r="P154" s="24" t="b">
        <v>0</v>
      </c>
      <c r="Q154" s="20" t="str">
        <f t="shared" si="5"/>
        <v/>
      </c>
      <c r="R154" s="24" t="b">
        <v>1</v>
      </c>
      <c r="S154" s="20">
        <f t="shared" si="6"/>
        <v>45590.60111</v>
      </c>
      <c r="T154" s="7"/>
    </row>
    <row r="155" ht="22.5" hidden="1" customHeight="1">
      <c r="B155" s="7">
        <f t="shared" si="7"/>
        <v>149</v>
      </c>
      <c r="C155" s="18" t="s">
        <v>190</v>
      </c>
      <c r="D155" s="19" t="str">
        <f t="array" ref="D155">IFNA(_xlfn.XLOOKUP(C155,Table_Tarikan_Warkah[Nomor Sertipikat],Table_Tarikan_Warkah[Nomor Tiket]),"")</f>
        <v>K/27/171024/1</v>
      </c>
      <c r="E155" s="20">
        <f t="array" ref="E155">IFNA(_xlfn.XLOOKUP(C155,Table_Tarikan_Warkah[Nomor Sertipikat],Table_Tarikan_Warkah[Tanggal diserahkan kepada Validator]),"")</f>
        <v>45593.67766</v>
      </c>
      <c r="F155" s="20" t="str">
        <f t="array" ref="F155">IFNA(_xlfn.XLOOKUP(C155,Table_Tarikan_Warkah[Nomor Sertipikat],Table_Tarikan_Warkah[Nama Petugas Warkah]),"")</f>
        <v>Sahelia</v>
      </c>
      <c r="G155" s="21" t="str">
        <f t="array" ref="G155">IFNA(_xlfn.XLOOKUP(C155,Table_Tarikan_Warkah[Nomor Sertipikat],Table_Tarikan_Warkah[Jenis Permohonan]),"")</f>
        <v>BN Jual Beli</v>
      </c>
      <c r="H155" s="22" t="s">
        <v>37</v>
      </c>
      <c r="I155" s="22" t="s">
        <v>187</v>
      </c>
      <c r="J155" s="20">
        <f t="shared" si="17"/>
        <v>45591.36955</v>
      </c>
      <c r="K155" s="22" t="s">
        <v>33</v>
      </c>
      <c r="L155" s="22" t="s">
        <v>187</v>
      </c>
      <c r="M155" s="20">
        <f t="shared" si="18"/>
        <v>45591.36965</v>
      </c>
      <c r="N155" s="8" t="str">
        <f t="shared" si="3"/>
        <v>Selesai</v>
      </c>
      <c r="O155" s="23">
        <f t="shared" si="16"/>
        <v>45591.36965</v>
      </c>
      <c r="P155" s="24" t="b">
        <v>0</v>
      </c>
      <c r="Q155" s="20" t="str">
        <f t="shared" si="5"/>
        <v/>
      </c>
      <c r="R155" s="24" t="b">
        <v>1</v>
      </c>
      <c r="S155" s="20">
        <f t="shared" si="6"/>
        <v>45590.60095</v>
      </c>
      <c r="T155" s="7"/>
    </row>
    <row r="156" ht="22.5" hidden="1" customHeight="1">
      <c r="B156" s="7">
        <f t="shared" si="7"/>
        <v>150</v>
      </c>
      <c r="C156" s="18" t="s">
        <v>191</v>
      </c>
      <c r="D156" s="19" t="str">
        <f t="array" ref="D156">IFNA(_xlfn.XLOOKUP(C156,Table_Tarikan_Warkah[Nomor Sertipikat],Table_Tarikan_Warkah[Nomor Tiket]),"")</f>
        <v>K/5/181024/1</v>
      </c>
      <c r="E156" s="20">
        <f t="array" ref="E156">IFNA(_xlfn.XLOOKUP(C156,Table_Tarikan_Warkah[Nomor Sertipikat],Table_Tarikan_Warkah[Tanggal diserahkan kepada Validator]),"")</f>
        <v>45593.67787</v>
      </c>
      <c r="F156" s="20" t="str">
        <f t="array" ref="F156">IFNA(_xlfn.XLOOKUP(C156,Table_Tarikan_Warkah[Nomor Sertipikat],Table_Tarikan_Warkah[Nama Petugas Warkah]),"")</f>
        <v>Sahelia</v>
      </c>
      <c r="G156" s="21" t="str">
        <f t="array" ref="G156">IFNA(_xlfn.XLOOKUP(C156,Table_Tarikan_Warkah[Nomor Sertipikat],Table_Tarikan_Warkah[Jenis Permohonan]),"")</f>
        <v>BN Jual Beli</v>
      </c>
      <c r="H156" s="22" t="s">
        <v>37</v>
      </c>
      <c r="I156" s="22" t="s">
        <v>187</v>
      </c>
      <c r="J156" s="20">
        <f t="shared" si="17"/>
        <v>45591.36955</v>
      </c>
      <c r="K156" s="22" t="s">
        <v>33</v>
      </c>
      <c r="L156" s="22" t="s">
        <v>187</v>
      </c>
      <c r="M156" s="20">
        <f t="shared" si="18"/>
        <v>45591.36965</v>
      </c>
      <c r="N156" s="8" t="str">
        <f t="shared" si="3"/>
        <v>Selesai</v>
      </c>
      <c r="O156" s="23">
        <f t="shared" si="16"/>
        <v>45591.36965</v>
      </c>
      <c r="P156" s="24" t="b">
        <v>0</v>
      </c>
      <c r="Q156" s="20" t="str">
        <f t="shared" si="5"/>
        <v/>
      </c>
      <c r="R156" s="24" t="b">
        <v>1</v>
      </c>
      <c r="S156" s="20">
        <f t="shared" si="6"/>
        <v>45590.60216</v>
      </c>
      <c r="T156" s="7"/>
    </row>
    <row r="157" ht="22.5" hidden="1" customHeight="1">
      <c r="B157" s="7">
        <f t="shared" si="7"/>
        <v>151</v>
      </c>
      <c r="C157" s="18" t="s">
        <v>192</v>
      </c>
      <c r="D157" s="19" t="str">
        <f t="array" ref="D157">IFNA(_xlfn.XLOOKUP(C157,Table_Tarikan_Warkah[Nomor Sertipikat],Table_Tarikan_Warkah[Nomor Tiket]),"")</f>
        <v>K/3/231024/1</v>
      </c>
      <c r="E157" s="20">
        <f t="array" ref="E157">IFNA(_xlfn.XLOOKUP(C157,Table_Tarikan_Warkah[Nomor Sertipikat],Table_Tarikan_Warkah[Tanggal diserahkan kepada Validator]),"")</f>
        <v>45588.59366</v>
      </c>
      <c r="F157" s="20" t="str">
        <f t="array" ref="F157">IFNA(_xlfn.XLOOKUP(C157,Table_Tarikan_Warkah[Nomor Sertipikat],Table_Tarikan_Warkah[Nama Petugas Warkah]),"")</f>
        <v>Rahma</v>
      </c>
      <c r="G157" s="21" t="str">
        <f t="array" ref="G157">IFNA(_xlfn.XLOOKUP(C157,Table_Tarikan_Warkah[Nomor Sertipikat],Table_Tarikan_Warkah[Jenis Permohonan]),"")</f>
        <v>BN Hibah</v>
      </c>
      <c r="H157" s="22" t="s">
        <v>37</v>
      </c>
      <c r="I157" s="22" t="s">
        <v>32</v>
      </c>
      <c r="J157" s="20">
        <f t="shared" ref="J157:J198" si="19">IF(I157="Selesai",IF(J157&lt;&gt;"",J157,NOW()),"")</f>
        <v>45589.45624</v>
      </c>
      <c r="K157" s="22" t="s">
        <v>65</v>
      </c>
      <c r="L157" s="22" t="s">
        <v>32</v>
      </c>
      <c r="M157" s="20">
        <f t="shared" ref="M157:M198" si="20">IF(L157="Selesai",IF(M157&lt;&gt;"",M157,NOW()),"")</f>
        <v>45594.38959</v>
      </c>
      <c r="N157" s="8" t="str">
        <f t="shared" si="3"/>
        <v>SELESAI</v>
      </c>
      <c r="O157" s="23">
        <f t="shared" si="16"/>
        <v>45594.38959</v>
      </c>
      <c r="P157" s="24" t="b">
        <v>0</v>
      </c>
      <c r="Q157" s="20" t="str">
        <f t="shared" si="5"/>
        <v/>
      </c>
      <c r="R157" s="24" t="b">
        <v>1</v>
      </c>
      <c r="S157" s="20">
        <f t="shared" si="6"/>
        <v>45594.38964</v>
      </c>
      <c r="T157" s="7"/>
    </row>
    <row r="158" ht="22.5" hidden="1" customHeight="1">
      <c r="B158" s="7">
        <f t="shared" si="7"/>
        <v>152</v>
      </c>
      <c r="C158" s="18" t="s">
        <v>193</v>
      </c>
      <c r="D158" s="19" t="str">
        <f t="array" ref="D158">IFNA(_xlfn.XLOOKUP(C158,Table_Tarikan_Warkah[Nomor Sertipikat],Table_Tarikan_Warkah[Nomor Tiket]),"")</f>
        <v>K/9/231024/2</v>
      </c>
      <c r="E158" s="20">
        <f t="array" ref="E158">IFNA(_xlfn.XLOOKUP(C158,Table_Tarikan_Warkah[Nomor Sertipikat],Table_Tarikan_Warkah[Tanggal diserahkan kepada Validator]),"")</f>
        <v>45588.60786</v>
      </c>
      <c r="F158" s="20" t="str">
        <f t="array" ref="F158">IFNA(_xlfn.XLOOKUP(C158,Table_Tarikan_Warkah[Nomor Sertipikat],Table_Tarikan_Warkah[Nama Petugas Warkah]),"")</f>
        <v>Rahma</v>
      </c>
      <c r="G158" s="21" t="str">
        <f t="array" ref="G158">IFNA(_xlfn.XLOOKUP(C158,Table_Tarikan_Warkah[Nomor Sertipikat],Table_Tarikan_Warkah[Jenis Permohonan]),"")</f>
        <v>BN Jual Beli</v>
      </c>
      <c r="H158" s="22" t="s">
        <v>37</v>
      </c>
      <c r="I158" s="22" t="s">
        <v>32</v>
      </c>
      <c r="J158" s="20">
        <f t="shared" si="19"/>
        <v>45589.45969</v>
      </c>
      <c r="K158" s="22" t="s">
        <v>33</v>
      </c>
      <c r="L158" s="22" t="s">
        <v>32</v>
      </c>
      <c r="M158" s="20">
        <f t="shared" si="20"/>
        <v>45595.42208</v>
      </c>
      <c r="N158" s="8" t="str">
        <f t="shared" si="3"/>
        <v>SELESAI</v>
      </c>
      <c r="O158" s="23">
        <f t="shared" si="16"/>
        <v>45595.42208</v>
      </c>
      <c r="P158" s="24" t="b">
        <v>1</v>
      </c>
      <c r="Q158" s="20">
        <f t="shared" si="5"/>
        <v>45595.42202</v>
      </c>
      <c r="R158" s="24" t="b">
        <v>1</v>
      </c>
      <c r="S158" s="20">
        <f t="shared" si="6"/>
        <v>45594.40069</v>
      </c>
      <c r="T158" s="7"/>
    </row>
    <row r="159" ht="22.5" hidden="1" customHeight="1">
      <c r="B159" s="7">
        <f t="shared" si="7"/>
        <v>153</v>
      </c>
      <c r="C159" s="18" t="s">
        <v>194</v>
      </c>
      <c r="D159" s="19" t="str">
        <f t="array" ref="D159">IFNA(_xlfn.XLOOKUP(C159,Table_Tarikan_Warkah[Nomor Sertipikat],Table_Tarikan_Warkah[Nomor Tiket]),"")</f>
        <v>K/11/231024/4</v>
      </c>
      <c r="E159" s="20">
        <f t="array" ref="E159">IFNA(_xlfn.XLOOKUP(C159,Table_Tarikan_Warkah[Nomor Sertipikat],Table_Tarikan_Warkah[Tanggal diserahkan kepada Validator]),"")</f>
        <v>45588.60119</v>
      </c>
      <c r="F159" s="20" t="str">
        <f t="array" ref="F159">IFNA(_xlfn.XLOOKUP(C159,Table_Tarikan_Warkah[Nomor Sertipikat],Table_Tarikan_Warkah[Nama Petugas Warkah]),"")</f>
        <v>Rahma</v>
      </c>
      <c r="G159" s="21" t="str">
        <f t="array" ref="G159">IFNA(_xlfn.XLOOKUP(C159,Table_Tarikan_Warkah[Nomor Sertipikat],Table_Tarikan_Warkah[Jenis Permohonan]),"")</f>
        <v>BN Jual beli</v>
      </c>
      <c r="H159" s="22" t="s">
        <v>37</v>
      </c>
      <c r="I159" s="22" t="s">
        <v>32</v>
      </c>
      <c r="J159" s="20">
        <f t="shared" si="19"/>
        <v>45589.46176</v>
      </c>
      <c r="K159" s="22" t="s">
        <v>65</v>
      </c>
      <c r="L159" s="22" t="s">
        <v>32</v>
      </c>
      <c r="M159" s="20">
        <f t="shared" si="20"/>
        <v>45594.3901</v>
      </c>
      <c r="N159" s="8" t="str">
        <f t="shared" si="3"/>
        <v>SELESAI</v>
      </c>
      <c r="O159" s="23">
        <f t="shared" si="16"/>
        <v>45594.3901</v>
      </c>
      <c r="P159" s="24" t="b">
        <v>0</v>
      </c>
      <c r="Q159" s="20" t="str">
        <f t="shared" si="5"/>
        <v/>
      </c>
      <c r="R159" s="24" t="b">
        <v>1</v>
      </c>
      <c r="S159" s="20">
        <f t="shared" si="6"/>
        <v>45594.39015</v>
      </c>
      <c r="T159" s="7"/>
    </row>
    <row r="160" ht="22.5" hidden="1" customHeight="1">
      <c r="B160" s="7">
        <f t="shared" si="7"/>
        <v>154</v>
      </c>
      <c r="C160" s="18" t="s">
        <v>195</v>
      </c>
      <c r="D160" s="19" t="str">
        <f t="array" ref="D160">IFNA(_xlfn.XLOOKUP(C160,Table_Tarikan_Warkah[Nomor Sertipikat],Table_Tarikan_Warkah[Nomor Tiket]),"")</f>
        <v>L/17/231024/2</v>
      </c>
      <c r="E160" s="20">
        <f t="array" ref="E160">IFNA(_xlfn.XLOOKUP(C160,Table_Tarikan_Warkah[Nomor Sertipikat],Table_Tarikan_Warkah[Tanggal diserahkan kepada Validator]),"")</f>
        <v>45588.6017</v>
      </c>
      <c r="F160" s="20" t="str">
        <f t="array" ref="F160">IFNA(_xlfn.XLOOKUP(C160,Table_Tarikan_Warkah[Nomor Sertipikat],Table_Tarikan_Warkah[Nama Petugas Warkah]),"")</f>
        <v>Rahma</v>
      </c>
      <c r="G160" s="21" t="str">
        <f t="array" ref="G160">IFNA(_xlfn.XLOOKUP(C160,Table_Tarikan_Warkah[Nomor Sertipikat],Table_Tarikan_Warkah[Jenis Permohonan]),"")</f>
        <v>SERTIPIKAT HILANG</v>
      </c>
      <c r="H160" s="22" t="s">
        <v>37</v>
      </c>
      <c r="I160" s="22" t="s">
        <v>32</v>
      </c>
      <c r="J160" s="20">
        <f t="shared" si="19"/>
        <v>45589.47706</v>
      </c>
      <c r="K160" s="22" t="s">
        <v>65</v>
      </c>
      <c r="L160" s="22" t="s">
        <v>32</v>
      </c>
      <c r="M160" s="20">
        <f t="shared" si="20"/>
        <v>45594.38423</v>
      </c>
      <c r="N160" s="8" t="str">
        <f t="shared" si="3"/>
        <v>SELESAI</v>
      </c>
      <c r="O160" s="23">
        <f t="shared" si="16"/>
        <v>45594.38423</v>
      </c>
      <c r="P160" s="24" t="b">
        <v>0</v>
      </c>
      <c r="Q160" s="20" t="str">
        <f t="shared" si="5"/>
        <v/>
      </c>
      <c r="R160" s="24" t="b">
        <v>1</v>
      </c>
      <c r="S160" s="20">
        <f t="shared" si="6"/>
        <v>45594.38433</v>
      </c>
      <c r="T160" s="7"/>
    </row>
    <row r="161" ht="22.5" hidden="1" customHeight="1">
      <c r="B161" s="7">
        <f t="shared" si="7"/>
        <v>155</v>
      </c>
      <c r="C161" s="18" t="s">
        <v>196</v>
      </c>
      <c r="D161" s="19" t="str">
        <f t="array" ref="D161">IFNA(_xlfn.XLOOKUP(C161,Table_Tarikan_Warkah[Nomor Sertipikat],Table_Tarikan_Warkah[Nomor Tiket]),"")</f>
        <v>L/16/231024/1</v>
      </c>
      <c r="E161" s="20">
        <f t="array" ref="E161">IFNA(_xlfn.XLOOKUP(C161,Table_Tarikan_Warkah[Nomor Sertipikat],Table_Tarikan_Warkah[Tanggal diserahkan kepada Validator]),"")</f>
        <v>45588.60166</v>
      </c>
      <c r="F161" s="20" t="str">
        <f t="array" ref="F161">IFNA(_xlfn.XLOOKUP(C161,Table_Tarikan_Warkah[Nomor Sertipikat],Table_Tarikan_Warkah[Nama Petugas Warkah]),"")</f>
        <v>Rahma</v>
      </c>
      <c r="G161" s="21" t="str">
        <f t="array" ref="G161">IFNA(_xlfn.XLOOKUP(C161,Table_Tarikan_Warkah[Nomor Sertipikat],Table_Tarikan_Warkah[Jenis Permohonan]),"")</f>
        <v>SERTIPIKAT HILANG</v>
      </c>
      <c r="H161" s="22" t="s">
        <v>37</v>
      </c>
      <c r="I161" s="22" t="s">
        <v>32</v>
      </c>
      <c r="J161" s="20">
        <f t="shared" si="19"/>
        <v>45589.47707</v>
      </c>
      <c r="K161" s="22" t="s">
        <v>65</v>
      </c>
      <c r="L161" s="22" t="s">
        <v>32</v>
      </c>
      <c r="M161" s="20">
        <f t="shared" si="20"/>
        <v>45594.38425</v>
      </c>
      <c r="N161" s="8" t="str">
        <f t="shared" si="3"/>
        <v>SELESAI</v>
      </c>
      <c r="O161" s="23">
        <f t="shared" si="16"/>
        <v>45594.38425</v>
      </c>
      <c r="P161" s="24" t="b">
        <v>0</v>
      </c>
      <c r="Q161" s="20" t="str">
        <f t="shared" si="5"/>
        <v/>
      </c>
      <c r="R161" s="24" t="b">
        <v>1</v>
      </c>
      <c r="S161" s="20">
        <f t="shared" si="6"/>
        <v>45594.38434</v>
      </c>
      <c r="T161" s="7"/>
    </row>
    <row r="162" ht="22.5" hidden="1" customHeight="1">
      <c r="B162" s="7">
        <f t="shared" si="7"/>
        <v>156</v>
      </c>
      <c r="C162" s="18" t="s">
        <v>197</v>
      </c>
      <c r="D162" s="19" t="str">
        <f t="array" ref="D162">IFNA(_xlfn.XLOOKUP(C162,Table_Tarikan_Warkah[Nomor Sertipikat],Table_Tarikan_Warkah[Nomor Tiket]),"")</f>
        <v>K/22/231024/1</v>
      </c>
      <c r="E162" s="20">
        <f t="array" ref="E162">IFNA(_xlfn.XLOOKUP(C162,Table_Tarikan_Warkah[Nomor Sertipikat],Table_Tarikan_Warkah[Tanggal diserahkan kepada Validator]),"")</f>
        <v>45588.60205</v>
      </c>
      <c r="F162" s="20" t="str">
        <f t="array" ref="F162">IFNA(_xlfn.XLOOKUP(C162,Table_Tarikan_Warkah[Nomor Sertipikat],Table_Tarikan_Warkah[Nama Petugas Warkah]),"")</f>
        <v>Rahma</v>
      </c>
      <c r="G162" s="21" t="str">
        <f t="array" ref="G162">IFNA(_xlfn.XLOOKUP(C162,Table_Tarikan_Warkah[Nomor Sertipikat],Table_Tarikan_Warkah[Jenis Permohonan]),"")</f>
        <v>BN Jual Beli</v>
      </c>
      <c r="H162" s="22" t="s">
        <v>37</v>
      </c>
      <c r="I162" s="22" t="s">
        <v>32</v>
      </c>
      <c r="J162" s="20">
        <f t="shared" si="19"/>
        <v>45589.48275</v>
      </c>
      <c r="K162" s="22" t="s">
        <v>65</v>
      </c>
      <c r="L162" s="22" t="s">
        <v>32</v>
      </c>
      <c r="M162" s="20">
        <f t="shared" si="20"/>
        <v>45594.38484</v>
      </c>
      <c r="N162" s="8" t="str">
        <f t="shared" si="3"/>
        <v>SELESAI</v>
      </c>
      <c r="O162" s="23">
        <f t="shared" si="16"/>
        <v>45594.38484</v>
      </c>
      <c r="P162" s="24" t="b">
        <v>0</v>
      </c>
      <c r="Q162" s="20" t="str">
        <f t="shared" si="5"/>
        <v/>
      </c>
      <c r="R162" s="24" t="b">
        <v>1</v>
      </c>
      <c r="S162" s="20">
        <f t="shared" si="6"/>
        <v>45594.38489</v>
      </c>
      <c r="T162" s="7"/>
    </row>
    <row r="163" ht="22.5" hidden="1" customHeight="1">
      <c r="B163" s="7">
        <f t="shared" si="7"/>
        <v>157</v>
      </c>
      <c r="C163" s="18" t="s">
        <v>198</v>
      </c>
      <c r="D163" s="19" t="str">
        <f t="array" ref="D163">IFNA(_xlfn.XLOOKUP(C163,Table_Tarikan_Warkah[Nomor Sertipikat],Table_Tarikan_Warkah[Nomor Tiket]),"")</f>
        <v>K/28/231024/1</v>
      </c>
      <c r="E163" s="20">
        <f t="array" ref="E163">IFNA(_xlfn.XLOOKUP(C163,Table_Tarikan_Warkah[Nomor Sertipikat],Table_Tarikan_Warkah[Tanggal diserahkan kepada Validator]),"")</f>
        <v>45588.60256</v>
      </c>
      <c r="F163" s="20" t="str">
        <f t="array" ref="F163">IFNA(_xlfn.XLOOKUP(C163,Table_Tarikan_Warkah[Nomor Sertipikat],Table_Tarikan_Warkah[Nama Petugas Warkah]),"")</f>
        <v>Rahma</v>
      </c>
      <c r="G163" s="21" t="str">
        <f t="array" ref="G163">IFNA(_xlfn.XLOOKUP(C163,Table_Tarikan_Warkah[Nomor Sertipikat],Table_Tarikan_Warkah[Jenis Permohonan]),"")</f>
        <v>Roya</v>
      </c>
      <c r="H163" s="22" t="s">
        <v>37</v>
      </c>
      <c r="I163" s="22" t="s">
        <v>32</v>
      </c>
      <c r="J163" s="20">
        <f t="shared" si="19"/>
        <v>45589.4877</v>
      </c>
      <c r="K163" s="22" t="s">
        <v>33</v>
      </c>
      <c r="L163" s="22" t="s">
        <v>32</v>
      </c>
      <c r="M163" s="20">
        <f t="shared" si="20"/>
        <v>45594.40038</v>
      </c>
      <c r="N163" s="8" t="str">
        <f t="shared" si="3"/>
        <v>SELESAI</v>
      </c>
      <c r="O163" s="23">
        <f t="shared" si="16"/>
        <v>45594.40038</v>
      </c>
      <c r="P163" s="24" t="b">
        <v>0</v>
      </c>
      <c r="Q163" s="20" t="str">
        <f t="shared" si="5"/>
        <v/>
      </c>
      <c r="R163" s="24" t="b">
        <v>1</v>
      </c>
      <c r="S163" s="20">
        <f t="shared" si="6"/>
        <v>45594.4004</v>
      </c>
      <c r="T163" s="7"/>
    </row>
    <row r="164" ht="22.5" hidden="1" customHeight="1">
      <c r="B164" s="7">
        <f t="shared" si="7"/>
        <v>158</v>
      </c>
      <c r="C164" s="18" t="s">
        <v>199</v>
      </c>
      <c r="D164" s="19" t="str">
        <f t="array" ref="D164">IFNA(_xlfn.XLOOKUP(C164,Table_Tarikan_Warkah[Nomor Sertipikat],Table_Tarikan_Warkah[Nomor Tiket]),"")</f>
        <v>K/28/161024/1</v>
      </c>
      <c r="E164" s="20">
        <f t="array" ref="E164">IFNA(_xlfn.XLOOKUP(C164,Table_Tarikan_Warkah[Nomor Sertipikat],Table_Tarikan_Warkah[Tanggal diserahkan kepada Validator]),"")</f>
        <v>45588.37738</v>
      </c>
      <c r="F164" s="20" t="str">
        <f t="array" ref="F164">IFNA(_xlfn.XLOOKUP(C164,Table_Tarikan_Warkah[Nomor Sertipikat],Table_Tarikan_Warkah[Nama Petugas Warkah]),"")</f>
        <v>Berry</v>
      </c>
      <c r="G164" s="21" t="str">
        <f t="array" ref="G164">IFNA(_xlfn.XLOOKUP(C164,Table_Tarikan_Warkah[Nomor Sertipikat],Table_Tarikan_Warkah[Jenis Permohonan]),"")</f>
        <v>PEMECAHAN BIDANG</v>
      </c>
      <c r="H164" s="22" t="s">
        <v>37</v>
      </c>
      <c r="I164" s="22" t="s">
        <v>32</v>
      </c>
      <c r="J164" s="20">
        <f t="shared" si="19"/>
        <v>45589.49835</v>
      </c>
      <c r="K164" s="22" t="s">
        <v>65</v>
      </c>
      <c r="L164" s="22" t="s">
        <v>32</v>
      </c>
      <c r="M164" s="20">
        <f t="shared" si="20"/>
        <v>45594.38313</v>
      </c>
      <c r="N164" s="8" t="str">
        <f t="shared" si="3"/>
        <v>SELESAI</v>
      </c>
      <c r="O164" s="23">
        <f t="shared" si="16"/>
        <v>45594.38313</v>
      </c>
      <c r="P164" s="24" t="b">
        <v>0</v>
      </c>
      <c r="Q164" s="20" t="str">
        <f t="shared" si="5"/>
        <v/>
      </c>
      <c r="R164" s="24" t="b">
        <v>1</v>
      </c>
      <c r="S164" s="20">
        <f t="shared" si="6"/>
        <v>45594.38317</v>
      </c>
      <c r="T164" s="7"/>
    </row>
    <row r="165" ht="22.5" hidden="1" customHeight="1">
      <c r="B165" s="7">
        <f t="shared" si="7"/>
        <v>159</v>
      </c>
      <c r="C165" s="18" t="s">
        <v>200</v>
      </c>
      <c r="D165" s="19" t="str">
        <f t="array" ref="D165">IFNA(_xlfn.XLOOKUP(C165,Table_Tarikan_Warkah[Nomor Sertipikat],Table_Tarikan_Warkah[Nomor Tiket]),"")</f>
        <v>K/7/171024/1</v>
      </c>
      <c r="E165" s="20">
        <f t="array" ref="E165">IFNA(_xlfn.XLOOKUP(C165,Table_Tarikan_Warkah[Nomor Sertipikat],Table_Tarikan_Warkah[Tanggal diserahkan kepada Validator]),"")</f>
        <v>45588.37756</v>
      </c>
      <c r="F165" s="20" t="str">
        <f t="array" ref="F165">IFNA(_xlfn.XLOOKUP(C165,Table_Tarikan_Warkah[Nomor Sertipikat],Table_Tarikan_Warkah[Nama Petugas Warkah]),"")</f>
        <v>Berry</v>
      </c>
      <c r="G165" s="21" t="str">
        <f t="array" ref="G165">IFNA(_xlfn.XLOOKUP(C165,Table_Tarikan_Warkah[Nomor Sertipikat],Table_Tarikan_Warkah[Jenis Permohonan]),"")</f>
        <v>Pemecahan</v>
      </c>
      <c r="H165" s="22" t="s">
        <v>37</v>
      </c>
      <c r="I165" s="22" t="s">
        <v>32</v>
      </c>
      <c r="J165" s="20">
        <f t="shared" si="19"/>
        <v>45589.55919</v>
      </c>
      <c r="K165" s="22" t="s">
        <v>65</v>
      </c>
      <c r="L165" s="22" t="s">
        <v>32</v>
      </c>
      <c r="M165" s="20">
        <f t="shared" si="20"/>
        <v>45594.38356</v>
      </c>
      <c r="N165" s="8" t="str">
        <f t="shared" si="3"/>
        <v>SELESAI</v>
      </c>
      <c r="O165" s="23">
        <f t="shared" si="16"/>
        <v>45594.38356</v>
      </c>
      <c r="P165" s="24" t="b">
        <v>0</v>
      </c>
      <c r="Q165" s="20" t="str">
        <f t="shared" si="5"/>
        <v/>
      </c>
      <c r="R165" s="24" t="b">
        <v>1</v>
      </c>
      <c r="S165" s="20">
        <f t="shared" si="6"/>
        <v>45594.38359</v>
      </c>
      <c r="T165" s="7"/>
    </row>
    <row r="166" ht="22.5" hidden="1" customHeight="1">
      <c r="B166" s="7">
        <f t="shared" si="7"/>
        <v>160</v>
      </c>
      <c r="C166" s="18" t="s">
        <v>201</v>
      </c>
      <c r="D166" s="19" t="str">
        <f t="array" ref="D166">IFNA(_xlfn.XLOOKUP(C166,Table_Tarikan_Warkah[Nomor Sertipikat],Table_Tarikan_Warkah[Nomor Tiket]),"")</f>
        <v>K/51/171024/1</v>
      </c>
      <c r="E166" s="20">
        <f t="array" ref="E166">IFNA(_xlfn.XLOOKUP(C166,Table_Tarikan_Warkah[Nomor Sertipikat],Table_Tarikan_Warkah[Tanggal diserahkan kepada Validator]),"")</f>
        <v>45588.37806</v>
      </c>
      <c r="F166" s="20" t="str">
        <f t="array" ref="F166">IFNA(_xlfn.XLOOKUP(C166,Table_Tarikan_Warkah[Nomor Sertipikat],Table_Tarikan_Warkah[Nama Petugas Warkah]),"")</f>
        <v>Berry</v>
      </c>
      <c r="G166" s="21" t="str">
        <f t="array" ref="G166">IFNA(_xlfn.XLOOKUP(C166,Table_Tarikan_Warkah[Nomor Sertipikat],Table_Tarikan_Warkah[Jenis Permohonan]),"")</f>
        <v>PEMECAHAN</v>
      </c>
      <c r="H166" s="22" t="s">
        <v>37</v>
      </c>
      <c r="I166" s="22" t="s">
        <v>32</v>
      </c>
      <c r="J166" s="20">
        <f t="shared" si="19"/>
        <v>45589.57059</v>
      </c>
      <c r="K166" s="22" t="s">
        <v>65</v>
      </c>
      <c r="L166" s="22" t="s">
        <v>32</v>
      </c>
      <c r="M166" s="20">
        <f t="shared" si="20"/>
        <v>45594.38385</v>
      </c>
      <c r="N166" s="8" t="str">
        <f t="shared" si="3"/>
        <v>SELESAI</v>
      </c>
      <c r="O166" s="23">
        <f t="shared" si="16"/>
        <v>45594.38385</v>
      </c>
      <c r="P166" s="24" t="b">
        <v>0</v>
      </c>
      <c r="Q166" s="20" t="str">
        <f t="shared" si="5"/>
        <v/>
      </c>
      <c r="R166" s="24" t="b">
        <v>1</v>
      </c>
      <c r="S166" s="20">
        <f t="shared" si="6"/>
        <v>45594.3839</v>
      </c>
      <c r="T166" s="7"/>
    </row>
    <row r="167" ht="22.5" hidden="1" customHeight="1">
      <c r="B167" s="7">
        <f t="shared" si="7"/>
        <v>161</v>
      </c>
      <c r="C167" s="18" t="s">
        <v>202</v>
      </c>
      <c r="D167" s="19" t="str">
        <f t="array" ref="D167">IFNA(_xlfn.XLOOKUP(C167,Table_Tarikan_Warkah[Nomor Sertipikat],Table_Tarikan_Warkah[Nomor Tiket]),"")</f>
        <v>L/32/171024/1</v>
      </c>
      <c r="E167" s="20">
        <f t="array" ref="E167">IFNA(_xlfn.XLOOKUP(C167,Table_Tarikan_Warkah[Nomor Sertipikat],Table_Tarikan_Warkah[Tanggal diserahkan kepada Validator]),"")</f>
        <v>45588.37778</v>
      </c>
      <c r="F167" s="20" t="str">
        <f t="array" ref="F167">IFNA(_xlfn.XLOOKUP(C167,Table_Tarikan_Warkah[Nomor Sertipikat],Table_Tarikan_Warkah[Nama Petugas Warkah]),"")</f>
        <v>Berry</v>
      </c>
      <c r="G167" s="21" t="str">
        <f t="array" ref="G167">IFNA(_xlfn.XLOOKUP(C167,Table_Tarikan_Warkah[Nomor Sertipikat],Table_Tarikan_Warkah[Jenis Permohonan]),"")</f>
        <v>PEMISAHAN</v>
      </c>
      <c r="H167" s="22" t="s">
        <v>37</v>
      </c>
      <c r="I167" s="22" t="s">
        <v>32</v>
      </c>
      <c r="J167" s="20">
        <f t="shared" si="19"/>
        <v>45589.57301</v>
      </c>
      <c r="K167" s="22" t="s">
        <v>65</v>
      </c>
      <c r="L167" s="22" t="s">
        <v>32</v>
      </c>
      <c r="M167" s="20">
        <f t="shared" si="20"/>
        <v>45594.38508</v>
      </c>
      <c r="N167" s="8" t="str">
        <f t="shared" si="3"/>
        <v>SELESAI</v>
      </c>
      <c r="O167" s="23">
        <f t="shared" si="16"/>
        <v>45594.38508</v>
      </c>
      <c r="P167" s="24" t="b">
        <v>0</v>
      </c>
      <c r="Q167" s="20" t="str">
        <f t="shared" si="5"/>
        <v/>
      </c>
      <c r="R167" s="24" t="b">
        <v>1</v>
      </c>
      <c r="S167" s="20">
        <f t="shared" si="6"/>
        <v>45594.38518</v>
      </c>
      <c r="T167" s="7"/>
    </row>
    <row r="168" ht="22.5" hidden="1" customHeight="1">
      <c r="B168" s="7">
        <f t="shared" si="7"/>
        <v>162</v>
      </c>
      <c r="C168" s="18" t="s">
        <v>203</v>
      </c>
      <c r="D168" s="19" t="str">
        <f t="array" ref="D168">IFNA(_xlfn.XLOOKUP(C168,Table_Tarikan_Warkah[Nomor Sertipikat],Table_Tarikan_Warkah[Nomor Tiket]),"")</f>
        <v>K/27/181024/1</v>
      </c>
      <c r="E168" s="20">
        <f t="array" ref="E168">IFNA(_xlfn.XLOOKUP(C168,Table_Tarikan_Warkah[Nomor Sertipikat],Table_Tarikan_Warkah[Tanggal diserahkan kepada Validator]),"")</f>
        <v>45588.37888</v>
      </c>
      <c r="F168" s="20" t="str">
        <f t="array" ref="F168">IFNA(_xlfn.XLOOKUP(C168,Table_Tarikan_Warkah[Nomor Sertipikat],Table_Tarikan_Warkah[Nama Petugas Warkah]),"")</f>
        <v>Berry</v>
      </c>
      <c r="G168" s="21" t="str">
        <f t="array" ref="G168">IFNA(_xlfn.XLOOKUP(C168,Table_Tarikan_Warkah[Nomor Sertipikat],Table_Tarikan_Warkah[Jenis Permohonan]),"")</f>
        <v>Pemecahan</v>
      </c>
      <c r="H168" s="22" t="s">
        <v>37</v>
      </c>
      <c r="I168" s="22" t="s">
        <v>32</v>
      </c>
      <c r="J168" s="20">
        <f t="shared" si="19"/>
        <v>45589.57342</v>
      </c>
      <c r="K168" s="22" t="s">
        <v>65</v>
      </c>
      <c r="L168" s="22" t="s">
        <v>32</v>
      </c>
      <c r="M168" s="20">
        <f t="shared" si="20"/>
        <v>45594.38265</v>
      </c>
      <c r="N168" s="8" t="str">
        <f t="shared" si="3"/>
        <v>SELESAI</v>
      </c>
      <c r="O168" s="23">
        <f t="shared" si="16"/>
        <v>45594.38265</v>
      </c>
      <c r="P168" s="24" t="b">
        <v>0</v>
      </c>
      <c r="Q168" s="20" t="str">
        <f t="shared" si="5"/>
        <v/>
      </c>
      <c r="R168" s="24" t="b">
        <v>1</v>
      </c>
      <c r="S168" s="20">
        <f t="shared" si="6"/>
        <v>45594.38269</v>
      </c>
      <c r="T168" s="7"/>
    </row>
    <row r="169" ht="22.5" hidden="1" customHeight="1">
      <c r="B169" s="7">
        <f t="shared" si="7"/>
        <v>163</v>
      </c>
      <c r="C169" s="18" t="s">
        <v>204</v>
      </c>
      <c r="D169" s="19" t="str">
        <f t="array" ref="D169">IFNA(_xlfn.XLOOKUP(C169,Table_Tarikan_Warkah[Nomor Sertipikat],Table_Tarikan_Warkah[Nomor Tiket]),"")</f>
        <v>K/1/221024/1</v>
      </c>
      <c r="E169" s="20">
        <f t="array" ref="E169">IFNA(_xlfn.XLOOKUP(C169,Table_Tarikan_Warkah[Nomor Sertipikat],Table_Tarikan_Warkah[Tanggal diserahkan kepada Validator]),"")</f>
        <v>45588.37738</v>
      </c>
      <c r="F169" s="20" t="str">
        <f t="array" ref="F169">IFNA(_xlfn.XLOOKUP(C169,Table_Tarikan_Warkah[Nomor Sertipikat],Table_Tarikan_Warkah[Nama Petugas Warkah]),"")</f>
        <v>Berry</v>
      </c>
      <c r="G169" s="21" t="str">
        <f t="array" ref="G169">IFNA(_xlfn.XLOOKUP(C169,Table_Tarikan_Warkah[Nomor Sertipikat],Table_Tarikan_Warkah[Jenis Permohonan]),"")</f>
        <v>ROYA</v>
      </c>
      <c r="H169" s="22" t="s">
        <v>37</v>
      </c>
      <c r="I169" s="22" t="s">
        <v>32</v>
      </c>
      <c r="J169" s="20">
        <f t="shared" si="19"/>
        <v>45589.5898</v>
      </c>
      <c r="K169" s="22" t="s">
        <v>65</v>
      </c>
      <c r="L169" s="22" t="s">
        <v>32</v>
      </c>
      <c r="M169" s="20">
        <f t="shared" si="20"/>
        <v>45594.38229</v>
      </c>
      <c r="N169" s="8" t="str">
        <f t="shared" si="3"/>
        <v>SELESAI</v>
      </c>
      <c r="O169" s="23">
        <f t="shared" si="16"/>
        <v>45594.38229</v>
      </c>
      <c r="P169" s="24" t="b">
        <v>0</v>
      </c>
      <c r="Q169" s="20" t="str">
        <f t="shared" si="5"/>
        <v/>
      </c>
      <c r="R169" s="24" t="b">
        <v>1</v>
      </c>
      <c r="S169" s="20">
        <f t="shared" si="6"/>
        <v>45594.38235</v>
      </c>
      <c r="T169" s="7"/>
    </row>
    <row r="170" ht="22.5" hidden="1" customHeight="1">
      <c r="B170" s="7">
        <f t="shared" si="7"/>
        <v>164</v>
      </c>
      <c r="C170" s="18" t="s">
        <v>205</v>
      </c>
      <c r="D170" s="19" t="str">
        <f t="array" ref="D170">IFNA(_xlfn.XLOOKUP(C170,Table_Tarikan_Warkah[Nomor Sertipikat],Table_Tarikan_Warkah[Nomor Tiket]),"")</f>
        <v>K/2/221024/2</v>
      </c>
      <c r="E170" s="20">
        <f t="array" ref="E170">IFNA(_xlfn.XLOOKUP(C170,Table_Tarikan_Warkah[Nomor Sertipikat],Table_Tarikan_Warkah[Tanggal diserahkan kepada Validator]),"")</f>
        <v>45588.37738</v>
      </c>
      <c r="F170" s="20" t="str">
        <f t="array" ref="F170">IFNA(_xlfn.XLOOKUP(C170,Table_Tarikan_Warkah[Nomor Sertipikat],Table_Tarikan_Warkah[Nama Petugas Warkah]),"")</f>
        <v>Berry</v>
      </c>
      <c r="G170" s="21" t="str">
        <f t="array" ref="G170">IFNA(_xlfn.XLOOKUP(C170,Table_Tarikan_Warkah[Nomor Sertipikat],Table_Tarikan_Warkah[Jenis Permohonan]),"")</f>
        <v>Roya</v>
      </c>
      <c r="H170" s="22" t="s">
        <v>37</v>
      </c>
      <c r="I170" s="22" t="s">
        <v>32</v>
      </c>
      <c r="J170" s="20">
        <f t="shared" si="19"/>
        <v>45589.61625</v>
      </c>
      <c r="K170" s="22" t="s">
        <v>33</v>
      </c>
      <c r="L170" s="22" t="s">
        <v>32</v>
      </c>
      <c r="M170" s="20">
        <f t="shared" si="20"/>
        <v>45594.4001</v>
      </c>
      <c r="N170" s="8" t="str">
        <f t="shared" si="3"/>
        <v>SELESAI</v>
      </c>
      <c r="O170" s="23">
        <f t="shared" si="16"/>
        <v>45594.4001</v>
      </c>
      <c r="P170" s="24" t="b">
        <v>0</v>
      </c>
      <c r="Q170" s="20" t="str">
        <f t="shared" si="5"/>
        <v/>
      </c>
      <c r="R170" s="24" t="b">
        <v>1</v>
      </c>
      <c r="S170" s="20">
        <f t="shared" si="6"/>
        <v>45594.40014</v>
      </c>
      <c r="T170" s="7"/>
    </row>
    <row r="171" ht="22.5" hidden="1" customHeight="1">
      <c r="B171" s="7">
        <f t="shared" si="7"/>
        <v>165</v>
      </c>
      <c r="C171" s="18" t="s">
        <v>206</v>
      </c>
      <c r="D171" s="19" t="str">
        <f t="array" ref="D171">IFNA(_xlfn.XLOOKUP(C171,Table_Tarikan_Warkah[Nomor Sertipikat],Table_Tarikan_Warkah[Nomor Tiket]),"")</f>
        <v>L/4/221024/1</v>
      </c>
      <c r="E171" s="20">
        <f t="array" ref="E171">IFNA(_xlfn.XLOOKUP(C171,Table_Tarikan_Warkah[Nomor Sertipikat],Table_Tarikan_Warkah[Tanggal diserahkan kepada Validator]),"")</f>
        <v>45588.37738</v>
      </c>
      <c r="F171" s="20" t="str">
        <f t="array" ref="F171">IFNA(_xlfn.XLOOKUP(C171,Table_Tarikan_Warkah[Nomor Sertipikat],Table_Tarikan_Warkah[Nama Petugas Warkah]),"")</f>
        <v>Berry</v>
      </c>
      <c r="G171" s="21" t="str">
        <f t="array" ref="G171">IFNA(_xlfn.XLOOKUP(C171,Table_Tarikan_Warkah[Nomor Sertipikat],Table_Tarikan_Warkah[Jenis Permohonan]),"")</f>
        <v>BN WARIS</v>
      </c>
      <c r="H171" s="22" t="s">
        <v>37</v>
      </c>
      <c r="I171" s="22" t="s">
        <v>32</v>
      </c>
      <c r="J171" s="20">
        <f t="shared" si="19"/>
        <v>45589.617</v>
      </c>
      <c r="K171" s="22" t="s">
        <v>65</v>
      </c>
      <c r="L171" s="22" t="s">
        <v>32</v>
      </c>
      <c r="M171" s="20">
        <f t="shared" si="20"/>
        <v>45594.38562</v>
      </c>
      <c r="N171" s="8" t="str">
        <f t="shared" si="3"/>
        <v>SELESAI</v>
      </c>
      <c r="O171" s="23">
        <f t="shared" si="16"/>
        <v>45594.38562</v>
      </c>
      <c r="P171" s="24" t="b">
        <v>0</v>
      </c>
      <c r="Q171" s="20" t="str">
        <f t="shared" si="5"/>
        <v/>
      </c>
      <c r="R171" s="24" t="b">
        <v>1</v>
      </c>
      <c r="S171" s="20">
        <f t="shared" si="6"/>
        <v>45594.38607</v>
      </c>
      <c r="T171" s="7"/>
    </row>
    <row r="172" ht="22.5" hidden="1" customHeight="1">
      <c r="B172" s="7">
        <f t="shared" si="7"/>
        <v>166</v>
      </c>
      <c r="C172" s="18" t="s">
        <v>207</v>
      </c>
      <c r="D172" s="19" t="str">
        <f t="array" ref="D172">IFNA(_xlfn.XLOOKUP(C172,Table_Tarikan_Warkah[Nomor Sertipikat],Table_Tarikan_Warkah[Nomor Tiket]),"")</f>
        <v>K/7/221024/1</v>
      </c>
      <c r="E172" s="20">
        <f t="array" ref="E172">IFNA(_xlfn.XLOOKUP(C172,Table_Tarikan_Warkah[Nomor Sertipikat],Table_Tarikan_Warkah[Tanggal diserahkan kepada Validator]),"")</f>
        <v>45588.37738</v>
      </c>
      <c r="F172" s="20" t="str">
        <f t="array" ref="F172">IFNA(_xlfn.XLOOKUP(C172,Table_Tarikan_Warkah[Nomor Sertipikat],Table_Tarikan_Warkah[Nama Petugas Warkah]),"")</f>
        <v>Berry</v>
      </c>
      <c r="G172" s="21" t="str">
        <f t="array" ref="G172">IFNA(_xlfn.XLOOKUP(C172,Table_Tarikan_Warkah[Nomor Sertipikat],Table_Tarikan_Warkah[Jenis Permohonan]),"")</f>
        <v>Roya</v>
      </c>
      <c r="H172" s="22" t="s">
        <v>37</v>
      </c>
      <c r="I172" s="22" t="s">
        <v>32</v>
      </c>
      <c r="J172" s="20">
        <f t="shared" si="19"/>
        <v>45589.61995</v>
      </c>
      <c r="K172" s="22" t="s">
        <v>65</v>
      </c>
      <c r="L172" s="22" t="s">
        <v>32</v>
      </c>
      <c r="M172" s="20">
        <f t="shared" si="20"/>
        <v>45594.38635</v>
      </c>
      <c r="N172" s="8" t="str">
        <f t="shared" si="3"/>
        <v>SELESAI</v>
      </c>
      <c r="O172" s="23">
        <f t="shared" si="16"/>
        <v>45594.38635</v>
      </c>
      <c r="P172" s="24" t="b">
        <v>0</v>
      </c>
      <c r="Q172" s="20" t="str">
        <f t="shared" si="5"/>
        <v/>
      </c>
      <c r="R172" s="24" t="b">
        <v>1</v>
      </c>
      <c r="S172" s="20">
        <f t="shared" si="6"/>
        <v>45594.3864</v>
      </c>
      <c r="T172" s="7"/>
    </row>
    <row r="173" ht="22.5" hidden="1" customHeight="1">
      <c r="B173" s="7">
        <f t="shared" si="7"/>
        <v>167</v>
      </c>
      <c r="C173" s="18" t="s">
        <v>208</v>
      </c>
      <c r="D173" s="19" t="str">
        <f t="array" ref="D173">IFNA(_xlfn.XLOOKUP(C173,Table_Tarikan_Warkah[Nomor Sertipikat],Table_Tarikan_Warkah[Nomor Tiket]),"")</f>
        <v>L/8/221024/1</v>
      </c>
      <c r="E173" s="20">
        <f t="array" ref="E173">IFNA(_xlfn.XLOOKUP(C173,Table_Tarikan_Warkah[Nomor Sertipikat],Table_Tarikan_Warkah[Tanggal diserahkan kepada Validator]),"")</f>
        <v>45588.37738</v>
      </c>
      <c r="F173" s="20" t="str">
        <f t="array" ref="F173">IFNA(_xlfn.XLOOKUP(C173,Table_Tarikan_Warkah[Nomor Sertipikat],Table_Tarikan_Warkah[Nama Petugas Warkah]),"")</f>
        <v>Berry</v>
      </c>
      <c r="G173" s="21" t="str">
        <f t="array" ref="G173">IFNA(_xlfn.XLOOKUP(C173,Table_Tarikan_Warkah[Nomor Sertipikat],Table_Tarikan_Warkah[Jenis Permohonan]),"")</f>
        <v>ROYA</v>
      </c>
      <c r="H173" s="22" t="s">
        <v>37</v>
      </c>
      <c r="I173" s="22" t="s">
        <v>32</v>
      </c>
      <c r="J173" s="20">
        <f t="shared" si="19"/>
        <v>45589.62433</v>
      </c>
      <c r="K173" s="22" t="s">
        <v>65</v>
      </c>
      <c r="L173" s="22" t="s">
        <v>32</v>
      </c>
      <c r="M173" s="20">
        <f t="shared" si="20"/>
        <v>45594.37943</v>
      </c>
      <c r="N173" s="8" t="str">
        <f t="shared" si="3"/>
        <v>SELESAI</v>
      </c>
      <c r="O173" s="23">
        <f t="shared" si="16"/>
        <v>45594.37943</v>
      </c>
      <c r="P173" s="24" t="b">
        <v>0</v>
      </c>
      <c r="Q173" s="20" t="str">
        <f t="shared" si="5"/>
        <v/>
      </c>
      <c r="R173" s="24" t="b">
        <v>1</v>
      </c>
      <c r="S173" s="20">
        <f t="shared" si="6"/>
        <v>45594.37948</v>
      </c>
      <c r="T173" s="7"/>
    </row>
    <row r="174" ht="22.5" hidden="1" customHeight="1">
      <c r="B174" s="7">
        <f t="shared" si="7"/>
        <v>168</v>
      </c>
      <c r="C174" s="18" t="s">
        <v>209</v>
      </c>
      <c r="D174" s="19" t="str">
        <f t="array" ref="D174">IFNA(_xlfn.XLOOKUP(C174,Table_Tarikan_Warkah[Nomor Sertipikat],Table_Tarikan_Warkah[Nomor Tiket]),"")</f>
        <v>K/9/221024/1</v>
      </c>
      <c r="E174" s="20">
        <f t="array" ref="E174">IFNA(_xlfn.XLOOKUP(C174,Table_Tarikan_Warkah[Nomor Sertipikat],Table_Tarikan_Warkah[Tanggal diserahkan kepada Validator]),"")</f>
        <v>45588.37974</v>
      </c>
      <c r="F174" s="20" t="str">
        <f t="array" ref="F174">IFNA(_xlfn.XLOOKUP(C174,Table_Tarikan_Warkah[Nomor Sertipikat],Table_Tarikan_Warkah[Nama Petugas Warkah]),"")</f>
        <v>David</v>
      </c>
      <c r="G174" s="21" t="str">
        <f t="array" ref="G174">IFNA(_xlfn.XLOOKUP(C174,Table_Tarikan_Warkah[Nomor Sertipikat],Table_Tarikan_Warkah[Jenis Permohonan]),"")</f>
        <v>ROYA</v>
      </c>
      <c r="H174" s="22" t="s">
        <v>37</v>
      </c>
      <c r="I174" s="22" t="s">
        <v>32</v>
      </c>
      <c r="J174" s="20">
        <f t="shared" si="19"/>
        <v>45589.6269</v>
      </c>
      <c r="K174" s="22" t="s">
        <v>33</v>
      </c>
      <c r="L174" s="22" t="s">
        <v>32</v>
      </c>
      <c r="M174" s="20">
        <f t="shared" si="20"/>
        <v>45594.40261</v>
      </c>
      <c r="N174" s="8" t="str">
        <f t="shared" si="3"/>
        <v>SELESAI</v>
      </c>
      <c r="O174" s="23">
        <f t="shared" si="16"/>
        <v>45594.40261</v>
      </c>
      <c r="P174" s="24" t="b">
        <v>0</v>
      </c>
      <c r="Q174" s="20" t="str">
        <f t="shared" si="5"/>
        <v/>
      </c>
      <c r="R174" s="24" t="b">
        <v>1</v>
      </c>
      <c r="S174" s="20">
        <f t="shared" si="6"/>
        <v>45594.40265</v>
      </c>
      <c r="T174" s="7"/>
    </row>
    <row r="175" ht="22.5" hidden="1" customHeight="1">
      <c r="B175" s="7">
        <f t="shared" si="7"/>
        <v>169</v>
      </c>
      <c r="C175" s="18" t="s">
        <v>210</v>
      </c>
      <c r="D175" s="19" t="str">
        <f t="array" ref="D175">IFNA(_xlfn.XLOOKUP(C175,Table_Tarikan_Warkah[Nomor Sertipikat],Table_Tarikan_Warkah[Nomor Tiket]),"")</f>
        <v>L/11/221024/1</v>
      </c>
      <c r="E175" s="20">
        <f t="array" ref="E175">IFNA(_xlfn.XLOOKUP(C175,Table_Tarikan_Warkah[Nomor Sertipikat],Table_Tarikan_Warkah[Tanggal diserahkan kepada Validator]),"")</f>
        <v>45588.38056</v>
      </c>
      <c r="F175" s="20" t="str">
        <f t="array" ref="F175">IFNA(_xlfn.XLOOKUP(C175,Table_Tarikan_Warkah[Nomor Sertipikat],Table_Tarikan_Warkah[Nama Petugas Warkah]),"")</f>
        <v>David</v>
      </c>
      <c r="G175" s="21" t="str">
        <f t="array" ref="G175">IFNA(_xlfn.XLOOKUP(C175,Table_Tarikan_Warkah[Nomor Sertipikat],Table_Tarikan_Warkah[Jenis Permohonan]),"")</f>
        <v>ROYA</v>
      </c>
      <c r="H175" s="22" t="s">
        <v>37</v>
      </c>
      <c r="I175" s="22" t="s">
        <v>32</v>
      </c>
      <c r="J175" s="20">
        <f t="shared" si="19"/>
        <v>45589.63371</v>
      </c>
      <c r="K175" s="22" t="s">
        <v>65</v>
      </c>
      <c r="L175" s="22" t="s">
        <v>32</v>
      </c>
      <c r="M175" s="20">
        <f t="shared" si="20"/>
        <v>45594.38001</v>
      </c>
      <c r="N175" s="8" t="str">
        <f t="shared" si="3"/>
        <v>SELESAI</v>
      </c>
      <c r="O175" s="23">
        <f t="shared" si="16"/>
        <v>45594.38001</v>
      </c>
      <c r="P175" s="24" t="b">
        <v>0</v>
      </c>
      <c r="Q175" s="20" t="str">
        <f t="shared" si="5"/>
        <v/>
      </c>
      <c r="R175" s="24" t="b">
        <v>1</v>
      </c>
      <c r="S175" s="20">
        <f t="shared" si="6"/>
        <v>45594.38007</v>
      </c>
      <c r="T175" s="7"/>
    </row>
    <row r="176" ht="22.5" hidden="1" customHeight="1">
      <c r="B176" s="7">
        <f t="shared" si="7"/>
        <v>170</v>
      </c>
      <c r="C176" s="18" t="s">
        <v>211</v>
      </c>
      <c r="D176" s="19" t="str">
        <f t="array" ref="D176">IFNA(_xlfn.XLOOKUP(C176,Table_Tarikan_Warkah[Nomor Sertipikat],Table_Tarikan_Warkah[Nomor Tiket]),"")</f>
        <v>K/14/221024/2</v>
      </c>
      <c r="E176" s="20">
        <f t="array" ref="E176">IFNA(_xlfn.XLOOKUP(C176,Table_Tarikan_Warkah[Nomor Sertipikat],Table_Tarikan_Warkah[Tanggal diserahkan kepada Validator]),"")</f>
        <v>45588.38084</v>
      </c>
      <c r="F176" s="20" t="str">
        <f t="array" ref="F176">IFNA(_xlfn.XLOOKUP(C176,Table_Tarikan_Warkah[Nomor Sertipikat],Table_Tarikan_Warkah[Nama Petugas Warkah]),"")</f>
        <v>David</v>
      </c>
      <c r="G176" s="21" t="str">
        <f t="array" ref="G176">IFNA(_xlfn.XLOOKUP(C176,Table_Tarikan_Warkah[Nomor Sertipikat],Table_Tarikan_Warkah[Jenis Permohonan]),"")</f>
        <v>BN Waris</v>
      </c>
      <c r="H176" s="22" t="s">
        <v>37</v>
      </c>
      <c r="I176" s="22" t="s">
        <v>32</v>
      </c>
      <c r="J176" s="20">
        <f t="shared" si="19"/>
        <v>45589.63632</v>
      </c>
      <c r="K176" s="22" t="s">
        <v>65</v>
      </c>
      <c r="L176" s="22" t="s">
        <v>32</v>
      </c>
      <c r="M176" s="20">
        <f t="shared" si="20"/>
        <v>45594.3892</v>
      </c>
      <c r="N176" s="8" t="str">
        <f t="shared" si="3"/>
        <v>SELESAI</v>
      </c>
      <c r="O176" s="23">
        <f t="shared" si="16"/>
        <v>45594.3892</v>
      </c>
      <c r="P176" s="24" t="b">
        <v>0</v>
      </c>
      <c r="Q176" s="20" t="str">
        <f t="shared" si="5"/>
        <v/>
      </c>
      <c r="R176" s="24" t="b">
        <v>1</v>
      </c>
      <c r="S176" s="20">
        <f t="shared" si="6"/>
        <v>45594.38921</v>
      </c>
      <c r="T176" s="7"/>
    </row>
    <row r="177" ht="22.5" hidden="1" customHeight="1">
      <c r="B177" s="7">
        <f t="shared" si="7"/>
        <v>171</v>
      </c>
      <c r="C177" s="18" t="s">
        <v>212</v>
      </c>
      <c r="D177" s="19" t="str">
        <f t="array" ref="D177">IFNA(_xlfn.XLOOKUP(C177,Table_Tarikan_Warkah[Nomor Sertipikat],Table_Tarikan_Warkah[Nomor Tiket]),"")</f>
        <v>K/44/231024/1</v>
      </c>
      <c r="E177" s="20">
        <f t="array" ref="E177">IFNA(_xlfn.XLOOKUP(C177,Table_Tarikan_Warkah[Nomor Sertipikat],Table_Tarikan_Warkah[Tanggal diserahkan kepada Validator]),"")</f>
        <v>45588.69997</v>
      </c>
      <c r="F177" s="20" t="str">
        <f t="array" ref="F177">IFNA(_xlfn.XLOOKUP(C177,Table_Tarikan_Warkah[Nomor Sertipikat],Table_Tarikan_Warkah[Nama Petugas Warkah]),"")</f>
        <v>Rahma</v>
      </c>
      <c r="G177" s="21" t="str">
        <f t="array" ref="G177">IFNA(_xlfn.XLOOKUP(C177,Table_Tarikan_Warkah[Nomor Sertipikat],Table_Tarikan_Warkah[Jenis Permohonan]),"")</f>
        <v>Roya</v>
      </c>
      <c r="H177" s="22" t="s">
        <v>31</v>
      </c>
      <c r="I177" s="22" t="s">
        <v>32</v>
      </c>
      <c r="J177" s="20">
        <f t="shared" si="19"/>
        <v>45589.63712</v>
      </c>
      <c r="K177" s="22" t="s">
        <v>65</v>
      </c>
      <c r="L177" s="22" t="s">
        <v>32</v>
      </c>
      <c r="M177" s="20">
        <f t="shared" si="20"/>
        <v>45589.71108</v>
      </c>
      <c r="N177" s="8" t="str">
        <f t="shared" si="3"/>
        <v>SELESAI</v>
      </c>
      <c r="O177" s="23">
        <f t="shared" ref="O177:O184" si="21">IF(and(L177="Selesai",I177="Selesai"),IF(M177&lt;&gt;"",M177,NOW()),"")</f>
        <v>45589.71108</v>
      </c>
      <c r="P177" s="24" t="b">
        <v>0</v>
      </c>
      <c r="Q177" s="20" t="str">
        <f t="shared" si="5"/>
        <v/>
      </c>
      <c r="R177" s="24" t="b">
        <v>1</v>
      </c>
      <c r="S177" s="20">
        <f t="shared" si="6"/>
        <v>45589.71112</v>
      </c>
      <c r="T177" s="7"/>
    </row>
    <row r="178" ht="22.5" hidden="1" customHeight="1">
      <c r="B178" s="7">
        <f t="shared" si="7"/>
        <v>172</v>
      </c>
      <c r="C178" s="18" t="s">
        <v>213</v>
      </c>
      <c r="D178" s="19" t="str">
        <f t="array" ref="D178">IFNA(_xlfn.XLOOKUP(C178,Table_Tarikan_Warkah[Nomor Sertipikat],Table_Tarikan_Warkah[Nomor Tiket]),"")</f>
        <v>K/49/231024/1</v>
      </c>
      <c r="E178" s="20">
        <f t="array" ref="E178">IFNA(_xlfn.XLOOKUP(C178,Table_Tarikan_Warkah[Nomor Sertipikat],Table_Tarikan_Warkah[Tanggal diserahkan kepada Validator]),"")</f>
        <v>45588.69635</v>
      </c>
      <c r="F178" s="20" t="str">
        <f t="array" ref="F178">IFNA(_xlfn.XLOOKUP(C178,Table_Tarikan_Warkah[Nomor Sertipikat],Table_Tarikan_Warkah[Nama Petugas Warkah]),"")</f>
        <v>Rahma</v>
      </c>
      <c r="G178" s="21" t="str">
        <f t="array" ref="G178">IFNA(_xlfn.XLOOKUP(C178,Table_Tarikan_Warkah[Nomor Sertipikat],Table_Tarikan_Warkah[Jenis Permohonan]),"")</f>
        <v>BN JUAL BELI</v>
      </c>
      <c r="H178" s="22" t="s">
        <v>31</v>
      </c>
      <c r="I178" s="22" t="s">
        <v>32</v>
      </c>
      <c r="J178" s="20">
        <f t="shared" si="19"/>
        <v>45589.63726</v>
      </c>
      <c r="K178" s="22" t="s">
        <v>65</v>
      </c>
      <c r="L178" s="22" t="s">
        <v>32</v>
      </c>
      <c r="M178" s="20">
        <f t="shared" si="20"/>
        <v>45589.70826</v>
      </c>
      <c r="N178" s="8" t="str">
        <f t="shared" si="3"/>
        <v>SELESAI</v>
      </c>
      <c r="O178" s="23">
        <f t="shared" si="21"/>
        <v>45589.70826</v>
      </c>
      <c r="P178" s="24" t="b">
        <v>0</v>
      </c>
      <c r="Q178" s="20" t="str">
        <f t="shared" si="5"/>
        <v/>
      </c>
      <c r="R178" s="24" t="b">
        <v>1</v>
      </c>
      <c r="S178" s="20">
        <f t="shared" si="6"/>
        <v>45589.70831</v>
      </c>
      <c r="T178" s="7"/>
    </row>
    <row r="179" ht="22.5" hidden="1" customHeight="1">
      <c r="B179" s="7">
        <f t="shared" si="7"/>
        <v>173</v>
      </c>
      <c r="C179" s="18" t="s">
        <v>214</v>
      </c>
      <c r="D179" s="19" t="str">
        <f t="array" ref="D179">IFNA(_xlfn.XLOOKUP(C179,Table_Tarikan_Warkah[Nomor Sertipikat],Table_Tarikan_Warkah[Nomor Tiket]),"")</f>
        <v>L/37/231024/1</v>
      </c>
      <c r="E179" s="20">
        <f t="array" ref="E179">IFNA(_xlfn.XLOOKUP(C179,Table_Tarikan_Warkah[Nomor Sertipikat],Table_Tarikan_Warkah[Tanggal diserahkan kepada Validator]),"")</f>
        <v>45588.69457</v>
      </c>
      <c r="F179" s="20" t="str">
        <f t="array" ref="F179">IFNA(_xlfn.XLOOKUP(C179,Table_Tarikan_Warkah[Nomor Sertipikat],Table_Tarikan_Warkah[Nama Petugas Warkah]),"")</f>
        <v>Rahma</v>
      </c>
      <c r="G179" s="21" t="str">
        <f t="array" ref="G179">IFNA(_xlfn.XLOOKUP(C179,Table_Tarikan_Warkah[Nomor Sertipikat],Table_Tarikan_Warkah[Jenis Permohonan]),"")</f>
        <v>ROYA</v>
      </c>
      <c r="H179" s="22" t="s">
        <v>31</v>
      </c>
      <c r="I179" s="22" t="s">
        <v>32</v>
      </c>
      <c r="J179" s="20">
        <f t="shared" si="19"/>
        <v>45589.63745</v>
      </c>
      <c r="K179" s="22" t="s">
        <v>65</v>
      </c>
      <c r="L179" s="22" t="s">
        <v>32</v>
      </c>
      <c r="M179" s="20">
        <f t="shared" si="20"/>
        <v>45589.71083</v>
      </c>
      <c r="N179" s="8" t="str">
        <f t="shared" si="3"/>
        <v>SELESAI</v>
      </c>
      <c r="O179" s="23">
        <f t="shared" si="21"/>
        <v>45589.71083</v>
      </c>
      <c r="P179" s="24" t="b">
        <v>0</v>
      </c>
      <c r="Q179" s="20" t="str">
        <f t="shared" si="5"/>
        <v/>
      </c>
      <c r="R179" s="24" t="b">
        <v>1</v>
      </c>
      <c r="S179" s="20">
        <f t="shared" si="6"/>
        <v>45589.71086</v>
      </c>
      <c r="T179" s="7"/>
    </row>
    <row r="180" ht="22.5" hidden="1" customHeight="1">
      <c r="B180" s="7">
        <f t="shared" si="7"/>
        <v>174</v>
      </c>
      <c r="C180" s="18" t="s">
        <v>215</v>
      </c>
      <c r="D180" s="19" t="str">
        <f t="array" ref="D180">IFNA(_xlfn.XLOOKUP(C180,Table_Tarikan_Warkah[Nomor Sertipikat],Table_Tarikan_Warkah[Nomor Tiket]),"")</f>
        <v>K/33/231024/1</v>
      </c>
      <c r="E180" s="20">
        <f t="array" ref="E180">IFNA(_xlfn.XLOOKUP(C180,Table_Tarikan_Warkah[Nomor Sertipikat],Table_Tarikan_Warkah[Tanggal diserahkan kepada Validator]),"")</f>
        <v>45588.69434</v>
      </c>
      <c r="F180" s="20" t="str">
        <f t="array" ref="F180">IFNA(_xlfn.XLOOKUP(C180,Table_Tarikan_Warkah[Nomor Sertipikat],Table_Tarikan_Warkah[Nama Petugas Warkah]),"")</f>
        <v>Rahma</v>
      </c>
      <c r="G180" s="21" t="str">
        <f t="array" ref="G180">IFNA(_xlfn.XLOOKUP(C180,Table_Tarikan_Warkah[Nomor Sertipikat],Table_Tarikan_Warkah[Jenis Permohonan]),"")</f>
        <v>Roya</v>
      </c>
      <c r="H180" s="22" t="s">
        <v>31</v>
      </c>
      <c r="I180" s="22" t="s">
        <v>32</v>
      </c>
      <c r="J180" s="20">
        <f t="shared" si="19"/>
        <v>45589.63761</v>
      </c>
      <c r="K180" s="22" t="s">
        <v>65</v>
      </c>
      <c r="L180" s="22" t="s">
        <v>32</v>
      </c>
      <c r="M180" s="20">
        <f t="shared" si="20"/>
        <v>45589.71052</v>
      </c>
      <c r="N180" s="8" t="str">
        <f t="shared" si="3"/>
        <v>SELESAI</v>
      </c>
      <c r="O180" s="23">
        <f t="shared" si="21"/>
        <v>45589.71052</v>
      </c>
      <c r="P180" s="24" t="b">
        <v>0</v>
      </c>
      <c r="Q180" s="20" t="str">
        <f t="shared" si="5"/>
        <v/>
      </c>
      <c r="R180" s="24" t="b">
        <v>1</v>
      </c>
      <c r="S180" s="20">
        <f t="shared" si="6"/>
        <v>45589.71056</v>
      </c>
      <c r="T180" s="7"/>
    </row>
    <row r="181" ht="22.5" hidden="1" customHeight="1">
      <c r="B181" s="7">
        <f t="shared" si="7"/>
        <v>175</v>
      </c>
      <c r="C181" s="18" t="s">
        <v>216</v>
      </c>
      <c r="D181" s="19" t="str">
        <f t="array" ref="D181">IFNA(_xlfn.XLOOKUP(C181,Table_Tarikan_Warkah[Nomor Sertipikat],Table_Tarikan_Warkah[Nomor Tiket]),"")</f>
        <v>K/47/231024/1</v>
      </c>
      <c r="E181" s="20">
        <f t="array" ref="E181">IFNA(_xlfn.XLOOKUP(C181,Table_Tarikan_Warkah[Nomor Sertipikat],Table_Tarikan_Warkah[Tanggal diserahkan kepada Validator]),"")</f>
        <v>45588.69617</v>
      </c>
      <c r="F181" s="20" t="str">
        <f t="array" ref="F181">IFNA(_xlfn.XLOOKUP(C181,Table_Tarikan_Warkah[Nomor Sertipikat],Table_Tarikan_Warkah[Nama Petugas Warkah]),"")</f>
        <v>Rahma</v>
      </c>
      <c r="G181" s="21" t="str">
        <f t="array" ref="G181">IFNA(_xlfn.XLOOKUP(C181,Table_Tarikan_Warkah[Nomor Sertipikat],Table_Tarikan_Warkah[Jenis Permohonan]),"")</f>
        <v>BN Waris</v>
      </c>
      <c r="H181" s="22" t="s">
        <v>31</v>
      </c>
      <c r="I181" s="22" t="s">
        <v>32</v>
      </c>
      <c r="J181" s="20">
        <f t="shared" si="19"/>
        <v>45589.63775</v>
      </c>
      <c r="K181" s="22" t="s">
        <v>65</v>
      </c>
      <c r="L181" s="22" t="s">
        <v>32</v>
      </c>
      <c r="M181" s="20">
        <f t="shared" si="20"/>
        <v>45589.71025</v>
      </c>
      <c r="N181" s="8" t="str">
        <f t="shared" si="3"/>
        <v>SELESAI</v>
      </c>
      <c r="O181" s="23">
        <f t="shared" si="21"/>
        <v>45589.71025</v>
      </c>
      <c r="P181" s="24" t="b">
        <v>0</v>
      </c>
      <c r="Q181" s="20" t="str">
        <f t="shared" si="5"/>
        <v/>
      </c>
      <c r="R181" s="24" t="b">
        <v>1</v>
      </c>
      <c r="S181" s="20">
        <f t="shared" si="6"/>
        <v>45589.71029</v>
      </c>
      <c r="T181" s="7"/>
    </row>
    <row r="182" ht="22.5" hidden="1" customHeight="1">
      <c r="B182" s="7">
        <f t="shared" si="7"/>
        <v>176</v>
      </c>
      <c r="C182" s="18" t="s">
        <v>217</v>
      </c>
      <c r="D182" s="19" t="str">
        <f t="array" ref="D182">IFNA(_xlfn.XLOOKUP(C182,Table_Tarikan_Warkah[Nomor Sertipikat],Table_Tarikan_Warkah[Nomor Tiket]),"")</f>
        <v>K/42/231024/1</v>
      </c>
      <c r="E182" s="20">
        <f t="array" ref="E182">IFNA(_xlfn.XLOOKUP(C182,Table_Tarikan_Warkah[Nomor Sertipikat],Table_Tarikan_Warkah[Tanggal diserahkan kepada Validator]),"")</f>
        <v>45588.69561</v>
      </c>
      <c r="F182" s="20" t="str">
        <f t="array" ref="F182">IFNA(_xlfn.XLOOKUP(C182,Table_Tarikan_Warkah[Nomor Sertipikat],Table_Tarikan_Warkah[Nama Petugas Warkah]),"")</f>
        <v>Rahma</v>
      </c>
      <c r="G182" s="21" t="str">
        <f t="array" ref="G182">IFNA(_xlfn.XLOOKUP(C182,Table_Tarikan_Warkah[Nomor Sertipikat],Table_Tarikan_Warkah[Jenis Permohonan]),"")</f>
        <v>BN JUAL BELI</v>
      </c>
      <c r="H182" s="22" t="s">
        <v>31</v>
      </c>
      <c r="I182" s="22" t="s">
        <v>32</v>
      </c>
      <c r="J182" s="20">
        <f t="shared" si="19"/>
        <v>45589.6379</v>
      </c>
      <c r="K182" s="22" t="s">
        <v>65</v>
      </c>
      <c r="L182" s="22" t="s">
        <v>32</v>
      </c>
      <c r="M182" s="20">
        <f t="shared" si="20"/>
        <v>45589.70942</v>
      </c>
      <c r="N182" s="8" t="str">
        <f t="shared" si="3"/>
        <v>SELESAI</v>
      </c>
      <c r="O182" s="23">
        <f t="shared" si="21"/>
        <v>45589.70942</v>
      </c>
      <c r="P182" s="24" t="b">
        <v>0</v>
      </c>
      <c r="Q182" s="20" t="str">
        <f t="shared" si="5"/>
        <v/>
      </c>
      <c r="R182" s="24" t="b">
        <v>1</v>
      </c>
      <c r="S182" s="20">
        <f t="shared" si="6"/>
        <v>45589.70945</v>
      </c>
      <c r="T182" s="7"/>
    </row>
    <row r="183" ht="22.5" hidden="1" customHeight="1">
      <c r="B183" s="7">
        <f t="shared" si="7"/>
        <v>177</v>
      </c>
      <c r="C183" s="18" t="s">
        <v>218</v>
      </c>
      <c r="D183" s="19" t="str">
        <f t="array" ref="D183">IFNA(_xlfn.XLOOKUP(C183,Table_Tarikan_Warkah[Nomor Sertipikat],Table_Tarikan_Warkah[Nomor Tiket]),"")</f>
        <v>L/40/231024/1</v>
      </c>
      <c r="E183" s="20">
        <f t="array" ref="E183">IFNA(_xlfn.XLOOKUP(C183,Table_Tarikan_Warkah[Nomor Sertipikat],Table_Tarikan_Warkah[Tanggal diserahkan kepada Validator]),"")</f>
        <v>45588.69515</v>
      </c>
      <c r="F183" s="20" t="str">
        <f t="array" ref="F183">IFNA(_xlfn.XLOOKUP(C183,Table_Tarikan_Warkah[Nomor Sertipikat],Table_Tarikan_Warkah[Nama Petugas Warkah]),"")</f>
        <v>Rahma</v>
      </c>
      <c r="G183" s="21" t="str">
        <f t="array" ref="G183">IFNA(_xlfn.XLOOKUP(C183,Table_Tarikan_Warkah[Nomor Sertipikat],Table_Tarikan_Warkah[Jenis Permohonan]),"")</f>
        <v>ROYA</v>
      </c>
      <c r="H183" s="22" t="s">
        <v>31</v>
      </c>
      <c r="I183" s="22" t="s">
        <v>32</v>
      </c>
      <c r="J183" s="20">
        <f t="shared" si="19"/>
        <v>45589.63804</v>
      </c>
      <c r="K183" s="22" t="s">
        <v>65</v>
      </c>
      <c r="L183" s="22" t="s">
        <v>32</v>
      </c>
      <c r="M183" s="20">
        <f t="shared" si="20"/>
        <v>45589.70997</v>
      </c>
      <c r="N183" s="8" t="str">
        <f t="shared" si="3"/>
        <v>SELESAI</v>
      </c>
      <c r="O183" s="23">
        <f t="shared" si="21"/>
        <v>45589.70997</v>
      </c>
      <c r="P183" s="24" t="b">
        <v>0</v>
      </c>
      <c r="Q183" s="20" t="str">
        <f t="shared" si="5"/>
        <v/>
      </c>
      <c r="R183" s="24" t="b">
        <v>1</v>
      </c>
      <c r="S183" s="20">
        <f t="shared" si="6"/>
        <v>45589.71003</v>
      </c>
      <c r="T183" s="7"/>
    </row>
    <row r="184" ht="22.5" hidden="1" customHeight="1">
      <c r="B184" s="7">
        <f t="shared" si="7"/>
        <v>178</v>
      </c>
      <c r="C184" s="18" t="s">
        <v>219</v>
      </c>
      <c r="D184" s="19" t="str">
        <f t="array" ref="D184">IFNA(_xlfn.XLOOKUP(C184,Table_Tarikan_Warkah[Nomor Sertipikat],Table_Tarikan_Warkah[Nomor Tiket]),"")</f>
        <v>K/50/231024/1</v>
      </c>
      <c r="E184" s="20">
        <f t="array" ref="E184">IFNA(_xlfn.XLOOKUP(C184,Table_Tarikan_Warkah[Nomor Sertipikat],Table_Tarikan_Warkah[Tanggal diserahkan kepada Validator]),"")</f>
        <v>45588.69646</v>
      </c>
      <c r="F184" s="20" t="str">
        <f t="array" ref="F184">IFNA(_xlfn.XLOOKUP(C184,Table_Tarikan_Warkah[Nomor Sertipikat],Table_Tarikan_Warkah[Nama Petugas Warkah]),"")</f>
        <v>Rahma</v>
      </c>
      <c r="G184" s="21" t="str">
        <f t="array" ref="G184">IFNA(_xlfn.XLOOKUP(C184,Table_Tarikan_Warkah[Nomor Sertipikat],Table_Tarikan_Warkah[Jenis Permohonan]),"")</f>
        <v>BN JUAL BELI</v>
      </c>
      <c r="H184" s="22" t="s">
        <v>31</v>
      </c>
      <c r="I184" s="22" t="s">
        <v>32</v>
      </c>
      <c r="J184" s="20">
        <f t="shared" si="19"/>
        <v>45589.63816</v>
      </c>
      <c r="K184" s="22" t="s">
        <v>65</v>
      </c>
      <c r="L184" s="22" t="s">
        <v>32</v>
      </c>
      <c r="M184" s="20">
        <f t="shared" si="20"/>
        <v>45589.70968</v>
      </c>
      <c r="N184" s="8" t="str">
        <f t="shared" si="3"/>
        <v>SELESAI</v>
      </c>
      <c r="O184" s="23">
        <f t="shared" si="21"/>
        <v>45589.70968</v>
      </c>
      <c r="P184" s="24" t="b">
        <v>0</v>
      </c>
      <c r="Q184" s="20" t="str">
        <f t="shared" si="5"/>
        <v/>
      </c>
      <c r="R184" s="24" t="b">
        <v>1</v>
      </c>
      <c r="S184" s="20">
        <f t="shared" si="6"/>
        <v>45589.70971</v>
      </c>
      <c r="T184" s="7"/>
    </row>
    <row r="185" ht="22.5" hidden="1" customHeight="1">
      <c r="B185" s="7">
        <f t="shared" si="7"/>
        <v>179</v>
      </c>
      <c r="C185" s="18" t="s">
        <v>220</v>
      </c>
      <c r="D185" s="19" t="str">
        <f t="array" ref="D185">IFNA(_xlfn.XLOOKUP(C185,Table_Tarikan_Warkah[Nomor Sertipikat],Table_Tarikan_Warkah[Nomor Tiket]),"")</f>
        <v>K/43/221024/1</v>
      </c>
      <c r="E185" s="20">
        <f t="array" ref="E185">IFNA(_xlfn.XLOOKUP(C185,Table_Tarikan_Warkah[Nomor Sertipikat],Table_Tarikan_Warkah[Tanggal diserahkan kepada Validator]),"")</f>
        <v>45588.38406</v>
      </c>
      <c r="F185" s="20" t="str">
        <f t="array" ref="F185">IFNA(_xlfn.XLOOKUP(C185,Table_Tarikan_Warkah[Nomor Sertipikat],Table_Tarikan_Warkah[Nama Petugas Warkah]),"")</f>
        <v>David</v>
      </c>
      <c r="G185" s="21" t="str">
        <f t="array" ref="G185">IFNA(_xlfn.XLOOKUP(C185,Table_Tarikan_Warkah[Nomor Sertipikat],Table_Tarikan_Warkah[Jenis Permohonan]),"")</f>
        <v>BN Jual Beli</v>
      </c>
      <c r="H185" s="22" t="s">
        <v>37</v>
      </c>
      <c r="I185" s="22" t="s">
        <v>32</v>
      </c>
      <c r="J185" s="20">
        <f t="shared" si="19"/>
        <v>45589.64608</v>
      </c>
      <c r="K185" s="22" t="s">
        <v>65</v>
      </c>
      <c r="L185" s="22" t="s">
        <v>32</v>
      </c>
      <c r="M185" s="20">
        <f t="shared" si="20"/>
        <v>45594.38036</v>
      </c>
      <c r="N185" s="8" t="str">
        <f t="shared" si="3"/>
        <v>SELESAI</v>
      </c>
      <c r="O185" s="23">
        <f t="shared" ref="O185:O2006" si="22">IF(N185="Selesai",IF(M185&lt;&gt;"",M185,NOW()),"")</f>
        <v>45594.38036</v>
      </c>
      <c r="P185" s="24" t="b">
        <v>0</v>
      </c>
      <c r="Q185" s="20" t="str">
        <f t="shared" si="5"/>
        <v/>
      </c>
      <c r="R185" s="24" t="b">
        <v>1</v>
      </c>
      <c r="S185" s="20">
        <f t="shared" si="6"/>
        <v>45594.38039</v>
      </c>
      <c r="T185" s="7"/>
    </row>
    <row r="186" ht="22.5" hidden="1" customHeight="1">
      <c r="B186" s="7">
        <f t="shared" si="7"/>
        <v>180</v>
      </c>
      <c r="C186" s="18" t="s">
        <v>221</v>
      </c>
      <c r="D186" s="19" t="str">
        <f t="array" ref="D186">IFNA(_xlfn.XLOOKUP(C186,Table_Tarikan_Warkah[Nomor Sertipikat],Table_Tarikan_Warkah[Nomor Tiket]),"")</f>
        <v>K/49/221024/1</v>
      </c>
      <c r="E186" s="20">
        <f t="array" ref="E186">IFNA(_xlfn.XLOOKUP(C186,Table_Tarikan_Warkah[Nomor Sertipikat],Table_Tarikan_Warkah[Tanggal diserahkan kepada Validator]),"")</f>
        <v>45588.46426</v>
      </c>
      <c r="F186" s="20" t="str">
        <f t="array" ref="F186">IFNA(_xlfn.XLOOKUP(C186,Table_Tarikan_Warkah[Nomor Sertipikat],Table_Tarikan_Warkah[Nama Petugas Warkah]),"")</f>
        <v>Rahma</v>
      </c>
      <c r="G186" s="21" t="str">
        <f t="array" ref="G186">IFNA(_xlfn.XLOOKUP(C186,Table_Tarikan_Warkah[Nomor Sertipikat],Table_Tarikan_Warkah[Jenis Permohonan]),"")</f>
        <v>Roya</v>
      </c>
      <c r="H186" s="22" t="s">
        <v>37</v>
      </c>
      <c r="I186" s="22" t="s">
        <v>32</v>
      </c>
      <c r="J186" s="20">
        <f t="shared" si="19"/>
        <v>45589.64809</v>
      </c>
      <c r="K186" s="22" t="s">
        <v>33</v>
      </c>
      <c r="L186" s="22" t="s">
        <v>32</v>
      </c>
      <c r="M186" s="20">
        <f t="shared" si="20"/>
        <v>45594.39969</v>
      </c>
      <c r="N186" s="8" t="str">
        <f t="shared" si="3"/>
        <v>SELESAI</v>
      </c>
      <c r="O186" s="23">
        <f t="shared" si="22"/>
        <v>45594.39969</v>
      </c>
      <c r="P186" s="24" t="b">
        <v>0</v>
      </c>
      <c r="Q186" s="20" t="str">
        <f t="shared" si="5"/>
        <v/>
      </c>
      <c r="R186" s="24" t="b">
        <v>1</v>
      </c>
      <c r="S186" s="20">
        <f t="shared" si="6"/>
        <v>45594.39973</v>
      </c>
      <c r="T186" s="7"/>
    </row>
    <row r="187" ht="22.5" hidden="1" customHeight="1">
      <c r="B187" s="7">
        <f t="shared" si="7"/>
        <v>181</v>
      </c>
      <c r="C187" s="18" t="s">
        <v>222</v>
      </c>
      <c r="D187" s="19" t="str">
        <f t="array" ref="D187">IFNA(_xlfn.XLOOKUP(C187,Table_Tarikan_Warkah[Nomor Sertipikat],Table_Tarikan_Warkah[Nomor Tiket]),"")</f>
        <v>K/48/221024/1</v>
      </c>
      <c r="E187" s="20">
        <f t="array" ref="E187">IFNA(_xlfn.XLOOKUP(C187,Table_Tarikan_Warkah[Nomor Sertipikat],Table_Tarikan_Warkah[Tanggal diserahkan kepada Validator]),"")</f>
        <v>45588.46426</v>
      </c>
      <c r="F187" s="20" t="str">
        <f t="array" ref="F187">IFNA(_xlfn.XLOOKUP(C187,Table_Tarikan_Warkah[Nomor Sertipikat],Table_Tarikan_Warkah[Nama Petugas Warkah]),"")</f>
        <v>Rahma</v>
      </c>
      <c r="G187" s="21" t="str">
        <f t="array" ref="G187">IFNA(_xlfn.XLOOKUP(C187,Table_Tarikan_Warkah[Nomor Sertipikat],Table_Tarikan_Warkah[Jenis Permohonan]),"")</f>
        <v>PERALIHAN JUAL BELI</v>
      </c>
      <c r="H187" s="22" t="s">
        <v>37</v>
      </c>
      <c r="I187" s="22" t="s">
        <v>32</v>
      </c>
      <c r="J187" s="20">
        <f t="shared" si="19"/>
        <v>45589.64925</v>
      </c>
      <c r="K187" s="22" t="s">
        <v>65</v>
      </c>
      <c r="L187" s="22" t="s">
        <v>32</v>
      </c>
      <c r="M187" s="20">
        <f t="shared" si="20"/>
        <v>45594.38081</v>
      </c>
      <c r="N187" s="8" t="str">
        <f t="shared" si="3"/>
        <v>SELESAI</v>
      </c>
      <c r="O187" s="23">
        <f t="shared" si="22"/>
        <v>45594.38081</v>
      </c>
      <c r="P187" s="24" t="b">
        <v>0</v>
      </c>
      <c r="Q187" s="20" t="str">
        <f t="shared" si="5"/>
        <v/>
      </c>
      <c r="R187" s="24" t="b">
        <v>1</v>
      </c>
      <c r="S187" s="20">
        <f t="shared" si="6"/>
        <v>45594.38085</v>
      </c>
      <c r="T187" s="7"/>
    </row>
    <row r="188" ht="22.5" hidden="1" customHeight="1">
      <c r="B188" s="7">
        <f t="shared" si="7"/>
        <v>182</v>
      </c>
      <c r="C188" s="18" t="s">
        <v>223</v>
      </c>
      <c r="D188" s="19" t="str">
        <f t="array" ref="D188">IFNA(_xlfn.XLOOKUP(C188,Table_Tarikan_Warkah[Nomor Sertipikat],Table_Tarikan_Warkah[Nomor Tiket]),"")</f>
        <v>L/10/181024/1</v>
      </c>
      <c r="E188" s="20">
        <f t="array" ref="E188">IFNA(_xlfn.XLOOKUP(C188,Table_Tarikan_Warkah[Nomor Sertipikat],Table_Tarikan_Warkah[Tanggal diserahkan kepada Validator]),"")</f>
        <v>45588.38567</v>
      </c>
      <c r="F188" s="20" t="str">
        <f t="array" ref="F188">IFNA(_xlfn.XLOOKUP(C188,Table_Tarikan_Warkah[Nomor Sertipikat],Table_Tarikan_Warkah[Nama Petugas Warkah]),"")</f>
        <v>David</v>
      </c>
      <c r="G188" s="21" t="str">
        <f t="array" ref="G188">IFNA(_xlfn.XLOOKUP(C188,Table_Tarikan_Warkah[Nomor Sertipikat],Table_Tarikan_Warkah[Jenis Permohonan]),"")</f>
        <v>SERTIPIKAT HILANG</v>
      </c>
      <c r="H188" s="22" t="s">
        <v>37</v>
      </c>
      <c r="I188" s="22" t="s">
        <v>32</v>
      </c>
      <c r="J188" s="20">
        <f t="shared" si="19"/>
        <v>45589.6574</v>
      </c>
      <c r="K188" s="22" t="s">
        <v>65</v>
      </c>
      <c r="L188" s="22" t="s">
        <v>32</v>
      </c>
      <c r="M188" s="20">
        <f t="shared" si="20"/>
        <v>45594.38119</v>
      </c>
      <c r="N188" s="8" t="str">
        <f t="shared" si="3"/>
        <v>SELESAI</v>
      </c>
      <c r="O188" s="23">
        <f t="shared" si="22"/>
        <v>45594.38119</v>
      </c>
      <c r="P188" s="24" t="b">
        <v>0</v>
      </c>
      <c r="Q188" s="20" t="str">
        <f t="shared" si="5"/>
        <v/>
      </c>
      <c r="R188" s="24" t="b">
        <v>1</v>
      </c>
      <c r="S188" s="20">
        <f t="shared" si="6"/>
        <v>45594.38122</v>
      </c>
      <c r="T188" s="7"/>
    </row>
    <row r="189" ht="22.5" hidden="1" customHeight="1">
      <c r="B189" s="7">
        <f t="shared" si="7"/>
        <v>183</v>
      </c>
      <c r="C189" s="18" t="s">
        <v>224</v>
      </c>
      <c r="D189" s="19" t="str">
        <f t="array" ref="D189">IFNA(_xlfn.XLOOKUP(C189,Table_Tarikan_Warkah[Nomor Sertipikat],Table_Tarikan_Warkah[Nomor Tiket]),"")</f>
        <v/>
      </c>
      <c r="E189" s="20" t="str">
        <f t="array" ref="E189">IFNA(_xlfn.XLOOKUP(C189,Table_Tarikan_Warkah[Nomor Sertipikat],Table_Tarikan_Warkah[Tanggal diserahkan kepada Validator]),"")</f>
        <v/>
      </c>
      <c r="F189" s="20" t="str">
        <f t="array" ref="F189">IFNA(_xlfn.XLOOKUP(C189,Table_Tarikan_Warkah[Nomor Sertipikat],Table_Tarikan_Warkah[Nama Petugas Warkah]),"")</f>
        <v/>
      </c>
      <c r="G189" s="21" t="str">
        <f t="array" ref="G189">IFNA(_xlfn.XLOOKUP(C189,Table_Tarikan_Warkah[Nomor Sertipikat],Table_Tarikan_Warkah[Jenis Permohonan]),"")</f>
        <v/>
      </c>
      <c r="H189" s="22" t="s">
        <v>37</v>
      </c>
      <c r="I189" s="22" t="s">
        <v>32</v>
      </c>
      <c r="J189" s="20">
        <f t="shared" si="19"/>
        <v>45589.6576</v>
      </c>
      <c r="K189" s="22" t="s">
        <v>33</v>
      </c>
      <c r="L189" s="22" t="s">
        <v>32</v>
      </c>
      <c r="M189" s="20">
        <f t="shared" si="20"/>
        <v>45594.40099</v>
      </c>
      <c r="N189" s="8" t="str">
        <f t="shared" si="3"/>
        <v/>
      </c>
      <c r="O189" s="21" t="str">
        <f t="shared" si="22"/>
        <v/>
      </c>
      <c r="P189" s="24" t="b">
        <v>0</v>
      </c>
      <c r="Q189" s="20" t="str">
        <f t="shared" si="5"/>
        <v/>
      </c>
      <c r="R189" s="24" t="b">
        <v>1</v>
      </c>
      <c r="S189" s="20">
        <f t="shared" si="6"/>
        <v>45594.40102</v>
      </c>
      <c r="T189" s="7"/>
    </row>
    <row r="190" ht="22.5" hidden="1" customHeight="1">
      <c r="B190" s="7">
        <f t="shared" si="7"/>
        <v>184</v>
      </c>
      <c r="C190" s="18" t="s">
        <v>225</v>
      </c>
      <c r="D190" s="19" t="str">
        <f t="array" ref="D190">IFNA(_xlfn.XLOOKUP(C190,Table_Tarikan_Warkah[Nomor Sertipikat],Table_Tarikan_Warkah[Nomor Tiket]),"")</f>
        <v>K/57/221024/1</v>
      </c>
      <c r="E190" s="20">
        <f t="array" ref="E190">IFNA(_xlfn.XLOOKUP(C190,Table_Tarikan_Warkah[Nomor Sertipikat],Table_Tarikan_Warkah[Tanggal diserahkan kepada Validator]),"")</f>
        <v>45588.46426</v>
      </c>
      <c r="F190" s="20" t="str">
        <f t="array" ref="F190">IFNA(_xlfn.XLOOKUP(C190,Table_Tarikan_Warkah[Nomor Sertipikat],Table_Tarikan_Warkah[Nama Petugas Warkah]),"")</f>
        <v>Rahma</v>
      </c>
      <c r="G190" s="21" t="str">
        <f t="array" ref="G190">IFNA(_xlfn.XLOOKUP(C190,Table_Tarikan_Warkah[Nomor Sertipikat],Table_Tarikan_Warkah[Jenis Permohonan]),"")</f>
        <v>BN Jual Beli</v>
      </c>
      <c r="H190" s="22" t="s">
        <v>37</v>
      </c>
      <c r="I190" s="22" t="s">
        <v>32</v>
      </c>
      <c r="J190" s="20">
        <f t="shared" si="19"/>
        <v>45589.67453</v>
      </c>
      <c r="K190" s="22" t="s">
        <v>65</v>
      </c>
      <c r="L190" s="22" t="s">
        <v>32</v>
      </c>
      <c r="M190" s="20">
        <f t="shared" si="20"/>
        <v>45594.38879</v>
      </c>
      <c r="N190" s="8" t="str">
        <f t="shared" si="3"/>
        <v>SELESAI</v>
      </c>
      <c r="O190" s="23">
        <f t="shared" si="22"/>
        <v>45594.38879</v>
      </c>
      <c r="P190" s="24" t="b">
        <v>0</v>
      </c>
      <c r="Q190" s="20" t="str">
        <f t="shared" si="5"/>
        <v/>
      </c>
      <c r="R190" s="24" t="b">
        <v>1</v>
      </c>
      <c r="S190" s="20">
        <f t="shared" si="6"/>
        <v>45594.38883</v>
      </c>
      <c r="T190" s="7"/>
    </row>
    <row r="191" ht="22.5" hidden="1" customHeight="1">
      <c r="B191" s="7">
        <f t="shared" si="7"/>
        <v>185</v>
      </c>
      <c r="C191" s="18" t="s">
        <v>226</v>
      </c>
      <c r="D191" s="19" t="str">
        <f t="array" ref="D191">IFNA(_xlfn.XLOOKUP(C191,Table_Tarikan_Warkah[Nomor Sertipikat],Table_Tarikan_Warkah[Nomor Tiket]),"")</f>
        <v>K/24/211024/1</v>
      </c>
      <c r="E191" s="20">
        <f t="array" ref="E191">IFNA(_xlfn.XLOOKUP(C191,Table_Tarikan_Warkah[Nomor Sertipikat],Table_Tarikan_Warkah[Tanggal diserahkan kepada Validator]),"")</f>
        <v>45588.38494</v>
      </c>
      <c r="F191" s="20" t="str">
        <f t="array" ref="F191">IFNA(_xlfn.XLOOKUP(C191,Table_Tarikan_Warkah[Nomor Sertipikat],Table_Tarikan_Warkah[Nama Petugas Warkah]),"")</f>
        <v>David</v>
      </c>
      <c r="G191" s="21" t="str">
        <f t="array" ref="G191">IFNA(_xlfn.XLOOKUP(C191,Table_Tarikan_Warkah[Nomor Sertipikat],Table_Tarikan_Warkah[Jenis Permohonan]),"")</f>
        <v>BN Waris</v>
      </c>
      <c r="H191" s="22" t="s">
        <v>37</v>
      </c>
      <c r="I191" s="22" t="s">
        <v>32</v>
      </c>
      <c r="J191" s="20">
        <f t="shared" si="19"/>
        <v>45589.68219</v>
      </c>
      <c r="K191" s="22" t="s">
        <v>33</v>
      </c>
      <c r="L191" s="22" t="s">
        <v>32</v>
      </c>
      <c r="M191" s="20">
        <f t="shared" si="20"/>
        <v>45594.40157</v>
      </c>
      <c r="N191" s="8" t="str">
        <f t="shared" si="3"/>
        <v>SELESAI</v>
      </c>
      <c r="O191" s="23">
        <f t="shared" si="22"/>
        <v>45594.40157</v>
      </c>
      <c r="P191" s="24" t="b">
        <v>0</v>
      </c>
      <c r="Q191" s="20" t="str">
        <f t="shared" si="5"/>
        <v/>
      </c>
      <c r="R191" s="24" t="b">
        <v>1</v>
      </c>
      <c r="S191" s="20">
        <f t="shared" si="6"/>
        <v>45594.4016</v>
      </c>
      <c r="T191" s="7"/>
    </row>
    <row r="192" ht="22.5" hidden="1" customHeight="1">
      <c r="B192" s="7">
        <f t="shared" si="7"/>
        <v>186</v>
      </c>
      <c r="C192" s="18" t="s">
        <v>227</v>
      </c>
      <c r="D192" s="19" t="str">
        <f t="array" ref="D192">IFNA(_xlfn.XLOOKUP(C192,Table_Tarikan_Warkah[Nomor Sertipikat],Table_Tarikan_Warkah[Nomor Tiket]),"")</f>
        <v>K/55/221024/1</v>
      </c>
      <c r="E192" s="20">
        <f t="array" ref="E192">IFNA(_xlfn.XLOOKUP(C192,Table_Tarikan_Warkah[Nomor Sertipikat],Table_Tarikan_Warkah[Tanggal diserahkan kepada Validator]),"")</f>
        <v>45588.46426</v>
      </c>
      <c r="F192" s="20" t="str">
        <f t="array" ref="F192">IFNA(_xlfn.XLOOKUP(C192,Table_Tarikan_Warkah[Nomor Sertipikat],Table_Tarikan_Warkah[Nama Petugas Warkah]),"")</f>
        <v>Rahma</v>
      </c>
      <c r="G192" s="21" t="str">
        <f t="array" ref="G192">IFNA(_xlfn.XLOOKUP(C192,Table_Tarikan_Warkah[Nomor Sertipikat],Table_Tarikan_Warkah[Jenis Permohonan]),"")</f>
        <v>PERALIHAN JUAL BELI</v>
      </c>
      <c r="H192" s="22" t="s">
        <v>37</v>
      </c>
      <c r="I192" s="22" t="s">
        <v>32</v>
      </c>
      <c r="J192" s="20">
        <f t="shared" si="19"/>
        <v>45589.74</v>
      </c>
      <c r="K192" s="22" t="s">
        <v>65</v>
      </c>
      <c r="L192" s="22" t="s">
        <v>32</v>
      </c>
      <c r="M192" s="20">
        <f t="shared" si="20"/>
        <v>45594.38784</v>
      </c>
      <c r="N192" s="8" t="str">
        <f t="shared" si="3"/>
        <v>SELESAI</v>
      </c>
      <c r="O192" s="23">
        <f t="shared" si="22"/>
        <v>45594.38784</v>
      </c>
      <c r="P192" s="24" t="b">
        <v>0</v>
      </c>
      <c r="Q192" s="20" t="str">
        <f t="shared" si="5"/>
        <v/>
      </c>
      <c r="R192" s="24" t="b">
        <v>1</v>
      </c>
      <c r="S192" s="20">
        <f t="shared" si="6"/>
        <v>45594.38788</v>
      </c>
      <c r="T192" s="7"/>
    </row>
    <row r="193" ht="22.5" hidden="1" customHeight="1">
      <c r="B193" s="7">
        <f t="shared" si="7"/>
        <v>187</v>
      </c>
      <c r="C193" s="18" t="s">
        <v>228</v>
      </c>
      <c r="D193" s="19" t="str">
        <f t="array" ref="D193">IFNA(_xlfn.XLOOKUP(C193,Table_Tarikan_Warkah[Nomor Sertipikat],Table_Tarikan_Warkah[Nomor Tiket]),"")</f>
        <v>K/4/241024/1</v>
      </c>
      <c r="E193" s="20">
        <f t="array" ref="E193">IFNA(_xlfn.XLOOKUP(C193,Table_Tarikan_Warkah[Nomor Sertipikat],Table_Tarikan_Warkah[Tanggal diserahkan kepada Validator]),"")</f>
        <v>45589.66043</v>
      </c>
      <c r="F193" s="20" t="str">
        <f t="array" ref="F193">IFNA(_xlfn.XLOOKUP(C193,Table_Tarikan_Warkah[Nomor Sertipikat],Table_Tarikan_Warkah[Nama Petugas Warkah]),"")</f>
        <v>Berry</v>
      </c>
      <c r="G193" s="21" t="str">
        <f t="array" ref="G193">IFNA(_xlfn.XLOOKUP(C193,Table_Tarikan_Warkah[Nomor Sertipikat],Table_Tarikan_Warkah[Jenis Permohonan]),"")</f>
        <v>BN Jual Beli</v>
      </c>
      <c r="H193" s="22" t="s">
        <v>37</v>
      </c>
      <c r="I193" s="22" t="s">
        <v>32</v>
      </c>
      <c r="J193" s="20">
        <f t="shared" si="19"/>
        <v>45589.76768</v>
      </c>
      <c r="K193" s="22" t="s">
        <v>33</v>
      </c>
      <c r="L193" s="22" t="s">
        <v>32</v>
      </c>
      <c r="M193" s="20">
        <f t="shared" si="20"/>
        <v>45594.40186</v>
      </c>
      <c r="N193" s="8" t="str">
        <f t="shared" si="3"/>
        <v>SELESAI</v>
      </c>
      <c r="O193" s="23">
        <f t="shared" si="22"/>
        <v>45594.40186</v>
      </c>
      <c r="P193" s="24" t="b">
        <v>0</v>
      </c>
      <c r="Q193" s="20" t="str">
        <f t="shared" si="5"/>
        <v/>
      </c>
      <c r="R193" s="24" t="b">
        <v>1</v>
      </c>
      <c r="S193" s="20">
        <f t="shared" si="6"/>
        <v>45594.4019</v>
      </c>
      <c r="T193" s="7"/>
    </row>
    <row r="194" ht="22.5" hidden="1" customHeight="1">
      <c r="B194" s="7">
        <f t="shared" si="7"/>
        <v>188</v>
      </c>
      <c r="C194" s="18" t="s">
        <v>229</v>
      </c>
      <c r="D194" s="19" t="str">
        <f t="array" ref="D194">IFNA(_xlfn.XLOOKUP(C194,Table_Tarikan_Warkah[Nomor Sertipikat],Table_Tarikan_Warkah[Nomor Tiket]),"")</f>
        <v/>
      </c>
      <c r="E194" s="20" t="str">
        <f t="array" ref="E194">IFNA(_xlfn.XLOOKUP(C194,Table_Tarikan_Warkah[Nomor Sertipikat],Table_Tarikan_Warkah[Tanggal diserahkan kepada Validator]),"")</f>
        <v/>
      </c>
      <c r="F194" s="20" t="str">
        <f t="array" ref="F194">IFNA(_xlfn.XLOOKUP(C194,Table_Tarikan_Warkah[Nomor Sertipikat],Table_Tarikan_Warkah[Nama Petugas Warkah]),"")</f>
        <v/>
      </c>
      <c r="G194" s="21" t="str">
        <f t="array" ref="G194">IFNA(_xlfn.XLOOKUP(C194,Table_Tarikan_Warkah[Nomor Sertipikat],Table_Tarikan_Warkah[Jenis Permohonan]),"")</f>
        <v/>
      </c>
      <c r="H194" s="22" t="s">
        <v>37</v>
      </c>
      <c r="I194" s="22" t="s">
        <v>32</v>
      </c>
      <c r="J194" s="20">
        <f t="shared" si="19"/>
        <v>45589.76928</v>
      </c>
      <c r="K194" s="22" t="s">
        <v>33</v>
      </c>
      <c r="L194" s="22" t="s">
        <v>32</v>
      </c>
      <c r="M194" s="20">
        <f t="shared" si="20"/>
        <v>45594.39887</v>
      </c>
      <c r="N194" s="8" t="str">
        <f t="shared" si="3"/>
        <v/>
      </c>
      <c r="O194" s="21" t="str">
        <f t="shared" si="22"/>
        <v/>
      </c>
      <c r="P194" s="24" t="b">
        <v>0</v>
      </c>
      <c r="Q194" s="20" t="str">
        <f t="shared" si="5"/>
        <v/>
      </c>
      <c r="R194" s="24" t="b">
        <v>1</v>
      </c>
      <c r="S194" s="20">
        <f t="shared" si="6"/>
        <v>45594.39892</v>
      </c>
      <c r="T194" s="7"/>
    </row>
    <row r="195" ht="22.5" hidden="1" customHeight="1">
      <c r="B195" s="7">
        <f t="shared" si="7"/>
        <v>189</v>
      </c>
      <c r="C195" s="18" t="s">
        <v>230</v>
      </c>
      <c r="D195" s="19" t="str">
        <f t="array" ref="D195">IFNA(_xlfn.XLOOKUP(C195,Table_Tarikan_Warkah[Nomor Sertipikat],Table_Tarikan_Warkah[Nomor Tiket]),"")</f>
        <v>K/7/241024/1</v>
      </c>
      <c r="E195" s="20">
        <f t="array" ref="E195">IFNA(_xlfn.XLOOKUP(C195,Table_Tarikan_Warkah[Nomor Sertipikat],Table_Tarikan_Warkah[Tanggal diserahkan kepada Validator]),"")</f>
        <v>45589.66078</v>
      </c>
      <c r="F195" s="20" t="str">
        <f t="array" ref="F195">IFNA(_xlfn.XLOOKUP(C195,Table_Tarikan_Warkah[Nomor Sertipikat],Table_Tarikan_Warkah[Nama Petugas Warkah]),"")</f>
        <v>Berry</v>
      </c>
      <c r="G195" s="21" t="str">
        <f t="array" ref="G195">IFNA(_xlfn.XLOOKUP(C195,Table_Tarikan_Warkah[Nomor Sertipikat],Table_Tarikan_Warkah[Jenis Permohonan]),"")</f>
        <v>ROYA</v>
      </c>
      <c r="H195" s="22" t="s">
        <v>37</v>
      </c>
      <c r="I195" s="22" t="s">
        <v>32</v>
      </c>
      <c r="J195" s="20">
        <f t="shared" si="19"/>
        <v>45589.77097</v>
      </c>
      <c r="K195" s="22" t="s">
        <v>33</v>
      </c>
      <c r="L195" s="22" t="s">
        <v>32</v>
      </c>
      <c r="M195" s="20">
        <f t="shared" si="20"/>
        <v>45594.403</v>
      </c>
      <c r="N195" s="8" t="str">
        <f t="shared" si="3"/>
        <v>SELESAI</v>
      </c>
      <c r="O195" s="23">
        <f t="shared" si="22"/>
        <v>45594.403</v>
      </c>
      <c r="P195" s="24" t="b">
        <v>0</v>
      </c>
      <c r="Q195" s="20" t="str">
        <f t="shared" si="5"/>
        <v/>
      </c>
      <c r="R195" s="24" t="b">
        <v>1</v>
      </c>
      <c r="S195" s="20">
        <f t="shared" si="6"/>
        <v>45594.38712</v>
      </c>
      <c r="T195" s="7"/>
    </row>
    <row r="196" ht="22.5" hidden="1" customHeight="1">
      <c r="B196" s="7">
        <f t="shared" si="7"/>
        <v>190</v>
      </c>
      <c r="C196" s="18" t="s">
        <v>231</v>
      </c>
      <c r="D196" s="19" t="str">
        <f t="array" ref="D196">IFNA(_xlfn.XLOOKUP(C196,Table_Tarikan_Warkah[Nomor Sertipikat],Table_Tarikan_Warkah[Nomor Tiket]),"")</f>
        <v>K/13/231024/1</v>
      </c>
      <c r="E196" s="20">
        <f t="array" ref="E196">IFNA(_xlfn.XLOOKUP(C196,Table_Tarikan_Warkah[Nomor Sertipikat],Table_Tarikan_Warkah[Tanggal diserahkan kepada Validator]),"")</f>
        <v>45588.60138</v>
      </c>
      <c r="F196" s="20" t="str">
        <f t="array" ref="F196">IFNA(_xlfn.XLOOKUP(C196,Table_Tarikan_Warkah[Nomor Sertipikat],Table_Tarikan_Warkah[Nama Petugas Warkah]),"")</f>
        <v>Rahma</v>
      </c>
      <c r="G196" s="21" t="str">
        <f t="array" ref="G196">IFNA(_xlfn.XLOOKUP(C196,Table_Tarikan_Warkah[Nomor Sertipikat],Table_Tarikan_Warkah[Jenis Permohonan]),"")</f>
        <v>Perubahan Hak</v>
      </c>
      <c r="H196" s="22" t="s">
        <v>37</v>
      </c>
      <c r="I196" s="22" t="s">
        <v>32</v>
      </c>
      <c r="J196" s="20">
        <f t="shared" si="19"/>
        <v>45590.45716</v>
      </c>
      <c r="K196" s="22" t="s">
        <v>65</v>
      </c>
      <c r="L196" s="22" t="s">
        <v>32</v>
      </c>
      <c r="M196" s="20">
        <f t="shared" si="20"/>
        <v>45594.36704</v>
      </c>
      <c r="N196" s="8" t="str">
        <f t="shared" si="3"/>
        <v>SELESAI</v>
      </c>
      <c r="O196" s="23">
        <f t="shared" si="22"/>
        <v>45594.36704</v>
      </c>
      <c r="P196" s="24" t="b">
        <v>0</v>
      </c>
      <c r="Q196" s="20" t="str">
        <f t="shared" si="5"/>
        <v/>
      </c>
      <c r="R196" s="24" t="b">
        <v>1</v>
      </c>
      <c r="S196" s="20">
        <f t="shared" si="6"/>
        <v>45594.36707</v>
      </c>
      <c r="T196" s="7"/>
    </row>
    <row r="197" ht="22.5" hidden="1" customHeight="1">
      <c r="B197" s="7">
        <f t="shared" si="7"/>
        <v>191</v>
      </c>
      <c r="C197" s="18" t="s">
        <v>232</v>
      </c>
      <c r="D197" s="19" t="str">
        <f t="array" ref="D197">IFNA(_xlfn.XLOOKUP(C197,Table_Tarikan_Warkah[Nomor Sertipikat],Table_Tarikan_Warkah[Nomor Tiket]),"")</f>
        <v>L/22/241024/1</v>
      </c>
      <c r="E197" s="20">
        <f t="array" ref="E197">IFNA(_xlfn.XLOOKUP(C197,Table_Tarikan_Warkah[Nomor Sertipikat],Table_Tarikan_Warkah[Tanggal diserahkan kepada Validator]),"")</f>
        <v>45589.67339</v>
      </c>
      <c r="F197" s="20" t="str">
        <f t="array" ref="F197">IFNA(_xlfn.XLOOKUP(C197,Table_Tarikan_Warkah[Nomor Sertipikat],Table_Tarikan_Warkah[Nama Petugas Warkah]),"")</f>
        <v>David</v>
      </c>
      <c r="G197" s="21" t="str">
        <f t="array" ref="G197">IFNA(_xlfn.XLOOKUP(C197,Table_Tarikan_Warkah[Nomor Sertipikat],Table_Tarikan_Warkah[Jenis Permohonan]),"")</f>
        <v>ROYA</v>
      </c>
      <c r="H197" s="22" t="s">
        <v>37</v>
      </c>
      <c r="I197" s="22" t="s">
        <v>32</v>
      </c>
      <c r="J197" s="20">
        <f t="shared" si="19"/>
        <v>45590.46938</v>
      </c>
      <c r="K197" s="22" t="s">
        <v>65</v>
      </c>
      <c r="L197" s="22" t="s">
        <v>32</v>
      </c>
      <c r="M197" s="20">
        <f t="shared" si="20"/>
        <v>45594.36648</v>
      </c>
      <c r="N197" s="8" t="str">
        <f t="shared" si="3"/>
        <v>SELESAI</v>
      </c>
      <c r="O197" s="23">
        <f t="shared" si="22"/>
        <v>45594.36648</v>
      </c>
      <c r="P197" s="24" t="b">
        <v>0</v>
      </c>
      <c r="Q197" s="20" t="str">
        <f t="shared" si="5"/>
        <v/>
      </c>
      <c r="R197" s="24" t="b">
        <v>1</v>
      </c>
      <c r="S197" s="20">
        <f t="shared" si="6"/>
        <v>45594.36658</v>
      </c>
      <c r="T197" s="7"/>
    </row>
    <row r="198" ht="22.5" hidden="1" customHeight="1">
      <c r="B198" s="7">
        <f t="shared" si="7"/>
        <v>192</v>
      </c>
      <c r="C198" s="18" t="s">
        <v>233</v>
      </c>
      <c r="D198" s="19" t="str">
        <f t="array" ref="D198">IFNA(_xlfn.XLOOKUP(C198,Table_Tarikan_Warkah[Nomor Sertipikat],Table_Tarikan_Warkah[Nomor Tiket]),"")</f>
        <v>K/21/241024/1</v>
      </c>
      <c r="E198" s="20">
        <f t="array" ref="E198">IFNA(_xlfn.XLOOKUP(C198,Table_Tarikan_Warkah[Nomor Sertipikat],Table_Tarikan_Warkah[Tanggal diserahkan kepada Validator]),"")</f>
        <v>45589.67316</v>
      </c>
      <c r="F198" s="20" t="str">
        <f t="array" ref="F198">IFNA(_xlfn.XLOOKUP(C198,Table_Tarikan_Warkah[Nomor Sertipikat],Table_Tarikan_Warkah[Nama Petugas Warkah]),"")</f>
        <v>David</v>
      </c>
      <c r="G198" s="21" t="str">
        <f t="array" ref="G198">IFNA(_xlfn.XLOOKUP(C198,Table_Tarikan_Warkah[Nomor Sertipikat],Table_Tarikan_Warkah[Jenis Permohonan]),"")</f>
        <v>BN Jual Beli</v>
      </c>
      <c r="H198" s="22" t="s">
        <v>37</v>
      </c>
      <c r="I198" s="22" t="s">
        <v>32</v>
      </c>
      <c r="J198" s="20">
        <f t="shared" si="19"/>
        <v>45590.48569</v>
      </c>
      <c r="K198" s="22" t="s">
        <v>33</v>
      </c>
      <c r="L198" s="22" t="s">
        <v>32</v>
      </c>
      <c r="M198" s="20">
        <f t="shared" si="20"/>
        <v>45594.37135</v>
      </c>
      <c r="N198" s="8" t="str">
        <f t="shared" si="3"/>
        <v>SELESAI</v>
      </c>
      <c r="O198" s="23">
        <f t="shared" si="22"/>
        <v>45594.37135</v>
      </c>
      <c r="P198" s="24" t="b">
        <v>0</v>
      </c>
      <c r="Q198" s="20" t="str">
        <f t="shared" si="5"/>
        <v/>
      </c>
      <c r="R198" s="24" t="b">
        <v>1</v>
      </c>
      <c r="S198" s="20">
        <f t="shared" si="6"/>
        <v>45594.37138</v>
      </c>
      <c r="T198" s="7"/>
    </row>
    <row r="199" ht="22.5" hidden="1" customHeight="1">
      <c r="B199" s="7">
        <f t="shared" si="7"/>
        <v>193</v>
      </c>
      <c r="C199" s="18" t="s">
        <v>234</v>
      </c>
      <c r="D199" s="19" t="str">
        <f t="array" ref="D199">IFNA(_xlfn.XLOOKUP(C199,Table_Tarikan_Warkah[Nomor Sertipikat],Table_Tarikan_Warkah[Nomor Tiket]),"")</f>
        <v>K/29/211024/1</v>
      </c>
      <c r="E199" s="20" t="str">
        <f t="array" ref="E199">IFNA(_xlfn.XLOOKUP(C199,Table_Tarikan_Warkah[Nomor Sertipikat],Table_Tarikan_Warkah[Tanggal diserahkan kepada Validator]),"")</f>
        <v/>
      </c>
      <c r="F199" s="20" t="str">
        <f t="array" ref="F199">IFNA(_xlfn.XLOOKUP(C199,Table_Tarikan_Warkah[Nomor Sertipikat],Table_Tarikan_Warkah[Nama Petugas Warkah]),"")</f>
        <v/>
      </c>
      <c r="G199" s="21" t="str">
        <f t="array" ref="G199">IFNA(_xlfn.XLOOKUP(C199,Table_Tarikan_Warkah[Nomor Sertipikat],Table_Tarikan_Warkah[Jenis Permohonan]),"")</f>
        <v>Roya</v>
      </c>
      <c r="H199" s="22" t="s">
        <v>37</v>
      </c>
      <c r="I199" s="22" t="s">
        <v>187</v>
      </c>
      <c r="J199" s="20">
        <f>IF(OR(I199="Selesai",I199="SELESAI (VIA PERMOHONAN)"),IF(J199&lt;&gt;"",J199,NOW()),"")</f>
        <v>45591.36996</v>
      </c>
      <c r="K199" s="22" t="s">
        <v>33</v>
      </c>
      <c r="L199" s="22" t="s">
        <v>187</v>
      </c>
      <c r="M199" s="20">
        <f>IF(OR(L199="Selesai",L199="SELESAI (VIA PERMOHONAN)"),IF(M199&lt;&gt;"",M199,NOW()),"")</f>
        <v>45594.40284</v>
      </c>
      <c r="N199" s="8" t="str">
        <f t="shared" si="3"/>
        <v>Selesai</v>
      </c>
      <c r="O199" s="23">
        <f t="shared" si="22"/>
        <v>45594.40284</v>
      </c>
      <c r="P199" s="24" t="b">
        <v>1</v>
      </c>
      <c r="Q199" s="20">
        <f t="shared" si="5"/>
        <v>45594.40316</v>
      </c>
      <c r="R199" s="24" t="b">
        <v>0</v>
      </c>
      <c r="S199" s="7" t="str">
        <f t="shared" si="6"/>
        <v/>
      </c>
      <c r="T199" s="7"/>
    </row>
    <row r="200" ht="22.5" hidden="1" customHeight="1">
      <c r="B200" s="7">
        <f t="shared" si="7"/>
        <v>194</v>
      </c>
      <c r="C200" s="18" t="s">
        <v>235</v>
      </c>
      <c r="D200" s="19" t="str">
        <f t="array" ref="D200">IFNA(_xlfn.XLOOKUP(C200,Table_Tarikan_Warkah[Nomor Sertipikat],Table_Tarikan_Warkah[Nomor Tiket]),"")</f>
        <v>L/14/241024/1</v>
      </c>
      <c r="E200" s="20">
        <f t="array" ref="E200">IFNA(_xlfn.XLOOKUP(C200,Table_Tarikan_Warkah[Nomor Sertipikat],Table_Tarikan_Warkah[Tanggal diserahkan kepada Validator]),"")</f>
        <v>45589.67256</v>
      </c>
      <c r="F200" s="20" t="str">
        <f t="array" ref="F200">IFNA(_xlfn.XLOOKUP(C200,Table_Tarikan_Warkah[Nomor Sertipikat],Table_Tarikan_Warkah[Nama Petugas Warkah]),"")</f>
        <v>David</v>
      </c>
      <c r="G200" s="21" t="str">
        <f t="array" ref="G200">IFNA(_xlfn.XLOOKUP(C200,Table_Tarikan_Warkah[Nomor Sertipikat],Table_Tarikan_Warkah[Jenis Permohonan]),"")</f>
        <v>ROYA</v>
      </c>
      <c r="H200" s="22" t="s">
        <v>37</v>
      </c>
      <c r="I200" s="22" t="s">
        <v>32</v>
      </c>
      <c r="J200" s="20">
        <f t="shared" ref="J200:J202" si="23">IF(I200="Selesai",IF(J200&lt;&gt;"",J200,NOW()),"")</f>
        <v>45590.61641</v>
      </c>
      <c r="K200" s="22" t="s">
        <v>65</v>
      </c>
      <c r="L200" s="22" t="s">
        <v>32</v>
      </c>
      <c r="M200" s="20">
        <f t="shared" ref="M200:M202" si="24">IF(L200="Selesai",IF(M200&lt;&gt;"",M200,NOW()),"")</f>
        <v>45594.36806</v>
      </c>
      <c r="N200" s="8" t="str">
        <f t="shared" si="3"/>
        <v>SELESAI</v>
      </c>
      <c r="O200" s="23">
        <f t="shared" si="22"/>
        <v>45594.36806</v>
      </c>
      <c r="P200" s="24" t="b">
        <v>0</v>
      </c>
      <c r="Q200" s="20" t="str">
        <f t="shared" si="5"/>
        <v/>
      </c>
      <c r="R200" s="24" t="b">
        <v>1</v>
      </c>
      <c r="S200" s="20">
        <f t="shared" si="6"/>
        <v>45594.36811</v>
      </c>
      <c r="T200" s="7"/>
    </row>
    <row r="201" ht="22.5" hidden="1" customHeight="1">
      <c r="B201" s="7">
        <f t="shared" si="7"/>
        <v>195</v>
      </c>
      <c r="C201" s="18" t="s">
        <v>236</v>
      </c>
      <c r="D201" s="19" t="str">
        <f t="array" ref="D201">IFNA(_xlfn.XLOOKUP(C201,Table_Tarikan_Warkah[Nomor Sertipikat],Table_Tarikan_Warkah[Nomor Tiket]),"")</f>
        <v>K/13/241024/2</v>
      </c>
      <c r="E201" s="20">
        <f t="array" ref="E201">IFNA(_xlfn.XLOOKUP(C201,Table_Tarikan_Warkah[Nomor Sertipikat],Table_Tarikan_Warkah[Tanggal diserahkan kepada Validator]),"")</f>
        <v>45589.67209</v>
      </c>
      <c r="F201" s="20" t="str">
        <f t="array" ref="F201">IFNA(_xlfn.XLOOKUP(C201,Table_Tarikan_Warkah[Nomor Sertipikat],Table_Tarikan_Warkah[Nama Petugas Warkah]),"")</f>
        <v>David</v>
      </c>
      <c r="G201" s="21" t="str">
        <f t="array" ref="G201">IFNA(_xlfn.XLOOKUP(C201,Table_Tarikan_Warkah[Nomor Sertipikat],Table_Tarikan_Warkah[Jenis Permohonan]),"")</f>
        <v>BN Jual Beli</v>
      </c>
      <c r="H201" s="22" t="s">
        <v>37</v>
      </c>
      <c r="I201" s="22" t="s">
        <v>32</v>
      </c>
      <c r="J201" s="20">
        <f t="shared" si="23"/>
        <v>45590.61852</v>
      </c>
      <c r="K201" s="22" t="s">
        <v>33</v>
      </c>
      <c r="L201" s="22" t="s">
        <v>32</v>
      </c>
      <c r="M201" s="20">
        <f t="shared" si="24"/>
        <v>45594.37192</v>
      </c>
      <c r="N201" s="8" t="str">
        <f t="shared" si="3"/>
        <v>SELESAI</v>
      </c>
      <c r="O201" s="23">
        <f t="shared" si="22"/>
        <v>45594.37192</v>
      </c>
      <c r="P201" s="24" t="b">
        <v>0</v>
      </c>
      <c r="Q201" s="20" t="str">
        <f t="shared" si="5"/>
        <v/>
      </c>
      <c r="R201" s="24" t="b">
        <v>1</v>
      </c>
      <c r="S201" s="20">
        <f t="shared" si="6"/>
        <v>45594.37196</v>
      </c>
      <c r="T201" s="7"/>
    </row>
    <row r="202" ht="22.5" hidden="1" customHeight="1">
      <c r="B202" s="7">
        <f t="shared" si="7"/>
        <v>196</v>
      </c>
      <c r="C202" s="18" t="s">
        <v>237</v>
      </c>
      <c r="D202" s="19" t="str">
        <f t="array" ref="D202">IFNA(_xlfn.XLOOKUP(C202,Table_Tarikan_Warkah[Nomor Sertipikat],Table_Tarikan_Warkah[Nomor Tiket]),"")</f>
        <v>K/12/241024/1</v>
      </c>
      <c r="E202" s="20">
        <f t="array" ref="E202">IFNA(_xlfn.XLOOKUP(C202,Table_Tarikan_Warkah[Nomor Sertipikat],Table_Tarikan_Warkah[Tanggal diserahkan kepada Validator]),"")</f>
        <v>45589.66114</v>
      </c>
      <c r="F202" s="20" t="str">
        <f t="array" ref="F202">IFNA(_xlfn.XLOOKUP(C202,Table_Tarikan_Warkah[Nomor Sertipikat],Table_Tarikan_Warkah[Nama Petugas Warkah]),"")</f>
        <v>Berry</v>
      </c>
      <c r="G202" s="21" t="str">
        <f t="array" ref="G202">IFNA(_xlfn.XLOOKUP(C202,Table_Tarikan_Warkah[Nomor Sertipikat],Table_Tarikan_Warkah[Jenis Permohonan]),"")</f>
        <v>BN Jual Beli</v>
      </c>
      <c r="H202" s="22" t="s">
        <v>37</v>
      </c>
      <c r="I202" s="22" t="s">
        <v>32</v>
      </c>
      <c r="J202" s="20">
        <f t="shared" si="23"/>
        <v>45590.61961</v>
      </c>
      <c r="K202" s="22" t="s">
        <v>65</v>
      </c>
      <c r="L202" s="22" t="s">
        <v>32</v>
      </c>
      <c r="M202" s="20">
        <f t="shared" si="24"/>
        <v>45594.37052</v>
      </c>
      <c r="N202" s="8" t="str">
        <f t="shared" si="3"/>
        <v>SELESAI</v>
      </c>
      <c r="O202" s="23">
        <f t="shared" si="22"/>
        <v>45594.37052</v>
      </c>
      <c r="P202" s="24" t="b">
        <v>0</v>
      </c>
      <c r="Q202" s="20" t="str">
        <f t="shared" si="5"/>
        <v/>
      </c>
      <c r="R202" s="24" t="b">
        <v>1</v>
      </c>
      <c r="S202" s="20">
        <f t="shared" si="6"/>
        <v>45594.37058</v>
      </c>
      <c r="T202" s="7"/>
    </row>
    <row r="203" ht="22.5" hidden="1" customHeight="1">
      <c r="B203" s="7">
        <f t="shared" si="7"/>
        <v>197</v>
      </c>
      <c r="C203" s="18" t="s">
        <v>238</v>
      </c>
      <c r="D203" s="19" t="str">
        <f t="array" ref="D203">IFNA(_xlfn.XLOOKUP(C203,Table_Tarikan_Warkah[Nomor Sertipikat],Table_Tarikan_Warkah[Nomor Tiket]),"")</f>
        <v>K/36/151024/1</v>
      </c>
      <c r="E203" s="20" t="str">
        <f t="array" ref="E203">IFNA(_xlfn.XLOOKUP(C203,Table_Tarikan_Warkah[Nomor Sertipikat],Table_Tarikan_Warkah[Tanggal diserahkan kepada Validator]),"")</f>
        <v/>
      </c>
      <c r="F203" s="20" t="str">
        <f t="array" ref="F203">IFNA(_xlfn.XLOOKUP(C203,Table_Tarikan_Warkah[Nomor Sertipikat],Table_Tarikan_Warkah[Nama Petugas Warkah]),"")</f>
        <v/>
      </c>
      <c r="G203" s="21" t="str">
        <f t="array" ref="G203">IFNA(_xlfn.XLOOKUP(C203,Table_Tarikan_Warkah[Nomor Sertipikat],Table_Tarikan_Warkah[Jenis Permohonan]),"")</f>
        <v>PERALIHAN LELANG</v>
      </c>
      <c r="H203" s="22" t="s">
        <v>31</v>
      </c>
      <c r="I203" s="22" t="s">
        <v>187</v>
      </c>
      <c r="J203" s="20">
        <f t="shared" ref="J203:J206" si="25">IF(OR(I203="Selesai",I203="SELESAI (VIA PERMOHONAN)"),IF(J203&lt;&gt;"",J203,NOW()),"")</f>
        <v>45591.37109</v>
      </c>
      <c r="K203" s="22" t="s">
        <v>33</v>
      </c>
      <c r="L203" s="22" t="s">
        <v>187</v>
      </c>
      <c r="M203" s="20">
        <f t="shared" ref="M203:M206" si="26">IF(OR(L203="Selesai",L203="SELESAI (VIA PERMOHONAN)"),IF(M203&lt;&gt;"",M203,NOW()),"")</f>
        <v>45593.68708</v>
      </c>
      <c r="N203" s="8" t="str">
        <f t="shared" si="3"/>
        <v>Selesai</v>
      </c>
      <c r="O203" s="23">
        <f t="shared" si="22"/>
        <v>45593.68708</v>
      </c>
      <c r="P203" s="24" t="b">
        <v>1</v>
      </c>
      <c r="Q203" s="20">
        <f t="shared" si="5"/>
        <v>45593.68715</v>
      </c>
      <c r="R203" s="24" t="b">
        <v>0</v>
      </c>
      <c r="S203" s="7" t="str">
        <f t="shared" si="6"/>
        <v/>
      </c>
      <c r="T203" s="7"/>
    </row>
    <row r="204" ht="22.5" hidden="1" customHeight="1">
      <c r="B204" s="7">
        <f t="shared" si="7"/>
        <v>198</v>
      </c>
      <c r="C204" s="18" t="s">
        <v>239</v>
      </c>
      <c r="D204" s="19" t="str">
        <f t="array" ref="D204">IFNA(_xlfn.XLOOKUP(C204,Table_Tarikan_Warkah[Nomor Sertipikat],Table_Tarikan_Warkah[Nomor Tiket]),"")</f>
        <v>K/51/211024/2</v>
      </c>
      <c r="E204" s="20">
        <f t="array" ref="E204">IFNA(_xlfn.XLOOKUP(C204,Table_Tarikan_Warkah[Nomor Sertipikat],Table_Tarikan_Warkah[Tanggal diserahkan kepada Validator]),"")</f>
        <v>45595.46414</v>
      </c>
      <c r="F204" s="20" t="str">
        <f t="array" ref="F204">IFNA(_xlfn.XLOOKUP(C204,Table_Tarikan_Warkah[Nomor Sertipikat],Table_Tarikan_Warkah[Nama Petugas Warkah]),"")</f>
        <v>Sahelia</v>
      </c>
      <c r="G204" s="21" t="str">
        <f t="array" ref="G204">IFNA(_xlfn.XLOOKUP(C204,Table_Tarikan_Warkah[Nomor Sertipikat],Table_Tarikan_Warkah[Jenis Permohonan]),"")</f>
        <v>BN Jual Beli</v>
      </c>
      <c r="H204" s="22" t="s">
        <v>31</v>
      </c>
      <c r="I204" s="22" t="s">
        <v>187</v>
      </c>
      <c r="J204" s="20">
        <f t="shared" si="25"/>
        <v>45591.3711</v>
      </c>
      <c r="K204" s="22" t="s">
        <v>33</v>
      </c>
      <c r="L204" s="22" t="s">
        <v>187</v>
      </c>
      <c r="M204" s="20">
        <f t="shared" si="26"/>
        <v>45594.40435</v>
      </c>
      <c r="N204" s="8" t="str">
        <f t="shared" si="3"/>
        <v>Selesai</v>
      </c>
      <c r="O204" s="23">
        <f t="shared" si="22"/>
        <v>45594.40435</v>
      </c>
      <c r="P204" s="24" t="b">
        <v>1</v>
      </c>
      <c r="Q204" s="20">
        <f t="shared" si="5"/>
        <v>45594.40459</v>
      </c>
      <c r="R204" s="24" t="b">
        <v>0</v>
      </c>
      <c r="S204" s="7" t="str">
        <f t="shared" si="6"/>
        <v/>
      </c>
      <c r="T204" s="7"/>
    </row>
    <row r="205" ht="22.5" hidden="1" customHeight="1">
      <c r="B205" s="7">
        <f t="shared" si="7"/>
        <v>199</v>
      </c>
      <c r="C205" s="18" t="s">
        <v>240</v>
      </c>
      <c r="D205" s="19" t="str">
        <f t="array" ref="D205">IFNA(_xlfn.XLOOKUP(C205,Table_Tarikan_Warkah[Nomor Sertipikat],Table_Tarikan_Warkah[Nomor Tiket]),"")</f>
        <v>K/23/181024/1</v>
      </c>
      <c r="E205" s="20" t="str">
        <f t="array" ref="E205">IFNA(_xlfn.XLOOKUP(C205,Table_Tarikan_Warkah[Nomor Sertipikat],Table_Tarikan_Warkah[Tanggal diserahkan kepada Validator]),"")</f>
        <v/>
      </c>
      <c r="F205" s="20" t="str">
        <f t="array" ref="F205">IFNA(_xlfn.XLOOKUP(C205,Table_Tarikan_Warkah[Nomor Sertipikat],Table_Tarikan_Warkah[Nama Petugas Warkah]),"")</f>
        <v/>
      </c>
      <c r="G205" s="21" t="str">
        <f t="array" ref="G205">IFNA(_xlfn.XLOOKUP(C205,Table_Tarikan_Warkah[Nomor Sertipikat],Table_Tarikan_Warkah[Jenis Permohonan]),"")</f>
        <v>BN Jual Beli</v>
      </c>
      <c r="H205" s="22" t="s">
        <v>31</v>
      </c>
      <c r="I205" s="22" t="s">
        <v>187</v>
      </c>
      <c r="J205" s="20">
        <f t="shared" si="25"/>
        <v>45591.3711</v>
      </c>
      <c r="K205" s="22" t="s">
        <v>33</v>
      </c>
      <c r="L205" s="22" t="s">
        <v>187</v>
      </c>
      <c r="M205" s="20">
        <f t="shared" si="26"/>
        <v>45593.70638</v>
      </c>
      <c r="N205" s="8" t="str">
        <f t="shared" si="3"/>
        <v>Selesai</v>
      </c>
      <c r="O205" s="23">
        <f t="shared" si="22"/>
        <v>45593.70638</v>
      </c>
      <c r="P205" s="24" t="b">
        <v>1</v>
      </c>
      <c r="Q205" s="20">
        <f t="shared" si="5"/>
        <v>45593.70646</v>
      </c>
      <c r="R205" s="24" t="b">
        <v>0</v>
      </c>
      <c r="S205" s="7" t="str">
        <f t="shared" si="6"/>
        <v/>
      </c>
      <c r="T205" s="7"/>
    </row>
    <row r="206" ht="22.5" hidden="1" customHeight="1">
      <c r="B206" s="7">
        <f t="shared" si="7"/>
        <v>200</v>
      </c>
      <c r="C206" s="18" t="s">
        <v>241</v>
      </c>
      <c r="D206" s="19" t="str">
        <f t="array" ref="D206">IFNA(_xlfn.XLOOKUP(C206,Table_Tarikan_Warkah[Nomor Sertipikat],Table_Tarikan_Warkah[Nomor Tiket]),"")</f>
        <v>K/28/181024/1</v>
      </c>
      <c r="E206" s="20" t="str">
        <f t="array" ref="E206">IFNA(_xlfn.XLOOKUP(C206,Table_Tarikan_Warkah[Nomor Sertipikat],Table_Tarikan_Warkah[Tanggal diserahkan kepada Validator]),"")</f>
        <v/>
      </c>
      <c r="F206" s="20" t="str">
        <f t="array" ref="F206">IFNA(_xlfn.XLOOKUP(C206,Table_Tarikan_Warkah[Nomor Sertipikat],Table_Tarikan_Warkah[Nama Petugas Warkah]),"")</f>
        <v/>
      </c>
      <c r="G206" s="21" t="str">
        <f t="array" ref="G206">IFNA(_xlfn.XLOOKUP(C206,Table_Tarikan_Warkah[Nomor Sertipikat],Table_Tarikan_Warkah[Jenis Permohonan]),"")</f>
        <v>Roya</v>
      </c>
      <c r="H206" s="22" t="s">
        <v>31</v>
      </c>
      <c r="I206" s="22" t="s">
        <v>187</v>
      </c>
      <c r="J206" s="20">
        <f t="shared" si="25"/>
        <v>45591.37112</v>
      </c>
      <c r="K206" s="22" t="s">
        <v>65</v>
      </c>
      <c r="L206" s="22" t="s">
        <v>187</v>
      </c>
      <c r="M206" s="20">
        <f t="shared" si="26"/>
        <v>45594.40439</v>
      </c>
      <c r="N206" s="8" t="str">
        <f t="shared" si="3"/>
        <v>Selesai</v>
      </c>
      <c r="O206" s="23">
        <f t="shared" si="22"/>
        <v>45594.40439</v>
      </c>
      <c r="P206" s="24" t="b">
        <v>1</v>
      </c>
      <c r="Q206" s="20">
        <f t="shared" si="5"/>
        <v>45594.40455</v>
      </c>
      <c r="R206" s="24" t="b">
        <v>0</v>
      </c>
      <c r="S206" s="7" t="str">
        <f t="shared" si="6"/>
        <v/>
      </c>
      <c r="T206" s="7"/>
    </row>
    <row r="207" ht="22.5" hidden="1" customHeight="1">
      <c r="B207" s="7">
        <f t="shared" si="7"/>
        <v>201</v>
      </c>
      <c r="C207" s="18" t="s">
        <v>242</v>
      </c>
      <c r="D207" s="19" t="str">
        <f t="array" ref="D207">IFNA(_xlfn.XLOOKUP(C207,Table_Tarikan_Warkah[Nomor Sertipikat],Table_Tarikan_Warkah[Nomor Tiket]),"")</f>
        <v>K/43/241024/1</v>
      </c>
      <c r="E207" s="20">
        <f t="array" ref="E207">IFNA(_xlfn.XLOOKUP(C207,Table_Tarikan_Warkah[Nomor Sertipikat],Table_Tarikan_Warkah[Tanggal diserahkan kepada Validator]),"")</f>
        <v>45589.68051</v>
      </c>
      <c r="F207" s="20" t="str">
        <f t="array" ref="F207">IFNA(_xlfn.XLOOKUP(C207,Table_Tarikan_Warkah[Nomor Sertipikat],Table_Tarikan_Warkah[Nama Petugas Warkah]),"")</f>
        <v>Berry</v>
      </c>
      <c r="G207" s="21" t="str">
        <f t="array" ref="G207">IFNA(_xlfn.XLOOKUP(C207,Table_Tarikan_Warkah[Nomor Sertipikat],Table_Tarikan_Warkah[Jenis Permohonan]),"")</f>
        <v>ROYA</v>
      </c>
      <c r="H207" s="22" t="s">
        <v>31</v>
      </c>
      <c r="I207" s="22" t="s">
        <v>32</v>
      </c>
      <c r="J207" s="20">
        <f t="shared" ref="J207:J224" si="27">IF(I207="Selesai",IF(J207&lt;&gt;"",J207,NOW()),"")</f>
        <v>45590.62156</v>
      </c>
      <c r="K207" s="22" t="s">
        <v>65</v>
      </c>
      <c r="L207" s="22" t="s">
        <v>32</v>
      </c>
      <c r="M207" s="20">
        <f t="shared" ref="M207:M224" si="28">IF(L207="Selesai",IF(M207&lt;&gt;"",M207,NOW()),"")</f>
        <v>45594.40449</v>
      </c>
      <c r="N207" s="8" t="str">
        <f t="shared" si="3"/>
        <v>SELESAI</v>
      </c>
      <c r="O207" s="23">
        <f t="shared" si="22"/>
        <v>45594.40449</v>
      </c>
      <c r="P207" s="24" t="b">
        <v>0</v>
      </c>
      <c r="Q207" s="20" t="str">
        <f t="shared" si="5"/>
        <v/>
      </c>
      <c r="R207" s="24" t="b">
        <v>1</v>
      </c>
      <c r="S207" s="20">
        <f t="shared" si="6"/>
        <v>45595.38122</v>
      </c>
      <c r="T207" s="7"/>
    </row>
    <row r="208" ht="22.5" hidden="1" customHeight="1">
      <c r="B208" s="7">
        <f t="shared" si="7"/>
        <v>202</v>
      </c>
      <c r="C208" s="18" t="s">
        <v>243</v>
      </c>
      <c r="D208" s="19" t="str">
        <f t="array" ref="D208">IFNA(_xlfn.XLOOKUP(C208,Table_Tarikan_Warkah[Nomor Sertipikat],Table_Tarikan_Warkah[Nomor Tiket]),"")</f>
        <v>K/45/241024/2</v>
      </c>
      <c r="E208" s="20">
        <f t="array" ref="E208">IFNA(_xlfn.XLOOKUP(C208,Table_Tarikan_Warkah[Nomor Sertipikat],Table_Tarikan_Warkah[Tanggal diserahkan kepada Validator]),"")</f>
        <v>45589.68089</v>
      </c>
      <c r="F208" s="20" t="str">
        <f t="array" ref="F208">IFNA(_xlfn.XLOOKUP(C208,Table_Tarikan_Warkah[Nomor Sertipikat],Table_Tarikan_Warkah[Nama Petugas Warkah]),"")</f>
        <v>David</v>
      </c>
      <c r="G208" s="21" t="str">
        <f t="array" ref="G208">IFNA(_xlfn.XLOOKUP(C208,Table_Tarikan_Warkah[Nomor Sertipikat],Table_Tarikan_Warkah[Jenis Permohonan]),"")</f>
        <v>BN JUAL BELI</v>
      </c>
      <c r="H208" s="22" t="s">
        <v>31</v>
      </c>
      <c r="I208" s="22" t="s">
        <v>32</v>
      </c>
      <c r="J208" s="20">
        <f t="shared" si="27"/>
        <v>45590.6217</v>
      </c>
      <c r="K208" s="22" t="s">
        <v>65</v>
      </c>
      <c r="L208" s="22" t="s">
        <v>32</v>
      </c>
      <c r="M208" s="20">
        <f t="shared" si="28"/>
        <v>45594.40473</v>
      </c>
      <c r="N208" s="8" t="str">
        <f t="shared" si="3"/>
        <v>SELESAI</v>
      </c>
      <c r="O208" s="23">
        <f t="shared" si="22"/>
        <v>45594.40473</v>
      </c>
      <c r="P208" s="24" t="b">
        <v>0</v>
      </c>
      <c r="Q208" s="20" t="str">
        <f t="shared" si="5"/>
        <v/>
      </c>
      <c r="R208" s="24" t="b">
        <v>1</v>
      </c>
      <c r="S208" s="20">
        <f t="shared" si="6"/>
        <v>45595.38296</v>
      </c>
      <c r="T208" s="7"/>
    </row>
    <row r="209" ht="22.5" hidden="1" customHeight="1">
      <c r="B209" s="7">
        <f t="shared" si="7"/>
        <v>203</v>
      </c>
      <c r="C209" s="18" t="s">
        <v>244</v>
      </c>
      <c r="D209" s="19" t="str">
        <f t="array" ref="D209">IFNA(_xlfn.XLOOKUP(C209,Table_Tarikan_Warkah[Nomor Sertipikat],Table_Tarikan_Warkah[Nomor Tiket]),"")</f>
        <v>L/31/241024/1</v>
      </c>
      <c r="E209" s="20">
        <f t="array" ref="E209">IFNA(_xlfn.XLOOKUP(C209,Table_Tarikan_Warkah[Nomor Sertipikat],Table_Tarikan_Warkah[Tanggal diserahkan kepada Validator]),"")</f>
        <v>45589.67492</v>
      </c>
      <c r="F209" s="20" t="str">
        <f t="array" ref="F209">IFNA(_xlfn.XLOOKUP(C209,Table_Tarikan_Warkah[Nomor Sertipikat],Table_Tarikan_Warkah[Nama Petugas Warkah]),"")</f>
        <v>David</v>
      </c>
      <c r="G209" s="21" t="str">
        <f t="array" ref="G209">IFNA(_xlfn.XLOOKUP(C209,Table_Tarikan_Warkah[Nomor Sertipikat],Table_Tarikan_Warkah[Jenis Permohonan]),"")</f>
        <v>PERUBAHAN HAK</v>
      </c>
      <c r="H209" s="22" t="s">
        <v>31</v>
      </c>
      <c r="I209" s="22" t="s">
        <v>32</v>
      </c>
      <c r="J209" s="20">
        <f t="shared" si="27"/>
        <v>45590.62214</v>
      </c>
      <c r="K209" s="22" t="s">
        <v>65</v>
      </c>
      <c r="L209" s="22" t="s">
        <v>32</v>
      </c>
      <c r="M209" s="20">
        <f t="shared" si="28"/>
        <v>45594.40488</v>
      </c>
      <c r="N209" s="8" t="str">
        <f t="shared" si="3"/>
        <v>SELESAI</v>
      </c>
      <c r="O209" s="23">
        <f t="shared" si="22"/>
        <v>45594.40488</v>
      </c>
      <c r="P209" s="24" t="b">
        <v>0</v>
      </c>
      <c r="Q209" s="20" t="str">
        <f t="shared" si="5"/>
        <v/>
      </c>
      <c r="R209" s="24" t="b">
        <v>1</v>
      </c>
      <c r="S209" s="20">
        <f t="shared" si="6"/>
        <v>45595.38266</v>
      </c>
      <c r="T209" s="7"/>
    </row>
    <row r="210" ht="22.5" hidden="1" customHeight="1">
      <c r="B210" s="7">
        <f t="shared" si="7"/>
        <v>204</v>
      </c>
      <c r="C210" s="18" t="s">
        <v>245</v>
      </c>
      <c r="D210" s="19" t="str">
        <f t="array" ref="D210">IFNA(_xlfn.XLOOKUP(C210,Table_Tarikan_Warkah[Nomor Sertipikat],Table_Tarikan_Warkah[Nomor Tiket]),"")</f>
        <v>K/32/241024/1</v>
      </c>
      <c r="E210" s="20">
        <f t="array" ref="E210">IFNA(_xlfn.XLOOKUP(C210,Table_Tarikan_Warkah[Nomor Sertipikat],Table_Tarikan_Warkah[Tanggal diserahkan kepada Validator]),"")</f>
        <v>45589.67534</v>
      </c>
      <c r="F210" s="20" t="str">
        <f t="array" ref="F210">IFNA(_xlfn.XLOOKUP(C210,Table_Tarikan_Warkah[Nomor Sertipikat],Table_Tarikan_Warkah[Nama Petugas Warkah]),"")</f>
        <v>David</v>
      </c>
      <c r="G210" s="21" t="str">
        <f t="array" ref="G210">IFNA(_xlfn.XLOOKUP(C210,Table_Tarikan_Warkah[Nomor Sertipikat],Table_Tarikan_Warkah[Jenis Permohonan]),"")</f>
        <v>roya</v>
      </c>
      <c r="H210" s="22" t="s">
        <v>31</v>
      </c>
      <c r="I210" s="22" t="s">
        <v>32</v>
      </c>
      <c r="J210" s="20">
        <f t="shared" si="27"/>
        <v>45590.62227</v>
      </c>
      <c r="K210" s="22" t="s">
        <v>65</v>
      </c>
      <c r="L210" s="22" t="s">
        <v>32</v>
      </c>
      <c r="M210" s="20">
        <f t="shared" si="28"/>
        <v>45594.40492</v>
      </c>
      <c r="N210" s="8" t="str">
        <f t="shared" si="3"/>
        <v>SELESAI</v>
      </c>
      <c r="O210" s="23">
        <f t="shared" si="22"/>
        <v>45594.40492</v>
      </c>
      <c r="P210" s="24" t="b">
        <v>0</v>
      </c>
      <c r="Q210" s="20" t="str">
        <f t="shared" si="5"/>
        <v/>
      </c>
      <c r="R210" s="24" t="b">
        <v>1</v>
      </c>
      <c r="S210" s="20">
        <f t="shared" si="6"/>
        <v>45595.3823</v>
      </c>
      <c r="T210" s="7"/>
    </row>
    <row r="211" ht="22.5" hidden="1" customHeight="1">
      <c r="B211" s="7">
        <f t="shared" si="7"/>
        <v>205</v>
      </c>
      <c r="C211" s="18" t="s">
        <v>246</v>
      </c>
      <c r="D211" s="19" t="str">
        <f t="array" ref="D211">IFNA(_xlfn.XLOOKUP(C211,Table_Tarikan_Warkah[Nomor Sertipikat],Table_Tarikan_Warkah[Nomor Tiket]),"")</f>
        <v>K/49/241024/2</v>
      </c>
      <c r="E211" s="20">
        <f t="array" ref="E211">IFNA(_xlfn.XLOOKUP(C211,Table_Tarikan_Warkah[Nomor Sertipikat],Table_Tarikan_Warkah[Tanggal diserahkan kepada Validator]),"")</f>
        <v>45589.6813</v>
      </c>
      <c r="F211" s="20" t="str">
        <f t="array" ref="F211">IFNA(_xlfn.XLOOKUP(C211,Table_Tarikan_Warkah[Nomor Sertipikat],Table_Tarikan_Warkah[Nama Petugas Warkah]),"")</f>
        <v>David</v>
      </c>
      <c r="G211" s="21" t="str">
        <f t="array" ref="G211">IFNA(_xlfn.XLOOKUP(C211,Table_Tarikan_Warkah[Nomor Sertipikat],Table_Tarikan_Warkah[Jenis Permohonan]),"")</f>
        <v>BN Jual Beli</v>
      </c>
      <c r="H211" s="22" t="s">
        <v>31</v>
      </c>
      <c r="I211" s="22" t="s">
        <v>32</v>
      </c>
      <c r="J211" s="20">
        <f t="shared" si="27"/>
        <v>45590.6224</v>
      </c>
      <c r="K211" s="22" t="s">
        <v>65</v>
      </c>
      <c r="L211" s="22" t="s">
        <v>32</v>
      </c>
      <c r="M211" s="20">
        <f t="shared" si="28"/>
        <v>45594.40496</v>
      </c>
      <c r="N211" s="8" t="str">
        <f t="shared" si="3"/>
        <v>SELESAI</v>
      </c>
      <c r="O211" s="23">
        <f t="shared" si="22"/>
        <v>45594.40496</v>
      </c>
      <c r="P211" s="24" t="b">
        <v>0</v>
      </c>
      <c r="Q211" s="20" t="str">
        <f t="shared" si="5"/>
        <v/>
      </c>
      <c r="R211" s="24" t="b">
        <v>1</v>
      </c>
      <c r="S211" s="20">
        <f t="shared" si="6"/>
        <v>45595.38088</v>
      </c>
      <c r="T211" s="7"/>
    </row>
    <row r="212" ht="22.5" hidden="1" customHeight="1">
      <c r="B212" s="7">
        <f t="shared" si="7"/>
        <v>206</v>
      </c>
      <c r="C212" s="18" t="s">
        <v>247</v>
      </c>
      <c r="D212" s="19" t="str">
        <f t="array" ref="D212">IFNA(_xlfn.XLOOKUP(C212,Table_Tarikan_Warkah[Nomor Sertipikat],Table_Tarikan_Warkah[Nomor Tiket]),"")</f>
        <v>K/53/241024/1</v>
      </c>
      <c r="E212" s="20">
        <f t="array" ref="E212">IFNA(_xlfn.XLOOKUP(C212,Table_Tarikan_Warkah[Nomor Sertipikat],Table_Tarikan_Warkah[Tanggal diserahkan kepada Validator]),"")</f>
        <v>45589.68148</v>
      </c>
      <c r="F212" s="20" t="str">
        <f t="array" ref="F212">IFNA(_xlfn.XLOOKUP(C212,Table_Tarikan_Warkah[Nomor Sertipikat],Table_Tarikan_Warkah[Nama Petugas Warkah]),"")</f>
        <v>David</v>
      </c>
      <c r="G212" s="21" t="str">
        <f t="array" ref="G212">IFNA(_xlfn.XLOOKUP(C212,Table_Tarikan_Warkah[Nomor Sertipikat],Table_Tarikan_Warkah[Jenis Permohonan]),"")</f>
        <v>BN Jual Beli</v>
      </c>
      <c r="H212" s="22" t="s">
        <v>31</v>
      </c>
      <c r="I212" s="22" t="s">
        <v>32</v>
      </c>
      <c r="J212" s="20">
        <f t="shared" si="27"/>
        <v>45590.62252</v>
      </c>
      <c r="K212" s="22" t="s">
        <v>65</v>
      </c>
      <c r="L212" s="22" t="s">
        <v>32</v>
      </c>
      <c r="M212" s="20">
        <f t="shared" si="28"/>
        <v>45594.40501</v>
      </c>
      <c r="N212" s="8" t="str">
        <f t="shared" si="3"/>
        <v>SELESAI</v>
      </c>
      <c r="O212" s="23">
        <f t="shared" si="22"/>
        <v>45594.40501</v>
      </c>
      <c r="P212" s="24" t="b">
        <v>0</v>
      </c>
      <c r="Q212" s="20" t="str">
        <f t="shared" si="5"/>
        <v/>
      </c>
      <c r="R212" s="24" t="b">
        <v>1</v>
      </c>
      <c r="S212" s="20">
        <f t="shared" si="6"/>
        <v>45595.38071</v>
      </c>
      <c r="T212" s="7"/>
    </row>
    <row r="213" ht="22.5" hidden="1" customHeight="1">
      <c r="B213" s="7">
        <f t="shared" si="7"/>
        <v>207</v>
      </c>
      <c r="C213" s="18" t="s">
        <v>248</v>
      </c>
      <c r="D213" s="19" t="str">
        <f t="array" ref="D213">IFNA(_xlfn.XLOOKUP(C213,Table_Tarikan_Warkah[Nomor Sertipikat],Table_Tarikan_Warkah[Nomor Tiket]),"")</f>
        <v>K/25/241024/2</v>
      </c>
      <c r="E213" s="20">
        <f t="array" ref="E213">IFNA(_xlfn.XLOOKUP(C213,Table_Tarikan_Warkah[Nomor Sertipikat],Table_Tarikan_Warkah[Tanggal diserahkan kepada Validator]),"")</f>
        <v>45589.67439</v>
      </c>
      <c r="F213" s="20" t="str">
        <f t="array" ref="F213">IFNA(_xlfn.XLOOKUP(C213,Table_Tarikan_Warkah[Nomor Sertipikat],Table_Tarikan_Warkah[Nama Petugas Warkah]),"")</f>
        <v>David</v>
      </c>
      <c r="G213" s="21" t="str">
        <f t="array" ref="G213">IFNA(_xlfn.XLOOKUP(C213,Table_Tarikan_Warkah[Nomor Sertipikat],Table_Tarikan_Warkah[Jenis Permohonan]),"")</f>
        <v>BN JUAL BELI</v>
      </c>
      <c r="H213" s="22" t="s">
        <v>31</v>
      </c>
      <c r="I213" s="22" t="s">
        <v>32</v>
      </c>
      <c r="J213" s="20">
        <f t="shared" si="27"/>
        <v>45590.62277</v>
      </c>
      <c r="K213" s="22" t="s">
        <v>65</v>
      </c>
      <c r="L213" s="22" t="s">
        <v>32</v>
      </c>
      <c r="M213" s="20">
        <f t="shared" si="28"/>
        <v>45594.40517</v>
      </c>
      <c r="N213" s="8" t="str">
        <f t="shared" si="3"/>
        <v>SELESAI</v>
      </c>
      <c r="O213" s="23">
        <f t="shared" si="22"/>
        <v>45594.40517</v>
      </c>
      <c r="P213" s="24" t="b">
        <v>0</v>
      </c>
      <c r="Q213" s="20" t="str">
        <f t="shared" si="5"/>
        <v/>
      </c>
      <c r="R213" s="24" t="b">
        <v>1</v>
      </c>
      <c r="S213" s="20">
        <f t="shared" si="6"/>
        <v>45594.4054</v>
      </c>
      <c r="T213" s="7"/>
    </row>
    <row r="214" ht="22.5" hidden="1" customHeight="1">
      <c r="B214" s="7">
        <f t="shared" si="7"/>
        <v>208</v>
      </c>
      <c r="C214" s="18" t="s">
        <v>249</v>
      </c>
      <c r="D214" s="19" t="str">
        <f t="array" ref="D214">IFNA(_xlfn.XLOOKUP(C214,Table_Tarikan_Warkah[Nomor Sertipikat],Table_Tarikan_Warkah[Nomor Tiket]),"")</f>
        <v>K/26/241024/3</v>
      </c>
      <c r="E214" s="20">
        <f t="array" ref="E214">IFNA(_xlfn.XLOOKUP(C214,Table_Tarikan_Warkah[Nomor Sertipikat],Table_Tarikan_Warkah[Tanggal diserahkan kepada Validator]),"")</f>
        <v>45589.67464</v>
      </c>
      <c r="F214" s="20" t="str">
        <f t="array" ref="F214">IFNA(_xlfn.XLOOKUP(C214,Table_Tarikan_Warkah[Nomor Sertipikat],Table_Tarikan_Warkah[Nama Petugas Warkah]),"")</f>
        <v>David</v>
      </c>
      <c r="G214" s="21" t="str">
        <f t="array" ref="G214">IFNA(_xlfn.XLOOKUP(C214,Table_Tarikan_Warkah[Nomor Sertipikat],Table_Tarikan_Warkah[Jenis Permohonan]),"")</f>
        <v>BN JUAL BELI</v>
      </c>
      <c r="H214" s="22" t="s">
        <v>31</v>
      </c>
      <c r="I214" s="22" t="s">
        <v>32</v>
      </c>
      <c r="J214" s="20">
        <f t="shared" si="27"/>
        <v>45590.62288</v>
      </c>
      <c r="K214" s="22" t="s">
        <v>65</v>
      </c>
      <c r="L214" s="22" t="s">
        <v>32</v>
      </c>
      <c r="M214" s="20">
        <f t="shared" si="28"/>
        <v>45594.40521</v>
      </c>
      <c r="N214" s="8" t="str">
        <f t="shared" si="3"/>
        <v>SELESAI</v>
      </c>
      <c r="O214" s="23">
        <f t="shared" si="22"/>
        <v>45594.40521</v>
      </c>
      <c r="P214" s="24" t="b">
        <v>0</v>
      </c>
      <c r="Q214" s="20" t="str">
        <f t="shared" si="5"/>
        <v/>
      </c>
      <c r="R214" s="24" t="b">
        <v>1</v>
      </c>
      <c r="S214" s="20">
        <f t="shared" si="6"/>
        <v>45595.38318</v>
      </c>
      <c r="T214" s="7"/>
    </row>
    <row r="215" ht="22.5" hidden="1" customHeight="1">
      <c r="B215" s="7">
        <f t="shared" si="7"/>
        <v>209</v>
      </c>
      <c r="C215" s="18" t="s">
        <v>250</v>
      </c>
      <c r="D215" s="19" t="str">
        <f t="array" ref="D215">IFNA(_xlfn.XLOOKUP(C215,Table_Tarikan_Warkah[Nomor Sertipikat],Table_Tarikan_Warkah[Nomor Tiket]),"")</f>
        <v>K/39/241024/1</v>
      </c>
      <c r="E215" s="20">
        <f t="array" ref="E215">IFNA(_xlfn.XLOOKUP(C215,Table_Tarikan_Warkah[Nomor Sertipikat],Table_Tarikan_Warkah[Tanggal diserahkan kepada Validator]),"")</f>
        <v>45589.68001</v>
      </c>
      <c r="F215" s="20" t="str">
        <f t="array" ref="F215">IFNA(_xlfn.XLOOKUP(C215,Table_Tarikan_Warkah[Nomor Sertipikat],Table_Tarikan_Warkah[Nama Petugas Warkah]),"")</f>
        <v>Berry</v>
      </c>
      <c r="G215" s="21" t="str">
        <f t="array" ref="G215">IFNA(_xlfn.XLOOKUP(C215,Table_Tarikan_Warkah[Nomor Sertipikat],Table_Tarikan_Warkah[Jenis Permohonan]),"")</f>
        <v>BN Jual Beli</v>
      </c>
      <c r="H215" s="22" t="s">
        <v>31</v>
      </c>
      <c r="I215" s="22" t="s">
        <v>32</v>
      </c>
      <c r="J215" s="20">
        <f t="shared" si="27"/>
        <v>45590.62304</v>
      </c>
      <c r="K215" s="22" t="s">
        <v>65</v>
      </c>
      <c r="L215" s="22" t="s">
        <v>32</v>
      </c>
      <c r="M215" s="20">
        <f t="shared" si="28"/>
        <v>45594.40525</v>
      </c>
      <c r="N215" s="8" t="str">
        <f t="shared" si="3"/>
        <v>SELESAI</v>
      </c>
      <c r="O215" s="23">
        <f t="shared" si="22"/>
        <v>45594.40525</v>
      </c>
      <c r="P215" s="24" t="b">
        <v>0</v>
      </c>
      <c r="Q215" s="20" t="str">
        <f t="shared" si="5"/>
        <v/>
      </c>
      <c r="R215" s="24" t="b">
        <v>1</v>
      </c>
      <c r="S215" s="20">
        <f t="shared" si="6"/>
        <v>45595.38191</v>
      </c>
      <c r="T215" s="7"/>
    </row>
    <row r="216" ht="22.5" hidden="1" customHeight="1">
      <c r="B216" s="7">
        <f t="shared" si="7"/>
        <v>210</v>
      </c>
      <c r="C216" s="18" t="s">
        <v>251</v>
      </c>
      <c r="D216" s="19" t="str">
        <f t="array" ref="D216">IFNA(_xlfn.XLOOKUP(C216,Table_Tarikan_Warkah[Nomor Sertipikat],Table_Tarikan_Warkah[Nomor Tiket]),"")</f>
        <v/>
      </c>
      <c r="E216" s="20" t="str">
        <f t="array" ref="E216">IFNA(_xlfn.XLOOKUP(C216,Table_Tarikan_Warkah[Nomor Sertipikat],Table_Tarikan_Warkah[Tanggal diserahkan kepada Validator]),"")</f>
        <v/>
      </c>
      <c r="F216" s="20" t="str">
        <f t="array" ref="F216">IFNA(_xlfn.XLOOKUP(C216,Table_Tarikan_Warkah[Nomor Sertipikat],Table_Tarikan_Warkah[Nama Petugas Warkah]),"")</f>
        <v/>
      </c>
      <c r="G216" s="21" t="str">
        <f t="array" ref="G216">IFNA(_xlfn.XLOOKUP(C216,Table_Tarikan_Warkah[Nomor Sertipikat],Table_Tarikan_Warkah[Jenis Permohonan]),"")</f>
        <v/>
      </c>
      <c r="H216" s="22" t="s">
        <v>31</v>
      </c>
      <c r="I216" s="22" t="s">
        <v>32</v>
      </c>
      <c r="J216" s="20">
        <f t="shared" si="27"/>
        <v>45590.62314</v>
      </c>
      <c r="K216" s="22" t="s">
        <v>33</v>
      </c>
      <c r="L216" s="22" t="s">
        <v>32</v>
      </c>
      <c r="M216" s="20">
        <f t="shared" si="28"/>
        <v>45594.40529</v>
      </c>
      <c r="N216" s="8" t="str">
        <f t="shared" si="3"/>
        <v/>
      </c>
      <c r="O216" s="21" t="str">
        <f t="shared" si="22"/>
        <v/>
      </c>
      <c r="P216" s="24" t="b">
        <v>0</v>
      </c>
      <c r="Q216" s="20" t="str">
        <f t="shared" si="5"/>
        <v/>
      </c>
      <c r="R216" s="24" t="b">
        <v>1</v>
      </c>
      <c r="S216" s="20">
        <f t="shared" si="6"/>
        <v>45595.38007</v>
      </c>
      <c r="T216" s="7"/>
    </row>
    <row r="217" ht="22.5" hidden="1" customHeight="1">
      <c r="B217" s="7">
        <f t="shared" si="7"/>
        <v>211</v>
      </c>
      <c r="C217" s="18" t="s">
        <v>252</v>
      </c>
      <c r="D217" s="19" t="str">
        <f t="array" ref="D217">IFNA(_xlfn.XLOOKUP(C217,Table_Tarikan_Warkah[Nomor Sertipikat],Table_Tarikan_Warkah[Nomor Tiket]),"")</f>
        <v>K/47/241024/1</v>
      </c>
      <c r="E217" s="20">
        <f t="array" ref="E217">IFNA(_xlfn.XLOOKUP(C217,Table_Tarikan_Warkah[Nomor Sertipikat],Table_Tarikan_Warkah[Tanggal diserahkan kepada Validator]),"")</f>
        <v>45589.68114</v>
      </c>
      <c r="F217" s="20" t="str">
        <f t="array" ref="F217">IFNA(_xlfn.XLOOKUP(C217,Table_Tarikan_Warkah[Nomor Sertipikat],Table_Tarikan_Warkah[Nama Petugas Warkah]),"")</f>
        <v>David</v>
      </c>
      <c r="G217" s="21" t="str">
        <f t="array" ref="G217">IFNA(_xlfn.XLOOKUP(C217,Table_Tarikan_Warkah[Nomor Sertipikat],Table_Tarikan_Warkah[Jenis Permohonan]),"")</f>
        <v>BN Jual Beli</v>
      </c>
      <c r="H217" s="22" t="s">
        <v>31</v>
      </c>
      <c r="I217" s="22" t="s">
        <v>32</v>
      </c>
      <c r="J217" s="20">
        <f t="shared" si="27"/>
        <v>45590.62326</v>
      </c>
      <c r="K217" s="22" t="s">
        <v>33</v>
      </c>
      <c r="L217" s="22" t="s">
        <v>32</v>
      </c>
      <c r="M217" s="20">
        <f t="shared" si="28"/>
        <v>45594.40534</v>
      </c>
      <c r="N217" s="8" t="str">
        <f t="shared" si="3"/>
        <v>SELESAI</v>
      </c>
      <c r="O217" s="23">
        <f t="shared" si="22"/>
        <v>45594.40534</v>
      </c>
      <c r="P217" s="24" t="b">
        <v>0</v>
      </c>
      <c r="Q217" s="20" t="str">
        <f t="shared" si="5"/>
        <v/>
      </c>
      <c r="R217" s="24" t="b">
        <v>1</v>
      </c>
      <c r="S217" s="20">
        <f t="shared" si="6"/>
        <v>45594.40543</v>
      </c>
      <c r="T217" s="7"/>
    </row>
    <row r="218" ht="22.5" hidden="1" customHeight="1">
      <c r="B218" s="7">
        <f t="shared" si="7"/>
        <v>212</v>
      </c>
      <c r="C218" s="18" t="s">
        <v>253</v>
      </c>
      <c r="D218" s="19" t="str">
        <f t="array" ref="D218">IFNA(_xlfn.XLOOKUP(C218,Table_Tarikan_Warkah[Nomor Sertipikat],Table_Tarikan_Warkah[Nomor Tiket]),"")</f>
        <v>K/42/241024/2</v>
      </c>
      <c r="E218" s="20">
        <f t="array" ref="E218">IFNA(_xlfn.XLOOKUP(C218,Table_Tarikan_Warkah[Nomor Sertipikat],Table_Tarikan_Warkah[Tanggal diserahkan kepada Validator]),"")</f>
        <v>45589.68312</v>
      </c>
      <c r="F218" s="20" t="str">
        <f t="array" ref="F218">IFNA(_xlfn.XLOOKUP(C218,Table_Tarikan_Warkah[Nomor Sertipikat],Table_Tarikan_Warkah[Nama Petugas Warkah]),"")</f>
        <v>Berry</v>
      </c>
      <c r="G218" s="21" t="str">
        <f t="array" ref="G218">IFNA(_xlfn.XLOOKUP(C218,Table_Tarikan_Warkah[Nomor Sertipikat],Table_Tarikan_Warkah[Jenis Permohonan]),"")</f>
        <v>BN Waris</v>
      </c>
      <c r="H218" s="22" t="s">
        <v>31</v>
      </c>
      <c r="I218" s="22" t="s">
        <v>32</v>
      </c>
      <c r="J218" s="20">
        <f t="shared" si="27"/>
        <v>45590.62339</v>
      </c>
      <c r="K218" s="22" t="s">
        <v>33</v>
      </c>
      <c r="L218" s="22" t="s">
        <v>32</v>
      </c>
      <c r="M218" s="20">
        <f t="shared" si="28"/>
        <v>45594.40539</v>
      </c>
      <c r="N218" s="8" t="str">
        <f t="shared" si="3"/>
        <v>SELESAI</v>
      </c>
      <c r="O218" s="23">
        <f t="shared" si="22"/>
        <v>45594.40539</v>
      </c>
      <c r="P218" s="24" t="b">
        <v>0</v>
      </c>
      <c r="Q218" s="20" t="str">
        <f t="shared" si="5"/>
        <v/>
      </c>
      <c r="R218" s="24" t="b">
        <v>1</v>
      </c>
      <c r="S218" s="20">
        <f t="shared" si="6"/>
        <v>45595.38385</v>
      </c>
      <c r="T218" s="7"/>
    </row>
    <row r="219" ht="22.5" hidden="1" customHeight="1">
      <c r="B219" s="7">
        <f t="shared" si="7"/>
        <v>213</v>
      </c>
      <c r="C219" s="18" t="s">
        <v>254</v>
      </c>
      <c r="D219" s="19" t="str">
        <f t="array" ref="D219">IFNA(_xlfn.XLOOKUP(C219,Table_Tarikan_Warkah[Nomor Sertipikat],Table_Tarikan_Warkah[Nomor Tiket]),"")</f>
        <v>K/9/241024/1</v>
      </c>
      <c r="E219" s="20">
        <f t="array" ref="E219">IFNA(_xlfn.XLOOKUP(C219,Table_Tarikan_Warkah[Nomor Sertipikat],Table_Tarikan_Warkah[Tanggal diserahkan kepada Validator]),"")</f>
        <v>45589.66101</v>
      </c>
      <c r="F219" s="20" t="str">
        <f t="array" ref="F219">IFNA(_xlfn.XLOOKUP(C219,Table_Tarikan_Warkah[Nomor Sertipikat],Table_Tarikan_Warkah[Nama Petugas Warkah]),"")</f>
        <v>Berry</v>
      </c>
      <c r="G219" s="21" t="str">
        <f t="array" ref="G219">IFNA(_xlfn.XLOOKUP(C219,Table_Tarikan_Warkah[Nomor Sertipikat],Table_Tarikan_Warkah[Jenis Permohonan]),"")</f>
        <v>Roya</v>
      </c>
      <c r="H219" s="22" t="s">
        <v>37</v>
      </c>
      <c r="I219" s="22" t="s">
        <v>32</v>
      </c>
      <c r="J219" s="20">
        <f t="shared" si="27"/>
        <v>45590.62866</v>
      </c>
      <c r="K219" s="22" t="s">
        <v>65</v>
      </c>
      <c r="L219" s="22" t="s">
        <v>32</v>
      </c>
      <c r="M219" s="20">
        <f t="shared" si="28"/>
        <v>45594.36857</v>
      </c>
      <c r="N219" s="8" t="str">
        <f t="shared" si="3"/>
        <v>SELESAI</v>
      </c>
      <c r="O219" s="23">
        <f t="shared" si="22"/>
        <v>45594.36857</v>
      </c>
      <c r="P219" s="24" t="b">
        <v>0</v>
      </c>
      <c r="Q219" s="20" t="str">
        <f t="shared" si="5"/>
        <v/>
      </c>
      <c r="R219" s="24" t="b">
        <v>1</v>
      </c>
      <c r="S219" s="20">
        <f t="shared" si="6"/>
        <v>45594.36861</v>
      </c>
      <c r="T219" s="7"/>
    </row>
    <row r="220" ht="22.5" hidden="1" customHeight="1">
      <c r="B220" s="7">
        <f t="shared" si="7"/>
        <v>214</v>
      </c>
      <c r="C220" s="18" t="s">
        <v>255</v>
      </c>
      <c r="D220" s="19" t="str">
        <f t="array" ref="D220">IFNA(_xlfn.XLOOKUP(C220,Table_Tarikan_Warkah[Nomor Sertipikat],Table_Tarikan_Warkah[Nomor Tiket]),"")</f>
        <v>K/3/241024/2</v>
      </c>
      <c r="E220" s="20">
        <f t="array" ref="E220">IFNA(_xlfn.XLOOKUP(C220,Table_Tarikan_Warkah[Nomor Sertipikat],Table_Tarikan_Warkah[Tanggal diserahkan kepada Validator]),"")</f>
        <v>45589.66031</v>
      </c>
      <c r="F220" s="20" t="str">
        <f t="array" ref="F220">IFNA(_xlfn.XLOOKUP(C220,Table_Tarikan_Warkah[Nomor Sertipikat],Table_Tarikan_Warkah[Nama Petugas Warkah]),"")</f>
        <v>Berry</v>
      </c>
      <c r="G220" s="21" t="str">
        <f t="array" ref="G220">IFNA(_xlfn.XLOOKUP(C220,Table_Tarikan_Warkah[Nomor Sertipikat],Table_Tarikan_Warkah[Jenis Permohonan]),"")</f>
        <v>BN Jual Beli</v>
      </c>
      <c r="H220" s="22" t="s">
        <v>37</v>
      </c>
      <c r="I220" s="22" t="s">
        <v>32</v>
      </c>
      <c r="J220" s="20">
        <f t="shared" si="27"/>
        <v>45590.63025</v>
      </c>
      <c r="K220" s="22" t="s">
        <v>65</v>
      </c>
      <c r="L220" s="22" t="s">
        <v>32</v>
      </c>
      <c r="M220" s="20">
        <f t="shared" si="28"/>
        <v>45594.36949</v>
      </c>
      <c r="N220" s="8" t="str">
        <f t="shared" si="3"/>
        <v>SELESAI</v>
      </c>
      <c r="O220" s="23">
        <f t="shared" si="22"/>
        <v>45594.36949</v>
      </c>
      <c r="P220" s="24" t="b">
        <v>0</v>
      </c>
      <c r="Q220" s="20" t="str">
        <f t="shared" si="5"/>
        <v/>
      </c>
      <c r="R220" s="24" t="b">
        <v>1</v>
      </c>
      <c r="S220" s="20">
        <f t="shared" si="6"/>
        <v>45594.36956</v>
      </c>
      <c r="T220" s="7"/>
    </row>
    <row r="221" ht="22.5" hidden="1" customHeight="1">
      <c r="B221" s="7">
        <f t="shared" si="7"/>
        <v>215</v>
      </c>
      <c r="C221" s="18" t="s">
        <v>256</v>
      </c>
      <c r="D221" s="19" t="str">
        <f t="array" ref="D221">IFNA(_xlfn.XLOOKUP(C221,Table_Tarikan_Warkah[Nomor Sertipikat],Table_Tarikan_Warkah[Nomor Tiket]),"")</f>
        <v>K/6/241024/3</v>
      </c>
      <c r="E221" s="20">
        <f t="array" ref="E221">IFNA(_xlfn.XLOOKUP(C221,Table_Tarikan_Warkah[Nomor Sertipikat],Table_Tarikan_Warkah[Tanggal diserahkan kepada Validator]),"")</f>
        <v>45589.66067</v>
      </c>
      <c r="F221" s="20" t="str">
        <f t="array" ref="F221">IFNA(_xlfn.XLOOKUP(C221,Table_Tarikan_Warkah[Nomor Sertipikat],Table_Tarikan_Warkah[Nama Petugas Warkah]),"")</f>
        <v>Berry</v>
      </c>
      <c r="G221" s="21" t="str">
        <f t="array" ref="G221">IFNA(_xlfn.XLOOKUP(C221,Table_Tarikan_Warkah[Nomor Sertipikat],Table_Tarikan_Warkah[Jenis Permohonan]),"")</f>
        <v>BN Jual Beli</v>
      </c>
      <c r="H221" s="22" t="s">
        <v>37</v>
      </c>
      <c r="I221" s="22" t="s">
        <v>32</v>
      </c>
      <c r="J221" s="20">
        <f t="shared" si="27"/>
        <v>45590.63186</v>
      </c>
      <c r="K221" s="22" t="s">
        <v>65</v>
      </c>
      <c r="L221" s="22" t="s">
        <v>32</v>
      </c>
      <c r="M221" s="20">
        <f t="shared" si="28"/>
        <v>45594.36884</v>
      </c>
      <c r="N221" s="8" t="str">
        <f t="shared" si="3"/>
        <v>SELESAI</v>
      </c>
      <c r="O221" s="23">
        <f t="shared" si="22"/>
        <v>45594.36884</v>
      </c>
      <c r="P221" s="24" t="b">
        <v>0</v>
      </c>
      <c r="Q221" s="20" t="str">
        <f t="shared" si="5"/>
        <v/>
      </c>
      <c r="R221" s="24" t="b">
        <v>1</v>
      </c>
      <c r="S221" s="20">
        <f t="shared" si="6"/>
        <v>45594.36888</v>
      </c>
      <c r="T221" s="7"/>
    </row>
    <row r="222" ht="22.5" hidden="1" customHeight="1">
      <c r="B222" s="7">
        <f t="shared" si="7"/>
        <v>216</v>
      </c>
      <c r="C222" s="18" t="s">
        <v>257</v>
      </c>
      <c r="D222" s="19" t="str">
        <f t="array" ref="D222">IFNA(_xlfn.XLOOKUP(C222,Table_Tarikan_Warkah[Nomor Sertipikat],Table_Tarikan_Warkah[Nomor Tiket]),"")</f>
        <v>K/8/241024/4</v>
      </c>
      <c r="E222" s="20">
        <f t="array" ref="E222">IFNA(_xlfn.XLOOKUP(C222,Table_Tarikan_Warkah[Nomor Sertipikat],Table_Tarikan_Warkah[Tanggal diserahkan kepada Validator]),"")</f>
        <v>45589.6609</v>
      </c>
      <c r="F222" s="20" t="str">
        <f t="array" ref="F222">IFNA(_xlfn.XLOOKUP(C222,Table_Tarikan_Warkah[Nomor Sertipikat],Table_Tarikan_Warkah[Nama Petugas Warkah]),"")</f>
        <v>Berry</v>
      </c>
      <c r="G222" s="21" t="str">
        <f t="array" ref="G222">IFNA(_xlfn.XLOOKUP(C222,Table_Tarikan_Warkah[Nomor Sertipikat],Table_Tarikan_Warkah[Jenis Permohonan]),"")</f>
        <v>BN Jual Beli</v>
      </c>
      <c r="H222" s="22" t="s">
        <v>37</v>
      </c>
      <c r="I222" s="22" t="s">
        <v>32</v>
      </c>
      <c r="J222" s="20">
        <f t="shared" si="27"/>
        <v>45590.63233</v>
      </c>
      <c r="K222" s="22" t="s">
        <v>65</v>
      </c>
      <c r="L222" s="22" t="s">
        <v>32</v>
      </c>
      <c r="M222" s="20">
        <f t="shared" si="28"/>
        <v>45594.37091</v>
      </c>
      <c r="N222" s="8" t="str">
        <f t="shared" si="3"/>
        <v>SELESAI</v>
      </c>
      <c r="O222" s="23">
        <f t="shared" si="22"/>
        <v>45594.37091</v>
      </c>
      <c r="P222" s="24" t="b">
        <v>0</v>
      </c>
      <c r="Q222" s="20" t="str">
        <f t="shared" si="5"/>
        <v/>
      </c>
      <c r="R222" s="24" t="b">
        <v>1</v>
      </c>
      <c r="S222" s="20">
        <f t="shared" si="6"/>
        <v>45594.37096</v>
      </c>
      <c r="T222" s="7"/>
    </row>
    <row r="223" ht="22.5" hidden="1" customHeight="1">
      <c r="B223" s="7">
        <f t="shared" si="7"/>
        <v>217</v>
      </c>
      <c r="C223" s="18" t="s">
        <v>258</v>
      </c>
      <c r="D223" s="19" t="str">
        <f t="array" ref="D223">IFNA(_xlfn.XLOOKUP(C223,Table_Tarikan_Warkah[Nomor Sertipikat],Table_Tarikan_Warkah[Nomor Tiket]),"")</f>
        <v>K/2/241024/1</v>
      </c>
      <c r="E223" s="20">
        <f t="array" ref="E223">IFNA(_xlfn.XLOOKUP(C223,Table_Tarikan_Warkah[Nomor Sertipikat],Table_Tarikan_Warkah[Tanggal diserahkan kepada Validator]),"")</f>
        <v>45589.66017</v>
      </c>
      <c r="F223" s="20" t="str">
        <f t="array" ref="F223">IFNA(_xlfn.XLOOKUP(C223,Table_Tarikan_Warkah[Nomor Sertipikat],Table_Tarikan_Warkah[Nama Petugas Warkah]),"")</f>
        <v>Berry</v>
      </c>
      <c r="G223" s="21" t="str">
        <f t="array" ref="G223">IFNA(_xlfn.XLOOKUP(C223,Table_Tarikan_Warkah[Nomor Sertipikat],Table_Tarikan_Warkah[Jenis Permohonan]),"")</f>
        <v>roya</v>
      </c>
      <c r="H223" s="22" t="s">
        <v>37</v>
      </c>
      <c r="I223" s="22" t="s">
        <v>32</v>
      </c>
      <c r="J223" s="20">
        <f t="shared" si="27"/>
        <v>45590.63526</v>
      </c>
      <c r="K223" s="22" t="s">
        <v>65</v>
      </c>
      <c r="L223" s="22" t="s">
        <v>32</v>
      </c>
      <c r="M223" s="20">
        <f t="shared" si="28"/>
        <v>45594.36829</v>
      </c>
      <c r="N223" s="8" t="str">
        <f t="shared" si="3"/>
        <v>SELESAI</v>
      </c>
      <c r="O223" s="23">
        <f t="shared" si="22"/>
        <v>45594.36829</v>
      </c>
      <c r="P223" s="24" t="b">
        <v>0</v>
      </c>
      <c r="Q223" s="20" t="str">
        <f t="shared" si="5"/>
        <v/>
      </c>
      <c r="R223" s="24" t="b">
        <v>1</v>
      </c>
      <c r="S223" s="20">
        <f t="shared" si="6"/>
        <v>45594.36832</v>
      </c>
      <c r="T223" s="7"/>
    </row>
    <row r="224" ht="22.5" hidden="1" customHeight="1">
      <c r="B224" s="7">
        <f t="shared" si="7"/>
        <v>218</v>
      </c>
      <c r="C224" s="18" t="s">
        <v>259</v>
      </c>
      <c r="D224" s="19" t="str">
        <f t="array" ref="D224">IFNA(_xlfn.XLOOKUP(C224,Table_Tarikan_Warkah[Nomor Sertipikat],Table_Tarikan_Warkah[Nomor Tiket]),"")</f>
        <v>K/41/241024/1</v>
      </c>
      <c r="E224" s="20">
        <f t="array" ref="E224">IFNA(_xlfn.XLOOKUP(C224,Table_Tarikan_Warkah[Nomor Sertipikat],Table_Tarikan_Warkah[Tanggal diserahkan kepada Validator]),"")</f>
        <v>45589.68308</v>
      </c>
      <c r="F224" s="20" t="str">
        <f t="array" ref="F224">IFNA(_xlfn.XLOOKUP(C224,Table_Tarikan_Warkah[Nomor Sertipikat],Table_Tarikan_Warkah[Nama Petugas Warkah]),"")</f>
        <v>Berry</v>
      </c>
      <c r="G224" s="21" t="str">
        <f t="array" ref="G224">IFNA(_xlfn.XLOOKUP(C224,Table_Tarikan_Warkah[Nomor Sertipikat],Table_Tarikan_Warkah[Jenis Permohonan]),"")</f>
        <v>BN Waris</v>
      </c>
      <c r="H224" s="22" t="s">
        <v>37</v>
      </c>
      <c r="I224" s="22" t="s">
        <v>32</v>
      </c>
      <c r="J224" s="20">
        <f t="shared" si="27"/>
        <v>45590.64153</v>
      </c>
      <c r="K224" s="22" t="s">
        <v>33</v>
      </c>
      <c r="L224" s="22" t="s">
        <v>32</v>
      </c>
      <c r="M224" s="20">
        <f t="shared" si="28"/>
        <v>45594.37221</v>
      </c>
      <c r="N224" s="8" t="str">
        <f t="shared" si="3"/>
        <v>SELESAI</v>
      </c>
      <c r="O224" s="23">
        <f t="shared" si="22"/>
        <v>45594.37221</v>
      </c>
      <c r="P224" s="24" t="b">
        <v>0</v>
      </c>
      <c r="Q224" s="20" t="str">
        <f t="shared" si="5"/>
        <v/>
      </c>
      <c r="R224" s="24" t="b">
        <v>1</v>
      </c>
      <c r="S224" s="20">
        <f t="shared" si="6"/>
        <v>45594.37225</v>
      </c>
      <c r="T224" s="7"/>
    </row>
    <row r="225" ht="22.5" hidden="1" customHeight="1">
      <c r="B225" s="7">
        <f t="shared" si="7"/>
        <v>219</v>
      </c>
      <c r="C225" s="18" t="s">
        <v>260</v>
      </c>
      <c r="D225" s="19" t="str">
        <f t="array" ref="D225">IFNA(_xlfn.XLOOKUP(C225,Table_Tarikan_Warkah[Nomor Sertipikat],Table_Tarikan_Warkah[Nomor Tiket]),"")</f>
        <v>K/33/181024/1</v>
      </c>
      <c r="E225" s="20">
        <f t="array" ref="E225">IFNA(_xlfn.XLOOKUP(C225,Table_Tarikan_Warkah[Nomor Sertipikat],Table_Tarikan_Warkah[Tanggal diserahkan kepada Validator]),"")</f>
        <v>45603.5929</v>
      </c>
      <c r="F225" s="20" t="str">
        <f t="array" ref="F225">IFNA(_xlfn.XLOOKUP(C225,Table_Tarikan_Warkah[Nomor Sertipikat],Table_Tarikan_Warkah[Nama Petugas Warkah]),"")</f>
        <v>Sahelia</v>
      </c>
      <c r="G225" s="21" t="str">
        <f t="array" ref="G225">IFNA(_xlfn.XLOOKUP(C225,Table_Tarikan_Warkah[Nomor Sertipikat],Table_Tarikan_Warkah[Jenis Permohonan]),"")</f>
        <v>PERALIHAN JUAL BELI</v>
      </c>
      <c r="H225" s="22" t="s">
        <v>37</v>
      </c>
      <c r="I225" s="22" t="s">
        <v>187</v>
      </c>
      <c r="J225" s="20">
        <f t="shared" ref="J225:J2006" si="29">IF(OR(I225="Selesai",I225="SELESAI (VIA PERMOHONAN)"),IF(J225&lt;&gt;"",J225,NOW()),"")</f>
        <v>45591.3712</v>
      </c>
      <c r="K225" s="22" t="s">
        <v>33</v>
      </c>
      <c r="L225" s="22" t="s">
        <v>187</v>
      </c>
      <c r="M225" s="20">
        <f t="shared" ref="M225:M2006" si="30">IF(OR(L225="Selesai",L225="SELESAI (VIA PERMOHONAN)"),IF(M225&lt;&gt;"",M225,NOW()),"")</f>
        <v>45594.40556</v>
      </c>
      <c r="N225" s="8" t="str">
        <f t="shared" si="3"/>
        <v>Selesai</v>
      </c>
      <c r="O225" s="23">
        <f t="shared" si="22"/>
        <v>45594.40556</v>
      </c>
      <c r="P225" s="24" t="b">
        <v>1</v>
      </c>
      <c r="Q225" s="20">
        <f t="shared" si="5"/>
        <v>45594.40559</v>
      </c>
      <c r="R225" s="24" t="b">
        <v>0</v>
      </c>
      <c r="S225" s="7" t="str">
        <f t="shared" si="6"/>
        <v/>
      </c>
      <c r="T225" s="7"/>
    </row>
    <row r="226" ht="22.5" hidden="1" customHeight="1">
      <c r="B226" s="7">
        <f t="shared" si="7"/>
        <v>220</v>
      </c>
      <c r="C226" s="18" t="s">
        <v>261</v>
      </c>
      <c r="D226" s="19" t="str">
        <f t="array" ref="D226">IFNA(_xlfn.XLOOKUP(C226,Table_Tarikan_Warkah[Nomor Sertipikat],Table_Tarikan_Warkah[Nomor Tiket]),"")</f>
        <v>K/19/181024/2</v>
      </c>
      <c r="E226" s="20" t="str">
        <f t="array" ref="E226">IFNA(_xlfn.XLOOKUP(C226,Table_Tarikan_Warkah[Nomor Sertipikat],Table_Tarikan_Warkah[Tanggal diserahkan kepada Validator]),"")</f>
        <v/>
      </c>
      <c r="F226" s="20" t="str">
        <f t="array" ref="F226">IFNA(_xlfn.XLOOKUP(C226,Table_Tarikan_Warkah[Nomor Sertipikat],Table_Tarikan_Warkah[Nama Petugas Warkah]),"")</f>
        <v/>
      </c>
      <c r="G226" s="21" t="str">
        <f t="array" ref="G226">IFNA(_xlfn.XLOOKUP(C226,Table_Tarikan_Warkah[Nomor Sertipikat],Table_Tarikan_Warkah[Jenis Permohonan]),"")</f>
        <v>PEMECAHAN</v>
      </c>
      <c r="H226" s="22" t="s">
        <v>31</v>
      </c>
      <c r="I226" s="22" t="s">
        <v>187</v>
      </c>
      <c r="J226" s="20">
        <f t="shared" si="29"/>
        <v>45591.3712</v>
      </c>
      <c r="K226" s="22" t="s">
        <v>33</v>
      </c>
      <c r="L226" s="22" t="s">
        <v>187</v>
      </c>
      <c r="M226" s="20">
        <f t="shared" si="30"/>
        <v>45593.6877</v>
      </c>
      <c r="N226" s="8" t="str">
        <f t="shared" si="3"/>
        <v>Selesai</v>
      </c>
      <c r="O226" s="23">
        <f t="shared" si="22"/>
        <v>45593.6877</v>
      </c>
      <c r="P226" s="24" t="b">
        <v>1</v>
      </c>
      <c r="Q226" s="20">
        <f t="shared" si="5"/>
        <v>45593.68774</v>
      </c>
      <c r="R226" s="24" t="b">
        <v>0</v>
      </c>
      <c r="S226" s="7" t="str">
        <f t="shared" si="6"/>
        <v/>
      </c>
      <c r="T226" s="7"/>
    </row>
    <row r="227" ht="22.5" hidden="1" customHeight="1">
      <c r="B227" s="7">
        <f t="shared" si="7"/>
        <v>221</v>
      </c>
      <c r="C227" s="18" t="s">
        <v>262</v>
      </c>
      <c r="D227" s="19" t="str">
        <f t="array" ref="D227">IFNA(_xlfn.XLOOKUP(C227,Table_Tarikan_Warkah[Nomor Sertipikat],Table_Tarikan_Warkah[Nomor Tiket]),"")</f>
        <v/>
      </c>
      <c r="E227" s="20" t="str">
        <f t="array" ref="E227">IFNA(_xlfn.XLOOKUP(C227,Table_Tarikan_Warkah[Nomor Sertipikat],Table_Tarikan_Warkah[Tanggal diserahkan kepada Validator]),"")</f>
        <v/>
      </c>
      <c r="F227" s="20" t="str">
        <f t="array" ref="F227">IFNA(_xlfn.XLOOKUP(C227,Table_Tarikan_Warkah[Nomor Sertipikat],Table_Tarikan_Warkah[Nama Petugas Warkah]),"")</f>
        <v/>
      </c>
      <c r="G227" s="21" t="str">
        <f t="array" ref="G227">IFNA(_xlfn.XLOOKUP(C227,Table_Tarikan_Warkah[Nomor Sertipikat],Table_Tarikan_Warkah[Jenis Permohonan]),"")</f>
        <v/>
      </c>
      <c r="H227" s="22" t="s">
        <v>31</v>
      </c>
      <c r="I227" s="22" t="s">
        <v>187</v>
      </c>
      <c r="J227" s="20">
        <f t="shared" si="29"/>
        <v>45591.37121</v>
      </c>
      <c r="K227" s="22" t="s">
        <v>33</v>
      </c>
      <c r="L227" s="22" t="s">
        <v>187</v>
      </c>
      <c r="M227" s="20">
        <f t="shared" si="30"/>
        <v>45593.68793</v>
      </c>
      <c r="N227" s="8" t="str">
        <f t="shared" si="3"/>
        <v/>
      </c>
      <c r="O227" s="21" t="str">
        <f t="shared" si="22"/>
        <v/>
      </c>
      <c r="P227" s="24" t="b">
        <v>1</v>
      </c>
      <c r="Q227" s="20">
        <f t="shared" si="5"/>
        <v>45593.68797</v>
      </c>
      <c r="R227" s="24" t="b">
        <v>0</v>
      </c>
      <c r="S227" s="7" t="str">
        <f t="shared" si="6"/>
        <v/>
      </c>
      <c r="T227" s="7"/>
    </row>
    <row r="228" ht="22.5" hidden="1" customHeight="1">
      <c r="B228" s="7">
        <f t="shared" si="7"/>
        <v>222</v>
      </c>
      <c r="C228" s="18" t="s">
        <v>263</v>
      </c>
      <c r="D228" s="19" t="str">
        <f t="array" ref="D228">IFNA(_xlfn.XLOOKUP(C228,Table_Tarikan_Warkah[Nomor Sertipikat],Table_Tarikan_Warkah[Nomor Tiket]),"")</f>
        <v>K/41/251024/1</v>
      </c>
      <c r="E228" s="20">
        <f t="array" ref="E228">IFNA(_xlfn.XLOOKUP(C228,Table_Tarikan_Warkah[Nomor Sertipikat],Table_Tarikan_Warkah[Tanggal diserahkan kepada Validator]),"")</f>
        <v>45593.4261</v>
      </c>
      <c r="F228" s="20" t="str">
        <f t="array" ref="F228">IFNA(_xlfn.XLOOKUP(C228,Table_Tarikan_Warkah[Nomor Sertipikat],Table_Tarikan_Warkah[Nama Petugas Warkah]),"")</f>
        <v>David</v>
      </c>
      <c r="G228" s="21" t="str">
        <f t="array" ref="G228">IFNA(_xlfn.XLOOKUP(C228,Table_Tarikan_Warkah[Nomor Sertipikat],Table_Tarikan_Warkah[Jenis Permohonan]),"")</f>
        <v>BN Jual Beli</v>
      </c>
      <c r="H228" s="22" t="s">
        <v>37</v>
      </c>
      <c r="I228" s="22" t="s">
        <v>32</v>
      </c>
      <c r="J228" s="20">
        <f t="shared" si="29"/>
        <v>45593.5203</v>
      </c>
      <c r="K228" s="22" t="s">
        <v>33</v>
      </c>
      <c r="L228" s="22" t="s">
        <v>32</v>
      </c>
      <c r="M228" s="20">
        <f t="shared" si="30"/>
        <v>45595.54608</v>
      </c>
      <c r="N228" s="8" t="str">
        <f t="shared" si="3"/>
        <v>SELESAI</v>
      </c>
      <c r="O228" s="23">
        <f t="shared" si="22"/>
        <v>45595.54608</v>
      </c>
      <c r="P228" s="24" t="b">
        <v>0</v>
      </c>
      <c r="Q228" s="20" t="str">
        <f t="shared" si="5"/>
        <v/>
      </c>
      <c r="R228" s="24" t="b">
        <v>1</v>
      </c>
      <c r="S228" s="20">
        <f t="shared" si="6"/>
        <v>45595.546</v>
      </c>
      <c r="T228" s="7"/>
    </row>
    <row r="229" ht="22.5" hidden="1" customHeight="1">
      <c r="B229" s="7">
        <f t="shared" si="7"/>
        <v>223</v>
      </c>
      <c r="C229" s="18" t="s">
        <v>264</v>
      </c>
      <c r="D229" s="19" t="str">
        <f t="array" ref="D229">IFNA(_xlfn.XLOOKUP(C229,Table_Tarikan_Warkah[Nomor Sertipikat],Table_Tarikan_Warkah[Nomor Tiket]),"")</f>
        <v>K/17/251024/2</v>
      </c>
      <c r="E229" s="20">
        <f t="array" ref="E229">IFNA(_xlfn.XLOOKUP(C229,Table_Tarikan_Warkah[Nomor Sertipikat],Table_Tarikan_Warkah[Tanggal diserahkan kepada Validator]),"")</f>
        <v>45593.42408</v>
      </c>
      <c r="F229" s="20" t="str">
        <f t="array" ref="F229">IFNA(_xlfn.XLOOKUP(C229,Table_Tarikan_Warkah[Nomor Sertipikat],Table_Tarikan_Warkah[Nama Petugas Warkah]),"")</f>
        <v>Berry</v>
      </c>
      <c r="G229" s="21" t="str">
        <f t="array" ref="G229">IFNA(_xlfn.XLOOKUP(C229,Table_Tarikan_Warkah[Nomor Sertipikat],Table_Tarikan_Warkah[Jenis Permohonan]),"")</f>
        <v>BN Jual Beli</v>
      </c>
      <c r="H229" s="22" t="s">
        <v>37</v>
      </c>
      <c r="I229" s="22" t="s">
        <v>32</v>
      </c>
      <c r="J229" s="20">
        <f t="shared" si="29"/>
        <v>45593.52042</v>
      </c>
      <c r="K229" s="22" t="s">
        <v>65</v>
      </c>
      <c r="L229" s="22" t="s">
        <v>32</v>
      </c>
      <c r="M229" s="20">
        <f t="shared" si="30"/>
        <v>45595.56465</v>
      </c>
      <c r="N229" s="8" t="str">
        <f t="shared" si="3"/>
        <v>SELESAI</v>
      </c>
      <c r="O229" s="23">
        <f t="shared" si="22"/>
        <v>45595.56465</v>
      </c>
      <c r="P229" s="24" t="b">
        <v>0</v>
      </c>
      <c r="Q229" s="20" t="str">
        <f t="shared" si="5"/>
        <v/>
      </c>
      <c r="R229" s="24" t="b">
        <v>1</v>
      </c>
      <c r="S229" s="20">
        <f t="shared" si="6"/>
        <v>45595.56469</v>
      </c>
      <c r="T229" s="7"/>
    </row>
    <row r="230" ht="22.5" hidden="1" customHeight="1">
      <c r="B230" s="7">
        <f t="shared" si="7"/>
        <v>224</v>
      </c>
      <c r="C230" s="18" t="s">
        <v>265</v>
      </c>
      <c r="D230" s="19" t="str">
        <f t="array" ref="D230">IFNA(_xlfn.XLOOKUP(C230,Table_Tarikan_Warkah[Nomor Sertipikat],Table_Tarikan_Warkah[Nomor Tiket]),"")</f>
        <v>K/18/251024/3</v>
      </c>
      <c r="E230" s="20">
        <f t="array" ref="E230">IFNA(_xlfn.XLOOKUP(C230,Table_Tarikan_Warkah[Nomor Sertipikat],Table_Tarikan_Warkah[Tanggal diserahkan kepada Validator]),"")</f>
        <v>45593.4242</v>
      </c>
      <c r="F230" s="20" t="str">
        <f t="array" ref="F230">IFNA(_xlfn.XLOOKUP(C230,Table_Tarikan_Warkah[Nomor Sertipikat],Table_Tarikan_Warkah[Nama Petugas Warkah]),"")</f>
        <v>Berry</v>
      </c>
      <c r="G230" s="21" t="str">
        <f t="array" ref="G230">IFNA(_xlfn.XLOOKUP(C230,Table_Tarikan_Warkah[Nomor Sertipikat],Table_Tarikan_Warkah[Jenis Permohonan]),"")</f>
        <v>BN Jual Beli</v>
      </c>
      <c r="H230" s="22" t="s">
        <v>37</v>
      </c>
      <c r="I230" s="22" t="s">
        <v>32</v>
      </c>
      <c r="J230" s="20">
        <f t="shared" si="29"/>
        <v>45593.52053</v>
      </c>
      <c r="K230" s="22" t="s">
        <v>65</v>
      </c>
      <c r="L230" s="22" t="s">
        <v>32</v>
      </c>
      <c r="M230" s="20">
        <f t="shared" si="30"/>
        <v>45595.55092</v>
      </c>
      <c r="N230" s="8" t="str">
        <f t="shared" si="3"/>
        <v>SELESAI</v>
      </c>
      <c r="O230" s="23">
        <f t="shared" si="22"/>
        <v>45595.55092</v>
      </c>
      <c r="P230" s="24" t="b">
        <v>0</v>
      </c>
      <c r="Q230" s="20" t="str">
        <f t="shared" si="5"/>
        <v/>
      </c>
      <c r="R230" s="24" t="b">
        <v>1</v>
      </c>
      <c r="S230" s="20">
        <f t="shared" si="6"/>
        <v>45595.55095</v>
      </c>
      <c r="T230" s="7"/>
    </row>
    <row r="231" ht="22.5" hidden="1" customHeight="1">
      <c r="B231" s="7">
        <f t="shared" si="7"/>
        <v>225</v>
      </c>
      <c r="C231" s="18" t="s">
        <v>266</v>
      </c>
      <c r="D231" s="19" t="str">
        <f t="array" ref="D231">IFNA(_xlfn.XLOOKUP(C231,Table_Tarikan_Warkah[Nomor Sertipikat],Table_Tarikan_Warkah[Nomor Tiket]),"")</f>
        <v>K/16/251024/1</v>
      </c>
      <c r="E231" s="20">
        <f t="array" ref="E231">IFNA(_xlfn.XLOOKUP(C231,Table_Tarikan_Warkah[Nomor Sertipikat],Table_Tarikan_Warkah[Tanggal diserahkan kepada Validator]),"")</f>
        <v>45593.42396</v>
      </c>
      <c r="F231" s="20" t="str">
        <f t="array" ref="F231">IFNA(_xlfn.XLOOKUP(C231,Table_Tarikan_Warkah[Nomor Sertipikat],Table_Tarikan_Warkah[Nama Petugas Warkah]),"")</f>
        <v>Berry</v>
      </c>
      <c r="G231" s="21" t="str">
        <f t="array" ref="G231">IFNA(_xlfn.XLOOKUP(C231,Table_Tarikan_Warkah[Nomor Sertipikat],Table_Tarikan_Warkah[Jenis Permohonan]),"")</f>
        <v>BN Jual Beli</v>
      </c>
      <c r="H231" s="22" t="s">
        <v>37</v>
      </c>
      <c r="I231" s="22" t="s">
        <v>32</v>
      </c>
      <c r="J231" s="20">
        <f t="shared" si="29"/>
        <v>45593.52064</v>
      </c>
      <c r="K231" s="22" t="s">
        <v>65</v>
      </c>
      <c r="L231" s="22" t="s">
        <v>32</v>
      </c>
      <c r="M231" s="20">
        <f t="shared" si="30"/>
        <v>45595.55018</v>
      </c>
      <c r="N231" s="8" t="str">
        <f t="shared" si="3"/>
        <v>SELESAI</v>
      </c>
      <c r="O231" s="23">
        <f t="shared" si="22"/>
        <v>45595.55018</v>
      </c>
      <c r="P231" s="24" t="b">
        <v>0</v>
      </c>
      <c r="Q231" s="20" t="str">
        <f t="shared" si="5"/>
        <v/>
      </c>
      <c r="R231" s="24" t="b">
        <v>1</v>
      </c>
      <c r="S231" s="20">
        <f t="shared" si="6"/>
        <v>45595.55022</v>
      </c>
      <c r="T231" s="7"/>
    </row>
    <row r="232" ht="22.5" hidden="1" customHeight="1">
      <c r="B232" s="7">
        <f t="shared" si="7"/>
        <v>226</v>
      </c>
      <c r="C232" s="18" t="s">
        <v>267</v>
      </c>
      <c r="D232" s="19" t="str">
        <f t="array" ref="D232">IFNA(_xlfn.XLOOKUP(C232,Table_Tarikan_Warkah[Nomor Sertipikat],Table_Tarikan_Warkah[Nomor Tiket]),"")</f>
        <v>L/10/251024/1</v>
      </c>
      <c r="E232" s="20">
        <f t="array" ref="E232">IFNA(_xlfn.XLOOKUP(C232,Table_Tarikan_Warkah[Nomor Sertipikat],Table_Tarikan_Warkah[Tanggal diserahkan kepada Validator]),"")</f>
        <v>45593.42342</v>
      </c>
      <c r="F232" s="20" t="str">
        <f t="array" ref="F232">IFNA(_xlfn.XLOOKUP(C232,Table_Tarikan_Warkah[Nomor Sertipikat],Table_Tarikan_Warkah[Nama Petugas Warkah]),"")</f>
        <v>Berry</v>
      </c>
      <c r="G232" s="21" t="str">
        <f t="array" ref="G232">IFNA(_xlfn.XLOOKUP(C232,Table_Tarikan_Warkah[Nomor Sertipikat],Table_Tarikan_Warkah[Jenis Permohonan]),"")</f>
        <v>PEMECAHAN</v>
      </c>
      <c r="H232" s="22" t="s">
        <v>37</v>
      </c>
      <c r="I232" s="22" t="s">
        <v>32</v>
      </c>
      <c r="J232" s="20">
        <f t="shared" si="29"/>
        <v>45593.52076</v>
      </c>
      <c r="K232" s="27" t="s">
        <v>65</v>
      </c>
      <c r="L232" s="27" t="s">
        <v>32</v>
      </c>
      <c r="M232" s="20">
        <f t="shared" si="30"/>
        <v>45595.57029</v>
      </c>
      <c r="N232" s="8" t="str">
        <f t="shared" si="3"/>
        <v>SELESAI</v>
      </c>
      <c r="O232" s="23">
        <f t="shared" si="22"/>
        <v>45595.57029</v>
      </c>
      <c r="P232" s="24" t="b">
        <v>0</v>
      </c>
      <c r="Q232" s="20" t="str">
        <f t="shared" si="5"/>
        <v/>
      </c>
      <c r="R232" s="24" t="b">
        <v>1</v>
      </c>
      <c r="S232" s="20">
        <f t="shared" si="6"/>
        <v>45595.57032</v>
      </c>
      <c r="T232" s="7"/>
    </row>
    <row r="233" ht="22.5" hidden="1" customHeight="1">
      <c r="B233" s="7">
        <f t="shared" si="7"/>
        <v>227</v>
      </c>
      <c r="C233" s="18" t="s">
        <v>268</v>
      </c>
      <c r="D233" s="19" t="str">
        <f t="array" ref="D233">IFNA(_xlfn.XLOOKUP(C233,Table_Tarikan_Warkah[Nomor Sertipikat],Table_Tarikan_Warkah[Nomor Tiket]),"")</f>
        <v>K/31/251024/2</v>
      </c>
      <c r="E233" s="20">
        <f t="array" ref="E233">IFNA(_xlfn.XLOOKUP(C233,Table_Tarikan_Warkah[Nomor Sertipikat],Table_Tarikan_Warkah[Tanggal diserahkan kepada Validator]),"")</f>
        <v>45593.54554</v>
      </c>
      <c r="F233" s="20" t="str">
        <f t="array" ref="F233">IFNA(_xlfn.XLOOKUP(C233,Table_Tarikan_Warkah[Nomor Sertipikat],Table_Tarikan_Warkah[Nama Petugas Warkah]),"")</f>
        <v>David</v>
      </c>
      <c r="G233" s="21" t="str">
        <f t="array" ref="G233">IFNA(_xlfn.XLOOKUP(C233,Table_Tarikan_Warkah[Nomor Sertipikat],Table_Tarikan_Warkah[Jenis Permohonan]),"")</f>
        <v>Perubahan Hak</v>
      </c>
      <c r="H233" s="22" t="s">
        <v>37</v>
      </c>
      <c r="I233" s="22" t="s">
        <v>32</v>
      </c>
      <c r="J233" s="20">
        <f t="shared" si="29"/>
        <v>45593.55364</v>
      </c>
      <c r="K233" s="22" t="s">
        <v>33</v>
      </c>
      <c r="L233" s="22" t="s">
        <v>32</v>
      </c>
      <c r="M233" s="20">
        <f t="shared" si="30"/>
        <v>45595.54839</v>
      </c>
      <c r="N233" s="8" t="str">
        <f t="shared" si="3"/>
        <v>SELESAI</v>
      </c>
      <c r="O233" s="23">
        <f t="shared" si="22"/>
        <v>45595.54839</v>
      </c>
      <c r="P233" s="24" t="b">
        <v>0</v>
      </c>
      <c r="Q233" s="20" t="str">
        <f t="shared" si="5"/>
        <v/>
      </c>
      <c r="R233" s="24" t="b">
        <v>1</v>
      </c>
      <c r="S233" s="20">
        <f t="shared" si="6"/>
        <v>45595.54842</v>
      </c>
      <c r="T233" s="7"/>
    </row>
    <row r="234" ht="22.5" hidden="1" customHeight="1">
      <c r="B234" s="7">
        <f t="shared" si="7"/>
        <v>228</v>
      </c>
      <c r="C234" s="18" t="s">
        <v>269</v>
      </c>
      <c r="D234" s="19" t="str">
        <f t="array" ref="D234">IFNA(_xlfn.XLOOKUP(C234,Table_Tarikan_Warkah[Nomor Sertipikat],Table_Tarikan_Warkah[Nomor Tiket]),"")</f>
        <v>K/30/251024/1</v>
      </c>
      <c r="E234" s="20">
        <f t="array" ref="E234">IFNA(_xlfn.XLOOKUP(C234,Table_Tarikan_Warkah[Nomor Sertipikat],Table_Tarikan_Warkah[Tanggal diserahkan kepada Validator]),"")</f>
        <v>45593.42527</v>
      </c>
      <c r="F234" s="20" t="str">
        <f t="array" ref="F234">IFNA(_xlfn.XLOOKUP(C234,Table_Tarikan_Warkah[Nomor Sertipikat],Table_Tarikan_Warkah[Nama Petugas Warkah]),"")</f>
        <v>David</v>
      </c>
      <c r="G234" s="21" t="str">
        <f t="array" ref="G234">IFNA(_xlfn.XLOOKUP(C234,Table_Tarikan_Warkah[Nomor Sertipikat],Table_Tarikan_Warkah[Jenis Permohonan]),"")</f>
        <v>BN Jual Beli</v>
      </c>
      <c r="H234" s="22" t="s">
        <v>37</v>
      </c>
      <c r="I234" s="22" t="s">
        <v>32</v>
      </c>
      <c r="J234" s="20">
        <f t="shared" si="29"/>
        <v>45593.56304</v>
      </c>
      <c r="K234" s="22" t="s">
        <v>65</v>
      </c>
      <c r="L234" s="22" t="s">
        <v>32</v>
      </c>
      <c r="M234" s="20">
        <f t="shared" si="30"/>
        <v>45595.54875</v>
      </c>
      <c r="N234" s="8" t="str">
        <f t="shared" si="3"/>
        <v>SELESAI</v>
      </c>
      <c r="O234" s="23">
        <f t="shared" si="22"/>
        <v>45595.54875</v>
      </c>
      <c r="P234" s="24" t="b">
        <v>0</v>
      </c>
      <c r="Q234" s="20" t="str">
        <f t="shared" si="5"/>
        <v/>
      </c>
      <c r="R234" s="24" t="b">
        <v>1</v>
      </c>
      <c r="S234" s="20">
        <f t="shared" si="6"/>
        <v>45595.54878</v>
      </c>
      <c r="T234" s="7"/>
    </row>
    <row r="235" ht="22.5" hidden="1" customHeight="1">
      <c r="B235" s="7">
        <f t="shared" si="7"/>
        <v>229</v>
      </c>
      <c r="C235" s="18" t="s">
        <v>270</v>
      </c>
      <c r="D235" s="19" t="str">
        <f t="array" ref="D235">IFNA(_xlfn.XLOOKUP(C235,Table_Tarikan_Warkah[Nomor Sertipikat],Table_Tarikan_Warkah[Nomor Tiket]),"")</f>
        <v>K/43/251024/2</v>
      </c>
      <c r="E235" s="20">
        <f t="array" ref="E235">IFNA(_xlfn.XLOOKUP(C235,Table_Tarikan_Warkah[Nomor Sertipikat],Table_Tarikan_Warkah[Tanggal diserahkan kepada Validator]),"")</f>
        <v>45593.42645</v>
      </c>
      <c r="F235" s="20" t="str">
        <f t="array" ref="F235">IFNA(_xlfn.XLOOKUP(C235,Table_Tarikan_Warkah[Nomor Sertipikat],Table_Tarikan_Warkah[Nama Petugas Warkah]),"")</f>
        <v>David</v>
      </c>
      <c r="G235" s="21" t="str">
        <f t="array" ref="G235">IFNA(_xlfn.XLOOKUP(C235,Table_Tarikan_Warkah[Nomor Sertipikat],Table_Tarikan_Warkah[Jenis Permohonan]),"")</f>
        <v>ROYA</v>
      </c>
      <c r="H235" s="22" t="s">
        <v>37</v>
      </c>
      <c r="I235" s="22" t="s">
        <v>32</v>
      </c>
      <c r="J235" s="20">
        <f t="shared" si="29"/>
        <v>45593.56411</v>
      </c>
      <c r="K235" s="22" t="s">
        <v>33</v>
      </c>
      <c r="L235" s="22" t="s">
        <v>32</v>
      </c>
      <c r="M235" s="20">
        <f t="shared" si="30"/>
        <v>45595.56553</v>
      </c>
      <c r="N235" s="8" t="str">
        <f t="shared" si="3"/>
        <v>SELESAI</v>
      </c>
      <c r="O235" s="23">
        <f t="shared" si="22"/>
        <v>45595.56553</v>
      </c>
      <c r="P235" s="24" t="b">
        <v>0</v>
      </c>
      <c r="Q235" s="20" t="str">
        <f t="shared" si="5"/>
        <v/>
      </c>
      <c r="R235" s="24" t="b">
        <v>1</v>
      </c>
      <c r="S235" s="20">
        <f t="shared" si="6"/>
        <v>45595.56555</v>
      </c>
      <c r="T235" s="7"/>
    </row>
    <row r="236" ht="22.5" hidden="1" customHeight="1">
      <c r="B236" s="7">
        <f t="shared" si="7"/>
        <v>230</v>
      </c>
      <c r="C236" s="18" t="s">
        <v>271</v>
      </c>
      <c r="D236" s="19" t="str">
        <f t="array" ref="D236">IFNA(_xlfn.XLOOKUP(C236,Table_Tarikan_Warkah[Nomor Sertipikat],Table_Tarikan_Warkah[Nomor Tiket]),"")</f>
        <v>K/44/251024/3</v>
      </c>
      <c r="E236" s="20">
        <f t="array" ref="E236">IFNA(_xlfn.XLOOKUP(C236,Table_Tarikan_Warkah[Nomor Sertipikat],Table_Tarikan_Warkah[Tanggal diserahkan kepada Validator]),"")</f>
        <v>45593.42661</v>
      </c>
      <c r="F236" s="20" t="str">
        <f t="array" ref="F236">IFNA(_xlfn.XLOOKUP(C236,Table_Tarikan_Warkah[Nomor Sertipikat],Table_Tarikan_Warkah[Nama Petugas Warkah]),"")</f>
        <v>David</v>
      </c>
      <c r="G236" s="21" t="str">
        <f t="array" ref="G236">IFNA(_xlfn.XLOOKUP(C236,Table_Tarikan_Warkah[Nomor Sertipikat],Table_Tarikan_Warkah[Jenis Permohonan]),"")</f>
        <v>ROYA</v>
      </c>
      <c r="H236" s="22" t="s">
        <v>37</v>
      </c>
      <c r="I236" s="22" t="s">
        <v>32</v>
      </c>
      <c r="J236" s="20">
        <f t="shared" si="29"/>
        <v>45593.56525</v>
      </c>
      <c r="K236" s="22" t="s">
        <v>65</v>
      </c>
      <c r="L236" s="22" t="s">
        <v>32</v>
      </c>
      <c r="M236" s="20">
        <f t="shared" si="30"/>
        <v>45595.56577</v>
      </c>
      <c r="N236" s="8" t="str">
        <f t="shared" si="3"/>
        <v>SELESAI</v>
      </c>
      <c r="O236" s="23">
        <f t="shared" si="22"/>
        <v>45595.56577</v>
      </c>
      <c r="P236" s="24" t="b">
        <v>0</v>
      </c>
      <c r="Q236" s="20" t="str">
        <f t="shared" si="5"/>
        <v/>
      </c>
      <c r="R236" s="24" t="b">
        <v>1</v>
      </c>
      <c r="S236" s="20">
        <f t="shared" si="6"/>
        <v>45595.56581</v>
      </c>
      <c r="T236" s="7"/>
    </row>
    <row r="237" ht="22.5" hidden="1" customHeight="1">
      <c r="B237" s="7">
        <f t="shared" si="7"/>
        <v>231</v>
      </c>
      <c r="C237" s="18" t="s">
        <v>272</v>
      </c>
      <c r="D237" s="19" t="str">
        <f t="array" ref="D237">IFNA(_xlfn.XLOOKUP(C237,Table_Tarikan_Warkah[Nomor Sertipikat],Table_Tarikan_Warkah[Nomor Tiket]),"")</f>
        <v/>
      </c>
      <c r="E237" s="20" t="str">
        <f t="array" ref="E237">IFNA(_xlfn.XLOOKUP(C237,Table_Tarikan_Warkah[Nomor Sertipikat],Table_Tarikan_Warkah[Tanggal diserahkan kepada Validator]),"")</f>
        <v/>
      </c>
      <c r="F237" s="20" t="str">
        <f t="array" ref="F237">IFNA(_xlfn.XLOOKUP(C237,Table_Tarikan_Warkah[Nomor Sertipikat],Table_Tarikan_Warkah[Nama Petugas Warkah]),"")</f>
        <v/>
      </c>
      <c r="G237" s="21" t="str">
        <f t="array" ref="G237">IFNA(_xlfn.XLOOKUP(C237,Table_Tarikan_Warkah[Nomor Sertipikat],Table_Tarikan_Warkah[Jenis Permohonan]),"")</f>
        <v/>
      </c>
      <c r="H237" s="22" t="s">
        <v>37</v>
      </c>
      <c r="I237" s="22" t="s">
        <v>32</v>
      </c>
      <c r="J237" s="20">
        <f t="shared" si="29"/>
        <v>45593.56897</v>
      </c>
      <c r="K237" s="22" t="s">
        <v>33</v>
      </c>
      <c r="L237" s="22" t="s">
        <v>32</v>
      </c>
      <c r="M237" s="20">
        <f t="shared" si="30"/>
        <v>45595.54971</v>
      </c>
      <c r="N237" s="8" t="str">
        <f t="shared" si="3"/>
        <v/>
      </c>
      <c r="O237" s="21" t="str">
        <f t="shared" si="22"/>
        <v/>
      </c>
      <c r="P237" s="24" t="b">
        <v>0</v>
      </c>
      <c r="Q237" s="20" t="str">
        <f t="shared" si="5"/>
        <v/>
      </c>
      <c r="R237" s="24" t="b">
        <v>1</v>
      </c>
      <c r="S237" s="20">
        <f t="shared" si="6"/>
        <v>45595.5498</v>
      </c>
      <c r="T237" s="7"/>
    </row>
    <row r="238" ht="22.5" hidden="1" customHeight="1">
      <c r="B238" s="7">
        <f t="shared" si="7"/>
        <v>232</v>
      </c>
      <c r="C238" s="18" t="s">
        <v>273</v>
      </c>
      <c r="D238" s="19" t="str">
        <f t="array" ref="D238">IFNA(_xlfn.XLOOKUP(C238,Table_Tarikan_Warkah[Nomor Sertipikat],Table_Tarikan_Warkah[Nomor Tiket]),"")</f>
        <v>K/51/251024/1</v>
      </c>
      <c r="E238" s="20">
        <f t="array" ref="E238">IFNA(_xlfn.XLOOKUP(C238,Table_Tarikan_Warkah[Nomor Sertipikat],Table_Tarikan_Warkah[Tanggal diserahkan kepada Validator]),"")</f>
        <v>45593.42713</v>
      </c>
      <c r="F238" s="20" t="str">
        <f t="array" ref="F238">IFNA(_xlfn.XLOOKUP(C238,Table_Tarikan_Warkah[Nomor Sertipikat],Table_Tarikan_Warkah[Nama Petugas Warkah]),"")</f>
        <v>David</v>
      </c>
      <c r="G238" s="21" t="str">
        <f t="array" ref="G238">IFNA(_xlfn.XLOOKUP(C238,Table_Tarikan_Warkah[Nomor Sertipikat],Table_Tarikan_Warkah[Jenis Permohonan]),"")</f>
        <v>BN Jual Beli</v>
      </c>
      <c r="H238" s="22" t="s">
        <v>37</v>
      </c>
      <c r="I238" s="22" t="s">
        <v>32</v>
      </c>
      <c r="J238" s="20">
        <f t="shared" si="29"/>
        <v>45593.57279</v>
      </c>
      <c r="K238" s="22" t="s">
        <v>65</v>
      </c>
      <c r="L238" s="22" t="s">
        <v>32</v>
      </c>
      <c r="M238" s="20">
        <f t="shared" si="30"/>
        <v>45595.56648</v>
      </c>
      <c r="N238" s="8" t="str">
        <f t="shared" si="3"/>
        <v>SELESAI</v>
      </c>
      <c r="O238" s="23">
        <f t="shared" si="22"/>
        <v>45595.56648</v>
      </c>
      <c r="P238" s="24" t="b">
        <v>0</v>
      </c>
      <c r="Q238" s="20" t="str">
        <f t="shared" si="5"/>
        <v/>
      </c>
      <c r="R238" s="24" t="b">
        <v>1</v>
      </c>
      <c r="S238" s="20">
        <f t="shared" si="6"/>
        <v>45595.56654</v>
      </c>
      <c r="T238" s="7"/>
    </row>
    <row r="239" ht="22.5" hidden="1" customHeight="1">
      <c r="B239" s="7">
        <f t="shared" si="7"/>
        <v>233</v>
      </c>
      <c r="C239" s="18" t="s">
        <v>274</v>
      </c>
      <c r="D239" s="19" t="str">
        <f t="array" ref="D239">IFNA(_xlfn.XLOOKUP(C239,Table_Tarikan_Warkah[Nomor Sertipikat],Table_Tarikan_Warkah[Nomor Tiket]),"")</f>
        <v>K/52/251024/2</v>
      </c>
      <c r="E239" s="20">
        <f t="array" ref="E239">IFNA(_xlfn.XLOOKUP(C239,Table_Tarikan_Warkah[Nomor Sertipikat],Table_Tarikan_Warkah[Tanggal diserahkan kepada Validator]),"")</f>
        <v>45593.42731</v>
      </c>
      <c r="F239" s="20" t="str">
        <f t="array" ref="F239">IFNA(_xlfn.XLOOKUP(C239,Table_Tarikan_Warkah[Nomor Sertipikat],Table_Tarikan_Warkah[Nama Petugas Warkah]),"")</f>
        <v>David</v>
      </c>
      <c r="G239" s="21" t="str">
        <f t="array" ref="G239">IFNA(_xlfn.XLOOKUP(C239,Table_Tarikan_Warkah[Nomor Sertipikat],Table_Tarikan_Warkah[Jenis Permohonan]),"")</f>
        <v>BN Jual Beli</v>
      </c>
      <c r="H239" s="22" t="s">
        <v>37</v>
      </c>
      <c r="I239" s="22" t="s">
        <v>32</v>
      </c>
      <c r="J239" s="20">
        <f t="shared" si="29"/>
        <v>45593.57292</v>
      </c>
      <c r="K239" s="22" t="s">
        <v>65</v>
      </c>
      <c r="L239" s="22" t="s">
        <v>32</v>
      </c>
      <c r="M239" s="20">
        <f t="shared" si="30"/>
        <v>45595.56649</v>
      </c>
      <c r="N239" s="8" t="str">
        <f t="shared" si="3"/>
        <v>SELESAI</v>
      </c>
      <c r="O239" s="23">
        <f t="shared" si="22"/>
        <v>45595.56649</v>
      </c>
      <c r="P239" s="24" t="b">
        <v>0</v>
      </c>
      <c r="Q239" s="20" t="str">
        <f t="shared" si="5"/>
        <v/>
      </c>
      <c r="R239" s="24" t="b">
        <v>1</v>
      </c>
      <c r="S239" s="20">
        <f t="shared" si="6"/>
        <v>45595.56655</v>
      </c>
      <c r="T239" s="7"/>
    </row>
    <row r="240" ht="22.5" hidden="1" customHeight="1">
      <c r="B240" s="7">
        <f t="shared" si="7"/>
        <v>234</v>
      </c>
      <c r="C240" s="18" t="s">
        <v>275</v>
      </c>
      <c r="D240" s="19" t="str">
        <f t="array" ref="D240">IFNA(_xlfn.XLOOKUP(C240,Table_Tarikan_Warkah[Nomor Sertipikat],Table_Tarikan_Warkah[Nomor Tiket]),"")</f>
        <v>L/9/251024/1</v>
      </c>
      <c r="E240" s="20">
        <f t="array" ref="E240">IFNA(_xlfn.XLOOKUP(C240,Table_Tarikan_Warkah[Nomor Sertipikat],Table_Tarikan_Warkah[Tanggal diserahkan kepada Validator]),"")</f>
        <v>45593.42203</v>
      </c>
      <c r="F240" s="20" t="str">
        <f t="array" ref="F240">IFNA(_xlfn.XLOOKUP(C240,Table_Tarikan_Warkah[Nomor Sertipikat],Table_Tarikan_Warkah[Nama Petugas Warkah]),"")</f>
        <v>Berry</v>
      </c>
      <c r="G240" s="21" t="str">
        <f t="array" ref="G240">IFNA(_xlfn.XLOOKUP(C240,Table_Tarikan_Warkah[Nomor Sertipikat],Table_Tarikan_Warkah[Jenis Permohonan]),"")</f>
        <v>ROYA</v>
      </c>
      <c r="H240" s="22" t="s">
        <v>37</v>
      </c>
      <c r="I240" s="22" t="s">
        <v>32</v>
      </c>
      <c r="J240" s="20">
        <f t="shared" si="29"/>
        <v>45593.58533</v>
      </c>
      <c r="K240" s="22" t="s">
        <v>65</v>
      </c>
      <c r="L240" s="22" t="s">
        <v>32</v>
      </c>
      <c r="M240" s="20">
        <f t="shared" si="30"/>
        <v>45595.56651</v>
      </c>
      <c r="N240" s="8" t="str">
        <f t="shared" si="3"/>
        <v>SELESAI</v>
      </c>
      <c r="O240" s="23">
        <f t="shared" si="22"/>
        <v>45595.56651</v>
      </c>
      <c r="P240" s="24" t="b">
        <v>0</v>
      </c>
      <c r="Q240" s="20" t="str">
        <f t="shared" si="5"/>
        <v/>
      </c>
      <c r="R240" s="24" t="b">
        <v>1</v>
      </c>
      <c r="S240" s="20">
        <f t="shared" si="6"/>
        <v>45595.56656</v>
      </c>
      <c r="T240" s="7"/>
    </row>
    <row r="241" ht="22.5" hidden="1" customHeight="1">
      <c r="B241" s="7">
        <f t="shared" si="7"/>
        <v>235</v>
      </c>
      <c r="C241" s="18" t="s">
        <v>276</v>
      </c>
      <c r="D241" s="19" t="str">
        <f t="array" ref="D241">IFNA(_xlfn.XLOOKUP(C241,Table_Tarikan_Warkah[Nomor Sertipikat],Table_Tarikan_Warkah[Nomor Tiket]),"")</f>
        <v>K/13/251024/1</v>
      </c>
      <c r="E241" s="20">
        <f t="array" ref="E241">IFNA(_xlfn.XLOOKUP(C241,Table_Tarikan_Warkah[Nomor Sertipikat],Table_Tarikan_Warkah[Tanggal diserahkan kepada Validator]),"")</f>
        <v>45593.42374</v>
      </c>
      <c r="F241" s="20" t="str">
        <f t="array" ref="F241">IFNA(_xlfn.XLOOKUP(C241,Table_Tarikan_Warkah[Nomor Sertipikat],Table_Tarikan_Warkah[Nama Petugas Warkah]),"")</f>
        <v>Berry</v>
      </c>
      <c r="G241" s="21" t="str">
        <f t="array" ref="G241">IFNA(_xlfn.XLOOKUP(C241,Table_Tarikan_Warkah[Nomor Sertipikat],Table_Tarikan_Warkah[Jenis Permohonan]),"")</f>
        <v>ROYA</v>
      </c>
      <c r="H241" s="22" t="s">
        <v>37</v>
      </c>
      <c r="I241" s="22" t="s">
        <v>32</v>
      </c>
      <c r="J241" s="20">
        <f t="shared" si="29"/>
        <v>45593.59668</v>
      </c>
      <c r="K241" s="22" t="s">
        <v>65</v>
      </c>
      <c r="L241" s="22" t="s">
        <v>32</v>
      </c>
      <c r="M241" s="20">
        <f t="shared" si="30"/>
        <v>45595.56528</v>
      </c>
      <c r="N241" s="8" t="str">
        <f t="shared" si="3"/>
        <v>SELESAI</v>
      </c>
      <c r="O241" s="23">
        <f t="shared" si="22"/>
        <v>45595.56528</v>
      </c>
      <c r="P241" s="24" t="b">
        <v>0</v>
      </c>
      <c r="Q241" s="20" t="str">
        <f t="shared" si="5"/>
        <v/>
      </c>
      <c r="R241" s="24" t="b">
        <v>1</v>
      </c>
      <c r="S241" s="20">
        <f t="shared" si="6"/>
        <v>45595.56531</v>
      </c>
      <c r="T241" s="7"/>
    </row>
    <row r="242" ht="22.5" hidden="1" customHeight="1">
      <c r="B242" s="7">
        <f t="shared" si="7"/>
        <v>236</v>
      </c>
      <c r="C242" s="18" t="s">
        <v>277</v>
      </c>
      <c r="D242" s="19" t="str">
        <f t="array" ref="D242">IFNA(_xlfn.XLOOKUP(C242,Table_Tarikan_Warkah[Nomor Sertipikat],Table_Tarikan_Warkah[Nomor Tiket]),"")</f>
        <v>K/8/251024/1</v>
      </c>
      <c r="E242" s="20">
        <f t="array" ref="E242">IFNA(_xlfn.XLOOKUP(C242,Table_Tarikan_Warkah[Nomor Sertipikat],Table_Tarikan_Warkah[Tanggal diserahkan kepada Validator]),"")</f>
        <v>45593.42266</v>
      </c>
      <c r="F242" s="20" t="str">
        <f t="array" ref="F242">IFNA(_xlfn.XLOOKUP(C242,Table_Tarikan_Warkah[Nomor Sertipikat],Table_Tarikan_Warkah[Nama Petugas Warkah]),"")</f>
        <v>Berry</v>
      </c>
      <c r="G242" s="21" t="str">
        <f t="array" ref="G242">IFNA(_xlfn.XLOOKUP(C242,Table_Tarikan_Warkah[Nomor Sertipikat],Table_Tarikan_Warkah[Jenis Permohonan]),"")</f>
        <v>Roya</v>
      </c>
      <c r="H242" s="22" t="s">
        <v>37</v>
      </c>
      <c r="I242" s="22" t="s">
        <v>32</v>
      </c>
      <c r="J242" s="20">
        <f t="shared" si="29"/>
        <v>45593.62506</v>
      </c>
      <c r="K242" s="22" t="s">
        <v>33</v>
      </c>
      <c r="L242" s="22" t="s">
        <v>32</v>
      </c>
      <c r="M242" s="20">
        <f t="shared" si="30"/>
        <v>45595.54684</v>
      </c>
      <c r="N242" s="8" t="str">
        <f t="shared" si="3"/>
        <v>SELESAI</v>
      </c>
      <c r="O242" s="23">
        <f t="shared" si="22"/>
        <v>45595.54684</v>
      </c>
      <c r="P242" s="24" t="b">
        <v>0</v>
      </c>
      <c r="Q242" s="20" t="str">
        <f t="shared" si="5"/>
        <v/>
      </c>
      <c r="R242" s="24" t="b">
        <v>1</v>
      </c>
      <c r="S242" s="20">
        <f t="shared" si="6"/>
        <v>45595.54686</v>
      </c>
      <c r="T242" s="7"/>
    </row>
    <row r="243" ht="22.5" hidden="1" customHeight="1">
      <c r="B243" s="7">
        <f t="shared" si="7"/>
        <v>237</v>
      </c>
      <c r="C243" s="18" t="s">
        <v>278</v>
      </c>
      <c r="D243" s="19" t="str">
        <f t="array" ref="D243">IFNA(_xlfn.XLOOKUP(C243,Table_Tarikan_Warkah[Nomor Sertipikat],Table_Tarikan_Warkah[Nomor Tiket]),"")</f>
        <v>L/34/251024/1</v>
      </c>
      <c r="E243" s="20">
        <f t="array" ref="E243">IFNA(_xlfn.XLOOKUP(C243,Table_Tarikan_Warkah[Nomor Sertipikat],Table_Tarikan_Warkah[Tanggal diserahkan kepada Validator]),"")</f>
        <v>45593.42565</v>
      </c>
      <c r="F243" s="20" t="str">
        <f t="array" ref="F243">IFNA(_xlfn.XLOOKUP(C243,Table_Tarikan_Warkah[Nomor Sertipikat],Table_Tarikan_Warkah[Nama Petugas Warkah]),"")</f>
        <v>David</v>
      </c>
      <c r="G243" s="21" t="str">
        <f t="array" ref="G243">IFNA(_xlfn.XLOOKUP(C243,Table_Tarikan_Warkah[Nomor Sertipikat],Table_Tarikan_Warkah[Jenis Permohonan]),"")</f>
        <v>ROYA</v>
      </c>
      <c r="H243" s="22" t="s">
        <v>37</v>
      </c>
      <c r="I243" s="22" t="s">
        <v>32</v>
      </c>
      <c r="J243" s="20">
        <f t="shared" si="29"/>
        <v>45593.63023</v>
      </c>
      <c r="K243" s="22" t="s">
        <v>65</v>
      </c>
      <c r="L243" s="22" t="s">
        <v>32</v>
      </c>
      <c r="M243" s="20">
        <f t="shared" si="30"/>
        <v>45595.54945</v>
      </c>
      <c r="N243" s="8" t="str">
        <f t="shared" si="3"/>
        <v>SELESAI</v>
      </c>
      <c r="O243" s="23">
        <f t="shared" si="22"/>
        <v>45595.54945</v>
      </c>
      <c r="P243" s="24" t="b">
        <v>0</v>
      </c>
      <c r="Q243" s="20" t="str">
        <f t="shared" si="5"/>
        <v/>
      </c>
      <c r="R243" s="24" t="b">
        <v>1</v>
      </c>
      <c r="S243" s="20">
        <f t="shared" si="6"/>
        <v>45595.5495</v>
      </c>
      <c r="T243" s="7"/>
    </row>
    <row r="244" ht="22.5" hidden="1" customHeight="1">
      <c r="B244" s="7">
        <f t="shared" si="7"/>
        <v>238</v>
      </c>
      <c r="C244" s="18" t="s">
        <v>279</v>
      </c>
      <c r="D244" s="19" t="str">
        <f t="array" ref="D244">IFNA(_xlfn.XLOOKUP(C244,Table_Tarikan_Warkah[Nomor Sertipikat],Table_Tarikan_Warkah[Nomor Tiket]),"")</f>
        <v>K/11/251024/1</v>
      </c>
      <c r="E244" s="20">
        <f t="array" ref="E244">IFNA(_xlfn.XLOOKUP(C244,Table_Tarikan_Warkah[Nomor Sertipikat],Table_Tarikan_Warkah[Tanggal diserahkan kepada Validator]),"")</f>
        <v>45593.42319</v>
      </c>
      <c r="F244" s="20" t="str">
        <f t="array" ref="F244">IFNA(_xlfn.XLOOKUP(C244,Table_Tarikan_Warkah[Nomor Sertipikat],Table_Tarikan_Warkah[Nama Petugas Warkah]),"")</f>
        <v>Berry</v>
      </c>
      <c r="G244" s="21" t="str">
        <f t="array" ref="G244">IFNA(_xlfn.XLOOKUP(C244,Table_Tarikan_Warkah[Nomor Sertipikat],Table_Tarikan_Warkah[Jenis Permohonan]),"")</f>
        <v>BN Hibah</v>
      </c>
      <c r="H244" s="22" t="s">
        <v>37</v>
      </c>
      <c r="I244" s="22" t="s">
        <v>32</v>
      </c>
      <c r="J244" s="20">
        <f t="shared" si="29"/>
        <v>45593.63251</v>
      </c>
      <c r="K244" s="22" t="s">
        <v>33</v>
      </c>
      <c r="L244" s="22" t="s">
        <v>32</v>
      </c>
      <c r="M244" s="20">
        <f t="shared" si="30"/>
        <v>45595.5476</v>
      </c>
      <c r="N244" s="8" t="str">
        <f t="shared" si="3"/>
        <v>SELESAI</v>
      </c>
      <c r="O244" s="23">
        <f t="shared" si="22"/>
        <v>45595.5476</v>
      </c>
      <c r="P244" s="24" t="b">
        <v>0</v>
      </c>
      <c r="Q244" s="20" t="str">
        <f t="shared" si="5"/>
        <v/>
      </c>
      <c r="R244" s="24" t="b">
        <v>1</v>
      </c>
      <c r="S244" s="20">
        <f t="shared" si="6"/>
        <v>45595.54765</v>
      </c>
      <c r="T244" s="7"/>
    </row>
    <row r="245" ht="22.5" hidden="1" customHeight="1">
      <c r="B245" s="7">
        <f t="shared" si="7"/>
        <v>239</v>
      </c>
      <c r="C245" s="18" t="s">
        <v>280</v>
      </c>
      <c r="D245" s="19" t="str">
        <f t="array" ref="D245">IFNA(_xlfn.XLOOKUP(C245,Table_Tarikan_Warkah[Nomor Sertipikat],Table_Tarikan_Warkah[Nomor Tiket]),"")</f>
        <v>K/2/181024/2</v>
      </c>
      <c r="E245" s="20" t="str">
        <f t="array" ref="E245">IFNA(_xlfn.XLOOKUP(C245,Table_Tarikan_Warkah[Nomor Sertipikat],Table_Tarikan_Warkah[Tanggal diserahkan kepada Validator]),"")</f>
        <v/>
      </c>
      <c r="F245" s="20" t="str">
        <f t="array" ref="F245">IFNA(_xlfn.XLOOKUP(C245,Table_Tarikan_Warkah[Nomor Sertipikat],Table_Tarikan_Warkah[Nama Petugas Warkah]),"")</f>
        <v/>
      </c>
      <c r="G245" s="21" t="str">
        <f t="array" ref="G245">IFNA(_xlfn.XLOOKUP(C245,Table_Tarikan_Warkah[Nomor Sertipikat],Table_Tarikan_Warkah[Jenis Permohonan]),"")</f>
        <v>BN JUAL BELI</v>
      </c>
      <c r="H245" s="22" t="s">
        <v>37</v>
      </c>
      <c r="I245" s="22" t="s">
        <v>32</v>
      </c>
      <c r="J245" s="20">
        <f t="shared" si="29"/>
        <v>45593.65454</v>
      </c>
      <c r="K245" s="22" t="s">
        <v>33</v>
      </c>
      <c r="L245" s="22" t="s">
        <v>32</v>
      </c>
      <c r="M245" s="20">
        <f t="shared" si="30"/>
        <v>45593.65461</v>
      </c>
      <c r="N245" s="8" t="str">
        <f t="shared" si="3"/>
        <v>SELESAI</v>
      </c>
      <c r="O245" s="23">
        <f t="shared" si="22"/>
        <v>45593.65461</v>
      </c>
      <c r="P245" s="24" t="b">
        <v>0</v>
      </c>
      <c r="Q245" s="20" t="str">
        <f t="shared" si="5"/>
        <v/>
      </c>
      <c r="R245" s="24" t="b">
        <v>1</v>
      </c>
      <c r="S245" s="20">
        <f t="shared" si="6"/>
        <v>45593.65466</v>
      </c>
      <c r="T245" s="7"/>
    </row>
    <row r="246" ht="22.5" hidden="1" customHeight="1">
      <c r="B246" s="7">
        <f t="shared" si="7"/>
        <v>240</v>
      </c>
      <c r="C246" s="18" t="s">
        <v>281</v>
      </c>
      <c r="D246" s="19" t="str">
        <f t="array" ref="D246">IFNA(_xlfn.XLOOKUP(C246,Table_Tarikan_Warkah[Nomor Sertipikat],Table_Tarikan_Warkah[Nomor Tiket]),"")</f>
        <v>K/31/221024/3</v>
      </c>
      <c r="E246" s="20">
        <f t="array" ref="E246">IFNA(_xlfn.XLOOKUP(C246,Table_Tarikan_Warkah[Nomor Sertipikat],Table_Tarikan_Warkah[Tanggal diserahkan kepada Validator]),"")</f>
        <v>45588.38251</v>
      </c>
      <c r="F246" s="20" t="str">
        <f t="array" ref="F246">IFNA(_xlfn.XLOOKUP(C246,Table_Tarikan_Warkah[Nomor Sertipikat],Table_Tarikan_Warkah[Nama Petugas Warkah]),"")</f>
        <v>David</v>
      </c>
      <c r="G246" s="21" t="str">
        <f t="array" ref="G246">IFNA(_xlfn.XLOOKUP(C246,Table_Tarikan_Warkah[Nomor Sertipikat],Table_Tarikan_Warkah[Jenis Permohonan]),"")</f>
        <v>PERALIHAN JUAL BELI</v>
      </c>
      <c r="H246" s="22" t="s">
        <v>37</v>
      </c>
      <c r="I246" s="22" t="s">
        <v>32</v>
      </c>
      <c r="J246" s="20">
        <f t="shared" si="29"/>
        <v>45594.38191</v>
      </c>
      <c r="K246" s="22" t="s">
        <v>33</v>
      </c>
      <c r="L246" s="22" t="s">
        <v>32</v>
      </c>
      <c r="M246" s="20">
        <f t="shared" si="30"/>
        <v>45594.38199</v>
      </c>
      <c r="N246" s="8" t="str">
        <f t="shared" si="3"/>
        <v>SELESAI</v>
      </c>
      <c r="O246" s="23">
        <f t="shared" si="22"/>
        <v>45594.38199</v>
      </c>
      <c r="P246" s="24" t="b">
        <v>0</v>
      </c>
      <c r="Q246" s="20" t="str">
        <f t="shared" si="5"/>
        <v/>
      </c>
      <c r="R246" s="24" t="b">
        <v>1</v>
      </c>
      <c r="S246" s="20">
        <f t="shared" si="6"/>
        <v>45594.38203</v>
      </c>
      <c r="T246" s="7"/>
    </row>
    <row r="247" ht="22.5" hidden="1" customHeight="1">
      <c r="B247" s="7">
        <f t="shared" si="7"/>
        <v>241</v>
      </c>
      <c r="C247" s="18" t="s">
        <v>282</v>
      </c>
      <c r="D247" s="19" t="str">
        <f t="array" ref="D247">IFNA(_xlfn.XLOOKUP(C247,Table_Tarikan_Warkah[Nomor Sertipikat],Table_Tarikan_Warkah[Nomor Tiket]),"")</f>
        <v>K/58/221024/2</v>
      </c>
      <c r="E247" s="20">
        <f t="array" ref="E247">IFNA(_xlfn.XLOOKUP(C247,Table_Tarikan_Warkah[Nomor Sertipikat],Table_Tarikan_Warkah[Tanggal diserahkan kepada Validator]),"")</f>
        <v>45588.46426</v>
      </c>
      <c r="F247" s="20" t="str">
        <f t="array" ref="F247">IFNA(_xlfn.XLOOKUP(C247,Table_Tarikan_Warkah[Nomor Sertipikat],Table_Tarikan_Warkah[Nama Petugas Warkah]),"")</f>
        <v>Rahma</v>
      </c>
      <c r="G247" s="21" t="str">
        <f t="array" ref="G247">IFNA(_xlfn.XLOOKUP(C247,Table_Tarikan_Warkah[Nomor Sertipikat],Table_Tarikan_Warkah[Jenis Permohonan]),"")</f>
        <v>BN Jual Beli</v>
      </c>
      <c r="H247" s="22" t="s">
        <v>37</v>
      </c>
      <c r="I247" s="22" t="s">
        <v>32</v>
      </c>
      <c r="J247" s="20">
        <f t="shared" si="29"/>
        <v>45594.3883</v>
      </c>
      <c r="K247" s="22" t="s">
        <v>33</v>
      </c>
      <c r="L247" s="22" t="s">
        <v>32</v>
      </c>
      <c r="M247" s="20">
        <f t="shared" si="30"/>
        <v>45594.38838</v>
      </c>
      <c r="N247" s="8" t="str">
        <f t="shared" si="3"/>
        <v>SELESAI</v>
      </c>
      <c r="O247" s="23">
        <f t="shared" si="22"/>
        <v>45594.38838</v>
      </c>
      <c r="P247" s="24" t="b">
        <v>0</v>
      </c>
      <c r="Q247" s="20" t="str">
        <f t="shared" si="5"/>
        <v/>
      </c>
      <c r="R247" s="24" t="b">
        <v>1</v>
      </c>
      <c r="S247" s="20">
        <f t="shared" si="6"/>
        <v>45594.38842</v>
      </c>
      <c r="T247" s="7"/>
    </row>
    <row r="248" ht="22.5" hidden="1" customHeight="1">
      <c r="B248" s="7">
        <f t="shared" si="7"/>
        <v>242</v>
      </c>
      <c r="C248" s="18" t="s">
        <v>283</v>
      </c>
      <c r="D248" s="19" t="str">
        <f t="array" ref="D248">IFNA(_xlfn.XLOOKUP(C248,Table_Tarikan_Warkah[Nomor Sertipikat],Table_Tarikan_Warkah[Nomor Tiket]),"")</f>
        <v>K/18/281024/1</v>
      </c>
      <c r="E248" s="20">
        <f t="array" ref="E248">IFNA(_xlfn.XLOOKUP(C248,Table_Tarikan_Warkah[Nomor Sertipikat],Table_Tarikan_Warkah[Tanggal diserahkan kepada Validator]),"")</f>
        <v>45594.42628</v>
      </c>
      <c r="F248" s="20" t="str">
        <f t="array" ref="F248">IFNA(_xlfn.XLOOKUP(C248,Table_Tarikan_Warkah[Nomor Sertipikat],Table_Tarikan_Warkah[Nama Petugas Warkah]),"")</f>
        <v>Berry</v>
      </c>
      <c r="G248" s="21" t="str">
        <f t="array" ref="G248">IFNA(_xlfn.XLOOKUP(C248,Table_Tarikan_Warkah[Nomor Sertipikat],Table_Tarikan_Warkah[Jenis Permohonan]),"")</f>
        <v>BN Jual Beli</v>
      </c>
      <c r="H248" s="22" t="s">
        <v>37</v>
      </c>
      <c r="I248" s="22" t="s">
        <v>32</v>
      </c>
      <c r="J248" s="20">
        <f t="shared" si="29"/>
        <v>45594.42749</v>
      </c>
      <c r="K248" s="22" t="s">
        <v>65</v>
      </c>
      <c r="L248" s="22" t="s">
        <v>32</v>
      </c>
      <c r="M248" s="20">
        <f t="shared" si="30"/>
        <v>45595.54904</v>
      </c>
      <c r="N248" s="8" t="str">
        <f t="shared" si="3"/>
        <v>SELESAI</v>
      </c>
      <c r="O248" s="23">
        <f t="shared" si="22"/>
        <v>45595.54904</v>
      </c>
      <c r="P248" s="24" t="b">
        <v>0</v>
      </c>
      <c r="Q248" s="20" t="str">
        <f t="shared" si="5"/>
        <v/>
      </c>
      <c r="R248" s="24" t="b">
        <v>1</v>
      </c>
      <c r="S248" s="20">
        <f t="shared" si="6"/>
        <v>45595.54908</v>
      </c>
      <c r="T248" s="7"/>
    </row>
    <row r="249" ht="22.5" hidden="1" customHeight="1">
      <c r="B249" s="7">
        <f t="shared" si="7"/>
        <v>243</v>
      </c>
      <c r="C249" s="18" t="s">
        <v>284</v>
      </c>
      <c r="D249" s="19" t="str">
        <f t="array" ref="D249">IFNA(_xlfn.XLOOKUP(C249,Table_Tarikan_Warkah[Nomor Sertipikat],Table_Tarikan_Warkah[Nomor Tiket]),"")</f>
        <v>L/31/151024/1</v>
      </c>
      <c r="E249" s="20">
        <f t="array" ref="E249">IFNA(_xlfn.XLOOKUP(C249,Table_Tarikan_Warkah[Nomor Sertipikat],Table_Tarikan_Warkah[Tanggal diserahkan kepada Validator]),"")</f>
        <v>45594.45337</v>
      </c>
      <c r="F249" s="20" t="str">
        <f t="array" ref="F249">IFNA(_xlfn.XLOOKUP(C249,Table_Tarikan_Warkah[Nomor Sertipikat],Table_Tarikan_Warkah[Nama Petugas Warkah]),"")</f>
        <v>Bayu</v>
      </c>
      <c r="G249" s="21" t="str">
        <f t="array" ref="G249">IFNA(_xlfn.XLOOKUP(C249,Table_Tarikan_Warkah[Nomor Sertipikat],Table_Tarikan_Warkah[Jenis Permohonan]),"")</f>
        <v>PERUBAHAN HAK</v>
      </c>
      <c r="H249" s="22" t="s">
        <v>37</v>
      </c>
      <c r="I249" s="22" t="s">
        <v>32</v>
      </c>
      <c r="J249" s="20">
        <f t="shared" si="29"/>
        <v>45594.45789</v>
      </c>
      <c r="K249" s="22" t="s">
        <v>33</v>
      </c>
      <c r="L249" s="22" t="s">
        <v>32</v>
      </c>
      <c r="M249" s="20">
        <f t="shared" si="30"/>
        <v>45594.45795</v>
      </c>
      <c r="N249" s="8" t="str">
        <f t="shared" si="3"/>
        <v>SELESAI</v>
      </c>
      <c r="O249" s="23">
        <f t="shared" si="22"/>
        <v>45594.45795</v>
      </c>
      <c r="P249" s="24" t="b">
        <v>1</v>
      </c>
      <c r="Q249" s="20">
        <f t="shared" si="5"/>
        <v>45594.45801</v>
      </c>
      <c r="R249" s="24" t="b">
        <v>0</v>
      </c>
      <c r="S249" s="7" t="str">
        <f t="shared" si="6"/>
        <v/>
      </c>
      <c r="T249" s="7"/>
    </row>
    <row r="250" ht="22.5" hidden="1" customHeight="1">
      <c r="B250" s="7">
        <f t="shared" si="7"/>
        <v>244</v>
      </c>
      <c r="C250" s="18" t="s">
        <v>285</v>
      </c>
      <c r="D250" s="19" t="str">
        <f t="array" ref="D250">IFNA(_xlfn.XLOOKUP(C250,Table_Tarikan_Warkah[Nomor Sertipikat],Table_Tarikan_Warkah[Nomor Tiket]),"")</f>
        <v>K/25/211024/2</v>
      </c>
      <c r="E250" s="20">
        <f t="array" ref="E250">IFNA(_xlfn.XLOOKUP(C250,Table_Tarikan_Warkah[Nomor Sertipikat],Table_Tarikan_Warkah[Tanggal diserahkan kepada Validator]),"")</f>
        <v>45610.36289</v>
      </c>
      <c r="F250" s="20" t="str">
        <f t="array" ref="F250">IFNA(_xlfn.XLOOKUP(C250,Table_Tarikan_Warkah[Nomor Sertipikat],Table_Tarikan_Warkah[Nama Petugas Warkah]),"")</f>
        <v>Alfiansyah</v>
      </c>
      <c r="G250" s="21" t="str">
        <f t="array" ref="G250">IFNA(_xlfn.XLOOKUP(C250,Table_Tarikan_Warkah[Nomor Sertipikat],Table_Tarikan_Warkah[Jenis Permohonan]),"")</f>
        <v>BN Jual Beli</v>
      </c>
      <c r="H250" s="22" t="s">
        <v>37</v>
      </c>
      <c r="I250" s="22" t="s">
        <v>187</v>
      </c>
      <c r="J250" s="20">
        <f t="shared" si="29"/>
        <v>45594.49755</v>
      </c>
      <c r="K250" s="22" t="s">
        <v>65</v>
      </c>
      <c r="L250" s="22" t="s">
        <v>187</v>
      </c>
      <c r="M250" s="20">
        <f t="shared" si="30"/>
        <v>45594.70524</v>
      </c>
      <c r="N250" s="8" t="str">
        <f t="shared" si="3"/>
        <v>Selesai</v>
      </c>
      <c r="O250" s="23">
        <f t="shared" si="22"/>
        <v>45594.70524</v>
      </c>
      <c r="P250" s="24" t="b">
        <v>1</v>
      </c>
      <c r="Q250" s="20">
        <f t="shared" si="5"/>
        <v>45594.70525</v>
      </c>
      <c r="R250" s="24" t="b">
        <v>1</v>
      </c>
      <c r="S250" s="20">
        <f t="shared" si="6"/>
        <v>45610.40616</v>
      </c>
      <c r="T250" s="7"/>
    </row>
    <row r="251" ht="22.5" hidden="1" customHeight="1">
      <c r="B251" s="7">
        <f t="shared" si="7"/>
        <v>245</v>
      </c>
      <c r="C251" s="18" t="s">
        <v>286</v>
      </c>
      <c r="D251" s="19" t="str">
        <f t="array" ref="D251">IFNA(_xlfn.XLOOKUP(C251,Table_Tarikan_Warkah[Nomor Sertipikat],Table_Tarikan_Warkah[Nomor Tiket]),"")</f>
        <v>K/27/221024/1</v>
      </c>
      <c r="E251" s="20" t="str">
        <f t="array" ref="E251">IFNA(_xlfn.XLOOKUP(C251,Table_Tarikan_Warkah[Nomor Sertipikat],Table_Tarikan_Warkah[Tanggal diserahkan kepada Validator]),"")</f>
        <v/>
      </c>
      <c r="F251" s="20" t="str">
        <f t="array" ref="F251">IFNA(_xlfn.XLOOKUP(C251,Table_Tarikan_Warkah[Nomor Sertipikat],Table_Tarikan_Warkah[Nama Petugas Warkah]),"")</f>
        <v/>
      </c>
      <c r="G251" s="21" t="str">
        <f t="array" ref="G251">IFNA(_xlfn.XLOOKUP(C251,Table_Tarikan_Warkah[Nomor Sertipikat],Table_Tarikan_Warkah[Jenis Permohonan]),"")</f>
        <v>PERALIHAN JUAL BELI</v>
      </c>
      <c r="H251" s="22" t="s">
        <v>37</v>
      </c>
      <c r="I251" s="22" t="s">
        <v>187</v>
      </c>
      <c r="J251" s="20">
        <f t="shared" si="29"/>
        <v>45594.49833</v>
      </c>
      <c r="K251" s="27" t="s">
        <v>33</v>
      </c>
      <c r="L251" s="27" t="s">
        <v>187</v>
      </c>
      <c r="M251" s="20">
        <f t="shared" si="30"/>
        <v>45595.56964</v>
      </c>
      <c r="N251" s="8" t="str">
        <f t="shared" si="3"/>
        <v>Selesai</v>
      </c>
      <c r="O251" s="23">
        <f t="shared" si="22"/>
        <v>45595.56964</v>
      </c>
      <c r="P251" s="24" t="b">
        <v>1</v>
      </c>
      <c r="Q251" s="20">
        <f t="shared" si="5"/>
        <v>45595.56966</v>
      </c>
      <c r="R251" s="24" t="b">
        <v>0</v>
      </c>
      <c r="S251" s="7" t="str">
        <f t="shared" si="6"/>
        <v/>
      </c>
      <c r="T251" s="7"/>
    </row>
    <row r="252" ht="22.5" hidden="1" customHeight="1">
      <c r="B252" s="7">
        <f t="shared" si="7"/>
        <v>246</v>
      </c>
      <c r="C252" s="18" t="s">
        <v>287</v>
      </c>
      <c r="D252" s="19" t="str">
        <f t="array" ref="D252">IFNA(_xlfn.XLOOKUP(C252,Table_Tarikan_Warkah[Nomor Sertipikat],Table_Tarikan_Warkah[Nomor Tiket]),"")</f>
        <v>K/35/181024/1</v>
      </c>
      <c r="E252" s="20">
        <f t="array" ref="E252">IFNA(_xlfn.XLOOKUP(C252,Table_Tarikan_Warkah[Nomor Sertipikat],Table_Tarikan_Warkah[Tanggal diserahkan kepada Validator]),"")</f>
        <v>45594.45217</v>
      </c>
      <c r="F252" s="20" t="str">
        <f t="array" ref="F252">IFNA(_xlfn.XLOOKUP(C252,Table_Tarikan_Warkah[Nomor Sertipikat],Table_Tarikan_Warkah[Nama Petugas Warkah]),"")</f>
        <v>Bayu</v>
      </c>
      <c r="G252" s="21" t="str">
        <f t="array" ref="G252">IFNA(_xlfn.XLOOKUP(C252,Table_Tarikan_Warkah[Nomor Sertipikat],Table_Tarikan_Warkah[Jenis Permohonan]),"")</f>
        <v>PENINGKATAN</v>
      </c>
      <c r="H252" s="22" t="s">
        <v>31</v>
      </c>
      <c r="I252" s="22" t="s">
        <v>187</v>
      </c>
      <c r="J252" s="20">
        <f t="shared" si="29"/>
        <v>45594.56767</v>
      </c>
      <c r="K252" s="22" t="s">
        <v>33</v>
      </c>
      <c r="L252" s="27" t="s">
        <v>187</v>
      </c>
      <c r="M252" s="20">
        <f t="shared" si="30"/>
        <v>45594.56779</v>
      </c>
      <c r="N252" s="8" t="str">
        <f t="shared" si="3"/>
        <v>Selesai</v>
      </c>
      <c r="O252" s="23">
        <f t="shared" si="22"/>
        <v>45594.56779</v>
      </c>
      <c r="P252" s="24" t="b">
        <v>1</v>
      </c>
      <c r="Q252" s="20">
        <f t="shared" si="5"/>
        <v>45595.56984</v>
      </c>
      <c r="R252" s="24" t="b">
        <v>0</v>
      </c>
      <c r="S252" s="7" t="str">
        <f t="shared" si="6"/>
        <v/>
      </c>
      <c r="T252" s="7"/>
    </row>
    <row r="253" ht="22.5" hidden="1" customHeight="1">
      <c r="B253" s="7">
        <f t="shared" si="7"/>
        <v>247</v>
      </c>
      <c r="C253" s="18" t="s">
        <v>284</v>
      </c>
      <c r="D253" s="19" t="str">
        <f t="array" ref="D253">IFNA(_xlfn.XLOOKUP(C253,Table_Tarikan_Warkah[Nomor Sertipikat],Table_Tarikan_Warkah[Nomor Tiket]),"")</f>
        <v>L/31/151024/1</v>
      </c>
      <c r="E253" s="20">
        <f t="array" ref="E253">IFNA(_xlfn.XLOOKUP(C253,Table_Tarikan_Warkah[Nomor Sertipikat],Table_Tarikan_Warkah[Tanggal diserahkan kepada Validator]),"")</f>
        <v>45594.45337</v>
      </c>
      <c r="F253" s="20" t="str">
        <f t="array" ref="F253">IFNA(_xlfn.XLOOKUP(C253,Table_Tarikan_Warkah[Nomor Sertipikat],Table_Tarikan_Warkah[Nama Petugas Warkah]),"")</f>
        <v>Bayu</v>
      </c>
      <c r="G253" s="21" t="str">
        <f t="array" ref="G253">IFNA(_xlfn.XLOOKUP(C253,Table_Tarikan_Warkah[Nomor Sertipikat],Table_Tarikan_Warkah[Jenis Permohonan]),"")</f>
        <v>PERUBAHAN HAK</v>
      </c>
      <c r="H253" s="22" t="s">
        <v>31</v>
      </c>
      <c r="I253" s="22" t="s">
        <v>187</v>
      </c>
      <c r="J253" s="20">
        <f t="shared" si="29"/>
        <v>45594.56845</v>
      </c>
      <c r="K253" s="22" t="s">
        <v>33</v>
      </c>
      <c r="L253" s="27" t="s">
        <v>187</v>
      </c>
      <c r="M253" s="20">
        <f t="shared" si="30"/>
        <v>45594.56852</v>
      </c>
      <c r="N253" s="8" t="str">
        <f t="shared" si="3"/>
        <v>Selesai</v>
      </c>
      <c r="O253" s="23">
        <f t="shared" si="22"/>
        <v>45594.56852</v>
      </c>
      <c r="P253" s="24" t="b">
        <v>1</v>
      </c>
      <c r="Q253" s="20">
        <f t="shared" si="5"/>
        <v>45595.56984</v>
      </c>
      <c r="R253" s="24" t="b">
        <v>0</v>
      </c>
      <c r="S253" s="7" t="str">
        <f t="shared" si="6"/>
        <v/>
      </c>
      <c r="T253" s="7"/>
    </row>
    <row r="254" ht="22.5" hidden="1" customHeight="1">
      <c r="B254" s="7">
        <f t="shared" si="7"/>
        <v>248</v>
      </c>
      <c r="C254" s="18" t="s">
        <v>288</v>
      </c>
      <c r="D254" s="19" t="str">
        <f t="array" ref="D254">IFNA(_xlfn.XLOOKUP(C254,Table_Tarikan_Warkah[Nomor Sertipikat],Table_Tarikan_Warkah[Nomor Tiket]),"")</f>
        <v>K/37/181024/3</v>
      </c>
      <c r="E254" s="20">
        <f t="array" ref="E254">IFNA(_xlfn.XLOOKUP(C254,Table_Tarikan_Warkah[Nomor Sertipikat],Table_Tarikan_Warkah[Tanggal diserahkan kepada Validator]),"")</f>
        <v>45593.67755</v>
      </c>
      <c r="F254" s="20" t="str">
        <f t="array" ref="F254">IFNA(_xlfn.XLOOKUP(C254,Table_Tarikan_Warkah[Nomor Sertipikat],Table_Tarikan_Warkah[Nama Petugas Warkah]),"")</f>
        <v>Sahelia</v>
      </c>
      <c r="G254" s="21" t="str">
        <f t="array" ref="G254">IFNA(_xlfn.XLOOKUP(C254,Table_Tarikan_Warkah[Nomor Sertipikat],Table_Tarikan_Warkah[Jenis Permohonan]),"")</f>
        <v>PERALIHAN JUAL BELI</v>
      </c>
      <c r="H254" s="22" t="s">
        <v>37</v>
      </c>
      <c r="I254" s="22" t="s">
        <v>32</v>
      </c>
      <c r="J254" s="20">
        <f t="shared" si="29"/>
        <v>45594.61514</v>
      </c>
      <c r="K254" s="22" t="s">
        <v>65</v>
      </c>
      <c r="L254" s="22" t="s">
        <v>32</v>
      </c>
      <c r="M254" s="20">
        <f t="shared" si="30"/>
        <v>45595.48721</v>
      </c>
      <c r="N254" s="8" t="str">
        <f t="shared" si="3"/>
        <v>SELESAI</v>
      </c>
      <c r="O254" s="23">
        <f t="shared" si="22"/>
        <v>45595.48721</v>
      </c>
      <c r="P254" s="24" t="b">
        <v>0</v>
      </c>
      <c r="Q254" s="20" t="str">
        <f t="shared" si="5"/>
        <v/>
      </c>
      <c r="R254" s="24" t="b">
        <v>1</v>
      </c>
      <c r="S254" s="20">
        <f t="shared" si="6"/>
        <v>45595.48727</v>
      </c>
      <c r="T254" s="7"/>
    </row>
    <row r="255" ht="22.5" hidden="1" customHeight="1">
      <c r="B255" s="7">
        <f t="shared" si="7"/>
        <v>249</v>
      </c>
      <c r="C255" s="18" t="s">
        <v>289</v>
      </c>
      <c r="D255" s="19" t="str">
        <f t="array" ref="D255">IFNA(_xlfn.XLOOKUP(C255,Table_Tarikan_Warkah[Nomor Sertipikat],Table_Tarikan_Warkah[Nomor Tiket]),"")</f>
        <v>K/37/251024/1</v>
      </c>
      <c r="E255" s="20">
        <f t="array" ref="E255">IFNA(_xlfn.XLOOKUP(C255,Table_Tarikan_Warkah[Nomor Sertipikat],Table_Tarikan_Warkah[Tanggal diserahkan kepada Validator]),"")</f>
        <v>45594.41844</v>
      </c>
      <c r="F255" s="20" t="str">
        <f t="array" ref="F255">IFNA(_xlfn.XLOOKUP(C255,Table_Tarikan_Warkah[Nomor Sertipikat],Table_Tarikan_Warkah[Nama Petugas Warkah]),"")</f>
        <v>David</v>
      </c>
      <c r="G255" s="21" t="str">
        <f t="array" ref="G255">IFNA(_xlfn.XLOOKUP(C255,Table_Tarikan_Warkah[Nomor Sertipikat],Table_Tarikan_Warkah[Jenis Permohonan]),"")</f>
        <v>BN Jual Beli</v>
      </c>
      <c r="H255" s="22" t="s">
        <v>37</v>
      </c>
      <c r="I255" s="22" t="s">
        <v>32</v>
      </c>
      <c r="J255" s="20">
        <f t="shared" si="29"/>
        <v>45594.61529</v>
      </c>
      <c r="K255" s="22" t="s">
        <v>65</v>
      </c>
      <c r="L255" s="22" t="s">
        <v>32</v>
      </c>
      <c r="M255" s="20">
        <f t="shared" si="30"/>
        <v>45595.48599</v>
      </c>
      <c r="N255" s="8" t="str">
        <f t="shared" si="3"/>
        <v>SELESAI</v>
      </c>
      <c r="O255" s="23">
        <f t="shared" si="22"/>
        <v>45595.48599</v>
      </c>
      <c r="P255" s="24" t="b">
        <v>0</v>
      </c>
      <c r="Q255" s="20" t="str">
        <f t="shared" si="5"/>
        <v/>
      </c>
      <c r="R255" s="24" t="b">
        <v>1</v>
      </c>
      <c r="S255" s="20">
        <f t="shared" si="6"/>
        <v>45595.48602</v>
      </c>
      <c r="T255" s="7"/>
    </row>
    <row r="256" ht="22.5" hidden="1" customHeight="1">
      <c r="B256" s="7">
        <f t="shared" si="7"/>
        <v>250</v>
      </c>
      <c r="C256" s="18" t="s">
        <v>290</v>
      </c>
      <c r="D256" s="19" t="str">
        <f t="array" ref="D256">IFNA(_xlfn.XLOOKUP(C256,Table_Tarikan_Warkah[Nomor Sertipikat],Table_Tarikan_Warkah[Nomor Tiket]),"")</f>
        <v>K/15/281024/1</v>
      </c>
      <c r="E256" s="20">
        <f t="array" ref="E256">IFNA(_xlfn.XLOOKUP(C256,Table_Tarikan_Warkah[Nomor Sertipikat],Table_Tarikan_Warkah[Tanggal diserahkan kepada Validator]),"")</f>
        <v>45594.41195</v>
      </c>
      <c r="F256" s="20" t="str">
        <f t="array" ref="F256">IFNA(_xlfn.XLOOKUP(C256,Table_Tarikan_Warkah[Nomor Sertipikat],Table_Tarikan_Warkah[Nama Petugas Warkah]),"")</f>
        <v>David</v>
      </c>
      <c r="G256" s="21" t="str">
        <f t="array" ref="G256">IFNA(_xlfn.XLOOKUP(C256,Table_Tarikan_Warkah[Nomor Sertipikat],Table_Tarikan_Warkah[Jenis Permohonan]),"")</f>
        <v>BN WARIS</v>
      </c>
      <c r="H256" s="22" t="s">
        <v>37</v>
      </c>
      <c r="I256" s="22" t="s">
        <v>32</v>
      </c>
      <c r="J256" s="20">
        <f t="shared" si="29"/>
        <v>45594.61537</v>
      </c>
      <c r="K256" s="22" t="s">
        <v>65</v>
      </c>
      <c r="L256" s="22" t="s">
        <v>32</v>
      </c>
      <c r="M256" s="20">
        <f t="shared" si="30"/>
        <v>45595.4879</v>
      </c>
      <c r="N256" s="8" t="str">
        <f t="shared" si="3"/>
        <v>SELESAI</v>
      </c>
      <c r="O256" s="23">
        <f t="shared" si="22"/>
        <v>45595.4879</v>
      </c>
      <c r="P256" s="24" t="b">
        <v>0</v>
      </c>
      <c r="Q256" s="20" t="str">
        <f t="shared" si="5"/>
        <v/>
      </c>
      <c r="R256" s="24" t="b">
        <v>1</v>
      </c>
      <c r="S256" s="20">
        <f t="shared" si="6"/>
        <v>45595.48828</v>
      </c>
      <c r="T256" s="7"/>
    </row>
    <row r="257" ht="22.5" hidden="1" customHeight="1">
      <c r="B257" s="7">
        <f t="shared" si="7"/>
        <v>251</v>
      </c>
      <c r="C257" s="18" t="s">
        <v>291</v>
      </c>
      <c r="D257" s="19" t="str">
        <f t="array" ref="D257">IFNA(_xlfn.XLOOKUP(C257,Table_Tarikan_Warkah[Nomor Sertipikat],Table_Tarikan_Warkah[Nomor Tiket]),"")</f>
        <v>L/16/281024/1</v>
      </c>
      <c r="E257" s="20">
        <f t="array" ref="E257">IFNA(_xlfn.XLOOKUP(C257,Table_Tarikan_Warkah[Nomor Sertipikat],Table_Tarikan_Warkah[Tanggal diserahkan kepada Validator]),"")</f>
        <v>45594.41162</v>
      </c>
      <c r="F257" s="20" t="str">
        <f t="array" ref="F257">IFNA(_xlfn.XLOOKUP(C257,Table_Tarikan_Warkah[Nomor Sertipikat],Table_Tarikan_Warkah[Nama Petugas Warkah]),"")</f>
        <v>David</v>
      </c>
      <c r="G257" s="21" t="str">
        <f t="array" ref="G257">IFNA(_xlfn.XLOOKUP(C257,Table_Tarikan_Warkah[Nomor Sertipikat],Table_Tarikan_Warkah[Jenis Permohonan]),"")</f>
        <v>ROYA</v>
      </c>
      <c r="H257" s="22" t="s">
        <v>37</v>
      </c>
      <c r="I257" s="22" t="s">
        <v>32</v>
      </c>
      <c r="J257" s="20">
        <f t="shared" si="29"/>
        <v>45594.61549</v>
      </c>
      <c r="K257" s="22" t="s">
        <v>65</v>
      </c>
      <c r="L257" s="22" t="s">
        <v>32</v>
      </c>
      <c r="M257" s="20">
        <f t="shared" si="30"/>
        <v>45595.48856</v>
      </c>
      <c r="N257" s="8" t="str">
        <f t="shared" si="3"/>
        <v>SELESAI</v>
      </c>
      <c r="O257" s="23">
        <f t="shared" si="22"/>
        <v>45595.48856</v>
      </c>
      <c r="P257" s="24" t="b">
        <v>0</v>
      </c>
      <c r="Q257" s="20" t="str">
        <f t="shared" si="5"/>
        <v/>
      </c>
      <c r="R257" s="24" t="b">
        <v>1</v>
      </c>
      <c r="S257" s="20">
        <f t="shared" si="6"/>
        <v>45595.48858</v>
      </c>
      <c r="T257" s="7"/>
    </row>
    <row r="258" ht="22.5" hidden="1" customHeight="1">
      <c r="B258" s="7">
        <f t="shared" si="7"/>
        <v>252</v>
      </c>
      <c r="C258" s="18" t="s">
        <v>292</v>
      </c>
      <c r="D258" s="19" t="str">
        <f t="array" ref="D258">IFNA(_xlfn.XLOOKUP(C258,Table_Tarikan_Warkah[Nomor Sertipikat],Table_Tarikan_Warkah[Nomor Tiket]),"")</f>
        <v>K/13/281024/1</v>
      </c>
      <c r="E258" s="20">
        <f t="array" ref="E258">IFNA(_xlfn.XLOOKUP(C258,Table_Tarikan_Warkah[Nomor Sertipikat],Table_Tarikan_Warkah[Tanggal diserahkan kepada Validator]),"")</f>
        <v>45594.4113</v>
      </c>
      <c r="F258" s="20" t="str">
        <f t="array" ref="F258">IFNA(_xlfn.XLOOKUP(C258,Table_Tarikan_Warkah[Nomor Sertipikat],Table_Tarikan_Warkah[Nama Petugas Warkah]),"")</f>
        <v>David</v>
      </c>
      <c r="G258" s="21" t="str">
        <f t="array" ref="G258">IFNA(_xlfn.XLOOKUP(C258,Table_Tarikan_Warkah[Nomor Sertipikat],Table_Tarikan_Warkah[Jenis Permohonan]),"")</f>
        <v>Roya</v>
      </c>
      <c r="H258" s="22" t="s">
        <v>37</v>
      </c>
      <c r="I258" s="22" t="s">
        <v>32</v>
      </c>
      <c r="J258" s="20">
        <f t="shared" si="29"/>
        <v>45594.6156</v>
      </c>
      <c r="K258" s="22" t="s">
        <v>65</v>
      </c>
      <c r="L258" s="22" t="s">
        <v>32</v>
      </c>
      <c r="M258" s="20">
        <f t="shared" si="30"/>
        <v>45595.48751</v>
      </c>
      <c r="N258" s="8" t="str">
        <f t="shared" si="3"/>
        <v>SELESAI</v>
      </c>
      <c r="O258" s="23">
        <f t="shared" si="22"/>
        <v>45595.48751</v>
      </c>
      <c r="P258" s="24" t="b">
        <v>0</v>
      </c>
      <c r="Q258" s="20" t="str">
        <f t="shared" si="5"/>
        <v/>
      </c>
      <c r="R258" s="24" t="b">
        <v>1</v>
      </c>
      <c r="S258" s="20">
        <f t="shared" si="6"/>
        <v>45595.48754</v>
      </c>
      <c r="T258" s="7"/>
    </row>
    <row r="259" ht="22.5" hidden="1" customHeight="1">
      <c r="B259" s="7">
        <f t="shared" si="7"/>
        <v>253</v>
      </c>
      <c r="C259" s="18" t="s">
        <v>293</v>
      </c>
      <c r="D259" s="19" t="str">
        <f t="array" ref="D259">IFNA(_xlfn.XLOOKUP(C259,Table_Tarikan_Warkah[Nomor Sertipikat],Table_Tarikan_Warkah[Nomor Tiket]),"")</f>
        <v>K/14/281024/2</v>
      </c>
      <c r="E259" s="20">
        <f t="array" ref="E259">IFNA(_xlfn.XLOOKUP(C259,Table_Tarikan_Warkah[Nomor Sertipikat],Table_Tarikan_Warkah[Tanggal diserahkan kepada Validator]),"")</f>
        <v>45594.41135</v>
      </c>
      <c r="F259" s="20" t="str">
        <f t="array" ref="F259">IFNA(_xlfn.XLOOKUP(C259,Table_Tarikan_Warkah[Nomor Sertipikat],Table_Tarikan_Warkah[Nama Petugas Warkah]),"")</f>
        <v>David</v>
      </c>
      <c r="G259" s="21" t="str">
        <f t="array" ref="G259">IFNA(_xlfn.XLOOKUP(C259,Table_Tarikan_Warkah[Nomor Sertipikat],Table_Tarikan_Warkah[Jenis Permohonan]),"")</f>
        <v>Roya</v>
      </c>
      <c r="H259" s="22" t="s">
        <v>37</v>
      </c>
      <c r="I259" s="22" t="s">
        <v>32</v>
      </c>
      <c r="J259" s="20">
        <f t="shared" si="29"/>
        <v>45594.61572</v>
      </c>
      <c r="K259" s="22" t="s">
        <v>33</v>
      </c>
      <c r="L259" s="22" t="s">
        <v>32</v>
      </c>
      <c r="M259" s="20">
        <f t="shared" si="30"/>
        <v>45595.48503</v>
      </c>
      <c r="N259" s="8" t="str">
        <f t="shared" si="3"/>
        <v>SELESAI</v>
      </c>
      <c r="O259" s="23">
        <f t="shared" si="22"/>
        <v>45595.48503</v>
      </c>
      <c r="P259" s="24" t="b">
        <v>0</v>
      </c>
      <c r="Q259" s="20" t="str">
        <f t="shared" si="5"/>
        <v/>
      </c>
      <c r="R259" s="24" t="b">
        <v>1</v>
      </c>
      <c r="S259" s="20">
        <f t="shared" si="6"/>
        <v>45595.48506</v>
      </c>
      <c r="T259" s="7"/>
    </row>
    <row r="260" ht="22.5" hidden="1" customHeight="1">
      <c r="B260" s="7">
        <f t="shared" si="7"/>
        <v>254</v>
      </c>
      <c r="C260" s="18" t="s">
        <v>294</v>
      </c>
      <c r="D260" s="28" t="s">
        <v>295</v>
      </c>
      <c r="E260" s="9">
        <v>45594.41597862268</v>
      </c>
      <c r="F260" s="7" t="s">
        <v>296</v>
      </c>
      <c r="G260" s="7" t="s">
        <v>297</v>
      </c>
      <c r="H260" s="22" t="s">
        <v>37</v>
      </c>
      <c r="I260" s="22" t="s">
        <v>32</v>
      </c>
      <c r="J260" s="20">
        <f t="shared" si="29"/>
        <v>45594.61587</v>
      </c>
      <c r="K260" s="22" t="s">
        <v>65</v>
      </c>
      <c r="L260" s="22" t="s">
        <v>32</v>
      </c>
      <c r="M260" s="20">
        <f t="shared" si="30"/>
        <v>45595.48633</v>
      </c>
      <c r="N260" s="8" t="str">
        <f t="shared" si="3"/>
        <v>SELESAI</v>
      </c>
      <c r="O260" s="23">
        <f t="shared" si="22"/>
        <v>45595.48633</v>
      </c>
      <c r="P260" s="24" t="b">
        <v>1</v>
      </c>
      <c r="Q260" s="20">
        <f t="shared" si="5"/>
        <v>45603.41693</v>
      </c>
      <c r="R260" s="24" t="b">
        <v>1</v>
      </c>
      <c r="S260" s="20">
        <f t="shared" si="6"/>
        <v>45595.48637</v>
      </c>
      <c r="T260" s="7"/>
    </row>
    <row r="261" ht="22.5" hidden="1" customHeight="1">
      <c r="B261" s="7">
        <f t="shared" si="7"/>
        <v>255</v>
      </c>
      <c r="C261" s="18" t="s">
        <v>190</v>
      </c>
      <c r="D261" s="19" t="str">
        <f t="array" ref="D261">IFNA(_xlfn.XLOOKUP(C261,Table_Tarikan_Warkah[Nomor Sertipikat],Table_Tarikan_Warkah[Nomor Tiket]),"")</f>
        <v>K/27/171024/1</v>
      </c>
      <c r="E261" s="20">
        <f t="array" ref="E261">IFNA(_xlfn.XLOOKUP(C261,Table_Tarikan_Warkah[Nomor Sertipikat],Table_Tarikan_Warkah[Tanggal diserahkan kepada Validator]),"")</f>
        <v>45593.67766</v>
      </c>
      <c r="F261" s="20" t="str">
        <f t="array" ref="F261">IFNA(_xlfn.XLOOKUP(C261,Table_Tarikan_Warkah[Nomor Sertipikat],Table_Tarikan_Warkah[Nama Petugas Warkah]),"")</f>
        <v>Sahelia</v>
      </c>
      <c r="G261" s="21" t="str">
        <f t="array" ref="G261">IFNA(_xlfn.XLOOKUP(C261,Table_Tarikan_Warkah[Nomor Sertipikat],Table_Tarikan_Warkah[Jenis Permohonan]),"")</f>
        <v>BN Jual Beli</v>
      </c>
      <c r="H261" s="22" t="s">
        <v>37</v>
      </c>
      <c r="I261" s="22" t="s">
        <v>32</v>
      </c>
      <c r="J261" s="20">
        <f t="shared" si="29"/>
        <v>45594.6161</v>
      </c>
      <c r="K261" s="22" t="s">
        <v>65</v>
      </c>
      <c r="L261" s="22" t="s">
        <v>32</v>
      </c>
      <c r="M261" s="20">
        <f t="shared" si="30"/>
        <v>45595.48882</v>
      </c>
      <c r="N261" s="8" t="str">
        <f t="shared" si="3"/>
        <v>SELESAI</v>
      </c>
      <c r="O261" s="23">
        <f t="shared" si="22"/>
        <v>45595.48882</v>
      </c>
      <c r="P261" s="24" t="b">
        <v>0</v>
      </c>
      <c r="Q261" s="20" t="str">
        <f t="shared" si="5"/>
        <v/>
      </c>
      <c r="R261" s="24" t="b">
        <v>1</v>
      </c>
      <c r="S261" s="20">
        <f t="shared" si="6"/>
        <v>45595.48886</v>
      </c>
      <c r="T261" s="7"/>
    </row>
    <row r="262" ht="22.5" hidden="1" customHeight="1">
      <c r="B262" s="7">
        <f t="shared" si="7"/>
        <v>256</v>
      </c>
      <c r="C262" s="18" t="s">
        <v>186</v>
      </c>
      <c r="D262" s="19" t="str">
        <f t="array" ref="D262">IFNA(_xlfn.XLOOKUP(C262,Table_Tarikan_Warkah[Nomor Sertipikat],Table_Tarikan_Warkah[Nomor Tiket]),"")</f>
        <v>K/28/171024/2</v>
      </c>
      <c r="E262" s="20">
        <f t="array" ref="E262">IFNA(_xlfn.XLOOKUP(C262,Table_Tarikan_Warkah[Nomor Sertipikat],Table_Tarikan_Warkah[Tanggal diserahkan kepada Validator]),"")</f>
        <v>45593.67773</v>
      </c>
      <c r="F262" s="20" t="str">
        <f t="array" ref="F262">IFNA(_xlfn.XLOOKUP(C262,Table_Tarikan_Warkah[Nomor Sertipikat],Table_Tarikan_Warkah[Nama Petugas Warkah]),"")</f>
        <v>Sahelia</v>
      </c>
      <c r="G262" s="21" t="str">
        <f t="array" ref="G262">IFNA(_xlfn.XLOOKUP(C262,Table_Tarikan_Warkah[Nomor Sertipikat],Table_Tarikan_Warkah[Jenis Permohonan]),"")</f>
        <v>BN Jual Beli</v>
      </c>
      <c r="H262" s="22" t="s">
        <v>37</v>
      </c>
      <c r="I262" s="22" t="s">
        <v>32</v>
      </c>
      <c r="J262" s="20">
        <f t="shared" si="29"/>
        <v>45594.61631</v>
      </c>
      <c r="K262" s="22" t="s">
        <v>33</v>
      </c>
      <c r="L262" s="22" t="s">
        <v>32</v>
      </c>
      <c r="M262" s="20">
        <f t="shared" si="30"/>
        <v>45595.48527</v>
      </c>
      <c r="N262" s="8" t="str">
        <f t="shared" si="3"/>
        <v>SELESAI</v>
      </c>
      <c r="O262" s="23">
        <f t="shared" si="22"/>
        <v>45595.48527</v>
      </c>
      <c r="P262" s="24" t="b">
        <v>0</v>
      </c>
      <c r="Q262" s="20" t="str">
        <f t="shared" si="5"/>
        <v/>
      </c>
      <c r="R262" s="24" t="b">
        <v>1</v>
      </c>
      <c r="S262" s="20">
        <f t="shared" si="6"/>
        <v>45595.4853</v>
      </c>
      <c r="T262" s="7"/>
    </row>
    <row r="263" ht="22.5" hidden="1" customHeight="1">
      <c r="B263" s="7">
        <f t="shared" si="7"/>
        <v>257</v>
      </c>
      <c r="C263" s="18" t="s">
        <v>298</v>
      </c>
      <c r="D263" s="19" t="str">
        <f t="array" ref="D263">IFNA(_xlfn.XLOOKUP(C263,Table_Tarikan_Warkah[Nomor Sertipikat],Table_Tarikan_Warkah[Nomor Tiket]),"")</f>
        <v>K/20/251024/1</v>
      </c>
      <c r="E263" s="20">
        <f t="array" ref="E263">IFNA(_xlfn.XLOOKUP(C263,Table_Tarikan_Warkah[Nomor Sertipikat],Table_Tarikan_Warkah[Tanggal diserahkan kepada Validator]),"")</f>
        <v>45593.45547</v>
      </c>
      <c r="F263" s="20" t="str">
        <f t="array" ref="F263">IFNA(_xlfn.XLOOKUP(C263,Table_Tarikan_Warkah[Nomor Sertipikat],Table_Tarikan_Warkah[Nama Petugas Warkah]),"")</f>
        <v>Berry</v>
      </c>
      <c r="G263" s="21" t="str">
        <f t="array" ref="G263">IFNA(_xlfn.XLOOKUP(C263,Table_Tarikan_Warkah[Nomor Sertipikat],Table_Tarikan_Warkah[Jenis Permohonan]),"")</f>
        <v>BN Jual Beli</v>
      </c>
      <c r="H263" s="22" t="s">
        <v>37</v>
      </c>
      <c r="I263" s="22" t="s">
        <v>32</v>
      </c>
      <c r="J263" s="20">
        <f t="shared" si="29"/>
        <v>45594.61633</v>
      </c>
      <c r="K263" s="22" t="s">
        <v>65</v>
      </c>
      <c r="L263" s="22" t="s">
        <v>32</v>
      </c>
      <c r="M263" s="20">
        <f t="shared" si="30"/>
        <v>45595.48686</v>
      </c>
      <c r="N263" s="8" t="str">
        <f t="shared" si="3"/>
        <v>SELESAI</v>
      </c>
      <c r="O263" s="23">
        <f t="shared" si="22"/>
        <v>45595.48686</v>
      </c>
      <c r="P263" s="24" t="b">
        <v>0</v>
      </c>
      <c r="Q263" s="20" t="str">
        <f t="shared" si="5"/>
        <v/>
      </c>
      <c r="R263" s="24" t="b">
        <v>1</v>
      </c>
      <c r="S263" s="20">
        <f t="shared" si="6"/>
        <v>45595.4869</v>
      </c>
      <c r="T263" s="7"/>
    </row>
    <row r="264" ht="22.5" hidden="1" customHeight="1">
      <c r="B264" s="7">
        <f t="shared" si="7"/>
        <v>258</v>
      </c>
      <c r="C264" s="18" t="s">
        <v>191</v>
      </c>
      <c r="D264" s="19" t="str">
        <f t="array" ref="D264">IFNA(_xlfn.XLOOKUP(C264,Table_Tarikan_Warkah[Nomor Sertipikat],Table_Tarikan_Warkah[Nomor Tiket]),"")</f>
        <v>K/5/181024/1</v>
      </c>
      <c r="E264" s="20">
        <f t="array" ref="E264">IFNA(_xlfn.XLOOKUP(C264,Table_Tarikan_Warkah[Nomor Sertipikat],Table_Tarikan_Warkah[Tanggal diserahkan kepada Validator]),"")</f>
        <v>45593.67787</v>
      </c>
      <c r="F264" s="20" t="str">
        <f t="array" ref="F264">IFNA(_xlfn.XLOOKUP(C264,Table_Tarikan_Warkah[Nomor Sertipikat],Table_Tarikan_Warkah[Nama Petugas Warkah]),"")</f>
        <v>Sahelia</v>
      </c>
      <c r="G264" s="21" t="str">
        <f t="array" ref="G264">IFNA(_xlfn.XLOOKUP(C264,Table_Tarikan_Warkah[Nomor Sertipikat],Table_Tarikan_Warkah[Jenis Permohonan]),"")</f>
        <v>BN Jual Beli</v>
      </c>
      <c r="H264" s="22" t="s">
        <v>37</v>
      </c>
      <c r="I264" s="22" t="s">
        <v>32</v>
      </c>
      <c r="J264" s="20">
        <f t="shared" si="29"/>
        <v>45594.6165</v>
      </c>
      <c r="K264" s="22" t="s">
        <v>65</v>
      </c>
      <c r="L264" s="22" t="s">
        <v>32</v>
      </c>
      <c r="M264" s="20">
        <f t="shared" si="30"/>
        <v>45595.48915</v>
      </c>
      <c r="N264" s="8" t="str">
        <f t="shared" si="3"/>
        <v>SELESAI</v>
      </c>
      <c r="O264" s="23">
        <f t="shared" si="22"/>
        <v>45595.48915</v>
      </c>
      <c r="P264" s="24" t="b">
        <v>0</v>
      </c>
      <c r="Q264" s="20" t="str">
        <f t="shared" si="5"/>
        <v/>
      </c>
      <c r="R264" s="24" t="b">
        <v>1</v>
      </c>
      <c r="S264" s="20">
        <f t="shared" si="6"/>
        <v>45595.48919</v>
      </c>
      <c r="T264" s="7"/>
    </row>
    <row r="265" ht="22.5" hidden="1" customHeight="1">
      <c r="B265" s="7">
        <f t="shared" si="7"/>
        <v>259</v>
      </c>
      <c r="C265" s="18" t="s">
        <v>299</v>
      </c>
      <c r="D265" s="19" t="str">
        <f t="array" ref="D265">IFNA(_xlfn.XLOOKUP(C265,Table_Tarikan_Warkah[Nomor Sertipikat],Table_Tarikan_Warkah[Nomor Tiket]),"")</f>
        <v>K/43/281024/1</v>
      </c>
      <c r="E265" s="20">
        <f t="array" ref="E265">IFNA(_xlfn.XLOOKUP(C265,Table_Tarikan_Warkah[Nomor Sertipikat],Table_Tarikan_Warkah[Tanggal diserahkan kepada Validator]),"")</f>
        <v>45594.41634</v>
      </c>
      <c r="F265" s="20" t="str">
        <f t="array" ref="F265">IFNA(_xlfn.XLOOKUP(C265,Table_Tarikan_Warkah[Nomor Sertipikat],Table_Tarikan_Warkah[Nama Petugas Warkah]),"")</f>
        <v>Berry</v>
      </c>
      <c r="G265" s="21" t="str">
        <f t="array" ref="G265">IFNA(_xlfn.XLOOKUP(C265,Table_Tarikan_Warkah[Nomor Sertipikat],Table_Tarikan_Warkah[Jenis Permohonan]),"")</f>
        <v>BN JUAL BELI</v>
      </c>
      <c r="H265" s="22" t="s">
        <v>37</v>
      </c>
      <c r="I265" s="22" t="s">
        <v>32</v>
      </c>
      <c r="J265" s="20">
        <f t="shared" si="29"/>
        <v>45594.61659</v>
      </c>
      <c r="K265" s="22" t="s">
        <v>65</v>
      </c>
      <c r="L265" s="22" t="s">
        <v>32</v>
      </c>
      <c r="M265" s="20">
        <f t="shared" si="30"/>
        <v>45595.48563</v>
      </c>
      <c r="N265" s="8" t="str">
        <f t="shared" si="3"/>
        <v>SELESAI</v>
      </c>
      <c r="O265" s="23">
        <f t="shared" si="22"/>
        <v>45595.48563</v>
      </c>
      <c r="P265" s="24" t="b">
        <v>0</v>
      </c>
      <c r="Q265" s="20" t="str">
        <f t="shared" si="5"/>
        <v/>
      </c>
      <c r="R265" s="24" t="b">
        <v>1</v>
      </c>
      <c r="S265" s="20">
        <f t="shared" si="6"/>
        <v>45595.48566</v>
      </c>
      <c r="T265" s="7"/>
    </row>
    <row r="266" ht="22.5" hidden="1" customHeight="1">
      <c r="B266" s="7">
        <f t="shared" si="7"/>
        <v>260</v>
      </c>
      <c r="C266" s="18" t="s">
        <v>300</v>
      </c>
      <c r="D266" s="19" t="str">
        <f t="array" ref="D266">IFNA(_xlfn.XLOOKUP(C266,Table_Tarikan_Warkah[Nomor Sertipikat],Table_Tarikan_Warkah[Nomor Tiket]),"")</f>
        <v>K/42/181024/2</v>
      </c>
      <c r="E266" s="20">
        <f t="array" ref="E266">IFNA(_xlfn.XLOOKUP(C266,Table_Tarikan_Warkah[Nomor Sertipikat],Table_Tarikan_Warkah[Tanggal diserahkan kepada Validator]),"")</f>
        <v>45596.46256</v>
      </c>
      <c r="F266" s="20" t="str">
        <f t="array" ref="F266">IFNA(_xlfn.XLOOKUP(C266,Table_Tarikan_Warkah[Nomor Sertipikat],Table_Tarikan_Warkah[Nama Petugas Warkah]),"")</f>
        <v>Sahelia</v>
      </c>
      <c r="G266" s="21" t="str">
        <f t="array" ref="G266">IFNA(_xlfn.XLOOKUP(C266,Table_Tarikan_Warkah[Nomor Sertipikat],Table_Tarikan_Warkah[Jenis Permohonan]),"")</f>
        <v>BN PHB</v>
      </c>
      <c r="H266" s="22" t="s">
        <v>37</v>
      </c>
      <c r="I266" s="22" t="s">
        <v>187</v>
      </c>
      <c r="J266" s="20">
        <f t="shared" si="29"/>
        <v>45594.64417</v>
      </c>
      <c r="K266" s="22" t="s">
        <v>65</v>
      </c>
      <c r="L266" s="22" t="s">
        <v>187</v>
      </c>
      <c r="M266" s="20">
        <f t="shared" si="30"/>
        <v>45594.70472</v>
      </c>
      <c r="N266" s="8" t="str">
        <f t="shared" si="3"/>
        <v>Selesai</v>
      </c>
      <c r="O266" s="23">
        <f t="shared" si="22"/>
        <v>45594.70472</v>
      </c>
      <c r="P266" s="24" t="b">
        <v>1</v>
      </c>
      <c r="Q266" s="20">
        <f t="shared" si="5"/>
        <v>45594.70477</v>
      </c>
      <c r="R266" s="24" t="b">
        <v>0</v>
      </c>
      <c r="S266" s="7" t="str">
        <f t="shared" si="6"/>
        <v/>
      </c>
      <c r="T266" s="7"/>
    </row>
    <row r="267" ht="22.5" hidden="1" customHeight="1">
      <c r="B267" s="7">
        <f t="shared" si="7"/>
        <v>261</v>
      </c>
      <c r="C267" s="18" t="s">
        <v>301</v>
      </c>
      <c r="D267" s="19" t="str">
        <f t="array" ref="D267">IFNA(_xlfn.XLOOKUP(C267,Table_Tarikan_Warkah[Nomor Sertipikat],Table_Tarikan_Warkah[Nomor Tiket]),"")</f>
        <v>K/21/151024/1</v>
      </c>
      <c r="E267" s="20" t="str">
        <f t="array" ref="E267">IFNA(_xlfn.XLOOKUP(C267,Table_Tarikan_Warkah[Nomor Sertipikat],Table_Tarikan_Warkah[Tanggal diserahkan kepada Validator]),"")</f>
        <v/>
      </c>
      <c r="F267" s="20" t="str">
        <f t="array" ref="F267">IFNA(_xlfn.XLOOKUP(C267,Table_Tarikan_Warkah[Nomor Sertipikat],Table_Tarikan_Warkah[Nama Petugas Warkah]),"")</f>
        <v/>
      </c>
      <c r="G267" s="21" t="str">
        <f t="array" ref="G267">IFNA(_xlfn.XLOOKUP(C267,Table_Tarikan_Warkah[Nomor Sertipikat],Table_Tarikan_Warkah[Jenis Permohonan]),"")</f>
        <v>BN JUAL BELI</v>
      </c>
      <c r="H267" s="22" t="s">
        <v>37</v>
      </c>
      <c r="I267" s="22" t="s">
        <v>187</v>
      </c>
      <c r="J267" s="20">
        <f t="shared" si="29"/>
        <v>45594.66284</v>
      </c>
      <c r="K267" s="22" t="s">
        <v>65</v>
      </c>
      <c r="L267" s="22" t="s">
        <v>187</v>
      </c>
      <c r="M267" s="20">
        <f t="shared" si="30"/>
        <v>45594.70446</v>
      </c>
      <c r="N267" s="8" t="str">
        <f t="shared" si="3"/>
        <v>Selesai</v>
      </c>
      <c r="O267" s="23">
        <f t="shared" si="22"/>
        <v>45594.70446</v>
      </c>
      <c r="P267" s="24" t="b">
        <v>1</v>
      </c>
      <c r="Q267" s="20">
        <f t="shared" si="5"/>
        <v>45594.7045</v>
      </c>
      <c r="R267" s="24" t="b">
        <v>0</v>
      </c>
      <c r="S267" s="7" t="str">
        <f t="shared" si="6"/>
        <v/>
      </c>
      <c r="T267" s="7"/>
    </row>
    <row r="268" ht="22.5" hidden="1" customHeight="1">
      <c r="B268" s="7">
        <f t="shared" si="7"/>
        <v>262</v>
      </c>
      <c r="C268" s="18" t="s">
        <v>302</v>
      </c>
      <c r="D268" s="19" t="str">
        <f t="array" ref="D268">IFNA(_xlfn.XLOOKUP(C268,Table_Tarikan_Warkah[Nomor Sertipikat],Table_Tarikan_Warkah[Nomor Tiket]),"")</f>
        <v>L/32/231024/1</v>
      </c>
      <c r="E268" s="20" t="str">
        <f t="array" ref="E268">IFNA(_xlfn.XLOOKUP(C268,Table_Tarikan_Warkah[Nomor Sertipikat],Table_Tarikan_Warkah[Tanggal diserahkan kepada Validator]),"")</f>
        <v/>
      </c>
      <c r="F268" s="20" t="str">
        <f t="array" ref="F268">IFNA(_xlfn.XLOOKUP(C268,Table_Tarikan_Warkah[Nomor Sertipikat],Table_Tarikan_Warkah[Nama Petugas Warkah]),"")</f>
        <v/>
      </c>
      <c r="G268" s="21" t="str">
        <f t="array" ref="G268">IFNA(_xlfn.XLOOKUP(C268,Table_Tarikan_Warkah[Nomor Sertipikat],Table_Tarikan_Warkah[Jenis Permohonan]),"")</f>
        <v>PERUBAHAN HAK</v>
      </c>
      <c r="H268" s="22" t="s">
        <v>37</v>
      </c>
      <c r="I268" s="22" t="s">
        <v>187</v>
      </c>
      <c r="J268" s="20">
        <f t="shared" si="29"/>
        <v>45594.6644</v>
      </c>
      <c r="K268" s="27" t="s">
        <v>33</v>
      </c>
      <c r="L268" s="27" t="s">
        <v>187</v>
      </c>
      <c r="M268" s="20">
        <f t="shared" si="30"/>
        <v>45595.57008</v>
      </c>
      <c r="N268" s="8" t="str">
        <f t="shared" si="3"/>
        <v>Selesai</v>
      </c>
      <c r="O268" s="23">
        <f t="shared" si="22"/>
        <v>45595.57008</v>
      </c>
      <c r="P268" s="24" t="b">
        <v>1</v>
      </c>
      <c r="Q268" s="20">
        <f t="shared" si="5"/>
        <v>45595.57009</v>
      </c>
      <c r="R268" s="24" t="b">
        <v>0</v>
      </c>
      <c r="S268" s="7" t="str">
        <f t="shared" si="6"/>
        <v/>
      </c>
      <c r="T268" s="7"/>
    </row>
    <row r="269" ht="22.5" hidden="1" customHeight="1">
      <c r="B269" s="7">
        <f t="shared" si="7"/>
        <v>263</v>
      </c>
      <c r="C269" s="18" t="s">
        <v>303</v>
      </c>
      <c r="D269" s="19" t="str">
        <f t="array" ref="D269">IFNA(_xlfn.XLOOKUP(C269,Table_Tarikan_Warkah[Nomor Sertipikat],Table_Tarikan_Warkah[Nomor Tiket]),"")</f>
        <v>L/31/281024/1</v>
      </c>
      <c r="E269" s="20">
        <f t="array" ref="E269">IFNA(_xlfn.XLOOKUP(C269,Table_Tarikan_Warkah[Nomor Sertipikat],Table_Tarikan_Warkah[Tanggal diserahkan kepada Validator]),"")</f>
        <v>45594.41439</v>
      </c>
      <c r="F269" s="20" t="str">
        <f t="array" ref="F269">IFNA(_xlfn.XLOOKUP(C269,Table_Tarikan_Warkah[Nomor Sertipikat],Table_Tarikan_Warkah[Nama Petugas Warkah]),"")</f>
        <v>Berry</v>
      </c>
      <c r="G269" s="21" t="str">
        <f t="array" ref="G269">IFNA(_xlfn.XLOOKUP(C269,Table_Tarikan_Warkah[Nomor Sertipikat],Table_Tarikan_Warkah[Jenis Permohonan]),"")</f>
        <v>ROYA</v>
      </c>
      <c r="H269" s="22" t="s">
        <v>31</v>
      </c>
      <c r="I269" s="22" t="s">
        <v>32</v>
      </c>
      <c r="J269" s="20">
        <f t="shared" si="29"/>
        <v>45594.67372</v>
      </c>
      <c r="K269" s="22" t="s">
        <v>33</v>
      </c>
      <c r="L269" s="22" t="s">
        <v>32</v>
      </c>
      <c r="M269" s="20">
        <f t="shared" si="30"/>
        <v>45595.49148</v>
      </c>
      <c r="N269" s="8" t="str">
        <f t="shared" si="3"/>
        <v>SELESAI</v>
      </c>
      <c r="O269" s="23">
        <f t="shared" si="22"/>
        <v>45595.49148</v>
      </c>
      <c r="P269" s="24" t="b">
        <v>0</v>
      </c>
      <c r="Q269" s="20" t="str">
        <f t="shared" si="5"/>
        <v/>
      </c>
      <c r="R269" s="24" t="b">
        <v>1</v>
      </c>
      <c r="S269" s="20">
        <f t="shared" si="6"/>
        <v>45595.49152</v>
      </c>
      <c r="T269" s="7"/>
    </row>
    <row r="270" ht="22.5" hidden="1" customHeight="1">
      <c r="B270" s="7">
        <f t="shared" si="7"/>
        <v>264</v>
      </c>
      <c r="C270" s="18" t="s">
        <v>304</v>
      </c>
      <c r="D270" s="19" t="str">
        <f t="array" ref="D270">IFNA(_xlfn.XLOOKUP(C270,Table_Tarikan_Warkah[Nomor Sertipikat],Table_Tarikan_Warkah[Nomor Tiket]),"")</f>
        <v>L/32/281024/1</v>
      </c>
      <c r="E270" s="20">
        <f t="array" ref="E270">IFNA(_xlfn.XLOOKUP(C270,Table_Tarikan_Warkah[Nomor Sertipikat],Table_Tarikan_Warkah[Tanggal diserahkan kepada Validator]),"")</f>
        <v>45594.41515</v>
      </c>
      <c r="F270" s="20" t="str">
        <f t="array" ref="F270">IFNA(_xlfn.XLOOKUP(C270,Table_Tarikan_Warkah[Nomor Sertipikat],Table_Tarikan_Warkah[Nama Petugas Warkah]),"")</f>
        <v>Berry</v>
      </c>
      <c r="G270" s="21" t="str">
        <f t="array" ref="G270">IFNA(_xlfn.XLOOKUP(C270,Table_Tarikan_Warkah[Nomor Sertipikat],Table_Tarikan_Warkah[Jenis Permohonan]),"")</f>
        <v>PERUBAHAN HAK</v>
      </c>
      <c r="H270" s="22" t="s">
        <v>31</v>
      </c>
      <c r="I270" s="22" t="s">
        <v>32</v>
      </c>
      <c r="J270" s="20">
        <f t="shared" si="29"/>
        <v>45594.67392</v>
      </c>
      <c r="K270" s="22" t="s">
        <v>33</v>
      </c>
      <c r="L270" s="22" t="s">
        <v>32</v>
      </c>
      <c r="M270" s="20">
        <f t="shared" si="30"/>
        <v>45595.4945</v>
      </c>
      <c r="N270" s="8" t="str">
        <f t="shared" si="3"/>
        <v>SELESAI</v>
      </c>
      <c r="O270" s="23">
        <f t="shared" si="22"/>
        <v>45595.4945</v>
      </c>
      <c r="P270" s="24" t="b">
        <v>0</v>
      </c>
      <c r="Q270" s="20" t="str">
        <f t="shared" si="5"/>
        <v/>
      </c>
      <c r="R270" s="24" t="b">
        <v>1</v>
      </c>
      <c r="S270" s="20">
        <f t="shared" si="6"/>
        <v>45595.49453</v>
      </c>
      <c r="T270" s="7"/>
    </row>
    <row r="271" ht="22.5" hidden="1" customHeight="1">
      <c r="B271" s="7">
        <f t="shared" si="7"/>
        <v>265</v>
      </c>
      <c r="C271" s="18" t="s">
        <v>305</v>
      </c>
      <c r="D271" s="19" t="str">
        <f t="array" ref="D271">IFNA(_xlfn.XLOOKUP(C271,Table_Tarikan_Warkah[Nomor Sertipikat],Table_Tarikan_Warkah[Nomor Tiket]),"")</f>
        <v>L/33/281024/2</v>
      </c>
      <c r="E271" s="20">
        <f t="array" ref="E271">IFNA(_xlfn.XLOOKUP(C271,Table_Tarikan_Warkah[Nomor Sertipikat],Table_Tarikan_Warkah[Tanggal diserahkan kepada Validator]),"")</f>
        <v>45594.41558</v>
      </c>
      <c r="F271" s="20" t="str">
        <f t="array" ref="F271">IFNA(_xlfn.XLOOKUP(C271,Table_Tarikan_Warkah[Nomor Sertipikat],Table_Tarikan_Warkah[Nama Petugas Warkah]),"")</f>
        <v>Berry</v>
      </c>
      <c r="G271" s="21" t="str">
        <f t="array" ref="G271">IFNA(_xlfn.XLOOKUP(C271,Table_Tarikan_Warkah[Nomor Sertipikat],Table_Tarikan_Warkah[Jenis Permohonan]),"")</f>
        <v>PERUBAHAN HAK</v>
      </c>
      <c r="H271" s="22" t="s">
        <v>31</v>
      </c>
      <c r="I271" s="22" t="s">
        <v>32</v>
      </c>
      <c r="J271" s="20">
        <f t="shared" si="29"/>
        <v>45594.67406</v>
      </c>
      <c r="K271" s="22" t="s">
        <v>33</v>
      </c>
      <c r="L271" s="22" t="s">
        <v>32</v>
      </c>
      <c r="M271" s="20">
        <f t="shared" si="30"/>
        <v>45595.49257</v>
      </c>
      <c r="N271" s="8" t="str">
        <f t="shared" si="3"/>
        <v>SELESAI</v>
      </c>
      <c r="O271" s="23">
        <f t="shared" si="22"/>
        <v>45595.49257</v>
      </c>
      <c r="P271" s="24" t="b">
        <v>0</v>
      </c>
      <c r="Q271" s="20" t="str">
        <f t="shared" si="5"/>
        <v/>
      </c>
      <c r="R271" s="24" t="b">
        <v>1</v>
      </c>
      <c r="S271" s="20">
        <f t="shared" si="6"/>
        <v>45595.4926</v>
      </c>
      <c r="T271" s="7"/>
    </row>
    <row r="272" ht="22.5" hidden="1" customHeight="1">
      <c r="B272" s="7">
        <f t="shared" si="7"/>
        <v>266</v>
      </c>
      <c r="C272" s="18" t="s">
        <v>306</v>
      </c>
      <c r="D272" s="19" t="str">
        <f t="array" ref="D272">IFNA(_xlfn.XLOOKUP(C272,Table_Tarikan_Warkah[Nomor Sertipikat],Table_Tarikan_Warkah[Nomor Tiket]),"")</f>
        <v>L/26/251024/1</v>
      </c>
      <c r="E272" s="20">
        <f t="array" ref="E272">IFNA(_xlfn.XLOOKUP(C272,Table_Tarikan_Warkah[Nomor Sertipikat],Table_Tarikan_Warkah[Tanggal diserahkan kepada Validator]),"")</f>
        <v>45594.40789</v>
      </c>
      <c r="F272" s="20" t="str">
        <f t="array" ref="F272">IFNA(_xlfn.XLOOKUP(C272,Table_Tarikan_Warkah[Nomor Sertipikat],Table_Tarikan_Warkah[Nama Petugas Warkah]),"")</f>
        <v>David</v>
      </c>
      <c r="G272" s="21" t="str">
        <f t="array" ref="G272">IFNA(_xlfn.XLOOKUP(C272,Table_Tarikan_Warkah[Nomor Sertipikat],Table_Tarikan_Warkah[Jenis Permohonan]),"")</f>
        <v>ROYA</v>
      </c>
      <c r="H272" s="22" t="s">
        <v>31</v>
      </c>
      <c r="I272" s="22" t="s">
        <v>32</v>
      </c>
      <c r="J272" s="20">
        <f t="shared" si="29"/>
        <v>45594.67428</v>
      </c>
      <c r="K272" s="22" t="s">
        <v>33</v>
      </c>
      <c r="L272" s="22" t="s">
        <v>32</v>
      </c>
      <c r="M272" s="20">
        <f t="shared" si="30"/>
        <v>45595.49601</v>
      </c>
      <c r="N272" s="8" t="str">
        <f t="shared" si="3"/>
        <v>SELESAI</v>
      </c>
      <c r="O272" s="23">
        <f t="shared" si="22"/>
        <v>45595.49601</v>
      </c>
      <c r="P272" s="24" t="b">
        <v>0</v>
      </c>
      <c r="Q272" s="20" t="str">
        <f t="shared" si="5"/>
        <v/>
      </c>
      <c r="R272" s="24" t="b">
        <v>1</v>
      </c>
      <c r="S272" s="20">
        <f t="shared" si="6"/>
        <v>45595.49606</v>
      </c>
      <c r="T272" s="7"/>
    </row>
    <row r="273" ht="22.5" hidden="1" customHeight="1">
      <c r="B273" s="7">
        <f t="shared" si="7"/>
        <v>267</v>
      </c>
      <c r="C273" s="18" t="s">
        <v>307</v>
      </c>
      <c r="D273" s="19" t="str">
        <f t="array" ref="D273">IFNA(_xlfn.XLOOKUP(C273,Table_Tarikan_Warkah[Nomor Sertipikat],Table_Tarikan_Warkah[Nomor Tiket]),"")</f>
        <v>L/1/261024/1</v>
      </c>
      <c r="E273" s="20">
        <f t="array" ref="E273">IFNA(_xlfn.XLOOKUP(C273,Table_Tarikan_Warkah[Nomor Sertipikat],Table_Tarikan_Warkah[Tanggal diserahkan kepada Validator]),"")</f>
        <v>45594.408</v>
      </c>
      <c r="F273" s="20" t="str">
        <f t="array" ref="F273">IFNA(_xlfn.XLOOKUP(C273,Table_Tarikan_Warkah[Nomor Sertipikat],Table_Tarikan_Warkah[Nama Petugas Warkah]),"")</f>
        <v>David</v>
      </c>
      <c r="G273" s="21" t="str">
        <f t="array" ref="G273">IFNA(_xlfn.XLOOKUP(C273,Table_Tarikan_Warkah[Nomor Sertipikat],Table_Tarikan_Warkah[Jenis Permohonan]),"")</f>
        <v>ROYA</v>
      </c>
      <c r="H273" s="22" t="s">
        <v>31</v>
      </c>
      <c r="I273" s="22" t="s">
        <v>32</v>
      </c>
      <c r="J273" s="20">
        <f t="shared" si="29"/>
        <v>45594.67444</v>
      </c>
      <c r="K273" s="22" t="s">
        <v>33</v>
      </c>
      <c r="L273" s="22" t="s">
        <v>32</v>
      </c>
      <c r="M273" s="20">
        <f t="shared" si="30"/>
        <v>45595.49636</v>
      </c>
      <c r="N273" s="8" t="str">
        <f t="shared" si="3"/>
        <v>SELESAI</v>
      </c>
      <c r="O273" s="23">
        <f t="shared" si="22"/>
        <v>45595.49636</v>
      </c>
      <c r="P273" s="24" t="b">
        <v>0</v>
      </c>
      <c r="Q273" s="20" t="str">
        <f t="shared" si="5"/>
        <v/>
      </c>
      <c r="R273" s="24" t="b">
        <v>1</v>
      </c>
      <c r="S273" s="20">
        <f t="shared" si="6"/>
        <v>45595.49642</v>
      </c>
      <c r="T273" s="7"/>
    </row>
    <row r="274" ht="22.5" hidden="1" customHeight="1">
      <c r="B274" s="7">
        <f t="shared" si="7"/>
        <v>268</v>
      </c>
      <c r="C274" s="18" t="s">
        <v>308</v>
      </c>
      <c r="D274" s="19" t="str">
        <f t="array" ref="D274">IFNA(_xlfn.XLOOKUP(C274,Table_Tarikan_Warkah[Nomor Sertipikat],Table_Tarikan_Warkah[Nomor Tiket]),"")</f>
        <v>K/9/281024/1</v>
      </c>
      <c r="E274" s="20">
        <f t="array" ref="E274">IFNA(_xlfn.XLOOKUP(C274,Table_Tarikan_Warkah[Nomor Sertipikat],Table_Tarikan_Warkah[Tanggal diserahkan kepada Validator]),"")</f>
        <v>45594.41016</v>
      </c>
      <c r="F274" s="20" t="str">
        <f t="array" ref="F274">IFNA(_xlfn.XLOOKUP(C274,Table_Tarikan_Warkah[Nomor Sertipikat],Table_Tarikan_Warkah[Nama Petugas Warkah]),"")</f>
        <v>David</v>
      </c>
      <c r="G274" s="21" t="str">
        <f t="array" ref="G274">IFNA(_xlfn.XLOOKUP(C274,Table_Tarikan_Warkah[Nomor Sertipikat],Table_Tarikan_Warkah[Jenis Permohonan]),"")</f>
        <v>BN JUAL BELI</v>
      </c>
      <c r="H274" s="22" t="s">
        <v>31</v>
      </c>
      <c r="I274" s="22" t="s">
        <v>32</v>
      </c>
      <c r="J274" s="20">
        <f t="shared" si="29"/>
        <v>45594.67458</v>
      </c>
      <c r="K274" s="22" t="s">
        <v>33</v>
      </c>
      <c r="L274" s="22" t="s">
        <v>32</v>
      </c>
      <c r="M274" s="20">
        <f t="shared" si="30"/>
        <v>45595.49398</v>
      </c>
      <c r="N274" s="8" t="str">
        <f t="shared" si="3"/>
        <v>SELESAI</v>
      </c>
      <c r="O274" s="23">
        <f t="shared" si="22"/>
        <v>45595.49398</v>
      </c>
      <c r="P274" s="24" t="b">
        <v>0</v>
      </c>
      <c r="Q274" s="20" t="str">
        <f t="shared" si="5"/>
        <v/>
      </c>
      <c r="R274" s="24" t="b">
        <v>1</v>
      </c>
      <c r="S274" s="20">
        <f t="shared" si="6"/>
        <v>45595.494</v>
      </c>
      <c r="T274" s="7"/>
    </row>
    <row r="275" ht="22.5" hidden="1" customHeight="1">
      <c r="B275" s="7">
        <f t="shared" si="7"/>
        <v>269</v>
      </c>
      <c r="C275" s="18" t="s">
        <v>309</v>
      </c>
      <c r="D275" s="19" t="str">
        <f t="array" ref="D275">IFNA(_xlfn.XLOOKUP(C275,Table_Tarikan_Warkah[Nomor Sertipikat],Table_Tarikan_Warkah[Nomor Tiket]),"")</f>
        <v>K/12/281024/1</v>
      </c>
      <c r="E275" s="20">
        <f t="array" ref="E275">IFNA(_xlfn.XLOOKUP(C275,Table_Tarikan_Warkah[Nomor Sertipikat],Table_Tarikan_Warkah[Tanggal diserahkan kepada Validator]),"")</f>
        <v>45594.41064</v>
      </c>
      <c r="F275" s="20" t="str">
        <f t="array" ref="F275">IFNA(_xlfn.XLOOKUP(C275,Table_Tarikan_Warkah[Nomor Sertipikat],Table_Tarikan_Warkah[Nama Petugas Warkah]),"")</f>
        <v>David</v>
      </c>
      <c r="G275" s="21" t="str">
        <f t="array" ref="G275">IFNA(_xlfn.XLOOKUP(C275,Table_Tarikan_Warkah[Nomor Sertipikat],Table_Tarikan_Warkah[Jenis Permohonan]),"")</f>
        <v>BN JUAL BELI</v>
      </c>
      <c r="H275" s="22" t="s">
        <v>31</v>
      </c>
      <c r="I275" s="22" t="s">
        <v>32</v>
      </c>
      <c r="J275" s="20">
        <f t="shared" si="29"/>
        <v>45594.67472</v>
      </c>
      <c r="K275" s="22" t="s">
        <v>33</v>
      </c>
      <c r="L275" s="22" t="s">
        <v>32</v>
      </c>
      <c r="M275" s="20">
        <f t="shared" si="30"/>
        <v>45595.49475</v>
      </c>
      <c r="N275" s="8" t="str">
        <f t="shared" si="3"/>
        <v>SELESAI</v>
      </c>
      <c r="O275" s="23">
        <f t="shared" si="22"/>
        <v>45595.49475</v>
      </c>
      <c r="P275" s="24" t="b">
        <v>0</v>
      </c>
      <c r="Q275" s="20" t="str">
        <f t="shared" si="5"/>
        <v/>
      </c>
      <c r="R275" s="24" t="b">
        <v>1</v>
      </c>
      <c r="S275" s="20">
        <f t="shared" si="6"/>
        <v>45595.4948</v>
      </c>
      <c r="T275" s="7"/>
    </row>
    <row r="276" ht="22.5" hidden="1" customHeight="1">
      <c r="B276" s="7">
        <f t="shared" si="7"/>
        <v>270</v>
      </c>
      <c r="C276" s="18" t="s">
        <v>310</v>
      </c>
      <c r="D276" s="19" t="str">
        <f t="array" ref="D276">IFNA(_xlfn.XLOOKUP(C276,Table_Tarikan_Warkah[Nomor Sertipikat],Table_Tarikan_Warkah[Nomor Tiket]),"")</f>
        <v>K/19/281024/1</v>
      </c>
      <c r="E276" s="20">
        <f t="array" ref="E276">IFNA(_xlfn.XLOOKUP(C276,Table_Tarikan_Warkah[Nomor Sertipikat],Table_Tarikan_Warkah[Tanggal diserahkan kepada Validator]),"")</f>
        <v>45594.41214</v>
      </c>
      <c r="F276" s="20" t="str">
        <f t="array" ref="F276">IFNA(_xlfn.XLOOKUP(C276,Table_Tarikan_Warkah[Nomor Sertipikat],Table_Tarikan_Warkah[Nama Petugas Warkah]),"")</f>
        <v>David</v>
      </c>
      <c r="G276" s="21" t="str">
        <f t="array" ref="G276">IFNA(_xlfn.XLOOKUP(C276,Table_Tarikan_Warkah[Nomor Sertipikat],Table_Tarikan_Warkah[Jenis Permohonan]),"")</f>
        <v>BN JUAL BELI</v>
      </c>
      <c r="H276" s="22" t="s">
        <v>31</v>
      </c>
      <c r="I276" s="22" t="s">
        <v>32</v>
      </c>
      <c r="J276" s="20">
        <f t="shared" si="29"/>
        <v>45594.67486</v>
      </c>
      <c r="K276" s="22" t="s">
        <v>33</v>
      </c>
      <c r="L276" s="22" t="s">
        <v>32</v>
      </c>
      <c r="M276" s="20">
        <f t="shared" si="30"/>
        <v>45595.49118</v>
      </c>
      <c r="N276" s="8" t="str">
        <f t="shared" si="3"/>
        <v>SELESAI</v>
      </c>
      <c r="O276" s="23">
        <f t="shared" si="22"/>
        <v>45595.49118</v>
      </c>
      <c r="P276" s="24" t="b">
        <v>0</v>
      </c>
      <c r="Q276" s="20" t="str">
        <f t="shared" si="5"/>
        <v/>
      </c>
      <c r="R276" s="24" t="b">
        <v>1</v>
      </c>
      <c r="S276" s="20">
        <f t="shared" si="6"/>
        <v>45595.49122</v>
      </c>
      <c r="T276" s="7"/>
    </row>
    <row r="277" ht="22.5" hidden="1" customHeight="1">
      <c r="B277" s="7">
        <f t="shared" si="7"/>
        <v>271</v>
      </c>
      <c r="C277" s="18" t="s">
        <v>311</v>
      </c>
      <c r="D277" s="19" t="str">
        <f t="array" ref="D277">IFNA(_xlfn.XLOOKUP(C277,Table_Tarikan_Warkah[Nomor Sertipikat],Table_Tarikan_Warkah[Nomor Tiket]),"")</f>
        <v>L/22/281024/1</v>
      </c>
      <c r="E277" s="20">
        <f t="array" ref="E277">IFNA(_xlfn.XLOOKUP(C277,Table_Tarikan_Warkah[Nomor Sertipikat],Table_Tarikan_Warkah[Tanggal diserahkan kepada Validator]),"")</f>
        <v>45594.41346</v>
      </c>
      <c r="F277" s="20" t="str">
        <f t="array" ref="F277">IFNA(_xlfn.XLOOKUP(C277,Table_Tarikan_Warkah[Nomor Sertipikat],Table_Tarikan_Warkah[Nama Petugas Warkah]),"")</f>
        <v>Berry</v>
      </c>
      <c r="G277" s="21" t="str">
        <f t="array" ref="G277">IFNA(_xlfn.XLOOKUP(C277,Table_Tarikan_Warkah[Nomor Sertipikat],Table_Tarikan_Warkah[Jenis Permohonan]),"")</f>
        <v>PH</v>
      </c>
      <c r="H277" s="22" t="s">
        <v>31</v>
      </c>
      <c r="I277" s="22" t="s">
        <v>32</v>
      </c>
      <c r="J277" s="20">
        <f t="shared" si="29"/>
        <v>45594.67508</v>
      </c>
      <c r="K277" s="22" t="s">
        <v>33</v>
      </c>
      <c r="L277" s="22" t="s">
        <v>32</v>
      </c>
      <c r="M277" s="20">
        <f t="shared" si="30"/>
        <v>45595.49509</v>
      </c>
      <c r="N277" s="8" t="str">
        <f t="shared" si="3"/>
        <v>SELESAI</v>
      </c>
      <c r="O277" s="23">
        <f t="shared" si="22"/>
        <v>45595.49509</v>
      </c>
      <c r="P277" s="24" t="b">
        <v>0</v>
      </c>
      <c r="Q277" s="20" t="str">
        <f t="shared" si="5"/>
        <v/>
      </c>
      <c r="R277" s="24" t="b">
        <v>1</v>
      </c>
      <c r="S277" s="20">
        <f t="shared" si="6"/>
        <v>45595.49513</v>
      </c>
      <c r="T277" s="7"/>
    </row>
    <row r="278" ht="22.5" hidden="1" customHeight="1">
      <c r="B278" s="7">
        <f t="shared" si="7"/>
        <v>272</v>
      </c>
      <c r="C278" s="18" t="s">
        <v>312</v>
      </c>
      <c r="D278" s="19" t="str">
        <f t="array" ref="D278">IFNA(_xlfn.XLOOKUP(C278,Table_Tarikan_Warkah[Nomor Sertipikat],Table_Tarikan_Warkah[Nomor Tiket]),"")</f>
        <v>K/27/281024/1</v>
      </c>
      <c r="E278" s="20">
        <f t="array" ref="E278">IFNA(_xlfn.XLOOKUP(C278,Table_Tarikan_Warkah[Nomor Sertipikat],Table_Tarikan_Warkah[Tanggal diserahkan kepada Validator]),"")</f>
        <v>45594.41401</v>
      </c>
      <c r="F278" s="20" t="str">
        <f t="array" ref="F278">IFNA(_xlfn.XLOOKUP(C278,Table_Tarikan_Warkah[Nomor Sertipikat],Table_Tarikan_Warkah[Nama Petugas Warkah]),"")</f>
        <v>Berry</v>
      </c>
      <c r="G278" s="21" t="str">
        <f t="array" ref="G278">IFNA(_xlfn.XLOOKUP(C278,Table_Tarikan_Warkah[Nomor Sertipikat],Table_Tarikan_Warkah[Jenis Permohonan]),"")</f>
        <v>Perubahan Hak</v>
      </c>
      <c r="H278" s="22" t="s">
        <v>31</v>
      </c>
      <c r="I278" s="22" t="s">
        <v>32</v>
      </c>
      <c r="J278" s="20">
        <f t="shared" si="29"/>
        <v>45594.67524</v>
      </c>
      <c r="K278" s="22" t="s">
        <v>33</v>
      </c>
      <c r="L278" s="22" t="s">
        <v>32</v>
      </c>
      <c r="M278" s="20">
        <f t="shared" si="30"/>
        <v>45595.49368</v>
      </c>
      <c r="N278" s="8" t="str">
        <f t="shared" si="3"/>
        <v>SELESAI</v>
      </c>
      <c r="O278" s="23">
        <f t="shared" si="22"/>
        <v>45595.49368</v>
      </c>
      <c r="P278" s="24" t="b">
        <v>0</v>
      </c>
      <c r="Q278" s="20" t="str">
        <f t="shared" si="5"/>
        <v/>
      </c>
      <c r="R278" s="24" t="b">
        <v>1</v>
      </c>
      <c r="S278" s="20">
        <f t="shared" si="6"/>
        <v>45595.49537</v>
      </c>
      <c r="T278" s="7"/>
    </row>
    <row r="279" ht="22.5" hidden="1" customHeight="1">
      <c r="B279" s="7">
        <f t="shared" si="7"/>
        <v>273</v>
      </c>
      <c r="C279" s="18" t="s">
        <v>313</v>
      </c>
      <c r="D279" s="19" t="str">
        <f t="array" ref="D279">IFNA(_xlfn.XLOOKUP(C279,Table_Tarikan_Warkah[Nomor Sertipikat],Table_Tarikan_Warkah[Nomor Tiket]),"")</f>
        <v>K/42/251024/1</v>
      </c>
      <c r="E279" s="20">
        <f t="array" ref="E279">IFNA(_xlfn.XLOOKUP(C279,Table_Tarikan_Warkah[Nomor Sertipikat],Table_Tarikan_Warkah[Tanggal diserahkan kepada Validator]),"")</f>
        <v>45594.41786</v>
      </c>
      <c r="F279" s="20" t="str">
        <f t="array" ref="F279">IFNA(_xlfn.XLOOKUP(C279,Table_Tarikan_Warkah[Nomor Sertipikat],Table_Tarikan_Warkah[Nama Petugas Warkah]),"")</f>
        <v>David</v>
      </c>
      <c r="G279" s="21" t="str">
        <f t="array" ref="G279">IFNA(_xlfn.XLOOKUP(C279,Table_Tarikan_Warkah[Nomor Sertipikat],Table_Tarikan_Warkah[Jenis Permohonan]),"")</f>
        <v>BN JUAL BELI</v>
      </c>
      <c r="H279" s="22" t="s">
        <v>31</v>
      </c>
      <c r="I279" s="22" t="s">
        <v>32</v>
      </c>
      <c r="J279" s="20">
        <f t="shared" si="29"/>
        <v>45594.67536</v>
      </c>
      <c r="K279" s="22" t="s">
        <v>33</v>
      </c>
      <c r="L279" s="22" t="s">
        <v>32</v>
      </c>
      <c r="M279" s="20">
        <f t="shared" si="30"/>
        <v>45595.49532</v>
      </c>
      <c r="N279" s="8" t="str">
        <f t="shared" si="3"/>
        <v>SELESAI</v>
      </c>
      <c r="O279" s="23">
        <f t="shared" si="22"/>
        <v>45595.49532</v>
      </c>
      <c r="P279" s="24" t="b">
        <v>0</v>
      </c>
      <c r="Q279" s="20" t="str">
        <f t="shared" si="5"/>
        <v/>
      </c>
      <c r="R279" s="24" t="b">
        <v>1</v>
      </c>
      <c r="S279" s="20">
        <f t="shared" si="6"/>
        <v>45595.49536</v>
      </c>
      <c r="T279" s="7"/>
    </row>
    <row r="280" ht="22.5" hidden="1" customHeight="1">
      <c r="B280" s="7">
        <f t="shared" si="7"/>
        <v>274</v>
      </c>
      <c r="C280" s="18" t="s">
        <v>314</v>
      </c>
      <c r="D280" s="19" t="str">
        <f t="array" ref="D280">IFNA(_xlfn.XLOOKUP(C280,Table_Tarikan_Warkah[Nomor Sertipikat],Table_Tarikan_Warkah[Nomor Tiket]),"")</f>
        <v>K/21/281024/1</v>
      </c>
      <c r="E280" s="20">
        <f t="array" ref="E280">IFNA(_xlfn.XLOOKUP(C280,Table_Tarikan_Warkah[Nomor Sertipikat],Table_Tarikan_Warkah[Tanggal diserahkan kepada Validator]),"")</f>
        <v>45594.41457</v>
      </c>
      <c r="F280" s="20" t="str">
        <f t="array" ref="F280">IFNA(_xlfn.XLOOKUP(C280,Table_Tarikan_Warkah[Nomor Sertipikat],Table_Tarikan_Warkah[Nama Petugas Warkah]),"")</f>
        <v>Berry</v>
      </c>
      <c r="G280" s="21" t="str">
        <f t="array" ref="G280">IFNA(_xlfn.XLOOKUP(C280,Table_Tarikan_Warkah[Nomor Sertipikat],Table_Tarikan_Warkah[Jenis Permohonan]),"")</f>
        <v>BN JUAL BELI</v>
      </c>
      <c r="H280" s="22" t="s">
        <v>31</v>
      </c>
      <c r="I280" s="22" t="s">
        <v>32</v>
      </c>
      <c r="J280" s="20">
        <f t="shared" si="29"/>
        <v>45594.67551</v>
      </c>
      <c r="K280" s="22" t="s">
        <v>33</v>
      </c>
      <c r="L280" s="22" t="s">
        <v>32</v>
      </c>
      <c r="M280" s="20">
        <f t="shared" si="30"/>
        <v>45595.49684</v>
      </c>
      <c r="N280" s="8" t="str">
        <f t="shared" si="3"/>
        <v>SELESAI</v>
      </c>
      <c r="O280" s="23">
        <f t="shared" si="22"/>
        <v>45595.49684</v>
      </c>
      <c r="P280" s="24" t="b">
        <v>0</v>
      </c>
      <c r="Q280" s="20" t="str">
        <f t="shared" si="5"/>
        <v/>
      </c>
      <c r="R280" s="24" t="b">
        <v>1</v>
      </c>
      <c r="S280" s="20">
        <f t="shared" si="6"/>
        <v>45595.49689</v>
      </c>
      <c r="T280" s="7"/>
    </row>
    <row r="281" ht="22.5" hidden="1" customHeight="1">
      <c r="B281" s="7">
        <f t="shared" si="7"/>
        <v>275</v>
      </c>
      <c r="C281" s="18" t="s">
        <v>315</v>
      </c>
      <c r="D281" s="19" t="str">
        <f t="array" ref="D281">IFNA(_xlfn.XLOOKUP(C281,Table_Tarikan_Warkah[Nomor Sertipikat],Table_Tarikan_Warkah[Nomor Tiket]),"")</f>
        <v>K/54/211024/1</v>
      </c>
      <c r="E281" s="20">
        <f t="array" ref="E281">IFNA(_xlfn.XLOOKUP(C281,Table_Tarikan_Warkah[Nomor Sertipikat],Table_Tarikan_Warkah[Tanggal diserahkan kepada Validator]),"")</f>
        <v>45594.41814</v>
      </c>
      <c r="F281" s="20" t="str">
        <f t="array" ref="F281">IFNA(_xlfn.XLOOKUP(C281,Table_Tarikan_Warkah[Nomor Sertipikat],Table_Tarikan_Warkah[Nama Petugas Warkah]),"")</f>
        <v/>
      </c>
      <c r="G281" s="21" t="str">
        <f t="array" ref="G281">IFNA(_xlfn.XLOOKUP(C281,Table_Tarikan_Warkah[Nomor Sertipikat],Table_Tarikan_Warkah[Jenis Permohonan]),"")</f>
        <v>Roya</v>
      </c>
      <c r="H281" s="22" t="s">
        <v>31</v>
      </c>
      <c r="I281" s="22" t="s">
        <v>32</v>
      </c>
      <c r="J281" s="20">
        <f t="shared" si="29"/>
        <v>45594.67562</v>
      </c>
      <c r="K281" s="22" t="s">
        <v>33</v>
      </c>
      <c r="L281" s="22" t="s">
        <v>32</v>
      </c>
      <c r="M281" s="20">
        <f t="shared" si="30"/>
        <v>45595.49572</v>
      </c>
      <c r="N281" s="8" t="str">
        <f t="shared" si="3"/>
        <v>SELESAI</v>
      </c>
      <c r="O281" s="23">
        <f t="shared" si="22"/>
        <v>45595.49572</v>
      </c>
      <c r="P281" s="24" t="b">
        <v>0</v>
      </c>
      <c r="Q281" s="20" t="str">
        <f t="shared" si="5"/>
        <v/>
      </c>
      <c r="R281" s="24" t="b">
        <v>1</v>
      </c>
      <c r="S281" s="20">
        <f t="shared" si="6"/>
        <v>45595.49575</v>
      </c>
      <c r="T281" s="7"/>
    </row>
    <row r="282" ht="22.5" hidden="1" customHeight="1">
      <c r="B282" s="7">
        <f t="shared" si="7"/>
        <v>276</v>
      </c>
      <c r="C282" s="18" t="s">
        <v>316</v>
      </c>
      <c r="D282" s="19" t="str">
        <f t="array" ref="D282">IFNA(_xlfn.XLOOKUP(C282,Table_Tarikan_Warkah[Nomor Sertipikat],Table_Tarikan_Warkah[Nomor Tiket]),"")</f>
        <v>K/27/161024/1</v>
      </c>
      <c r="E282" s="20">
        <f t="array" ref="E282">IFNA(_xlfn.XLOOKUP(C282,Table_Tarikan_Warkah[Nomor Sertipikat],Table_Tarikan_Warkah[Tanggal diserahkan kepada Validator]),"")</f>
        <v>45601.42097</v>
      </c>
      <c r="F282" s="20" t="str">
        <f t="array" ref="F282">IFNA(_xlfn.XLOOKUP(C282,Table_Tarikan_Warkah[Nomor Sertipikat],Table_Tarikan_Warkah[Nama Petugas Warkah]),"")</f>
        <v>Sahelia</v>
      </c>
      <c r="G282" s="21" t="str">
        <f t="array" ref="G282">IFNA(_xlfn.XLOOKUP(C282,Table_Tarikan_Warkah[Nomor Sertipikat],Table_Tarikan_Warkah[Jenis Permohonan]),"")</f>
        <v>BN Jual Beli</v>
      </c>
      <c r="H282" s="22" t="s">
        <v>31</v>
      </c>
      <c r="I282" s="22" t="s">
        <v>187</v>
      </c>
      <c r="J282" s="20">
        <f t="shared" si="29"/>
        <v>45594.67579</v>
      </c>
      <c r="K282" s="22" t="s">
        <v>33</v>
      </c>
      <c r="L282" s="22" t="s">
        <v>187</v>
      </c>
      <c r="M282" s="20">
        <f t="shared" si="30"/>
        <v>45596.55515</v>
      </c>
      <c r="N282" s="8" t="str">
        <f t="shared" si="3"/>
        <v>Selesai</v>
      </c>
      <c r="O282" s="23">
        <f t="shared" si="22"/>
        <v>45596.55515</v>
      </c>
      <c r="P282" s="24" t="b">
        <v>1</v>
      </c>
      <c r="Q282" s="20">
        <f t="shared" si="5"/>
        <v>45596.55577</v>
      </c>
      <c r="R282" s="24" t="b">
        <v>0</v>
      </c>
      <c r="S282" s="7" t="str">
        <f t="shared" si="6"/>
        <v/>
      </c>
      <c r="T282" s="7"/>
    </row>
    <row r="283" ht="22.5" hidden="1" customHeight="1">
      <c r="B283" s="7">
        <f t="shared" si="7"/>
        <v>277</v>
      </c>
      <c r="C283" s="18" t="s">
        <v>317</v>
      </c>
      <c r="D283" s="19" t="str">
        <f t="array" ref="D283">IFNA(_xlfn.XLOOKUP(C283,Table_Tarikan_Warkah[Nomor Sertipikat],Table_Tarikan_Warkah[Nomor Tiket]),"")</f>
        <v>K/14/181024/1</v>
      </c>
      <c r="E283" s="20">
        <f t="array" ref="E283">IFNA(_xlfn.XLOOKUP(C283,Table_Tarikan_Warkah[Nomor Sertipikat],Table_Tarikan_Warkah[Tanggal diserahkan kepada Validator]),"")</f>
        <v>45610.36186</v>
      </c>
      <c r="F283" s="20" t="str">
        <f t="array" ref="F283">IFNA(_xlfn.XLOOKUP(C283,Table_Tarikan_Warkah[Nomor Sertipikat],Table_Tarikan_Warkah[Nama Petugas Warkah]),"")</f>
        <v>Alfiansyah</v>
      </c>
      <c r="G283" s="21" t="str">
        <f t="array" ref="G283">IFNA(_xlfn.XLOOKUP(C283,Table_Tarikan_Warkah[Nomor Sertipikat],Table_Tarikan_Warkah[Jenis Permohonan]),"")</f>
        <v>BN Jual Beli</v>
      </c>
      <c r="H283" s="22" t="s">
        <v>31</v>
      </c>
      <c r="I283" s="22" t="s">
        <v>32</v>
      </c>
      <c r="J283" s="20">
        <f t="shared" si="29"/>
        <v>45594.67592</v>
      </c>
      <c r="K283" s="22" t="s">
        <v>33</v>
      </c>
      <c r="L283" s="22" t="s">
        <v>187</v>
      </c>
      <c r="M283" s="20">
        <f t="shared" si="30"/>
        <v>45596.55524</v>
      </c>
      <c r="N283" s="8" t="str">
        <f t="shared" si="3"/>
        <v>Selesai</v>
      </c>
      <c r="O283" s="23">
        <f t="shared" si="22"/>
        <v>45596.55524</v>
      </c>
      <c r="P283" s="24" t="b">
        <v>1</v>
      </c>
      <c r="Q283" s="20">
        <f t="shared" si="5"/>
        <v>45596.55577</v>
      </c>
      <c r="R283" s="24" t="b">
        <v>1</v>
      </c>
      <c r="S283" s="20">
        <f t="shared" si="6"/>
        <v>45610.40598</v>
      </c>
      <c r="T283" s="7"/>
    </row>
    <row r="284" ht="22.5" hidden="1" customHeight="1">
      <c r="B284" s="7">
        <f t="shared" si="7"/>
        <v>278</v>
      </c>
      <c r="C284" s="18" t="s">
        <v>115</v>
      </c>
      <c r="D284" s="19" t="str">
        <f t="array" ref="D284">IFNA(_xlfn.XLOOKUP(C284,Table_Tarikan_Warkah[Nomor Sertipikat],Table_Tarikan_Warkah[Nomor Tiket]),"")</f>
        <v>K/49/181024/4</v>
      </c>
      <c r="E284" s="20">
        <f t="array" ref="E284">IFNA(_xlfn.XLOOKUP(C284,Table_Tarikan_Warkah[Nomor Sertipikat],Table_Tarikan_Warkah[Tanggal diserahkan kepada Validator]),"")</f>
        <v>45586.48779</v>
      </c>
      <c r="F284" s="20" t="str">
        <f t="array" ref="F284">IFNA(_xlfn.XLOOKUP(C284,Table_Tarikan_Warkah[Nomor Sertipikat],Table_Tarikan_Warkah[Nama Petugas Warkah]),"")</f>
        <v>David</v>
      </c>
      <c r="G284" s="21" t="str">
        <f t="array" ref="G284">IFNA(_xlfn.XLOOKUP(C284,Table_Tarikan_Warkah[Nomor Sertipikat],Table_Tarikan_Warkah[Jenis Permohonan]),"")</f>
        <v>PERALIHAN HAK</v>
      </c>
      <c r="H284" s="22" t="s">
        <v>31</v>
      </c>
      <c r="I284" s="22" t="s">
        <v>32</v>
      </c>
      <c r="J284" s="20">
        <f t="shared" si="29"/>
        <v>45594.67614</v>
      </c>
      <c r="K284" s="22" t="s">
        <v>33</v>
      </c>
      <c r="L284" s="22" t="s">
        <v>187</v>
      </c>
      <c r="M284" s="20">
        <f t="shared" si="30"/>
        <v>45596.5553</v>
      </c>
      <c r="N284" s="8" t="str">
        <f t="shared" si="3"/>
        <v>Selesai</v>
      </c>
      <c r="O284" s="23">
        <f t="shared" si="22"/>
        <v>45596.5553</v>
      </c>
      <c r="P284" s="24" t="b">
        <v>1</v>
      </c>
      <c r="Q284" s="20">
        <f t="shared" si="5"/>
        <v>45596.55579</v>
      </c>
      <c r="R284" s="24" t="b">
        <v>0</v>
      </c>
      <c r="S284" s="7" t="str">
        <f t="shared" si="6"/>
        <v/>
      </c>
      <c r="T284" s="7"/>
    </row>
    <row r="285" ht="22.5" hidden="1" customHeight="1">
      <c r="B285" s="7">
        <f t="shared" si="7"/>
        <v>279</v>
      </c>
      <c r="C285" s="18" t="s">
        <v>227</v>
      </c>
      <c r="D285" s="19" t="str">
        <f t="array" ref="D285">IFNA(_xlfn.XLOOKUP(C285,Table_Tarikan_Warkah[Nomor Sertipikat],Table_Tarikan_Warkah[Nomor Tiket]),"")</f>
        <v>K/55/221024/1</v>
      </c>
      <c r="E285" s="20">
        <f t="array" ref="E285">IFNA(_xlfn.XLOOKUP(C285,Table_Tarikan_Warkah[Nomor Sertipikat],Table_Tarikan_Warkah[Tanggal diserahkan kepada Validator]),"")</f>
        <v>45588.46426</v>
      </c>
      <c r="F285" s="20" t="str">
        <f t="array" ref="F285">IFNA(_xlfn.XLOOKUP(C285,Table_Tarikan_Warkah[Nomor Sertipikat],Table_Tarikan_Warkah[Nama Petugas Warkah]),"")</f>
        <v>Rahma</v>
      </c>
      <c r="G285" s="21" t="str">
        <f t="array" ref="G285">IFNA(_xlfn.XLOOKUP(C285,Table_Tarikan_Warkah[Nomor Sertipikat],Table_Tarikan_Warkah[Jenis Permohonan]),"")</f>
        <v>PERALIHAN JUAL BELI</v>
      </c>
      <c r="H285" s="22" t="s">
        <v>31</v>
      </c>
      <c r="I285" s="22" t="s">
        <v>32</v>
      </c>
      <c r="J285" s="20">
        <f t="shared" si="29"/>
        <v>45594.67631</v>
      </c>
      <c r="K285" s="22" t="s">
        <v>33</v>
      </c>
      <c r="L285" s="22" t="s">
        <v>187</v>
      </c>
      <c r="M285" s="20">
        <f t="shared" si="30"/>
        <v>45596.55535</v>
      </c>
      <c r="N285" s="8" t="str">
        <f t="shared" si="3"/>
        <v>Selesai</v>
      </c>
      <c r="O285" s="23">
        <f t="shared" si="22"/>
        <v>45596.55535</v>
      </c>
      <c r="P285" s="24" t="b">
        <v>1</v>
      </c>
      <c r="Q285" s="20">
        <f t="shared" si="5"/>
        <v>45596.55579</v>
      </c>
      <c r="R285" s="24" t="b">
        <v>0</v>
      </c>
      <c r="S285" s="7" t="str">
        <f t="shared" si="6"/>
        <v/>
      </c>
      <c r="T285" s="7"/>
    </row>
    <row r="286" ht="22.5" hidden="1" customHeight="1">
      <c r="B286" s="7">
        <f t="shared" si="7"/>
        <v>280</v>
      </c>
      <c r="C286" s="18" t="s">
        <v>212</v>
      </c>
      <c r="D286" s="19" t="str">
        <f t="array" ref="D286">IFNA(_xlfn.XLOOKUP(C286,Table_Tarikan_Warkah[Nomor Sertipikat],Table_Tarikan_Warkah[Nomor Tiket]),"")</f>
        <v>K/44/231024/1</v>
      </c>
      <c r="E286" s="20">
        <f t="array" ref="E286">IFNA(_xlfn.XLOOKUP(C286,Table_Tarikan_Warkah[Nomor Sertipikat],Table_Tarikan_Warkah[Tanggal diserahkan kepada Validator]),"")</f>
        <v>45588.69997</v>
      </c>
      <c r="F286" s="20" t="str">
        <f t="array" ref="F286">IFNA(_xlfn.XLOOKUP(C286,Table_Tarikan_Warkah[Nomor Sertipikat],Table_Tarikan_Warkah[Nama Petugas Warkah]),"")</f>
        <v>Rahma</v>
      </c>
      <c r="G286" s="21" t="str">
        <f t="array" ref="G286">IFNA(_xlfn.XLOOKUP(C286,Table_Tarikan_Warkah[Nomor Sertipikat],Table_Tarikan_Warkah[Jenis Permohonan]),"")</f>
        <v>Roya</v>
      </c>
      <c r="H286" s="22" t="s">
        <v>31</v>
      </c>
      <c r="I286" s="22" t="s">
        <v>32</v>
      </c>
      <c r="J286" s="20">
        <f t="shared" si="29"/>
        <v>45594.67651</v>
      </c>
      <c r="K286" s="22" t="s">
        <v>33</v>
      </c>
      <c r="L286" s="22" t="s">
        <v>187</v>
      </c>
      <c r="M286" s="20">
        <f t="shared" si="30"/>
        <v>45596.5555</v>
      </c>
      <c r="N286" s="8" t="str">
        <f t="shared" si="3"/>
        <v>Selesai</v>
      </c>
      <c r="O286" s="23">
        <f t="shared" si="22"/>
        <v>45596.5555</v>
      </c>
      <c r="P286" s="24" t="b">
        <v>1</v>
      </c>
      <c r="Q286" s="20">
        <f t="shared" si="5"/>
        <v>45596.55579</v>
      </c>
      <c r="R286" s="24" t="b">
        <v>0</v>
      </c>
      <c r="S286" s="7" t="str">
        <f t="shared" si="6"/>
        <v/>
      </c>
      <c r="T286" s="7"/>
    </row>
    <row r="287" ht="22.5" hidden="1" customHeight="1">
      <c r="B287" s="7">
        <f t="shared" si="7"/>
        <v>281</v>
      </c>
      <c r="C287" s="18" t="s">
        <v>318</v>
      </c>
      <c r="D287" s="19" t="str">
        <f t="array" ref="D287">IFNA(_xlfn.XLOOKUP(C287,Table_Tarikan_Warkah[Nomor Sertipikat],Table_Tarikan_Warkah[Nomor Tiket]),"")</f>
        <v>K/53/211024/1</v>
      </c>
      <c r="E287" s="20">
        <f t="array" ref="E287">IFNA(_xlfn.XLOOKUP(C287,Table_Tarikan_Warkah[Nomor Sertipikat],Table_Tarikan_Warkah[Tanggal diserahkan kepada Validator]),"")</f>
        <v>45601.42144</v>
      </c>
      <c r="F287" s="20" t="str">
        <f t="array" ref="F287">IFNA(_xlfn.XLOOKUP(C287,Table_Tarikan_Warkah[Nomor Sertipikat],Table_Tarikan_Warkah[Nama Petugas Warkah]),"")</f>
        <v>Sahelia</v>
      </c>
      <c r="G287" s="21" t="str">
        <f t="array" ref="G287">IFNA(_xlfn.XLOOKUP(C287,Table_Tarikan_Warkah[Nomor Sertipikat],Table_Tarikan_Warkah[Jenis Permohonan]),"")</f>
        <v>BN Jual Beli</v>
      </c>
      <c r="H287" s="22" t="s">
        <v>31</v>
      </c>
      <c r="I287" s="22" t="s">
        <v>32</v>
      </c>
      <c r="J287" s="20">
        <f t="shared" si="29"/>
        <v>45594.67681</v>
      </c>
      <c r="K287" s="22" t="s">
        <v>33</v>
      </c>
      <c r="L287" s="22" t="s">
        <v>187</v>
      </c>
      <c r="M287" s="20">
        <f t="shared" si="30"/>
        <v>45596.55555</v>
      </c>
      <c r="N287" s="8" t="str">
        <f t="shared" si="3"/>
        <v>Selesai</v>
      </c>
      <c r="O287" s="23">
        <f t="shared" si="22"/>
        <v>45596.55555</v>
      </c>
      <c r="P287" s="24" t="b">
        <v>1</v>
      </c>
      <c r="Q287" s="20">
        <f t="shared" si="5"/>
        <v>45596.5558</v>
      </c>
      <c r="R287" s="24" t="b">
        <v>0</v>
      </c>
      <c r="S287" s="7" t="str">
        <f t="shared" si="6"/>
        <v/>
      </c>
      <c r="T287" s="7"/>
    </row>
    <row r="288" ht="22.5" hidden="1" customHeight="1">
      <c r="B288" s="7">
        <f t="shared" si="7"/>
        <v>282</v>
      </c>
      <c r="C288" s="18" t="s">
        <v>319</v>
      </c>
      <c r="D288" s="19" t="str">
        <f t="array" ref="D288">IFNA(_xlfn.XLOOKUP(C288,Table_Tarikan_Warkah[Nomor Sertipikat],Table_Tarikan_Warkah[Nomor Tiket]),"")</f>
        <v>K/33/241024/2</v>
      </c>
      <c r="E288" s="20">
        <f t="array" ref="E288">IFNA(_xlfn.XLOOKUP(C288,Table_Tarikan_Warkah[Nomor Sertipikat],Table_Tarikan_Warkah[Tanggal diserahkan kepada Validator]),"")</f>
        <v>45600.47383</v>
      </c>
      <c r="F288" s="20" t="str">
        <f t="array" ref="F288">IFNA(_xlfn.XLOOKUP(C288,Table_Tarikan_Warkah[Nomor Sertipikat],Table_Tarikan_Warkah[Nama Petugas Warkah]),"")</f>
        <v>Sahelia</v>
      </c>
      <c r="G288" s="21" t="str">
        <f t="array" ref="G288">IFNA(_xlfn.XLOOKUP(C288,Table_Tarikan_Warkah[Nomor Sertipikat],Table_Tarikan_Warkah[Jenis Permohonan]),"")</f>
        <v>BN Jual Beli</v>
      </c>
      <c r="H288" s="22" t="s">
        <v>37</v>
      </c>
      <c r="I288" s="22" t="s">
        <v>32</v>
      </c>
      <c r="J288" s="20">
        <f t="shared" si="29"/>
        <v>45595.41764</v>
      </c>
      <c r="K288" s="22" t="s">
        <v>33</v>
      </c>
      <c r="L288" s="22" t="s">
        <v>187</v>
      </c>
      <c r="M288" s="20">
        <f t="shared" si="30"/>
        <v>45596.55561</v>
      </c>
      <c r="N288" s="8" t="str">
        <f t="shared" si="3"/>
        <v>Selesai</v>
      </c>
      <c r="O288" s="23">
        <f t="shared" si="22"/>
        <v>45596.55561</v>
      </c>
      <c r="P288" s="24" t="b">
        <v>1</v>
      </c>
      <c r="Q288" s="20">
        <f t="shared" si="5"/>
        <v>45596.55582</v>
      </c>
      <c r="R288" s="24" t="b">
        <v>0</v>
      </c>
      <c r="S288" s="7" t="str">
        <f t="shared" si="6"/>
        <v/>
      </c>
      <c r="T288" s="7"/>
    </row>
    <row r="289" ht="22.5" hidden="1" customHeight="1">
      <c r="B289" s="7">
        <f t="shared" si="7"/>
        <v>283</v>
      </c>
      <c r="C289" s="18" t="s">
        <v>320</v>
      </c>
      <c r="D289" s="19" t="str">
        <f t="array" ref="D289">IFNA(_xlfn.XLOOKUP(C289,Table_Tarikan_Warkah[Nomor Sertipikat],Table_Tarikan_Warkah[Nomor Tiket]),"")</f>
        <v>K/63/221024/3</v>
      </c>
      <c r="E289" s="20">
        <f t="array" ref="E289">IFNA(_xlfn.XLOOKUP(C289,Table_Tarikan_Warkah[Nomor Sertipikat],Table_Tarikan_Warkah[Tanggal diserahkan kepada Validator]),"")</f>
        <v>45600.47429</v>
      </c>
      <c r="F289" s="20" t="str">
        <f t="array" ref="F289">IFNA(_xlfn.XLOOKUP(C289,Table_Tarikan_Warkah[Nomor Sertipikat],Table_Tarikan_Warkah[Nama Petugas Warkah]),"")</f>
        <v>Sahelia</v>
      </c>
      <c r="G289" s="21" t="str">
        <f t="array" ref="G289">IFNA(_xlfn.XLOOKUP(C289,Table_Tarikan_Warkah[Nomor Sertipikat],Table_Tarikan_Warkah[Jenis Permohonan]),"")</f>
        <v>BN Jual Beli</v>
      </c>
      <c r="H289" s="22" t="s">
        <v>37</v>
      </c>
      <c r="I289" s="22" t="s">
        <v>32</v>
      </c>
      <c r="J289" s="20">
        <f t="shared" si="29"/>
        <v>45595.41777</v>
      </c>
      <c r="K289" s="22" t="s">
        <v>33</v>
      </c>
      <c r="L289" s="22" t="s">
        <v>187</v>
      </c>
      <c r="M289" s="20">
        <f t="shared" si="30"/>
        <v>45596.5557</v>
      </c>
      <c r="N289" s="8" t="str">
        <f t="shared" si="3"/>
        <v>Selesai</v>
      </c>
      <c r="O289" s="23">
        <f t="shared" si="22"/>
        <v>45596.5557</v>
      </c>
      <c r="P289" s="24" t="b">
        <v>1</v>
      </c>
      <c r="Q289" s="20">
        <f t="shared" si="5"/>
        <v>45596.55582</v>
      </c>
      <c r="R289" s="24" t="b">
        <v>0</v>
      </c>
      <c r="S289" s="7" t="str">
        <f t="shared" si="6"/>
        <v/>
      </c>
      <c r="T289" s="7"/>
    </row>
    <row r="290" ht="22.5" hidden="1" customHeight="1">
      <c r="B290" s="7">
        <f t="shared" si="7"/>
        <v>284</v>
      </c>
      <c r="C290" s="18" t="s">
        <v>321</v>
      </c>
      <c r="D290" s="19" t="str">
        <f t="array" ref="D290">IFNA(_xlfn.XLOOKUP(C290,Table_Tarikan_Warkah[Nomor Sertipikat],Table_Tarikan_Warkah[Nomor Tiket]),"")</f>
        <v>K/11/211024/2</v>
      </c>
      <c r="E290" s="20">
        <f t="array" ref="E290">IFNA(_xlfn.XLOOKUP(C290,Table_Tarikan_Warkah[Nomor Sertipikat],Table_Tarikan_Warkah[Tanggal diserahkan kepada Validator]),"")</f>
        <v>45601.42226</v>
      </c>
      <c r="F290" s="20" t="str">
        <f t="array" ref="F290">IFNA(_xlfn.XLOOKUP(C290,Table_Tarikan_Warkah[Nomor Sertipikat],Table_Tarikan_Warkah[Nama Petugas Warkah]),"")</f>
        <v>Sahelia</v>
      </c>
      <c r="G290" s="21" t="str">
        <f t="array" ref="G290">IFNA(_xlfn.XLOOKUP(C290,Table_Tarikan_Warkah[Nomor Sertipikat],Table_Tarikan_Warkah[Jenis Permohonan]),"")</f>
        <v>BN Jual Beli</v>
      </c>
      <c r="H290" s="22" t="s">
        <v>31</v>
      </c>
      <c r="I290" s="22" t="s">
        <v>32</v>
      </c>
      <c r="J290" s="20">
        <f t="shared" si="29"/>
        <v>45595.42329</v>
      </c>
      <c r="K290" s="22" t="s">
        <v>33</v>
      </c>
      <c r="L290" s="22" t="s">
        <v>187</v>
      </c>
      <c r="M290" s="20">
        <f t="shared" si="30"/>
        <v>45595.42341</v>
      </c>
      <c r="N290" s="8" t="str">
        <f t="shared" si="3"/>
        <v>Selesai</v>
      </c>
      <c r="O290" s="23">
        <f t="shared" si="22"/>
        <v>45595.42341</v>
      </c>
      <c r="P290" s="24" t="b">
        <v>1</v>
      </c>
      <c r="Q290" s="20">
        <f t="shared" si="5"/>
        <v>45595.42345</v>
      </c>
      <c r="R290" s="24" t="b">
        <v>0</v>
      </c>
      <c r="S290" s="7" t="str">
        <f t="shared" si="6"/>
        <v/>
      </c>
      <c r="T290" s="7"/>
    </row>
    <row r="291" ht="22.5" hidden="1" customHeight="1">
      <c r="B291" s="7">
        <f t="shared" si="7"/>
        <v>285</v>
      </c>
      <c r="C291" s="18" t="s">
        <v>322</v>
      </c>
      <c r="D291" s="19" t="str">
        <f t="array" ref="D291">IFNA(_xlfn.XLOOKUP(C291,Table_Tarikan_Warkah[Nomor Sertipikat],Table_Tarikan_Warkah[Nomor Tiket]),"")</f>
        <v>K/33/221024/1</v>
      </c>
      <c r="E291" s="20">
        <f t="array" ref="E291">IFNA(_xlfn.XLOOKUP(C291,Table_Tarikan_Warkah[Nomor Sertipikat],Table_Tarikan_Warkah[Tanggal diserahkan kepada Validator]),"")</f>
        <v>45600.47311</v>
      </c>
      <c r="F291" s="20" t="str">
        <f t="array" ref="F291">IFNA(_xlfn.XLOOKUP(C291,Table_Tarikan_Warkah[Nomor Sertipikat],Table_Tarikan_Warkah[Nama Petugas Warkah]),"")</f>
        <v>Sahelia</v>
      </c>
      <c r="G291" s="21" t="str">
        <f t="array" ref="G291">IFNA(_xlfn.XLOOKUP(C291,Table_Tarikan_Warkah[Nomor Sertipikat],Table_Tarikan_Warkah[Jenis Permohonan]),"")</f>
        <v>BN Jual Beli</v>
      </c>
      <c r="H291" s="22" t="s">
        <v>37</v>
      </c>
      <c r="I291" s="22" t="s">
        <v>32</v>
      </c>
      <c r="J291" s="20">
        <f t="shared" si="29"/>
        <v>45595.58836</v>
      </c>
      <c r="K291" s="27" t="s">
        <v>33</v>
      </c>
      <c r="L291" s="27" t="s">
        <v>187</v>
      </c>
      <c r="M291" s="20">
        <f t="shared" si="30"/>
        <v>45597.57549</v>
      </c>
      <c r="N291" s="8" t="str">
        <f t="shared" si="3"/>
        <v>Selesai</v>
      </c>
      <c r="O291" s="23">
        <f t="shared" si="22"/>
        <v>45597.57549</v>
      </c>
      <c r="P291" s="24" t="b">
        <v>1</v>
      </c>
      <c r="Q291" s="20">
        <f t="shared" si="5"/>
        <v>45597.57575</v>
      </c>
      <c r="R291" s="24" t="b">
        <v>0</v>
      </c>
      <c r="S291" s="7" t="str">
        <f t="shared" si="6"/>
        <v/>
      </c>
      <c r="T291" s="7"/>
    </row>
    <row r="292" ht="22.5" hidden="1" customHeight="1">
      <c r="B292" s="7">
        <f t="shared" si="7"/>
        <v>286</v>
      </c>
      <c r="C292" s="18" t="s">
        <v>323</v>
      </c>
      <c r="D292" s="19" t="str">
        <f t="array" ref="D292">IFNA(_xlfn.XLOOKUP(C292,Table_Tarikan_Warkah[Nomor Sertipikat],Table_Tarikan_Warkah[Nomor Tiket]),"")</f>
        <v>K/54/241024/2</v>
      </c>
      <c r="E292" s="20">
        <f t="array" ref="E292">IFNA(_xlfn.XLOOKUP(C292,Table_Tarikan_Warkah[Nomor Sertipikat],Table_Tarikan_Warkah[Tanggal diserahkan kepada Validator]),"")</f>
        <v>45610.3598</v>
      </c>
      <c r="F292" s="20" t="str">
        <f t="array" ref="F292">IFNA(_xlfn.XLOOKUP(C292,Table_Tarikan_Warkah[Nomor Sertipikat],Table_Tarikan_Warkah[Nama Petugas Warkah]),"")</f>
        <v>Alfiansyah</v>
      </c>
      <c r="G292" s="21" t="str">
        <f t="array" ref="G292">IFNA(_xlfn.XLOOKUP(C292,Table_Tarikan_Warkah[Nomor Sertipikat],Table_Tarikan_Warkah[Jenis Permohonan]),"")</f>
        <v>BN Jual Beli</v>
      </c>
      <c r="H292" s="22" t="s">
        <v>37</v>
      </c>
      <c r="I292" s="22" t="s">
        <v>32</v>
      </c>
      <c r="J292" s="20">
        <f t="shared" si="29"/>
        <v>45595.58849</v>
      </c>
      <c r="K292" s="27" t="s">
        <v>33</v>
      </c>
      <c r="L292" s="27" t="s">
        <v>187</v>
      </c>
      <c r="M292" s="20">
        <f t="shared" si="30"/>
        <v>45597.57551</v>
      </c>
      <c r="N292" s="8" t="str">
        <f t="shared" si="3"/>
        <v>Selesai</v>
      </c>
      <c r="O292" s="23">
        <f t="shared" si="22"/>
        <v>45597.57551</v>
      </c>
      <c r="P292" s="24" t="b">
        <v>1</v>
      </c>
      <c r="Q292" s="20">
        <f t="shared" si="5"/>
        <v>45597.57576</v>
      </c>
      <c r="R292" s="24" t="b">
        <v>1</v>
      </c>
      <c r="S292" s="20">
        <f t="shared" si="6"/>
        <v>45610.40583</v>
      </c>
      <c r="T292" s="7"/>
    </row>
    <row r="293" ht="22.5" hidden="1" customHeight="1">
      <c r="B293" s="7">
        <f t="shared" si="7"/>
        <v>287</v>
      </c>
      <c r="C293" s="18" t="s">
        <v>324</v>
      </c>
      <c r="D293" s="19" t="str">
        <f t="array" ref="D293">IFNA(_xlfn.XLOOKUP(C293,Table_Tarikan_Warkah[Nomor Sertipikat],Table_Tarikan_Warkah[Nomor Tiket]),"")</f>
        <v>K/12/181024/1</v>
      </c>
      <c r="E293" s="20">
        <f t="array" ref="E293">IFNA(_xlfn.XLOOKUP(C293,Table_Tarikan_Warkah[Nomor Sertipikat],Table_Tarikan_Warkah[Tanggal diserahkan kepada Validator]),"")</f>
        <v>45600.47254</v>
      </c>
      <c r="F293" s="20" t="str">
        <f t="array" ref="F293">IFNA(_xlfn.XLOOKUP(C293,Table_Tarikan_Warkah[Nomor Sertipikat],Table_Tarikan_Warkah[Nama Petugas Warkah]),"")</f>
        <v>Sahelia</v>
      </c>
      <c r="G293" s="21" t="str">
        <f t="array" ref="G293">IFNA(_xlfn.XLOOKUP(C293,Table_Tarikan_Warkah[Nomor Sertipikat],Table_Tarikan_Warkah[Jenis Permohonan]),"")</f>
        <v>BN Jual Beli</v>
      </c>
      <c r="H293" s="22" t="s">
        <v>37</v>
      </c>
      <c r="I293" s="22" t="s">
        <v>32</v>
      </c>
      <c r="J293" s="20">
        <f t="shared" si="29"/>
        <v>45595.58876</v>
      </c>
      <c r="K293" s="27" t="s">
        <v>33</v>
      </c>
      <c r="L293" s="27" t="s">
        <v>187</v>
      </c>
      <c r="M293" s="20">
        <f t="shared" si="30"/>
        <v>45597.57554</v>
      </c>
      <c r="N293" s="8" t="str">
        <f t="shared" si="3"/>
        <v>Selesai</v>
      </c>
      <c r="O293" s="23">
        <f t="shared" si="22"/>
        <v>45597.57554</v>
      </c>
      <c r="P293" s="24" t="b">
        <v>1</v>
      </c>
      <c r="Q293" s="20">
        <f t="shared" si="5"/>
        <v>45597.57577</v>
      </c>
      <c r="R293" s="24" t="b">
        <v>0</v>
      </c>
      <c r="S293" s="7" t="str">
        <f t="shared" si="6"/>
        <v/>
      </c>
      <c r="T293" s="7"/>
    </row>
    <row r="294" ht="22.5" hidden="1" customHeight="1">
      <c r="B294" s="7">
        <f t="shared" si="7"/>
        <v>288</v>
      </c>
      <c r="C294" s="18" t="s">
        <v>325</v>
      </c>
      <c r="D294" s="19" t="str">
        <f t="array" ref="D294">IFNA(_xlfn.XLOOKUP(C294,Table_Tarikan_Warkah[Nomor Sertipikat],Table_Tarikan_Warkah[Nomor Tiket]),"")</f>
        <v>K/50/211024/1</v>
      </c>
      <c r="E294" s="20" t="str">
        <f t="array" ref="E294">IFNA(_xlfn.XLOOKUP(C294,Table_Tarikan_Warkah[Nomor Sertipikat],Table_Tarikan_Warkah[Tanggal diserahkan kepada Validator]),"")</f>
        <v/>
      </c>
      <c r="F294" s="20" t="str">
        <f t="array" ref="F294">IFNA(_xlfn.XLOOKUP(C294,Table_Tarikan_Warkah[Nomor Sertipikat],Table_Tarikan_Warkah[Nama Petugas Warkah]),"")</f>
        <v/>
      </c>
      <c r="G294" s="21" t="str">
        <f t="array" ref="G294">IFNA(_xlfn.XLOOKUP(C294,Table_Tarikan_Warkah[Nomor Sertipikat],Table_Tarikan_Warkah[Jenis Permohonan]),"")</f>
        <v>Roya</v>
      </c>
      <c r="H294" s="22" t="s">
        <v>37</v>
      </c>
      <c r="I294" s="22" t="s">
        <v>32</v>
      </c>
      <c r="J294" s="20">
        <f t="shared" si="29"/>
        <v>45595.58892</v>
      </c>
      <c r="K294" s="27" t="s">
        <v>33</v>
      </c>
      <c r="L294" s="27" t="s">
        <v>187</v>
      </c>
      <c r="M294" s="20">
        <f t="shared" si="30"/>
        <v>45597.57568</v>
      </c>
      <c r="N294" s="8" t="str">
        <f t="shared" si="3"/>
        <v>Selesai</v>
      </c>
      <c r="O294" s="23">
        <f t="shared" si="22"/>
        <v>45597.57568</v>
      </c>
      <c r="P294" s="24" t="b">
        <v>1</v>
      </c>
      <c r="Q294" s="20">
        <f t="shared" si="5"/>
        <v>45597.57578</v>
      </c>
      <c r="R294" s="24" t="b">
        <v>1</v>
      </c>
      <c r="S294" s="20">
        <f t="shared" si="6"/>
        <v>45609.47586</v>
      </c>
      <c r="T294" s="7"/>
    </row>
    <row r="295" ht="22.5" hidden="1" customHeight="1">
      <c r="B295" s="7">
        <f t="shared" si="7"/>
        <v>289</v>
      </c>
      <c r="C295" s="18" t="s">
        <v>326</v>
      </c>
      <c r="D295" s="19" t="str">
        <f t="array" ref="D295">IFNA(_xlfn.XLOOKUP(C295,Table_Tarikan_Warkah[Nomor Sertipikat],Table_Tarikan_Warkah[Nomor Tiket]),"")</f>
        <v>K/7/291024/2</v>
      </c>
      <c r="E295" s="20">
        <f t="array" ref="E295">IFNA(_xlfn.XLOOKUP(C295,Table_Tarikan_Warkah[Nomor Sertipikat],Table_Tarikan_Warkah[Tanggal diserahkan kepada Validator]),"")</f>
        <v>45595.45573</v>
      </c>
      <c r="F295" s="20" t="str">
        <f t="array" ref="F295">IFNA(_xlfn.XLOOKUP(C295,Table_Tarikan_Warkah[Nomor Sertipikat],Table_Tarikan_Warkah[Nama Petugas Warkah]),"")</f>
        <v>David</v>
      </c>
      <c r="G295" s="21" t="str">
        <f t="array" ref="G295">IFNA(_xlfn.XLOOKUP(C295,Table_Tarikan_Warkah[Nomor Sertipikat],Table_Tarikan_Warkah[Jenis Permohonan]),"")</f>
        <v>bn waris</v>
      </c>
      <c r="H295" s="22" t="s">
        <v>31</v>
      </c>
      <c r="I295" s="22" t="s">
        <v>32</v>
      </c>
      <c r="J295" s="20">
        <f t="shared" si="29"/>
        <v>45595.66797</v>
      </c>
      <c r="K295" s="22" t="s">
        <v>65</v>
      </c>
      <c r="L295" s="22" t="s">
        <v>32</v>
      </c>
      <c r="M295" s="20">
        <f t="shared" si="30"/>
        <v>45596.55743</v>
      </c>
      <c r="N295" s="8" t="str">
        <f t="shared" si="3"/>
        <v>SELESAI</v>
      </c>
      <c r="O295" s="23">
        <f t="shared" si="22"/>
        <v>45596.55743</v>
      </c>
      <c r="P295" s="24" t="b">
        <v>0</v>
      </c>
      <c r="Q295" s="20" t="str">
        <f t="shared" si="5"/>
        <v/>
      </c>
      <c r="R295" s="24" t="b">
        <v>1</v>
      </c>
      <c r="S295" s="20">
        <f t="shared" si="6"/>
        <v>45596.55749</v>
      </c>
      <c r="T295" s="7"/>
    </row>
    <row r="296" ht="22.5" hidden="1" customHeight="1">
      <c r="B296" s="7">
        <f t="shared" si="7"/>
        <v>290</v>
      </c>
      <c r="C296" s="18" t="s">
        <v>327</v>
      </c>
      <c r="D296" s="19" t="str">
        <f t="array" ref="D296">IFNA(_xlfn.XLOOKUP(C296,Table_Tarikan_Warkah[Nomor Sertipikat],Table_Tarikan_Warkah[Nomor Tiket]),"")</f>
        <v>K/13/291024/1</v>
      </c>
      <c r="E296" s="20">
        <f t="array" ref="E296">IFNA(_xlfn.XLOOKUP(C296,Table_Tarikan_Warkah[Nomor Sertipikat],Table_Tarikan_Warkah[Tanggal diserahkan kepada Validator]),"")</f>
        <v>45595.45694</v>
      </c>
      <c r="F296" s="20" t="str">
        <f t="array" ref="F296">IFNA(_xlfn.XLOOKUP(C296,Table_Tarikan_Warkah[Nomor Sertipikat],Table_Tarikan_Warkah[Nama Petugas Warkah]),"")</f>
        <v>David</v>
      </c>
      <c r="G296" s="21" t="str">
        <f t="array" ref="G296">IFNA(_xlfn.XLOOKUP(C296,Table_Tarikan_Warkah[Nomor Sertipikat],Table_Tarikan_Warkah[Jenis Permohonan]),"")</f>
        <v>BN JUAL BELI</v>
      </c>
      <c r="H296" s="22" t="s">
        <v>31</v>
      </c>
      <c r="I296" s="22" t="s">
        <v>32</v>
      </c>
      <c r="J296" s="20">
        <f t="shared" si="29"/>
        <v>45595.66816</v>
      </c>
      <c r="K296" s="22" t="s">
        <v>65</v>
      </c>
      <c r="L296" s="22" t="s">
        <v>32</v>
      </c>
      <c r="M296" s="20">
        <f t="shared" si="30"/>
        <v>45596.55744</v>
      </c>
      <c r="N296" s="8" t="str">
        <f t="shared" si="3"/>
        <v>SELESAI</v>
      </c>
      <c r="O296" s="23">
        <f t="shared" si="22"/>
        <v>45596.55744</v>
      </c>
      <c r="P296" s="24" t="b">
        <v>0</v>
      </c>
      <c r="Q296" s="20" t="str">
        <f t="shared" si="5"/>
        <v/>
      </c>
      <c r="R296" s="24" t="b">
        <v>1</v>
      </c>
      <c r="S296" s="20">
        <f t="shared" si="6"/>
        <v>45596.55748</v>
      </c>
      <c r="T296" s="7"/>
    </row>
    <row r="297" ht="22.5" hidden="1" customHeight="1">
      <c r="B297" s="7">
        <f t="shared" si="7"/>
        <v>291</v>
      </c>
      <c r="C297" s="18" t="s">
        <v>328</v>
      </c>
      <c r="D297" s="19" t="str">
        <f t="array" ref="D297">IFNA(_xlfn.XLOOKUP(C297,Table_Tarikan_Warkah[Nomor Sertipikat],Table_Tarikan_Warkah[Nomor Tiket]),"")</f>
        <v>K/15/291024/1</v>
      </c>
      <c r="E297" s="20">
        <f t="array" ref="E297">IFNA(_xlfn.XLOOKUP(C297,Table_Tarikan_Warkah[Nomor Sertipikat],Table_Tarikan_Warkah[Tanggal diserahkan kepada Validator]),"")</f>
        <v>45595.45725</v>
      </c>
      <c r="F297" s="20" t="str">
        <f t="array" ref="F297">IFNA(_xlfn.XLOOKUP(C297,Table_Tarikan_Warkah[Nomor Sertipikat],Table_Tarikan_Warkah[Nama Petugas Warkah]),"")</f>
        <v>David</v>
      </c>
      <c r="G297" s="21" t="str">
        <f t="array" ref="G297">IFNA(_xlfn.XLOOKUP(C297,Table_Tarikan_Warkah[Nomor Sertipikat],Table_Tarikan_Warkah[Jenis Permohonan]),"")</f>
        <v>BN Jual Beli</v>
      </c>
      <c r="H297" s="22" t="s">
        <v>31</v>
      </c>
      <c r="I297" s="22" t="s">
        <v>32</v>
      </c>
      <c r="J297" s="20">
        <f t="shared" si="29"/>
        <v>45595.66843</v>
      </c>
      <c r="K297" s="22" t="s">
        <v>65</v>
      </c>
      <c r="L297" s="22" t="s">
        <v>32</v>
      </c>
      <c r="M297" s="20">
        <f t="shared" si="30"/>
        <v>45596.55684</v>
      </c>
      <c r="N297" s="8" t="str">
        <f t="shared" si="3"/>
        <v>SELESAI</v>
      </c>
      <c r="O297" s="23">
        <f t="shared" si="22"/>
        <v>45596.55684</v>
      </c>
      <c r="P297" s="24" t="b">
        <v>0</v>
      </c>
      <c r="Q297" s="20" t="str">
        <f t="shared" si="5"/>
        <v/>
      </c>
      <c r="R297" s="24" t="b">
        <v>1</v>
      </c>
      <c r="S297" s="20">
        <f t="shared" si="6"/>
        <v>45596.55735</v>
      </c>
      <c r="T297" s="7"/>
    </row>
    <row r="298" ht="22.5" hidden="1" customHeight="1">
      <c r="B298" s="7">
        <f t="shared" si="7"/>
        <v>292</v>
      </c>
      <c r="C298" s="18" t="s">
        <v>329</v>
      </c>
      <c r="D298" s="19" t="str">
        <f t="array" ref="D298">IFNA(_xlfn.XLOOKUP(C298,Table_Tarikan_Warkah[Nomor Sertipikat],Table_Tarikan_Warkah[Nomor Tiket]),"")</f>
        <v>L/23/291024/1</v>
      </c>
      <c r="E298" s="20">
        <f t="array" ref="E298">IFNA(_xlfn.XLOOKUP(C298,Table_Tarikan_Warkah[Nomor Sertipikat],Table_Tarikan_Warkah[Tanggal diserahkan kepada Validator]),"")</f>
        <v>45595.45843</v>
      </c>
      <c r="F298" s="20" t="str">
        <f t="array" ref="F298">IFNA(_xlfn.XLOOKUP(C298,Table_Tarikan_Warkah[Nomor Sertipikat],Table_Tarikan_Warkah[Nama Petugas Warkah]),"")</f>
        <v>David</v>
      </c>
      <c r="G298" s="21" t="str">
        <f t="array" ref="G298">IFNA(_xlfn.XLOOKUP(C298,Table_Tarikan_Warkah[Nomor Sertipikat],Table_Tarikan_Warkah[Jenis Permohonan]),"")</f>
        <v>ROYA</v>
      </c>
      <c r="H298" s="22" t="s">
        <v>31</v>
      </c>
      <c r="I298" s="22" t="s">
        <v>32</v>
      </c>
      <c r="J298" s="20">
        <f t="shared" si="29"/>
        <v>45595.66858</v>
      </c>
      <c r="K298" s="22" t="s">
        <v>65</v>
      </c>
      <c r="L298" s="22" t="s">
        <v>32</v>
      </c>
      <c r="M298" s="20">
        <f t="shared" si="30"/>
        <v>45596.55688</v>
      </c>
      <c r="N298" s="8" t="str">
        <f t="shared" si="3"/>
        <v>SELESAI</v>
      </c>
      <c r="O298" s="23">
        <f t="shared" si="22"/>
        <v>45596.55688</v>
      </c>
      <c r="P298" s="24" t="b">
        <v>0</v>
      </c>
      <c r="Q298" s="20" t="str">
        <f t="shared" si="5"/>
        <v/>
      </c>
      <c r="R298" s="24" t="b">
        <v>1</v>
      </c>
      <c r="S298" s="20">
        <f t="shared" si="6"/>
        <v>45596.55734</v>
      </c>
      <c r="T298" s="7"/>
    </row>
    <row r="299" ht="22.5" hidden="1" customHeight="1">
      <c r="B299" s="7">
        <f t="shared" si="7"/>
        <v>293</v>
      </c>
      <c r="C299" s="18" t="s">
        <v>330</v>
      </c>
      <c r="D299" s="19" t="str">
        <f t="array" ref="D299">IFNA(_xlfn.XLOOKUP(C299,Table_Tarikan_Warkah[Nomor Sertipikat],Table_Tarikan_Warkah[Nomor Tiket]),"")</f>
        <v>K/18/291024/1</v>
      </c>
      <c r="E299" s="20">
        <f t="array" ref="E299">IFNA(_xlfn.XLOOKUP(C299,Table_Tarikan_Warkah[Nomor Sertipikat],Table_Tarikan_Warkah[Tanggal diserahkan kepada Validator]),"")</f>
        <v>45595.45794</v>
      </c>
      <c r="F299" s="20" t="str">
        <f t="array" ref="F299">IFNA(_xlfn.XLOOKUP(C299,Table_Tarikan_Warkah[Nomor Sertipikat],Table_Tarikan_Warkah[Nama Petugas Warkah]),"")</f>
        <v>David</v>
      </c>
      <c r="G299" s="21" t="str">
        <f t="array" ref="G299">IFNA(_xlfn.XLOOKUP(C299,Table_Tarikan_Warkah[Nomor Sertipikat],Table_Tarikan_Warkah[Jenis Permohonan]),"")</f>
        <v>BN JUAL BELI</v>
      </c>
      <c r="H299" s="22" t="s">
        <v>31</v>
      </c>
      <c r="I299" s="22" t="s">
        <v>32</v>
      </c>
      <c r="J299" s="20">
        <f t="shared" si="29"/>
        <v>45595.6687</v>
      </c>
      <c r="K299" s="22" t="s">
        <v>65</v>
      </c>
      <c r="L299" s="22" t="s">
        <v>32</v>
      </c>
      <c r="M299" s="20">
        <f t="shared" si="30"/>
        <v>45596.5569</v>
      </c>
      <c r="N299" s="8" t="str">
        <f t="shared" si="3"/>
        <v>SELESAI</v>
      </c>
      <c r="O299" s="23">
        <f t="shared" si="22"/>
        <v>45596.5569</v>
      </c>
      <c r="P299" s="24" t="b">
        <v>0</v>
      </c>
      <c r="Q299" s="20" t="str">
        <f t="shared" si="5"/>
        <v/>
      </c>
      <c r="R299" s="24" t="b">
        <v>1</v>
      </c>
      <c r="S299" s="20">
        <f t="shared" si="6"/>
        <v>45596.55733</v>
      </c>
      <c r="T299" s="7"/>
    </row>
    <row r="300" ht="22.5" hidden="1" customHeight="1">
      <c r="B300" s="7">
        <f t="shared" si="7"/>
        <v>294</v>
      </c>
      <c r="C300" s="18" t="s">
        <v>331</v>
      </c>
      <c r="D300" s="19" t="str">
        <f t="array" ref="D300">IFNA(_xlfn.XLOOKUP(C300,Table_Tarikan_Warkah[Nomor Sertipikat],Table_Tarikan_Warkah[Nomor Tiket]),"")</f>
        <v>K/9/291024/2</v>
      </c>
      <c r="E300" s="20">
        <f t="array" ref="E300">IFNA(_xlfn.XLOOKUP(C300,Table_Tarikan_Warkah[Nomor Sertipikat],Table_Tarikan_Warkah[Tanggal diserahkan kepada Validator]),"")</f>
        <v>45595.45628</v>
      </c>
      <c r="F300" s="20" t="str">
        <f t="array" ref="F300">IFNA(_xlfn.XLOOKUP(C300,Table_Tarikan_Warkah[Nomor Sertipikat],Table_Tarikan_Warkah[Nama Petugas Warkah]),"")</f>
        <v>David</v>
      </c>
      <c r="G300" s="21" t="str">
        <f t="array" ref="G300">IFNA(_xlfn.XLOOKUP(C300,Table_Tarikan_Warkah[Nomor Sertipikat],Table_Tarikan_Warkah[Jenis Permohonan]),"")</f>
        <v>ROYA</v>
      </c>
      <c r="H300" s="22" t="s">
        <v>31</v>
      </c>
      <c r="I300" s="22" t="s">
        <v>32</v>
      </c>
      <c r="J300" s="20">
        <f t="shared" si="29"/>
        <v>45595.66885</v>
      </c>
      <c r="K300" s="22" t="s">
        <v>65</v>
      </c>
      <c r="L300" s="22" t="s">
        <v>32</v>
      </c>
      <c r="M300" s="20">
        <f t="shared" si="30"/>
        <v>45596.55692</v>
      </c>
      <c r="N300" s="8" t="str">
        <f t="shared" si="3"/>
        <v>SELESAI</v>
      </c>
      <c r="O300" s="23">
        <f t="shared" si="22"/>
        <v>45596.55692</v>
      </c>
      <c r="P300" s="24" t="b">
        <v>0</v>
      </c>
      <c r="Q300" s="20" t="str">
        <f t="shared" si="5"/>
        <v/>
      </c>
      <c r="R300" s="24" t="b">
        <v>1</v>
      </c>
      <c r="S300" s="20">
        <f t="shared" si="6"/>
        <v>45596.55732</v>
      </c>
      <c r="T300" s="7"/>
    </row>
    <row r="301" ht="22.5" hidden="1" customHeight="1">
      <c r="B301" s="7">
        <f t="shared" si="7"/>
        <v>295</v>
      </c>
      <c r="C301" s="18" t="s">
        <v>332</v>
      </c>
      <c r="D301" s="19" t="str">
        <f t="array" ref="D301">IFNA(_xlfn.XLOOKUP(C301,Table_Tarikan_Warkah[Nomor Sertipikat],Table_Tarikan_Warkah[Nomor Tiket]),"")</f>
        <v>K/5/291024/1</v>
      </c>
      <c r="E301" s="20">
        <f t="array" ref="E301">IFNA(_xlfn.XLOOKUP(C301,Table_Tarikan_Warkah[Nomor Sertipikat],Table_Tarikan_Warkah[Tanggal diserahkan kepada Validator]),"")</f>
        <v>45595.45514</v>
      </c>
      <c r="F301" s="20" t="str">
        <f t="array" ref="F301">IFNA(_xlfn.XLOOKUP(C301,Table_Tarikan_Warkah[Nomor Sertipikat],Table_Tarikan_Warkah[Nama Petugas Warkah]),"")</f>
        <v>David</v>
      </c>
      <c r="G301" s="21" t="str">
        <f t="array" ref="G301">IFNA(_xlfn.XLOOKUP(C301,Table_Tarikan_Warkah[Nomor Sertipikat],Table_Tarikan_Warkah[Jenis Permohonan]),"")</f>
        <v>BN JUAL BELI</v>
      </c>
      <c r="H301" s="22" t="s">
        <v>31</v>
      </c>
      <c r="I301" s="22" t="s">
        <v>32</v>
      </c>
      <c r="J301" s="20">
        <f t="shared" si="29"/>
        <v>45595.66899</v>
      </c>
      <c r="K301" s="22" t="s">
        <v>65</v>
      </c>
      <c r="L301" s="22" t="s">
        <v>32</v>
      </c>
      <c r="M301" s="20">
        <f t="shared" si="30"/>
        <v>45596.55694</v>
      </c>
      <c r="N301" s="8" t="str">
        <f t="shared" si="3"/>
        <v>SELESAI</v>
      </c>
      <c r="O301" s="23">
        <f t="shared" si="22"/>
        <v>45596.55694</v>
      </c>
      <c r="P301" s="24" t="b">
        <v>0</v>
      </c>
      <c r="Q301" s="20" t="str">
        <f t="shared" si="5"/>
        <v/>
      </c>
      <c r="R301" s="24" t="b">
        <v>1</v>
      </c>
      <c r="S301" s="20">
        <f t="shared" si="6"/>
        <v>45596.5573</v>
      </c>
      <c r="T301" s="7"/>
    </row>
    <row r="302" ht="22.5" hidden="1" customHeight="1">
      <c r="B302" s="7">
        <f t="shared" si="7"/>
        <v>296</v>
      </c>
      <c r="C302" s="18" t="s">
        <v>333</v>
      </c>
      <c r="D302" s="19" t="str">
        <f t="array" ref="D302">IFNA(_xlfn.XLOOKUP(C302,Table_Tarikan_Warkah[Nomor Sertipikat],Table_Tarikan_Warkah[Nomor Tiket]),"")</f>
        <v>K/4/291024/1</v>
      </c>
      <c r="E302" s="20">
        <f t="array" ref="E302">IFNA(_xlfn.XLOOKUP(C302,Table_Tarikan_Warkah[Nomor Sertipikat],Table_Tarikan_Warkah[Tanggal diserahkan kepada Validator]),"")</f>
        <v>45595.45469</v>
      </c>
      <c r="F302" s="20" t="str">
        <f t="array" ref="F302">IFNA(_xlfn.XLOOKUP(C302,Table_Tarikan_Warkah[Nomor Sertipikat],Table_Tarikan_Warkah[Nama Petugas Warkah]),"")</f>
        <v>David</v>
      </c>
      <c r="G302" s="21" t="str">
        <f t="array" ref="G302">IFNA(_xlfn.XLOOKUP(C302,Table_Tarikan_Warkah[Nomor Sertipikat],Table_Tarikan_Warkah[Jenis Permohonan]),"")</f>
        <v>BN Jual Beli</v>
      </c>
      <c r="H302" s="22" t="s">
        <v>31</v>
      </c>
      <c r="I302" s="22" t="s">
        <v>32</v>
      </c>
      <c r="J302" s="20">
        <f t="shared" si="29"/>
        <v>45595.66914</v>
      </c>
      <c r="K302" s="22" t="s">
        <v>65</v>
      </c>
      <c r="L302" s="22" t="s">
        <v>32</v>
      </c>
      <c r="M302" s="20">
        <f t="shared" si="30"/>
        <v>45596.5571</v>
      </c>
      <c r="N302" s="8" t="str">
        <f t="shared" si="3"/>
        <v>SELESAI</v>
      </c>
      <c r="O302" s="23">
        <f t="shared" si="22"/>
        <v>45596.5571</v>
      </c>
      <c r="P302" s="24" t="b">
        <v>0</v>
      </c>
      <c r="Q302" s="20" t="str">
        <f t="shared" si="5"/>
        <v/>
      </c>
      <c r="R302" s="24" t="b">
        <v>1</v>
      </c>
      <c r="S302" s="20">
        <f t="shared" si="6"/>
        <v>45596.55729</v>
      </c>
      <c r="T302" s="7"/>
    </row>
    <row r="303" ht="22.5" hidden="1" customHeight="1">
      <c r="B303" s="7">
        <f t="shared" si="7"/>
        <v>297</v>
      </c>
      <c r="C303" s="18" t="s">
        <v>334</v>
      </c>
      <c r="D303" s="19" t="str">
        <f t="array" ref="D303">IFNA(_xlfn.XLOOKUP(C303,Table_Tarikan_Warkah[Nomor Sertipikat],Table_Tarikan_Warkah[Nomor Tiket]),"")</f>
        <v>L/2/291024/1</v>
      </c>
      <c r="E303" s="20">
        <f t="array" ref="E303">IFNA(_xlfn.XLOOKUP(C303,Table_Tarikan_Warkah[Nomor Sertipikat],Table_Tarikan_Warkah[Tanggal diserahkan kepada Validator]),"")</f>
        <v>45595.45434</v>
      </c>
      <c r="F303" s="20" t="str">
        <f t="array" ref="F303">IFNA(_xlfn.XLOOKUP(C303,Table_Tarikan_Warkah[Nomor Sertipikat],Table_Tarikan_Warkah[Nama Petugas Warkah]),"")</f>
        <v>David</v>
      </c>
      <c r="G303" s="21" t="str">
        <f t="array" ref="G303">IFNA(_xlfn.XLOOKUP(C303,Table_Tarikan_Warkah[Nomor Sertipikat],Table_Tarikan_Warkah[Jenis Permohonan]),"")</f>
        <v>ROYA</v>
      </c>
      <c r="H303" s="22" t="s">
        <v>31</v>
      </c>
      <c r="I303" s="22" t="s">
        <v>32</v>
      </c>
      <c r="J303" s="20">
        <f t="shared" si="29"/>
        <v>45595.6693</v>
      </c>
      <c r="K303" s="22" t="s">
        <v>65</v>
      </c>
      <c r="L303" s="22" t="s">
        <v>32</v>
      </c>
      <c r="M303" s="20">
        <f t="shared" si="30"/>
        <v>45596.55713</v>
      </c>
      <c r="N303" s="8" t="str">
        <f t="shared" si="3"/>
        <v>SELESAI</v>
      </c>
      <c r="O303" s="23">
        <f t="shared" si="22"/>
        <v>45596.55713</v>
      </c>
      <c r="P303" s="24" t="b">
        <v>0</v>
      </c>
      <c r="Q303" s="20" t="str">
        <f t="shared" si="5"/>
        <v/>
      </c>
      <c r="R303" s="24" t="b">
        <v>1</v>
      </c>
      <c r="S303" s="20">
        <f t="shared" si="6"/>
        <v>45596.55728</v>
      </c>
      <c r="T303" s="7"/>
    </row>
    <row r="304" ht="22.5" hidden="1" customHeight="1">
      <c r="B304" s="7">
        <f t="shared" si="7"/>
        <v>298</v>
      </c>
      <c r="C304" s="18" t="s">
        <v>335</v>
      </c>
      <c r="D304" s="19" t="str">
        <f t="array" ref="D304">IFNA(_xlfn.XLOOKUP(C304,Table_Tarikan_Warkah[Nomor Sertipikat],Table_Tarikan_Warkah[Nomor Tiket]),"")</f>
        <v>K/44/281024/2</v>
      </c>
      <c r="E304" s="20">
        <f t="array" ref="E304">IFNA(_xlfn.XLOOKUP(C304,Table_Tarikan_Warkah[Nomor Sertipikat],Table_Tarikan_Warkah[Tanggal diserahkan kepada Validator]),"")</f>
        <v>45595.45381</v>
      </c>
      <c r="F304" s="20" t="str">
        <f t="array" ref="F304">IFNA(_xlfn.XLOOKUP(C304,Table_Tarikan_Warkah[Nomor Sertipikat],Table_Tarikan_Warkah[Nama Petugas Warkah]),"")</f>
        <v>David</v>
      </c>
      <c r="G304" s="21" t="str">
        <f t="array" ref="G304">IFNA(_xlfn.XLOOKUP(C304,Table_Tarikan_Warkah[Nomor Sertipikat],Table_Tarikan_Warkah[Jenis Permohonan]),"")</f>
        <v>BN JUAL BELI</v>
      </c>
      <c r="H304" s="22" t="s">
        <v>31</v>
      </c>
      <c r="I304" s="22" t="s">
        <v>32</v>
      </c>
      <c r="J304" s="20">
        <f t="shared" si="29"/>
        <v>45595.66948</v>
      </c>
      <c r="K304" s="22" t="s">
        <v>65</v>
      </c>
      <c r="L304" s="22" t="s">
        <v>32</v>
      </c>
      <c r="M304" s="20">
        <f t="shared" si="30"/>
        <v>45596.55716</v>
      </c>
      <c r="N304" s="8" t="str">
        <f t="shared" si="3"/>
        <v>SELESAI</v>
      </c>
      <c r="O304" s="23">
        <f t="shared" si="22"/>
        <v>45596.55716</v>
      </c>
      <c r="P304" s="24" t="b">
        <v>0</v>
      </c>
      <c r="Q304" s="20" t="str">
        <f t="shared" si="5"/>
        <v/>
      </c>
      <c r="R304" s="24" t="b">
        <v>1</v>
      </c>
      <c r="S304" s="20">
        <f t="shared" si="6"/>
        <v>45596.55728</v>
      </c>
      <c r="T304" s="7"/>
    </row>
    <row r="305" ht="22.5" hidden="1" customHeight="1">
      <c r="B305" s="7">
        <f t="shared" si="7"/>
        <v>299</v>
      </c>
      <c r="C305" s="18" t="s">
        <v>239</v>
      </c>
      <c r="D305" s="19" t="str">
        <f t="array" ref="D305">IFNA(_xlfn.XLOOKUP(C305,Table_Tarikan_Warkah[Nomor Sertipikat],Table_Tarikan_Warkah[Nomor Tiket]),"")</f>
        <v>K/51/211024/2</v>
      </c>
      <c r="E305" s="20">
        <f t="array" ref="E305">IFNA(_xlfn.XLOOKUP(C305,Table_Tarikan_Warkah[Nomor Sertipikat],Table_Tarikan_Warkah[Tanggal diserahkan kepada Validator]),"")</f>
        <v>45595.46414</v>
      </c>
      <c r="F305" s="20" t="str">
        <f t="array" ref="F305">IFNA(_xlfn.XLOOKUP(C305,Table_Tarikan_Warkah[Nomor Sertipikat],Table_Tarikan_Warkah[Nama Petugas Warkah]),"")</f>
        <v>Sahelia</v>
      </c>
      <c r="G305" s="21" t="str">
        <f t="array" ref="G305">IFNA(_xlfn.XLOOKUP(C305,Table_Tarikan_Warkah[Nomor Sertipikat],Table_Tarikan_Warkah[Jenis Permohonan]),"")</f>
        <v>BN Jual Beli</v>
      </c>
      <c r="H305" s="22" t="s">
        <v>31</v>
      </c>
      <c r="I305" s="22" t="s">
        <v>32</v>
      </c>
      <c r="J305" s="20">
        <f t="shared" si="29"/>
        <v>45595.66962</v>
      </c>
      <c r="K305" s="22" t="s">
        <v>65</v>
      </c>
      <c r="L305" s="22" t="s">
        <v>32</v>
      </c>
      <c r="M305" s="20">
        <f t="shared" si="30"/>
        <v>45596.55719</v>
      </c>
      <c r="N305" s="8" t="str">
        <f t="shared" si="3"/>
        <v>SELESAI</v>
      </c>
      <c r="O305" s="23">
        <f t="shared" si="22"/>
        <v>45596.55719</v>
      </c>
      <c r="P305" s="24" t="b">
        <v>0</v>
      </c>
      <c r="Q305" s="20" t="str">
        <f t="shared" si="5"/>
        <v/>
      </c>
      <c r="R305" s="24" t="b">
        <v>1</v>
      </c>
      <c r="S305" s="20">
        <f t="shared" si="6"/>
        <v>45596.55727</v>
      </c>
      <c r="T305" s="7"/>
    </row>
    <row r="306" ht="22.5" hidden="1" customHeight="1">
      <c r="B306" s="7">
        <f t="shared" si="7"/>
        <v>300</v>
      </c>
      <c r="C306" s="18" t="s">
        <v>336</v>
      </c>
      <c r="D306" s="19" t="str">
        <f t="array" ref="D306">IFNA(_xlfn.XLOOKUP(C306,Table_Tarikan_Warkah[Nomor Sertipikat],Table_Tarikan_Warkah[Nomor Tiket]),"")</f>
        <v>K/44/211024/1</v>
      </c>
      <c r="E306" s="20">
        <f t="array" ref="E306">IFNA(_xlfn.XLOOKUP(C306,Table_Tarikan_Warkah[Nomor Sertipikat],Table_Tarikan_Warkah[Tanggal diserahkan kepada Validator]),"")</f>
        <v>45600.47221</v>
      </c>
      <c r="F306" s="20" t="str">
        <f t="array" ref="F306">IFNA(_xlfn.XLOOKUP(C306,Table_Tarikan_Warkah[Nomor Sertipikat],Table_Tarikan_Warkah[Nama Petugas Warkah]),"")</f>
        <v>Sahelia</v>
      </c>
      <c r="G306" s="21" t="str">
        <f t="array" ref="G306">IFNA(_xlfn.XLOOKUP(C306,Table_Tarikan_Warkah[Nomor Sertipikat],Table_Tarikan_Warkah[Jenis Permohonan]),"")</f>
        <v>BN Jual Beli</v>
      </c>
      <c r="H306" s="22" t="s">
        <v>31</v>
      </c>
      <c r="I306" s="22" t="s">
        <v>32</v>
      </c>
      <c r="J306" s="20">
        <f t="shared" si="29"/>
        <v>45595.6699</v>
      </c>
      <c r="K306" s="22" t="s">
        <v>65</v>
      </c>
      <c r="L306" s="22" t="s">
        <v>187</v>
      </c>
      <c r="M306" s="20">
        <f t="shared" si="30"/>
        <v>45596.5543</v>
      </c>
      <c r="N306" s="8" t="str">
        <f t="shared" si="3"/>
        <v>Selesai</v>
      </c>
      <c r="O306" s="23">
        <f t="shared" si="22"/>
        <v>45596.5543</v>
      </c>
      <c r="P306" s="24" t="b">
        <v>1</v>
      </c>
      <c r="Q306" s="20">
        <f t="shared" si="5"/>
        <v>45597.57588</v>
      </c>
      <c r="R306" s="24" t="b">
        <v>0</v>
      </c>
      <c r="S306" s="7" t="str">
        <f t="shared" si="6"/>
        <v/>
      </c>
      <c r="T306" s="7"/>
    </row>
    <row r="307" ht="22.5" hidden="1" customHeight="1">
      <c r="B307" s="7">
        <f t="shared" si="7"/>
        <v>301</v>
      </c>
      <c r="C307" s="18" t="s">
        <v>337</v>
      </c>
      <c r="D307" s="19" t="str">
        <f t="array" ref="D307">IFNA(_xlfn.XLOOKUP(C307,Table_Tarikan_Warkah[Nomor Sertipikat],Table_Tarikan_Warkah[Nomor Tiket]),"")</f>
        <v>K/46/211024/2</v>
      </c>
      <c r="E307" s="20">
        <f t="array" ref="E307">IFNA(_xlfn.XLOOKUP(C307,Table_Tarikan_Warkah[Nomor Sertipikat],Table_Tarikan_Warkah[Tanggal diserahkan kepada Validator]),"")</f>
        <v>45603.64757</v>
      </c>
      <c r="F307" s="20" t="str">
        <f t="array" ref="F307">IFNA(_xlfn.XLOOKUP(C307,Table_Tarikan_Warkah[Nomor Sertipikat],Table_Tarikan_Warkah[Nama Petugas Warkah]),"")</f>
        <v>Sahelia</v>
      </c>
      <c r="G307" s="21" t="str">
        <f t="array" ref="G307">IFNA(_xlfn.XLOOKUP(C307,Table_Tarikan_Warkah[Nomor Sertipikat],Table_Tarikan_Warkah[Jenis Permohonan]),"")</f>
        <v>Roya</v>
      </c>
      <c r="H307" s="22" t="s">
        <v>31</v>
      </c>
      <c r="I307" s="22" t="s">
        <v>32</v>
      </c>
      <c r="J307" s="20">
        <f t="shared" si="29"/>
        <v>45595.67007</v>
      </c>
      <c r="K307" s="22" t="s">
        <v>65</v>
      </c>
      <c r="L307" s="22" t="s">
        <v>187</v>
      </c>
      <c r="M307" s="20">
        <f t="shared" si="30"/>
        <v>45596.55434</v>
      </c>
      <c r="N307" s="8" t="str">
        <f t="shared" si="3"/>
        <v>Selesai</v>
      </c>
      <c r="O307" s="23">
        <f t="shared" si="22"/>
        <v>45596.55434</v>
      </c>
      <c r="P307" s="24" t="b">
        <v>1</v>
      </c>
      <c r="Q307" s="20">
        <f t="shared" si="5"/>
        <v>45597.57589</v>
      </c>
      <c r="R307" s="24" t="b">
        <v>0</v>
      </c>
      <c r="S307" s="7" t="str">
        <f t="shared" si="6"/>
        <v/>
      </c>
      <c r="T307" s="7"/>
    </row>
    <row r="308" ht="22.5" hidden="1" customHeight="1">
      <c r="B308" s="7">
        <f t="shared" si="7"/>
        <v>302</v>
      </c>
      <c r="C308" s="18" t="s">
        <v>338</v>
      </c>
      <c r="D308" s="19" t="str">
        <f t="array" ref="D308">IFNA(_xlfn.XLOOKUP(C308,Table_Tarikan_Warkah[Nomor Sertipikat],Table_Tarikan_Warkah[Nomor Tiket]),"")</f>
        <v>K/1/211024/1</v>
      </c>
      <c r="E308" s="20" t="str">
        <f t="array" ref="E308">IFNA(_xlfn.XLOOKUP(C308,Table_Tarikan_Warkah[Nomor Sertipikat],Table_Tarikan_Warkah[Tanggal diserahkan kepada Validator]),"")</f>
        <v/>
      </c>
      <c r="F308" s="20" t="str">
        <f t="array" ref="F308">IFNA(_xlfn.XLOOKUP(C308,Table_Tarikan_Warkah[Nomor Sertipikat],Table_Tarikan_Warkah[Nama Petugas Warkah]),"")</f>
        <v>Berry</v>
      </c>
      <c r="G308" s="21" t="str">
        <f t="array" ref="G308">IFNA(_xlfn.XLOOKUP(C308,Table_Tarikan_Warkah[Nomor Sertipikat],Table_Tarikan_Warkah[Jenis Permohonan]),"")</f>
        <v>Perubahan Hak</v>
      </c>
      <c r="H308" s="22" t="s">
        <v>31</v>
      </c>
      <c r="I308" s="22" t="s">
        <v>32</v>
      </c>
      <c r="J308" s="20">
        <f t="shared" si="29"/>
        <v>45595.67033</v>
      </c>
      <c r="K308" s="22" t="s">
        <v>65</v>
      </c>
      <c r="L308" s="22" t="s">
        <v>187</v>
      </c>
      <c r="M308" s="20">
        <f t="shared" si="30"/>
        <v>45596.55442</v>
      </c>
      <c r="N308" s="8" t="str">
        <f t="shared" si="3"/>
        <v>Selesai</v>
      </c>
      <c r="O308" s="23">
        <f t="shared" si="22"/>
        <v>45596.55442</v>
      </c>
      <c r="P308" s="24" t="b">
        <v>1</v>
      </c>
      <c r="Q308" s="20">
        <f t="shared" si="5"/>
        <v>45597.5759</v>
      </c>
      <c r="R308" s="24" t="b">
        <v>0</v>
      </c>
      <c r="S308" s="7" t="str">
        <f t="shared" si="6"/>
        <v/>
      </c>
      <c r="T308" s="7"/>
    </row>
    <row r="309" ht="22.5" hidden="1" customHeight="1">
      <c r="B309" s="7">
        <f t="shared" si="7"/>
        <v>303</v>
      </c>
      <c r="C309" s="18" t="s">
        <v>339</v>
      </c>
      <c r="D309" s="19" t="str">
        <f t="array" ref="D309">IFNA(_xlfn.XLOOKUP(C309,Table_Tarikan_Warkah[Nomor Sertipikat],Table_Tarikan_Warkah[Nomor Tiket]),"")</f>
        <v>K/64/221024/1</v>
      </c>
      <c r="E309" s="20">
        <f t="array" ref="E309">IFNA(_xlfn.XLOOKUP(C309,Table_Tarikan_Warkah[Nomor Sertipikat],Table_Tarikan_Warkah[Tanggal diserahkan kepada Validator]),"")</f>
        <v>45600.47466</v>
      </c>
      <c r="F309" s="20" t="str">
        <f t="array" ref="F309">IFNA(_xlfn.XLOOKUP(C309,Table_Tarikan_Warkah[Nomor Sertipikat],Table_Tarikan_Warkah[Nama Petugas Warkah]),"")</f>
        <v>Sahelia</v>
      </c>
      <c r="G309" s="21" t="str">
        <f t="array" ref="G309">IFNA(_xlfn.XLOOKUP(C309,Table_Tarikan_Warkah[Nomor Sertipikat],Table_Tarikan_Warkah[Jenis Permohonan]),"")</f>
        <v>BN Jual Beli</v>
      </c>
      <c r="H309" s="22" t="s">
        <v>31</v>
      </c>
      <c r="I309" s="22" t="s">
        <v>32</v>
      </c>
      <c r="J309" s="20">
        <f t="shared" si="29"/>
        <v>45595.67067</v>
      </c>
      <c r="K309" s="22" t="s">
        <v>65</v>
      </c>
      <c r="L309" s="22" t="s">
        <v>187</v>
      </c>
      <c r="M309" s="20">
        <f t="shared" si="30"/>
        <v>45596.55447</v>
      </c>
      <c r="N309" s="8" t="str">
        <f t="shared" si="3"/>
        <v>Selesai</v>
      </c>
      <c r="O309" s="23">
        <f t="shared" si="22"/>
        <v>45596.55447</v>
      </c>
      <c r="P309" s="24" t="b">
        <v>1</v>
      </c>
      <c r="Q309" s="20">
        <f t="shared" si="5"/>
        <v>45597.57591</v>
      </c>
      <c r="R309" s="24" t="b">
        <v>0</v>
      </c>
      <c r="S309" s="7" t="str">
        <f t="shared" si="6"/>
        <v/>
      </c>
      <c r="T309" s="7"/>
    </row>
    <row r="310" ht="22.5" hidden="1" customHeight="1">
      <c r="B310" s="7">
        <f t="shared" si="7"/>
        <v>304</v>
      </c>
      <c r="C310" s="18" t="s">
        <v>197</v>
      </c>
      <c r="D310" s="19" t="str">
        <f t="array" ref="D310">IFNA(_xlfn.XLOOKUP(C310,Table_Tarikan_Warkah[Nomor Sertipikat],Table_Tarikan_Warkah[Nomor Tiket]),"")</f>
        <v>K/22/231024/1</v>
      </c>
      <c r="E310" s="20">
        <f t="array" ref="E310">IFNA(_xlfn.XLOOKUP(C310,Table_Tarikan_Warkah[Nomor Sertipikat],Table_Tarikan_Warkah[Tanggal diserahkan kepada Validator]),"")</f>
        <v>45588.60205</v>
      </c>
      <c r="F310" s="20" t="str">
        <f t="array" ref="F310">IFNA(_xlfn.XLOOKUP(C310,Table_Tarikan_Warkah[Nomor Sertipikat],Table_Tarikan_Warkah[Nama Petugas Warkah]),"")</f>
        <v>Rahma</v>
      </c>
      <c r="G310" s="21" t="str">
        <f t="array" ref="G310">IFNA(_xlfn.XLOOKUP(C310,Table_Tarikan_Warkah[Nomor Sertipikat],Table_Tarikan_Warkah[Jenis Permohonan]),"")</f>
        <v>BN Jual Beli</v>
      </c>
      <c r="H310" s="22" t="s">
        <v>31</v>
      </c>
      <c r="I310" s="22" t="s">
        <v>32</v>
      </c>
      <c r="J310" s="20">
        <f t="shared" si="29"/>
        <v>45595.67082</v>
      </c>
      <c r="K310" s="22" t="s">
        <v>65</v>
      </c>
      <c r="L310" s="22" t="s">
        <v>187</v>
      </c>
      <c r="M310" s="20">
        <f t="shared" si="30"/>
        <v>45596.55452</v>
      </c>
      <c r="N310" s="8" t="str">
        <f t="shared" si="3"/>
        <v>Selesai</v>
      </c>
      <c r="O310" s="23">
        <f t="shared" si="22"/>
        <v>45596.55452</v>
      </c>
      <c r="P310" s="24" t="b">
        <v>1</v>
      </c>
      <c r="Q310" s="20">
        <f t="shared" si="5"/>
        <v>45597.57592</v>
      </c>
      <c r="R310" s="24" t="b">
        <v>0</v>
      </c>
      <c r="S310" s="7" t="str">
        <f t="shared" si="6"/>
        <v/>
      </c>
      <c r="T310" s="7"/>
    </row>
    <row r="311" ht="22.5" hidden="1" customHeight="1">
      <c r="B311" s="7">
        <f t="shared" si="7"/>
        <v>305</v>
      </c>
      <c r="C311" s="18" t="s">
        <v>340</v>
      </c>
      <c r="D311" s="19" t="str">
        <f t="array" ref="D311">IFNA(_xlfn.XLOOKUP(C311,Table_Tarikan_Warkah[Nomor Sertipikat],Table_Tarikan_Warkah[Nomor Tiket]),"")</f>
        <v>K/21/251024/1</v>
      </c>
      <c r="E311" s="20" t="str">
        <f t="array" ref="E311">IFNA(_xlfn.XLOOKUP(C311,Table_Tarikan_Warkah[Nomor Sertipikat],Table_Tarikan_Warkah[Tanggal diserahkan kepada Validator]),"")</f>
        <v/>
      </c>
      <c r="F311" s="20" t="str">
        <f t="array" ref="F311">IFNA(_xlfn.XLOOKUP(C311,Table_Tarikan_Warkah[Nomor Sertipikat],Table_Tarikan_Warkah[Nama Petugas Warkah]),"")</f>
        <v/>
      </c>
      <c r="G311" s="21" t="str">
        <f t="array" ref="G311">IFNA(_xlfn.XLOOKUP(C311,Table_Tarikan_Warkah[Nomor Sertipikat],Table_Tarikan_Warkah[Jenis Permohonan]),"")</f>
        <v>SKPT LELANG</v>
      </c>
      <c r="H311" s="22" t="s">
        <v>31</v>
      </c>
      <c r="I311" s="22" t="s">
        <v>32</v>
      </c>
      <c r="J311" s="20">
        <f t="shared" si="29"/>
        <v>45595.67097</v>
      </c>
      <c r="K311" s="22" t="s">
        <v>65</v>
      </c>
      <c r="L311" s="22" t="s">
        <v>187</v>
      </c>
      <c r="M311" s="20">
        <f t="shared" si="30"/>
        <v>45596.55457</v>
      </c>
      <c r="N311" s="8" t="str">
        <f t="shared" si="3"/>
        <v>Selesai</v>
      </c>
      <c r="O311" s="23">
        <f t="shared" si="22"/>
        <v>45596.55457</v>
      </c>
      <c r="P311" s="24" t="b">
        <v>1</v>
      </c>
      <c r="Q311" s="20">
        <f t="shared" si="5"/>
        <v>45597.57595</v>
      </c>
      <c r="R311" s="24" t="b">
        <v>0</v>
      </c>
      <c r="S311" s="7" t="str">
        <f t="shared" si="6"/>
        <v/>
      </c>
      <c r="T311" s="7"/>
    </row>
    <row r="312" ht="22.5" hidden="1" customHeight="1">
      <c r="B312" s="7">
        <f t="shared" si="7"/>
        <v>306</v>
      </c>
      <c r="C312" s="18" t="s">
        <v>313</v>
      </c>
      <c r="D312" s="19" t="str">
        <f t="array" ref="D312">IFNA(_xlfn.XLOOKUP(C312,Table_Tarikan_Warkah[Nomor Sertipikat],Table_Tarikan_Warkah[Nomor Tiket]),"")</f>
        <v>K/42/251024/1</v>
      </c>
      <c r="E312" s="20">
        <f t="array" ref="E312">IFNA(_xlfn.XLOOKUP(C312,Table_Tarikan_Warkah[Nomor Sertipikat],Table_Tarikan_Warkah[Tanggal diserahkan kepada Validator]),"")</f>
        <v>45594.41786</v>
      </c>
      <c r="F312" s="20" t="str">
        <f t="array" ref="F312">IFNA(_xlfn.XLOOKUP(C312,Table_Tarikan_Warkah[Nomor Sertipikat],Table_Tarikan_Warkah[Nama Petugas Warkah]),"")</f>
        <v>David</v>
      </c>
      <c r="G312" s="21" t="str">
        <f t="array" ref="G312">IFNA(_xlfn.XLOOKUP(C312,Table_Tarikan_Warkah[Nomor Sertipikat],Table_Tarikan_Warkah[Jenis Permohonan]),"")</f>
        <v>BN JUAL BELI</v>
      </c>
      <c r="H312" s="22" t="s">
        <v>31</v>
      </c>
      <c r="I312" s="22" t="s">
        <v>32</v>
      </c>
      <c r="J312" s="20">
        <f t="shared" si="29"/>
        <v>45595.67111</v>
      </c>
      <c r="K312" s="22" t="s">
        <v>65</v>
      </c>
      <c r="L312" s="22" t="s">
        <v>187</v>
      </c>
      <c r="M312" s="20">
        <f t="shared" si="30"/>
        <v>45596.55463</v>
      </c>
      <c r="N312" s="8" t="str">
        <f t="shared" si="3"/>
        <v>Selesai</v>
      </c>
      <c r="O312" s="23">
        <f t="shared" si="22"/>
        <v>45596.55463</v>
      </c>
      <c r="P312" s="24" t="b">
        <v>1</v>
      </c>
      <c r="Q312" s="20">
        <f t="shared" si="5"/>
        <v>45597.57595</v>
      </c>
      <c r="R312" s="24" t="b">
        <v>0</v>
      </c>
      <c r="S312" s="7" t="str">
        <f t="shared" si="6"/>
        <v/>
      </c>
      <c r="T312" s="7"/>
    </row>
    <row r="313" ht="22.5" hidden="1" customHeight="1">
      <c r="B313" s="7">
        <f t="shared" si="7"/>
        <v>307</v>
      </c>
      <c r="C313" s="18" t="s">
        <v>260</v>
      </c>
      <c r="D313" s="19" t="str">
        <f t="array" ref="D313">IFNA(_xlfn.XLOOKUP(C313,Table_Tarikan_Warkah[Nomor Sertipikat],Table_Tarikan_Warkah[Nomor Tiket]),"")</f>
        <v>K/33/181024/1</v>
      </c>
      <c r="E313" s="20">
        <f t="array" ref="E313">IFNA(_xlfn.XLOOKUP(C313,Table_Tarikan_Warkah[Nomor Sertipikat],Table_Tarikan_Warkah[Tanggal diserahkan kepada Validator]),"")</f>
        <v>45603.5929</v>
      </c>
      <c r="F313" s="20" t="str">
        <f t="array" ref="F313">IFNA(_xlfn.XLOOKUP(C313,Table_Tarikan_Warkah[Nomor Sertipikat],Table_Tarikan_Warkah[Nama Petugas Warkah]),"")</f>
        <v>Sahelia</v>
      </c>
      <c r="G313" s="21" t="str">
        <f t="array" ref="G313">IFNA(_xlfn.XLOOKUP(C313,Table_Tarikan_Warkah[Nomor Sertipikat],Table_Tarikan_Warkah[Jenis Permohonan]),"")</f>
        <v>PERALIHAN JUAL BELI</v>
      </c>
      <c r="H313" s="22" t="s">
        <v>31</v>
      </c>
      <c r="I313" s="22" t="s">
        <v>32</v>
      </c>
      <c r="J313" s="20">
        <f t="shared" si="29"/>
        <v>45595.67127</v>
      </c>
      <c r="K313" s="22" t="s">
        <v>65</v>
      </c>
      <c r="L313" s="22" t="s">
        <v>187</v>
      </c>
      <c r="M313" s="20">
        <f t="shared" si="30"/>
        <v>45596.55467</v>
      </c>
      <c r="N313" s="8" t="str">
        <f t="shared" si="3"/>
        <v>Selesai</v>
      </c>
      <c r="O313" s="23">
        <f t="shared" si="22"/>
        <v>45596.55467</v>
      </c>
      <c r="P313" s="24" t="b">
        <v>1</v>
      </c>
      <c r="Q313" s="20">
        <f t="shared" si="5"/>
        <v>45597.57595</v>
      </c>
      <c r="R313" s="24" t="b">
        <v>0</v>
      </c>
      <c r="S313" s="7" t="str">
        <f t="shared" si="6"/>
        <v/>
      </c>
      <c r="T313" s="7"/>
    </row>
    <row r="314" ht="22.5" hidden="1" customHeight="1">
      <c r="B314" s="7">
        <f t="shared" si="7"/>
        <v>308</v>
      </c>
      <c r="C314" s="18" t="s">
        <v>341</v>
      </c>
      <c r="D314" s="19" t="str">
        <f t="array" ref="D314">IFNA(_xlfn.XLOOKUP(C314,Table_Tarikan_Warkah[Nomor Sertipikat],Table_Tarikan_Warkah[Nomor Tiket]),"")</f>
        <v>K/5/301024/4</v>
      </c>
      <c r="E314" s="20">
        <f t="array" ref="E314">IFNA(_xlfn.XLOOKUP(C314,Table_Tarikan_Warkah[Nomor Sertipikat],Table_Tarikan_Warkah[Tanggal diserahkan kepada Validator]),"")</f>
        <v>45596.4022</v>
      </c>
      <c r="F314" s="20" t="str">
        <f t="array" ref="F314">IFNA(_xlfn.XLOOKUP(C314,Table_Tarikan_Warkah[Nomor Sertipikat],Table_Tarikan_Warkah[Nama Petugas Warkah]),"")</f>
        <v>David</v>
      </c>
      <c r="G314" s="21" t="str">
        <f t="array" ref="G314">IFNA(_xlfn.XLOOKUP(C314,Table_Tarikan_Warkah[Nomor Sertipikat],Table_Tarikan_Warkah[Jenis Permohonan]),"")</f>
        <v>BN JUAL BELI</v>
      </c>
      <c r="H314" s="22" t="s">
        <v>31</v>
      </c>
      <c r="I314" s="22" t="s">
        <v>32</v>
      </c>
      <c r="J314" s="20">
        <f t="shared" si="29"/>
        <v>45596.68803</v>
      </c>
      <c r="K314" s="27" t="s">
        <v>65</v>
      </c>
      <c r="L314" s="27" t="s">
        <v>32</v>
      </c>
      <c r="M314" s="20">
        <f t="shared" si="30"/>
        <v>45597.57847</v>
      </c>
      <c r="N314" s="8" t="str">
        <f t="shared" si="3"/>
        <v>SELESAI</v>
      </c>
      <c r="O314" s="23">
        <f t="shared" si="22"/>
        <v>45597.57847</v>
      </c>
      <c r="P314" s="24" t="b">
        <v>0</v>
      </c>
      <c r="Q314" s="20" t="str">
        <f t="shared" si="5"/>
        <v/>
      </c>
      <c r="R314" s="24" t="b">
        <v>1</v>
      </c>
      <c r="S314" s="20">
        <f t="shared" si="6"/>
        <v>45600.3745</v>
      </c>
      <c r="T314" s="7"/>
    </row>
    <row r="315" ht="22.5" hidden="1" customHeight="1">
      <c r="B315" s="7">
        <f t="shared" si="7"/>
        <v>309</v>
      </c>
      <c r="C315" s="18" t="s">
        <v>342</v>
      </c>
      <c r="D315" s="19" t="str">
        <f t="array" ref="D315">IFNA(_xlfn.XLOOKUP(C315,Table_Tarikan_Warkah[Nomor Sertipikat],Table_Tarikan_Warkah[Nomor Tiket]),"")</f>
        <v>L/38/301024/1</v>
      </c>
      <c r="E315" s="20">
        <f t="array" ref="E315">IFNA(_xlfn.XLOOKUP(C315,Table_Tarikan_Warkah[Nomor Sertipikat],Table_Tarikan_Warkah[Tanggal diserahkan kepada Validator]),"")</f>
        <v>45596.40709</v>
      </c>
      <c r="F315" s="20" t="str">
        <f t="array" ref="F315">IFNA(_xlfn.XLOOKUP(C315,Table_Tarikan_Warkah[Nomor Sertipikat],Table_Tarikan_Warkah[Nama Petugas Warkah]),"")</f>
        <v>Berry</v>
      </c>
      <c r="G315" s="21" t="str">
        <f t="array" ref="G315">IFNA(_xlfn.XLOOKUP(C315,Table_Tarikan_Warkah[Nomor Sertipikat],Table_Tarikan_Warkah[Jenis Permohonan]),"")</f>
        <v>ROYA</v>
      </c>
      <c r="H315" s="22" t="s">
        <v>31</v>
      </c>
      <c r="I315" s="22" t="s">
        <v>32</v>
      </c>
      <c r="J315" s="20">
        <f t="shared" si="29"/>
        <v>45596.68803</v>
      </c>
      <c r="K315" s="27" t="s">
        <v>65</v>
      </c>
      <c r="L315" s="27" t="s">
        <v>32</v>
      </c>
      <c r="M315" s="20">
        <f t="shared" si="30"/>
        <v>45597.57849</v>
      </c>
      <c r="N315" s="8" t="str">
        <f t="shared" si="3"/>
        <v>SELESAI</v>
      </c>
      <c r="O315" s="23">
        <f t="shared" si="22"/>
        <v>45597.57849</v>
      </c>
      <c r="P315" s="24" t="b">
        <v>0</v>
      </c>
      <c r="Q315" s="20" t="str">
        <f t="shared" si="5"/>
        <v/>
      </c>
      <c r="R315" s="24" t="b">
        <v>1</v>
      </c>
      <c r="S315" s="20">
        <f t="shared" si="6"/>
        <v>45600.37451</v>
      </c>
      <c r="T315" s="7"/>
    </row>
    <row r="316" ht="22.5" hidden="1" customHeight="1">
      <c r="B316" s="7">
        <f t="shared" si="7"/>
        <v>310</v>
      </c>
      <c r="C316" s="18" t="s">
        <v>343</v>
      </c>
      <c r="D316" s="19" t="str">
        <f t="array" ref="D316">IFNA(_xlfn.XLOOKUP(C316,Table_Tarikan_Warkah[Nomor Sertipikat],Table_Tarikan_Warkah[Nomor Tiket]),"")</f>
        <v>K/26/301024/2</v>
      </c>
      <c r="E316" s="20">
        <f t="array" ref="E316">IFNA(_xlfn.XLOOKUP(C316,Table_Tarikan_Warkah[Nomor Sertipikat],Table_Tarikan_Warkah[Tanggal diserahkan kepada Validator]),"")</f>
        <v>45596.40648</v>
      </c>
      <c r="F316" s="20" t="str">
        <f t="array" ref="F316">IFNA(_xlfn.XLOOKUP(C316,Table_Tarikan_Warkah[Nomor Sertipikat],Table_Tarikan_Warkah[Nama Petugas Warkah]),"")</f>
        <v>Berry</v>
      </c>
      <c r="G316" s="21" t="str">
        <f t="array" ref="G316">IFNA(_xlfn.XLOOKUP(C316,Table_Tarikan_Warkah[Nomor Sertipikat],Table_Tarikan_Warkah[Jenis Permohonan]),"")</f>
        <v>HIBAH</v>
      </c>
      <c r="H316" s="22" t="s">
        <v>31</v>
      </c>
      <c r="I316" s="22" t="s">
        <v>32</v>
      </c>
      <c r="J316" s="20">
        <f t="shared" si="29"/>
        <v>45596.68803</v>
      </c>
      <c r="K316" s="27" t="s">
        <v>65</v>
      </c>
      <c r="L316" s="27" t="s">
        <v>32</v>
      </c>
      <c r="M316" s="20">
        <f t="shared" si="30"/>
        <v>45597.57851</v>
      </c>
      <c r="N316" s="8" t="str">
        <f t="shared" si="3"/>
        <v>SELESAI</v>
      </c>
      <c r="O316" s="23">
        <f t="shared" si="22"/>
        <v>45597.57851</v>
      </c>
      <c r="P316" s="24" t="b">
        <v>0</v>
      </c>
      <c r="Q316" s="20" t="str">
        <f t="shared" si="5"/>
        <v/>
      </c>
      <c r="R316" s="24" t="b">
        <v>1</v>
      </c>
      <c r="S316" s="20">
        <f t="shared" si="6"/>
        <v>45600.37453</v>
      </c>
      <c r="T316" s="7"/>
    </row>
    <row r="317" ht="22.5" hidden="1" customHeight="1">
      <c r="B317" s="7">
        <f t="shared" si="7"/>
        <v>311</v>
      </c>
      <c r="C317" s="18" t="s">
        <v>344</v>
      </c>
      <c r="D317" s="19" t="str">
        <f t="array" ref="D317">IFNA(_xlfn.XLOOKUP(C317,Table_Tarikan_Warkah[Nomor Sertipikat],Table_Tarikan_Warkah[Nomor Tiket]),"")</f>
        <v>L/22/301024/1</v>
      </c>
      <c r="E317" s="20">
        <f t="array" ref="E317">IFNA(_xlfn.XLOOKUP(C317,Table_Tarikan_Warkah[Nomor Sertipikat],Table_Tarikan_Warkah[Tanggal diserahkan kepada Validator]),"")</f>
        <v>45596.40501</v>
      </c>
      <c r="F317" s="20" t="str">
        <f t="array" ref="F317">IFNA(_xlfn.XLOOKUP(C317,Table_Tarikan_Warkah[Nomor Sertipikat],Table_Tarikan_Warkah[Nama Petugas Warkah]),"")</f>
        <v>Berry</v>
      </c>
      <c r="G317" s="21" t="str">
        <f t="array" ref="G317">IFNA(_xlfn.XLOOKUP(C317,Table_Tarikan_Warkah[Nomor Sertipikat],Table_Tarikan_Warkah[Jenis Permohonan]),"")</f>
        <v>ROYA</v>
      </c>
      <c r="H317" s="22" t="s">
        <v>31</v>
      </c>
      <c r="I317" s="22" t="s">
        <v>32</v>
      </c>
      <c r="J317" s="20">
        <f t="shared" si="29"/>
        <v>45596.68803</v>
      </c>
      <c r="K317" s="27" t="s">
        <v>65</v>
      </c>
      <c r="L317" s="27" t="s">
        <v>32</v>
      </c>
      <c r="M317" s="20">
        <f t="shared" si="30"/>
        <v>45597.57853</v>
      </c>
      <c r="N317" s="8" t="str">
        <f t="shared" si="3"/>
        <v>SELESAI</v>
      </c>
      <c r="O317" s="23">
        <f t="shared" si="22"/>
        <v>45597.57853</v>
      </c>
      <c r="P317" s="24" t="b">
        <v>0</v>
      </c>
      <c r="Q317" s="20" t="str">
        <f t="shared" si="5"/>
        <v/>
      </c>
      <c r="R317" s="24" t="b">
        <v>1</v>
      </c>
      <c r="S317" s="20">
        <f t="shared" si="6"/>
        <v>45600.37453</v>
      </c>
      <c r="T317" s="7"/>
    </row>
    <row r="318" ht="22.5" hidden="1" customHeight="1">
      <c r="B318" s="7">
        <f t="shared" si="7"/>
        <v>312</v>
      </c>
      <c r="C318" s="18" t="s">
        <v>345</v>
      </c>
      <c r="D318" s="19" t="str">
        <f t="array" ref="D318">IFNA(_xlfn.XLOOKUP(C318,Table_Tarikan_Warkah[Nomor Sertipikat],Table_Tarikan_Warkah[Nomor Tiket]),"")</f>
        <v>K/20/301024/3</v>
      </c>
      <c r="E318" s="20">
        <f t="array" ref="E318">IFNA(_xlfn.XLOOKUP(C318,Table_Tarikan_Warkah[Nomor Sertipikat],Table_Tarikan_Warkah[Tanggal diserahkan kepada Validator]),"")</f>
        <v>45596.40462</v>
      </c>
      <c r="F318" s="20" t="str">
        <f t="array" ref="F318">IFNA(_xlfn.XLOOKUP(C318,Table_Tarikan_Warkah[Nomor Sertipikat],Table_Tarikan_Warkah[Nama Petugas Warkah]),"")</f>
        <v>Berry</v>
      </c>
      <c r="G318" s="21" t="str">
        <f t="array" ref="G318">IFNA(_xlfn.XLOOKUP(C318,Table_Tarikan_Warkah[Nomor Sertipikat],Table_Tarikan_Warkah[Jenis Permohonan]),"")</f>
        <v>ROYA</v>
      </c>
      <c r="H318" s="22" t="s">
        <v>31</v>
      </c>
      <c r="I318" s="22" t="s">
        <v>32</v>
      </c>
      <c r="J318" s="20">
        <f t="shared" si="29"/>
        <v>45596.68803</v>
      </c>
      <c r="K318" s="27" t="s">
        <v>65</v>
      </c>
      <c r="L318" s="27" t="s">
        <v>32</v>
      </c>
      <c r="M318" s="20">
        <f t="shared" si="30"/>
        <v>45597.57855</v>
      </c>
      <c r="N318" s="8" t="str">
        <f t="shared" si="3"/>
        <v>SELESAI</v>
      </c>
      <c r="O318" s="23">
        <f t="shared" si="22"/>
        <v>45597.57855</v>
      </c>
      <c r="P318" s="24" t="b">
        <v>0</v>
      </c>
      <c r="Q318" s="20" t="str">
        <f t="shared" si="5"/>
        <v/>
      </c>
      <c r="R318" s="24" t="b">
        <v>1</v>
      </c>
      <c r="S318" s="20">
        <f t="shared" si="6"/>
        <v>45600.37453</v>
      </c>
      <c r="T318" s="7"/>
    </row>
    <row r="319" ht="22.5" hidden="1" customHeight="1">
      <c r="B319" s="7">
        <f t="shared" si="7"/>
        <v>313</v>
      </c>
      <c r="C319" s="18" t="s">
        <v>346</v>
      </c>
      <c r="D319" s="19" t="str">
        <f t="array" ref="D319">IFNA(_xlfn.XLOOKUP(C319,Table_Tarikan_Warkah[Nomor Sertipikat],Table_Tarikan_Warkah[Nomor Tiket]),"")</f>
        <v>K/19/301024/2</v>
      </c>
      <c r="E319" s="20">
        <f t="array" ref="E319">IFNA(_xlfn.XLOOKUP(C319,Table_Tarikan_Warkah[Nomor Sertipikat],Table_Tarikan_Warkah[Tanggal diserahkan kepada Validator]),"")</f>
        <v>45596.4046</v>
      </c>
      <c r="F319" s="20" t="str">
        <f t="array" ref="F319">IFNA(_xlfn.XLOOKUP(C319,Table_Tarikan_Warkah[Nomor Sertipikat],Table_Tarikan_Warkah[Nama Petugas Warkah]),"")</f>
        <v>Berry</v>
      </c>
      <c r="G319" s="21" t="str">
        <f t="array" ref="G319">IFNA(_xlfn.XLOOKUP(C319,Table_Tarikan_Warkah[Nomor Sertipikat],Table_Tarikan_Warkah[Jenis Permohonan]),"")</f>
        <v>ROYA</v>
      </c>
      <c r="H319" s="22" t="s">
        <v>31</v>
      </c>
      <c r="I319" s="22" t="s">
        <v>32</v>
      </c>
      <c r="J319" s="20">
        <f t="shared" si="29"/>
        <v>45596.68803</v>
      </c>
      <c r="K319" s="27" t="s">
        <v>65</v>
      </c>
      <c r="L319" s="27" t="s">
        <v>32</v>
      </c>
      <c r="M319" s="20">
        <f t="shared" si="30"/>
        <v>45597.57858</v>
      </c>
      <c r="N319" s="8" t="str">
        <f t="shared" si="3"/>
        <v>SELESAI</v>
      </c>
      <c r="O319" s="23">
        <f t="shared" si="22"/>
        <v>45597.57858</v>
      </c>
      <c r="P319" s="24" t="b">
        <v>0</v>
      </c>
      <c r="Q319" s="20" t="str">
        <f t="shared" si="5"/>
        <v/>
      </c>
      <c r="R319" s="24" t="b">
        <v>1</v>
      </c>
      <c r="S319" s="20">
        <f t="shared" si="6"/>
        <v>45600.37454</v>
      </c>
      <c r="T319" s="7"/>
    </row>
    <row r="320" ht="22.5" hidden="1" customHeight="1">
      <c r="B320" s="7">
        <f t="shared" si="7"/>
        <v>314</v>
      </c>
      <c r="C320" s="18" t="s">
        <v>347</v>
      </c>
      <c r="D320" s="19" t="str">
        <f t="array" ref="D320">IFNA(_xlfn.XLOOKUP(C320,Table_Tarikan_Warkah[Nomor Sertipikat],Table_Tarikan_Warkah[Nomor Tiket]),"")</f>
        <v>L/16/301024/1</v>
      </c>
      <c r="E320" s="20">
        <f t="array" ref="E320">IFNA(_xlfn.XLOOKUP(C320,Table_Tarikan_Warkah[Nomor Sertipikat],Table_Tarikan_Warkah[Tanggal diserahkan kepada Validator]),"")</f>
        <v>45596.40374</v>
      </c>
      <c r="F320" s="20" t="str">
        <f t="array" ref="F320">IFNA(_xlfn.XLOOKUP(C320,Table_Tarikan_Warkah[Nomor Sertipikat],Table_Tarikan_Warkah[Nama Petugas Warkah]),"")</f>
        <v>Berry</v>
      </c>
      <c r="G320" s="21" t="str">
        <f t="array" ref="G320">IFNA(_xlfn.XLOOKUP(C320,Table_Tarikan_Warkah[Nomor Sertipikat],Table_Tarikan_Warkah[Jenis Permohonan]),"")</f>
        <v>ROYA</v>
      </c>
      <c r="H320" s="22" t="s">
        <v>31</v>
      </c>
      <c r="I320" s="22" t="s">
        <v>32</v>
      </c>
      <c r="J320" s="20">
        <f t="shared" si="29"/>
        <v>45596.68812</v>
      </c>
      <c r="K320" s="27" t="s">
        <v>65</v>
      </c>
      <c r="L320" s="27" t="s">
        <v>32</v>
      </c>
      <c r="M320" s="20">
        <f t="shared" si="30"/>
        <v>45597.5786</v>
      </c>
      <c r="N320" s="8" t="str">
        <f t="shared" si="3"/>
        <v>SELESAI</v>
      </c>
      <c r="O320" s="23">
        <f t="shared" si="22"/>
        <v>45597.5786</v>
      </c>
      <c r="P320" s="24" t="b">
        <v>0</v>
      </c>
      <c r="Q320" s="20" t="str">
        <f t="shared" si="5"/>
        <v/>
      </c>
      <c r="R320" s="24" t="b">
        <v>1</v>
      </c>
      <c r="S320" s="20">
        <f t="shared" si="6"/>
        <v>45600.37455</v>
      </c>
      <c r="T320" s="7"/>
    </row>
    <row r="321" ht="22.5" hidden="1" customHeight="1">
      <c r="B321" s="7">
        <f t="shared" si="7"/>
        <v>315</v>
      </c>
      <c r="C321" s="18" t="s">
        <v>348</v>
      </c>
      <c r="D321" s="19" t="str">
        <f t="array" ref="D321">IFNA(_xlfn.XLOOKUP(C321,Table_Tarikan_Warkah[Nomor Sertipikat],Table_Tarikan_Warkah[Nomor Tiket]),"")</f>
        <v>L/15/301024/1</v>
      </c>
      <c r="E321" s="20">
        <f t="array" ref="E321">IFNA(_xlfn.XLOOKUP(C321,Table_Tarikan_Warkah[Nomor Sertipikat],Table_Tarikan_Warkah[Tanggal diserahkan kepada Validator]),"")</f>
        <v>45596.40332</v>
      </c>
      <c r="F321" s="20" t="str">
        <f t="array" ref="F321">IFNA(_xlfn.XLOOKUP(C321,Table_Tarikan_Warkah[Nomor Sertipikat],Table_Tarikan_Warkah[Nama Petugas Warkah]),"")</f>
        <v>David</v>
      </c>
      <c r="G321" s="21" t="str">
        <f t="array" ref="G321">IFNA(_xlfn.XLOOKUP(C321,Table_Tarikan_Warkah[Nomor Sertipikat],Table_Tarikan_Warkah[Jenis Permohonan]),"")</f>
        <v>ROYA LELANG</v>
      </c>
      <c r="H321" s="22" t="s">
        <v>31</v>
      </c>
      <c r="I321" s="22" t="s">
        <v>32</v>
      </c>
      <c r="J321" s="20">
        <f t="shared" si="29"/>
        <v>45596.6883</v>
      </c>
      <c r="K321" s="27" t="s">
        <v>65</v>
      </c>
      <c r="L321" s="27" t="s">
        <v>32</v>
      </c>
      <c r="M321" s="20">
        <f t="shared" si="30"/>
        <v>45597.57873</v>
      </c>
      <c r="N321" s="8" t="str">
        <f t="shared" si="3"/>
        <v>SELESAI</v>
      </c>
      <c r="O321" s="23">
        <f t="shared" si="22"/>
        <v>45597.57873</v>
      </c>
      <c r="P321" s="24" t="b">
        <v>0</v>
      </c>
      <c r="Q321" s="20" t="str">
        <f t="shared" si="5"/>
        <v/>
      </c>
      <c r="R321" s="24" t="b">
        <v>1</v>
      </c>
      <c r="S321" s="20">
        <f t="shared" si="6"/>
        <v>45600.37456</v>
      </c>
      <c r="T321" s="7"/>
    </row>
    <row r="322" ht="22.5" hidden="1" customHeight="1">
      <c r="B322" s="7">
        <f t="shared" si="7"/>
        <v>316</v>
      </c>
      <c r="C322" s="18" t="s">
        <v>349</v>
      </c>
      <c r="D322" s="19" t="str">
        <f t="array" ref="D322">IFNA(_xlfn.XLOOKUP(C322,Table_Tarikan_Warkah[Nomor Sertipikat],Table_Tarikan_Warkah[Nomor Tiket]),"")</f>
        <v>K/12/301024/1</v>
      </c>
      <c r="E322" s="20">
        <f t="array" ref="E322">IFNA(_xlfn.XLOOKUP(C322,Table_Tarikan_Warkah[Nomor Sertipikat],Table_Tarikan_Warkah[Tanggal diserahkan kepada Validator]),"")</f>
        <v>45596.40293</v>
      </c>
      <c r="F322" s="20" t="str">
        <f t="array" ref="F322">IFNA(_xlfn.XLOOKUP(C322,Table_Tarikan_Warkah[Nomor Sertipikat],Table_Tarikan_Warkah[Nama Petugas Warkah]),"")</f>
        <v>David</v>
      </c>
      <c r="G322" s="21" t="str">
        <f t="array" ref="G322">IFNA(_xlfn.XLOOKUP(C322,Table_Tarikan_Warkah[Nomor Sertipikat],Table_Tarikan_Warkah[Jenis Permohonan]),"")</f>
        <v>BN Waris</v>
      </c>
      <c r="H322" s="22" t="s">
        <v>31</v>
      </c>
      <c r="I322" s="22" t="s">
        <v>32</v>
      </c>
      <c r="J322" s="20">
        <f t="shared" si="29"/>
        <v>45596.68849</v>
      </c>
      <c r="K322" s="27" t="s">
        <v>65</v>
      </c>
      <c r="L322" s="27" t="s">
        <v>32</v>
      </c>
      <c r="M322" s="20">
        <f t="shared" si="30"/>
        <v>45597.57877</v>
      </c>
      <c r="N322" s="8" t="str">
        <f t="shared" si="3"/>
        <v>SELESAI</v>
      </c>
      <c r="O322" s="23">
        <f t="shared" si="22"/>
        <v>45597.57877</v>
      </c>
      <c r="P322" s="24" t="b">
        <v>0</v>
      </c>
      <c r="Q322" s="20" t="str">
        <f t="shared" si="5"/>
        <v/>
      </c>
      <c r="R322" s="24" t="b">
        <v>1</v>
      </c>
      <c r="S322" s="20">
        <f t="shared" si="6"/>
        <v>45600.37456</v>
      </c>
      <c r="T322" s="7"/>
    </row>
    <row r="323" ht="22.5" hidden="1" customHeight="1">
      <c r="B323" s="7">
        <f t="shared" si="7"/>
        <v>317</v>
      </c>
      <c r="C323" s="18" t="s">
        <v>350</v>
      </c>
      <c r="D323" s="19" t="str">
        <f t="array" ref="D323">IFNA(_xlfn.XLOOKUP(C323,Table_Tarikan_Warkah[Nomor Sertipikat],Table_Tarikan_Warkah[Nomor Tiket]),"")</f>
        <v>K/24/301024/2</v>
      </c>
      <c r="E323" s="20">
        <f t="array" ref="E323">IFNA(_xlfn.XLOOKUP(C323,Table_Tarikan_Warkah[Nomor Sertipikat],Table_Tarikan_Warkah[Tanggal diserahkan kepada Validator]),"")</f>
        <v>45596.40547</v>
      </c>
      <c r="F323" s="20" t="str">
        <f t="array" ref="F323">IFNA(_xlfn.XLOOKUP(C323,Table_Tarikan_Warkah[Nomor Sertipikat],Table_Tarikan_Warkah[Nama Petugas Warkah]),"")</f>
        <v>Berry</v>
      </c>
      <c r="G323" s="21" t="str">
        <f t="array" ref="G323">IFNA(_xlfn.XLOOKUP(C323,Table_Tarikan_Warkah[Nomor Sertipikat],Table_Tarikan_Warkah[Jenis Permohonan]),"")</f>
        <v>BN Jual Beli</v>
      </c>
      <c r="H323" s="22" t="s">
        <v>31</v>
      </c>
      <c r="I323" s="22" t="s">
        <v>32</v>
      </c>
      <c r="J323" s="20">
        <f t="shared" si="29"/>
        <v>45596.68862</v>
      </c>
      <c r="K323" s="27" t="s">
        <v>65</v>
      </c>
      <c r="L323" s="27" t="s">
        <v>32</v>
      </c>
      <c r="M323" s="20">
        <f t="shared" si="30"/>
        <v>45597.57878</v>
      </c>
      <c r="N323" s="8" t="str">
        <f t="shared" si="3"/>
        <v>SELESAI</v>
      </c>
      <c r="O323" s="23">
        <f t="shared" si="22"/>
        <v>45597.57878</v>
      </c>
      <c r="P323" s="24" t="b">
        <v>0</v>
      </c>
      <c r="Q323" s="20" t="str">
        <f t="shared" si="5"/>
        <v/>
      </c>
      <c r="R323" s="24" t="b">
        <v>1</v>
      </c>
      <c r="S323" s="20">
        <f t="shared" si="6"/>
        <v>45600.37458</v>
      </c>
      <c r="T323" s="7"/>
    </row>
    <row r="324" ht="22.5" hidden="1" customHeight="1">
      <c r="B324" s="7">
        <f t="shared" si="7"/>
        <v>318</v>
      </c>
      <c r="C324" s="18" t="s">
        <v>351</v>
      </c>
      <c r="D324" s="19" t="str">
        <f t="array" ref="D324">IFNA(_xlfn.XLOOKUP(C324,Table_Tarikan_Warkah[Nomor Sertipikat],Table_Tarikan_Warkah[Nomor Tiket]),"")</f>
        <v>K/29/301024/1</v>
      </c>
      <c r="E324" s="20">
        <f t="array" ref="E324">IFNA(_xlfn.XLOOKUP(C324,Table_Tarikan_Warkah[Nomor Sertipikat],Table_Tarikan_Warkah[Tanggal diserahkan kepada Validator]),"")</f>
        <v>45596.40676</v>
      </c>
      <c r="F324" s="20" t="str">
        <f t="array" ref="F324">IFNA(_xlfn.XLOOKUP(C324,Table_Tarikan_Warkah[Nomor Sertipikat],Table_Tarikan_Warkah[Nama Petugas Warkah]),"")</f>
        <v>Berry</v>
      </c>
      <c r="G324" s="21" t="str">
        <f t="array" ref="G324">IFNA(_xlfn.XLOOKUP(C324,Table_Tarikan_Warkah[Nomor Sertipikat],Table_Tarikan_Warkah[Jenis Permohonan]),"")</f>
        <v>ROYA</v>
      </c>
      <c r="H324" s="22" t="s">
        <v>31</v>
      </c>
      <c r="I324" s="22" t="s">
        <v>32</v>
      </c>
      <c r="J324" s="20">
        <f t="shared" si="29"/>
        <v>45596.68872</v>
      </c>
      <c r="K324" s="27" t="s">
        <v>65</v>
      </c>
      <c r="L324" s="27" t="s">
        <v>32</v>
      </c>
      <c r="M324" s="20">
        <f t="shared" si="30"/>
        <v>45597.57881</v>
      </c>
      <c r="N324" s="8" t="str">
        <f t="shared" si="3"/>
        <v>SELESAI</v>
      </c>
      <c r="O324" s="23">
        <f t="shared" si="22"/>
        <v>45597.57881</v>
      </c>
      <c r="P324" s="24" t="b">
        <v>0</v>
      </c>
      <c r="Q324" s="20" t="str">
        <f t="shared" si="5"/>
        <v/>
      </c>
      <c r="R324" s="24" t="b">
        <v>1</v>
      </c>
      <c r="S324" s="20">
        <f t="shared" si="6"/>
        <v>45600.37458</v>
      </c>
      <c r="T324" s="7"/>
    </row>
    <row r="325" ht="22.5" hidden="1" customHeight="1">
      <c r="B325" s="7">
        <f t="shared" si="7"/>
        <v>319</v>
      </c>
      <c r="C325" s="18" t="s">
        <v>352</v>
      </c>
      <c r="D325" s="19" t="str">
        <f t="array" ref="D325">IFNA(_xlfn.XLOOKUP(C325,Table_Tarikan_Warkah[Nomor Sertipikat],Table_Tarikan_Warkah[Nomor Tiket]),"")</f>
        <v>L/39/301024/1</v>
      </c>
      <c r="E325" s="20">
        <f t="array" ref="E325">IFNA(_xlfn.XLOOKUP(C325,Table_Tarikan_Warkah[Nomor Sertipikat],Table_Tarikan_Warkah[Tanggal diserahkan kepada Validator]),"")</f>
        <v>45596.40733</v>
      </c>
      <c r="F325" s="20" t="str">
        <f t="array" ref="F325">IFNA(_xlfn.XLOOKUP(C325,Table_Tarikan_Warkah[Nomor Sertipikat],Table_Tarikan_Warkah[Nama Petugas Warkah]),"")</f>
        <v>Berry</v>
      </c>
      <c r="G325" s="21" t="str">
        <f t="array" ref="G325">IFNA(_xlfn.XLOOKUP(C325,Table_Tarikan_Warkah[Nomor Sertipikat],Table_Tarikan_Warkah[Jenis Permohonan]),"")</f>
        <v>ROYA</v>
      </c>
      <c r="H325" s="22" t="s">
        <v>31</v>
      </c>
      <c r="I325" s="22" t="s">
        <v>32</v>
      </c>
      <c r="J325" s="20">
        <f t="shared" si="29"/>
        <v>45596.68881</v>
      </c>
      <c r="K325" s="27" t="s">
        <v>65</v>
      </c>
      <c r="L325" s="27" t="s">
        <v>32</v>
      </c>
      <c r="M325" s="20">
        <f t="shared" si="30"/>
        <v>45597.57884</v>
      </c>
      <c r="N325" s="8" t="str">
        <f t="shared" si="3"/>
        <v>SELESAI</v>
      </c>
      <c r="O325" s="23">
        <f t="shared" si="22"/>
        <v>45597.57884</v>
      </c>
      <c r="P325" s="24" t="b">
        <v>0</v>
      </c>
      <c r="Q325" s="20" t="str">
        <f t="shared" si="5"/>
        <v/>
      </c>
      <c r="R325" s="24" t="b">
        <v>1</v>
      </c>
      <c r="S325" s="20">
        <f t="shared" si="6"/>
        <v>45600.37459</v>
      </c>
      <c r="T325" s="7"/>
    </row>
    <row r="326" ht="22.5" hidden="1" customHeight="1">
      <c r="B326" s="7">
        <f t="shared" si="7"/>
        <v>320</v>
      </c>
      <c r="C326" s="18" t="s">
        <v>353</v>
      </c>
      <c r="D326" s="19" t="str">
        <f t="array" ref="D326">IFNA(_xlfn.XLOOKUP(C326,Table_Tarikan_Warkah[Nomor Sertipikat],Table_Tarikan_Warkah[Nomor Tiket]),"")</f>
        <v>L/6/301024/1</v>
      </c>
      <c r="E326" s="20">
        <f t="array" ref="E326">IFNA(_xlfn.XLOOKUP(C326,Table_Tarikan_Warkah[Nomor Sertipikat],Table_Tarikan_Warkah[Tanggal diserahkan kepada Validator]),"")</f>
        <v>45596.40235</v>
      </c>
      <c r="F326" s="20" t="str">
        <f t="array" ref="F326">IFNA(_xlfn.XLOOKUP(C326,Table_Tarikan_Warkah[Nomor Sertipikat],Table_Tarikan_Warkah[Nama Petugas Warkah]),"")</f>
        <v>David</v>
      </c>
      <c r="G326" s="21" t="str">
        <f t="array" ref="G326">IFNA(_xlfn.XLOOKUP(C326,Table_Tarikan_Warkah[Nomor Sertipikat],Table_Tarikan_Warkah[Jenis Permohonan]),"")</f>
        <v>ROYA</v>
      </c>
      <c r="H326" s="22" t="s">
        <v>31</v>
      </c>
      <c r="I326" s="22" t="s">
        <v>32</v>
      </c>
      <c r="J326" s="20">
        <f t="shared" si="29"/>
        <v>45596.68905</v>
      </c>
      <c r="K326" s="27" t="s">
        <v>65</v>
      </c>
      <c r="L326" s="27" t="s">
        <v>32</v>
      </c>
      <c r="M326" s="20">
        <f t="shared" si="30"/>
        <v>45597.57887</v>
      </c>
      <c r="N326" s="8" t="str">
        <f t="shared" si="3"/>
        <v>SELESAI</v>
      </c>
      <c r="O326" s="23">
        <f t="shared" si="22"/>
        <v>45597.57887</v>
      </c>
      <c r="P326" s="24" t="b">
        <v>0</v>
      </c>
      <c r="Q326" s="20" t="str">
        <f t="shared" si="5"/>
        <v/>
      </c>
      <c r="R326" s="24" t="b">
        <v>1</v>
      </c>
      <c r="S326" s="20">
        <f t="shared" si="6"/>
        <v>45600.37459</v>
      </c>
      <c r="T326" s="7"/>
    </row>
    <row r="327" ht="22.5" hidden="1" customHeight="1">
      <c r="B327" s="7">
        <f t="shared" si="7"/>
        <v>321</v>
      </c>
      <c r="C327" s="18" t="s">
        <v>354</v>
      </c>
      <c r="D327" s="19" t="str">
        <f t="array" ref="D327">IFNA(_xlfn.XLOOKUP(C327,Table_Tarikan_Warkah[Nomor Sertipikat],Table_Tarikan_Warkah[Nomor Tiket]),"")</f>
        <v>K/9/301024/1</v>
      </c>
      <c r="E327" s="20">
        <f t="array" ref="E327">IFNA(_xlfn.XLOOKUP(C327,Table_Tarikan_Warkah[Nomor Sertipikat],Table_Tarikan_Warkah[Tanggal diserahkan kepada Validator]),"")</f>
        <v>45596.40265</v>
      </c>
      <c r="F327" s="20" t="str">
        <f t="array" ref="F327">IFNA(_xlfn.XLOOKUP(C327,Table_Tarikan_Warkah[Nomor Sertipikat],Table_Tarikan_Warkah[Nama Petugas Warkah]),"")</f>
        <v>David</v>
      </c>
      <c r="G327" s="21" t="str">
        <f t="array" ref="G327">IFNA(_xlfn.XLOOKUP(C327,Table_Tarikan_Warkah[Nomor Sertipikat],Table_Tarikan_Warkah[Jenis Permohonan]),"")</f>
        <v>BN Jual Beli</v>
      </c>
      <c r="H327" s="22" t="s">
        <v>31</v>
      </c>
      <c r="I327" s="22" t="s">
        <v>32</v>
      </c>
      <c r="J327" s="20">
        <f t="shared" si="29"/>
        <v>45596.68916</v>
      </c>
      <c r="K327" s="27" t="s">
        <v>65</v>
      </c>
      <c r="L327" s="27" t="s">
        <v>32</v>
      </c>
      <c r="M327" s="20">
        <f t="shared" si="30"/>
        <v>45597.57891</v>
      </c>
      <c r="N327" s="8" t="str">
        <f t="shared" si="3"/>
        <v>SELESAI</v>
      </c>
      <c r="O327" s="23">
        <f t="shared" si="22"/>
        <v>45597.57891</v>
      </c>
      <c r="P327" s="24" t="b">
        <v>0</v>
      </c>
      <c r="Q327" s="20" t="str">
        <f t="shared" si="5"/>
        <v/>
      </c>
      <c r="R327" s="24" t="b">
        <v>1</v>
      </c>
      <c r="S327" s="20">
        <f t="shared" si="6"/>
        <v>45600.37462</v>
      </c>
      <c r="T327" s="7"/>
    </row>
    <row r="328" ht="22.5" hidden="1" customHeight="1">
      <c r="B328" s="7">
        <f t="shared" si="7"/>
        <v>322</v>
      </c>
      <c r="C328" s="18" t="s">
        <v>355</v>
      </c>
      <c r="D328" s="19" t="str">
        <f t="array" ref="D328">IFNA(_xlfn.XLOOKUP(C328,Table_Tarikan_Warkah[Nomor Sertipikat],Table_Tarikan_Warkah[Nomor Tiket]),"")</f>
        <v>K/27/301024/3</v>
      </c>
      <c r="E328" s="20">
        <f t="array" ref="E328">IFNA(_xlfn.XLOOKUP(C328,Table_Tarikan_Warkah[Nomor Sertipikat],Table_Tarikan_Warkah[Tanggal diserahkan kepada Validator]),"")</f>
        <v>45596.40659</v>
      </c>
      <c r="F328" s="20" t="str">
        <f t="array" ref="F328">IFNA(_xlfn.XLOOKUP(C328,Table_Tarikan_Warkah[Nomor Sertipikat],Table_Tarikan_Warkah[Nama Petugas Warkah]),"")</f>
        <v>Berry</v>
      </c>
      <c r="G328" s="21" t="str">
        <f t="array" ref="G328">IFNA(_xlfn.XLOOKUP(C328,Table_Tarikan_Warkah[Nomor Sertipikat],Table_Tarikan_Warkah[Jenis Permohonan]),"")</f>
        <v>BN JUAL BELI</v>
      </c>
      <c r="H328" s="22" t="s">
        <v>31</v>
      </c>
      <c r="I328" s="22" t="s">
        <v>32</v>
      </c>
      <c r="J328" s="20">
        <f t="shared" si="29"/>
        <v>45596.68927</v>
      </c>
      <c r="K328" s="27" t="s">
        <v>65</v>
      </c>
      <c r="L328" s="27" t="s">
        <v>32</v>
      </c>
      <c r="M328" s="20">
        <f t="shared" si="30"/>
        <v>45597.57894</v>
      </c>
      <c r="N328" s="8" t="str">
        <f t="shared" si="3"/>
        <v>SELESAI</v>
      </c>
      <c r="O328" s="23">
        <f t="shared" si="22"/>
        <v>45597.57894</v>
      </c>
      <c r="P328" s="24" t="b">
        <v>0</v>
      </c>
      <c r="Q328" s="20" t="str">
        <f t="shared" si="5"/>
        <v/>
      </c>
      <c r="R328" s="24" t="b">
        <v>1</v>
      </c>
      <c r="S328" s="20">
        <f t="shared" si="6"/>
        <v>45600.37463</v>
      </c>
      <c r="T328" s="7"/>
    </row>
    <row r="329" ht="22.5" hidden="1" customHeight="1">
      <c r="B329" s="7">
        <f t="shared" si="7"/>
        <v>323</v>
      </c>
      <c r="C329" s="18" t="s">
        <v>356</v>
      </c>
      <c r="D329" s="19" t="str">
        <f t="array" ref="D329">IFNA(_xlfn.XLOOKUP(C329,Table_Tarikan_Warkah[Nomor Sertipikat],Table_Tarikan_Warkah[Nomor Tiket]),"")</f>
        <v>K/25/301024/1</v>
      </c>
      <c r="E329" s="20">
        <f t="array" ref="E329">IFNA(_xlfn.XLOOKUP(C329,Table_Tarikan_Warkah[Nomor Sertipikat],Table_Tarikan_Warkah[Tanggal diserahkan kepada Validator]),"")</f>
        <v>45596.40565</v>
      </c>
      <c r="F329" s="20" t="str">
        <f t="array" ref="F329">IFNA(_xlfn.XLOOKUP(C329,Table_Tarikan_Warkah[Nomor Sertipikat],Table_Tarikan_Warkah[Nama Petugas Warkah]),"")</f>
        <v>Berry</v>
      </c>
      <c r="G329" s="21" t="str">
        <f t="array" ref="G329">IFNA(_xlfn.XLOOKUP(C329,Table_Tarikan_Warkah[Nomor Sertipikat],Table_Tarikan_Warkah[Jenis Permohonan]),"")</f>
        <v>BN JUAL BELI</v>
      </c>
      <c r="H329" s="22" t="s">
        <v>31</v>
      </c>
      <c r="I329" s="22" t="s">
        <v>32</v>
      </c>
      <c r="J329" s="20">
        <f t="shared" si="29"/>
        <v>45596.68938</v>
      </c>
      <c r="K329" s="27" t="s">
        <v>65</v>
      </c>
      <c r="L329" s="27" t="s">
        <v>32</v>
      </c>
      <c r="M329" s="20">
        <f t="shared" si="30"/>
        <v>45597.57897</v>
      </c>
      <c r="N329" s="8" t="str">
        <f t="shared" si="3"/>
        <v>SELESAI</v>
      </c>
      <c r="O329" s="23">
        <f t="shared" si="22"/>
        <v>45597.57897</v>
      </c>
      <c r="P329" s="24" t="b">
        <v>0</v>
      </c>
      <c r="Q329" s="20" t="str">
        <f t="shared" si="5"/>
        <v/>
      </c>
      <c r="R329" s="24" t="b">
        <v>1</v>
      </c>
      <c r="S329" s="20">
        <f t="shared" si="6"/>
        <v>45600.37464</v>
      </c>
      <c r="T329" s="7"/>
    </row>
    <row r="330" ht="22.5" hidden="1" customHeight="1">
      <c r="B330" s="7">
        <f t="shared" si="7"/>
        <v>324</v>
      </c>
      <c r="C330" s="18" t="s">
        <v>357</v>
      </c>
      <c r="D330" s="19" t="str">
        <f t="array" ref="D330">IFNA(_xlfn.XLOOKUP(C330,Table_Tarikan_Warkah[Nomor Sertipikat],Table_Tarikan_Warkah[Nomor Tiket]),"")</f>
        <v>K/14/301024/1</v>
      </c>
      <c r="E330" s="20">
        <f t="array" ref="E330">IFNA(_xlfn.XLOOKUP(C330,Table_Tarikan_Warkah[Nomor Sertipikat],Table_Tarikan_Warkah[Tanggal diserahkan kepada Validator]),"")</f>
        <v>45596.40329</v>
      </c>
      <c r="F330" s="20" t="str">
        <f t="array" ref="F330">IFNA(_xlfn.XLOOKUP(C330,Table_Tarikan_Warkah[Nomor Sertipikat],Table_Tarikan_Warkah[Nama Petugas Warkah]),"")</f>
        <v>David</v>
      </c>
      <c r="G330" s="21" t="str">
        <f t="array" ref="G330">IFNA(_xlfn.XLOOKUP(C330,Table_Tarikan_Warkah[Nomor Sertipikat],Table_Tarikan_Warkah[Jenis Permohonan]),"")</f>
        <v>BN JUAL BELI</v>
      </c>
      <c r="H330" s="22" t="s">
        <v>31</v>
      </c>
      <c r="I330" s="22" t="s">
        <v>32</v>
      </c>
      <c r="J330" s="20">
        <f t="shared" si="29"/>
        <v>45596.68947</v>
      </c>
      <c r="K330" s="27" t="s">
        <v>65</v>
      </c>
      <c r="L330" s="27" t="s">
        <v>32</v>
      </c>
      <c r="M330" s="20">
        <f t="shared" si="30"/>
        <v>45597.579</v>
      </c>
      <c r="N330" s="8" t="str">
        <f t="shared" si="3"/>
        <v>SELESAI</v>
      </c>
      <c r="O330" s="23">
        <f t="shared" si="22"/>
        <v>45597.579</v>
      </c>
      <c r="P330" s="24" t="b">
        <v>0</v>
      </c>
      <c r="Q330" s="20" t="str">
        <f t="shared" si="5"/>
        <v/>
      </c>
      <c r="R330" s="24" t="b">
        <v>1</v>
      </c>
      <c r="S330" s="20">
        <f t="shared" si="6"/>
        <v>45600.37464</v>
      </c>
      <c r="T330" s="7"/>
    </row>
    <row r="331" ht="22.5" hidden="1" customHeight="1">
      <c r="B331" s="7">
        <f t="shared" si="7"/>
        <v>325</v>
      </c>
      <c r="C331" s="18" t="s">
        <v>358</v>
      </c>
      <c r="D331" s="19" t="str">
        <f t="array" ref="D331">IFNA(_xlfn.XLOOKUP(C331,Table_Tarikan_Warkah[Nomor Sertipikat],Table_Tarikan_Warkah[Nomor Tiket]),"")</f>
        <v>K/4/301024/3</v>
      </c>
      <c r="E331" s="20">
        <f t="array" ref="E331">IFNA(_xlfn.XLOOKUP(C331,Table_Tarikan_Warkah[Nomor Sertipikat],Table_Tarikan_Warkah[Tanggal diserahkan kepada Validator]),"")</f>
        <v>45596.40184</v>
      </c>
      <c r="F331" s="20" t="str">
        <f t="array" ref="F331">IFNA(_xlfn.XLOOKUP(C331,Table_Tarikan_Warkah[Nomor Sertipikat],Table_Tarikan_Warkah[Nama Petugas Warkah]),"")</f>
        <v>David</v>
      </c>
      <c r="G331" s="21" t="str">
        <f t="array" ref="G331">IFNA(_xlfn.XLOOKUP(C331,Table_Tarikan_Warkah[Nomor Sertipikat],Table_Tarikan_Warkah[Jenis Permohonan]),"")</f>
        <v>BN JUAL BELI</v>
      </c>
      <c r="H331" s="22" t="s">
        <v>31</v>
      </c>
      <c r="I331" s="22" t="s">
        <v>32</v>
      </c>
      <c r="J331" s="20">
        <f t="shared" si="29"/>
        <v>45596.68956</v>
      </c>
      <c r="K331" s="27" t="s">
        <v>65</v>
      </c>
      <c r="L331" s="27" t="s">
        <v>32</v>
      </c>
      <c r="M331" s="20">
        <f t="shared" si="30"/>
        <v>45597.57909</v>
      </c>
      <c r="N331" s="8" t="str">
        <f t="shared" si="3"/>
        <v>SELESAI</v>
      </c>
      <c r="O331" s="23">
        <f t="shared" si="22"/>
        <v>45597.57909</v>
      </c>
      <c r="P331" s="24" t="b">
        <v>0</v>
      </c>
      <c r="Q331" s="20" t="str">
        <f t="shared" si="5"/>
        <v/>
      </c>
      <c r="R331" s="24" t="b">
        <v>1</v>
      </c>
      <c r="S331" s="20">
        <f t="shared" si="6"/>
        <v>45600.37467</v>
      </c>
      <c r="T331" s="7"/>
    </row>
    <row r="332" ht="22.5" hidden="1" customHeight="1">
      <c r="B332" s="7">
        <f t="shared" si="7"/>
        <v>326</v>
      </c>
      <c r="C332" s="18" t="s">
        <v>359</v>
      </c>
      <c r="D332" s="19" t="str">
        <f t="array" ref="D332">IFNA(_xlfn.XLOOKUP(C332,Table_Tarikan_Warkah[Nomor Sertipikat],Table_Tarikan_Warkah[Nomor Tiket]),"")</f>
        <v>K/3/301024/2</v>
      </c>
      <c r="E332" s="20">
        <f t="array" ref="E332">IFNA(_xlfn.XLOOKUP(C332,Table_Tarikan_Warkah[Nomor Sertipikat],Table_Tarikan_Warkah[Tanggal diserahkan kepada Validator]),"")</f>
        <v>45596.40181</v>
      </c>
      <c r="F332" s="20" t="str">
        <f t="array" ref="F332">IFNA(_xlfn.XLOOKUP(C332,Table_Tarikan_Warkah[Nomor Sertipikat],Table_Tarikan_Warkah[Nama Petugas Warkah]),"")</f>
        <v>David</v>
      </c>
      <c r="G332" s="21" t="str">
        <f t="array" ref="G332">IFNA(_xlfn.XLOOKUP(C332,Table_Tarikan_Warkah[Nomor Sertipikat],Table_Tarikan_Warkah[Jenis Permohonan]),"")</f>
        <v>bn jual beli</v>
      </c>
      <c r="H332" s="22" t="s">
        <v>31</v>
      </c>
      <c r="I332" s="22" t="s">
        <v>32</v>
      </c>
      <c r="J332" s="20">
        <f t="shared" si="29"/>
        <v>45596.68966</v>
      </c>
      <c r="K332" s="27" t="s">
        <v>65</v>
      </c>
      <c r="L332" s="27" t="s">
        <v>32</v>
      </c>
      <c r="M332" s="20">
        <f t="shared" si="30"/>
        <v>45597.57913</v>
      </c>
      <c r="N332" s="8" t="str">
        <f t="shared" si="3"/>
        <v>SELESAI</v>
      </c>
      <c r="O332" s="23">
        <f t="shared" si="22"/>
        <v>45597.57913</v>
      </c>
      <c r="P332" s="24" t="b">
        <v>0</v>
      </c>
      <c r="Q332" s="20" t="str">
        <f t="shared" si="5"/>
        <v/>
      </c>
      <c r="R332" s="24" t="b">
        <v>1</v>
      </c>
      <c r="S332" s="20">
        <f t="shared" si="6"/>
        <v>45600.37469</v>
      </c>
      <c r="T332" s="7"/>
    </row>
    <row r="333" ht="22.5" hidden="1" customHeight="1">
      <c r="B333" s="7">
        <f t="shared" si="7"/>
        <v>327</v>
      </c>
      <c r="C333" s="18" t="s">
        <v>360</v>
      </c>
      <c r="D333" s="19" t="str">
        <f t="array" ref="D333">IFNA(_xlfn.XLOOKUP(C333,Table_Tarikan_Warkah[Nomor Sertipikat],Table_Tarikan_Warkah[Nomor Tiket]),"")</f>
        <v>K/2/301024/1</v>
      </c>
      <c r="E333" s="20">
        <f t="array" ref="E333">IFNA(_xlfn.XLOOKUP(C333,Table_Tarikan_Warkah[Nomor Sertipikat],Table_Tarikan_Warkah[Tanggal diserahkan kepada Validator]),"")</f>
        <v>45596.40178</v>
      </c>
      <c r="F333" s="20" t="str">
        <f t="array" ref="F333">IFNA(_xlfn.XLOOKUP(C333,Table_Tarikan_Warkah[Nomor Sertipikat],Table_Tarikan_Warkah[Nama Petugas Warkah]),"")</f>
        <v>David</v>
      </c>
      <c r="G333" s="21" t="str">
        <f t="array" ref="G333">IFNA(_xlfn.XLOOKUP(C333,Table_Tarikan_Warkah[Nomor Sertipikat],Table_Tarikan_Warkah[Jenis Permohonan]),"")</f>
        <v>BN JUAL BELI</v>
      </c>
      <c r="H333" s="22" t="s">
        <v>31</v>
      </c>
      <c r="I333" s="22" t="s">
        <v>32</v>
      </c>
      <c r="J333" s="20">
        <f t="shared" si="29"/>
        <v>45596.68974</v>
      </c>
      <c r="K333" s="27" t="s">
        <v>65</v>
      </c>
      <c r="L333" s="27" t="s">
        <v>32</v>
      </c>
      <c r="M333" s="20">
        <f t="shared" si="30"/>
        <v>45597.57915</v>
      </c>
      <c r="N333" s="8" t="str">
        <f t="shared" si="3"/>
        <v>SELESAI</v>
      </c>
      <c r="O333" s="23">
        <f t="shared" si="22"/>
        <v>45597.57915</v>
      </c>
      <c r="P333" s="24" t="b">
        <v>0</v>
      </c>
      <c r="Q333" s="20" t="str">
        <f t="shared" si="5"/>
        <v/>
      </c>
      <c r="R333" s="24" t="b">
        <v>1</v>
      </c>
      <c r="S333" s="20">
        <f t="shared" si="6"/>
        <v>45600.37469</v>
      </c>
      <c r="T333" s="7"/>
    </row>
    <row r="334" ht="22.5" hidden="1" customHeight="1">
      <c r="B334" s="7">
        <f t="shared" si="7"/>
        <v>328</v>
      </c>
      <c r="C334" s="18" t="s">
        <v>361</v>
      </c>
      <c r="D334" s="19" t="str">
        <f t="array" ref="D334">IFNA(_xlfn.XLOOKUP(C334,Table_Tarikan_Warkah[Nomor Sertipikat],Table_Tarikan_Warkah[Nomor Tiket]),"")</f>
        <v>L/1/301024/1</v>
      </c>
      <c r="E334" s="20">
        <f t="array" ref="E334">IFNA(_xlfn.XLOOKUP(C334,Table_Tarikan_Warkah[Nomor Sertipikat],Table_Tarikan_Warkah[Tanggal diserahkan kepada Validator]),"")</f>
        <v>45596.40108</v>
      </c>
      <c r="F334" s="20" t="str">
        <f t="array" ref="F334">IFNA(_xlfn.XLOOKUP(C334,Table_Tarikan_Warkah[Nomor Sertipikat],Table_Tarikan_Warkah[Nama Petugas Warkah]),"")</f>
        <v>David</v>
      </c>
      <c r="G334" s="21" t="str">
        <f t="array" ref="G334">IFNA(_xlfn.XLOOKUP(C334,Table_Tarikan_Warkah[Nomor Sertipikat],Table_Tarikan_Warkah[Jenis Permohonan]),"")</f>
        <v>ROYA</v>
      </c>
      <c r="H334" s="22" t="s">
        <v>31</v>
      </c>
      <c r="I334" s="22" t="s">
        <v>32</v>
      </c>
      <c r="J334" s="20">
        <f t="shared" si="29"/>
        <v>45596.68983</v>
      </c>
      <c r="K334" s="27" t="s">
        <v>65</v>
      </c>
      <c r="L334" s="27" t="s">
        <v>32</v>
      </c>
      <c r="M334" s="20">
        <f t="shared" si="30"/>
        <v>45597.57917</v>
      </c>
      <c r="N334" s="8" t="str">
        <f t="shared" si="3"/>
        <v>SELESAI</v>
      </c>
      <c r="O334" s="23">
        <f t="shared" si="22"/>
        <v>45597.57917</v>
      </c>
      <c r="P334" s="24" t="b">
        <v>0</v>
      </c>
      <c r="Q334" s="20" t="str">
        <f t="shared" si="5"/>
        <v/>
      </c>
      <c r="R334" s="24" t="b">
        <v>1</v>
      </c>
      <c r="S334" s="20">
        <f t="shared" si="6"/>
        <v>45600.3747</v>
      </c>
      <c r="T334" s="7"/>
    </row>
    <row r="335" ht="22.5" hidden="1" customHeight="1">
      <c r="B335" s="7">
        <f t="shared" si="7"/>
        <v>329</v>
      </c>
      <c r="C335" s="18" t="s">
        <v>362</v>
      </c>
      <c r="D335" s="19" t="str">
        <f t="array" ref="D335">IFNA(_xlfn.XLOOKUP(C335,Table_Tarikan_Warkah[Nomor Sertipikat],Table_Tarikan_Warkah[Nomor Tiket]),"")</f>
        <v>L/1/301024/2</v>
      </c>
      <c r="E335" s="20">
        <f t="array" ref="E335">IFNA(_xlfn.XLOOKUP(C335,Table_Tarikan_Warkah[Nomor Sertipikat],Table_Tarikan_Warkah[Tanggal diserahkan kepada Validator]),"")</f>
        <v>45596.40112</v>
      </c>
      <c r="F335" s="20" t="str">
        <f t="array" ref="F335">IFNA(_xlfn.XLOOKUP(C335,Table_Tarikan_Warkah[Nomor Sertipikat],Table_Tarikan_Warkah[Nama Petugas Warkah]),"")</f>
        <v>David</v>
      </c>
      <c r="G335" s="21" t="str">
        <f t="array" ref="G335">IFNA(_xlfn.XLOOKUP(C335,Table_Tarikan_Warkah[Nomor Sertipikat],Table_Tarikan_Warkah[Jenis Permohonan]),"")</f>
        <v>ROYA</v>
      </c>
      <c r="H335" s="22" t="s">
        <v>31</v>
      </c>
      <c r="I335" s="22" t="s">
        <v>32</v>
      </c>
      <c r="J335" s="20">
        <f t="shared" si="29"/>
        <v>45596.68991</v>
      </c>
      <c r="K335" s="27" t="s">
        <v>65</v>
      </c>
      <c r="L335" s="27" t="s">
        <v>32</v>
      </c>
      <c r="M335" s="20">
        <f t="shared" si="30"/>
        <v>45597.57918</v>
      </c>
      <c r="N335" s="8" t="str">
        <f t="shared" si="3"/>
        <v>SELESAI</v>
      </c>
      <c r="O335" s="23">
        <f t="shared" si="22"/>
        <v>45597.57918</v>
      </c>
      <c r="P335" s="24" t="b">
        <v>0</v>
      </c>
      <c r="Q335" s="20" t="str">
        <f t="shared" si="5"/>
        <v/>
      </c>
      <c r="R335" s="24" t="b">
        <v>1</v>
      </c>
      <c r="S335" s="20">
        <f t="shared" si="6"/>
        <v>45600.37471</v>
      </c>
      <c r="T335" s="7"/>
    </row>
    <row r="336" ht="22.5" hidden="1" customHeight="1">
      <c r="B336" s="7">
        <f t="shared" si="7"/>
        <v>330</v>
      </c>
      <c r="C336" s="18" t="s">
        <v>300</v>
      </c>
      <c r="D336" s="19" t="str">
        <f t="array" ref="D336">IFNA(_xlfn.XLOOKUP(C336,Table_Tarikan_Warkah[Nomor Sertipikat],Table_Tarikan_Warkah[Nomor Tiket]),"")</f>
        <v>K/42/181024/2</v>
      </c>
      <c r="E336" s="20">
        <f t="array" ref="E336">IFNA(_xlfn.XLOOKUP(C336,Table_Tarikan_Warkah[Nomor Sertipikat],Table_Tarikan_Warkah[Tanggal diserahkan kepada Validator]),"")</f>
        <v>45596.46256</v>
      </c>
      <c r="F336" s="20" t="str">
        <f t="array" ref="F336">IFNA(_xlfn.XLOOKUP(C336,Table_Tarikan_Warkah[Nomor Sertipikat],Table_Tarikan_Warkah[Nama Petugas Warkah]),"")</f>
        <v>Sahelia</v>
      </c>
      <c r="G336" s="21" t="str">
        <f t="array" ref="G336">IFNA(_xlfn.XLOOKUP(C336,Table_Tarikan_Warkah[Nomor Sertipikat],Table_Tarikan_Warkah[Jenis Permohonan]),"")</f>
        <v>BN PHB</v>
      </c>
      <c r="H336" s="22" t="s">
        <v>31</v>
      </c>
      <c r="I336" s="22" t="s">
        <v>32</v>
      </c>
      <c r="J336" s="20">
        <f t="shared" si="29"/>
        <v>45596.69004</v>
      </c>
      <c r="K336" s="27" t="s">
        <v>65</v>
      </c>
      <c r="L336" s="27" t="s">
        <v>32</v>
      </c>
      <c r="M336" s="20">
        <f t="shared" si="30"/>
        <v>45597.57921</v>
      </c>
      <c r="N336" s="8" t="str">
        <f t="shared" si="3"/>
        <v>SELESAI</v>
      </c>
      <c r="O336" s="23">
        <f t="shared" si="22"/>
        <v>45597.57921</v>
      </c>
      <c r="P336" s="24" t="b">
        <v>0</v>
      </c>
      <c r="Q336" s="20" t="str">
        <f t="shared" si="5"/>
        <v/>
      </c>
      <c r="R336" s="24" t="b">
        <v>1</v>
      </c>
      <c r="S336" s="20">
        <f t="shared" si="6"/>
        <v>45600.37472</v>
      </c>
      <c r="T336" s="7"/>
    </row>
    <row r="337" ht="22.5" hidden="1" customHeight="1">
      <c r="B337" s="7">
        <f t="shared" si="7"/>
        <v>331</v>
      </c>
      <c r="C337" s="18" t="s">
        <v>363</v>
      </c>
      <c r="D337" s="19" t="str">
        <f t="array" ref="D337">IFNA(_xlfn.XLOOKUP(C337,Table_Tarikan_Warkah[Nomor Sertipikat],Table_Tarikan_Warkah[Nomor Tiket]),"")</f>
        <v>K/41/221024/3</v>
      </c>
      <c r="E337" s="20">
        <f t="array" ref="E337">IFNA(_xlfn.XLOOKUP(C337,Table_Tarikan_Warkah[Nomor Sertipikat],Table_Tarikan_Warkah[Tanggal diserahkan kepada Validator]),"")</f>
        <v>45601.42123</v>
      </c>
      <c r="F337" s="20" t="str">
        <f t="array" ref="F337">IFNA(_xlfn.XLOOKUP(C337,Table_Tarikan_Warkah[Nomor Sertipikat],Table_Tarikan_Warkah[Nama Petugas Warkah]),"")</f>
        <v>Sahelia</v>
      </c>
      <c r="G337" s="21" t="str">
        <f t="array" ref="G337">IFNA(_xlfn.XLOOKUP(C337,Table_Tarikan_Warkah[Nomor Sertipikat],Table_Tarikan_Warkah[Jenis Permohonan]),"")</f>
        <v>BN Jual Beli</v>
      </c>
      <c r="H337" s="22" t="s">
        <v>31</v>
      </c>
      <c r="I337" s="22" t="s">
        <v>32</v>
      </c>
      <c r="J337" s="20">
        <f t="shared" si="29"/>
        <v>45596.69029</v>
      </c>
      <c r="K337" s="27" t="s">
        <v>65</v>
      </c>
      <c r="L337" s="27" t="s">
        <v>187</v>
      </c>
      <c r="M337" s="20">
        <f t="shared" si="30"/>
        <v>45597.58006</v>
      </c>
      <c r="N337" s="8" t="str">
        <f t="shared" si="3"/>
        <v>Selesai</v>
      </c>
      <c r="O337" s="23">
        <f t="shared" si="22"/>
        <v>45597.58006</v>
      </c>
      <c r="P337" s="24" t="b">
        <v>1</v>
      </c>
      <c r="Q337" s="20">
        <f t="shared" si="5"/>
        <v>45600.37475</v>
      </c>
      <c r="R337" s="24" t="b">
        <v>0</v>
      </c>
      <c r="S337" s="7" t="str">
        <f t="shared" si="6"/>
        <v/>
      </c>
      <c r="T337" s="7"/>
    </row>
    <row r="338" ht="22.5" hidden="1" customHeight="1">
      <c r="B338" s="7">
        <f t="shared" si="7"/>
        <v>332</v>
      </c>
      <c r="C338" s="18" t="s">
        <v>364</v>
      </c>
      <c r="D338" s="19" t="str">
        <f t="array" ref="D338">IFNA(_xlfn.XLOOKUP(C338,Table_Tarikan_Warkah[Nomor Sertipikat],Table_Tarikan_Warkah[Nomor Tiket]),"")</f>
        <v>K/11/181024/1</v>
      </c>
      <c r="E338" s="20" t="str">
        <f t="array" ref="E338">IFNA(_xlfn.XLOOKUP(C338,Table_Tarikan_Warkah[Nomor Sertipikat],Table_Tarikan_Warkah[Tanggal diserahkan kepada Validator]),"")</f>
        <v/>
      </c>
      <c r="F338" s="20" t="str">
        <f t="array" ref="F338">IFNA(_xlfn.XLOOKUP(C338,Table_Tarikan_Warkah[Nomor Sertipikat],Table_Tarikan_Warkah[Nama Petugas Warkah]),"")</f>
        <v/>
      </c>
      <c r="G338" s="21" t="str">
        <f t="array" ref="G338">IFNA(_xlfn.XLOOKUP(C338,Table_Tarikan_Warkah[Nomor Sertipikat],Table_Tarikan_Warkah[Jenis Permohonan]),"")</f>
        <v>PEMECAHAN</v>
      </c>
      <c r="H338" s="22" t="s">
        <v>31</v>
      </c>
      <c r="I338" s="22" t="s">
        <v>32</v>
      </c>
      <c r="J338" s="20">
        <f t="shared" si="29"/>
        <v>45596.69041</v>
      </c>
      <c r="K338" s="27" t="s">
        <v>65</v>
      </c>
      <c r="L338" s="27" t="s">
        <v>187</v>
      </c>
      <c r="M338" s="20">
        <f t="shared" si="30"/>
        <v>45597.58008</v>
      </c>
      <c r="N338" s="8" t="str">
        <f t="shared" si="3"/>
        <v>Selesai</v>
      </c>
      <c r="O338" s="23">
        <f t="shared" si="22"/>
        <v>45597.58008</v>
      </c>
      <c r="P338" s="24" t="b">
        <v>1</v>
      </c>
      <c r="Q338" s="20">
        <f t="shared" si="5"/>
        <v>45600.37477</v>
      </c>
      <c r="R338" s="24" t="b">
        <v>0</v>
      </c>
      <c r="S338" s="7" t="str">
        <f t="shared" si="6"/>
        <v/>
      </c>
      <c r="T338" s="7"/>
    </row>
    <row r="339" ht="22.5" hidden="1" customHeight="1">
      <c r="B339" s="7">
        <f t="shared" si="7"/>
        <v>333</v>
      </c>
      <c r="C339" s="18" t="s">
        <v>365</v>
      </c>
      <c r="D339" s="19" t="str">
        <f t="array" ref="D339">IFNA(_xlfn.XLOOKUP(C339,Table_Tarikan_Warkah[Nomor Sertipikat],Table_Tarikan_Warkah[Nomor Tiket]),"")</f>
        <v>K/52/241024/1</v>
      </c>
      <c r="E339" s="20">
        <f t="array" ref="E339">IFNA(_xlfn.XLOOKUP(C339,Table_Tarikan_Warkah[Nomor Sertipikat],Table_Tarikan_Warkah[Tanggal diserahkan kepada Validator]),"")</f>
        <v>45603.59254</v>
      </c>
      <c r="F339" s="20" t="str">
        <f t="array" ref="F339">IFNA(_xlfn.XLOOKUP(C339,Table_Tarikan_Warkah[Nomor Sertipikat],Table_Tarikan_Warkah[Nama Petugas Warkah]),"")</f>
        <v>Sahelia</v>
      </c>
      <c r="G339" s="21" t="str">
        <f t="array" ref="G339">IFNA(_xlfn.XLOOKUP(C339,Table_Tarikan_Warkah[Nomor Sertipikat],Table_Tarikan_Warkah[Jenis Permohonan]),"")</f>
        <v>BN JUAL BELI</v>
      </c>
      <c r="H339" s="22" t="s">
        <v>31</v>
      </c>
      <c r="I339" s="22" t="s">
        <v>32</v>
      </c>
      <c r="J339" s="20">
        <f t="shared" si="29"/>
        <v>45596.69051</v>
      </c>
      <c r="K339" s="27" t="s">
        <v>65</v>
      </c>
      <c r="L339" s="27" t="s">
        <v>187</v>
      </c>
      <c r="M339" s="20">
        <f t="shared" si="30"/>
        <v>45597.5801</v>
      </c>
      <c r="N339" s="8" t="str">
        <f t="shared" si="3"/>
        <v>Selesai</v>
      </c>
      <c r="O339" s="23">
        <f t="shared" si="22"/>
        <v>45597.5801</v>
      </c>
      <c r="P339" s="24" t="b">
        <v>1</v>
      </c>
      <c r="Q339" s="20">
        <f t="shared" si="5"/>
        <v>45600.37478</v>
      </c>
      <c r="R339" s="24" t="b">
        <v>0</v>
      </c>
      <c r="S339" s="7" t="str">
        <f t="shared" si="6"/>
        <v/>
      </c>
      <c r="T339" s="7"/>
    </row>
    <row r="340" ht="22.5" hidden="1" customHeight="1">
      <c r="B340" s="7">
        <f t="shared" si="7"/>
        <v>334</v>
      </c>
      <c r="C340" s="18"/>
      <c r="D340" s="19" t="str">
        <f t="array" ref="D340">IFNA(_xlfn.XLOOKUP(C340,Table_Tarikan_Warkah[Nomor Sertipikat],Table_Tarikan_Warkah[Nomor Tiket]),"")</f>
        <v/>
      </c>
      <c r="E340" s="20" t="str">
        <f t="array" ref="E340">IFNA(_xlfn.XLOOKUP(C340,Table_Tarikan_Warkah[Nomor Sertipikat],Table_Tarikan_Warkah[Tanggal diserahkan kepada Validator]),"")</f>
        <v/>
      </c>
      <c r="F340" s="20" t="str">
        <f t="array" ref="F340">IFNA(_xlfn.XLOOKUP(C340,Table_Tarikan_Warkah[Nomor Sertipikat],Table_Tarikan_Warkah[Nama Petugas Warkah]),"")</f>
        <v/>
      </c>
      <c r="G340" s="21" t="str">
        <f t="array" ref="G340">IFNA(_xlfn.XLOOKUP(C340,Table_Tarikan_Warkah[Nomor Sertipikat],Table_Tarikan_Warkah[Jenis Permohonan]),"")</f>
        <v/>
      </c>
      <c r="H340" s="22" t="s">
        <v>37</v>
      </c>
      <c r="I340" s="22" t="s">
        <v>32</v>
      </c>
      <c r="J340" s="20">
        <f t="shared" si="29"/>
        <v>45597.36508</v>
      </c>
      <c r="K340" s="27" t="s">
        <v>33</v>
      </c>
      <c r="L340" s="27" t="s">
        <v>32</v>
      </c>
      <c r="M340" s="20">
        <f t="shared" si="30"/>
        <v>45597.58097</v>
      </c>
      <c r="N340" s="8" t="str">
        <f t="shared" si="3"/>
        <v/>
      </c>
      <c r="O340" s="21" t="str">
        <f t="shared" si="22"/>
        <v/>
      </c>
      <c r="P340" s="24" t="b">
        <v>0</v>
      </c>
      <c r="Q340" s="20" t="str">
        <f t="shared" si="5"/>
        <v/>
      </c>
      <c r="R340" s="24" t="b">
        <v>1</v>
      </c>
      <c r="S340" s="20">
        <f t="shared" si="6"/>
        <v>45600.36823</v>
      </c>
      <c r="T340" s="7"/>
    </row>
    <row r="341" ht="22.5" hidden="1" customHeight="1">
      <c r="B341" s="7">
        <f t="shared" si="7"/>
        <v>335</v>
      </c>
      <c r="C341" s="18" t="s">
        <v>366</v>
      </c>
      <c r="D341" s="19" t="str">
        <f t="array" ref="D341">IFNA(_xlfn.XLOOKUP(C341,Table_Tarikan_Warkah[Nomor Sertipikat],Table_Tarikan_Warkah[Nomor Tiket]),"")</f>
        <v>L/27/291024/1</v>
      </c>
      <c r="E341" s="20">
        <f t="array" ref="E341">IFNA(_xlfn.XLOOKUP(C341,Table_Tarikan_Warkah[Nomor Sertipikat],Table_Tarikan_Warkah[Tanggal diserahkan kepada Validator]),"")</f>
        <v>45595.46046</v>
      </c>
      <c r="F341" s="20" t="str">
        <f t="array" ref="F341">IFNA(_xlfn.XLOOKUP(C341,Table_Tarikan_Warkah[Nomor Sertipikat],Table_Tarikan_Warkah[Nama Petugas Warkah]),"")</f>
        <v>Berry</v>
      </c>
      <c r="G341" s="21" t="str">
        <f t="array" ref="G341">IFNA(_xlfn.XLOOKUP(C341,Table_Tarikan_Warkah[Nomor Sertipikat],Table_Tarikan_Warkah[Jenis Permohonan]),"")</f>
        <v>ROYA</v>
      </c>
      <c r="H341" s="22" t="s">
        <v>37</v>
      </c>
      <c r="I341" s="22" t="s">
        <v>32</v>
      </c>
      <c r="J341" s="20">
        <f t="shared" si="29"/>
        <v>45597.36601</v>
      </c>
      <c r="K341" s="27" t="s">
        <v>33</v>
      </c>
      <c r="L341" s="27" t="s">
        <v>32</v>
      </c>
      <c r="M341" s="20">
        <f t="shared" si="30"/>
        <v>45597.58099</v>
      </c>
      <c r="N341" s="8" t="str">
        <f t="shared" si="3"/>
        <v>SELESAI</v>
      </c>
      <c r="O341" s="23">
        <f t="shared" si="22"/>
        <v>45597.58099</v>
      </c>
      <c r="P341" s="24" t="b">
        <v>0</v>
      </c>
      <c r="Q341" s="20" t="str">
        <f t="shared" si="5"/>
        <v/>
      </c>
      <c r="R341" s="24" t="b">
        <v>1</v>
      </c>
      <c r="S341" s="20">
        <f t="shared" si="6"/>
        <v>45600.3686</v>
      </c>
      <c r="T341" s="7"/>
    </row>
    <row r="342" ht="22.5" hidden="1" customHeight="1">
      <c r="B342" s="7">
        <f t="shared" si="7"/>
        <v>336</v>
      </c>
      <c r="C342" s="18" t="s">
        <v>367</v>
      </c>
      <c r="D342" s="19" t="str">
        <f t="array" ref="D342">IFNA(_xlfn.XLOOKUP(C342,Table_Tarikan_Warkah[Nomor Sertipikat],Table_Tarikan_Warkah[Nomor Tiket]),"")</f>
        <v>K/29/291024/1</v>
      </c>
      <c r="E342" s="20">
        <f t="array" ref="E342">IFNA(_xlfn.XLOOKUP(C342,Table_Tarikan_Warkah[Nomor Sertipikat],Table_Tarikan_Warkah[Tanggal diserahkan kepada Validator]),"")</f>
        <v>45595.46098</v>
      </c>
      <c r="F342" s="20" t="str">
        <f t="array" ref="F342">IFNA(_xlfn.XLOOKUP(C342,Table_Tarikan_Warkah[Nomor Sertipikat],Table_Tarikan_Warkah[Nama Petugas Warkah]),"")</f>
        <v>Berry</v>
      </c>
      <c r="G342" s="21" t="str">
        <f t="array" ref="G342">IFNA(_xlfn.XLOOKUP(C342,Table_Tarikan_Warkah[Nomor Sertipikat],Table_Tarikan_Warkah[Jenis Permohonan]),"")</f>
        <v>Roya</v>
      </c>
      <c r="H342" s="22" t="s">
        <v>37</v>
      </c>
      <c r="I342" s="22" t="s">
        <v>32</v>
      </c>
      <c r="J342" s="20">
        <f t="shared" si="29"/>
        <v>45597.36627</v>
      </c>
      <c r="K342" s="27" t="s">
        <v>33</v>
      </c>
      <c r="L342" s="27" t="s">
        <v>32</v>
      </c>
      <c r="M342" s="20">
        <f t="shared" si="30"/>
        <v>45597.58101</v>
      </c>
      <c r="N342" s="8" t="str">
        <f t="shared" si="3"/>
        <v>SELESAI</v>
      </c>
      <c r="O342" s="23">
        <f t="shared" si="22"/>
        <v>45597.58101</v>
      </c>
      <c r="P342" s="24" t="b">
        <v>0</v>
      </c>
      <c r="Q342" s="20" t="str">
        <f t="shared" si="5"/>
        <v/>
      </c>
      <c r="R342" s="24" t="b">
        <v>1</v>
      </c>
      <c r="S342" s="20">
        <f t="shared" si="6"/>
        <v>45600.36633</v>
      </c>
      <c r="T342" s="7"/>
    </row>
    <row r="343" ht="22.5" hidden="1" customHeight="1">
      <c r="B343" s="7">
        <f t="shared" si="7"/>
        <v>337</v>
      </c>
      <c r="C343" s="18" t="s">
        <v>368</v>
      </c>
      <c r="D343" s="19" t="str">
        <f t="array" ref="D343">IFNA(_xlfn.XLOOKUP(C343,Table_Tarikan_Warkah[Nomor Sertipikat],Table_Tarikan_Warkah[Nomor Tiket]),"")</f>
        <v>K/33/291024/1</v>
      </c>
      <c r="E343" s="20">
        <f t="array" ref="E343">IFNA(_xlfn.XLOOKUP(C343,Table_Tarikan_Warkah[Nomor Sertipikat],Table_Tarikan_Warkah[Tanggal diserahkan kepada Validator]),"")</f>
        <v>45595.46134</v>
      </c>
      <c r="F343" s="20" t="str">
        <f t="array" ref="F343">IFNA(_xlfn.XLOOKUP(C343,Table_Tarikan_Warkah[Nomor Sertipikat],Table_Tarikan_Warkah[Nama Petugas Warkah]),"")</f>
        <v>Berry</v>
      </c>
      <c r="G343" s="21" t="str">
        <f t="array" ref="G343">IFNA(_xlfn.XLOOKUP(C343,Table_Tarikan_Warkah[Nomor Sertipikat],Table_Tarikan_Warkah[Jenis Permohonan]),"")</f>
        <v>BN Waris</v>
      </c>
      <c r="H343" s="22" t="s">
        <v>37</v>
      </c>
      <c r="I343" s="22" t="s">
        <v>32</v>
      </c>
      <c r="J343" s="20">
        <f t="shared" si="29"/>
        <v>45597.36645</v>
      </c>
      <c r="K343" s="27" t="s">
        <v>33</v>
      </c>
      <c r="L343" s="27" t="s">
        <v>32</v>
      </c>
      <c r="M343" s="20">
        <f t="shared" si="30"/>
        <v>45597.58103</v>
      </c>
      <c r="N343" s="8" t="str">
        <f t="shared" si="3"/>
        <v>SELESAI</v>
      </c>
      <c r="O343" s="23">
        <f t="shared" si="22"/>
        <v>45597.58103</v>
      </c>
      <c r="P343" s="24" t="b">
        <v>0</v>
      </c>
      <c r="Q343" s="20" t="str">
        <f t="shared" si="5"/>
        <v/>
      </c>
      <c r="R343" s="24" t="b">
        <v>1</v>
      </c>
      <c r="S343" s="20">
        <f t="shared" si="6"/>
        <v>45600.36931</v>
      </c>
      <c r="T343" s="7"/>
    </row>
    <row r="344" ht="22.5" hidden="1" customHeight="1">
      <c r="B344" s="7">
        <f t="shared" si="7"/>
        <v>338</v>
      </c>
      <c r="C344" s="18" t="s">
        <v>369</v>
      </c>
      <c r="D344" s="19" t="str">
        <f t="array" ref="D344">IFNA(_xlfn.XLOOKUP(C344,Table_Tarikan_Warkah[Nomor Sertipikat],Table_Tarikan_Warkah[Nomor Tiket]),"")</f>
        <v>K/34/291024/1</v>
      </c>
      <c r="E344" s="20">
        <f t="array" ref="E344">IFNA(_xlfn.XLOOKUP(C344,Table_Tarikan_Warkah[Nomor Sertipikat],Table_Tarikan_Warkah[Tanggal diserahkan kepada Validator]),"")</f>
        <v>45595.46154</v>
      </c>
      <c r="F344" s="20" t="str">
        <f t="array" ref="F344">IFNA(_xlfn.XLOOKUP(C344,Table_Tarikan_Warkah[Nomor Sertipikat],Table_Tarikan_Warkah[Nama Petugas Warkah]),"")</f>
        <v>Berry</v>
      </c>
      <c r="G344" s="21" t="str">
        <f t="array" ref="G344">IFNA(_xlfn.XLOOKUP(C344,Table_Tarikan_Warkah[Nomor Sertipikat],Table_Tarikan_Warkah[Jenis Permohonan]),"")</f>
        <v>ROYA</v>
      </c>
      <c r="H344" s="22" t="s">
        <v>37</v>
      </c>
      <c r="I344" s="22" t="s">
        <v>32</v>
      </c>
      <c r="J344" s="20">
        <f t="shared" si="29"/>
        <v>45597.36658</v>
      </c>
      <c r="K344" s="27" t="s">
        <v>33</v>
      </c>
      <c r="L344" s="27" t="s">
        <v>32</v>
      </c>
      <c r="M344" s="20">
        <f t="shared" si="30"/>
        <v>45597.58105</v>
      </c>
      <c r="N344" s="8" t="str">
        <f t="shared" si="3"/>
        <v>SELESAI</v>
      </c>
      <c r="O344" s="23">
        <f t="shared" si="22"/>
        <v>45597.58105</v>
      </c>
      <c r="P344" s="24" t="b">
        <v>0</v>
      </c>
      <c r="Q344" s="20" t="str">
        <f t="shared" si="5"/>
        <v/>
      </c>
      <c r="R344" s="24" t="b">
        <v>1</v>
      </c>
      <c r="S344" s="20">
        <f t="shared" si="6"/>
        <v>45600.36579</v>
      </c>
      <c r="T344" s="7"/>
    </row>
    <row r="345" ht="22.5" hidden="1" customHeight="1">
      <c r="B345" s="7">
        <f t="shared" si="7"/>
        <v>339</v>
      </c>
      <c r="C345" s="18" t="s">
        <v>370</v>
      </c>
      <c r="D345" s="19" t="str">
        <f t="array" ref="D345">IFNA(_xlfn.XLOOKUP(C345,Table_Tarikan_Warkah[Nomor Sertipikat],Table_Tarikan_Warkah[Nomor Tiket]),"")</f>
        <v>K/35/291024/1</v>
      </c>
      <c r="E345" s="20">
        <f t="array" ref="E345">IFNA(_xlfn.XLOOKUP(C345,Table_Tarikan_Warkah[Nomor Sertipikat],Table_Tarikan_Warkah[Tanggal diserahkan kepada Validator]),"")</f>
        <v>45595.46182</v>
      </c>
      <c r="F345" s="20" t="str">
        <f t="array" ref="F345">IFNA(_xlfn.XLOOKUP(C345,Table_Tarikan_Warkah[Nomor Sertipikat],Table_Tarikan_Warkah[Nama Petugas Warkah]),"")</f>
        <v>Berry</v>
      </c>
      <c r="G345" s="21" t="str">
        <f t="array" ref="G345">IFNA(_xlfn.XLOOKUP(C345,Table_Tarikan_Warkah[Nomor Sertipikat],Table_Tarikan_Warkah[Jenis Permohonan]),"")</f>
        <v>BN Jual Beli</v>
      </c>
      <c r="H345" s="22" t="s">
        <v>37</v>
      </c>
      <c r="I345" s="22" t="s">
        <v>32</v>
      </c>
      <c r="J345" s="20">
        <f t="shared" si="29"/>
        <v>45597.36673</v>
      </c>
      <c r="K345" s="27" t="s">
        <v>33</v>
      </c>
      <c r="L345" s="27" t="s">
        <v>32</v>
      </c>
      <c r="M345" s="20">
        <f t="shared" si="30"/>
        <v>45597.58108</v>
      </c>
      <c r="N345" s="8" t="str">
        <f t="shared" si="3"/>
        <v>SELESAI</v>
      </c>
      <c r="O345" s="23">
        <f t="shared" si="22"/>
        <v>45597.58108</v>
      </c>
      <c r="P345" s="24" t="b">
        <v>0</v>
      </c>
      <c r="Q345" s="20" t="str">
        <f t="shared" si="5"/>
        <v/>
      </c>
      <c r="R345" s="24" t="b">
        <v>1</v>
      </c>
      <c r="S345" s="20">
        <f t="shared" si="6"/>
        <v>45600.36606</v>
      </c>
      <c r="T345" s="7"/>
    </row>
    <row r="346" ht="22.5" hidden="1" customHeight="1">
      <c r="B346" s="7">
        <f t="shared" si="7"/>
        <v>340</v>
      </c>
      <c r="C346" s="18" t="s">
        <v>371</v>
      </c>
      <c r="D346" s="19" t="str">
        <f t="array" ref="D346">IFNA(_xlfn.XLOOKUP(C346,Table_Tarikan_Warkah[Nomor Sertipikat],Table_Tarikan_Warkah[Nomor Tiket]),"")</f>
        <v>L/48/291024/1</v>
      </c>
      <c r="E346" s="20">
        <f t="array" ref="E346">IFNA(_xlfn.XLOOKUP(C346,Table_Tarikan_Warkah[Nomor Sertipikat],Table_Tarikan_Warkah[Tanggal diserahkan kepada Validator]),"")</f>
        <v>45595.4629</v>
      </c>
      <c r="F346" s="20" t="str">
        <f t="array" ref="F346">IFNA(_xlfn.XLOOKUP(C346,Table_Tarikan_Warkah[Nomor Sertipikat],Table_Tarikan_Warkah[Nama Petugas Warkah]),"")</f>
        <v>Berry</v>
      </c>
      <c r="G346" s="21" t="str">
        <f t="array" ref="G346">IFNA(_xlfn.XLOOKUP(C346,Table_Tarikan_Warkah[Nomor Sertipikat],Table_Tarikan_Warkah[Jenis Permohonan]),"")</f>
        <v>ROYA</v>
      </c>
      <c r="H346" s="22" t="s">
        <v>37</v>
      </c>
      <c r="I346" s="22" t="s">
        <v>32</v>
      </c>
      <c r="J346" s="20">
        <f t="shared" si="29"/>
        <v>45597.36689</v>
      </c>
      <c r="K346" s="27" t="s">
        <v>33</v>
      </c>
      <c r="L346" s="27" t="s">
        <v>32</v>
      </c>
      <c r="M346" s="20">
        <f t="shared" si="30"/>
        <v>45597.58111</v>
      </c>
      <c r="N346" s="8" t="str">
        <f t="shared" si="3"/>
        <v>SELESAI</v>
      </c>
      <c r="O346" s="23">
        <f t="shared" si="22"/>
        <v>45597.58111</v>
      </c>
      <c r="P346" s="24" t="b">
        <v>0</v>
      </c>
      <c r="Q346" s="20" t="str">
        <f t="shared" si="5"/>
        <v/>
      </c>
      <c r="R346" s="24" t="b">
        <v>1</v>
      </c>
      <c r="S346" s="20">
        <f t="shared" si="6"/>
        <v>45600.36942</v>
      </c>
      <c r="T346" s="7"/>
    </row>
    <row r="347" ht="22.5" hidden="1" customHeight="1">
      <c r="B347" s="7">
        <f t="shared" si="7"/>
        <v>341</v>
      </c>
      <c r="C347" s="18" t="s">
        <v>372</v>
      </c>
      <c r="D347" s="19" t="str">
        <f t="array" ref="D347">IFNA(_xlfn.XLOOKUP(C347,Table_Tarikan_Warkah[Nomor Sertipikat],Table_Tarikan_Warkah[Nomor Tiket]),"")</f>
        <v>K/42/291024/4</v>
      </c>
      <c r="E347" s="20">
        <f t="array" ref="E347">IFNA(_xlfn.XLOOKUP(C347,Table_Tarikan_Warkah[Nomor Sertipikat],Table_Tarikan_Warkah[Tanggal diserahkan kepada Validator]),"")</f>
        <v>45595.4625</v>
      </c>
      <c r="F347" s="20" t="str">
        <f t="array" ref="F347">IFNA(_xlfn.XLOOKUP(C347,Table_Tarikan_Warkah[Nomor Sertipikat],Table_Tarikan_Warkah[Nama Petugas Warkah]),"")</f>
        <v>Berry</v>
      </c>
      <c r="G347" s="21" t="str">
        <f t="array" ref="G347">IFNA(_xlfn.XLOOKUP(C347,Table_Tarikan_Warkah[Nomor Sertipikat],Table_Tarikan_Warkah[Jenis Permohonan]),"")</f>
        <v>BN LELANG</v>
      </c>
      <c r="H347" s="22" t="s">
        <v>37</v>
      </c>
      <c r="I347" s="22" t="s">
        <v>32</v>
      </c>
      <c r="J347" s="20">
        <f t="shared" si="29"/>
        <v>45597.36708</v>
      </c>
      <c r="K347" s="27" t="s">
        <v>33</v>
      </c>
      <c r="L347" s="27" t="s">
        <v>32</v>
      </c>
      <c r="M347" s="20">
        <f t="shared" si="30"/>
        <v>45597.58115</v>
      </c>
      <c r="N347" s="8" t="str">
        <f t="shared" si="3"/>
        <v>SELESAI</v>
      </c>
      <c r="O347" s="23">
        <f t="shared" si="22"/>
        <v>45597.58115</v>
      </c>
      <c r="P347" s="24" t="b">
        <v>0</v>
      </c>
      <c r="Q347" s="20" t="str">
        <f t="shared" si="5"/>
        <v/>
      </c>
      <c r="R347" s="24" t="b">
        <v>1</v>
      </c>
      <c r="S347" s="20">
        <f t="shared" si="6"/>
        <v>45600.36964</v>
      </c>
      <c r="T347" s="7"/>
    </row>
    <row r="348" ht="22.5" hidden="1" customHeight="1">
      <c r="B348" s="7">
        <f t="shared" si="7"/>
        <v>342</v>
      </c>
      <c r="C348" s="18" t="s">
        <v>373</v>
      </c>
      <c r="D348" s="19" t="str">
        <f t="array" ref="D348">IFNA(_xlfn.XLOOKUP(C348,Table_Tarikan_Warkah[Nomor Sertipikat],Table_Tarikan_Warkah[Nomor Tiket]),"")</f>
        <v>L/38/291024/1</v>
      </c>
      <c r="E348" s="20">
        <f t="array" ref="E348">IFNA(_xlfn.XLOOKUP(C348,Table_Tarikan_Warkah[Nomor Sertipikat],Table_Tarikan_Warkah[Tanggal diserahkan kepada Validator]),"")</f>
        <v>45595.46215</v>
      </c>
      <c r="F348" s="20" t="str">
        <f t="array" ref="F348">IFNA(_xlfn.XLOOKUP(C348,Table_Tarikan_Warkah[Nomor Sertipikat],Table_Tarikan_Warkah[Nama Petugas Warkah]),"")</f>
        <v>Berry</v>
      </c>
      <c r="G348" s="21" t="str">
        <f t="array" ref="G348">IFNA(_xlfn.XLOOKUP(C348,Table_Tarikan_Warkah[Nomor Sertipikat],Table_Tarikan_Warkah[Jenis Permohonan]),"")</f>
        <v>ROYA</v>
      </c>
      <c r="H348" s="22" t="s">
        <v>37</v>
      </c>
      <c r="I348" s="22" t="s">
        <v>32</v>
      </c>
      <c r="J348" s="20">
        <f t="shared" si="29"/>
        <v>45597.36724</v>
      </c>
      <c r="K348" s="27" t="s">
        <v>33</v>
      </c>
      <c r="L348" s="27" t="s">
        <v>32</v>
      </c>
      <c r="M348" s="20">
        <f t="shared" si="30"/>
        <v>45597.58117</v>
      </c>
      <c r="N348" s="8" t="str">
        <f t="shared" si="3"/>
        <v>SELESAI</v>
      </c>
      <c r="O348" s="23">
        <f t="shared" si="22"/>
        <v>45597.58117</v>
      </c>
      <c r="P348" s="24" t="b">
        <v>0</v>
      </c>
      <c r="Q348" s="20" t="str">
        <f t="shared" si="5"/>
        <v/>
      </c>
      <c r="R348" s="24" t="b">
        <v>1</v>
      </c>
      <c r="S348" s="20">
        <f t="shared" si="6"/>
        <v>45600.37061</v>
      </c>
      <c r="T348" s="7"/>
    </row>
    <row r="349" ht="22.5" hidden="1" customHeight="1">
      <c r="B349" s="7">
        <f t="shared" si="7"/>
        <v>343</v>
      </c>
      <c r="C349" s="18" t="s">
        <v>374</v>
      </c>
      <c r="D349" s="19" t="str">
        <f t="array" ref="D349">IFNA(_xlfn.XLOOKUP(C349,Table_Tarikan_Warkah[Nomor Sertipikat],Table_Tarikan_Warkah[Nomor Tiket]),"")</f>
        <v>K/36/291024/1</v>
      </c>
      <c r="E349" s="20">
        <f t="array" ref="E349">IFNA(_xlfn.XLOOKUP(C349,Table_Tarikan_Warkah[Nomor Sertipikat],Table_Tarikan_Warkah[Tanggal diserahkan kepada Validator]),"")</f>
        <v>45595.46196</v>
      </c>
      <c r="F349" s="20" t="str">
        <f t="array" ref="F349">IFNA(_xlfn.XLOOKUP(C349,Table_Tarikan_Warkah[Nomor Sertipikat],Table_Tarikan_Warkah[Nama Petugas Warkah]),"")</f>
        <v>Berry</v>
      </c>
      <c r="G349" s="21" t="str">
        <f t="array" ref="G349">IFNA(_xlfn.XLOOKUP(C349,Table_Tarikan_Warkah[Nomor Sertipikat],Table_Tarikan_Warkah[Jenis Permohonan]),"")</f>
        <v>BN JUAL BELI</v>
      </c>
      <c r="H349" s="22" t="s">
        <v>37</v>
      </c>
      <c r="I349" s="22" t="s">
        <v>32</v>
      </c>
      <c r="J349" s="20">
        <f t="shared" si="29"/>
        <v>45597.3674</v>
      </c>
      <c r="K349" s="27" t="s">
        <v>33</v>
      </c>
      <c r="L349" s="27" t="s">
        <v>32</v>
      </c>
      <c r="M349" s="20">
        <f t="shared" si="30"/>
        <v>45597.5812</v>
      </c>
      <c r="N349" s="8" t="str">
        <f t="shared" si="3"/>
        <v>SELESAI</v>
      </c>
      <c r="O349" s="23">
        <f t="shared" si="22"/>
        <v>45597.5812</v>
      </c>
      <c r="P349" s="24" t="b">
        <v>0</v>
      </c>
      <c r="Q349" s="20" t="str">
        <f t="shared" si="5"/>
        <v/>
      </c>
      <c r="R349" s="24" t="b">
        <v>1</v>
      </c>
      <c r="S349" s="20">
        <f t="shared" si="6"/>
        <v>45600.37018</v>
      </c>
      <c r="T349" s="7"/>
    </row>
    <row r="350" ht="22.5" hidden="1" customHeight="1">
      <c r="B350" s="7">
        <f t="shared" si="7"/>
        <v>344</v>
      </c>
      <c r="C350" s="18" t="s">
        <v>375</v>
      </c>
      <c r="D350" s="19" t="str">
        <f t="array" ref="D350">IFNA(_xlfn.XLOOKUP(C350,Table_Tarikan_Warkah[Nomor Sertipikat],Table_Tarikan_Warkah[Nomor Tiket]),"")</f>
        <v>L/16/291024/1</v>
      </c>
      <c r="E350" s="20">
        <f t="array" ref="E350">IFNA(_xlfn.XLOOKUP(C350,Table_Tarikan_Warkah[Nomor Sertipikat],Table_Tarikan_Warkah[Tanggal diserahkan kepada Validator]),"")</f>
        <v>45595.45901</v>
      </c>
      <c r="F350" s="20" t="str">
        <f t="array" ref="F350">IFNA(_xlfn.XLOOKUP(C350,Table_Tarikan_Warkah[Nomor Sertipikat],Table_Tarikan_Warkah[Nama Petugas Warkah]),"")</f>
        <v>David</v>
      </c>
      <c r="G350" s="21" t="str">
        <f t="array" ref="G350">IFNA(_xlfn.XLOOKUP(C350,Table_Tarikan_Warkah[Nomor Sertipikat],Table_Tarikan_Warkah[Jenis Permohonan]),"")</f>
        <v>ROYA</v>
      </c>
      <c r="H350" s="22" t="s">
        <v>37</v>
      </c>
      <c r="I350" s="22" t="s">
        <v>32</v>
      </c>
      <c r="J350" s="20">
        <f t="shared" si="29"/>
        <v>45597.36753</v>
      </c>
      <c r="K350" s="27" t="s">
        <v>33</v>
      </c>
      <c r="L350" s="27" t="s">
        <v>32</v>
      </c>
      <c r="M350" s="20">
        <f t="shared" si="30"/>
        <v>45597.58123</v>
      </c>
      <c r="N350" s="8" t="str">
        <f t="shared" si="3"/>
        <v>SELESAI</v>
      </c>
      <c r="O350" s="23">
        <f t="shared" si="22"/>
        <v>45597.58123</v>
      </c>
      <c r="P350" s="24" t="b">
        <v>0</v>
      </c>
      <c r="Q350" s="20" t="str">
        <f t="shared" si="5"/>
        <v/>
      </c>
      <c r="R350" s="24" t="b">
        <v>1</v>
      </c>
      <c r="S350" s="20">
        <f t="shared" si="6"/>
        <v>45600.36912</v>
      </c>
      <c r="T350" s="7"/>
    </row>
    <row r="351" ht="22.5" hidden="1" customHeight="1">
      <c r="B351" s="7">
        <f t="shared" si="7"/>
        <v>345</v>
      </c>
      <c r="C351" s="18" t="s">
        <v>376</v>
      </c>
      <c r="D351" s="19" t="str">
        <f t="array" ref="D351">IFNA(_xlfn.XLOOKUP(C351,Table_Tarikan_Warkah[Nomor Sertipikat],Table_Tarikan_Warkah[Nomor Tiket]),"")</f>
        <v/>
      </c>
      <c r="E351" s="20" t="str">
        <f t="array" ref="E351">IFNA(_xlfn.XLOOKUP(C351,Table_Tarikan_Warkah[Nomor Sertipikat],Table_Tarikan_Warkah[Tanggal diserahkan kepada Validator]),"")</f>
        <v/>
      </c>
      <c r="F351" s="20" t="str">
        <f t="array" ref="F351">IFNA(_xlfn.XLOOKUP(C351,Table_Tarikan_Warkah[Nomor Sertipikat],Table_Tarikan_Warkah[Nama Petugas Warkah]),"")</f>
        <v/>
      </c>
      <c r="G351" s="21" t="str">
        <f t="array" ref="G351">IFNA(_xlfn.XLOOKUP(C351,Table_Tarikan_Warkah[Nomor Sertipikat],Table_Tarikan_Warkah[Jenis Permohonan]),"")</f>
        <v/>
      </c>
      <c r="H351" s="22" t="s">
        <v>37</v>
      </c>
      <c r="I351" s="22" t="s">
        <v>32</v>
      </c>
      <c r="J351" s="20">
        <f t="shared" si="29"/>
        <v>45597.36767</v>
      </c>
      <c r="K351" s="27" t="s">
        <v>33</v>
      </c>
      <c r="L351" s="27" t="s">
        <v>32</v>
      </c>
      <c r="M351" s="20">
        <f t="shared" si="30"/>
        <v>45597.58128</v>
      </c>
      <c r="N351" s="8" t="str">
        <f t="shared" si="3"/>
        <v/>
      </c>
      <c r="O351" s="21" t="str">
        <f t="shared" si="22"/>
        <v/>
      </c>
      <c r="P351" s="24" t="b">
        <v>0</v>
      </c>
      <c r="Q351" s="20" t="str">
        <f t="shared" si="5"/>
        <v/>
      </c>
      <c r="R351" s="24" t="b">
        <v>1</v>
      </c>
      <c r="S351" s="20">
        <f t="shared" si="6"/>
        <v>45600.36879</v>
      </c>
      <c r="T351" s="7"/>
    </row>
    <row r="352" ht="22.5" hidden="1" customHeight="1">
      <c r="B352" s="7">
        <f t="shared" si="7"/>
        <v>346</v>
      </c>
      <c r="C352" s="18" t="s">
        <v>337</v>
      </c>
      <c r="D352" s="19" t="str">
        <f t="array" ref="D352">IFNA(_xlfn.XLOOKUP(C352,Table_Tarikan_Warkah[Nomor Sertipikat],Table_Tarikan_Warkah[Nomor Tiket]),"")</f>
        <v>K/46/211024/2</v>
      </c>
      <c r="E352" s="20">
        <f t="array" ref="E352">IFNA(_xlfn.XLOOKUP(C352,Table_Tarikan_Warkah[Nomor Sertipikat],Table_Tarikan_Warkah[Tanggal diserahkan kepada Validator]),"")</f>
        <v>45603.64757</v>
      </c>
      <c r="F352" s="20" t="str">
        <f t="array" ref="F352">IFNA(_xlfn.XLOOKUP(C352,Table_Tarikan_Warkah[Nomor Sertipikat],Table_Tarikan_Warkah[Nama Petugas Warkah]),"")</f>
        <v>Sahelia</v>
      </c>
      <c r="G352" s="21" t="str">
        <f t="array" ref="G352">IFNA(_xlfn.XLOOKUP(C352,Table_Tarikan_Warkah[Nomor Sertipikat],Table_Tarikan_Warkah[Jenis Permohonan]),"")</f>
        <v>Roya</v>
      </c>
      <c r="H352" s="22" t="s">
        <v>31</v>
      </c>
      <c r="I352" s="22" t="s">
        <v>32</v>
      </c>
      <c r="J352" s="20">
        <f t="shared" si="29"/>
        <v>45597.51892</v>
      </c>
      <c r="K352" s="27" t="s">
        <v>65</v>
      </c>
      <c r="L352" s="27" t="s">
        <v>187</v>
      </c>
      <c r="M352" s="20">
        <f t="shared" si="30"/>
        <v>45600.37404</v>
      </c>
      <c r="N352" s="8" t="str">
        <f t="shared" si="3"/>
        <v>Selesai</v>
      </c>
      <c r="O352" s="23">
        <f t="shared" si="22"/>
        <v>45600.37404</v>
      </c>
      <c r="P352" s="24" t="b">
        <v>1</v>
      </c>
      <c r="Q352" s="20">
        <f t="shared" si="5"/>
        <v>45600.37482</v>
      </c>
      <c r="R352" s="24" t="b">
        <v>0</v>
      </c>
      <c r="S352" s="7" t="str">
        <f t="shared" si="6"/>
        <v/>
      </c>
      <c r="T352" s="7"/>
    </row>
    <row r="353" ht="22.5" hidden="1" customHeight="1">
      <c r="B353" s="7">
        <f t="shared" si="7"/>
        <v>347</v>
      </c>
      <c r="C353" s="18" t="s">
        <v>377</v>
      </c>
      <c r="D353" s="19" t="str">
        <f t="array" ref="D353">IFNA(_xlfn.XLOOKUP(C353,Table_Tarikan_Warkah[Nomor Sertipikat],Table_Tarikan_Warkah[Nomor Tiket]),"")</f>
        <v>K/27/141024/4</v>
      </c>
      <c r="E353" s="20">
        <f t="array" ref="E353">IFNA(_xlfn.XLOOKUP(C353,Table_Tarikan_Warkah[Nomor Sertipikat],Table_Tarikan_Warkah[Tanggal diserahkan kepada Validator]),"")</f>
        <v>45610.36435</v>
      </c>
      <c r="F353" s="20" t="str">
        <f t="array" ref="F353">IFNA(_xlfn.XLOOKUP(C353,Table_Tarikan_Warkah[Nomor Sertipikat],Table_Tarikan_Warkah[Nama Petugas Warkah]),"")</f>
        <v>Alfiansyah</v>
      </c>
      <c r="G353" s="21" t="str">
        <f t="array" ref="G353">IFNA(_xlfn.XLOOKUP(C353,Table_Tarikan_Warkah[Nomor Sertipikat],Table_Tarikan_Warkah[Jenis Permohonan]),"")</f>
        <v>PERALIHAN JUAL BELI</v>
      </c>
      <c r="H353" s="22" t="s">
        <v>31</v>
      </c>
      <c r="I353" s="22" t="s">
        <v>32</v>
      </c>
      <c r="J353" s="20">
        <f t="shared" si="29"/>
        <v>45597.51959</v>
      </c>
      <c r="K353" s="27" t="s">
        <v>65</v>
      </c>
      <c r="L353" s="27" t="s">
        <v>187</v>
      </c>
      <c r="M353" s="20">
        <f t="shared" si="30"/>
        <v>45600.37405</v>
      </c>
      <c r="N353" s="8" t="str">
        <f t="shared" si="3"/>
        <v>Selesai</v>
      </c>
      <c r="O353" s="23">
        <f t="shared" si="22"/>
        <v>45600.37405</v>
      </c>
      <c r="P353" s="24" t="b">
        <v>1</v>
      </c>
      <c r="Q353" s="20">
        <f t="shared" si="5"/>
        <v>45600.37483</v>
      </c>
      <c r="R353" s="24" t="b">
        <v>1</v>
      </c>
      <c r="S353" s="20">
        <f t="shared" si="6"/>
        <v>45610.40635</v>
      </c>
      <c r="T353" s="7"/>
    </row>
    <row r="354" ht="22.5" hidden="1" customHeight="1">
      <c r="B354" s="7">
        <f t="shared" si="7"/>
        <v>348</v>
      </c>
      <c r="C354" s="18" t="s">
        <v>378</v>
      </c>
      <c r="D354" s="19" t="str">
        <f t="array" ref="D354">IFNA(_xlfn.XLOOKUP(C354,Table_Tarikan_Warkah[Nomor Sertipikat],Table_Tarikan_Warkah[Nomor Tiket]),"")</f>
        <v>K/27/251024/1</v>
      </c>
      <c r="E354" s="20">
        <f t="array" ref="E354">IFNA(_xlfn.XLOOKUP(C354,Table_Tarikan_Warkah[Nomor Sertipikat],Table_Tarikan_Warkah[Tanggal diserahkan kepada Validator]),"")</f>
        <v>45610.36343</v>
      </c>
      <c r="F354" s="20" t="str">
        <f t="array" ref="F354">IFNA(_xlfn.XLOOKUP(C354,Table_Tarikan_Warkah[Nomor Sertipikat],Table_Tarikan_Warkah[Nama Petugas Warkah]),"")</f>
        <v>Alfiansyah</v>
      </c>
      <c r="G354" s="21" t="str">
        <f t="array" ref="G354">IFNA(_xlfn.XLOOKUP(C354,Table_Tarikan_Warkah[Nomor Sertipikat],Table_Tarikan_Warkah[Jenis Permohonan]),"")</f>
        <v>BN JUAL BELI</v>
      </c>
      <c r="H354" s="22" t="s">
        <v>31</v>
      </c>
      <c r="I354" s="22" t="s">
        <v>32</v>
      </c>
      <c r="J354" s="20">
        <f t="shared" si="29"/>
        <v>45597.51971</v>
      </c>
      <c r="K354" s="27" t="s">
        <v>65</v>
      </c>
      <c r="L354" s="27" t="s">
        <v>187</v>
      </c>
      <c r="M354" s="20">
        <f t="shared" si="30"/>
        <v>45600.37408</v>
      </c>
      <c r="N354" s="8" t="str">
        <f t="shared" si="3"/>
        <v>Selesai</v>
      </c>
      <c r="O354" s="23">
        <f t="shared" si="22"/>
        <v>45600.37408</v>
      </c>
      <c r="P354" s="24" t="b">
        <v>1</v>
      </c>
      <c r="Q354" s="20">
        <f t="shared" si="5"/>
        <v>45600.37484</v>
      </c>
      <c r="R354" s="24" t="b">
        <v>1</v>
      </c>
      <c r="S354" s="20">
        <f t="shared" si="6"/>
        <v>45610.40625</v>
      </c>
      <c r="T354" s="7"/>
    </row>
    <row r="355" ht="22.5" hidden="1" customHeight="1">
      <c r="B355" s="7">
        <f t="shared" si="7"/>
        <v>349</v>
      </c>
      <c r="C355" s="18" t="s">
        <v>258</v>
      </c>
      <c r="D355" s="19" t="str">
        <f t="array" ref="D355">IFNA(_xlfn.XLOOKUP(C355,Table_Tarikan_Warkah[Nomor Sertipikat],Table_Tarikan_Warkah[Nomor Tiket]),"")</f>
        <v>K/2/241024/1</v>
      </c>
      <c r="E355" s="20">
        <f t="array" ref="E355">IFNA(_xlfn.XLOOKUP(C355,Table_Tarikan_Warkah[Nomor Sertipikat],Table_Tarikan_Warkah[Tanggal diserahkan kepada Validator]),"")</f>
        <v>45589.66017</v>
      </c>
      <c r="F355" s="20" t="str">
        <f t="array" ref="F355">IFNA(_xlfn.XLOOKUP(C355,Table_Tarikan_Warkah[Nomor Sertipikat],Table_Tarikan_Warkah[Nama Petugas Warkah]),"")</f>
        <v>Berry</v>
      </c>
      <c r="G355" s="21" t="str">
        <f t="array" ref="G355">IFNA(_xlfn.XLOOKUP(C355,Table_Tarikan_Warkah[Nomor Sertipikat],Table_Tarikan_Warkah[Jenis Permohonan]),"")</f>
        <v>roya</v>
      </c>
      <c r="H355" s="22" t="s">
        <v>31</v>
      </c>
      <c r="I355" s="22" t="s">
        <v>32</v>
      </c>
      <c r="J355" s="20">
        <f t="shared" si="29"/>
        <v>45597.51983</v>
      </c>
      <c r="K355" s="27" t="s">
        <v>65</v>
      </c>
      <c r="L355" s="27" t="s">
        <v>187</v>
      </c>
      <c r="M355" s="20">
        <f t="shared" si="30"/>
        <v>45600.3741</v>
      </c>
      <c r="N355" s="8" t="str">
        <f t="shared" si="3"/>
        <v>Selesai</v>
      </c>
      <c r="O355" s="23">
        <f t="shared" si="22"/>
        <v>45600.3741</v>
      </c>
      <c r="P355" s="24" t="b">
        <v>1</v>
      </c>
      <c r="Q355" s="20">
        <f t="shared" si="5"/>
        <v>45600.37486</v>
      </c>
      <c r="R355" s="24" t="b">
        <v>0</v>
      </c>
      <c r="S355" s="7" t="str">
        <f t="shared" si="6"/>
        <v/>
      </c>
      <c r="T355" s="7"/>
    </row>
    <row r="356" ht="22.5" hidden="1" customHeight="1">
      <c r="B356" s="7">
        <f t="shared" si="7"/>
        <v>350</v>
      </c>
      <c r="C356" s="18" t="s">
        <v>338</v>
      </c>
      <c r="D356" s="19" t="str">
        <f t="array" ref="D356">IFNA(_xlfn.XLOOKUP(C356,Table_Tarikan_Warkah[Nomor Sertipikat],Table_Tarikan_Warkah[Nomor Tiket]),"")</f>
        <v>K/1/211024/1</v>
      </c>
      <c r="E356" s="20" t="str">
        <f t="array" ref="E356">IFNA(_xlfn.XLOOKUP(C356,Table_Tarikan_Warkah[Nomor Sertipikat],Table_Tarikan_Warkah[Tanggal diserahkan kepada Validator]),"")</f>
        <v/>
      </c>
      <c r="F356" s="20" t="str">
        <f t="array" ref="F356">IFNA(_xlfn.XLOOKUP(C356,Table_Tarikan_Warkah[Nomor Sertipikat],Table_Tarikan_Warkah[Nama Petugas Warkah]),"")</f>
        <v>Berry</v>
      </c>
      <c r="G356" s="21" t="str">
        <f t="array" ref="G356">IFNA(_xlfn.XLOOKUP(C356,Table_Tarikan_Warkah[Nomor Sertipikat],Table_Tarikan_Warkah[Jenis Permohonan]),"")</f>
        <v>Perubahan Hak</v>
      </c>
      <c r="H356" s="22" t="s">
        <v>31</v>
      </c>
      <c r="I356" s="22" t="s">
        <v>32</v>
      </c>
      <c r="J356" s="20">
        <f t="shared" si="29"/>
        <v>45597.52009</v>
      </c>
      <c r="K356" s="27" t="s">
        <v>65</v>
      </c>
      <c r="L356" s="27" t="s">
        <v>187</v>
      </c>
      <c r="M356" s="20">
        <f t="shared" si="30"/>
        <v>45600.37413</v>
      </c>
      <c r="N356" s="8" t="str">
        <f t="shared" si="3"/>
        <v>Selesai</v>
      </c>
      <c r="O356" s="23">
        <f t="shared" si="22"/>
        <v>45600.37413</v>
      </c>
      <c r="P356" s="24" t="b">
        <v>1</v>
      </c>
      <c r="Q356" s="20">
        <f t="shared" si="5"/>
        <v>45600.37486</v>
      </c>
      <c r="R356" s="24" t="b">
        <v>0</v>
      </c>
      <c r="S356" s="7" t="str">
        <f t="shared" si="6"/>
        <v/>
      </c>
      <c r="T356" s="7"/>
    </row>
    <row r="357" ht="22.5" hidden="1" customHeight="1">
      <c r="B357" s="7">
        <f t="shared" si="7"/>
        <v>351</v>
      </c>
      <c r="C357" s="18" t="s">
        <v>379</v>
      </c>
      <c r="D357" s="19" t="str">
        <f t="array" ref="D357">IFNA(_xlfn.XLOOKUP(C357,Table_Tarikan_Warkah[Nomor Sertipikat],Table_Tarikan_Warkah[Nomor Tiket]),"")</f>
        <v>K/62/221024/2</v>
      </c>
      <c r="E357" s="20">
        <f t="array" ref="E357">IFNA(_xlfn.XLOOKUP(C357,Table_Tarikan_Warkah[Nomor Sertipikat],Table_Tarikan_Warkah[Tanggal diserahkan kepada Validator]),"")</f>
        <v>45601.42182</v>
      </c>
      <c r="F357" s="20" t="str">
        <f t="array" ref="F357">IFNA(_xlfn.XLOOKUP(C357,Table_Tarikan_Warkah[Nomor Sertipikat],Table_Tarikan_Warkah[Nama Petugas Warkah]),"")</f>
        <v>Sahelia</v>
      </c>
      <c r="G357" s="21" t="str">
        <f t="array" ref="G357">IFNA(_xlfn.XLOOKUP(C357,Table_Tarikan_Warkah[Nomor Sertipikat],Table_Tarikan_Warkah[Jenis Permohonan]),"")</f>
        <v>BN Jual Beli</v>
      </c>
      <c r="H357" s="22" t="s">
        <v>31</v>
      </c>
      <c r="I357" s="22" t="s">
        <v>32</v>
      </c>
      <c r="J357" s="20">
        <f t="shared" si="29"/>
        <v>45597.5202</v>
      </c>
      <c r="K357" s="27" t="s">
        <v>65</v>
      </c>
      <c r="L357" s="27" t="s">
        <v>187</v>
      </c>
      <c r="M357" s="20">
        <f t="shared" si="30"/>
        <v>45600.37415</v>
      </c>
      <c r="N357" s="8" t="str">
        <f t="shared" si="3"/>
        <v>Selesai</v>
      </c>
      <c r="O357" s="23">
        <f t="shared" si="22"/>
        <v>45600.37415</v>
      </c>
      <c r="P357" s="24" t="b">
        <v>1</v>
      </c>
      <c r="Q357" s="20">
        <f t="shared" si="5"/>
        <v>45600.37487</v>
      </c>
      <c r="R357" s="24" t="b">
        <v>0</v>
      </c>
      <c r="S357" s="7" t="str">
        <f t="shared" si="6"/>
        <v/>
      </c>
      <c r="T357" s="7"/>
    </row>
    <row r="358" ht="22.5" hidden="1" customHeight="1">
      <c r="B358" s="7">
        <f t="shared" si="7"/>
        <v>352</v>
      </c>
      <c r="C358" s="18" t="s">
        <v>380</v>
      </c>
      <c r="D358" s="19" t="str">
        <f t="array" ref="D358">IFNA(_xlfn.XLOOKUP(C358,Table_Tarikan_Warkah[Nomor Sertipikat],Table_Tarikan_Warkah[Nomor Tiket]),"")</f>
        <v>K/15/311024/1</v>
      </c>
      <c r="E358" s="20">
        <f t="array" ref="E358">IFNA(_xlfn.XLOOKUP(C358,Table_Tarikan_Warkah[Nomor Sertipikat],Table_Tarikan_Warkah[Tanggal diserahkan kepada Validator]),"")</f>
        <v>45597.65574</v>
      </c>
      <c r="F358" s="20" t="str">
        <f t="array" ref="F358">IFNA(_xlfn.XLOOKUP(C358,Table_Tarikan_Warkah[Nomor Sertipikat],Table_Tarikan_Warkah[Nama Petugas Warkah]),"")</f>
        <v>Bayu</v>
      </c>
      <c r="G358" s="21" t="str">
        <f t="array" ref="G358">IFNA(_xlfn.XLOOKUP(C358,Table_Tarikan_Warkah[Nomor Sertipikat],Table_Tarikan_Warkah[Jenis Permohonan]),"")</f>
        <v>BN JUAL BELI</v>
      </c>
      <c r="H358" s="22" t="s">
        <v>37</v>
      </c>
      <c r="I358" s="22" t="s">
        <v>32</v>
      </c>
      <c r="J358" s="20">
        <f t="shared" si="29"/>
        <v>45600.44604</v>
      </c>
      <c r="K358" s="27" t="s">
        <v>33</v>
      </c>
      <c r="L358" s="27" t="s">
        <v>32</v>
      </c>
      <c r="M358" s="20">
        <f t="shared" si="30"/>
        <v>45601.37444</v>
      </c>
      <c r="N358" s="8" t="str">
        <f t="shared" si="3"/>
        <v>SELESAI</v>
      </c>
      <c r="O358" s="23">
        <f t="shared" si="22"/>
        <v>45601.37444</v>
      </c>
      <c r="P358" s="24" t="b">
        <v>0</v>
      </c>
      <c r="Q358" s="20" t="str">
        <f t="shared" si="5"/>
        <v/>
      </c>
      <c r="R358" s="24" t="b">
        <v>1</v>
      </c>
      <c r="S358" s="20">
        <f t="shared" si="6"/>
        <v>45601.37498</v>
      </c>
      <c r="T358" s="7"/>
    </row>
    <row r="359" ht="22.5" hidden="1" customHeight="1">
      <c r="B359" s="7">
        <f t="shared" si="7"/>
        <v>353</v>
      </c>
      <c r="C359" s="18" t="s">
        <v>381</v>
      </c>
      <c r="D359" s="19" t="str">
        <f t="array" ref="D359">IFNA(_xlfn.XLOOKUP(C359,Table_Tarikan_Warkah[Nomor Sertipikat],Table_Tarikan_Warkah[Nomor Tiket]),"")</f>
        <v>K/9/311024/3</v>
      </c>
      <c r="E359" s="20">
        <f t="array" ref="E359">IFNA(_xlfn.XLOOKUP(C359,Table_Tarikan_Warkah[Nomor Sertipikat],Table_Tarikan_Warkah[Tanggal diserahkan kepada Validator]),"")</f>
        <v>45597.65761</v>
      </c>
      <c r="F359" s="20" t="str">
        <f t="array" ref="F359">IFNA(_xlfn.XLOOKUP(C359,Table_Tarikan_Warkah[Nomor Sertipikat],Table_Tarikan_Warkah[Nama Petugas Warkah]),"")</f>
        <v>Bayu</v>
      </c>
      <c r="G359" s="21" t="str">
        <f t="array" ref="G359">IFNA(_xlfn.XLOOKUP(C359,Table_Tarikan_Warkah[Nomor Sertipikat],Table_Tarikan_Warkah[Jenis Permohonan]),"")</f>
        <v>BN JUAL BELI</v>
      </c>
      <c r="H359" s="22" t="s">
        <v>37</v>
      </c>
      <c r="I359" s="22" t="s">
        <v>32</v>
      </c>
      <c r="J359" s="20">
        <f t="shared" si="29"/>
        <v>45600.44614</v>
      </c>
      <c r="K359" s="27" t="s">
        <v>33</v>
      </c>
      <c r="L359" s="27" t="s">
        <v>32</v>
      </c>
      <c r="M359" s="20">
        <f t="shared" si="30"/>
        <v>45601.37447</v>
      </c>
      <c r="N359" s="8" t="str">
        <f t="shared" si="3"/>
        <v>SELESAI</v>
      </c>
      <c r="O359" s="23">
        <f t="shared" si="22"/>
        <v>45601.37447</v>
      </c>
      <c r="P359" s="24" t="b">
        <v>0</v>
      </c>
      <c r="Q359" s="20" t="str">
        <f t="shared" si="5"/>
        <v/>
      </c>
      <c r="R359" s="24" t="b">
        <v>1</v>
      </c>
      <c r="S359" s="20">
        <f t="shared" si="6"/>
        <v>45601.37499</v>
      </c>
      <c r="T359" s="7"/>
    </row>
    <row r="360" ht="22.5" hidden="1" customHeight="1">
      <c r="B360" s="7">
        <f t="shared" si="7"/>
        <v>354</v>
      </c>
      <c r="C360" s="18" t="s">
        <v>382</v>
      </c>
      <c r="D360" s="19" t="str">
        <f t="array" ref="D360">IFNA(_xlfn.XLOOKUP(C360,Table_Tarikan_Warkah[Nomor Sertipikat],Table_Tarikan_Warkah[Nomor Tiket]),"")</f>
        <v>K/4/311024/2</v>
      </c>
      <c r="E360" s="20">
        <f t="array" ref="E360">IFNA(_xlfn.XLOOKUP(C360,Table_Tarikan_Warkah[Nomor Sertipikat],Table_Tarikan_Warkah[Tanggal diserahkan kepada Validator]),"")</f>
        <v>45597.65424</v>
      </c>
      <c r="F360" s="20" t="str">
        <f t="array" ref="F360">IFNA(_xlfn.XLOOKUP(C360,Table_Tarikan_Warkah[Nomor Sertipikat],Table_Tarikan_Warkah[Nama Petugas Warkah]),"")</f>
        <v>Bayu</v>
      </c>
      <c r="G360" s="21" t="str">
        <f t="array" ref="G360">IFNA(_xlfn.XLOOKUP(C360,Table_Tarikan_Warkah[Nomor Sertipikat],Table_Tarikan_Warkah[Jenis Permohonan]),"")</f>
        <v>ROYA</v>
      </c>
      <c r="H360" s="22" t="s">
        <v>37</v>
      </c>
      <c r="I360" s="22" t="s">
        <v>32</v>
      </c>
      <c r="J360" s="20">
        <f t="shared" si="29"/>
        <v>45600.44632</v>
      </c>
      <c r="K360" s="27" t="s">
        <v>33</v>
      </c>
      <c r="L360" s="27" t="s">
        <v>32</v>
      </c>
      <c r="M360" s="20">
        <f t="shared" si="30"/>
        <v>45601.37452</v>
      </c>
      <c r="N360" s="8" t="str">
        <f t="shared" si="3"/>
        <v>SELESAI</v>
      </c>
      <c r="O360" s="23">
        <f t="shared" si="22"/>
        <v>45601.37452</v>
      </c>
      <c r="P360" s="24" t="b">
        <v>0</v>
      </c>
      <c r="Q360" s="20" t="str">
        <f t="shared" si="5"/>
        <v/>
      </c>
      <c r="R360" s="24" t="b">
        <v>1</v>
      </c>
      <c r="S360" s="20">
        <f t="shared" si="6"/>
        <v>45601.37499</v>
      </c>
      <c r="T360" s="7"/>
    </row>
    <row r="361" ht="22.5" hidden="1" customHeight="1">
      <c r="B361" s="7">
        <f t="shared" si="7"/>
        <v>355</v>
      </c>
      <c r="C361" s="18" t="s">
        <v>383</v>
      </c>
      <c r="D361" s="19" t="str">
        <f t="array" ref="D361">IFNA(_xlfn.XLOOKUP(C361,Table_Tarikan_Warkah[Nomor Sertipikat],Table_Tarikan_Warkah[Nomor Tiket]),"")</f>
        <v>K/7/311024/1</v>
      </c>
      <c r="E361" s="20">
        <f t="array" ref="E361">IFNA(_xlfn.XLOOKUP(C361,Table_Tarikan_Warkah[Nomor Sertipikat],Table_Tarikan_Warkah[Tanggal diserahkan kepada Validator]),"")</f>
        <v>45597.65903</v>
      </c>
      <c r="F361" s="20" t="str">
        <f t="array" ref="F361">IFNA(_xlfn.XLOOKUP(C361,Table_Tarikan_Warkah[Nomor Sertipikat],Table_Tarikan_Warkah[Nama Petugas Warkah]),"")</f>
        <v>Bayu</v>
      </c>
      <c r="G361" s="21" t="str">
        <f t="array" ref="G361">IFNA(_xlfn.XLOOKUP(C361,Table_Tarikan_Warkah[Nomor Sertipikat],Table_Tarikan_Warkah[Jenis Permohonan]),"")</f>
        <v>HIBAH</v>
      </c>
      <c r="H361" s="22" t="s">
        <v>37</v>
      </c>
      <c r="I361" s="22" t="s">
        <v>32</v>
      </c>
      <c r="J361" s="20">
        <f t="shared" si="29"/>
        <v>45600.44643</v>
      </c>
      <c r="K361" s="27" t="s">
        <v>33</v>
      </c>
      <c r="L361" s="27" t="s">
        <v>32</v>
      </c>
      <c r="M361" s="20">
        <f t="shared" si="30"/>
        <v>45601.37455</v>
      </c>
      <c r="N361" s="8" t="str">
        <f t="shared" si="3"/>
        <v>SELESAI</v>
      </c>
      <c r="O361" s="23">
        <f t="shared" si="22"/>
        <v>45601.37455</v>
      </c>
      <c r="P361" s="24" t="b">
        <v>0</v>
      </c>
      <c r="Q361" s="20" t="str">
        <f t="shared" si="5"/>
        <v/>
      </c>
      <c r="R361" s="24" t="b">
        <v>1</v>
      </c>
      <c r="S361" s="20">
        <f t="shared" si="6"/>
        <v>45601.375</v>
      </c>
      <c r="T361" s="7"/>
    </row>
    <row r="362" ht="22.5" hidden="1" customHeight="1">
      <c r="B362" s="7">
        <f t="shared" si="7"/>
        <v>356</v>
      </c>
      <c r="C362" s="18" t="s">
        <v>384</v>
      </c>
      <c r="D362" s="19" t="str">
        <f t="array" ref="D362">IFNA(_xlfn.XLOOKUP(C362,Table_Tarikan_Warkah[Nomor Sertipikat],Table_Tarikan_Warkah[Nomor Tiket]),"")</f>
        <v>K/38/011124/2</v>
      </c>
      <c r="E362" s="20">
        <f t="array" ref="E362">IFNA(_xlfn.XLOOKUP(C362,Table_Tarikan_Warkah[Nomor Sertipikat],Table_Tarikan_Warkah[Tanggal diserahkan kepada Validator]),"")</f>
        <v>45600.65874</v>
      </c>
      <c r="F362" s="20" t="str">
        <f t="array" ref="F362">IFNA(_xlfn.XLOOKUP(C362,Table_Tarikan_Warkah[Nomor Sertipikat],Table_Tarikan_Warkah[Nama Petugas Warkah]),"")</f>
        <v>David</v>
      </c>
      <c r="G362" s="21" t="str">
        <f t="array" ref="G362">IFNA(_xlfn.XLOOKUP(C362,Table_Tarikan_Warkah[Nomor Sertipikat],Table_Tarikan_Warkah[Jenis Permohonan]),"")</f>
        <v>BN Jual Beli</v>
      </c>
      <c r="H362" s="22" t="s">
        <v>37</v>
      </c>
      <c r="I362" s="22" t="s">
        <v>32</v>
      </c>
      <c r="J362" s="20">
        <f t="shared" si="29"/>
        <v>45600.44658</v>
      </c>
      <c r="K362" s="27" t="s">
        <v>33</v>
      </c>
      <c r="L362" s="27" t="s">
        <v>32</v>
      </c>
      <c r="M362" s="20">
        <f t="shared" si="30"/>
        <v>45601.37457</v>
      </c>
      <c r="N362" s="8" t="str">
        <f t="shared" si="3"/>
        <v>SELESAI</v>
      </c>
      <c r="O362" s="23">
        <f t="shared" si="22"/>
        <v>45601.37457</v>
      </c>
      <c r="P362" s="24" t="b">
        <v>0</v>
      </c>
      <c r="Q362" s="20" t="str">
        <f t="shared" si="5"/>
        <v/>
      </c>
      <c r="R362" s="24" t="b">
        <v>1</v>
      </c>
      <c r="S362" s="20">
        <f t="shared" si="6"/>
        <v>45601.37501</v>
      </c>
      <c r="T362" s="7"/>
    </row>
    <row r="363" ht="22.5" hidden="1" customHeight="1">
      <c r="B363" s="7">
        <f t="shared" si="7"/>
        <v>357</v>
      </c>
      <c r="C363" s="18" t="s">
        <v>385</v>
      </c>
      <c r="D363" s="19" t="str">
        <f t="array" ref="D363">IFNA(_xlfn.XLOOKUP(C363,Table_Tarikan_Warkah[Nomor Sertipikat],Table_Tarikan_Warkah[Nomor Tiket]),"")</f>
        <v>K/37/011124/1</v>
      </c>
      <c r="E363" s="20">
        <f t="array" ref="E363">IFNA(_xlfn.XLOOKUP(C363,Table_Tarikan_Warkah[Nomor Sertipikat],Table_Tarikan_Warkah[Tanggal diserahkan kepada Validator]),"")</f>
        <v>45600.65879</v>
      </c>
      <c r="F363" s="20" t="str">
        <f t="array" ref="F363">IFNA(_xlfn.XLOOKUP(C363,Table_Tarikan_Warkah[Nomor Sertipikat],Table_Tarikan_Warkah[Nama Petugas Warkah]),"")</f>
        <v>David</v>
      </c>
      <c r="G363" s="21" t="str">
        <f t="array" ref="G363">IFNA(_xlfn.XLOOKUP(C363,Table_Tarikan_Warkah[Nomor Sertipikat],Table_Tarikan_Warkah[Jenis Permohonan]),"")</f>
        <v>BN PHB</v>
      </c>
      <c r="H363" s="22" t="s">
        <v>37</v>
      </c>
      <c r="I363" s="22" t="s">
        <v>32</v>
      </c>
      <c r="J363" s="20">
        <f t="shared" si="29"/>
        <v>45600.44669</v>
      </c>
      <c r="K363" s="27" t="s">
        <v>33</v>
      </c>
      <c r="L363" s="27" t="s">
        <v>32</v>
      </c>
      <c r="M363" s="20">
        <f t="shared" si="30"/>
        <v>45601.37459</v>
      </c>
      <c r="N363" s="8" t="str">
        <f t="shared" si="3"/>
        <v>SELESAI</v>
      </c>
      <c r="O363" s="23">
        <f t="shared" si="22"/>
        <v>45601.37459</v>
      </c>
      <c r="P363" s="24" t="b">
        <v>0</v>
      </c>
      <c r="Q363" s="20" t="str">
        <f t="shared" si="5"/>
        <v/>
      </c>
      <c r="R363" s="24" t="b">
        <v>1</v>
      </c>
      <c r="S363" s="20">
        <f t="shared" si="6"/>
        <v>45601.37502</v>
      </c>
      <c r="T363" s="7"/>
    </row>
    <row r="364" ht="22.5" hidden="1" customHeight="1">
      <c r="B364" s="7">
        <f t="shared" si="7"/>
        <v>358</v>
      </c>
      <c r="C364" s="18" t="s">
        <v>386</v>
      </c>
      <c r="D364" s="19" t="str">
        <f t="array" ref="D364">IFNA(_xlfn.XLOOKUP(C364,Table_Tarikan_Warkah[Nomor Sertipikat],Table_Tarikan_Warkah[Nomor Tiket]),"")</f>
        <v>K/23/311024/1</v>
      </c>
      <c r="E364" s="20">
        <f t="array" ref="E364">IFNA(_xlfn.XLOOKUP(C364,Table_Tarikan_Warkah[Nomor Sertipikat],Table_Tarikan_Warkah[Tanggal diserahkan kepada Validator]),"")</f>
        <v>45597.65434</v>
      </c>
      <c r="F364" s="20" t="str">
        <f t="array" ref="F364">IFNA(_xlfn.XLOOKUP(C364,Table_Tarikan_Warkah[Nomor Sertipikat],Table_Tarikan_Warkah[Nama Petugas Warkah]),"")</f>
        <v>Bayu</v>
      </c>
      <c r="G364" s="21" t="str">
        <f t="array" ref="G364">IFNA(_xlfn.XLOOKUP(C364,Table_Tarikan_Warkah[Nomor Sertipikat],Table_Tarikan_Warkah[Jenis Permohonan]),"")</f>
        <v>ROYA</v>
      </c>
      <c r="H364" s="22" t="s">
        <v>37</v>
      </c>
      <c r="I364" s="22" t="s">
        <v>32</v>
      </c>
      <c r="J364" s="20">
        <f t="shared" si="29"/>
        <v>45600.4468</v>
      </c>
      <c r="K364" s="27" t="s">
        <v>33</v>
      </c>
      <c r="L364" s="27" t="s">
        <v>32</v>
      </c>
      <c r="M364" s="20">
        <f t="shared" si="30"/>
        <v>45601.37461</v>
      </c>
      <c r="N364" s="8" t="str">
        <f t="shared" si="3"/>
        <v>SELESAI</v>
      </c>
      <c r="O364" s="23">
        <f t="shared" si="22"/>
        <v>45601.37461</v>
      </c>
      <c r="P364" s="24" t="b">
        <v>0</v>
      </c>
      <c r="Q364" s="20" t="str">
        <f t="shared" si="5"/>
        <v/>
      </c>
      <c r="R364" s="24" t="b">
        <v>1</v>
      </c>
      <c r="S364" s="20">
        <f t="shared" si="6"/>
        <v>45601.37503</v>
      </c>
      <c r="T364" s="7"/>
    </row>
    <row r="365" ht="22.5" hidden="1" customHeight="1">
      <c r="B365" s="7">
        <f t="shared" si="7"/>
        <v>359</v>
      </c>
      <c r="C365" s="18" t="s">
        <v>387</v>
      </c>
      <c r="D365" s="19" t="str">
        <f t="array" ref="D365">IFNA(_xlfn.XLOOKUP(C365,Table_Tarikan_Warkah[Nomor Sertipikat],Table_Tarikan_Warkah[Nomor Tiket]),"")</f>
        <v>K/8/311024/2</v>
      </c>
      <c r="E365" s="20">
        <f t="array" ref="E365">IFNA(_xlfn.XLOOKUP(C365,Table_Tarikan_Warkah[Nomor Sertipikat],Table_Tarikan_Warkah[Tanggal diserahkan kepada Validator]),"")</f>
        <v>45597.6556</v>
      </c>
      <c r="F365" s="20" t="str">
        <f t="array" ref="F365">IFNA(_xlfn.XLOOKUP(C365,Table_Tarikan_Warkah[Nomor Sertipikat],Table_Tarikan_Warkah[Nama Petugas Warkah]),"")</f>
        <v>Bayu</v>
      </c>
      <c r="G365" s="21" t="str">
        <f t="array" ref="G365">IFNA(_xlfn.XLOOKUP(C365,Table_Tarikan_Warkah[Nomor Sertipikat],Table_Tarikan_Warkah[Jenis Permohonan]),"")</f>
        <v>BN JUAL BELI</v>
      </c>
      <c r="H365" s="22" t="s">
        <v>37</v>
      </c>
      <c r="I365" s="22" t="s">
        <v>32</v>
      </c>
      <c r="J365" s="20">
        <f t="shared" si="29"/>
        <v>45600.44696</v>
      </c>
      <c r="K365" s="27" t="s">
        <v>33</v>
      </c>
      <c r="L365" s="27" t="s">
        <v>32</v>
      </c>
      <c r="M365" s="20">
        <f t="shared" si="30"/>
        <v>45601.37463</v>
      </c>
      <c r="N365" s="8" t="str">
        <f t="shared" si="3"/>
        <v>SELESAI</v>
      </c>
      <c r="O365" s="23">
        <f t="shared" si="22"/>
        <v>45601.37463</v>
      </c>
      <c r="P365" s="24" t="b">
        <v>0</v>
      </c>
      <c r="Q365" s="20" t="str">
        <f t="shared" si="5"/>
        <v/>
      </c>
      <c r="R365" s="24" t="b">
        <v>1</v>
      </c>
      <c r="S365" s="20">
        <f t="shared" si="6"/>
        <v>45601.37504</v>
      </c>
      <c r="T365" s="7"/>
    </row>
    <row r="366" ht="22.5" hidden="1" customHeight="1">
      <c r="B366" s="7">
        <f t="shared" si="7"/>
        <v>360</v>
      </c>
      <c r="C366" s="18" t="s">
        <v>388</v>
      </c>
      <c r="D366" s="19" t="str">
        <f t="array" ref="D366">IFNA(_xlfn.XLOOKUP(C366,Table_Tarikan_Warkah[Nomor Sertipikat],Table_Tarikan_Warkah[Nomor Tiket]),"")</f>
        <v>K/39/011124/3</v>
      </c>
      <c r="E366" s="20">
        <f t="array" ref="E366">IFNA(_xlfn.XLOOKUP(C366,Table_Tarikan_Warkah[Nomor Sertipikat],Table_Tarikan_Warkah[Tanggal diserahkan kepada Validator]),"")</f>
        <v>45600.4694</v>
      </c>
      <c r="F366" s="20" t="str">
        <f t="array" ref="F366">IFNA(_xlfn.XLOOKUP(C366,Table_Tarikan_Warkah[Nomor Sertipikat],Table_Tarikan_Warkah[Nama Petugas Warkah]),"")</f>
        <v>David</v>
      </c>
      <c r="G366" s="21" t="str">
        <f t="array" ref="G366">IFNA(_xlfn.XLOOKUP(C366,Table_Tarikan_Warkah[Nomor Sertipikat],Table_Tarikan_Warkah[Jenis Permohonan]),"")</f>
        <v>Roya</v>
      </c>
      <c r="H366" s="22" t="s">
        <v>31</v>
      </c>
      <c r="I366" s="22" t="s">
        <v>32</v>
      </c>
      <c r="J366" s="20">
        <f t="shared" si="29"/>
        <v>45600.63816</v>
      </c>
      <c r="K366" s="27" t="s">
        <v>65</v>
      </c>
      <c r="L366" s="27" t="s">
        <v>32</v>
      </c>
      <c r="M366" s="20">
        <f t="shared" si="30"/>
        <v>45602.58426</v>
      </c>
      <c r="N366" s="8" t="str">
        <f t="shared" si="3"/>
        <v>SELESAI</v>
      </c>
      <c r="O366" s="23">
        <f t="shared" si="22"/>
        <v>45602.58426</v>
      </c>
      <c r="P366" s="24" t="b">
        <v>0</v>
      </c>
      <c r="Q366" s="20" t="str">
        <f t="shared" si="5"/>
        <v/>
      </c>
      <c r="R366" s="24" t="b">
        <v>1</v>
      </c>
      <c r="S366" s="20">
        <f t="shared" si="6"/>
        <v>45603.61224</v>
      </c>
      <c r="T366" s="7"/>
    </row>
    <row r="367" ht="22.5" hidden="1" customHeight="1">
      <c r="B367" s="7">
        <f t="shared" si="7"/>
        <v>361</v>
      </c>
      <c r="C367" s="18" t="s">
        <v>389</v>
      </c>
      <c r="D367" s="19" t="str">
        <f t="array" ref="D367">IFNA(_xlfn.XLOOKUP(C367,Table_Tarikan_Warkah[Nomor Sertipikat],Table_Tarikan_Warkah[Nomor Tiket]),"")</f>
        <v>K/26/011124/1</v>
      </c>
      <c r="E367" s="20">
        <f t="array" ref="E367">IFNA(_xlfn.XLOOKUP(C367,Table_Tarikan_Warkah[Nomor Sertipikat],Table_Tarikan_Warkah[Tanggal diserahkan kepada Validator]),"")</f>
        <v>45600.46752</v>
      </c>
      <c r="F367" s="20" t="str">
        <f t="array" ref="F367">IFNA(_xlfn.XLOOKUP(C367,Table_Tarikan_Warkah[Nomor Sertipikat],Table_Tarikan_Warkah[Nama Petugas Warkah]),"")</f>
        <v>David</v>
      </c>
      <c r="G367" s="21" t="str">
        <f t="array" ref="G367">IFNA(_xlfn.XLOOKUP(C367,Table_Tarikan_Warkah[Nomor Sertipikat],Table_Tarikan_Warkah[Jenis Permohonan]),"")</f>
        <v>BN JUAL BELI</v>
      </c>
      <c r="H367" s="22" t="s">
        <v>31</v>
      </c>
      <c r="I367" s="22" t="s">
        <v>32</v>
      </c>
      <c r="J367" s="20">
        <f t="shared" si="29"/>
        <v>45600.6383</v>
      </c>
      <c r="K367" s="27" t="s">
        <v>65</v>
      </c>
      <c r="L367" s="27" t="s">
        <v>32</v>
      </c>
      <c r="M367" s="20">
        <f t="shared" si="30"/>
        <v>45602.58433</v>
      </c>
      <c r="N367" s="8" t="str">
        <f t="shared" si="3"/>
        <v>SELESAI</v>
      </c>
      <c r="O367" s="23">
        <f t="shared" si="22"/>
        <v>45602.58433</v>
      </c>
      <c r="P367" s="24" t="b">
        <v>0</v>
      </c>
      <c r="Q367" s="20" t="str">
        <f t="shared" si="5"/>
        <v/>
      </c>
      <c r="R367" s="24" t="b">
        <v>1</v>
      </c>
      <c r="S367" s="20">
        <f t="shared" si="6"/>
        <v>45603.61224</v>
      </c>
      <c r="T367" s="7"/>
    </row>
    <row r="368" ht="22.5" hidden="1" customHeight="1">
      <c r="B368" s="7">
        <f t="shared" si="7"/>
        <v>362</v>
      </c>
      <c r="C368" s="18" t="s">
        <v>390</v>
      </c>
      <c r="D368" s="19" t="str">
        <f t="array" ref="D368">IFNA(_xlfn.XLOOKUP(C368,Table_Tarikan_Warkah[Nomor Sertipikat],Table_Tarikan_Warkah[Nomor Tiket]),"")</f>
        <v>K/10/011124/1</v>
      </c>
      <c r="E368" s="20">
        <f t="array" ref="E368">IFNA(_xlfn.XLOOKUP(C368,Table_Tarikan_Warkah[Nomor Sertipikat],Table_Tarikan_Warkah[Tanggal diserahkan kepada Validator]),"")</f>
        <v>45600.46506</v>
      </c>
      <c r="F368" s="20" t="str">
        <f t="array" ref="F368">IFNA(_xlfn.XLOOKUP(C368,Table_Tarikan_Warkah[Nomor Sertipikat],Table_Tarikan_Warkah[Nama Petugas Warkah]),"")</f>
        <v>Berry</v>
      </c>
      <c r="G368" s="21" t="str">
        <f t="array" ref="G368">IFNA(_xlfn.XLOOKUP(C368,Table_Tarikan_Warkah[Nomor Sertipikat],Table_Tarikan_Warkah[Jenis Permohonan]),"")</f>
        <v>BN JUAL BELI</v>
      </c>
      <c r="H368" s="22" t="s">
        <v>31</v>
      </c>
      <c r="I368" s="22" t="s">
        <v>32</v>
      </c>
      <c r="J368" s="20">
        <f t="shared" si="29"/>
        <v>45600.63844</v>
      </c>
      <c r="K368" s="27" t="s">
        <v>65</v>
      </c>
      <c r="L368" s="27" t="s">
        <v>32</v>
      </c>
      <c r="M368" s="20">
        <f t="shared" si="30"/>
        <v>45602.58439</v>
      </c>
      <c r="N368" s="8" t="str">
        <f t="shared" si="3"/>
        <v>SELESAI</v>
      </c>
      <c r="O368" s="23">
        <f t="shared" si="22"/>
        <v>45602.58439</v>
      </c>
      <c r="P368" s="24" t="b">
        <v>0</v>
      </c>
      <c r="Q368" s="20" t="str">
        <f t="shared" si="5"/>
        <v/>
      </c>
      <c r="R368" s="24" t="b">
        <v>1</v>
      </c>
      <c r="S368" s="20">
        <f t="shared" si="6"/>
        <v>45603.61224</v>
      </c>
      <c r="T368" s="7"/>
    </row>
    <row r="369" ht="22.5" hidden="1" customHeight="1">
      <c r="B369" s="7">
        <f t="shared" si="7"/>
        <v>363</v>
      </c>
      <c r="C369" s="18" t="s">
        <v>391</v>
      </c>
      <c r="D369" s="19" t="str">
        <f t="array" ref="D369">IFNA(_xlfn.XLOOKUP(C369,Table_Tarikan_Warkah[Nomor Sertipikat],Table_Tarikan_Warkah[Nomor Tiket]),"")</f>
        <v>K/6/11124/1</v>
      </c>
      <c r="E369" s="20">
        <f t="array" ref="E369">IFNA(_xlfn.XLOOKUP(C369,Table_Tarikan_Warkah[Nomor Sertipikat],Table_Tarikan_Warkah[Tanggal diserahkan kepada Validator]),"")</f>
        <v>45600.46483</v>
      </c>
      <c r="F369" s="20" t="str">
        <f t="array" ref="F369">IFNA(_xlfn.XLOOKUP(C369,Table_Tarikan_Warkah[Nomor Sertipikat],Table_Tarikan_Warkah[Nama Petugas Warkah]),"")</f>
        <v>Berry</v>
      </c>
      <c r="G369" s="21" t="str">
        <f t="array" ref="G369">IFNA(_xlfn.XLOOKUP(C369,Table_Tarikan_Warkah[Nomor Sertipikat],Table_Tarikan_Warkah[Jenis Permohonan]),"")</f>
        <v>BN JUAL BELI</v>
      </c>
      <c r="H369" s="22" t="s">
        <v>31</v>
      </c>
      <c r="I369" s="22" t="s">
        <v>32</v>
      </c>
      <c r="J369" s="20">
        <f t="shared" si="29"/>
        <v>45600.63858</v>
      </c>
      <c r="K369" s="27" t="s">
        <v>65</v>
      </c>
      <c r="L369" s="27" t="s">
        <v>32</v>
      </c>
      <c r="M369" s="20">
        <f t="shared" si="30"/>
        <v>45602.58454</v>
      </c>
      <c r="N369" s="8" t="str">
        <f t="shared" si="3"/>
        <v>SELESAI</v>
      </c>
      <c r="O369" s="23">
        <f t="shared" si="22"/>
        <v>45602.58454</v>
      </c>
      <c r="P369" s="24" t="b">
        <v>0</v>
      </c>
      <c r="Q369" s="20" t="str">
        <f t="shared" si="5"/>
        <v/>
      </c>
      <c r="R369" s="24" t="b">
        <v>1</v>
      </c>
      <c r="S369" s="20">
        <f t="shared" si="6"/>
        <v>45603.61224</v>
      </c>
      <c r="T369" s="7"/>
    </row>
    <row r="370" ht="22.5" hidden="1" customHeight="1">
      <c r="B370" s="7">
        <f t="shared" si="7"/>
        <v>364</v>
      </c>
      <c r="C370" s="18" t="s">
        <v>392</v>
      </c>
      <c r="D370" s="19" t="str">
        <f t="array" ref="D370">IFNA(_xlfn.XLOOKUP(C370,Table_Tarikan_Warkah[Nomor Sertipikat],Table_Tarikan_Warkah[Nomor Tiket]),"")</f>
        <v>L/2/11124/1</v>
      </c>
      <c r="E370" s="20">
        <f t="array" ref="E370">IFNA(_xlfn.XLOOKUP(C370,Table_Tarikan_Warkah[Nomor Sertipikat],Table_Tarikan_Warkah[Tanggal diserahkan kepada Validator]),"")</f>
        <v>45600.46423</v>
      </c>
      <c r="F370" s="20" t="str">
        <f t="array" ref="F370">IFNA(_xlfn.XLOOKUP(C370,Table_Tarikan_Warkah[Nomor Sertipikat],Table_Tarikan_Warkah[Nama Petugas Warkah]),"")</f>
        <v>Berry</v>
      </c>
      <c r="G370" s="21" t="str">
        <f t="array" ref="G370">IFNA(_xlfn.XLOOKUP(C370,Table_Tarikan_Warkah[Nomor Sertipikat],Table_Tarikan_Warkah[Jenis Permohonan]),"")</f>
        <v>PERUBAHAN HAK</v>
      </c>
      <c r="H370" s="22" t="s">
        <v>31</v>
      </c>
      <c r="I370" s="22" t="s">
        <v>32</v>
      </c>
      <c r="J370" s="20">
        <f t="shared" si="29"/>
        <v>45600.63874</v>
      </c>
      <c r="K370" s="27" t="s">
        <v>65</v>
      </c>
      <c r="L370" s="27" t="s">
        <v>32</v>
      </c>
      <c r="M370" s="20">
        <f t="shared" si="30"/>
        <v>45602.58464</v>
      </c>
      <c r="N370" s="8" t="str">
        <f t="shared" si="3"/>
        <v>SELESAI</v>
      </c>
      <c r="O370" s="23">
        <f t="shared" si="22"/>
        <v>45602.58464</v>
      </c>
      <c r="P370" s="24" t="b">
        <v>0</v>
      </c>
      <c r="Q370" s="20" t="str">
        <f t="shared" si="5"/>
        <v/>
      </c>
      <c r="R370" s="24" t="b">
        <v>1</v>
      </c>
      <c r="S370" s="20">
        <f t="shared" si="6"/>
        <v>45603.61224</v>
      </c>
      <c r="T370" s="7"/>
    </row>
    <row r="371" ht="22.5" hidden="1" customHeight="1">
      <c r="B371" s="7">
        <f t="shared" si="7"/>
        <v>365</v>
      </c>
      <c r="C371" s="18" t="s">
        <v>339</v>
      </c>
      <c r="D371" s="19" t="str">
        <f t="array" ref="D371">IFNA(_xlfn.XLOOKUP(C371,Table_Tarikan_Warkah[Nomor Sertipikat],Table_Tarikan_Warkah[Nomor Tiket]),"")</f>
        <v>K/64/221024/1</v>
      </c>
      <c r="E371" s="20">
        <f t="array" ref="E371">IFNA(_xlfn.XLOOKUP(C371,Table_Tarikan_Warkah[Nomor Sertipikat],Table_Tarikan_Warkah[Tanggal diserahkan kepada Validator]),"")</f>
        <v>45600.47466</v>
      </c>
      <c r="F371" s="20" t="str">
        <f t="array" ref="F371">IFNA(_xlfn.XLOOKUP(C371,Table_Tarikan_Warkah[Nomor Sertipikat],Table_Tarikan_Warkah[Nama Petugas Warkah]),"")</f>
        <v>Sahelia</v>
      </c>
      <c r="G371" s="21" t="str">
        <f t="array" ref="G371">IFNA(_xlfn.XLOOKUP(C371,Table_Tarikan_Warkah[Nomor Sertipikat],Table_Tarikan_Warkah[Jenis Permohonan]),"")</f>
        <v>BN Jual Beli</v>
      </c>
      <c r="H371" s="22" t="s">
        <v>31</v>
      </c>
      <c r="I371" s="22" t="s">
        <v>32</v>
      </c>
      <c r="J371" s="20">
        <f t="shared" si="29"/>
        <v>45600.63886</v>
      </c>
      <c r="K371" s="27" t="s">
        <v>65</v>
      </c>
      <c r="L371" s="27" t="s">
        <v>32</v>
      </c>
      <c r="M371" s="20">
        <f t="shared" si="30"/>
        <v>45602.58467</v>
      </c>
      <c r="N371" s="8" t="str">
        <f t="shared" si="3"/>
        <v>SELESAI</v>
      </c>
      <c r="O371" s="23">
        <f t="shared" si="22"/>
        <v>45602.58467</v>
      </c>
      <c r="P371" s="24" t="b">
        <v>0</v>
      </c>
      <c r="Q371" s="20" t="str">
        <f t="shared" si="5"/>
        <v/>
      </c>
      <c r="R371" s="24" t="b">
        <v>1</v>
      </c>
      <c r="S371" s="20">
        <f t="shared" si="6"/>
        <v>45603.61224</v>
      </c>
      <c r="T371" s="7"/>
    </row>
    <row r="372" ht="22.5" hidden="1" customHeight="1">
      <c r="B372" s="7">
        <f t="shared" si="7"/>
        <v>366</v>
      </c>
      <c r="C372" s="18" t="s">
        <v>320</v>
      </c>
      <c r="D372" s="19" t="str">
        <f t="array" ref="D372">IFNA(_xlfn.XLOOKUP(C372,Table_Tarikan_Warkah[Nomor Sertipikat],Table_Tarikan_Warkah[Nomor Tiket]),"")</f>
        <v>K/63/221024/3</v>
      </c>
      <c r="E372" s="20">
        <f t="array" ref="E372">IFNA(_xlfn.XLOOKUP(C372,Table_Tarikan_Warkah[Nomor Sertipikat],Table_Tarikan_Warkah[Tanggal diserahkan kepada Validator]),"")</f>
        <v>45600.47429</v>
      </c>
      <c r="F372" s="20" t="str">
        <f t="array" ref="F372">IFNA(_xlfn.XLOOKUP(C372,Table_Tarikan_Warkah[Nomor Sertipikat],Table_Tarikan_Warkah[Nama Petugas Warkah]),"")</f>
        <v>Sahelia</v>
      </c>
      <c r="G372" s="21" t="str">
        <f t="array" ref="G372">IFNA(_xlfn.XLOOKUP(C372,Table_Tarikan_Warkah[Nomor Sertipikat],Table_Tarikan_Warkah[Jenis Permohonan]),"")</f>
        <v>BN Jual Beli</v>
      </c>
      <c r="H372" s="22" t="s">
        <v>31</v>
      </c>
      <c r="I372" s="22" t="s">
        <v>32</v>
      </c>
      <c r="J372" s="20">
        <f t="shared" si="29"/>
        <v>45600.639</v>
      </c>
      <c r="K372" s="27" t="s">
        <v>65</v>
      </c>
      <c r="L372" s="27" t="s">
        <v>32</v>
      </c>
      <c r="M372" s="20">
        <f t="shared" si="30"/>
        <v>45602.58471</v>
      </c>
      <c r="N372" s="8" t="str">
        <f t="shared" si="3"/>
        <v>SELESAI</v>
      </c>
      <c r="O372" s="23">
        <f t="shared" si="22"/>
        <v>45602.58471</v>
      </c>
      <c r="P372" s="24" t="b">
        <v>0</v>
      </c>
      <c r="Q372" s="20" t="str">
        <f t="shared" si="5"/>
        <v/>
      </c>
      <c r="R372" s="24" t="b">
        <v>1</v>
      </c>
      <c r="S372" s="20">
        <f t="shared" si="6"/>
        <v>45603.61224</v>
      </c>
      <c r="T372" s="7"/>
    </row>
    <row r="373" ht="22.5" hidden="1" customHeight="1">
      <c r="B373" s="7">
        <f t="shared" si="7"/>
        <v>367</v>
      </c>
      <c r="C373" s="18" t="s">
        <v>319</v>
      </c>
      <c r="D373" s="19" t="str">
        <f t="array" ref="D373">IFNA(_xlfn.XLOOKUP(C373,Table_Tarikan_Warkah[Nomor Sertipikat],Table_Tarikan_Warkah[Nomor Tiket]),"")</f>
        <v>K/33/241024/2</v>
      </c>
      <c r="E373" s="20">
        <f t="array" ref="E373">IFNA(_xlfn.XLOOKUP(C373,Table_Tarikan_Warkah[Nomor Sertipikat],Table_Tarikan_Warkah[Tanggal diserahkan kepada Validator]),"")</f>
        <v>45600.47383</v>
      </c>
      <c r="F373" s="20" t="str">
        <f t="array" ref="F373">IFNA(_xlfn.XLOOKUP(C373,Table_Tarikan_Warkah[Nomor Sertipikat],Table_Tarikan_Warkah[Nama Petugas Warkah]),"")</f>
        <v>Sahelia</v>
      </c>
      <c r="G373" s="21" t="str">
        <f t="array" ref="G373">IFNA(_xlfn.XLOOKUP(C373,Table_Tarikan_Warkah[Nomor Sertipikat],Table_Tarikan_Warkah[Jenis Permohonan]),"")</f>
        <v>BN Jual Beli</v>
      </c>
      <c r="H373" s="22" t="s">
        <v>31</v>
      </c>
      <c r="I373" s="22" t="s">
        <v>32</v>
      </c>
      <c r="J373" s="20">
        <f t="shared" si="29"/>
        <v>45600.63913</v>
      </c>
      <c r="K373" s="27" t="s">
        <v>65</v>
      </c>
      <c r="L373" s="27" t="s">
        <v>32</v>
      </c>
      <c r="M373" s="20">
        <f t="shared" si="30"/>
        <v>45602.58486</v>
      </c>
      <c r="N373" s="8" t="str">
        <f t="shared" si="3"/>
        <v>SELESAI</v>
      </c>
      <c r="O373" s="23">
        <f t="shared" si="22"/>
        <v>45602.58486</v>
      </c>
      <c r="P373" s="24" t="b">
        <v>0</v>
      </c>
      <c r="Q373" s="20" t="str">
        <f t="shared" si="5"/>
        <v/>
      </c>
      <c r="R373" s="24" t="b">
        <v>1</v>
      </c>
      <c r="S373" s="20">
        <f t="shared" si="6"/>
        <v>45603.61224</v>
      </c>
      <c r="T373" s="7"/>
    </row>
    <row r="374" ht="22.5" hidden="1" customHeight="1">
      <c r="B374" s="7">
        <f t="shared" si="7"/>
        <v>368</v>
      </c>
      <c r="C374" s="18" t="s">
        <v>322</v>
      </c>
      <c r="D374" s="19" t="str">
        <f t="array" ref="D374">IFNA(_xlfn.XLOOKUP(C374,Table_Tarikan_Warkah[Nomor Sertipikat],Table_Tarikan_Warkah[Nomor Tiket]),"")</f>
        <v>K/33/221024/1</v>
      </c>
      <c r="E374" s="20">
        <f t="array" ref="E374">IFNA(_xlfn.XLOOKUP(C374,Table_Tarikan_Warkah[Nomor Sertipikat],Table_Tarikan_Warkah[Tanggal diserahkan kepada Validator]),"")</f>
        <v>45600.47311</v>
      </c>
      <c r="F374" s="20" t="str">
        <f t="array" ref="F374">IFNA(_xlfn.XLOOKUP(C374,Table_Tarikan_Warkah[Nomor Sertipikat],Table_Tarikan_Warkah[Nama Petugas Warkah]),"")</f>
        <v>Sahelia</v>
      </c>
      <c r="G374" s="21" t="str">
        <f t="array" ref="G374">IFNA(_xlfn.XLOOKUP(C374,Table_Tarikan_Warkah[Nomor Sertipikat],Table_Tarikan_Warkah[Jenis Permohonan]),"")</f>
        <v>BN Jual Beli</v>
      </c>
      <c r="H374" s="22" t="s">
        <v>31</v>
      </c>
      <c r="I374" s="22" t="s">
        <v>32</v>
      </c>
      <c r="J374" s="20">
        <f t="shared" si="29"/>
        <v>45600.63925</v>
      </c>
      <c r="K374" s="27" t="s">
        <v>65</v>
      </c>
      <c r="L374" s="27" t="s">
        <v>32</v>
      </c>
      <c r="M374" s="20">
        <f t="shared" si="30"/>
        <v>45602.58491</v>
      </c>
      <c r="N374" s="8" t="str">
        <f t="shared" si="3"/>
        <v>SELESAI</v>
      </c>
      <c r="O374" s="23">
        <f t="shared" si="22"/>
        <v>45602.58491</v>
      </c>
      <c r="P374" s="24" t="b">
        <v>0</v>
      </c>
      <c r="Q374" s="20" t="str">
        <f t="shared" si="5"/>
        <v/>
      </c>
      <c r="R374" s="24" t="b">
        <v>1</v>
      </c>
      <c r="S374" s="20">
        <f t="shared" si="6"/>
        <v>45603.61224</v>
      </c>
      <c r="T374" s="7"/>
    </row>
    <row r="375" ht="22.5" hidden="1" customHeight="1">
      <c r="B375" s="7">
        <f t="shared" si="7"/>
        <v>369</v>
      </c>
      <c r="C375" s="18" t="s">
        <v>336</v>
      </c>
      <c r="D375" s="19" t="str">
        <f t="array" ref="D375">IFNA(_xlfn.XLOOKUP(C375,Table_Tarikan_Warkah[Nomor Sertipikat],Table_Tarikan_Warkah[Nomor Tiket]),"")</f>
        <v>K/44/211024/1</v>
      </c>
      <c r="E375" s="20">
        <f t="array" ref="E375">IFNA(_xlfn.XLOOKUP(C375,Table_Tarikan_Warkah[Nomor Sertipikat],Table_Tarikan_Warkah[Tanggal diserahkan kepada Validator]),"")</f>
        <v>45600.47221</v>
      </c>
      <c r="F375" s="20" t="str">
        <f t="array" ref="F375">IFNA(_xlfn.XLOOKUP(C375,Table_Tarikan_Warkah[Nomor Sertipikat],Table_Tarikan_Warkah[Nama Petugas Warkah]),"")</f>
        <v>Sahelia</v>
      </c>
      <c r="G375" s="21" t="str">
        <f t="array" ref="G375">IFNA(_xlfn.XLOOKUP(C375,Table_Tarikan_Warkah[Nomor Sertipikat],Table_Tarikan_Warkah[Jenis Permohonan]),"")</f>
        <v>BN Jual Beli</v>
      </c>
      <c r="H375" s="22" t="s">
        <v>31</v>
      </c>
      <c r="I375" s="22" t="s">
        <v>32</v>
      </c>
      <c r="J375" s="20">
        <f t="shared" si="29"/>
        <v>45600.63939</v>
      </c>
      <c r="K375" s="27" t="s">
        <v>65</v>
      </c>
      <c r="L375" s="27" t="s">
        <v>32</v>
      </c>
      <c r="M375" s="20">
        <f t="shared" si="30"/>
        <v>45602.58496</v>
      </c>
      <c r="N375" s="8" t="str">
        <f t="shared" si="3"/>
        <v>SELESAI</v>
      </c>
      <c r="O375" s="23">
        <f t="shared" si="22"/>
        <v>45602.58496</v>
      </c>
      <c r="P375" s="24" t="b">
        <v>0</v>
      </c>
      <c r="Q375" s="20" t="str">
        <f t="shared" si="5"/>
        <v/>
      </c>
      <c r="R375" s="24" t="b">
        <v>1</v>
      </c>
      <c r="S375" s="20">
        <f t="shared" si="6"/>
        <v>45603.61224</v>
      </c>
      <c r="T375" s="7"/>
    </row>
    <row r="376" ht="22.5" hidden="1" customHeight="1">
      <c r="B376" s="7">
        <f t="shared" si="7"/>
        <v>370</v>
      </c>
      <c r="C376" s="18" t="s">
        <v>324</v>
      </c>
      <c r="D376" s="19" t="str">
        <f t="array" ref="D376">IFNA(_xlfn.XLOOKUP(C376,Table_Tarikan_Warkah[Nomor Sertipikat],Table_Tarikan_Warkah[Nomor Tiket]),"")</f>
        <v>K/12/181024/1</v>
      </c>
      <c r="E376" s="20">
        <f t="array" ref="E376">IFNA(_xlfn.XLOOKUP(C376,Table_Tarikan_Warkah[Nomor Sertipikat],Table_Tarikan_Warkah[Tanggal diserahkan kepada Validator]),"")</f>
        <v>45600.47254</v>
      </c>
      <c r="F376" s="20" t="str">
        <f t="array" ref="F376">IFNA(_xlfn.XLOOKUP(C376,Table_Tarikan_Warkah[Nomor Sertipikat],Table_Tarikan_Warkah[Nama Petugas Warkah]),"")</f>
        <v>Sahelia</v>
      </c>
      <c r="G376" s="21" t="str">
        <f t="array" ref="G376">IFNA(_xlfn.XLOOKUP(C376,Table_Tarikan_Warkah[Nomor Sertipikat],Table_Tarikan_Warkah[Jenis Permohonan]),"")</f>
        <v>BN Jual Beli</v>
      </c>
      <c r="H376" s="22" t="s">
        <v>31</v>
      </c>
      <c r="I376" s="22" t="s">
        <v>32</v>
      </c>
      <c r="J376" s="20">
        <f t="shared" si="29"/>
        <v>45600.6396</v>
      </c>
      <c r="K376" s="27" t="s">
        <v>65</v>
      </c>
      <c r="L376" s="27" t="s">
        <v>32</v>
      </c>
      <c r="M376" s="20">
        <f t="shared" si="30"/>
        <v>45602.58499</v>
      </c>
      <c r="N376" s="8" t="str">
        <f t="shared" si="3"/>
        <v>SELESAI</v>
      </c>
      <c r="O376" s="23">
        <f t="shared" si="22"/>
        <v>45602.58499</v>
      </c>
      <c r="P376" s="24" t="b">
        <v>0</v>
      </c>
      <c r="Q376" s="20" t="str">
        <f t="shared" si="5"/>
        <v/>
      </c>
      <c r="R376" s="24" t="b">
        <v>1</v>
      </c>
      <c r="S376" s="20">
        <f t="shared" si="6"/>
        <v>45603.61224</v>
      </c>
      <c r="T376" s="7"/>
    </row>
    <row r="377" ht="22.5" hidden="1" customHeight="1">
      <c r="B377" s="7">
        <f t="shared" si="7"/>
        <v>371</v>
      </c>
      <c r="C377" s="18" t="s">
        <v>393</v>
      </c>
      <c r="D377" s="19" t="str">
        <f t="array" ref="D377">IFNA(_xlfn.XLOOKUP(C377,Table_Tarikan_Warkah[Nomor Sertipikat],Table_Tarikan_Warkah[Nomor Tiket]),"")</f>
        <v>L/18/311024/1</v>
      </c>
      <c r="E377" s="20">
        <f t="array" ref="E377">IFNA(_xlfn.XLOOKUP(C377,Table_Tarikan_Warkah[Nomor Sertipikat],Table_Tarikan_Warkah[Tanggal diserahkan kepada Validator]),"")</f>
        <v>45600.38254</v>
      </c>
      <c r="F377" s="20" t="str">
        <f t="array" ref="F377">IFNA(_xlfn.XLOOKUP(C377,Table_Tarikan_Warkah[Nomor Sertipikat],Table_Tarikan_Warkah[Nama Petugas Warkah]),"")</f>
        <v>Berry</v>
      </c>
      <c r="G377" s="21" t="str">
        <f t="array" ref="G377">IFNA(_xlfn.XLOOKUP(C377,Table_Tarikan_Warkah[Nomor Sertipikat],Table_Tarikan_Warkah[Jenis Permohonan]),"")</f>
        <v>ROYA</v>
      </c>
      <c r="H377" s="22" t="s">
        <v>31</v>
      </c>
      <c r="I377" s="22" t="s">
        <v>32</v>
      </c>
      <c r="J377" s="20">
        <f t="shared" si="29"/>
        <v>45600.63972</v>
      </c>
      <c r="K377" s="27" t="s">
        <v>65</v>
      </c>
      <c r="L377" s="27" t="s">
        <v>32</v>
      </c>
      <c r="M377" s="20">
        <f t="shared" si="30"/>
        <v>45602.58505</v>
      </c>
      <c r="N377" s="8" t="str">
        <f t="shared" si="3"/>
        <v>SELESAI</v>
      </c>
      <c r="O377" s="23">
        <f t="shared" si="22"/>
        <v>45602.58505</v>
      </c>
      <c r="P377" s="24" t="b">
        <v>0</v>
      </c>
      <c r="Q377" s="20" t="str">
        <f t="shared" si="5"/>
        <v/>
      </c>
      <c r="R377" s="24" t="b">
        <v>1</v>
      </c>
      <c r="S377" s="20">
        <f t="shared" si="6"/>
        <v>45603.61224</v>
      </c>
      <c r="T377" s="7"/>
    </row>
    <row r="378" ht="22.5" hidden="1" customHeight="1">
      <c r="B378" s="7">
        <f t="shared" si="7"/>
        <v>372</v>
      </c>
      <c r="C378" s="18" t="s">
        <v>394</v>
      </c>
      <c r="D378" s="19" t="str">
        <f t="array" ref="D378">IFNA(_xlfn.XLOOKUP(C378,Table_Tarikan_Warkah[Nomor Sertipikat],Table_Tarikan_Warkah[Nomor Tiket]),"")</f>
        <v>K/45/311024/3</v>
      </c>
      <c r="E378" s="20">
        <f t="array" ref="E378">IFNA(_xlfn.XLOOKUP(C378,Table_Tarikan_Warkah[Nomor Sertipikat],Table_Tarikan_Warkah[Tanggal diserahkan kepada Validator]),"")</f>
        <v>45600.40053</v>
      </c>
      <c r="F378" s="20" t="str">
        <f t="array" ref="F378">IFNA(_xlfn.XLOOKUP(C378,Table_Tarikan_Warkah[Nomor Sertipikat],Table_Tarikan_Warkah[Nama Petugas Warkah]),"")</f>
        <v>David</v>
      </c>
      <c r="G378" s="21" t="str">
        <f t="array" ref="G378">IFNA(_xlfn.XLOOKUP(C378,Table_Tarikan_Warkah[Nomor Sertipikat],Table_Tarikan_Warkah[Jenis Permohonan]),"")</f>
        <v>BN Hibah</v>
      </c>
      <c r="H378" s="22" t="s">
        <v>31</v>
      </c>
      <c r="I378" s="22" t="s">
        <v>32</v>
      </c>
      <c r="J378" s="20">
        <f t="shared" si="29"/>
        <v>45600.63985</v>
      </c>
      <c r="K378" s="27" t="s">
        <v>65</v>
      </c>
      <c r="L378" s="27" t="s">
        <v>32</v>
      </c>
      <c r="M378" s="20">
        <f t="shared" si="30"/>
        <v>45602.58509</v>
      </c>
      <c r="N378" s="8" t="str">
        <f t="shared" si="3"/>
        <v>SELESAI</v>
      </c>
      <c r="O378" s="23">
        <f t="shared" si="22"/>
        <v>45602.58509</v>
      </c>
      <c r="P378" s="24" t="b">
        <v>0</v>
      </c>
      <c r="Q378" s="20" t="str">
        <f t="shared" si="5"/>
        <v/>
      </c>
      <c r="R378" s="24" t="b">
        <v>1</v>
      </c>
      <c r="S378" s="20">
        <f t="shared" si="6"/>
        <v>45603.61224</v>
      </c>
      <c r="T378" s="7"/>
    </row>
    <row r="379" ht="22.5" hidden="1" customHeight="1">
      <c r="B379" s="7">
        <f t="shared" si="7"/>
        <v>373</v>
      </c>
      <c r="C379" s="18" t="s">
        <v>395</v>
      </c>
      <c r="D379" s="19" t="str">
        <f t="array" ref="D379">IFNA(_xlfn.XLOOKUP(C379,Table_Tarikan_Warkah[Nomor Sertipikat],Table_Tarikan_Warkah[Nomor Tiket]),"")</f>
        <v>L/1/311024/1</v>
      </c>
      <c r="E379" s="20">
        <f t="array" ref="E379">IFNA(_xlfn.XLOOKUP(C379,Table_Tarikan_Warkah[Nomor Sertipikat],Table_Tarikan_Warkah[Tanggal diserahkan kepada Validator]),"")</f>
        <v>45600.38121</v>
      </c>
      <c r="F379" s="20" t="str">
        <f t="array" ref="F379">IFNA(_xlfn.XLOOKUP(C379,Table_Tarikan_Warkah[Nomor Sertipikat],Table_Tarikan_Warkah[Nama Petugas Warkah]),"")</f>
        <v>Berry</v>
      </c>
      <c r="G379" s="21" t="str">
        <f t="array" ref="G379">IFNA(_xlfn.XLOOKUP(C379,Table_Tarikan_Warkah[Nomor Sertipikat],Table_Tarikan_Warkah[Jenis Permohonan]),"")</f>
        <v>PERUBAHAN HAK</v>
      </c>
      <c r="H379" s="22" t="s">
        <v>31</v>
      </c>
      <c r="I379" s="22" t="s">
        <v>32</v>
      </c>
      <c r="J379" s="20">
        <f t="shared" si="29"/>
        <v>45600.64</v>
      </c>
      <c r="K379" s="27" t="s">
        <v>65</v>
      </c>
      <c r="L379" s="27" t="s">
        <v>32</v>
      </c>
      <c r="M379" s="20">
        <f t="shared" si="30"/>
        <v>45602.58514</v>
      </c>
      <c r="N379" s="8" t="str">
        <f t="shared" si="3"/>
        <v>SELESAI</v>
      </c>
      <c r="O379" s="23">
        <f t="shared" si="22"/>
        <v>45602.58514</v>
      </c>
      <c r="P379" s="24" t="b">
        <v>0</v>
      </c>
      <c r="Q379" s="20" t="str">
        <f t="shared" si="5"/>
        <v/>
      </c>
      <c r="R379" s="24" t="b">
        <v>1</v>
      </c>
      <c r="S379" s="20">
        <f t="shared" si="6"/>
        <v>45603.61224</v>
      </c>
      <c r="T379" s="7"/>
    </row>
    <row r="380" ht="22.5" hidden="1" customHeight="1">
      <c r="B380" s="7">
        <f t="shared" si="7"/>
        <v>374</v>
      </c>
      <c r="C380" s="18" t="s">
        <v>396</v>
      </c>
      <c r="D380" s="19" t="str">
        <f t="array" ref="D380">IFNA(_xlfn.XLOOKUP(C380,Table_Tarikan_Warkah[Nomor Sertipikat],Table_Tarikan_Warkah[Nomor Tiket]),"")</f>
        <v>K/2/311024/1</v>
      </c>
      <c r="E380" s="20">
        <f t="array" ref="E380">IFNA(_xlfn.XLOOKUP(C380,Table_Tarikan_Warkah[Nomor Sertipikat],Table_Tarikan_Warkah[Tanggal diserahkan kepada Validator]),"")</f>
        <v>45600.38153</v>
      </c>
      <c r="F380" s="20" t="str">
        <f t="array" ref="F380">IFNA(_xlfn.XLOOKUP(C380,Table_Tarikan_Warkah[Nomor Sertipikat],Table_Tarikan_Warkah[Nama Petugas Warkah]),"")</f>
        <v>Berry</v>
      </c>
      <c r="G380" s="21" t="str">
        <f t="array" ref="G380">IFNA(_xlfn.XLOOKUP(C380,Table_Tarikan_Warkah[Nomor Sertipikat],Table_Tarikan_Warkah[Jenis Permohonan]),"")</f>
        <v>PEMECAHAN</v>
      </c>
      <c r="H380" s="22" t="s">
        <v>31</v>
      </c>
      <c r="I380" s="22" t="s">
        <v>32</v>
      </c>
      <c r="J380" s="20">
        <f t="shared" si="29"/>
        <v>45600.64009</v>
      </c>
      <c r="K380" s="27" t="s">
        <v>65</v>
      </c>
      <c r="L380" s="27" t="s">
        <v>32</v>
      </c>
      <c r="M380" s="20">
        <f t="shared" si="30"/>
        <v>45602.58519</v>
      </c>
      <c r="N380" s="8" t="str">
        <f t="shared" si="3"/>
        <v>SELESAI</v>
      </c>
      <c r="O380" s="23">
        <f t="shared" si="22"/>
        <v>45602.58519</v>
      </c>
      <c r="P380" s="24" t="b">
        <v>0</v>
      </c>
      <c r="Q380" s="20" t="str">
        <f t="shared" si="5"/>
        <v/>
      </c>
      <c r="R380" s="24" t="b">
        <v>1</v>
      </c>
      <c r="S380" s="20">
        <f t="shared" si="6"/>
        <v>45603.61224</v>
      </c>
      <c r="T380" s="7"/>
    </row>
    <row r="381" ht="22.5" hidden="1" customHeight="1">
      <c r="B381" s="7">
        <f t="shared" si="7"/>
        <v>375</v>
      </c>
      <c r="C381" s="18" t="s">
        <v>397</v>
      </c>
      <c r="D381" s="19" t="str">
        <f t="array" ref="D381">IFNA(_xlfn.XLOOKUP(C381,Table_Tarikan_Warkah[Nomor Sertipikat],Table_Tarikan_Warkah[Nomor Tiket]),"")</f>
        <v>K/37/311024/1</v>
      </c>
      <c r="E381" s="20">
        <f t="array" ref="E381">IFNA(_xlfn.XLOOKUP(C381,Table_Tarikan_Warkah[Nomor Sertipikat],Table_Tarikan_Warkah[Tanggal diserahkan kepada Validator]),"")</f>
        <v>45600.38793</v>
      </c>
      <c r="F381" s="20" t="str">
        <f t="array" ref="F381">IFNA(_xlfn.XLOOKUP(C381,Table_Tarikan_Warkah[Nomor Sertipikat],Table_Tarikan_Warkah[Nama Petugas Warkah]),"")</f>
        <v>David</v>
      </c>
      <c r="G381" s="21" t="str">
        <f t="array" ref="G381">IFNA(_xlfn.XLOOKUP(C381,Table_Tarikan_Warkah[Nomor Sertipikat],Table_Tarikan_Warkah[Jenis Permohonan]),"")</f>
        <v>HIBAH</v>
      </c>
      <c r="H381" s="22" t="s">
        <v>31</v>
      </c>
      <c r="I381" s="22" t="s">
        <v>32</v>
      </c>
      <c r="J381" s="20">
        <f t="shared" si="29"/>
        <v>45600.64022</v>
      </c>
      <c r="K381" s="27" t="s">
        <v>65</v>
      </c>
      <c r="L381" s="27" t="s">
        <v>32</v>
      </c>
      <c r="M381" s="20">
        <f t="shared" si="30"/>
        <v>45602.58525</v>
      </c>
      <c r="N381" s="8" t="str">
        <f t="shared" si="3"/>
        <v>SELESAI</v>
      </c>
      <c r="O381" s="23">
        <f t="shared" si="22"/>
        <v>45602.58525</v>
      </c>
      <c r="P381" s="24" t="b">
        <v>0</v>
      </c>
      <c r="Q381" s="20" t="str">
        <f t="shared" si="5"/>
        <v/>
      </c>
      <c r="R381" s="24" t="b">
        <v>1</v>
      </c>
      <c r="S381" s="20">
        <f t="shared" si="6"/>
        <v>45603.61224</v>
      </c>
      <c r="T381" s="7"/>
    </row>
    <row r="382" ht="22.5" hidden="1" customHeight="1">
      <c r="B382" s="7">
        <f t="shared" si="7"/>
        <v>376</v>
      </c>
      <c r="C382" s="18" t="s">
        <v>398</v>
      </c>
      <c r="D382" s="19" t="str">
        <f t="array" ref="D382">IFNA(_xlfn.XLOOKUP(C382,Table_Tarikan_Warkah[Nomor Sertipikat],Table_Tarikan_Warkah[Nomor Tiket]),"")</f>
        <v>L/27/311024/1</v>
      </c>
      <c r="E382" s="20">
        <f t="array" ref="E382">IFNA(_xlfn.XLOOKUP(C382,Table_Tarikan_Warkah[Nomor Sertipikat],Table_Tarikan_Warkah[Tanggal diserahkan kepada Validator]),"")</f>
        <v>45600.38379</v>
      </c>
      <c r="F382" s="20" t="str">
        <f t="array" ref="F382">IFNA(_xlfn.XLOOKUP(C382,Table_Tarikan_Warkah[Nomor Sertipikat],Table_Tarikan_Warkah[Nama Petugas Warkah]),"")</f>
        <v>Berry</v>
      </c>
      <c r="G382" s="21" t="str">
        <f t="array" ref="G382">IFNA(_xlfn.XLOOKUP(C382,Table_Tarikan_Warkah[Nomor Sertipikat],Table_Tarikan_Warkah[Jenis Permohonan]),"")</f>
        <v>ROYA</v>
      </c>
      <c r="H382" s="22" t="s">
        <v>31</v>
      </c>
      <c r="I382" s="22" t="s">
        <v>32</v>
      </c>
      <c r="J382" s="20">
        <f t="shared" si="29"/>
        <v>45600.64034</v>
      </c>
      <c r="K382" s="27" t="s">
        <v>65</v>
      </c>
      <c r="L382" s="27" t="s">
        <v>32</v>
      </c>
      <c r="M382" s="20">
        <f t="shared" si="30"/>
        <v>45602.5853</v>
      </c>
      <c r="N382" s="8" t="str">
        <f t="shared" si="3"/>
        <v>SELESAI</v>
      </c>
      <c r="O382" s="23">
        <f t="shared" si="22"/>
        <v>45602.5853</v>
      </c>
      <c r="P382" s="24" t="b">
        <v>0</v>
      </c>
      <c r="Q382" s="20" t="str">
        <f t="shared" si="5"/>
        <v/>
      </c>
      <c r="R382" s="24" t="b">
        <v>1</v>
      </c>
      <c r="S382" s="20">
        <f t="shared" si="6"/>
        <v>45603.61224</v>
      </c>
      <c r="T382" s="7"/>
    </row>
    <row r="383" ht="22.5" hidden="1" customHeight="1">
      <c r="B383" s="7">
        <f t="shared" si="7"/>
        <v>377</v>
      </c>
      <c r="C383" s="18" t="s">
        <v>399</v>
      </c>
      <c r="D383" s="19" t="str">
        <f t="array" ref="D383">IFNA(_xlfn.XLOOKUP(C383,Table_Tarikan_Warkah[Nomor Sertipikat],Table_Tarikan_Warkah[Nomor Tiket]),"")</f>
        <v>K/28/311024/1</v>
      </c>
      <c r="E383" s="20">
        <f t="array" ref="E383">IFNA(_xlfn.XLOOKUP(C383,Table_Tarikan_Warkah[Nomor Sertipikat],Table_Tarikan_Warkah[Tanggal diserahkan kepada Validator]),"")</f>
        <v>45600.38455</v>
      </c>
      <c r="F383" s="20" t="str">
        <f t="array" ref="F383">IFNA(_xlfn.XLOOKUP(C383,Table_Tarikan_Warkah[Nomor Sertipikat],Table_Tarikan_Warkah[Nama Petugas Warkah]),"")</f>
        <v>Berry</v>
      </c>
      <c r="G383" s="21" t="str">
        <f t="array" ref="G383">IFNA(_xlfn.XLOOKUP(C383,Table_Tarikan_Warkah[Nomor Sertipikat],Table_Tarikan_Warkah[Jenis Permohonan]),"")</f>
        <v>Perubahan Hak</v>
      </c>
      <c r="H383" s="22" t="s">
        <v>31</v>
      </c>
      <c r="I383" s="22" t="s">
        <v>32</v>
      </c>
      <c r="J383" s="20">
        <f t="shared" si="29"/>
        <v>45600.64045</v>
      </c>
      <c r="K383" s="27" t="s">
        <v>65</v>
      </c>
      <c r="L383" s="27" t="s">
        <v>32</v>
      </c>
      <c r="M383" s="20">
        <f t="shared" si="30"/>
        <v>45602.58534</v>
      </c>
      <c r="N383" s="8" t="str">
        <f t="shared" si="3"/>
        <v>SELESAI</v>
      </c>
      <c r="O383" s="23">
        <f t="shared" si="22"/>
        <v>45602.58534</v>
      </c>
      <c r="P383" s="24" t="b">
        <v>0</v>
      </c>
      <c r="Q383" s="20" t="str">
        <f t="shared" si="5"/>
        <v/>
      </c>
      <c r="R383" s="24" t="b">
        <v>1</v>
      </c>
      <c r="S383" s="20">
        <f t="shared" si="6"/>
        <v>45603.61224</v>
      </c>
      <c r="T383" s="7"/>
    </row>
    <row r="384" ht="22.5" hidden="1" customHeight="1">
      <c r="B384" s="7">
        <f t="shared" si="7"/>
        <v>378</v>
      </c>
      <c r="C384" s="18" t="s">
        <v>400</v>
      </c>
      <c r="D384" s="19" t="str">
        <f t="array" ref="D384">IFNA(_xlfn.XLOOKUP(C384,Table_Tarikan_Warkah[Nomor Sertipikat],Table_Tarikan_Warkah[Nomor Tiket]),"")</f>
        <v>K/6/311024/1</v>
      </c>
      <c r="E384" s="20">
        <f t="array" ref="E384">IFNA(_xlfn.XLOOKUP(C384,Table_Tarikan_Warkah[Nomor Sertipikat],Table_Tarikan_Warkah[Tanggal diserahkan kepada Validator]),"")</f>
        <v>45600.38611</v>
      </c>
      <c r="F384" s="20" t="str">
        <f t="array" ref="F384">IFNA(_xlfn.XLOOKUP(C384,Table_Tarikan_Warkah[Nomor Sertipikat],Table_Tarikan_Warkah[Nama Petugas Warkah]),"")</f>
        <v>Berry</v>
      </c>
      <c r="G384" s="21" t="str">
        <f t="array" ref="G384">IFNA(_xlfn.XLOOKUP(C384,Table_Tarikan_Warkah[Nomor Sertipikat],Table_Tarikan_Warkah[Jenis Permohonan]),"")</f>
        <v>BN Jual Beli</v>
      </c>
      <c r="H384" s="22" t="s">
        <v>31</v>
      </c>
      <c r="I384" s="22" t="s">
        <v>32</v>
      </c>
      <c r="J384" s="20">
        <f t="shared" si="29"/>
        <v>45600.6406</v>
      </c>
      <c r="K384" s="27" t="s">
        <v>65</v>
      </c>
      <c r="L384" s="27" t="s">
        <v>32</v>
      </c>
      <c r="M384" s="20">
        <f t="shared" si="30"/>
        <v>45602.58541</v>
      </c>
      <c r="N384" s="8" t="str">
        <f t="shared" si="3"/>
        <v>SELESAI</v>
      </c>
      <c r="O384" s="23">
        <f t="shared" si="22"/>
        <v>45602.58541</v>
      </c>
      <c r="P384" s="24" t="b">
        <v>0</v>
      </c>
      <c r="Q384" s="20" t="str">
        <f t="shared" si="5"/>
        <v/>
      </c>
      <c r="R384" s="24" t="b">
        <v>1</v>
      </c>
      <c r="S384" s="20">
        <f t="shared" si="6"/>
        <v>45603.61224</v>
      </c>
      <c r="T384" s="7"/>
    </row>
    <row r="385" ht="22.5" hidden="1" customHeight="1">
      <c r="B385" s="7">
        <f t="shared" si="7"/>
        <v>379</v>
      </c>
      <c r="C385" s="18" t="s">
        <v>401</v>
      </c>
      <c r="D385" s="19" t="str">
        <f t="array" ref="D385">IFNA(_xlfn.XLOOKUP(C385,Table_Tarikan_Warkah[Nomor Sertipikat],Table_Tarikan_Warkah[Nomor Tiket]),"")</f>
        <v>K/36/311024/1</v>
      </c>
      <c r="E385" s="20">
        <f t="array" ref="E385">IFNA(_xlfn.XLOOKUP(C385,Table_Tarikan_Warkah[Nomor Sertipikat],Table_Tarikan_Warkah[Tanggal diserahkan kepada Validator]),"")</f>
        <v>45600.38717</v>
      </c>
      <c r="F385" s="20" t="str">
        <f t="array" ref="F385">IFNA(_xlfn.XLOOKUP(C385,Table_Tarikan_Warkah[Nomor Sertipikat],Table_Tarikan_Warkah[Nama Petugas Warkah]),"")</f>
        <v>David</v>
      </c>
      <c r="G385" s="21" t="str">
        <f t="array" ref="G385">IFNA(_xlfn.XLOOKUP(C385,Table_Tarikan_Warkah[Nomor Sertipikat],Table_Tarikan_Warkah[Jenis Permohonan]),"")</f>
        <v>PENINGKATAN</v>
      </c>
      <c r="H385" s="22" t="s">
        <v>31</v>
      </c>
      <c r="I385" s="22" t="s">
        <v>32</v>
      </c>
      <c r="J385" s="20">
        <f t="shared" si="29"/>
        <v>45600.64071</v>
      </c>
      <c r="K385" s="27" t="s">
        <v>65</v>
      </c>
      <c r="L385" s="27" t="s">
        <v>32</v>
      </c>
      <c r="M385" s="20">
        <f t="shared" si="30"/>
        <v>45602.58548</v>
      </c>
      <c r="N385" s="8" t="str">
        <f t="shared" si="3"/>
        <v>SELESAI</v>
      </c>
      <c r="O385" s="23">
        <f t="shared" si="22"/>
        <v>45602.58548</v>
      </c>
      <c r="P385" s="24" t="b">
        <v>0</v>
      </c>
      <c r="Q385" s="20" t="str">
        <f t="shared" si="5"/>
        <v/>
      </c>
      <c r="R385" s="24" t="b">
        <v>1</v>
      </c>
      <c r="S385" s="20">
        <f t="shared" si="6"/>
        <v>45603.61224</v>
      </c>
      <c r="T385" s="7"/>
    </row>
    <row r="386" ht="22.5" hidden="1" customHeight="1">
      <c r="B386" s="7">
        <f t="shared" si="7"/>
        <v>380</v>
      </c>
      <c r="C386" s="18" t="s">
        <v>402</v>
      </c>
      <c r="D386" s="19" t="str">
        <f t="array" ref="D386">IFNA(_xlfn.XLOOKUP(C386,Table_Tarikan_Warkah[Nomor Sertipikat],Table_Tarikan_Warkah[Nomor Tiket]),"")</f>
        <v>K/39/311024/1</v>
      </c>
      <c r="E386" s="20">
        <f t="array" ref="E386">IFNA(_xlfn.XLOOKUP(C386,Table_Tarikan_Warkah[Nomor Sertipikat],Table_Tarikan_Warkah[Tanggal diserahkan kepada Validator]),"")</f>
        <v>45600.38937</v>
      </c>
      <c r="F386" s="20" t="str">
        <f t="array" ref="F386">IFNA(_xlfn.XLOOKUP(C386,Table_Tarikan_Warkah[Nomor Sertipikat],Table_Tarikan_Warkah[Nama Petugas Warkah]),"")</f>
        <v>David</v>
      </c>
      <c r="G386" s="21" t="str">
        <f t="array" ref="G386">IFNA(_xlfn.XLOOKUP(C386,Table_Tarikan_Warkah[Nomor Sertipikat],Table_Tarikan_Warkah[Jenis Permohonan]),"")</f>
        <v>BN JUAL BELI</v>
      </c>
      <c r="H386" s="22" t="s">
        <v>31</v>
      </c>
      <c r="I386" s="22" t="s">
        <v>32</v>
      </c>
      <c r="J386" s="20">
        <f t="shared" si="29"/>
        <v>45600.64088</v>
      </c>
      <c r="K386" s="27" t="s">
        <v>65</v>
      </c>
      <c r="L386" s="27" t="s">
        <v>32</v>
      </c>
      <c r="M386" s="20">
        <f t="shared" si="30"/>
        <v>45602.58555</v>
      </c>
      <c r="N386" s="8" t="str">
        <f t="shared" si="3"/>
        <v>SELESAI</v>
      </c>
      <c r="O386" s="23">
        <f t="shared" si="22"/>
        <v>45602.58555</v>
      </c>
      <c r="P386" s="24" t="b">
        <v>0</v>
      </c>
      <c r="Q386" s="20" t="str">
        <f t="shared" si="5"/>
        <v/>
      </c>
      <c r="R386" s="24" t="b">
        <v>1</v>
      </c>
      <c r="S386" s="20">
        <f t="shared" si="6"/>
        <v>45603.61224</v>
      </c>
      <c r="T386" s="7"/>
    </row>
    <row r="387" ht="22.5" hidden="1" customHeight="1">
      <c r="B387" s="7">
        <f t="shared" si="7"/>
        <v>381</v>
      </c>
      <c r="C387" s="18" t="s">
        <v>403</v>
      </c>
      <c r="D387" s="19" t="str">
        <f t="array" ref="D387">IFNA(_xlfn.XLOOKUP(C387,Table_Tarikan_Warkah[Nomor Sertipikat],Table_Tarikan_Warkah[Nomor Tiket]),"")</f>
        <v>K/53/171024/2</v>
      </c>
      <c r="E387" s="20" t="str">
        <f t="array" ref="E387">IFNA(_xlfn.XLOOKUP(C387,Table_Tarikan_Warkah[Nomor Sertipikat],Table_Tarikan_Warkah[Tanggal diserahkan kepada Validator]),"")</f>
        <v/>
      </c>
      <c r="F387" s="20" t="str">
        <f t="array" ref="F387">IFNA(_xlfn.XLOOKUP(C387,Table_Tarikan_Warkah[Nomor Sertipikat],Table_Tarikan_Warkah[Nama Petugas Warkah]),"")</f>
        <v/>
      </c>
      <c r="G387" s="21" t="str">
        <f t="array" ref="G387">IFNA(_xlfn.XLOOKUP(C387,Table_Tarikan_Warkah[Nomor Sertipikat],Table_Tarikan_Warkah[Jenis Permohonan]),"")</f>
        <v>PENGECEKAN</v>
      </c>
      <c r="H387" s="22" t="s">
        <v>31</v>
      </c>
      <c r="I387" s="22" t="s">
        <v>32</v>
      </c>
      <c r="J387" s="20">
        <f t="shared" si="29"/>
        <v>45600.64109</v>
      </c>
      <c r="K387" s="27" t="s">
        <v>65</v>
      </c>
      <c r="L387" s="27" t="s">
        <v>32</v>
      </c>
      <c r="M387" s="20">
        <f t="shared" si="30"/>
        <v>45602.58559</v>
      </c>
      <c r="N387" s="8" t="str">
        <f t="shared" si="3"/>
        <v>SELESAI</v>
      </c>
      <c r="O387" s="23">
        <f t="shared" si="22"/>
        <v>45602.58559</v>
      </c>
      <c r="P387" s="24" t="b">
        <v>0</v>
      </c>
      <c r="Q387" s="20" t="str">
        <f t="shared" si="5"/>
        <v/>
      </c>
      <c r="R387" s="24" t="b">
        <v>1</v>
      </c>
      <c r="S387" s="20">
        <f t="shared" si="6"/>
        <v>45603.61224</v>
      </c>
      <c r="T387" s="7"/>
    </row>
    <row r="388" ht="22.5" hidden="1" customHeight="1">
      <c r="B388" s="7">
        <f t="shared" si="7"/>
        <v>382</v>
      </c>
      <c r="C388" s="18" t="s">
        <v>404</v>
      </c>
      <c r="D388" s="19" t="str">
        <f t="array" ref="D388">IFNA(_xlfn.XLOOKUP(C388,Table_Tarikan_Warkah[Nomor Sertipikat],Table_Tarikan_Warkah[Nomor Tiket]),"")</f>
        <v>K/42/311024/1</v>
      </c>
      <c r="E388" s="20">
        <f t="array" ref="E388">IFNA(_xlfn.XLOOKUP(C388,Table_Tarikan_Warkah[Nomor Sertipikat],Table_Tarikan_Warkah[Tanggal diserahkan kepada Validator]),"")</f>
        <v>45600.39118</v>
      </c>
      <c r="F388" s="20" t="str">
        <f t="array" ref="F388">IFNA(_xlfn.XLOOKUP(C388,Table_Tarikan_Warkah[Nomor Sertipikat],Table_Tarikan_Warkah[Nama Petugas Warkah]),"")</f>
        <v>David</v>
      </c>
      <c r="G388" s="21" t="str">
        <f t="array" ref="G388">IFNA(_xlfn.XLOOKUP(C388,Table_Tarikan_Warkah[Nomor Sertipikat],Table_Tarikan_Warkah[Jenis Permohonan]),"")</f>
        <v>ROYA</v>
      </c>
      <c r="H388" s="22" t="s">
        <v>31</v>
      </c>
      <c r="I388" s="22" t="s">
        <v>32</v>
      </c>
      <c r="J388" s="20">
        <f t="shared" si="29"/>
        <v>45600.64122</v>
      </c>
      <c r="K388" s="27" t="s">
        <v>65</v>
      </c>
      <c r="L388" s="27" t="s">
        <v>32</v>
      </c>
      <c r="M388" s="20">
        <f t="shared" si="30"/>
        <v>45602.58563</v>
      </c>
      <c r="N388" s="8" t="str">
        <f t="shared" si="3"/>
        <v>SELESAI</v>
      </c>
      <c r="O388" s="23">
        <f t="shared" si="22"/>
        <v>45602.58563</v>
      </c>
      <c r="P388" s="24" t="b">
        <v>0</v>
      </c>
      <c r="Q388" s="20" t="str">
        <f t="shared" si="5"/>
        <v/>
      </c>
      <c r="R388" s="24" t="b">
        <v>1</v>
      </c>
      <c r="S388" s="20">
        <f t="shared" si="6"/>
        <v>45603.61224</v>
      </c>
      <c r="T388" s="7"/>
    </row>
    <row r="389" ht="22.5" hidden="1" customHeight="1">
      <c r="B389" s="7">
        <f t="shared" si="7"/>
        <v>383</v>
      </c>
      <c r="C389" s="18" t="s">
        <v>405</v>
      </c>
      <c r="D389" s="19" t="str">
        <f t="array" ref="D389">IFNA(_xlfn.XLOOKUP(C389,Table_Tarikan_Warkah[Nomor Sertipikat],Table_Tarikan_Warkah[Nomor Tiket]),"")</f>
        <v>K/41/311024/1</v>
      </c>
      <c r="E389" s="20">
        <f t="array" ref="E389">IFNA(_xlfn.XLOOKUP(C389,Table_Tarikan_Warkah[Nomor Sertipikat],Table_Tarikan_Warkah[Tanggal diserahkan kepada Validator]),"")</f>
        <v>45600.39096</v>
      </c>
      <c r="F389" s="20" t="str">
        <f t="array" ref="F389">IFNA(_xlfn.XLOOKUP(C389,Table_Tarikan_Warkah[Nomor Sertipikat],Table_Tarikan_Warkah[Nama Petugas Warkah]),"")</f>
        <v>David</v>
      </c>
      <c r="G389" s="21" t="str">
        <f t="array" ref="G389">IFNA(_xlfn.XLOOKUP(C389,Table_Tarikan_Warkah[Nomor Sertipikat],Table_Tarikan_Warkah[Jenis Permohonan]),"")</f>
        <v>BN Jual Beli</v>
      </c>
      <c r="H389" s="22" t="s">
        <v>31</v>
      </c>
      <c r="I389" s="22" t="s">
        <v>32</v>
      </c>
      <c r="J389" s="20">
        <f t="shared" si="29"/>
        <v>45600.64135</v>
      </c>
      <c r="K389" s="27" t="s">
        <v>65</v>
      </c>
      <c r="L389" s="27" t="s">
        <v>32</v>
      </c>
      <c r="M389" s="20">
        <f t="shared" si="30"/>
        <v>45602.58567</v>
      </c>
      <c r="N389" s="8" t="str">
        <f t="shared" si="3"/>
        <v>SELESAI</v>
      </c>
      <c r="O389" s="23">
        <f t="shared" si="22"/>
        <v>45602.58567</v>
      </c>
      <c r="P389" s="24" t="b">
        <v>0</v>
      </c>
      <c r="Q389" s="20" t="str">
        <f t="shared" si="5"/>
        <v/>
      </c>
      <c r="R389" s="24" t="b">
        <v>1</v>
      </c>
      <c r="S389" s="20">
        <f t="shared" si="6"/>
        <v>45603.61224</v>
      </c>
      <c r="T389" s="7"/>
    </row>
    <row r="390" ht="22.5" hidden="1" customHeight="1">
      <c r="B390" s="7">
        <f t="shared" si="7"/>
        <v>384</v>
      </c>
      <c r="C390" s="18" t="s">
        <v>406</v>
      </c>
      <c r="D390" s="19" t="str">
        <f t="array" ref="D390">IFNA(_xlfn.XLOOKUP(C390,Table_Tarikan_Warkah[Nomor Sertipikat],Table_Tarikan_Warkah[Nomor Tiket]),"")</f>
        <v>K/22/311024/1</v>
      </c>
      <c r="E390" s="20">
        <f t="array" ref="E390">IFNA(_xlfn.XLOOKUP(C390,Table_Tarikan_Warkah[Nomor Sertipikat],Table_Tarikan_Warkah[Tanggal diserahkan kepada Validator]),"")</f>
        <v>45600.38322</v>
      </c>
      <c r="F390" s="20" t="str">
        <f t="array" ref="F390">IFNA(_xlfn.XLOOKUP(C390,Table_Tarikan_Warkah[Nomor Sertipikat],Table_Tarikan_Warkah[Nama Petugas Warkah]),"")</f>
        <v>Berry</v>
      </c>
      <c r="G390" s="21" t="str">
        <f t="array" ref="G390">IFNA(_xlfn.XLOOKUP(C390,Table_Tarikan_Warkah[Nomor Sertipikat],Table_Tarikan_Warkah[Jenis Permohonan]),"")</f>
        <v>PENINGKATAN</v>
      </c>
      <c r="H390" s="22" t="s">
        <v>31</v>
      </c>
      <c r="I390" s="22" t="s">
        <v>32</v>
      </c>
      <c r="J390" s="20">
        <f t="shared" si="29"/>
        <v>45600.64146</v>
      </c>
      <c r="K390" s="27" t="s">
        <v>65</v>
      </c>
      <c r="L390" s="27" t="s">
        <v>32</v>
      </c>
      <c r="M390" s="20">
        <f t="shared" si="30"/>
        <v>45602.58581</v>
      </c>
      <c r="N390" s="8" t="str">
        <f t="shared" si="3"/>
        <v>SELESAI</v>
      </c>
      <c r="O390" s="23">
        <f t="shared" si="22"/>
        <v>45602.58581</v>
      </c>
      <c r="P390" s="24" t="b">
        <v>0</v>
      </c>
      <c r="Q390" s="20" t="str">
        <f t="shared" si="5"/>
        <v/>
      </c>
      <c r="R390" s="24" t="b">
        <v>1</v>
      </c>
      <c r="S390" s="20">
        <f t="shared" si="6"/>
        <v>45603.61224</v>
      </c>
      <c r="T390" s="7"/>
    </row>
    <row r="391" ht="22.5" hidden="1" customHeight="1">
      <c r="B391" s="7">
        <f t="shared" si="7"/>
        <v>385</v>
      </c>
      <c r="C391" s="18" t="s">
        <v>407</v>
      </c>
      <c r="D391" s="19" t="str">
        <f t="array" ref="D391">IFNA(_xlfn.XLOOKUP(C391,Table_Tarikan_Warkah[Nomor Sertipikat],Table_Tarikan_Warkah[Nomor Tiket]),"")</f>
        <v>K/66/311024/1</v>
      </c>
      <c r="E391" s="20" t="str">
        <f t="array" ref="E391">IFNA(_xlfn.XLOOKUP(C391,Table_Tarikan_Warkah[Nomor Sertipikat],Table_Tarikan_Warkah[Tanggal diserahkan kepada Validator]),"")</f>
        <v/>
      </c>
      <c r="F391" s="20" t="str">
        <f t="array" ref="F391">IFNA(_xlfn.XLOOKUP(C391,Table_Tarikan_Warkah[Nomor Sertipikat],Table_Tarikan_Warkah[Nama Petugas Warkah]),"")</f>
        <v>David</v>
      </c>
      <c r="G391" s="21" t="str">
        <f t="array" ref="G391">IFNA(_xlfn.XLOOKUP(C391,Table_Tarikan_Warkah[Nomor Sertipikat],Table_Tarikan_Warkah[Jenis Permohonan]),"")</f>
        <v>BN LELANG</v>
      </c>
      <c r="H391" s="22" t="s">
        <v>31</v>
      </c>
      <c r="I391" s="22" t="s">
        <v>32</v>
      </c>
      <c r="J391" s="20">
        <f t="shared" si="29"/>
        <v>45600.64161</v>
      </c>
      <c r="K391" s="27" t="s">
        <v>65</v>
      </c>
      <c r="L391" s="27" t="s">
        <v>187</v>
      </c>
      <c r="M391" s="20">
        <f t="shared" si="30"/>
        <v>45601.37984</v>
      </c>
      <c r="N391" s="8" t="str">
        <f t="shared" si="3"/>
        <v>Selesai</v>
      </c>
      <c r="O391" s="23">
        <f t="shared" si="22"/>
        <v>45601.37984</v>
      </c>
      <c r="P391" s="24" t="b">
        <v>1</v>
      </c>
      <c r="Q391" s="20">
        <f t="shared" si="5"/>
        <v>45601.3799</v>
      </c>
      <c r="R391" s="24" t="b">
        <v>0</v>
      </c>
      <c r="S391" s="7" t="str">
        <f t="shared" si="6"/>
        <v/>
      </c>
      <c r="T391" s="7"/>
    </row>
    <row r="392" ht="22.5" hidden="1" customHeight="1">
      <c r="B392" s="7">
        <f t="shared" si="7"/>
        <v>386</v>
      </c>
      <c r="C392" s="18" t="s">
        <v>201</v>
      </c>
      <c r="D392" s="19" t="str">
        <f t="array" ref="D392">IFNA(_xlfn.XLOOKUP(C392,Table_Tarikan_Warkah[Nomor Sertipikat],Table_Tarikan_Warkah[Nomor Tiket]),"")</f>
        <v>K/51/171024/1</v>
      </c>
      <c r="E392" s="20">
        <f t="array" ref="E392">IFNA(_xlfn.XLOOKUP(C392,Table_Tarikan_Warkah[Nomor Sertipikat],Table_Tarikan_Warkah[Tanggal diserahkan kepada Validator]),"")</f>
        <v>45588.37806</v>
      </c>
      <c r="F392" s="20" t="str">
        <f t="array" ref="F392">IFNA(_xlfn.XLOOKUP(C392,Table_Tarikan_Warkah[Nomor Sertipikat],Table_Tarikan_Warkah[Nama Petugas Warkah]),"")</f>
        <v>Berry</v>
      </c>
      <c r="G392" s="21" t="str">
        <f t="array" ref="G392">IFNA(_xlfn.XLOOKUP(C392,Table_Tarikan_Warkah[Nomor Sertipikat],Table_Tarikan_Warkah[Jenis Permohonan]),"")</f>
        <v>PEMECAHAN</v>
      </c>
      <c r="H392" s="22" t="s">
        <v>31</v>
      </c>
      <c r="I392" s="22" t="s">
        <v>32</v>
      </c>
      <c r="J392" s="20">
        <f t="shared" si="29"/>
        <v>45600.64176</v>
      </c>
      <c r="K392" s="27" t="s">
        <v>65</v>
      </c>
      <c r="L392" s="27" t="s">
        <v>187</v>
      </c>
      <c r="M392" s="20">
        <f t="shared" si="30"/>
        <v>45601.68607</v>
      </c>
      <c r="N392" s="8" t="str">
        <f t="shared" si="3"/>
        <v>Selesai</v>
      </c>
      <c r="O392" s="23">
        <f t="shared" si="22"/>
        <v>45601.68607</v>
      </c>
      <c r="P392" s="24" t="b">
        <v>1</v>
      </c>
      <c r="Q392" s="20">
        <f t="shared" si="5"/>
        <v>45601.68613</v>
      </c>
      <c r="R392" s="24" t="b">
        <v>0</v>
      </c>
      <c r="S392" s="7" t="str">
        <f t="shared" si="6"/>
        <v/>
      </c>
      <c r="T392" s="7"/>
    </row>
    <row r="393" ht="22.5" hidden="1" customHeight="1">
      <c r="B393" s="7">
        <f t="shared" si="7"/>
        <v>387</v>
      </c>
      <c r="C393" s="18" t="s">
        <v>408</v>
      </c>
      <c r="D393" s="19" t="str">
        <f t="array" ref="D393">IFNA(_xlfn.XLOOKUP(C393,Table_Tarikan_Warkah[Nomor Sertipikat],Table_Tarikan_Warkah[Nomor Tiket]),"")</f>
        <v>L/53/191024/1</v>
      </c>
      <c r="E393" s="20" t="str">
        <f t="array" ref="E393">IFNA(_xlfn.XLOOKUP(C393,Table_Tarikan_Warkah[Nomor Sertipikat],Table_Tarikan_Warkah[Tanggal diserahkan kepada Validator]),"")</f>
        <v/>
      </c>
      <c r="F393" s="20" t="str">
        <f t="array" ref="F393">IFNA(_xlfn.XLOOKUP(C393,Table_Tarikan_Warkah[Nomor Sertipikat],Table_Tarikan_Warkah[Nama Petugas Warkah]),"")</f>
        <v/>
      </c>
      <c r="G393" s="21" t="str">
        <f t="array" ref="G393">IFNA(_xlfn.XLOOKUP(C393,Table_Tarikan_Warkah[Nomor Sertipikat],Table_Tarikan_Warkah[Jenis Permohonan]),"")</f>
        <v>CEKPLOT GANTI BLANGKO LAMA</v>
      </c>
      <c r="H393" s="22" t="s">
        <v>31</v>
      </c>
      <c r="I393" s="22" t="s">
        <v>32</v>
      </c>
      <c r="J393" s="20">
        <f t="shared" si="29"/>
        <v>45600.64198</v>
      </c>
      <c r="K393" s="27" t="s">
        <v>65</v>
      </c>
      <c r="L393" s="27" t="s">
        <v>187</v>
      </c>
      <c r="M393" s="20">
        <f t="shared" si="30"/>
        <v>45601.68609</v>
      </c>
      <c r="N393" s="8" t="str">
        <f t="shared" si="3"/>
        <v>Selesai</v>
      </c>
      <c r="O393" s="23">
        <f t="shared" si="22"/>
        <v>45601.68609</v>
      </c>
      <c r="P393" s="24" t="b">
        <v>1</v>
      </c>
      <c r="Q393" s="20">
        <f t="shared" si="5"/>
        <v>45601.68614</v>
      </c>
      <c r="R393" s="24" t="b">
        <v>0</v>
      </c>
      <c r="S393" s="7" t="str">
        <f t="shared" si="6"/>
        <v/>
      </c>
      <c r="T393" s="7"/>
    </row>
    <row r="394" ht="22.5" hidden="1" customHeight="1">
      <c r="B394" s="7">
        <f t="shared" si="7"/>
        <v>388</v>
      </c>
      <c r="C394" s="18" t="s">
        <v>396</v>
      </c>
      <c r="D394" s="19" t="str">
        <f t="array" ref="D394">IFNA(_xlfn.XLOOKUP(C394,Table_Tarikan_Warkah[Nomor Sertipikat],Table_Tarikan_Warkah[Nomor Tiket]),"")</f>
        <v>K/2/311024/1</v>
      </c>
      <c r="E394" s="20">
        <f t="array" ref="E394">IFNA(_xlfn.XLOOKUP(C394,Table_Tarikan_Warkah[Nomor Sertipikat],Table_Tarikan_Warkah[Tanggal diserahkan kepada Validator]),"")</f>
        <v>45600.38153</v>
      </c>
      <c r="F394" s="20" t="str">
        <f t="array" ref="F394">IFNA(_xlfn.XLOOKUP(C394,Table_Tarikan_Warkah[Nomor Sertipikat],Table_Tarikan_Warkah[Nama Petugas Warkah]),"")</f>
        <v>Berry</v>
      </c>
      <c r="G394" s="21" t="str">
        <f t="array" ref="G394">IFNA(_xlfn.XLOOKUP(C394,Table_Tarikan_Warkah[Nomor Sertipikat],Table_Tarikan_Warkah[Jenis Permohonan]),"")</f>
        <v>PEMECAHAN</v>
      </c>
      <c r="H394" s="22" t="s">
        <v>31</v>
      </c>
      <c r="I394" s="22" t="s">
        <v>32</v>
      </c>
      <c r="J394" s="20">
        <f t="shared" si="29"/>
        <v>45600.6421</v>
      </c>
      <c r="K394" s="27" t="s">
        <v>65</v>
      </c>
      <c r="L394" s="27" t="s">
        <v>187</v>
      </c>
      <c r="M394" s="20">
        <f t="shared" si="30"/>
        <v>45601.68611</v>
      </c>
      <c r="N394" s="8" t="str">
        <f t="shared" si="3"/>
        <v>Selesai</v>
      </c>
      <c r="O394" s="23">
        <f t="shared" si="22"/>
        <v>45601.68611</v>
      </c>
      <c r="P394" s="24" t="b">
        <v>1</v>
      </c>
      <c r="Q394" s="20">
        <f t="shared" si="5"/>
        <v>45601.68617</v>
      </c>
      <c r="R394" s="24" t="b">
        <v>0</v>
      </c>
      <c r="S394" s="7" t="str">
        <f t="shared" si="6"/>
        <v/>
      </c>
      <c r="T394" s="7"/>
    </row>
    <row r="395" ht="22.5" hidden="1" customHeight="1">
      <c r="B395" s="7">
        <f t="shared" si="7"/>
        <v>389</v>
      </c>
      <c r="C395" s="18" t="s">
        <v>409</v>
      </c>
      <c r="D395" s="19" t="str">
        <f t="array" ref="D395">IFNA(_xlfn.XLOOKUP(C395,Table_Tarikan_Warkah[Nomor Sertipikat],Table_Tarikan_Warkah[Nomor Tiket]),"")</f>
        <v>K/23/241024/1</v>
      </c>
      <c r="E395" s="20">
        <f t="array" ref="E395">IFNA(_xlfn.XLOOKUP(C395,Table_Tarikan_Warkah[Nomor Sertipikat],Table_Tarikan_Warkah[Tanggal diserahkan kepada Validator]),"")</f>
        <v>45601.4235</v>
      </c>
      <c r="F395" s="20" t="str">
        <f t="array" ref="F395">IFNA(_xlfn.XLOOKUP(C395,Table_Tarikan_Warkah[Nomor Sertipikat],Table_Tarikan_Warkah[Nama Petugas Warkah]),"")</f>
        <v>Sahelia</v>
      </c>
      <c r="G395" s="21" t="str">
        <f t="array" ref="G395">IFNA(_xlfn.XLOOKUP(C395,Table_Tarikan_Warkah[Nomor Sertipikat],Table_Tarikan_Warkah[Jenis Permohonan]),"")</f>
        <v>BN Jual Beli</v>
      </c>
      <c r="H395" s="22" t="s">
        <v>37</v>
      </c>
      <c r="I395" s="22" t="s">
        <v>32</v>
      </c>
      <c r="J395" s="20">
        <f t="shared" si="29"/>
        <v>45600.64779</v>
      </c>
      <c r="K395" s="27" t="s">
        <v>65</v>
      </c>
      <c r="L395" s="27" t="s">
        <v>187</v>
      </c>
      <c r="M395" s="20">
        <f t="shared" si="30"/>
        <v>45602.58593</v>
      </c>
      <c r="N395" s="8" t="str">
        <f t="shared" si="3"/>
        <v>Selesai</v>
      </c>
      <c r="O395" s="23">
        <f t="shared" si="22"/>
        <v>45602.58593</v>
      </c>
      <c r="P395" s="24" t="b">
        <v>1</v>
      </c>
      <c r="Q395" s="20">
        <f t="shared" si="5"/>
        <v>45603.61224</v>
      </c>
      <c r="R395" s="24" t="b">
        <v>0</v>
      </c>
      <c r="S395" s="7" t="str">
        <f t="shared" si="6"/>
        <v/>
      </c>
      <c r="T395" s="7"/>
    </row>
    <row r="396" ht="22.5" hidden="1" customHeight="1">
      <c r="B396" s="7">
        <f t="shared" si="7"/>
        <v>390</v>
      </c>
      <c r="C396" s="18" t="s">
        <v>410</v>
      </c>
      <c r="D396" s="19" t="str">
        <f t="array" ref="D396">IFNA(_xlfn.XLOOKUP(C396,Table_Tarikan_Warkah[Nomor Sertipikat],Table_Tarikan_Warkah[Nomor Tiket]),"")</f>
        <v>K/17/011124/1</v>
      </c>
      <c r="E396" s="20">
        <f t="array" ref="E396">IFNA(_xlfn.XLOOKUP(C396,Table_Tarikan_Warkah[Nomor Sertipikat],Table_Tarikan_Warkah[Tanggal diserahkan kepada Validator]),"")</f>
        <v>45600.46601</v>
      </c>
      <c r="F396" s="20" t="str">
        <f t="array" ref="F396">IFNA(_xlfn.XLOOKUP(C396,Table_Tarikan_Warkah[Nomor Sertipikat],Table_Tarikan_Warkah[Nama Petugas Warkah]),"")</f>
        <v>Berry</v>
      </c>
      <c r="G396" s="21" t="str">
        <f t="array" ref="G396">IFNA(_xlfn.XLOOKUP(C396,Table_Tarikan_Warkah[Nomor Sertipikat],Table_Tarikan_Warkah[Jenis Permohonan]),"")</f>
        <v>BN JUAL BELI</v>
      </c>
      <c r="H396" s="22" t="s">
        <v>31</v>
      </c>
      <c r="I396" s="22" t="s">
        <v>32</v>
      </c>
      <c r="J396" s="20">
        <f t="shared" si="29"/>
        <v>45600.65038</v>
      </c>
      <c r="K396" s="27" t="s">
        <v>65</v>
      </c>
      <c r="L396" s="27" t="s">
        <v>32</v>
      </c>
      <c r="M396" s="20">
        <f t="shared" si="30"/>
        <v>45602.58601</v>
      </c>
      <c r="N396" s="8" t="str">
        <f t="shared" si="3"/>
        <v>SELESAI</v>
      </c>
      <c r="O396" s="23">
        <f t="shared" si="22"/>
        <v>45602.58601</v>
      </c>
      <c r="P396" s="24" t="b">
        <v>0</v>
      </c>
      <c r="Q396" s="20" t="str">
        <f t="shared" si="5"/>
        <v/>
      </c>
      <c r="R396" s="24" t="b">
        <v>1</v>
      </c>
      <c r="S396" s="20">
        <f t="shared" si="6"/>
        <v>45603.61224</v>
      </c>
      <c r="T396" s="7"/>
    </row>
    <row r="397" ht="22.5" hidden="1" customHeight="1">
      <c r="B397" s="7">
        <f t="shared" si="7"/>
        <v>391</v>
      </c>
      <c r="C397" s="18" t="s">
        <v>411</v>
      </c>
      <c r="D397" s="19" t="str">
        <f t="array" ref="D397">IFNA(_xlfn.XLOOKUP(C397,Table_Tarikan_Warkah[Nomor Sertipikat],Table_Tarikan_Warkah[Nomor Tiket]),"")</f>
        <v>K/8/301024/1</v>
      </c>
      <c r="E397" s="20">
        <f t="array" ref="E397">IFNA(_xlfn.XLOOKUP(C397,Table_Tarikan_Warkah[Nomor Sertipikat],Table_Tarikan_Warkah[Tanggal diserahkan kepada Validator]),"")</f>
        <v>45603.59323</v>
      </c>
      <c r="F397" s="20" t="str">
        <f t="array" ref="F397">IFNA(_xlfn.XLOOKUP(C397,Table_Tarikan_Warkah[Nomor Sertipikat],Table_Tarikan_Warkah[Nama Petugas Warkah]),"")</f>
        <v>David</v>
      </c>
      <c r="G397" s="21" t="str">
        <f t="array" ref="G397">IFNA(_xlfn.XLOOKUP(C397,Table_Tarikan_Warkah[Nomor Sertipikat],Table_Tarikan_Warkah[Jenis Permohonan]),"")</f>
        <v>BN JUAL BELI</v>
      </c>
      <c r="H397" s="22" t="s">
        <v>37</v>
      </c>
      <c r="I397" s="22" t="s">
        <v>32</v>
      </c>
      <c r="J397" s="20">
        <f t="shared" si="29"/>
        <v>45601.36896</v>
      </c>
      <c r="K397" s="27" t="s">
        <v>65</v>
      </c>
      <c r="L397" s="27" t="s">
        <v>187</v>
      </c>
      <c r="M397" s="20">
        <f t="shared" si="30"/>
        <v>45602.58623</v>
      </c>
      <c r="N397" s="8" t="str">
        <f t="shared" si="3"/>
        <v>Selesai</v>
      </c>
      <c r="O397" s="23">
        <f t="shared" si="22"/>
        <v>45602.58623</v>
      </c>
      <c r="P397" s="24" t="b">
        <v>1</v>
      </c>
      <c r="Q397" s="20">
        <f t="shared" si="5"/>
        <v>45603.61224</v>
      </c>
      <c r="R397" s="24" t="b">
        <v>0</v>
      </c>
      <c r="S397" s="7" t="str">
        <f t="shared" si="6"/>
        <v/>
      </c>
      <c r="T397" s="7"/>
    </row>
    <row r="398" ht="22.5" hidden="1" customHeight="1">
      <c r="B398" s="7">
        <f t="shared" si="7"/>
        <v>392</v>
      </c>
      <c r="C398" s="18" t="s">
        <v>412</v>
      </c>
      <c r="D398" s="19" t="str">
        <f t="array" ref="D398">IFNA(_xlfn.XLOOKUP(C398,Table_Tarikan_Warkah[Nomor Sertipikat],Table_Tarikan_Warkah[Nomor Tiket]),"")</f>
        <v>K/1/241024/1</v>
      </c>
      <c r="E398" s="20">
        <f t="array" ref="E398">IFNA(_xlfn.XLOOKUP(C398,Table_Tarikan_Warkah[Nomor Sertipikat],Table_Tarikan_Warkah[Tanggal diserahkan kepada Validator]),"")</f>
        <v>45603.59203</v>
      </c>
      <c r="F398" s="20" t="str">
        <f t="array" ref="F398">IFNA(_xlfn.XLOOKUP(C398,Table_Tarikan_Warkah[Nomor Sertipikat],Table_Tarikan_Warkah[Nama Petugas Warkah]),"")</f>
        <v>Sahelia</v>
      </c>
      <c r="G398" s="21" t="str">
        <f t="array" ref="G398">IFNA(_xlfn.XLOOKUP(C398,Table_Tarikan_Warkah[Nomor Sertipikat],Table_Tarikan_Warkah[Jenis Permohonan]),"")</f>
        <v>BN JUAL BELI</v>
      </c>
      <c r="H398" s="22" t="s">
        <v>37</v>
      </c>
      <c r="I398" s="22" t="s">
        <v>32</v>
      </c>
      <c r="J398" s="20">
        <f t="shared" si="29"/>
        <v>45601.36924</v>
      </c>
      <c r="K398" s="27" t="s">
        <v>65</v>
      </c>
      <c r="L398" s="27" t="s">
        <v>187</v>
      </c>
      <c r="M398" s="20">
        <f t="shared" si="30"/>
        <v>45602.58624</v>
      </c>
      <c r="N398" s="8" t="str">
        <f t="shared" si="3"/>
        <v>Selesai</v>
      </c>
      <c r="O398" s="23">
        <f t="shared" si="22"/>
        <v>45602.58624</v>
      </c>
      <c r="P398" s="24" t="b">
        <v>1</v>
      </c>
      <c r="Q398" s="20">
        <f t="shared" si="5"/>
        <v>45603.61224</v>
      </c>
      <c r="R398" s="24" t="b">
        <v>0</v>
      </c>
      <c r="S398" s="7" t="str">
        <f t="shared" si="6"/>
        <v/>
      </c>
      <c r="T398" s="7"/>
    </row>
    <row r="399" ht="22.5" hidden="1" customHeight="1">
      <c r="B399" s="7">
        <f t="shared" si="7"/>
        <v>393</v>
      </c>
      <c r="C399" s="18" t="s">
        <v>413</v>
      </c>
      <c r="D399" s="19" t="str">
        <f t="array" ref="D399">IFNA(_xlfn.XLOOKUP(C399,Table_Tarikan_Warkah[Nomor Sertipikat],Table_Tarikan_Warkah[Nomor Tiket]),"")</f>
        <v>K/3/251024/1</v>
      </c>
      <c r="E399" s="20">
        <f t="array" ref="E399">IFNA(_xlfn.XLOOKUP(C399,Table_Tarikan_Warkah[Nomor Sertipikat],Table_Tarikan_Warkah[Tanggal diserahkan kepada Validator]),"")</f>
        <v>45603.59172</v>
      </c>
      <c r="F399" s="20" t="str">
        <f t="array" ref="F399">IFNA(_xlfn.XLOOKUP(C399,Table_Tarikan_Warkah[Nomor Sertipikat],Table_Tarikan_Warkah[Nama Petugas Warkah]),"")</f>
        <v>Berry</v>
      </c>
      <c r="G399" s="21" t="str">
        <f t="array" ref="G399">IFNA(_xlfn.XLOOKUP(C399,Table_Tarikan_Warkah[Nomor Sertipikat],Table_Tarikan_Warkah[Jenis Permohonan]),"")</f>
        <v>BN JUAL BELI</v>
      </c>
      <c r="H399" s="22" t="s">
        <v>37</v>
      </c>
      <c r="I399" s="22" t="s">
        <v>32</v>
      </c>
      <c r="J399" s="20">
        <f t="shared" si="29"/>
        <v>45601.36948</v>
      </c>
      <c r="K399" s="27" t="s">
        <v>65</v>
      </c>
      <c r="L399" s="27" t="s">
        <v>187</v>
      </c>
      <c r="M399" s="20">
        <f t="shared" si="30"/>
        <v>45602.58627</v>
      </c>
      <c r="N399" s="8" t="str">
        <f t="shared" si="3"/>
        <v>Selesai</v>
      </c>
      <c r="O399" s="23">
        <f t="shared" si="22"/>
        <v>45602.58627</v>
      </c>
      <c r="P399" s="24" t="b">
        <v>1</v>
      </c>
      <c r="Q399" s="20">
        <f t="shared" si="5"/>
        <v>45603.61224</v>
      </c>
      <c r="R399" s="24" t="b">
        <v>0</v>
      </c>
      <c r="S399" s="7" t="str">
        <f t="shared" si="6"/>
        <v/>
      </c>
      <c r="T399" s="7"/>
    </row>
    <row r="400" ht="22.5" hidden="1" customHeight="1">
      <c r="B400" s="7">
        <f t="shared" si="7"/>
        <v>394</v>
      </c>
      <c r="C400" s="18" t="s">
        <v>414</v>
      </c>
      <c r="D400" s="19" t="str">
        <f t="array" ref="D400">IFNA(_xlfn.XLOOKUP(C400,Table_Tarikan_Warkah[Nomor Sertipikat],Table_Tarikan_Warkah[Nomor Tiket]),"")</f>
        <v>K/30/161024/1</v>
      </c>
      <c r="E400" s="20">
        <f t="array" ref="E400">IFNA(_xlfn.XLOOKUP(C400,Table_Tarikan_Warkah[Nomor Sertipikat],Table_Tarikan_Warkah[Tanggal diserahkan kepada Validator]),"")</f>
        <v>45608.58292</v>
      </c>
      <c r="F400" s="20" t="str">
        <f t="array" ref="F400">IFNA(_xlfn.XLOOKUP(C400,Table_Tarikan_Warkah[Nomor Sertipikat],Table_Tarikan_Warkah[Nama Petugas Warkah]),"")</f>
        <v>Sahelia</v>
      </c>
      <c r="G400" s="21" t="str">
        <f t="array" ref="G400">IFNA(_xlfn.XLOOKUP(C400,Table_Tarikan_Warkah[Nomor Sertipikat],Table_Tarikan_Warkah[Jenis Permohonan]),"")</f>
        <v>BN Jual Beli</v>
      </c>
      <c r="H400" s="22" t="s">
        <v>37</v>
      </c>
      <c r="I400" s="22" t="s">
        <v>32</v>
      </c>
      <c r="J400" s="20">
        <f t="shared" si="29"/>
        <v>45601.37782</v>
      </c>
      <c r="K400" s="27" t="s">
        <v>65</v>
      </c>
      <c r="L400" s="27" t="s">
        <v>187</v>
      </c>
      <c r="M400" s="20">
        <f t="shared" si="30"/>
        <v>45602.58629</v>
      </c>
      <c r="N400" s="8" t="str">
        <f t="shared" si="3"/>
        <v>Selesai</v>
      </c>
      <c r="O400" s="23">
        <f t="shared" si="22"/>
        <v>45602.58629</v>
      </c>
      <c r="P400" s="24" t="b">
        <v>1</v>
      </c>
      <c r="Q400" s="20">
        <f t="shared" si="5"/>
        <v>45603.61224</v>
      </c>
      <c r="R400" s="24" t="b">
        <v>0</v>
      </c>
      <c r="S400" s="7" t="str">
        <f t="shared" si="6"/>
        <v/>
      </c>
      <c r="T400" s="7"/>
    </row>
    <row r="401" ht="22.5" hidden="1" customHeight="1">
      <c r="B401" s="7">
        <f t="shared" si="7"/>
        <v>395</v>
      </c>
      <c r="C401" s="18" t="s">
        <v>415</v>
      </c>
      <c r="D401" s="19" t="str">
        <f t="array" ref="D401">IFNA(_xlfn.XLOOKUP(C401,Table_Tarikan_Warkah[Nomor Sertipikat],Table_Tarikan_Warkah[Nomor Tiket]),"")</f>
        <v>K/11/011124/2</v>
      </c>
      <c r="E401" s="20">
        <f t="array" ref="E401">IFNA(_xlfn.XLOOKUP(C401,Table_Tarikan_Warkah[Nomor Sertipikat],Table_Tarikan_Warkah[Tanggal diserahkan kepada Validator]),"")</f>
        <v>45600.46549</v>
      </c>
      <c r="F401" s="20" t="str">
        <f t="array" ref="F401">IFNA(_xlfn.XLOOKUP(C401,Table_Tarikan_Warkah[Nomor Sertipikat],Table_Tarikan_Warkah[Nama Petugas Warkah]),"")</f>
        <v>Berry</v>
      </c>
      <c r="G401" s="21" t="str">
        <f t="array" ref="G401">IFNA(_xlfn.XLOOKUP(C401,Table_Tarikan_Warkah[Nomor Sertipikat],Table_Tarikan_Warkah[Jenis Permohonan]),"")</f>
        <v>KEWARISAN</v>
      </c>
      <c r="H401" s="22" t="s">
        <v>37</v>
      </c>
      <c r="I401" s="22" t="s">
        <v>32</v>
      </c>
      <c r="J401" s="20">
        <f t="shared" si="29"/>
        <v>45601.4419</v>
      </c>
      <c r="K401" s="27" t="s">
        <v>65</v>
      </c>
      <c r="L401" s="27" t="s">
        <v>32</v>
      </c>
      <c r="M401" s="20">
        <f t="shared" si="30"/>
        <v>45602.58637</v>
      </c>
      <c r="N401" s="8" t="str">
        <f t="shared" si="3"/>
        <v>SELESAI</v>
      </c>
      <c r="O401" s="23">
        <f t="shared" si="22"/>
        <v>45602.58637</v>
      </c>
      <c r="P401" s="24" t="b">
        <v>0</v>
      </c>
      <c r="Q401" s="20" t="str">
        <f t="shared" si="5"/>
        <v/>
      </c>
      <c r="R401" s="24" t="b">
        <v>1</v>
      </c>
      <c r="S401" s="20">
        <f t="shared" si="6"/>
        <v>45603.61224</v>
      </c>
      <c r="T401" s="7"/>
    </row>
    <row r="402" ht="22.5" hidden="1" customHeight="1">
      <c r="B402" s="7">
        <f t="shared" si="7"/>
        <v>396</v>
      </c>
      <c r="C402" s="18" t="s">
        <v>416</v>
      </c>
      <c r="D402" s="19" t="str">
        <f t="array" ref="D402">IFNA(_xlfn.XLOOKUP(C402,Table_Tarikan_Warkah[Nomor Sertipikat],Table_Tarikan_Warkah[Nomor Tiket]),"")</f>
        <v>K/15/011124/2</v>
      </c>
      <c r="E402" s="20">
        <f t="array" ref="E402">IFNA(_xlfn.XLOOKUP(C402,Table_Tarikan_Warkah[Nomor Sertipikat],Table_Tarikan_Warkah[Tanggal diserahkan kepada Validator]),"")</f>
        <v>45600.46625</v>
      </c>
      <c r="F402" s="20" t="str">
        <f t="array" ref="F402">IFNA(_xlfn.XLOOKUP(C402,Table_Tarikan_Warkah[Nomor Sertipikat],Table_Tarikan_Warkah[Nama Petugas Warkah]),"")</f>
        <v>Berry</v>
      </c>
      <c r="G402" s="21" t="str">
        <f t="array" ref="G402">IFNA(_xlfn.XLOOKUP(C402,Table_Tarikan_Warkah[Nomor Sertipikat],Table_Tarikan_Warkah[Jenis Permohonan]),"")</f>
        <v>BN Jual Beli</v>
      </c>
      <c r="H402" s="22" t="s">
        <v>37</v>
      </c>
      <c r="I402" s="22" t="s">
        <v>32</v>
      </c>
      <c r="J402" s="20">
        <f t="shared" si="29"/>
        <v>45601.44204</v>
      </c>
      <c r="K402" s="27" t="s">
        <v>65</v>
      </c>
      <c r="L402" s="27" t="s">
        <v>32</v>
      </c>
      <c r="M402" s="20">
        <f t="shared" si="30"/>
        <v>45602.58642</v>
      </c>
      <c r="N402" s="8" t="str">
        <f t="shared" si="3"/>
        <v>SELESAI</v>
      </c>
      <c r="O402" s="23">
        <f t="shared" si="22"/>
        <v>45602.58642</v>
      </c>
      <c r="P402" s="24" t="b">
        <v>0</v>
      </c>
      <c r="Q402" s="20" t="str">
        <f t="shared" si="5"/>
        <v/>
      </c>
      <c r="R402" s="24" t="b">
        <v>1</v>
      </c>
      <c r="S402" s="20">
        <f t="shared" si="6"/>
        <v>45603.61224</v>
      </c>
      <c r="T402" s="7"/>
    </row>
    <row r="403" ht="22.5" hidden="1" customHeight="1">
      <c r="B403" s="7">
        <f t="shared" si="7"/>
        <v>397</v>
      </c>
      <c r="C403" s="18" t="s">
        <v>417</v>
      </c>
      <c r="D403" s="19" t="str">
        <f t="array" ref="D403">IFNA(_xlfn.XLOOKUP(C403,Table_Tarikan_Warkah[Nomor Sertipikat],Table_Tarikan_Warkah[Nomor Tiket]),"")</f>
        <v>K/16/011124/3</v>
      </c>
      <c r="E403" s="20">
        <f t="array" ref="E403">IFNA(_xlfn.XLOOKUP(C403,Table_Tarikan_Warkah[Nomor Sertipikat],Table_Tarikan_Warkah[Tanggal diserahkan kepada Validator]),"")</f>
        <v>45600.46627</v>
      </c>
      <c r="F403" s="20" t="str">
        <f t="array" ref="F403">IFNA(_xlfn.XLOOKUP(C403,Table_Tarikan_Warkah[Nomor Sertipikat],Table_Tarikan_Warkah[Nama Petugas Warkah]),"")</f>
        <v>Berry</v>
      </c>
      <c r="G403" s="21" t="str">
        <f t="array" ref="G403">IFNA(_xlfn.XLOOKUP(C403,Table_Tarikan_Warkah[Nomor Sertipikat],Table_Tarikan_Warkah[Jenis Permohonan]),"")</f>
        <v>BN Jual Beli</v>
      </c>
      <c r="H403" s="22" t="s">
        <v>37</v>
      </c>
      <c r="I403" s="22" t="s">
        <v>32</v>
      </c>
      <c r="J403" s="20">
        <f t="shared" si="29"/>
        <v>45601.44216</v>
      </c>
      <c r="K403" s="22" t="s">
        <v>65</v>
      </c>
      <c r="L403" s="22" t="s">
        <v>32</v>
      </c>
      <c r="M403" s="20">
        <f t="shared" si="30"/>
        <v>45602.58665</v>
      </c>
      <c r="N403" s="8" t="str">
        <f t="shared" si="3"/>
        <v>SELESAI</v>
      </c>
      <c r="O403" s="23">
        <f t="shared" si="22"/>
        <v>45602.58665</v>
      </c>
      <c r="P403" s="24" t="b">
        <v>0</v>
      </c>
      <c r="Q403" s="20" t="str">
        <f t="shared" si="5"/>
        <v/>
      </c>
      <c r="R403" s="24" t="b">
        <v>1</v>
      </c>
      <c r="S403" s="20">
        <f t="shared" si="6"/>
        <v>45603.61224</v>
      </c>
      <c r="T403" s="7"/>
    </row>
    <row r="404" ht="22.5" hidden="1" customHeight="1">
      <c r="B404" s="7">
        <f t="shared" si="7"/>
        <v>398</v>
      </c>
      <c r="C404" s="18" t="s">
        <v>418</v>
      </c>
      <c r="D404" s="19" t="str">
        <f t="array" ref="D404">IFNA(_xlfn.XLOOKUP(C404,Table_Tarikan_Warkah[Nomor Sertipikat],Table_Tarikan_Warkah[Nomor Tiket]),"")</f>
        <v>L/18/011124/1</v>
      </c>
      <c r="E404" s="20">
        <f t="array" ref="E404">IFNA(_xlfn.XLOOKUP(C404,Table_Tarikan_Warkah[Nomor Sertipikat],Table_Tarikan_Warkah[Tanggal diserahkan kepada Validator]),"")</f>
        <v>45600.46665</v>
      </c>
      <c r="F404" s="20" t="str">
        <f t="array" ref="F404">IFNA(_xlfn.XLOOKUP(C404,Table_Tarikan_Warkah[Nomor Sertipikat],Table_Tarikan_Warkah[Nama Petugas Warkah]),"")</f>
        <v>Berry</v>
      </c>
      <c r="G404" s="21" t="str">
        <f t="array" ref="G404">IFNA(_xlfn.XLOOKUP(C404,Table_Tarikan_Warkah[Nomor Sertipikat],Table_Tarikan_Warkah[Jenis Permohonan]),"")</f>
        <v>ROYA</v>
      </c>
      <c r="H404" s="22" t="s">
        <v>37</v>
      </c>
      <c r="I404" s="22" t="s">
        <v>32</v>
      </c>
      <c r="J404" s="20">
        <f t="shared" si="29"/>
        <v>45601.4423</v>
      </c>
      <c r="K404" s="27" t="s">
        <v>65</v>
      </c>
      <c r="L404" s="27" t="s">
        <v>32</v>
      </c>
      <c r="M404" s="20">
        <f t="shared" si="30"/>
        <v>45602.58671</v>
      </c>
      <c r="N404" s="8" t="str">
        <f t="shared" si="3"/>
        <v>SELESAI</v>
      </c>
      <c r="O404" s="23">
        <f t="shared" si="22"/>
        <v>45602.58671</v>
      </c>
      <c r="P404" s="24" t="b">
        <v>0</v>
      </c>
      <c r="Q404" s="20" t="str">
        <f t="shared" si="5"/>
        <v/>
      </c>
      <c r="R404" s="24" t="b">
        <v>1</v>
      </c>
      <c r="S404" s="20">
        <f t="shared" si="6"/>
        <v>45603.61224</v>
      </c>
      <c r="T404" s="7"/>
    </row>
    <row r="405" ht="22.5" hidden="1" customHeight="1">
      <c r="B405" s="7">
        <f t="shared" si="7"/>
        <v>399</v>
      </c>
      <c r="C405" s="18" t="s">
        <v>419</v>
      </c>
      <c r="D405" s="19" t="str">
        <f t="array" ref="D405">IFNA(_xlfn.XLOOKUP(C405,Table_Tarikan_Warkah[Nomor Sertipikat],Table_Tarikan_Warkah[Nomor Tiket]),"")</f>
        <v>L/13/301024/1</v>
      </c>
      <c r="E405" s="20">
        <f t="array" ref="E405">IFNA(_xlfn.XLOOKUP(C405,Table_Tarikan_Warkah[Nomor Sertipikat],Table_Tarikan_Warkah[Tanggal diserahkan kepada Validator]),"")</f>
        <v>45600.46671</v>
      </c>
      <c r="F405" s="20" t="str">
        <f t="array" ref="F405">IFNA(_xlfn.XLOOKUP(C405,Table_Tarikan_Warkah[Nomor Sertipikat],Table_Tarikan_Warkah[Nama Petugas Warkah]),"")</f>
        <v>Berry</v>
      </c>
      <c r="G405" s="21" t="str">
        <f t="array" ref="G405">IFNA(_xlfn.XLOOKUP(C405,Table_Tarikan_Warkah[Nomor Sertipikat],Table_Tarikan_Warkah[Jenis Permohonan]),"")</f>
        <v>ROYA</v>
      </c>
      <c r="H405" s="22" t="s">
        <v>37</v>
      </c>
      <c r="I405" s="22" t="s">
        <v>32</v>
      </c>
      <c r="J405" s="20">
        <f t="shared" si="29"/>
        <v>45601.44242</v>
      </c>
      <c r="K405" s="22" t="s">
        <v>65</v>
      </c>
      <c r="L405" s="22" t="s">
        <v>32</v>
      </c>
      <c r="M405" s="20">
        <f t="shared" si="30"/>
        <v>45602.58671</v>
      </c>
      <c r="N405" s="8" t="str">
        <f t="shared" si="3"/>
        <v>SELESAI</v>
      </c>
      <c r="O405" s="23">
        <f t="shared" si="22"/>
        <v>45602.58671</v>
      </c>
      <c r="P405" s="24" t="b">
        <v>0</v>
      </c>
      <c r="Q405" s="20" t="str">
        <f t="shared" si="5"/>
        <v/>
      </c>
      <c r="R405" s="24" t="b">
        <v>1</v>
      </c>
      <c r="S405" s="20">
        <f t="shared" si="6"/>
        <v>45603.61224</v>
      </c>
      <c r="T405" s="7"/>
    </row>
    <row r="406" ht="22.5" hidden="1" customHeight="1">
      <c r="B406" s="7">
        <f t="shared" si="7"/>
        <v>400</v>
      </c>
      <c r="C406" s="18" t="s">
        <v>420</v>
      </c>
      <c r="D406" s="19" t="s">
        <v>421</v>
      </c>
      <c r="E406" s="9">
        <v>45600.46784814815</v>
      </c>
      <c r="F406" s="7" t="s">
        <v>422</v>
      </c>
      <c r="G406" s="7" t="s">
        <v>297</v>
      </c>
      <c r="H406" s="22" t="s">
        <v>37</v>
      </c>
      <c r="I406" s="22" t="s">
        <v>32</v>
      </c>
      <c r="J406" s="20">
        <f t="shared" si="29"/>
        <v>45601.44259</v>
      </c>
      <c r="K406" s="27" t="s">
        <v>65</v>
      </c>
      <c r="L406" s="27" t="s">
        <v>32</v>
      </c>
      <c r="M406" s="20">
        <f t="shared" si="30"/>
        <v>45602.58682</v>
      </c>
      <c r="N406" s="8" t="str">
        <f t="shared" si="3"/>
        <v>SELESAI</v>
      </c>
      <c r="O406" s="23">
        <f t="shared" si="22"/>
        <v>45602.58682</v>
      </c>
      <c r="P406" s="24" t="b">
        <v>0</v>
      </c>
      <c r="Q406" s="20" t="str">
        <f t="shared" si="5"/>
        <v/>
      </c>
      <c r="R406" s="24" t="b">
        <v>1</v>
      </c>
      <c r="S406" s="20">
        <f t="shared" si="6"/>
        <v>45603.61224</v>
      </c>
      <c r="T406" s="7"/>
    </row>
    <row r="407" ht="22.5" hidden="1" customHeight="1">
      <c r="B407" s="7">
        <f t="shared" si="7"/>
        <v>401</v>
      </c>
      <c r="C407" s="18" t="s">
        <v>423</v>
      </c>
      <c r="D407" s="19" t="str">
        <f t="array" ref="D407">IFNA(_xlfn.XLOOKUP(C407,Table_Tarikan_Warkah[Nomor Sertipikat],Table_Tarikan_Warkah[Nomor Tiket]),"")</f>
        <v>K/31/011124/2</v>
      </c>
      <c r="E407" s="20">
        <f t="array" ref="E407">IFNA(_xlfn.XLOOKUP(C407,Table_Tarikan_Warkah[Nomor Sertipikat],Table_Tarikan_Warkah[Tanggal diserahkan kepada Validator]),"")</f>
        <v>45600.46804</v>
      </c>
      <c r="F407" s="20" t="str">
        <f t="array" ref="F407">IFNA(_xlfn.XLOOKUP(C407,Table_Tarikan_Warkah[Nomor Sertipikat],Table_Tarikan_Warkah[Nama Petugas Warkah]),"")</f>
        <v>David</v>
      </c>
      <c r="G407" s="21" t="str">
        <f t="array" ref="G407">IFNA(_xlfn.XLOOKUP(C407,Table_Tarikan_Warkah[Nomor Sertipikat],Table_Tarikan_Warkah[Jenis Permohonan]),"")</f>
        <v>BN Jual Beli</v>
      </c>
      <c r="H407" s="22" t="s">
        <v>37</v>
      </c>
      <c r="I407" s="22" t="s">
        <v>32</v>
      </c>
      <c r="J407" s="20">
        <f t="shared" si="29"/>
        <v>45601.44271</v>
      </c>
      <c r="K407" s="22" t="s">
        <v>65</v>
      </c>
      <c r="L407" s="22" t="s">
        <v>32</v>
      </c>
      <c r="M407" s="20">
        <f t="shared" si="30"/>
        <v>45602.58682</v>
      </c>
      <c r="N407" s="8" t="str">
        <f t="shared" si="3"/>
        <v>SELESAI</v>
      </c>
      <c r="O407" s="23">
        <f t="shared" si="22"/>
        <v>45602.58682</v>
      </c>
      <c r="P407" s="24" t="b">
        <v>0</v>
      </c>
      <c r="Q407" s="20" t="str">
        <f t="shared" si="5"/>
        <v/>
      </c>
      <c r="R407" s="24" t="b">
        <v>1</v>
      </c>
      <c r="S407" s="20">
        <f t="shared" si="6"/>
        <v>45603.61224</v>
      </c>
      <c r="T407" s="7"/>
    </row>
    <row r="408" ht="22.5" hidden="1" customHeight="1">
      <c r="B408" s="7">
        <f t="shared" si="7"/>
        <v>402</v>
      </c>
      <c r="C408" s="18" t="s">
        <v>424</v>
      </c>
      <c r="D408" s="19" t="str">
        <f t="array" ref="D408">IFNA(_xlfn.XLOOKUP(C408,Table_Tarikan_Warkah[Nomor Sertipikat],Table_Tarikan_Warkah[Nomor Tiket]),"")</f>
        <v>K/32/011124/1</v>
      </c>
      <c r="E408" s="20">
        <f t="array" ref="E408">IFNA(_xlfn.XLOOKUP(C408,Table_Tarikan_Warkah[Nomor Sertipikat],Table_Tarikan_Warkah[Tanggal diserahkan kepada Validator]),"")</f>
        <v>45600.46832</v>
      </c>
      <c r="F408" s="20" t="str">
        <f t="array" ref="F408">IFNA(_xlfn.XLOOKUP(C408,Table_Tarikan_Warkah[Nomor Sertipikat],Table_Tarikan_Warkah[Nama Petugas Warkah]),"")</f>
        <v>David</v>
      </c>
      <c r="G408" s="21" t="str">
        <f t="array" ref="G408">IFNA(_xlfn.XLOOKUP(C408,Table_Tarikan_Warkah[Nomor Sertipikat],Table_Tarikan_Warkah[Jenis Permohonan]),"")</f>
        <v>BN JUAL BELI</v>
      </c>
      <c r="H408" s="22" t="s">
        <v>37</v>
      </c>
      <c r="I408" s="22" t="s">
        <v>32</v>
      </c>
      <c r="J408" s="20">
        <f t="shared" si="29"/>
        <v>45601.44282</v>
      </c>
      <c r="K408" s="27" t="s">
        <v>65</v>
      </c>
      <c r="L408" s="27" t="s">
        <v>32</v>
      </c>
      <c r="M408" s="20">
        <f t="shared" si="30"/>
        <v>45602.58682</v>
      </c>
      <c r="N408" s="8" t="str">
        <f t="shared" si="3"/>
        <v>SELESAI</v>
      </c>
      <c r="O408" s="23">
        <f t="shared" si="22"/>
        <v>45602.58682</v>
      </c>
      <c r="P408" s="24" t="b">
        <v>0</v>
      </c>
      <c r="Q408" s="20" t="str">
        <f t="shared" si="5"/>
        <v/>
      </c>
      <c r="R408" s="24" t="b">
        <v>1</v>
      </c>
      <c r="S408" s="20">
        <f t="shared" si="6"/>
        <v>45603.61224</v>
      </c>
      <c r="T408" s="7"/>
    </row>
    <row r="409" ht="22.5" hidden="1" customHeight="1">
      <c r="B409" s="7">
        <f t="shared" si="7"/>
        <v>403</v>
      </c>
      <c r="C409" s="18" t="s">
        <v>425</v>
      </c>
      <c r="D409" s="19" t="str">
        <f t="array" ref="D409">IFNA(_xlfn.XLOOKUP(C409,Table_Tarikan_Warkah[Nomor Sertipikat],Table_Tarikan_Warkah[Nomor Tiket]),"")</f>
        <v>K/33/011124/1</v>
      </c>
      <c r="E409" s="20">
        <f t="array" ref="E409">IFNA(_xlfn.XLOOKUP(C409,Table_Tarikan_Warkah[Nomor Sertipikat],Table_Tarikan_Warkah[Tanggal diserahkan kepada Validator]),"")</f>
        <v>45600.46845</v>
      </c>
      <c r="F409" s="20" t="str">
        <f t="array" ref="F409">IFNA(_xlfn.XLOOKUP(C409,Table_Tarikan_Warkah[Nomor Sertipikat],Table_Tarikan_Warkah[Nama Petugas Warkah]),"")</f>
        <v>David</v>
      </c>
      <c r="G409" s="21" t="str">
        <f t="array" ref="G409">IFNA(_xlfn.XLOOKUP(C409,Table_Tarikan_Warkah[Nomor Sertipikat],Table_Tarikan_Warkah[Jenis Permohonan]),"")</f>
        <v>BN JUAL BELI</v>
      </c>
      <c r="H409" s="22" t="s">
        <v>37</v>
      </c>
      <c r="I409" s="22" t="s">
        <v>32</v>
      </c>
      <c r="J409" s="20">
        <f t="shared" si="29"/>
        <v>45601.44295</v>
      </c>
      <c r="K409" s="22" t="s">
        <v>65</v>
      </c>
      <c r="L409" s="22" t="s">
        <v>32</v>
      </c>
      <c r="M409" s="20">
        <f t="shared" si="30"/>
        <v>45602.58682</v>
      </c>
      <c r="N409" s="8" t="str">
        <f t="shared" si="3"/>
        <v>SELESAI</v>
      </c>
      <c r="O409" s="23">
        <f t="shared" si="22"/>
        <v>45602.58682</v>
      </c>
      <c r="P409" s="24" t="b">
        <v>0</v>
      </c>
      <c r="Q409" s="20" t="str">
        <f t="shared" si="5"/>
        <v/>
      </c>
      <c r="R409" s="24" t="b">
        <v>1</v>
      </c>
      <c r="S409" s="20">
        <f t="shared" si="6"/>
        <v>45603.61224</v>
      </c>
      <c r="T409" s="7"/>
    </row>
    <row r="410" ht="22.5" hidden="1" customHeight="1">
      <c r="B410" s="7">
        <f t="shared" si="7"/>
        <v>404</v>
      </c>
      <c r="C410" s="18" t="s">
        <v>426</v>
      </c>
      <c r="D410" s="19" t="str">
        <f t="array" ref="D410">IFNA(_xlfn.XLOOKUP(C410,Table_Tarikan_Warkah[Nomor Sertipikat],Table_Tarikan_Warkah[Nomor Tiket]),"")</f>
        <v>K/35/011124/1</v>
      </c>
      <c r="E410" s="20">
        <f t="array" ref="E410">IFNA(_xlfn.XLOOKUP(C410,Table_Tarikan_Warkah[Nomor Sertipikat],Table_Tarikan_Warkah[Tanggal diserahkan kepada Validator]),"")</f>
        <v>45600.46874</v>
      </c>
      <c r="F410" s="20" t="str">
        <f t="array" ref="F410">IFNA(_xlfn.XLOOKUP(C410,Table_Tarikan_Warkah[Nomor Sertipikat],Table_Tarikan_Warkah[Nama Petugas Warkah]),"")</f>
        <v>David</v>
      </c>
      <c r="G410" s="21" t="str">
        <f t="array" ref="G410">IFNA(_xlfn.XLOOKUP(C410,Table_Tarikan_Warkah[Nomor Sertipikat],Table_Tarikan_Warkah[Jenis Permohonan]),"")</f>
        <v>BN Jual Beli</v>
      </c>
      <c r="H410" s="22" t="s">
        <v>37</v>
      </c>
      <c r="I410" s="22" t="s">
        <v>32</v>
      </c>
      <c r="J410" s="20">
        <f t="shared" si="29"/>
        <v>45601.44308</v>
      </c>
      <c r="K410" s="27" t="s">
        <v>65</v>
      </c>
      <c r="L410" s="27" t="s">
        <v>32</v>
      </c>
      <c r="M410" s="20">
        <f t="shared" si="30"/>
        <v>45602.58686</v>
      </c>
      <c r="N410" s="8" t="str">
        <f t="shared" si="3"/>
        <v>SELESAI</v>
      </c>
      <c r="O410" s="23">
        <f t="shared" si="22"/>
        <v>45602.58686</v>
      </c>
      <c r="P410" s="24" t="b">
        <v>0</v>
      </c>
      <c r="Q410" s="20" t="str">
        <f t="shared" si="5"/>
        <v/>
      </c>
      <c r="R410" s="24" t="b">
        <v>1</v>
      </c>
      <c r="S410" s="20">
        <f t="shared" si="6"/>
        <v>45603.61224</v>
      </c>
      <c r="T410" s="7"/>
    </row>
    <row r="411" ht="22.5" hidden="1" customHeight="1">
      <c r="B411" s="7">
        <f t="shared" si="7"/>
        <v>405</v>
      </c>
      <c r="C411" s="18" t="s">
        <v>427</v>
      </c>
      <c r="D411" s="19" t="str">
        <f t="array" ref="D411">IFNA(_xlfn.XLOOKUP(C411,Table_Tarikan_Warkah[Nomor Sertipikat],Table_Tarikan_Warkah[Nomor Tiket]),"")</f>
        <v>K/2/041125/1</v>
      </c>
      <c r="E411" s="20">
        <f t="array" ref="E411">IFNA(_xlfn.XLOOKUP(C411,Table_Tarikan_Warkah[Nomor Sertipikat],Table_Tarikan_Warkah[Tanggal diserahkan kepada Validator]),"")</f>
        <v>45600.46985</v>
      </c>
      <c r="F411" s="20" t="str">
        <f t="array" ref="F411">IFNA(_xlfn.XLOOKUP(C411,Table_Tarikan_Warkah[Nomor Sertipikat],Table_Tarikan_Warkah[Nama Petugas Warkah]),"")</f>
        <v>David</v>
      </c>
      <c r="G411" s="21" t="str">
        <f t="array" ref="G411">IFNA(_xlfn.XLOOKUP(C411,Table_Tarikan_Warkah[Nomor Sertipikat],Table_Tarikan_Warkah[Jenis Permohonan]),"")</f>
        <v>ROYA</v>
      </c>
      <c r="H411" s="22" t="s">
        <v>37</v>
      </c>
      <c r="I411" s="22" t="s">
        <v>32</v>
      </c>
      <c r="J411" s="20">
        <f t="shared" si="29"/>
        <v>45601.44318</v>
      </c>
      <c r="K411" s="22" t="s">
        <v>65</v>
      </c>
      <c r="L411" s="22" t="s">
        <v>32</v>
      </c>
      <c r="M411" s="20">
        <f t="shared" si="30"/>
        <v>45602.58686</v>
      </c>
      <c r="N411" s="8" t="str">
        <f t="shared" si="3"/>
        <v>SELESAI</v>
      </c>
      <c r="O411" s="23">
        <f t="shared" si="22"/>
        <v>45602.58686</v>
      </c>
      <c r="P411" s="24" t="b">
        <v>0</v>
      </c>
      <c r="Q411" s="20" t="str">
        <f t="shared" si="5"/>
        <v/>
      </c>
      <c r="R411" s="24" t="b">
        <v>1</v>
      </c>
      <c r="S411" s="20">
        <f t="shared" si="6"/>
        <v>45603.61224</v>
      </c>
      <c r="T411" s="7"/>
    </row>
    <row r="412" ht="22.5" hidden="1" customHeight="1">
      <c r="B412" s="7">
        <f t="shared" si="7"/>
        <v>406</v>
      </c>
      <c r="C412" s="18" t="s">
        <v>428</v>
      </c>
      <c r="D412" s="19" t="str">
        <f t="array" ref="D412">IFNA(_xlfn.XLOOKUP(C412,Table_Tarikan_Warkah[Nomor Sertipikat],Table_Tarikan_Warkah[Nomor Tiket]),"")</f>
        <v>K/10/311024/4</v>
      </c>
      <c r="E412" s="20">
        <f t="array" ref="E412">IFNA(_xlfn.XLOOKUP(C412,Table_Tarikan_Warkah[Nomor Sertipikat],Table_Tarikan_Warkah[Tanggal diserahkan kepada Validator]),"")</f>
        <v>45597.65569</v>
      </c>
      <c r="F412" s="20" t="str">
        <f t="array" ref="F412">IFNA(_xlfn.XLOOKUP(C412,Table_Tarikan_Warkah[Nomor Sertipikat],Table_Tarikan_Warkah[Nama Petugas Warkah]),"")</f>
        <v>Bayu</v>
      </c>
      <c r="G412" s="21" t="str">
        <f t="array" ref="G412">IFNA(_xlfn.XLOOKUP(C412,Table_Tarikan_Warkah[Nomor Sertipikat],Table_Tarikan_Warkah[Jenis Permohonan]),"")</f>
        <v>KEWARISAN</v>
      </c>
      <c r="H412" s="22" t="s">
        <v>37</v>
      </c>
      <c r="I412" s="22" t="s">
        <v>32</v>
      </c>
      <c r="J412" s="20">
        <f t="shared" si="29"/>
        <v>45601.44331</v>
      </c>
      <c r="K412" s="27" t="s">
        <v>65</v>
      </c>
      <c r="L412" s="27" t="s">
        <v>32</v>
      </c>
      <c r="M412" s="20">
        <f t="shared" si="30"/>
        <v>45602.58686</v>
      </c>
      <c r="N412" s="8" t="str">
        <f t="shared" si="3"/>
        <v>SELESAI</v>
      </c>
      <c r="O412" s="23">
        <f t="shared" si="22"/>
        <v>45602.58686</v>
      </c>
      <c r="P412" s="24" t="b">
        <v>0</v>
      </c>
      <c r="Q412" s="20" t="str">
        <f t="shared" si="5"/>
        <v/>
      </c>
      <c r="R412" s="24" t="b">
        <v>1</v>
      </c>
      <c r="S412" s="20">
        <f t="shared" si="6"/>
        <v>45603.61224</v>
      </c>
      <c r="T412" s="7"/>
    </row>
    <row r="413" ht="22.5" hidden="1" customHeight="1">
      <c r="B413" s="7">
        <f t="shared" si="7"/>
        <v>407</v>
      </c>
      <c r="C413" s="18" t="s">
        <v>429</v>
      </c>
      <c r="D413" s="19" t="str">
        <f t="array" ref="D413">IFNA(_xlfn.XLOOKUP(C413,Table_Tarikan_Warkah[Nomor Sertipikat],Table_Tarikan_Warkah[Nomor Tiket]),"")</f>
        <v>K/30/311024/2</v>
      </c>
      <c r="E413" s="20">
        <f t="array" ref="E413">IFNA(_xlfn.XLOOKUP(C413,Table_Tarikan_Warkah[Nomor Sertipikat],Table_Tarikan_Warkah[Tanggal diserahkan kepada Validator]),"")</f>
        <v>45600.38515</v>
      </c>
      <c r="F413" s="20" t="str">
        <f t="array" ref="F413">IFNA(_xlfn.XLOOKUP(C413,Table_Tarikan_Warkah[Nomor Sertipikat],Table_Tarikan_Warkah[Nama Petugas Warkah]),"")</f>
        <v>Berry</v>
      </c>
      <c r="G413" s="21" t="str">
        <f t="array" ref="G413">IFNA(_xlfn.XLOOKUP(C413,Table_Tarikan_Warkah[Nomor Sertipikat],Table_Tarikan_Warkah[Jenis Permohonan]),"")</f>
        <v>BN JUAL BELI</v>
      </c>
      <c r="H413" s="22" t="s">
        <v>37</v>
      </c>
      <c r="I413" s="22" t="s">
        <v>32</v>
      </c>
      <c r="J413" s="20">
        <f t="shared" si="29"/>
        <v>45601.44344</v>
      </c>
      <c r="K413" s="22" t="s">
        <v>65</v>
      </c>
      <c r="L413" s="22" t="s">
        <v>32</v>
      </c>
      <c r="M413" s="20">
        <f t="shared" si="30"/>
        <v>45602.58686</v>
      </c>
      <c r="N413" s="8" t="str">
        <f t="shared" si="3"/>
        <v>SELESAI</v>
      </c>
      <c r="O413" s="23">
        <f t="shared" si="22"/>
        <v>45602.58686</v>
      </c>
      <c r="P413" s="24" t="b">
        <v>0</v>
      </c>
      <c r="Q413" s="20" t="str">
        <f t="shared" si="5"/>
        <v/>
      </c>
      <c r="R413" s="24" t="b">
        <v>1</v>
      </c>
      <c r="S413" s="20">
        <f t="shared" si="6"/>
        <v>45603.61224</v>
      </c>
      <c r="T413" s="7"/>
    </row>
    <row r="414" ht="22.5" hidden="1" customHeight="1">
      <c r="B414" s="7">
        <f t="shared" si="7"/>
        <v>408</v>
      </c>
      <c r="C414" s="18" t="s">
        <v>430</v>
      </c>
      <c r="D414" s="19" t="str">
        <f t="array" ref="D414">IFNA(_xlfn.XLOOKUP(C414,Table_Tarikan_Warkah[Nomor Sertipikat],Table_Tarikan_Warkah[Nomor Tiket]),"")</f>
        <v>K/35/311024/1</v>
      </c>
      <c r="E414" s="20">
        <f t="array" ref="E414">IFNA(_xlfn.XLOOKUP(C414,Table_Tarikan_Warkah[Nomor Sertipikat],Table_Tarikan_Warkah[Tanggal diserahkan kepada Validator]),"")</f>
        <v>45600.38543</v>
      </c>
      <c r="F414" s="20" t="str">
        <f t="array" ref="F414">IFNA(_xlfn.XLOOKUP(C414,Table_Tarikan_Warkah[Nomor Sertipikat],Table_Tarikan_Warkah[Nama Petugas Warkah]),"")</f>
        <v>Berry</v>
      </c>
      <c r="G414" s="21" t="str">
        <f t="array" ref="G414">IFNA(_xlfn.XLOOKUP(C414,Table_Tarikan_Warkah[Nomor Sertipikat],Table_Tarikan_Warkah[Jenis Permohonan]),"")</f>
        <v>BN Jual Beli</v>
      </c>
      <c r="H414" s="22" t="s">
        <v>37</v>
      </c>
      <c r="I414" s="22" t="s">
        <v>32</v>
      </c>
      <c r="J414" s="20">
        <f t="shared" si="29"/>
        <v>45601.44355</v>
      </c>
      <c r="K414" s="27" t="s">
        <v>65</v>
      </c>
      <c r="L414" s="27" t="s">
        <v>32</v>
      </c>
      <c r="M414" s="20">
        <f t="shared" si="30"/>
        <v>45602.58699</v>
      </c>
      <c r="N414" s="8" t="str">
        <f t="shared" si="3"/>
        <v>SELESAI</v>
      </c>
      <c r="O414" s="23">
        <f t="shared" si="22"/>
        <v>45602.58699</v>
      </c>
      <c r="P414" s="24" t="b">
        <v>0</v>
      </c>
      <c r="Q414" s="20" t="str">
        <f t="shared" si="5"/>
        <v/>
      </c>
      <c r="R414" s="24" t="b">
        <v>1</v>
      </c>
      <c r="S414" s="20">
        <f t="shared" si="6"/>
        <v>45603.61224</v>
      </c>
      <c r="T414" s="7"/>
    </row>
    <row r="415" ht="22.5" hidden="1" customHeight="1">
      <c r="B415" s="7">
        <f t="shared" si="7"/>
        <v>409</v>
      </c>
      <c r="C415" s="18" t="s">
        <v>431</v>
      </c>
      <c r="D415" s="19" t="str">
        <f t="array" ref="D415">IFNA(_xlfn.XLOOKUP(C415,Table_Tarikan_Warkah[Nomor Sertipikat],Table_Tarikan_Warkah[Nomor Tiket]),"")</f>
        <v>K/31/311024/3</v>
      </c>
      <c r="E415" s="20">
        <f t="array" ref="E415">IFNA(_xlfn.XLOOKUP(C415,Table_Tarikan_Warkah[Nomor Sertipikat],Table_Tarikan_Warkah[Tanggal diserahkan kepada Validator]),"")</f>
        <v>45600.38565</v>
      </c>
      <c r="F415" s="20" t="str">
        <f t="array" ref="F415">IFNA(_xlfn.XLOOKUP(C415,Table_Tarikan_Warkah[Nomor Sertipikat],Table_Tarikan_Warkah[Nama Petugas Warkah]),"")</f>
        <v>Berry</v>
      </c>
      <c r="G415" s="21" t="str">
        <f t="array" ref="G415">IFNA(_xlfn.XLOOKUP(C415,Table_Tarikan_Warkah[Nomor Sertipikat],Table_Tarikan_Warkah[Jenis Permohonan]),"")</f>
        <v>bn jual beli</v>
      </c>
      <c r="H415" s="22" t="s">
        <v>37</v>
      </c>
      <c r="I415" s="22" t="s">
        <v>32</v>
      </c>
      <c r="J415" s="20">
        <f t="shared" si="29"/>
        <v>45601.44371</v>
      </c>
      <c r="K415" s="22" t="s">
        <v>65</v>
      </c>
      <c r="L415" s="22" t="s">
        <v>32</v>
      </c>
      <c r="M415" s="20">
        <f t="shared" si="30"/>
        <v>45602.58699</v>
      </c>
      <c r="N415" s="8" t="str">
        <f t="shared" si="3"/>
        <v>SELESAI</v>
      </c>
      <c r="O415" s="23">
        <f t="shared" si="22"/>
        <v>45602.58699</v>
      </c>
      <c r="P415" s="24" t="b">
        <v>0</v>
      </c>
      <c r="Q415" s="20" t="str">
        <f t="shared" si="5"/>
        <v/>
      </c>
      <c r="R415" s="24" t="b">
        <v>1</v>
      </c>
      <c r="S415" s="20">
        <f t="shared" si="6"/>
        <v>45603.61224</v>
      </c>
      <c r="T415" s="7"/>
    </row>
    <row r="416" ht="22.5" hidden="1" customHeight="1">
      <c r="B416" s="7">
        <f t="shared" si="7"/>
        <v>410</v>
      </c>
      <c r="C416" s="18" t="s">
        <v>432</v>
      </c>
      <c r="D416" s="19" t="str">
        <f t="array" ref="D416">IFNA(_xlfn.XLOOKUP(C416,Table_Tarikan_Warkah[Nomor Sertipikat],Table_Tarikan_Warkah[Nomor Tiket]),"")</f>
        <v>K/51/311024/4</v>
      </c>
      <c r="E416" s="20">
        <f t="array" ref="E416">IFNA(_xlfn.XLOOKUP(C416,Table_Tarikan_Warkah[Nomor Sertipikat],Table_Tarikan_Warkah[Tanggal diserahkan kepada Validator]),"")</f>
        <v>45600.39366</v>
      </c>
      <c r="F416" s="20" t="str">
        <f t="array" ref="F416">IFNA(_xlfn.XLOOKUP(C416,Table_Tarikan_Warkah[Nomor Sertipikat],Table_Tarikan_Warkah[Nama Petugas Warkah]),"")</f>
        <v>David</v>
      </c>
      <c r="G416" s="21" t="str">
        <f t="array" ref="G416">IFNA(_xlfn.XLOOKUP(C416,Table_Tarikan_Warkah[Nomor Sertipikat],Table_Tarikan_Warkah[Jenis Permohonan]),"")</f>
        <v>KEWARISAN</v>
      </c>
      <c r="H416" s="22" t="s">
        <v>37</v>
      </c>
      <c r="I416" s="22" t="s">
        <v>32</v>
      </c>
      <c r="J416" s="20">
        <f t="shared" si="29"/>
        <v>45601.44384</v>
      </c>
      <c r="K416" s="27" t="s">
        <v>65</v>
      </c>
      <c r="L416" s="27" t="s">
        <v>32</v>
      </c>
      <c r="M416" s="20">
        <f t="shared" si="30"/>
        <v>45602.58699</v>
      </c>
      <c r="N416" s="8" t="str">
        <f t="shared" si="3"/>
        <v>SELESAI</v>
      </c>
      <c r="O416" s="23">
        <f t="shared" si="22"/>
        <v>45602.58699</v>
      </c>
      <c r="P416" s="24" t="b">
        <v>0</v>
      </c>
      <c r="Q416" s="20" t="str">
        <f t="shared" si="5"/>
        <v/>
      </c>
      <c r="R416" s="24" t="b">
        <v>1</v>
      </c>
      <c r="S416" s="20">
        <f t="shared" si="6"/>
        <v>45603.61224</v>
      </c>
      <c r="T416" s="7"/>
    </row>
    <row r="417" ht="22.5" hidden="1" customHeight="1">
      <c r="B417" s="7">
        <f t="shared" si="7"/>
        <v>411</v>
      </c>
      <c r="C417" s="18" t="s">
        <v>433</v>
      </c>
      <c r="D417" s="19" t="str">
        <f t="array" ref="D417">IFNA(_xlfn.XLOOKUP(C417,Table_Tarikan_Warkah[Nomor Sertipikat],Table_Tarikan_Warkah[Nomor Tiket]),"")</f>
        <v>K/50/311024/3</v>
      </c>
      <c r="E417" s="20">
        <f t="array" ref="E417">IFNA(_xlfn.XLOOKUP(C417,Table_Tarikan_Warkah[Nomor Sertipikat],Table_Tarikan_Warkah[Tanggal diserahkan kepada Validator]),"")</f>
        <v>45600.39326</v>
      </c>
      <c r="F417" s="20" t="str">
        <f t="array" ref="F417">IFNA(_xlfn.XLOOKUP(C417,Table_Tarikan_Warkah[Nomor Sertipikat],Table_Tarikan_Warkah[Nama Petugas Warkah]),"")</f>
        <v>David</v>
      </c>
      <c r="G417" s="21" t="str">
        <f t="array" ref="G417">IFNA(_xlfn.XLOOKUP(C417,Table_Tarikan_Warkah[Nomor Sertipikat],Table_Tarikan_Warkah[Jenis Permohonan]),"")</f>
        <v>KEWARISAN</v>
      </c>
      <c r="H417" s="22" t="s">
        <v>37</v>
      </c>
      <c r="I417" s="22" t="s">
        <v>32</v>
      </c>
      <c r="J417" s="20">
        <f t="shared" si="29"/>
        <v>45601.44398</v>
      </c>
      <c r="K417" s="22" t="s">
        <v>65</v>
      </c>
      <c r="L417" s="22" t="s">
        <v>32</v>
      </c>
      <c r="M417" s="20">
        <f t="shared" si="30"/>
        <v>45602.58699</v>
      </c>
      <c r="N417" s="8" t="str">
        <f t="shared" si="3"/>
        <v>SELESAI</v>
      </c>
      <c r="O417" s="23">
        <f t="shared" si="22"/>
        <v>45602.58699</v>
      </c>
      <c r="P417" s="24" t="b">
        <v>0</v>
      </c>
      <c r="Q417" s="20" t="str">
        <f t="shared" si="5"/>
        <v/>
      </c>
      <c r="R417" s="24" t="b">
        <v>1</v>
      </c>
      <c r="S417" s="20">
        <f t="shared" si="6"/>
        <v>45603.61224</v>
      </c>
      <c r="T417" s="7"/>
    </row>
    <row r="418" ht="22.5" hidden="1" customHeight="1">
      <c r="B418" s="7">
        <f t="shared" si="7"/>
        <v>412</v>
      </c>
      <c r="C418" s="18" t="s">
        <v>434</v>
      </c>
      <c r="D418" s="19" t="str">
        <f t="array" ref="D418">IFNA(_xlfn.XLOOKUP(C418,Table_Tarikan_Warkah[Nomor Sertipikat],Table_Tarikan_Warkah[Nomor Tiket]),"")</f>
        <v>K/62/311024/3</v>
      </c>
      <c r="E418" s="20">
        <f t="array" ref="E418">IFNA(_xlfn.XLOOKUP(C418,Table_Tarikan_Warkah[Nomor Sertipikat],Table_Tarikan_Warkah[Tanggal diserahkan kepada Validator]),"")</f>
        <v>45600.39569</v>
      </c>
      <c r="F418" s="20" t="str">
        <f t="array" ref="F418">IFNA(_xlfn.XLOOKUP(C418,Table_Tarikan_Warkah[Nomor Sertipikat],Table_Tarikan_Warkah[Nama Petugas Warkah]),"")</f>
        <v>David</v>
      </c>
      <c r="G418" s="21" t="str">
        <f t="array" ref="G418">IFNA(_xlfn.XLOOKUP(C418,Table_Tarikan_Warkah[Nomor Sertipikat],Table_Tarikan_Warkah[Jenis Permohonan]),"")</f>
        <v>bn jual beli</v>
      </c>
      <c r="H418" s="22" t="s">
        <v>37</v>
      </c>
      <c r="I418" s="22" t="s">
        <v>32</v>
      </c>
      <c r="J418" s="20">
        <f t="shared" si="29"/>
        <v>45601.44411</v>
      </c>
      <c r="K418" s="27" t="s">
        <v>65</v>
      </c>
      <c r="L418" s="27" t="s">
        <v>32</v>
      </c>
      <c r="M418" s="20">
        <f t="shared" si="30"/>
        <v>45602.58699</v>
      </c>
      <c r="N418" s="8" t="str">
        <f t="shared" si="3"/>
        <v>SELESAI</v>
      </c>
      <c r="O418" s="23">
        <f t="shared" si="22"/>
        <v>45602.58699</v>
      </c>
      <c r="P418" s="24" t="b">
        <v>0</v>
      </c>
      <c r="Q418" s="20" t="str">
        <f t="shared" si="5"/>
        <v/>
      </c>
      <c r="R418" s="24" t="b">
        <v>1</v>
      </c>
      <c r="S418" s="20">
        <f t="shared" si="6"/>
        <v>45603.61224</v>
      </c>
      <c r="T418" s="7"/>
    </row>
    <row r="419" ht="22.5" hidden="1" customHeight="1">
      <c r="B419" s="7">
        <f t="shared" si="7"/>
        <v>413</v>
      </c>
      <c r="C419" s="18" t="s">
        <v>435</v>
      </c>
      <c r="D419" s="19" t="str">
        <f t="array" ref="D419">IFNA(_xlfn.XLOOKUP(C419,Table_Tarikan_Warkah[Nomor Sertipikat],Table_Tarikan_Warkah[Nomor Tiket]),"")</f>
        <v>K/57/311024/1</v>
      </c>
      <c r="E419" s="20">
        <f t="array" ref="E419">IFNA(_xlfn.XLOOKUP(C419,Table_Tarikan_Warkah[Nomor Sertipikat],Table_Tarikan_Warkah[Tanggal diserahkan kepada Validator]),"")</f>
        <v>45600.39439</v>
      </c>
      <c r="F419" s="20" t="str">
        <f t="array" ref="F419">IFNA(_xlfn.XLOOKUP(C419,Table_Tarikan_Warkah[Nomor Sertipikat],Table_Tarikan_Warkah[Nama Petugas Warkah]),"")</f>
        <v>David</v>
      </c>
      <c r="G419" s="21" t="str">
        <f t="array" ref="G419">IFNA(_xlfn.XLOOKUP(C419,Table_Tarikan_Warkah[Nomor Sertipikat],Table_Tarikan_Warkah[Jenis Permohonan]),"")</f>
        <v>BN JUAL BELI</v>
      </c>
      <c r="H419" s="22" t="s">
        <v>37</v>
      </c>
      <c r="I419" s="22" t="s">
        <v>32</v>
      </c>
      <c r="J419" s="20">
        <f t="shared" si="29"/>
        <v>45601.44422</v>
      </c>
      <c r="K419" s="22" t="s">
        <v>65</v>
      </c>
      <c r="L419" s="22" t="s">
        <v>32</v>
      </c>
      <c r="M419" s="20">
        <f t="shared" si="30"/>
        <v>45602.58699</v>
      </c>
      <c r="N419" s="8" t="str">
        <f t="shared" si="3"/>
        <v>SELESAI</v>
      </c>
      <c r="O419" s="23">
        <f t="shared" si="22"/>
        <v>45602.58699</v>
      </c>
      <c r="P419" s="24" t="b">
        <v>0</v>
      </c>
      <c r="Q419" s="20" t="str">
        <f t="shared" si="5"/>
        <v/>
      </c>
      <c r="R419" s="24" t="b">
        <v>1</v>
      </c>
      <c r="S419" s="20">
        <f t="shared" si="6"/>
        <v>45603.61224</v>
      </c>
      <c r="T419" s="7"/>
    </row>
    <row r="420" ht="22.5" hidden="1" customHeight="1">
      <c r="B420" s="7">
        <f t="shared" si="7"/>
        <v>414</v>
      </c>
      <c r="C420" s="18" t="s">
        <v>436</v>
      </c>
      <c r="D420" s="19" t="str">
        <f t="array" ref="D420">IFNA(_xlfn.XLOOKUP(C420,Table_Tarikan_Warkah[Nomor Sertipikat],Table_Tarikan_Warkah[Nomor Tiket]),"")</f>
        <v>K/67/311024/1</v>
      </c>
      <c r="E420" s="20">
        <f t="array" ref="E420">IFNA(_xlfn.XLOOKUP(C420,Table_Tarikan_Warkah[Nomor Sertipikat],Table_Tarikan_Warkah[Tanggal diserahkan kepada Validator]),"")</f>
        <v>45600.39682</v>
      </c>
      <c r="F420" s="20" t="str">
        <f t="array" ref="F420">IFNA(_xlfn.XLOOKUP(C420,Table_Tarikan_Warkah[Nomor Sertipikat],Table_Tarikan_Warkah[Nama Petugas Warkah]),"")</f>
        <v>David</v>
      </c>
      <c r="G420" s="21" t="str">
        <f t="array" ref="G420">IFNA(_xlfn.XLOOKUP(C420,Table_Tarikan_Warkah[Nomor Sertipikat],Table_Tarikan_Warkah[Jenis Permohonan]),"")</f>
        <v>BN JUAL BELI</v>
      </c>
      <c r="H420" s="22" t="s">
        <v>37</v>
      </c>
      <c r="I420" s="22" t="s">
        <v>32</v>
      </c>
      <c r="J420" s="20">
        <f t="shared" si="29"/>
        <v>45601.44435</v>
      </c>
      <c r="K420" s="27" t="s">
        <v>65</v>
      </c>
      <c r="L420" s="27" t="s">
        <v>32</v>
      </c>
      <c r="M420" s="20">
        <f t="shared" si="30"/>
        <v>45602.58707</v>
      </c>
      <c r="N420" s="8" t="str">
        <f t="shared" si="3"/>
        <v>SELESAI</v>
      </c>
      <c r="O420" s="23">
        <f t="shared" si="22"/>
        <v>45602.58707</v>
      </c>
      <c r="P420" s="24" t="b">
        <v>0</v>
      </c>
      <c r="Q420" s="20" t="str">
        <f t="shared" si="5"/>
        <v/>
      </c>
      <c r="R420" s="24" t="b">
        <v>1</v>
      </c>
      <c r="S420" s="20">
        <f t="shared" si="6"/>
        <v>45603.61224</v>
      </c>
      <c r="T420" s="7"/>
    </row>
    <row r="421" ht="22.5" hidden="1" customHeight="1">
      <c r="B421" s="7">
        <f t="shared" si="7"/>
        <v>415</v>
      </c>
      <c r="C421" s="18" t="s">
        <v>437</v>
      </c>
      <c r="D421" s="19" t="str">
        <f t="array" ref="D421">IFNA(_xlfn.XLOOKUP(C421,Table_Tarikan_Warkah[Nomor Sertipikat],Table_Tarikan_Warkah[Nomor Tiket]),"")</f>
        <v>K/44/311024/2</v>
      </c>
      <c r="E421" s="20">
        <f t="array" ref="E421">IFNA(_xlfn.XLOOKUP(C421,Table_Tarikan_Warkah[Nomor Sertipikat],Table_Tarikan_Warkah[Tanggal diserahkan kepada Validator]),"")</f>
        <v>45600.39195</v>
      </c>
      <c r="F421" s="20" t="str">
        <f t="array" ref="F421">IFNA(_xlfn.XLOOKUP(C421,Table_Tarikan_Warkah[Nomor Sertipikat],Table_Tarikan_Warkah[Nama Petugas Warkah]),"")</f>
        <v>David</v>
      </c>
      <c r="G421" s="21" t="str">
        <f t="array" ref="G421">IFNA(_xlfn.XLOOKUP(C421,Table_Tarikan_Warkah[Nomor Sertipikat],Table_Tarikan_Warkah[Jenis Permohonan]),"")</f>
        <v>BN Hibah</v>
      </c>
      <c r="H421" s="22" t="s">
        <v>37</v>
      </c>
      <c r="I421" s="22" t="s">
        <v>32</v>
      </c>
      <c r="J421" s="20">
        <f t="shared" si="29"/>
        <v>45601.44446</v>
      </c>
      <c r="K421" s="22" t="s">
        <v>65</v>
      </c>
      <c r="L421" s="22" t="s">
        <v>32</v>
      </c>
      <c r="M421" s="20">
        <f t="shared" si="30"/>
        <v>45602.58707</v>
      </c>
      <c r="N421" s="8" t="str">
        <f t="shared" si="3"/>
        <v>SELESAI</v>
      </c>
      <c r="O421" s="23">
        <f t="shared" si="22"/>
        <v>45602.58707</v>
      </c>
      <c r="P421" s="24" t="b">
        <v>0</v>
      </c>
      <c r="Q421" s="20" t="str">
        <f t="shared" si="5"/>
        <v/>
      </c>
      <c r="R421" s="24" t="b">
        <v>1</v>
      </c>
      <c r="S421" s="20">
        <f t="shared" si="6"/>
        <v>45603.61224</v>
      </c>
      <c r="T421" s="7"/>
    </row>
    <row r="422" ht="22.5" hidden="1" customHeight="1">
      <c r="B422" s="7">
        <f t="shared" si="7"/>
        <v>416</v>
      </c>
      <c r="C422" s="18" t="s">
        <v>438</v>
      </c>
      <c r="D422" s="19" t="str">
        <f t="array" ref="D422">IFNA(_xlfn.XLOOKUP(C422,Table_Tarikan_Warkah[Nomor Sertipikat],Table_Tarikan_Warkah[Nomor Tiket]),"")</f>
        <v>K/43/311024/1</v>
      </c>
      <c r="E422" s="20">
        <f t="array" ref="E422">IFNA(_xlfn.XLOOKUP(C422,Table_Tarikan_Warkah[Nomor Sertipikat],Table_Tarikan_Warkah[Tanggal diserahkan kepada Validator]),"")</f>
        <v>45600.39167</v>
      </c>
      <c r="F422" s="20" t="str">
        <f t="array" ref="F422">IFNA(_xlfn.XLOOKUP(C422,Table_Tarikan_Warkah[Nomor Sertipikat],Table_Tarikan_Warkah[Nama Petugas Warkah]),"")</f>
        <v>David</v>
      </c>
      <c r="G422" s="21" t="str">
        <f t="array" ref="G422">IFNA(_xlfn.XLOOKUP(C422,Table_Tarikan_Warkah[Nomor Sertipikat],Table_Tarikan_Warkah[Jenis Permohonan]),"")</f>
        <v>BN Hibah</v>
      </c>
      <c r="H422" s="22" t="s">
        <v>37</v>
      </c>
      <c r="I422" s="22" t="s">
        <v>32</v>
      </c>
      <c r="J422" s="20">
        <f t="shared" si="29"/>
        <v>45601.44456</v>
      </c>
      <c r="K422" s="27" t="s">
        <v>65</v>
      </c>
      <c r="L422" s="27" t="s">
        <v>32</v>
      </c>
      <c r="M422" s="20">
        <f t="shared" si="30"/>
        <v>45602.58707</v>
      </c>
      <c r="N422" s="8" t="str">
        <f t="shared" si="3"/>
        <v>SELESAI</v>
      </c>
      <c r="O422" s="23">
        <f t="shared" si="22"/>
        <v>45602.58707</v>
      </c>
      <c r="P422" s="24" t="b">
        <v>0</v>
      </c>
      <c r="Q422" s="20" t="str">
        <f t="shared" si="5"/>
        <v/>
      </c>
      <c r="R422" s="24" t="b">
        <v>1</v>
      </c>
      <c r="S422" s="20">
        <f t="shared" si="6"/>
        <v>45603.61224</v>
      </c>
      <c r="T422" s="7"/>
    </row>
    <row r="423" ht="22.5" hidden="1" customHeight="1">
      <c r="B423" s="7">
        <f t="shared" si="7"/>
        <v>417</v>
      </c>
      <c r="C423" s="18" t="s">
        <v>439</v>
      </c>
      <c r="D423" s="19" t="str">
        <f t="array" ref="D423">IFNA(_xlfn.XLOOKUP(C423,Table_Tarikan_Warkah[Nomor Sertipikat],Table_Tarikan_Warkah[Nomor Tiket]),"")</f>
        <v>L/46/311024/1</v>
      </c>
      <c r="E423" s="20">
        <f t="array" ref="E423">IFNA(_xlfn.XLOOKUP(C423,Table_Tarikan_Warkah[Nomor Sertipikat],Table_Tarikan_Warkah[Tanggal diserahkan kepada Validator]),"")</f>
        <v>45600.39229</v>
      </c>
      <c r="F423" s="20" t="str">
        <f t="array" ref="F423">IFNA(_xlfn.XLOOKUP(C423,Table_Tarikan_Warkah[Nomor Sertipikat],Table_Tarikan_Warkah[Nama Petugas Warkah]),"")</f>
        <v>David</v>
      </c>
      <c r="G423" s="21" t="str">
        <f t="array" ref="G423">IFNA(_xlfn.XLOOKUP(C423,Table_Tarikan_Warkah[Nomor Sertipikat],Table_Tarikan_Warkah[Jenis Permohonan]),"")</f>
        <v>ROYA</v>
      </c>
      <c r="H423" s="22" t="s">
        <v>37</v>
      </c>
      <c r="I423" s="22" t="s">
        <v>32</v>
      </c>
      <c r="J423" s="20">
        <f t="shared" si="29"/>
        <v>45601.44466</v>
      </c>
      <c r="K423" s="22" t="s">
        <v>65</v>
      </c>
      <c r="L423" s="22" t="s">
        <v>32</v>
      </c>
      <c r="M423" s="20">
        <f t="shared" si="30"/>
        <v>45602.58707</v>
      </c>
      <c r="N423" s="8" t="str">
        <f t="shared" si="3"/>
        <v>SELESAI</v>
      </c>
      <c r="O423" s="23">
        <f t="shared" si="22"/>
        <v>45602.58707</v>
      </c>
      <c r="P423" s="24" t="b">
        <v>0</v>
      </c>
      <c r="Q423" s="20" t="str">
        <f t="shared" si="5"/>
        <v/>
      </c>
      <c r="R423" s="24" t="b">
        <v>1</v>
      </c>
      <c r="S423" s="20">
        <f t="shared" si="6"/>
        <v>45603.61224</v>
      </c>
      <c r="T423" s="7"/>
    </row>
    <row r="424" ht="22.5" hidden="1" customHeight="1">
      <c r="B424" s="7">
        <f t="shared" si="7"/>
        <v>418</v>
      </c>
      <c r="C424" s="18" t="s">
        <v>440</v>
      </c>
      <c r="D424" s="19" t="str">
        <f t="array" ref="D424">IFNA(_xlfn.XLOOKUP(C424,Table_Tarikan_Warkah[Nomor Sertipikat],Table_Tarikan_Warkah[Nomor Tiket]),"")</f>
        <v>K/65/311024/2</v>
      </c>
      <c r="E424" s="20">
        <f t="array" ref="E424">IFNA(_xlfn.XLOOKUP(C424,Table_Tarikan_Warkah[Nomor Sertipikat],Table_Tarikan_Warkah[Tanggal diserahkan kepada Validator]),"")</f>
        <v>45600.39591</v>
      </c>
      <c r="F424" s="20" t="str">
        <f t="array" ref="F424">IFNA(_xlfn.XLOOKUP(C424,Table_Tarikan_Warkah[Nomor Sertipikat],Table_Tarikan_Warkah[Nama Petugas Warkah]),"")</f>
        <v>David</v>
      </c>
      <c r="G424" s="21" t="str">
        <f t="array" ref="G424">IFNA(_xlfn.XLOOKUP(C424,Table_Tarikan_Warkah[Nomor Sertipikat],Table_Tarikan_Warkah[Jenis Permohonan]),"")</f>
        <v>BN Jual Beli</v>
      </c>
      <c r="H424" s="22" t="s">
        <v>37</v>
      </c>
      <c r="I424" s="22" t="s">
        <v>32</v>
      </c>
      <c r="J424" s="20">
        <f t="shared" si="29"/>
        <v>45601.44493</v>
      </c>
      <c r="K424" s="27" t="s">
        <v>65</v>
      </c>
      <c r="L424" s="27" t="s">
        <v>32</v>
      </c>
      <c r="M424" s="20">
        <f t="shared" si="30"/>
        <v>45602.58707</v>
      </c>
      <c r="N424" s="8" t="str">
        <f t="shared" si="3"/>
        <v>SELESAI</v>
      </c>
      <c r="O424" s="23">
        <f t="shared" si="22"/>
        <v>45602.58707</v>
      </c>
      <c r="P424" s="24" t="b">
        <v>0</v>
      </c>
      <c r="Q424" s="20" t="str">
        <f t="shared" si="5"/>
        <v/>
      </c>
      <c r="R424" s="24" t="b">
        <v>1</v>
      </c>
      <c r="S424" s="20">
        <f t="shared" si="6"/>
        <v>45603.61224</v>
      </c>
      <c r="T424" s="7"/>
    </row>
    <row r="425" ht="22.5" hidden="1" customHeight="1">
      <c r="B425" s="7">
        <f t="shared" si="7"/>
        <v>419</v>
      </c>
      <c r="C425" s="18" t="s">
        <v>441</v>
      </c>
      <c r="D425" s="19" t="str">
        <f t="array" ref="D425">IFNA(_xlfn.XLOOKUP(C425,Table_Tarikan_Warkah[Nomor Sertipikat],Table_Tarikan_Warkah[Nomor Tiket]),"")</f>
        <v>K/64/311024/1</v>
      </c>
      <c r="E425" s="20">
        <f t="array" ref="E425">IFNA(_xlfn.XLOOKUP(C425,Table_Tarikan_Warkah[Nomor Sertipikat],Table_Tarikan_Warkah[Tanggal diserahkan kepada Validator]),"")</f>
        <v>45600.39677</v>
      </c>
      <c r="F425" s="20" t="str">
        <f t="array" ref="F425">IFNA(_xlfn.XLOOKUP(C425,Table_Tarikan_Warkah[Nomor Sertipikat],Table_Tarikan_Warkah[Nama Petugas Warkah]),"")</f>
        <v>David</v>
      </c>
      <c r="G425" s="21" t="str">
        <f t="array" ref="G425">IFNA(_xlfn.XLOOKUP(C425,Table_Tarikan_Warkah[Nomor Sertipikat],Table_Tarikan_Warkah[Jenis Permohonan]),"")</f>
        <v>BN Jual Beli</v>
      </c>
      <c r="H425" s="22" t="s">
        <v>37</v>
      </c>
      <c r="I425" s="22" t="s">
        <v>32</v>
      </c>
      <c r="J425" s="20">
        <f t="shared" si="29"/>
        <v>45601.44506</v>
      </c>
      <c r="K425" s="22" t="s">
        <v>65</v>
      </c>
      <c r="L425" s="22" t="s">
        <v>32</v>
      </c>
      <c r="M425" s="20">
        <f t="shared" si="30"/>
        <v>45602.58707</v>
      </c>
      <c r="N425" s="8" t="str">
        <f t="shared" si="3"/>
        <v>SELESAI</v>
      </c>
      <c r="O425" s="23">
        <f t="shared" si="22"/>
        <v>45602.58707</v>
      </c>
      <c r="P425" s="24" t="b">
        <v>0</v>
      </c>
      <c r="Q425" s="20" t="str">
        <f t="shared" si="5"/>
        <v/>
      </c>
      <c r="R425" s="24" t="b">
        <v>1</v>
      </c>
      <c r="S425" s="20">
        <f t="shared" si="6"/>
        <v>45603.61224</v>
      </c>
      <c r="T425" s="7"/>
    </row>
    <row r="426" ht="22.5" hidden="1" customHeight="1">
      <c r="B426" s="7">
        <f t="shared" si="7"/>
        <v>420</v>
      </c>
      <c r="C426" s="18" t="s">
        <v>442</v>
      </c>
      <c r="D426" s="19" t="str">
        <f t="array" ref="D426">IFNA(_xlfn.XLOOKUP(C426,Table_Tarikan_Warkah[Nomor Sertipikat],Table_Tarikan_Warkah[Nomor Tiket]),"")</f>
        <v>K/68/311024/2</v>
      </c>
      <c r="E426" s="20">
        <f t="array" ref="E426">IFNA(_xlfn.XLOOKUP(C426,Table_Tarikan_Warkah[Nomor Sertipikat],Table_Tarikan_Warkah[Tanggal diserahkan kepada Validator]),"")</f>
        <v>45600.39696</v>
      </c>
      <c r="F426" s="20" t="str">
        <f t="array" ref="F426">IFNA(_xlfn.XLOOKUP(C426,Table_Tarikan_Warkah[Nomor Sertipikat],Table_Tarikan_Warkah[Nama Petugas Warkah]),"")</f>
        <v>David</v>
      </c>
      <c r="G426" s="21" t="str">
        <f t="array" ref="G426">IFNA(_xlfn.XLOOKUP(C426,Table_Tarikan_Warkah[Nomor Sertipikat],Table_Tarikan_Warkah[Jenis Permohonan]),"")</f>
        <v>BN JUAL BELI</v>
      </c>
      <c r="H426" s="22" t="s">
        <v>37</v>
      </c>
      <c r="I426" s="22" t="s">
        <v>32</v>
      </c>
      <c r="J426" s="20">
        <f t="shared" si="29"/>
        <v>45601.44517</v>
      </c>
      <c r="K426" s="22" t="s">
        <v>65</v>
      </c>
      <c r="L426" s="22" t="s">
        <v>32</v>
      </c>
      <c r="M426" s="20">
        <f t="shared" si="30"/>
        <v>45602.58721</v>
      </c>
      <c r="N426" s="8" t="str">
        <f t="shared" si="3"/>
        <v>SELESAI</v>
      </c>
      <c r="O426" s="23">
        <f t="shared" si="22"/>
        <v>45602.58721</v>
      </c>
      <c r="P426" s="24" t="b">
        <v>0</v>
      </c>
      <c r="Q426" s="20" t="str">
        <f t="shared" si="5"/>
        <v/>
      </c>
      <c r="R426" s="24" t="b">
        <v>1</v>
      </c>
      <c r="S426" s="20">
        <f t="shared" si="6"/>
        <v>45603.61224</v>
      </c>
      <c r="T426" s="7"/>
    </row>
    <row r="427" ht="22.5" hidden="1" customHeight="1">
      <c r="B427" s="7">
        <f t="shared" si="7"/>
        <v>421</v>
      </c>
      <c r="C427" s="18" t="s">
        <v>443</v>
      </c>
      <c r="D427" s="19" t="str">
        <f t="array" ref="D427">IFNA(_xlfn.XLOOKUP(C427,Table_Tarikan_Warkah[Nomor Sertipikat],Table_Tarikan_Warkah[Nomor Tiket]),"")</f>
        <v>K/40/011124/1</v>
      </c>
      <c r="E427" s="20">
        <f t="array" ref="E427">IFNA(_xlfn.XLOOKUP(C427,Table_Tarikan_Warkah[Nomor Sertipikat],Table_Tarikan_Warkah[Tanggal diserahkan kepada Validator]),"")</f>
        <v>45600.46965</v>
      </c>
      <c r="F427" s="20" t="str">
        <f t="array" ref="F427">IFNA(_xlfn.XLOOKUP(C427,Table_Tarikan_Warkah[Nomor Sertipikat],Table_Tarikan_Warkah[Nama Petugas Warkah]),"")</f>
        <v>David</v>
      </c>
      <c r="G427" s="21" t="str">
        <f t="array" ref="G427">IFNA(_xlfn.XLOOKUP(C427,Table_Tarikan_Warkah[Nomor Sertipikat],Table_Tarikan_Warkah[Jenis Permohonan]),"")</f>
        <v>BN Hibah</v>
      </c>
      <c r="H427" s="22" t="s">
        <v>37</v>
      </c>
      <c r="I427" s="22" t="s">
        <v>32</v>
      </c>
      <c r="J427" s="20">
        <f t="shared" si="29"/>
        <v>45601.44525</v>
      </c>
      <c r="K427" s="22" t="s">
        <v>65</v>
      </c>
      <c r="L427" s="22" t="s">
        <v>32</v>
      </c>
      <c r="M427" s="20">
        <f t="shared" si="30"/>
        <v>45602.58723</v>
      </c>
      <c r="N427" s="8" t="str">
        <f t="shared" si="3"/>
        <v>SELESAI</v>
      </c>
      <c r="O427" s="23">
        <f t="shared" si="22"/>
        <v>45602.58723</v>
      </c>
      <c r="P427" s="24" t="b">
        <v>0</v>
      </c>
      <c r="Q427" s="20" t="str">
        <f t="shared" si="5"/>
        <v/>
      </c>
      <c r="R427" s="24" t="b">
        <v>1</v>
      </c>
      <c r="S427" s="20">
        <f t="shared" si="6"/>
        <v>45603.61224</v>
      </c>
      <c r="T427" s="7"/>
    </row>
    <row r="428" ht="22.5" hidden="1" customHeight="1">
      <c r="B428" s="7">
        <f t="shared" si="7"/>
        <v>422</v>
      </c>
      <c r="C428" s="18" t="s">
        <v>388</v>
      </c>
      <c r="D428" s="19" t="str">
        <f t="array" ref="D428">IFNA(_xlfn.XLOOKUP(C428,Table_Tarikan_Warkah[Nomor Sertipikat],Table_Tarikan_Warkah[Nomor Tiket]),"")</f>
        <v>K/39/011124/3</v>
      </c>
      <c r="E428" s="20">
        <f t="array" ref="E428">IFNA(_xlfn.XLOOKUP(C428,Table_Tarikan_Warkah[Nomor Sertipikat],Table_Tarikan_Warkah[Tanggal diserahkan kepada Validator]),"")</f>
        <v>45600.4694</v>
      </c>
      <c r="F428" s="20" t="str">
        <f t="array" ref="F428">IFNA(_xlfn.XLOOKUP(C428,Table_Tarikan_Warkah[Nomor Sertipikat],Table_Tarikan_Warkah[Nama Petugas Warkah]),"")</f>
        <v>David</v>
      </c>
      <c r="G428" s="21" t="str">
        <f t="array" ref="G428">IFNA(_xlfn.XLOOKUP(C428,Table_Tarikan_Warkah[Nomor Sertipikat],Table_Tarikan_Warkah[Jenis Permohonan]),"")</f>
        <v>Roya</v>
      </c>
      <c r="H428" s="22" t="s">
        <v>37</v>
      </c>
      <c r="I428" s="22" t="s">
        <v>32</v>
      </c>
      <c r="J428" s="20">
        <f t="shared" si="29"/>
        <v>45601.44549</v>
      </c>
      <c r="K428" s="22" t="s">
        <v>65</v>
      </c>
      <c r="L428" s="22" t="s">
        <v>32</v>
      </c>
      <c r="M428" s="20">
        <f t="shared" si="30"/>
        <v>45602.58725</v>
      </c>
      <c r="N428" s="8" t="str">
        <f t="shared" si="3"/>
        <v>SELESAI</v>
      </c>
      <c r="O428" s="23">
        <f t="shared" si="22"/>
        <v>45602.58725</v>
      </c>
      <c r="P428" s="24" t="b">
        <v>0</v>
      </c>
      <c r="Q428" s="20" t="str">
        <f t="shared" si="5"/>
        <v/>
      </c>
      <c r="R428" s="24" t="b">
        <v>1</v>
      </c>
      <c r="S428" s="20">
        <f t="shared" si="6"/>
        <v>45603.61224</v>
      </c>
      <c r="T428" s="7"/>
    </row>
    <row r="429" ht="22.5" hidden="1" customHeight="1">
      <c r="B429" s="7">
        <f t="shared" si="7"/>
        <v>423</v>
      </c>
      <c r="C429" s="18" t="s">
        <v>281</v>
      </c>
      <c r="D429" s="19" t="str">
        <f t="array" ref="D429">IFNA(_xlfn.XLOOKUP(C429,Table_Tarikan_Warkah[Nomor Sertipikat],Table_Tarikan_Warkah[Nomor Tiket]),"")</f>
        <v>K/31/221024/3</v>
      </c>
      <c r="E429" s="20">
        <f t="array" ref="E429">IFNA(_xlfn.XLOOKUP(C429,Table_Tarikan_Warkah[Nomor Sertipikat],Table_Tarikan_Warkah[Tanggal diserahkan kepada Validator]),"")</f>
        <v>45588.38251</v>
      </c>
      <c r="F429" s="20" t="str">
        <f t="array" ref="F429">IFNA(_xlfn.XLOOKUP(C429,Table_Tarikan_Warkah[Nomor Sertipikat],Table_Tarikan_Warkah[Nama Petugas Warkah]),"")</f>
        <v>David</v>
      </c>
      <c r="G429" s="21" t="str">
        <f t="array" ref="G429">IFNA(_xlfn.XLOOKUP(C429,Table_Tarikan_Warkah[Nomor Sertipikat],Table_Tarikan_Warkah[Jenis Permohonan]),"")</f>
        <v>PERALIHAN JUAL BELI</v>
      </c>
      <c r="H429" s="22" t="s">
        <v>31</v>
      </c>
      <c r="I429" s="22" t="s">
        <v>32</v>
      </c>
      <c r="J429" s="20">
        <f t="shared" si="29"/>
        <v>45601.47697</v>
      </c>
      <c r="K429" s="27" t="s">
        <v>33</v>
      </c>
      <c r="L429" s="27" t="s">
        <v>32</v>
      </c>
      <c r="M429" s="20">
        <f t="shared" si="30"/>
        <v>45602.61855</v>
      </c>
      <c r="N429" s="8" t="str">
        <f t="shared" si="3"/>
        <v>SELESAI</v>
      </c>
      <c r="O429" s="23">
        <f t="shared" si="22"/>
        <v>45602.61855</v>
      </c>
      <c r="P429" s="24" t="b">
        <v>0</v>
      </c>
      <c r="Q429" s="20" t="str">
        <f t="shared" si="5"/>
        <v/>
      </c>
      <c r="R429" s="24" t="b">
        <v>1</v>
      </c>
      <c r="S429" s="20">
        <f t="shared" si="6"/>
        <v>45603.61224</v>
      </c>
      <c r="T429" s="7"/>
    </row>
    <row r="430" ht="22.5" hidden="1" customHeight="1">
      <c r="B430" s="7">
        <f t="shared" si="7"/>
        <v>424</v>
      </c>
      <c r="C430" s="18" t="s">
        <v>321</v>
      </c>
      <c r="D430" s="19" t="str">
        <f t="array" ref="D430">IFNA(_xlfn.XLOOKUP(C430,Table_Tarikan_Warkah[Nomor Sertipikat],Table_Tarikan_Warkah[Nomor Tiket]),"")</f>
        <v>K/11/211024/2</v>
      </c>
      <c r="E430" s="20">
        <f t="array" ref="E430">IFNA(_xlfn.XLOOKUP(C430,Table_Tarikan_Warkah[Nomor Sertipikat],Table_Tarikan_Warkah[Tanggal diserahkan kepada Validator]),"")</f>
        <v>45601.42226</v>
      </c>
      <c r="F430" s="20" t="str">
        <f t="array" ref="F430">IFNA(_xlfn.XLOOKUP(C430,Table_Tarikan_Warkah[Nomor Sertipikat],Table_Tarikan_Warkah[Nama Petugas Warkah]),"")</f>
        <v>Sahelia</v>
      </c>
      <c r="G430" s="21" t="str">
        <f t="array" ref="G430">IFNA(_xlfn.XLOOKUP(C430,Table_Tarikan_Warkah[Nomor Sertipikat],Table_Tarikan_Warkah[Jenis Permohonan]),"")</f>
        <v>BN Jual Beli</v>
      </c>
      <c r="H430" s="22" t="s">
        <v>31</v>
      </c>
      <c r="I430" s="22" t="s">
        <v>32</v>
      </c>
      <c r="J430" s="20">
        <f t="shared" si="29"/>
        <v>45601.47699</v>
      </c>
      <c r="K430" s="27" t="s">
        <v>33</v>
      </c>
      <c r="L430" s="27" t="s">
        <v>32</v>
      </c>
      <c r="M430" s="20">
        <f t="shared" si="30"/>
        <v>45602.61857</v>
      </c>
      <c r="N430" s="8" t="str">
        <f t="shared" si="3"/>
        <v>SELESAI</v>
      </c>
      <c r="O430" s="23">
        <f t="shared" si="22"/>
        <v>45602.61857</v>
      </c>
      <c r="P430" s="24" t="b">
        <v>0</v>
      </c>
      <c r="Q430" s="20" t="str">
        <f t="shared" si="5"/>
        <v/>
      </c>
      <c r="R430" s="24" t="b">
        <v>1</v>
      </c>
      <c r="S430" s="20">
        <f t="shared" si="6"/>
        <v>45603.61224</v>
      </c>
      <c r="T430" s="7"/>
    </row>
    <row r="431" ht="22.5" hidden="1" customHeight="1">
      <c r="B431" s="7">
        <f t="shared" si="7"/>
        <v>425</v>
      </c>
      <c r="C431" s="18" t="s">
        <v>379</v>
      </c>
      <c r="D431" s="19" t="str">
        <f t="array" ref="D431">IFNA(_xlfn.XLOOKUP(C431,Table_Tarikan_Warkah[Nomor Sertipikat],Table_Tarikan_Warkah[Nomor Tiket]),"")</f>
        <v>K/62/221024/2</v>
      </c>
      <c r="E431" s="20">
        <f t="array" ref="E431">IFNA(_xlfn.XLOOKUP(C431,Table_Tarikan_Warkah[Nomor Sertipikat],Table_Tarikan_Warkah[Tanggal diserahkan kepada Validator]),"")</f>
        <v>45601.42182</v>
      </c>
      <c r="F431" s="20" t="str">
        <f t="array" ref="F431">IFNA(_xlfn.XLOOKUP(C431,Table_Tarikan_Warkah[Nomor Sertipikat],Table_Tarikan_Warkah[Nama Petugas Warkah]),"")</f>
        <v>Sahelia</v>
      </c>
      <c r="G431" s="21" t="str">
        <f t="array" ref="G431">IFNA(_xlfn.XLOOKUP(C431,Table_Tarikan_Warkah[Nomor Sertipikat],Table_Tarikan_Warkah[Jenis Permohonan]),"")</f>
        <v>BN Jual Beli</v>
      </c>
      <c r="H431" s="22" t="s">
        <v>31</v>
      </c>
      <c r="I431" s="22" t="s">
        <v>32</v>
      </c>
      <c r="J431" s="20">
        <f t="shared" si="29"/>
        <v>45601.477</v>
      </c>
      <c r="K431" s="27" t="s">
        <v>33</v>
      </c>
      <c r="L431" s="27" t="s">
        <v>32</v>
      </c>
      <c r="M431" s="20">
        <f t="shared" si="30"/>
        <v>45602.61859</v>
      </c>
      <c r="N431" s="8" t="str">
        <f t="shared" si="3"/>
        <v>SELESAI</v>
      </c>
      <c r="O431" s="23">
        <f t="shared" si="22"/>
        <v>45602.61859</v>
      </c>
      <c r="P431" s="24" t="b">
        <v>0</v>
      </c>
      <c r="Q431" s="20" t="str">
        <f t="shared" si="5"/>
        <v/>
      </c>
      <c r="R431" s="24" t="b">
        <v>1</v>
      </c>
      <c r="S431" s="20">
        <f t="shared" si="6"/>
        <v>45603.61224</v>
      </c>
      <c r="T431" s="7"/>
    </row>
    <row r="432" ht="22.5" hidden="1" customHeight="1">
      <c r="B432" s="7">
        <f t="shared" si="7"/>
        <v>426</v>
      </c>
      <c r="C432" s="18" t="s">
        <v>318</v>
      </c>
      <c r="D432" s="19" t="str">
        <f t="array" ref="D432">IFNA(_xlfn.XLOOKUP(C432,Table_Tarikan_Warkah[Nomor Sertipikat],Table_Tarikan_Warkah[Nomor Tiket]),"")</f>
        <v>K/53/211024/1</v>
      </c>
      <c r="E432" s="20">
        <f t="array" ref="E432">IFNA(_xlfn.XLOOKUP(C432,Table_Tarikan_Warkah[Nomor Sertipikat],Table_Tarikan_Warkah[Tanggal diserahkan kepada Validator]),"")</f>
        <v>45601.42144</v>
      </c>
      <c r="F432" s="20" t="str">
        <f t="array" ref="F432">IFNA(_xlfn.XLOOKUP(C432,Table_Tarikan_Warkah[Nomor Sertipikat],Table_Tarikan_Warkah[Nama Petugas Warkah]),"")</f>
        <v>Sahelia</v>
      </c>
      <c r="G432" s="21" t="str">
        <f t="array" ref="G432">IFNA(_xlfn.XLOOKUP(C432,Table_Tarikan_Warkah[Nomor Sertipikat],Table_Tarikan_Warkah[Jenis Permohonan]),"")</f>
        <v>BN Jual Beli</v>
      </c>
      <c r="H432" s="22" t="s">
        <v>31</v>
      </c>
      <c r="I432" s="22" t="s">
        <v>32</v>
      </c>
      <c r="J432" s="20">
        <f t="shared" si="29"/>
        <v>45601.47702</v>
      </c>
      <c r="K432" s="27" t="s">
        <v>33</v>
      </c>
      <c r="L432" s="27" t="s">
        <v>32</v>
      </c>
      <c r="M432" s="20">
        <f t="shared" si="30"/>
        <v>45602.6186</v>
      </c>
      <c r="N432" s="8" t="str">
        <f t="shared" si="3"/>
        <v>SELESAI</v>
      </c>
      <c r="O432" s="23">
        <f t="shared" si="22"/>
        <v>45602.6186</v>
      </c>
      <c r="P432" s="24" t="b">
        <v>0</v>
      </c>
      <c r="Q432" s="20" t="str">
        <f t="shared" si="5"/>
        <v/>
      </c>
      <c r="R432" s="24" t="b">
        <v>1</v>
      </c>
      <c r="S432" s="20">
        <f t="shared" si="6"/>
        <v>45603.61224</v>
      </c>
      <c r="T432" s="7"/>
    </row>
    <row r="433" ht="22.5" hidden="1" customHeight="1">
      <c r="B433" s="7">
        <f t="shared" si="7"/>
        <v>427</v>
      </c>
      <c r="C433" s="18" t="s">
        <v>363</v>
      </c>
      <c r="D433" s="19" t="str">
        <f t="array" ref="D433">IFNA(_xlfn.XLOOKUP(C433,Table_Tarikan_Warkah[Nomor Sertipikat],Table_Tarikan_Warkah[Nomor Tiket]),"")</f>
        <v>K/41/221024/3</v>
      </c>
      <c r="E433" s="20">
        <f t="array" ref="E433">IFNA(_xlfn.XLOOKUP(C433,Table_Tarikan_Warkah[Nomor Sertipikat],Table_Tarikan_Warkah[Tanggal diserahkan kepada Validator]),"")</f>
        <v>45601.42123</v>
      </c>
      <c r="F433" s="20" t="str">
        <f t="array" ref="F433">IFNA(_xlfn.XLOOKUP(C433,Table_Tarikan_Warkah[Nomor Sertipikat],Table_Tarikan_Warkah[Nama Petugas Warkah]),"")</f>
        <v>Sahelia</v>
      </c>
      <c r="G433" s="21" t="str">
        <f t="array" ref="G433">IFNA(_xlfn.XLOOKUP(C433,Table_Tarikan_Warkah[Nomor Sertipikat],Table_Tarikan_Warkah[Jenis Permohonan]),"")</f>
        <v>BN Jual Beli</v>
      </c>
      <c r="H433" s="22" t="s">
        <v>31</v>
      </c>
      <c r="I433" s="22" t="s">
        <v>32</v>
      </c>
      <c r="J433" s="20">
        <f t="shared" si="29"/>
        <v>45601.47704</v>
      </c>
      <c r="K433" s="27" t="s">
        <v>33</v>
      </c>
      <c r="L433" s="27" t="s">
        <v>32</v>
      </c>
      <c r="M433" s="20">
        <f t="shared" si="30"/>
        <v>45602.61865</v>
      </c>
      <c r="N433" s="8" t="str">
        <f t="shared" si="3"/>
        <v>SELESAI</v>
      </c>
      <c r="O433" s="23">
        <f t="shared" si="22"/>
        <v>45602.61865</v>
      </c>
      <c r="P433" s="24" t="b">
        <v>0</v>
      </c>
      <c r="Q433" s="20" t="str">
        <f t="shared" si="5"/>
        <v/>
      </c>
      <c r="R433" s="24" t="b">
        <v>1</v>
      </c>
      <c r="S433" s="20">
        <f t="shared" si="6"/>
        <v>45603.61224</v>
      </c>
      <c r="T433" s="7"/>
    </row>
    <row r="434" ht="22.5" hidden="1" customHeight="1">
      <c r="B434" s="7">
        <f t="shared" si="7"/>
        <v>428</v>
      </c>
      <c r="C434" s="18" t="s">
        <v>316</v>
      </c>
      <c r="D434" s="19" t="str">
        <f t="array" ref="D434">IFNA(_xlfn.XLOOKUP(C434,Table_Tarikan_Warkah[Nomor Sertipikat],Table_Tarikan_Warkah[Nomor Tiket]),"")</f>
        <v>K/27/161024/1</v>
      </c>
      <c r="E434" s="20">
        <f t="array" ref="E434">IFNA(_xlfn.XLOOKUP(C434,Table_Tarikan_Warkah[Nomor Sertipikat],Table_Tarikan_Warkah[Tanggal diserahkan kepada Validator]),"")</f>
        <v>45601.42097</v>
      </c>
      <c r="F434" s="20" t="str">
        <f t="array" ref="F434">IFNA(_xlfn.XLOOKUP(C434,Table_Tarikan_Warkah[Nomor Sertipikat],Table_Tarikan_Warkah[Nama Petugas Warkah]),"")</f>
        <v>Sahelia</v>
      </c>
      <c r="G434" s="21" t="str">
        <f t="array" ref="G434">IFNA(_xlfn.XLOOKUP(C434,Table_Tarikan_Warkah[Nomor Sertipikat],Table_Tarikan_Warkah[Jenis Permohonan]),"")</f>
        <v>BN Jual Beli</v>
      </c>
      <c r="H434" s="22" t="s">
        <v>31</v>
      </c>
      <c r="I434" s="22" t="s">
        <v>32</v>
      </c>
      <c r="J434" s="20">
        <f t="shared" si="29"/>
        <v>45601.47705</v>
      </c>
      <c r="K434" s="27" t="s">
        <v>33</v>
      </c>
      <c r="L434" s="27" t="s">
        <v>32</v>
      </c>
      <c r="M434" s="20">
        <f t="shared" si="30"/>
        <v>45602.61868</v>
      </c>
      <c r="N434" s="8" t="str">
        <f t="shared" si="3"/>
        <v>SELESAI</v>
      </c>
      <c r="O434" s="23">
        <f t="shared" si="22"/>
        <v>45602.61868</v>
      </c>
      <c r="P434" s="24" t="b">
        <v>0</v>
      </c>
      <c r="Q434" s="20" t="str">
        <f t="shared" si="5"/>
        <v/>
      </c>
      <c r="R434" s="24" t="b">
        <v>1</v>
      </c>
      <c r="S434" s="20">
        <f t="shared" si="6"/>
        <v>45603.61224</v>
      </c>
      <c r="T434" s="7"/>
    </row>
    <row r="435" ht="22.5" hidden="1" customHeight="1">
      <c r="B435" s="7">
        <f t="shared" si="7"/>
        <v>429</v>
      </c>
      <c r="C435" s="18" t="s">
        <v>409</v>
      </c>
      <c r="D435" s="19" t="str">
        <f t="array" ref="D435">IFNA(_xlfn.XLOOKUP(C435,Table_Tarikan_Warkah[Nomor Sertipikat],Table_Tarikan_Warkah[Nomor Tiket]),"")</f>
        <v>K/23/241024/1</v>
      </c>
      <c r="E435" s="20">
        <f t="array" ref="E435">IFNA(_xlfn.XLOOKUP(C435,Table_Tarikan_Warkah[Nomor Sertipikat],Table_Tarikan_Warkah[Tanggal diserahkan kepada Validator]),"")</f>
        <v>45601.4235</v>
      </c>
      <c r="F435" s="20" t="str">
        <f t="array" ref="F435">IFNA(_xlfn.XLOOKUP(C435,Table_Tarikan_Warkah[Nomor Sertipikat],Table_Tarikan_Warkah[Nama Petugas Warkah]),"")</f>
        <v>Sahelia</v>
      </c>
      <c r="G435" s="21" t="str">
        <f t="array" ref="G435">IFNA(_xlfn.XLOOKUP(C435,Table_Tarikan_Warkah[Nomor Sertipikat],Table_Tarikan_Warkah[Jenis Permohonan]),"")</f>
        <v>BN Jual Beli</v>
      </c>
      <c r="H435" s="22" t="s">
        <v>31</v>
      </c>
      <c r="I435" s="22" t="s">
        <v>32</v>
      </c>
      <c r="J435" s="20">
        <f t="shared" si="29"/>
        <v>45601.47708</v>
      </c>
      <c r="K435" s="27" t="s">
        <v>33</v>
      </c>
      <c r="L435" s="27" t="s">
        <v>32</v>
      </c>
      <c r="M435" s="20">
        <f t="shared" si="30"/>
        <v>45602.61871</v>
      </c>
      <c r="N435" s="8" t="str">
        <f t="shared" si="3"/>
        <v>SELESAI</v>
      </c>
      <c r="O435" s="23">
        <f t="shared" si="22"/>
        <v>45602.61871</v>
      </c>
      <c r="P435" s="24" t="b">
        <v>0</v>
      </c>
      <c r="Q435" s="20" t="str">
        <f t="shared" si="5"/>
        <v/>
      </c>
      <c r="R435" s="24" t="b">
        <v>1</v>
      </c>
      <c r="S435" s="20">
        <f t="shared" si="6"/>
        <v>45603.61224</v>
      </c>
      <c r="T435" s="7"/>
    </row>
    <row r="436" ht="22.5" hidden="1" customHeight="1">
      <c r="B436" s="7">
        <f t="shared" si="7"/>
        <v>430</v>
      </c>
      <c r="C436" s="18" t="s">
        <v>444</v>
      </c>
      <c r="D436" s="19" t="str">
        <f t="array" ref="D436">IFNA(_xlfn.XLOOKUP(C436,Table_Tarikan_Warkah[Nomor Sertipikat],Table_Tarikan_Warkah[Nomor Tiket]),"")</f>
        <v>K/29/281024/1</v>
      </c>
      <c r="E436" s="20">
        <f t="array" ref="E436">IFNA(_xlfn.XLOOKUP(C436,Table_Tarikan_Warkah[Nomor Sertipikat],Table_Tarikan_Warkah[Tanggal diserahkan kepada Validator]),"")</f>
        <v>45610.35971</v>
      </c>
      <c r="F436" s="20" t="str">
        <f t="array" ref="F436">IFNA(_xlfn.XLOOKUP(C436,Table_Tarikan_Warkah[Nomor Sertipikat],Table_Tarikan_Warkah[Nama Petugas Warkah]),"")</f>
        <v>Berry</v>
      </c>
      <c r="G436" s="21" t="str">
        <f t="array" ref="G436">IFNA(_xlfn.XLOOKUP(C436,Table_Tarikan_Warkah[Nomor Sertipikat],Table_Tarikan_Warkah[Jenis Permohonan]),"")</f>
        <v>Perubahan Hak</v>
      </c>
      <c r="H436" s="22" t="s">
        <v>37</v>
      </c>
      <c r="I436" s="22" t="s">
        <v>32</v>
      </c>
      <c r="J436" s="20">
        <f t="shared" si="29"/>
        <v>45601.57902</v>
      </c>
      <c r="K436" s="27" t="s">
        <v>33</v>
      </c>
      <c r="L436" s="27" t="s">
        <v>187</v>
      </c>
      <c r="M436" s="20">
        <f t="shared" si="30"/>
        <v>45603.61224</v>
      </c>
      <c r="N436" s="8" t="str">
        <f t="shared" si="3"/>
        <v>Selesai</v>
      </c>
      <c r="O436" s="23">
        <f t="shared" si="22"/>
        <v>45603.61224</v>
      </c>
      <c r="P436" s="24" t="b">
        <v>1</v>
      </c>
      <c r="Q436" s="20">
        <f t="shared" si="5"/>
        <v>45603.61224</v>
      </c>
      <c r="R436" s="24" t="b">
        <v>0</v>
      </c>
      <c r="S436" s="7" t="str">
        <f t="shared" si="6"/>
        <v/>
      </c>
      <c r="T436" s="7"/>
    </row>
    <row r="437" ht="22.5" hidden="1" customHeight="1">
      <c r="B437" s="7">
        <f t="shared" si="7"/>
        <v>431</v>
      </c>
      <c r="C437" s="18" t="s">
        <v>445</v>
      </c>
      <c r="D437" s="19" t="str">
        <f t="array" ref="D437">IFNA(_xlfn.XLOOKUP(C437,Table_Tarikan_Warkah[Nomor Sertipikat],Table_Tarikan_Warkah[Nomor Tiket]),"")</f>
        <v>K/44/221024/2</v>
      </c>
      <c r="E437" s="20">
        <f t="array" ref="E437">IFNA(_xlfn.XLOOKUP(C437,Table_Tarikan_Warkah[Nomor Sertipikat],Table_Tarikan_Warkah[Tanggal diserahkan kepada Validator]),"")</f>
        <v>45604.625</v>
      </c>
      <c r="F437" s="20" t="str">
        <f t="array" ref="F437">IFNA(_xlfn.XLOOKUP(C437,Table_Tarikan_Warkah[Nomor Sertipikat],Table_Tarikan_Warkah[Nama Petugas Warkah]),"")</f>
        <v>Berry</v>
      </c>
      <c r="G437" s="21" t="str">
        <f t="array" ref="G437">IFNA(_xlfn.XLOOKUP(C437,Table_Tarikan_Warkah[Nomor Sertipikat],Table_Tarikan_Warkah[Jenis Permohonan]),"")</f>
        <v>BN Waris</v>
      </c>
      <c r="H437" s="22" t="s">
        <v>37</v>
      </c>
      <c r="I437" s="22" t="s">
        <v>32</v>
      </c>
      <c r="J437" s="20">
        <f t="shared" si="29"/>
        <v>45601.58157</v>
      </c>
      <c r="K437" s="27" t="s">
        <v>33</v>
      </c>
      <c r="L437" s="27" t="s">
        <v>187</v>
      </c>
      <c r="M437" s="20">
        <f t="shared" si="30"/>
        <v>45603.61224</v>
      </c>
      <c r="N437" s="8" t="str">
        <f t="shared" si="3"/>
        <v>Selesai</v>
      </c>
      <c r="O437" s="23">
        <f t="shared" si="22"/>
        <v>45603.61224</v>
      </c>
      <c r="P437" s="24" t="b">
        <v>1</v>
      </c>
      <c r="Q437" s="20">
        <f t="shared" si="5"/>
        <v>45603.61224</v>
      </c>
      <c r="R437" s="24" t="b">
        <v>0</v>
      </c>
      <c r="S437" s="7" t="str">
        <f t="shared" si="6"/>
        <v/>
      </c>
      <c r="T437" s="7"/>
    </row>
    <row r="438" ht="22.5" hidden="1" customHeight="1">
      <c r="B438" s="7">
        <f t="shared" si="7"/>
        <v>432</v>
      </c>
      <c r="C438" s="18" t="s">
        <v>446</v>
      </c>
      <c r="D438" s="19" t="str">
        <f t="array" ref="D438">IFNA(_xlfn.XLOOKUP(C438,Table_Tarikan_Warkah[Nomor Sertipikat],Table_Tarikan_Warkah[Nomor Tiket]),"")</f>
        <v>L/12/221024/1</v>
      </c>
      <c r="E438" s="20">
        <f t="array" ref="E438">IFNA(_xlfn.XLOOKUP(C438,Table_Tarikan_Warkah[Nomor Sertipikat],Table_Tarikan_Warkah[Tanggal diserahkan kepada Validator]),"")</f>
        <v>45601.69013</v>
      </c>
      <c r="F438" s="20" t="str">
        <f t="array" ref="F438">IFNA(_xlfn.XLOOKUP(C438,Table_Tarikan_Warkah[Nomor Sertipikat],Table_Tarikan_Warkah[Nama Petugas Warkah]),"")</f>
        <v>Sahelia</v>
      </c>
      <c r="G438" s="21" t="str">
        <f t="array" ref="G438">IFNA(_xlfn.XLOOKUP(C438,Table_Tarikan_Warkah[Nomor Sertipikat],Table_Tarikan_Warkah[Jenis Permohonan]),"")</f>
        <v>ROYA</v>
      </c>
      <c r="H438" s="22" t="s">
        <v>31</v>
      </c>
      <c r="I438" s="22" t="s">
        <v>32</v>
      </c>
      <c r="J438" s="20">
        <f t="shared" si="29"/>
        <v>45602.56108</v>
      </c>
      <c r="K438" s="27" t="s">
        <v>33</v>
      </c>
      <c r="L438" s="27" t="s">
        <v>32</v>
      </c>
      <c r="M438" s="20">
        <f t="shared" si="30"/>
        <v>45603.61224</v>
      </c>
      <c r="N438" s="8" t="str">
        <f t="shared" si="3"/>
        <v>SELESAI</v>
      </c>
      <c r="O438" s="23">
        <f t="shared" si="22"/>
        <v>45603.61224</v>
      </c>
      <c r="P438" s="24" t="b">
        <v>0</v>
      </c>
      <c r="Q438" s="20" t="str">
        <f t="shared" si="5"/>
        <v/>
      </c>
      <c r="R438" s="24" t="b">
        <v>1</v>
      </c>
      <c r="S438" s="20">
        <f t="shared" si="6"/>
        <v>45603.61245</v>
      </c>
      <c r="T438" s="7"/>
    </row>
    <row r="439" ht="22.5" hidden="1" customHeight="1">
      <c r="B439" s="7">
        <f t="shared" si="7"/>
        <v>433</v>
      </c>
      <c r="C439" s="18" t="s">
        <v>447</v>
      </c>
      <c r="D439" s="19" t="str">
        <f t="array" ref="D439">IFNA(_xlfn.XLOOKUP(C439,Table_Tarikan_Warkah[Nomor Sertipikat],Table_Tarikan_Warkah[Nomor Tiket]),"")</f>
        <v>K/21/041124/1</v>
      </c>
      <c r="E439" s="20">
        <f t="array" ref="E439">IFNA(_xlfn.XLOOKUP(C439,Table_Tarikan_Warkah[Nomor Sertipikat],Table_Tarikan_Warkah[Tanggal diserahkan kepada Validator]),"")</f>
        <v>45601.68313</v>
      </c>
      <c r="F439" s="20" t="str">
        <f t="array" ref="F439">IFNA(_xlfn.XLOOKUP(C439,Table_Tarikan_Warkah[Nomor Sertipikat],Table_Tarikan_Warkah[Nama Petugas Warkah]),"")</f>
        <v>Berry</v>
      </c>
      <c r="G439" s="21" t="str">
        <f t="array" ref="G439">IFNA(_xlfn.XLOOKUP(C439,Table_Tarikan_Warkah[Nomor Sertipikat],Table_Tarikan_Warkah[Jenis Permohonan]),"")</f>
        <v>BN JUAL BELI</v>
      </c>
      <c r="H439" s="22" t="s">
        <v>31</v>
      </c>
      <c r="I439" s="22" t="s">
        <v>32</v>
      </c>
      <c r="J439" s="20">
        <f t="shared" si="29"/>
        <v>45602.56124</v>
      </c>
      <c r="K439" s="27" t="s">
        <v>33</v>
      </c>
      <c r="L439" s="27" t="s">
        <v>32</v>
      </c>
      <c r="M439" s="20">
        <f t="shared" si="30"/>
        <v>45603.61224</v>
      </c>
      <c r="N439" s="8" t="str">
        <f t="shared" si="3"/>
        <v>SELESAI</v>
      </c>
      <c r="O439" s="23">
        <f t="shared" si="22"/>
        <v>45603.61224</v>
      </c>
      <c r="P439" s="24" t="b">
        <v>0</v>
      </c>
      <c r="Q439" s="20" t="str">
        <f t="shared" si="5"/>
        <v/>
      </c>
      <c r="R439" s="24" t="b">
        <v>1</v>
      </c>
      <c r="S439" s="20">
        <f t="shared" si="6"/>
        <v>45603.61241</v>
      </c>
      <c r="T439" s="7"/>
    </row>
    <row r="440" ht="22.5" hidden="1" customHeight="1">
      <c r="B440" s="7">
        <f t="shared" si="7"/>
        <v>434</v>
      </c>
      <c r="C440" s="18" t="s">
        <v>448</v>
      </c>
      <c r="D440" s="19" t="str">
        <f t="array" ref="D440">IFNA(_xlfn.XLOOKUP(C440,Table_Tarikan_Warkah[Nomor Sertipikat],Table_Tarikan_Warkah[Nomor Tiket]),"")</f>
        <v>K/27/041124/1</v>
      </c>
      <c r="E440" s="20">
        <f t="array" ref="E440">IFNA(_xlfn.XLOOKUP(C440,Table_Tarikan_Warkah[Nomor Sertipikat],Table_Tarikan_Warkah[Tanggal diserahkan kepada Validator]),"")</f>
        <v>45601.68433</v>
      </c>
      <c r="F440" s="20" t="str">
        <f t="array" ref="F440">IFNA(_xlfn.XLOOKUP(C440,Table_Tarikan_Warkah[Nomor Sertipikat],Table_Tarikan_Warkah[Nama Petugas Warkah]),"")</f>
        <v>Berry</v>
      </c>
      <c r="G440" s="21" t="str">
        <f t="array" ref="G440">IFNA(_xlfn.XLOOKUP(C440,Table_Tarikan_Warkah[Nomor Sertipikat],Table_Tarikan_Warkah[Jenis Permohonan]),"")</f>
        <v>BN Jual Beli</v>
      </c>
      <c r="H440" s="22" t="s">
        <v>31</v>
      </c>
      <c r="I440" s="22" t="s">
        <v>32</v>
      </c>
      <c r="J440" s="20">
        <f t="shared" si="29"/>
        <v>45602.56138</v>
      </c>
      <c r="K440" s="27" t="s">
        <v>33</v>
      </c>
      <c r="L440" s="27" t="s">
        <v>32</v>
      </c>
      <c r="M440" s="20">
        <f t="shared" si="30"/>
        <v>45603.61224</v>
      </c>
      <c r="N440" s="8" t="str">
        <f t="shared" si="3"/>
        <v>SELESAI</v>
      </c>
      <c r="O440" s="23">
        <f t="shared" si="22"/>
        <v>45603.61224</v>
      </c>
      <c r="P440" s="24" t="b">
        <v>0</v>
      </c>
      <c r="Q440" s="20" t="str">
        <f t="shared" si="5"/>
        <v/>
      </c>
      <c r="R440" s="24" t="b">
        <v>1</v>
      </c>
      <c r="S440" s="20">
        <f t="shared" si="6"/>
        <v>45603.6124</v>
      </c>
      <c r="T440" s="7"/>
    </row>
    <row r="441" ht="22.5" hidden="1" customHeight="1">
      <c r="B441" s="7">
        <f t="shared" si="7"/>
        <v>435</v>
      </c>
      <c r="C441" s="18" t="s">
        <v>449</v>
      </c>
      <c r="D441" s="19" t="str">
        <f t="array" ref="D441">IFNA(_xlfn.XLOOKUP(C441,Table_Tarikan_Warkah[Nomor Sertipikat],Table_Tarikan_Warkah[Nomor Tiket]),"")</f>
        <v>K/25/041124/1</v>
      </c>
      <c r="E441" s="20">
        <f t="array" ref="E441">IFNA(_xlfn.XLOOKUP(C441,Table_Tarikan_Warkah[Nomor Sertipikat],Table_Tarikan_Warkah[Tanggal diserahkan kepada Validator]),"")</f>
        <v>45601.68391</v>
      </c>
      <c r="F441" s="20" t="str">
        <f t="array" ref="F441">IFNA(_xlfn.XLOOKUP(C441,Table_Tarikan_Warkah[Nomor Sertipikat],Table_Tarikan_Warkah[Nama Petugas Warkah]),"")</f>
        <v>Berry</v>
      </c>
      <c r="G441" s="21" t="str">
        <f t="array" ref="G441">IFNA(_xlfn.XLOOKUP(C441,Table_Tarikan_Warkah[Nomor Sertipikat],Table_Tarikan_Warkah[Jenis Permohonan]),"")</f>
        <v>BN JUAL BELI</v>
      </c>
      <c r="H441" s="22" t="s">
        <v>31</v>
      </c>
      <c r="I441" s="22" t="s">
        <v>32</v>
      </c>
      <c r="J441" s="20">
        <f t="shared" si="29"/>
        <v>45602.56151</v>
      </c>
      <c r="K441" s="27" t="s">
        <v>33</v>
      </c>
      <c r="L441" s="27" t="s">
        <v>32</v>
      </c>
      <c r="M441" s="20">
        <f t="shared" si="30"/>
        <v>45603.61224</v>
      </c>
      <c r="N441" s="8" t="str">
        <f t="shared" si="3"/>
        <v>SELESAI</v>
      </c>
      <c r="O441" s="23">
        <f t="shared" si="22"/>
        <v>45603.61224</v>
      </c>
      <c r="P441" s="24" t="b">
        <v>0</v>
      </c>
      <c r="Q441" s="20" t="str">
        <f t="shared" si="5"/>
        <v/>
      </c>
      <c r="R441" s="24" t="b">
        <v>1</v>
      </c>
      <c r="S441" s="20">
        <f t="shared" si="6"/>
        <v>45603.61238</v>
      </c>
      <c r="T441" s="7"/>
    </row>
    <row r="442" ht="22.5" hidden="1" customHeight="1">
      <c r="B442" s="7">
        <f t="shared" si="7"/>
        <v>436</v>
      </c>
      <c r="C442" s="18" t="s">
        <v>450</v>
      </c>
      <c r="D442" s="19" t="str">
        <f t="array" ref="D442">IFNA(_xlfn.XLOOKUP(C442,Table_Tarikan_Warkah[Nomor Sertipikat],Table_Tarikan_Warkah[Nomor Tiket]),"")</f>
        <v>L/63/311024/1</v>
      </c>
      <c r="E442" s="20">
        <f t="array" ref="E442">IFNA(_xlfn.XLOOKUP(C442,Table_Tarikan_Warkah[Nomor Sertipikat],Table_Tarikan_Warkah[Tanggal diserahkan kepada Validator]),"")</f>
        <v>45601.68142</v>
      </c>
      <c r="F442" s="20" t="str">
        <f t="array" ref="F442">IFNA(_xlfn.XLOOKUP(C442,Table_Tarikan_Warkah[Nomor Sertipikat],Table_Tarikan_Warkah[Nama Petugas Warkah]),"")</f>
        <v>Berry</v>
      </c>
      <c r="G442" s="21" t="str">
        <f t="array" ref="G442">IFNA(_xlfn.XLOOKUP(C442,Table_Tarikan_Warkah[Nomor Sertipikat],Table_Tarikan_Warkah[Jenis Permohonan]),"")</f>
        <v>ROYA</v>
      </c>
      <c r="H442" s="22" t="s">
        <v>31</v>
      </c>
      <c r="I442" s="22" t="s">
        <v>32</v>
      </c>
      <c r="J442" s="20">
        <f t="shared" si="29"/>
        <v>45602.56162</v>
      </c>
      <c r="K442" s="27" t="s">
        <v>33</v>
      </c>
      <c r="L442" s="27" t="s">
        <v>32</v>
      </c>
      <c r="M442" s="20">
        <f t="shared" si="30"/>
        <v>45603.61224</v>
      </c>
      <c r="N442" s="8" t="str">
        <f t="shared" si="3"/>
        <v>SELESAI</v>
      </c>
      <c r="O442" s="23">
        <f t="shared" si="22"/>
        <v>45603.61224</v>
      </c>
      <c r="P442" s="24" t="b">
        <v>0</v>
      </c>
      <c r="Q442" s="20" t="str">
        <f t="shared" si="5"/>
        <v/>
      </c>
      <c r="R442" s="24" t="b">
        <v>1</v>
      </c>
      <c r="S442" s="20">
        <f t="shared" si="6"/>
        <v>45603.61237</v>
      </c>
      <c r="T442" s="7"/>
    </row>
    <row r="443" ht="22.5" hidden="1" customHeight="1">
      <c r="B443" s="7">
        <f t="shared" si="7"/>
        <v>437</v>
      </c>
      <c r="C443" s="18" t="s">
        <v>451</v>
      </c>
      <c r="D443" s="19" t="str">
        <f t="array" ref="D443">IFNA(_xlfn.XLOOKUP(C443,Table_Tarikan_Warkah[Nomor Sertipikat],Table_Tarikan_Warkah[Nomor Tiket]),"")</f>
        <v>L/15/041131/1</v>
      </c>
      <c r="E443" s="20">
        <f t="array" ref="E443">IFNA(_xlfn.XLOOKUP(C443,Table_Tarikan_Warkah[Nomor Sertipikat],Table_Tarikan_Warkah[Tanggal diserahkan kepada Validator]),"")</f>
        <v>45601.6822</v>
      </c>
      <c r="F443" s="20" t="str">
        <f t="array" ref="F443">IFNA(_xlfn.XLOOKUP(C443,Table_Tarikan_Warkah[Nomor Sertipikat],Table_Tarikan_Warkah[Nama Petugas Warkah]),"")</f>
        <v>Berry</v>
      </c>
      <c r="G443" s="21" t="str">
        <f t="array" ref="G443">IFNA(_xlfn.XLOOKUP(C443,Table_Tarikan_Warkah[Nomor Sertipikat],Table_Tarikan_Warkah[Jenis Permohonan]),"")</f>
        <v>ROYA</v>
      </c>
      <c r="H443" s="22" t="s">
        <v>31</v>
      </c>
      <c r="I443" s="22" t="s">
        <v>32</v>
      </c>
      <c r="J443" s="20">
        <f t="shared" si="29"/>
        <v>45602.56177</v>
      </c>
      <c r="K443" s="27" t="s">
        <v>33</v>
      </c>
      <c r="L443" s="27" t="s">
        <v>32</v>
      </c>
      <c r="M443" s="20">
        <f t="shared" si="30"/>
        <v>45603.61224</v>
      </c>
      <c r="N443" s="8" t="str">
        <f t="shared" si="3"/>
        <v>SELESAI</v>
      </c>
      <c r="O443" s="23">
        <f t="shared" si="22"/>
        <v>45603.61224</v>
      </c>
      <c r="P443" s="24" t="b">
        <v>0</v>
      </c>
      <c r="Q443" s="20" t="str">
        <f t="shared" si="5"/>
        <v/>
      </c>
      <c r="R443" s="24" t="b">
        <v>1</v>
      </c>
      <c r="S443" s="20">
        <f t="shared" si="6"/>
        <v>45603.61233</v>
      </c>
      <c r="T443" s="7"/>
    </row>
    <row r="444" ht="22.5" hidden="1" customHeight="1">
      <c r="B444" s="7">
        <f t="shared" si="7"/>
        <v>438</v>
      </c>
      <c r="C444" s="18" t="s">
        <v>452</v>
      </c>
      <c r="D444" s="19" t="str">
        <f t="array" ref="D444">IFNA(_xlfn.XLOOKUP(C444,Table_Tarikan_Warkah[Nomor Sertipikat],Table_Tarikan_Warkah[Nomor Tiket]),"")</f>
        <v>L/16/041132/1</v>
      </c>
      <c r="E444" s="20">
        <f t="array" ref="E444">IFNA(_xlfn.XLOOKUP(C444,Table_Tarikan_Warkah[Nomor Sertipikat],Table_Tarikan_Warkah[Tanggal diserahkan kepada Validator]),"")</f>
        <v>45601.68255</v>
      </c>
      <c r="F444" s="20" t="str">
        <f t="array" ref="F444">IFNA(_xlfn.XLOOKUP(C444,Table_Tarikan_Warkah[Nomor Sertipikat],Table_Tarikan_Warkah[Nama Petugas Warkah]),"")</f>
        <v>Berry</v>
      </c>
      <c r="G444" s="21" t="str">
        <f t="array" ref="G444">IFNA(_xlfn.XLOOKUP(C444,Table_Tarikan_Warkah[Nomor Sertipikat],Table_Tarikan_Warkah[Jenis Permohonan]),"")</f>
        <v>PERUBAHAN HAK</v>
      </c>
      <c r="H444" s="22" t="s">
        <v>31</v>
      </c>
      <c r="I444" s="22" t="s">
        <v>32</v>
      </c>
      <c r="J444" s="20">
        <f t="shared" si="29"/>
        <v>45602.5619</v>
      </c>
      <c r="K444" s="27" t="s">
        <v>33</v>
      </c>
      <c r="L444" s="27" t="s">
        <v>32</v>
      </c>
      <c r="M444" s="20">
        <f t="shared" si="30"/>
        <v>45603.61224</v>
      </c>
      <c r="N444" s="8" t="str">
        <f t="shared" si="3"/>
        <v>SELESAI</v>
      </c>
      <c r="O444" s="23">
        <f t="shared" si="22"/>
        <v>45603.61224</v>
      </c>
      <c r="P444" s="24" t="b">
        <v>0</v>
      </c>
      <c r="Q444" s="20" t="str">
        <f t="shared" si="5"/>
        <v/>
      </c>
      <c r="R444" s="24" t="b">
        <v>1</v>
      </c>
      <c r="S444" s="20">
        <f t="shared" si="6"/>
        <v>45603.61234</v>
      </c>
      <c r="T444" s="7"/>
    </row>
    <row r="445" ht="22.5" hidden="1" customHeight="1">
      <c r="B445" s="7">
        <f t="shared" si="7"/>
        <v>439</v>
      </c>
      <c r="C445" s="18" t="s">
        <v>453</v>
      </c>
      <c r="D445" s="19" t="str">
        <f t="array" ref="D445">IFNA(_xlfn.XLOOKUP(C445,Table_Tarikan_Warkah[Nomor Sertipikat],Table_Tarikan_Warkah[Nomor Tiket]),"")</f>
        <v>L/24/041124/1</v>
      </c>
      <c r="E445" s="20">
        <f t="array" ref="E445">IFNA(_xlfn.XLOOKUP(C445,Table_Tarikan_Warkah[Nomor Sertipikat],Table_Tarikan_Warkah[Tanggal diserahkan kepada Validator]),"")</f>
        <v>45601.68348</v>
      </c>
      <c r="F445" s="20" t="str">
        <f t="array" ref="F445">IFNA(_xlfn.XLOOKUP(C445,Table_Tarikan_Warkah[Nomor Sertipikat],Table_Tarikan_Warkah[Nama Petugas Warkah]),"")</f>
        <v>Berry</v>
      </c>
      <c r="G445" s="21" t="str">
        <f t="array" ref="G445">IFNA(_xlfn.XLOOKUP(C445,Table_Tarikan_Warkah[Nomor Sertipikat],Table_Tarikan_Warkah[Jenis Permohonan]),"")</f>
        <v>ROYA</v>
      </c>
      <c r="H445" s="22" t="s">
        <v>31</v>
      </c>
      <c r="I445" s="22" t="s">
        <v>32</v>
      </c>
      <c r="J445" s="20">
        <f t="shared" si="29"/>
        <v>45602.562</v>
      </c>
      <c r="K445" s="27" t="s">
        <v>33</v>
      </c>
      <c r="L445" s="27" t="s">
        <v>32</v>
      </c>
      <c r="M445" s="20">
        <f t="shared" si="30"/>
        <v>45603.61224</v>
      </c>
      <c r="N445" s="8" t="str">
        <f t="shared" si="3"/>
        <v>SELESAI</v>
      </c>
      <c r="O445" s="23">
        <f t="shared" si="22"/>
        <v>45603.61224</v>
      </c>
      <c r="P445" s="24" t="b">
        <v>0</v>
      </c>
      <c r="Q445" s="20" t="str">
        <f t="shared" si="5"/>
        <v/>
      </c>
      <c r="R445" s="24" t="b">
        <v>1</v>
      </c>
      <c r="S445" s="20">
        <f t="shared" si="6"/>
        <v>45603.61235</v>
      </c>
      <c r="T445" s="7"/>
    </row>
    <row r="446" ht="22.5" hidden="1" customHeight="1">
      <c r="B446" s="7">
        <f t="shared" si="7"/>
        <v>440</v>
      </c>
      <c r="C446" s="18" t="s">
        <v>454</v>
      </c>
      <c r="D446" s="19" t="str">
        <f t="array" ref="D446">IFNA(_xlfn.XLOOKUP(C446,Table_Tarikan_Warkah[Nomor Sertipikat],Table_Tarikan_Warkah[Nomor Tiket]),"")</f>
        <v>L/30/041124/1</v>
      </c>
      <c r="E446" s="20">
        <f t="array" ref="E446">IFNA(_xlfn.XLOOKUP(C446,Table_Tarikan_Warkah[Nomor Sertipikat],Table_Tarikan_Warkah[Tanggal diserahkan kepada Validator]),"")</f>
        <v>45601.68419</v>
      </c>
      <c r="F446" s="20" t="str">
        <f t="array" ref="F446">IFNA(_xlfn.XLOOKUP(C446,Table_Tarikan_Warkah[Nomor Sertipikat],Table_Tarikan_Warkah[Nama Petugas Warkah]),"")</f>
        <v>Berry</v>
      </c>
      <c r="G446" s="21" t="str">
        <f t="array" ref="G446">IFNA(_xlfn.XLOOKUP(C446,Table_Tarikan_Warkah[Nomor Sertipikat],Table_Tarikan_Warkah[Jenis Permohonan]),"")</f>
        <v>ROYA</v>
      </c>
      <c r="H446" s="22" t="s">
        <v>31</v>
      </c>
      <c r="I446" s="22" t="s">
        <v>32</v>
      </c>
      <c r="J446" s="20">
        <f t="shared" si="29"/>
        <v>45602.56212</v>
      </c>
      <c r="K446" s="27" t="s">
        <v>33</v>
      </c>
      <c r="L446" s="27" t="s">
        <v>32</v>
      </c>
      <c r="M446" s="20">
        <f t="shared" si="30"/>
        <v>45603.61224</v>
      </c>
      <c r="N446" s="8" t="str">
        <f t="shared" si="3"/>
        <v>SELESAI</v>
      </c>
      <c r="O446" s="23">
        <f t="shared" si="22"/>
        <v>45603.61224</v>
      </c>
      <c r="P446" s="24" t="b">
        <v>0</v>
      </c>
      <c r="Q446" s="20" t="str">
        <f t="shared" si="5"/>
        <v/>
      </c>
      <c r="R446" s="24" t="b">
        <v>1</v>
      </c>
      <c r="S446" s="20">
        <f t="shared" si="6"/>
        <v>45603.61224</v>
      </c>
      <c r="T446" s="7"/>
    </row>
    <row r="447" ht="22.5" hidden="1" customHeight="1">
      <c r="B447" s="7">
        <f t="shared" si="7"/>
        <v>441</v>
      </c>
      <c r="C447" s="18" t="s">
        <v>455</v>
      </c>
      <c r="D447" s="19" t="str">
        <f t="array" ref="D447">IFNA(_xlfn.XLOOKUP(C447,Table_Tarikan_Warkah[Nomor Sertipikat],Table_Tarikan_Warkah[Nomor Tiket]),"")</f>
        <v>K/28/281024/1</v>
      </c>
      <c r="E447" s="20">
        <f t="array" ref="E447">IFNA(_xlfn.XLOOKUP(C447,Table_Tarikan_Warkah[Nomor Sertipikat],Table_Tarikan_Warkah[Tanggal diserahkan kepada Validator]),"")</f>
        <v>45608.66063</v>
      </c>
      <c r="F447" s="20" t="str">
        <f t="array" ref="F447">IFNA(_xlfn.XLOOKUP(C447,Table_Tarikan_Warkah[Nomor Sertipikat],Table_Tarikan_Warkah[Nama Petugas Warkah]),"")</f>
        <v>Berry</v>
      </c>
      <c r="G447" s="21" t="str">
        <f t="array" ref="G447">IFNA(_xlfn.XLOOKUP(C447,Table_Tarikan_Warkah[Nomor Sertipikat],Table_Tarikan_Warkah[Jenis Permohonan]),"")</f>
        <v>BN JUAL BELI</v>
      </c>
      <c r="H447" s="22" t="s">
        <v>31</v>
      </c>
      <c r="I447" s="22" t="s">
        <v>32</v>
      </c>
      <c r="J447" s="20">
        <f t="shared" si="29"/>
        <v>45602.56229</v>
      </c>
      <c r="K447" s="27" t="s">
        <v>33</v>
      </c>
      <c r="L447" s="27" t="s">
        <v>32</v>
      </c>
      <c r="M447" s="20">
        <f t="shared" si="30"/>
        <v>45603.61224</v>
      </c>
      <c r="N447" s="8" t="str">
        <f t="shared" si="3"/>
        <v>SELESAI</v>
      </c>
      <c r="O447" s="23">
        <f t="shared" si="22"/>
        <v>45603.61224</v>
      </c>
      <c r="P447" s="24" t="b">
        <v>0</v>
      </c>
      <c r="Q447" s="20" t="str">
        <f t="shared" si="5"/>
        <v/>
      </c>
      <c r="R447" s="24" t="b">
        <v>1</v>
      </c>
      <c r="S447" s="20">
        <f t="shared" si="6"/>
        <v>45603.61224</v>
      </c>
      <c r="T447" s="7"/>
    </row>
    <row r="448" ht="22.5" hidden="1" customHeight="1">
      <c r="B448" s="7">
        <f t="shared" si="7"/>
        <v>442</v>
      </c>
      <c r="C448" s="18" t="s">
        <v>456</v>
      </c>
      <c r="D448" s="19" t="str">
        <f t="array" ref="D448">IFNA(_xlfn.XLOOKUP(C448,Table_Tarikan_Warkah[Nomor Sertipikat],Table_Tarikan_Warkah[Nomor Tiket]),"")</f>
        <v>K/8/041124/1</v>
      </c>
      <c r="E448" s="20">
        <f t="array" ref="E448">IFNA(_xlfn.XLOOKUP(C448,Table_Tarikan_Warkah[Nomor Sertipikat],Table_Tarikan_Warkah[Tanggal diserahkan kepada Validator]),"")</f>
        <v>45601.68181</v>
      </c>
      <c r="F448" s="20" t="str">
        <f t="array" ref="F448">IFNA(_xlfn.XLOOKUP(C448,Table_Tarikan_Warkah[Nomor Sertipikat],Table_Tarikan_Warkah[Nama Petugas Warkah]),"")</f>
        <v>Berry</v>
      </c>
      <c r="G448" s="21" t="str">
        <f t="array" ref="G448">IFNA(_xlfn.XLOOKUP(C448,Table_Tarikan_Warkah[Nomor Sertipikat],Table_Tarikan_Warkah[Jenis Permohonan]),"")</f>
        <v>BN WARIS</v>
      </c>
      <c r="H448" s="22" t="s">
        <v>31</v>
      </c>
      <c r="I448" s="22" t="s">
        <v>32</v>
      </c>
      <c r="J448" s="20">
        <f t="shared" si="29"/>
        <v>45602.56242</v>
      </c>
      <c r="K448" s="27" t="s">
        <v>33</v>
      </c>
      <c r="L448" s="27" t="s">
        <v>32</v>
      </c>
      <c r="M448" s="20">
        <f t="shared" si="30"/>
        <v>45603.61224</v>
      </c>
      <c r="N448" s="8" t="str">
        <f t="shared" si="3"/>
        <v>SELESAI</v>
      </c>
      <c r="O448" s="23">
        <f t="shared" si="22"/>
        <v>45603.61224</v>
      </c>
      <c r="P448" s="24" t="b">
        <v>0</v>
      </c>
      <c r="Q448" s="20" t="str">
        <f t="shared" si="5"/>
        <v/>
      </c>
      <c r="R448" s="24" t="b">
        <v>1</v>
      </c>
      <c r="S448" s="20">
        <f t="shared" si="6"/>
        <v>45603.61224</v>
      </c>
      <c r="T448" s="7"/>
    </row>
    <row r="449" ht="22.5" hidden="1" customHeight="1">
      <c r="B449" s="7">
        <f t="shared" si="7"/>
        <v>443</v>
      </c>
      <c r="C449" s="18" t="s">
        <v>457</v>
      </c>
      <c r="D449" s="19" t="str">
        <f t="array" ref="D449">IFNA(_xlfn.XLOOKUP(C449,Table_Tarikan_Warkah[Nomor Sertipikat],Table_Tarikan_Warkah[Nomor Tiket]),"")</f>
        <v>K/29/311024/1</v>
      </c>
      <c r="E449" s="20">
        <f t="array" ref="E449">IFNA(_xlfn.XLOOKUP(C449,Table_Tarikan_Warkah[Nomor Sertipikat],Table_Tarikan_Warkah[Tanggal diserahkan kepada Validator]),"")</f>
        <v>45604.61324</v>
      </c>
      <c r="F449" s="20" t="str">
        <f t="array" ref="F449">IFNA(_xlfn.XLOOKUP(C449,Table_Tarikan_Warkah[Nomor Sertipikat],Table_Tarikan_Warkah[Nama Petugas Warkah]),"")</f>
        <v>Sahelia</v>
      </c>
      <c r="G449" s="21" t="str">
        <f t="array" ref="G449">IFNA(_xlfn.XLOOKUP(C449,Table_Tarikan_Warkah[Nomor Sertipikat],Table_Tarikan_Warkah[Jenis Permohonan]),"")</f>
        <v>BN PHB</v>
      </c>
      <c r="H449" s="22" t="s">
        <v>31</v>
      </c>
      <c r="I449" s="22" t="s">
        <v>32</v>
      </c>
      <c r="J449" s="20">
        <f t="shared" si="29"/>
        <v>45602.56255</v>
      </c>
      <c r="K449" s="27" t="s">
        <v>33</v>
      </c>
      <c r="L449" s="27" t="s">
        <v>187</v>
      </c>
      <c r="M449" s="20">
        <f t="shared" si="30"/>
        <v>45603.61224</v>
      </c>
      <c r="N449" s="8" t="str">
        <f t="shared" si="3"/>
        <v>Selesai</v>
      </c>
      <c r="O449" s="23">
        <f t="shared" si="22"/>
        <v>45603.61224</v>
      </c>
      <c r="P449" s="24" t="b">
        <v>1</v>
      </c>
      <c r="Q449" s="20">
        <f t="shared" si="5"/>
        <v>45603.61224</v>
      </c>
      <c r="R449" s="24" t="b">
        <v>0</v>
      </c>
      <c r="S449" s="7" t="str">
        <f t="shared" si="6"/>
        <v/>
      </c>
      <c r="T449" s="7"/>
    </row>
    <row r="450" ht="22.5" hidden="1" customHeight="1">
      <c r="B450" s="7">
        <f t="shared" si="7"/>
        <v>444</v>
      </c>
      <c r="C450" s="18" t="s">
        <v>458</v>
      </c>
      <c r="D450" s="19" t="str">
        <f t="array" ref="D450">IFNA(_xlfn.XLOOKUP(C450,Table_Tarikan_Warkah[Nomor Sertipikat],Table_Tarikan_Warkah[Nomor Tiket]),"")</f>
        <v>K/1/231024/1</v>
      </c>
      <c r="E450" s="20" t="str">
        <f t="array" ref="E450">IFNA(_xlfn.XLOOKUP(C450,Table_Tarikan_Warkah[Nomor Sertipikat],Table_Tarikan_Warkah[Tanggal diserahkan kepada Validator]),"")</f>
        <v/>
      </c>
      <c r="F450" s="20" t="str">
        <f t="array" ref="F450">IFNA(_xlfn.XLOOKUP(C450,Table_Tarikan_Warkah[Nomor Sertipikat],Table_Tarikan_Warkah[Nama Petugas Warkah]),"")</f>
        <v/>
      </c>
      <c r="G450" s="21" t="str">
        <f t="array" ref="G450">IFNA(_xlfn.XLOOKUP(C450,Table_Tarikan_Warkah[Nomor Sertipikat],Table_Tarikan_Warkah[Jenis Permohonan]),"")</f>
        <v>BN Hibah</v>
      </c>
      <c r="H450" s="22" t="s">
        <v>31</v>
      </c>
      <c r="I450" s="22" t="s">
        <v>32</v>
      </c>
      <c r="J450" s="20">
        <f t="shared" si="29"/>
        <v>45602.56271</v>
      </c>
      <c r="K450" s="27" t="s">
        <v>33</v>
      </c>
      <c r="L450" s="27" t="s">
        <v>187</v>
      </c>
      <c r="M450" s="20">
        <f t="shared" si="30"/>
        <v>45603.61224</v>
      </c>
      <c r="N450" s="8" t="str">
        <f t="shared" si="3"/>
        <v>Selesai</v>
      </c>
      <c r="O450" s="23">
        <f t="shared" si="22"/>
        <v>45603.61224</v>
      </c>
      <c r="P450" s="24" t="b">
        <v>1</v>
      </c>
      <c r="Q450" s="20">
        <f t="shared" si="5"/>
        <v>45603.61224</v>
      </c>
      <c r="R450" s="24" t="b">
        <v>0</v>
      </c>
      <c r="S450" s="7" t="str">
        <f t="shared" si="6"/>
        <v/>
      </c>
      <c r="T450" s="7"/>
    </row>
    <row r="451" ht="22.5" hidden="1" customHeight="1">
      <c r="B451" s="7">
        <f t="shared" si="7"/>
        <v>445</v>
      </c>
      <c r="C451" s="18" t="s">
        <v>227</v>
      </c>
      <c r="D451" s="19" t="str">
        <f t="array" ref="D451">IFNA(_xlfn.XLOOKUP(C451,Table_Tarikan_Warkah[Nomor Sertipikat],Table_Tarikan_Warkah[Nomor Tiket]),"")</f>
        <v>K/55/221024/1</v>
      </c>
      <c r="E451" s="20">
        <f t="array" ref="E451">IFNA(_xlfn.XLOOKUP(C451,Table_Tarikan_Warkah[Nomor Sertipikat],Table_Tarikan_Warkah[Tanggal diserahkan kepada Validator]),"")</f>
        <v>45588.46426</v>
      </c>
      <c r="F451" s="20" t="str">
        <f t="array" ref="F451">IFNA(_xlfn.XLOOKUP(C451,Table_Tarikan_Warkah[Nomor Sertipikat],Table_Tarikan_Warkah[Nama Petugas Warkah]),"")</f>
        <v>Rahma</v>
      </c>
      <c r="G451" s="21" t="str">
        <f t="array" ref="G451">IFNA(_xlfn.XLOOKUP(C451,Table_Tarikan_Warkah[Nomor Sertipikat],Table_Tarikan_Warkah[Jenis Permohonan]),"")</f>
        <v>PERALIHAN JUAL BELI</v>
      </c>
      <c r="H451" s="22" t="s">
        <v>31</v>
      </c>
      <c r="I451" s="22" t="s">
        <v>32</v>
      </c>
      <c r="J451" s="20">
        <f t="shared" si="29"/>
        <v>45602.5629</v>
      </c>
      <c r="K451" s="27" t="s">
        <v>33</v>
      </c>
      <c r="L451" s="27" t="s">
        <v>32</v>
      </c>
      <c r="M451" s="20">
        <f t="shared" si="30"/>
        <v>45603.61357</v>
      </c>
      <c r="N451" s="8" t="str">
        <f t="shared" si="3"/>
        <v>SELESAI</v>
      </c>
      <c r="O451" s="23">
        <f t="shared" si="22"/>
        <v>45603.61357</v>
      </c>
      <c r="P451" s="24" t="b">
        <v>0</v>
      </c>
      <c r="Q451" s="20" t="str">
        <f t="shared" si="5"/>
        <v/>
      </c>
      <c r="R451" s="24" t="b">
        <v>1</v>
      </c>
      <c r="S451" s="20">
        <f t="shared" si="6"/>
        <v>45603.6141</v>
      </c>
      <c r="T451" s="7"/>
    </row>
    <row r="452" ht="22.5" hidden="1" customHeight="1">
      <c r="B452" s="7">
        <f t="shared" si="7"/>
        <v>446</v>
      </c>
      <c r="C452" s="18" t="s">
        <v>459</v>
      </c>
      <c r="D452" s="19" t="str">
        <f t="array" ref="D452">IFNA(_xlfn.XLOOKUP(C452,Table_Tarikan_Warkah[Nomor Sertipikat],Table_Tarikan_Warkah[Nomor Tiket]),"")</f>
        <v>K/45/211024/1</v>
      </c>
      <c r="E452" s="20">
        <f t="array" ref="E452">IFNA(_xlfn.XLOOKUP(C452,Table_Tarikan_Warkah[Nomor Sertipikat],Table_Tarikan_Warkah[Tanggal diserahkan kepada Validator]),"")</f>
        <v>45615.57033</v>
      </c>
      <c r="F452" s="20" t="str">
        <f t="array" ref="F452">IFNA(_xlfn.XLOOKUP(C452,Table_Tarikan_Warkah[Nomor Sertipikat],Table_Tarikan_Warkah[Nama Petugas Warkah]),"")</f>
        <v/>
      </c>
      <c r="G452" s="21" t="str">
        <f t="array" ref="G452">IFNA(_xlfn.XLOOKUP(C452,Table_Tarikan_Warkah[Nomor Sertipikat],Table_Tarikan_Warkah[Jenis Permohonan]),"")</f>
        <v>BN Jual Beli</v>
      </c>
      <c r="H452" s="22" t="s">
        <v>31</v>
      </c>
      <c r="I452" s="22" t="s">
        <v>32</v>
      </c>
      <c r="J452" s="20">
        <f t="shared" si="29"/>
        <v>45602.56319</v>
      </c>
      <c r="K452" s="27" t="s">
        <v>33</v>
      </c>
      <c r="L452" s="27" t="s">
        <v>187</v>
      </c>
      <c r="M452" s="20">
        <f t="shared" si="30"/>
        <v>45603.6139</v>
      </c>
      <c r="N452" s="8" t="str">
        <f t="shared" si="3"/>
        <v>Selesai</v>
      </c>
      <c r="O452" s="23">
        <f t="shared" si="22"/>
        <v>45603.6139</v>
      </c>
      <c r="P452" s="24" t="b">
        <v>1</v>
      </c>
      <c r="Q452" s="20">
        <f t="shared" si="5"/>
        <v>45603.61415</v>
      </c>
      <c r="R452" s="24" t="b">
        <v>0</v>
      </c>
      <c r="S452" s="7" t="str">
        <f t="shared" si="6"/>
        <v/>
      </c>
      <c r="T452" s="7"/>
    </row>
    <row r="453" ht="22.5" hidden="1" customHeight="1">
      <c r="B453" s="7">
        <f t="shared" si="7"/>
        <v>447</v>
      </c>
      <c r="C453" s="18" t="s">
        <v>278</v>
      </c>
      <c r="D453" s="19" t="str">
        <f t="array" ref="D453">IFNA(_xlfn.XLOOKUP(C453,Table_Tarikan_Warkah[Nomor Sertipikat],Table_Tarikan_Warkah[Nomor Tiket]),"")</f>
        <v>L/34/251024/1</v>
      </c>
      <c r="E453" s="20">
        <f t="array" ref="E453">IFNA(_xlfn.XLOOKUP(C453,Table_Tarikan_Warkah[Nomor Sertipikat],Table_Tarikan_Warkah[Tanggal diserahkan kepada Validator]),"")</f>
        <v>45593.42565</v>
      </c>
      <c r="F453" s="20" t="str">
        <f t="array" ref="F453">IFNA(_xlfn.XLOOKUP(C453,Table_Tarikan_Warkah[Nomor Sertipikat],Table_Tarikan_Warkah[Nama Petugas Warkah]),"")</f>
        <v>David</v>
      </c>
      <c r="G453" s="21" t="str">
        <f t="array" ref="G453">IFNA(_xlfn.XLOOKUP(C453,Table_Tarikan_Warkah[Nomor Sertipikat],Table_Tarikan_Warkah[Jenis Permohonan]),"")</f>
        <v>ROYA</v>
      </c>
      <c r="H453" s="22" t="s">
        <v>31</v>
      </c>
      <c r="I453" s="22" t="s">
        <v>32</v>
      </c>
      <c r="J453" s="20">
        <f t="shared" si="29"/>
        <v>45602.56334</v>
      </c>
      <c r="K453" s="27" t="s">
        <v>33</v>
      </c>
      <c r="L453" s="27" t="s">
        <v>187</v>
      </c>
      <c r="M453" s="20">
        <f t="shared" si="30"/>
        <v>45603.61392</v>
      </c>
      <c r="N453" s="8" t="str">
        <f t="shared" si="3"/>
        <v>Selesai</v>
      </c>
      <c r="O453" s="23">
        <f t="shared" si="22"/>
        <v>45603.61392</v>
      </c>
      <c r="P453" s="24" t="b">
        <v>1</v>
      </c>
      <c r="Q453" s="20">
        <f t="shared" si="5"/>
        <v>45603.61416</v>
      </c>
      <c r="R453" s="24" t="b">
        <v>0</v>
      </c>
      <c r="S453" s="7" t="str">
        <f t="shared" si="6"/>
        <v/>
      </c>
      <c r="T453" s="7"/>
    </row>
    <row r="454" ht="22.5" hidden="1" customHeight="1">
      <c r="B454" s="7">
        <f t="shared" si="7"/>
        <v>448</v>
      </c>
      <c r="C454" s="18" t="s">
        <v>431</v>
      </c>
      <c r="D454" s="19" t="str">
        <f t="array" ref="D454">IFNA(_xlfn.XLOOKUP(C454,Table_Tarikan_Warkah[Nomor Sertipikat],Table_Tarikan_Warkah[Nomor Tiket]),"")</f>
        <v>K/31/311024/3</v>
      </c>
      <c r="E454" s="20">
        <f t="array" ref="E454">IFNA(_xlfn.XLOOKUP(C454,Table_Tarikan_Warkah[Nomor Sertipikat],Table_Tarikan_Warkah[Tanggal diserahkan kepada Validator]),"")</f>
        <v>45600.38565</v>
      </c>
      <c r="F454" s="20" t="str">
        <f t="array" ref="F454">IFNA(_xlfn.XLOOKUP(C454,Table_Tarikan_Warkah[Nomor Sertipikat],Table_Tarikan_Warkah[Nama Petugas Warkah]),"")</f>
        <v>Berry</v>
      </c>
      <c r="G454" s="21" t="str">
        <f t="array" ref="G454">IFNA(_xlfn.XLOOKUP(C454,Table_Tarikan_Warkah[Nomor Sertipikat],Table_Tarikan_Warkah[Jenis Permohonan]),"")</f>
        <v>bn jual beli</v>
      </c>
      <c r="H454" s="22" t="s">
        <v>31</v>
      </c>
      <c r="I454" s="22" t="s">
        <v>32</v>
      </c>
      <c r="J454" s="20">
        <f t="shared" si="29"/>
        <v>45602.56348</v>
      </c>
      <c r="K454" s="27" t="s">
        <v>33</v>
      </c>
      <c r="L454" s="27" t="s">
        <v>187</v>
      </c>
      <c r="M454" s="20">
        <f t="shared" si="30"/>
        <v>45603.61395</v>
      </c>
      <c r="N454" s="8" t="str">
        <f t="shared" si="3"/>
        <v>Selesai</v>
      </c>
      <c r="O454" s="23">
        <f t="shared" si="22"/>
        <v>45603.61395</v>
      </c>
      <c r="P454" s="24" t="b">
        <v>1</v>
      </c>
      <c r="Q454" s="20">
        <f t="shared" si="5"/>
        <v>45603.61417</v>
      </c>
      <c r="R454" s="24" t="b">
        <v>0</v>
      </c>
      <c r="S454" s="7" t="str">
        <f t="shared" si="6"/>
        <v/>
      </c>
      <c r="T454" s="7"/>
    </row>
    <row r="455" ht="22.5" hidden="1" customHeight="1">
      <c r="B455" s="7">
        <f t="shared" si="7"/>
        <v>449</v>
      </c>
      <c r="C455" s="18" t="s">
        <v>455</v>
      </c>
      <c r="D455" s="19" t="str">
        <f t="array" ref="D455">IFNA(_xlfn.XLOOKUP(C455,Table_Tarikan_Warkah[Nomor Sertipikat],Table_Tarikan_Warkah[Nomor Tiket]),"")</f>
        <v>K/28/281024/1</v>
      </c>
      <c r="E455" s="20">
        <f t="array" ref="E455">IFNA(_xlfn.XLOOKUP(C455,Table_Tarikan_Warkah[Nomor Sertipikat],Table_Tarikan_Warkah[Tanggal diserahkan kepada Validator]),"")</f>
        <v>45608.66063</v>
      </c>
      <c r="F455" s="20" t="str">
        <f t="array" ref="F455">IFNA(_xlfn.XLOOKUP(C455,Table_Tarikan_Warkah[Nomor Sertipikat],Table_Tarikan_Warkah[Nama Petugas Warkah]),"")</f>
        <v>Berry</v>
      </c>
      <c r="G455" s="21" t="str">
        <f t="array" ref="G455">IFNA(_xlfn.XLOOKUP(C455,Table_Tarikan_Warkah[Nomor Sertipikat],Table_Tarikan_Warkah[Jenis Permohonan]),"")</f>
        <v>BN JUAL BELI</v>
      </c>
      <c r="H455" s="22" t="s">
        <v>31</v>
      </c>
      <c r="I455" s="22" t="s">
        <v>32</v>
      </c>
      <c r="J455" s="20">
        <f t="shared" si="29"/>
        <v>45602.56366</v>
      </c>
      <c r="K455" s="27" t="s">
        <v>33</v>
      </c>
      <c r="L455" s="27" t="s">
        <v>187</v>
      </c>
      <c r="M455" s="20">
        <f t="shared" si="30"/>
        <v>45603.61397</v>
      </c>
      <c r="N455" s="8" t="str">
        <f t="shared" si="3"/>
        <v>Selesai</v>
      </c>
      <c r="O455" s="23">
        <f t="shared" si="22"/>
        <v>45603.61397</v>
      </c>
      <c r="P455" s="24" t="b">
        <v>1</v>
      </c>
      <c r="Q455" s="20">
        <f t="shared" si="5"/>
        <v>45603.61419</v>
      </c>
      <c r="R455" s="24" t="b">
        <v>0</v>
      </c>
      <c r="S455" s="7" t="str">
        <f t="shared" si="6"/>
        <v/>
      </c>
      <c r="T455" s="7"/>
    </row>
    <row r="456" ht="22.5" hidden="1" customHeight="1">
      <c r="B456" s="7">
        <f t="shared" si="7"/>
        <v>450</v>
      </c>
      <c r="C456" s="18" t="s">
        <v>426</v>
      </c>
      <c r="D456" s="19" t="str">
        <f t="array" ref="D456">IFNA(_xlfn.XLOOKUP(C456,Table_Tarikan_Warkah[Nomor Sertipikat],Table_Tarikan_Warkah[Nomor Tiket]),"")</f>
        <v>K/35/011124/1</v>
      </c>
      <c r="E456" s="20">
        <f t="array" ref="E456">IFNA(_xlfn.XLOOKUP(C456,Table_Tarikan_Warkah[Nomor Sertipikat],Table_Tarikan_Warkah[Tanggal diserahkan kepada Validator]),"")</f>
        <v>45600.46874</v>
      </c>
      <c r="F456" s="20" t="str">
        <f t="array" ref="F456">IFNA(_xlfn.XLOOKUP(C456,Table_Tarikan_Warkah[Nomor Sertipikat],Table_Tarikan_Warkah[Nama Petugas Warkah]),"")</f>
        <v>David</v>
      </c>
      <c r="G456" s="21" t="str">
        <f t="array" ref="G456">IFNA(_xlfn.XLOOKUP(C456,Table_Tarikan_Warkah[Nomor Sertipikat],Table_Tarikan_Warkah[Jenis Permohonan]),"")</f>
        <v>BN Jual Beli</v>
      </c>
      <c r="H456" s="22" t="s">
        <v>31</v>
      </c>
      <c r="I456" s="22" t="s">
        <v>32</v>
      </c>
      <c r="J456" s="20">
        <f t="shared" si="29"/>
        <v>45602.56383</v>
      </c>
      <c r="K456" s="27" t="s">
        <v>33</v>
      </c>
      <c r="L456" s="27" t="s">
        <v>187</v>
      </c>
      <c r="M456" s="20">
        <f t="shared" si="30"/>
        <v>45603.61399</v>
      </c>
      <c r="N456" s="8" t="str">
        <f t="shared" si="3"/>
        <v>Selesai</v>
      </c>
      <c r="O456" s="23">
        <f t="shared" si="22"/>
        <v>45603.61399</v>
      </c>
      <c r="P456" s="24" t="b">
        <v>1</v>
      </c>
      <c r="Q456" s="20">
        <f t="shared" si="5"/>
        <v>45603.61421</v>
      </c>
      <c r="R456" s="24" t="b">
        <v>0</v>
      </c>
      <c r="S456" s="7" t="str">
        <f t="shared" si="6"/>
        <v/>
      </c>
      <c r="T456" s="7"/>
    </row>
    <row r="457" ht="22.5" hidden="1" customHeight="1">
      <c r="B457" s="7">
        <f t="shared" si="7"/>
        <v>451</v>
      </c>
      <c r="C457" s="18" t="s">
        <v>456</v>
      </c>
      <c r="D457" s="19" t="str">
        <f t="array" ref="D457">IFNA(_xlfn.XLOOKUP(C457,Table_Tarikan_Warkah[Nomor Sertipikat],Table_Tarikan_Warkah[Nomor Tiket]),"")</f>
        <v>K/8/041124/1</v>
      </c>
      <c r="E457" s="20">
        <f t="array" ref="E457">IFNA(_xlfn.XLOOKUP(C457,Table_Tarikan_Warkah[Nomor Sertipikat],Table_Tarikan_Warkah[Tanggal diserahkan kepada Validator]),"")</f>
        <v>45601.68181</v>
      </c>
      <c r="F457" s="20" t="str">
        <f t="array" ref="F457">IFNA(_xlfn.XLOOKUP(C457,Table_Tarikan_Warkah[Nomor Sertipikat],Table_Tarikan_Warkah[Nama Petugas Warkah]),"")</f>
        <v>Berry</v>
      </c>
      <c r="G457" s="21" t="str">
        <f t="array" ref="G457">IFNA(_xlfn.XLOOKUP(C457,Table_Tarikan_Warkah[Nomor Sertipikat],Table_Tarikan_Warkah[Jenis Permohonan]),"")</f>
        <v>BN WARIS</v>
      </c>
      <c r="H457" s="22" t="s">
        <v>31</v>
      </c>
      <c r="I457" s="22" t="s">
        <v>32</v>
      </c>
      <c r="J457" s="20">
        <f t="shared" si="29"/>
        <v>45602.56398</v>
      </c>
      <c r="K457" s="27" t="s">
        <v>33</v>
      </c>
      <c r="L457" s="27" t="s">
        <v>187</v>
      </c>
      <c r="M457" s="20">
        <f t="shared" si="30"/>
        <v>45603.61401</v>
      </c>
      <c r="N457" s="8" t="str">
        <f t="shared" si="3"/>
        <v>Selesai</v>
      </c>
      <c r="O457" s="23">
        <f t="shared" si="22"/>
        <v>45603.61401</v>
      </c>
      <c r="P457" s="24" t="b">
        <v>1</v>
      </c>
      <c r="Q457" s="20">
        <f t="shared" si="5"/>
        <v>45603.61422</v>
      </c>
      <c r="R457" s="24" t="b">
        <v>0</v>
      </c>
      <c r="S457" s="7" t="str">
        <f t="shared" si="6"/>
        <v/>
      </c>
      <c r="T457" s="7"/>
    </row>
    <row r="458" ht="22.5" hidden="1" customHeight="1">
      <c r="B458" s="7">
        <f t="shared" si="7"/>
        <v>452</v>
      </c>
      <c r="C458" s="18" t="s">
        <v>460</v>
      </c>
      <c r="D458" s="19" t="str">
        <f t="array" ref="D458">IFNA(_xlfn.XLOOKUP(C458,Table_Tarikan_Warkah[Nomor Sertipikat],Table_Tarikan_Warkah[Nomor Tiket]),"")</f>
        <v>K/5/281024/1</v>
      </c>
      <c r="E458" s="20">
        <f t="array" ref="E458">IFNA(_xlfn.XLOOKUP(C458,Table_Tarikan_Warkah[Nomor Sertipikat],Table_Tarikan_Warkah[Tanggal diserahkan kepada Validator]),"")</f>
        <v>45608.58371</v>
      </c>
      <c r="F458" s="20" t="str">
        <f t="array" ref="F458">IFNA(_xlfn.XLOOKUP(C458,Table_Tarikan_Warkah[Nomor Sertipikat],Table_Tarikan_Warkah[Nama Petugas Warkah]),"")</f>
        <v>Sahelia</v>
      </c>
      <c r="G458" s="21" t="str">
        <f t="array" ref="G458">IFNA(_xlfn.XLOOKUP(C458,Table_Tarikan_Warkah[Nomor Sertipikat],Table_Tarikan_Warkah[Jenis Permohonan]),"")</f>
        <v>Ganti Nama</v>
      </c>
      <c r="H458" s="22" t="s">
        <v>31</v>
      </c>
      <c r="I458" s="22" t="s">
        <v>32</v>
      </c>
      <c r="J458" s="20">
        <f t="shared" si="29"/>
        <v>45602.5641</v>
      </c>
      <c r="K458" s="27" t="s">
        <v>33</v>
      </c>
      <c r="L458" s="27" t="s">
        <v>187</v>
      </c>
      <c r="M458" s="20">
        <f t="shared" si="30"/>
        <v>45603.61404</v>
      </c>
      <c r="N458" s="8" t="str">
        <f t="shared" si="3"/>
        <v>Selesai</v>
      </c>
      <c r="O458" s="23">
        <f t="shared" si="22"/>
        <v>45603.61404</v>
      </c>
      <c r="P458" s="24" t="b">
        <v>1</v>
      </c>
      <c r="Q458" s="20">
        <f t="shared" si="5"/>
        <v>45603.61424</v>
      </c>
      <c r="R458" s="24" t="b">
        <v>0</v>
      </c>
      <c r="S458" s="7" t="str">
        <f t="shared" si="6"/>
        <v/>
      </c>
      <c r="T458" s="7"/>
    </row>
    <row r="459" ht="22.5" hidden="1" customHeight="1">
      <c r="B459" s="7">
        <f t="shared" si="7"/>
        <v>453</v>
      </c>
      <c r="C459" s="18" t="s">
        <v>461</v>
      </c>
      <c r="D459" s="19" t="str">
        <f t="array" ref="D459">IFNA(_xlfn.XLOOKUP(C459,Table_Tarikan_Warkah[Nomor Sertipikat],Table_Tarikan_Warkah[Nomor Tiket]),"")</f>
        <v>L/42/041124/1</v>
      </c>
      <c r="E459" s="20">
        <f t="array" ref="E459">IFNA(_xlfn.XLOOKUP(C459,Table_Tarikan_Warkah[Nomor Sertipikat],Table_Tarikan_Warkah[Tanggal diserahkan kepada Validator]),"")</f>
        <v>45601.68727</v>
      </c>
      <c r="F459" s="20" t="str">
        <f t="array" ref="F459">IFNA(_xlfn.XLOOKUP(C459,Table_Tarikan_Warkah[Nomor Sertipikat],Table_Tarikan_Warkah[Nama Petugas Warkah]),"")</f>
        <v>David</v>
      </c>
      <c r="G459" s="21" t="str">
        <f t="array" ref="G459">IFNA(_xlfn.XLOOKUP(C459,Table_Tarikan_Warkah[Nomor Sertipikat],Table_Tarikan_Warkah[Jenis Permohonan]),"")</f>
        <v>ROYA</v>
      </c>
      <c r="H459" s="22" t="s">
        <v>37</v>
      </c>
      <c r="I459" s="22" t="s">
        <v>32</v>
      </c>
      <c r="J459" s="20">
        <f t="shared" si="29"/>
        <v>45602.61337</v>
      </c>
      <c r="K459" s="27" t="s">
        <v>33</v>
      </c>
      <c r="L459" s="27" t="s">
        <v>32</v>
      </c>
      <c r="M459" s="20">
        <f t="shared" si="30"/>
        <v>45603.61224</v>
      </c>
      <c r="N459" s="8" t="str">
        <f t="shared" si="3"/>
        <v>SELESAI</v>
      </c>
      <c r="O459" s="23">
        <f t="shared" si="22"/>
        <v>45603.61224</v>
      </c>
      <c r="P459" s="24" t="b">
        <v>0</v>
      </c>
      <c r="Q459" s="20" t="str">
        <f t="shared" si="5"/>
        <v/>
      </c>
      <c r="R459" s="24" t="b">
        <v>1</v>
      </c>
      <c r="S459" s="20">
        <f t="shared" si="6"/>
        <v>45603.61433</v>
      </c>
      <c r="T459" s="7"/>
    </row>
    <row r="460" ht="22.5" hidden="1" customHeight="1">
      <c r="B460" s="7">
        <f t="shared" si="7"/>
        <v>454</v>
      </c>
      <c r="C460" s="18" t="s">
        <v>462</v>
      </c>
      <c r="D460" s="19" t="str">
        <f t="array" ref="D460">IFNA(_xlfn.XLOOKUP(C460,Table_Tarikan_Warkah[Nomor Sertipikat],Table_Tarikan_Warkah[Nomor Tiket]),"")</f>
        <v>K/39/041124/1</v>
      </c>
      <c r="E460" s="20">
        <f t="array" ref="E460">IFNA(_xlfn.XLOOKUP(C460,Table_Tarikan_Warkah[Nomor Sertipikat],Table_Tarikan_Warkah[Tanggal diserahkan kepada Validator]),"")</f>
        <v>45601.68702</v>
      </c>
      <c r="F460" s="20" t="str">
        <f t="array" ref="F460">IFNA(_xlfn.XLOOKUP(C460,Table_Tarikan_Warkah[Nomor Sertipikat],Table_Tarikan_Warkah[Nama Petugas Warkah]),"")</f>
        <v>David</v>
      </c>
      <c r="G460" s="21" t="str">
        <f t="array" ref="G460">IFNA(_xlfn.XLOOKUP(C460,Table_Tarikan_Warkah[Nomor Sertipikat],Table_Tarikan_Warkah[Jenis Permohonan]),"")</f>
        <v>BN JUAL BELI</v>
      </c>
      <c r="H460" s="22" t="s">
        <v>37</v>
      </c>
      <c r="I460" s="22" t="s">
        <v>32</v>
      </c>
      <c r="J460" s="20">
        <f t="shared" si="29"/>
        <v>45602.61347</v>
      </c>
      <c r="K460" s="27" t="s">
        <v>33</v>
      </c>
      <c r="L460" s="27" t="s">
        <v>32</v>
      </c>
      <c r="M460" s="20">
        <f t="shared" si="30"/>
        <v>45603.61224</v>
      </c>
      <c r="N460" s="8" t="str">
        <f t="shared" si="3"/>
        <v>SELESAI</v>
      </c>
      <c r="O460" s="23">
        <f t="shared" si="22"/>
        <v>45603.61224</v>
      </c>
      <c r="P460" s="24" t="b">
        <v>0</v>
      </c>
      <c r="Q460" s="20" t="str">
        <f t="shared" si="5"/>
        <v/>
      </c>
      <c r="R460" s="24" t="b">
        <v>1</v>
      </c>
      <c r="S460" s="20">
        <f t="shared" si="6"/>
        <v>45603.61435</v>
      </c>
      <c r="T460" s="7"/>
    </row>
    <row r="461" ht="22.5" hidden="1" customHeight="1">
      <c r="B461" s="7">
        <f t="shared" si="7"/>
        <v>455</v>
      </c>
      <c r="C461" s="18" t="s">
        <v>463</v>
      </c>
      <c r="D461" s="19" t="str">
        <f t="array" ref="D461">IFNA(_xlfn.XLOOKUP(C461,Table_Tarikan_Warkah[Nomor Sertipikat],Table_Tarikan_Warkah[Nomor Tiket]),"")</f>
        <v/>
      </c>
      <c r="E461" s="20" t="str">
        <f t="array" ref="E461">IFNA(_xlfn.XLOOKUP(C461,Table_Tarikan_Warkah[Nomor Sertipikat],Table_Tarikan_Warkah[Tanggal diserahkan kepada Validator]),"")</f>
        <v/>
      </c>
      <c r="F461" s="20" t="str">
        <f t="array" ref="F461">IFNA(_xlfn.XLOOKUP(C461,Table_Tarikan_Warkah[Nomor Sertipikat],Table_Tarikan_Warkah[Nama Petugas Warkah]),"")</f>
        <v/>
      </c>
      <c r="G461" s="21" t="str">
        <f t="array" ref="G461">IFNA(_xlfn.XLOOKUP(C461,Table_Tarikan_Warkah[Nomor Sertipikat],Table_Tarikan_Warkah[Jenis Permohonan]),"")</f>
        <v/>
      </c>
      <c r="H461" s="22" t="s">
        <v>37</v>
      </c>
      <c r="I461" s="22" t="s">
        <v>32</v>
      </c>
      <c r="J461" s="20">
        <f t="shared" si="29"/>
        <v>45602.6136</v>
      </c>
      <c r="K461" s="27" t="s">
        <v>33</v>
      </c>
      <c r="L461" s="27" t="s">
        <v>32</v>
      </c>
      <c r="M461" s="20">
        <f t="shared" si="30"/>
        <v>45603.61224</v>
      </c>
      <c r="N461" s="8" t="str">
        <f t="shared" si="3"/>
        <v/>
      </c>
      <c r="O461" s="21" t="str">
        <f t="shared" si="22"/>
        <v/>
      </c>
      <c r="P461" s="24" t="b">
        <v>0</v>
      </c>
      <c r="Q461" s="20" t="str">
        <f t="shared" si="5"/>
        <v/>
      </c>
      <c r="R461" s="24" t="b">
        <v>1</v>
      </c>
      <c r="S461" s="20">
        <f t="shared" si="6"/>
        <v>45603.61435</v>
      </c>
      <c r="T461" s="7"/>
    </row>
    <row r="462" ht="22.5" hidden="1" customHeight="1">
      <c r="B462" s="7">
        <f t="shared" si="7"/>
        <v>456</v>
      </c>
      <c r="C462" s="18" t="s">
        <v>464</v>
      </c>
      <c r="D462" s="19" t="str">
        <f t="array" ref="D462">IFNA(_xlfn.XLOOKUP(C462,Table_Tarikan_Warkah[Nomor Sertipikat],Table_Tarikan_Warkah[Nomor Tiket]),"")</f>
        <v>K/50/041124/1</v>
      </c>
      <c r="E462" s="20">
        <f t="array" ref="E462">IFNA(_xlfn.XLOOKUP(C462,Table_Tarikan_Warkah[Nomor Sertipikat],Table_Tarikan_Warkah[Tanggal diserahkan kepada Validator]),"")</f>
        <v>45601.68878</v>
      </c>
      <c r="F462" s="20" t="str">
        <f t="array" ref="F462">IFNA(_xlfn.XLOOKUP(C462,Table_Tarikan_Warkah[Nomor Sertipikat],Table_Tarikan_Warkah[Nama Petugas Warkah]),"")</f>
        <v>David</v>
      </c>
      <c r="G462" s="21" t="str">
        <f t="array" ref="G462">IFNA(_xlfn.XLOOKUP(C462,Table_Tarikan_Warkah[Nomor Sertipikat],Table_Tarikan_Warkah[Jenis Permohonan]),"")</f>
        <v>BN JUAL BELI</v>
      </c>
      <c r="H462" s="22" t="s">
        <v>37</v>
      </c>
      <c r="I462" s="22" t="s">
        <v>32</v>
      </c>
      <c r="J462" s="20">
        <f t="shared" si="29"/>
        <v>45602.6137</v>
      </c>
      <c r="K462" s="27" t="s">
        <v>33</v>
      </c>
      <c r="L462" s="27" t="s">
        <v>32</v>
      </c>
      <c r="M462" s="20">
        <f t="shared" si="30"/>
        <v>45603.61224</v>
      </c>
      <c r="N462" s="8" t="str">
        <f t="shared" si="3"/>
        <v>SELESAI</v>
      </c>
      <c r="O462" s="23">
        <f t="shared" si="22"/>
        <v>45603.61224</v>
      </c>
      <c r="P462" s="24" t="b">
        <v>0</v>
      </c>
      <c r="Q462" s="20" t="str">
        <f t="shared" si="5"/>
        <v/>
      </c>
      <c r="R462" s="24" t="b">
        <v>1</v>
      </c>
      <c r="S462" s="20">
        <f t="shared" si="6"/>
        <v>45603.61436</v>
      </c>
      <c r="T462" s="7"/>
    </row>
    <row r="463" ht="22.5" hidden="1" customHeight="1">
      <c r="B463" s="7">
        <f t="shared" si="7"/>
        <v>457</v>
      </c>
      <c r="C463" s="18" t="s">
        <v>465</v>
      </c>
      <c r="D463" s="19" t="str">
        <f t="array" ref="D463">IFNA(_xlfn.XLOOKUP(C463,Table_Tarikan_Warkah[Nomor Sertipikat],Table_Tarikan_Warkah[Nomor Tiket]),"")</f>
        <v>K/36/041124/2</v>
      </c>
      <c r="E463" s="20">
        <f t="array" ref="E463">IFNA(_xlfn.XLOOKUP(C463,Table_Tarikan_Warkah[Nomor Sertipikat],Table_Tarikan_Warkah[Tanggal diserahkan kepada Validator]),"")</f>
        <v>45601.68644</v>
      </c>
      <c r="F463" s="20" t="str">
        <f t="array" ref="F463">IFNA(_xlfn.XLOOKUP(C463,Table_Tarikan_Warkah[Nomor Sertipikat],Table_Tarikan_Warkah[Nama Petugas Warkah]),"")</f>
        <v>David</v>
      </c>
      <c r="G463" s="21" t="str">
        <f t="array" ref="G463">IFNA(_xlfn.XLOOKUP(C463,Table_Tarikan_Warkah[Nomor Sertipikat],Table_Tarikan_Warkah[Jenis Permohonan]),"")</f>
        <v>roya</v>
      </c>
      <c r="H463" s="22" t="s">
        <v>37</v>
      </c>
      <c r="I463" s="22" t="s">
        <v>32</v>
      </c>
      <c r="J463" s="20">
        <f t="shared" si="29"/>
        <v>45602.6138</v>
      </c>
      <c r="K463" s="27" t="s">
        <v>33</v>
      </c>
      <c r="L463" s="27" t="s">
        <v>32</v>
      </c>
      <c r="M463" s="20">
        <f t="shared" si="30"/>
        <v>45603.61224</v>
      </c>
      <c r="N463" s="8" t="str">
        <f t="shared" si="3"/>
        <v>SELESAI</v>
      </c>
      <c r="O463" s="23">
        <f t="shared" si="22"/>
        <v>45603.61224</v>
      </c>
      <c r="P463" s="24" t="b">
        <v>0</v>
      </c>
      <c r="Q463" s="20" t="str">
        <f t="shared" si="5"/>
        <v/>
      </c>
      <c r="R463" s="24" t="b">
        <v>1</v>
      </c>
      <c r="S463" s="20">
        <f t="shared" si="6"/>
        <v>45603.61436</v>
      </c>
      <c r="T463" s="7"/>
    </row>
    <row r="464" ht="22.5" hidden="1" customHeight="1">
      <c r="B464" s="7">
        <f t="shared" si="7"/>
        <v>458</v>
      </c>
      <c r="C464" s="18" t="s">
        <v>466</v>
      </c>
      <c r="D464" s="19" t="str">
        <f t="array" ref="D464">IFNA(_xlfn.XLOOKUP(C464,Table_Tarikan_Warkah[Nomor Sertipikat],Table_Tarikan_Warkah[Nomor Tiket]),"")</f>
        <v>K/51/041124/1</v>
      </c>
      <c r="E464" s="20">
        <f t="array" ref="E464">IFNA(_xlfn.XLOOKUP(C464,Table_Tarikan_Warkah[Nomor Sertipikat],Table_Tarikan_Warkah[Tanggal diserahkan kepada Validator]),"")</f>
        <v>45601.68891</v>
      </c>
      <c r="F464" s="20" t="str">
        <f t="array" ref="F464">IFNA(_xlfn.XLOOKUP(C464,Table_Tarikan_Warkah[Nomor Sertipikat],Table_Tarikan_Warkah[Nama Petugas Warkah]),"")</f>
        <v>David</v>
      </c>
      <c r="G464" s="21" t="str">
        <f t="array" ref="G464">IFNA(_xlfn.XLOOKUP(C464,Table_Tarikan_Warkah[Nomor Sertipikat],Table_Tarikan_Warkah[Jenis Permohonan]),"")</f>
        <v>BN JUAL BELI</v>
      </c>
      <c r="H464" s="22" t="s">
        <v>37</v>
      </c>
      <c r="I464" s="22" t="s">
        <v>32</v>
      </c>
      <c r="J464" s="20">
        <f t="shared" si="29"/>
        <v>45602.61391</v>
      </c>
      <c r="K464" s="27" t="s">
        <v>33</v>
      </c>
      <c r="L464" s="27" t="s">
        <v>32</v>
      </c>
      <c r="M464" s="20">
        <f t="shared" si="30"/>
        <v>45603.61224</v>
      </c>
      <c r="N464" s="8" t="str">
        <f t="shared" si="3"/>
        <v>SELESAI</v>
      </c>
      <c r="O464" s="23">
        <f t="shared" si="22"/>
        <v>45603.61224</v>
      </c>
      <c r="P464" s="24" t="b">
        <v>0</v>
      </c>
      <c r="Q464" s="20" t="str">
        <f t="shared" si="5"/>
        <v/>
      </c>
      <c r="R464" s="24" t="b">
        <v>1</v>
      </c>
      <c r="S464" s="20">
        <f t="shared" si="6"/>
        <v>45603.61438</v>
      </c>
      <c r="T464" s="7"/>
    </row>
    <row r="465" ht="22.5" hidden="1" customHeight="1">
      <c r="B465" s="7">
        <f t="shared" si="7"/>
        <v>459</v>
      </c>
      <c r="C465" s="18" t="s">
        <v>467</v>
      </c>
      <c r="D465" s="19" t="str">
        <f t="array" ref="D465">IFNA(_xlfn.XLOOKUP(C465,Table_Tarikan_Warkah[Nomor Sertipikat],Table_Tarikan_Warkah[Nomor Tiket]),"")</f>
        <v>K/35/041124/1</v>
      </c>
      <c r="E465" s="20">
        <f t="array" ref="E465">IFNA(_xlfn.XLOOKUP(C465,Table_Tarikan_Warkah[Nomor Sertipikat],Table_Tarikan_Warkah[Tanggal diserahkan kepada Validator]),"")</f>
        <v>45601.68599</v>
      </c>
      <c r="F465" s="20" t="str">
        <f t="array" ref="F465">IFNA(_xlfn.XLOOKUP(C465,Table_Tarikan_Warkah[Nomor Sertipikat],Table_Tarikan_Warkah[Nama Petugas Warkah]),"")</f>
        <v>David</v>
      </c>
      <c r="G465" s="21" t="str">
        <f t="array" ref="G465">IFNA(_xlfn.XLOOKUP(C465,Table_Tarikan_Warkah[Nomor Sertipikat],Table_Tarikan_Warkah[Jenis Permohonan]),"")</f>
        <v>roya</v>
      </c>
      <c r="H465" s="22" t="s">
        <v>37</v>
      </c>
      <c r="I465" s="22" t="s">
        <v>32</v>
      </c>
      <c r="J465" s="20">
        <f t="shared" si="29"/>
        <v>45602.61401</v>
      </c>
      <c r="K465" s="27" t="s">
        <v>33</v>
      </c>
      <c r="L465" s="27" t="s">
        <v>32</v>
      </c>
      <c r="M465" s="20">
        <f t="shared" si="30"/>
        <v>45603.61224</v>
      </c>
      <c r="N465" s="8" t="str">
        <f t="shared" si="3"/>
        <v>SELESAI</v>
      </c>
      <c r="O465" s="23">
        <f t="shared" si="22"/>
        <v>45603.61224</v>
      </c>
      <c r="P465" s="24" t="b">
        <v>0</v>
      </c>
      <c r="Q465" s="20" t="str">
        <f t="shared" si="5"/>
        <v/>
      </c>
      <c r="R465" s="24" t="b">
        <v>1</v>
      </c>
      <c r="S465" s="20">
        <f t="shared" si="6"/>
        <v>45603.61439</v>
      </c>
      <c r="T465" s="7"/>
    </row>
    <row r="466" ht="22.5" hidden="1" customHeight="1">
      <c r="B466" s="7">
        <f t="shared" si="7"/>
        <v>460</v>
      </c>
      <c r="C466" s="18" t="s">
        <v>468</v>
      </c>
      <c r="D466" s="19" t="str">
        <f t="array" ref="D466">IFNA(_xlfn.XLOOKUP(C466,Table_Tarikan_Warkah[Nomor Sertipikat],Table_Tarikan_Warkah[Nomor Tiket]),"")</f>
        <v>K/60/311024/1</v>
      </c>
      <c r="E466" s="20">
        <f t="array" ref="E466">IFNA(_xlfn.XLOOKUP(C466,Table_Tarikan_Warkah[Nomor Sertipikat],Table_Tarikan_Warkah[Tanggal diserahkan kepada Validator]),"")</f>
        <v>45600.39539</v>
      </c>
      <c r="F466" s="20" t="str">
        <f t="array" ref="F466">IFNA(_xlfn.XLOOKUP(C466,Table_Tarikan_Warkah[Nomor Sertipikat],Table_Tarikan_Warkah[Nama Petugas Warkah]),"")</f>
        <v>David</v>
      </c>
      <c r="G466" s="21" t="str">
        <f t="array" ref="G466">IFNA(_xlfn.XLOOKUP(C466,Table_Tarikan_Warkah[Nomor Sertipikat],Table_Tarikan_Warkah[Jenis Permohonan]),"")</f>
        <v>BN Jual Beli</v>
      </c>
      <c r="H466" s="22" t="s">
        <v>37</v>
      </c>
      <c r="I466" s="22" t="s">
        <v>32</v>
      </c>
      <c r="J466" s="20">
        <f t="shared" si="29"/>
        <v>45602.61418</v>
      </c>
      <c r="K466" s="27" t="s">
        <v>33</v>
      </c>
      <c r="L466" s="27" t="s">
        <v>32</v>
      </c>
      <c r="M466" s="20">
        <f t="shared" si="30"/>
        <v>45603.61224</v>
      </c>
      <c r="N466" s="8" t="str">
        <f t="shared" si="3"/>
        <v>SELESAI</v>
      </c>
      <c r="O466" s="23">
        <f t="shared" si="22"/>
        <v>45603.61224</v>
      </c>
      <c r="P466" s="24" t="b">
        <v>0</v>
      </c>
      <c r="Q466" s="20" t="str">
        <f t="shared" si="5"/>
        <v/>
      </c>
      <c r="R466" s="24" t="b">
        <v>1</v>
      </c>
      <c r="S466" s="20">
        <f t="shared" si="6"/>
        <v>45603.6144</v>
      </c>
      <c r="T466" s="7"/>
    </row>
    <row r="467" ht="22.5" hidden="1" customHeight="1">
      <c r="B467" s="7">
        <f t="shared" si="7"/>
        <v>461</v>
      </c>
      <c r="C467" s="18" t="s">
        <v>469</v>
      </c>
      <c r="D467" s="19" t="str">
        <f t="array" ref="D467">IFNA(_xlfn.XLOOKUP(C467,Table_Tarikan_Warkah[Nomor Sertipikat],Table_Tarikan_Warkah[Nomor Tiket]),"")</f>
        <v>K/49/041124/1</v>
      </c>
      <c r="E467" s="20">
        <f t="array" ref="E467">IFNA(_xlfn.XLOOKUP(C467,Table_Tarikan_Warkah[Nomor Sertipikat],Table_Tarikan_Warkah[Tanggal diserahkan kepada Validator]),"")</f>
        <v>45601.68828</v>
      </c>
      <c r="F467" s="20" t="str">
        <f t="array" ref="F467">IFNA(_xlfn.XLOOKUP(C467,Table_Tarikan_Warkah[Nomor Sertipikat],Table_Tarikan_Warkah[Nama Petugas Warkah]),"")</f>
        <v>David</v>
      </c>
      <c r="G467" s="21" t="str">
        <f t="array" ref="G467">IFNA(_xlfn.XLOOKUP(C467,Table_Tarikan_Warkah[Nomor Sertipikat],Table_Tarikan_Warkah[Jenis Permohonan]),"")</f>
        <v>HIBAH</v>
      </c>
      <c r="H467" s="22" t="s">
        <v>37</v>
      </c>
      <c r="I467" s="22" t="s">
        <v>32</v>
      </c>
      <c r="J467" s="20">
        <f t="shared" si="29"/>
        <v>45602.6143</v>
      </c>
      <c r="K467" s="27" t="s">
        <v>33</v>
      </c>
      <c r="L467" s="27" t="s">
        <v>32</v>
      </c>
      <c r="M467" s="20">
        <f t="shared" si="30"/>
        <v>45603.61224</v>
      </c>
      <c r="N467" s="8" t="str">
        <f t="shared" si="3"/>
        <v>SELESAI</v>
      </c>
      <c r="O467" s="23">
        <f t="shared" si="22"/>
        <v>45603.61224</v>
      </c>
      <c r="P467" s="24" t="b">
        <v>0</v>
      </c>
      <c r="Q467" s="20" t="str">
        <f t="shared" si="5"/>
        <v/>
      </c>
      <c r="R467" s="24" t="b">
        <v>1</v>
      </c>
      <c r="S467" s="20">
        <f t="shared" si="6"/>
        <v>45603.61441</v>
      </c>
      <c r="T467" s="7"/>
    </row>
    <row r="468" ht="22.5" hidden="1" customHeight="1">
      <c r="B468" s="7">
        <f t="shared" si="7"/>
        <v>462</v>
      </c>
      <c r="C468" s="18" t="s">
        <v>470</v>
      </c>
      <c r="D468" s="19" t="str">
        <f t="array" ref="D468">IFNA(_xlfn.XLOOKUP(C468,Table_Tarikan_Warkah[Nomor Sertipikat],Table_Tarikan_Warkah[Nomor Tiket]),"")</f>
        <v>K/28/041124/2</v>
      </c>
      <c r="E468" s="20">
        <f t="array" ref="E468">IFNA(_xlfn.XLOOKUP(C468,Table_Tarikan_Warkah[Nomor Sertipikat],Table_Tarikan_Warkah[Tanggal diserahkan kepada Validator]),"")</f>
        <v>45601.68466</v>
      </c>
      <c r="F468" s="20" t="str">
        <f t="array" ref="F468">IFNA(_xlfn.XLOOKUP(C468,Table_Tarikan_Warkah[Nomor Sertipikat],Table_Tarikan_Warkah[Nama Petugas Warkah]),"")</f>
        <v>Berry</v>
      </c>
      <c r="G468" s="21" t="str">
        <f t="array" ref="G468">IFNA(_xlfn.XLOOKUP(C468,Table_Tarikan_Warkah[Nomor Sertipikat],Table_Tarikan_Warkah[Jenis Permohonan]),"")</f>
        <v>BN Jual Beli</v>
      </c>
      <c r="H468" s="22" t="s">
        <v>37</v>
      </c>
      <c r="I468" s="22" t="s">
        <v>32</v>
      </c>
      <c r="J468" s="20">
        <f t="shared" si="29"/>
        <v>45602.61439</v>
      </c>
      <c r="K468" s="27" t="s">
        <v>33</v>
      </c>
      <c r="L468" s="27" t="s">
        <v>32</v>
      </c>
      <c r="M468" s="20">
        <f t="shared" si="30"/>
        <v>45603.61224</v>
      </c>
      <c r="N468" s="8" t="str">
        <f t="shared" si="3"/>
        <v>SELESAI</v>
      </c>
      <c r="O468" s="23">
        <f t="shared" si="22"/>
        <v>45603.61224</v>
      </c>
      <c r="P468" s="24" t="b">
        <v>0</v>
      </c>
      <c r="Q468" s="20" t="str">
        <f t="shared" si="5"/>
        <v/>
      </c>
      <c r="R468" s="24" t="b">
        <v>1</v>
      </c>
      <c r="S468" s="20">
        <f t="shared" si="6"/>
        <v>45603.61444</v>
      </c>
      <c r="T468" s="7"/>
    </row>
    <row r="469" ht="22.5" hidden="1" customHeight="1">
      <c r="B469" s="7">
        <f t="shared" si="7"/>
        <v>463</v>
      </c>
      <c r="C469" s="18" t="s">
        <v>471</v>
      </c>
      <c r="D469" s="19" t="str">
        <f t="array" ref="D469">IFNA(_xlfn.XLOOKUP(C469,Table_Tarikan_Warkah[Nomor Sertipikat],Table_Tarikan_Warkah[Nomor Tiket]),"")</f>
        <v>K/29/041124/3</v>
      </c>
      <c r="E469" s="20">
        <f t="array" ref="E469">IFNA(_xlfn.XLOOKUP(C469,Table_Tarikan_Warkah[Nomor Sertipikat],Table_Tarikan_Warkah[Tanggal diserahkan kepada Validator]),"")</f>
        <v>45601.68514</v>
      </c>
      <c r="F469" s="20" t="str">
        <f t="array" ref="F469">IFNA(_xlfn.XLOOKUP(C469,Table_Tarikan_Warkah[Nomor Sertipikat],Table_Tarikan_Warkah[Nama Petugas Warkah]),"")</f>
        <v>David</v>
      </c>
      <c r="G469" s="21" t="str">
        <f t="array" ref="G469">IFNA(_xlfn.XLOOKUP(C469,Table_Tarikan_Warkah[Nomor Sertipikat],Table_Tarikan_Warkah[Jenis Permohonan]),"")</f>
        <v>BN Jual Beli</v>
      </c>
      <c r="H469" s="22" t="s">
        <v>37</v>
      </c>
      <c r="I469" s="22" t="s">
        <v>32</v>
      </c>
      <c r="J469" s="20">
        <f t="shared" si="29"/>
        <v>45602.6145</v>
      </c>
      <c r="K469" s="27" t="s">
        <v>33</v>
      </c>
      <c r="L469" s="27" t="s">
        <v>32</v>
      </c>
      <c r="M469" s="20">
        <f t="shared" si="30"/>
        <v>45603.61224</v>
      </c>
      <c r="N469" s="8" t="str">
        <f t="shared" si="3"/>
        <v>SELESAI</v>
      </c>
      <c r="O469" s="23">
        <f t="shared" si="22"/>
        <v>45603.61224</v>
      </c>
      <c r="P469" s="24" t="b">
        <v>0</v>
      </c>
      <c r="Q469" s="20" t="str">
        <f t="shared" si="5"/>
        <v/>
      </c>
      <c r="R469" s="24" t="b">
        <v>1</v>
      </c>
      <c r="S469" s="20">
        <f t="shared" si="6"/>
        <v>45603.61445</v>
      </c>
      <c r="T469" s="7"/>
    </row>
    <row r="470" ht="22.5" hidden="1" customHeight="1">
      <c r="B470" s="7">
        <f t="shared" si="7"/>
        <v>464</v>
      </c>
      <c r="C470" s="18" t="s">
        <v>472</v>
      </c>
      <c r="D470" s="19" t="str">
        <f t="array" ref="D470">IFNA(_xlfn.XLOOKUP(C470,Table_Tarikan_Warkah[Nomor Sertipikat],Table_Tarikan_Warkah[Nomor Tiket]),"")</f>
        <v>K/4/051124/1</v>
      </c>
      <c r="E470" s="20">
        <f t="array" ref="E470">IFNA(_xlfn.XLOOKUP(C470,Table_Tarikan_Warkah[Nomor Sertipikat],Table_Tarikan_Warkah[Tanggal diserahkan kepada Validator]),"")</f>
        <v>45602.56733</v>
      </c>
      <c r="F470" s="20" t="str">
        <f t="array" ref="F470">IFNA(_xlfn.XLOOKUP(C470,Table_Tarikan_Warkah[Nomor Sertipikat],Table_Tarikan_Warkah[Nama Petugas Warkah]),"")</f>
        <v>David</v>
      </c>
      <c r="G470" s="21" t="str">
        <f t="array" ref="G470">IFNA(_xlfn.XLOOKUP(C470,Table_Tarikan_Warkah[Nomor Sertipikat],Table_Tarikan_Warkah[Jenis Permohonan]),"")</f>
        <v>BN Hibah</v>
      </c>
      <c r="H470" s="22" t="s">
        <v>31</v>
      </c>
      <c r="I470" s="22" t="s">
        <v>32</v>
      </c>
      <c r="J470" s="20">
        <f t="shared" si="29"/>
        <v>45602.65523</v>
      </c>
      <c r="K470" s="27" t="s">
        <v>33</v>
      </c>
      <c r="L470" s="27" t="s">
        <v>32</v>
      </c>
      <c r="M470" s="20">
        <f t="shared" si="30"/>
        <v>45603.61224</v>
      </c>
      <c r="N470" s="8" t="str">
        <f t="shared" si="3"/>
        <v>SELESAI</v>
      </c>
      <c r="O470" s="23">
        <f t="shared" si="22"/>
        <v>45603.61224</v>
      </c>
      <c r="P470" s="24" t="b">
        <v>0</v>
      </c>
      <c r="Q470" s="20" t="str">
        <f t="shared" si="5"/>
        <v/>
      </c>
      <c r="R470" s="24" t="b">
        <v>1</v>
      </c>
      <c r="S470" s="20">
        <f t="shared" si="6"/>
        <v>45603.61446</v>
      </c>
      <c r="T470" s="7"/>
    </row>
    <row r="471" ht="22.5" hidden="1" customHeight="1">
      <c r="B471" s="7">
        <f t="shared" si="7"/>
        <v>465</v>
      </c>
      <c r="C471" s="18" t="s">
        <v>473</v>
      </c>
      <c r="D471" s="19" t="str">
        <f t="array" ref="D471">IFNA(_xlfn.XLOOKUP(C471,Table_Tarikan_Warkah[Nomor Sertipikat],Table_Tarikan_Warkah[Nomor Tiket]),"")</f>
        <v>L/18/051124/1</v>
      </c>
      <c r="E471" s="20">
        <f t="array" ref="E471">IFNA(_xlfn.XLOOKUP(C471,Table_Tarikan_Warkah[Nomor Sertipikat],Table_Tarikan_Warkah[Tanggal diserahkan kepada Validator]),"")</f>
        <v>45602.56858</v>
      </c>
      <c r="F471" s="20" t="str">
        <f t="array" ref="F471">IFNA(_xlfn.XLOOKUP(C471,Table_Tarikan_Warkah[Nomor Sertipikat],Table_Tarikan_Warkah[Nama Petugas Warkah]),"")</f>
        <v>David</v>
      </c>
      <c r="G471" s="21" t="str">
        <f t="array" ref="G471">IFNA(_xlfn.XLOOKUP(C471,Table_Tarikan_Warkah[Nomor Sertipikat],Table_Tarikan_Warkah[Jenis Permohonan]),"")</f>
        <v>ROYA</v>
      </c>
      <c r="H471" s="22" t="s">
        <v>31</v>
      </c>
      <c r="I471" s="22" t="s">
        <v>32</v>
      </c>
      <c r="J471" s="20">
        <f t="shared" si="29"/>
        <v>45602.65536</v>
      </c>
      <c r="K471" s="27" t="s">
        <v>33</v>
      </c>
      <c r="L471" s="27" t="s">
        <v>32</v>
      </c>
      <c r="M471" s="20">
        <f t="shared" si="30"/>
        <v>45603.61224</v>
      </c>
      <c r="N471" s="8" t="str">
        <f t="shared" si="3"/>
        <v>SELESAI</v>
      </c>
      <c r="O471" s="23">
        <f t="shared" si="22"/>
        <v>45603.61224</v>
      </c>
      <c r="P471" s="24" t="b">
        <v>0</v>
      </c>
      <c r="Q471" s="20" t="str">
        <f t="shared" si="5"/>
        <v/>
      </c>
      <c r="R471" s="24" t="b">
        <v>1</v>
      </c>
      <c r="S471" s="20">
        <f t="shared" si="6"/>
        <v>45603.61458</v>
      </c>
      <c r="T471" s="7"/>
    </row>
    <row r="472" ht="22.5" hidden="1" customHeight="1">
      <c r="B472" s="7">
        <f t="shared" si="7"/>
        <v>466</v>
      </c>
      <c r="C472" s="18" t="s">
        <v>474</v>
      </c>
      <c r="D472" s="19" t="str">
        <f t="array" ref="D472">IFNA(_xlfn.XLOOKUP(C472,Table_Tarikan_Warkah[Nomor Sertipikat],Table_Tarikan_Warkah[Nomor Tiket]),"")</f>
        <v>K/29/051124/4</v>
      </c>
      <c r="E472" s="20">
        <f t="array" ref="E472">IFNA(_xlfn.XLOOKUP(C472,Table_Tarikan_Warkah[Nomor Sertipikat],Table_Tarikan_Warkah[Tanggal diserahkan kepada Validator]),"")</f>
        <v>45602.56959</v>
      </c>
      <c r="F472" s="20" t="str">
        <f t="array" ref="F472">IFNA(_xlfn.XLOOKUP(C472,Table_Tarikan_Warkah[Nomor Sertipikat],Table_Tarikan_Warkah[Nama Petugas Warkah]),"")</f>
        <v>Berry</v>
      </c>
      <c r="G472" s="21" t="str">
        <f t="array" ref="G472">IFNA(_xlfn.XLOOKUP(C472,Table_Tarikan_Warkah[Nomor Sertipikat],Table_Tarikan_Warkah[Jenis Permohonan]),"")</f>
        <v>BN JUAL BELI</v>
      </c>
      <c r="H472" s="22" t="s">
        <v>31</v>
      </c>
      <c r="I472" s="22" t="s">
        <v>32</v>
      </c>
      <c r="J472" s="20">
        <f t="shared" si="29"/>
        <v>45602.65546</v>
      </c>
      <c r="K472" s="27" t="s">
        <v>33</v>
      </c>
      <c r="L472" s="27" t="s">
        <v>32</v>
      </c>
      <c r="M472" s="20">
        <f t="shared" si="30"/>
        <v>45603.61224</v>
      </c>
      <c r="N472" s="8" t="str">
        <f t="shared" si="3"/>
        <v>SELESAI</v>
      </c>
      <c r="O472" s="23">
        <f t="shared" si="22"/>
        <v>45603.61224</v>
      </c>
      <c r="P472" s="24" t="b">
        <v>0</v>
      </c>
      <c r="Q472" s="20" t="str">
        <f t="shared" si="5"/>
        <v/>
      </c>
      <c r="R472" s="24" t="b">
        <v>1</v>
      </c>
      <c r="S472" s="20">
        <f t="shared" si="6"/>
        <v>45603.61459</v>
      </c>
      <c r="T472" s="7"/>
    </row>
    <row r="473" ht="22.5" hidden="1" customHeight="1">
      <c r="B473" s="7">
        <f t="shared" si="7"/>
        <v>467</v>
      </c>
      <c r="C473" s="18" t="s">
        <v>475</v>
      </c>
      <c r="D473" s="19" t="str">
        <f t="array" ref="D473">IFNA(_xlfn.XLOOKUP(C473,Table_Tarikan_Warkah[Nomor Sertipikat],Table_Tarikan_Warkah[Nomor Tiket]),"")</f>
        <v>L/31/041124/1</v>
      </c>
      <c r="E473" s="20">
        <f t="array" ref="E473">IFNA(_xlfn.XLOOKUP(C473,Table_Tarikan_Warkah[Nomor Sertipikat],Table_Tarikan_Warkah[Tanggal diserahkan kepada Validator]),"")</f>
        <v>45602.56469</v>
      </c>
      <c r="F473" s="20" t="str">
        <f t="array" ref="F473">IFNA(_xlfn.XLOOKUP(C473,Table_Tarikan_Warkah[Nomor Sertipikat],Table_Tarikan_Warkah[Nama Petugas Warkah]),"")</f>
        <v>David</v>
      </c>
      <c r="G473" s="21" t="str">
        <f t="array" ref="G473">IFNA(_xlfn.XLOOKUP(C473,Table_Tarikan_Warkah[Nomor Sertipikat],Table_Tarikan_Warkah[Jenis Permohonan]),"")</f>
        <v>PERUBAHAN HAK</v>
      </c>
      <c r="H473" s="22" t="s">
        <v>31</v>
      </c>
      <c r="I473" s="22" t="s">
        <v>32</v>
      </c>
      <c r="J473" s="20">
        <f t="shared" si="29"/>
        <v>45602.65558</v>
      </c>
      <c r="K473" s="27" t="s">
        <v>33</v>
      </c>
      <c r="L473" s="27" t="s">
        <v>32</v>
      </c>
      <c r="M473" s="20">
        <f t="shared" si="30"/>
        <v>45603.61224</v>
      </c>
      <c r="N473" s="8" t="str">
        <f t="shared" si="3"/>
        <v>SELESAI</v>
      </c>
      <c r="O473" s="23">
        <f t="shared" si="22"/>
        <v>45603.61224</v>
      </c>
      <c r="P473" s="24" t="b">
        <v>0</v>
      </c>
      <c r="Q473" s="20" t="str">
        <f t="shared" si="5"/>
        <v/>
      </c>
      <c r="R473" s="24" t="b">
        <v>1</v>
      </c>
      <c r="S473" s="20">
        <f t="shared" si="6"/>
        <v>45603.6146</v>
      </c>
      <c r="T473" s="7"/>
    </row>
    <row r="474" ht="22.5" hidden="1" customHeight="1">
      <c r="B474" s="7">
        <f t="shared" si="7"/>
        <v>468</v>
      </c>
      <c r="C474" s="18" t="s">
        <v>476</v>
      </c>
      <c r="D474" s="19" t="str">
        <f t="array" ref="D474">IFNA(_xlfn.XLOOKUP(C474,Table_Tarikan_Warkah[Nomor Sertipikat],Table_Tarikan_Warkah[Nomor Tiket]),"")</f>
        <v>K/15/051124/3</v>
      </c>
      <c r="E474" s="20">
        <f t="array" ref="E474">IFNA(_xlfn.XLOOKUP(C474,Table_Tarikan_Warkah[Nomor Sertipikat],Table_Tarikan_Warkah[Tanggal diserahkan kepada Validator]),"")</f>
        <v>45602.56623</v>
      </c>
      <c r="F474" s="20" t="str">
        <f t="array" ref="F474">IFNA(_xlfn.XLOOKUP(C474,Table_Tarikan_Warkah[Nomor Sertipikat],Table_Tarikan_Warkah[Nama Petugas Warkah]),"")</f>
        <v>David</v>
      </c>
      <c r="G474" s="21" t="str">
        <f t="array" ref="G474">IFNA(_xlfn.XLOOKUP(C474,Table_Tarikan_Warkah[Nomor Sertipikat],Table_Tarikan_Warkah[Jenis Permohonan]),"")</f>
        <v>BN PHB</v>
      </c>
      <c r="H474" s="22" t="s">
        <v>31</v>
      </c>
      <c r="I474" s="22" t="s">
        <v>32</v>
      </c>
      <c r="J474" s="20">
        <f t="shared" si="29"/>
        <v>45602.65575</v>
      </c>
      <c r="K474" s="27" t="s">
        <v>33</v>
      </c>
      <c r="L474" s="27" t="s">
        <v>32</v>
      </c>
      <c r="M474" s="20">
        <f t="shared" si="30"/>
        <v>45603.61224</v>
      </c>
      <c r="N474" s="8" t="str">
        <f t="shared" si="3"/>
        <v>SELESAI</v>
      </c>
      <c r="O474" s="23">
        <f t="shared" si="22"/>
        <v>45603.61224</v>
      </c>
      <c r="P474" s="24" t="b">
        <v>0</v>
      </c>
      <c r="Q474" s="20" t="str">
        <f t="shared" si="5"/>
        <v/>
      </c>
      <c r="R474" s="24" t="b">
        <v>1</v>
      </c>
      <c r="S474" s="20">
        <f t="shared" si="6"/>
        <v>45603.61461</v>
      </c>
      <c r="T474" s="7"/>
    </row>
    <row r="475" ht="22.5" hidden="1" customHeight="1">
      <c r="B475" s="7">
        <f t="shared" si="7"/>
        <v>469</v>
      </c>
      <c r="C475" s="18" t="s">
        <v>477</v>
      </c>
      <c r="D475" s="19" t="str">
        <f t="array" ref="D475">IFNA(_xlfn.XLOOKUP(C475,Table_Tarikan_Warkah[Nomor Sertipikat],Table_Tarikan_Warkah[Nomor Tiket]),"")</f>
        <v>K/12/051124/3</v>
      </c>
      <c r="E475" s="20">
        <f t="array" ref="E475">IFNA(_xlfn.XLOOKUP(C475,Table_Tarikan_Warkah[Nomor Sertipikat],Table_Tarikan_Warkah[Tanggal diserahkan kepada Validator]),"")</f>
        <v>45602.56659</v>
      </c>
      <c r="F475" s="20" t="str">
        <f t="array" ref="F475">IFNA(_xlfn.XLOOKUP(C475,Table_Tarikan_Warkah[Nomor Sertipikat],Table_Tarikan_Warkah[Nama Petugas Warkah]),"")</f>
        <v>David</v>
      </c>
      <c r="G475" s="21" t="str">
        <f t="array" ref="G475">IFNA(_xlfn.XLOOKUP(C475,Table_Tarikan_Warkah[Nomor Sertipikat],Table_Tarikan_Warkah[Jenis Permohonan]),"")</f>
        <v>BN JUAL BELI</v>
      </c>
      <c r="H475" s="22" t="s">
        <v>31</v>
      </c>
      <c r="I475" s="22" t="s">
        <v>32</v>
      </c>
      <c r="J475" s="20">
        <f t="shared" si="29"/>
        <v>45602.65591</v>
      </c>
      <c r="K475" s="27" t="s">
        <v>33</v>
      </c>
      <c r="L475" s="27" t="s">
        <v>32</v>
      </c>
      <c r="M475" s="20">
        <f t="shared" si="30"/>
        <v>45603.61224</v>
      </c>
      <c r="N475" s="8" t="str">
        <f t="shared" si="3"/>
        <v>SELESAI</v>
      </c>
      <c r="O475" s="23">
        <f t="shared" si="22"/>
        <v>45603.61224</v>
      </c>
      <c r="P475" s="24" t="b">
        <v>0</v>
      </c>
      <c r="Q475" s="20" t="str">
        <f t="shared" si="5"/>
        <v/>
      </c>
      <c r="R475" s="24" t="b">
        <v>1</v>
      </c>
      <c r="S475" s="20">
        <f t="shared" si="6"/>
        <v>45603.61462</v>
      </c>
      <c r="T475" s="7"/>
    </row>
    <row r="476" ht="22.5" hidden="1" customHeight="1">
      <c r="B476" s="7">
        <f t="shared" si="7"/>
        <v>470</v>
      </c>
      <c r="C476" s="18" t="s">
        <v>478</v>
      </c>
      <c r="D476" s="19" t="str">
        <f t="array" ref="D476">IFNA(_xlfn.XLOOKUP(C476,Table_Tarikan_Warkah[Nomor Sertipikat],Table_Tarikan_Warkah[Nomor Tiket]),"")</f>
        <v>K/27/051124/2</v>
      </c>
      <c r="E476" s="20">
        <f t="array" ref="E476">IFNA(_xlfn.XLOOKUP(C476,Table_Tarikan_Warkah[Nomor Sertipikat],Table_Tarikan_Warkah[Tanggal diserahkan kepada Validator]),"")</f>
        <v>45602.56686</v>
      </c>
      <c r="F476" s="20" t="str">
        <f t="array" ref="F476">IFNA(_xlfn.XLOOKUP(C476,Table_Tarikan_Warkah[Nomor Sertipikat],Table_Tarikan_Warkah[Nama Petugas Warkah]),"")</f>
        <v>David</v>
      </c>
      <c r="G476" s="21" t="str">
        <f t="array" ref="G476">IFNA(_xlfn.XLOOKUP(C476,Table_Tarikan_Warkah[Nomor Sertipikat],Table_Tarikan_Warkah[Jenis Permohonan]),"")</f>
        <v>BN Waris</v>
      </c>
      <c r="H476" s="22" t="s">
        <v>31</v>
      </c>
      <c r="I476" s="22" t="s">
        <v>32</v>
      </c>
      <c r="J476" s="20">
        <f t="shared" si="29"/>
        <v>45602.65603</v>
      </c>
      <c r="K476" s="27" t="s">
        <v>33</v>
      </c>
      <c r="L476" s="27" t="s">
        <v>32</v>
      </c>
      <c r="M476" s="20">
        <f t="shared" si="30"/>
        <v>45603.61224</v>
      </c>
      <c r="N476" s="8" t="str">
        <f t="shared" si="3"/>
        <v>SELESAI</v>
      </c>
      <c r="O476" s="23">
        <f t="shared" si="22"/>
        <v>45603.61224</v>
      </c>
      <c r="P476" s="24" t="b">
        <v>0</v>
      </c>
      <c r="Q476" s="20" t="str">
        <f t="shared" si="5"/>
        <v/>
      </c>
      <c r="R476" s="24" t="b">
        <v>1</v>
      </c>
      <c r="S476" s="20">
        <f t="shared" si="6"/>
        <v>45603.61463</v>
      </c>
      <c r="T476" s="7"/>
    </row>
    <row r="477" ht="22.5" hidden="1" customHeight="1">
      <c r="B477" s="7">
        <f t="shared" si="7"/>
        <v>471</v>
      </c>
      <c r="C477" s="18" t="s">
        <v>479</v>
      </c>
      <c r="D477" s="19" t="str">
        <f t="array" ref="D477">IFNA(_xlfn.XLOOKUP(C477,Table_Tarikan_Warkah[Nomor Sertipikat],Table_Tarikan_Warkah[Nomor Tiket]),"")</f>
        <v>K/16/051124/1</v>
      </c>
      <c r="E477" s="20">
        <f t="array" ref="E477">IFNA(_xlfn.XLOOKUP(C477,Table_Tarikan_Warkah[Nomor Sertipikat],Table_Tarikan_Warkah[Tanggal diserahkan kepada Validator]),"")</f>
        <v>45602.56491</v>
      </c>
      <c r="F477" s="20" t="str">
        <f t="array" ref="F477">IFNA(_xlfn.XLOOKUP(C477,Table_Tarikan_Warkah[Nomor Sertipikat],Table_Tarikan_Warkah[Nama Petugas Warkah]),"")</f>
        <v>David</v>
      </c>
      <c r="G477" s="21" t="str">
        <f t="array" ref="G477">IFNA(_xlfn.XLOOKUP(C477,Table_Tarikan_Warkah[Nomor Sertipikat],Table_Tarikan_Warkah[Jenis Permohonan]),"")</f>
        <v>BN JUAL BELI</v>
      </c>
      <c r="H477" s="22" t="s">
        <v>31</v>
      </c>
      <c r="I477" s="22" t="s">
        <v>32</v>
      </c>
      <c r="J477" s="20">
        <f t="shared" si="29"/>
        <v>45602.65614</v>
      </c>
      <c r="K477" s="27" t="s">
        <v>33</v>
      </c>
      <c r="L477" s="27" t="s">
        <v>32</v>
      </c>
      <c r="M477" s="20">
        <f t="shared" si="30"/>
        <v>45603.61224</v>
      </c>
      <c r="N477" s="8" t="str">
        <f t="shared" si="3"/>
        <v>SELESAI</v>
      </c>
      <c r="O477" s="23">
        <f t="shared" si="22"/>
        <v>45603.61224</v>
      </c>
      <c r="P477" s="24" t="b">
        <v>0</v>
      </c>
      <c r="Q477" s="20" t="str">
        <f t="shared" si="5"/>
        <v/>
      </c>
      <c r="R477" s="24" t="b">
        <v>1</v>
      </c>
      <c r="S477" s="20">
        <f t="shared" si="6"/>
        <v>45603.61465</v>
      </c>
      <c r="T477" s="7"/>
    </row>
    <row r="478" ht="22.5" hidden="1" customHeight="1">
      <c r="B478" s="7">
        <f t="shared" si="7"/>
        <v>472</v>
      </c>
      <c r="C478" s="18" t="s">
        <v>480</v>
      </c>
      <c r="D478" s="19" t="str">
        <f t="array" ref="D478">IFNA(_xlfn.XLOOKUP(C478,Table_Tarikan_Warkah[Nomor Sertipikat],Table_Tarikan_Warkah[Nomor Tiket]),"")</f>
        <v>K/52/041124/1</v>
      </c>
      <c r="E478" s="20">
        <f t="array" ref="E478">IFNA(_xlfn.XLOOKUP(C478,Table_Tarikan_Warkah[Nomor Sertipikat],Table_Tarikan_Warkah[Tanggal diserahkan kepada Validator]),"")</f>
        <v>45602.56517</v>
      </c>
      <c r="F478" s="20" t="str">
        <f t="array" ref="F478">IFNA(_xlfn.XLOOKUP(C478,Table_Tarikan_Warkah[Nomor Sertipikat],Table_Tarikan_Warkah[Nama Petugas Warkah]),"")</f>
        <v>David</v>
      </c>
      <c r="G478" s="21" t="str">
        <f t="array" ref="G478">IFNA(_xlfn.XLOOKUP(C478,Table_Tarikan_Warkah[Nomor Sertipikat],Table_Tarikan_Warkah[Jenis Permohonan]),"")</f>
        <v>BN JUAL BELI</v>
      </c>
      <c r="H478" s="22" t="s">
        <v>31</v>
      </c>
      <c r="I478" s="22" t="s">
        <v>32</v>
      </c>
      <c r="J478" s="20">
        <f t="shared" si="29"/>
        <v>45602.65626</v>
      </c>
      <c r="K478" s="27" t="s">
        <v>33</v>
      </c>
      <c r="L478" s="27" t="s">
        <v>32</v>
      </c>
      <c r="M478" s="20">
        <f t="shared" si="30"/>
        <v>45603.61224</v>
      </c>
      <c r="N478" s="8" t="str">
        <f t="shared" si="3"/>
        <v>SELESAI</v>
      </c>
      <c r="O478" s="23">
        <f t="shared" si="22"/>
        <v>45603.61224</v>
      </c>
      <c r="P478" s="24" t="b">
        <v>0</v>
      </c>
      <c r="Q478" s="20" t="str">
        <f t="shared" si="5"/>
        <v/>
      </c>
      <c r="R478" s="24" t="b">
        <v>1</v>
      </c>
      <c r="S478" s="20">
        <f t="shared" si="6"/>
        <v>45603.61465</v>
      </c>
      <c r="T478" s="7"/>
    </row>
    <row r="479" ht="22.5" hidden="1" customHeight="1">
      <c r="B479" s="7">
        <f t="shared" si="7"/>
        <v>473</v>
      </c>
      <c r="C479" s="18" t="s">
        <v>481</v>
      </c>
      <c r="D479" s="19" t="str">
        <f t="array" ref="D479">IFNA(_xlfn.XLOOKUP(C479,Table_Tarikan_Warkah[Nomor Sertipikat],Table_Tarikan_Warkah[Nomor Tiket]),"")</f>
        <v/>
      </c>
      <c r="E479" s="20" t="str">
        <f t="array" ref="E479">IFNA(_xlfn.XLOOKUP(C479,Table_Tarikan_Warkah[Nomor Sertipikat],Table_Tarikan_Warkah[Tanggal diserahkan kepada Validator]),"")</f>
        <v/>
      </c>
      <c r="F479" s="20" t="str">
        <f t="array" ref="F479">IFNA(_xlfn.XLOOKUP(C479,Table_Tarikan_Warkah[Nomor Sertipikat],Table_Tarikan_Warkah[Nama Petugas Warkah]),"")</f>
        <v/>
      </c>
      <c r="G479" s="21" t="str">
        <f t="array" ref="G479">IFNA(_xlfn.XLOOKUP(C479,Table_Tarikan_Warkah[Nomor Sertipikat],Table_Tarikan_Warkah[Jenis Permohonan]),"")</f>
        <v/>
      </c>
      <c r="H479" s="22" t="s">
        <v>31</v>
      </c>
      <c r="I479" s="22" t="s">
        <v>32</v>
      </c>
      <c r="J479" s="20">
        <f t="shared" si="29"/>
        <v>45602.65639</v>
      </c>
      <c r="K479" s="27" t="s">
        <v>33</v>
      </c>
      <c r="L479" s="27" t="s">
        <v>32</v>
      </c>
      <c r="M479" s="20">
        <f t="shared" si="30"/>
        <v>45603.61224</v>
      </c>
      <c r="N479" s="8" t="str">
        <f t="shared" si="3"/>
        <v/>
      </c>
      <c r="O479" s="21" t="str">
        <f t="shared" si="22"/>
        <v/>
      </c>
      <c r="P479" s="24" t="b">
        <v>0</v>
      </c>
      <c r="Q479" s="20" t="str">
        <f t="shared" si="5"/>
        <v/>
      </c>
      <c r="R479" s="24" t="b">
        <v>1</v>
      </c>
      <c r="S479" s="20">
        <f t="shared" si="6"/>
        <v>45603.61466</v>
      </c>
      <c r="T479" s="7"/>
    </row>
    <row r="480" ht="22.5" hidden="1" customHeight="1">
      <c r="B480" s="7">
        <f t="shared" si="7"/>
        <v>474</v>
      </c>
      <c r="C480" s="18" t="s">
        <v>482</v>
      </c>
      <c r="D480" s="19" t="str">
        <f t="array" ref="D480">IFNA(_xlfn.XLOOKUP(C480,Table_Tarikan_Warkah[Nomor Sertipikat],Table_Tarikan_Warkah[Nomor Tiket]),"")</f>
        <v>K/3/051124/3</v>
      </c>
      <c r="E480" s="20">
        <f t="array" ref="E480">IFNA(_xlfn.XLOOKUP(C480,Table_Tarikan_Warkah[Nomor Sertipikat],Table_Tarikan_Warkah[Tanggal diserahkan kepada Validator]),"")</f>
        <v>45602.56645</v>
      </c>
      <c r="F480" s="20" t="str">
        <f t="array" ref="F480">IFNA(_xlfn.XLOOKUP(C480,Table_Tarikan_Warkah[Nomor Sertipikat],Table_Tarikan_Warkah[Nama Petugas Warkah]),"")</f>
        <v>David</v>
      </c>
      <c r="G480" s="21" t="str">
        <f t="array" ref="G480">IFNA(_xlfn.XLOOKUP(C480,Table_Tarikan_Warkah[Nomor Sertipikat],Table_Tarikan_Warkah[Jenis Permohonan]),"")</f>
        <v>BN JUAL BELI</v>
      </c>
      <c r="H480" s="22" t="s">
        <v>31</v>
      </c>
      <c r="I480" s="22" t="s">
        <v>32</v>
      </c>
      <c r="J480" s="20">
        <f t="shared" si="29"/>
        <v>45602.65651</v>
      </c>
      <c r="K480" s="27" t="s">
        <v>33</v>
      </c>
      <c r="L480" s="27" t="s">
        <v>32</v>
      </c>
      <c r="M480" s="20">
        <f t="shared" si="30"/>
        <v>45603.61224</v>
      </c>
      <c r="N480" s="8" t="str">
        <f t="shared" si="3"/>
        <v>SELESAI</v>
      </c>
      <c r="O480" s="23">
        <f t="shared" si="22"/>
        <v>45603.61224</v>
      </c>
      <c r="P480" s="24" t="b">
        <v>0</v>
      </c>
      <c r="Q480" s="20" t="str">
        <f t="shared" si="5"/>
        <v/>
      </c>
      <c r="R480" s="24" t="b">
        <v>1</v>
      </c>
      <c r="S480" s="20">
        <f t="shared" si="6"/>
        <v>45603.61467</v>
      </c>
      <c r="T480" s="7"/>
    </row>
    <row r="481" ht="22.5" hidden="1" customHeight="1">
      <c r="B481" s="7">
        <f t="shared" si="7"/>
        <v>475</v>
      </c>
      <c r="C481" s="18" t="s">
        <v>483</v>
      </c>
      <c r="D481" s="19" t="str">
        <f t="array" ref="D481">IFNA(_xlfn.XLOOKUP(C481,Table_Tarikan_Warkah[Nomor Sertipikat],Table_Tarikan_Warkah[Nomor Tiket]),"")</f>
        <v>K/17/051124/1</v>
      </c>
      <c r="E481" s="20">
        <f t="array" ref="E481">IFNA(_xlfn.XLOOKUP(C481,Table_Tarikan_Warkah[Nomor Sertipikat],Table_Tarikan_Warkah[Tanggal diserahkan kepada Validator]),"")</f>
        <v>45602.5671</v>
      </c>
      <c r="F481" s="20" t="str">
        <f t="array" ref="F481">IFNA(_xlfn.XLOOKUP(C481,Table_Tarikan_Warkah[Nomor Sertipikat],Table_Tarikan_Warkah[Nama Petugas Warkah]),"")</f>
        <v>David</v>
      </c>
      <c r="G481" s="21" t="str">
        <f t="array" ref="G481">IFNA(_xlfn.XLOOKUP(C481,Table_Tarikan_Warkah[Nomor Sertipikat],Table_Tarikan_Warkah[Jenis Permohonan]),"")</f>
        <v>Roya</v>
      </c>
      <c r="H481" s="22" t="s">
        <v>31</v>
      </c>
      <c r="I481" s="22" t="s">
        <v>32</v>
      </c>
      <c r="J481" s="20">
        <f t="shared" si="29"/>
        <v>45602.65661</v>
      </c>
      <c r="K481" s="27" t="s">
        <v>33</v>
      </c>
      <c r="L481" s="27" t="s">
        <v>32</v>
      </c>
      <c r="M481" s="20">
        <f t="shared" si="30"/>
        <v>45603.61224</v>
      </c>
      <c r="N481" s="8" t="str">
        <f t="shared" si="3"/>
        <v>SELESAI</v>
      </c>
      <c r="O481" s="23">
        <f t="shared" si="22"/>
        <v>45603.61224</v>
      </c>
      <c r="P481" s="24" t="b">
        <v>0</v>
      </c>
      <c r="Q481" s="20" t="str">
        <f t="shared" si="5"/>
        <v/>
      </c>
      <c r="R481" s="24" t="b">
        <v>1</v>
      </c>
      <c r="S481" s="20">
        <f t="shared" si="6"/>
        <v>45603.61468</v>
      </c>
      <c r="T481" s="7"/>
    </row>
    <row r="482" ht="22.5" hidden="1" customHeight="1">
      <c r="B482" s="7">
        <f t="shared" si="7"/>
        <v>476</v>
      </c>
      <c r="C482" s="18" t="s">
        <v>484</v>
      </c>
      <c r="D482" s="19" t="str">
        <f t="array" ref="D482">IFNA(_xlfn.XLOOKUP(C482,Table_Tarikan_Warkah[Nomor Sertipikat],Table_Tarikan_Warkah[Nomor Tiket]),"")</f>
        <v>K/37/041124/3</v>
      </c>
      <c r="E482" s="20">
        <f t="array" ref="E482">IFNA(_xlfn.XLOOKUP(C482,Table_Tarikan_Warkah[Nomor Sertipikat],Table_Tarikan_Warkah[Tanggal diserahkan kepada Validator]),"")</f>
        <v>45602.57396</v>
      </c>
      <c r="F482" s="20" t="str">
        <f t="array" ref="F482">IFNA(_xlfn.XLOOKUP(C482,Table_Tarikan_Warkah[Nomor Sertipikat],Table_Tarikan_Warkah[Nama Petugas Warkah]),"")</f>
        <v>Pras</v>
      </c>
      <c r="G482" s="21" t="str">
        <f t="array" ref="G482">IFNA(_xlfn.XLOOKUP(C482,Table_Tarikan_Warkah[Nomor Sertipikat],Table_Tarikan_Warkah[Jenis Permohonan]),"")</f>
        <v>PENATAAN BATAS</v>
      </c>
      <c r="H482" s="22" t="s">
        <v>31</v>
      </c>
      <c r="I482" s="22" t="s">
        <v>32</v>
      </c>
      <c r="J482" s="20">
        <f t="shared" si="29"/>
        <v>45602.65673</v>
      </c>
      <c r="K482" s="27" t="s">
        <v>33</v>
      </c>
      <c r="L482" s="27" t="s">
        <v>32</v>
      </c>
      <c r="M482" s="20">
        <f t="shared" si="30"/>
        <v>45603.61224</v>
      </c>
      <c r="N482" s="8" t="str">
        <f t="shared" si="3"/>
        <v>SELESAI</v>
      </c>
      <c r="O482" s="23">
        <f t="shared" si="22"/>
        <v>45603.61224</v>
      </c>
      <c r="P482" s="24" t="b">
        <v>0</v>
      </c>
      <c r="Q482" s="20" t="str">
        <f t="shared" si="5"/>
        <v/>
      </c>
      <c r="R482" s="24" t="b">
        <v>1</v>
      </c>
      <c r="S482" s="20">
        <f t="shared" si="6"/>
        <v>45603.61224</v>
      </c>
      <c r="T482" s="7"/>
    </row>
    <row r="483" ht="22.5" hidden="1" customHeight="1">
      <c r="B483" s="7">
        <f t="shared" si="7"/>
        <v>477</v>
      </c>
      <c r="C483" s="18" t="s">
        <v>485</v>
      </c>
      <c r="D483" s="19" t="str">
        <f t="array" ref="D483">IFNA(_xlfn.XLOOKUP(C483,Table_Tarikan_Warkah[Nomor Sertipikat],Table_Tarikan_Warkah[Nomor Tiket]),"")</f>
        <v>K/46/041124/2</v>
      </c>
      <c r="E483" s="20">
        <f t="array" ref="E483">IFNA(_xlfn.XLOOKUP(C483,Table_Tarikan_Warkah[Nomor Sertipikat],Table_Tarikan_Warkah[Tanggal diserahkan kepada Validator]),"")</f>
        <v>45602.56924</v>
      </c>
      <c r="F483" s="20" t="str">
        <f t="array" ref="F483">IFNA(_xlfn.XLOOKUP(C483,Table_Tarikan_Warkah[Nomor Sertipikat],Table_Tarikan_Warkah[Nama Petugas Warkah]),"")</f>
        <v>David</v>
      </c>
      <c r="G483" s="21" t="str">
        <f t="array" ref="G483">IFNA(_xlfn.XLOOKUP(C483,Table_Tarikan_Warkah[Nomor Sertipikat],Table_Tarikan_Warkah[Jenis Permohonan]),"")</f>
        <v>BN JUAL BELI</v>
      </c>
      <c r="H483" s="22" t="s">
        <v>31</v>
      </c>
      <c r="I483" s="22" t="s">
        <v>32</v>
      </c>
      <c r="J483" s="20">
        <f t="shared" si="29"/>
        <v>45603.42478</v>
      </c>
      <c r="K483" s="27" t="s">
        <v>33</v>
      </c>
      <c r="L483" s="27" t="s">
        <v>32</v>
      </c>
      <c r="M483" s="20">
        <f t="shared" si="30"/>
        <v>45603.61224</v>
      </c>
      <c r="N483" s="8" t="str">
        <f t="shared" si="3"/>
        <v>SELESAI</v>
      </c>
      <c r="O483" s="23">
        <f t="shared" si="22"/>
        <v>45603.61224</v>
      </c>
      <c r="P483" s="24" t="b">
        <v>0</v>
      </c>
      <c r="Q483" s="20" t="str">
        <f t="shared" si="5"/>
        <v/>
      </c>
      <c r="R483" s="24" t="b">
        <v>1</v>
      </c>
      <c r="S483" s="20">
        <f t="shared" si="6"/>
        <v>45603.61224</v>
      </c>
      <c r="T483" s="7"/>
    </row>
    <row r="484" ht="22.5" hidden="1" customHeight="1">
      <c r="B484" s="7">
        <f t="shared" si="7"/>
        <v>478</v>
      </c>
      <c r="C484" s="18" t="s">
        <v>486</v>
      </c>
      <c r="D484" s="19" t="str">
        <f t="array" ref="D484">IFNA(_xlfn.XLOOKUP(C484,Table_Tarikan_Warkah[Nomor Sertipikat],Table_Tarikan_Warkah[Nomor Tiket]),"")</f>
        <v>L/40/041124/1</v>
      </c>
      <c r="E484" s="20" t="str">
        <f t="array" ref="E484">IFNA(_xlfn.XLOOKUP(C484,Table_Tarikan_Warkah[Nomor Sertipikat],Table_Tarikan_Warkah[Tanggal diserahkan kepada Validator]),"")</f>
        <v/>
      </c>
      <c r="F484" s="20" t="str">
        <f t="array" ref="F484">IFNA(_xlfn.XLOOKUP(C484,Table_Tarikan_Warkah[Nomor Sertipikat],Table_Tarikan_Warkah[Nama Petugas Warkah]),"")</f>
        <v>David</v>
      </c>
      <c r="G484" s="21" t="str">
        <f t="array" ref="G484">IFNA(_xlfn.XLOOKUP(C484,Table_Tarikan_Warkah[Nomor Sertipikat],Table_Tarikan_Warkah[Jenis Permohonan]),"")</f>
        <v>ROYA</v>
      </c>
      <c r="H484" s="22" t="s">
        <v>37</v>
      </c>
      <c r="I484" s="22" t="s">
        <v>32</v>
      </c>
      <c r="J484" s="20">
        <f t="shared" si="29"/>
        <v>45603.42472</v>
      </c>
      <c r="K484" s="27" t="s">
        <v>65</v>
      </c>
      <c r="L484" s="27" t="s">
        <v>187</v>
      </c>
      <c r="M484" s="20">
        <f t="shared" si="30"/>
        <v>45604.61886</v>
      </c>
      <c r="N484" s="8" t="str">
        <f t="shared" si="3"/>
        <v>Selesai</v>
      </c>
      <c r="O484" s="23">
        <f t="shared" si="22"/>
        <v>45604.61886</v>
      </c>
      <c r="P484" s="24" t="b">
        <v>1</v>
      </c>
      <c r="Q484" s="20">
        <f t="shared" si="5"/>
        <v>45604.62008</v>
      </c>
      <c r="R484" s="24" t="b">
        <v>0</v>
      </c>
      <c r="S484" s="7" t="str">
        <f t="shared" si="6"/>
        <v/>
      </c>
      <c r="T484" s="7"/>
    </row>
    <row r="485" ht="22.5" hidden="1" customHeight="1">
      <c r="B485" s="7">
        <f t="shared" si="7"/>
        <v>479</v>
      </c>
      <c r="C485" s="18" t="s">
        <v>487</v>
      </c>
      <c r="D485" s="19" t="str">
        <f t="array" ref="D485">IFNA(_xlfn.XLOOKUP(C485,Table_Tarikan_Warkah[Nomor Sertipikat],Table_Tarikan_Warkah[Nomor Tiket]),"")</f>
        <v>K/42/051124/1</v>
      </c>
      <c r="E485" s="20">
        <f t="array" ref="E485">IFNA(_xlfn.XLOOKUP(C485,Table_Tarikan_Warkah[Nomor Sertipikat],Table_Tarikan_Warkah[Tanggal diserahkan kepada Validator]),"")</f>
        <v>45602.58638</v>
      </c>
      <c r="F485" s="20" t="str">
        <f t="array" ref="F485">IFNA(_xlfn.XLOOKUP(C485,Table_Tarikan_Warkah[Nomor Sertipikat],Table_Tarikan_Warkah[Nama Petugas Warkah]),"")</f>
        <v>David</v>
      </c>
      <c r="G485" s="21" t="str">
        <f t="array" ref="G485">IFNA(_xlfn.XLOOKUP(C485,Table_Tarikan_Warkah[Nomor Sertipikat],Table_Tarikan_Warkah[Jenis Permohonan]),"")</f>
        <v>BN JUAL BELI</v>
      </c>
      <c r="H485" s="22" t="s">
        <v>37</v>
      </c>
      <c r="I485" s="22" t="s">
        <v>32</v>
      </c>
      <c r="J485" s="20">
        <f t="shared" si="29"/>
        <v>45603.4942</v>
      </c>
      <c r="K485" s="27" t="s">
        <v>65</v>
      </c>
      <c r="L485" s="27" t="s">
        <v>32</v>
      </c>
      <c r="M485" s="20">
        <f t="shared" si="30"/>
        <v>45604.61891</v>
      </c>
      <c r="N485" s="8" t="str">
        <f t="shared" si="3"/>
        <v>SELESAI</v>
      </c>
      <c r="O485" s="23">
        <f t="shared" si="22"/>
        <v>45604.61891</v>
      </c>
      <c r="P485" s="24" t="b">
        <v>0</v>
      </c>
      <c r="Q485" s="20" t="str">
        <f t="shared" si="5"/>
        <v/>
      </c>
      <c r="R485" s="24" t="b">
        <v>1</v>
      </c>
      <c r="S485" s="20">
        <f t="shared" si="6"/>
        <v>45604.6201</v>
      </c>
      <c r="T485" s="7"/>
    </row>
    <row r="486" ht="22.5" hidden="1" customHeight="1">
      <c r="B486" s="7">
        <f t="shared" si="7"/>
        <v>480</v>
      </c>
      <c r="C486" s="18" t="s">
        <v>488</v>
      </c>
      <c r="D486" s="19" t="str">
        <f t="array" ref="D486">IFNA(_xlfn.XLOOKUP(C486,Table_Tarikan_Warkah[Nomor Sertipikat],Table_Tarikan_Warkah[Nomor Tiket]),"")</f>
        <v>K/2/051124/2</v>
      </c>
      <c r="E486" s="20">
        <f t="array" ref="E486">IFNA(_xlfn.XLOOKUP(C486,Table_Tarikan_Warkah[Nomor Sertipikat],Table_Tarikan_Warkah[Tanggal diserahkan kepada Validator]),"")</f>
        <v>45602.56433</v>
      </c>
      <c r="F486" s="20" t="str">
        <f t="array" ref="F486">IFNA(_xlfn.XLOOKUP(C486,Table_Tarikan_Warkah[Nomor Sertipikat],Table_Tarikan_Warkah[Nama Petugas Warkah]),"")</f>
        <v>David</v>
      </c>
      <c r="G486" s="21" t="str">
        <f t="array" ref="G486">IFNA(_xlfn.XLOOKUP(C486,Table_Tarikan_Warkah[Nomor Sertipikat],Table_Tarikan_Warkah[Jenis Permohonan]),"")</f>
        <v>BN JUAL BELI</v>
      </c>
      <c r="H486" s="22" t="s">
        <v>37</v>
      </c>
      <c r="I486" s="22" t="s">
        <v>32</v>
      </c>
      <c r="J486" s="20">
        <f t="shared" si="29"/>
        <v>45603.49431</v>
      </c>
      <c r="K486" s="27" t="s">
        <v>65</v>
      </c>
      <c r="L486" s="27" t="s">
        <v>32</v>
      </c>
      <c r="M486" s="20">
        <f t="shared" si="30"/>
        <v>45604.61897</v>
      </c>
      <c r="N486" s="8" t="str">
        <f t="shared" si="3"/>
        <v>SELESAI</v>
      </c>
      <c r="O486" s="23">
        <f t="shared" si="22"/>
        <v>45604.61897</v>
      </c>
      <c r="P486" s="24" t="b">
        <v>0</v>
      </c>
      <c r="Q486" s="20" t="str">
        <f t="shared" si="5"/>
        <v/>
      </c>
      <c r="R486" s="24" t="b">
        <v>1</v>
      </c>
      <c r="S486" s="20">
        <f t="shared" si="6"/>
        <v>45604.62011</v>
      </c>
      <c r="T486" s="7"/>
    </row>
    <row r="487" ht="22.5" hidden="1" customHeight="1">
      <c r="B487" s="7">
        <f t="shared" si="7"/>
        <v>481</v>
      </c>
      <c r="C487" s="18" t="s">
        <v>489</v>
      </c>
      <c r="D487" s="19" t="str">
        <f t="array" ref="D487">IFNA(_xlfn.XLOOKUP(C487,Table_Tarikan_Warkah[Nomor Sertipikat],Table_Tarikan_Warkah[Nomor Tiket]),"")</f>
        <v>K/22/051124/2</v>
      </c>
      <c r="E487" s="20">
        <f t="array" ref="E487">IFNA(_xlfn.XLOOKUP(C487,Table_Tarikan_Warkah[Nomor Sertipikat],Table_Tarikan_Warkah[Tanggal diserahkan kepada Validator]),"")</f>
        <v>45602.56403</v>
      </c>
      <c r="F487" s="20" t="str">
        <f t="array" ref="F487">IFNA(_xlfn.XLOOKUP(C487,Table_Tarikan_Warkah[Nomor Sertipikat],Table_Tarikan_Warkah[Nama Petugas Warkah]),"")</f>
        <v>David</v>
      </c>
      <c r="G487" s="21" t="str">
        <f t="array" ref="G487">IFNA(_xlfn.XLOOKUP(C487,Table_Tarikan_Warkah[Nomor Sertipikat],Table_Tarikan_Warkah[Jenis Permohonan]),"")</f>
        <v>BN JUAL BELI</v>
      </c>
      <c r="H487" s="22" t="s">
        <v>37</v>
      </c>
      <c r="I487" s="22" t="s">
        <v>32</v>
      </c>
      <c r="J487" s="20">
        <f t="shared" si="29"/>
        <v>45603.49442</v>
      </c>
      <c r="K487" s="27" t="s">
        <v>65</v>
      </c>
      <c r="L487" s="27" t="s">
        <v>32</v>
      </c>
      <c r="M487" s="20">
        <f t="shared" si="30"/>
        <v>45604.61906</v>
      </c>
      <c r="N487" s="8" t="str">
        <f t="shared" si="3"/>
        <v>SELESAI</v>
      </c>
      <c r="O487" s="23">
        <f t="shared" si="22"/>
        <v>45604.61906</v>
      </c>
      <c r="P487" s="24" t="b">
        <v>0</v>
      </c>
      <c r="Q487" s="20" t="str">
        <f t="shared" si="5"/>
        <v/>
      </c>
      <c r="R487" s="24" t="b">
        <v>1</v>
      </c>
      <c r="S487" s="20">
        <f t="shared" si="6"/>
        <v>45604.62011</v>
      </c>
      <c r="T487" s="7"/>
    </row>
    <row r="488" ht="22.5" hidden="1" customHeight="1">
      <c r="B488" s="7">
        <f t="shared" si="7"/>
        <v>482</v>
      </c>
      <c r="C488" s="18" t="s">
        <v>490</v>
      </c>
      <c r="D488" s="19" t="str">
        <f t="array" ref="D488">IFNA(_xlfn.XLOOKUP(C488,Table_Tarikan_Warkah[Nomor Sertipikat],Table_Tarikan_Warkah[Nomor Tiket]),"")</f>
        <v>K/19/051124/1</v>
      </c>
      <c r="E488" s="20">
        <f t="array" ref="E488">IFNA(_xlfn.XLOOKUP(C488,Table_Tarikan_Warkah[Nomor Sertipikat],Table_Tarikan_Warkah[Tanggal diserahkan kepada Validator]),"")</f>
        <v>45602.56312</v>
      </c>
      <c r="F488" s="20" t="str">
        <f t="array" ref="F488">IFNA(_xlfn.XLOOKUP(C488,Table_Tarikan_Warkah[Nomor Sertipikat],Table_Tarikan_Warkah[Nama Petugas Warkah]),"")</f>
        <v>David</v>
      </c>
      <c r="G488" s="21" t="str">
        <f t="array" ref="G488">IFNA(_xlfn.XLOOKUP(C488,Table_Tarikan_Warkah[Nomor Sertipikat],Table_Tarikan_Warkah[Jenis Permohonan]),"")</f>
        <v>BN JUAL BELI</v>
      </c>
      <c r="H488" s="22" t="s">
        <v>37</v>
      </c>
      <c r="I488" s="22" t="s">
        <v>32</v>
      </c>
      <c r="J488" s="20">
        <f t="shared" si="29"/>
        <v>45603.49451</v>
      </c>
      <c r="K488" s="27" t="s">
        <v>65</v>
      </c>
      <c r="L488" s="27" t="s">
        <v>32</v>
      </c>
      <c r="M488" s="20">
        <f t="shared" si="30"/>
        <v>45604.61906</v>
      </c>
      <c r="N488" s="8" t="str">
        <f t="shared" si="3"/>
        <v>SELESAI</v>
      </c>
      <c r="O488" s="23">
        <f t="shared" si="22"/>
        <v>45604.61906</v>
      </c>
      <c r="P488" s="24" t="b">
        <v>0</v>
      </c>
      <c r="Q488" s="20" t="str">
        <f t="shared" si="5"/>
        <v/>
      </c>
      <c r="R488" s="24" t="b">
        <v>1</v>
      </c>
      <c r="S488" s="20">
        <f t="shared" si="6"/>
        <v>45604.62013</v>
      </c>
      <c r="T488" s="7"/>
    </row>
    <row r="489" ht="22.5" hidden="1" customHeight="1">
      <c r="B489" s="7">
        <f t="shared" si="7"/>
        <v>483</v>
      </c>
      <c r="C489" s="18" t="s">
        <v>491</v>
      </c>
      <c r="D489" s="19" t="str">
        <f t="array" ref="D489">IFNA(_xlfn.XLOOKUP(C489,Table_Tarikan_Warkah[Nomor Sertipikat],Table_Tarikan_Warkah[Nomor Tiket]),"")</f>
        <v>L/49/051124/1</v>
      </c>
      <c r="E489" s="20">
        <f t="array" ref="E489">IFNA(_xlfn.XLOOKUP(C489,Table_Tarikan_Warkah[Nomor Sertipikat],Table_Tarikan_Warkah[Tanggal diserahkan kepada Validator]),"")</f>
        <v>45602.57185</v>
      </c>
      <c r="F489" s="20" t="str">
        <f t="array" ref="F489">IFNA(_xlfn.XLOOKUP(C489,Table_Tarikan_Warkah[Nomor Sertipikat],Table_Tarikan_Warkah[Nama Petugas Warkah]),"")</f>
        <v>Berry</v>
      </c>
      <c r="G489" s="21" t="str">
        <f t="array" ref="G489">IFNA(_xlfn.XLOOKUP(C489,Table_Tarikan_Warkah[Nomor Sertipikat],Table_Tarikan_Warkah[Jenis Permohonan]),"")</f>
        <v>ROYA</v>
      </c>
      <c r="H489" s="22" t="s">
        <v>37</v>
      </c>
      <c r="I489" s="22" t="s">
        <v>32</v>
      </c>
      <c r="J489" s="20">
        <f t="shared" si="29"/>
        <v>45603.49461</v>
      </c>
      <c r="K489" s="27" t="s">
        <v>65</v>
      </c>
      <c r="L489" s="27" t="s">
        <v>32</v>
      </c>
      <c r="M489" s="20">
        <f t="shared" si="30"/>
        <v>45604.61908</v>
      </c>
      <c r="N489" s="8" t="str">
        <f t="shared" si="3"/>
        <v>SELESAI</v>
      </c>
      <c r="O489" s="23">
        <f t="shared" si="22"/>
        <v>45604.61908</v>
      </c>
      <c r="P489" s="24" t="b">
        <v>0</v>
      </c>
      <c r="Q489" s="20" t="str">
        <f t="shared" si="5"/>
        <v/>
      </c>
      <c r="R489" s="24" t="b">
        <v>1</v>
      </c>
      <c r="S489" s="20">
        <f t="shared" si="6"/>
        <v>45604.62013</v>
      </c>
      <c r="T489" s="7"/>
    </row>
    <row r="490" ht="22.5" hidden="1" customHeight="1">
      <c r="B490" s="7">
        <f t="shared" si="7"/>
        <v>484</v>
      </c>
      <c r="C490" s="18" t="s">
        <v>492</v>
      </c>
      <c r="D490" s="19" t="str">
        <f t="array" ref="D490">IFNA(_xlfn.XLOOKUP(C490,Table_Tarikan_Warkah[Nomor Sertipikat],Table_Tarikan_Warkah[Nomor Tiket]),"")</f>
        <v>K/39/051124/1</v>
      </c>
      <c r="E490" s="20">
        <f t="array" ref="E490">IFNA(_xlfn.XLOOKUP(C490,Table_Tarikan_Warkah[Nomor Sertipikat],Table_Tarikan_Warkah[Tanggal diserahkan kepada Validator]),"")</f>
        <v>45602.5717</v>
      </c>
      <c r="F490" s="20" t="str">
        <f t="array" ref="F490">IFNA(_xlfn.XLOOKUP(C490,Table_Tarikan_Warkah[Nomor Sertipikat],Table_Tarikan_Warkah[Nama Petugas Warkah]),"")</f>
        <v>Berry</v>
      </c>
      <c r="G490" s="21" t="str">
        <f t="array" ref="G490">IFNA(_xlfn.XLOOKUP(C490,Table_Tarikan_Warkah[Nomor Sertipikat],Table_Tarikan_Warkah[Jenis Permohonan]),"")</f>
        <v>BN Jual Beli</v>
      </c>
      <c r="H490" s="22" t="s">
        <v>37</v>
      </c>
      <c r="I490" s="22" t="s">
        <v>32</v>
      </c>
      <c r="J490" s="20">
        <f t="shared" si="29"/>
        <v>45603.49471</v>
      </c>
      <c r="K490" s="27" t="s">
        <v>65</v>
      </c>
      <c r="L490" s="27" t="s">
        <v>32</v>
      </c>
      <c r="M490" s="20">
        <f t="shared" si="30"/>
        <v>45604.61908</v>
      </c>
      <c r="N490" s="8" t="str">
        <f t="shared" si="3"/>
        <v>SELESAI</v>
      </c>
      <c r="O490" s="23">
        <f t="shared" si="22"/>
        <v>45604.61908</v>
      </c>
      <c r="P490" s="24" t="b">
        <v>0</v>
      </c>
      <c r="Q490" s="20" t="str">
        <f t="shared" si="5"/>
        <v/>
      </c>
      <c r="R490" s="24" t="b">
        <v>1</v>
      </c>
      <c r="S490" s="20">
        <f t="shared" si="6"/>
        <v>45604.62014</v>
      </c>
      <c r="T490" s="7"/>
    </row>
    <row r="491" ht="22.5" hidden="1" customHeight="1">
      <c r="B491" s="7">
        <f t="shared" si="7"/>
        <v>485</v>
      </c>
      <c r="C491" s="18" t="s">
        <v>493</v>
      </c>
      <c r="D491" s="19" t="str">
        <f t="array" ref="D491">IFNA(_xlfn.XLOOKUP(C491,Table_Tarikan_Warkah[Nomor Sertipikat],Table_Tarikan_Warkah[Nomor Tiket]),"")</f>
        <v>K/30/051124/5</v>
      </c>
      <c r="E491" s="20">
        <f t="array" ref="E491">IFNA(_xlfn.XLOOKUP(C491,Table_Tarikan_Warkah[Nomor Sertipikat],Table_Tarikan_Warkah[Tanggal diserahkan kepada Validator]),"")</f>
        <v>45602.57149</v>
      </c>
      <c r="F491" s="20" t="str">
        <f t="array" ref="F491">IFNA(_xlfn.XLOOKUP(C491,Table_Tarikan_Warkah[Nomor Sertipikat],Table_Tarikan_Warkah[Nama Petugas Warkah]),"")</f>
        <v>Berry</v>
      </c>
      <c r="G491" s="21" t="str">
        <f t="array" ref="G491">IFNA(_xlfn.XLOOKUP(C491,Table_Tarikan_Warkah[Nomor Sertipikat],Table_Tarikan_Warkah[Jenis Permohonan]),"")</f>
        <v>BN JUAL BELI</v>
      </c>
      <c r="H491" s="22" t="s">
        <v>37</v>
      </c>
      <c r="I491" s="22" t="s">
        <v>32</v>
      </c>
      <c r="J491" s="20">
        <f t="shared" si="29"/>
        <v>45603.49482</v>
      </c>
      <c r="K491" s="27" t="s">
        <v>65</v>
      </c>
      <c r="L491" s="27" t="s">
        <v>32</v>
      </c>
      <c r="M491" s="20">
        <f t="shared" si="30"/>
        <v>45604.61911</v>
      </c>
      <c r="N491" s="8" t="str">
        <f t="shared" si="3"/>
        <v>SELESAI</v>
      </c>
      <c r="O491" s="23">
        <f t="shared" si="22"/>
        <v>45604.61911</v>
      </c>
      <c r="P491" s="24" t="b">
        <v>0</v>
      </c>
      <c r="Q491" s="20" t="str">
        <f t="shared" si="5"/>
        <v/>
      </c>
      <c r="R491" s="24" t="b">
        <v>1</v>
      </c>
      <c r="S491" s="20">
        <f t="shared" si="6"/>
        <v>45604.62014</v>
      </c>
      <c r="T491" s="7"/>
    </row>
    <row r="492" ht="22.5" hidden="1" customHeight="1">
      <c r="B492" s="7">
        <f t="shared" si="7"/>
        <v>486</v>
      </c>
      <c r="C492" s="18" t="s">
        <v>494</v>
      </c>
      <c r="D492" s="19" t="str">
        <f t="array" ref="D492">IFNA(_xlfn.XLOOKUP(C492,Table_Tarikan_Warkah[Nomor Sertipikat],Table_Tarikan_Warkah[Nomor Tiket]),"")</f>
        <v>L/31/051124/1</v>
      </c>
      <c r="E492" s="20">
        <f t="array" ref="E492">IFNA(_xlfn.XLOOKUP(C492,Table_Tarikan_Warkah[Nomor Sertipikat],Table_Tarikan_Warkah[Tanggal diserahkan kepada Validator]),"")</f>
        <v>45602.57115</v>
      </c>
      <c r="F492" s="20" t="str">
        <f t="array" ref="F492">IFNA(_xlfn.XLOOKUP(C492,Table_Tarikan_Warkah[Nomor Sertipikat],Table_Tarikan_Warkah[Nama Petugas Warkah]),"")</f>
        <v>Berry</v>
      </c>
      <c r="G492" s="21" t="str">
        <f t="array" ref="G492">IFNA(_xlfn.XLOOKUP(C492,Table_Tarikan_Warkah[Nomor Sertipikat],Table_Tarikan_Warkah[Jenis Permohonan]),"")</f>
        <v>ROYA</v>
      </c>
      <c r="H492" s="22" t="s">
        <v>37</v>
      </c>
      <c r="I492" s="22" t="s">
        <v>32</v>
      </c>
      <c r="J492" s="20">
        <f t="shared" si="29"/>
        <v>45603.49493</v>
      </c>
      <c r="K492" s="27" t="s">
        <v>65</v>
      </c>
      <c r="L492" s="27" t="s">
        <v>32</v>
      </c>
      <c r="M492" s="20">
        <f t="shared" si="30"/>
        <v>45604.61911</v>
      </c>
      <c r="N492" s="8" t="str">
        <f t="shared" si="3"/>
        <v>SELESAI</v>
      </c>
      <c r="O492" s="23">
        <f t="shared" si="22"/>
        <v>45604.61911</v>
      </c>
      <c r="P492" s="24" t="b">
        <v>0</v>
      </c>
      <c r="Q492" s="20" t="str">
        <f t="shared" si="5"/>
        <v/>
      </c>
      <c r="R492" s="24" t="b">
        <v>1</v>
      </c>
      <c r="S492" s="20">
        <f t="shared" si="6"/>
        <v>45604.62015</v>
      </c>
      <c r="T492" s="7"/>
    </row>
    <row r="493" ht="22.5" hidden="1" customHeight="1">
      <c r="B493" s="7">
        <f t="shared" si="7"/>
        <v>487</v>
      </c>
      <c r="C493" s="18" t="s">
        <v>495</v>
      </c>
      <c r="D493" s="19" t="str">
        <f t="array" ref="D493">IFNA(_xlfn.XLOOKUP(C493,Table_Tarikan_Warkah[Nomor Sertipikat],Table_Tarikan_Warkah[Nomor Tiket]),"")</f>
        <v/>
      </c>
      <c r="E493" s="20" t="str">
        <f t="array" ref="E493">IFNA(_xlfn.XLOOKUP(C493,Table_Tarikan_Warkah[Nomor Sertipikat],Table_Tarikan_Warkah[Tanggal diserahkan kepada Validator]),"")</f>
        <v/>
      </c>
      <c r="F493" s="20" t="str">
        <f t="array" ref="F493">IFNA(_xlfn.XLOOKUP(C493,Table_Tarikan_Warkah[Nomor Sertipikat],Table_Tarikan_Warkah[Nama Petugas Warkah]),"")</f>
        <v/>
      </c>
      <c r="G493" s="21" t="str">
        <f t="array" ref="G493">IFNA(_xlfn.XLOOKUP(C493,Table_Tarikan_Warkah[Nomor Sertipikat],Table_Tarikan_Warkah[Jenis Permohonan]),"")</f>
        <v/>
      </c>
      <c r="H493" s="22" t="s">
        <v>37</v>
      </c>
      <c r="I493" s="22" t="s">
        <v>32</v>
      </c>
      <c r="J493" s="20">
        <f t="shared" si="29"/>
        <v>45603.49506</v>
      </c>
      <c r="K493" s="27" t="s">
        <v>65</v>
      </c>
      <c r="L493" s="27" t="s">
        <v>32</v>
      </c>
      <c r="M493" s="20">
        <f t="shared" si="30"/>
        <v>45604.61915</v>
      </c>
      <c r="N493" s="8" t="str">
        <f t="shared" si="3"/>
        <v/>
      </c>
      <c r="O493" s="21" t="str">
        <f t="shared" si="22"/>
        <v/>
      </c>
      <c r="P493" s="24" t="b">
        <v>0</v>
      </c>
      <c r="Q493" s="20" t="str">
        <f t="shared" si="5"/>
        <v/>
      </c>
      <c r="R493" s="24" t="b">
        <v>1</v>
      </c>
      <c r="S493" s="20">
        <f t="shared" si="6"/>
        <v>45604.62015</v>
      </c>
      <c r="T493" s="7"/>
    </row>
    <row r="494" ht="22.5" hidden="1" customHeight="1">
      <c r="B494" s="7">
        <f t="shared" si="7"/>
        <v>488</v>
      </c>
      <c r="C494" s="18" t="s">
        <v>496</v>
      </c>
      <c r="D494" s="19" t="str">
        <f t="array" ref="D494">IFNA(_xlfn.XLOOKUP(C494,Table_Tarikan_Warkah[Nomor Sertipikat],Table_Tarikan_Warkah[Nomor Tiket]),"")</f>
        <v>K/47/051124/1</v>
      </c>
      <c r="E494" s="20">
        <f t="array" ref="E494">IFNA(_xlfn.XLOOKUP(C494,Table_Tarikan_Warkah[Nomor Sertipikat],Table_Tarikan_Warkah[Tanggal diserahkan kepada Validator]),"")</f>
        <v>45602.5702</v>
      </c>
      <c r="F494" s="20" t="str">
        <f t="array" ref="F494">IFNA(_xlfn.XLOOKUP(C494,Table_Tarikan_Warkah[Nomor Sertipikat],Table_Tarikan_Warkah[Nama Petugas Warkah]),"")</f>
        <v>Berry</v>
      </c>
      <c r="G494" s="21" t="str">
        <f t="array" ref="G494">IFNA(_xlfn.XLOOKUP(C494,Table_Tarikan_Warkah[Nomor Sertipikat],Table_Tarikan_Warkah[Jenis Permohonan]),"")</f>
        <v>BN WARIS</v>
      </c>
      <c r="H494" s="22" t="s">
        <v>37</v>
      </c>
      <c r="I494" s="22" t="s">
        <v>32</v>
      </c>
      <c r="J494" s="20">
        <f t="shared" si="29"/>
        <v>45603.49514</v>
      </c>
      <c r="K494" s="27" t="s">
        <v>65</v>
      </c>
      <c r="L494" s="27" t="s">
        <v>32</v>
      </c>
      <c r="M494" s="20">
        <f t="shared" si="30"/>
        <v>45604.61915</v>
      </c>
      <c r="N494" s="8" t="str">
        <f t="shared" si="3"/>
        <v>SELESAI</v>
      </c>
      <c r="O494" s="23">
        <f t="shared" si="22"/>
        <v>45604.61915</v>
      </c>
      <c r="P494" s="24" t="b">
        <v>0</v>
      </c>
      <c r="Q494" s="20" t="str">
        <f t="shared" si="5"/>
        <v/>
      </c>
      <c r="R494" s="24" t="b">
        <v>1</v>
      </c>
      <c r="S494" s="20">
        <f t="shared" si="6"/>
        <v>45604.62017</v>
      </c>
      <c r="T494" s="7"/>
    </row>
    <row r="495" ht="22.5" hidden="1" customHeight="1">
      <c r="B495" s="7">
        <f t="shared" si="7"/>
        <v>489</v>
      </c>
      <c r="C495" s="18" t="s">
        <v>497</v>
      </c>
      <c r="D495" s="19" t="str">
        <f t="array" ref="D495">IFNA(_xlfn.XLOOKUP(C495,Table_Tarikan_Warkah[Nomor Sertipikat],Table_Tarikan_Warkah[Nomor Tiket]),"")</f>
        <v>K/44/051124/1</v>
      </c>
      <c r="E495" s="20">
        <f t="array" ref="E495">IFNA(_xlfn.XLOOKUP(C495,Table_Tarikan_Warkah[Nomor Sertipikat],Table_Tarikan_Warkah[Tanggal diserahkan kepada Validator]),"")</f>
        <v>45602.57011</v>
      </c>
      <c r="F495" s="20" t="str">
        <f t="array" ref="F495">IFNA(_xlfn.XLOOKUP(C495,Table_Tarikan_Warkah[Nomor Sertipikat],Table_Tarikan_Warkah[Nama Petugas Warkah]),"")</f>
        <v>Berry</v>
      </c>
      <c r="G495" s="21" t="str">
        <f t="array" ref="G495">IFNA(_xlfn.XLOOKUP(C495,Table_Tarikan_Warkah[Nomor Sertipikat],Table_Tarikan_Warkah[Jenis Permohonan]),"")</f>
        <v>KEWARISAN</v>
      </c>
      <c r="H495" s="22" t="s">
        <v>37</v>
      </c>
      <c r="I495" s="22" t="s">
        <v>32</v>
      </c>
      <c r="J495" s="20">
        <f t="shared" si="29"/>
        <v>45603.49523</v>
      </c>
      <c r="K495" s="27" t="s">
        <v>65</v>
      </c>
      <c r="L495" s="27" t="s">
        <v>32</v>
      </c>
      <c r="M495" s="20">
        <f t="shared" si="30"/>
        <v>45604.61917</v>
      </c>
      <c r="N495" s="8" t="str">
        <f t="shared" si="3"/>
        <v>SELESAI</v>
      </c>
      <c r="O495" s="23">
        <f t="shared" si="22"/>
        <v>45604.61917</v>
      </c>
      <c r="P495" s="24" t="b">
        <v>0</v>
      </c>
      <c r="Q495" s="20" t="str">
        <f t="shared" si="5"/>
        <v/>
      </c>
      <c r="R495" s="24" t="b">
        <v>1</v>
      </c>
      <c r="S495" s="20">
        <f t="shared" si="6"/>
        <v>45604.62003</v>
      </c>
      <c r="T495" s="7"/>
    </row>
    <row r="496" ht="22.5" hidden="1" customHeight="1">
      <c r="B496" s="7">
        <f t="shared" si="7"/>
        <v>490</v>
      </c>
      <c r="C496" s="18" t="s">
        <v>498</v>
      </c>
      <c r="D496" s="19" t="str">
        <f t="array" ref="D496">IFNA(_xlfn.XLOOKUP(C496,Table_Tarikan_Warkah[Nomor Sertipikat],Table_Tarikan_Warkah[Nomor Tiket]),"")</f>
        <v>K/41/051124/1</v>
      </c>
      <c r="E496" s="20">
        <f t="array" ref="E496">IFNA(_xlfn.XLOOKUP(C496,Table_Tarikan_Warkah[Nomor Sertipikat],Table_Tarikan_Warkah[Tanggal diserahkan kepada Validator]),"")</f>
        <v>45602.56976</v>
      </c>
      <c r="F496" s="20" t="str">
        <f t="array" ref="F496">IFNA(_xlfn.XLOOKUP(C496,Table_Tarikan_Warkah[Nomor Sertipikat],Table_Tarikan_Warkah[Nama Petugas Warkah]),"")</f>
        <v>Berry</v>
      </c>
      <c r="G496" s="21" t="str">
        <f t="array" ref="G496">IFNA(_xlfn.XLOOKUP(C496,Table_Tarikan_Warkah[Nomor Sertipikat],Table_Tarikan_Warkah[Jenis Permohonan]),"")</f>
        <v>BN JUAL BELI</v>
      </c>
      <c r="H496" s="22" t="s">
        <v>37</v>
      </c>
      <c r="I496" s="22" t="s">
        <v>32</v>
      </c>
      <c r="J496" s="20">
        <f t="shared" si="29"/>
        <v>45603.49531</v>
      </c>
      <c r="K496" s="27" t="s">
        <v>65</v>
      </c>
      <c r="L496" s="27" t="s">
        <v>32</v>
      </c>
      <c r="M496" s="20">
        <f t="shared" si="30"/>
        <v>45604.61917</v>
      </c>
      <c r="N496" s="8" t="str">
        <f t="shared" si="3"/>
        <v>SELESAI</v>
      </c>
      <c r="O496" s="23">
        <f t="shared" si="22"/>
        <v>45604.61917</v>
      </c>
      <c r="P496" s="24" t="b">
        <v>0</v>
      </c>
      <c r="Q496" s="20" t="str">
        <f t="shared" si="5"/>
        <v/>
      </c>
      <c r="R496" s="24" t="b">
        <v>1</v>
      </c>
      <c r="S496" s="20">
        <f t="shared" si="6"/>
        <v>45604.62003</v>
      </c>
      <c r="T496" s="7"/>
    </row>
    <row r="497" ht="22.5" hidden="1" customHeight="1">
      <c r="B497" s="7">
        <f t="shared" si="7"/>
        <v>491</v>
      </c>
      <c r="C497" s="18" t="s">
        <v>499</v>
      </c>
      <c r="D497" s="19" t="str">
        <f t="array" ref="D497">IFNA(_xlfn.XLOOKUP(C497,Table_Tarikan_Warkah[Nomor Sertipikat],Table_Tarikan_Warkah[Nomor Tiket]),"")</f>
        <v>K/48/051124/1</v>
      </c>
      <c r="E497" s="20">
        <f t="array" ref="E497">IFNA(_xlfn.XLOOKUP(C497,Table_Tarikan_Warkah[Nomor Sertipikat],Table_Tarikan_Warkah[Tanggal diserahkan kepada Validator]),"")</f>
        <v>45602.572</v>
      </c>
      <c r="F497" s="20" t="str">
        <f t="array" ref="F497">IFNA(_xlfn.XLOOKUP(C497,Table_Tarikan_Warkah[Nomor Sertipikat],Table_Tarikan_Warkah[Nama Petugas Warkah]),"")</f>
        <v>Berry</v>
      </c>
      <c r="G497" s="21" t="str">
        <f t="array" ref="G497">IFNA(_xlfn.XLOOKUP(C497,Table_Tarikan_Warkah[Nomor Sertipikat],Table_Tarikan_Warkah[Jenis Permohonan]),"")</f>
        <v>BN Jual Beli</v>
      </c>
      <c r="H497" s="22" t="s">
        <v>37</v>
      </c>
      <c r="I497" s="22" t="s">
        <v>32</v>
      </c>
      <c r="J497" s="20">
        <f t="shared" si="29"/>
        <v>45603.49539</v>
      </c>
      <c r="K497" s="27" t="s">
        <v>65</v>
      </c>
      <c r="L497" s="27" t="s">
        <v>32</v>
      </c>
      <c r="M497" s="20">
        <f t="shared" si="30"/>
        <v>45604.61921</v>
      </c>
      <c r="N497" s="8" t="str">
        <f t="shared" si="3"/>
        <v>SELESAI</v>
      </c>
      <c r="O497" s="23">
        <f t="shared" si="22"/>
        <v>45604.61921</v>
      </c>
      <c r="P497" s="24" t="b">
        <v>0</v>
      </c>
      <c r="Q497" s="20" t="str">
        <f t="shared" si="5"/>
        <v/>
      </c>
      <c r="R497" s="24" t="b">
        <v>1</v>
      </c>
      <c r="S497" s="20">
        <f t="shared" si="6"/>
        <v>45604.62001</v>
      </c>
      <c r="T497" s="7"/>
    </row>
    <row r="498" ht="22.5" hidden="1" customHeight="1">
      <c r="B498" s="7">
        <f t="shared" si="7"/>
        <v>492</v>
      </c>
      <c r="C498" s="18" t="s">
        <v>500</v>
      </c>
      <c r="D498" s="19" t="str">
        <f t="array" ref="D498">IFNA(_xlfn.XLOOKUP(C498,Table_Tarikan_Warkah[Nomor Sertipikat],Table_Tarikan_Warkah[Nomor Tiket]),"")</f>
        <v>K/54/051124/1</v>
      </c>
      <c r="E498" s="20">
        <f t="array" ref="E498">IFNA(_xlfn.XLOOKUP(C498,Table_Tarikan_Warkah[Nomor Sertipikat],Table_Tarikan_Warkah[Tanggal diserahkan kepada Validator]),"")</f>
        <v>45602.56988</v>
      </c>
      <c r="F498" s="20" t="str">
        <f t="array" ref="F498">IFNA(_xlfn.XLOOKUP(C498,Table_Tarikan_Warkah[Nomor Sertipikat],Table_Tarikan_Warkah[Nama Petugas Warkah]),"")</f>
        <v>Berry</v>
      </c>
      <c r="G498" s="21" t="str">
        <f t="array" ref="G498">IFNA(_xlfn.XLOOKUP(C498,Table_Tarikan_Warkah[Nomor Sertipikat],Table_Tarikan_Warkah[Jenis Permohonan]),"")</f>
        <v>BN Jual Beli</v>
      </c>
      <c r="H498" s="22" t="s">
        <v>37</v>
      </c>
      <c r="I498" s="22" t="s">
        <v>32</v>
      </c>
      <c r="J498" s="20">
        <f t="shared" si="29"/>
        <v>45603.49547</v>
      </c>
      <c r="K498" s="27" t="s">
        <v>65</v>
      </c>
      <c r="L498" s="27" t="s">
        <v>32</v>
      </c>
      <c r="M498" s="20">
        <f t="shared" si="30"/>
        <v>45604.61921</v>
      </c>
      <c r="N498" s="8" t="str">
        <f t="shared" si="3"/>
        <v>SELESAI</v>
      </c>
      <c r="O498" s="23">
        <f t="shared" si="22"/>
        <v>45604.61921</v>
      </c>
      <c r="P498" s="24" t="b">
        <v>0</v>
      </c>
      <c r="Q498" s="20" t="str">
        <f t="shared" si="5"/>
        <v/>
      </c>
      <c r="R498" s="24" t="b">
        <v>1</v>
      </c>
      <c r="S498" s="20">
        <f t="shared" si="6"/>
        <v>45604.61999</v>
      </c>
      <c r="T498" s="7"/>
    </row>
    <row r="499" ht="22.5" hidden="1" customHeight="1">
      <c r="B499" s="7">
        <f t="shared" si="7"/>
        <v>493</v>
      </c>
      <c r="C499" s="18" t="s">
        <v>501</v>
      </c>
      <c r="D499" s="19" t="str">
        <f t="array" ref="D499">IFNA(_xlfn.XLOOKUP(C499,Table_Tarikan_Warkah[Nomor Sertipikat],Table_Tarikan_Warkah[Nomor Tiket]),"")</f>
        <v>K/48/041124/2</v>
      </c>
      <c r="E499" s="20">
        <f t="array" ref="E499">IFNA(_xlfn.XLOOKUP(C499,Table_Tarikan_Warkah[Nomor Sertipikat],Table_Tarikan_Warkah[Tanggal diserahkan kepada Validator]),"")</f>
        <v>45608.58217</v>
      </c>
      <c r="F499" s="20" t="str">
        <f t="array" ref="F499">IFNA(_xlfn.XLOOKUP(C499,Table_Tarikan_Warkah[Nomor Sertipikat],Table_Tarikan_Warkah[Nama Petugas Warkah]),"")</f>
        <v>David</v>
      </c>
      <c r="G499" s="21" t="str">
        <f t="array" ref="G499">IFNA(_xlfn.XLOOKUP(C499,Table_Tarikan_Warkah[Nomor Sertipikat],Table_Tarikan_Warkah[Jenis Permohonan]),"")</f>
        <v>BN Jual Beli</v>
      </c>
      <c r="H499" s="22" t="s">
        <v>37</v>
      </c>
      <c r="I499" s="22" t="s">
        <v>32</v>
      </c>
      <c r="J499" s="20">
        <f t="shared" si="29"/>
        <v>45603.61548</v>
      </c>
      <c r="K499" s="27" t="s">
        <v>33</v>
      </c>
      <c r="L499" s="27" t="s">
        <v>187</v>
      </c>
      <c r="M499" s="20">
        <f t="shared" si="30"/>
        <v>45604.61956</v>
      </c>
      <c r="N499" s="8" t="str">
        <f t="shared" si="3"/>
        <v>Selesai</v>
      </c>
      <c r="O499" s="23">
        <f t="shared" si="22"/>
        <v>45604.61956</v>
      </c>
      <c r="P499" s="24" t="b">
        <v>1</v>
      </c>
      <c r="Q499" s="20">
        <f t="shared" si="5"/>
        <v>45604.61997</v>
      </c>
      <c r="R499" s="24" t="b">
        <v>0</v>
      </c>
      <c r="S499" s="7" t="str">
        <f t="shared" si="6"/>
        <v/>
      </c>
      <c r="T499" s="7"/>
    </row>
    <row r="500" ht="22.5" hidden="1" customHeight="1">
      <c r="B500" s="7">
        <f t="shared" si="7"/>
        <v>494</v>
      </c>
      <c r="C500" s="18" t="s">
        <v>502</v>
      </c>
      <c r="D500" s="19" t="str">
        <f t="array" ref="D500">IFNA(_xlfn.XLOOKUP(C500,Table_Tarikan_Warkah[Nomor Sertipikat],Table_Tarikan_Warkah[Nomor Tiket]),"")</f>
        <v>K/38/311024/1</v>
      </c>
      <c r="E500" s="20">
        <f t="array" ref="E500">IFNA(_xlfn.XLOOKUP(C500,Table_Tarikan_Warkah[Nomor Sertipikat],Table_Tarikan_Warkah[Tanggal diserahkan kepada Validator]),"")</f>
        <v>45609.59345</v>
      </c>
      <c r="F500" s="20" t="str">
        <f t="array" ref="F500">IFNA(_xlfn.XLOOKUP(C500,Table_Tarikan_Warkah[Nomor Sertipikat],Table_Tarikan_Warkah[Nama Petugas Warkah]),"")</f>
        <v>David</v>
      </c>
      <c r="G500" s="21" t="str">
        <f t="array" ref="G500">IFNA(_xlfn.XLOOKUP(C500,Table_Tarikan_Warkah[Nomor Sertipikat],Table_Tarikan_Warkah[Jenis Permohonan]),"")</f>
        <v>Ganti Nama Kreditur</v>
      </c>
      <c r="H500" s="22" t="s">
        <v>37</v>
      </c>
      <c r="I500" s="22" t="s">
        <v>32</v>
      </c>
      <c r="J500" s="20">
        <f t="shared" si="29"/>
        <v>45603.61585</v>
      </c>
      <c r="K500" s="27" t="s">
        <v>33</v>
      </c>
      <c r="L500" s="27" t="s">
        <v>187</v>
      </c>
      <c r="M500" s="20">
        <f t="shared" si="30"/>
        <v>45604.61961</v>
      </c>
      <c r="N500" s="8" t="str">
        <f t="shared" si="3"/>
        <v>Selesai</v>
      </c>
      <c r="O500" s="23">
        <f t="shared" si="22"/>
        <v>45604.61961</v>
      </c>
      <c r="P500" s="24" t="b">
        <v>1</v>
      </c>
      <c r="Q500" s="20">
        <f t="shared" si="5"/>
        <v>45604.61994</v>
      </c>
      <c r="R500" s="24" t="b">
        <v>1</v>
      </c>
      <c r="S500" s="20">
        <f t="shared" si="6"/>
        <v>45609.64436</v>
      </c>
      <c r="T500" s="7"/>
    </row>
    <row r="501" ht="22.5" hidden="1" customHeight="1">
      <c r="B501" s="7">
        <f t="shared" si="7"/>
        <v>495</v>
      </c>
      <c r="C501" s="18" t="s">
        <v>503</v>
      </c>
      <c r="D501" s="19" t="str">
        <f t="array" ref="D501">IFNA(_xlfn.XLOOKUP(C501,Table_Tarikan_Warkah[Nomor Sertipikat],Table_Tarikan_Warkah[Nomor Tiket]),"")</f>
        <v>K/4/041124/1</v>
      </c>
      <c r="E501" s="20">
        <f t="array" ref="E501">IFNA(_xlfn.XLOOKUP(C501,Table_Tarikan_Warkah[Nomor Sertipikat],Table_Tarikan_Warkah[Tanggal diserahkan kepada Validator]),"")</f>
        <v>45615.57033</v>
      </c>
      <c r="F501" s="20" t="str">
        <f t="array" ref="F501">IFNA(_xlfn.XLOOKUP(C501,Table_Tarikan_Warkah[Nomor Sertipikat],Table_Tarikan_Warkah[Nama Petugas Warkah]),"")</f>
        <v>David</v>
      </c>
      <c r="G501" s="21" t="str">
        <f t="array" ref="G501">IFNA(_xlfn.XLOOKUP(C501,Table_Tarikan_Warkah[Nomor Sertipikat],Table_Tarikan_Warkah[Jenis Permohonan]),"")</f>
        <v>BN Hibah</v>
      </c>
      <c r="H501" s="22" t="s">
        <v>37</v>
      </c>
      <c r="I501" s="22" t="s">
        <v>32</v>
      </c>
      <c r="J501" s="20">
        <f t="shared" si="29"/>
        <v>45603.61637</v>
      </c>
      <c r="K501" s="27" t="s">
        <v>33</v>
      </c>
      <c r="L501" s="27" t="s">
        <v>187</v>
      </c>
      <c r="M501" s="20">
        <f t="shared" si="30"/>
        <v>45604.61972</v>
      </c>
      <c r="N501" s="8" t="str">
        <f t="shared" si="3"/>
        <v>Selesai</v>
      </c>
      <c r="O501" s="23">
        <f t="shared" si="22"/>
        <v>45604.61972</v>
      </c>
      <c r="P501" s="24" t="b">
        <v>1</v>
      </c>
      <c r="Q501" s="20">
        <f t="shared" si="5"/>
        <v>45604.61992</v>
      </c>
      <c r="R501" s="24" t="b">
        <v>0</v>
      </c>
      <c r="S501" s="7" t="str">
        <f t="shared" si="6"/>
        <v/>
      </c>
      <c r="T501" s="7"/>
    </row>
    <row r="502" ht="22.5" hidden="1" customHeight="1">
      <c r="B502" s="7">
        <f t="shared" si="7"/>
        <v>496</v>
      </c>
      <c r="C502" s="18" t="s">
        <v>504</v>
      </c>
      <c r="D502" s="19" t="str">
        <f t="array" ref="D502">IFNA(_xlfn.XLOOKUP(C502,Table_Tarikan_Warkah[Nomor Sertipikat],Table_Tarikan_Warkah[Nomor Tiket]),"")</f>
        <v>K/11/041124/1</v>
      </c>
      <c r="E502" s="20" t="str">
        <f t="array" ref="E502">IFNA(_xlfn.XLOOKUP(C502,Table_Tarikan_Warkah[Nomor Sertipikat],Table_Tarikan_Warkah[Tanggal diserahkan kepada Validator]),"")</f>
        <v/>
      </c>
      <c r="F502" s="20" t="str">
        <f t="array" ref="F502">IFNA(_xlfn.XLOOKUP(C502,Table_Tarikan_Warkah[Nomor Sertipikat],Table_Tarikan_Warkah[Nama Petugas Warkah]),"")</f>
        <v>Berry</v>
      </c>
      <c r="G502" s="21" t="str">
        <f t="array" ref="G502">IFNA(_xlfn.XLOOKUP(C502,Table_Tarikan_Warkah[Nomor Sertipikat],Table_Tarikan_Warkah[Jenis Permohonan]),"")</f>
        <v>BN Jual Beli</v>
      </c>
      <c r="H502" s="22" t="s">
        <v>37</v>
      </c>
      <c r="I502" s="22" t="s">
        <v>32</v>
      </c>
      <c r="J502" s="20">
        <f t="shared" si="29"/>
        <v>45603.61661</v>
      </c>
      <c r="K502" s="27" t="s">
        <v>33</v>
      </c>
      <c r="L502" s="27" t="s">
        <v>187</v>
      </c>
      <c r="M502" s="20">
        <f t="shared" si="30"/>
        <v>45604.61972</v>
      </c>
      <c r="N502" s="8" t="str">
        <f t="shared" si="3"/>
        <v>Selesai</v>
      </c>
      <c r="O502" s="23">
        <f t="shared" si="22"/>
        <v>45604.61972</v>
      </c>
      <c r="P502" s="24" t="b">
        <v>1</v>
      </c>
      <c r="Q502" s="20">
        <f t="shared" si="5"/>
        <v>45604.61992</v>
      </c>
      <c r="R502" s="24" t="b">
        <v>0</v>
      </c>
      <c r="S502" s="7" t="str">
        <f t="shared" si="6"/>
        <v/>
      </c>
      <c r="T502" s="7"/>
    </row>
    <row r="503" ht="22.5" hidden="1" customHeight="1">
      <c r="B503" s="7">
        <f t="shared" si="7"/>
        <v>497</v>
      </c>
      <c r="C503" s="18" t="s">
        <v>505</v>
      </c>
      <c r="D503" s="19" t="str">
        <f t="array" ref="D503">IFNA(_xlfn.XLOOKUP(C503,Table_Tarikan_Warkah[Nomor Sertipikat],Table_Tarikan_Warkah[Nomor Tiket]),"")</f>
        <v>K/39/221024/1</v>
      </c>
      <c r="E503" s="20">
        <f t="array" ref="E503">IFNA(_xlfn.XLOOKUP(C503,Table_Tarikan_Warkah[Nomor Sertipikat],Table_Tarikan_Warkah[Tanggal diserahkan kepada Validator]),"")</f>
        <v>45608.58333</v>
      </c>
      <c r="F503" s="20" t="str">
        <f t="array" ref="F503">IFNA(_xlfn.XLOOKUP(C503,Table_Tarikan_Warkah[Nomor Sertipikat],Table_Tarikan_Warkah[Nama Petugas Warkah]),"")</f>
        <v>Sahelia</v>
      </c>
      <c r="G503" s="21" t="str">
        <f t="array" ref="G503">IFNA(_xlfn.XLOOKUP(C503,Table_Tarikan_Warkah[Nomor Sertipikat],Table_Tarikan_Warkah[Jenis Permohonan]),"")</f>
        <v>BN Jual Beli</v>
      </c>
      <c r="H503" s="22" t="s">
        <v>37</v>
      </c>
      <c r="I503" s="22" t="s">
        <v>32</v>
      </c>
      <c r="J503" s="20">
        <f t="shared" si="29"/>
        <v>45603.61701</v>
      </c>
      <c r="K503" s="27" t="s">
        <v>33</v>
      </c>
      <c r="L503" s="27" t="s">
        <v>187</v>
      </c>
      <c r="M503" s="20">
        <f t="shared" si="30"/>
        <v>45604.61974</v>
      </c>
      <c r="N503" s="8" t="str">
        <f t="shared" si="3"/>
        <v>Selesai</v>
      </c>
      <c r="O503" s="23">
        <f t="shared" si="22"/>
        <v>45604.61974</v>
      </c>
      <c r="P503" s="24" t="b">
        <v>1</v>
      </c>
      <c r="Q503" s="20">
        <f t="shared" si="5"/>
        <v>45604.61989</v>
      </c>
      <c r="R503" s="24" t="b">
        <v>0</v>
      </c>
      <c r="S503" s="7" t="str">
        <f t="shared" si="6"/>
        <v/>
      </c>
      <c r="T503" s="7"/>
    </row>
    <row r="504" ht="22.5" hidden="1" customHeight="1">
      <c r="B504" s="7">
        <f t="shared" si="7"/>
        <v>498</v>
      </c>
      <c r="C504" s="18" t="s">
        <v>506</v>
      </c>
      <c r="D504" s="19" t="str">
        <f t="array" ref="D504">IFNA(_xlfn.XLOOKUP(C504,Table_Tarikan_Warkah[Nomor Sertipikat],Table_Tarikan_Warkah[Nomor Tiket]),"")</f>
        <v>K/62/051124/4</v>
      </c>
      <c r="E504" s="20">
        <f t="array" ref="E504">IFNA(_xlfn.XLOOKUP(C504,Table_Tarikan_Warkah[Nomor Sertipikat],Table_Tarikan_Warkah[Tanggal diserahkan kepada Validator]),"")</f>
        <v>45604.47693</v>
      </c>
      <c r="F504" s="20" t="str">
        <f t="array" ref="F504">IFNA(_xlfn.XLOOKUP(C504,Table_Tarikan_Warkah[Nomor Sertipikat],Table_Tarikan_Warkah[Nama Petugas Warkah]),"")</f>
        <v>Berry</v>
      </c>
      <c r="G504" s="21" t="str">
        <f t="array" ref="G504">IFNA(_xlfn.XLOOKUP(C504,Table_Tarikan_Warkah[Nomor Sertipikat],Table_Tarikan_Warkah[Jenis Permohonan]),"")</f>
        <v>BN JUAL BELI</v>
      </c>
      <c r="H504" s="22" t="s">
        <v>37</v>
      </c>
      <c r="I504" s="22" t="s">
        <v>32</v>
      </c>
      <c r="J504" s="20">
        <f t="shared" si="29"/>
        <v>45603.61739</v>
      </c>
      <c r="K504" s="27" t="s">
        <v>33</v>
      </c>
      <c r="L504" s="27" t="s">
        <v>187</v>
      </c>
      <c r="M504" s="20">
        <f t="shared" si="30"/>
        <v>45603.62956</v>
      </c>
      <c r="N504" s="8" t="str">
        <f t="shared" si="3"/>
        <v>Selesai</v>
      </c>
      <c r="O504" s="23">
        <f t="shared" si="22"/>
        <v>45603.62956</v>
      </c>
      <c r="P504" s="24" t="b">
        <v>1</v>
      </c>
      <c r="Q504" s="20">
        <f t="shared" si="5"/>
        <v>45603.62958</v>
      </c>
      <c r="R504" s="24" t="b">
        <v>0</v>
      </c>
      <c r="S504" s="7" t="str">
        <f t="shared" si="6"/>
        <v/>
      </c>
      <c r="T504" s="7"/>
    </row>
    <row r="505" ht="22.5" hidden="1" customHeight="1">
      <c r="B505" s="7">
        <f t="shared" si="7"/>
        <v>499</v>
      </c>
      <c r="C505" s="18" t="s">
        <v>507</v>
      </c>
      <c r="D505" s="19" t="str">
        <f t="array" ref="D505">IFNA(_xlfn.XLOOKUP(C505,Table_Tarikan_Warkah[Nomor Sertipikat],Table_Tarikan_Warkah[Nomor Tiket]),"")</f>
        <v>K/15/171024/1</v>
      </c>
      <c r="E505" s="20" t="str">
        <f t="array" ref="E505">IFNA(_xlfn.XLOOKUP(C505,Table_Tarikan_Warkah[Nomor Sertipikat],Table_Tarikan_Warkah[Tanggal diserahkan kepada Validator]),"")</f>
        <v/>
      </c>
      <c r="F505" s="20" t="str">
        <f t="array" ref="F505">IFNA(_xlfn.XLOOKUP(C505,Table_Tarikan_Warkah[Nomor Sertipikat],Table_Tarikan_Warkah[Nama Petugas Warkah]),"")</f>
        <v/>
      </c>
      <c r="G505" s="21" t="str">
        <f t="array" ref="G505">IFNA(_xlfn.XLOOKUP(C505,Table_Tarikan_Warkah[Nomor Sertipikat],Table_Tarikan_Warkah[Jenis Permohonan]),"")</f>
        <v>PENGUKURAN ULANG</v>
      </c>
      <c r="H505" s="22" t="s">
        <v>37</v>
      </c>
      <c r="I505" s="22" t="s">
        <v>32</v>
      </c>
      <c r="J505" s="20">
        <f t="shared" si="29"/>
        <v>45603.61808</v>
      </c>
      <c r="K505" s="27" t="s">
        <v>33</v>
      </c>
      <c r="L505" s="27" t="s">
        <v>187</v>
      </c>
      <c r="M505" s="20">
        <f t="shared" si="30"/>
        <v>45604.61977</v>
      </c>
      <c r="N505" s="8" t="str">
        <f t="shared" si="3"/>
        <v>Selesai</v>
      </c>
      <c r="O505" s="23">
        <f t="shared" si="22"/>
        <v>45604.61977</v>
      </c>
      <c r="P505" s="24" t="b">
        <v>1</v>
      </c>
      <c r="Q505" s="20">
        <f t="shared" si="5"/>
        <v>45604.61989</v>
      </c>
      <c r="R505" s="24" t="b">
        <v>0</v>
      </c>
      <c r="S505" s="7" t="str">
        <f t="shared" si="6"/>
        <v/>
      </c>
      <c r="T505" s="7"/>
    </row>
    <row r="506" ht="22.5" hidden="1" customHeight="1">
      <c r="B506" s="7">
        <f t="shared" si="7"/>
        <v>500</v>
      </c>
      <c r="C506" s="18" t="s">
        <v>508</v>
      </c>
      <c r="D506" s="19" t="str">
        <f t="array" ref="D506">IFNA(_xlfn.XLOOKUP(C506,Table_Tarikan_Warkah[Nomor Sertipikat],Table_Tarikan_Warkah[Nomor Tiket]),"")</f>
        <v>K/22/041124/2</v>
      </c>
      <c r="E506" s="20">
        <f t="array" ref="E506">IFNA(_xlfn.XLOOKUP(C506,Table_Tarikan_Warkah[Nomor Sertipikat],Table_Tarikan_Warkah[Tanggal diserahkan kepada Validator]),"")</f>
        <v>45604.60962</v>
      </c>
      <c r="F506" s="20" t="str">
        <f t="array" ref="F506">IFNA(_xlfn.XLOOKUP(C506,Table_Tarikan_Warkah[Nomor Sertipikat],Table_Tarikan_Warkah[Nama Petugas Warkah]),"")</f>
        <v>Berry</v>
      </c>
      <c r="G506" s="21" t="str">
        <f t="array" ref="G506">IFNA(_xlfn.XLOOKUP(C506,Table_Tarikan_Warkah[Nomor Sertipikat],Table_Tarikan_Warkah[Jenis Permohonan]),"")</f>
        <v>BN JUAL BELI</v>
      </c>
      <c r="H506" s="22" t="s">
        <v>37</v>
      </c>
      <c r="I506" s="22" t="s">
        <v>32</v>
      </c>
      <c r="J506" s="20">
        <f t="shared" si="29"/>
        <v>45603.61859</v>
      </c>
      <c r="K506" s="27" t="s">
        <v>33</v>
      </c>
      <c r="L506" s="27" t="s">
        <v>187</v>
      </c>
      <c r="M506" s="20">
        <f t="shared" si="30"/>
        <v>45604.61977</v>
      </c>
      <c r="N506" s="8" t="str">
        <f t="shared" si="3"/>
        <v>Selesai</v>
      </c>
      <c r="O506" s="23">
        <f t="shared" si="22"/>
        <v>45604.61977</v>
      </c>
      <c r="P506" s="24" t="b">
        <v>1</v>
      </c>
      <c r="Q506" s="20">
        <f t="shared" si="5"/>
        <v>45604.61988</v>
      </c>
      <c r="R506" s="24" t="b">
        <v>0</v>
      </c>
      <c r="S506" s="7" t="str">
        <f t="shared" si="6"/>
        <v/>
      </c>
      <c r="T506" s="7"/>
    </row>
    <row r="507" ht="22.5" hidden="1" customHeight="1">
      <c r="B507" s="7">
        <f t="shared" si="7"/>
        <v>501</v>
      </c>
      <c r="C507" s="18" t="s">
        <v>509</v>
      </c>
      <c r="D507" s="19" t="str">
        <f t="array" ref="D507">IFNA(_xlfn.XLOOKUP(C507,Table_Tarikan_Warkah[Nomor Sertipikat],Table_Tarikan_Warkah[Nomor Tiket]),"")</f>
        <v>K/14/061124/1</v>
      </c>
      <c r="E507" s="20">
        <f t="array" ref="E507">IFNA(_xlfn.XLOOKUP(C507,Table_Tarikan_Warkah[Nomor Sertipikat],Table_Tarikan_Warkah[Tanggal diserahkan kepada Validator]),"")</f>
        <v>45604.62075</v>
      </c>
      <c r="F507" s="20" t="str">
        <f t="array" ref="F507">IFNA(_xlfn.XLOOKUP(C507,Table_Tarikan_Warkah[Nomor Sertipikat],Table_Tarikan_Warkah[Nama Petugas Warkah]),"")</f>
        <v>Berry</v>
      </c>
      <c r="G507" s="21" t="str">
        <f t="array" ref="G507">IFNA(_xlfn.XLOOKUP(C507,Table_Tarikan_Warkah[Nomor Sertipikat],Table_Tarikan_Warkah[Jenis Permohonan]),"")</f>
        <v>BN JUAL BELI</v>
      </c>
      <c r="H507" s="22" t="s">
        <v>37</v>
      </c>
      <c r="I507" s="22" t="s">
        <v>32</v>
      </c>
      <c r="J507" s="20">
        <f t="shared" si="29"/>
        <v>45604.45061</v>
      </c>
      <c r="K507" s="27" t="s">
        <v>33</v>
      </c>
      <c r="L507" s="27" t="s">
        <v>187</v>
      </c>
      <c r="M507" s="20">
        <f t="shared" si="30"/>
        <v>45607.64702</v>
      </c>
      <c r="N507" s="8" t="str">
        <f t="shared" si="3"/>
        <v>Selesai</v>
      </c>
      <c r="O507" s="23">
        <f t="shared" si="22"/>
        <v>45607.64702</v>
      </c>
      <c r="P507" s="24" t="b">
        <v>1</v>
      </c>
      <c r="Q507" s="20">
        <f t="shared" si="5"/>
        <v>45607.64774</v>
      </c>
      <c r="R507" s="24" t="b">
        <v>0</v>
      </c>
      <c r="S507" s="7" t="str">
        <f t="shared" si="6"/>
        <v/>
      </c>
      <c r="T507" s="7"/>
    </row>
    <row r="508" ht="22.5" hidden="1" customHeight="1">
      <c r="B508" s="7">
        <f t="shared" si="7"/>
        <v>502</v>
      </c>
      <c r="C508" s="18" t="s">
        <v>510</v>
      </c>
      <c r="D508" s="19" t="str">
        <f t="array" ref="D508">IFNA(_xlfn.XLOOKUP(C508,Table_Tarikan_Warkah[Nomor Sertipikat],Table_Tarikan_Warkah[Nomor Tiket]),"")</f>
        <v>L/48/251024/1</v>
      </c>
      <c r="E508" s="20">
        <f t="array" ref="E508">IFNA(_xlfn.XLOOKUP(C508,Table_Tarikan_Warkah[Nomor Sertipikat],Table_Tarikan_Warkah[Tanggal diserahkan kepada Validator]),"")</f>
        <v>45609.4475</v>
      </c>
      <c r="F508" s="20" t="str">
        <f t="array" ref="F508">IFNA(_xlfn.XLOOKUP(C508,Table_Tarikan_Warkah[Nomor Sertipikat],Table_Tarikan_Warkah[Nama Petugas Warkah]),"")</f>
        <v>David</v>
      </c>
      <c r="G508" s="21" t="str">
        <f t="array" ref="G508">IFNA(_xlfn.XLOOKUP(C508,Table_Tarikan_Warkah[Nomor Sertipikat],Table_Tarikan_Warkah[Jenis Permohonan]),"")</f>
        <v>GANTI TAHUN LAHIR</v>
      </c>
      <c r="H508" s="22" t="s">
        <v>37</v>
      </c>
      <c r="I508" s="22" t="s">
        <v>32</v>
      </c>
      <c r="J508" s="20">
        <f t="shared" si="29"/>
        <v>45604.46862</v>
      </c>
      <c r="K508" s="27" t="s">
        <v>33</v>
      </c>
      <c r="L508" s="27" t="s">
        <v>187</v>
      </c>
      <c r="M508" s="20">
        <f t="shared" si="30"/>
        <v>45607.64709</v>
      </c>
      <c r="N508" s="8" t="str">
        <f t="shared" si="3"/>
        <v>Selesai</v>
      </c>
      <c r="O508" s="23">
        <f t="shared" si="22"/>
        <v>45607.64709</v>
      </c>
      <c r="P508" s="24" t="b">
        <v>1</v>
      </c>
      <c r="Q508" s="20">
        <f t="shared" si="5"/>
        <v>45607.64775</v>
      </c>
      <c r="R508" s="24" t="b">
        <v>1</v>
      </c>
      <c r="S508" s="20">
        <f t="shared" si="6"/>
        <v>45609.45305</v>
      </c>
      <c r="T508" s="7"/>
    </row>
    <row r="509" ht="22.5" hidden="1" customHeight="1">
      <c r="B509" s="7">
        <f t="shared" si="7"/>
        <v>503</v>
      </c>
      <c r="C509" s="18" t="s">
        <v>511</v>
      </c>
      <c r="D509" s="19" t="str">
        <f t="array" ref="D509">IFNA(_xlfn.XLOOKUP(C509,Table_Tarikan_Warkah[Nomor Sertipikat],Table_Tarikan_Warkah[Nomor Tiket]),"")</f>
        <v>K/25/291024/1</v>
      </c>
      <c r="E509" s="20" t="str">
        <f t="array" ref="E509">IFNA(_xlfn.XLOOKUP(C509,Table_Tarikan_Warkah[Nomor Sertipikat],Table_Tarikan_Warkah[Tanggal diserahkan kepada Validator]),"")</f>
        <v/>
      </c>
      <c r="F509" s="20" t="str">
        <f t="array" ref="F509">IFNA(_xlfn.XLOOKUP(C509,Table_Tarikan_Warkah[Nomor Sertipikat],Table_Tarikan_Warkah[Nama Petugas Warkah]),"")</f>
        <v>David</v>
      </c>
      <c r="G509" s="21" t="str">
        <f t="array" ref="G509">IFNA(_xlfn.XLOOKUP(C509,Table_Tarikan_Warkah[Nomor Sertipikat],Table_Tarikan_Warkah[Jenis Permohonan]),"")</f>
        <v>BN JUAL BELI</v>
      </c>
      <c r="H509" s="22" t="s">
        <v>37</v>
      </c>
      <c r="I509" s="22" t="s">
        <v>32</v>
      </c>
      <c r="J509" s="20">
        <f t="shared" si="29"/>
        <v>45604.47848</v>
      </c>
      <c r="K509" s="27" t="s">
        <v>33</v>
      </c>
      <c r="L509" s="27" t="s">
        <v>187</v>
      </c>
      <c r="M509" s="20">
        <f t="shared" si="30"/>
        <v>45607.64716</v>
      </c>
      <c r="N509" s="8" t="str">
        <f t="shared" si="3"/>
        <v>Selesai</v>
      </c>
      <c r="O509" s="23">
        <f t="shared" si="22"/>
        <v>45607.64716</v>
      </c>
      <c r="P509" s="24" t="b">
        <v>1</v>
      </c>
      <c r="Q509" s="20">
        <f t="shared" si="5"/>
        <v>45607.64786</v>
      </c>
      <c r="R509" s="24" t="b">
        <v>0</v>
      </c>
      <c r="S509" s="7" t="str">
        <f t="shared" si="6"/>
        <v/>
      </c>
      <c r="T509" s="7"/>
    </row>
    <row r="510" ht="22.5" hidden="1" customHeight="1">
      <c r="B510" s="7">
        <f t="shared" si="7"/>
        <v>504</v>
      </c>
      <c r="C510" s="18" t="s">
        <v>512</v>
      </c>
      <c r="D510" s="19" t="str">
        <f t="array" ref="D510">IFNA(_xlfn.XLOOKUP(C510,Table_Tarikan_Warkah[Nomor Sertipikat],Table_Tarikan_Warkah[Nomor Tiket]),"")</f>
        <v>K/7/051124/2</v>
      </c>
      <c r="E510" s="20">
        <f t="array" ref="E510">IFNA(_xlfn.XLOOKUP(C510,Table_Tarikan_Warkah[Nomor Sertipikat],Table_Tarikan_Warkah[Tanggal diserahkan kepada Validator]),"")</f>
        <v>45609.44794</v>
      </c>
      <c r="F510" s="20" t="str">
        <f t="array" ref="F510">IFNA(_xlfn.XLOOKUP(C510,Table_Tarikan_Warkah[Nomor Sertipikat],Table_Tarikan_Warkah[Nama Petugas Warkah]),"")</f>
        <v>David</v>
      </c>
      <c r="G510" s="21" t="str">
        <f t="array" ref="G510">IFNA(_xlfn.XLOOKUP(C510,Table_Tarikan_Warkah[Nomor Sertipikat],Table_Tarikan_Warkah[Jenis Permohonan]),"")</f>
        <v>BN JUAL BELI</v>
      </c>
      <c r="H510" s="22" t="s">
        <v>37</v>
      </c>
      <c r="I510" s="22" t="s">
        <v>32</v>
      </c>
      <c r="J510" s="20">
        <f t="shared" si="29"/>
        <v>45604.4788</v>
      </c>
      <c r="K510" s="27" t="s">
        <v>33</v>
      </c>
      <c r="L510" s="27" t="s">
        <v>187</v>
      </c>
      <c r="M510" s="20">
        <f t="shared" si="30"/>
        <v>45607.64716</v>
      </c>
      <c r="N510" s="8" t="str">
        <f t="shared" si="3"/>
        <v>Selesai</v>
      </c>
      <c r="O510" s="23">
        <f t="shared" si="22"/>
        <v>45607.64716</v>
      </c>
      <c r="P510" s="24" t="b">
        <v>1</v>
      </c>
      <c r="Q510" s="20">
        <f t="shared" si="5"/>
        <v>45607.64776</v>
      </c>
      <c r="R510" s="24" t="b">
        <v>1</v>
      </c>
      <c r="S510" s="20">
        <f t="shared" si="6"/>
        <v>45609.45319</v>
      </c>
      <c r="T510" s="7"/>
    </row>
    <row r="511" ht="22.5" hidden="1" customHeight="1">
      <c r="B511" s="7">
        <f t="shared" si="7"/>
        <v>505</v>
      </c>
      <c r="C511" s="18" t="s">
        <v>513</v>
      </c>
      <c r="D511" s="19" t="str">
        <f t="array" ref="D511">IFNA(_xlfn.XLOOKUP(C511,Table_Tarikan_Warkah[Nomor Sertipikat],Table_Tarikan_Warkah[Nomor Tiket]),"")</f>
        <v>K/34/061124/1</v>
      </c>
      <c r="E511" s="20">
        <f t="array" ref="E511">IFNA(_xlfn.XLOOKUP(C511,Table_Tarikan_Warkah[Nomor Sertipikat],Table_Tarikan_Warkah[Tanggal diserahkan kepada Validator]),"")</f>
        <v>45604.62516</v>
      </c>
      <c r="F511" s="20" t="str">
        <f t="array" ref="F511">IFNA(_xlfn.XLOOKUP(C511,Table_Tarikan_Warkah[Nomor Sertipikat],Table_Tarikan_Warkah[Nama Petugas Warkah]),"")</f>
        <v>Berry</v>
      </c>
      <c r="G511" s="21" t="str">
        <f t="array" ref="G511">IFNA(_xlfn.XLOOKUP(C511,Table_Tarikan_Warkah[Nomor Sertipikat],Table_Tarikan_Warkah[Jenis Permohonan]),"")</f>
        <v>BN JUAL BELI</v>
      </c>
      <c r="H511" s="22" t="s">
        <v>37</v>
      </c>
      <c r="I511" s="22" t="s">
        <v>32</v>
      </c>
      <c r="J511" s="20">
        <f t="shared" si="29"/>
        <v>45604.47909</v>
      </c>
      <c r="K511" s="27" t="s">
        <v>33</v>
      </c>
      <c r="L511" s="27" t="s">
        <v>187</v>
      </c>
      <c r="M511" s="20">
        <f t="shared" si="30"/>
        <v>45607.64718</v>
      </c>
      <c r="N511" s="8" t="str">
        <f t="shared" si="3"/>
        <v>Selesai</v>
      </c>
      <c r="O511" s="23">
        <f t="shared" si="22"/>
        <v>45607.64718</v>
      </c>
      <c r="P511" s="24" t="b">
        <v>1</v>
      </c>
      <c r="Q511" s="20">
        <f t="shared" si="5"/>
        <v>45607.64777</v>
      </c>
      <c r="R511" s="24" t="b">
        <v>0</v>
      </c>
      <c r="S511" s="7" t="str">
        <f t="shared" si="6"/>
        <v/>
      </c>
      <c r="T511" s="7"/>
    </row>
    <row r="512" ht="22.5" hidden="1" customHeight="1">
      <c r="B512" s="7">
        <f t="shared" si="7"/>
        <v>506</v>
      </c>
      <c r="C512" s="18" t="s">
        <v>514</v>
      </c>
      <c r="D512" s="19" t="str">
        <f t="array" ref="D512">IFNA(_xlfn.XLOOKUP(C512,Table_Tarikan_Warkah[Nomor Sertipikat],Table_Tarikan_Warkah[Nomor Tiket]),"")</f>
        <v>K/50/061124/1</v>
      </c>
      <c r="E512" s="20">
        <f t="array" ref="E512">IFNA(_xlfn.XLOOKUP(C512,Table_Tarikan_Warkah[Nomor Sertipikat],Table_Tarikan_Warkah[Tanggal diserahkan kepada Validator]),"")</f>
        <v>45604.62631</v>
      </c>
      <c r="F512" s="20" t="str">
        <f t="array" ref="F512">IFNA(_xlfn.XLOOKUP(C512,Table_Tarikan_Warkah[Nomor Sertipikat],Table_Tarikan_Warkah[Nama Petugas Warkah]),"")</f>
        <v>Berry</v>
      </c>
      <c r="G512" s="21" t="str">
        <f t="array" ref="G512">IFNA(_xlfn.XLOOKUP(C512,Table_Tarikan_Warkah[Nomor Sertipikat],Table_Tarikan_Warkah[Jenis Permohonan]),"")</f>
        <v>ROYA</v>
      </c>
      <c r="H512" s="22" t="s">
        <v>37</v>
      </c>
      <c r="I512" s="22" t="s">
        <v>32</v>
      </c>
      <c r="J512" s="20">
        <f t="shared" si="29"/>
        <v>45604.52987</v>
      </c>
      <c r="K512" s="27" t="s">
        <v>33</v>
      </c>
      <c r="L512" s="27" t="s">
        <v>187</v>
      </c>
      <c r="M512" s="20">
        <f t="shared" si="30"/>
        <v>45607.64718</v>
      </c>
      <c r="N512" s="8" t="str">
        <f t="shared" si="3"/>
        <v>Selesai</v>
      </c>
      <c r="O512" s="23">
        <f t="shared" si="22"/>
        <v>45607.64718</v>
      </c>
      <c r="P512" s="24" t="b">
        <v>1</v>
      </c>
      <c r="Q512" s="20">
        <f t="shared" si="5"/>
        <v>45607.64778</v>
      </c>
      <c r="R512" s="24" t="b">
        <v>1</v>
      </c>
      <c r="S512" s="20">
        <f t="shared" si="6"/>
        <v>45616.35367</v>
      </c>
      <c r="T512" s="7"/>
    </row>
    <row r="513" ht="22.5" hidden="1" customHeight="1">
      <c r="B513" s="7">
        <f t="shared" si="7"/>
        <v>507</v>
      </c>
      <c r="C513" s="18" t="s">
        <v>515</v>
      </c>
      <c r="D513" s="19" t="str">
        <f t="array" ref="D513">IFNA(_xlfn.XLOOKUP(C513,Table_Tarikan_Warkah[Nomor Sertipikat],Table_Tarikan_Warkah[Nomor Tiket]),"")</f>
        <v>K/43/041124/1</v>
      </c>
      <c r="E513" s="20">
        <f t="array" ref="E513">IFNA(_xlfn.XLOOKUP(C513,Table_Tarikan_Warkah[Nomor Sertipikat],Table_Tarikan_Warkah[Tanggal diserahkan kepada Validator]),"")</f>
        <v>45609.44832</v>
      </c>
      <c r="F513" s="20" t="str">
        <f t="array" ref="F513">IFNA(_xlfn.XLOOKUP(C513,Table_Tarikan_Warkah[Nomor Sertipikat],Table_Tarikan_Warkah[Nama Petugas Warkah]),"")</f>
        <v>David</v>
      </c>
      <c r="G513" s="21" t="str">
        <f t="array" ref="G513">IFNA(_xlfn.XLOOKUP(C513,Table_Tarikan_Warkah[Nomor Sertipikat],Table_Tarikan_Warkah[Jenis Permohonan]),"")</f>
        <v>BN Lelang</v>
      </c>
      <c r="H513" s="22" t="s">
        <v>37</v>
      </c>
      <c r="I513" s="22" t="s">
        <v>32</v>
      </c>
      <c r="J513" s="20">
        <f t="shared" si="29"/>
        <v>45604.53358</v>
      </c>
      <c r="K513" s="27" t="s">
        <v>33</v>
      </c>
      <c r="L513" s="27" t="s">
        <v>187</v>
      </c>
      <c r="M513" s="20">
        <f t="shared" si="30"/>
        <v>45607.64721</v>
      </c>
      <c r="N513" s="8" t="str">
        <f t="shared" si="3"/>
        <v>Selesai</v>
      </c>
      <c r="O513" s="23">
        <f t="shared" si="22"/>
        <v>45607.64721</v>
      </c>
      <c r="P513" s="24" t="b">
        <v>1</v>
      </c>
      <c r="Q513" s="20">
        <f t="shared" si="5"/>
        <v>45607.64779</v>
      </c>
      <c r="R513" s="24" t="b">
        <v>1</v>
      </c>
      <c r="S513" s="20">
        <f t="shared" si="6"/>
        <v>45609.45332</v>
      </c>
      <c r="T513" s="7"/>
    </row>
    <row r="514" ht="22.5" hidden="1" customHeight="1">
      <c r="B514" s="7">
        <f t="shared" si="7"/>
        <v>508</v>
      </c>
      <c r="C514" s="18" t="s">
        <v>516</v>
      </c>
      <c r="D514" s="19" t="str">
        <f t="array" ref="D514">IFNA(_xlfn.XLOOKUP(C514,Table_Tarikan_Warkah[Nomor Sertipikat],Table_Tarikan_Warkah[Nomor Tiket]),"")</f>
        <v>K/33/071124/2</v>
      </c>
      <c r="E514" s="20">
        <f t="array" ref="E514">IFNA(_xlfn.XLOOKUP(C514,Table_Tarikan_Warkah[Nomor Sertipikat],Table_Tarikan_Warkah[Tanggal diserahkan kepada Validator]),"")</f>
        <v>45644.4549</v>
      </c>
      <c r="F514" s="20" t="str">
        <f t="array" ref="F514">IFNA(_xlfn.XLOOKUP(C514,Table_Tarikan_Warkah[Nomor Sertipikat],Table_Tarikan_Warkah[Nama Petugas Warkah]),"")</f>
        <v>David</v>
      </c>
      <c r="G514" s="21" t="str">
        <f t="array" ref="G514">IFNA(_xlfn.XLOOKUP(C514,Table_Tarikan_Warkah[Nomor Sertipikat],Table_Tarikan_Warkah[Jenis Permohonan]),"")</f>
        <v>BN WARIS</v>
      </c>
      <c r="H514" s="22" t="s">
        <v>37</v>
      </c>
      <c r="I514" s="22" t="s">
        <v>32</v>
      </c>
      <c r="J514" s="20">
        <f t="shared" si="29"/>
        <v>45607.35337</v>
      </c>
      <c r="K514" s="27" t="s">
        <v>33</v>
      </c>
      <c r="L514" s="27" t="s">
        <v>187</v>
      </c>
      <c r="M514" s="20">
        <f t="shared" si="30"/>
        <v>45607.64721</v>
      </c>
      <c r="N514" s="8" t="str">
        <f t="shared" si="3"/>
        <v>Selesai</v>
      </c>
      <c r="O514" s="23">
        <f t="shared" si="22"/>
        <v>45607.64721</v>
      </c>
      <c r="P514" s="24" t="b">
        <v>1</v>
      </c>
      <c r="Q514" s="20">
        <f t="shared" si="5"/>
        <v>45607.64781</v>
      </c>
      <c r="R514" s="24" t="b">
        <v>0</v>
      </c>
      <c r="S514" s="7" t="str">
        <f t="shared" si="6"/>
        <v/>
      </c>
      <c r="T514" s="7"/>
    </row>
    <row r="515" ht="22.5" hidden="1" customHeight="1">
      <c r="B515" s="7">
        <f t="shared" si="7"/>
        <v>509</v>
      </c>
      <c r="C515" s="18" t="s">
        <v>517</v>
      </c>
      <c r="D515" s="19" t="str">
        <f t="array" ref="D515">IFNA(_xlfn.XLOOKUP(C515,Table_Tarikan_Warkah[Nomor Sertipikat],Table_Tarikan_Warkah[Nomor Tiket]),"")</f>
        <v>K/26/051124/1</v>
      </c>
      <c r="E515" s="20" t="str">
        <f t="array" ref="E515">IFNA(_xlfn.XLOOKUP(C515,Table_Tarikan_Warkah[Nomor Sertipikat],Table_Tarikan_Warkah[Tanggal diserahkan kepada Validator]),"")</f>
        <v/>
      </c>
      <c r="F515" s="20" t="str">
        <f t="array" ref="F515">IFNA(_xlfn.XLOOKUP(C515,Table_Tarikan_Warkah[Nomor Sertipikat],Table_Tarikan_Warkah[Nama Petugas Warkah]),"")</f>
        <v>David</v>
      </c>
      <c r="G515" s="21" t="str">
        <f t="array" ref="G515">IFNA(_xlfn.XLOOKUP(C515,Table_Tarikan_Warkah[Nomor Sertipikat],Table_Tarikan_Warkah[Jenis Permohonan]),"")</f>
        <v>Roya</v>
      </c>
      <c r="H515" s="22" t="s">
        <v>37</v>
      </c>
      <c r="I515" s="22" t="s">
        <v>32</v>
      </c>
      <c r="J515" s="20">
        <f t="shared" si="29"/>
        <v>45607.36244</v>
      </c>
      <c r="K515" s="27" t="s">
        <v>33</v>
      </c>
      <c r="L515" s="27" t="s">
        <v>187</v>
      </c>
      <c r="M515" s="20">
        <f t="shared" si="30"/>
        <v>45607.64723</v>
      </c>
      <c r="N515" s="8" t="str">
        <f t="shared" si="3"/>
        <v>Selesai</v>
      </c>
      <c r="O515" s="23">
        <f t="shared" si="22"/>
        <v>45607.64723</v>
      </c>
      <c r="P515" s="24" t="b">
        <v>1</v>
      </c>
      <c r="Q515" s="20">
        <f t="shared" si="5"/>
        <v>45607.64781</v>
      </c>
      <c r="R515" s="24" t="b">
        <v>0</v>
      </c>
      <c r="S515" s="7" t="str">
        <f t="shared" si="6"/>
        <v/>
      </c>
      <c r="T515" s="7"/>
    </row>
    <row r="516" ht="22.5" hidden="1" customHeight="1">
      <c r="B516" s="7">
        <f t="shared" si="7"/>
        <v>510</v>
      </c>
      <c r="C516" s="18" t="s">
        <v>518</v>
      </c>
      <c r="D516" s="19" t="str">
        <f t="array" ref="D516">IFNA(_xlfn.XLOOKUP(C516,Table_Tarikan_Warkah[Nomor Sertipikat],Table_Tarikan_Warkah[Nomor Tiket]),"")</f>
        <v>K/38/221024/2</v>
      </c>
      <c r="E516" s="20">
        <f t="array" ref="E516">IFNA(_xlfn.XLOOKUP(C516,Table_Tarikan_Warkah[Nomor Sertipikat],Table_Tarikan_Warkah[Tanggal diserahkan kepada Validator]),"")</f>
        <v>45609.44697</v>
      </c>
      <c r="F516" s="20" t="str">
        <f t="array" ref="F516">IFNA(_xlfn.XLOOKUP(C516,Table_Tarikan_Warkah[Nomor Sertipikat],Table_Tarikan_Warkah[Nama Petugas Warkah]),"")</f>
        <v>David</v>
      </c>
      <c r="G516" s="21" t="str">
        <f t="array" ref="G516">IFNA(_xlfn.XLOOKUP(C516,Table_Tarikan_Warkah[Nomor Sertipikat],Table_Tarikan_Warkah[Jenis Permohonan]),"")</f>
        <v>BN Waris</v>
      </c>
      <c r="H516" s="22" t="s">
        <v>37</v>
      </c>
      <c r="I516" s="22" t="s">
        <v>32</v>
      </c>
      <c r="J516" s="20">
        <f t="shared" si="29"/>
        <v>45607.36475</v>
      </c>
      <c r="K516" s="27" t="s">
        <v>33</v>
      </c>
      <c r="L516" s="27" t="s">
        <v>187</v>
      </c>
      <c r="M516" s="20">
        <f t="shared" si="30"/>
        <v>45607.64723</v>
      </c>
      <c r="N516" s="8" t="str">
        <f t="shared" si="3"/>
        <v>Selesai</v>
      </c>
      <c r="O516" s="23">
        <f t="shared" si="22"/>
        <v>45607.64723</v>
      </c>
      <c r="P516" s="24" t="b">
        <v>1</v>
      </c>
      <c r="Q516" s="20">
        <f t="shared" si="5"/>
        <v>45607.64782</v>
      </c>
      <c r="R516" s="24" t="b">
        <v>1</v>
      </c>
      <c r="S516" s="20">
        <f t="shared" si="6"/>
        <v>45609.45286</v>
      </c>
      <c r="T516" s="7"/>
    </row>
    <row r="517" ht="22.5" hidden="1" customHeight="1">
      <c r="B517" s="7">
        <f t="shared" si="7"/>
        <v>511</v>
      </c>
      <c r="C517" s="18" t="s">
        <v>519</v>
      </c>
      <c r="D517" s="19" t="str">
        <f t="array" ref="D517">IFNA(_xlfn.XLOOKUP(C517,Table_Tarikan_Warkah[Nomor Sertipikat],Table_Tarikan_Warkah[Nomor Tiket]),"")</f>
        <v>K/33/061124/3</v>
      </c>
      <c r="E517" s="20">
        <f t="array" ref="E517">IFNA(_xlfn.XLOOKUP(C517,Table_Tarikan_Warkah[Nomor Sertipikat],Table_Tarikan_Warkah[Tanggal diserahkan kepada Validator]),"")</f>
        <v>45604.62501</v>
      </c>
      <c r="F517" s="20" t="str">
        <f t="array" ref="F517">IFNA(_xlfn.XLOOKUP(C517,Table_Tarikan_Warkah[Nomor Sertipikat],Table_Tarikan_Warkah[Nama Petugas Warkah]),"")</f>
        <v>Berry</v>
      </c>
      <c r="G517" s="21" t="str">
        <f t="array" ref="G517">IFNA(_xlfn.XLOOKUP(C517,Table_Tarikan_Warkah[Nomor Sertipikat],Table_Tarikan_Warkah[Jenis Permohonan]),"")</f>
        <v>BN Jual Beli</v>
      </c>
      <c r="H517" s="22" t="s">
        <v>37</v>
      </c>
      <c r="I517" s="22" t="s">
        <v>32</v>
      </c>
      <c r="J517" s="20">
        <f t="shared" si="29"/>
        <v>45607.36614</v>
      </c>
      <c r="K517" s="27" t="s">
        <v>33</v>
      </c>
      <c r="L517" s="27" t="s">
        <v>187</v>
      </c>
      <c r="M517" s="20">
        <f t="shared" si="30"/>
        <v>45607.64726</v>
      </c>
      <c r="N517" s="8" t="str">
        <f t="shared" si="3"/>
        <v>Selesai</v>
      </c>
      <c r="O517" s="23">
        <f t="shared" si="22"/>
        <v>45607.64726</v>
      </c>
      <c r="P517" s="24" t="b">
        <v>1</v>
      </c>
      <c r="Q517" s="20">
        <f t="shared" si="5"/>
        <v>45607.64783</v>
      </c>
      <c r="R517" s="24" t="b">
        <v>0</v>
      </c>
      <c r="S517" s="7" t="str">
        <f t="shared" si="6"/>
        <v/>
      </c>
      <c r="T517" s="7"/>
    </row>
    <row r="518" ht="22.5" hidden="1" customHeight="1">
      <c r="B518" s="7">
        <f t="shared" si="7"/>
        <v>512</v>
      </c>
      <c r="C518" s="18" t="s">
        <v>520</v>
      </c>
      <c r="D518" s="19" t="str">
        <f t="array" ref="D518">IFNA(_xlfn.XLOOKUP(C518,Table_Tarikan_Warkah[Nomor Sertipikat],Table_Tarikan_Warkah[Nomor Tiket]),"")</f>
        <v>K/1/071124/1</v>
      </c>
      <c r="E518" s="20">
        <f t="array" ref="E518">IFNA(_xlfn.XLOOKUP(C518,Table_Tarikan_Warkah[Nomor Sertipikat],Table_Tarikan_Warkah[Tanggal diserahkan kepada Validator]),"")</f>
        <v>45609.44892</v>
      </c>
      <c r="F518" s="20" t="str">
        <f t="array" ref="F518">IFNA(_xlfn.XLOOKUP(C518,Table_Tarikan_Warkah[Nomor Sertipikat],Table_Tarikan_Warkah[Nama Petugas Warkah]),"")</f>
        <v>David</v>
      </c>
      <c r="G518" s="21" t="str">
        <f t="array" ref="G518">IFNA(_xlfn.XLOOKUP(C518,Table_Tarikan_Warkah[Nomor Sertipikat],Table_Tarikan_Warkah[Jenis Permohonan]),"")</f>
        <v>BN Jul Beli</v>
      </c>
      <c r="H518" s="22" t="s">
        <v>37</v>
      </c>
      <c r="I518" s="22" t="s">
        <v>32</v>
      </c>
      <c r="J518" s="20">
        <f t="shared" si="29"/>
        <v>45607.36978</v>
      </c>
      <c r="K518" s="27" t="s">
        <v>33</v>
      </c>
      <c r="L518" s="27" t="s">
        <v>187</v>
      </c>
      <c r="M518" s="20">
        <f t="shared" si="30"/>
        <v>45607.64726</v>
      </c>
      <c r="N518" s="8" t="str">
        <f t="shared" si="3"/>
        <v>Selesai</v>
      </c>
      <c r="O518" s="23">
        <f t="shared" si="22"/>
        <v>45607.64726</v>
      </c>
      <c r="P518" s="24" t="b">
        <v>1</v>
      </c>
      <c r="Q518" s="20">
        <f t="shared" si="5"/>
        <v>45607.64788</v>
      </c>
      <c r="R518" s="24" t="b">
        <v>1</v>
      </c>
      <c r="S518" s="20">
        <f t="shared" si="6"/>
        <v>45609.4536</v>
      </c>
      <c r="T518" s="7"/>
    </row>
    <row r="519" ht="22.5" hidden="1" customHeight="1">
      <c r="B519" s="7">
        <f t="shared" si="7"/>
        <v>513</v>
      </c>
      <c r="C519" s="18" t="s">
        <v>521</v>
      </c>
      <c r="D519" s="19" t="str">
        <f t="array" ref="D519">IFNA(_xlfn.XLOOKUP(C519,Table_Tarikan_Warkah[Nomor Sertipikat],Table_Tarikan_Warkah[Nomor Tiket]),"")</f>
        <v>K/26/071124/1</v>
      </c>
      <c r="E519" s="20">
        <f t="array" ref="E519">IFNA(_xlfn.XLOOKUP(C519,Table_Tarikan_Warkah[Nomor Sertipikat],Table_Tarikan_Warkah[Tanggal diserahkan kepada Validator]),"")</f>
        <v>45609.44628</v>
      </c>
      <c r="F519" s="20" t="str">
        <f t="array" ref="F519">IFNA(_xlfn.XLOOKUP(C519,Table_Tarikan_Warkah[Nomor Sertipikat],Table_Tarikan_Warkah[Nama Petugas Warkah]),"")</f>
        <v>David</v>
      </c>
      <c r="G519" s="21" t="str">
        <f t="array" ref="G519">IFNA(_xlfn.XLOOKUP(C519,Table_Tarikan_Warkah[Nomor Sertipikat],Table_Tarikan_Warkah[Jenis Permohonan]),"")</f>
        <v>BN Jual Beli</v>
      </c>
      <c r="H519" s="22" t="s">
        <v>37</v>
      </c>
      <c r="I519" s="22" t="s">
        <v>32</v>
      </c>
      <c r="J519" s="20">
        <f t="shared" si="29"/>
        <v>45607.37091</v>
      </c>
      <c r="K519" s="27" t="s">
        <v>33</v>
      </c>
      <c r="L519" s="27" t="s">
        <v>187</v>
      </c>
      <c r="M519" s="20">
        <f t="shared" si="30"/>
        <v>45607.64729</v>
      </c>
      <c r="N519" s="8" t="str">
        <f t="shared" si="3"/>
        <v>Selesai</v>
      </c>
      <c r="O519" s="23">
        <f t="shared" si="22"/>
        <v>45607.64729</v>
      </c>
      <c r="P519" s="24" t="b">
        <v>1</v>
      </c>
      <c r="Q519" s="20">
        <f t="shared" si="5"/>
        <v>45607.64788</v>
      </c>
      <c r="R519" s="24" t="b">
        <v>1</v>
      </c>
      <c r="S519" s="20">
        <f t="shared" si="6"/>
        <v>45609.45259</v>
      </c>
      <c r="T519" s="7"/>
    </row>
    <row r="520" ht="22.5" hidden="1" customHeight="1">
      <c r="B520" s="7">
        <f t="shared" si="7"/>
        <v>514</v>
      </c>
      <c r="C520" s="18" t="s">
        <v>522</v>
      </c>
      <c r="D520" s="19" t="str">
        <f t="array" ref="D520">IFNA(_xlfn.XLOOKUP(C520,Table_Tarikan_Warkah[Nomor Sertipikat],Table_Tarikan_Warkah[Nomor Tiket]),"")</f>
        <v>K/12/061124/1</v>
      </c>
      <c r="E520" s="20">
        <f t="array" ref="E520">IFNA(_xlfn.XLOOKUP(C520,Table_Tarikan_Warkah[Nomor Sertipikat],Table_Tarikan_Warkah[Tanggal diserahkan kepada Validator]),"")</f>
        <v>45604.62014</v>
      </c>
      <c r="F520" s="20" t="str">
        <f t="array" ref="F520">IFNA(_xlfn.XLOOKUP(C520,Table_Tarikan_Warkah[Nomor Sertipikat],Table_Tarikan_Warkah[Nama Petugas Warkah]),"")</f>
        <v>Berry</v>
      </c>
      <c r="G520" s="21" t="str">
        <f t="array" ref="G520">IFNA(_xlfn.XLOOKUP(C520,Table_Tarikan_Warkah[Nomor Sertipikat],Table_Tarikan_Warkah[Jenis Permohonan]),"")</f>
        <v>BN Jual Beli</v>
      </c>
      <c r="H520" s="22" t="s">
        <v>37</v>
      </c>
      <c r="I520" s="22" t="s">
        <v>32</v>
      </c>
      <c r="J520" s="20">
        <f t="shared" si="29"/>
        <v>45607.37459</v>
      </c>
      <c r="K520" s="27" t="s">
        <v>33</v>
      </c>
      <c r="L520" s="27" t="s">
        <v>187</v>
      </c>
      <c r="M520" s="20">
        <f t="shared" si="30"/>
        <v>45607.64729</v>
      </c>
      <c r="N520" s="8" t="str">
        <f t="shared" si="3"/>
        <v>Selesai</v>
      </c>
      <c r="O520" s="23">
        <f t="shared" si="22"/>
        <v>45607.64729</v>
      </c>
      <c r="P520" s="24" t="b">
        <v>1</v>
      </c>
      <c r="Q520" s="20">
        <f t="shared" si="5"/>
        <v>45607.64792</v>
      </c>
      <c r="R520" s="24" t="b">
        <v>1</v>
      </c>
      <c r="S520" s="20">
        <f t="shared" si="6"/>
        <v>45609.47606</v>
      </c>
      <c r="T520" s="7"/>
    </row>
    <row r="521" ht="22.5" hidden="1" customHeight="1">
      <c r="B521" s="7">
        <f t="shared" si="7"/>
        <v>515</v>
      </c>
      <c r="C521" s="18" t="s">
        <v>523</v>
      </c>
      <c r="D521" s="19" t="str">
        <f t="array" ref="D521">IFNA(_xlfn.XLOOKUP(C521,Table_Tarikan_Warkah[Nomor Sertipikat],Table_Tarikan_Warkah[Nomor Tiket]),"")</f>
        <v>K/11/071124/4</v>
      </c>
      <c r="E521" s="20">
        <f t="array" ref="E521">IFNA(_xlfn.XLOOKUP(C521,Table_Tarikan_Warkah[Nomor Sertipikat],Table_Tarikan_Warkah[Tanggal diserahkan kepada Validator]),"")</f>
        <v>45604.63212</v>
      </c>
      <c r="F521" s="20" t="str">
        <f t="array" ref="F521">IFNA(_xlfn.XLOOKUP(C521,Table_Tarikan_Warkah[Nomor Sertipikat],Table_Tarikan_Warkah[Nama Petugas Warkah]),"")</f>
        <v>David</v>
      </c>
      <c r="G521" s="21" t="str">
        <f t="array" ref="G521">IFNA(_xlfn.XLOOKUP(C521,Table_Tarikan_Warkah[Nomor Sertipikat],Table_Tarikan_Warkah[Jenis Permohonan]),"")</f>
        <v>BN Jual Beli</v>
      </c>
      <c r="H521" s="22" t="s">
        <v>37</v>
      </c>
      <c r="I521" s="22" t="s">
        <v>32</v>
      </c>
      <c r="J521" s="20">
        <f t="shared" si="29"/>
        <v>45607.39691</v>
      </c>
      <c r="K521" s="22" t="s">
        <v>65</v>
      </c>
      <c r="L521" s="22" t="s">
        <v>32</v>
      </c>
      <c r="M521" s="20">
        <f t="shared" si="30"/>
        <v>45607.64356</v>
      </c>
      <c r="N521" s="8" t="str">
        <f t="shared" si="3"/>
        <v>SELESAI</v>
      </c>
      <c r="O521" s="23">
        <f t="shared" si="22"/>
        <v>45607.64356</v>
      </c>
      <c r="P521" s="24" t="b">
        <v>0</v>
      </c>
      <c r="Q521" s="20" t="str">
        <f t="shared" si="5"/>
        <v/>
      </c>
      <c r="R521" s="24" t="b">
        <v>1</v>
      </c>
      <c r="S521" s="20">
        <f t="shared" si="6"/>
        <v>45607.64792</v>
      </c>
      <c r="T521" s="7"/>
    </row>
    <row r="522" ht="22.5" hidden="1" customHeight="1">
      <c r="B522" s="7">
        <f t="shared" si="7"/>
        <v>516</v>
      </c>
      <c r="C522" s="18" t="s">
        <v>524</v>
      </c>
      <c r="D522" s="28" t="s">
        <v>525</v>
      </c>
      <c r="E522" s="9">
        <v>45604.624152592594</v>
      </c>
      <c r="F522" s="7" t="s">
        <v>296</v>
      </c>
      <c r="G522" s="7" t="s">
        <v>526</v>
      </c>
      <c r="H522" s="22" t="s">
        <v>37</v>
      </c>
      <c r="I522" s="22" t="s">
        <v>32</v>
      </c>
      <c r="J522" s="20">
        <f t="shared" si="29"/>
        <v>45607.39703</v>
      </c>
      <c r="K522" s="27" t="s">
        <v>33</v>
      </c>
      <c r="L522" s="27" t="s">
        <v>187</v>
      </c>
      <c r="M522" s="20">
        <f t="shared" si="30"/>
        <v>45607.64738</v>
      </c>
      <c r="N522" s="8" t="str">
        <f t="shared" si="3"/>
        <v>Selesai</v>
      </c>
      <c r="O522" s="23">
        <f t="shared" si="22"/>
        <v>45607.64738</v>
      </c>
      <c r="P522" s="24" t="b">
        <v>1</v>
      </c>
      <c r="Q522" s="20">
        <f t="shared" si="5"/>
        <v>45607.64796</v>
      </c>
      <c r="R522" s="24" t="b">
        <v>0</v>
      </c>
      <c r="S522" s="7" t="str">
        <f t="shared" si="6"/>
        <v/>
      </c>
      <c r="T522" s="7"/>
    </row>
    <row r="523" ht="22.5" hidden="1" customHeight="1">
      <c r="B523" s="7">
        <f t="shared" si="7"/>
        <v>517</v>
      </c>
      <c r="C523" s="18" t="s">
        <v>527</v>
      </c>
      <c r="D523" s="19" t="str">
        <f t="array" ref="D523">IFNA(_xlfn.XLOOKUP(C523,Table_Tarikan_Warkah[Nomor Sertipikat],Table_Tarikan_Warkah[Nomor Tiket]),"")</f>
        <v>K/40/301024/1</v>
      </c>
      <c r="E523" s="20" t="str">
        <f t="array" ref="E523">IFNA(_xlfn.XLOOKUP(C523,Table_Tarikan_Warkah[Nomor Sertipikat],Table_Tarikan_Warkah[Tanggal diserahkan kepada Validator]),"")</f>
        <v/>
      </c>
      <c r="F523" s="20" t="str">
        <f t="array" ref="F523">IFNA(_xlfn.XLOOKUP(C523,Table_Tarikan_Warkah[Nomor Sertipikat],Table_Tarikan_Warkah[Nama Petugas Warkah]),"")</f>
        <v>Berry</v>
      </c>
      <c r="G523" s="21" t="str">
        <f t="array" ref="G523">IFNA(_xlfn.XLOOKUP(C523,Table_Tarikan_Warkah[Nomor Sertipikat],Table_Tarikan_Warkah[Jenis Permohonan]),"")</f>
        <v>BN PHB</v>
      </c>
      <c r="H523" s="22" t="s">
        <v>37</v>
      </c>
      <c r="I523" s="22" t="s">
        <v>32</v>
      </c>
      <c r="J523" s="20">
        <f t="shared" si="29"/>
        <v>45607.39897</v>
      </c>
      <c r="K523" s="27" t="s">
        <v>33</v>
      </c>
      <c r="L523" s="27" t="s">
        <v>187</v>
      </c>
      <c r="M523" s="20">
        <f t="shared" si="30"/>
        <v>45607.64738</v>
      </c>
      <c r="N523" s="8" t="str">
        <f t="shared" si="3"/>
        <v>Selesai</v>
      </c>
      <c r="O523" s="23">
        <f t="shared" si="22"/>
        <v>45607.64738</v>
      </c>
      <c r="P523" s="24" t="b">
        <v>1</v>
      </c>
      <c r="Q523" s="20">
        <f t="shared" si="5"/>
        <v>45607.64797</v>
      </c>
      <c r="R523" s="24" t="b">
        <v>0</v>
      </c>
      <c r="S523" s="7" t="str">
        <f t="shared" si="6"/>
        <v/>
      </c>
      <c r="T523" s="7"/>
    </row>
    <row r="524" ht="22.5" hidden="1" customHeight="1">
      <c r="B524" s="7">
        <f t="shared" si="7"/>
        <v>518</v>
      </c>
      <c r="C524" s="18" t="s">
        <v>528</v>
      </c>
      <c r="D524" s="19" t="str">
        <f t="array" ref="D524">IFNA(_xlfn.XLOOKUP(C524,Table_Tarikan_Warkah[Nomor Sertipikat],Table_Tarikan_Warkah[Nomor Tiket]),"")</f>
        <v>K/51/051124/1</v>
      </c>
      <c r="E524" s="20">
        <f t="array" ref="E524">IFNA(_xlfn.XLOOKUP(C524,Table_Tarikan_Warkah[Nomor Sertipikat],Table_Tarikan_Warkah[Tanggal diserahkan kepada Validator]),"")</f>
        <v>45609.44951</v>
      </c>
      <c r="F524" s="20" t="str">
        <f t="array" ref="F524">IFNA(_xlfn.XLOOKUP(C524,Table_Tarikan_Warkah[Nomor Sertipikat],Table_Tarikan_Warkah[Nama Petugas Warkah]),"")</f>
        <v>David</v>
      </c>
      <c r="G524" s="21" t="str">
        <f t="array" ref="G524">IFNA(_xlfn.XLOOKUP(C524,Table_Tarikan_Warkah[Nomor Sertipikat],Table_Tarikan_Warkah[Jenis Permohonan]),"")</f>
        <v>Ganti Nama</v>
      </c>
      <c r="H524" s="22" t="s">
        <v>37</v>
      </c>
      <c r="I524" s="22" t="s">
        <v>32</v>
      </c>
      <c r="J524" s="20">
        <f t="shared" si="29"/>
        <v>45607.40159</v>
      </c>
      <c r="K524" s="27" t="s">
        <v>33</v>
      </c>
      <c r="L524" s="27" t="s">
        <v>187</v>
      </c>
      <c r="M524" s="20">
        <f t="shared" si="30"/>
        <v>45607.64746</v>
      </c>
      <c r="N524" s="8" t="str">
        <f t="shared" si="3"/>
        <v>Selesai</v>
      </c>
      <c r="O524" s="23">
        <f t="shared" si="22"/>
        <v>45607.64746</v>
      </c>
      <c r="P524" s="24" t="b">
        <v>1</v>
      </c>
      <c r="Q524" s="20">
        <f t="shared" si="5"/>
        <v>45607.64799</v>
      </c>
      <c r="R524" s="24" t="b">
        <v>1</v>
      </c>
      <c r="S524" s="20">
        <f t="shared" si="6"/>
        <v>45609.45372</v>
      </c>
      <c r="T524" s="7"/>
    </row>
    <row r="525" ht="22.5" hidden="1" customHeight="1">
      <c r="B525" s="7">
        <f t="shared" si="7"/>
        <v>519</v>
      </c>
      <c r="C525" s="18" t="s">
        <v>529</v>
      </c>
      <c r="D525" s="19" t="str">
        <f t="array" ref="D525">IFNA(_xlfn.XLOOKUP(C525,Table_Tarikan_Warkah[Nomor Sertipikat],Table_Tarikan_Warkah[Nomor Tiket]),"")</f>
        <v>K/49/061124/3</v>
      </c>
      <c r="E525" s="20">
        <f t="array" ref="E525">IFNA(_xlfn.XLOOKUP(C525,Table_Tarikan_Warkah[Nomor Sertipikat],Table_Tarikan_Warkah[Tanggal diserahkan kepada Validator]),"")</f>
        <v>45604.62949</v>
      </c>
      <c r="F525" s="20" t="str">
        <f t="array" ref="F525">IFNA(_xlfn.XLOOKUP(C525,Table_Tarikan_Warkah[Nomor Sertipikat],Table_Tarikan_Warkah[Nama Petugas Warkah]),"")</f>
        <v>David</v>
      </c>
      <c r="G525" s="21" t="str">
        <f t="array" ref="G525">IFNA(_xlfn.XLOOKUP(C525,Table_Tarikan_Warkah[Nomor Sertipikat],Table_Tarikan_Warkah[Jenis Permohonan]),"")</f>
        <v>PH</v>
      </c>
      <c r="H525" s="22" t="s">
        <v>37</v>
      </c>
      <c r="I525" s="22" t="s">
        <v>32</v>
      </c>
      <c r="J525" s="20">
        <f t="shared" si="29"/>
        <v>45607.44077</v>
      </c>
      <c r="K525" s="27" t="s">
        <v>65</v>
      </c>
      <c r="L525" s="27" t="s">
        <v>32</v>
      </c>
      <c r="M525" s="20">
        <f t="shared" si="30"/>
        <v>45607.64752</v>
      </c>
      <c r="N525" s="8" t="str">
        <f t="shared" si="3"/>
        <v>SELESAI</v>
      </c>
      <c r="O525" s="23">
        <f t="shared" si="22"/>
        <v>45607.64752</v>
      </c>
      <c r="P525" s="24" t="b">
        <v>0</v>
      </c>
      <c r="Q525" s="20" t="str">
        <f t="shared" si="5"/>
        <v/>
      </c>
      <c r="R525" s="24" t="b">
        <v>1</v>
      </c>
      <c r="S525" s="20">
        <f t="shared" si="6"/>
        <v>45607.64801</v>
      </c>
      <c r="T525" s="7"/>
    </row>
    <row r="526" ht="22.5" hidden="1" customHeight="1">
      <c r="B526" s="7">
        <f t="shared" si="7"/>
        <v>520</v>
      </c>
      <c r="C526" s="18" t="s">
        <v>530</v>
      </c>
      <c r="D526" s="19" t="str">
        <f t="array" ref="D526">IFNA(_xlfn.XLOOKUP(C526,Table_Tarikan_Warkah[Nomor Sertipikat],Table_Tarikan_Warkah[Nomor Tiket]),"")</f>
        <v>K/2/071124/1</v>
      </c>
      <c r="E526" s="20">
        <f t="array" ref="E526">IFNA(_xlfn.XLOOKUP(C526,Table_Tarikan_Warkah[Nomor Sertipikat],Table_Tarikan_Warkah[Tanggal diserahkan kepada Validator]),"")</f>
        <v>45604.63036</v>
      </c>
      <c r="F526" s="20" t="str">
        <f t="array" ref="F526">IFNA(_xlfn.XLOOKUP(C526,Table_Tarikan_Warkah[Nomor Sertipikat],Table_Tarikan_Warkah[Nama Petugas Warkah]),"")</f>
        <v>David</v>
      </c>
      <c r="G526" s="21" t="str">
        <f t="array" ref="G526">IFNA(_xlfn.XLOOKUP(C526,Table_Tarikan_Warkah[Nomor Sertipikat],Table_Tarikan_Warkah[Jenis Permohonan]),"")</f>
        <v>BN WARIS</v>
      </c>
      <c r="H526" s="22" t="s">
        <v>37</v>
      </c>
      <c r="I526" s="22" t="s">
        <v>32</v>
      </c>
      <c r="J526" s="20">
        <f t="shared" si="29"/>
        <v>45607.44221</v>
      </c>
      <c r="K526" s="22" t="s">
        <v>65</v>
      </c>
      <c r="L526" s="22" t="s">
        <v>32</v>
      </c>
      <c r="M526" s="20">
        <f t="shared" si="30"/>
        <v>45607.64435</v>
      </c>
      <c r="N526" s="8" t="str">
        <f t="shared" si="3"/>
        <v>SELESAI</v>
      </c>
      <c r="O526" s="23">
        <f t="shared" si="22"/>
        <v>45607.64435</v>
      </c>
      <c r="P526" s="24" t="b">
        <v>0</v>
      </c>
      <c r="Q526" s="20" t="str">
        <f t="shared" si="5"/>
        <v/>
      </c>
      <c r="R526" s="24" t="b">
        <v>1</v>
      </c>
      <c r="S526" s="20">
        <f t="shared" si="6"/>
        <v>45607.64802</v>
      </c>
      <c r="T526" s="7"/>
    </row>
    <row r="527" ht="22.5" hidden="1" customHeight="1">
      <c r="B527" s="7">
        <f t="shared" si="7"/>
        <v>521</v>
      </c>
      <c r="C527" s="18" t="s">
        <v>531</v>
      </c>
      <c r="D527" s="19" t="str">
        <f t="array" ref="D527">IFNA(_xlfn.XLOOKUP(C527,Table_Tarikan_Warkah[Nomor Sertipikat],Table_Tarikan_Warkah[Nomor Tiket]),"")</f>
        <v>K/6/071124/1</v>
      </c>
      <c r="E527" s="20">
        <f t="array" ref="E527">IFNA(_xlfn.XLOOKUP(C527,Table_Tarikan_Warkah[Nomor Sertipikat],Table_Tarikan_Warkah[Tanggal diserahkan kepada Validator]),"")</f>
        <v>45604.63154</v>
      </c>
      <c r="F527" s="20" t="str">
        <f t="array" ref="F527">IFNA(_xlfn.XLOOKUP(C527,Table_Tarikan_Warkah[Nomor Sertipikat],Table_Tarikan_Warkah[Nama Petugas Warkah]),"")</f>
        <v>David</v>
      </c>
      <c r="G527" s="21" t="str">
        <f t="array" ref="G527">IFNA(_xlfn.XLOOKUP(C527,Table_Tarikan_Warkah[Nomor Sertipikat],Table_Tarikan_Warkah[Jenis Permohonan]),"")</f>
        <v>BN JUAL BELI</v>
      </c>
      <c r="H527" s="22" t="s">
        <v>37</v>
      </c>
      <c r="I527" s="22" t="s">
        <v>32</v>
      </c>
      <c r="J527" s="20">
        <f t="shared" si="29"/>
        <v>45607.44238</v>
      </c>
      <c r="K527" s="27" t="s">
        <v>65</v>
      </c>
      <c r="L527" s="27" t="s">
        <v>32</v>
      </c>
      <c r="M527" s="20">
        <f t="shared" si="30"/>
        <v>45607.64755</v>
      </c>
      <c r="N527" s="8" t="str">
        <f t="shared" si="3"/>
        <v>SELESAI</v>
      </c>
      <c r="O527" s="23">
        <f t="shared" si="22"/>
        <v>45607.64755</v>
      </c>
      <c r="P527" s="24" t="b">
        <v>0</v>
      </c>
      <c r="Q527" s="20" t="str">
        <f t="shared" si="5"/>
        <v/>
      </c>
      <c r="R527" s="24" t="b">
        <v>1</v>
      </c>
      <c r="S527" s="20">
        <f t="shared" si="6"/>
        <v>45607.64803</v>
      </c>
      <c r="T527" s="7"/>
    </row>
    <row r="528" ht="22.5" hidden="1" customHeight="1">
      <c r="B528" s="7">
        <f t="shared" si="7"/>
        <v>522</v>
      </c>
      <c r="C528" s="18" t="s">
        <v>532</v>
      </c>
      <c r="D528" s="19" t="str">
        <f t="array" ref="D528">IFNA(_xlfn.XLOOKUP(C528,Table_Tarikan_Warkah[Nomor Sertipikat],Table_Tarikan_Warkah[Nomor Tiket]),"")</f>
        <v>K/9/071124/2</v>
      </c>
      <c r="E528" s="20">
        <f t="array" ref="E528">IFNA(_xlfn.XLOOKUP(C528,Table_Tarikan_Warkah[Nomor Sertipikat],Table_Tarikan_Warkah[Tanggal diserahkan kepada Validator]),"")</f>
        <v>45604.63198</v>
      </c>
      <c r="F528" s="20" t="str">
        <f t="array" ref="F528">IFNA(_xlfn.XLOOKUP(C528,Table_Tarikan_Warkah[Nomor Sertipikat],Table_Tarikan_Warkah[Nama Petugas Warkah]),"")</f>
        <v>David</v>
      </c>
      <c r="G528" s="21" t="str">
        <f t="array" ref="G528">IFNA(_xlfn.XLOOKUP(C528,Table_Tarikan_Warkah[Nomor Sertipikat],Table_Tarikan_Warkah[Jenis Permohonan]),"")</f>
        <v>BN Jual Beli</v>
      </c>
      <c r="H528" s="22" t="s">
        <v>37</v>
      </c>
      <c r="I528" s="22" t="s">
        <v>32</v>
      </c>
      <c r="J528" s="20">
        <f t="shared" si="29"/>
        <v>45607.44251</v>
      </c>
      <c r="K528" s="22" t="s">
        <v>65</v>
      </c>
      <c r="L528" s="22" t="s">
        <v>32</v>
      </c>
      <c r="M528" s="20">
        <f t="shared" si="30"/>
        <v>45607.64412</v>
      </c>
      <c r="N528" s="8" t="str">
        <f t="shared" si="3"/>
        <v>SELESAI</v>
      </c>
      <c r="O528" s="23">
        <f t="shared" si="22"/>
        <v>45607.64412</v>
      </c>
      <c r="P528" s="24" t="b">
        <v>0</v>
      </c>
      <c r="Q528" s="20" t="str">
        <f t="shared" si="5"/>
        <v/>
      </c>
      <c r="R528" s="24" t="b">
        <v>1</v>
      </c>
      <c r="S528" s="20">
        <f t="shared" si="6"/>
        <v>45607.64804</v>
      </c>
      <c r="T528" s="7"/>
    </row>
    <row r="529" ht="22.5" hidden="1" customHeight="1">
      <c r="B529" s="7">
        <f t="shared" si="7"/>
        <v>523</v>
      </c>
      <c r="C529" s="18" t="s">
        <v>533</v>
      </c>
      <c r="D529" s="19" t="str">
        <f t="array" ref="D529">IFNA(_xlfn.XLOOKUP(C529,Table_Tarikan_Warkah[Nomor Sertipikat],Table_Tarikan_Warkah[Nomor Tiket]),"")</f>
        <v>K/10/071124/3</v>
      </c>
      <c r="E529" s="20">
        <f t="array" ref="E529">IFNA(_xlfn.XLOOKUP(C529,Table_Tarikan_Warkah[Nomor Sertipikat],Table_Tarikan_Warkah[Tanggal diserahkan kepada Validator]),"")</f>
        <v>45604.63211</v>
      </c>
      <c r="F529" s="20" t="str">
        <f t="array" ref="F529">IFNA(_xlfn.XLOOKUP(C529,Table_Tarikan_Warkah[Nomor Sertipikat],Table_Tarikan_Warkah[Nama Petugas Warkah]),"")</f>
        <v>David</v>
      </c>
      <c r="G529" s="21" t="str">
        <f t="array" ref="G529">IFNA(_xlfn.XLOOKUP(C529,Table_Tarikan_Warkah[Nomor Sertipikat],Table_Tarikan_Warkah[Jenis Permohonan]),"")</f>
        <v>BN Jual Beli</v>
      </c>
      <c r="H529" s="22" t="s">
        <v>37</v>
      </c>
      <c r="I529" s="22" t="s">
        <v>32</v>
      </c>
      <c r="J529" s="20">
        <f t="shared" si="29"/>
        <v>45607.44264</v>
      </c>
      <c r="K529" s="22" t="s">
        <v>65</v>
      </c>
      <c r="L529" s="22" t="s">
        <v>32</v>
      </c>
      <c r="M529" s="20">
        <f t="shared" si="30"/>
        <v>45607.64379</v>
      </c>
      <c r="N529" s="8" t="str">
        <f t="shared" si="3"/>
        <v>SELESAI</v>
      </c>
      <c r="O529" s="23">
        <f t="shared" si="22"/>
        <v>45607.64379</v>
      </c>
      <c r="P529" s="24" t="b">
        <v>0</v>
      </c>
      <c r="Q529" s="20" t="str">
        <f t="shared" si="5"/>
        <v/>
      </c>
      <c r="R529" s="24" t="b">
        <v>1</v>
      </c>
      <c r="S529" s="20">
        <f t="shared" si="6"/>
        <v>45607.64805</v>
      </c>
      <c r="T529" s="7"/>
    </row>
    <row r="530" ht="22.5" hidden="1" customHeight="1">
      <c r="B530" s="7">
        <f t="shared" si="7"/>
        <v>524</v>
      </c>
      <c r="C530" s="18" t="s">
        <v>534</v>
      </c>
      <c r="D530" s="19" t="str">
        <f t="array" ref="D530">IFNA(_xlfn.XLOOKUP(C530,Table_Tarikan_Warkah[Nomor Sertipikat],Table_Tarikan_Warkah[Nomor Tiket]),"")</f>
        <v>K/23/071124/1</v>
      </c>
      <c r="E530" s="20">
        <f t="array" ref="E530">IFNA(_xlfn.XLOOKUP(C530,Table_Tarikan_Warkah[Nomor Sertipikat],Table_Tarikan_Warkah[Tanggal diserahkan kepada Validator]),"")</f>
        <v>45604.63535</v>
      </c>
      <c r="F530" s="20" t="str">
        <f t="array" ref="F530">IFNA(_xlfn.XLOOKUP(C530,Table_Tarikan_Warkah[Nomor Sertipikat],Table_Tarikan_Warkah[Nama Petugas Warkah]),"")</f>
        <v>David</v>
      </c>
      <c r="G530" s="21" t="str">
        <f t="array" ref="G530">IFNA(_xlfn.XLOOKUP(C530,Table_Tarikan_Warkah[Nomor Sertipikat],Table_Tarikan_Warkah[Jenis Permohonan]),"")</f>
        <v>ROYA</v>
      </c>
      <c r="H530" s="22" t="s">
        <v>37</v>
      </c>
      <c r="I530" s="22" t="s">
        <v>32</v>
      </c>
      <c r="J530" s="20">
        <f t="shared" si="29"/>
        <v>45607.44275</v>
      </c>
      <c r="K530" s="27" t="s">
        <v>65</v>
      </c>
      <c r="L530" s="27" t="s">
        <v>32</v>
      </c>
      <c r="M530" s="20">
        <f t="shared" si="30"/>
        <v>45607.6476</v>
      </c>
      <c r="N530" s="8" t="str">
        <f t="shared" si="3"/>
        <v>SELESAI</v>
      </c>
      <c r="O530" s="23">
        <f t="shared" si="22"/>
        <v>45607.6476</v>
      </c>
      <c r="P530" s="24" t="b">
        <v>0</v>
      </c>
      <c r="Q530" s="20" t="str">
        <f t="shared" si="5"/>
        <v/>
      </c>
      <c r="R530" s="24" t="b">
        <v>1</v>
      </c>
      <c r="S530" s="20">
        <f t="shared" si="6"/>
        <v>45607.64808</v>
      </c>
      <c r="T530" s="7"/>
    </row>
    <row r="531" ht="22.5" hidden="1" customHeight="1">
      <c r="B531" s="7">
        <f t="shared" si="7"/>
        <v>525</v>
      </c>
      <c r="C531" s="18" t="s">
        <v>535</v>
      </c>
      <c r="D531" s="19" t="str">
        <f t="array" ref="D531">IFNA(_xlfn.XLOOKUP(C531,Table_Tarikan_Warkah[Nomor Sertipikat],Table_Tarikan_Warkah[Nomor Tiket]),"")</f>
        <v>K/15/071124/1</v>
      </c>
      <c r="E531" s="20">
        <f t="array" ref="E531">IFNA(_xlfn.XLOOKUP(C531,Table_Tarikan_Warkah[Nomor Sertipikat],Table_Tarikan_Warkah[Tanggal diserahkan kepada Validator]),"")</f>
        <v>45604.63325</v>
      </c>
      <c r="F531" s="20" t="str">
        <f t="array" ref="F531">IFNA(_xlfn.XLOOKUP(C531,Table_Tarikan_Warkah[Nomor Sertipikat],Table_Tarikan_Warkah[Nama Petugas Warkah]),"")</f>
        <v>David</v>
      </c>
      <c r="G531" s="21" t="str">
        <f t="array" ref="G531">IFNA(_xlfn.XLOOKUP(C531,Table_Tarikan_Warkah[Nomor Sertipikat],Table_Tarikan_Warkah[Jenis Permohonan]),"")</f>
        <v>BN JUAL BELI</v>
      </c>
      <c r="H531" s="22" t="s">
        <v>37</v>
      </c>
      <c r="I531" s="22" t="s">
        <v>32</v>
      </c>
      <c r="J531" s="20">
        <f t="shared" si="29"/>
        <v>45607.44287</v>
      </c>
      <c r="K531" s="22" t="s">
        <v>65</v>
      </c>
      <c r="L531" s="22" t="s">
        <v>32</v>
      </c>
      <c r="M531" s="20">
        <f t="shared" si="30"/>
        <v>45607.64335</v>
      </c>
      <c r="N531" s="8" t="str">
        <f t="shared" si="3"/>
        <v>SELESAI</v>
      </c>
      <c r="O531" s="23">
        <f t="shared" si="22"/>
        <v>45607.64335</v>
      </c>
      <c r="P531" s="24" t="b">
        <v>0</v>
      </c>
      <c r="Q531" s="20" t="str">
        <f t="shared" si="5"/>
        <v/>
      </c>
      <c r="R531" s="24" t="b">
        <v>1</v>
      </c>
      <c r="S531" s="20">
        <f t="shared" si="6"/>
        <v>45607.64809</v>
      </c>
      <c r="T531" s="7"/>
    </row>
    <row r="532" ht="22.5" hidden="1" customHeight="1">
      <c r="B532" s="7">
        <f t="shared" si="7"/>
        <v>526</v>
      </c>
      <c r="C532" s="18" t="s">
        <v>536</v>
      </c>
      <c r="D532" s="19" t="str">
        <f t="array" ref="D532">IFNA(_xlfn.XLOOKUP(C532,Table_Tarikan_Warkah[Nomor Sertipikat],Table_Tarikan_Warkah[Nomor Tiket]),"")</f>
        <v>K/16/071124/2</v>
      </c>
      <c r="E532" s="20">
        <f t="array" ref="E532">IFNA(_xlfn.XLOOKUP(C532,Table_Tarikan_Warkah[Nomor Sertipikat],Table_Tarikan_Warkah[Tanggal diserahkan kepada Validator]),"")</f>
        <v>45604.63355</v>
      </c>
      <c r="F532" s="20" t="str">
        <f t="array" ref="F532">IFNA(_xlfn.XLOOKUP(C532,Table_Tarikan_Warkah[Nomor Sertipikat],Table_Tarikan_Warkah[Nama Petugas Warkah]),"")</f>
        <v>David</v>
      </c>
      <c r="G532" s="21" t="str">
        <f t="array" ref="G532">IFNA(_xlfn.XLOOKUP(C532,Table_Tarikan_Warkah[Nomor Sertipikat],Table_Tarikan_Warkah[Jenis Permohonan]),"")</f>
        <v>BN JUAL BELI</v>
      </c>
      <c r="H532" s="22" t="s">
        <v>37</v>
      </c>
      <c r="I532" s="22" t="s">
        <v>32</v>
      </c>
      <c r="J532" s="20">
        <f t="shared" si="29"/>
        <v>45607.44298</v>
      </c>
      <c r="K532" s="27" t="s">
        <v>65</v>
      </c>
      <c r="L532" s="27" t="s">
        <v>32</v>
      </c>
      <c r="M532" s="20">
        <f t="shared" si="30"/>
        <v>45607.64767</v>
      </c>
      <c r="N532" s="8" t="str">
        <f t="shared" si="3"/>
        <v>SELESAI</v>
      </c>
      <c r="O532" s="23">
        <f t="shared" si="22"/>
        <v>45607.64767</v>
      </c>
      <c r="P532" s="24" t="b">
        <v>0</v>
      </c>
      <c r="Q532" s="20" t="str">
        <f t="shared" si="5"/>
        <v/>
      </c>
      <c r="R532" s="24" t="b">
        <v>1</v>
      </c>
      <c r="S532" s="20">
        <f t="shared" si="6"/>
        <v>45607.64827</v>
      </c>
      <c r="T532" s="7"/>
    </row>
    <row r="533" ht="22.5" hidden="1" customHeight="1">
      <c r="B533" s="7">
        <f t="shared" si="7"/>
        <v>527</v>
      </c>
      <c r="C533" s="18" t="s">
        <v>537</v>
      </c>
      <c r="D533" s="19" t="str">
        <f t="array" ref="D533">IFNA(_xlfn.XLOOKUP(C533,Table_Tarikan_Warkah[Nomor Sertipikat],Table_Tarikan_Warkah[Nomor Tiket]),"")</f>
        <v>K/17/071124/3</v>
      </c>
      <c r="E533" s="20">
        <f t="array" ref="E533">IFNA(_xlfn.XLOOKUP(C533,Table_Tarikan_Warkah[Nomor Sertipikat],Table_Tarikan_Warkah[Tanggal diserahkan kepada Validator]),"")</f>
        <v>45604.63448</v>
      </c>
      <c r="F533" s="20" t="str">
        <f t="array" ref="F533">IFNA(_xlfn.XLOOKUP(C533,Table_Tarikan_Warkah[Nomor Sertipikat],Table_Tarikan_Warkah[Nama Petugas Warkah]),"")</f>
        <v>David</v>
      </c>
      <c r="G533" s="21" t="str">
        <f t="array" ref="G533">IFNA(_xlfn.XLOOKUP(C533,Table_Tarikan_Warkah[Nomor Sertipikat],Table_Tarikan_Warkah[Jenis Permohonan]),"")</f>
        <v>BN JUAL BELI</v>
      </c>
      <c r="H533" s="22" t="s">
        <v>37</v>
      </c>
      <c r="I533" s="22" t="s">
        <v>32</v>
      </c>
      <c r="J533" s="20">
        <f t="shared" si="29"/>
        <v>45607.44309</v>
      </c>
      <c r="K533" s="22" t="s">
        <v>65</v>
      </c>
      <c r="L533" s="22" t="s">
        <v>32</v>
      </c>
      <c r="M533" s="20">
        <f t="shared" si="30"/>
        <v>45607.643</v>
      </c>
      <c r="N533" s="8" t="str">
        <f t="shared" si="3"/>
        <v>SELESAI</v>
      </c>
      <c r="O533" s="23">
        <f t="shared" si="22"/>
        <v>45607.643</v>
      </c>
      <c r="P533" s="24" t="b">
        <v>0</v>
      </c>
      <c r="Q533" s="20" t="str">
        <f t="shared" si="5"/>
        <v/>
      </c>
      <c r="R533" s="24" t="b">
        <v>1</v>
      </c>
      <c r="S533" s="20">
        <f t="shared" si="6"/>
        <v>45607.64828</v>
      </c>
      <c r="T533" s="7"/>
    </row>
    <row r="534" ht="22.5" hidden="1" customHeight="1">
      <c r="B534" s="7">
        <f t="shared" si="7"/>
        <v>528</v>
      </c>
      <c r="C534" s="18" t="s">
        <v>538</v>
      </c>
      <c r="D534" s="19" t="str">
        <f t="array" ref="D534">IFNA(_xlfn.XLOOKUP(C534,Table_Tarikan_Warkah[Nomor Sertipikat],Table_Tarikan_Warkah[Nomor Tiket]),"")</f>
        <v>K/18/071124/4</v>
      </c>
      <c r="E534" s="20">
        <f t="array" ref="E534">IFNA(_xlfn.XLOOKUP(C534,Table_Tarikan_Warkah[Nomor Sertipikat],Table_Tarikan_Warkah[Tanggal diserahkan kepada Validator]),"")</f>
        <v>45604.6347</v>
      </c>
      <c r="F534" s="20" t="str">
        <f t="array" ref="F534">IFNA(_xlfn.XLOOKUP(C534,Table_Tarikan_Warkah[Nomor Sertipikat],Table_Tarikan_Warkah[Nama Petugas Warkah]),"")</f>
        <v>David</v>
      </c>
      <c r="G534" s="21" t="str">
        <f t="array" ref="G534">IFNA(_xlfn.XLOOKUP(C534,Table_Tarikan_Warkah[Nomor Sertipikat],Table_Tarikan_Warkah[Jenis Permohonan]),"")</f>
        <v>BN JUAL BELI</v>
      </c>
      <c r="H534" s="22" t="s">
        <v>37</v>
      </c>
      <c r="I534" s="22" t="s">
        <v>32</v>
      </c>
      <c r="J534" s="20">
        <f t="shared" si="29"/>
        <v>45607.44319</v>
      </c>
      <c r="K534" s="22" t="s">
        <v>65</v>
      </c>
      <c r="L534" s="22" t="s">
        <v>32</v>
      </c>
      <c r="M534" s="20">
        <f t="shared" si="30"/>
        <v>45607.64283</v>
      </c>
      <c r="N534" s="8" t="str">
        <f t="shared" si="3"/>
        <v>SELESAI</v>
      </c>
      <c r="O534" s="23">
        <f t="shared" si="22"/>
        <v>45607.64283</v>
      </c>
      <c r="P534" s="24" t="b">
        <v>0</v>
      </c>
      <c r="Q534" s="20" t="str">
        <f t="shared" si="5"/>
        <v/>
      </c>
      <c r="R534" s="24" t="b">
        <v>1</v>
      </c>
      <c r="S534" s="20">
        <f t="shared" si="6"/>
        <v>45607.64828</v>
      </c>
      <c r="T534" s="7"/>
    </row>
    <row r="535" ht="22.5" hidden="1" customHeight="1">
      <c r="B535" s="7">
        <f t="shared" si="7"/>
        <v>529</v>
      </c>
      <c r="C535" s="18" t="s">
        <v>539</v>
      </c>
      <c r="D535" s="19" t="str">
        <f t="array" ref="D535">IFNA(_xlfn.XLOOKUP(C535,Table_Tarikan_Warkah[Nomor Sertipikat],Table_Tarikan_Warkah[Nomor Tiket]),"")</f>
        <v>L/22/071124/1</v>
      </c>
      <c r="E535" s="20">
        <f t="array" ref="E535">IFNA(_xlfn.XLOOKUP(C535,Table_Tarikan_Warkah[Nomor Sertipikat],Table_Tarikan_Warkah[Tanggal diserahkan kepada Validator]),"")</f>
        <v>45604.63519</v>
      </c>
      <c r="F535" s="20" t="str">
        <f t="array" ref="F535">IFNA(_xlfn.XLOOKUP(C535,Table_Tarikan_Warkah[Nomor Sertipikat],Table_Tarikan_Warkah[Nama Petugas Warkah]),"")</f>
        <v>David</v>
      </c>
      <c r="G535" s="21" t="str">
        <f t="array" ref="G535">IFNA(_xlfn.XLOOKUP(C535,Table_Tarikan_Warkah[Nomor Sertipikat],Table_Tarikan_Warkah[Jenis Permohonan]),"")</f>
        <v>BN HIBAH</v>
      </c>
      <c r="H535" s="22" t="s">
        <v>37</v>
      </c>
      <c r="I535" s="22" t="s">
        <v>32</v>
      </c>
      <c r="J535" s="20">
        <f t="shared" si="29"/>
        <v>45607.44509</v>
      </c>
      <c r="K535" s="22" t="s">
        <v>65</v>
      </c>
      <c r="L535" s="22" t="s">
        <v>32</v>
      </c>
      <c r="M535" s="20">
        <f t="shared" si="30"/>
        <v>45607.64267</v>
      </c>
      <c r="N535" s="8" t="str">
        <f t="shared" si="3"/>
        <v>SELESAI</v>
      </c>
      <c r="O535" s="23">
        <f t="shared" si="22"/>
        <v>45607.64267</v>
      </c>
      <c r="P535" s="24" t="b">
        <v>0</v>
      </c>
      <c r="Q535" s="20" t="str">
        <f t="shared" si="5"/>
        <v/>
      </c>
      <c r="R535" s="24" t="b">
        <v>1</v>
      </c>
      <c r="S535" s="20">
        <f t="shared" si="6"/>
        <v>45607.64829</v>
      </c>
      <c r="T535" s="7"/>
    </row>
    <row r="536" ht="22.5" hidden="1" customHeight="1">
      <c r="B536" s="7">
        <f t="shared" si="7"/>
        <v>530</v>
      </c>
      <c r="C536" s="18" t="s">
        <v>540</v>
      </c>
      <c r="D536" s="19" t="str">
        <f t="array" ref="D536">IFNA(_xlfn.XLOOKUP(C536,Table_Tarikan_Warkah[Nomor Sertipikat],Table_Tarikan_Warkah[Nomor Tiket]),"")</f>
        <v>K/27/071124/2</v>
      </c>
      <c r="E536" s="20">
        <f t="array" ref="E536">IFNA(_xlfn.XLOOKUP(C536,Table_Tarikan_Warkah[Nomor Sertipikat],Table_Tarikan_Warkah[Tanggal diserahkan kepada Validator]),"")</f>
        <v>45604.6361</v>
      </c>
      <c r="F536" s="20" t="str">
        <f t="array" ref="F536">IFNA(_xlfn.XLOOKUP(C536,Table_Tarikan_Warkah[Nomor Sertipikat],Table_Tarikan_Warkah[Nama Petugas Warkah]),"")</f>
        <v>David</v>
      </c>
      <c r="G536" s="21" t="str">
        <f t="array" ref="G536">IFNA(_xlfn.XLOOKUP(C536,Table_Tarikan_Warkah[Nomor Sertipikat],Table_Tarikan_Warkah[Jenis Permohonan]),"")</f>
        <v>BN Jual Beli</v>
      </c>
      <c r="H536" s="22" t="s">
        <v>37</v>
      </c>
      <c r="I536" s="22" t="s">
        <v>32</v>
      </c>
      <c r="J536" s="20">
        <f t="shared" si="29"/>
        <v>45607.45035</v>
      </c>
      <c r="K536" s="22" t="s">
        <v>65</v>
      </c>
      <c r="L536" s="22" t="s">
        <v>32</v>
      </c>
      <c r="M536" s="20">
        <f t="shared" si="30"/>
        <v>45607.64446</v>
      </c>
      <c r="N536" s="8" t="str">
        <f t="shared" si="3"/>
        <v>SELESAI</v>
      </c>
      <c r="O536" s="23">
        <f t="shared" si="22"/>
        <v>45607.64446</v>
      </c>
      <c r="P536" s="24" t="b">
        <v>0</v>
      </c>
      <c r="Q536" s="20" t="str">
        <f t="shared" si="5"/>
        <v/>
      </c>
      <c r="R536" s="24" t="b">
        <v>1</v>
      </c>
      <c r="S536" s="20">
        <f t="shared" si="6"/>
        <v>45607.6483</v>
      </c>
      <c r="T536" s="7"/>
    </row>
    <row r="537" ht="22.5" hidden="1" customHeight="1">
      <c r="B537" s="7">
        <f t="shared" si="7"/>
        <v>531</v>
      </c>
      <c r="C537" s="18" t="s">
        <v>541</v>
      </c>
      <c r="D537" s="19" t="str">
        <f t="array" ref="D537">IFNA(_xlfn.XLOOKUP(C537,Table_Tarikan_Warkah[Nomor Sertipikat],Table_Tarikan_Warkah[Nomor Tiket]),"")</f>
        <v>K/35/071124/1</v>
      </c>
      <c r="E537" s="20">
        <f t="array" ref="E537">IFNA(_xlfn.XLOOKUP(C537,Table_Tarikan_Warkah[Nomor Sertipikat],Table_Tarikan_Warkah[Tanggal diserahkan kepada Validator]),"")</f>
        <v>45604.63741</v>
      </c>
      <c r="F537" s="20" t="str">
        <f t="array" ref="F537">IFNA(_xlfn.XLOOKUP(C537,Table_Tarikan_Warkah[Nomor Sertipikat],Table_Tarikan_Warkah[Nama Petugas Warkah]),"")</f>
        <v>David</v>
      </c>
      <c r="G537" s="21" t="str">
        <f t="array" ref="G537">IFNA(_xlfn.XLOOKUP(C537,Table_Tarikan_Warkah[Nomor Sertipikat],Table_Tarikan_Warkah[Jenis Permohonan]),"")</f>
        <v>BN Jual Beli</v>
      </c>
      <c r="H537" s="22" t="s">
        <v>37</v>
      </c>
      <c r="I537" s="22" t="s">
        <v>32</v>
      </c>
      <c r="J537" s="20">
        <f t="shared" si="29"/>
        <v>45607.46119</v>
      </c>
      <c r="K537" s="22" t="s">
        <v>65</v>
      </c>
      <c r="L537" s="22" t="s">
        <v>32</v>
      </c>
      <c r="M537" s="20">
        <f t="shared" si="30"/>
        <v>45607.64251</v>
      </c>
      <c r="N537" s="8" t="str">
        <f t="shared" si="3"/>
        <v>SELESAI</v>
      </c>
      <c r="O537" s="23">
        <f t="shared" si="22"/>
        <v>45607.64251</v>
      </c>
      <c r="P537" s="24" t="b">
        <v>0</v>
      </c>
      <c r="Q537" s="20" t="str">
        <f t="shared" si="5"/>
        <v/>
      </c>
      <c r="R537" s="24" t="b">
        <v>1</v>
      </c>
      <c r="S537" s="20">
        <f t="shared" si="6"/>
        <v>45607.64831</v>
      </c>
      <c r="T537" s="7"/>
    </row>
    <row r="538" ht="22.5" hidden="1" customHeight="1">
      <c r="B538" s="7">
        <f t="shared" si="7"/>
        <v>532</v>
      </c>
      <c r="C538" s="18" t="s">
        <v>542</v>
      </c>
      <c r="D538" s="19" t="str">
        <f t="array" ref="D538">IFNA(_xlfn.XLOOKUP(C538,Table_Tarikan_Warkah[Nomor Sertipikat],Table_Tarikan_Warkah[Nomor Tiket]),"")</f>
        <v>K/37/071124/2</v>
      </c>
      <c r="E538" s="20">
        <f t="array" ref="E538">IFNA(_xlfn.XLOOKUP(C538,Table_Tarikan_Warkah[Nomor Sertipikat],Table_Tarikan_Warkah[Tanggal diserahkan kepada Validator]),"")</f>
        <v>45604.63793</v>
      </c>
      <c r="F538" s="20" t="str">
        <f t="array" ref="F538">IFNA(_xlfn.XLOOKUP(C538,Table_Tarikan_Warkah[Nomor Sertipikat],Table_Tarikan_Warkah[Nama Petugas Warkah]),"")</f>
        <v>David</v>
      </c>
      <c r="G538" s="21" t="str">
        <f t="array" ref="G538">IFNA(_xlfn.XLOOKUP(C538,Table_Tarikan_Warkah[Nomor Sertipikat],Table_Tarikan_Warkah[Jenis Permohonan]),"")</f>
        <v>BN Jual Beli</v>
      </c>
      <c r="H538" s="22" t="s">
        <v>37</v>
      </c>
      <c r="I538" s="22" t="s">
        <v>32</v>
      </c>
      <c r="J538" s="20">
        <f t="shared" si="29"/>
        <v>45607.46136</v>
      </c>
      <c r="K538" s="22" t="s">
        <v>65</v>
      </c>
      <c r="L538" s="22" t="s">
        <v>32</v>
      </c>
      <c r="M538" s="20">
        <f t="shared" si="30"/>
        <v>45607.64164</v>
      </c>
      <c r="N538" s="8" t="str">
        <f t="shared" si="3"/>
        <v>SELESAI</v>
      </c>
      <c r="O538" s="23">
        <f t="shared" si="22"/>
        <v>45607.64164</v>
      </c>
      <c r="P538" s="24" t="b">
        <v>0</v>
      </c>
      <c r="Q538" s="20" t="str">
        <f t="shared" si="5"/>
        <v/>
      </c>
      <c r="R538" s="24" t="b">
        <v>1</v>
      </c>
      <c r="S538" s="20">
        <f t="shared" si="6"/>
        <v>45607.64832</v>
      </c>
      <c r="T538" s="7"/>
    </row>
    <row r="539" ht="22.5" hidden="1" customHeight="1">
      <c r="B539" s="7">
        <f t="shared" si="7"/>
        <v>533</v>
      </c>
      <c r="C539" s="18" t="s">
        <v>543</v>
      </c>
      <c r="D539" s="19" t="str">
        <f t="array" ref="D539">IFNA(_xlfn.XLOOKUP(C539,Table_Tarikan_Warkah[Nomor Sertipikat],Table_Tarikan_Warkah[Nomor Tiket]),"")</f>
        <v>K/38/071124/3</v>
      </c>
      <c r="E539" s="20">
        <f t="array" ref="E539">IFNA(_xlfn.XLOOKUP(C539,Table_Tarikan_Warkah[Nomor Sertipikat],Table_Tarikan_Warkah[Tanggal diserahkan kepada Validator]),"")</f>
        <v>45604.63759</v>
      </c>
      <c r="F539" s="20" t="str">
        <f t="array" ref="F539">IFNA(_xlfn.XLOOKUP(C539,Table_Tarikan_Warkah[Nomor Sertipikat],Table_Tarikan_Warkah[Nama Petugas Warkah]),"")</f>
        <v>David</v>
      </c>
      <c r="G539" s="21" t="str">
        <f t="array" ref="G539">IFNA(_xlfn.XLOOKUP(C539,Table_Tarikan_Warkah[Nomor Sertipikat],Table_Tarikan_Warkah[Jenis Permohonan]),"")</f>
        <v>BN Jual Beli</v>
      </c>
      <c r="H539" s="22" t="s">
        <v>37</v>
      </c>
      <c r="I539" s="22" t="s">
        <v>32</v>
      </c>
      <c r="J539" s="20">
        <f t="shared" si="29"/>
        <v>45607.46144</v>
      </c>
      <c r="K539" s="22" t="s">
        <v>65</v>
      </c>
      <c r="L539" s="22" t="s">
        <v>32</v>
      </c>
      <c r="M539" s="20">
        <f t="shared" si="30"/>
        <v>45607.64084</v>
      </c>
      <c r="N539" s="8" t="str">
        <f t="shared" si="3"/>
        <v>SELESAI</v>
      </c>
      <c r="O539" s="23">
        <f t="shared" si="22"/>
        <v>45607.64084</v>
      </c>
      <c r="P539" s="24" t="b">
        <v>0</v>
      </c>
      <c r="Q539" s="20" t="str">
        <f t="shared" si="5"/>
        <v/>
      </c>
      <c r="R539" s="24" t="b">
        <v>1</v>
      </c>
      <c r="S539" s="20">
        <f t="shared" si="6"/>
        <v>45607.64833</v>
      </c>
      <c r="T539" s="7"/>
    </row>
    <row r="540" ht="22.5" hidden="1" customHeight="1">
      <c r="B540" s="7">
        <f t="shared" si="7"/>
        <v>534</v>
      </c>
      <c r="C540" s="18" t="s">
        <v>544</v>
      </c>
      <c r="D540" s="19" t="str">
        <f t="array" ref="D540">IFNA(_xlfn.XLOOKUP(C540,Table_Tarikan_Warkah[Nomor Sertipikat],Table_Tarikan_Warkah[Nomor Tiket]),"")</f>
        <v>K/40/071124/1</v>
      </c>
      <c r="E540" s="20">
        <f t="array" ref="E540">IFNA(_xlfn.XLOOKUP(C540,Table_Tarikan_Warkah[Nomor Sertipikat],Table_Tarikan_Warkah[Tanggal diserahkan kepada Validator]),"")</f>
        <v>45604.63808</v>
      </c>
      <c r="F540" s="20" t="str">
        <f t="array" ref="F540">IFNA(_xlfn.XLOOKUP(C540,Table_Tarikan_Warkah[Nomor Sertipikat],Table_Tarikan_Warkah[Nama Petugas Warkah]),"")</f>
        <v>David</v>
      </c>
      <c r="G540" s="21" t="str">
        <f t="array" ref="G540">IFNA(_xlfn.XLOOKUP(C540,Table_Tarikan_Warkah[Nomor Sertipikat],Table_Tarikan_Warkah[Jenis Permohonan]),"")</f>
        <v>BN Jual Beli</v>
      </c>
      <c r="H540" s="22" t="s">
        <v>37</v>
      </c>
      <c r="I540" s="22" t="s">
        <v>32</v>
      </c>
      <c r="J540" s="20">
        <f t="shared" si="29"/>
        <v>45607.47568</v>
      </c>
      <c r="K540" s="22" t="s">
        <v>65</v>
      </c>
      <c r="L540" s="22" t="s">
        <v>32</v>
      </c>
      <c r="M540" s="20">
        <f t="shared" si="30"/>
        <v>45607.6424</v>
      </c>
      <c r="N540" s="8" t="str">
        <f t="shared" si="3"/>
        <v>SELESAI</v>
      </c>
      <c r="O540" s="23">
        <f t="shared" si="22"/>
        <v>45607.6424</v>
      </c>
      <c r="P540" s="24" t="b">
        <v>0</v>
      </c>
      <c r="Q540" s="20" t="str">
        <f t="shared" si="5"/>
        <v/>
      </c>
      <c r="R540" s="24" t="b">
        <v>1</v>
      </c>
      <c r="S540" s="20">
        <f t="shared" si="6"/>
        <v>45607.64833</v>
      </c>
      <c r="T540" s="7"/>
    </row>
    <row r="541" ht="22.5" hidden="1" customHeight="1">
      <c r="B541" s="7">
        <f t="shared" si="7"/>
        <v>535</v>
      </c>
      <c r="C541" s="18" t="s">
        <v>545</v>
      </c>
      <c r="D541" s="19" t="str">
        <f t="array" ref="D541">IFNA(_xlfn.XLOOKUP(C541,Table_Tarikan_Warkah[Nomor Sertipikat],Table_Tarikan_Warkah[Nomor Tiket]),"")</f>
        <v>K/46/291024/1</v>
      </c>
      <c r="E541" s="20">
        <f t="array" ref="E541">IFNA(_xlfn.XLOOKUP(C541,Table_Tarikan_Warkah[Nomor Sertipikat],Table_Tarikan_Warkah[Tanggal diserahkan kepada Validator]),"")</f>
        <v>45604.6047</v>
      </c>
      <c r="F541" s="20" t="str">
        <f t="array" ref="F541">IFNA(_xlfn.XLOOKUP(C541,Table_Tarikan_Warkah[Nomor Sertipikat],Table_Tarikan_Warkah[Nama Petugas Warkah]),"")</f>
        <v>Berry</v>
      </c>
      <c r="G541" s="21" t="str">
        <f t="array" ref="G541">IFNA(_xlfn.XLOOKUP(C541,Table_Tarikan_Warkah[Nomor Sertipikat],Table_Tarikan_Warkah[Jenis Permohonan]),"")</f>
        <v>BN JUAL BELI</v>
      </c>
      <c r="H541" s="22" t="s">
        <v>37</v>
      </c>
      <c r="I541" s="22" t="s">
        <v>32</v>
      </c>
      <c r="J541" s="20">
        <f t="shared" si="29"/>
        <v>45607.4757</v>
      </c>
      <c r="K541" s="22" t="s">
        <v>65</v>
      </c>
      <c r="L541" s="22" t="s">
        <v>32</v>
      </c>
      <c r="M541" s="20">
        <f t="shared" si="30"/>
        <v>45607.64126</v>
      </c>
      <c r="N541" s="8" t="str">
        <f t="shared" si="3"/>
        <v>SELESAI</v>
      </c>
      <c r="O541" s="23">
        <f t="shared" si="22"/>
        <v>45607.64126</v>
      </c>
      <c r="P541" s="24" t="b">
        <v>0</v>
      </c>
      <c r="Q541" s="20" t="str">
        <f t="shared" si="5"/>
        <v/>
      </c>
      <c r="R541" s="24" t="b">
        <v>1</v>
      </c>
      <c r="S541" s="20">
        <f t="shared" si="6"/>
        <v>45607.64834</v>
      </c>
      <c r="T541" s="7"/>
    </row>
    <row r="542" ht="22.5" hidden="1" customHeight="1">
      <c r="B542" s="7">
        <f t="shared" si="7"/>
        <v>536</v>
      </c>
      <c r="C542" s="18" t="s">
        <v>546</v>
      </c>
      <c r="D542" s="7" t="s">
        <v>547</v>
      </c>
      <c r="E542" s="20">
        <f t="array" ref="E542">IFNA(_xlfn.XLOOKUP(D542,Table_Tarikan_Warkah[Nomor Tiket],Table_Tarikan_Warkah[Tanggal diserahkan kepada Validator]),"")</f>
        <v>45604.6167</v>
      </c>
      <c r="F542" s="20" t="str">
        <f t="array" ref="F542">IFNA(_xlfn.XLOOKUP(D542,Table_Tarikan_Warkah[Nomor Tiket],Table_Tarikan_Warkah[Nama Petugas Warkah]),"")</f>
        <v>Berry</v>
      </c>
      <c r="G542" s="21" t="str">
        <f t="array" ref="G542">IFNA(_xlfn.XLOOKUP(D542,Table_Tarikan_Warkah[Nomor Tiket],Table_Tarikan_Warkah[Jenis Permohonan]),"")</f>
        <v>BN JUAL BELI</v>
      </c>
      <c r="H542" s="22" t="s">
        <v>31</v>
      </c>
      <c r="I542" s="22" t="s">
        <v>32</v>
      </c>
      <c r="J542" s="20">
        <f t="shared" si="29"/>
        <v>45607.61952</v>
      </c>
      <c r="K542" s="22" t="s">
        <v>65</v>
      </c>
      <c r="L542" s="22" t="s">
        <v>32</v>
      </c>
      <c r="M542" s="20">
        <f t="shared" si="30"/>
        <v>45609.47083</v>
      </c>
      <c r="N542" s="8" t="str">
        <f t="shared" si="3"/>
        <v>SELESAI</v>
      </c>
      <c r="O542" s="23">
        <f t="shared" si="22"/>
        <v>45609.47083</v>
      </c>
      <c r="P542" s="24" t="b">
        <v>1</v>
      </c>
      <c r="Q542" s="20">
        <f t="shared" si="5"/>
        <v>45615.72928</v>
      </c>
      <c r="R542" s="24" t="b">
        <v>1</v>
      </c>
      <c r="S542" s="20">
        <f t="shared" si="6"/>
        <v>45609.48608</v>
      </c>
      <c r="T542" s="7"/>
    </row>
    <row r="543" ht="22.5" hidden="1" customHeight="1">
      <c r="B543" s="7">
        <f t="shared" si="7"/>
        <v>537</v>
      </c>
      <c r="C543" s="18" t="s">
        <v>548</v>
      </c>
      <c r="D543" s="19" t="str">
        <f t="array" ref="D543">IFNA(_xlfn.XLOOKUP(C543,Table_Tarikan_Warkah[Nomor Sertipikat],Table_Tarikan_Warkah[Nomor Tiket]),"")</f>
        <v>K/51/061124/1</v>
      </c>
      <c r="E543" s="20">
        <f t="array" ref="E543">IFNA(_xlfn.XLOOKUP(D543,Table_Tarikan_Warkah[Nomor Tiket],Table_Tarikan_Warkah[Tanggal diserahkan kepada Validator]),"")</f>
        <v>45604.62862</v>
      </c>
      <c r="F543" s="20" t="str">
        <f t="array" ref="F543">IFNA(_xlfn.XLOOKUP(D543,Table_Tarikan_Warkah[Nomor Tiket],Table_Tarikan_Warkah[Nama Petugas Warkah]),"")</f>
        <v>David</v>
      </c>
      <c r="G543" s="21" t="str">
        <f t="array" ref="G543">IFNA(_xlfn.XLOOKUP(D543,Table_Tarikan_Warkah[Nomor Tiket],Table_Tarikan_Warkah[Jenis Permohonan]),"")</f>
        <v>BN JUAL BELI</v>
      </c>
      <c r="H543" s="22" t="s">
        <v>31</v>
      </c>
      <c r="I543" s="22" t="s">
        <v>32</v>
      </c>
      <c r="J543" s="20">
        <f t="shared" si="29"/>
        <v>45607.61952</v>
      </c>
      <c r="K543" s="26"/>
      <c r="L543" s="26"/>
      <c r="M543" s="20" t="str">
        <f t="shared" si="30"/>
        <v/>
      </c>
      <c r="N543" s="8" t="str">
        <f t="shared" si="3"/>
        <v>BT atau SU Belum Valid</v>
      </c>
      <c r="O543" s="21" t="str">
        <f t="shared" si="22"/>
        <v/>
      </c>
      <c r="P543" s="24" t="b">
        <v>0</v>
      </c>
      <c r="Q543" s="20" t="str">
        <f t="shared" si="5"/>
        <v/>
      </c>
      <c r="R543" s="24" t="b">
        <v>0</v>
      </c>
      <c r="S543" s="7" t="str">
        <f t="shared" si="6"/>
        <v/>
      </c>
      <c r="T543" s="7"/>
    </row>
    <row r="544" ht="22.5" hidden="1" customHeight="1">
      <c r="B544" s="7">
        <f t="shared" si="7"/>
        <v>538</v>
      </c>
      <c r="C544" s="18" t="s">
        <v>549</v>
      </c>
      <c r="D544" s="19" t="str">
        <f t="array" ref="D544">IFNA(_xlfn.XLOOKUP(C544,Table_Tarikan_Warkah[Nomor Sertipikat],Table_Tarikan_Warkah[Nomor Tiket]),"")</f>
        <v>K/48/061124/2</v>
      </c>
      <c r="E544" s="20">
        <f t="array" ref="E544">IFNA(_xlfn.XLOOKUP(D544,Table_Tarikan_Warkah[Nomor Tiket],Table_Tarikan_Warkah[Tanggal diserahkan kepada Validator]),"")</f>
        <v>45604.62639</v>
      </c>
      <c r="F544" s="20" t="str">
        <f t="array" ref="F544">IFNA(_xlfn.XLOOKUP(D544,Table_Tarikan_Warkah[Nomor Tiket],Table_Tarikan_Warkah[Nama Petugas Warkah]),"")</f>
        <v>Berry</v>
      </c>
      <c r="G544" s="21" t="str">
        <f t="array" ref="G544">IFNA(_xlfn.XLOOKUP(D544,Table_Tarikan_Warkah[Nomor Tiket],Table_Tarikan_Warkah[Jenis Permohonan]),"")</f>
        <v>BN JUAL BELI</v>
      </c>
      <c r="H544" s="22" t="s">
        <v>31</v>
      </c>
      <c r="I544" s="22" t="s">
        <v>32</v>
      </c>
      <c r="J544" s="20">
        <f t="shared" si="29"/>
        <v>45607.62051</v>
      </c>
      <c r="K544" s="22" t="s">
        <v>65</v>
      </c>
      <c r="L544" s="22" t="s">
        <v>32</v>
      </c>
      <c r="M544" s="20">
        <f t="shared" si="30"/>
        <v>45609.47832</v>
      </c>
      <c r="N544" s="8" t="str">
        <f t="shared" si="3"/>
        <v>SELESAI</v>
      </c>
      <c r="O544" s="23">
        <f t="shared" si="22"/>
        <v>45609.47832</v>
      </c>
      <c r="P544" s="24" t="b">
        <v>0</v>
      </c>
      <c r="Q544" s="20" t="str">
        <f t="shared" si="5"/>
        <v/>
      </c>
      <c r="R544" s="24" t="b">
        <v>1</v>
      </c>
      <c r="S544" s="20">
        <f t="shared" si="6"/>
        <v>45609.48609</v>
      </c>
      <c r="T544" s="7"/>
    </row>
    <row r="545" ht="22.5" hidden="1" customHeight="1">
      <c r="B545" s="7">
        <f t="shared" si="7"/>
        <v>539</v>
      </c>
      <c r="C545" s="18" t="s">
        <v>550</v>
      </c>
      <c r="D545" s="19" t="str">
        <f t="array" ref="D545">IFNA(_xlfn.XLOOKUP(C545,Table_Tarikan_Warkah[Nomor Sertipikat],Table_Tarikan_Warkah[Nomor Tiket]),"")</f>
        <v>K/42/061124/1</v>
      </c>
      <c r="E545" s="20">
        <f t="array" ref="E545">IFNA(_xlfn.XLOOKUP(D545,Table_Tarikan_Warkah[Nomor Tiket],Table_Tarikan_Warkah[Tanggal diserahkan kepada Validator]),"")</f>
        <v>45604.62581</v>
      </c>
      <c r="F545" s="20" t="str">
        <f t="array" ref="F545">IFNA(_xlfn.XLOOKUP(D545,Table_Tarikan_Warkah[Nomor Tiket],Table_Tarikan_Warkah[Nama Petugas Warkah]),"")</f>
        <v>Berry</v>
      </c>
      <c r="G545" s="21" t="str">
        <f t="array" ref="G545">IFNA(_xlfn.XLOOKUP(D545,Table_Tarikan_Warkah[Nomor Tiket],Table_Tarikan_Warkah[Jenis Permohonan]),"")</f>
        <v>BN JUAL BELI</v>
      </c>
      <c r="H545" s="22" t="s">
        <v>31</v>
      </c>
      <c r="I545" s="22" t="s">
        <v>32</v>
      </c>
      <c r="J545" s="20">
        <f t="shared" si="29"/>
        <v>45607.62051</v>
      </c>
      <c r="K545" s="26"/>
      <c r="L545" s="26"/>
      <c r="M545" s="20" t="str">
        <f t="shared" si="30"/>
        <v/>
      </c>
      <c r="N545" s="8" t="str">
        <f t="shared" si="3"/>
        <v>BT atau SU Belum Valid</v>
      </c>
      <c r="O545" s="21" t="str">
        <f t="shared" si="22"/>
        <v/>
      </c>
      <c r="P545" s="24" t="b">
        <v>0</v>
      </c>
      <c r="Q545" s="20" t="str">
        <f t="shared" si="5"/>
        <v/>
      </c>
      <c r="R545" s="24" t="b">
        <v>0</v>
      </c>
      <c r="S545" s="7" t="str">
        <f t="shared" si="6"/>
        <v/>
      </c>
      <c r="T545" s="7"/>
    </row>
    <row r="546" ht="22.5" hidden="1" customHeight="1">
      <c r="B546" s="7">
        <f t="shared" si="7"/>
        <v>540</v>
      </c>
      <c r="C546" s="18" t="s">
        <v>551</v>
      </c>
      <c r="D546" s="19" t="str">
        <f t="array" ref="D546">IFNA(_xlfn.XLOOKUP(C546,Table_Tarikan_Warkah[Nomor Sertipikat],Table_Tarikan_Warkah[Nomor Tiket]),"")</f>
        <v>L/37/061124/1</v>
      </c>
      <c r="E546" s="20">
        <f t="array" ref="E546">IFNA(_xlfn.XLOOKUP(D546,Table_Tarikan_Warkah[Nomor Tiket],Table_Tarikan_Warkah[Tanggal diserahkan kepada Validator]),"")</f>
        <v>45604.62565</v>
      </c>
      <c r="F546" s="20" t="str">
        <f t="array" ref="F546">IFNA(_xlfn.XLOOKUP(D546,Table_Tarikan_Warkah[Nomor Tiket],Table_Tarikan_Warkah[Nama Petugas Warkah]),"")</f>
        <v>Berry</v>
      </c>
      <c r="G546" s="21" t="str">
        <f t="array" ref="G546">IFNA(_xlfn.XLOOKUP(D546,Table_Tarikan_Warkah[Nomor Tiket],Table_Tarikan_Warkah[Jenis Permohonan]),"")</f>
        <v>PH</v>
      </c>
      <c r="H546" s="22" t="s">
        <v>31</v>
      </c>
      <c r="I546" s="22" t="s">
        <v>32</v>
      </c>
      <c r="J546" s="20">
        <f t="shared" si="29"/>
        <v>45607.62051</v>
      </c>
      <c r="K546" s="26"/>
      <c r="L546" s="26"/>
      <c r="M546" s="20" t="str">
        <f t="shared" si="30"/>
        <v/>
      </c>
      <c r="N546" s="8" t="str">
        <f t="shared" si="3"/>
        <v>BT atau SU Belum Valid</v>
      </c>
      <c r="O546" s="21" t="str">
        <f t="shared" si="22"/>
        <v/>
      </c>
      <c r="P546" s="24" t="b">
        <v>0</v>
      </c>
      <c r="Q546" s="20" t="str">
        <f t="shared" si="5"/>
        <v/>
      </c>
      <c r="R546" s="24" t="b">
        <v>0</v>
      </c>
      <c r="S546" s="7" t="str">
        <f t="shared" si="6"/>
        <v/>
      </c>
      <c r="T546" s="7"/>
    </row>
    <row r="547" ht="22.5" hidden="1" customHeight="1">
      <c r="B547" s="7">
        <f t="shared" si="7"/>
        <v>541</v>
      </c>
      <c r="C547" s="18" t="s">
        <v>552</v>
      </c>
      <c r="D547" s="19" t="str">
        <f t="array" ref="D547">IFNA(_xlfn.XLOOKUP(C547,Table_Tarikan_Warkah[Nomor Sertipikat],Table_Tarikan_Warkah[Nomor Tiket]),"")</f>
        <v>K/35/061124/1</v>
      </c>
      <c r="E547" s="20">
        <f t="array" ref="E547">IFNA(_xlfn.XLOOKUP(D547,Table_Tarikan_Warkah[Nomor Tiket],Table_Tarikan_Warkah[Tanggal diserahkan kepada Validator]),"")</f>
        <v>45604.62546</v>
      </c>
      <c r="F547" s="20" t="str">
        <f t="array" ref="F547">IFNA(_xlfn.XLOOKUP(D547,Table_Tarikan_Warkah[Nomor Tiket],Table_Tarikan_Warkah[Nama Petugas Warkah]),"")</f>
        <v>Berry</v>
      </c>
      <c r="G547" s="21" t="str">
        <f t="array" ref="G547">IFNA(_xlfn.XLOOKUP(D547,Table_Tarikan_Warkah[Nomor Tiket],Table_Tarikan_Warkah[Jenis Permohonan]),"")</f>
        <v>BN Jual Beli</v>
      </c>
      <c r="H547" s="22" t="s">
        <v>31</v>
      </c>
      <c r="I547" s="22" t="s">
        <v>32</v>
      </c>
      <c r="J547" s="20">
        <f t="shared" si="29"/>
        <v>45607.62051</v>
      </c>
      <c r="K547" s="22" t="s">
        <v>65</v>
      </c>
      <c r="L547" s="22" t="s">
        <v>32</v>
      </c>
      <c r="M547" s="20">
        <f t="shared" si="30"/>
        <v>45609.4778</v>
      </c>
      <c r="N547" s="8" t="str">
        <f t="shared" si="3"/>
        <v>SELESAI</v>
      </c>
      <c r="O547" s="23">
        <f t="shared" si="22"/>
        <v>45609.4778</v>
      </c>
      <c r="P547" s="24" t="b">
        <v>0</v>
      </c>
      <c r="Q547" s="20" t="str">
        <f t="shared" si="5"/>
        <v/>
      </c>
      <c r="R547" s="24" t="b">
        <v>1</v>
      </c>
      <c r="S547" s="20">
        <f t="shared" si="6"/>
        <v>45609.48611</v>
      </c>
      <c r="T547" s="7"/>
    </row>
    <row r="548" ht="22.5" hidden="1" customHeight="1">
      <c r="B548" s="7">
        <f t="shared" si="7"/>
        <v>542</v>
      </c>
      <c r="C548" s="18" t="s">
        <v>553</v>
      </c>
      <c r="D548" s="19" t="str">
        <f t="array" ref="D548">IFNA(_xlfn.XLOOKUP(C548,Table_Tarikan_Warkah[Nomor Sertipikat],Table_Tarikan_Warkah[Nomor Tiket]),"")</f>
        <v>K/31/061124/1</v>
      </c>
      <c r="E548" s="20">
        <f t="array" ref="E548">IFNA(_xlfn.XLOOKUP(D548,Table_Tarikan_Warkah[Nomor Tiket],Table_Tarikan_Warkah[Tanggal diserahkan kepada Validator]),"")</f>
        <v>45604.62461</v>
      </c>
      <c r="F548" s="20" t="str">
        <f t="array" ref="F548">IFNA(_xlfn.XLOOKUP(D548,Table_Tarikan_Warkah[Nomor Tiket],Table_Tarikan_Warkah[Nama Petugas Warkah]),"")</f>
        <v>Berry</v>
      </c>
      <c r="G548" s="21" t="str">
        <f t="array" ref="G548">IFNA(_xlfn.XLOOKUP(D548,Table_Tarikan_Warkah[Nomor Tiket],Table_Tarikan_Warkah[Jenis Permohonan]),"")</f>
        <v>Bn Jual Beli</v>
      </c>
      <c r="H548" s="22" t="s">
        <v>31</v>
      </c>
      <c r="I548" s="22" t="s">
        <v>32</v>
      </c>
      <c r="J548" s="20">
        <f t="shared" si="29"/>
        <v>45607.62051</v>
      </c>
      <c r="K548" s="22" t="s">
        <v>65</v>
      </c>
      <c r="L548" s="22" t="s">
        <v>32</v>
      </c>
      <c r="M548" s="20">
        <f t="shared" si="30"/>
        <v>45609.47161</v>
      </c>
      <c r="N548" s="8" t="str">
        <f t="shared" si="3"/>
        <v>SELESAI</v>
      </c>
      <c r="O548" s="23">
        <f t="shared" si="22"/>
        <v>45609.47161</v>
      </c>
      <c r="P548" s="24" t="b">
        <v>0</v>
      </c>
      <c r="Q548" s="20" t="str">
        <f t="shared" si="5"/>
        <v/>
      </c>
      <c r="R548" s="24" t="b">
        <v>1</v>
      </c>
      <c r="S548" s="20">
        <f t="shared" si="6"/>
        <v>45609.48612</v>
      </c>
      <c r="T548" s="7"/>
    </row>
    <row r="549" ht="22.5" hidden="1" customHeight="1">
      <c r="B549" s="7">
        <f t="shared" si="7"/>
        <v>543</v>
      </c>
      <c r="C549" s="18" t="s">
        <v>554</v>
      </c>
      <c r="D549" s="19" t="str">
        <f t="array" ref="D549">IFNA(_xlfn.XLOOKUP(C549,Table_Tarikan_Warkah[Nomor Sertipikat],Table_Tarikan_Warkah[Nomor Tiket]),"")</f>
        <v>K/24/061124/1</v>
      </c>
      <c r="E549" s="20">
        <f t="array" ref="E549">IFNA(_xlfn.XLOOKUP(D549,Table_Tarikan_Warkah[Nomor Tiket],Table_Tarikan_Warkah[Tanggal diserahkan kepada Validator]),"")</f>
        <v>45604.62393</v>
      </c>
      <c r="F549" s="20" t="str">
        <f t="array" ref="F549">IFNA(_xlfn.XLOOKUP(D549,Table_Tarikan_Warkah[Nomor Tiket],Table_Tarikan_Warkah[Nama Petugas Warkah]),"")</f>
        <v>Berry</v>
      </c>
      <c r="G549" s="21" t="str">
        <f t="array" ref="G549">IFNA(_xlfn.XLOOKUP(D549,Table_Tarikan_Warkah[Nomor Tiket],Table_Tarikan_Warkah[Jenis Permohonan]),"")</f>
        <v>PERUBAHAN HAK</v>
      </c>
      <c r="H549" s="22" t="s">
        <v>31</v>
      </c>
      <c r="I549" s="22" t="s">
        <v>32</v>
      </c>
      <c r="J549" s="20">
        <f t="shared" si="29"/>
        <v>45607.62051</v>
      </c>
      <c r="K549" s="22" t="s">
        <v>65</v>
      </c>
      <c r="L549" s="22" t="s">
        <v>32</v>
      </c>
      <c r="M549" s="20">
        <f t="shared" si="30"/>
        <v>45609.47761</v>
      </c>
      <c r="N549" s="8" t="str">
        <f t="shared" si="3"/>
        <v>SELESAI</v>
      </c>
      <c r="O549" s="23">
        <f t="shared" si="22"/>
        <v>45609.47761</v>
      </c>
      <c r="P549" s="24" t="b">
        <v>0</v>
      </c>
      <c r="Q549" s="20" t="str">
        <f t="shared" si="5"/>
        <v/>
      </c>
      <c r="R549" s="24" t="b">
        <v>1</v>
      </c>
      <c r="S549" s="20">
        <f t="shared" si="6"/>
        <v>45609.48613</v>
      </c>
      <c r="T549" s="7"/>
    </row>
    <row r="550" ht="22.5" hidden="1" customHeight="1">
      <c r="B550" s="7">
        <f t="shared" si="7"/>
        <v>544</v>
      </c>
      <c r="C550" s="18" t="s">
        <v>555</v>
      </c>
      <c r="D550" s="19" t="str">
        <f t="array" ref="D550">IFNA(_xlfn.XLOOKUP(C550,Table_Tarikan_Warkah[Nomor Sertipikat],Table_Tarikan_Warkah[Nomor Tiket]),"")</f>
        <v>K/21/061124/1</v>
      </c>
      <c r="E550" s="20">
        <f t="array" ref="E550">IFNA(_xlfn.XLOOKUP(D550,Table_Tarikan_Warkah[Nomor Tiket],Table_Tarikan_Warkah[Tanggal diserahkan kepada Validator]),"")</f>
        <v>45604.62323</v>
      </c>
      <c r="F550" s="20" t="str">
        <f t="array" ref="F550">IFNA(_xlfn.XLOOKUP(D550,Table_Tarikan_Warkah[Nomor Tiket],Table_Tarikan_Warkah[Nama Petugas Warkah]),"")</f>
        <v>Berry</v>
      </c>
      <c r="G550" s="21" t="str">
        <f t="array" ref="G550">IFNA(_xlfn.XLOOKUP(D550,Table_Tarikan_Warkah[Nomor Tiket],Table_Tarikan_Warkah[Jenis Permohonan]),"")</f>
        <v>BN Jual Beli</v>
      </c>
      <c r="H550" s="22" t="s">
        <v>31</v>
      </c>
      <c r="I550" s="22" t="s">
        <v>32</v>
      </c>
      <c r="J550" s="20">
        <f t="shared" si="29"/>
        <v>45607.62051</v>
      </c>
      <c r="K550" s="22" t="s">
        <v>65</v>
      </c>
      <c r="L550" s="22" t="s">
        <v>32</v>
      </c>
      <c r="M550" s="20">
        <f t="shared" si="30"/>
        <v>45609.47505</v>
      </c>
      <c r="N550" s="8" t="str">
        <f t="shared" si="3"/>
        <v>SELESAI</v>
      </c>
      <c r="O550" s="23">
        <f t="shared" si="22"/>
        <v>45609.47505</v>
      </c>
      <c r="P550" s="24" t="b">
        <v>0</v>
      </c>
      <c r="Q550" s="20" t="str">
        <f t="shared" si="5"/>
        <v/>
      </c>
      <c r="R550" s="24" t="b">
        <v>1</v>
      </c>
      <c r="S550" s="20">
        <f t="shared" si="6"/>
        <v>45609.48614</v>
      </c>
      <c r="T550" s="7"/>
    </row>
    <row r="551" ht="22.5" hidden="1" customHeight="1">
      <c r="B551" s="7">
        <f t="shared" si="7"/>
        <v>545</v>
      </c>
      <c r="C551" s="18" t="s">
        <v>556</v>
      </c>
      <c r="D551" s="19" t="str">
        <f t="array" ref="D551">IFNA(_xlfn.XLOOKUP(C551,Table_Tarikan_Warkah[Nomor Sertipikat],Table_Tarikan_Warkah[Nomor Tiket]),"")</f>
        <v>K/15/061124/2</v>
      </c>
      <c r="E551" s="20">
        <f t="array" ref="E551">IFNA(_xlfn.XLOOKUP(D551,Table_Tarikan_Warkah[Nomor Tiket],Table_Tarikan_Warkah[Tanggal diserahkan kepada Validator]),"")</f>
        <v>45604.62172</v>
      </c>
      <c r="F551" s="20" t="str">
        <f t="array" ref="F551">IFNA(_xlfn.XLOOKUP(D551,Table_Tarikan_Warkah[Nomor Tiket],Table_Tarikan_Warkah[Nama Petugas Warkah]),"")</f>
        <v>Berry</v>
      </c>
      <c r="G551" s="21" t="str">
        <f t="array" ref="G551">IFNA(_xlfn.XLOOKUP(D551,Table_Tarikan_Warkah[Nomor Tiket],Table_Tarikan_Warkah[Jenis Permohonan]),"")</f>
        <v>BN HIBAH</v>
      </c>
      <c r="H551" s="22" t="s">
        <v>31</v>
      </c>
      <c r="I551" s="22" t="s">
        <v>32</v>
      </c>
      <c r="J551" s="20">
        <f t="shared" si="29"/>
        <v>45607.62051</v>
      </c>
      <c r="K551" s="22" t="s">
        <v>65</v>
      </c>
      <c r="L551" s="22" t="s">
        <v>32</v>
      </c>
      <c r="M551" s="20">
        <f t="shared" si="30"/>
        <v>45609.47465</v>
      </c>
      <c r="N551" s="8" t="str">
        <f t="shared" si="3"/>
        <v>SELESAI</v>
      </c>
      <c r="O551" s="23">
        <f t="shared" si="22"/>
        <v>45609.47465</v>
      </c>
      <c r="P551" s="24" t="b">
        <v>0</v>
      </c>
      <c r="Q551" s="20" t="str">
        <f t="shared" si="5"/>
        <v/>
      </c>
      <c r="R551" s="24" t="b">
        <v>1</v>
      </c>
      <c r="S551" s="20">
        <f t="shared" si="6"/>
        <v>45609.48615</v>
      </c>
      <c r="T551" s="7"/>
    </row>
    <row r="552" ht="22.5" hidden="1" customHeight="1">
      <c r="B552" s="7">
        <f t="shared" si="7"/>
        <v>546</v>
      </c>
      <c r="C552" s="18" t="s">
        <v>557</v>
      </c>
      <c r="D552" s="19" t="str">
        <f t="array" ref="D552">IFNA(_xlfn.XLOOKUP(C552,Table_Tarikan_Warkah[Nomor Sertipikat],Table_Tarikan_Warkah[Nomor Tiket]),"")</f>
        <v>K/16/061124/1</v>
      </c>
      <c r="E552" s="20">
        <f t="array" ref="E552">IFNA(_xlfn.XLOOKUP(D552,Table_Tarikan_Warkah[Nomor Tiket],Table_Tarikan_Warkah[Tanggal diserahkan kepada Validator]),"")</f>
        <v>45604.62129</v>
      </c>
      <c r="F552" s="20" t="str">
        <f t="array" ref="F552">IFNA(_xlfn.XLOOKUP(D552,Table_Tarikan_Warkah[Nomor Tiket],Table_Tarikan_Warkah[Nama Petugas Warkah]),"")</f>
        <v>Berry</v>
      </c>
      <c r="G552" s="21" t="str">
        <f t="array" ref="G552">IFNA(_xlfn.XLOOKUP(D552,Table_Tarikan_Warkah[Nomor Tiket],Table_Tarikan_Warkah[Jenis Permohonan]),"")</f>
        <v>BN Jual Beli</v>
      </c>
      <c r="H552" s="22" t="s">
        <v>31</v>
      </c>
      <c r="I552" s="22" t="s">
        <v>32</v>
      </c>
      <c r="J552" s="20">
        <f t="shared" si="29"/>
        <v>45607.62051</v>
      </c>
      <c r="K552" s="22" t="s">
        <v>65</v>
      </c>
      <c r="L552" s="22" t="s">
        <v>32</v>
      </c>
      <c r="M552" s="20">
        <f t="shared" si="30"/>
        <v>45609.47451</v>
      </c>
      <c r="N552" s="8" t="str">
        <f t="shared" si="3"/>
        <v>SELESAI</v>
      </c>
      <c r="O552" s="23">
        <f t="shared" si="22"/>
        <v>45609.47451</v>
      </c>
      <c r="P552" s="24" t="b">
        <v>0</v>
      </c>
      <c r="Q552" s="20" t="str">
        <f t="shared" si="5"/>
        <v/>
      </c>
      <c r="R552" s="24" t="b">
        <v>1</v>
      </c>
      <c r="S552" s="20">
        <f t="shared" si="6"/>
        <v>45609.48616</v>
      </c>
      <c r="T552" s="7"/>
    </row>
    <row r="553" ht="22.5" hidden="1" customHeight="1">
      <c r="B553" s="7">
        <f t="shared" si="7"/>
        <v>547</v>
      </c>
      <c r="C553" s="18" t="s">
        <v>558</v>
      </c>
      <c r="D553" s="19" t="str">
        <f t="array" ref="D553">IFNA(_xlfn.XLOOKUP(C553,Table_Tarikan_Warkah[Nomor Sertipikat],Table_Tarikan_Warkah[Nomor Tiket]),"")</f>
        <v>K/6/061124/1</v>
      </c>
      <c r="E553" s="20">
        <f t="array" ref="E553">IFNA(_xlfn.XLOOKUP(D553,Table_Tarikan_Warkah[Nomor Tiket],Table_Tarikan_Warkah[Tanggal diserahkan kepada Validator]),"")</f>
        <v>45604.61766</v>
      </c>
      <c r="F553" s="20" t="str">
        <f t="array" ref="F553">IFNA(_xlfn.XLOOKUP(D553,Table_Tarikan_Warkah[Nomor Tiket],Table_Tarikan_Warkah[Nama Petugas Warkah]),"")</f>
        <v>Berry</v>
      </c>
      <c r="G553" s="21" t="str">
        <f t="array" ref="G553">IFNA(_xlfn.XLOOKUP(D553,Table_Tarikan_Warkah[Nomor Tiket],Table_Tarikan_Warkah[Jenis Permohonan]),"")</f>
        <v>BN JUAL BELI</v>
      </c>
      <c r="H553" s="22" t="s">
        <v>31</v>
      </c>
      <c r="I553" s="22" t="s">
        <v>32</v>
      </c>
      <c r="J553" s="20">
        <f t="shared" si="29"/>
        <v>45607.62051</v>
      </c>
      <c r="K553" s="22" t="s">
        <v>65</v>
      </c>
      <c r="L553" s="22" t="s">
        <v>32</v>
      </c>
      <c r="M553" s="20">
        <f t="shared" si="30"/>
        <v>45609.47265</v>
      </c>
      <c r="N553" s="8" t="str">
        <f t="shared" si="3"/>
        <v>SELESAI</v>
      </c>
      <c r="O553" s="23">
        <f t="shared" si="22"/>
        <v>45609.47265</v>
      </c>
      <c r="P553" s="24" t="b">
        <v>0</v>
      </c>
      <c r="Q553" s="20" t="str">
        <f t="shared" si="5"/>
        <v/>
      </c>
      <c r="R553" s="24" t="b">
        <v>1</v>
      </c>
      <c r="S553" s="20">
        <f t="shared" si="6"/>
        <v>45609.48619</v>
      </c>
      <c r="T553" s="7"/>
    </row>
    <row r="554" ht="22.5" hidden="1" customHeight="1">
      <c r="B554" s="7">
        <f t="shared" si="7"/>
        <v>548</v>
      </c>
      <c r="C554" s="18" t="s">
        <v>514</v>
      </c>
      <c r="D554" s="19" t="str">
        <f t="array" ref="D554">IFNA(_xlfn.XLOOKUP(C554,Table_Tarikan_Warkah[Nomor Sertipikat],Table_Tarikan_Warkah[Nomor Tiket]),"")</f>
        <v>K/50/061124/1</v>
      </c>
      <c r="E554" s="20">
        <f t="array" ref="E554">IFNA(_xlfn.XLOOKUP(D554,Table_Tarikan_Warkah[Nomor Tiket],Table_Tarikan_Warkah[Tanggal diserahkan kepada Validator]),"")</f>
        <v>45604.62631</v>
      </c>
      <c r="F554" s="20" t="str">
        <f t="array" ref="F554">IFNA(_xlfn.XLOOKUP(D554,Table_Tarikan_Warkah[Nomor Tiket],Table_Tarikan_Warkah[Nama Petugas Warkah]),"")</f>
        <v>Berry</v>
      </c>
      <c r="G554" s="21" t="str">
        <f t="array" ref="G554">IFNA(_xlfn.XLOOKUP(D554,Table_Tarikan_Warkah[Nomor Tiket],Table_Tarikan_Warkah[Jenis Permohonan]),"")</f>
        <v>ROYA</v>
      </c>
      <c r="H554" s="22" t="s">
        <v>31</v>
      </c>
      <c r="I554" s="22" t="s">
        <v>32</v>
      </c>
      <c r="J554" s="20">
        <f t="shared" si="29"/>
        <v>45607.62051</v>
      </c>
      <c r="K554" s="22" t="s">
        <v>65</v>
      </c>
      <c r="L554" s="22" t="s">
        <v>32</v>
      </c>
      <c r="M554" s="20">
        <f t="shared" si="30"/>
        <v>45609.47214</v>
      </c>
      <c r="N554" s="8" t="str">
        <f t="shared" si="3"/>
        <v>SELESAI</v>
      </c>
      <c r="O554" s="23">
        <f t="shared" si="22"/>
        <v>45609.47214</v>
      </c>
      <c r="P554" s="24" t="b">
        <v>0</v>
      </c>
      <c r="Q554" s="20" t="str">
        <f t="shared" si="5"/>
        <v/>
      </c>
      <c r="R554" s="24" t="b">
        <v>1</v>
      </c>
      <c r="S554" s="20">
        <f t="shared" si="6"/>
        <v>45609.4862</v>
      </c>
      <c r="T554" s="7"/>
    </row>
    <row r="555" ht="22.5" hidden="1" customHeight="1">
      <c r="B555" s="7">
        <f t="shared" si="7"/>
        <v>549</v>
      </c>
      <c r="C555" s="18" t="s">
        <v>513</v>
      </c>
      <c r="D555" s="19" t="str">
        <f t="array" ref="D555">IFNA(_xlfn.XLOOKUP(C555,Table_Tarikan_Warkah[Nomor Sertipikat],Table_Tarikan_Warkah[Nomor Tiket]),"")</f>
        <v>K/34/061124/1</v>
      </c>
      <c r="E555" s="20">
        <f t="array" ref="E555">IFNA(_xlfn.XLOOKUP(D555,Table_Tarikan_Warkah[Nomor Tiket],Table_Tarikan_Warkah[Tanggal diserahkan kepada Validator]),"")</f>
        <v>45604.62516</v>
      </c>
      <c r="F555" s="20" t="str">
        <f t="array" ref="F555">IFNA(_xlfn.XLOOKUP(D555,Table_Tarikan_Warkah[Nomor Tiket],Table_Tarikan_Warkah[Nama Petugas Warkah]),"")</f>
        <v>Berry</v>
      </c>
      <c r="G555" s="21" t="str">
        <f t="array" ref="G555">IFNA(_xlfn.XLOOKUP(D555,Table_Tarikan_Warkah[Nomor Tiket],Table_Tarikan_Warkah[Jenis Permohonan]),"")</f>
        <v>BN JUAL BELI</v>
      </c>
      <c r="H555" s="22" t="s">
        <v>31</v>
      </c>
      <c r="I555" s="22" t="s">
        <v>32</v>
      </c>
      <c r="J555" s="20">
        <f t="shared" si="29"/>
        <v>45607.62051</v>
      </c>
      <c r="K555" s="22" t="s">
        <v>65</v>
      </c>
      <c r="L555" s="22" t="s">
        <v>32</v>
      </c>
      <c r="M555" s="20">
        <f t="shared" si="30"/>
        <v>45609.4774</v>
      </c>
      <c r="N555" s="8" t="str">
        <f t="shared" si="3"/>
        <v>SELESAI</v>
      </c>
      <c r="O555" s="23">
        <f t="shared" si="22"/>
        <v>45609.4774</v>
      </c>
      <c r="P555" s="24" t="b">
        <v>0</v>
      </c>
      <c r="Q555" s="20" t="str">
        <f t="shared" si="5"/>
        <v/>
      </c>
      <c r="R555" s="24" t="b">
        <v>1</v>
      </c>
      <c r="S555" s="20">
        <f t="shared" si="6"/>
        <v>45609.4862</v>
      </c>
      <c r="T555" s="7"/>
    </row>
    <row r="556" ht="22.5" hidden="1" customHeight="1">
      <c r="B556" s="7">
        <f t="shared" si="7"/>
        <v>550</v>
      </c>
      <c r="C556" s="18" t="s">
        <v>519</v>
      </c>
      <c r="D556" s="19" t="str">
        <f t="array" ref="D556">IFNA(_xlfn.XLOOKUP(C556,Table_Tarikan_Warkah[Nomor Sertipikat],Table_Tarikan_Warkah[Nomor Tiket]),"")</f>
        <v>K/33/061124/3</v>
      </c>
      <c r="E556" s="20">
        <f t="array" ref="E556">IFNA(_xlfn.XLOOKUP(D556,Table_Tarikan_Warkah[Nomor Tiket],Table_Tarikan_Warkah[Tanggal diserahkan kepada Validator]),"")</f>
        <v>45604.62501</v>
      </c>
      <c r="F556" s="20" t="str">
        <f t="array" ref="F556">IFNA(_xlfn.XLOOKUP(D556,Table_Tarikan_Warkah[Nomor Tiket],Table_Tarikan_Warkah[Nama Petugas Warkah]),"")</f>
        <v>Berry</v>
      </c>
      <c r="G556" s="21" t="str">
        <f t="array" ref="G556">IFNA(_xlfn.XLOOKUP(D556,Table_Tarikan_Warkah[Nomor Tiket],Table_Tarikan_Warkah[Jenis Permohonan]),"")</f>
        <v>BN Jual Beli</v>
      </c>
      <c r="H556" s="22" t="s">
        <v>31</v>
      </c>
      <c r="I556" s="22" t="s">
        <v>32</v>
      </c>
      <c r="J556" s="20">
        <f t="shared" si="29"/>
        <v>45607.62051</v>
      </c>
      <c r="K556" s="22" t="s">
        <v>65</v>
      </c>
      <c r="L556" s="22" t="s">
        <v>32</v>
      </c>
      <c r="M556" s="20">
        <f t="shared" si="30"/>
        <v>45609.47742</v>
      </c>
      <c r="N556" s="8" t="str">
        <f t="shared" si="3"/>
        <v>SELESAI</v>
      </c>
      <c r="O556" s="23">
        <f t="shared" si="22"/>
        <v>45609.47742</v>
      </c>
      <c r="P556" s="24" t="b">
        <v>0</v>
      </c>
      <c r="Q556" s="20" t="str">
        <f t="shared" si="5"/>
        <v/>
      </c>
      <c r="R556" s="24" t="b">
        <v>1</v>
      </c>
      <c r="S556" s="20">
        <f t="shared" si="6"/>
        <v>45609.48621</v>
      </c>
      <c r="T556" s="7"/>
    </row>
    <row r="557" ht="22.5" hidden="1" customHeight="1">
      <c r="B557" s="7">
        <f t="shared" si="7"/>
        <v>551</v>
      </c>
      <c r="C557" s="18" t="s">
        <v>559</v>
      </c>
      <c r="D557" s="19" t="str">
        <f t="array" ref="D557">IFNA(_xlfn.XLOOKUP(C557,Table_Tarikan_Warkah[Nomor Sertipikat],Table_Tarikan_Warkah[Nomor Tiket]),"")</f>
        <v>K/32/061124/2</v>
      </c>
      <c r="E557" s="20">
        <f t="array" ref="E557">IFNA(_xlfn.XLOOKUP(D557,Table_Tarikan_Warkah[Nomor Tiket],Table_Tarikan_Warkah[Tanggal diserahkan kepada Validator]),"")</f>
        <v>45604.62472</v>
      </c>
      <c r="F557" s="20" t="str">
        <f t="array" ref="F557">IFNA(_xlfn.XLOOKUP(D557,Table_Tarikan_Warkah[Nomor Tiket],Table_Tarikan_Warkah[Nama Petugas Warkah]),"")</f>
        <v>Berry</v>
      </c>
      <c r="G557" s="21" t="str">
        <f t="array" ref="G557">IFNA(_xlfn.XLOOKUP(D557,Table_Tarikan_Warkah[Nomor Tiket],Table_Tarikan_Warkah[Jenis Permohonan]),"")</f>
        <v>BN Jual Beli</v>
      </c>
      <c r="H557" s="22" t="s">
        <v>31</v>
      </c>
      <c r="I557" s="22" t="s">
        <v>32</v>
      </c>
      <c r="J557" s="20">
        <f t="shared" si="29"/>
        <v>45607.62051</v>
      </c>
      <c r="K557" s="22" t="s">
        <v>65</v>
      </c>
      <c r="L557" s="22" t="s">
        <v>32</v>
      </c>
      <c r="M557" s="20">
        <f t="shared" si="30"/>
        <v>45609.47651</v>
      </c>
      <c r="N557" s="8" t="str">
        <f t="shared" si="3"/>
        <v>SELESAI</v>
      </c>
      <c r="O557" s="23">
        <f t="shared" si="22"/>
        <v>45609.47651</v>
      </c>
      <c r="P557" s="24" t="b">
        <v>0</v>
      </c>
      <c r="Q557" s="20" t="str">
        <f t="shared" si="5"/>
        <v/>
      </c>
      <c r="R557" s="24" t="b">
        <v>1</v>
      </c>
      <c r="S557" s="20">
        <f t="shared" si="6"/>
        <v>45609.48621</v>
      </c>
      <c r="T557" s="7"/>
    </row>
    <row r="558" ht="22.5" hidden="1" customHeight="1">
      <c r="B558" s="7">
        <f t="shared" si="7"/>
        <v>552</v>
      </c>
      <c r="C558" s="18" t="s">
        <v>560</v>
      </c>
      <c r="D558" s="19" t="str">
        <f t="array" ref="D558">IFNA(_xlfn.XLOOKUP(C558,Table_Tarikan_Warkah[Nomor Sertipikat],Table_Tarikan_Warkah[Nomor Tiket]),"")</f>
        <v>K/19/061124/1</v>
      </c>
      <c r="E558" s="20">
        <f t="array" ref="E558">IFNA(_xlfn.XLOOKUP(D558,Table_Tarikan_Warkah[Nomor Tiket],Table_Tarikan_Warkah[Tanggal diserahkan kepada Validator]),"")</f>
        <v>45604.62301</v>
      </c>
      <c r="F558" s="20" t="str">
        <f t="array" ref="F558">IFNA(_xlfn.XLOOKUP(D558,Table_Tarikan_Warkah[Nomor Tiket],Table_Tarikan_Warkah[Nama Petugas Warkah]),"")</f>
        <v>Berry</v>
      </c>
      <c r="G558" s="21" t="str">
        <f t="array" ref="G558">IFNA(_xlfn.XLOOKUP(D558,Table_Tarikan_Warkah[Nomor Tiket],Table_Tarikan_Warkah[Jenis Permohonan]),"")</f>
        <v>ROYA</v>
      </c>
      <c r="H558" s="22" t="s">
        <v>31</v>
      </c>
      <c r="I558" s="22" t="s">
        <v>32</v>
      </c>
      <c r="J558" s="20">
        <f t="shared" si="29"/>
        <v>45607.62051</v>
      </c>
      <c r="K558" s="22" t="s">
        <v>65</v>
      </c>
      <c r="L558" s="22" t="s">
        <v>32</v>
      </c>
      <c r="M558" s="20">
        <f t="shared" si="30"/>
        <v>45609.47543</v>
      </c>
      <c r="N558" s="8" t="str">
        <f t="shared" si="3"/>
        <v>SELESAI</v>
      </c>
      <c r="O558" s="23">
        <f t="shared" si="22"/>
        <v>45609.47543</v>
      </c>
      <c r="P558" s="24" t="b">
        <v>0</v>
      </c>
      <c r="Q558" s="20" t="str">
        <f t="shared" si="5"/>
        <v/>
      </c>
      <c r="R558" s="24" t="b">
        <v>1</v>
      </c>
      <c r="S558" s="20">
        <f t="shared" si="6"/>
        <v>45609.48622</v>
      </c>
      <c r="T558" s="7"/>
    </row>
    <row r="559" ht="22.5" hidden="1" customHeight="1">
      <c r="B559" s="7">
        <f t="shared" si="7"/>
        <v>553</v>
      </c>
      <c r="C559" s="18" t="s">
        <v>561</v>
      </c>
      <c r="D559" s="19" t="str">
        <f t="array" ref="D559">IFNA(_xlfn.XLOOKUP(C559,Table_Tarikan_Warkah[Nomor Sertipikat],Table_Tarikan_Warkah[Nomor Tiket]),"")</f>
        <v>K/47/061124/1</v>
      </c>
      <c r="E559" s="20" t="str">
        <f t="array" ref="E559">IFNA(_xlfn.XLOOKUP(D559,Table_Tarikan_Warkah[Nomor Tiket],Table_Tarikan_Warkah[Tanggal diserahkan kepada Validator]),"")</f>
        <v/>
      </c>
      <c r="F559" s="20" t="str">
        <f t="array" ref="F559">IFNA(_xlfn.XLOOKUP(D559,Table_Tarikan_Warkah[Nomor Tiket],Table_Tarikan_Warkah[Nama Petugas Warkah]),"")</f>
        <v>Berry</v>
      </c>
      <c r="G559" s="21" t="str">
        <f t="array" ref="G559">IFNA(_xlfn.XLOOKUP(D559,Table_Tarikan_Warkah[Nomor Tiket],Table_Tarikan_Warkah[Jenis Permohonan]),"")</f>
        <v>BN JUAL BELI</v>
      </c>
      <c r="H559" s="22" t="s">
        <v>31</v>
      </c>
      <c r="I559" s="22" t="s">
        <v>32</v>
      </c>
      <c r="J559" s="20">
        <f t="shared" si="29"/>
        <v>45607.62051</v>
      </c>
      <c r="K559" s="22" t="s">
        <v>65</v>
      </c>
      <c r="L559" s="22" t="s">
        <v>32</v>
      </c>
      <c r="M559" s="20">
        <f t="shared" si="30"/>
        <v>45609.47627</v>
      </c>
      <c r="N559" s="8" t="str">
        <f t="shared" si="3"/>
        <v>SELESAI</v>
      </c>
      <c r="O559" s="23">
        <f t="shared" si="22"/>
        <v>45609.47627</v>
      </c>
      <c r="P559" s="24" t="b">
        <v>0</v>
      </c>
      <c r="Q559" s="20" t="str">
        <f t="shared" si="5"/>
        <v/>
      </c>
      <c r="R559" s="24" t="b">
        <v>1</v>
      </c>
      <c r="S559" s="20">
        <f t="shared" si="6"/>
        <v>45609.48623</v>
      </c>
      <c r="T559" s="7"/>
    </row>
    <row r="560" ht="22.5" hidden="1" customHeight="1">
      <c r="B560" s="7">
        <f t="shared" si="7"/>
        <v>554</v>
      </c>
      <c r="C560" s="18" t="s">
        <v>562</v>
      </c>
      <c r="D560" s="19" t="str">
        <f t="array" ref="D560">IFNA(_xlfn.XLOOKUP(C560,Table_Tarikan_Warkah[Nomor Sertipikat],Table_Tarikan_Warkah[Nomor Tiket]),"")</f>
        <v>K/10/061124/2</v>
      </c>
      <c r="E560" s="20">
        <f t="array" ref="E560">IFNA(_xlfn.XLOOKUP(D560,Table_Tarikan_Warkah[Nomor Tiket],Table_Tarikan_Warkah[Tanggal diserahkan kepada Validator]),"")</f>
        <v>45604.62099</v>
      </c>
      <c r="F560" s="20" t="str">
        <f t="array" ref="F560">IFNA(_xlfn.XLOOKUP(D560,Table_Tarikan_Warkah[Nomor Tiket],Table_Tarikan_Warkah[Nama Petugas Warkah]),"")</f>
        <v>Berry</v>
      </c>
      <c r="G560" s="21" t="str">
        <f t="array" ref="G560">IFNA(_xlfn.XLOOKUP(D560,Table_Tarikan_Warkah[Nomor Tiket],Table_Tarikan_Warkah[Jenis Permohonan]),"")</f>
        <v>BN WARIS</v>
      </c>
      <c r="H560" s="22" t="s">
        <v>31</v>
      </c>
      <c r="I560" s="22" t="s">
        <v>32</v>
      </c>
      <c r="J560" s="20">
        <f t="shared" si="29"/>
        <v>45607.62051</v>
      </c>
      <c r="K560" s="22" t="s">
        <v>65</v>
      </c>
      <c r="L560" s="22" t="s">
        <v>32</v>
      </c>
      <c r="M560" s="20">
        <f t="shared" si="30"/>
        <v>45609.4742</v>
      </c>
      <c r="N560" s="8" t="str">
        <f t="shared" si="3"/>
        <v>SELESAI</v>
      </c>
      <c r="O560" s="23">
        <f t="shared" si="22"/>
        <v>45609.4742</v>
      </c>
      <c r="P560" s="24" t="b">
        <v>0</v>
      </c>
      <c r="Q560" s="20" t="str">
        <f t="shared" si="5"/>
        <v/>
      </c>
      <c r="R560" s="24" t="b">
        <v>1</v>
      </c>
      <c r="S560" s="20">
        <f t="shared" si="6"/>
        <v>45609.48624</v>
      </c>
      <c r="T560" s="7"/>
    </row>
    <row r="561" ht="22.5" hidden="1" customHeight="1">
      <c r="B561" s="7">
        <f t="shared" si="7"/>
        <v>555</v>
      </c>
      <c r="C561" s="18" t="s">
        <v>509</v>
      </c>
      <c r="D561" s="19" t="str">
        <f t="array" ref="D561">IFNA(_xlfn.XLOOKUP(C561,Table_Tarikan_Warkah[Nomor Sertipikat],Table_Tarikan_Warkah[Nomor Tiket]),"")</f>
        <v>K/14/061124/1</v>
      </c>
      <c r="E561" s="20">
        <f t="array" ref="E561">IFNA(_xlfn.XLOOKUP(D561,Table_Tarikan_Warkah[Nomor Tiket],Table_Tarikan_Warkah[Tanggal diserahkan kepada Validator]),"")</f>
        <v>45604.62075</v>
      </c>
      <c r="F561" s="20" t="str">
        <f t="array" ref="F561">IFNA(_xlfn.XLOOKUP(D561,Table_Tarikan_Warkah[Nomor Tiket],Table_Tarikan_Warkah[Nama Petugas Warkah]),"")</f>
        <v>Berry</v>
      </c>
      <c r="G561" s="21" t="str">
        <f t="array" ref="G561">IFNA(_xlfn.XLOOKUP(D561,Table_Tarikan_Warkah[Nomor Tiket],Table_Tarikan_Warkah[Jenis Permohonan]),"")</f>
        <v>BN JUAL BELI</v>
      </c>
      <c r="H561" s="22" t="s">
        <v>31</v>
      </c>
      <c r="I561" s="22" t="s">
        <v>32</v>
      </c>
      <c r="J561" s="20">
        <f t="shared" si="29"/>
        <v>45607.62051</v>
      </c>
      <c r="K561" s="27" t="s">
        <v>33</v>
      </c>
      <c r="L561" s="27" t="s">
        <v>32</v>
      </c>
      <c r="M561" s="20">
        <f t="shared" si="30"/>
        <v>45608.63733</v>
      </c>
      <c r="N561" s="8" t="str">
        <f t="shared" si="3"/>
        <v>SELESAI</v>
      </c>
      <c r="O561" s="23">
        <f t="shared" si="22"/>
        <v>45608.63733</v>
      </c>
      <c r="P561" s="24" t="b">
        <v>1</v>
      </c>
      <c r="Q561" s="20">
        <f t="shared" si="5"/>
        <v>45608.63734</v>
      </c>
      <c r="R561" s="24" t="b">
        <v>0</v>
      </c>
      <c r="S561" s="7" t="str">
        <f t="shared" si="6"/>
        <v/>
      </c>
      <c r="T561" s="7"/>
    </row>
    <row r="562" ht="22.5" hidden="1" customHeight="1">
      <c r="B562" s="7">
        <f t="shared" si="7"/>
        <v>556</v>
      </c>
      <c r="C562" s="18" t="s">
        <v>522</v>
      </c>
      <c r="D562" s="19" t="str">
        <f t="array" ref="D562">IFNA(_xlfn.XLOOKUP(C562,Table_Tarikan_Warkah[Nomor Sertipikat],Table_Tarikan_Warkah[Nomor Tiket]),"")</f>
        <v>K/12/061124/1</v>
      </c>
      <c r="E562" s="20">
        <f t="array" ref="E562">IFNA(_xlfn.XLOOKUP(D562,Table_Tarikan_Warkah[Nomor Tiket],Table_Tarikan_Warkah[Tanggal diserahkan kepada Validator]),"")</f>
        <v>45604.62014</v>
      </c>
      <c r="F562" s="20" t="str">
        <f t="array" ref="F562">IFNA(_xlfn.XLOOKUP(D562,Table_Tarikan_Warkah[Nomor Tiket],Table_Tarikan_Warkah[Nama Petugas Warkah]),"")</f>
        <v>Berry</v>
      </c>
      <c r="G562" s="21" t="str">
        <f t="array" ref="G562">IFNA(_xlfn.XLOOKUP(D562,Table_Tarikan_Warkah[Nomor Tiket],Table_Tarikan_Warkah[Jenis Permohonan]),"")</f>
        <v>BN Jual Beli</v>
      </c>
      <c r="H562" s="22" t="s">
        <v>31</v>
      </c>
      <c r="I562" s="22" t="s">
        <v>32</v>
      </c>
      <c r="J562" s="20">
        <f t="shared" si="29"/>
        <v>45607.62051</v>
      </c>
      <c r="K562" s="26"/>
      <c r="L562" s="26"/>
      <c r="M562" s="20" t="str">
        <f t="shared" si="30"/>
        <v/>
      </c>
      <c r="N562" s="8" t="str">
        <f t="shared" si="3"/>
        <v>BT atau SU Belum Valid</v>
      </c>
      <c r="O562" s="21" t="str">
        <f t="shared" si="22"/>
        <v/>
      </c>
      <c r="P562" s="24" t="b">
        <v>0</v>
      </c>
      <c r="Q562" s="20" t="str">
        <f t="shared" si="5"/>
        <v/>
      </c>
      <c r="R562" s="24" t="b">
        <v>0</v>
      </c>
      <c r="S562" s="7" t="str">
        <f t="shared" si="6"/>
        <v/>
      </c>
      <c r="T562" s="7"/>
    </row>
    <row r="563" ht="22.5" hidden="1" customHeight="1">
      <c r="B563" s="7">
        <f t="shared" si="7"/>
        <v>557</v>
      </c>
      <c r="C563" s="18" t="s">
        <v>563</v>
      </c>
      <c r="D563" s="19" t="str">
        <f t="array" ref="D563">IFNA(_xlfn.XLOOKUP(C563,Table_Tarikan_Warkah[Nomor Sertipikat],Table_Tarikan_Warkah[Nomor Tiket]),"")</f>
        <v>K/11/061124/1</v>
      </c>
      <c r="E563" s="20">
        <f t="array" ref="E563">IFNA(_xlfn.XLOOKUP(D563,Table_Tarikan_Warkah[Nomor Tiket],Table_Tarikan_Warkah[Tanggal diserahkan kepada Validator]),"")</f>
        <v>45604.61993</v>
      </c>
      <c r="F563" s="20" t="str">
        <f t="array" ref="F563">IFNA(_xlfn.XLOOKUP(D563,Table_Tarikan_Warkah[Nomor Tiket],Table_Tarikan_Warkah[Nama Petugas Warkah]),"")</f>
        <v>Berry</v>
      </c>
      <c r="G563" s="21" t="str">
        <f t="array" ref="G563">IFNA(_xlfn.XLOOKUP(D563,Table_Tarikan_Warkah[Nomor Tiket],Table_Tarikan_Warkah[Jenis Permohonan]),"")</f>
        <v>Roya</v>
      </c>
      <c r="H563" s="22" t="s">
        <v>31</v>
      </c>
      <c r="I563" s="22" t="s">
        <v>32</v>
      </c>
      <c r="J563" s="20">
        <f t="shared" si="29"/>
        <v>45607.62051</v>
      </c>
      <c r="K563" s="22" t="s">
        <v>65</v>
      </c>
      <c r="L563" s="22" t="s">
        <v>32</v>
      </c>
      <c r="M563" s="20">
        <f t="shared" si="30"/>
        <v>45609.47563</v>
      </c>
      <c r="N563" s="8" t="str">
        <f t="shared" si="3"/>
        <v>SELESAI</v>
      </c>
      <c r="O563" s="23">
        <f t="shared" si="22"/>
        <v>45609.47563</v>
      </c>
      <c r="P563" s="24" t="b">
        <v>0</v>
      </c>
      <c r="Q563" s="20" t="str">
        <f t="shared" si="5"/>
        <v/>
      </c>
      <c r="R563" s="24" t="b">
        <v>1</v>
      </c>
      <c r="S563" s="20">
        <f t="shared" si="6"/>
        <v>45609.48631</v>
      </c>
      <c r="T563" s="7"/>
    </row>
    <row r="564" ht="22.5" hidden="1" customHeight="1">
      <c r="B564" s="7">
        <f t="shared" si="7"/>
        <v>558</v>
      </c>
      <c r="C564" s="18" t="s">
        <v>564</v>
      </c>
      <c r="D564" s="19" t="str">
        <f t="array" ref="D564">IFNA(_xlfn.XLOOKUP(C564,Table_Tarikan_Warkah[Nomor Sertipikat],Table_Tarikan_Warkah[Nomor Tiket]),"")</f>
        <v>K/5/061124/1</v>
      </c>
      <c r="E564" s="20">
        <f t="array" ref="E564">IFNA(_xlfn.XLOOKUP(D564,Table_Tarikan_Warkah[Nomor Tiket],Table_Tarikan_Warkah[Tanggal diserahkan kepada Validator]),"")</f>
        <v>45604.61736</v>
      </c>
      <c r="F564" s="20" t="str">
        <f t="array" ref="F564">IFNA(_xlfn.XLOOKUP(D564,Table_Tarikan_Warkah[Nomor Tiket],Table_Tarikan_Warkah[Nama Petugas Warkah]),"")</f>
        <v>Berry</v>
      </c>
      <c r="G564" s="21" t="str">
        <f t="array" ref="G564">IFNA(_xlfn.XLOOKUP(D564,Table_Tarikan_Warkah[Nomor Tiket],Table_Tarikan_Warkah[Jenis Permohonan]),"")</f>
        <v>Pemecahan</v>
      </c>
      <c r="H564" s="22" t="s">
        <v>31</v>
      </c>
      <c r="I564" s="22" t="s">
        <v>32</v>
      </c>
      <c r="J564" s="20">
        <f t="shared" si="29"/>
        <v>45607.62051</v>
      </c>
      <c r="K564" s="22" t="s">
        <v>65</v>
      </c>
      <c r="L564" s="22" t="s">
        <v>32</v>
      </c>
      <c r="M564" s="20">
        <f t="shared" si="30"/>
        <v>45609.47406</v>
      </c>
      <c r="N564" s="8" t="str">
        <f t="shared" si="3"/>
        <v>SELESAI</v>
      </c>
      <c r="O564" s="23">
        <f t="shared" si="22"/>
        <v>45609.47406</v>
      </c>
      <c r="P564" s="24" t="b">
        <v>0</v>
      </c>
      <c r="Q564" s="20" t="str">
        <f t="shared" si="5"/>
        <v/>
      </c>
      <c r="R564" s="24" t="b">
        <v>1</v>
      </c>
      <c r="S564" s="20">
        <f t="shared" si="6"/>
        <v>45609.48632</v>
      </c>
      <c r="T564" s="7"/>
    </row>
    <row r="565" ht="22.5" hidden="1" customHeight="1">
      <c r="B565" s="7">
        <f t="shared" si="7"/>
        <v>559</v>
      </c>
      <c r="C565" s="18" t="s">
        <v>457</v>
      </c>
      <c r="D565" s="19" t="str">
        <f t="array" ref="D565">IFNA(_xlfn.XLOOKUP(C565,Table_Tarikan_Warkah[Nomor Sertipikat],Table_Tarikan_Warkah[Nomor Tiket]),"")</f>
        <v>K/29/311024/1</v>
      </c>
      <c r="E565" s="20">
        <f t="array" ref="E565">IFNA(_xlfn.XLOOKUP(D565,Table_Tarikan_Warkah[Nomor Tiket],Table_Tarikan_Warkah[Tanggal diserahkan kepada Validator]),"")</f>
        <v>45604.61324</v>
      </c>
      <c r="F565" s="20" t="str">
        <f t="array" ref="F565">IFNA(_xlfn.XLOOKUP(D565,Table_Tarikan_Warkah[Nomor Tiket],Table_Tarikan_Warkah[Nama Petugas Warkah]),"")</f>
        <v>Sahelia</v>
      </c>
      <c r="G565" s="21" t="str">
        <f t="array" ref="G565">IFNA(_xlfn.XLOOKUP(D565,Table_Tarikan_Warkah[Nomor Tiket],Table_Tarikan_Warkah[Jenis Permohonan]),"")</f>
        <v>BN PHB</v>
      </c>
      <c r="H565" s="22" t="s">
        <v>31</v>
      </c>
      <c r="I565" s="22" t="s">
        <v>32</v>
      </c>
      <c r="J565" s="20">
        <f t="shared" si="29"/>
        <v>45607.62051</v>
      </c>
      <c r="K565" s="22" t="s">
        <v>65</v>
      </c>
      <c r="L565" s="22" t="s">
        <v>32</v>
      </c>
      <c r="M565" s="20">
        <f t="shared" si="30"/>
        <v>45609.47297</v>
      </c>
      <c r="N565" s="8" t="str">
        <f t="shared" si="3"/>
        <v>SELESAI</v>
      </c>
      <c r="O565" s="23">
        <f t="shared" si="22"/>
        <v>45609.47297</v>
      </c>
      <c r="P565" s="24" t="b">
        <v>0</v>
      </c>
      <c r="Q565" s="20" t="str">
        <f t="shared" si="5"/>
        <v/>
      </c>
      <c r="R565" s="24" t="b">
        <v>1</v>
      </c>
      <c r="S565" s="20">
        <f t="shared" si="6"/>
        <v>45609.48633</v>
      </c>
      <c r="T565" s="7"/>
    </row>
    <row r="566" ht="22.5" hidden="1" customHeight="1">
      <c r="B566" s="7">
        <f t="shared" si="7"/>
        <v>560</v>
      </c>
      <c r="C566" s="18" t="s">
        <v>524</v>
      </c>
      <c r="D566" s="19" t="str">
        <f t="array" ref="D566">IFNA(_xlfn.XLOOKUP(C566,Table_Tarikan_Warkah[Nomor Sertipikat],Table_Tarikan_Warkah[Nomor Tiket]),"")</f>
        <v>K/32/151024/1</v>
      </c>
      <c r="E566" s="20" t="str">
        <f t="array" ref="E566">IFNA(_xlfn.XLOOKUP(D566,Table_Tarikan_Warkah[Nomor Tiket],Table_Tarikan_Warkah[Tanggal diserahkan kepada Validator]),"")</f>
        <v/>
      </c>
      <c r="F566" s="20" t="str">
        <f t="array" ref="F566">IFNA(_xlfn.XLOOKUP(D566,Table_Tarikan_Warkah[Nomor Tiket],Table_Tarikan_Warkah[Nama Petugas Warkah]),"")</f>
        <v/>
      </c>
      <c r="G566" s="21" t="str">
        <f t="array" ref="G566">IFNA(_xlfn.XLOOKUP(D566,Table_Tarikan_Warkah[Nomor Tiket],Table_Tarikan_Warkah[Jenis Permohonan]),"")</f>
        <v>Cabut Blokir</v>
      </c>
      <c r="H566" s="22" t="s">
        <v>31</v>
      </c>
      <c r="I566" s="22" t="s">
        <v>32</v>
      </c>
      <c r="J566" s="20">
        <f t="shared" si="29"/>
        <v>45607.62051</v>
      </c>
      <c r="K566" s="26"/>
      <c r="L566" s="26"/>
      <c r="M566" s="20" t="str">
        <f t="shared" si="30"/>
        <v/>
      </c>
      <c r="N566" s="8" t="str">
        <f t="shared" si="3"/>
        <v>BT atau SU Belum Valid</v>
      </c>
      <c r="O566" s="21" t="str">
        <f t="shared" si="22"/>
        <v/>
      </c>
      <c r="P566" s="24" t="b">
        <v>0</v>
      </c>
      <c r="Q566" s="20" t="str">
        <f t="shared" si="5"/>
        <v/>
      </c>
      <c r="R566" s="24" t="b">
        <v>0</v>
      </c>
      <c r="S566" s="7" t="str">
        <f t="shared" si="6"/>
        <v/>
      </c>
      <c r="T566" s="7"/>
    </row>
    <row r="567" ht="22.5" hidden="1" customHeight="1">
      <c r="B567" s="7">
        <f t="shared" si="7"/>
        <v>561</v>
      </c>
      <c r="C567" s="18" t="s">
        <v>538</v>
      </c>
      <c r="D567" s="19" t="str">
        <f t="array" ref="D567">IFNA(_xlfn.XLOOKUP(C567,Table_Tarikan_Warkah[Nomor Sertipikat],Table_Tarikan_Warkah[Nomor Tiket]),"")</f>
        <v>K/18/071124/4</v>
      </c>
      <c r="E567" s="20">
        <f t="array" ref="E567">IFNA(_xlfn.XLOOKUP(D567,Table_Tarikan_Warkah[Nomor Tiket],Table_Tarikan_Warkah[Tanggal diserahkan kepada Validator]),"")</f>
        <v>45604.6347</v>
      </c>
      <c r="F567" s="20" t="str">
        <f t="array" ref="F567">IFNA(_xlfn.XLOOKUP(D567,Table_Tarikan_Warkah[Nomor Tiket],Table_Tarikan_Warkah[Nama Petugas Warkah]),"")</f>
        <v>David</v>
      </c>
      <c r="G567" s="21" t="str">
        <f t="array" ref="G567">IFNA(_xlfn.XLOOKUP(D567,Table_Tarikan_Warkah[Nomor Tiket],Table_Tarikan_Warkah[Jenis Permohonan]),"")</f>
        <v>BN JUAL BELI</v>
      </c>
      <c r="H567" s="22" t="s">
        <v>31</v>
      </c>
      <c r="I567" s="22" t="s">
        <v>32</v>
      </c>
      <c r="J567" s="20">
        <f t="shared" si="29"/>
        <v>45607.62051</v>
      </c>
      <c r="K567" s="27" t="s">
        <v>33</v>
      </c>
      <c r="L567" s="27" t="s">
        <v>187</v>
      </c>
      <c r="M567" s="20">
        <f t="shared" si="30"/>
        <v>45609.52932</v>
      </c>
      <c r="N567" s="8" t="str">
        <f t="shared" si="3"/>
        <v>Selesai</v>
      </c>
      <c r="O567" s="23">
        <f t="shared" si="22"/>
        <v>45609.52932</v>
      </c>
      <c r="P567" s="24" t="b">
        <v>1</v>
      </c>
      <c r="Q567" s="20">
        <f t="shared" si="5"/>
        <v>45609.52932</v>
      </c>
      <c r="R567" s="24" t="b">
        <v>0</v>
      </c>
      <c r="S567" s="7" t="str">
        <f t="shared" si="6"/>
        <v/>
      </c>
      <c r="T567" s="7"/>
    </row>
    <row r="568" ht="22.5" hidden="1" customHeight="1">
      <c r="B568" s="7">
        <f t="shared" si="7"/>
        <v>562</v>
      </c>
      <c r="C568" s="18" t="s">
        <v>565</v>
      </c>
      <c r="D568" s="19" t="str">
        <f t="array" ref="D568">IFNA(_xlfn.XLOOKUP(C568,Table_Tarikan_Warkah[Nomor Sertipikat],Table_Tarikan_Warkah[Nomor Tiket]),"")</f>
        <v>K/22/011124/2</v>
      </c>
      <c r="E568" s="20" t="str">
        <f t="array" ref="E568">IFNA(_xlfn.XLOOKUP(D568,Table_Tarikan_Warkah[Nomor Tiket],Table_Tarikan_Warkah[Tanggal diserahkan kepada Validator]),"")</f>
        <v/>
      </c>
      <c r="F568" s="20" t="str">
        <f t="array" ref="F568">IFNA(_xlfn.XLOOKUP(D568,Table_Tarikan_Warkah[Nomor Tiket],Table_Tarikan_Warkah[Nama Petugas Warkah]),"")</f>
        <v>David</v>
      </c>
      <c r="G568" s="21" t="str">
        <f t="array" ref="G568">IFNA(_xlfn.XLOOKUP(D568,Table_Tarikan_Warkah[Nomor Tiket],Table_Tarikan_Warkah[Jenis Permohonan]),"")</f>
        <v>ROYA</v>
      </c>
      <c r="H568" s="22" t="s">
        <v>31</v>
      </c>
      <c r="I568" s="22" t="s">
        <v>32</v>
      </c>
      <c r="J568" s="20">
        <f t="shared" si="29"/>
        <v>45607.62051</v>
      </c>
      <c r="K568" s="27" t="s">
        <v>33</v>
      </c>
      <c r="L568" s="27" t="s">
        <v>187</v>
      </c>
      <c r="M568" s="20">
        <f t="shared" si="30"/>
        <v>45609.52932</v>
      </c>
      <c r="N568" s="8" t="str">
        <f t="shared" si="3"/>
        <v>Selesai</v>
      </c>
      <c r="O568" s="23">
        <f t="shared" si="22"/>
        <v>45609.52932</v>
      </c>
      <c r="P568" s="24" t="b">
        <v>1</v>
      </c>
      <c r="Q568" s="20">
        <f t="shared" si="5"/>
        <v>45609.52932</v>
      </c>
      <c r="R568" s="24" t="b">
        <v>0</v>
      </c>
      <c r="S568" s="7" t="str">
        <f t="shared" si="6"/>
        <v/>
      </c>
      <c r="T568" s="7"/>
    </row>
    <row r="569" ht="22.5" hidden="1" customHeight="1">
      <c r="B569" s="7">
        <f t="shared" si="7"/>
        <v>563</v>
      </c>
      <c r="C569" s="18" t="s">
        <v>410</v>
      </c>
      <c r="D569" s="19" t="str">
        <f t="array" ref="D569">IFNA(_xlfn.XLOOKUP(C569,Table_Tarikan_Warkah[Nomor Sertipikat],Table_Tarikan_Warkah[Nomor Tiket]),"")</f>
        <v>K/17/011124/1</v>
      </c>
      <c r="E569" s="20">
        <f t="array" ref="E569">IFNA(_xlfn.XLOOKUP(D569,Table_Tarikan_Warkah[Nomor Tiket],Table_Tarikan_Warkah[Tanggal diserahkan kepada Validator]),"")</f>
        <v>45600.46601</v>
      </c>
      <c r="F569" s="20" t="str">
        <f t="array" ref="F569">IFNA(_xlfn.XLOOKUP(D569,Table_Tarikan_Warkah[Nomor Tiket],Table_Tarikan_Warkah[Nama Petugas Warkah]),"")</f>
        <v>Berry</v>
      </c>
      <c r="G569" s="21" t="str">
        <f t="array" ref="G569">IFNA(_xlfn.XLOOKUP(D569,Table_Tarikan_Warkah[Nomor Tiket],Table_Tarikan_Warkah[Jenis Permohonan]),"")</f>
        <v>BN JUAL BELI</v>
      </c>
      <c r="H569" s="22" t="s">
        <v>31</v>
      </c>
      <c r="I569" s="22" t="s">
        <v>32</v>
      </c>
      <c r="J569" s="20">
        <f t="shared" si="29"/>
        <v>45607.62051</v>
      </c>
      <c r="K569" s="27" t="s">
        <v>33</v>
      </c>
      <c r="L569" s="27" t="s">
        <v>187</v>
      </c>
      <c r="M569" s="20">
        <f t="shared" si="30"/>
        <v>45609.52932</v>
      </c>
      <c r="N569" s="8" t="str">
        <f t="shared" si="3"/>
        <v>Selesai</v>
      </c>
      <c r="O569" s="23">
        <f t="shared" si="22"/>
        <v>45609.52932</v>
      </c>
      <c r="P569" s="24" t="b">
        <v>1</v>
      </c>
      <c r="Q569" s="20">
        <f t="shared" si="5"/>
        <v>45609.52932</v>
      </c>
      <c r="R569" s="24" t="b">
        <v>0</v>
      </c>
      <c r="S569" s="7" t="str">
        <f t="shared" si="6"/>
        <v/>
      </c>
      <c r="T569" s="7"/>
    </row>
    <row r="570" ht="22.5" hidden="1" customHeight="1">
      <c r="B570" s="7">
        <f t="shared" si="7"/>
        <v>564</v>
      </c>
      <c r="C570" s="18" t="s">
        <v>566</v>
      </c>
      <c r="D570" s="19" t="str">
        <f t="array" ref="D570">IFNA(_xlfn.XLOOKUP(C570,Table_Tarikan_Warkah[Nomor Sertipikat],Table_Tarikan_Warkah[Nomor Tiket]),"")</f>
        <v>K/12/161024/3</v>
      </c>
      <c r="E570" s="20" t="str">
        <f t="array" ref="E570">IFNA(_xlfn.XLOOKUP(D570,Table_Tarikan_Warkah[Nomor Tiket],Table_Tarikan_Warkah[Tanggal diserahkan kepada Validator]),"")</f>
        <v/>
      </c>
      <c r="F570" s="20" t="str">
        <f t="array" ref="F570">IFNA(_xlfn.XLOOKUP(D570,Table_Tarikan_Warkah[Nomor Tiket],Table_Tarikan_Warkah[Nama Petugas Warkah]),"")</f>
        <v/>
      </c>
      <c r="G570" s="21" t="str">
        <f t="array" ref="G570">IFNA(_xlfn.XLOOKUP(D570,Table_Tarikan_Warkah[Nomor Tiket],Table_Tarikan_Warkah[Jenis Permohonan]),"")</f>
        <v>PERALIHAN JUAL BELI</v>
      </c>
      <c r="H570" s="22" t="s">
        <v>31</v>
      </c>
      <c r="I570" s="22" t="s">
        <v>32</v>
      </c>
      <c r="J570" s="20">
        <f t="shared" si="29"/>
        <v>45607.62051</v>
      </c>
      <c r="K570" s="27" t="s">
        <v>33</v>
      </c>
      <c r="L570" s="27" t="s">
        <v>187</v>
      </c>
      <c r="M570" s="20">
        <f t="shared" si="30"/>
        <v>45609.52932</v>
      </c>
      <c r="N570" s="8" t="str">
        <f t="shared" si="3"/>
        <v>Selesai</v>
      </c>
      <c r="O570" s="23">
        <f t="shared" si="22"/>
        <v>45609.52932</v>
      </c>
      <c r="P570" s="24" t="b">
        <v>1</v>
      </c>
      <c r="Q570" s="20">
        <f t="shared" si="5"/>
        <v>45609.52932</v>
      </c>
      <c r="R570" s="24" t="b">
        <v>0</v>
      </c>
      <c r="S570" s="7" t="str">
        <f t="shared" si="6"/>
        <v/>
      </c>
      <c r="T570" s="7"/>
    </row>
    <row r="571" ht="22.5" hidden="1" customHeight="1">
      <c r="B571" s="7">
        <f t="shared" si="7"/>
        <v>565</v>
      </c>
      <c r="C571" s="18" t="s">
        <v>567</v>
      </c>
      <c r="D571" s="19" t="str">
        <f t="array" ref="D571">IFNA(_xlfn.XLOOKUP(C571,Table_Tarikan_Warkah[Nomor Sertipikat],Table_Tarikan_Warkah[Nomor Tiket]),"")</f>
        <v>K/53/061124/1</v>
      </c>
      <c r="E571" s="20">
        <f t="array" ref="E571">IFNA(_xlfn.XLOOKUP(D571,Table_Tarikan_Warkah[Nomor Tiket],Table_Tarikan_Warkah[Tanggal diserahkan kepada Validator]),"")</f>
        <v>45604.62922</v>
      </c>
      <c r="F571" s="20" t="str">
        <f t="array" ref="F571">IFNA(_xlfn.XLOOKUP(D571,Table_Tarikan_Warkah[Nomor Tiket],Table_Tarikan_Warkah[Nama Petugas Warkah]),"")</f>
        <v>David</v>
      </c>
      <c r="G571" s="21" t="str">
        <f t="array" ref="G571">IFNA(_xlfn.XLOOKUP(D571,Table_Tarikan_Warkah[Nomor Tiket],Table_Tarikan_Warkah[Jenis Permohonan]),"")</f>
        <v>ROYA</v>
      </c>
      <c r="H571" s="22" t="s">
        <v>31</v>
      </c>
      <c r="I571" s="22" t="s">
        <v>32</v>
      </c>
      <c r="J571" s="20">
        <f t="shared" si="29"/>
        <v>45607.62051</v>
      </c>
      <c r="K571" s="27" t="s">
        <v>33</v>
      </c>
      <c r="L571" s="27" t="s">
        <v>187</v>
      </c>
      <c r="M571" s="20">
        <f t="shared" si="30"/>
        <v>45609.52932</v>
      </c>
      <c r="N571" s="8" t="str">
        <f t="shared" si="3"/>
        <v>Selesai</v>
      </c>
      <c r="O571" s="23">
        <f t="shared" si="22"/>
        <v>45609.52932</v>
      </c>
      <c r="P571" s="24" t="b">
        <v>1</v>
      </c>
      <c r="Q571" s="20">
        <f t="shared" si="5"/>
        <v>45609.52932</v>
      </c>
      <c r="R571" s="24" t="b">
        <v>0</v>
      </c>
      <c r="S571" s="7" t="str">
        <f t="shared" si="6"/>
        <v/>
      </c>
      <c r="T571" s="7"/>
    </row>
    <row r="572" ht="22.5" hidden="1" customHeight="1">
      <c r="B572" s="7">
        <f t="shared" si="7"/>
        <v>566</v>
      </c>
      <c r="C572" s="18" t="s">
        <v>568</v>
      </c>
      <c r="D572" s="19" t="str">
        <f t="array" ref="D572">IFNA(_xlfn.XLOOKUP(C572,Table_Tarikan_Warkah[Nomor Sertipikat],Table_Tarikan_Warkah[Nomor Tiket]),"")</f>
        <v>K/18/041124/1</v>
      </c>
      <c r="E572" s="20" t="str">
        <f t="array" ref="E572">IFNA(_xlfn.XLOOKUP(D572,Table_Tarikan_Warkah[Nomor Tiket],Table_Tarikan_Warkah[Tanggal diserahkan kepada Validator]),"")</f>
        <v/>
      </c>
      <c r="F572" s="20" t="str">
        <f t="array" ref="F572">IFNA(_xlfn.XLOOKUP(D572,Table_Tarikan_Warkah[Nomor Tiket],Table_Tarikan_Warkah[Nama Petugas Warkah]),"")</f>
        <v>Berry</v>
      </c>
      <c r="G572" s="21" t="str">
        <f t="array" ref="G572">IFNA(_xlfn.XLOOKUP(D572,Table_Tarikan_Warkah[Nomor Tiket],Table_Tarikan_Warkah[Jenis Permohonan]),"")</f>
        <v>BN Jual Beli</v>
      </c>
      <c r="H572" s="22" t="s">
        <v>37</v>
      </c>
      <c r="I572" s="22" t="s">
        <v>32</v>
      </c>
      <c r="J572" s="20">
        <f t="shared" si="29"/>
        <v>45607.66995</v>
      </c>
      <c r="K572" s="27" t="s">
        <v>33</v>
      </c>
      <c r="L572" s="27" t="s">
        <v>187</v>
      </c>
      <c r="M572" s="20">
        <f t="shared" si="30"/>
        <v>45609.52932</v>
      </c>
      <c r="N572" s="8" t="str">
        <f t="shared" si="3"/>
        <v>Selesai</v>
      </c>
      <c r="O572" s="23">
        <f t="shared" si="22"/>
        <v>45609.52932</v>
      </c>
      <c r="P572" s="24" t="b">
        <v>1</v>
      </c>
      <c r="Q572" s="20">
        <f t="shared" si="5"/>
        <v>45609.52932</v>
      </c>
      <c r="R572" s="24" t="b">
        <v>1</v>
      </c>
      <c r="S572" s="20">
        <f t="shared" si="6"/>
        <v>45614.69102</v>
      </c>
      <c r="T572" s="7"/>
    </row>
    <row r="573" ht="22.5" hidden="1" customHeight="1">
      <c r="B573" s="7">
        <f t="shared" si="7"/>
        <v>567</v>
      </c>
      <c r="C573" s="18" t="s">
        <v>569</v>
      </c>
      <c r="D573" s="19" t="str">
        <f t="array" ref="D573">IFNA(_xlfn.XLOOKUP(C573,Table_Tarikan_Warkah[Nomor Sertipikat],Table_Tarikan_Warkah[Nomor Tiket]),"")</f>
        <v>K/13/071124/2</v>
      </c>
      <c r="E573" s="20">
        <f t="array" ref="E573">IFNA(_xlfn.XLOOKUP(D573,Table_Tarikan_Warkah[Nomor Tiket],Table_Tarikan_Warkah[Tanggal diserahkan kepada Validator]),"")</f>
        <v>45625.49551</v>
      </c>
      <c r="F573" s="20" t="str">
        <f t="array" ref="F573">IFNA(_xlfn.XLOOKUP(D573,Table_Tarikan_Warkah[Nomor Tiket],Table_Tarikan_Warkah[Nama Petugas Warkah]),"")</f>
        <v>David</v>
      </c>
      <c r="G573" s="21" t="str">
        <f t="array" ref="G573">IFNA(_xlfn.XLOOKUP(D573,Table_Tarikan_Warkah[Nomor Tiket],Table_Tarikan_Warkah[Jenis Permohonan]),"")</f>
        <v>ROYA</v>
      </c>
      <c r="H573" s="22" t="s">
        <v>37</v>
      </c>
      <c r="I573" s="22" t="s">
        <v>32</v>
      </c>
      <c r="J573" s="20">
        <f t="shared" si="29"/>
        <v>45608.43583</v>
      </c>
      <c r="K573" s="22" t="s">
        <v>33</v>
      </c>
      <c r="L573" s="22" t="s">
        <v>187</v>
      </c>
      <c r="M573" s="20">
        <f t="shared" si="30"/>
        <v>45609.4817</v>
      </c>
      <c r="N573" s="8" t="str">
        <f t="shared" si="3"/>
        <v>Selesai</v>
      </c>
      <c r="O573" s="23">
        <f t="shared" si="22"/>
        <v>45609.4817</v>
      </c>
      <c r="P573" s="24" t="b">
        <v>1</v>
      </c>
      <c r="Q573" s="20">
        <f t="shared" si="5"/>
        <v>45609.52932</v>
      </c>
      <c r="R573" s="24" t="b">
        <v>1</v>
      </c>
      <c r="S573" s="20">
        <f t="shared" si="6"/>
        <v>45625.38388</v>
      </c>
      <c r="T573" s="7"/>
    </row>
    <row r="574" ht="22.5" hidden="1" customHeight="1">
      <c r="B574" s="7">
        <f t="shared" si="7"/>
        <v>568</v>
      </c>
      <c r="C574" s="18" t="s">
        <v>570</v>
      </c>
      <c r="D574" s="19" t="str">
        <f t="array" ref="D574">IFNA(_xlfn.XLOOKUP(C574,Table_Tarikan_Warkah[Nomor Sertipikat],Table_Tarikan_Warkah[Nomor Tiket]),"")</f>
        <v>K/53/251024/1</v>
      </c>
      <c r="E574" s="20" t="str">
        <f t="array" ref="E574">IFNA(_xlfn.XLOOKUP(D574,Table_Tarikan_Warkah[Nomor Tiket],Table_Tarikan_Warkah[Tanggal diserahkan kepada Validator]),"")</f>
        <v/>
      </c>
      <c r="F574" s="20" t="str">
        <f t="array" ref="F574">IFNA(_xlfn.XLOOKUP(D574,Table_Tarikan_Warkah[Nomor Tiket],Table_Tarikan_Warkah[Nama Petugas Warkah]),"")</f>
        <v>David</v>
      </c>
      <c r="G574" s="21" t="str">
        <f t="array" ref="G574">IFNA(_xlfn.XLOOKUP(D574,Table_Tarikan_Warkah[Nomor Tiket],Table_Tarikan_Warkah[Jenis Permohonan]),"")</f>
        <v>Roya</v>
      </c>
      <c r="H574" s="22" t="s">
        <v>37</v>
      </c>
      <c r="I574" s="22" t="s">
        <v>32</v>
      </c>
      <c r="J574" s="20">
        <f t="shared" si="29"/>
        <v>45608.43605</v>
      </c>
      <c r="K574" s="22" t="s">
        <v>33</v>
      </c>
      <c r="L574" s="22" t="s">
        <v>187</v>
      </c>
      <c r="M574" s="20">
        <f t="shared" si="30"/>
        <v>45609.48388</v>
      </c>
      <c r="N574" s="8" t="str">
        <f t="shared" si="3"/>
        <v>Selesai</v>
      </c>
      <c r="O574" s="23">
        <f t="shared" si="22"/>
        <v>45609.48388</v>
      </c>
      <c r="P574" s="24" t="b">
        <v>1</v>
      </c>
      <c r="Q574" s="20">
        <f t="shared" si="5"/>
        <v>45609.52932</v>
      </c>
      <c r="R574" s="24" t="b">
        <v>1</v>
      </c>
      <c r="S574" s="20">
        <f t="shared" si="6"/>
        <v>45616.43362</v>
      </c>
      <c r="T574" s="7"/>
    </row>
    <row r="575" ht="22.5" hidden="1" customHeight="1">
      <c r="B575" s="7">
        <f t="shared" si="7"/>
        <v>569</v>
      </c>
      <c r="C575" s="18" t="s">
        <v>571</v>
      </c>
      <c r="D575" s="19" t="str">
        <f t="array" ref="D575">IFNA(_xlfn.XLOOKUP(C575,Table_Tarikan_Warkah[Nomor Sertipikat],Table_Tarikan_Warkah[Nomor Tiket]),"")</f>
        <v/>
      </c>
      <c r="E575" s="20" t="str">
        <f t="array" ref="E575">IFNA(_xlfn.XLOOKUP(D575,Table_Tarikan_Warkah[Nomor Tiket],Table_Tarikan_Warkah[Tanggal diserahkan kepada Validator]),"")</f>
        <v/>
      </c>
      <c r="F575" s="20" t="str">
        <f t="array" ref="F575">IFNA(_xlfn.XLOOKUP(D575,Table_Tarikan_Warkah[Nomor Tiket],Table_Tarikan_Warkah[Nama Petugas Warkah]),"")</f>
        <v/>
      </c>
      <c r="G575" s="21" t="str">
        <f t="array" ref="G575">IFNA(_xlfn.XLOOKUP(D575,Table_Tarikan_Warkah[Nomor Tiket],Table_Tarikan_Warkah[Jenis Permohonan]),"")</f>
        <v/>
      </c>
      <c r="H575" s="22" t="s">
        <v>37</v>
      </c>
      <c r="I575" s="22" t="s">
        <v>32</v>
      </c>
      <c r="J575" s="20">
        <f t="shared" si="29"/>
        <v>45608.43782</v>
      </c>
      <c r="K575" s="22" t="s">
        <v>33</v>
      </c>
      <c r="L575" s="22" t="s">
        <v>187</v>
      </c>
      <c r="M575" s="20">
        <f t="shared" si="30"/>
        <v>45609.48452</v>
      </c>
      <c r="N575" s="8" t="str">
        <f t="shared" si="3"/>
        <v/>
      </c>
      <c r="O575" s="21" t="str">
        <f t="shared" si="22"/>
        <v/>
      </c>
      <c r="P575" s="24" t="b">
        <v>1</v>
      </c>
      <c r="Q575" s="20">
        <f t="shared" si="5"/>
        <v>45609.48458</v>
      </c>
      <c r="R575" s="24" t="b">
        <v>0</v>
      </c>
      <c r="S575" s="7" t="str">
        <f t="shared" si="6"/>
        <v/>
      </c>
      <c r="T575" s="8" t="s">
        <v>572</v>
      </c>
    </row>
    <row r="576" ht="22.5" hidden="1" customHeight="1">
      <c r="B576" s="7">
        <f t="shared" si="7"/>
        <v>570</v>
      </c>
      <c r="C576" s="18" t="s">
        <v>568</v>
      </c>
      <c r="D576" s="19" t="str">
        <f t="array" ref="D576">IFNA(_xlfn.XLOOKUP(C576,Table_Tarikan_Warkah[Nomor Sertipikat],Table_Tarikan_Warkah[Nomor Tiket]),"")</f>
        <v>K/18/041124/1</v>
      </c>
      <c r="E576" s="20" t="str">
        <f t="array" ref="E576">IFNA(_xlfn.XLOOKUP(D576,Table_Tarikan_Warkah[Nomor Tiket],Table_Tarikan_Warkah[Tanggal diserahkan kepada Validator]),"")</f>
        <v/>
      </c>
      <c r="F576" s="20" t="str">
        <f t="array" ref="F576">IFNA(_xlfn.XLOOKUP(D576,Table_Tarikan_Warkah[Nomor Tiket],Table_Tarikan_Warkah[Nama Petugas Warkah]),"")</f>
        <v>Berry</v>
      </c>
      <c r="G576" s="21" t="str">
        <f t="array" ref="G576">IFNA(_xlfn.XLOOKUP(D576,Table_Tarikan_Warkah[Nomor Tiket],Table_Tarikan_Warkah[Jenis Permohonan]),"")</f>
        <v>BN Jual Beli</v>
      </c>
      <c r="H576" s="22" t="s">
        <v>37</v>
      </c>
      <c r="I576" s="22" t="s">
        <v>32</v>
      </c>
      <c r="J576" s="20">
        <f t="shared" si="29"/>
        <v>45608.438</v>
      </c>
      <c r="K576" s="22" t="s">
        <v>33</v>
      </c>
      <c r="L576" s="22" t="s">
        <v>187</v>
      </c>
      <c r="M576" s="20">
        <f t="shared" si="30"/>
        <v>45609.48406</v>
      </c>
      <c r="N576" s="8" t="str">
        <f t="shared" si="3"/>
        <v>Selesai</v>
      </c>
      <c r="O576" s="23">
        <f t="shared" si="22"/>
        <v>45609.48406</v>
      </c>
      <c r="P576" s="24" t="b">
        <v>1</v>
      </c>
      <c r="Q576" s="20">
        <f t="shared" si="5"/>
        <v>45609.48428</v>
      </c>
      <c r="R576" s="24" t="b">
        <v>0</v>
      </c>
      <c r="S576" s="7" t="str">
        <f t="shared" si="6"/>
        <v/>
      </c>
      <c r="T576" s="7"/>
    </row>
    <row r="577" ht="22.5" hidden="1" customHeight="1">
      <c r="B577" s="7">
        <f t="shared" si="7"/>
        <v>571</v>
      </c>
      <c r="C577" s="18" t="s">
        <v>573</v>
      </c>
      <c r="D577" s="19" t="str">
        <f t="array" ref="D577">IFNA(_xlfn.XLOOKUP(C577,Table_Tarikan_Warkah[Nomor Sertipikat],Table_Tarikan_Warkah[Nomor Tiket]),"")</f>
        <v>K/7/011124/1</v>
      </c>
      <c r="E577" s="20" t="str">
        <f t="array" ref="E577">IFNA(_xlfn.XLOOKUP(D577,Table_Tarikan_Warkah[Nomor Tiket],Table_Tarikan_Warkah[Tanggal diserahkan kepada Validator]),"")</f>
        <v/>
      </c>
      <c r="F577" s="20" t="str">
        <f t="array" ref="F577">IFNA(_xlfn.XLOOKUP(D577,Table_Tarikan_Warkah[Nomor Tiket],Table_Tarikan_Warkah[Nama Petugas Warkah]),"")</f>
        <v>Berry</v>
      </c>
      <c r="G577" s="21" t="str">
        <f t="array" ref="G577">IFNA(_xlfn.XLOOKUP(D577,Table_Tarikan_Warkah[Nomor Tiket],Table_Tarikan_Warkah[Jenis Permohonan]),"")</f>
        <v>BN Jual Beli</v>
      </c>
      <c r="H577" s="22" t="s">
        <v>37</v>
      </c>
      <c r="I577" s="22" t="s">
        <v>32</v>
      </c>
      <c r="J577" s="20">
        <f t="shared" si="29"/>
        <v>45608.43813</v>
      </c>
      <c r="K577" s="22" t="s">
        <v>33</v>
      </c>
      <c r="L577" s="22" t="s">
        <v>187</v>
      </c>
      <c r="M577" s="20">
        <f t="shared" si="30"/>
        <v>45609.48484</v>
      </c>
      <c r="N577" s="8" t="str">
        <f t="shared" si="3"/>
        <v>Selesai</v>
      </c>
      <c r="O577" s="23">
        <f t="shared" si="22"/>
        <v>45609.48484</v>
      </c>
      <c r="P577" s="24" t="b">
        <v>1</v>
      </c>
      <c r="Q577" s="20">
        <f t="shared" si="5"/>
        <v>45609.48487</v>
      </c>
      <c r="R577" s="24" t="b">
        <v>0</v>
      </c>
      <c r="S577" s="7" t="str">
        <f t="shared" si="6"/>
        <v/>
      </c>
      <c r="T577" s="7"/>
    </row>
    <row r="578" ht="22.5" hidden="1" customHeight="1">
      <c r="B578" s="7">
        <f t="shared" si="7"/>
        <v>572</v>
      </c>
      <c r="C578" s="18" t="s">
        <v>574</v>
      </c>
      <c r="D578" s="19" t="str">
        <f t="array" ref="D578">IFNA(_xlfn.XLOOKUP(C578,Table_Tarikan_Warkah[Nomor Sertipikat],Table_Tarikan_Warkah[Nomor Tiket]),"")</f>
        <v>L/9/081124/1</v>
      </c>
      <c r="E578" s="20">
        <f t="array" ref="E578">IFNA(_xlfn.XLOOKUP(D578,Table_Tarikan_Warkah[Nomor Tiket],Table_Tarikan_Warkah[Tanggal diserahkan kepada Validator]),"")</f>
        <v>45607.63416</v>
      </c>
      <c r="F578" s="20" t="str">
        <f t="array" ref="F578">IFNA(_xlfn.XLOOKUP(D578,Table_Tarikan_Warkah[Nomor Tiket],Table_Tarikan_Warkah[Nama Petugas Warkah]),"")</f>
        <v>David</v>
      </c>
      <c r="G578" s="21" t="str">
        <f t="array" ref="G578">IFNA(_xlfn.XLOOKUP(D578,Table_Tarikan_Warkah[Nomor Tiket],Table_Tarikan_Warkah[Jenis Permohonan]),"")</f>
        <v>SULYA YENTY</v>
      </c>
      <c r="H578" s="22" t="s">
        <v>31</v>
      </c>
      <c r="I578" s="22" t="s">
        <v>32</v>
      </c>
      <c r="J578" s="20">
        <f t="shared" si="29"/>
        <v>45608.67291</v>
      </c>
      <c r="K578" s="27" t="s">
        <v>65</v>
      </c>
      <c r="L578" s="27" t="s">
        <v>32</v>
      </c>
      <c r="M578" s="20">
        <f t="shared" si="30"/>
        <v>45609.64436</v>
      </c>
      <c r="N578" s="8" t="str">
        <f t="shared" si="3"/>
        <v>SELESAI</v>
      </c>
      <c r="O578" s="23">
        <f t="shared" si="22"/>
        <v>45609.64436</v>
      </c>
      <c r="P578" s="24" t="b">
        <v>0</v>
      </c>
      <c r="Q578" s="20" t="str">
        <f t="shared" si="5"/>
        <v/>
      </c>
      <c r="R578" s="24" t="b">
        <v>1</v>
      </c>
      <c r="S578" s="20">
        <f t="shared" si="6"/>
        <v>45614.6095</v>
      </c>
      <c r="T578" s="7"/>
    </row>
    <row r="579" ht="22.5" hidden="1" customHeight="1">
      <c r="B579" s="7">
        <f t="shared" si="7"/>
        <v>573</v>
      </c>
      <c r="C579" s="18" t="s">
        <v>575</v>
      </c>
      <c r="D579" s="19" t="str">
        <f t="array" ref="D579">IFNA(_xlfn.XLOOKUP(C579,Table_Tarikan_Warkah[Nomor Sertipikat],Table_Tarikan_Warkah[Nomor Tiket]),"")</f>
        <v>K/4/081124/1</v>
      </c>
      <c r="E579" s="20">
        <f t="array" ref="E579">IFNA(_xlfn.XLOOKUP(D579,Table_Tarikan_Warkah[Nomor Tiket],Table_Tarikan_Warkah[Tanggal diserahkan kepada Validator]),"")</f>
        <v>45607.63633</v>
      </c>
      <c r="F579" s="20" t="str">
        <f t="array" ref="F579">IFNA(_xlfn.XLOOKUP(D579,Table_Tarikan_Warkah[Nomor Tiket],Table_Tarikan_Warkah[Nama Petugas Warkah]),"")</f>
        <v>David</v>
      </c>
      <c r="G579" s="21" t="str">
        <f t="array" ref="G579">IFNA(_xlfn.XLOOKUP(D579,Table_Tarikan_Warkah[Nomor Tiket],Table_Tarikan_Warkah[Jenis Permohonan]),"")</f>
        <v>BN JUAL BELI</v>
      </c>
      <c r="H579" s="22" t="s">
        <v>31</v>
      </c>
      <c r="I579" s="22" t="s">
        <v>32</v>
      </c>
      <c r="J579" s="20">
        <f t="shared" si="29"/>
        <v>45608.67303</v>
      </c>
      <c r="K579" s="27" t="s">
        <v>65</v>
      </c>
      <c r="L579" s="27" t="s">
        <v>32</v>
      </c>
      <c r="M579" s="20">
        <f t="shared" si="30"/>
        <v>45609.64436</v>
      </c>
      <c r="N579" s="8" t="str">
        <f t="shared" si="3"/>
        <v>SELESAI</v>
      </c>
      <c r="O579" s="23">
        <f t="shared" si="22"/>
        <v>45609.64436</v>
      </c>
      <c r="P579" s="24" t="b">
        <v>0</v>
      </c>
      <c r="Q579" s="20" t="str">
        <f t="shared" si="5"/>
        <v/>
      </c>
      <c r="R579" s="24" t="b">
        <v>1</v>
      </c>
      <c r="S579" s="20">
        <f t="shared" si="6"/>
        <v>45614.6095</v>
      </c>
      <c r="T579" s="7"/>
    </row>
    <row r="580" ht="22.5" hidden="1" customHeight="1">
      <c r="B580" s="7">
        <f t="shared" si="7"/>
        <v>574</v>
      </c>
      <c r="C580" s="18" t="s">
        <v>576</v>
      </c>
      <c r="D580" s="19" t="str">
        <f t="array" ref="D580">IFNA(_xlfn.XLOOKUP(C580,Table_Tarikan_Warkah[Nomor Sertipikat],Table_Tarikan_Warkah[Nomor Tiket]),"")</f>
        <v>K/10/081124/1</v>
      </c>
      <c r="E580" s="20">
        <f t="array" ref="E580">IFNA(_xlfn.XLOOKUP(D580,Table_Tarikan_Warkah[Nomor Tiket],Table_Tarikan_Warkah[Tanggal diserahkan kepada Validator]),"")</f>
        <v>45607.63482</v>
      </c>
      <c r="F580" s="20" t="str">
        <f t="array" ref="F580">IFNA(_xlfn.XLOOKUP(D580,Table_Tarikan_Warkah[Nomor Tiket],Table_Tarikan_Warkah[Nama Petugas Warkah]),"")</f>
        <v>David</v>
      </c>
      <c r="G580" s="21" t="str">
        <f t="array" ref="G580">IFNA(_xlfn.XLOOKUP(D580,Table_Tarikan_Warkah[Nomor Tiket],Table_Tarikan_Warkah[Jenis Permohonan]),"")</f>
        <v>ROYA</v>
      </c>
      <c r="H580" s="22" t="s">
        <v>31</v>
      </c>
      <c r="I580" s="22" t="s">
        <v>32</v>
      </c>
      <c r="J580" s="20">
        <f t="shared" si="29"/>
        <v>45608.67316</v>
      </c>
      <c r="K580" s="27" t="s">
        <v>65</v>
      </c>
      <c r="L580" s="27" t="s">
        <v>32</v>
      </c>
      <c r="M580" s="20">
        <f t="shared" si="30"/>
        <v>45609.64436</v>
      </c>
      <c r="N580" s="8" t="str">
        <f t="shared" si="3"/>
        <v>SELESAI</v>
      </c>
      <c r="O580" s="23">
        <f t="shared" si="22"/>
        <v>45609.64436</v>
      </c>
      <c r="P580" s="24" t="b">
        <v>0</v>
      </c>
      <c r="Q580" s="20" t="str">
        <f t="shared" si="5"/>
        <v/>
      </c>
      <c r="R580" s="24" t="b">
        <v>1</v>
      </c>
      <c r="S580" s="20">
        <f t="shared" si="6"/>
        <v>45614.60951</v>
      </c>
      <c r="T580" s="7"/>
    </row>
    <row r="581" ht="22.5" hidden="1" customHeight="1">
      <c r="B581" s="7">
        <f t="shared" si="7"/>
        <v>575</v>
      </c>
      <c r="C581" s="18" t="s">
        <v>577</v>
      </c>
      <c r="D581" s="19" t="str">
        <f t="array" ref="D581">IFNA(_xlfn.XLOOKUP(C581,Table_Tarikan_Warkah[Nomor Sertipikat],Table_Tarikan_Warkah[Nomor Tiket]),"")</f>
        <v>K/14/081124/1</v>
      </c>
      <c r="E581" s="20">
        <f t="array" ref="E581">IFNA(_xlfn.XLOOKUP(D581,Table_Tarikan_Warkah[Nomor Tiket],Table_Tarikan_Warkah[Tanggal diserahkan kepada Validator]),"")</f>
        <v>45607.63701</v>
      </c>
      <c r="F581" s="20" t="str">
        <f t="array" ref="F581">IFNA(_xlfn.XLOOKUP(D581,Table_Tarikan_Warkah[Nomor Tiket],Table_Tarikan_Warkah[Nama Petugas Warkah]),"")</f>
        <v>David</v>
      </c>
      <c r="G581" s="21" t="str">
        <f t="array" ref="G581">IFNA(_xlfn.XLOOKUP(D581,Table_Tarikan_Warkah[Nomor Tiket],Table_Tarikan_Warkah[Jenis Permohonan]),"")</f>
        <v>PENDAFTARAN SK PERPANJANGAN</v>
      </c>
      <c r="H581" s="22" t="s">
        <v>31</v>
      </c>
      <c r="I581" s="22" t="s">
        <v>32</v>
      </c>
      <c r="J581" s="20">
        <f t="shared" si="29"/>
        <v>45608.6733</v>
      </c>
      <c r="K581" s="27" t="s">
        <v>65</v>
      </c>
      <c r="L581" s="27" t="s">
        <v>32</v>
      </c>
      <c r="M581" s="20">
        <f t="shared" si="30"/>
        <v>45609.64436</v>
      </c>
      <c r="N581" s="8" t="str">
        <f t="shared" si="3"/>
        <v>SELESAI</v>
      </c>
      <c r="O581" s="23">
        <f t="shared" si="22"/>
        <v>45609.64436</v>
      </c>
      <c r="P581" s="24" t="b">
        <v>0</v>
      </c>
      <c r="Q581" s="20" t="str">
        <f t="shared" si="5"/>
        <v/>
      </c>
      <c r="R581" s="24" t="b">
        <v>1</v>
      </c>
      <c r="S581" s="20">
        <f t="shared" si="6"/>
        <v>45614.60952</v>
      </c>
      <c r="T581" s="7"/>
    </row>
    <row r="582" ht="22.5" hidden="1" customHeight="1">
      <c r="B582" s="7">
        <f t="shared" si="7"/>
        <v>576</v>
      </c>
      <c r="C582" s="18" t="s">
        <v>578</v>
      </c>
      <c r="D582" s="19" t="str">
        <f t="array" ref="D582">IFNA(_xlfn.XLOOKUP(C582,Table_Tarikan_Warkah[Nomor Sertipikat],Table_Tarikan_Warkah[Nomor Tiket]),"")</f>
        <v>K/46/081124/1</v>
      </c>
      <c r="E582" s="20">
        <f t="array" ref="E582">IFNA(_xlfn.XLOOKUP(D582,Table_Tarikan_Warkah[Nomor Tiket],Table_Tarikan_Warkah[Tanggal diserahkan kepada Validator]),"")</f>
        <v>45607.64424</v>
      </c>
      <c r="F582" s="20" t="str">
        <f t="array" ref="F582">IFNA(_xlfn.XLOOKUP(D582,Table_Tarikan_Warkah[Nomor Tiket],Table_Tarikan_Warkah[Nama Petugas Warkah]),"")</f>
        <v>Berry</v>
      </c>
      <c r="G582" s="21" t="str">
        <f t="array" ref="G582">IFNA(_xlfn.XLOOKUP(D582,Table_Tarikan_Warkah[Nomor Tiket],Table_Tarikan_Warkah[Jenis Permohonan]),"")</f>
        <v>BN Jual Beli</v>
      </c>
      <c r="H582" s="22" t="s">
        <v>31</v>
      </c>
      <c r="I582" s="22" t="s">
        <v>32</v>
      </c>
      <c r="J582" s="20">
        <f t="shared" si="29"/>
        <v>45608.67344</v>
      </c>
      <c r="K582" s="27" t="s">
        <v>65</v>
      </c>
      <c r="L582" s="27" t="s">
        <v>32</v>
      </c>
      <c r="M582" s="20">
        <f t="shared" si="30"/>
        <v>45609.64436</v>
      </c>
      <c r="N582" s="8" t="str">
        <f t="shared" si="3"/>
        <v>SELESAI</v>
      </c>
      <c r="O582" s="23">
        <f t="shared" si="22"/>
        <v>45609.64436</v>
      </c>
      <c r="P582" s="24" t="b">
        <v>0</v>
      </c>
      <c r="Q582" s="20" t="str">
        <f t="shared" si="5"/>
        <v/>
      </c>
      <c r="R582" s="24" t="b">
        <v>1</v>
      </c>
      <c r="S582" s="20">
        <f t="shared" si="6"/>
        <v>45614.60953</v>
      </c>
      <c r="T582" s="7"/>
    </row>
    <row r="583" ht="22.5" hidden="1" customHeight="1">
      <c r="B583" s="7">
        <f t="shared" si="7"/>
        <v>577</v>
      </c>
      <c r="C583" s="18" t="s">
        <v>579</v>
      </c>
      <c r="D583" s="19" t="str">
        <f t="array" ref="D583">IFNA(_xlfn.XLOOKUP(C583,Table_Tarikan_Warkah[Nomor Sertipikat],Table_Tarikan_Warkah[Nomor Tiket]),"")</f>
        <v>K/49/081124/1</v>
      </c>
      <c r="E583" s="20">
        <f t="array" ref="E583">IFNA(_xlfn.XLOOKUP(D583,Table_Tarikan_Warkah[Nomor Tiket],Table_Tarikan_Warkah[Tanggal diserahkan kepada Validator]),"")</f>
        <v>45607.64445</v>
      </c>
      <c r="F583" s="20" t="str">
        <f t="array" ref="F583">IFNA(_xlfn.XLOOKUP(D583,Table_Tarikan_Warkah[Nomor Tiket],Table_Tarikan_Warkah[Nama Petugas Warkah]),"")</f>
        <v>Berry</v>
      </c>
      <c r="G583" s="21" t="str">
        <f t="array" ref="G583">IFNA(_xlfn.XLOOKUP(D583,Table_Tarikan_Warkah[Nomor Tiket],Table_Tarikan_Warkah[Jenis Permohonan]),"")</f>
        <v>BN JUAL BELI</v>
      </c>
      <c r="H583" s="22" t="s">
        <v>31</v>
      </c>
      <c r="I583" s="22" t="s">
        <v>32</v>
      </c>
      <c r="J583" s="20">
        <f t="shared" si="29"/>
        <v>45608.67355</v>
      </c>
      <c r="K583" s="27" t="s">
        <v>65</v>
      </c>
      <c r="L583" s="27" t="s">
        <v>32</v>
      </c>
      <c r="M583" s="20">
        <f t="shared" si="30"/>
        <v>45609.64436</v>
      </c>
      <c r="N583" s="8" t="str">
        <f t="shared" si="3"/>
        <v>SELESAI</v>
      </c>
      <c r="O583" s="23">
        <f t="shared" si="22"/>
        <v>45609.64436</v>
      </c>
      <c r="P583" s="24" t="b">
        <v>0</v>
      </c>
      <c r="Q583" s="20" t="str">
        <f t="shared" si="5"/>
        <v/>
      </c>
      <c r="R583" s="24" t="b">
        <v>1</v>
      </c>
      <c r="S583" s="20">
        <f t="shared" si="6"/>
        <v>45614.60953</v>
      </c>
      <c r="T583" s="7"/>
    </row>
    <row r="584" ht="22.5" hidden="1" customHeight="1">
      <c r="B584" s="7">
        <f t="shared" si="7"/>
        <v>578</v>
      </c>
      <c r="C584" s="18" t="s">
        <v>580</v>
      </c>
      <c r="D584" s="19" t="str">
        <f t="array" ref="D584">IFNA(_xlfn.XLOOKUP(C584,Table_Tarikan_Warkah[Nomor Sertipikat],Table_Tarikan_Warkah[Nomor Tiket]),"")</f>
        <v>K/51/081124/1</v>
      </c>
      <c r="E584" s="20">
        <f t="array" ref="E584">IFNA(_xlfn.XLOOKUP(D584,Table_Tarikan_Warkah[Nomor Tiket],Table_Tarikan_Warkah[Tanggal diserahkan kepada Validator]),"")</f>
        <v>45607.64484</v>
      </c>
      <c r="F584" s="20" t="str">
        <f t="array" ref="F584">IFNA(_xlfn.XLOOKUP(D584,Table_Tarikan_Warkah[Nomor Tiket],Table_Tarikan_Warkah[Nama Petugas Warkah]),"")</f>
        <v>Berry</v>
      </c>
      <c r="G584" s="21" t="str">
        <f t="array" ref="G584">IFNA(_xlfn.XLOOKUP(D584,Table_Tarikan_Warkah[Nomor Tiket],Table_Tarikan_Warkah[Jenis Permohonan]),"")</f>
        <v>BN HIBAH</v>
      </c>
      <c r="H584" s="22" t="s">
        <v>31</v>
      </c>
      <c r="I584" s="22" t="s">
        <v>32</v>
      </c>
      <c r="J584" s="20">
        <f t="shared" si="29"/>
        <v>45608.67373</v>
      </c>
      <c r="K584" s="27" t="s">
        <v>65</v>
      </c>
      <c r="L584" s="27" t="s">
        <v>32</v>
      </c>
      <c r="M584" s="20">
        <f t="shared" si="30"/>
        <v>45609.64436</v>
      </c>
      <c r="N584" s="8" t="str">
        <f t="shared" si="3"/>
        <v>SELESAI</v>
      </c>
      <c r="O584" s="23">
        <f t="shared" si="22"/>
        <v>45609.64436</v>
      </c>
      <c r="P584" s="24" t="b">
        <v>0</v>
      </c>
      <c r="Q584" s="20" t="str">
        <f t="shared" si="5"/>
        <v/>
      </c>
      <c r="R584" s="24" t="b">
        <v>1</v>
      </c>
      <c r="S584" s="20">
        <f t="shared" si="6"/>
        <v>45614.60954</v>
      </c>
      <c r="T584" s="7"/>
    </row>
    <row r="585" ht="22.5" hidden="1" customHeight="1">
      <c r="B585" s="7">
        <f t="shared" si="7"/>
        <v>579</v>
      </c>
      <c r="C585" s="18" t="s">
        <v>581</v>
      </c>
      <c r="D585" s="19" t="str">
        <f t="array" ref="D585">IFNA(_xlfn.XLOOKUP(C585,Table_Tarikan_Warkah[Nomor Sertipikat],Table_Tarikan_Warkah[Nomor Tiket]),"")</f>
        <v>K/52/081124/2</v>
      </c>
      <c r="E585" s="20">
        <f t="array" ref="E585">IFNA(_xlfn.XLOOKUP(D585,Table_Tarikan_Warkah[Nomor Tiket],Table_Tarikan_Warkah[Tanggal diserahkan kepada Validator]),"")</f>
        <v>45607.64503</v>
      </c>
      <c r="F585" s="20" t="str">
        <f t="array" ref="F585">IFNA(_xlfn.XLOOKUP(D585,Table_Tarikan_Warkah[Nomor Tiket],Table_Tarikan_Warkah[Nama Petugas Warkah]),"")</f>
        <v>Berry</v>
      </c>
      <c r="G585" s="21" t="str">
        <f t="array" ref="G585">IFNA(_xlfn.XLOOKUP(D585,Table_Tarikan_Warkah[Nomor Tiket],Table_Tarikan_Warkah[Jenis Permohonan]),"")</f>
        <v>BN Jual Beli</v>
      </c>
      <c r="H585" s="22" t="s">
        <v>31</v>
      </c>
      <c r="I585" s="22" t="s">
        <v>32</v>
      </c>
      <c r="J585" s="20">
        <f t="shared" si="29"/>
        <v>45608.67388</v>
      </c>
      <c r="K585" s="27" t="s">
        <v>65</v>
      </c>
      <c r="L585" s="27" t="s">
        <v>32</v>
      </c>
      <c r="M585" s="20">
        <f t="shared" si="30"/>
        <v>45609.64436</v>
      </c>
      <c r="N585" s="8" t="str">
        <f t="shared" si="3"/>
        <v>SELESAI</v>
      </c>
      <c r="O585" s="23">
        <f t="shared" si="22"/>
        <v>45609.64436</v>
      </c>
      <c r="P585" s="24" t="b">
        <v>0</v>
      </c>
      <c r="Q585" s="20" t="str">
        <f t="shared" si="5"/>
        <v/>
      </c>
      <c r="R585" s="24" t="b">
        <v>1</v>
      </c>
      <c r="S585" s="20">
        <f t="shared" si="6"/>
        <v>45614.60964</v>
      </c>
      <c r="T585" s="7"/>
    </row>
    <row r="586" ht="22.5" hidden="1" customHeight="1">
      <c r="B586" s="7">
        <f t="shared" si="7"/>
        <v>580</v>
      </c>
      <c r="C586" s="18" t="s">
        <v>582</v>
      </c>
      <c r="D586" s="19" t="str">
        <f t="array" ref="D586">IFNA(_xlfn.XLOOKUP(C586,Table_Tarikan_Warkah[Nomor Sertipikat],Table_Tarikan_Warkah[Nomor Tiket]),"")</f>
        <v>K/53/081124/1</v>
      </c>
      <c r="E586" s="20">
        <f t="array" ref="E586">IFNA(_xlfn.XLOOKUP(D586,Table_Tarikan_Warkah[Nomor Tiket],Table_Tarikan_Warkah[Tanggal diserahkan kepada Validator]),"")</f>
        <v>45607.64522</v>
      </c>
      <c r="F586" s="20" t="str">
        <f t="array" ref="F586">IFNA(_xlfn.XLOOKUP(D586,Table_Tarikan_Warkah[Nomor Tiket],Table_Tarikan_Warkah[Nama Petugas Warkah]),"")</f>
        <v>Berry</v>
      </c>
      <c r="G586" s="21" t="str">
        <f t="array" ref="G586">IFNA(_xlfn.XLOOKUP(D586,Table_Tarikan_Warkah[Nomor Tiket],Table_Tarikan_Warkah[Jenis Permohonan]),"")</f>
        <v>BN Hibah</v>
      </c>
      <c r="H586" s="22" t="s">
        <v>31</v>
      </c>
      <c r="I586" s="22" t="s">
        <v>32</v>
      </c>
      <c r="J586" s="20">
        <f t="shared" si="29"/>
        <v>45608.67399</v>
      </c>
      <c r="K586" s="27" t="s">
        <v>65</v>
      </c>
      <c r="L586" s="27" t="s">
        <v>32</v>
      </c>
      <c r="M586" s="20">
        <f t="shared" si="30"/>
        <v>45609.64436</v>
      </c>
      <c r="N586" s="8" t="str">
        <f t="shared" si="3"/>
        <v>SELESAI</v>
      </c>
      <c r="O586" s="23">
        <f t="shared" si="22"/>
        <v>45609.64436</v>
      </c>
      <c r="P586" s="24" t="b">
        <v>0</v>
      </c>
      <c r="Q586" s="20" t="str">
        <f t="shared" si="5"/>
        <v/>
      </c>
      <c r="R586" s="24" t="b">
        <v>1</v>
      </c>
      <c r="S586" s="20">
        <f t="shared" si="6"/>
        <v>45614.60965</v>
      </c>
      <c r="T586" s="7"/>
    </row>
    <row r="587" ht="22.5" hidden="1" customHeight="1">
      <c r="B587" s="7">
        <f t="shared" si="7"/>
        <v>581</v>
      </c>
      <c r="C587" s="18" t="s">
        <v>583</v>
      </c>
      <c r="D587" s="7" t="s">
        <v>584</v>
      </c>
      <c r="E587" s="20">
        <f t="array" ref="E587">IFNA(_xlfn.XLOOKUP(D587,Table_Tarikan_Warkah[Nomor Tiket],Table_Tarikan_Warkah[Tanggal diserahkan kepada Validator]),"")</f>
        <v>45607.64324</v>
      </c>
      <c r="F587" s="20" t="str">
        <f t="array" ref="F587">IFNA(_xlfn.XLOOKUP(D587,Table_Tarikan_Warkah[Nomor Tiket],Table_Tarikan_Warkah[Nama Petugas Warkah]),"")</f>
        <v>Berry</v>
      </c>
      <c r="G587" s="21" t="str">
        <f t="array" ref="G587">IFNA(_xlfn.XLOOKUP(D587,Table_Tarikan_Warkah[Nomor Tiket],Table_Tarikan_Warkah[Jenis Permohonan]),"")</f>
        <v>KEWARISAN</v>
      </c>
      <c r="H587" s="22" t="s">
        <v>31</v>
      </c>
      <c r="I587" s="22" t="s">
        <v>32</v>
      </c>
      <c r="J587" s="20">
        <f t="shared" si="29"/>
        <v>45608.67409</v>
      </c>
      <c r="K587" s="27" t="s">
        <v>65</v>
      </c>
      <c r="L587" s="27" t="s">
        <v>32</v>
      </c>
      <c r="M587" s="20">
        <f t="shared" si="30"/>
        <v>45609.64436</v>
      </c>
      <c r="N587" s="8" t="str">
        <f t="shared" si="3"/>
        <v>SELESAI</v>
      </c>
      <c r="O587" s="23">
        <f t="shared" si="22"/>
        <v>45609.64436</v>
      </c>
      <c r="P587" s="24" t="b">
        <v>0</v>
      </c>
      <c r="Q587" s="20" t="str">
        <f t="shared" si="5"/>
        <v/>
      </c>
      <c r="R587" s="24" t="b">
        <v>1</v>
      </c>
      <c r="S587" s="20">
        <f t="shared" si="6"/>
        <v>45614.60966</v>
      </c>
      <c r="T587" s="7"/>
    </row>
    <row r="588" ht="22.5" hidden="1" customHeight="1">
      <c r="B588" s="7">
        <f t="shared" si="7"/>
        <v>582</v>
      </c>
      <c r="C588" s="18" t="s">
        <v>585</v>
      </c>
      <c r="D588" s="19" t="str">
        <f t="array" ref="D588">IFNA(_xlfn.XLOOKUP(C588,Table_Tarikan_Warkah[Nomor Sertipikat],Table_Tarikan_Warkah[Nomor Tiket]),"")</f>
        <v>K/36/081124/1</v>
      </c>
      <c r="E588" s="20">
        <f t="array" ref="E588">IFNA(_xlfn.XLOOKUP(D588,Table_Tarikan_Warkah[Nomor Tiket],Table_Tarikan_Warkah[Tanggal diserahkan kepada Validator]),"")</f>
        <v>45607.64261</v>
      </c>
      <c r="F588" s="20" t="str">
        <f t="array" ref="F588">IFNA(_xlfn.XLOOKUP(D588,Table_Tarikan_Warkah[Nomor Tiket],Table_Tarikan_Warkah[Nama Petugas Warkah]),"")</f>
        <v>Berry</v>
      </c>
      <c r="G588" s="21" t="str">
        <f t="array" ref="G588">IFNA(_xlfn.XLOOKUP(D588,Table_Tarikan_Warkah[Nomor Tiket],Table_Tarikan_Warkah[Jenis Permohonan]),"")</f>
        <v>BN JUAL BELI</v>
      </c>
      <c r="H588" s="22" t="s">
        <v>31</v>
      </c>
      <c r="I588" s="22" t="s">
        <v>32</v>
      </c>
      <c r="J588" s="20">
        <f t="shared" si="29"/>
        <v>45608.6742</v>
      </c>
      <c r="K588" s="27" t="s">
        <v>65</v>
      </c>
      <c r="L588" s="27" t="s">
        <v>32</v>
      </c>
      <c r="M588" s="20">
        <f t="shared" si="30"/>
        <v>45609.64436</v>
      </c>
      <c r="N588" s="8" t="str">
        <f t="shared" si="3"/>
        <v>SELESAI</v>
      </c>
      <c r="O588" s="23">
        <f t="shared" si="22"/>
        <v>45609.64436</v>
      </c>
      <c r="P588" s="24" t="b">
        <v>0</v>
      </c>
      <c r="Q588" s="20" t="str">
        <f t="shared" si="5"/>
        <v/>
      </c>
      <c r="R588" s="24" t="b">
        <v>1</v>
      </c>
      <c r="S588" s="20">
        <f t="shared" si="6"/>
        <v>45614.60967</v>
      </c>
      <c r="T588" s="7"/>
    </row>
    <row r="589" ht="22.5" hidden="1" customHeight="1">
      <c r="B589" s="7">
        <f t="shared" si="7"/>
        <v>583</v>
      </c>
      <c r="C589" s="18" t="s">
        <v>586</v>
      </c>
      <c r="D589" s="19" t="str">
        <f t="array" ref="D589">IFNA(_xlfn.XLOOKUP(C589,Table_Tarikan_Warkah[Nomor Sertipikat],Table_Tarikan_Warkah[Nomor Tiket]),"")</f>
        <v>K/35/081124/5</v>
      </c>
      <c r="E589" s="20">
        <f t="array" ref="E589">IFNA(_xlfn.XLOOKUP(D589,Table_Tarikan_Warkah[Nomor Tiket],Table_Tarikan_Warkah[Tanggal diserahkan kepada Validator]),"")</f>
        <v>45607.63952</v>
      </c>
      <c r="F589" s="20" t="str">
        <f t="array" ref="F589">IFNA(_xlfn.XLOOKUP(D589,Table_Tarikan_Warkah[Nomor Tiket],Table_Tarikan_Warkah[Nama Petugas Warkah]),"")</f>
        <v>Berry</v>
      </c>
      <c r="G589" s="21" t="str">
        <f t="array" ref="G589">IFNA(_xlfn.XLOOKUP(D589,Table_Tarikan_Warkah[Nomor Tiket],Table_Tarikan_Warkah[Jenis Permohonan]),"")</f>
        <v>BN JUAL BELI</v>
      </c>
      <c r="H589" s="22" t="s">
        <v>31</v>
      </c>
      <c r="I589" s="22" t="s">
        <v>32</v>
      </c>
      <c r="J589" s="20">
        <f t="shared" si="29"/>
        <v>45608.67432</v>
      </c>
      <c r="K589" s="27" t="s">
        <v>65</v>
      </c>
      <c r="L589" s="27" t="s">
        <v>32</v>
      </c>
      <c r="M589" s="20">
        <f t="shared" si="30"/>
        <v>45614.6098</v>
      </c>
      <c r="N589" s="8" t="str">
        <f t="shared" si="3"/>
        <v>SELESAI</v>
      </c>
      <c r="O589" s="23">
        <f t="shared" si="22"/>
        <v>45614.6098</v>
      </c>
      <c r="P589" s="24" t="b">
        <v>0</v>
      </c>
      <c r="Q589" s="20" t="str">
        <f t="shared" si="5"/>
        <v/>
      </c>
      <c r="R589" s="24" t="b">
        <v>1</v>
      </c>
      <c r="S589" s="20">
        <f t="shared" si="6"/>
        <v>45614.60968</v>
      </c>
      <c r="T589" s="7"/>
    </row>
    <row r="590" ht="22.5" hidden="1" customHeight="1">
      <c r="B590" s="7">
        <f t="shared" si="7"/>
        <v>584</v>
      </c>
      <c r="C590" s="18" t="s">
        <v>587</v>
      </c>
      <c r="D590" s="19" t="str">
        <f t="array" ref="D590">IFNA(_xlfn.XLOOKUP(C590,Table_Tarikan_Warkah[Nomor Sertipikat],Table_Tarikan_Warkah[Nomor Tiket]),"")</f>
        <v>L/27/081124/1</v>
      </c>
      <c r="E590" s="20">
        <f t="array" ref="E590">IFNA(_xlfn.XLOOKUP(D590,Table_Tarikan_Warkah[Nomor Tiket],Table_Tarikan_Warkah[Tanggal diserahkan kepada Validator]),"")</f>
        <v>45607.63897</v>
      </c>
      <c r="F590" s="20" t="str">
        <f t="array" ref="F590">IFNA(_xlfn.XLOOKUP(D590,Table_Tarikan_Warkah[Nomor Tiket],Table_Tarikan_Warkah[Nama Petugas Warkah]),"")</f>
        <v>Berry</v>
      </c>
      <c r="G590" s="21" t="str">
        <f t="array" ref="G590">IFNA(_xlfn.XLOOKUP(D590,Table_Tarikan_Warkah[Nomor Tiket],Table_Tarikan_Warkah[Jenis Permohonan]),"")</f>
        <v>ROYA</v>
      </c>
      <c r="H590" s="22" t="s">
        <v>31</v>
      </c>
      <c r="I590" s="22" t="s">
        <v>32</v>
      </c>
      <c r="J590" s="20">
        <f t="shared" si="29"/>
        <v>45608.67443</v>
      </c>
      <c r="K590" s="27" t="s">
        <v>65</v>
      </c>
      <c r="L590" s="27" t="s">
        <v>32</v>
      </c>
      <c r="M590" s="20">
        <f t="shared" si="30"/>
        <v>45614.60982</v>
      </c>
      <c r="N590" s="8" t="str">
        <f t="shared" si="3"/>
        <v>SELESAI</v>
      </c>
      <c r="O590" s="23">
        <f t="shared" si="22"/>
        <v>45614.60982</v>
      </c>
      <c r="P590" s="24" t="b">
        <v>0</v>
      </c>
      <c r="Q590" s="20" t="str">
        <f t="shared" si="5"/>
        <v/>
      </c>
      <c r="R590" s="24" t="b">
        <v>1</v>
      </c>
      <c r="S590" s="20">
        <f t="shared" si="6"/>
        <v>45614.60969</v>
      </c>
      <c r="T590" s="7"/>
    </row>
    <row r="591" ht="22.5" hidden="1" customHeight="1">
      <c r="B591" s="7">
        <f t="shared" si="7"/>
        <v>585</v>
      </c>
      <c r="C591" s="18" t="s">
        <v>588</v>
      </c>
      <c r="D591" s="19" t="str">
        <f t="array" ref="D591">IFNA(_xlfn.XLOOKUP(C591,Table_Tarikan_Warkah[Nomor Sertipikat],Table_Tarikan_Warkah[Nomor Tiket]),"")</f>
        <v>K/26/081124/2</v>
      </c>
      <c r="E591" s="20">
        <f t="array" ref="E591">IFNA(_xlfn.XLOOKUP(D591,Table_Tarikan_Warkah[Nomor Tiket],Table_Tarikan_Warkah[Tanggal diserahkan kepada Validator]),"")</f>
        <v>45607.63878</v>
      </c>
      <c r="F591" s="20" t="str">
        <f t="array" ref="F591">IFNA(_xlfn.XLOOKUP(D591,Table_Tarikan_Warkah[Nomor Tiket],Table_Tarikan_Warkah[Nama Petugas Warkah]),"")</f>
        <v>Berry</v>
      </c>
      <c r="G591" s="21" t="str">
        <f t="array" ref="G591">IFNA(_xlfn.XLOOKUP(D591,Table_Tarikan_Warkah[Nomor Tiket],Table_Tarikan_Warkah[Jenis Permohonan]),"")</f>
        <v>BN JUAL BELI</v>
      </c>
      <c r="H591" s="22" t="s">
        <v>31</v>
      </c>
      <c r="I591" s="22" t="s">
        <v>32</v>
      </c>
      <c r="J591" s="20">
        <f t="shared" si="29"/>
        <v>45608.67453</v>
      </c>
      <c r="K591" s="27" t="s">
        <v>65</v>
      </c>
      <c r="L591" s="22" t="s">
        <v>32</v>
      </c>
      <c r="M591" s="20">
        <f t="shared" si="30"/>
        <v>45611.69945</v>
      </c>
      <c r="N591" s="8" t="str">
        <f t="shared" si="3"/>
        <v>SELESAI</v>
      </c>
      <c r="O591" s="23">
        <f t="shared" si="22"/>
        <v>45611.69945</v>
      </c>
      <c r="P591" s="24" t="b">
        <v>0</v>
      </c>
      <c r="Q591" s="20" t="str">
        <f t="shared" si="5"/>
        <v/>
      </c>
      <c r="R591" s="24" t="b">
        <v>1</v>
      </c>
      <c r="S591" s="20">
        <f t="shared" si="6"/>
        <v>45614.60972</v>
      </c>
      <c r="T591" s="7"/>
    </row>
    <row r="592" ht="22.5" hidden="1" customHeight="1">
      <c r="B592" s="7">
        <f t="shared" si="7"/>
        <v>586</v>
      </c>
      <c r="C592" s="18" t="s">
        <v>589</v>
      </c>
      <c r="D592" s="19" t="str">
        <f t="array" ref="D592">IFNA(_xlfn.XLOOKUP(C592,Table_Tarikan_Warkah[Nomor Sertipikat],Table_Tarikan_Warkah[Nomor Tiket]),"")</f>
        <v>K/20/081124/1</v>
      </c>
      <c r="E592" s="20">
        <f t="array" ref="E592">IFNA(_xlfn.XLOOKUP(D592,Table_Tarikan_Warkah[Nomor Tiket],Table_Tarikan_Warkah[Tanggal diserahkan kepada Validator]),"")</f>
        <v>45607.63737</v>
      </c>
      <c r="F592" s="20" t="str">
        <f t="array" ref="F592">IFNA(_xlfn.XLOOKUP(D592,Table_Tarikan_Warkah[Nomor Tiket],Table_Tarikan_Warkah[Nama Petugas Warkah]),"")</f>
        <v>David</v>
      </c>
      <c r="G592" s="21" t="str">
        <f t="array" ref="G592">IFNA(_xlfn.XLOOKUP(D592,Table_Tarikan_Warkah[Nomor Tiket],Table_Tarikan_Warkah[Jenis Permohonan]),"")</f>
        <v>HAR NELI DEWI/ISMARINA</v>
      </c>
      <c r="H592" s="22" t="s">
        <v>31</v>
      </c>
      <c r="I592" s="22" t="s">
        <v>32</v>
      </c>
      <c r="J592" s="20">
        <f t="shared" si="29"/>
        <v>45608.67467</v>
      </c>
      <c r="K592" s="27" t="s">
        <v>65</v>
      </c>
      <c r="L592" s="22" t="s">
        <v>32</v>
      </c>
      <c r="M592" s="20">
        <f t="shared" si="30"/>
        <v>45611.69946</v>
      </c>
      <c r="N592" s="8" t="str">
        <f t="shared" si="3"/>
        <v>SELESAI</v>
      </c>
      <c r="O592" s="23">
        <f t="shared" si="22"/>
        <v>45611.69946</v>
      </c>
      <c r="P592" s="24" t="b">
        <v>0</v>
      </c>
      <c r="Q592" s="20" t="str">
        <f t="shared" si="5"/>
        <v/>
      </c>
      <c r="R592" s="24" t="b">
        <v>1</v>
      </c>
      <c r="S592" s="20">
        <f t="shared" si="6"/>
        <v>45614.60975</v>
      </c>
      <c r="T592" s="7"/>
    </row>
    <row r="593" ht="22.5" hidden="1" customHeight="1">
      <c r="B593" s="7">
        <f t="shared" si="7"/>
        <v>587</v>
      </c>
      <c r="C593" s="18" t="s">
        <v>590</v>
      </c>
      <c r="D593" s="19" t="str">
        <f t="array" ref="D593">IFNA(_xlfn.XLOOKUP(C593,Table_Tarikan_Warkah[Nomor Sertipikat],Table_Tarikan_Warkah[Nomor Tiket]),"")</f>
        <v>L/13/081124/1</v>
      </c>
      <c r="E593" s="20">
        <f t="array" ref="E593">IFNA(_xlfn.XLOOKUP(D593,Table_Tarikan_Warkah[Nomor Tiket],Table_Tarikan_Warkah[Tanggal diserahkan kepada Validator]),"")</f>
        <v>45607.63689</v>
      </c>
      <c r="F593" s="20" t="str">
        <f t="array" ref="F593">IFNA(_xlfn.XLOOKUP(D593,Table_Tarikan_Warkah[Nomor Tiket],Table_Tarikan_Warkah[Nama Petugas Warkah]),"")</f>
        <v>David</v>
      </c>
      <c r="G593" s="21" t="str">
        <f t="array" ref="G593">IFNA(_xlfn.XLOOKUP(D593,Table_Tarikan_Warkah[Nomor Tiket],Table_Tarikan_Warkah[Jenis Permohonan]),"")</f>
        <v>ROYA</v>
      </c>
      <c r="H593" s="22" t="s">
        <v>31</v>
      </c>
      <c r="I593" s="22" t="s">
        <v>32</v>
      </c>
      <c r="J593" s="20">
        <f t="shared" si="29"/>
        <v>45608.67477</v>
      </c>
      <c r="K593" s="27" t="s">
        <v>65</v>
      </c>
      <c r="L593" s="27" t="s">
        <v>32</v>
      </c>
      <c r="M593" s="20">
        <f t="shared" si="30"/>
        <v>45614.60984</v>
      </c>
      <c r="N593" s="8" t="str">
        <f t="shared" si="3"/>
        <v>SELESAI</v>
      </c>
      <c r="O593" s="23">
        <f t="shared" si="22"/>
        <v>45614.60984</v>
      </c>
      <c r="P593" s="24" t="b">
        <v>0</v>
      </c>
      <c r="Q593" s="20" t="str">
        <f t="shared" si="5"/>
        <v/>
      </c>
      <c r="R593" s="24" t="b">
        <v>1</v>
      </c>
      <c r="S593" s="20">
        <f t="shared" si="6"/>
        <v>45614.60976</v>
      </c>
      <c r="T593" s="7"/>
    </row>
    <row r="594" ht="22.5" hidden="1" customHeight="1">
      <c r="B594" s="7">
        <f t="shared" si="7"/>
        <v>588</v>
      </c>
      <c r="C594" s="18" t="s">
        <v>591</v>
      </c>
      <c r="D594" s="19" t="str">
        <f t="array" ref="D594">IFNA(_xlfn.XLOOKUP(C594,Table_Tarikan_Warkah[Nomor Sertipikat],Table_Tarikan_Warkah[Nomor Tiket]),"")</f>
        <v>K/12/081124/1</v>
      </c>
      <c r="E594" s="20">
        <f t="array" ref="E594">IFNA(_xlfn.XLOOKUP(D594,Table_Tarikan_Warkah[Nomor Tiket],Table_Tarikan_Warkah[Tanggal diserahkan kepada Validator]),"")</f>
        <v>45607.63645</v>
      </c>
      <c r="F594" s="20" t="str">
        <f t="array" ref="F594">IFNA(_xlfn.XLOOKUP(D594,Table_Tarikan_Warkah[Nomor Tiket],Table_Tarikan_Warkah[Nama Petugas Warkah]),"")</f>
        <v>David</v>
      </c>
      <c r="G594" s="21" t="str">
        <f t="array" ref="G594">IFNA(_xlfn.XLOOKUP(D594,Table_Tarikan_Warkah[Nomor Tiket],Table_Tarikan_Warkah[Jenis Permohonan]),"")</f>
        <v>BN JUAL BELI</v>
      </c>
      <c r="H594" s="22" t="s">
        <v>31</v>
      </c>
      <c r="I594" s="22" t="s">
        <v>32</v>
      </c>
      <c r="J594" s="20">
        <f t="shared" si="29"/>
        <v>45608.67489</v>
      </c>
      <c r="K594" s="27" t="s">
        <v>65</v>
      </c>
      <c r="L594" s="27" t="s">
        <v>32</v>
      </c>
      <c r="M594" s="20">
        <f t="shared" si="30"/>
        <v>45614.60986</v>
      </c>
      <c r="N594" s="8" t="str">
        <f t="shared" si="3"/>
        <v>SELESAI</v>
      </c>
      <c r="O594" s="23">
        <f t="shared" si="22"/>
        <v>45614.60986</v>
      </c>
      <c r="P594" s="24" t="b">
        <v>1</v>
      </c>
      <c r="Q594" s="20">
        <f t="shared" si="5"/>
        <v>45611.64616</v>
      </c>
      <c r="R594" s="24" t="b">
        <v>0</v>
      </c>
      <c r="S594" s="7" t="str">
        <f t="shared" si="6"/>
        <v/>
      </c>
      <c r="T594" s="7"/>
    </row>
    <row r="595" ht="22.5" hidden="1" customHeight="1">
      <c r="B595" s="7">
        <f t="shared" si="7"/>
        <v>589</v>
      </c>
      <c r="C595" s="18" t="s">
        <v>576</v>
      </c>
      <c r="D595" s="19" t="str">
        <f t="array" ref="D595">IFNA(_xlfn.XLOOKUP(C595,Table_Tarikan_Warkah[Nomor Sertipikat],Table_Tarikan_Warkah[Nomor Tiket]),"")</f>
        <v>K/10/081124/1</v>
      </c>
      <c r="E595" s="20">
        <f t="array" ref="E595">IFNA(_xlfn.XLOOKUP(D595,Table_Tarikan_Warkah[Nomor Tiket],Table_Tarikan_Warkah[Tanggal diserahkan kepada Validator]),"")</f>
        <v>45607.63482</v>
      </c>
      <c r="F595" s="20" t="str">
        <f t="array" ref="F595">IFNA(_xlfn.XLOOKUP(D595,Table_Tarikan_Warkah[Nomor Tiket],Table_Tarikan_Warkah[Nama Petugas Warkah]),"")</f>
        <v>David</v>
      </c>
      <c r="G595" s="21" t="str">
        <f t="array" ref="G595">IFNA(_xlfn.XLOOKUP(D595,Table_Tarikan_Warkah[Nomor Tiket],Table_Tarikan_Warkah[Jenis Permohonan]),"")</f>
        <v>ROYA</v>
      </c>
      <c r="H595" s="22" t="s">
        <v>31</v>
      </c>
      <c r="I595" s="22" t="s">
        <v>32</v>
      </c>
      <c r="J595" s="20">
        <f t="shared" si="29"/>
        <v>45608.675</v>
      </c>
      <c r="K595" s="27" t="s">
        <v>65</v>
      </c>
      <c r="L595" s="27" t="s">
        <v>32</v>
      </c>
      <c r="M595" s="20">
        <f t="shared" si="30"/>
        <v>45614.60988</v>
      </c>
      <c r="N595" s="8" t="str">
        <f t="shared" si="3"/>
        <v>SELESAI</v>
      </c>
      <c r="O595" s="23">
        <f t="shared" si="22"/>
        <v>45614.60988</v>
      </c>
      <c r="P595" s="24" t="b">
        <v>0</v>
      </c>
      <c r="Q595" s="20" t="str">
        <f t="shared" si="5"/>
        <v/>
      </c>
      <c r="R595" s="24" t="b">
        <v>1</v>
      </c>
      <c r="S595" s="20">
        <f t="shared" si="6"/>
        <v>45614.60999</v>
      </c>
      <c r="T595" s="7"/>
    </row>
    <row r="596" ht="22.5" hidden="1" customHeight="1">
      <c r="B596" s="7">
        <f t="shared" si="7"/>
        <v>590</v>
      </c>
      <c r="C596" s="18" t="s">
        <v>592</v>
      </c>
      <c r="D596" s="19" t="str">
        <f t="array" ref="D596">IFNA(_xlfn.XLOOKUP(C596,Table_Tarikan_Warkah[Nomor Sertipikat],Table_Tarikan_Warkah[Nomor Tiket]),"")</f>
        <v>K/37/221024/1</v>
      </c>
      <c r="E596" s="20" t="str">
        <f t="array" ref="E596">IFNA(_xlfn.XLOOKUP(D596,Table_Tarikan_Warkah[Nomor Tiket],Table_Tarikan_Warkah[Tanggal diserahkan kepada Validator]),"")</f>
        <v/>
      </c>
      <c r="F596" s="20" t="str">
        <f t="array" ref="F596">IFNA(_xlfn.XLOOKUP(D596,Table_Tarikan_Warkah[Nomor Tiket],Table_Tarikan_Warkah[Nama Petugas Warkah]),"")</f>
        <v/>
      </c>
      <c r="G596" s="21" t="str">
        <f t="array" ref="G596">IFNA(_xlfn.XLOOKUP(D596,Table_Tarikan_Warkah[Nomor Tiket],Table_Tarikan_Warkah[Jenis Permohonan]),"")</f>
        <v>BN Hibah</v>
      </c>
      <c r="H596" s="22" t="s">
        <v>31</v>
      </c>
      <c r="I596" s="22" t="s">
        <v>32</v>
      </c>
      <c r="J596" s="20">
        <f t="shared" si="29"/>
        <v>45608.67513</v>
      </c>
      <c r="K596" s="27" t="s">
        <v>33</v>
      </c>
      <c r="L596" s="27" t="s">
        <v>187</v>
      </c>
      <c r="M596" s="20">
        <f t="shared" si="30"/>
        <v>45609.52932</v>
      </c>
      <c r="N596" s="8" t="str">
        <f t="shared" si="3"/>
        <v>Selesai</v>
      </c>
      <c r="O596" s="23">
        <f t="shared" si="22"/>
        <v>45609.52932</v>
      </c>
      <c r="P596" s="24" t="b">
        <v>1</v>
      </c>
      <c r="Q596" s="20">
        <f t="shared" si="5"/>
        <v>45609.52932</v>
      </c>
      <c r="R596" s="24" t="b">
        <v>1</v>
      </c>
      <c r="S596" s="20">
        <f t="shared" si="6"/>
        <v>45614.69084</v>
      </c>
      <c r="T596" s="7"/>
    </row>
    <row r="597" ht="22.5" hidden="1" customHeight="1">
      <c r="B597" s="7">
        <f t="shared" si="7"/>
        <v>591</v>
      </c>
      <c r="C597" s="18" t="s">
        <v>593</v>
      </c>
      <c r="D597" s="19" t="str">
        <f t="array" ref="D597">IFNA(_xlfn.XLOOKUP(C597,Table_Tarikan_Warkah[Nomor Sertipikat],Table_Tarikan_Warkah[Nomor Tiket]),"")</f>
        <v>K/20/281024/2</v>
      </c>
      <c r="E597" s="20" t="str">
        <f t="array" ref="E597">IFNA(_xlfn.XLOOKUP(D597,Table_Tarikan_Warkah[Nomor Tiket],Table_Tarikan_Warkah[Tanggal diserahkan kepada Validator]),"")</f>
        <v/>
      </c>
      <c r="F597" s="20" t="str">
        <f t="array" ref="F597">IFNA(_xlfn.XLOOKUP(D597,Table_Tarikan_Warkah[Nomor Tiket],Table_Tarikan_Warkah[Nama Petugas Warkah]),"")</f>
        <v>David</v>
      </c>
      <c r="G597" s="21" t="str">
        <f t="array" ref="G597">IFNA(_xlfn.XLOOKUP(D597,Table_Tarikan_Warkah[Nomor Tiket],Table_Tarikan_Warkah[Jenis Permohonan]),"")</f>
        <v>BN JUAL BELI</v>
      </c>
      <c r="H597" s="22" t="s">
        <v>31</v>
      </c>
      <c r="I597" s="22" t="s">
        <v>32</v>
      </c>
      <c r="J597" s="20">
        <f t="shared" si="29"/>
        <v>45608.67527</v>
      </c>
      <c r="K597" s="27" t="s">
        <v>33</v>
      </c>
      <c r="L597" s="27" t="s">
        <v>187</v>
      </c>
      <c r="M597" s="20">
        <f t="shared" si="30"/>
        <v>45609.52932</v>
      </c>
      <c r="N597" s="8" t="str">
        <f t="shared" si="3"/>
        <v>Selesai</v>
      </c>
      <c r="O597" s="23">
        <f t="shared" si="22"/>
        <v>45609.52932</v>
      </c>
      <c r="P597" s="24" t="b">
        <v>1</v>
      </c>
      <c r="Q597" s="20">
        <f t="shared" si="5"/>
        <v>45609.52932</v>
      </c>
      <c r="R597" s="24" t="b">
        <v>0</v>
      </c>
      <c r="S597" s="7" t="str">
        <f t="shared" si="6"/>
        <v/>
      </c>
      <c r="T597" s="7"/>
    </row>
    <row r="598" ht="22.5" hidden="1" customHeight="1">
      <c r="B598" s="7">
        <f t="shared" si="7"/>
        <v>592</v>
      </c>
      <c r="C598" s="18" t="s">
        <v>594</v>
      </c>
      <c r="D598" s="19" t="str">
        <f t="array" ref="D598">IFNA(_xlfn.XLOOKUP(C598,Table_Tarikan_Warkah[Nomor Sertipikat],Table_Tarikan_Warkah[Nomor Tiket]),"")</f>
        <v>K/19/011124/2</v>
      </c>
      <c r="E598" s="20" t="str">
        <f t="array" ref="E598">IFNA(_xlfn.XLOOKUP(D598,Table_Tarikan_Warkah[Nomor Tiket],Table_Tarikan_Warkah[Tanggal diserahkan kepada Validator]),"")</f>
        <v/>
      </c>
      <c r="F598" s="20" t="str">
        <f t="array" ref="F598">IFNA(_xlfn.XLOOKUP(D598,Table_Tarikan_Warkah[Nomor Tiket],Table_Tarikan_Warkah[Nama Petugas Warkah]),"")</f>
        <v>Berry</v>
      </c>
      <c r="G598" s="21" t="str">
        <f t="array" ref="G598">IFNA(_xlfn.XLOOKUP(D598,Table_Tarikan_Warkah[Nomor Tiket],Table_Tarikan_Warkah[Jenis Permohonan]),"")</f>
        <v>BN JUAL BELI</v>
      </c>
      <c r="H598" s="22" t="s">
        <v>31</v>
      </c>
      <c r="I598" s="22" t="s">
        <v>32</v>
      </c>
      <c r="J598" s="20">
        <f t="shared" si="29"/>
        <v>45608.67536</v>
      </c>
      <c r="K598" s="27" t="s">
        <v>33</v>
      </c>
      <c r="L598" s="27" t="s">
        <v>187</v>
      </c>
      <c r="M598" s="20">
        <f t="shared" si="30"/>
        <v>45609.52932</v>
      </c>
      <c r="N598" s="8" t="str">
        <f t="shared" si="3"/>
        <v>Selesai</v>
      </c>
      <c r="O598" s="23">
        <f t="shared" si="22"/>
        <v>45609.52932</v>
      </c>
      <c r="P598" s="24" t="b">
        <v>1</v>
      </c>
      <c r="Q598" s="20">
        <f t="shared" si="5"/>
        <v>45609.52932</v>
      </c>
      <c r="R598" s="24" t="b">
        <v>0</v>
      </c>
      <c r="S598" s="7" t="str">
        <f t="shared" si="6"/>
        <v/>
      </c>
      <c r="T598" s="7"/>
    </row>
    <row r="599" ht="22.5" hidden="1" customHeight="1">
      <c r="B599" s="7">
        <f t="shared" si="7"/>
        <v>593</v>
      </c>
      <c r="C599" s="18" t="s">
        <v>595</v>
      </c>
      <c r="D599" s="19" t="str">
        <f t="array" ref="D599">IFNA(_xlfn.XLOOKUP(C599,Table_Tarikan_Warkah[Nomor Sertipikat],Table_Tarikan_Warkah[Nomor Tiket]),"")</f>
        <v>K/37/281024/1</v>
      </c>
      <c r="E599" s="20" t="str">
        <f t="array" ref="E599">IFNA(_xlfn.XLOOKUP(D599,Table_Tarikan_Warkah[Nomor Tiket],Table_Tarikan_Warkah[Tanggal diserahkan kepada Validator]),"")</f>
        <v/>
      </c>
      <c r="F599" s="20" t="str">
        <f t="array" ref="F599">IFNA(_xlfn.XLOOKUP(D599,Table_Tarikan_Warkah[Nomor Tiket],Table_Tarikan_Warkah[Nama Petugas Warkah]),"")</f>
        <v>Berry</v>
      </c>
      <c r="G599" s="21" t="str">
        <f t="array" ref="G599">IFNA(_xlfn.XLOOKUP(D599,Table_Tarikan_Warkah[Nomor Tiket],Table_Tarikan_Warkah[Jenis Permohonan]),"")</f>
        <v>BN JUAL BELI</v>
      </c>
      <c r="H599" s="22" t="s">
        <v>31</v>
      </c>
      <c r="I599" s="22" t="s">
        <v>32</v>
      </c>
      <c r="J599" s="20">
        <f t="shared" si="29"/>
        <v>45608.67548</v>
      </c>
      <c r="K599" s="27" t="s">
        <v>33</v>
      </c>
      <c r="L599" s="27" t="s">
        <v>187</v>
      </c>
      <c r="M599" s="20">
        <f t="shared" si="30"/>
        <v>45609.52932</v>
      </c>
      <c r="N599" s="8" t="str">
        <f t="shared" si="3"/>
        <v>Selesai</v>
      </c>
      <c r="O599" s="23">
        <f t="shared" si="22"/>
        <v>45609.52932</v>
      </c>
      <c r="P599" s="24" t="b">
        <v>1</v>
      </c>
      <c r="Q599" s="20">
        <f t="shared" si="5"/>
        <v>45609.52932</v>
      </c>
      <c r="R599" s="24" t="b">
        <v>1</v>
      </c>
      <c r="S599" s="20">
        <f t="shared" si="6"/>
        <v>45614.69063</v>
      </c>
      <c r="T599" s="7"/>
    </row>
    <row r="600" ht="22.5" hidden="1" customHeight="1">
      <c r="B600" s="7">
        <f t="shared" si="7"/>
        <v>594</v>
      </c>
      <c r="C600" s="18" t="s">
        <v>596</v>
      </c>
      <c r="D600" s="19" t="str">
        <f t="array" ref="D600">IFNA(_xlfn.XLOOKUP(C600,Table_Tarikan_Warkah[Nomor Sertipikat],Table_Tarikan_Warkah[Nomor Tiket]),"")</f>
        <v>K/2/081124/2</v>
      </c>
      <c r="E600" s="20" t="str">
        <f t="array" ref="E600">IFNA(_xlfn.XLOOKUP(D600,Table_Tarikan_Warkah[Nomor Tiket],Table_Tarikan_Warkah[Tanggal diserahkan kepada Validator]),"")</f>
        <v/>
      </c>
      <c r="F600" s="20" t="str">
        <f t="array" ref="F600">IFNA(_xlfn.XLOOKUP(D600,Table_Tarikan_Warkah[Nomor Tiket],Table_Tarikan_Warkah[Nama Petugas Warkah]),"")</f>
        <v>David</v>
      </c>
      <c r="G600" s="21" t="str">
        <f t="array" ref="G600">IFNA(_xlfn.XLOOKUP(D600,Table_Tarikan_Warkah[Nomor Tiket],Table_Tarikan_Warkah[Jenis Permohonan]),"")</f>
        <v>HIBAH</v>
      </c>
      <c r="H600" s="22" t="s">
        <v>31</v>
      </c>
      <c r="I600" s="22" t="s">
        <v>32</v>
      </c>
      <c r="J600" s="20">
        <f t="shared" si="29"/>
        <v>45608.67586</v>
      </c>
      <c r="K600" s="27" t="s">
        <v>33</v>
      </c>
      <c r="L600" s="27" t="s">
        <v>187</v>
      </c>
      <c r="M600" s="20">
        <f t="shared" si="30"/>
        <v>45609.52932</v>
      </c>
      <c r="N600" s="8" t="str">
        <f t="shared" si="3"/>
        <v>Selesai</v>
      </c>
      <c r="O600" s="23">
        <f t="shared" si="22"/>
        <v>45609.52932</v>
      </c>
      <c r="P600" s="24" t="b">
        <v>1</v>
      </c>
      <c r="Q600" s="20">
        <f t="shared" si="5"/>
        <v>45609.52932</v>
      </c>
      <c r="R600" s="24" t="b">
        <v>0</v>
      </c>
      <c r="S600" s="7" t="str">
        <f t="shared" si="6"/>
        <v/>
      </c>
      <c r="T600" s="7"/>
    </row>
    <row r="601" ht="22.5" hidden="1" customHeight="1">
      <c r="B601" s="7">
        <f t="shared" si="7"/>
        <v>595</v>
      </c>
      <c r="C601" s="18" t="s">
        <v>597</v>
      </c>
      <c r="D601" s="19" t="str">
        <f t="array" ref="D601">IFNA(_xlfn.XLOOKUP(C601,Table_Tarikan_Warkah[Nomor Sertipikat],Table_Tarikan_Warkah[Nomor Tiket]),"")</f>
        <v>K/3/061124/2</v>
      </c>
      <c r="E601" s="20" t="str">
        <f t="array" ref="E601">IFNA(_xlfn.XLOOKUP(D601,Table_Tarikan_Warkah[Nomor Tiket],Table_Tarikan_Warkah[Tanggal diserahkan kepada Validator]),"")</f>
        <v/>
      </c>
      <c r="F601" s="20" t="str">
        <f t="array" ref="F601">IFNA(_xlfn.XLOOKUP(D601,Table_Tarikan_Warkah[Nomor Tiket],Table_Tarikan_Warkah[Nama Petugas Warkah]),"")</f>
        <v/>
      </c>
      <c r="G601" s="21" t="str">
        <f t="array" ref="G601">IFNA(_xlfn.XLOOKUP(D601,Table_Tarikan_Warkah[Nomor Tiket],Table_Tarikan_Warkah[Jenis Permohonan]),"")</f>
        <v>PENGUKURAN ULANG</v>
      </c>
      <c r="H601" s="22" t="s">
        <v>31</v>
      </c>
      <c r="I601" s="22" t="s">
        <v>32</v>
      </c>
      <c r="J601" s="20">
        <f t="shared" si="29"/>
        <v>45608.67596</v>
      </c>
      <c r="K601" s="27" t="s">
        <v>33</v>
      </c>
      <c r="L601" s="27" t="s">
        <v>187</v>
      </c>
      <c r="M601" s="20">
        <f t="shared" si="30"/>
        <v>45609.52932</v>
      </c>
      <c r="N601" s="8" t="str">
        <f t="shared" si="3"/>
        <v>Selesai</v>
      </c>
      <c r="O601" s="23">
        <f t="shared" si="22"/>
        <v>45609.52932</v>
      </c>
      <c r="P601" s="24" t="b">
        <v>1</v>
      </c>
      <c r="Q601" s="20">
        <f t="shared" si="5"/>
        <v>45609.52932</v>
      </c>
      <c r="R601" s="24" t="b">
        <v>0</v>
      </c>
      <c r="S601" s="7" t="str">
        <f t="shared" si="6"/>
        <v/>
      </c>
      <c r="T601" s="7"/>
    </row>
    <row r="602" ht="22.5" hidden="1" customHeight="1">
      <c r="B602" s="7">
        <f t="shared" si="7"/>
        <v>596</v>
      </c>
      <c r="C602" s="18" t="s">
        <v>598</v>
      </c>
      <c r="D602" s="19" t="str">
        <f t="array" ref="D602">IFNA(_xlfn.XLOOKUP(C602,Table_Tarikan_Warkah[Nomor Sertipikat],Table_Tarikan_Warkah[Nomor Tiket]),"")</f>
        <v>K/55/051124/1</v>
      </c>
      <c r="E602" s="20" t="str">
        <f t="array" ref="E602">IFNA(_xlfn.XLOOKUP(D602,Table_Tarikan_Warkah[Nomor Tiket],Table_Tarikan_Warkah[Tanggal diserahkan kepada Validator]),"")</f>
        <v/>
      </c>
      <c r="F602" s="20" t="str">
        <f t="array" ref="F602">IFNA(_xlfn.XLOOKUP(D602,Table_Tarikan_Warkah[Nomor Tiket],Table_Tarikan_Warkah[Nama Petugas Warkah]),"")</f>
        <v>Berry</v>
      </c>
      <c r="G602" s="21" t="str">
        <f t="array" ref="G602">IFNA(_xlfn.XLOOKUP(D602,Table_Tarikan_Warkah[Nomor Tiket],Table_Tarikan_Warkah[Jenis Permohonan]),"")</f>
        <v>BN JUAL BELI</v>
      </c>
      <c r="H602" s="22" t="s">
        <v>31</v>
      </c>
      <c r="I602" s="22" t="s">
        <v>32</v>
      </c>
      <c r="J602" s="20">
        <f t="shared" si="29"/>
        <v>45608.67606</v>
      </c>
      <c r="K602" s="27" t="s">
        <v>33</v>
      </c>
      <c r="L602" s="27" t="s">
        <v>187</v>
      </c>
      <c r="M602" s="20">
        <f t="shared" si="30"/>
        <v>45609.52932</v>
      </c>
      <c r="N602" s="8" t="str">
        <f t="shared" si="3"/>
        <v>Selesai</v>
      </c>
      <c r="O602" s="23">
        <f t="shared" si="22"/>
        <v>45609.52932</v>
      </c>
      <c r="P602" s="24" t="b">
        <v>1</v>
      </c>
      <c r="Q602" s="20">
        <f t="shared" si="5"/>
        <v>45609.52932</v>
      </c>
      <c r="R602" s="24" t="b">
        <v>1</v>
      </c>
      <c r="S602" s="20">
        <f t="shared" si="6"/>
        <v>45614.69073</v>
      </c>
      <c r="T602" s="7"/>
    </row>
    <row r="603" ht="22.5" hidden="1" customHeight="1">
      <c r="B603" s="7">
        <f t="shared" si="7"/>
        <v>597</v>
      </c>
      <c r="C603" s="18" t="s">
        <v>599</v>
      </c>
      <c r="D603" s="19" t="str">
        <f t="array" ref="D603">IFNA(_xlfn.XLOOKUP(C603,Table_Tarikan_Warkah[Nomor Sertipikat],Table_Tarikan_Warkah[Nomor Tiket]),"")</f>
        <v>K/58/311024/2</v>
      </c>
      <c r="E603" s="20" t="str">
        <f t="array" ref="E603">IFNA(_xlfn.XLOOKUP(D603,Table_Tarikan_Warkah[Nomor Tiket],Table_Tarikan_Warkah[Tanggal diserahkan kepada Validator]),"")</f>
        <v/>
      </c>
      <c r="F603" s="20" t="str">
        <f t="array" ref="F603">IFNA(_xlfn.XLOOKUP(D603,Table_Tarikan_Warkah[Nomor Tiket],Table_Tarikan_Warkah[Nama Petugas Warkah]),"")</f>
        <v>David</v>
      </c>
      <c r="G603" s="21" t="str">
        <f t="array" ref="G603">IFNA(_xlfn.XLOOKUP(D603,Table_Tarikan_Warkah[Nomor Tiket],Table_Tarikan_Warkah[Jenis Permohonan]),"")</f>
        <v>BN JUAL BELI</v>
      </c>
      <c r="H603" s="22" t="s">
        <v>31</v>
      </c>
      <c r="I603" s="22" t="s">
        <v>32</v>
      </c>
      <c r="J603" s="20">
        <f t="shared" si="29"/>
        <v>45608.67617</v>
      </c>
      <c r="K603" s="27" t="s">
        <v>33</v>
      </c>
      <c r="L603" s="27" t="s">
        <v>187</v>
      </c>
      <c r="M603" s="20">
        <f t="shared" si="30"/>
        <v>45609.52932</v>
      </c>
      <c r="N603" s="8" t="str">
        <f t="shared" si="3"/>
        <v>Selesai</v>
      </c>
      <c r="O603" s="23">
        <f t="shared" si="22"/>
        <v>45609.52932</v>
      </c>
      <c r="P603" s="24" t="b">
        <v>1</v>
      </c>
      <c r="Q603" s="20">
        <f t="shared" si="5"/>
        <v>45609.52932</v>
      </c>
      <c r="R603" s="24" t="b">
        <v>0</v>
      </c>
      <c r="S603" s="7" t="str">
        <f t="shared" si="6"/>
        <v/>
      </c>
      <c r="T603" s="7"/>
    </row>
    <row r="604" ht="22.5" hidden="1" customHeight="1">
      <c r="B604" s="7">
        <f t="shared" si="7"/>
        <v>598</v>
      </c>
      <c r="C604" s="18" t="s">
        <v>600</v>
      </c>
      <c r="D604" s="19" t="str">
        <f t="array" ref="D604">IFNA(_xlfn.XLOOKUP(C604,Table_Tarikan_Warkah[Nomor Sertipikat],Table_Tarikan_Warkah[Nomor Tiket]),"")</f>
        <v>K/1/081124/1</v>
      </c>
      <c r="E604" s="20" t="str">
        <f t="array" ref="E604">IFNA(_xlfn.XLOOKUP(D604,Table_Tarikan_Warkah[Nomor Tiket],Table_Tarikan_Warkah[Tanggal diserahkan kepada Validator]),"")</f>
        <v/>
      </c>
      <c r="F604" s="20" t="str">
        <f t="array" ref="F604">IFNA(_xlfn.XLOOKUP(D604,Table_Tarikan_Warkah[Nomor Tiket],Table_Tarikan_Warkah[Nama Petugas Warkah]),"")</f>
        <v>David</v>
      </c>
      <c r="G604" s="21" t="str">
        <f t="array" ref="G604">IFNA(_xlfn.XLOOKUP(D604,Table_Tarikan_Warkah[Nomor Tiket],Table_Tarikan_Warkah[Jenis Permohonan]),"")</f>
        <v>BN JUAL BELI</v>
      </c>
      <c r="H604" s="22" t="s">
        <v>31</v>
      </c>
      <c r="I604" s="22" t="s">
        <v>32</v>
      </c>
      <c r="J604" s="20">
        <f t="shared" si="29"/>
        <v>45608.67628</v>
      </c>
      <c r="K604" s="27" t="s">
        <v>33</v>
      </c>
      <c r="L604" s="27" t="s">
        <v>187</v>
      </c>
      <c r="M604" s="20">
        <f t="shared" si="30"/>
        <v>45609.52932</v>
      </c>
      <c r="N604" s="8" t="str">
        <f t="shared" si="3"/>
        <v>Selesai</v>
      </c>
      <c r="O604" s="23">
        <f t="shared" si="22"/>
        <v>45609.52932</v>
      </c>
      <c r="P604" s="24" t="b">
        <v>1</v>
      </c>
      <c r="Q604" s="20">
        <f t="shared" si="5"/>
        <v>45609.52932</v>
      </c>
      <c r="R604" s="24" t="b">
        <v>0</v>
      </c>
      <c r="S604" s="7" t="str">
        <f t="shared" si="6"/>
        <v/>
      </c>
      <c r="T604" s="7"/>
    </row>
    <row r="605" ht="22.5" hidden="1" customHeight="1">
      <c r="B605" s="7">
        <f t="shared" si="7"/>
        <v>599</v>
      </c>
      <c r="C605" s="18" t="s">
        <v>585</v>
      </c>
      <c r="D605" s="19" t="str">
        <f t="array" ref="D605">IFNA(_xlfn.XLOOKUP(C605,Table_Tarikan_Warkah[Nomor Sertipikat],Table_Tarikan_Warkah[Nomor Tiket]),"")</f>
        <v>K/36/081124/1</v>
      </c>
      <c r="E605" s="20">
        <f t="array" ref="E605">IFNA(_xlfn.XLOOKUP(D605,Table_Tarikan_Warkah[Nomor Tiket],Table_Tarikan_Warkah[Tanggal diserahkan kepada Validator]),"")</f>
        <v>45607.64261</v>
      </c>
      <c r="F605" s="20" t="str">
        <f t="array" ref="F605">IFNA(_xlfn.XLOOKUP(D605,Table_Tarikan_Warkah[Nomor Tiket],Table_Tarikan_Warkah[Nama Petugas Warkah]),"")</f>
        <v>Berry</v>
      </c>
      <c r="G605" s="21" t="str">
        <f t="array" ref="G605">IFNA(_xlfn.XLOOKUP(D605,Table_Tarikan_Warkah[Nomor Tiket],Table_Tarikan_Warkah[Jenis Permohonan]),"")</f>
        <v>BN JUAL BELI</v>
      </c>
      <c r="H605" s="22" t="s">
        <v>31</v>
      </c>
      <c r="I605" s="22" t="s">
        <v>32</v>
      </c>
      <c r="J605" s="20">
        <f t="shared" si="29"/>
        <v>45608.67643</v>
      </c>
      <c r="K605" s="27" t="s">
        <v>33</v>
      </c>
      <c r="L605" s="27" t="s">
        <v>187</v>
      </c>
      <c r="M605" s="20">
        <f t="shared" si="30"/>
        <v>45609.52932</v>
      </c>
      <c r="N605" s="8" t="str">
        <f t="shared" si="3"/>
        <v>Selesai</v>
      </c>
      <c r="O605" s="23">
        <f t="shared" si="22"/>
        <v>45609.52932</v>
      </c>
      <c r="P605" s="24" t="b">
        <v>1</v>
      </c>
      <c r="Q605" s="20">
        <f t="shared" si="5"/>
        <v>45609.52932</v>
      </c>
      <c r="R605" s="24" t="b">
        <v>0</v>
      </c>
      <c r="S605" s="7" t="str">
        <f t="shared" si="6"/>
        <v/>
      </c>
      <c r="T605" s="7"/>
    </row>
    <row r="606" ht="22.5" hidden="1" customHeight="1">
      <c r="B606" s="7">
        <f t="shared" si="7"/>
        <v>600</v>
      </c>
      <c r="C606" s="18" t="s">
        <v>580</v>
      </c>
      <c r="D606" s="19" t="str">
        <f t="array" ref="D606">IFNA(_xlfn.XLOOKUP(C606,Table_Tarikan_Warkah[Nomor Sertipikat],Table_Tarikan_Warkah[Nomor Tiket]),"")</f>
        <v>K/51/081124/1</v>
      </c>
      <c r="E606" s="20">
        <f t="array" ref="E606">IFNA(_xlfn.XLOOKUP(D606,Table_Tarikan_Warkah[Nomor Tiket],Table_Tarikan_Warkah[Tanggal diserahkan kepada Validator]),"")</f>
        <v>45607.64484</v>
      </c>
      <c r="F606" s="20" t="str">
        <f t="array" ref="F606">IFNA(_xlfn.XLOOKUP(D606,Table_Tarikan_Warkah[Nomor Tiket],Table_Tarikan_Warkah[Nama Petugas Warkah]),"")</f>
        <v>Berry</v>
      </c>
      <c r="G606" s="21" t="str">
        <f t="array" ref="G606">IFNA(_xlfn.XLOOKUP(D606,Table_Tarikan_Warkah[Nomor Tiket],Table_Tarikan_Warkah[Jenis Permohonan]),"")</f>
        <v>BN HIBAH</v>
      </c>
      <c r="H606" s="22" t="s">
        <v>31</v>
      </c>
      <c r="I606" s="22" t="s">
        <v>32</v>
      </c>
      <c r="J606" s="20">
        <f t="shared" si="29"/>
        <v>45608.67653</v>
      </c>
      <c r="K606" s="27" t="s">
        <v>33</v>
      </c>
      <c r="L606" s="27" t="s">
        <v>187</v>
      </c>
      <c r="M606" s="20">
        <f t="shared" si="30"/>
        <v>45609.48724</v>
      </c>
      <c r="N606" s="8" t="str">
        <f t="shared" si="3"/>
        <v>Selesai</v>
      </c>
      <c r="O606" s="23">
        <f t="shared" si="22"/>
        <v>45609.48724</v>
      </c>
      <c r="P606" s="24" t="b">
        <v>1</v>
      </c>
      <c r="Q606" s="20">
        <f t="shared" si="5"/>
        <v>45614.60892</v>
      </c>
      <c r="R606" s="24" t="b">
        <v>0</v>
      </c>
      <c r="S606" s="7" t="str">
        <f t="shared" si="6"/>
        <v/>
      </c>
      <c r="T606" s="7"/>
    </row>
    <row r="607" ht="22.5" hidden="1" customHeight="1">
      <c r="B607" s="7">
        <f t="shared" si="7"/>
        <v>601</v>
      </c>
      <c r="C607" s="18" t="s">
        <v>601</v>
      </c>
      <c r="D607" s="19" t="str">
        <f t="array" ref="D607">IFNA(_xlfn.XLOOKUP(C607,Table_Tarikan_Warkah[Nomor Sertipikat],Table_Tarikan_Warkah[Nomor Tiket]),"")</f>
        <v>K/7/081124/1</v>
      </c>
      <c r="E607" s="20">
        <f t="array" ref="E607">IFNA(_xlfn.XLOOKUP(D607,Table_Tarikan_Warkah[Nomor Tiket],Table_Tarikan_Warkah[Tanggal diserahkan kepada Validator]),"")</f>
        <v>45607.63335</v>
      </c>
      <c r="F607" s="20" t="str">
        <f t="array" ref="F607">IFNA(_xlfn.XLOOKUP(D607,Table_Tarikan_Warkah[Nomor Tiket],Table_Tarikan_Warkah[Nama Petugas Warkah]),"")</f>
        <v>David</v>
      </c>
      <c r="G607" s="21" t="str">
        <f t="array" ref="G607">IFNA(_xlfn.XLOOKUP(D607,Table_Tarikan_Warkah[Nomor Tiket],Table_Tarikan_Warkah[Jenis Permohonan]),"")</f>
        <v>BN JUAL BELI</v>
      </c>
      <c r="H607" s="22" t="s">
        <v>37</v>
      </c>
      <c r="I607" s="22" t="s">
        <v>32</v>
      </c>
      <c r="J607" s="20">
        <f t="shared" si="29"/>
        <v>45608.71859</v>
      </c>
      <c r="K607" s="27" t="s">
        <v>65</v>
      </c>
      <c r="L607" s="27" t="s">
        <v>32</v>
      </c>
      <c r="M607" s="20">
        <f t="shared" si="30"/>
        <v>45611.63251</v>
      </c>
      <c r="N607" s="8" t="str">
        <f t="shared" si="3"/>
        <v>SELESAI</v>
      </c>
      <c r="O607" s="23">
        <f t="shared" si="22"/>
        <v>45611.63251</v>
      </c>
      <c r="P607" s="24" t="b">
        <v>0</v>
      </c>
      <c r="Q607" s="20" t="str">
        <f t="shared" si="5"/>
        <v/>
      </c>
      <c r="R607" s="24" t="b">
        <v>1</v>
      </c>
      <c r="S607" s="20">
        <f t="shared" si="6"/>
        <v>45614.60895</v>
      </c>
      <c r="T607" s="7"/>
    </row>
    <row r="608" ht="22.5" hidden="1" customHeight="1">
      <c r="B608" s="7">
        <f t="shared" si="7"/>
        <v>602</v>
      </c>
      <c r="C608" s="18" t="s">
        <v>602</v>
      </c>
      <c r="D608" s="19" t="str">
        <f t="array" ref="D608">IFNA(_xlfn.XLOOKUP(C608,Table_Tarikan_Warkah[Nomor Sertipikat],Table_Tarikan_Warkah[Nomor Tiket]),"")</f>
        <v>L/17/081124/1</v>
      </c>
      <c r="E608" s="20">
        <f t="array" ref="E608">IFNA(_xlfn.XLOOKUP(D608,Table_Tarikan_Warkah[Nomor Tiket],Table_Tarikan_Warkah[Tanggal diserahkan kepada Validator]),"")</f>
        <v>45608.44742</v>
      </c>
      <c r="F608" s="20" t="str">
        <f t="array" ref="F608">IFNA(_xlfn.XLOOKUP(D608,Table_Tarikan_Warkah[Nomor Tiket],Table_Tarikan_Warkah[Nama Petugas Warkah]),"")</f>
        <v>David</v>
      </c>
      <c r="G608" s="21" t="str">
        <f t="array" ref="G608">IFNA(_xlfn.XLOOKUP(D608,Table_Tarikan_Warkah[Nomor Tiket],Table_Tarikan_Warkah[Jenis Permohonan]),"")</f>
        <v>PENATAAN BATAS</v>
      </c>
      <c r="H608" s="22" t="s">
        <v>37</v>
      </c>
      <c r="I608" s="22" t="s">
        <v>32</v>
      </c>
      <c r="J608" s="20">
        <f t="shared" si="29"/>
        <v>45608.71888</v>
      </c>
      <c r="K608" s="27" t="s">
        <v>65</v>
      </c>
      <c r="L608" s="27" t="s">
        <v>32</v>
      </c>
      <c r="M608" s="20">
        <f t="shared" si="30"/>
        <v>45611.63256</v>
      </c>
      <c r="N608" s="8" t="str">
        <f t="shared" si="3"/>
        <v>SELESAI</v>
      </c>
      <c r="O608" s="23">
        <f t="shared" si="22"/>
        <v>45611.63256</v>
      </c>
      <c r="P608" s="24" t="b">
        <v>0</v>
      </c>
      <c r="Q608" s="20" t="str">
        <f t="shared" si="5"/>
        <v/>
      </c>
      <c r="R608" s="24" t="b">
        <v>1</v>
      </c>
      <c r="S608" s="20">
        <f t="shared" si="6"/>
        <v>45614.60896</v>
      </c>
      <c r="T608" s="7"/>
    </row>
    <row r="609" ht="22.5" hidden="1" customHeight="1">
      <c r="B609" s="7">
        <f t="shared" si="7"/>
        <v>603</v>
      </c>
      <c r="C609" s="18" t="s">
        <v>603</v>
      </c>
      <c r="D609" s="19" t="str">
        <f t="array" ref="D609">IFNA(_xlfn.XLOOKUP(C609,Table_Tarikan_Warkah[Nomor Sertipikat],Table_Tarikan_Warkah[Nomor Tiket]),"")</f>
        <v>K/9/111124/1</v>
      </c>
      <c r="E609" s="20">
        <f t="array" ref="E609">IFNA(_xlfn.XLOOKUP(D609,Table_Tarikan_Warkah[Nomor Tiket],Table_Tarikan_Warkah[Tanggal diserahkan kepada Validator]),"")</f>
        <v>45608.44109</v>
      </c>
      <c r="F609" s="20" t="str">
        <f t="array" ref="F609">IFNA(_xlfn.XLOOKUP(D609,Table_Tarikan_Warkah[Nomor Tiket],Table_Tarikan_Warkah[Nama Petugas Warkah]),"")</f>
        <v>Berry</v>
      </c>
      <c r="G609" s="21" t="str">
        <f t="array" ref="G609">IFNA(_xlfn.XLOOKUP(D609,Table_Tarikan_Warkah[Nomor Tiket],Table_Tarikan_Warkah[Jenis Permohonan]),"")</f>
        <v>BN LELANG</v>
      </c>
      <c r="H609" s="22" t="s">
        <v>37</v>
      </c>
      <c r="I609" s="22" t="s">
        <v>32</v>
      </c>
      <c r="J609" s="20">
        <f t="shared" si="29"/>
        <v>45608.71926</v>
      </c>
      <c r="K609" s="27" t="s">
        <v>65</v>
      </c>
      <c r="L609" s="27" t="s">
        <v>32</v>
      </c>
      <c r="M609" s="20">
        <f t="shared" si="30"/>
        <v>45611.63307</v>
      </c>
      <c r="N609" s="8" t="str">
        <f t="shared" si="3"/>
        <v>SELESAI</v>
      </c>
      <c r="O609" s="23">
        <f t="shared" si="22"/>
        <v>45611.63307</v>
      </c>
      <c r="P609" s="24" t="b">
        <v>0</v>
      </c>
      <c r="Q609" s="20" t="str">
        <f t="shared" si="5"/>
        <v/>
      </c>
      <c r="R609" s="24" t="b">
        <v>1</v>
      </c>
      <c r="S609" s="20">
        <f t="shared" si="6"/>
        <v>45614.60902</v>
      </c>
      <c r="T609" s="7"/>
    </row>
    <row r="610" ht="22.5" hidden="1" customHeight="1">
      <c r="B610" s="7">
        <f t="shared" si="7"/>
        <v>604</v>
      </c>
      <c r="C610" s="18" t="s">
        <v>604</v>
      </c>
      <c r="D610" s="19" t="str">
        <f t="array" ref="D610">IFNA(_xlfn.XLOOKUP(C610,Table_Tarikan_Warkah[Nomor Sertipikat],Table_Tarikan_Warkah[Nomor Tiket]),"")</f>
        <v>K/15/111124/1</v>
      </c>
      <c r="E610" s="20">
        <f t="array" ref="E610">IFNA(_xlfn.XLOOKUP(D610,Table_Tarikan_Warkah[Nomor Tiket],Table_Tarikan_Warkah[Tanggal diserahkan kepada Validator]),"")</f>
        <v>45608.44271</v>
      </c>
      <c r="F610" s="20" t="str">
        <f t="array" ref="F610">IFNA(_xlfn.XLOOKUP(D610,Table_Tarikan_Warkah[Nomor Tiket],Table_Tarikan_Warkah[Nama Petugas Warkah]),"")</f>
        <v>Berry</v>
      </c>
      <c r="G610" s="21" t="str">
        <f t="array" ref="G610">IFNA(_xlfn.XLOOKUP(D610,Table_Tarikan_Warkah[Nomor Tiket],Table_Tarikan_Warkah[Jenis Permohonan]),"")</f>
        <v>BN Jual Beli</v>
      </c>
      <c r="H610" s="22" t="s">
        <v>37</v>
      </c>
      <c r="I610" s="22" t="s">
        <v>32</v>
      </c>
      <c r="J610" s="20">
        <f t="shared" si="29"/>
        <v>45608.71934</v>
      </c>
      <c r="K610" s="27" t="s">
        <v>65</v>
      </c>
      <c r="L610" s="27" t="s">
        <v>32</v>
      </c>
      <c r="M610" s="20">
        <f t="shared" si="30"/>
        <v>45611.63307</v>
      </c>
      <c r="N610" s="8" t="str">
        <f t="shared" si="3"/>
        <v>SELESAI</v>
      </c>
      <c r="O610" s="23">
        <f t="shared" si="22"/>
        <v>45611.63307</v>
      </c>
      <c r="P610" s="24" t="b">
        <v>0</v>
      </c>
      <c r="Q610" s="20" t="str">
        <f t="shared" si="5"/>
        <v/>
      </c>
      <c r="R610" s="24" t="b">
        <v>1</v>
      </c>
      <c r="S610" s="20">
        <f t="shared" si="6"/>
        <v>45614.60903</v>
      </c>
      <c r="T610" s="7"/>
    </row>
    <row r="611" ht="22.5" hidden="1" customHeight="1">
      <c r="B611" s="7">
        <f t="shared" si="7"/>
        <v>605</v>
      </c>
      <c r="C611" s="18" t="s">
        <v>605</v>
      </c>
      <c r="D611" s="19" t="str">
        <f t="array" ref="D611">IFNA(_xlfn.XLOOKUP(C611,Table_Tarikan_Warkah[Nomor Sertipikat],Table_Tarikan_Warkah[Nomor Tiket]),"")</f>
        <v>K/18/111124/1</v>
      </c>
      <c r="E611" s="20">
        <f t="array" ref="E611">IFNA(_xlfn.XLOOKUP(D611,Table_Tarikan_Warkah[Nomor Tiket],Table_Tarikan_Warkah[Tanggal diserahkan kepada Validator]),"")</f>
        <v>45608.4431</v>
      </c>
      <c r="F611" s="20" t="str">
        <f t="array" ref="F611">IFNA(_xlfn.XLOOKUP(D611,Table_Tarikan_Warkah[Nomor Tiket],Table_Tarikan_Warkah[Nama Petugas Warkah]),"")</f>
        <v>Berry</v>
      </c>
      <c r="G611" s="21" t="str">
        <f t="array" ref="G611">IFNA(_xlfn.XLOOKUP(D611,Table_Tarikan_Warkah[Nomor Tiket],Table_Tarikan_Warkah[Jenis Permohonan]),"")</f>
        <v>BN HIBAH</v>
      </c>
      <c r="H611" s="22" t="s">
        <v>37</v>
      </c>
      <c r="I611" s="22" t="s">
        <v>32</v>
      </c>
      <c r="J611" s="20">
        <f t="shared" si="29"/>
        <v>45608.71943</v>
      </c>
      <c r="K611" s="27" t="s">
        <v>65</v>
      </c>
      <c r="L611" s="27" t="s">
        <v>32</v>
      </c>
      <c r="M611" s="20">
        <f t="shared" si="30"/>
        <v>45611.6331</v>
      </c>
      <c r="N611" s="8" t="str">
        <f t="shared" si="3"/>
        <v>SELESAI</v>
      </c>
      <c r="O611" s="23">
        <f t="shared" si="22"/>
        <v>45611.6331</v>
      </c>
      <c r="P611" s="24" t="b">
        <v>0</v>
      </c>
      <c r="Q611" s="20" t="str">
        <f t="shared" si="5"/>
        <v/>
      </c>
      <c r="R611" s="24" t="b">
        <v>1</v>
      </c>
      <c r="S611" s="20">
        <f t="shared" si="6"/>
        <v>45614.60904</v>
      </c>
      <c r="T611" s="7"/>
    </row>
    <row r="612" ht="22.5" hidden="1" customHeight="1">
      <c r="B612" s="7">
        <f t="shared" si="7"/>
        <v>606</v>
      </c>
      <c r="C612" s="18" t="s">
        <v>606</v>
      </c>
      <c r="D612" s="19" t="str">
        <f t="array" ref="D612">IFNA(_xlfn.XLOOKUP(C612,Table_Tarikan_Warkah[Nomor Sertipikat],Table_Tarikan_Warkah[Nomor Tiket]),"")</f>
        <v>K/19/111124/1</v>
      </c>
      <c r="E612" s="20">
        <f t="array" ref="E612">IFNA(_xlfn.XLOOKUP(D612,Table_Tarikan_Warkah[Nomor Tiket],Table_Tarikan_Warkah[Tanggal diserahkan kepada Validator]),"")</f>
        <v>45608.44332</v>
      </c>
      <c r="F612" s="20" t="str">
        <f t="array" ref="F612">IFNA(_xlfn.XLOOKUP(D612,Table_Tarikan_Warkah[Nomor Tiket],Table_Tarikan_Warkah[Nama Petugas Warkah]),"")</f>
        <v>Berry</v>
      </c>
      <c r="G612" s="21" t="str">
        <f t="array" ref="G612">IFNA(_xlfn.XLOOKUP(D612,Table_Tarikan_Warkah[Nomor Tiket],Table_Tarikan_Warkah[Jenis Permohonan]),"")</f>
        <v>BN Jual Beli</v>
      </c>
      <c r="H612" s="22" t="s">
        <v>37</v>
      </c>
      <c r="I612" s="22" t="s">
        <v>32</v>
      </c>
      <c r="J612" s="20">
        <f t="shared" si="29"/>
        <v>45608.71952</v>
      </c>
      <c r="K612" s="27" t="s">
        <v>65</v>
      </c>
      <c r="L612" s="27" t="s">
        <v>32</v>
      </c>
      <c r="M612" s="20">
        <f t="shared" si="30"/>
        <v>45611.6331</v>
      </c>
      <c r="N612" s="8" t="str">
        <f t="shared" si="3"/>
        <v>SELESAI</v>
      </c>
      <c r="O612" s="23">
        <f t="shared" si="22"/>
        <v>45611.6331</v>
      </c>
      <c r="P612" s="24" t="b">
        <v>0</v>
      </c>
      <c r="Q612" s="20" t="str">
        <f t="shared" si="5"/>
        <v/>
      </c>
      <c r="R612" s="24" t="b">
        <v>1</v>
      </c>
      <c r="S612" s="20">
        <f t="shared" si="6"/>
        <v>45614.60905</v>
      </c>
      <c r="T612" s="7"/>
    </row>
    <row r="613" ht="22.5" hidden="1" customHeight="1">
      <c r="B613" s="7">
        <f t="shared" si="7"/>
        <v>607</v>
      </c>
      <c r="C613" s="18" t="s">
        <v>607</v>
      </c>
      <c r="D613" s="19" t="str">
        <f t="array" ref="D613">IFNA(_xlfn.XLOOKUP(C613,Table_Tarikan_Warkah[Nomor Sertipikat],Table_Tarikan_Warkah[Nomor Tiket]),"")</f>
        <v>K/28/111124/1</v>
      </c>
      <c r="E613" s="20">
        <f t="array" ref="E613">IFNA(_xlfn.XLOOKUP(D613,Table_Tarikan_Warkah[Nomor Tiket],Table_Tarikan_Warkah[Tanggal diserahkan kepada Validator]),"")</f>
        <v>45608.44413</v>
      </c>
      <c r="F613" s="20" t="str">
        <f t="array" ref="F613">IFNA(_xlfn.XLOOKUP(D613,Table_Tarikan_Warkah[Nomor Tiket],Table_Tarikan_Warkah[Nama Petugas Warkah]),"")</f>
        <v>David</v>
      </c>
      <c r="G613" s="21" t="str">
        <f t="array" ref="G613">IFNA(_xlfn.XLOOKUP(D613,Table_Tarikan_Warkah[Nomor Tiket],Table_Tarikan_Warkah[Jenis Permohonan]),"")</f>
        <v>KEWARISAN</v>
      </c>
      <c r="H613" s="22" t="s">
        <v>37</v>
      </c>
      <c r="I613" s="22" t="s">
        <v>32</v>
      </c>
      <c r="J613" s="20">
        <f t="shared" si="29"/>
        <v>45608.71962</v>
      </c>
      <c r="K613" s="27" t="s">
        <v>65</v>
      </c>
      <c r="L613" s="27" t="s">
        <v>32</v>
      </c>
      <c r="M613" s="20">
        <f t="shared" si="30"/>
        <v>45611.63312</v>
      </c>
      <c r="N613" s="8" t="str">
        <f t="shared" si="3"/>
        <v>SELESAI</v>
      </c>
      <c r="O613" s="23">
        <f t="shared" si="22"/>
        <v>45611.63312</v>
      </c>
      <c r="P613" s="24" t="b">
        <v>0</v>
      </c>
      <c r="Q613" s="20" t="str">
        <f t="shared" si="5"/>
        <v/>
      </c>
      <c r="R613" s="24" t="b">
        <v>1</v>
      </c>
      <c r="S613" s="20">
        <f t="shared" si="6"/>
        <v>45614.60907</v>
      </c>
      <c r="T613" s="7"/>
    </row>
    <row r="614" ht="22.5" hidden="1" customHeight="1">
      <c r="B614" s="7">
        <f t="shared" si="7"/>
        <v>608</v>
      </c>
      <c r="C614" s="18" t="s">
        <v>608</v>
      </c>
      <c r="D614" s="19" t="str">
        <f t="array" ref="D614">IFNA(_xlfn.XLOOKUP(C614,Table_Tarikan_Warkah[Nomor Sertipikat],Table_Tarikan_Warkah[Nomor Tiket]),"")</f>
        <v>K/33/111124/1</v>
      </c>
      <c r="E614" s="20">
        <f t="array" ref="E614">IFNA(_xlfn.XLOOKUP(D614,Table_Tarikan_Warkah[Nomor Tiket],Table_Tarikan_Warkah[Tanggal diserahkan kepada Validator]),"")</f>
        <v>45608.44519</v>
      </c>
      <c r="F614" s="20" t="str">
        <f t="array" ref="F614">IFNA(_xlfn.XLOOKUP(D614,Table_Tarikan_Warkah[Nomor Tiket],Table_Tarikan_Warkah[Nama Petugas Warkah]),"")</f>
        <v>David</v>
      </c>
      <c r="G614" s="21" t="str">
        <f t="array" ref="G614">IFNA(_xlfn.XLOOKUP(D614,Table_Tarikan_Warkah[Nomor Tiket],Table_Tarikan_Warkah[Jenis Permohonan]),"")</f>
        <v>BN JUAL BELI</v>
      </c>
      <c r="H614" s="22" t="s">
        <v>37</v>
      </c>
      <c r="I614" s="22" t="s">
        <v>32</v>
      </c>
      <c r="J614" s="20">
        <f t="shared" si="29"/>
        <v>45608.7197</v>
      </c>
      <c r="K614" s="27" t="s">
        <v>65</v>
      </c>
      <c r="L614" s="27" t="s">
        <v>32</v>
      </c>
      <c r="M614" s="20">
        <f t="shared" si="30"/>
        <v>45611.63312</v>
      </c>
      <c r="N614" s="8" t="str">
        <f t="shared" si="3"/>
        <v>SELESAI</v>
      </c>
      <c r="O614" s="23">
        <f t="shared" si="22"/>
        <v>45611.63312</v>
      </c>
      <c r="P614" s="24" t="b">
        <v>0</v>
      </c>
      <c r="Q614" s="20" t="str">
        <f t="shared" si="5"/>
        <v/>
      </c>
      <c r="R614" s="24" t="b">
        <v>1</v>
      </c>
      <c r="S614" s="20">
        <f t="shared" si="6"/>
        <v>45614.60907</v>
      </c>
      <c r="T614" s="7"/>
    </row>
    <row r="615" ht="22.5" hidden="1" customHeight="1">
      <c r="B615" s="7">
        <f t="shared" si="7"/>
        <v>609</v>
      </c>
      <c r="C615" s="18" t="s">
        <v>609</v>
      </c>
      <c r="D615" s="19" t="str">
        <f t="array" ref="D615">IFNA(_xlfn.XLOOKUP(C615,Table_Tarikan_Warkah[Nomor Sertipikat],Table_Tarikan_Warkah[Nomor Tiket]),"")</f>
        <v>L/36/111124/1</v>
      </c>
      <c r="E615" s="20">
        <f t="array" ref="E615">IFNA(_xlfn.XLOOKUP(D615,Table_Tarikan_Warkah[Nomor Tiket],Table_Tarikan_Warkah[Tanggal diserahkan kepada Validator]),"")</f>
        <v>45608.44554</v>
      </c>
      <c r="F615" s="20" t="str">
        <f t="array" ref="F615">IFNA(_xlfn.XLOOKUP(D615,Table_Tarikan_Warkah[Nomor Tiket],Table_Tarikan_Warkah[Nama Petugas Warkah]),"")</f>
        <v>David</v>
      </c>
      <c r="G615" s="21" t="str">
        <f t="array" ref="G615">IFNA(_xlfn.XLOOKUP(D615,Table_Tarikan_Warkah[Nomor Tiket],Table_Tarikan_Warkah[Jenis Permohonan]),"")</f>
        <v>BN WARIS</v>
      </c>
      <c r="H615" s="22" t="s">
        <v>37</v>
      </c>
      <c r="I615" s="22" t="s">
        <v>32</v>
      </c>
      <c r="J615" s="20">
        <f t="shared" si="29"/>
        <v>45608.71984</v>
      </c>
      <c r="K615" s="27" t="s">
        <v>65</v>
      </c>
      <c r="L615" s="27" t="s">
        <v>32</v>
      </c>
      <c r="M615" s="20">
        <f t="shared" si="30"/>
        <v>45611.63314</v>
      </c>
      <c r="N615" s="8" t="str">
        <f t="shared" si="3"/>
        <v>SELESAI</v>
      </c>
      <c r="O615" s="23">
        <f t="shared" si="22"/>
        <v>45611.63314</v>
      </c>
      <c r="P615" s="24" t="b">
        <v>0</v>
      </c>
      <c r="Q615" s="20" t="str">
        <f t="shared" si="5"/>
        <v/>
      </c>
      <c r="R615" s="24" t="b">
        <v>1</v>
      </c>
      <c r="S615" s="20">
        <f t="shared" si="6"/>
        <v>45614.60909</v>
      </c>
      <c r="T615" s="7"/>
    </row>
    <row r="616" ht="22.5" hidden="1" customHeight="1">
      <c r="B616" s="7">
        <f t="shared" si="7"/>
        <v>610</v>
      </c>
      <c r="C616" s="18" t="s">
        <v>610</v>
      </c>
      <c r="D616" s="19" t="str">
        <f t="array" ref="D616">IFNA(_xlfn.XLOOKUP(C616,Table_Tarikan_Warkah[Nomor Sertipikat],Table_Tarikan_Warkah[Nomor Tiket]),"")</f>
        <v>L/3/081124/1</v>
      </c>
      <c r="E616" s="20">
        <f t="array" ref="E616">IFNA(_xlfn.XLOOKUP(D616,Table_Tarikan_Warkah[Nomor Tiket],Table_Tarikan_Warkah[Tanggal diserahkan kepada Validator]),"")</f>
        <v>45607.63207</v>
      </c>
      <c r="F616" s="20" t="str">
        <f t="array" ref="F616">IFNA(_xlfn.XLOOKUP(D616,Table_Tarikan_Warkah[Nomor Tiket],Table_Tarikan_Warkah[Nama Petugas Warkah]),"")</f>
        <v>David</v>
      </c>
      <c r="G616" s="21" t="str">
        <f t="array" ref="G616">IFNA(_xlfn.XLOOKUP(D616,Table_Tarikan_Warkah[Nomor Tiket],Table_Tarikan_Warkah[Jenis Permohonan]),"")</f>
        <v>SERTIPIKAT HILANG</v>
      </c>
      <c r="H616" s="22" t="s">
        <v>37</v>
      </c>
      <c r="I616" s="22" t="s">
        <v>32</v>
      </c>
      <c r="J616" s="20">
        <f t="shared" si="29"/>
        <v>45608.72</v>
      </c>
      <c r="K616" s="27" t="s">
        <v>65</v>
      </c>
      <c r="L616" s="27" t="s">
        <v>32</v>
      </c>
      <c r="M616" s="20">
        <f t="shared" si="30"/>
        <v>45611.63314</v>
      </c>
      <c r="N616" s="8" t="str">
        <f t="shared" si="3"/>
        <v>SELESAI</v>
      </c>
      <c r="O616" s="23">
        <f t="shared" si="22"/>
        <v>45611.63314</v>
      </c>
      <c r="P616" s="24" t="b">
        <v>0</v>
      </c>
      <c r="Q616" s="20" t="str">
        <f t="shared" si="5"/>
        <v/>
      </c>
      <c r="R616" s="24" t="b">
        <v>1</v>
      </c>
      <c r="S616" s="20">
        <f t="shared" si="6"/>
        <v>45614.6091</v>
      </c>
      <c r="T616" s="7"/>
    </row>
    <row r="617" ht="22.5" hidden="1" customHeight="1">
      <c r="B617" s="7">
        <f t="shared" si="7"/>
        <v>611</v>
      </c>
      <c r="C617" s="18" t="s">
        <v>611</v>
      </c>
      <c r="D617" s="19" t="str">
        <f t="array" ref="D617">IFNA(_xlfn.XLOOKUP(C617,Table_Tarikan_Warkah[Nomor Sertipikat],Table_Tarikan_Warkah[Nomor Tiket]),"")</f>
        <v>K/6/111124/2</v>
      </c>
      <c r="E617" s="20">
        <f t="array" ref="E617">IFNA(_xlfn.XLOOKUP(D617,Table_Tarikan_Warkah[Nomor Tiket],Table_Tarikan_Warkah[Tanggal diserahkan kepada Validator]),"")</f>
        <v>45608.43882</v>
      </c>
      <c r="F617" s="20" t="str">
        <f t="array" ref="F617">IFNA(_xlfn.XLOOKUP(D617,Table_Tarikan_Warkah[Nomor Tiket],Table_Tarikan_Warkah[Nama Petugas Warkah]),"")</f>
        <v>Berry</v>
      </c>
      <c r="G617" s="21" t="str">
        <f t="array" ref="G617">IFNA(_xlfn.XLOOKUP(D617,Table_Tarikan_Warkah[Nomor Tiket],Table_Tarikan_Warkah[Jenis Permohonan]),"")</f>
        <v>BN Waris</v>
      </c>
      <c r="H617" s="22" t="s">
        <v>37</v>
      </c>
      <c r="I617" s="22" t="s">
        <v>32</v>
      </c>
      <c r="J617" s="20">
        <f t="shared" si="29"/>
        <v>45608.72014</v>
      </c>
      <c r="K617" s="27" t="s">
        <v>65</v>
      </c>
      <c r="L617" s="27" t="s">
        <v>32</v>
      </c>
      <c r="M617" s="20">
        <f t="shared" si="30"/>
        <v>45611.63316</v>
      </c>
      <c r="N617" s="8" t="str">
        <f t="shared" si="3"/>
        <v>SELESAI</v>
      </c>
      <c r="O617" s="23">
        <f t="shared" si="22"/>
        <v>45611.63316</v>
      </c>
      <c r="P617" s="24" t="b">
        <v>0</v>
      </c>
      <c r="Q617" s="20" t="str">
        <f t="shared" si="5"/>
        <v/>
      </c>
      <c r="R617" s="24" t="b">
        <v>1</v>
      </c>
      <c r="S617" s="20">
        <f t="shared" si="6"/>
        <v>45614.60912</v>
      </c>
      <c r="T617" s="7"/>
    </row>
    <row r="618" ht="22.5" hidden="1" customHeight="1">
      <c r="B618" s="7">
        <f t="shared" si="7"/>
        <v>612</v>
      </c>
      <c r="C618" s="18" t="s">
        <v>612</v>
      </c>
      <c r="D618" s="19" t="str">
        <f t="array" ref="D618">IFNA(_xlfn.XLOOKUP(C618,Table_Tarikan_Warkah[Nomor Sertipikat],Table_Tarikan_Warkah[Nomor Tiket]),"")</f>
        <v>K/14/111124/2</v>
      </c>
      <c r="E618" s="20">
        <f t="array" ref="E618">IFNA(_xlfn.XLOOKUP(D618,Table_Tarikan_Warkah[Nomor Tiket],Table_Tarikan_Warkah[Tanggal diserahkan kepada Validator]),"")</f>
        <v>45608.44253</v>
      </c>
      <c r="F618" s="20" t="str">
        <f t="array" ref="F618">IFNA(_xlfn.XLOOKUP(D618,Table_Tarikan_Warkah[Nomor Tiket],Table_Tarikan_Warkah[Nama Petugas Warkah]),"")</f>
        <v>Berry</v>
      </c>
      <c r="G618" s="21" t="str">
        <f t="array" ref="G618">IFNA(_xlfn.XLOOKUP(D618,Table_Tarikan_Warkah[Nomor Tiket],Table_Tarikan_Warkah[Jenis Permohonan]),"")</f>
        <v>BN JUAL BELI</v>
      </c>
      <c r="H618" s="22" t="s">
        <v>37</v>
      </c>
      <c r="I618" s="22" t="s">
        <v>32</v>
      </c>
      <c r="J618" s="20">
        <f t="shared" si="29"/>
        <v>45608.72022</v>
      </c>
      <c r="K618" s="27" t="s">
        <v>65</v>
      </c>
      <c r="L618" s="27" t="s">
        <v>32</v>
      </c>
      <c r="M618" s="20">
        <f t="shared" si="30"/>
        <v>45611.63316</v>
      </c>
      <c r="N618" s="8" t="str">
        <f t="shared" si="3"/>
        <v>SELESAI</v>
      </c>
      <c r="O618" s="23">
        <f t="shared" si="22"/>
        <v>45611.63316</v>
      </c>
      <c r="P618" s="24" t="b">
        <v>0</v>
      </c>
      <c r="Q618" s="20" t="str">
        <f t="shared" si="5"/>
        <v/>
      </c>
      <c r="R618" s="24" t="b">
        <v>1</v>
      </c>
      <c r="S618" s="20">
        <f t="shared" si="6"/>
        <v>45614.60913</v>
      </c>
      <c r="T618" s="7"/>
    </row>
    <row r="619" ht="22.5" hidden="1" customHeight="1">
      <c r="B619" s="7">
        <f t="shared" si="7"/>
        <v>613</v>
      </c>
      <c r="C619" s="18" t="s">
        <v>613</v>
      </c>
      <c r="D619" s="19" t="str">
        <f t="array" ref="D619">IFNA(_xlfn.XLOOKUP(C619,Table_Tarikan_Warkah[Nomor Sertipikat],Table_Tarikan_Warkah[Nomor Tiket]),"")</f>
        <v>K/21/111124/1</v>
      </c>
      <c r="E619" s="20">
        <f t="array" ref="E619">IFNA(_xlfn.XLOOKUP(D619,Table_Tarikan_Warkah[Nomor Tiket],Table_Tarikan_Warkah[Tanggal diserahkan kepada Validator]),"")</f>
        <v>45608.44376</v>
      </c>
      <c r="F619" s="20" t="str">
        <f t="array" ref="F619">IFNA(_xlfn.XLOOKUP(D619,Table_Tarikan_Warkah[Nomor Tiket],Table_Tarikan_Warkah[Nama Petugas Warkah]),"")</f>
        <v>David</v>
      </c>
      <c r="G619" s="21" t="str">
        <f t="array" ref="G619">IFNA(_xlfn.XLOOKUP(D619,Table_Tarikan_Warkah[Nomor Tiket],Table_Tarikan_Warkah[Jenis Permohonan]),"")</f>
        <v>ROYA</v>
      </c>
      <c r="H619" s="22" t="s">
        <v>37</v>
      </c>
      <c r="I619" s="22" t="s">
        <v>32</v>
      </c>
      <c r="J619" s="20">
        <f t="shared" si="29"/>
        <v>45608.7203</v>
      </c>
      <c r="K619" s="27" t="s">
        <v>65</v>
      </c>
      <c r="L619" s="27" t="s">
        <v>32</v>
      </c>
      <c r="M619" s="20">
        <f t="shared" si="30"/>
        <v>45611.63319</v>
      </c>
      <c r="N619" s="8" t="str">
        <f t="shared" si="3"/>
        <v>SELESAI</v>
      </c>
      <c r="O619" s="23">
        <f t="shared" si="22"/>
        <v>45611.63319</v>
      </c>
      <c r="P619" s="24" t="b">
        <v>0</v>
      </c>
      <c r="Q619" s="20" t="str">
        <f t="shared" si="5"/>
        <v/>
      </c>
      <c r="R619" s="24" t="b">
        <v>1</v>
      </c>
      <c r="S619" s="20">
        <f t="shared" si="6"/>
        <v>45614.60914</v>
      </c>
      <c r="T619" s="7"/>
    </row>
    <row r="620" ht="22.5" hidden="1" customHeight="1">
      <c r="B620" s="7">
        <f t="shared" si="7"/>
        <v>614</v>
      </c>
      <c r="C620" s="18" t="s">
        <v>614</v>
      </c>
      <c r="D620" s="19" t="str">
        <f t="array" ref="D620">IFNA(_xlfn.XLOOKUP(C620,Table_Tarikan_Warkah[Nomor Sertipikat],Table_Tarikan_Warkah[Nomor Tiket]),"")</f>
        <v>K/31/111124/1</v>
      </c>
      <c r="E620" s="20">
        <f t="array" ref="E620">IFNA(_xlfn.XLOOKUP(D620,Table_Tarikan_Warkah[Nomor Tiket],Table_Tarikan_Warkah[Tanggal diserahkan kepada Validator]),"")</f>
        <v>45608.44438</v>
      </c>
      <c r="F620" s="20" t="str">
        <f t="array" ref="F620">IFNA(_xlfn.XLOOKUP(D620,Table_Tarikan_Warkah[Nomor Tiket],Table_Tarikan_Warkah[Nama Petugas Warkah]),"")</f>
        <v>David</v>
      </c>
      <c r="G620" s="21" t="str">
        <f t="array" ref="G620">IFNA(_xlfn.XLOOKUP(D620,Table_Tarikan_Warkah[Nomor Tiket],Table_Tarikan_Warkah[Jenis Permohonan]),"")</f>
        <v>BN JUAL BELI</v>
      </c>
      <c r="H620" s="22" t="s">
        <v>37</v>
      </c>
      <c r="I620" s="22" t="s">
        <v>32</v>
      </c>
      <c r="J620" s="20">
        <f t="shared" si="29"/>
        <v>45608.72049</v>
      </c>
      <c r="K620" s="27" t="s">
        <v>65</v>
      </c>
      <c r="L620" s="27" t="s">
        <v>32</v>
      </c>
      <c r="M620" s="20">
        <f t="shared" si="30"/>
        <v>45611.63319</v>
      </c>
      <c r="N620" s="8" t="str">
        <f t="shared" si="3"/>
        <v>SELESAI</v>
      </c>
      <c r="O620" s="23">
        <f t="shared" si="22"/>
        <v>45611.63319</v>
      </c>
      <c r="P620" s="24" t="b">
        <v>0</v>
      </c>
      <c r="Q620" s="20" t="str">
        <f t="shared" si="5"/>
        <v/>
      </c>
      <c r="R620" s="24" t="b">
        <v>1</v>
      </c>
      <c r="S620" s="20">
        <f t="shared" si="6"/>
        <v>45614.60915</v>
      </c>
      <c r="T620" s="7"/>
    </row>
    <row r="621" ht="22.5" hidden="1" customHeight="1">
      <c r="B621" s="7">
        <f t="shared" si="7"/>
        <v>615</v>
      </c>
      <c r="C621" s="18" t="s">
        <v>615</v>
      </c>
      <c r="D621" s="19" t="str">
        <f t="array" ref="D621">IFNA(_xlfn.XLOOKUP(C621,Table_Tarikan_Warkah[Nomor Sertipikat],Table_Tarikan_Warkah[Nomor Tiket]),"")</f>
        <v>K/40/111124/1</v>
      </c>
      <c r="E621" s="20">
        <f t="array" ref="E621">IFNA(_xlfn.XLOOKUP(D621,Table_Tarikan_Warkah[Nomor Tiket],Table_Tarikan_Warkah[Tanggal diserahkan kepada Validator]),"")</f>
        <v>45608.4461</v>
      </c>
      <c r="F621" s="20" t="str">
        <f t="array" ref="F621">IFNA(_xlfn.XLOOKUP(D621,Table_Tarikan_Warkah[Nomor Tiket],Table_Tarikan_Warkah[Nama Petugas Warkah]),"")</f>
        <v>David</v>
      </c>
      <c r="G621" s="21" t="str">
        <f t="array" ref="G621">IFNA(_xlfn.XLOOKUP(D621,Table_Tarikan_Warkah[Nomor Tiket],Table_Tarikan_Warkah[Jenis Permohonan]),"")</f>
        <v>KEWARISAN</v>
      </c>
      <c r="H621" s="22" t="s">
        <v>37</v>
      </c>
      <c r="I621" s="22" t="s">
        <v>32</v>
      </c>
      <c r="J621" s="20">
        <f t="shared" si="29"/>
        <v>45608.7206</v>
      </c>
      <c r="K621" s="27" t="s">
        <v>65</v>
      </c>
      <c r="L621" s="27" t="s">
        <v>32</v>
      </c>
      <c r="M621" s="20">
        <f t="shared" si="30"/>
        <v>45611.6332</v>
      </c>
      <c r="N621" s="8" t="str">
        <f t="shared" si="3"/>
        <v>SELESAI</v>
      </c>
      <c r="O621" s="23">
        <f t="shared" si="22"/>
        <v>45611.6332</v>
      </c>
      <c r="P621" s="24" t="b">
        <v>0</v>
      </c>
      <c r="Q621" s="20" t="str">
        <f t="shared" si="5"/>
        <v/>
      </c>
      <c r="R621" s="24" t="b">
        <v>1</v>
      </c>
      <c r="S621" s="20">
        <f t="shared" si="6"/>
        <v>45614.60917</v>
      </c>
      <c r="T621" s="7"/>
    </row>
    <row r="622" ht="22.5" hidden="1" customHeight="1">
      <c r="B622" s="7">
        <f t="shared" si="7"/>
        <v>616</v>
      </c>
      <c r="C622" s="18" t="s">
        <v>616</v>
      </c>
      <c r="D622" s="19" t="str">
        <f t="array" ref="D622">IFNA(_xlfn.XLOOKUP(C622,Table_Tarikan_Warkah[Nomor Sertipikat],Table_Tarikan_Warkah[Nomor Tiket]),"")</f>
        <v>K/23/111124/1</v>
      </c>
      <c r="E622" s="20">
        <f t="array" ref="E622">IFNA(_xlfn.XLOOKUP(D622,Table_Tarikan_Warkah[Nomor Tiket],Table_Tarikan_Warkah[Tanggal diserahkan kepada Validator]),"")</f>
        <v>45608.44781</v>
      </c>
      <c r="F622" s="20" t="str">
        <f t="array" ref="F622">IFNA(_xlfn.XLOOKUP(D622,Table_Tarikan_Warkah[Nomor Tiket],Table_Tarikan_Warkah[Nama Petugas Warkah]),"")</f>
        <v>David</v>
      </c>
      <c r="G622" s="21" t="str">
        <f t="array" ref="G622">IFNA(_xlfn.XLOOKUP(D622,Table_Tarikan_Warkah[Nomor Tiket],Table_Tarikan_Warkah[Jenis Permohonan]),"")</f>
        <v>BN JUAL BELI</v>
      </c>
      <c r="H622" s="22" t="s">
        <v>37</v>
      </c>
      <c r="I622" s="22" t="s">
        <v>32</v>
      </c>
      <c r="J622" s="20">
        <f t="shared" si="29"/>
        <v>45608.7207</v>
      </c>
      <c r="K622" s="27" t="s">
        <v>65</v>
      </c>
      <c r="L622" s="27" t="s">
        <v>32</v>
      </c>
      <c r="M622" s="20">
        <f t="shared" si="30"/>
        <v>45611.6332</v>
      </c>
      <c r="N622" s="8" t="str">
        <f t="shared" si="3"/>
        <v>SELESAI</v>
      </c>
      <c r="O622" s="23">
        <f t="shared" si="22"/>
        <v>45611.6332</v>
      </c>
      <c r="P622" s="24" t="b">
        <v>0</v>
      </c>
      <c r="Q622" s="20" t="str">
        <f t="shared" si="5"/>
        <v/>
      </c>
      <c r="R622" s="24" t="b">
        <v>1</v>
      </c>
      <c r="S622" s="20">
        <f t="shared" si="6"/>
        <v>45614.60918</v>
      </c>
      <c r="T622" s="7"/>
    </row>
    <row r="623" ht="22.5" hidden="1" customHeight="1">
      <c r="B623" s="7">
        <f t="shared" si="7"/>
        <v>617</v>
      </c>
      <c r="C623" s="18" t="s">
        <v>617</v>
      </c>
      <c r="D623" s="19" t="str">
        <f t="array" ref="D623">IFNA(_xlfn.XLOOKUP(C623,Table_Tarikan_Warkah[Nomor Sertipikat],Table_Tarikan_Warkah[Nomor Tiket]),"")</f>
        <v>K/29/111124/3</v>
      </c>
      <c r="E623" s="20">
        <f t="array" ref="E623">IFNA(_xlfn.XLOOKUP(D623,Table_Tarikan_Warkah[Nomor Tiket],Table_Tarikan_Warkah[Tanggal diserahkan kepada Validator]),"")</f>
        <v>45608.44489</v>
      </c>
      <c r="F623" s="20" t="str">
        <f t="array" ref="F623">IFNA(_xlfn.XLOOKUP(D623,Table_Tarikan_Warkah[Nomor Tiket],Table_Tarikan_Warkah[Nama Petugas Warkah]),"")</f>
        <v>David</v>
      </c>
      <c r="G623" s="21" t="str">
        <f t="array" ref="G623">IFNA(_xlfn.XLOOKUP(D623,Table_Tarikan_Warkah[Nomor Tiket],Table_Tarikan_Warkah[Jenis Permohonan]),"")</f>
        <v>BN Jual Beli</v>
      </c>
      <c r="H623" s="22" t="s">
        <v>37</v>
      </c>
      <c r="I623" s="22" t="s">
        <v>32</v>
      </c>
      <c r="J623" s="20">
        <f t="shared" si="29"/>
        <v>45608.7208</v>
      </c>
      <c r="K623" s="27" t="s">
        <v>65</v>
      </c>
      <c r="L623" s="27" t="s">
        <v>32</v>
      </c>
      <c r="M623" s="20">
        <f t="shared" si="30"/>
        <v>45611.63323</v>
      </c>
      <c r="N623" s="8" t="str">
        <f t="shared" si="3"/>
        <v>SELESAI</v>
      </c>
      <c r="O623" s="23">
        <f t="shared" si="22"/>
        <v>45611.63323</v>
      </c>
      <c r="P623" s="24" t="b">
        <v>0</v>
      </c>
      <c r="Q623" s="20" t="str">
        <f t="shared" si="5"/>
        <v/>
      </c>
      <c r="R623" s="24" t="b">
        <v>1</v>
      </c>
      <c r="S623" s="20">
        <f t="shared" si="6"/>
        <v>45614.6092</v>
      </c>
      <c r="T623" s="7"/>
    </row>
    <row r="624" ht="22.5" hidden="1" customHeight="1">
      <c r="B624" s="7">
        <f t="shared" si="7"/>
        <v>618</v>
      </c>
      <c r="C624" s="18" t="s">
        <v>618</v>
      </c>
      <c r="D624" s="19" t="str">
        <f t="array" ref="D624">IFNA(_xlfn.XLOOKUP(C624,Table_Tarikan_Warkah[Nomor Sertipikat],Table_Tarikan_Warkah[Nomor Tiket]),"")</f>
        <v>K/43/051124/2</v>
      </c>
      <c r="E624" s="20" t="str">
        <f t="array" ref="E624">IFNA(_xlfn.XLOOKUP(D624,Table_Tarikan_Warkah[Nomor Tiket],Table_Tarikan_Warkah[Tanggal diserahkan kepada Validator]),"")</f>
        <v/>
      </c>
      <c r="F624" s="20" t="str">
        <f t="array" ref="F624">IFNA(_xlfn.XLOOKUP(D624,Table_Tarikan_Warkah[Nomor Tiket],Table_Tarikan_Warkah[Nama Petugas Warkah]),"")</f>
        <v/>
      </c>
      <c r="G624" s="21" t="str">
        <f t="array" ref="G624">IFNA(_xlfn.XLOOKUP(D624,Table_Tarikan_Warkah[Nomor Tiket],Table_Tarikan_Warkah[Jenis Permohonan]),"")</f>
        <v>BN Jual Beli</v>
      </c>
      <c r="H624" s="22" t="s">
        <v>37</v>
      </c>
      <c r="I624" s="22" t="s">
        <v>32</v>
      </c>
      <c r="J624" s="20">
        <f t="shared" si="29"/>
        <v>45608.73226</v>
      </c>
      <c r="K624" s="29" t="s">
        <v>33</v>
      </c>
      <c r="L624" s="30" t="s">
        <v>187</v>
      </c>
      <c r="M624" s="20">
        <f t="shared" si="30"/>
        <v>45611.63152</v>
      </c>
      <c r="N624" s="8" t="str">
        <f t="shared" si="3"/>
        <v>Selesai</v>
      </c>
      <c r="O624" s="23">
        <f t="shared" si="22"/>
        <v>45611.63152</v>
      </c>
      <c r="P624" s="24" t="b">
        <v>1</v>
      </c>
      <c r="Q624" s="20">
        <f t="shared" si="5"/>
        <v>45611.6326</v>
      </c>
      <c r="R624" s="24" t="b">
        <v>0</v>
      </c>
      <c r="S624" s="7" t="str">
        <f t="shared" si="6"/>
        <v/>
      </c>
      <c r="T624" s="7"/>
    </row>
    <row r="625" ht="22.5" hidden="1" customHeight="1">
      <c r="B625" s="7">
        <f t="shared" si="7"/>
        <v>619</v>
      </c>
      <c r="C625" s="18" t="s">
        <v>619</v>
      </c>
      <c r="D625" s="19" t="str">
        <f t="array" ref="D625">IFNA(_xlfn.XLOOKUP(C625,Table_Tarikan_Warkah[Nomor Sertipikat],Table_Tarikan_Warkah[Nomor Tiket]),"")</f>
        <v>K/45/041124/1</v>
      </c>
      <c r="E625" s="20" t="str">
        <f t="array" ref="E625">IFNA(_xlfn.XLOOKUP(D625,Table_Tarikan_Warkah[Nomor Tiket],Table_Tarikan_Warkah[Tanggal diserahkan kepada Validator]),"")</f>
        <v/>
      </c>
      <c r="F625" s="20" t="str">
        <f t="array" ref="F625">IFNA(_xlfn.XLOOKUP(D625,Table_Tarikan_Warkah[Nomor Tiket],Table_Tarikan_Warkah[Nama Petugas Warkah]),"")</f>
        <v>David</v>
      </c>
      <c r="G625" s="21" t="str">
        <f t="array" ref="G625">IFNA(_xlfn.XLOOKUP(D625,Table_Tarikan_Warkah[Nomor Tiket],Table_Tarikan_Warkah[Jenis Permohonan]),"")</f>
        <v>BN JUAL BELI</v>
      </c>
      <c r="H625" s="22" t="s">
        <v>37</v>
      </c>
      <c r="I625" s="22" t="s">
        <v>32</v>
      </c>
      <c r="J625" s="20">
        <f t="shared" si="29"/>
        <v>45608.73333</v>
      </c>
      <c r="K625" s="31" t="s">
        <v>33</v>
      </c>
      <c r="L625" s="32" t="s">
        <v>187</v>
      </c>
      <c r="M625" s="20">
        <f t="shared" si="30"/>
        <v>45611.63152</v>
      </c>
      <c r="N625" s="8" t="str">
        <f t="shared" si="3"/>
        <v>Selesai</v>
      </c>
      <c r="O625" s="23">
        <f t="shared" si="22"/>
        <v>45611.63152</v>
      </c>
      <c r="P625" s="24" t="b">
        <v>1</v>
      </c>
      <c r="Q625" s="20">
        <f t="shared" si="5"/>
        <v>45611.6326</v>
      </c>
      <c r="R625" s="24" t="b">
        <v>0</v>
      </c>
      <c r="S625" s="7" t="str">
        <f t="shared" si="6"/>
        <v/>
      </c>
      <c r="T625" s="7"/>
    </row>
    <row r="626" ht="22.5" hidden="1" customHeight="1">
      <c r="B626" s="7">
        <f t="shared" si="7"/>
        <v>620</v>
      </c>
      <c r="C626" s="18" t="s">
        <v>620</v>
      </c>
      <c r="D626" s="19" t="str">
        <f t="array" ref="D626">IFNA(_xlfn.XLOOKUP(C626,Table_Tarikan_Warkah[Nomor Sertipikat],Table_Tarikan_Warkah[Nomor Tiket]),"")</f>
        <v>K/8/081124/1</v>
      </c>
      <c r="E626" s="20" t="str">
        <f t="array" ref="E626">IFNA(_xlfn.XLOOKUP(D626,Table_Tarikan_Warkah[Nomor Tiket],Table_Tarikan_Warkah[Tanggal diserahkan kepada Validator]),"")</f>
        <v/>
      </c>
      <c r="F626" s="20" t="str">
        <f t="array" ref="F626">IFNA(_xlfn.XLOOKUP(D626,Table_Tarikan_Warkah[Nomor Tiket],Table_Tarikan_Warkah[Nama Petugas Warkah]),"")</f>
        <v>David</v>
      </c>
      <c r="G626" s="21" t="str">
        <f t="array" ref="G626">IFNA(_xlfn.XLOOKUP(D626,Table_Tarikan_Warkah[Nomor Tiket],Table_Tarikan_Warkah[Jenis Permohonan]),"")</f>
        <v>BN JUAL BELI</v>
      </c>
      <c r="H626" s="22" t="s">
        <v>37</v>
      </c>
      <c r="I626" s="22" t="s">
        <v>32</v>
      </c>
      <c r="J626" s="20">
        <f t="shared" si="29"/>
        <v>45608.73353</v>
      </c>
      <c r="K626" s="29" t="s">
        <v>33</v>
      </c>
      <c r="L626" s="30" t="s">
        <v>187</v>
      </c>
      <c r="M626" s="20">
        <f t="shared" si="30"/>
        <v>45611.63155</v>
      </c>
      <c r="N626" s="8" t="str">
        <f t="shared" si="3"/>
        <v>Selesai</v>
      </c>
      <c r="O626" s="23">
        <f t="shared" si="22"/>
        <v>45611.63155</v>
      </c>
      <c r="P626" s="24" t="b">
        <v>1</v>
      </c>
      <c r="Q626" s="20">
        <f t="shared" si="5"/>
        <v>45611.63264</v>
      </c>
      <c r="R626" s="24" t="b">
        <v>0</v>
      </c>
      <c r="S626" s="7" t="str">
        <f t="shared" si="6"/>
        <v/>
      </c>
      <c r="T626" s="7"/>
    </row>
    <row r="627" ht="22.5" hidden="1" customHeight="1">
      <c r="B627" s="7">
        <f t="shared" si="7"/>
        <v>621</v>
      </c>
      <c r="C627" s="18" t="s">
        <v>621</v>
      </c>
      <c r="D627" s="19" t="str">
        <f t="array" ref="D627">IFNA(_xlfn.XLOOKUP(C627,Table_Tarikan_Warkah[Nomor Sertipikat],Table_Tarikan_Warkah[Nomor Tiket]),"")</f>
        <v>K/50/171024/3</v>
      </c>
      <c r="E627" s="20" t="str">
        <f t="array" ref="E627">IFNA(_xlfn.XLOOKUP(D627,Table_Tarikan_Warkah[Nomor Tiket],Table_Tarikan_Warkah[Tanggal diserahkan kepada Validator]),"")</f>
        <v/>
      </c>
      <c r="F627" s="20" t="str">
        <f t="array" ref="F627">IFNA(_xlfn.XLOOKUP(D627,Table_Tarikan_Warkah[Nomor Tiket],Table_Tarikan_Warkah[Nama Petugas Warkah]),"")</f>
        <v/>
      </c>
      <c r="G627" s="21" t="str">
        <f t="array" ref="G627">IFNA(_xlfn.XLOOKUP(D627,Table_Tarikan_Warkah[Nomor Tiket],Table_Tarikan_Warkah[Jenis Permohonan]),"")</f>
        <v>Roya</v>
      </c>
      <c r="H627" s="22" t="s">
        <v>37</v>
      </c>
      <c r="I627" s="22" t="s">
        <v>32</v>
      </c>
      <c r="J627" s="20">
        <f t="shared" si="29"/>
        <v>45609.46165</v>
      </c>
      <c r="K627" s="31" t="s">
        <v>33</v>
      </c>
      <c r="L627" s="32" t="s">
        <v>187</v>
      </c>
      <c r="M627" s="20">
        <f t="shared" si="30"/>
        <v>45611.63155</v>
      </c>
      <c r="N627" s="8" t="str">
        <f t="shared" si="3"/>
        <v>Selesai</v>
      </c>
      <c r="O627" s="23">
        <f t="shared" si="22"/>
        <v>45611.63155</v>
      </c>
      <c r="P627" s="24" t="b">
        <v>1</v>
      </c>
      <c r="Q627" s="20">
        <f t="shared" si="5"/>
        <v>45611.63261</v>
      </c>
      <c r="R627" s="24" t="b">
        <v>0</v>
      </c>
      <c r="S627" s="7" t="str">
        <f t="shared" si="6"/>
        <v/>
      </c>
      <c r="T627" s="7"/>
    </row>
    <row r="628" ht="22.5" hidden="1" customHeight="1">
      <c r="B628" s="7">
        <f t="shared" si="7"/>
        <v>622</v>
      </c>
      <c r="C628" s="18" t="s">
        <v>622</v>
      </c>
      <c r="D628" s="19" t="str">
        <f t="array" ref="D628">IFNA(_xlfn.XLOOKUP(C628,Table_Tarikan_Warkah[Nomor Sertipikat],Table_Tarikan_Warkah[Nomor Tiket]),"")</f>
        <v>K/46/051124/4</v>
      </c>
      <c r="E628" s="20" t="str">
        <f t="array" ref="E628">IFNA(_xlfn.XLOOKUP(D628,Table_Tarikan_Warkah[Nomor Tiket],Table_Tarikan_Warkah[Tanggal diserahkan kepada Validator]),"")</f>
        <v/>
      </c>
      <c r="F628" s="20" t="str">
        <f t="array" ref="F628">IFNA(_xlfn.XLOOKUP(D628,Table_Tarikan_Warkah[Nomor Tiket],Table_Tarikan_Warkah[Nama Petugas Warkah]),"")</f>
        <v/>
      </c>
      <c r="G628" s="21" t="str">
        <f t="array" ref="G628">IFNA(_xlfn.XLOOKUP(D628,Table_Tarikan_Warkah[Nomor Tiket],Table_Tarikan_Warkah[Jenis Permohonan]),"")</f>
        <v>GANTI NAMA KREDITUR</v>
      </c>
      <c r="H628" s="22" t="s">
        <v>37</v>
      </c>
      <c r="I628" s="22" t="s">
        <v>32</v>
      </c>
      <c r="J628" s="20">
        <f t="shared" si="29"/>
        <v>45609.48335</v>
      </c>
      <c r="K628" s="22" t="s">
        <v>33</v>
      </c>
      <c r="L628" s="22" t="s">
        <v>187</v>
      </c>
      <c r="M628" s="20">
        <f t="shared" si="30"/>
        <v>45609.48342</v>
      </c>
      <c r="N628" s="8" t="str">
        <f t="shared" si="3"/>
        <v>Selesai</v>
      </c>
      <c r="O628" s="23">
        <f t="shared" si="22"/>
        <v>45609.48342</v>
      </c>
      <c r="P628" s="24" t="b">
        <v>1</v>
      </c>
      <c r="Q628" s="20">
        <f t="shared" si="5"/>
        <v>45609.4835</v>
      </c>
      <c r="R628" s="24" t="b">
        <v>1</v>
      </c>
      <c r="S628" s="20">
        <f t="shared" si="6"/>
        <v>45616.43438</v>
      </c>
      <c r="T628" s="7"/>
    </row>
    <row r="629" ht="22.5" hidden="1" customHeight="1">
      <c r="B629" s="7">
        <f t="shared" si="7"/>
        <v>623</v>
      </c>
      <c r="C629" s="18" t="s">
        <v>623</v>
      </c>
      <c r="D629" s="19" t="str">
        <f t="array" ref="D629">IFNA(_xlfn.XLOOKUP(C629,Table_Tarikan_Warkah[Nomor Sertipikat],Table_Tarikan_Warkah[Nomor Tiket]),"")</f>
        <v>K/40/081124/1</v>
      </c>
      <c r="E629" s="20" t="str">
        <f t="array" ref="E629">IFNA(_xlfn.XLOOKUP(D629,Table_Tarikan_Warkah[Nomor Tiket],Table_Tarikan_Warkah[Tanggal diserahkan kepada Validator]),"")</f>
        <v/>
      </c>
      <c r="F629" s="20" t="str">
        <f t="array" ref="F629">IFNA(_xlfn.XLOOKUP(D629,Table_Tarikan_Warkah[Nomor Tiket],Table_Tarikan_Warkah[Nama Petugas Warkah]),"")</f>
        <v>Berry</v>
      </c>
      <c r="G629" s="21" t="str">
        <f t="array" ref="G629">IFNA(_xlfn.XLOOKUP(D629,Table_Tarikan_Warkah[Nomor Tiket],Table_Tarikan_Warkah[Jenis Permohonan]),"")</f>
        <v>BN Waris</v>
      </c>
      <c r="H629" s="22" t="s">
        <v>37</v>
      </c>
      <c r="I629" s="22" t="s">
        <v>32</v>
      </c>
      <c r="J629" s="20">
        <f t="shared" si="29"/>
        <v>45609.48532</v>
      </c>
      <c r="K629" s="22" t="s">
        <v>33</v>
      </c>
      <c r="L629" s="22" t="s">
        <v>187</v>
      </c>
      <c r="M629" s="20">
        <f t="shared" si="30"/>
        <v>45609.48542</v>
      </c>
      <c r="N629" s="8" t="str">
        <f t="shared" si="3"/>
        <v>Selesai</v>
      </c>
      <c r="O629" s="23">
        <f t="shared" si="22"/>
        <v>45609.48542</v>
      </c>
      <c r="P629" s="24" t="b">
        <v>1</v>
      </c>
      <c r="Q629" s="20">
        <f t="shared" si="5"/>
        <v>45609.48545</v>
      </c>
      <c r="R629" s="24" t="b">
        <v>1</v>
      </c>
      <c r="S629" s="20">
        <f t="shared" si="6"/>
        <v>45614.69114</v>
      </c>
      <c r="T629" s="7"/>
    </row>
    <row r="630" ht="22.5" hidden="1" customHeight="1">
      <c r="B630" s="7">
        <f t="shared" si="7"/>
        <v>624</v>
      </c>
      <c r="C630" s="18" t="s">
        <v>624</v>
      </c>
      <c r="D630" s="7" t="s">
        <v>625</v>
      </c>
      <c r="E630" s="20" t="str">
        <f t="array" ref="E630">IFNA(_xlfn.XLOOKUP(D630,Table_Tarikan_Warkah[Nomor Tiket],Table_Tarikan_Warkah[Tanggal diserahkan kepada Validator]),"")</f>
        <v/>
      </c>
      <c r="F630" s="20" t="str">
        <f t="array" ref="F630">IFNA(_xlfn.XLOOKUP(D630,Table_Tarikan_Warkah[Nomor Tiket],Table_Tarikan_Warkah[Nama Petugas Warkah]),"")</f>
        <v/>
      </c>
      <c r="G630" s="21" t="str">
        <f t="array" ref="G630">IFNA(_xlfn.XLOOKUP(D630,Table_Tarikan_Warkah[Nomor Tiket],Table_Tarikan_Warkah[Jenis Permohonan]),"")</f>
        <v>BN Jual Beli</v>
      </c>
      <c r="H630" s="22" t="s">
        <v>37</v>
      </c>
      <c r="I630" s="22" t="s">
        <v>32</v>
      </c>
      <c r="J630" s="20">
        <f t="shared" si="29"/>
        <v>45609.52932</v>
      </c>
      <c r="K630" s="27" t="s">
        <v>33</v>
      </c>
      <c r="L630" s="27" t="s">
        <v>187</v>
      </c>
      <c r="M630" s="20">
        <f t="shared" si="30"/>
        <v>45611.63336</v>
      </c>
      <c r="N630" s="8" t="str">
        <f t="shared" si="3"/>
        <v>Selesai</v>
      </c>
      <c r="O630" s="23">
        <f t="shared" si="22"/>
        <v>45611.63336</v>
      </c>
      <c r="P630" s="24" t="b">
        <v>1</v>
      </c>
      <c r="Q630" s="20">
        <f t="shared" si="5"/>
        <v>45611.63338</v>
      </c>
      <c r="R630" s="24" t="b">
        <v>0</v>
      </c>
      <c r="S630" s="7" t="str">
        <f t="shared" si="6"/>
        <v/>
      </c>
      <c r="T630" s="7"/>
    </row>
    <row r="631" ht="22.5" hidden="1" customHeight="1">
      <c r="B631" s="7">
        <f t="shared" si="7"/>
        <v>625</v>
      </c>
      <c r="C631" s="18" t="s">
        <v>626</v>
      </c>
      <c r="D631" s="19" t="str">
        <f t="array" ref="D631">IFNA(_xlfn.XLOOKUP(C631,Table_Tarikan_Warkah[Nomor Sertipikat],Table_Tarikan_Warkah[Nomor Tiket]),"")</f>
        <v>K/9/011124/2</v>
      </c>
      <c r="E631" s="20" t="str">
        <f t="array" ref="E631">IFNA(_xlfn.XLOOKUP(D631,Table_Tarikan_Warkah[Nomor Tiket],Table_Tarikan_Warkah[Tanggal diserahkan kepada Validator]),"")</f>
        <v/>
      </c>
      <c r="F631" s="20" t="str">
        <f t="array" ref="F631">IFNA(_xlfn.XLOOKUP(D631,Table_Tarikan_Warkah[Nomor Tiket],Table_Tarikan_Warkah[Nama Petugas Warkah]),"")</f>
        <v/>
      </c>
      <c r="G631" s="21" t="str">
        <f t="array" ref="G631">IFNA(_xlfn.XLOOKUP(D631,Table_Tarikan_Warkah[Nomor Tiket],Table_Tarikan_Warkah[Jenis Permohonan]),"")</f>
        <v>Ploting</v>
      </c>
      <c r="H631" s="22" t="s">
        <v>31</v>
      </c>
      <c r="I631" s="22" t="s">
        <v>32</v>
      </c>
      <c r="J631" s="20">
        <f t="shared" si="29"/>
        <v>45609.64436</v>
      </c>
      <c r="K631" s="27" t="s">
        <v>65</v>
      </c>
      <c r="L631" s="27" t="s">
        <v>32</v>
      </c>
      <c r="M631" s="20">
        <f t="shared" si="30"/>
        <v>45611.63345</v>
      </c>
      <c r="N631" s="8" t="str">
        <f t="shared" si="3"/>
        <v>SELESAI</v>
      </c>
      <c r="O631" s="23">
        <f t="shared" si="22"/>
        <v>45611.63345</v>
      </c>
      <c r="P631" s="24" t="b">
        <v>0</v>
      </c>
      <c r="Q631" s="20" t="str">
        <f t="shared" si="5"/>
        <v/>
      </c>
      <c r="R631" s="24" t="b">
        <v>1</v>
      </c>
      <c r="S631" s="20">
        <f t="shared" si="6"/>
        <v>45614.60871</v>
      </c>
      <c r="T631" s="7"/>
    </row>
    <row r="632" ht="22.5" hidden="1" customHeight="1">
      <c r="B632" s="7">
        <f t="shared" si="7"/>
        <v>626</v>
      </c>
      <c r="C632" s="18" t="s">
        <v>627</v>
      </c>
      <c r="D632" s="19" t="str">
        <f t="array" ref="D632">IFNA(_xlfn.XLOOKUP(C632,Table_Tarikan_Warkah[Nomor Sertipikat],Table_Tarikan_Warkah[Nomor Tiket]),"")</f>
        <v>K/47/081124/1</v>
      </c>
      <c r="E632" s="20">
        <f t="array" ref="E632">IFNA(_xlfn.XLOOKUP(D632,Table_Tarikan_Warkah[Nomor Tiket],Table_Tarikan_Warkah[Tanggal diserahkan kepada Validator]),"")</f>
        <v>45607.64396</v>
      </c>
      <c r="F632" s="20" t="str">
        <f t="array" ref="F632">IFNA(_xlfn.XLOOKUP(D632,Table_Tarikan_Warkah[Nomor Tiket],Table_Tarikan_Warkah[Nama Petugas Warkah]),"")</f>
        <v>Berry</v>
      </c>
      <c r="G632" s="21" t="str">
        <f t="array" ref="G632">IFNA(_xlfn.XLOOKUP(D632,Table_Tarikan_Warkah[Nomor Tiket],Table_Tarikan_Warkah[Jenis Permohonan]),"")</f>
        <v>ROYA</v>
      </c>
      <c r="H632" s="22" t="s">
        <v>31</v>
      </c>
      <c r="I632" s="22" t="s">
        <v>32</v>
      </c>
      <c r="J632" s="20">
        <f t="shared" si="29"/>
        <v>45609.64436</v>
      </c>
      <c r="K632" s="27" t="s">
        <v>65</v>
      </c>
      <c r="L632" s="27" t="s">
        <v>32</v>
      </c>
      <c r="M632" s="20">
        <f t="shared" si="30"/>
        <v>45611.63345</v>
      </c>
      <c r="N632" s="8" t="str">
        <f t="shared" si="3"/>
        <v>SELESAI</v>
      </c>
      <c r="O632" s="23">
        <f t="shared" si="22"/>
        <v>45611.63345</v>
      </c>
      <c r="P632" s="24" t="b">
        <v>0</v>
      </c>
      <c r="Q632" s="20" t="str">
        <f t="shared" si="5"/>
        <v/>
      </c>
      <c r="R632" s="24" t="b">
        <v>1</v>
      </c>
      <c r="S632" s="20">
        <f t="shared" si="6"/>
        <v>45614.60872</v>
      </c>
      <c r="T632" s="7"/>
    </row>
    <row r="633" ht="22.5" hidden="1" customHeight="1">
      <c r="B633" s="7">
        <f t="shared" si="7"/>
        <v>627</v>
      </c>
      <c r="C633" s="18" t="s">
        <v>628</v>
      </c>
      <c r="D633" s="19" t="str">
        <f t="array" ref="D633">IFNA(_xlfn.XLOOKUP(C633,Table_Tarikan_Warkah[Nomor Sertipikat],Table_Tarikan_Warkah[Nomor Tiket]),"")</f>
        <v>K/32/071124/1</v>
      </c>
      <c r="E633" s="20">
        <f t="array" ref="E633">IFNA(_xlfn.XLOOKUP(D633,Table_Tarikan_Warkah[Nomor Tiket],Table_Tarikan_Warkah[Tanggal diserahkan kepada Validator]),"")</f>
        <v>45604.63947</v>
      </c>
      <c r="F633" s="20" t="str">
        <f t="array" ref="F633">IFNA(_xlfn.XLOOKUP(D633,Table_Tarikan_Warkah[Nomor Tiket],Table_Tarikan_Warkah[Nama Petugas Warkah]),"")</f>
        <v>David</v>
      </c>
      <c r="G633" s="21" t="str">
        <f t="array" ref="G633">IFNA(_xlfn.XLOOKUP(D633,Table_Tarikan_Warkah[Nomor Tiket],Table_Tarikan_Warkah[Jenis Permohonan]),"")</f>
        <v>ROYA</v>
      </c>
      <c r="H633" s="22" t="s">
        <v>37</v>
      </c>
      <c r="I633" s="22" t="s">
        <v>32</v>
      </c>
      <c r="J633" s="20">
        <f t="shared" si="29"/>
        <v>45610.48244</v>
      </c>
      <c r="K633" s="27" t="s">
        <v>65</v>
      </c>
      <c r="L633" s="27" t="s">
        <v>32</v>
      </c>
      <c r="M633" s="20">
        <f t="shared" si="30"/>
        <v>45611.63396</v>
      </c>
      <c r="N633" s="8" t="str">
        <f t="shared" si="3"/>
        <v>SELESAI</v>
      </c>
      <c r="O633" s="23">
        <f t="shared" si="22"/>
        <v>45611.63396</v>
      </c>
      <c r="P633" s="24" t="b">
        <v>0</v>
      </c>
      <c r="Q633" s="20" t="str">
        <f t="shared" si="5"/>
        <v/>
      </c>
      <c r="R633" s="24" t="b">
        <v>1</v>
      </c>
      <c r="S633" s="20">
        <f t="shared" si="6"/>
        <v>45614.60874</v>
      </c>
      <c r="T633" s="7"/>
    </row>
    <row r="634" ht="22.5" hidden="1" customHeight="1">
      <c r="B634" s="7">
        <f t="shared" si="7"/>
        <v>628</v>
      </c>
      <c r="C634" s="18" t="s">
        <v>629</v>
      </c>
      <c r="D634" s="19" t="str">
        <f t="array" ref="D634">IFNA(_xlfn.XLOOKUP(C634,Table_Tarikan_Warkah[Nomor Sertipikat],Table_Tarikan_Warkah[Nomor Tiket]),"")</f>
        <v>K/42/121124/3</v>
      </c>
      <c r="E634" s="20">
        <f t="array" ref="E634">IFNA(_xlfn.XLOOKUP(D634,Table_Tarikan_Warkah[Nomor Tiket],Table_Tarikan_Warkah[Tanggal diserahkan kepada Validator]),"")</f>
        <v>45610.35971</v>
      </c>
      <c r="F634" s="20" t="str">
        <f t="array" ref="F634">IFNA(_xlfn.XLOOKUP(D634,Table_Tarikan_Warkah[Nomor Tiket],Table_Tarikan_Warkah[Nama Petugas Warkah]),"")</f>
        <v>Berry</v>
      </c>
      <c r="G634" s="21" t="str">
        <f t="array" ref="G634">IFNA(_xlfn.XLOOKUP(D634,Table_Tarikan_Warkah[Nomor Tiket],Table_Tarikan_Warkah[Jenis Permohonan]),"")</f>
        <v>BN JUAL BELI</v>
      </c>
      <c r="H634" s="22" t="s">
        <v>37</v>
      </c>
      <c r="I634" s="22" t="s">
        <v>32</v>
      </c>
      <c r="J634" s="20">
        <f t="shared" si="29"/>
        <v>45610.48255</v>
      </c>
      <c r="K634" s="27" t="s">
        <v>65</v>
      </c>
      <c r="L634" s="27" t="s">
        <v>32</v>
      </c>
      <c r="M634" s="20">
        <f t="shared" si="30"/>
        <v>45611.63396</v>
      </c>
      <c r="N634" s="8" t="str">
        <f t="shared" si="3"/>
        <v>SELESAI</v>
      </c>
      <c r="O634" s="23">
        <f t="shared" si="22"/>
        <v>45611.63396</v>
      </c>
      <c r="P634" s="24" t="b">
        <v>0</v>
      </c>
      <c r="Q634" s="20" t="str">
        <f t="shared" si="5"/>
        <v/>
      </c>
      <c r="R634" s="24" t="b">
        <v>1</v>
      </c>
      <c r="S634" s="20">
        <f t="shared" si="6"/>
        <v>45614.60876</v>
      </c>
      <c r="T634" s="7"/>
    </row>
    <row r="635" ht="22.5" hidden="1" customHeight="1">
      <c r="B635" s="7">
        <f t="shared" si="7"/>
        <v>629</v>
      </c>
      <c r="C635" s="18" t="s">
        <v>630</v>
      </c>
      <c r="D635" s="19" t="str">
        <f t="array" ref="D635">IFNA(_xlfn.XLOOKUP(C635,Table_Tarikan_Warkah[Nomor Sertipikat],Table_Tarikan_Warkah[Nomor Tiket]),"")</f>
        <v>K/40/121124/1</v>
      </c>
      <c r="E635" s="20">
        <f t="array" ref="E635">IFNA(_xlfn.XLOOKUP(D635,Table_Tarikan_Warkah[Nomor Tiket],Table_Tarikan_Warkah[Tanggal diserahkan kepada Validator]),"")</f>
        <v>45610.35971</v>
      </c>
      <c r="F635" s="20" t="str">
        <f t="array" ref="F635">IFNA(_xlfn.XLOOKUP(D635,Table_Tarikan_Warkah[Nomor Tiket],Table_Tarikan_Warkah[Nama Petugas Warkah]),"")</f>
        <v>Berry</v>
      </c>
      <c r="G635" s="21" t="str">
        <f t="array" ref="G635">IFNA(_xlfn.XLOOKUP(D635,Table_Tarikan_Warkah[Nomor Tiket],Table_Tarikan_Warkah[Jenis Permohonan]),"")</f>
        <v>BN JUAL BELI</v>
      </c>
      <c r="H635" s="22" t="s">
        <v>37</v>
      </c>
      <c r="I635" s="22" t="s">
        <v>32</v>
      </c>
      <c r="J635" s="20">
        <f t="shared" si="29"/>
        <v>45610.48263</v>
      </c>
      <c r="K635" s="27" t="s">
        <v>65</v>
      </c>
      <c r="L635" s="27" t="s">
        <v>32</v>
      </c>
      <c r="M635" s="20">
        <f t="shared" si="30"/>
        <v>45611.634</v>
      </c>
      <c r="N635" s="8" t="str">
        <f t="shared" si="3"/>
        <v>SELESAI</v>
      </c>
      <c r="O635" s="23">
        <f t="shared" si="22"/>
        <v>45611.634</v>
      </c>
      <c r="P635" s="24" t="b">
        <v>0</v>
      </c>
      <c r="Q635" s="20" t="str">
        <f t="shared" si="5"/>
        <v/>
      </c>
      <c r="R635" s="24" t="b">
        <v>1</v>
      </c>
      <c r="S635" s="20">
        <f t="shared" si="6"/>
        <v>45614.60876</v>
      </c>
      <c r="T635" s="7"/>
    </row>
    <row r="636" ht="22.5" hidden="1" customHeight="1">
      <c r="B636" s="7">
        <f t="shared" si="7"/>
        <v>630</v>
      </c>
      <c r="C636" s="18" t="s">
        <v>631</v>
      </c>
      <c r="D636" s="19" t="str">
        <f t="array" ref="D636">IFNA(_xlfn.XLOOKUP(C636,Table_Tarikan_Warkah[Nomor Sertipikat],Table_Tarikan_Warkah[Nomor Tiket]),"")</f>
        <v>L/33/121124/1</v>
      </c>
      <c r="E636" s="20">
        <f t="array" ref="E636">IFNA(_xlfn.XLOOKUP(D636,Table_Tarikan_Warkah[Nomor Tiket],Table_Tarikan_Warkah[Tanggal diserahkan kepada Validator]),"")</f>
        <v>45609.67357</v>
      </c>
      <c r="F636" s="20" t="str">
        <f t="array" ref="F636">IFNA(_xlfn.XLOOKUP(D636,Table_Tarikan_Warkah[Nomor Tiket],Table_Tarikan_Warkah[Nama Petugas Warkah]),"")</f>
        <v>Berry</v>
      </c>
      <c r="G636" s="21" t="str">
        <f t="array" ref="G636">IFNA(_xlfn.XLOOKUP(D636,Table_Tarikan_Warkah[Nomor Tiket],Table_Tarikan_Warkah[Jenis Permohonan]),"")</f>
        <v>ROYA</v>
      </c>
      <c r="H636" s="22" t="s">
        <v>37</v>
      </c>
      <c r="I636" s="22" t="s">
        <v>32</v>
      </c>
      <c r="J636" s="20">
        <f t="shared" si="29"/>
        <v>45610.48273</v>
      </c>
      <c r="K636" s="27" t="s">
        <v>65</v>
      </c>
      <c r="L636" s="27" t="s">
        <v>32</v>
      </c>
      <c r="M636" s="20">
        <f t="shared" si="30"/>
        <v>45611.634</v>
      </c>
      <c r="N636" s="8" t="str">
        <f t="shared" si="3"/>
        <v>SELESAI</v>
      </c>
      <c r="O636" s="23">
        <f t="shared" si="22"/>
        <v>45611.634</v>
      </c>
      <c r="P636" s="24" t="b">
        <v>0</v>
      </c>
      <c r="Q636" s="20" t="str">
        <f t="shared" si="5"/>
        <v/>
      </c>
      <c r="R636" s="24" t="b">
        <v>1</v>
      </c>
      <c r="S636" s="20">
        <f t="shared" si="6"/>
        <v>45614.60877</v>
      </c>
      <c r="T636" s="7"/>
    </row>
    <row r="637" ht="22.5" hidden="1" customHeight="1">
      <c r="B637" s="7">
        <f t="shared" si="7"/>
        <v>631</v>
      </c>
      <c r="C637" s="18" t="s">
        <v>632</v>
      </c>
      <c r="D637" s="19" t="str">
        <f t="array" ref="D637">IFNA(_xlfn.XLOOKUP(C637,Table_Tarikan_Warkah[Nomor Sertipikat],Table_Tarikan_Warkah[Nomor Tiket]),"")</f>
        <v>K/24/121124/2</v>
      </c>
      <c r="E637" s="20">
        <f t="array" ref="E637">IFNA(_xlfn.XLOOKUP(D637,Table_Tarikan_Warkah[Nomor Tiket],Table_Tarikan_Warkah[Tanggal diserahkan kepada Validator]),"")</f>
        <v>45609.67199</v>
      </c>
      <c r="F637" s="20" t="str">
        <f t="array" ref="F637">IFNA(_xlfn.XLOOKUP(D637,Table_Tarikan_Warkah[Nomor Tiket],Table_Tarikan_Warkah[Nama Petugas Warkah]),"")</f>
        <v>Berry</v>
      </c>
      <c r="G637" s="21" t="str">
        <f t="array" ref="G637">IFNA(_xlfn.XLOOKUP(D637,Table_Tarikan_Warkah[Nomor Tiket],Table_Tarikan_Warkah[Jenis Permohonan]),"")</f>
        <v>BN JUAL BELI</v>
      </c>
      <c r="H637" s="22" t="s">
        <v>37</v>
      </c>
      <c r="I637" s="22" t="s">
        <v>32</v>
      </c>
      <c r="J637" s="20">
        <f t="shared" si="29"/>
        <v>45610.48284</v>
      </c>
      <c r="K637" s="27" t="s">
        <v>65</v>
      </c>
      <c r="L637" s="27" t="s">
        <v>32</v>
      </c>
      <c r="M637" s="20">
        <f t="shared" si="30"/>
        <v>45611.63403</v>
      </c>
      <c r="N637" s="8" t="str">
        <f t="shared" si="3"/>
        <v>SELESAI</v>
      </c>
      <c r="O637" s="23">
        <f t="shared" si="22"/>
        <v>45611.63403</v>
      </c>
      <c r="P637" s="24" t="b">
        <v>0</v>
      </c>
      <c r="Q637" s="20" t="str">
        <f t="shared" si="5"/>
        <v/>
      </c>
      <c r="R637" s="24" t="b">
        <v>1</v>
      </c>
      <c r="S637" s="20">
        <f t="shared" si="6"/>
        <v>45614.60878</v>
      </c>
      <c r="T637" s="7"/>
    </row>
    <row r="638" ht="22.5" hidden="1" customHeight="1">
      <c r="B638" s="7">
        <f t="shared" si="7"/>
        <v>632</v>
      </c>
      <c r="C638" s="18" t="s">
        <v>633</v>
      </c>
      <c r="D638" s="19" t="str">
        <f t="array" ref="D638">IFNA(_xlfn.XLOOKUP(C638,Table_Tarikan_Warkah[Nomor Sertipikat],Table_Tarikan_Warkah[Nomor Tiket]),"")</f>
        <v>K/30/121124/1</v>
      </c>
      <c r="E638" s="20">
        <f t="array" ref="E638">IFNA(_xlfn.XLOOKUP(D638,Table_Tarikan_Warkah[Nomor Tiket],Table_Tarikan_Warkah[Tanggal diserahkan kepada Validator]),"")</f>
        <v>45609.673</v>
      </c>
      <c r="F638" s="20" t="str">
        <f t="array" ref="F638">IFNA(_xlfn.XLOOKUP(D638,Table_Tarikan_Warkah[Nomor Tiket],Table_Tarikan_Warkah[Nama Petugas Warkah]),"")</f>
        <v>Berry</v>
      </c>
      <c r="G638" s="21" t="str">
        <f t="array" ref="G638">IFNA(_xlfn.XLOOKUP(D638,Table_Tarikan_Warkah[Nomor Tiket],Table_Tarikan_Warkah[Jenis Permohonan]),"")</f>
        <v>BN JUAL BELI</v>
      </c>
      <c r="H638" s="22" t="s">
        <v>37</v>
      </c>
      <c r="I638" s="22" t="s">
        <v>32</v>
      </c>
      <c r="J638" s="20">
        <f t="shared" si="29"/>
        <v>45610.48293</v>
      </c>
      <c r="K638" s="27" t="s">
        <v>65</v>
      </c>
      <c r="L638" s="27" t="s">
        <v>32</v>
      </c>
      <c r="M638" s="20">
        <f t="shared" si="30"/>
        <v>45611.63403</v>
      </c>
      <c r="N638" s="8" t="str">
        <f t="shared" si="3"/>
        <v>SELESAI</v>
      </c>
      <c r="O638" s="23">
        <f t="shared" si="22"/>
        <v>45611.63403</v>
      </c>
      <c r="P638" s="24" t="b">
        <v>0</v>
      </c>
      <c r="Q638" s="20" t="str">
        <f t="shared" si="5"/>
        <v/>
      </c>
      <c r="R638" s="24" t="b">
        <v>1</v>
      </c>
      <c r="S638" s="20">
        <f t="shared" si="6"/>
        <v>45614.6088</v>
      </c>
      <c r="T638" s="7"/>
    </row>
    <row r="639" ht="22.5" hidden="1" customHeight="1">
      <c r="B639" s="7">
        <f t="shared" si="7"/>
        <v>633</v>
      </c>
      <c r="C639" s="18" t="s">
        <v>634</v>
      </c>
      <c r="D639" s="19" t="str">
        <f t="array" ref="D639">IFNA(_xlfn.XLOOKUP(C639,Table_Tarikan_Warkah[Nomor Sertipikat],Table_Tarikan_Warkah[Nomor Tiket]),"")</f>
        <v>L/39/121124/1</v>
      </c>
      <c r="E639" s="20">
        <f t="array" ref="E639">IFNA(_xlfn.XLOOKUP(D639,Table_Tarikan_Warkah[Nomor Tiket],Table_Tarikan_Warkah[Tanggal diserahkan kepada Validator]),"")</f>
        <v>45609.67429</v>
      </c>
      <c r="F639" s="20" t="str">
        <f t="array" ref="F639">IFNA(_xlfn.XLOOKUP(D639,Table_Tarikan_Warkah[Nomor Tiket],Table_Tarikan_Warkah[Nama Petugas Warkah]),"")</f>
        <v>Berry</v>
      </c>
      <c r="G639" s="21" t="str">
        <f t="array" ref="G639">IFNA(_xlfn.XLOOKUP(D639,Table_Tarikan_Warkah[Nomor Tiket],Table_Tarikan_Warkah[Jenis Permohonan]),"")</f>
        <v>ROYA</v>
      </c>
      <c r="H639" s="22" t="s">
        <v>37</v>
      </c>
      <c r="I639" s="22" t="s">
        <v>32</v>
      </c>
      <c r="J639" s="20">
        <f t="shared" si="29"/>
        <v>45610.48301</v>
      </c>
      <c r="K639" s="27" t="s">
        <v>65</v>
      </c>
      <c r="L639" s="27" t="s">
        <v>32</v>
      </c>
      <c r="M639" s="20">
        <f t="shared" si="30"/>
        <v>45611.63405</v>
      </c>
      <c r="N639" s="8" t="str">
        <f t="shared" si="3"/>
        <v>SELESAI</v>
      </c>
      <c r="O639" s="23">
        <f t="shared" si="22"/>
        <v>45611.63405</v>
      </c>
      <c r="P639" s="24" t="b">
        <v>0</v>
      </c>
      <c r="Q639" s="20" t="str">
        <f t="shared" si="5"/>
        <v/>
      </c>
      <c r="R639" s="24" t="b">
        <v>1</v>
      </c>
      <c r="S639" s="20">
        <f t="shared" si="6"/>
        <v>45614.6088</v>
      </c>
      <c r="T639" s="7"/>
    </row>
    <row r="640" ht="22.5" hidden="1" customHeight="1">
      <c r="B640" s="7">
        <f t="shared" si="7"/>
        <v>634</v>
      </c>
      <c r="C640" s="18" t="s">
        <v>635</v>
      </c>
      <c r="D640" s="19" t="str">
        <f t="array" ref="D640">IFNA(_xlfn.XLOOKUP(C640,Table_Tarikan_Warkah[Nomor Sertipikat],Table_Tarikan_Warkah[Nomor Tiket]),"")</f>
        <v>L/46/121124/1</v>
      </c>
      <c r="E640" s="20">
        <f t="array" ref="E640">IFNA(_xlfn.XLOOKUP(D640,Table_Tarikan_Warkah[Nomor Tiket],Table_Tarikan_Warkah[Tanggal diserahkan kepada Validator]),"")</f>
        <v>45610.35971</v>
      </c>
      <c r="F640" s="20" t="str">
        <f t="array" ref="F640">IFNA(_xlfn.XLOOKUP(D640,Table_Tarikan_Warkah[Nomor Tiket],Table_Tarikan_Warkah[Nama Petugas Warkah]),"")</f>
        <v>Berry</v>
      </c>
      <c r="G640" s="21" t="str">
        <f t="array" ref="G640">IFNA(_xlfn.XLOOKUP(D640,Table_Tarikan_Warkah[Nomor Tiket],Table_Tarikan_Warkah[Jenis Permohonan]),"")</f>
        <v>ROYA</v>
      </c>
      <c r="H640" s="22" t="s">
        <v>37</v>
      </c>
      <c r="I640" s="22" t="s">
        <v>32</v>
      </c>
      <c r="J640" s="20">
        <f t="shared" si="29"/>
        <v>45610.48315</v>
      </c>
      <c r="K640" s="27" t="s">
        <v>65</v>
      </c>
      <c r="L640" s="27" t="s">
        <v>32</v>
      </c>
      <c r="M640" s="20">
        <f t="shared" si="30"/>
        <v>45611.63405</v>
      </c>
      <c r="N640" s="8" t="str">
        <f t="shared" si="3"/>
        <v>SELESAI</v>
      </c>
      <c r="O640" s="23">
        <f t="shared" si="22"/>
        <v>45611.63405</v>
      </c>
      <c r="P640" s="24" t="b">
        <v>0</v>
      </c>
      <c r="Q640" s="20" t="str">
        <f t="shared" si="5"/>
        <v/>
      </c>
      <c r="R640" s="24" t="b">
        <v>1</v>
      </c>
      <c r="S640" s="20">
        <f t="shared" si="6"/>
        <v>45614.60881</v>
      </c>
      <c r="T640" s="7"/>
    </row>
    <row r="641" ht="22.5" hidden="1" customHeight="1">
      <c r="B641" s="7">
        <f t="shared" si="7"/>
        <v>635</v>
      </c>
      <c r="C641" s="18" t="s">
        <v>636</v>
      </c>
      <c r="D641" s="19" t="str">
        <f t="array" ref="D641">IFNA(_xlfn.XLOOKUP(C641,Table_Tarikan_Warkah[Nomor Sertipikat],Table_Tarikan_Warkah[Nomor Tiket]),"")</f>
        <v>K/47/121124/1</v>
      </c>
      <c r="E641" s="20">
        <f t="array" ref="E641">IFNA(_xlfn.XLOOKUP(D641,Table_Tarikan_Warkah[Nomor Tiket],Table_Tarikan_Warkah[Tanggal diserahkan kepada Validator]),"")</f>
        <v>45610.35971</v>
      </c>
      <c r="F641" s="20" t="str">
        <f t="array" ref="F641">IFNA(_xlfn.XLOOKUP(D641,Table_Tarikan_Warkah[Nomor Tiket],Table_Tarikan_Warkah[Nama Petugas Warkah]),"")</f>
        <v>Berry</v>
      </c>
      <c r="G641" s="21" t="str">
        <f t="array" ref="G641">IFNA(_xlfn.XLOOKUP(D641,Table_Tarikan_Warkah[Nomor Tiket],Table_Tarikan_Warkah[Jenis Permohonan]),"")</f>
        <v>BN JUAL BELI</v>
      </c>
      <c r="H641" s="22" t="s">
        <v>37</v>
      </c>
      <c r="I641" s="22" t="s">
        <v>32</v>
      </c>
      <c r="J641" s="20">
        <f t="shared" si="29"/>
        <v>45610.48327</v>
      </c>
      <c r="K641" s="27" t="s">
        <v>65</v>
      </c>
      <c r="L641" s="27" t="s">
        <v>32</v>
      </c>
      <c r="M641" s="20">
        <f t="shared" si="30"/>
        <v>45611.63407</v>
      </c>
      <c r="N641" s="8" t="str">
        <f t="shared" si="3"/>
        <v>SELESAI</v>
      </c>
      <c r="O641" s="23">
        <f t="shared" si="22"/>
        <v>45611.63407</v>
      </c>
      <c r="P641" s="24" t="b">
        <v>0</v>
      </c>
      <c r="Q641" s="20" t="str">
        <f t="shared" si="5"/>
        <v/>
      </c>
      <c r="R641" s="24" t="b">
        <v>1</v>
      </c>
      <c r="S641" s="20">
        <f t="shared" si="6"/>
        <v>45614.60882</v>
      </c>
      <c r="T641" s="7"/>
    </row>
    <row r="642" ht="22.5" hidden="1" customHeight="1">
      <c r="B642" s="7">
        <f t="shared" si="7"/>
        <v>636</v>
      </c>
      <c r="C642" s="18" t="s">
        <v>637</v>
      </c>
      <c r="D642" s="19" t="str">
        <f t="array" ref="D642">IFNA(_xlfn.XLOOKUP(C642,Table_Tarikan_Warkah[Nomor Sertipikat],Table_Tarikan_Warkah[Nomor Tiket]),"")</f>
        <v>K/49/121124/1</v>
      </c>
      <c r="E642" s="20">
        <f t="array" ref="E642">IFNA(_xlfn.XLOOKUP(D642,Table_Tarikan_Warkah[Nomor Tiket],Table_Tarikan_Warkah[Tanggal diserahkan kepada Validator]),"")</f>
        <v>45610.35971</v>
      </c>
      <c r="F642" s="20" t="str">
        <f t="array" ref="F642">IFNA(_xlfn.XLOOKUP(D642,Table_Tarikan_Warkah[Nomor Tiket],Table_Tarikan_Warkah[Nama Petugas Warkah]),"")</f>
        <v>Berry</v>
      </c>
      <c r="G642" s="21" t="str">
        <f t="array" ref="G642">IFNA(_xlfn.XLOOKUP(D642,Table_Tarikan_Warkah[Nomor Tiket],Table_Tarikan_Warkah[Jenis Permohonan]),"")</f>
        <v>BN JUAL BELI</v>
      </c>
      <c r="H642" s="22" t="s">
        <v>37</v>
      </c>
      <c r="I642" s="22" t="s">
        <v>32</v>
      </c>
      <c r="J642" s="20">
        <f t="shared" si="29"/>
        <v>45610.4834</v>
      </c>
      <c r="K642" s="27" t="s">
        <v>65</v>
      </c>
      <c r="L642" s="27" t="s">
        <v>32</v>
      </c>
      <c r="M642" s="20">
        <f t="shared" si="30"/>
        <v>45611.63407</v>
      </c>
      <c r="N642" s="8" t="str">
        <f t="shared" si="3"/>
        <v>SELESAI</v>
      </c>
      <c r="O642" s="23">
        <f t="shared" si="22"/>
        <v>45611.63407</v>
      </c>
      <c r="P642" s="24" t="b">
        <v>0</v>
      </c>
      <c r="Q642" s="20" t="str">
        <f t="shared" si="5"/>
        <v/>
      </c>
      <c r="R642" s="24" t="b">
        <v>1</v>
      </c>
      <c r="S642" s="20">
        <f t="shared" si="6"/>
        <v>45614.60883</v>
      </c>
      <c r="T642" s="7"/>
    </row>
    <row r="643" ht="22.5" hidden="1" customHeight="1">
      <c r="B643" s="7">
        <f t="shared" si="7"/>
        <v>637</v>
      </c>
      <c r="C643" s="18" t="s">
        <v>638</v>
      </c>
      <c r="D643" s="19" t="str">
        <f t="array" ref="D643">IFNA(_xlfn.XLOOKUP(C643,Table_Tarikan_Warkah[Nomor Sertipikat],Table_Tarikan_Warkah[Nomor Tiket]),"")</f>
        <v>K/10/111124/1</v>
      </c>
      <c r="E643" s="20">
        <f t="array" ref="E643">IFNA(_xlfn.XLOOKUP(D643,Table_Tarikan_Warkah[Nomor Tiket],Table_Tarikan_Warkah[Tanggal diserahkan kepada Validator]),"")</f>
        <v>45608.44132</v>
      </c>
      <c r="F643" s="20" t="str">
        <f t="array" ref="F643">IFNA(_xlfn.XLOOKUP(D643,Table_Tarikan_Warkah[Nomor Tiket],Table_Tarikan_Warkah[Nama Petugas Warkah]),"")</f>
        <v>Berry</v>
      </c>
      <c r="G643" s="21" t="str">
        <f t="array" ref="G643">IFNA(_xlfn.XLOOKUP(D643,Table_Tarikan_Warkah[Nomor Tiket],Table_Tarikan_Warkah[Jenis Permohonan]),"")</f>
        <v>ROYA</v>
      </c>
      <c r="H643" s="22" t="s">
        <v>37</v>
      </c>
      <c r="I643" s="22" t="s">
        <v>32</v>
      </c>
      <c r="J643" s="20">
        <f t="shared" si="29"/>
        <v>45610.48355</v>
      </c>
      <c r="K643" s="27" t="s">
        <v>65</v>
      </c>
      <c r="L643" s="27" t="s">
        <v>32</v>
      </c>
      <c r="M643" s="20">
        <f t="shared" si="30"/>
        <v>45611.6341</v>
      </c>
      <c r="N643" s="8" t="str">
        <f t="shared" si="3"/>
        <v>SELESAI</v>
      </c>
      <c r="O643" s="23">
        <f t="shared" si="22"/>
        <v>45611.6341</v>
      </c>
      <c r="P643" s="24" t="b">
        <v>0</v>
      </c>
      <c r="Q643" s="20" t="str">
        <f t="shared" si="5"/>
        <v/>
      </c>
      <c r="R643" s="24" t="b">
        <v>1</v>
      </c>
      <c r="S643" s="20">
        <f t="shared" si="6"/>
        <v>45614.60886</v>
      </c>
      <c r="T643" s="7"/>
    </row>
    <row r="644" ht="22.5" hidden="1" customHeight="1">
      <c r="B644" s="7">
        <f t="shared" si="7"/>
        <v>638</v>
      </c>
      <c r="C644" s="18" t="s">
        <v>639</v>
      </c>
      <c r="D644" s="19" t="str">
        <f t="array" ref="D644">IFNA(_xlfn.XLOOKUP(C644,Table_Tarikan_Warkah[Nomor Sertipikat],Table_Tarikan_Warkah[Nomor Tiket]),"")</f>
        <v>K/8/121124/1</v>
      </c>
      <c r="E644" s="20" t="str">
        <f t="array" ref="E644">IFNA(_xlfn.XLOOKUP(D644,Table_Tarikan_Warkah[Nomor Tiket],Table_Tarikan_Warkah[Tanggal diserahkan kepada Validator]),"")</f>
        <v/>
      </c>
      <c r="F644" s="20" t="str">
        <f t="array" ref="F644">IFNA(_xlfn.XLOOKUP(D644,Table_Tarikan_Warkah[Nomor Tiket],Table_Tarikan_Warkah[Nama Petugas Warkah]),"")</f>
        <v>David</v>
      </c>
      <c r="G644" s="21" t="str">
        <f t="array" ref="G644">IFNA(_xlfn.XLOOKUP(D644,Table_Tarikan_Warkah[Nomor Tiket],Table_Tarikan_Warkah[Jenis Permohonan]),"")</f>
        <v>BN JUAL BELI</v>
      </c>
      <c r="H644" s="22" t="s">
        <v>37</v>
      </c>
      <c r="I644" s="22" t="s">
        <v>32</v>
      </c>
      <c r="J644" s="20">
        <f t="shared" si="29"/>
        <v>45610.48393</v>
      </c>
      <c r="K644" s="29" t="s">
        <v>33</v>
      </c>
      <c r="L644" s="30" t="s">
        <v>187</v>
      </c>
      <c r="M644" s="20">
        <f t="shared" si="30"/>
        <v>45611.63131</v>
      </c>
      <c r="N644" s="8" t="str">
        <f t="shared" si="3"/>
        <v>Selesai</v>
      </c>
      <c r="O644" s="23">
        <f t="shared" si="22"/>
        <v>45611.63131</v>
      </c>
      <c r="P644" s="24" t="b">
        <v>1</v>
      </c>
      <c r="Q644" s="20">
        <f t="shared" si="5"/>
        <v>45611.63267</v>
      </c>
      <c r="R644" s="24" t="b">
        <v>0</v>
      </c>
      <c r="S644" s="7" t="str">
        <f t="shared" si="6"/>
        <v/>
      </c>
      <c r="T644" s="7"/>
    </row>
    <row r="645" ht="22.5" hidden="1" customHeight="1">
      <c r="B645" s="7">
        <f t="shared" si="7"/>
        <v>639</v>
      </c>
      <c r="C645" s="18" t="s">
        <v>640</v>
      </c>
      <c r="D645" s="19" t="str">
        <f t="array" ref="D645">IFNA(_xlfn.XLOOKUP(C645,Table_Tarikan_Warkah[Nomor Sertipikat],Table_Tarikan_Warkah[Nomor Tiket]),"")</f>
        <v>K/25/081124/1</v>
      </c>
      <c r="E645" s="20">
        <f t="array" ref="E645">IFNA(_xlfn.XLOOKUP(D645,Table_Tarikan_Warkah[Nomor Tiket],Table_Tarikan_Warkah[Tanggal diserahkan kepada Validator]),"")</f>
        <v>45607.63833</v>
      </c>
      <c r="F645" s="20" t="str">
        <f t="array" ref="F645">IFNA(_xlfn.XLOOKUP(D645,Table_Tarikan_Warkah[Nomor Tiket],Table_Tarikan_Warkah[Nama Petugas Warkah]),"")</f>
        <v>Berry</v>
      </c>
      <c r="G645" s="21" t="str">
        <f t="array" ref="G645">IFNA(_xlfn.XLOOKUP(D645,Table_Tarikan_Warkah[Nomor Tiket],Table_Tarikan_Warkah[Jenis Permohonan]),"")</f>
        <v>BN JUAL BELI</v>
      </c>
      <c r="H645" s="22" t="s">
        <v>37</v>
      </c>
      <c r="I645" s="22" t="s">
        <v>32</v>
      </c>
      <c r="J645" s="20">
        <f t="shared" si="29"/>
        <v>45610.48411</v>
      </c>
      <c r="K645" s="31" t="s">
        <v>33</v>
      </c>
      <c r="L645" s="32" t="s">
        <v>187</v>
      </c>
      <c r="M645" s="20">
        <f t="shared" si="30"/>
        <v>45611.63131</v>
      </c>
      <c r="N645" s="8" t="str">
        <f t="shared" si="3"/>
        <v>Selesai</v>
      </c>
      <c r="O645" s="23">
        <f t="shared" si="22"/>
        <v>45611.63131</v>
      </c>
      <c r="P645" s="24" t="b">
        <v>1</v>
      </c>
      <c r="Q645" s="20">
        <f t="shared" si="5"/>
        <v>45611.63268</v>
      </c>
      <c r="R645" s="24" t="b">
        <v>0</v>
      </c>
      <c r="S645" s="7" t="str">
        <f t="shared" si="6"/>
        <v/>
      </c>
      <c r="T645" s="7"/>
    </row>
    <row r="646" ht="22.5" hidden="1" customHeight="1">
      <c r="B646" s="7">
        <f t="shared" si="7"/>
        <v>640</v>
      </c>
      <c r="C646" s="18" t="s">
        <v>641</v>
      </c>
      <c r="D646" s="19" t="str">
        <f t="array" ref="D646">IFNA(_xlfn.XLOOKUP(C646,Table_Tarikan_Warkah[Nomor Sertipikat],Table_Tarikan_Warkah[Nomor Tiket]),"")</f>
        <v>K/41/071124/1</v>
      </c>
      <c r="E646" s="20" t="str">
        <f t="array" ref="E646">IFNA(_xlfn.XLOOKUP(D646,Table_Tarikan_Warkah[Nomor Tiket],Table_Tarikan_Warkah[Tanggal diserahkan kepada Validator]),"")</f>
        <v/>
      </c>
      <c r="F646" s="20" t="str">
        <f t="array" ref="F646">IFNA(_xlfn.XLOOKUP(D646,Table_Tarikan_Warkah[Nomor Tiket],Table_Tarikan_Warkah[Nama Petugas Warkah]),"")</f>
        <v>David</v>
      </c>
      <c r="G646" s="21" t="str">
        <f t="array" ref="G646">IFNA(_xlfn.XLOOKUP(D646,Table_Tarikan_Warkah[Nomor Tiket],Table_Tarikan_Warkah[Jenis Permohonan]),"")</f>
        <v>BN JUAL BELI</v>
      </c>
      <c r="H646" s="22" t="s">
        <v>37</v>
      </c>
      <c r="I646" s="22" t="s">
        <v>32</v>
      </c>
      <c r="J646" s="20">
        <f t="shared" si="29"/>
        <v>45610.48432</v>
      </c>
      <c r="K646" s="29" t="s">
        <v>33</v>
      </c>
      <c r="L646" s="30" t="s">
        <v>187</v>
      </c>
      <c r="M646" s="20">
        <f t="shared" si="30"/>
        <v>45611.63133</v>
      </c>
      <c r="N646" s="8" t="str">
        <f t="shared" si="3"/>
        <v>Selesai</v>
      </c>
      <c r="O646" s="23">
        <f t="shared" si="22"/>
        <v>45611.63133</v>
      </c>
      <c r="P646" s="24" t="b">
        <v>1</v>
      </c>
      <c r="Q646" s="20">
        <f t="shared" si="5"/>
        <v>45611.63269</v>
      </c>
      <c r="R646" s="24" t="b">
        <v>0</v>
      </c>
      <c r="S646" s="7" t="str">
        <f t="shared" si="6"/>
        <v/>
      </c>
      <c r="T646" s="7"/>
    </row>
    <row r="647" ht="22.5" hidden="1" customHeight="1">
      <c r="B647" s="7">
        <f t="shared" si="7"/>
        <v>641</v>
      </c>
      <c r="C647" s="18" t="s">
        <v>642</v>
      </c>
      <c r="D647" s="19" t="str">
        <f t="array" ref="D647">IFNA(_xlfn.XLOOKUP(C647,Table_Tarikan_Warkah[Nomor Sertipikat],Table_Tarikan_Warkah[Nomor Tiket]),"")</f>
        <v>K/15/121124/2</v>
      </c>
      <c r="E647" s="20">
        <f t="array" ref="E647">IFNA(_xlfn.XLOOKUP(D647,Table_Tarikan_Warkah[Nomor Tiket],Table_Tarikan_Warkah[Tanggal diserahkan kepada Validator]),"")</f>
        <v>45609.66961</v>
      </c>
      <c r="F647" s="20" t="str">
        <f t="array" ref="F647">IFNA(_xlfn.XLOOKUP(D647,Table_Tarikan_Warkah[Nomor Tiket],Table_Tarikan_Warkah[Nama Petugas Warkah]),"")</f>
        <v>David</v>
      </c>
      <c r="G647" s="21" t="str">
        <f t="array" ref="G647">IFNA(_xlfn.XLOOKUP(D647,Table_Tarikan_Warkah[Nomor Tiket],Table_Tarikan_Warkah[Jenis Permohonan]),"")</f>
        <v>ROYA</v>
      </c>
      <c r="H647" s="22" t="s">
        <v>37</v>
      </c>
      <c r="I647" s="22" t="s">
        <v>32</v>
      </c>
      <c r="J647" s="20">
        <f t="shared" si="29"/>
        <v>45610.48461</v>
      </c>
      <c r="K647" s="31" t="s">
        <v>33</v>
      </c>
      <c r="L647" s="32" t="s">
        <v>187</v>
      </c>
      <c r="M647" s="20">
        <f t="shared" si="30"/>
        <v>45611.63133</v>
      </c>
      <c r="N647" s="8" t="str">
        <f t="shared" si="3"/>
        <v>Selesai</v>
      </c>
      <c r="O647" s="23">
        <f t="shared" si="22"/>
        <v>45611.63133</v>
      </c>
      <c r="P647" s="24" t="b">
        <v>1</v>
      </c>
      <c r="Q647" s="20">
        <f t="shared" si="5"/>
        <v>45611.63271</v>
      </c>
      <c r="R647" s="24" t="b">
        <v>0</v>
      </c>
      <c r="S647" s="7" t="str">
        <f t="shared" si="6"/>
        <v/>
      </c>
      <c r="T647" s="7"/>
    </row>
    <row r="648" ht="22.5" hidden="1" customHeight="1">
      <c r="B648" s="7">
        <f t="shared" si="7"/>
        <v>642</v>
      </c>
      <c r="C648" s="18" t="s">
        <v>643</v>
      </c>
      <c r="D648" s="19" t="str">
        <f t="array" ref="D648">IFNA(_xlfn.XLOOKUP(C648,Table_Tarikan_Warkah[Nomor Sertipikat],Table_Tarikan_Warkah[Nomor Tiket]),"")</f>
        <v>K/24/081124/2</v>
      </c>
      <c r="E648" s="20" t="str">
        <f t="array" ref="E648">IFNA(_xlfn.XLOOKUP(D648,Table_Tarikan_Warkah[Nomor Tiket],Table_Tarikan_Warkah[Tanggal diserahkan kepada Validator]),"")</f>
        <v/>
      </c>
      <c r="F648" s="20" t="str">
        <f t="array" ref="F648">IFNA(_xlfn.XLOOKUP(D648,Table_Tarikan_Warkah[Nomor Tiket],Table_Tarikan_Warkah[Nama Petugas Warkah]),"")</f>
        <v>Berry</v>
      </c>
      <c r="G648" s="21" t="str">
        <f t="array" ref="G648">IFNA(_xlfn.XLOOKUP(D648,Table_Tarikan_Warkah[Nomor Tiket],Table_Tarikan_Warkah[Jenis Permohonan]),"")</f>
        <v>BN JUAL BELI</v>
      </c>
      <c r="H648" s="22" t="s">
        <v>37</v>
      </c>
      <c r="I648" s="22" t="s">
        <v>32</v>
      </c>
      <c r="J648" s="20">
        <f t="shared" si="29"/>
        <v>45610.48472</v>
      </c>
      <c r="K648" s="29" t="s">
        <v>33</v>
      </c>
      <c r="L648" s="30" t="s">
        <v>187</v>
      </c>
      <c r="M648" s="20">
        <f t="shared" si="30"/>
        <v>45611.63135</v>
      </c>
      <c r="N648" s="8" t="str">
        <f t="shared" si="3"/>
        <v>Selesai</v>
      </c>
      <c r="O648" s="23">
        <f t="shared" si="22"/>
        <v>45611.63135</v>
      </c>
      <c r="P648" s="24" t="b">
        <v>1</v>
      </c>
      <c r="Q648" s="20">
        <f t="shared" si="5"/>
        <v>45611.63272</v>
      </c>
      <c r="R648" s="24" t="b">
        <v>0</v>
      </c>
      <c r="S648" s="7" t="str">
        <f t="shared" si="6"/>
        <v/>
      </c>
      <c r="T648" s="7"/>
    </row>
    <row r="649" ht="22.5" hidden="1" customHeight="1">
      <c r="B649" s="7">
        <f t="shared" si="7"/>
        <v>643</v>
      </c>
      <c r="C649" s="18" t="s">
        <v>644</v>
      </c>
      <c r="D649" s="19" t="str">
        <f t="array" ref="D649">IFNA(_xlfn.XLOOKUP(C649,Table_Tarikan_Warkah[Nomor Sertipikat],Table_Tarikan_Warkah[Nomor Tiket]),"")</f>
        <v>K/14/121124/1</v>
      </c>
      <c r="E649" s="20" t="str">
        <f t="array" ref="E649">IFNA(_xlfn.XLOOKUP(D649,Table_Tarikan_Warkah[Nomor Tiket],Table_Tarikan_Warkah[Tanggal diserahkan kepada Validator]),"")</f>
        <v/>
      </c>
      <c r="F649" s="20" t="str">
        <f t="array" ref="F649">IFNA(_xlfn.XLOOKUP(D649,Table_Tarikan_Warkah[Nomor Tiket],Table_Tarikan_Warkah[Nama Petugas Warkah]),"")</f>
        <v>David</v>
      </c>
      <c r="G649" s="21" t="str">
        <f t="array" ref="G649">IFNA(_xlfn.XLOOKUP(D649,Table_Tarikan_Warkah[Nomor Tiket],Table_Tarikan_Warkah[Jenis Permohonan]),"")</f>
        <v>BN HIBAH</v>
      </c>
      <c r="H649" s="22" t="s">
        <v>37</v>
      </c>
      <c r="I649" s="22" t="s">
        <v>32</v>
      </c>
      <c r="J649" s="20">
        <f t="shared" si="29"/>
        <v>45610.48485</v>
      </c>
      <c r="K649" s="31" t="s">
        <v>33</v>
      </c>
      <c r="L649" s="32" t="s">
        <v>187</v>
      </c>
      <c r="M649" s="20">
        <f t="shared" si="30"/>
        <v>45611.63135</v>
      </c>
      <c r="N649" s="8" t="str">
        <f t="shared" si="3"/>
        <v>Selesai</v>
      </c>
      <c r="O649" s="23">
        <f t="shared" si="22"/>
        <v>45611.63135</v>
      </c>
      <c r="P649" s="24" t="b">
        <v>1</v>
      </c>
      <c r="Q649" s="20">
        <f t="shared" si="5"/>
        <v>45611.63274</v>
      </c>
      <c r="R649" s="24" t="b">
        <v>0</v>
      </c>
      <c r="S649" s="7" t="str">
        <f t="shared" si="6"/>
        <v/>
      </c>
      <c r="T649" s="7"/>
    </row>
    <row r="650" ht="22.5" hidden="1" customHeight="1">
      <c r="B650" s="7">
        <f t="shared" si="7"/>
        <v>644</v>
      </c>
      <c r="C650" s="18" t="s">
        <v>645</v>
      </c>
      <c r="D650" s="7" t="s">
        <v>646</v>
      </c>
      <c r="E650" s="20" t="str">
        <f t="array" ref="E650">IFNA(_xlfn.XLOOKUP(D650,Table_Tarikan_Warkah[Nomor Tiket],Table_Tarikan_Warkah[Tanggal diserahkan kepada Validator]),"")</f>
        <v/>
      </c>
      <c r="F650" s="20" t="str">
        <f t="array" ref="F650">IFNA(_xlfn.XLOOKUP(D650,Table_Tarikan_Warkah[Nomor Tiket],Table_Tarikan_Warkah[Nama Petugas Warkah]),"")</f>
        <v>Berry</v>
      </c>
      <c r="G650" s="21" t="str">
        <f t="array" ref="G650">IFNA(_xlfn.XLOOKUP(D650,Table_Tarikan_Warkah[Nomor Tiket],Table_Tarikan_Warkah[Jenis Permohonan]),"")</f>
        <v>BN JUAL BELI</v>
      </c>
      <c r="H650" s="22" t="s">
        <v>37</v>
      </c>
      <c r="I650" s="22" t="s">
        <v>32</v>
      </c>
      <c r="J650" s="20">
        <f t="shared" si="29"/>
        <v>45610.48497</v>
      </c>
      <c r="K650" s="29" t="s">
        <v>33</v>
      </c>
      <c r="L650" s="30" t="s">
        <v>187</v>
      </c>
      <c r="M650" s="20">
        <f t="shared" si="30"/>
        <v>45611.63137</v>
      </c>
      <c r="N650" s="8" t="str">
        <f t="shared" si="3"/>
        <v>Selesai</v>
      </c>
      <c r="O650" s="23">
        <f t="shared" si="22"/>
        <v>45611.63137</v>
      </c>
      <c r="P650" s="24" t="b">
        <v>1</v>
      </c>
      <c r="Q650" s="20">
        <f t="shared" si="5"/>
        <v>45611.63274</v>
      </c>
      <c r="R650" s="24" t="b">
        <v>0</v>
      </c>
      <c r="S650" s="7" t="str">
        <f t="shared" si="6"/>
        <v/>
      </c>
      <c r="T650" s="7"/>
    </row>
    <row r="651" ht="22.5" hidden="1" customHeight="1">
      <c r="B651" s="7">
        <f t="shared" si="7"/>
        <v>645</v>
      </c>
      <c r="C651" s="18" t="s">
        <v>613</v>
      </c>
      <c r="D651" s="19" t="str">
        <f t="array" ref="D651">IFNA(_xlfn.XLOOKUP(C651,Table_Tarikan_Warkah[Nomor Sertipikat],Table_Tarikan_Warkah[Nomor Tiket]),"")</f>
        <v>K/21/111124/1</v>
      </c>
      <c r="E651" s="20">
        <f t="array" ref="E651">IFNA(_xlfn.XLOOKUP(D651,Table_Tarikan_Warkah[Nomor Tiket],Table_Tarikan_Warkah[Tanggal diserahkan kepada Validator]),"")</f>
        <v>45608.44376</v>
      </c>
      <c r="F651" s="20" t="str">
        <f t="array" ref="F651">IFNA(_xlfn.XLOOKUP(D651,Table_Tarikan_Warkah[Nomor Tiket],Table_Tarikan_Warkah[Nama Petugas Warkah]),"")</f>
        <v>David</v>
      </c>
      <c r="G651" s="21" t="str">
        <f t="array" ref="G651">IFNA(_xlfn.XLOOKUP(D651,Table_Tarikan_Warkah[Nomor Tiket],Table_Tarikan_Warkah[Jenis Permohonan]),"")</f>
        <v>ROYA</v>
      </c>
      <c r="H651" s="22" t="s">
        <v>37</v>
      </c>
      <c r="I651" s="22" t="s">
        <v>32</v>
      </c>
      <c r="J651" s="20">
        <f t="shared" si="29"/>
        <v>45610.48516</v>
      </c>
      <c r="K651" s="31" t="s">
        <v>33</v>
      </c>
      <c r="L651" s="32" t="s">
        <v>187</v>
      </c>
      <c r="M651" s="20">
        <f t="shared" si="30"/>
        <v>45611.63137</v>
      </c>
      <c r="N651" s="8" t="str">
        <f t="shared" si="3"/>
        <v>Selesai</v>
      </c>
      <c r="O651" s="23">
        <f t="shared" si="22"/>
        <v>45611.63137</v>
      </c>
      <c r="P651" s="24" t="b">
        <v>1</v>
      </c>
      <c r="Q651" s="20">
        <f t="shared" si="5"/>
        <v>45611.63275</v>
      </c>
      <c r="R651" s="24" t="b">
        <v>0</v>
      </c>
      <c r="S651" s="7" t="str">
        <f t="shared" si="6"/>
        <v/>
      </c>
      <c r="T651" s="7"/>
    </row>
    <row r="652" ht="22.5" hidden="1" customHeight="1">
      <c r="B652" s="7">
        <f t="shared" si="7"/>
        <v>646</v>
      </c>
      <c r="C652" s="18" t="s">
        <v>647</v>
      </c>
      <c r="D652" s="19" t="str">
        <f t="array" ref="D652">IFNA(_xlfn.XLOOKUP(C652,Table_Tarikan_Warkah[Nomor Sertipikat],Table_Tarikan_Warkah[Nomor Tiket]),"")</f>
        <v>K/11/121124/1</v>
      </c>
      <c r="E652" s="20">
        <f t="array" ref="E652">IFNA(_xlfn.XLOOKUP(D652,Table_Tarikan_Warkah[Nomor Tiket],Table_Tarikan_Warkah[Tanggal diserahkan kepada Validator]),"")</f>
        <v>45609.66853</v>
      </c>
      <c r="F652" s="20" t="str">
        <f t="array" ref="F652">IFNA(_xlfn.XLOOKUP(D652,Table_Tarikan_Warkah[Nomor Tiket],Table_Tarikan_Warkah[Nama Petugas Warkah]),"")</f>
        <v>David</v>
      </c>
      <c r="G652" s="21" t="str">
        <f t="array" ref="G652">IFNA(_xlfn.XLOOKUP(D652,Table_Tarikan_Warkah[Nomor Tiket],Table_Tarikan_Warkah[Jenis Permohonan]),"")</f>
        <v>BN JUAL BELI</v>
      </c>
      <c r="H652" s="22" t="s">
        <v>37</v>
      </c>
      <c r="I652" s="22" t="s">
        <v>32</v>
      </c>
      <c r="J652" s="20">
        <f t="shared" si="29"/>
        <v>45610.48524</v>
      </c>
      <c r="K652" s="29" t="s">
        <v>33</v>
      </c>
      <c r="L652" s="30" t="s">
        <v>187</v>
      </c>
      <c r="M652" s="20">
        <f t="shared" si="30"/>
        <v>45611.63141</v>
      </c>
      <c r="N652" s="8" t="str">
        <f t="shared" si="3"/>
        <v>Selesai</v>
      </c>
      <c r="O652" s="23">
        <f t="shared" si="22"/>
        <v>45611.63141</v>
      </c>
      <c r="P652" s="24" t="b">
        <v>1</v>
      </c>
      <c r="Q652" s="20">
        <f t="shared" si="5"/>
        <v>45611.63276</v>
      </c>
      <c r="R652" s="24" t="b">
        <v>0</v>
      </c>
      <c r="S652" s="7" t="str">
        <f t="shared" si="6"/>
        <v/>
      </c>
      <c r="T652" s="7"/>
    </row>
    <row r="653" ht="22.5" hidden="1" customHeight="1">
      <c r="B653" s="7">
        <f t="shared" si="7"/>
        <v>647</v>
      </c>
      <c r="C653" s="18" t="s">
        <v>611</v>
      </c>
      <c r="D653" s="19" t="str">
        <f t="array" ref="D653">IFNA(_xlfn.XLOOKUP(C653,Table_Tarikan_Warkah[Nomor Sertipikat],Table_Tarikan_Warkah[Nomor Tiket]),"")</f>
        <v>K/6/111124/2</v>
      </c>
      <c r="E653" s="20">
        <f t="array" ref="E653">IFNA(_xlfn.XLOOKUP(D653,Table_Tarikan_Warkah[Nomor Tiket],Table_Tarikan_Warkah[Tanggal diserahkan kepada Validator]),"")</f>
        <v>45608.43882</v>
      </c>
      <c r="F653" s="20" t="str">
        <f t="array" ref="F653">IFNA(_xlfn.XLOOKUP(D653,Table_Tarikan_Warkah[Nomor Tiket],Table_Tarikan_Warkah[Nama Petugas Warkah]),"")</f>
        <v>Berry</v>
      </c>
      <c r="G653" s="21" t="str">
        <f t="array" ref="G653">IFNA(_xlfn.XLOOKUP(D653,Table_Tarikan_Warkah[Nomor Tiket],Table_Tarikan_Warkah[Jenis Permohonan]),"")</f>
        <v>BN Waris</v>
      </c>
      <c r="H653" s="22" t="s">
        <v>37</v>
      </c>
      <c r="I653" s="22" t="s">
        <v>32</v>
      </c>
      <c r="J653" s="20">
        <f t="shared" si="29"/>
        <v>45610.48533</v>
      </c>
      <c r="K653" s="31" t="s">
        <v>33</v>
      </c>
      <c r="L653" s="32" t="s">
        <v>187</v>
      </c>
      <c r="M653" s="20">
        <f t="shared" si="30"/>
        <v>45611.63141</v>
      </c>
      <c r="N653" s="8" t="str">
        <f t="shared" si="3"/>
        <v>Selesai</v>
      </c>
      <c r="O653" s="23">
        <f t="shared" si="22"/>
        <v>45611.63141</v>
      </c>
      <c r="P653" s="24" t="b">
        <v>1</v>
      </c>
      <c r="Q653" s="20">
        <f t="shared" si="5"/>
        <v>45611.63278</v>
      </c>
      <c r="R653" s="24" t="b">
        <v>0</v>
      </c>
      <c r="S653" s="7" t="str">
        <f t="shared" si="6"/>
        <v/>
      </c>
      <c r="T653" s="7"/>
    </row>
    <row r="654" ht="22.5" hidden="1" customHeight="1">
      <c r="B654" s="7">
        <f t="shared" si="7"/>
        <v>648</v>
      </c>
      <c r="C654" s="18" t="s">
        <v>648</v>
      </c>
      <c r="D654" s="19" t="str">
        <f t="array" ref="D654">IFNA(_xlfn.XLOOKUP(C654,Table_Tarikan_Warkah[Nomor Sertipikat],Table_Tarikan_Warkah[Nomor Tiket]),"")</f>
        <v>K/34/111124/1</v>
      </c>
      <c r="E654" s="20">
        <f t="array" ref="E654">IFNA(_xlfn.XLOOKUP(D654,Table_Tarikan_Warkah[Nomor Tiket],Table_Tarikan_Warkah[Tanggal diserahkan kepada Validator]),"")</f>
        <v>45609.66466</v>
      </c>
      <c r="F654" s="20" t="str">
        <f t="array" ref="F654">IFNA(_xlfn.XLOOKUP(D654,Table_Tarikan_Warkah[Nomor Tiket],Table_Tarikan_Warkah[Nama Petugas Warkah]),"")</f>
        <v>David</v>
      </c>
      <c r="G654" s="21" t="str">
        <f t="array" ref="G654">IFNA(_xlfn.XLOOKUP(D654,Table_Tarikan_Warkah[Nomor Tiket],Table_Tarikan_Warkah[Jenis Permohonan]),"")</f>
        <v>BN Jual Beli</v>
      </c>
      <c r="H654" s="22" t="s">
        <v>31</v>
      </c>
      <c r="I654" s="22" t="s">
        <v>32</v>
      </c>
      <c r="J654" s="20">
        <f t="shared" si="29"/>
        <v>45610.57982</v>
      </c>
      <c r="K654" s="27" t="s">
        <v>65</v>
      </c>
      <c r="L654" s="27" t="s">
        <v>32</v>
      </c>
      <c r="M654" s="20">
        <f t="shared" si="30"/>
        <v>45611.63415</v>
      </c>
      <c r="N654" s="8" t="str">
        <f t="shared" si="3"/>
        <v>SELESAI</v>
      </c>
      <c r="O654" s="23">
        <f t="shared" si="22"/>
        <v>45611.63415</v>
      </c>
      <c r="P654" s="24" t="b">
        <v>0</v>
      </c>
      <c r="Q654" s="20" t="str">
        <f t="shared" si="5"/>
        <v/>
      </c>
      <c r="R654" s="24" t="b">
        <v>1</v>
      </c>
      <c r="S654" s="20">
        <f t="shared" si="6"/>
        <v>45614.60855</v>
      </c>
      <c r="T654" s="7"/>
    </row>
    <row r="655" ht="22.5" hidden="1" customHeight="1">
      <c r="B655" s="7">
        <f t="shared" si="7"/>
        <v>649</v>
      </c>
      <c r="C655" s="18" t="s">
        <v>649</v>
      </c>
      <c r="D655" s="19" t="str">
        <f t="array" ref="D655">IFNA(_xlfn.XLOOKUP(C655,Table_Tarikan_Warkah[Nomor Sertipikat],Table_Tarikan_Warkah[Nomor Tiket]),"")</f>
        <v>K/17/121124/3</v>
      </c>
      <c r="E655" s="20">
        <f t="array" ref="E655">IFNA(_xlfn.XLOOKUP(D655,Table_Tarikan_Warkah[Nomor Tiket],Table_Tarikan_Warkah[Tanggal diserahkan kepada Validator]),"")</f>
        <v>45609.67057</v>
      </c>
      <c r="F655" s="20" t="str">
        <f t="array" ref="F655">IFNA(_xlfn.XLOOKUP(D655,Table_Tarikan_Warkah[Nomor Tiket],Table_Tarikan_Warkah[Nama Petugas Warkah]),"")</f>
        <v>David</v>
      </c>
      <c r="G655" s="21" t="str">
        <f t="array" ref="G655">IFNA(_xlfn.XLOOKUP(D655,Table_Tarikan_Warkah[Nomor Tiket],Table_Tarikan_Warkah[Jenis Permohonan]),"")</f>
        <v>ROYA</v>
      </c>
      <c r="H655" s="22" t="s">
        <v>31</v>
      </c>
      <c r="I655" s="22" t="s">
        <v>32</v>
      </c>
      <c r="J655" s="20">
        <f t="shared" si="29"/>
        <v>45610.5799</v>
      </c>
      <c r="K655" s="27" t="s">
        <v>65</v>
      </c>
      <c r="L655" s="27" t="s">
        <v>32</v>
      </c>
      <c r="M655" s="20">
        <f t="shared" si="30"/>
        <v>45611.63415</v>
      </c>
      <c r="N655" s="8" t="str">
        <f t="shared" si="3"/>
        <v>SELESAI</v>
      </c>
      <c r="O655" s="23">
        <f t="shared" si="22"/>
        <v>45611.63415</v>
      </c>
      <c r="P655" s="24" t="b">
        <v>0</v>
      </c>
      <c r="Q655" s="20" t="str">
        <f t="shared" si="5"/>
        <v/>
      </c>
      <c r="R655" s="24" t="b">
        <v>1</v>
      </c>
      <c r="S655" s="20">
        <f t="shared" si="6"/>
        <v>45614.60856</v>
      </c>
      <c r="T655" s="7"/>
    </row>
    <row r="656" ht="22.5" hidden="1" customHeight="1">
      <c r="B656" s="7">
        <f t="shared" si="7"/>
        <v>650</v>
      </c>
      <c r="C656" s="18" t="s">
        <v>642</v>
      </c>
      <c r="D656" s="19" t="str">
        <f t="array" ref="D656">IFNA(_xlfn.XLOOKUP(C656,Table_Tarikan_Warkah[Nomor Sertipikat],Table_Tarikan_Warkah[Nomor Tiket]),"")</f>
        <v>K/15/121124/2</v>
      </c>
      <c r="E656" s="20">
        <f t="array" ref="E656">IFNA(_xlfn.XLOOKUP(D656,Table_Tarikan_Warkah[Nomor Tiket],Table_Tarikan_Warkah[Tanggal diserahkan kepada Validator]),"")</f>
        <v>45609.66961</v>
      </c>
      <c r="F656" s="20" t="str">
        <f t="array" ref="F656">IFNA(_xlfn.XLOOKUP(D656,Table_Tarikan_Warkah[Nomor Tiket],Table_Tarikan_Warkah[Nama Petugas Warkah]),"")</f>
        <v>David</v>
      </c>
      <c r="G656" s="21" t="str">
        <f t="array" ref="G656">IFNA(_xlfn.XLOOKUP(D656,Table_Tarikan_Warkah[Nomor Tiket],Table_Tarikan_Warkah[Jenis Permohonan]),"")</f>
        <v>ROYA</v>
      </c>
      <c r="H656" s="22" t="s">
        <v>31</v>
      </c>
      <c r="I656" s="22" t="s">
        <v>32</v>
      </c>
      <c r="J656" s="20">
        <f t="shared" si="29"/>
        <v>45610.5799</v>
      </c>
      <c r="K656" s="27" t="s">
        <v>65</v>
      </c>
      <c r="L656" s="27" t="s">
        <v>32</v>
      </c>
      <c r="M656" s="20">
        <f t="shared" si="30"/>
        <v>45611.63417</v>
      </c>
      <c r="N656" s="8" t="str">
        <f t="shared" si="3"/>
        <v>SELESAI</v>
      </c>
      <c r="O656" s="23">
        <f t="shared" si="22"/>
        <v>45611.63417</v>
      </c>
      <c r="P656" s="24" t="b">
        <v>0</v>
      </c>
      <c r="Q656" s="20" t="str">
        <f t="shared" si="5"/>
        <v/>
      </c>
      <c r="R656" s="24" t="b">
        <v>1</v>
      </c>
      <c r="S656" s="20">
        <f t="shared" si="6"/>
        <v>45614.60856</v>
      </c>
      <c r="T656" s="7"/>
    </row>
    <row r="657" ht="22.5" hidden="1" customHeight="1">
      <c r="B657" s="7">
        <f t="shared" si="7"/>
        <v>651</v>
      </c>
      <c r="C657" s="18" t="s">
        <v>650</v>
      </c>
      <c r="D657" s="19" t="str">
        <f t="array" ref="D657">IFNA(_xlfn.XLOOKUP(C657,Table_Tarikan_Warkah[Nomor Sertipikat],Table_Tarikan_Warkah[Nomor Tiket]),"")</f>
        <v>K/1/121124/1</v>
      </c>
      <c r="E657" s="20">
        <f t="array" ref="E657">IFNA(_xlfn.XLOOKUP(D657,Table_Tarikan_Warkah[Nomor Tiket],Table_Tarikan_Warkah[Tanggal diserahkan kepada Validator]),"")</f>
        <v>45609.66482</v>
      </c>
      <c r="F657" s="20" t="str">
        <f t="array" ref="F657">IFNA(_xlfn.XLOOKUP(D657,Table_Tarikan_Warkah[Nomor Tiket],Table_Tarikan_Warkah[Nama Petugas Warkah]),"")</f>
        <v>David</v>
      </c>
      <c r="G657" s="21" t="str">
        <f t="array" ref="G657">IFNA(_xlfn.XLOOKUP(D657,Table_Tarikan_Warkah[Nomor Tiket],Table_Tarikan_Warkah[Jenis Permohonan]),"")</f>
        <v>Perubahan Hak</v>
      </c>
      <c r="H657" s="22" t="s">
        <v>31</v>
      </c>
      <c r="I657" s="22" t="s">
        <v>32</v>
      </c>
      <c r="J657" s="20">
        <f t="shared" si="29"/>
        <v>45610.5799</v>
      </c>
      <c r="K657" s="27" t="s">
        <v>65</v>
      </c>
      <c r="L657" s="27" t="s">
        <v>32</v>
      </c>
      <c r="M657" s="20">
        <f t="shared" si="30"/>
        <v>45611.63417</v>
      </c>
      <c r="N657" s="8" t="str">
        <f t="shared" si="3"/>
        <v>SELESAI</v>
      </c>
      <c r="O657" s="23">
        <f t="shared" si="22"/>
        <v>45611.63417</v>
      </c>
      <c r="P657" s="24" t="b">
        <v>0</v>
      </c>
      <c r="Q657" s="20" t="str">
        <f t="shared" si="5"/>
        <v/>
      </c>
      <c r="R657" s="24" t="b">
        <v>1</v>
      </c>
      <c r="S657" s="20">
        <f t="shared" si="6"/>
        <v>45614.60857</v>
      </c>
      <c r="T657" s="7"/>
    </row>
    <row r="658" ht="22.5" hidden="1" customHeight="1">
      <c r="B658" s="7">
        <f t="shared" si="7"/>
        <v>652</v>
      </c>
      <c r="C658" s="18" t="s">
        <v>651</v>
      </c>
      <c r="D658" s="19" t="str">
        <f t="array" ref="D658">IFNA(_xlfn.XLOOKUP(C658,Table_Tarikan_Warkah[Nomor Sertipikat],Table_Tarikan_Warkah[Nomor Tiket]),"")</f>
        <v>K/4/121124/1</v>
      </c>
      <c r="E658" s="20">
        <f t="array" ref="E658">IFNA(_xlfn.XLOOKUP(D658,Table_Tarikan_Warkah[Nomor Tiket],Table_Tarikan_Warkah[Tanggal diserahkan kepada Validator]),"")</f>
        <v>45609.66598</v>
      </c>
      <c r="F658" s="20" t="str">
        <f t="array" ref="F658">IFNA(_xlfn.XLOOKUP(D658,Table_Tarikan_Warkah[Nomor Tiket],Table_Tarikan_Warkah[Nama Petugas Warkah]),"")</f>
        <v>David</v>
      </c>
      <c r="G658" s="21" t="str">
        <f t="array" ref="G658">IFNA(_xlfn.XLOOKUP(D658,Table_Tarikan_Warkah[Nomor Tiket],Table_Tarikan_Warkah[Jenis Permohonan]),"")</f>
        <v>BN PHB</v>
      </c>
      <c r="H658" s="22" t="s">
        <v>31</v>
      </c>
      <c r="I658" s="22" t="s">
        <v>32</v>
      </c>
      <c r="J658" s="20">
        <f t="shared" si="29"/>
        <v>45610.5799</v>
      </c>
      <c r="K658" s="27" t="s">
        <v>65</v>
      </c>
      <c r="L658" s="27" t="s">
        <v>32</v>
      </c>
      <c r="M658" s="20">
        <f t="shared" si="30"/>
        <v>45611.63419</v>
      </c>
      <c r="N658" s="8" t="str">
        <f t="shared" si="3"/>
        <v>SELESAI</v>
      </c>
      <c r="O658" s="23">
        <f t="shared" si="22"/>
        <v>45611.63419</v>
      </c>
      <c r="P658" s="24" t="b">
        <v>0</v>
      </c>
      <c r="Q658" s="20" t="str">
        <f t="shared" si="5"/>
        <v/>
      </c>
      <c r="R658" s="24" t="b">
        <v>1</v>
      </c>
      <c r="S658" s="20">
        <f t="shared" si="6"/>
        <v>45614.60858</v>
      </c>
      <c r="T658" s="7"/>
    </row>
    <row r="659" ht="22.5" hidden="1" customHeight="1">
      <c r="B659" s="7">
        <f t="shared" si="7"/>
        <v>653</v>
      </c>
      <c r="C659" s="18" t="s">
        <v>647</v>
      </c>
      <c r="D659" s="19" t="str">
        <f t="array" ref="D659">IFNA(_xlfn.XLOOKUP(C659,Table_Tarikan_Warkah[Nomor Sertipikat],Table_Tarikan_Warkah[Nomor Tiket]),"")</f>
        <v>K/11/121124/1</v>
      </c>
      <c r="E659" s="20">
        <f t="array" ref="E659">IFNA(_xlfn.XLOOKUP(D659,Table_Tarikan_Warkah[Nomor Tiket],Table_Tarikan_Warkah[Tanggal diserahkan kepada Validator]),"")</f>
        <v>45609.66853</v>
      </c>
      <c r="F659" s="20" t="str">
        <f t="array" ref="F659">IFNA(_xlfn.XLOOKUP(D659,Table_Tarikan_Warkah[Nomor Tiket],Table_Tarikan_Warkah[Nama Petugas Warkah]),"")</f>
        <v>David</v>
      </c>
      <c r="G659" s="21" t="str">
        <f t="array" ref="G659">IFNA(_xlfn.XLOOKUP(D659,Table_Tarikan_Warkah[Nomor Tiket],Table_Tarikan_Warkah[Jenis Permohonan]),"")</f>
        <v>BN JUAL BELI</v>
      </c>
      <c r="H659" s="22" t="s">
        <v>31</v>
      </c>
      <c r="I659" s="22" t="s">
        <v>32</v>
      </c>
      <c r="J659" s="20">
        <f t="shared" si="29"/>
        <v>45610.5799</v>
      </c>
      <c r="K659" s="27" t="s">
        <v>65</v>
      </c>
      <c r="L659" s="27" t="s">
        <v>32</v>
      </c>
      <c r="M659" s="20">
        <f t="shared" si="30"/>
        <v>45611.63419</v>
      </c>
      <c r="N659" s="8" t="str">
        <f t="shared" si="3"/>
        <v>SELESAI</v>
      </c>
      <c r="O659" s="23">
        <f t="shared" si="22"/>
        <v>45611.63419</v>
      </c>
      <c r="P659" s="24" t="b">
        <v>0</v>
      </c>
      <c r="Q659" s="20" t="str">
        <f t="shared" si="5"/>
        <v/>
      </c>
      <c r="R659" s="24" t="b">
        <v>1</v>
      </c>
      <c r="S659" s="20">
        <f t="shared" si="6"/>
        <v>45614.60859</v>
      </c>
      <c r="T659" s="7"/>
    </row>
    <row r="660" ht="22.5" hidden="1" customHeight="1">
      <c r="B660" s="7">
        <f t="shared" si="7"/>
        <v>654</v>
      </c>
      <c r="C660" s="18" t="s">
        <v>652</v>
      </c>
      <c r="D660" s="19" t="str">
        <f t="array" ref="D660">IFNA(_xlfn.XLOOKUP(C660,Table_Tarikan_Warkah[Nomor Sertipikat],Table_Tarikan_Warkah[Nomor Tiket]),"")</f>
        <v/>
      </c>
      <c r="E660" s="20" t="str">
        <f t="array" ref="E660">IFNA(_xlfn.XLOOKUP(D660,Table_Tarikan_Warkah[Nomor Tiket],Table_Tarikan_Warkah[Tanggal diserahkan kepada Validator]),"")</f>
        <v/>
      </c>
      <c r="F660" s="20" t="str">
        <f t="array" ref="F660">IFNA(_xlfn.XLOOKUP(D660,Table_Tarikan_Warkah[Nomor Tiket],Table_Tarikan_Warkah[Nama Petugas Warkah]),"")</f>
        <v/>
      </c>
      <c r="G660" s="21" t="str">
        <f t="array" ref="G660">IFNA(_xlfn.XLOOKUP(D660,Table_Tarikan_Warkah[Nomor Tiket],Table_Tarikan_Warkah[Jenis Permohonan]),"")</f>
        <v/>
      </c>
      <c r="H660" s="22" t="s">
        <v>31</v>
      </c>
      <c r="I660" s="22" t="s">
        <v>32</v>
      </c>
      <c r="J660" s="20">
        <f t="shared" si="29"/>
        <v>45610.5799</v>
      </c>
      <c r="K660" s="27" t="s">
        <v>65</v>
      </c>
      <c r="L660" s="27" t="s">
        <v>32</v>
      </c>
      <c r="M660" s="20">
        <f t="shared" si="30"/>
        <v>45611.63432</v>
      </c>
      <c r="N660" s="8" t="str">
        <f t="shared" si="3"/>
        <v/>
      </c>
      <c r="O660" s="21" t="str">
        <f t="shared" si="22"/>
        <v/>
      </c>
      <c r="P660" s="24" t="b">
        <v>0</v>
      </c>
      <c r="Q660" s="20" t="str">
        <f t="shared" si="5"/>
        <v/>
      </c>
      <c r="R660" s="24" t="b">
        <v>1</v>
      </c>
      <c r="S660" s="20">
        <f t="shared" si="6"/>
        <v>45614.6086</v>
      </c>
      <c r="T660" s="7"/>
    </row>
    <row r="661" ht="22.5" hidden="1" customHeight="1">
      <c r="B661" s="7">
        <f t="shared" si="7"/>
        <v>655</v>
      </c>
      <c r="C661" s="18" t="s">
        <v>653</v>
      </c>
      <c r="D661" s="19" t="str">
        <f t="array" ref="D661">IFNA(_xlfn.XLOOKUP(C661,Table_Tarikan_Warkah[Nomor Sertipikat],Table_Tarikan_Warkah[Nomor Tiket]),"")</f>
        <v>K/21/121124/1</v>
      </c>
      <c r="E661" s="20">
        <f t="array" ref="E661">IFNA(_xlfn.XLOOKUP(D661,Table_Tarikan_Warkah[Nomor Tiket],Table_Tarikan_Warkah[Tanggal diserahkan kepada Validator]),"")</f>
        <v>45609.67135</v>
      </c>
      <c r="F661" s="20" t="str">
        <f t="array" ref="F661">IFNA(_xlfn.XLOOKUP(D661,Table_Tarikan_Warkah[Nomor Tiket],Table_Tarikan_Warkah[Nama Petugas Warkah]),"")</f>
        <v>David</v>
      </c>
      <c r="G661" s="21" t="str">
        <f t="array" ref="G661">IFNA(_xlfn.XLOOKUP(D661,Table_Tarikan_Warkah[Nomor Tiket],Table_Tarikan_Warkah[Jenis Permohonan]),"")</f>
        <v>PTPGT (Pemecahan)</v>
      </c>
      <c r="H661" s="22" t="s">
        <v>31</v>
      </c>
      <c r="I661" s="22" t="s">
        <v>32</v>
      </c>
      <c r="J661" s="20">
        <f t="shared" si="29"/>
        <v>45610.5799</v>
      </c>
      <c r="K661" s="27" t="s">
        <v>65</v>
      </c>
      <c r="L661" s="27" t="s">
        <v>32</v>
      </c>
      <c r="M661" s="20">
        <f t="shared" si="30"/>
        <v>45611.63432</v>
      </c>
      <c r="N661" s="8" t="str">
        <f t="shared" si="3"/>
        <v>SELESAI</v>
      </c>
      <c r="O661" s="23">
        <f t="shared" si="22"/>
        <v>45611.63432</v>
      </c>
      <c r="P661" s="24" t="b">
        <v>0</v>
      </c>
      <c r="Q661" s="20" t="str">
        <f t="shared" si="5"/>
        <v/>
      </c>
      <c r="R661" s="24" t="b">
        <v>1</v>
      </c>
      <c r="S661" s="20">
        <f t="shared" si="6"/>
        <v>45614.60861</v>
      </c>
      <c r="T661" s="7"/>
    </row>
    <row r="662" ht="22.5" hidden="1" customHeight="1">
      <c r="B662" s="7">
        <f t="shared" si="7"/>
        <v>656</v>
      </c>
      <c r="C662" s="18" t="s">
        <v>654</v>
      </c>
      <c r="D662" s="19"/>
      <c r="E662" s="20" t="str">
        <f t="array" ref="E662">IFNA(_xlfn.XLOOKUP(D662,Table_Tarikan_Warkah[Nomor Tiket],Table_Tarikan_Warkah[Tanggal diserahkan kepada Validator]),"")</f>
        <v/>
      </c>
      <c r="F662" s="20" t="str">
        <f t="array" ref="F662">IFNA(_xlfn.XLOOKUP(D662,Table_Tarikan_Warkah[Nomor Tiket],Table_Tarikan_Warkah[Nama Petugas Warkah]),"")</f>
        <v/>
      </c>
      <c r="G662" s="21" t="str">
        <f t="array" ref="G662">IFNA(_xlfn.XLOOKUP(D662,Table_Tarikan_Warkah[Nomor Tiket],Table_Tarikan_Warkah[Jenis Permohonan]),"")</f>
        <v/>
      </c>
      <c r="H662" s="22" t="s">
        <v>31</v>
      </c>
      <c r="I662" s="22" t="s">
        <v>32</v>
      </c>
      <c r="J662" s="20">
        <f t="shared" si="29"/>
        <v>45610.5799</v>
      </c>
      <c r="K662" s="27" t="s">
        <v>65</v>
      </c>
      <c r="L662" s="27" t="s">
        <v>32</v>
      </c>
      <c r="M662" s="20">
        <f t="shared" si="30"/>
        <v>45611.63438</v>
      </c>
      <c r="N662" s="8" t="str">
        <f t="shared" si="3"/>
        <v/>
      </c>
      <c r="O662" s="21" t="str">
        <f t="shared" si="22"/>
        <v/>
      </c>
      <c r="P662" s="24" t="b">
        <v>1</v>
      </c>
      <c r="Q662" s="20">
        <f t="shared" si="5"/>
        <v>45625.48371</v>
      </c>
      <c r="R662" s="24" t="b">
        <v>1</v>
      </c>
      <c r="S662" s="20">
        <f t="shared" si="6"/>
        <v>45614.60862</v>
      </c>
      <c r="T662" s="7"/>
    </row>
    <row r="663" ht="22.5" hidden="1" customHeight="1">
      <c r="B663" s="7">
        <f t="shared" si="7"/>
        <v>657</v>
      </c>
      <c r="C663" s="18" t="s">
        <v>655</v>
      </c>
      <c r="D663" s="19" t="str">
        <f t="array" ref="D663">IFNA(_xlfn.XLOOKUP(C663,Table_Tarikan_Warkah[Nomor Sertipikat],Table_Tarikan_Warkah[Nomor Tiket]),"")</f>
        <v>K/12/121124/2</v>
      </c>
      <c r="E663" s="20">
        <f t="array" ref="E663">IFNA(_xlfn.XLOOKUP(D663,Table_Tarikan_Warkah[Nomor Tiket],Table_Tarikan_Warkah[Tanggal diserahkan kepada Validator]),"")</f>
        <v>45609.66864</v>
      </c>
      <c r="F663" s="20" t="str">
        <f t="array" ref="F663">IFNA(_xlfn.XLOOKUP(D663,Table_Tarikan_Warkah[Nomor Tiket],Table_Tarikan_Warkah[Nama Petugas Warkah]),"")</f>
        <v>David</v>
      </c>
      <c r="G663" s="21" t="str">
        <f t="array" ref="G663">IFNA(_xlfn.XLOOKUP(D663,Table_Tarikan_Warkah[Nomor Tiket],Table_Tarikan_Warkah[Jenis Permohonan]),"")</f>
        <v>BN JUAL BELI</v>
      </c>
      <c r="H663" s="22" t="s">
        <v>31</v>
      </c>
      <c r="I663" s="22" t="s">
        <v>32</v>
      </c>
      <c r="J663" s="20">
        <f t="shared" si="29"/>
        <v>45610.5799</v>
      </c>
      <c r="K663" s="27" t="s">
        <v>65</v>
      </c>
      <c r="L663" s="27" t="s">
        <v>32</v>
      </c>
      <c r="M663" s="20">
        <f t="shared" si="30"/>
        <v>45611.63438</v>
      </c>
      <c r="N663" s="8" t="str">
        <f t="shared" si="3"/>
        <v>SELESAI</v>
      </c>
      <c r="O663" s="23">
        <f t="shared" si="22"/>
        <v>45611.63438</v>
      </c>
      <c r="P663" s="24" t="b">
        <v>0</v>
      </c>
      <c r="Q663" s="20" t="str">
        <f t="shared" si="5"/>
        <v/>
      </c>
      <c r="R663" s="24" t="b">
        <v>1</v>
      </c>
      <c r="S663" s="20">
        <f t="shared" si="6"/>
        <v>45614.60863</v>
      </c>
      <c r="T663" s="7"/>
    </row>
    <row r="664" ht="22.5" hidden="1" customHeight="1">
      <c r="B664" s="7">
        <f t="shared" si="7"/>
        <v>658</v>
      </c>
      <c r="C664" s="18" t="s">
        <v>640</v>
      </c>
      <c r="D664" s="19" t="str">
        <f t="array" ref="D664">IFNA(_xlfn.XLOOKUP(C664,Table_Tarikan_Warkah[Nomor Sertipikat],Table_Tarikan_Warkah[Nomor Tiket]),"")</f>
        <v>K/25/081124/1</v>
      </c>
      <c r="E664" s="20">
        <f t="array" ref="E664">IFNA(_xlfn.XLOOKUP(D664,Table_Tarikan_Warkah[Nomor Tiket],Table_Tarikan_Warkah[Tanggal diserahkan kepada Validator]),"")</f>
        <v>45607.63833</v>
      </c>
      <c r="F664" s="20" t="str">
        <f t="array" ref="F664">IFNA(_xlfn.XLOOKUP(D664,Table_Tarikan_Warkah[Nomor Tiket],Table_Tarikan_Warkah[Nama Petugas Warkah]),"")</f>
        <v>Berry</v>
      </c>
      <c r="G664" s="21" t="str">
        <f t="array" ref="G664">IFNA(_xlfn.XLOOKUP(D664,Table_Tarikan_Warkah[Nomor Tiket],Table_Tarikan_Warkah[Jenis Permohonan]),"")</f>
        <v>BN JUAL BELI</v>
      </c>
      <c r="H664" s="22" t="s">
        <v>31</v>
      </c>
      <c r="I664" s="22" t="s">
        <v>32</v>
      </c>
      <c r="J664" s="20">
        <f t="shared" si="29"/>
        <v>45610.5799</v>
      </c>
      <c r="K664" s="27" t="s">
        <v>65</v>
      </c>
      <c r="L664" s="27" t="s">
        <v>32</v>
      </c>
      <c r="M664" s="20">
        <f t="shared" si="30"/>
        <v>45611.6344</v>
      </c>
      <c r="N664" s="8" t="str">
        <f t="shared" si="3"/>
        <v>SELESAI</v>
      </c>
      <c r="O664" s="23">
        <f t="shared" si="22"/>
        <v>45611.6344</v>
      </c>
      <c r="P664" s="24" t="b">
        <v>0</v>
      </c>
      <c r="Q664" s="20" t="str">
        <f t="shared" si="5"/>
        <v/>
      </c>
      <c r="R664" s="24" t="b">
        <v>1</v>
      </c>
      <c r="S664" s="20">
        <f t="shared" si="6"/>
        <v>45614.60864</v>
      </c>
      <c r="T664" s="7"/>
    </row>
    <row r="665" ht="22.5" hidden="1" customHeight="1">
      <c r="B665" s="7">
        <f t="shared" si="7"/>
        <v>659</v>
      </c>
      <c r="C665" s="18" t="s">
        <v>608</v>
      </c>
      <c r="D665" s="19" t="str">
        <f t="array" ref="D665">IFNA(_xlfn.XLOOKUP(C665,Table_Tarikan_Warkah[Nomor Sertipikat],Table_Tarikan_Warkah[Nomor Tiket]),"")</f>
        <v>K/33/111124/1</v>
      </c>
      <c r="E665" s="20">
        <f t="array" ref="E665">IFNA(_xlfn.XLOOKUP(D665,Table_Tarikan_Warkah[Nomor Tiket],Table_Tarikan_Warkah[Tanggal diserahkan kepada Validator]),"")</f>
        <v>45608.44519</v>
      </c>
      <c r="F665" s="20" t="str">
        <f t="array" ref="F665">IFNA(_xlfn.XLOOKUP(D665,Table_Tarikan_Warkah[Nomor Tiket],Table_Tarikan_Warkah[Nama Petugas Warkah]),"")</f>
        <v>David</v>
      </c>
      <c r="G665" s="21" t="str">
        <f t="array" ref="G665">IFNA(_xlfn.XLOOKUP(D665,Table_Tarikan_Warkah[Nomor Tiket],Table_Tarikan_Warkah[Jenis Permohonan]),"")</f>
        <v>BN JUAL BELI</v>
      </c>
      <c r="H665" s="22" t="s">
        <v>31</v>
      </c>
      <c r="I665" s="22" t="s">
        <v>32</v>
      </c>
      <c r="J665" s="20">
        <f t="shared" si="29"/>
        <v>45610.58086</v>
      </c>
      <c r="K665" s="27" t="s">
        <v>33</v>
      </c>
      <c r="L665" s="27" t="s">
        <v>187</v>
      </c>
      <c r="M665" s="20">
        <f t="shared" si="30"/>
        <v>45611.63118</v>
      </c>
      <c r="N665" s="8" t="str">
        <f t="shared" si="3"/>
        <v>Selesai</v>
      </c>
      <c r="O665" s="23">
        <f t="shared" si="22"/>
        <v>45611.63118</v>
      </c>
      <c r="P665" s="24" t="b">
        <v>1</v>
      </c>
      <c r="Q665" s="20">
        <f t="shared" si="5"/>
        <v>45611.63282</v>
      </c>
      <c r="R665" s="24" t="b">
        <v>0</v>
      </c>
      <c r="S665" s="7" t="str">
        <f t="shared" si="6"/>
        <v/>
      </c>
      <c r="T665" s="7"/>
    </row>
    <row r="666" ht="22.5" hidden="1" customHeight="1">
      <c r="B666" s="7">
        <f t="shared" si="7"/>
        <v>660</v>
      </c>
      <c r="C666" s="18" t="s">
        <v>586</v>
      </c>
      <c r="D666" s="19" t="str">
        <f t="array" ref="D666">IFNA(_xlfn.XLOOKUP(C666,Table_Tarikan_Warkah[Nomor Sertipikat],Table_Tarikan_Warkah[Nomor Tiket]),"")</f>
        <v>K/35/081124/5</v>
      </c>
      <c r="E666" s="20">
        <f t="array" ref="E666">IFNA(_xlfn.XLOOKUP(D666,Table_Tarikan_Warkah[Nomor Tiket],Table_Tarikan_Warkah[Tanggal diserahkan kepada Validator]),"")</f>
        <v>45607.63952</v>
      </c>
      <c r="F666" s="20" t="str">
        <f t="array" ref="F666">IFNA(_xlfn.XLOOKUP(D666,Table_Tarikan_Warkah[Nomor Tiket],Table_Tarikan_Warkah[Nama Petugas Warkah]),"")</f>
        <v>Berry</v>
      </c>
      <c r="G666" s="21" t="str">
        <f t="array" ref="G666">IFNA(_xlfn.XLOOKUP(D666,Table_Tarikan_Warkah[Nomor Tiket],Table_Tarikan_Warkah[Jenis Permohonan]),"")</f>
        <v>BN JUAL BELI</v>
      </c>
      <c r="H666" s="22" t="s">
        <v>31</v>
      </c>
      <c r="I666" s="22" t="s">
        <v>32</v>
      </c>
      <c r="J666" s="20">
        <f t="shared" si="29"/>
        <v>45610.5809</v>
      </c>
      <c r="K666" s="27" t="s">
        <v>33</v>
      </c>
      <c r="L666" s="27" t="s">
        <v>187</v>
      </c>
      <c r="M666" s="20">
        <f t="shared" si="30"/>
        <v>45611.63118</v>
      </c>
      <c r="N666" s="8" t="str">
        <f t="shared" si="3"/>
        <v>Selesai</v>
      </c>
      <c r="O666" s="23">
        <f t="shared" si="22"/>
        <v>45611.63118</v>
      </c>
      <c r="P666" s="24" t="b">
        <v>1</v>
      </c>
      <c r="Q666" s="20">
        <f t="shared" si="5"/>
        <v>45611.63283</v>
      </c>
      <c r="R666" s="24" t="b">
        <v>0</v>
      </c>
      <c r="S666" s="7" t="str">
        <f t="shared" si="6"/>
        <v/>
      </c>
      <c r="T666" s="7"/>
    </row>
    <row r="667" ht="22.5" hidden="1" customHeight="1">
      <c r="B667" s="7">
        <f t="shared" si="7"/>
        <v>661</v>
      </c>
      <c r="C667" s="18" t="s">
        <v>656</v>
      </c>
      <c r="D667" s="19" t="str">
        <f t="array" ref="D667">IFNA(_xlfn.XLOOKUP(C667,Table_Tarikan_Warkah[Nomor Sertipikat],Table_Tarikan_Warkah[Nomor Tiket]),"")</f>
        <v>K/45/111124/2</v>
      </c>
      <c r="E667" s="20" t="str">
        <f t="array" ref="E667">IFNA(_xlfn.XLOOKUP(D667,Table_Tarikan_Warkah[Nomor Tiket],Table_Tarikan_Warkah[Tanggal diserahkan kepada Validator]),"")</f>
        <v/>
      </c>
      <c r="F667" s="20" t="str">
        <f t="array" ref="F667">IFNA(_xlfn.XLOOKUP(D667,Table_Tarikan_Warkah[Nomor Tiket],Table_Tarikan_Warkah[Nama Petugas Warkah]),"")</f>
        <v/>
      </c>
      <c r="G667" s="21" t="str">
        <f t="array" ref="G667">IFNA(_xlfn.XLOOKUP(D667,Table_Tarikan_Warkah[Nomor Tiket],Table_Tarikan_Warkah[Jenis Permohonan]),"")</f>
        <v>ROYA</v>
      </c>
      <c r="H667" s="22" t="s">
        <v>31</v>
      </c>
      <c r="I667" s="22" t="s">
        <v>32</v>
      </c>
      <c r="J667" s="20">
        <f t="shared" si="29"/>
        <v>45610.5809</v>
      </c>
      <c r="K667" s="27" t="s">
        <v>33</v>
      </c>
      <c r="L667" s="27" t="s">
        <v>187</v>
      </c>
      <c r="M667" s="20">
        <f t="shared" si="30"/>
        <v>45611.6312</v>
      </c>
      <c r="N667" s="8" t="str">
        <f t="shared" si="3"/>
        <v>Selesai</v>
      </c>
      <c r="O667" s="23">
        <f t="shared" si="22"/>
        <v>45611.6312</v>
      </c>
      <c r="P667" s="24" t="b">
        <v>1</v>
      </c>
      <c r="Q667" s="20">
        <f t="shared" si="5"/>
        <v>45611.63284</v>
      </c>
      <c r="R667" s="24"/>
      <c r="S667" s="7" t="str">
        <f t="shared" si="6"/>
        <v/>
      </c>
      <c r="T667" s="7"/>
    </row>
    <row r="668" ht="22.5" hidden="1" customHeight="1">
      <c r="B668" s="7">
        <f t="shared" si="7"/>
        <v>662</v>
      </c>
      <c r="C668" s="18" t="s">
        <v>606</v>
      </c>
      <c r="D668" s="19" t="str">
        <f t="array" ref="D668">IFNA(_xlfn.XLOOKUP(C668,Table_Tarikan_Warkah[Nomor Sertipikat],Table_Tarikan_Warkah[Nomor Tiket]),"")</f>
        <v>K/19/111124/1</v>
      </c>
      <c r="E668" s="20">
        <f t="array" ref="E668">IFNA(_xlfn.XLOOKUP(D668,Table_Tarikan_Warkah[Nomor Tiket],Table_Tarikan_Warkah[Tanggal diserahkan kepada Validator]),"")</f>
        <v>45608.44332</v>
      </c>
      <c r="F668" s="20" t="str">
        <f t="array" ref="F668">IFNA(_xlfn.XLOOKUP(D668,Table_Tarikan_Warkah[Nomor Tiket],Table_Tarikan_Warkah[Nama Petugas Warkah]),"")</f>
        <v>Berry</v>
      </c>
      <c r="G668" s="21" t="str">
        <f t="array" ref="G668">IFNA(_xlfn.XLOOKUP(D668,Table_Tarikan_Warkah[Nomor Tiket],Table_Tarikan_Warkah[Jenis Permohonan]),"")</f>
        <v>BN Jual Beli</v>
      </c>
      <c r="H668" s="22" t="s">
        <v>31</v>
      </c>
      <c r="I668" s="22" t="s">
        <v>32</v>
      </c>
      <c r="J668" s="20">
        <f t="shared" si="29"/>
        <v>45610.5809</v>
      </c>
      <c r="K668" s="27" t="s">
        <v>33</v>
      </c>
      <c r="L668" s="27" t="s">
        <v>187</v>
      </c>
      <c r="M668" s="20">
        <f t="shared" si="30"/>
        <v>45611.6312</v>
      </c>
      <c r="N668" s="8" t="str">
        <f t="shared" si="3"/>
        <v>Selesai</v>
      </c>
      <c r="O668" s="23">
        <f t="shared" si="22"/>
        <v>45611.6312</v>
      </c>
      <c r="P668" s="24" t="b">
        <v>1</v>
      </c>
      <c r="Q668" s="20">
        <f t="shared" si="5"/>
        <v>45611.63286</v>
      </c>
      <c r="R668" s="24" t="b">
        <v>0</v>
      </c>
      <c r="S668" s="7" t="str">
        <f t="shared" si="6"/>
        <v/>
      </c>
      <c r="T668" s="7"/>
    </row>
    <row r="669" ht="22.5" hidden="1" customHeight="1">
      <c r="B669" s="7">
        <f t="shared" si="7"/>
        <v>663</v>
      </c>
      <c r="C669" s="18" t="s">
        <v>657</v>
      </c>
      <c r="D669" s="19" t="str">
        <f t="array" ref="D669">IFNA(_xlfn.XLOOKUP(C669,Table_Tarikan_Warkah[Nomor Sertipikat],Table_Tarikan_Warkah[Nomor Tiket]),"")</f>
        <v>K/23/221024/8</v>
      </c>
      <c r="E669" s="20" t="str">
        <f t="array" ref="E669">IFNA(_xlfn.XLOOKUP(D669,Table_Tarikan_Warkah[Nomor Tiket],Table_Tarikan_Warkah[Tanggal diserahkan kepada Validator]),"")</f>
        <v/>
      </c>
      <c r="F669" s="20" t="str">
        <f t="array" ref="F669">IFNA(_xlfn.XLOOKUP(D669,Table_Tarikan_Warkah[Nomor Tiket],Table_Tarikan_Warkah[Nama Petugas Warkah]),"")</f>
        <v/>
      </c>
      <c r="G669" s="21" t="str">
        <f t="array" ref="G669">IFNA(_xlfn.XLOOKUP(D669,Table_Tarikan_Warkah[Nomor Tiket],Table_Tarikan_Warkah[Jenis Permohonan]),"")</f>
        <v>BN Waris</v>
      </c>
      <c r="H669" s="22" t="s">
        <v>31</v>
      </c>
      <c r="I669" s="22" t="s">
        <v>32</v>
      </c>
      <c r="J669" s="20">
        <f t="shared" si="29"/>
        <v>45610.5809</v>
      </c>
      <c r="K669" s="27" t="s">
        <v>33</v>
      </c>
      <c r="L669" s="27" t="s">
        <v>187</v>
      </c>
      <c r="M669" s="20">
        <f t="shared" si="30"/>
        <v>45611.63123</v>
      </c>
      <c r="N669" s="8" t="str">
        <f t="shared" si="3"/>
        <v>Selesai</v>
      </c>
      <c r="O669" s="23">
        <f t="shared" si="22"/>
        <v>45611.63123</v>
      </c>
      <c r="P669" s="24" t="b">
        <v>1</v>
      </c>
      <c r="Q669" s="20">
        <f t="shared" si="5"/>
        <v>45611.63288</v>
      </c>
      <c r="R669" s="24" t="b">
        <v>0</v>
      </c>
      <c r="S669" s="7" t="str">
        <f t="shared" si="6"/>
        <v/>
      </c>
      <c r="T669" s="7"/>
    </row>
    <row r="670" ht="22.5" hidden="1" customHeight="1">
      <c r="B670" s="7">
        <f t="shared" si="7"/>
        <v>664</v>
      </c>
      <c r="C670" s="18" t="s">
        <v>605</v>
      </c>
      <c r="D670" s="19" t="str">
        <f t="array" ref="D670">IFNA(_xlfn.XLOOKUP(C670,Table_Tarikan_Warkah[Nomor Sertipikat],Table_Tarikan_Warkah[Nomor Tiket]),"")</f>
        <v>K/18/111124/1</v>
      </c>
      <c r="E670" s="20">
        <f t="array" ref="E670">IFNA(_xlfn.XLOOKUP(D670,Table_Tarikan_Warkah[Nomor Tiket],Table_Tarikan_Warkah[Tanggal diserahkan kepada Validator]),"")</f>
        <v>45608.4431</v>
      </c>
      <c r="F670" s="20" t="str">
        <f t="array" ref="F670">IFNA(_xlfn.XLOOKUP(D670,Table_Tarikan_Warkah[Nomor Tiket],Table_Tarikan_Warkah[Nama Petugas Warkah]),"")</f>
        <v>Berry</v>
      </c>
      <c r="G670" s="21" t="str">
        <f t="array" ref="G670">IFNA(_xlfn.XLOOKUP(D670,Table_Tarikan_Warkah[Nomor Tiket],Table_Tarikan_Warkah[Jenis Permohonan]),"")</f>
        <v>BN HIBAH</v>
      </c>
      <c r="H670" s="22" t="s">
        <v>31</v>
      </c>
      <c r="I670" s="22" t="s">
        <v>32</v>
      </c>
      <c r="J670" s="20">
        <f t="shared" si="29"/>
        <v>45610.5809</v>
      </c>
      <c r="K670" s="27" t="s">
        <v>33</v>
      </c>
      <c r="L670" s="27" t="s">
        <v>187</v>
      </c>
      <c r="M670" s="20">
        <f t="shared" si="30"/>
        <v>45611.63111</v>
      </c>
      <c r="N670" s="8" t="str">
        <f t="shared" si="3"/>
        <v>Selesai</v>
      </c>
      <c r="O670" s="23">
        <f t="shared" si="22"/>
        <v>45611.63111</v>
      </c>
      <c r="P670" s="24" t="b">
        <v>1</v>
      </c>
      <c r="Q670" s="20">
        <f t="shared" si="5"/>
        <v>45611.63289</v>
      </c>
      <c r="R670" s="24" t="b">
        <v>0</v>
      </c>
      <c r="S670" s="7" t="str">
        <f t="shared" si="6"/>
        <v/>
      </c>
      <c r="T670" s="7"/>
    </row>
    <row r="671" ht="22.5" hidden="1" customHeight="1">
      <c r="B671" s="7">
        <f t="shared" si="7"/>
        <v>665</v>
      </c>
      <c r="C671" s="18" t="s">
        <v>658</v>
      </c>
      <c r="D671" s="19" t="str">
        <f t="array" ref="D671">IFNA(_xlfn.XLOOKUP(C671,Table_Tarikan_Warkah[Nomor Sertipikat],Table_Tarikan_Warkah[Nomor Tiket]),"")</f>
        <v>K/69/311024/3</v>
      </c>
      <c r="E671" s="20" t="str">
        <f t="array" ref="E671">IFNA(_xlfn.XLOOKUP(D671,Table_Tarikan_Warkah[Nomor Tiket],Table_Tarikan_Warkah[Tanggal diserahkan kepada Validator]),"")</f>
        <v/>
      </c>
      <c r="F671" s="20" t="str">
        <f t="array" ref="F671">IFNA(_xlfn.XLOOKUP(D671,Table_Tarikan_Warkah[Nomor Tiket],Table_Tarikan_Warkah[Nama Petugas Warkah]),"")</f>
        <v>David</v>
      </c>
      <c r="G671" s="21" t="str">
        <f t="array" ref="G671">IFNA(_xlfn.XLOOKUP(D671,Table_Tarikan_Warkah[Nomor Tiket],Table_Tarikan_Warkah[Jenis Permohonan]),"")</f>
        <v>BN JUAL BELI</v>
      </c>
      <c r="H671" s="22" t="s">
        <v>31</v>
      </c>
      <c r="I671" s="22" t="s">
        <v>32</v>
      </c>
      <c r="J671" s="20">
        <f t="shared" si="29"/>
        <v>45610.5809</v>
      </c>
      <c r="K671" s="27" t="s">
        <v>33</v>
      </c>
      <c r="L671" s="27" t="s">
        <v>187</v>
      </c>
      <c r="M671" s="20">
        <f t="shared" si="30"/>
        <v>45611.63099</v>
      </c>
      <c r="N671" s="8" t="str">
        <f t="shared" si="3"/>
        <v>Selesai</v>
      </c>
      <c r="O671" s="23">
        <f t="shared" si="22"/>
        <v>45611.63099</v>
      </c>
      <c r="P671" s="24" t="b">
        <v>1</v>
      </c>
      <c r="Q671" s="20">
        <f t="shared" si="5"/>
        <v>45611.63104</v>
      </c>
      <c r="R671" s="24" t="b">
        <v>0</v>
      </c>
      <c r="S671" s="7" t="str">
        <f t="shared" si="6"/>
        <v/>
      </c>
      <c r="T671" s="7"/>
    </row>
    <row r="672" ht="22.5" hidden="1" customHeight="1">
      <c r="B672" s="7">
        <f t="shared" si="7"/>
        <v>666</v>
      </c>
      <c r="C672" s="18" t="s">
        <v>659</v>
      </c>
      <c r="D672" s="19" t="str">
        <f t="array" ref="D672">IFNA(_xlfn.XLOOKUP(C672,Table_Tarikan_Warkah[Nomor Sertipikat],Table_Tarikan_Warkah[Nomor Tiket]),"")</f>
        <v>K/17/281024/1</v>
      </c>
      <c r="E672" s="20" t="str">
        <f t="array" ref="E672">IFNA(_xlfn.XLOOKUP(D672,Table_Tarikan_Warkah[Nomor Tiket],Table_Tarikan_Warkah[Tanggal diserahkan kepada Validator]),"")</f>
        <v/>
      </c>
      <c r="F672" s="20" t="str">
        <f t="array" ref="F672">IFNA(_xlfn.XLOOKUP(D672,Table_Tarikan_Warkah[Nomor Tiket],Table_Tarikan_Warkah[Nama Petugas Warkah]),"")</f>
        <v/>
      </c>
      <c r="G672" s="21" t="str">
        <f t="array" ref="G672">IFNA(_xlfn.XLOOKUP(D672,Table_Tarikan_Warkah[Nomor Tiket],Table_Tarikan_Warkah[Jenis Permohonan]),"")</f>
        <v>S. Hilang</v>
      </c>
      <c r="H672" s="26"/>
      <c r="I672" s="22" t="s">
        <v>32</v>
      </c>
      <c r="J672" s="20">
        <f t="shared" si="29"/>
        <v>45611.33122</v>
      </c>
      <c r="K672" s="26"/>
      <c r="L672" s="22" t="s">
        <v>187</v>
      </c>
      <c r="M672" s="20">
        <f t="shared" si="30"/>
        <v>45611.33125</v>
      </c>
      <c r="N672" s="8" t="str">
        <f t="shared" si="3"/>
        <v>Selesai</v>
      </c>
      <c r="O672" s="23">
        <f t="shared" si="22"/>
        <v>45611.33125</v>
      </c>
      <c r="P672" s="24" t="b">
        <v>0</v>
      </c>
      <c r="Q672" s="20" t="str">
        <f t="shared" si="5"/>
        <v/>
      </c>
      <c r="R672" s="24" t="b">
        <v>0</v>
      </c>
      <c r="S672" s="7" t="str">
        <f t="shared" si="6"/>
        <v/>
      </c>
      <c r="T672" s="7"/>
    </row>
    <row r="673" ht="22.5" hidden="1" customHeight="1">
      <c r="B673" s="7">
        <f t="shared" si="7"/>
        <v>667</v>
      </c>
      <c r="C673" s="18" t="s">
        <v>660</v>
      </c>
      <c r="D673" s="19" t="str">
        <f t="array" ref="D673">IFNA(_xlfn.XLOOKUP(C673,Table_Tarikan_Warkah[Nomor Sertipikat],Table_Tarikan_Warkah[Nomor Tiket]),"")</f>
        <v>K/25/121124/1</v>
      </c>
      <c r="E673" s="20">
        <f t="array" ref="E673">IFNA(_xlfn.XLOOKUP(D673,Table_Tarikan_Warkah[Nomor Tiket],Table_Tarikan_Warkah[Tanggal diserahkan kepada Validator]),"")</f>
        <v>45610.35971</v>
      </c>
      <c r="F673" s="20" t="str">
        <f t="array" ref="F673">IFNA(_xlfn.XLOOKUP(D673,Table_Tarikan_Warkah[Nomor Tiket],Table_Tarikan_Warkah[Nama Petugas Warkah]),"")</f>
        <v>David</v>
      </c>
      <c r="G673" s="21" t="str">
        <f t="array" ref="G673">IFNA(_xlfn.XLOOKUP(D673,Table_Tarikan_Warkah[Nomor Tiket],Table_Tarikan_Warkah[Jenis Permohonan]),"")</f>
        <v>ROYA</v>
      </c>
      <c r="H673" s="22" t="s">
        <v>37</v>
      </c>
      <c r="I673" s="22" t="s">
        <v>32</v>
      </c>
      <c r="J673" s="20">
        <f t="shared" si="29"/>
        <v>45611.37654</v>
      </c>
      <c r="K673" s="27" t="s">
        <v>65</v>
      </c>
      <c r="L673" s="27" t="s">
        <v>32</v>
      </c>
      <c r="M673" s="20">
        <f t="shared" si="30"/>
        <v>45614.61052</v>
      </c>
      <c r="N673" s="8" t="str">
        <f t="shared" si="3"/>
        <v>SELESAI</v>
      </c>
      <c r="O673" s="23">
        <f t="shared" si="22"/>
        <v>45614.61052</v>
      </c>
      <c r="P673" s="24" t="b">
        <v>0</v>
      </c>
      <c r="Q673" s="20" t="str">
        <f t="shared" si="5"/>
        <v/>
      </c>
      <c r="R673" s="24" t="b">
        <v>1</v>
      </c>
      <c r="S673" s="20">
        <f t="shared" si="6"/>
        <v>45614.61054</v>
      </c>
      <c r="T673" s="7"/>
    </row>
    <row r="674" ht="22.5" hidden="1" customHeight="1">
      <c r="B674" s="7">
        <f t="shared" si="7"/>
        <v>668</v>
      </c>
      <c r="C674" s="18" t="s">
        <v>661</v>
      </c>
      <c r="D674" s="19" t="str">
        <f t="array" ref="D674">IFNA(_xlfn.XLOOKUP(C674,Table_Tarikan_Warkah[Nomor Sertipikat],Table_Tarikan_Warkah[Nomor Tiket]),"")</f>
        <v>K/29/131124/1</v>
      </c>
      <c r="E674" s="20" t="str">
        <f t="array" ref="E674">IFNA(_xlfn.XLOOKUP(D674,Table_Tarikan_Warkah[Nomor Tiket],Table_Tarikan_Warkah[Tanggal diserahkan kepada Validator]),"")</f>
        <v/>
      </c>
      <c r="F674" s="20" t="str">
        <f t="array" ref="F674">IFNA(_xlfn.XLOOKUP(D674,Table_Tarikan_Warkah[Nomor Tiket],Table_Tarikan_Warkah[Nama Petugas Warkah]),"")</f>
        <v>David</v>
      </c>
      <c r="G674" s="21" t="str">
        <f t="array" ref="G674">IFNA(_xlfn.XLOOKUP(D674,Table_Tarikan_Warkah[Nomor Tiket],Table_Tarikan_Warkah[Jenis Permohonan]),"")</f>
        <v>BN JUAL BELI</v>
      </c>
      <c r="H674" s="22" t="s">
        <v>37</v>
      </c>
      <c r="I674" s="22" t="s">
        <v>32</v>
      </c>
      <c r="J674" s="20">
        <f t="shared" si="29"/>
        <v>45611.37682</v>
      </c>
      <c r="K674" s="27" t="s">
        <v>33</v>
      </c>
      <c r="L674" s="27" t="s">
        <v>187</v>
      </c>
      <c r="M674" s="20">
        <f t="shared" si="30"/>
        <v>45614.6109</v>
      </c>
      <c r="N674" s="8" t="str">
        <f t="shared" si="3"/>
        <v>Selesai</v>
      </c>
      <c r="O674" s="23">
        <f t="shared" si="22"/>
        <v>45614.6109</v>
      </c>
      <c r="P674" s="24" t="b">
        <v>1</v>
      </c>
      <c r="Q674" s="20">
        <f t="shared" si="5"/>
        <v>45614.70828</v>
      </c>
      <c r="R674" s="24" t="b">
        <v>0</v>
      </c>
      <c r="S674" s="7" t="str">
        <f t="shared" si="6"/>
        <v/>
      </c>
      <c r="T674" s="7"/>
    </row>
    <row r="675" ht="22.5" hidden="1" customHeight="1">
      <c r="B675" s="7">
        <f t="shared" si="7"/>
        <v>669</v>
      </c>
      <c r="C675" s="18" t="s">
        <v>662</v>
      </c>
      <c r="D675" s="19" t="str">
        <f t="array" ref="D675">IFNA(_xlfn.XLOOKUP(C675,Table_Tarikan_Warkah[Nomor Sertipikat],Table_Tarikan_Warkah[Nomor Tiket]),"")</f>
        <v>K/29/071124/1</v>
      </c>
      <c r="E675" s="20" t="str">
        <f t="array" ref="E675">IFNA(_xlfn.XLOOKUP(D675,Table_Tarikan_Warkah[Nomor Tiket],Table_Tarikan_Warkah[Tanggal diserahkan kepada Validator]),"")</f>
        <v/>
      </c>
      <c r="F675" s="20" t="str">
        <f t="array" ref="F675">IFNA(_xlfn.XLOOKUP(D675,Table_Tarikan_Warkah[Nomor Tiket],Table_Tarikan_Warkah[Nama Petugas Warkah]),"")</f>
        <v>David</v>
      </c>
      <c r="G675" s="21" t="str">
        <f t="array" ref="G675">IFNA(_xlfn.XLOOKUP(D675,Table_Tarikan_Warkah[Nomor Tiket],Table_Tarikan_Warkah[Jenis Permohonan]),"")</f>
        <v>BN JUAL BELI</v>
      </c>
      <c r="H675" s="22" t="s">
        <v>37</v>
      </c>
      <c r="I675" s="22" t="s">
        <v>32</v>
      </c>
      <c r="J675" s="20">
        <f t="shared" si="29"/>
        <v>45611.37716</v>
      </c>
      <c r="K675" s="27" t="s">
        <v>33</v>
      </c>
      <c r="L675" s="27" t="s">
        <v>187</v>
      </c>
      <c r="M675" s="20">
        <f t="shared" si="30"/>
        <v>45614.61092</v>
      </c>
      <c r="N675" s="8" t="str">
        <f t="shared" si="3"/>
        <v>Selesai</v>
      </c>
      <c r="O675" s="23">
        <f t="shared" si="22"/>
        <v>45614.61092</v>
      </c>
      <c r="P675" s="24" t="b">
        <v>1</v>
      </c>
      <c r="Q675" s="20">
        <f t="shared" si="5"/>
        <v>45614.68429</v>
      </c>
      <c r="R675" s="24" t="b">
        <v>0</v>
      </c>
      <c r="S675" s="7" t="str">
        <f t="shared" si="6"/>
        <v/>
      </c>
      <c r="T675" s="7"/>
    </row>
    <row r="676" ht="22.5" hidden="1" customHeight="1">
      <c r="B676" s="7">
        <f t="shared" si="7"/>
        <v>670</v>
      </c>
      <c r="C676" s="18" t="s">
        <v>663</v>
      </c>
      <c r="D676" s="19" t="str">
        <f t="array" ref="D676">IFNA(_xlfn.XLOOKUP(C676,Table_Tarikan_Warkah[Nomor Sertipikat],Table_Tarikan_Warkah[Nomor Tiket]),"")</f>
        <v>K/17/061124/1</v>
      </c>
      <c r="E676" s="20">
        <f t="array" ref="E676">IFNA(_xlfn.XLOOKUP(D676,Table_Tarikan_Warkah[Nomor Tiket],Table_Tarikan_Warkah[Tanggal diserahkan kepada Validator]),"")</f>
        <v>45616.44469</v>
      </c>
      <c r="F676" s="20" t="str">
        <f t="array" ref="F676">IFNA(_xlfn.XLOOKUP(D676,Table_Tarikan_Warkah[Nomor Tiket],Table_Tarikan_Warkah[Nama Petugas Warkah]),"")</f>
        <v>Berry</v>
      </c>
      <c r="G676" s="21" t="str">
        <f t="array" ref="G676">IFNA(_xlfn.XLOOKUP(D676,Table_Tarikan_Warkah[Nomor Tiket],Table_Tarikan_Warkah[Jenis Permohonan]),"")</f>
        <v>BN JUAL BELI</v>
      </c>
      <c r="H676" s="22" t="s">
        <v>37</v>
      </c>
      <c r="I676" s="22" t="s">
        <v>32</v>
      </c>
      <c r="J676" s="20">
        <f t="shared" si="29"/>
        <v>45611.46361</v>
      </c>
      <c r="K676" s="27" t="s">
        <v>33</v>
      </c>
      <c r="L676" s="27" t="s">
        <v>187</v>
      </c>
      <c r="M676" s="20">
        <f t="shared" si="30"/>
        <v>45614.611</v>
      </c>
      <c r="N676" s="8" t="str">
        <f t="shared" si="3"/>
        <v>Selesai</v>
      </c>
      <c r="O676" s="23">
        <f t="shared" si="22"/>
        <v>45614.611</v>
      </c>
      <c r="P676" s="24" t="b">
        <v>1</v>
      </c>
      <c r="Q676" s="20">
        <f t="shared" si="5"/>
        <v>45614.68429</v>
      </c>
      <c r="R676" s="24" t="b">
        <v>1</v>
      </c>
      <c r="S676" s="20">
        <f t="shared" si="6"/>
        <v>45616.43238</v>
      </c>
      <c r="T676" s="7"/>
    </row>
    <row r="677" ht="22.5" hidden="1" customHeight="1">
      <c r="B677" s="7">
        <f t="shared" si="7"/>
        <v>671</v>
      </c>
      <c r="C677" s="18" t="s">
        <v>664</v>
      </c>
      <c r="D677" s="19" t="str">
        <f t="array" ref="D677">IFNA(_xlfn.XLOOKUP(C677,Table_Tarikan_Warkah[Nomor Sertipikat],Table_Tarikan_Warkah[Nomor Tiket]),"")</f>
        <v>K/7/131124/1</v>
      </c>
      <c r="E677" s="20">
        <f t="array" ref="E677">IFNA(_xlfn.XLOOKUP(D677,Table_Tarikan_Warkah[Nomor Tiket],Table_Tarikan_Warkah[Tanggal diserahkan kepada Validator]),"")</f>
        <v>45614.43788</v>
      </c>
      <c r="F677" s="20" t="str">
        <f t="array" ref="F677">IFNA(_xlfn.XLOOKUP(D677,Table_Tarikan_Warkah[Nomor Tiket],Table_Tarikan_Warkah[Nama Petugas Warkah]),"")</f>
        <v>David</v>
      </c>
      <c r="G677" s="21" t="str">
        <f t="array" ref="G677">IFNA(_xlfn.XLOOKUP(D677,Table_Tarikan_Warkah[Nomor Tiket],Table_Tarikan_Warkah[Jenis Permohonan]),"")</f>
        <v>ROYA</v>
      </c>
      <c r="H677" s="22" t="s">
        <v>37</v>
      </c>
      <c r="I677" s="22" t="s">
        <v>32</v>
      </c>
      <c r="J677" s="20">
        <f t="shared" si="29"/>
        <v>45611.46766</v>
      </c>
      <c r="K677" s="27" t="s">
        <v>33</v>
      </c>
      <c r="L677" s="27" t="s">
        <v>187</v>
      </c>
      <c r="M677" s="20">
        <f t="shared" si="30"/>
        <v>45614.611</v>
      </c>
      <c r="N677" s="8" t="str">
        <f t="shared" si="3"/>
        <v>Selesai</v>
      </c>
      <c r="O677" s="23">
        <f t="shared" si="22"/>
        <v>45614.611</v>
      </c>
      <c r="P677" s="24" t="b">
        <v>1</v>
      </c>
      <c r="Q677" s="20">
        <f t="shared" si="5"/>
        <v>45614.68429</v>
      </c>
      <c r="R677" s="24" t="b">
        <v>0</v>
      </c>
      <c r="S677" s="7" t="str">
        <f t="shared" si="6"/>
        <v/>
      </c>
      <c r="T677" s="7"/>
    </row>
    <row r="678" ht="22.5" hidden="1" customHeight="1">
      <c r="B678" s="7">
        <f t="shared" si="7"/>
        <v>672</v>
      </c>
      <c r="C678" s="18" t="s">
        <v>665</v>
      </c>
      <c r="D678" s="19" t="str">
        <f t="array" ref="D678">IFNA(_xlfn.XLOOKUP(C678,Table_Tarikan_Warkah[Nomor Sertipikat],Table_Tarikan_Warkah[Nomor Tiket]),"")</f>
        <v>K/34/121124/1</v>
      </c>
      <c r="E678" s="20" t="str">
        <f t="array" ref="E678">IFNA(_xlfn.XLOOKUP(D678,Table_Tarikan_Warkah[Nomor Tiket],Table_Tarikan_Warkah[Tanggal diserahkan kepada Validator]),"")</f>
        <v/>
      </c>
      <c r="F678" s="20" t="str">
        <f t="array" ref="F678">IFNA(_xlfn.XLOOKUP(D678,Table_Tarikan_Warkah[Nomor Tiket],Table_Tarikan_Warkah[Nama Petugas Warkah]),"")</f>
        <v>Berry</v>
      </c>
      <c r="G678" s="21" t="str">
        <f t="array" ref="G678">IFNA(_xlfn.XLOOKUP(D678,Table_Tarikan_Warkah[Nomor Tiket],Table_Tarikan_Warkah[Jenis Permohonan]),"")</f>
        <v>BN Waris</v>
      </c>
      <c r="H678" s="22" t="s">
        <v>37</v>
      </c>
      <c r="I678" s="22" t="s">
        <v>32</v>
      </c>
      <c r="J678" s="20">
        <f t="shared" si="29"/>
        <v>45614.47823</v>
      </c>
      <c r="K678" s="27" t="s">
        <v>33</v>
      </c>
      <c r="L678" s="27" t="s">
        <v>187</v>
      </c>
      <c r="M678" s="20">
        <f t="shared" si="30"/>
        <v>45614.61103</v>
      </c>
      <c r="N678" s="8" t="str">
        <f t="shared" si="3"/>
        <v>Selesai</v>
      </c>
      <c r="O678" s="23">
        <f t="shared" si="22"/>
        <v>45614.61103</v>
      </c>
      <c r="P678" s="24" t="b">
        <v>1</v>
      </c>
      <c r="Q678" s="20">
        <f t="shared" si="5"/>
        <v>45614.68429</v>
      </c>
      <c r="R678" s="24" t="b">
        <v>0</v>
      </c>
      <c r="S678" s="7" t="str">
        <f t="shared" si="6"/>
        <v/>
      </c>
      <c r="T678" s="7"/>
    </row>
    <row r="679" ht="22.5" hidden="1" customHeight="1">
      <c r="B679" s="7">
        <f t="shared" si="7"/>
        <v>673</v>
      </c>
      <c r="C679" s="18" t="s">
        <v>666</v>
      </c>
      <c r="D679" s="19" t="str">
        <f t="array" ref="D679">IFNA(_xlfn.XLOOKUP(C679,Table_Tarikan_Warkah[Nomor Sertipikat],Table_Tarikan_Warkah[Nomor Tiket]),"")</f>
        <v>K/22/141124/1</v>
      </c>
      <c r="E679" s="20">
        <f t="array" ref="E679">IFNA(_xlfn.XLOOKUP(D679,Table_Tarikan_Warkah[Nomor Tiket],Table_Tarikan_Warkah[Tanggal diserahkan kepada Validator]),"")</f>
        <v>45614.45738</v>
      </c>
      <c r="F679" s="20" t="str">
        <f t="array" ref="F679">IFNA(_xlfn.XLOOKUP(D679,Table_Tarikan_Warkah[Nomor Tiket],Table_Tarikan_Warkah[Nama Petugas Warkah]),"")</f>
        <v>Berry</v>
      </c>
      <c r="G679" s="21" t="str">
        <f t="array" ref="G679">IFNA(_xlfn.XLOOKUP(D679,Table_Tarikan_Warkah[Nomor Tiket],Table_Tarikan_Warkah[Jenis Permohonan]),"")</f>
        <v>BN JUAL BELI</v>
      </c>
      <c r="H679" s="22" t="s">
        <v>37</v>
      </c>
      <c r="I679" s="22" t="s">
        <v>32</v>
      </c>
      <c r="J679" s="20">
        <f t="shared" si="29"/>
        <v>45614.47857</v>
      </c>
      <c r="K679" s="27" t="s">
        <v>33</v>
      </c>
      <c r="L679" s="27" t="s">
        <v>187</v>
      </c>
      <c r="M679" s="20">
        <f t="shared" si="30"/>
        <v>45614.61103</v>
      </c>
      <c r="N679" s="8" t="str">
        <f t="shared" si="3"/>
        <v>Selesai</v>
      </c>
      <c r="O679" s="23">
        <f t="shared" si="22"/>
        <v>45614.61103</v>
      </c>
      <c r="P679" s="24" t="b">
        <v>1</v>
      </c>
      <c r="Q679" s="20">
        <f t="shared" si="5"/>
        <v>45614.68429</v>
      </c>
      <c r="R679" s="24" t="b">
        <v>0</v>
      </c>
      <c r="S679" s="7" t="str">
        <f t="shared" si="6"/>
        <v/>
      </c>
      <c r="T679" s="7"/>
    </row>
    <row r="680" ht="22.5" hidden="1" customHeight="1">
      <c r="B680" s="7">
        <f t="shared" si="7"/>
        <v>674</v>
      </c>
      <c r="C680" s="18" t="s">
        <v>667</v>
      </c>
      <c r="D680" s="19" t="str">
        <f t="array" ref="D680">IFNA(_xlfn.XLOOKUP(C680,Table_Tarikan_Warkah[Nomor Sertipikat],Table_Tarikan_Warkah[Nomor Tiket]),"")</f>
        <v>K/17/111124/1</v>
      </c>
      <c r="E680" s="20" t="str">
        <f t="array" ref="E680">IFNA(_xlfn.XLOOKUP(D680,Table_Tarikan_Warkah[Nomor Tiket],Table_Tarikan_Warkah[Tanggal diserahkan kepada Validator]),"")</f>
        <v/>
      </c>
      <c r="F680" s="20" t="str">
        <f t="array" ref="F680">IFNA(_xlfn.XLOOKUP(D680,Table_Tarikan_Warkah[Nomor Tiket],Table_Tarikan_Warkah[Nama Petugas Warkah]),"")</f>
        <v>Berry</v>
      </c>
      <c r="G680" s="21" t="str">
        <f t="array" ref="G680">IFNA(_xlfn.XLOOKUP(D680,Table_Tarikan_Warkah[Nomor Tiket],Table_Tarikan_Warkah[Jenis Permohonan]),"")</f>
        <v>BN Jual Beli</v>
      </c>
      <c r="H680" s="22" t="s">
        <v>37</v>
      </c>
      <c r="I680" s="22" t="s">
        <v>32</v>
      </c>
      <c r="J680" s="20">
        <f t="shared" si="29"/>
        <v>45614.47889</v>
      </c>
      <c r="K680" s="27" t="s">
        <v>33</v>
      </c>
      <c r="L680" s="27" t="s">
        <v>187</v>
      </c>
      <c r="M680" s="20">
        <f t="shared" si="30"/>
        <v>45614.61109</v>
      </c>
      <c r="N680" s="8" t="str">
        <f t="shared" si="3"/>
        <v>Selesai</v>
      </c>
      <c r="O680" s="23">
        <f t="shared" si="22"/>
        <v>45614.61109</v>
      </c>
      <c r="P680" s="24" t="b">
        <v>1</v>
      </c>
      <c r="Q680" s="20">
        <f t="shared" si="5"/>
        <v>45614.68429</v>
      </c>
      <c r="R680" s="24" t="b">
        <v>0</v>
      </c>
      <c r="S680" s="7" t="str">
        <f t="shared" si="6"/>
        <v/>
      </c>
      <c r="T680" s="7"/>
    </row>
    <row r="681" ht="22.5" hidden="1" customHeight="1">
      <c r="B681" s="7">
        <f t="shared" si="7"/>
        <v>675</v>
      </c>
      <c r="C681" s="18" t="s">
        <v>668</v>
      </c>
      <c r="D681" s="19" t="str">
        <f t="array" ref="D681">IFNA(_xlfn.XLOOKUP(C681,Table_Tarikan_Warkah[Nomor Sertipikat],Table_Tarikan_Warkah[Nomor Tiket]),"")</f>
        <v>K/5/221024/1</v>
      </c>
      <c r="E681" s="20" t="str">
        <f t="array" ref="E681">IFNA(_xlfn.XLOOKUP(D681,Table_Tarikan_Warkah[Nomor Tiket],Table_Tarikan_Warkah[Tanggal diserahkan kepada Validator]),"")</f>
        <v/>
      </c>
      <c r="F681" s="20" t="str">
        <f t="array" ref="F681">IFNA(_xlfn.XLOOKUP(D681,Table_Tarikan_Warkah[Nomor Tiket],Table_Tarikan_Warkah[Nama Petugas Warkah]),"")</f>
        <v/>
      </c>
      <c r="G681" s="21" t="str">
        <f t="array" ref="G681">IFNA(_xlfn.XLOOKUP(D681,Table_Tarikan_Warkah[Nomor Tiket],Table_Tarikan_Warkah[Jenis Permohonan]),"")</f>
        <v>Perubahan Hak</v>
      </c>
      <c r="H681" s="22" t="s">
        <v>37</v>
      </c>
      <c r="I681" s="22" t="s">
        <v>32</v>
      </c>
      <c r="J681" s="20">
        <f t="shared" si="29"/>
        <v>45614.47911</v>
      </c>
      <c r="K681" s="27" t="s">
        <v>33</v>
      </c>
      <c r="L681" s="27" t="s">
        <v>187</v>
      </c>
      <c r="M681" s="20">
        <f t="shared" si="30"/>
        <v>45614.61109</v>
      </c>
      <c r="N681" s="8" t="str">
        <f t="shared" si="3"/>
        <v>Selesai</v>
      </c>
      <c r="O681" s="23">
        <f t="shared" si="22"/>
        <v>45614.61109</v>
      </c>
      <c r="P681" s="24" t="b">
        <v>1</v>
      </c>
      <c r="Q681" s="20">
        <f t="shared" si="5"/>
        <v>45614.68429</v>
      </c>
      <c r="R681" s="24" t="b">
        <v>0</v>
      </c>
      <c r="S681" s="7" t="str">
        <f t="shared" si="6"/>
        <v/>
      </c>
      <c r="T681" s="7"/>
    </row>
    <row r="682" ht="22.5" hidden="1" customHeight="1">
      <c r="B682" s="7">
        <f t="shared" si="7"/>
        <v>676</v>
      </c>
      <c r="C682" s="18" t="s">
        <v>617</v>
      </c>
      <c r="D682" s="19" t="str">
        <f t="array" ref="D682">IFNA(_xlfn.XLOOKUP(C682,Table_Tarikan_Warkah[Nomor Sertipikat],Table_Tarikan_Warkah[Nomor Tiket]),"")</f>
        <v>K/29/111124/3</v>
      </c>
      <c r="E682" s="20">
        <f t="array" ref="E682">IFNA(_xlfn.XLOOKUP(D682,Table_Tarikan_Warkah[Nomor Tiket],Table_Tarikan_Warkah[Tanggal diserahkan kepada Validator]),"")</f>
        <v>45608.44489</v>
      </c>
      <c r="F682" s="20" t="str">
        <f t="array" ref="F682">IFNA(_xlfn.XLOOKUP(D682,Table_Tarikan_Warkah[Nomor Tiket],Table_Tarikan_Warkah[Nama Petugas Warkah]),"")</f>
        <v>David</v>
      </c>
      <c r="G682" s="21" t="str">
        <f t="array" ref="G682">IFNA(_xlfn.XLOOKUP(D682,Table_Tarikan_Warkah[Nomor Tiket],Table_Tarikan_Warkah[Jenis Permohonan]),"")</f>
        <v>BN Jual Beli</v>
      </c>
      <c r="H682" s="22" t="s">
        <v>37</v>
      </c>
      <c r="I682" s="22" t="s">
        <v>32</v>
      </c>
      <c r="J682" s="20">
        <f t="shared" si="29"/>
        <v>45614.47954</v>
      </c>
      <c r="K682" s="27" t="s">
        <v>33</v>
      </c>
      <c r="L682" s="27" t="s">
        <v>187</v>
      </c>
      <c r="M682" s="20">
        <f t="shared" si="30"/>
        <v>45614.61114</v>
      </c>
      <c r="N682" s="8" t="str">
        <f t="shared" si="3"/>
        <v>Selesai</v>
      </c>
      <c r="O682" s="23">
        <f t="shared" si="22"/>
        <v>45614.61114</v>
      </c>
      <c r="P682" s="24" t="b">
        <v>1</v>
      </c>
      <c r="Q682" s="20">
        <f t="shared" si="5"/>
        <v>45614.68429</v>
      </c>
      <c r="R682" s="24" t="b">
        <v>0</v>
      </c>
      <c r="S682" s="7" t="str">
        <f t="shared" si="6"/>
        <v/>
      </c>
      <c r="T682" s="7"/>
    </row>
    <row r="683" ht="22.5" hidden="1" customHeight="1">
      <c r="B683" s="7">
        <f t="shared" si="7"/>
        <v>677</v>
      </c>
      <c r="C683" s="18" t="s">
        <v>669</v>
      </c>
      <c r="D683" s="19" t="str">
        <f t="array" ref="D683">IFNA(_xlfn.XLOOKUP(C683,Table_Tarikan_Warkah[Nomor Sertipikat],Table_Tarikan_Warkah[Nomor Tiket]),"")</f>
        <v>K/6/141124/1</v>
      </c>
      <c r="E683" s="20">
        <f t="array" ref="E683">IFNA(_xlfn.XLOOKUP(D683,Table_Tarikan_Warkah[Nomor Tiket],Table_Tarikan_Warkah[Tanggal diserahkan kepada Validator]),"")</f>
        <v>45614.45291</v>
      </c>
      <c r="F683" s="20" t="str">
        <f t="array" ref="F683">IFNA(_xlfn.XLOOKUP(D683,Table_Tarikan_Warkah[Nomor Tiket],Table_Tarikan_Warkah[Nama Petugas Warkah]),"")</f>
        <v>David</v>
      </c>
      <c r="G683" s="21" t="str">
        <f t="array" ref="G683">IFNA(_xlfn.XLOOKUP(D683,Table_Tarikan_Warkah[Nomor Tiket],Table_Tarikan_Warkah[Jenis Permohonan]),"")</f>
        <v>BN JUAL BELI</v>
      </c>
      <c r="H683" s="22" t="s">
        <v>37</v>
      </c>
      <c r="I683" s="22" t="s">
        <v>32</v>
      </c>
      <c r="J683" s="20">
        <f t="shared" si="29"/>
        <v>45614.47974</v>
      </c>
      <c r="K683" s="27" t="s">
        <v>33</v>
      </c>
      <c r="L683" s="27" t="s">
        <v>187</v>
      </c>
      <c r="M683" s="20">
        <f t="shared" si="30"/>
        <v>45614.61114</v>
      </c>
      <c r="N683" s="8" t="str">
        <f t="shared" si="3"/>
        <v>Selesai</v>
      </c>
      <c r="O683" s="23">
        <f t="shared" si="22"/>
        <v>45614.61114</v>
      </c>
      <c r="P683" s="24" t="b">
        <v>1</v>
      </c>
      <c r="Q683" s="20" t="str">
        <f>IF(#REF!=TRUE,IF(Q683&lt;&gt;"",Q683,NOW()),"")</f>
        <v>#REF!</v>
      </c>
      <c r="R683" s="24" t="b">
        <v>0</v>
      </c>
      <c r="S683" s="7" t="str">
        <f t="shared" si="6"/>
        <v/>
      </c>
      <c r="T683" s="7"/>
    </row>
    <row r="684" ht="22.5" hidden="1" customHeight="1">
      <c r="B684" s="7">
        <f t="shared" si="7"/>
        <v>678</v>
      </c>
      <c r="C684" s="18" t="s">
        <v>670</v>
      </c>
      <c r="D684" s="19" t="str">
        <f t="array" ref="D684">IFNA(_xlfn.XLOOKUP(C684,Table_Tarikan_Warkah[Nomor Sertipikat],Table_Tarikan_Warkah[Nomor Tiket]),"")</f>
        <v>K/41/141124/1</v>
      </c>
      <c r="E684" s="20">
        <f t="array" ref="E684">IFNA(_xlfn.XLOOKUP(D684,Table_Tarikan_Warkah[Nomor Tiket],Table_Tarikan_Warkah[Tanggal diserahkan kepada Validator]),"")</f>
        <v>45614.45902</v>
      </c>
      <c r="F684" s="20" t="str">
        <f t="array" ref="F684">IFNA(_xlfn.XLOOKUP(D684,Table_Tarikan_Warkah[Nomor Tiket],Table_Tarikan_Warkah[Nama Petugas Warkah]),"")</f>
        <v>Berry</v>
      </c>
      <c r="G684" s="21" t="str">
        <f t="array" ref="G684">IFNA(_xlfn.XLOOKUP(D684,Table_Tarikan_Warkah[Nomor Tiket],Table_Tarikan_Warkah[Jenis Permohonan]),"")</f>
        <v>BN JUAL BELI</v>
      </c>
      <c r="H684" s="22" t="s">
        <v>37</v>
      </c>
      <c r="I684" s="22" t="s">
        <v>32</v>
      </c>
      <c r="J684" s="20">
        <f t="shared" si="29"/>
        <v>45614.48002</v>
      </c>
      <c r="K684" s="27" t="s">
        <v>33</v>
      </c>
      <c r="L684" s="27" t="s">
        <v>187</v>
      </c>
      <c r="M684" s="20">
        <f t="shared" si="30"/>
        <v>45614.61118</v>
      </c>
      <c r="N684" s="8" t="str">
        <f t="shared" si="3"/>
        <v>Selesai</v>
      </c>
      <c r="O684" s="23">
        <f t="shared" si="22"/>
        <v>45614.61118</v>
      </c>
      <c r="P684" s="33" t="b">
        <v>1</v>
      </c>
      <c r="Q684" s="20">
        <f>IF(P683=TRUE,IF(Q684&lt;&gt;"",Q684,NOW()),"")</f>
        <v>45614.68429</v>
      </c>
      <c r="R684" s="24" t="b">
        <v>0</v>
      </c>
      <c r="S684" s="7" t="str">
        <f t="shared" si="6"/>
        <v/>
      </c>
      <c r="T684" s="7"/>
    </row>
    <row r="685" ht="22.5" hidden="1" customHeight="1">
      <c r="B685" s="7">
        <f t="shared" si="7"/>
        <v>679</v>
      </c>
      <c r="C685" s="18" t="s">
        <v>671</v>
      </c>
      <c r="D685" s="19" t="str">
        <f t="array" ref="D685">IFNA(_xlfn.XLOOKUP(C685,Table_Tarikan_Warkah[Nomor Sertipikat],Table_Tarikan_Warkah[Nomor Tiket]),"")</f>
        <v>K/27/111124/1</v>
      </c>
      <c r="E685" s="20" t="str">
        <f t="array" ref="E685">IFNA(_xlfn.XLOOKUP(D685,Table_Tarikan_Warkah[Nomor Tiket],Table_Tarikan_Warkah[Tanggal diserahkan kepada Validator]),"")</f>
        <v/>
      </c>
      <c r="F685" s="20" t="str">
        <f t="array" ref="F685">IFNA(_xlfn.XLOOKUP(D685,Table_Tarikan_Warkah[Nomor Tiket],Table_Tarikan_Warkah[Nama Petugas Warkah]),"")</f>
        <v/>
      </c>
      <c r="G685" s="21" t="str">
        <f t="array" ref="G685">IFNA(_xlfn.XLOOKUP(D685,Table_Tarikan_Warkah[Nomor Tiket],Table_Tarikan_Warkah[Jenis Permohonan]),"")</f>
        <v>Ganti Nama Kreditur</v>
      </c>
      <c r="H685" s="22" t="s">
        <v>37</v>
      </c>
      <c r="I685" s="22" t="s">
        <v>32</v>
      </c>
      <c r="J685" s="20">
        <f t="shared" si="29"/>
        <v>45614.48049</v>
      </c>
      <c r="K685" s="27" t="s">
        <v>33</v>
      </c>
      <c r="L685" s="27" t="s">
        <v>187</v>
      </c>
      <c r="M685" s="20">
        <f t="shared" si="30"/>
        <v>45614.61118</v>
      </c>
      <c r="N685" s="8" t="str">
        <f t="shared" si="3"/>
        <v>Selesai</v>
      </c>
      <c r="O685" s="23">
        <f t="shared" si="22"/>
        <v>45614.61118</v>
      </c>
      <c r="P685" s="24" t="b">
        <v>1</v>
      </c>
      <c r="Q685" s="20">
        <f t="shared" ref="Q685:Q2006" si="31">IF(P685=TRUE,IF(Q685&lt;&gt;"",Q685,NOW()),"")</f>
        <v>45614.68429</v>
      </c>
      <c r="R685" s="24" t="b">
        <v>1</v>
      </c>
      <c r="S685" s="20">
        <f t="shared" si="6"/>
        <v>45616.43263</v>
      </c>
      <c r="T685" s="7"/>
    </row>
    <row r="686" ht="22.5" hidden="1" customHeight="1">
      <c r="B686" s="7">
        <f t="shared" si="7"/>
        <v>680</v>
      </c>
      <c r="C686" s="18" t="s">
        <v>672</v>
      </c>
      <c r="D686" s="19" t="str">
        <f t="array" ref="D686">IFNA(_xlfn.XLOOKUP(C686,Table_Tarikan_Warkah[Nomor Sertipikat],Table_Tarikan_Warkah[Nomor Tiket]),"")</f>
        <v>K/24/131124/2</v>
      </c>
      <c r="E686" s="20" t="str">
        <f t="array" ref="E686">IFNA(_xlfn.XLOOKUP(D686,Table_Tarikan_Warkah[Nomor Tiket],Table_Tarikan_Warkah[Tanggal diserahkan kepada Validator]),"")</f>
        <v/>
      </c>
      <c r="F686" s="20" t="str">
        <f t="array" ref="F686">IFNA(_xlfn.XLOOKUP(D686,Table_Tarikan_Warkah[Nomor Tiket],Table_Tarikan_Warkah[Nama Petugas Warkah]),"")</f>
        <v>David</v>
      </c>
      <c r="G686" s="21" t="str">
        <f t="array" ref="G686">IFNA(_xlfn.XLOOKUP(D686,Table_Tarikan_Warkah[Nomor Tiket],Table_Tarikan_Warkah[Jenis Permohonan]),"")</f>
        <v>BN Jual Beli</v>
      </c>
      <c r="H686" s="22" t="s">
        <v>37</v>
      </c>
      <c r="I686" s="22" t="s">
        <v>32</v>
      </c>
      <c r="J686" s="20">
        <f t="shared" si="29"/>
        <v>45614.48078</v>
      </c>
      <c r="K686" s="27" t="s">
        <v>33</v>
      </c>
      <c r="L686" s="27" t="s">
        <v>187</v>
      </c>
      <c r="M686" s="20">
        <f t="shared" si="30"/>
        <v>45614.61122</v>
      </c>
      <c r="N686" s="8" t="str">
        <f t="shared" si="3"/>
        <v>Selesai</v>
      </c>
      <c r="O686" s="23">
        <f t="shared" si="22"/>
        <v>45614.61122</v>
      </c>
      <c r="P686" s="24" t="b">
        <v>1</v>
      </c>
      <c r="Q686" s="20">
        <f t="shared" si="31"/>
        <v>45614.68429</v>
      </c>
      <c r="R686" s="24" t="b">
        <v>0</v>
      </c>
      <c r="S686" s="7" t="str">
        <f t="shared" si="6"/>
        <v/>
      </c>
      <c r="T686" s="7"/>
    </row>
    <row r="687" ht="22.5" hidden="1" customHeight="1">
      <c r="B687" s="7">
        <f t="shared" si="7"/>
        <v>681</v>
      </c>
      <c r="C687" s="18" t="s">
        <v>673</v>
      </c>
      <c r="D687" s="19" t="str">
        <f t="array" ref="D687">IFNA(_xlfn.XLOOKUP(C687,Table_Tarikan_Warkah[Nomor Sertipikat],Table_Tarikan_Warkah[Nomor Tiket]),"")</f>
        <v>K/45/141124/2</v>
      </c>
      <c r="E687" s="20">
        <f t="array" ref="E687">IFNA(_xlfn.XLOOKUP(D687,Table_Tarikan_Warkah[Nomor Tiket],Table_Tarikan_Warkah[Tanggal diserahkan kepada Validator]),"")</f>
        <v>45614.4622</v>
      </c>
      <c r="F687" s="20" t="str">
        <f t="array" ref="F687">IFNA(_xlfn.XLOOKUP(D687,Table_Tarikan_Warkah[Nomor Tiket],Table_Tarikan_Warkah[Nama Petugas Warkah]),"")</f>
        <v>Berry</v>
      </c>
      <c r="G687" s="21" t="str">
        <f t="array" ref="G687">IFNA(_xlfn.XLOOKUP(D687,Table_Tarikan_Warkah[Nomor Tiket],Table_Tarikan_Warkah[Jenis Permohonan]),"")</f>
        <v>ROYA</v>
      </c>
      <c r="H687" s="22" t="s">
        <v>37</v>
      </c>
      <c r="I687" s="22" t="s">
        <v>32</v>
      </c>
      <c r="J687" s="20">
        <f t="shared" si="29"/>
        <v>45614.67459</v>
      </c>
      <c r="K687" s="27" t="s">
        <v>65</v>
      </c>
      <c r="L687" s="27" t="s">
        <v>32</v>
      </c>
      <c r="M687" s="20">
        <f t="shared" si="30"/>
        <v>45615.67703</v>
      </c>
      <c r="N687" s="8" t="str">
        <f t="shared" si="3"/>
        <v>SELESAI</v>
      </c>
      <c r="O687" s="23">
        <f t="shared" si="22"/>
        <v>45615.67703</v>
      </c>
      <c r="P687" s="24" t="b">
        <v>0</v>
      </c>
      <c r="Q687" s="20" t="str">
        <f t="shared" si="31"/>
        <v/>
      </c>
      <c r="R687" s="24" t="b">
        <v>1</v>
      </c>
      <c r="S687" s="20">
        <f t="shared" si="6"/>
        <v>45616.37848</v>
      </c>
      <c r="T687" s="7"/>
    </row>
    <row r="688" ht="22.5" hidden="1" customHeight="1">
      <c r="B688" s="7">
        <f t="shared" si="7"/>
        <v>682</v>
      </c>
      <c r="C688" s="18" t="s">
        <v>674</v>
      </c>
      <c r="D688" s="19" t="str">
        <f t="array" ref="D688">IFNA(_xlfn.XLOOKUP(C688,Table_Tarikan_Warkah[Nomor Sertipikat],Table_Tarikan_Warkah[Nomor Tiket]),"")</f>
        <v>K/54/151124/1</v>
      </c>
      <c r="E688" s="20">
        <f t="array" ref="E688">IFNA(_xlfn.XLOOKUP(D688,Table_Tarikan_Warkah[Nomor Tiket],Table_Tarikan_Warkah[Tanggal diserahkan kepada Validator]),"")</f>
        <v>45614.40938</v>
      </c>
      <c r="F688" s="20" t="str">
        <f t="array" ref="F688">IFNA(_xlfn.XLOOKUP(D688,Table_Tarikan_Warkah[Nomor Tiket],Table_Tarikan_Warkah[Nama Petugas Warkah]),"")</f>
        <v>Bayu</v>
      </c>
      <c r="G688" s="21" t="str">
        <f t="array" ref="G688">IFNA(_xlfn.XLOOKUP(D688,Table_Tarikan_Warkah[Nomor Tiket],Table_Tarikan_Warkah[Jenis Permohonan]),"")</f>
        <v>BN Jual Beli</v>
      </c>
      <c r="H688" s="22" t="s">
        <v>37</v>
      </c>
      <c r="I688" s="22" t="s">
        <v>32</v>
      </c>
      <c r="J688" s="20">
        <f t="shared" si="29"/>
        <v>45614.67468</v>
      </c>
      <c r="K688" s="27" t="s">
        <v>65</v>
      </c>
      <c r="L688" s="27" t="s">
        <v>32</v>
      </c>
      <c r="M688" s="20">
        <f t="shared" si="30"/>
        <v>45615.67709</v>
      </c>
      <c r="N688" s="8" t="str">
        <f t="shared" si="3"/>
        <v>SELESAI</v>
      </c>
      <c r="O688" s="23">
        <f t="shared" si="22"/>
        <v>45615.67709</v>
      </c>
      <c r="P688" s="24" t="b">
        <v>1</v>
      </c>
      <c r="Q688" s="20">
        <f t="shared" si="31"/>
        <v>45616.68177</v>
      </c>
      <c r="R688" s="24" t="b">
        <v>1</v>
      </c>
      <c r="S688" s="20">
        <f t="shared" si="6"/>
        <v>45616.37849</v>
      </c>
      <c r="T688" s="7"/>
    </row>
    <row r="689" ht="22.5" hidden="1" customHeight="1">
      <c r="B689" s="7">
        <f t="shared" si="7"/>
        <v>683</v>
      </c>
      <c r="C689" s="18" t="s">
        <v>675</v>
      </c>
      <c r="D689" s="7" t="s">
        <v>676</v>
      </c>
      <c r="E689" s="20">
        <f t="array" ref="E689">IFNA(_xlfn.XLOOKUP(D689,Table_Tarikan_Warkah[Nomor Tiket],Table_Tarikan_Warkah[Tanggal diserahkan kepada Validator]),"")</f>
        <v>45614.4652</v>
      </c>
      <c r="F689" s="20" t="str">
        <f t="array" ref="F689">IFNA(_xlfn.XLOOKUP(D689,Table_Tarikan_Warkah[Nomor Tiket],Table_Tarikan_Warkah[Nama Petugas Warkah]),"")</f>
        <v>Berry</v>
      </c>
      <c r="G689" s="21" t="str">
        <f t="array" ref="G689">IFNA(_xlfn.XLOOKUP(D689,Table_Tarikan_Warkah[Nomor Tiket],Table_Tarikan_Warkah[Jenis Permohonan]),"")</f>
        <v>ROYA LELANG</v>
      </c>
      <c r="H689" s="22" t="s">
        <v>37</v>
      </c>
      <c r="I689" s="22" t="s">
        <v>32</v>
      </c>
      <c r="J689" s="20">
        <f t="shared" si="29"/>
        <v>45614.67555</v>
      </c>
      <c r="K689" s="27" t="s">
        <v>65</v>
      </c>
      <c r="L689" s="27" t="s">
        <v>32</v>
      </c>
      <c r="M689" s="20">
        <f t="shared" si="30"/>
        <v>45615.67715</v>
      </c>
      <c r="N689" s="8" t="str">
        <f t="shared" si="3"/>
        <v>SELESAI</v>
      </c>
      <c r="O689" s="23">
        <f t="shared" si="22"/>
        <v>45615.67715</v>
      </c>
      <c r="P689" s="24" t="b">
        <v>1</v>
      </c>
      <c r="Q689" s="20">
        <f t="shared" si="31"/>
        <v>45616.43216</v>
      </c>
      <c r="R689" s="24" t="b">
        <v>1</v>
      </c>
      <c r="S689" s="20">
        <f t="shared" si="6"/>
        <v>45616.3785</v>
      </c>
      <c r="T689" s="7"/>
    </row>
    <row r="690" ht="22.5" hidden="1" customHeight="1">
      <c r="B690" s="7">
        <f t="shared" si="7"/>
        <v>684</v>
      </c>
      <c r="C690" s="18" t="s">
        <v>677</v>
      </c>
      <c r="D690" s="19" t="str">
        <f t="array" ref="D690">IFNA(_xlfn.XLOOKUP(C690,Table_Tarikan_Warkah[Nomor Sertipikat],Table_Tarikan_Warkah[Nomor Tiket]),"")</f>
        <v>K/4/151124/1</v>
      </c>
      <c r="E690" s="20">
        <f t="array" ref="E690">IFNA(_xlfn.XLOOKUP(D690,Table_Tarikan_Warkah[Nomor Tiket],Table_Tarikan_Warkah[Tanggal diserahkan kepada Validator]),"")</f>
        <v>45614.46383</v>
      </c>
      <c r="F690" s="20" t="str">
        <f t="array" ref="F690">IFNA(_xlfn.XLOOKUP(D690,Table_Tarikan_Warkah[Nomor Tiket],Table_Tarikan_Warkah[Nama Petugas Warkah]),"")</f>
        <v>Berry</v>
      </c>
      <c r="G690" s="21" t="str">
        <f t="array" ref="G690">IFNA(_xlfn.XLOOKUP(D690,Table_Tarikan_Warkah[Nomor Tiket],Table_Tarikan_Warkah[Jenis Permohonan]),"")</f>
        <v>ROYA</v>
      </c>
      <c r="H690" s="22" t="s">
        <v>37</v>
      </c>
      <c r="I690" s="22" t="s">
        <v>32</v>
      </c>
      <c r="J690" s="20">
        <f t="shared" si="29"/>
        <v>45614.6758</v>
      </c>
      <c r="K690" s="27" t="s">
        <v>65</v>
      </c>
      <c r="L690" s="27" t="s">
        <v>32</v>
      </c>
      <c r="M690" s="20">
        <f t="shared" si="30"/>
        <v>45615.67715</v>
      </c>
      <c r="N690" s="8" t="str">
        <f t="shared" si="3"/>
        <v>SELESAI</v>
      </c>
      <c r="O690" s="23">
        <f t="shared" si="22"/>
        <v>45615.67715</v>
      </c>
      <c r="P690" s="24" t="b">
        <v>0</v>
      </c>
      <c r="Q690" s="20" t="str">
        <f t="shared" si="31"/>
        <v/>
      </c>
      <c r="R690" s="24" t="b">
        <v>1</v>
      </c>
      <c r="S690" s="20">
        <f t="shared" si="6"/>
        <v>45616.37629</v>
      </c>
      <c r="T690" s="7"/>
    </row>
    <row r="691" ht="22.5" hidden="1" customHeight="1">
      <c r="B691" s="7">
        <f t="shared" si="7"/>
        <v>685</v>
      </c>
      <c r="C691" s="18" t="s">
        <v>678</v>
      </c>
      <c r="D691" s="19" t="str">
        <f t="array" ref="D691">IFNA(_xlfn.XLOOKUP(C691,Table_Tarikan_Warkah[Nomor Sertipikat],Table_Tarikan_Warkah[Nomor Tiket]),"")</f>
        <v>L/3/151124/1</v>
      </c>
      <c r="E691" s="20">
        <f t="array" ref="E691">IFNA(_xlfn.XLOOKUP(D691,Table_Tarikan_Warkah[Nomor Tiket],Table_Tarikan_Warkah[Tanggal diserahkan kepada Validator]),"")</f>
        <v>45614.46351</v>
      </c>
      <c r="F691" s="20" t="str">
        <f t="array" ref="F691">IFNA(_xlfn.XLOOKUP(D691,Table_Tarikan_Warkah[Nomor Tiket],Table_Tarikan_Warkah[Nama Petugas Warkah]),"")</f>
        <v>Berry</v>
      </c>
      <c r="G691" s="21" t="str">
        <f t="array" ref="G691">IFNA(_xlfn.XLOOKUP(D691,Table_Tarikan_Warkah[Nomor Tiket],Table_Tarikan_Warkah[Jenis Permohonan]),"")</f>
        <v>ROYA</v>
      </c>
      <c r="H691" s="22" t="s">
        <v>37</v>
      </c>
      <c r="I691" s="22" t="s">
        <v>32</v>
      </c>
      <c r="J691" s="20">
        <f t="shared" si="29"/>
        <v>45614.6759</v>
      </c>
      <c r="K691" s="27" t="s">
        <v>65</v>
      </c>
      <c r="L691" s="27" t="s">
        <v>32</v>
      </c>
      <c r="M691" s="20">
        <f t="shared" si="30"/>
        <v>45615.6772</v>
      </c>
      <c r="N691" s="8" t="str">
        <f t="shared" si="3"/>
        <v>SELESAI</v>
      </c>
      <c r="O691" s="23">
        <f t="shared" si="22"/>
        <v>45615.6772</v>
      </c>
      <c r="P691" s="24" t="b">
        <v>1</v>
      </c>
      <c r="Q691" s="20">
        <f t="shared" si="31"/>
        <v>45616.43093</v>
      </c>
      <c r="R691" s="24" t="b">
        <v>1</v>
      </c>
      <c r="S691" s="20">
        <f t="shared" si="6"/>
        <v>45616.37626</v>
      </c>
      <c r="T691" s="7"/>
    </row>
    <row r="692" ht="22.5" hidden="1" customHeight="1">
      <c r="B692" s="7">
        <f t="shared" si="7"/>
        <v>686</v>
      </c>
      <c r="C692" s="18" t="s">
        <v>679</v>
      </c>
      <c r="D692" s="19" t="str">
        <f t="array" ref="D692">IFNA(_xlfn.XLOOKUP(C692,Table_Tarikan_Warkah[Nomor Sertipikat],Table_Tarikan_Warkah[Nomor Tiket]),"")</f>
        <v>K/47/141124/1</v>
      </c>
      <c r="E692" s="20">
        <f t="array" ref="E692">IFNA(_xlfn.XLOOKUP(D692,Table_Tarikan_Warkah[Nomor Tiket],Table_Tarikan_Warkah[Tanggal diserahkan kepada Validator]),"")</f>
        <v>45614.46256</v>
      </c>
      <c r="F692" s="20" t="str">
        <f t="array" ref="F692">IFNA(_xlfn.XLOOKUP(D692,Table_Tarikan_Warkah[Nomor Tiket],Table_Tarikan_Warkah[Nama Petugas Warkah]),"")</f>
        <v>Berry</v>
      </c>
      <c r="G692" s="21" t="str">
        <f t="array" ref="G692">IFNA(_xlfn.XLOOKUP(D692,Table_Tarikan_Warkah[Nomor Tiket],Table_Tarikan_Warkah[Jenis Permohonan]),"")</f>
        <v>Roya</v>
      </c>
      <c r="H692" s="22" t="s">
        <v>37</v>
      </c>
      <c r="I692" s="22" t="s">
        <v>32</v>
      </c>
      <c r="J692" s="20">
        <f t="shared" si="29"/>
        <v>45614.67599</v>
      </c>
      <c r="K692" s="27" t="s">
        <v>65</v>
      </c>
      <c r="L692" s="27" t="s">
        <v>32</v>
      </c>
      <c r="M692" s="20">
        <f t="shared" si="30"/>
        <v>45615.6772</v>
      </c>
      <c r="N692" s="8" t="str">
        <f t="shared" si="3"/>
        <v>SELESAI</v>
      </c>
      <c r="O692" s="23">
        <f t="shared" si="22"/>
        <v>45615.6772</v>
      </c>
      <c r="P692" s="24" t="b">
        <v>0</v>
      </c>
      <c r="Q692" s="20" t="str">
        <f t="shared" si="31"/>
        <v/>
      </c>
      <c r="R692" s="24" t="b">
        <v>1</v>
      </c>
      <c r="S692" s="20">
        <f t="shared" si="6"/>
        <v>45616.37626</v>
      </c>
      <c r="T692" s="7"/>
    </row>
    <row r="693" ht="22.5" hidden="1" customHeight="1">
      <c r="B693" s="7">
        <f t="shared" si="7"/>
        <v>687</v>
      </c>
      <c r="C693" s="18" t="s">
        <v>680</v>
      </c>
      <c r="D693" s="19" t="str">
        <f t="array" ref="D693">IFNA(_xlfn.XLOOKUP(C693,Table_Tarikan_Warkah[Nomor Sertipikat],Table_Tarikan_Warkah[Nomor Tiket]),"")</f>
        <v>K/15/141124/3</v>
      </c>
      <c r="E693" s="20">
        <f t="array" ref="E693">IFNA(_xlfn.XLOOKUP(D693,Table_Tarikan_Warkah[Nomor Tiket],Table_Tarikan_Warkah[Tanggal diserahkan kepada Validator]),"")</f>
        <v>45614.45628</v>
      </c>
      <c r="F693" s="20" t="str">
        <f t="array" ref="F693">IFNA(_xlfn.XLOOKUP(D693,Table_Tarikan_Warkah[Nomor Tiket],Table_Tarikan_Warkah[Nama Petugas Warkah]),"")</f>
        <v>Berry</v>
      </c>
      <c r="G693" s="21" t="str">
        <f t="array" ref="G693">IFNA(_xlfn.XLOOKUP(D693,Table_Tarikan_Warkah[Nomor Tiket],Table_Tarikan_Warkah[Jenis Permohonan]),"")</f>
        <v>BN HIBAH</v>
      </c>
      <c r="H693" s="22" t="s">
        <v>37</v>
      </c>
      <c r="I693" s="22" t="s">
        <v>32</v>
      </c>
      <c r="J693" s="20">
        <f t="shared" si="29"/>
        <v>45614.68429</v>
      </c>
      <c r="K693" s="27" t="s">
        <v>65</v>
      </c>
      <c r="L693" s="27" t="s">
        <v>32</v>
      </c>
      <c r="M693" s="20">
        <f t="shared" si="30"/>
        <v>45615.6772</v>
      </c>
      <c r="N693" s="8" t="str">
        <f t="shared" si="3"/>
        <v>SELESAI</v>
      </c>
      <c r="O693" s="23">
        <f t="shared" si="22"/>
        <v>45615.6772</v>
      </c>
      <c r="P693" s="24" t="b">
        <v>0</v>
      </c>
      <c r="Q693" s="20" t="str">
        <f t="shared" si="31"/>
        <v/>
      </c>
      <c r="R693" s="24" t="b">
        <v>1</v>
      </c>
      <c r="S693" s="20">
        <f t="shared" si="6"/>
        <v>45616.37624</v>
      </c>
      <c r="T693" s="7"/>
    </row>
    <row r="694" ht="22.5" hidden="1" customHeight="1">
      <c r="B694" s="7">
        <f t="shared" si="7"/>
        <v>688</v>
      </c>
      <c r="C694" s="18" t="s">
        <v>681</v>
      </c>
      <c r="D694" s="19" t="str">
        <f t="array" ref="D694">IFNA(_xlfn.XLOOKUP(C694,Table_Tarikan_Warkah[Nomor Sertipikat],Table_Tarikan_Warkah[Nomor Tiket]),"")</f>
        <v>K/25/141124/1</v>
      </c>
      <c r="E694" s="20">
        <f t="array" ref="E694">IFNA(_xlfn.XLOOKUP(D694,Table_Tarikan_Warkah[Nomor Tiket],Table_Tarikan_Warkah[Tanggal diserahkan kepada Validator]),"")</f>
        <v>45614.45811</v>
      </c>
      <c r="F694" s="20" t="str">
        <f t="array" ref="F694">IFNA(_xlfn.XLOOKUP(D694,Table_Tarikan_Warkah[Nomor Tiket],Table_Tarikan_Warkah[Nama Petugas Warkah]),"")</f>
        <v>Berry</v>
      </c>
      <c r="G694" s="21" t="str">
        <f t="array" ref="G694">IFNA(_xlfn.XLOOKUP(D694,Table_Tarikan_Warkah[Nomor Tiket],Table_Tarikan_Warkah[Jenis Permohonan]),"")</f>
        <v>BN JUAL BELI</v>
      </c>
      <c r="H694" s="22" t="s">
        <v>37</v>
      </c>
      <c r="I694" s="22" t="s">
        <v>32</v>
      </c>
      <c r="J694" s="20">
        <f t="shared" si="29"/>
        <v>45614.68429</v>
      </c>
      <c r="K694" s="27" t="s">
        <v>65</v>
      </c>
      <c r="L694" s="27" t="s">
        <v>32</v>
      </c>
      <c r="M694" s="20">
        <f t="shared" si="30"/>
        <v>45615.6772</v>
      </c>
      <c r="N694" s="8" t="str">
        <f t="shared" si="3"/>
        <v>SELESAI</v>
      </c>
      <c r="O694" s="23">
        <f t="shared" si="22"/>
        <v>45615.6772</v>
      </c>
      <c r="P694" s="24" t="b">
        <v>0</v>
      </c>
      <c r="Q694" s="20" t="str">
        <f t="shared" si="31"/>
        <v/>
      </c>
      <c r="R694" s="24" t="b">
        <v>1</v>
      </c>
      <c r="S694" s="20">
        <f t="shared" si="6"/>
        <v>45616.37622</v>
      </c>
      <c r="T694" s="7"/>
    </row>
    <row r="695" ht="22.5" hidden="1" customHeight="1">
      <c r="B695" s="7">
        <f t="shared" si="7"/>
        <v>689</v>
      </c>
      <c r="C695" s="18" t="s">
        <v>682</v>
      </c>
      <c r="D695" s="19" t="str">
        <f t="array" ref="D695">IFNA(_xlfn.XLOOKUP(C695,Table_Tarikan_Warkah[Nomor Sertipikat],Table_Tarikan_Warkah[Nomor Tiket]),"")</f>
        <v>L/26/141124/1</v>
      </c>
      <c r="E695" s="20">
        <f t="array" ref="E695">IFNA(_xlfn.XLOOKUP(D695,Table_Tarikan_Warkah[Nomor Tiket],Table_Tarikan_Warkah[Tanggal diserahkan kepada Validator]),"")</f>
        <v>45614.45836</v>
      </c>
      <c r="F695" s="20" t="str">
        <f t="array" ref="F695">IFNA(_xlfn.XLOOKUP(D695,Table_Tarikan_Warkah[Nomor Tiket],Table_Tarikan_Warkah[Nama Petugas Warkah]),"")</f>
        <v>Berry</v>
      </c>
      <c r="G695" s="21" t="str">
        <f t="array" ref="G695">IFNA(_xlfn.XLOOKUP(D695,Table_Tarikan_Warkah[Nomor Tiket],Table_Tarikan_Warkah[Jenis Permohonan]),"")</f>
        <v>ROYA</v>
      </c>
      <c r="H695" s="22" t="s">
        <v>37</v>
      </c>
      <c r="I695" s="22" t="s">
        <v>32</v>
      </c>
      <c r="J695" s="20">
        <f t="shared" si="29"/>
        <v>45614.68429</v>
      </c>
      <c r="K695" s="27" t="s">
        <v>65</v>
      </c>
      <c r="L695" s="27" t="s">
        <v>32</v>
      </c>
      <c r="M695" s="20">
        <f t="shared" si="30"/>
        <v>45615.67726</v>
      </c>
      <c r="N695" s="8" t="str">
        <f t="shared" si="3"/>
        <v>SELESAI</v>
      </c>
      <c r="O695" s="23">
        <f t="shared" si="22"/>
        <v>45615.67726</v>
      </c>
      <c r="P695" s="24" t="b">
        <v>0</v>
      </c>
      <c r="Q695" s="20" t="str">
        <f t="shared" si="31"/>
        <v/>
      </c>
      <c r="R695" s="24" t="b">
        <v>1</v>
      </c>
      <c r="S695" s="20">
        <f t="shared" si="6"/>
        <v>45616.37621</v>
      </c>
      <c r="T695" s="7"/>
    </row>
    <row r="696" ht="22.5" hidden="1" customHeight="1">
      <c r="B696" s="7">
        <f t="shared" si="7"/>
        <v>690</v>
      </c>
      <c r="C696" s="18" t="s">
        <v>670</v>
      </c>
      <c r="D696" s="19" t="str">
        <f t="array" ref="D696">IFNA(_xlfn.XLOOKUP(C696,Table_Tarikan_Warkah[Nomor Sertipikat],Table_Tarikan_Warkah[Nomor Tiket]),"")</f>
        <v>K/41/141124/1</v>
      </c>
      <c r="E696" s="20">
        <f t="array" ref="E696">IFNA(_xlfn.XLOOKUP(D696,Table_Tarikan_Warkah[Nomor Tiket],Table_Tarikan_Warkah[Tanggal diserahkan kepada Validator]),"")</f>
        <v>45614.45902</v>
      </c>
      <c r="F696" s="20" t="str">
        <f t="array" ref="F696">IFNA(_xlfn.XLOOKUP(D696,Table_Tarikan_Warkah[Nomor Tiket],Table_Tarikan_Warkah[Nama Petugas Warkah]),"")</f>
        <v>Berry</v>
      </c>
      <c r="G696" s="21" t="str">
        <f t="array" ref="G696">IFNA(_xlfn.XLOOKUP(D696,Table_Tarikan_Warkah[Nomor Tiket],Table_Tarikan_Warkah[Jenis Permohonan]),"")</f>
        <v>BN JUAL BELI</v>
      </c>
      <c r="H696" s="22" t="s">
        <v>37</v>
      </c>
      <c r="I696" s="22" t="s">
        <v>32</v>
      </c>
      <c r="J696" s="20">
        <f t="shared" si="29"/>
        <v>45614.68429</v>
      </c>
      <c r="K696" s="27" t="s">
        <v>65</v>
      </c>
      <c r="L696" s="27" t="s">
        <v>32</v>
      </c>
      <c r="M696" s="20">
        <f t="shared" si="30"/>
        <v>45615.67726</v>
      </c>
      <c r="N696" s="8" t="str">
        <f t="shared" si="3"/>
        <v>SELESAI</v>
      </c>
      <c r="O696" s="23">
        <f t="shared" si="22"/>
        <v>45615.67726</v>
      </c>
      <c r="P696" s="24" t="b">
        <v>0</v>
      </c>
      <c r="Q696" s="20" t="str">
        <f t="shared" si="31"/>
        <v/>
      </c>
      <c r="R696" s="24" t="b">
        <v>1</v>
      </c>
      <c r="S696" s="20">
        <f t="shared" si="6"/>
        <v>45616.3762</v>
      </c>
      <c r="T696" s="7"/>
    </row>
    <row r="697" ht="22.5" hidden="1" customHeight="1">
      <c r="B697" s="7">
        <f t="shared" si="7"/>
        <v>691</v>
      </c>
      <c r="C697" s="18" t="s">
        <v>683</v>
      </c>
      <c r="D697" s="19" t="str">
        <f t="array" ref="D697">IFNA(_xlfn.XLOOKUP(C697,Table_Tarikan_Warkah[Nomor Sertipikat],Table_Tarikan_Warkah[Nomor Tiket]),"")</f>
        <v>K/42/141124/2</v>
      </c>
      <c r="E697" s="20">
        <f t="array" ref="E697">IFNA(_xlfn.XLOOKUP(D697,Table_Tarikan_Warkah[Nomor Tiket],Table_Tarikan_Warkah[Tanggal diserahkan kepada Validator]),"")</f>
        <v>45614.46005</v>
      </c>
      <c r="F697" s="20" t="str">
        <f t="array" ref="F697">IFNA(_xlfn.XLOOKUP(D697,Table_Tarikan_Warkah[Nomor Tiket],Table_Tarikan_Warkah[Nama Petugas Warkah]),"")</f>
        <v>Berry</v>
      </c>
      <c r="G697" s="21" t="str">
        <f t="array" ref="G697">IFNA(_xlfn.XLOOKUP(D697,Table_Tarikan_Warkah[Nomor Tiket],Table_Tarikan_Warkah[Jenis Permohonan]),"")</f>
        <v>BN JUAL BELI</v>
      </c>
      <c r="H697" s="22" t="s">
        <v>37</v>
      </c>
      <c r="I697" s="22" t="s">
        <v>32</v>
      </c>
      <c r="J697" s="20">
        <f t="shared" si="29"/>
        <v>45614.68429</v>
      </c>
      <c r="K697" s="27" t="s">
        <v>65</v>
      </c>
      <c r="L697" s="27" t="s">
        <v>32</v>
      </c>
      <c r="M697" s="20">
        <f t="shared" si="30"/>
        <v>45615.67726</v>
      </c>
      <c r="N697" s="8" t="str">
        <f t="shared" si="3"/>
        <v>SELESAI</v>
      </c>
      <c r="O697" s="23">
        <f t="shared" si="22"/>
        <v>45615.67726</v>
      </c>
      <c r="P697" s="24" t="b">
        <v>0</v>
      </c>
      <c r="Q697" s="20" t="str">
        <f t="shared" si="31"/>
        <v/>
      </c>
      <c r="R697" s="24" t="b">
        <v>1</v>
      </c>
      <c r="S697" s="20">
        <f t="shared" si="6"/>
        <v>45616.37618</v>
      </c>
      <c r="T697" s="7"/>
    </row>
    <row r="698" ht="22.5" hidden="1" customHeight="1">
      <c r="B698" s="7">
        <f t="shared" si="7"/>
        <v>692</v>
      </c>
      <c r="C698" s="18" t="s">
        <v>684</v>
      </c>
      <c r="D698" s="19" t="str">
        <f t="array" ref="D698">IFNA(_xlfn.XLOOKUP(C698,Table_Tarikan_Warkah[Nomor Sertipikat],Table_Tarikan_Warkah[Nomor Tiket]),"")</f>
        <v>K/43/141124/3</v>
      </c>
      <c r="E698" s="20">
        <f t="array" ref="E698">IFNA(_xlfn.XLOOKUP(D698,Table_Tarikan_Warkah[Nomor Tiket],Table_Tarikan_Warkah[Tanggal diserahkan kepada Validator]),"")</f>
        <v>45614.46092</v>
      </c>
      <c r="F698" s="20" t="str">
        <f t="array" ref="F698">IFNA(_xlfn.XLOOKUP(D698,Table_Tarikan_Warkah[Nomor Tiket],Table_Tarikan_Warkah[Nama Petugas Warkah]),"")</f>
        <v>Berry</v>
      </c>
      <c r="G698" s="21" t="str">
        <f t="array" ref="G698">IFNA(_xlfn.XLOOKUP(D698,Table_Tarikan_Warkah[Nomor Tiket],Table_Tarikan_Warkah[Jenis Permohonan]),"")</f>
        <v>BN JUAL BELI</v>
      </c>
      <c r="H698" s="22" t="s">
        <v>37</v>
      </c>
      <c r="I698" s="22" t="s">
        <v>32</v>
      </c>
      <c r="J698" s="20">
        <f t="shared" si="29"/>
        <v>45614.68429</v>
      </c>
      <c r="K698" s="27" t="s">
        <v>65</v>
      </c>
      <c r="L698" s="27" t="s">
        <v>32</v>
      </c>
      <c r="M698" s="20">
        <f t="shared" si="30"/>
        <v>45615.67726</v>
      </c>
      <c r="N698" s="8" t="str">
        <f t="shared" si="3"/>
        <v>SELESAI</v>
      </c>
      <c r="O698" s="23">
        <f t="shared" si="22"/>
        <v>45615.67726</v>
      </c>
      <c r="P698" s="24" t="b">
        <v>1</v>
      </c>
      <c r="Q698" s="20">
        <f t="shared" si="31"/>
        <v>45615.72993</v>
      </c>
      <c r="R698" s="24" t="b">
        <v>0</v>
      </c>
      <c r="S698" s="7" t="str">
        <f t="shared" si="6"/>
        <v/>
      </c>
      <c r="T698" s="7"/>
    </row>
    <row r="699" ht="22.5" hidden="1" customHeight="1">
      <c r="B699" s="7">
        <f t="shared" si="7"/>
        <v>693</v>
      </c>
      <c r="C699" s="18" t="s">
        <v>685</v>
      </c>
      <c r="D699" s="19" t="str">
        <f t="array" ref="D699">IFNA(_xlfn.XLOOKUP(C699,Table_Tarikan_Warkah[Nomor Sertipikat],Table_Tarikan_Warkah[Nomor Tiket]),"")</f>
        <v>K/44/141124/1</v>
      </c>
      <c r="E699" s="20">
        <f t="array" ref="E699">IFNA(_xlfn.XLOOKUP(D699,Table_Tarikan_Warkah[Nomor Tiket],Table_Tarikan_Warkah[Tanggal diserahkan kepada Validator]),"")</f>
        <v>45614.46181</v>
      </c>
      <c r="F699" s="20" t="str">
        <f t="array" ref="F699">IFNA(_xlfn.XLOOKUP(D699,Table_Tarikan_Warkah[Nomor Tiket],Table_Tarikan_Warkah[Nama Petugas Warkah]),"")</f>
        <v>Berry</v>
      </c>
      <c r="G699" s="21" t="str">
        <f t="array" ref="G699">IFNA(_xlfn.XLOOKUP(D699,Table_Tarikan_Warkah[Nomor Tiket],Table_Tarikan_Warkah[Jenis Permohonan]),"")</f>
        <v>ROYA</v>
      </c>
      <c r="H699" s="22" t="s">
        <v>37</v>
      </c>
      <c r="I699" s="22" t="s">
        <v>32</v>
      </c>
      <c r="J699" s="20">
        <f t="shared" si="29"/>
        <v>45614.68429</v>
      </c>
      <c r="K699" s="27" t="s">
        <v>65</v>
      </c>
      <c r="L699" s="27" t="s">
        <v>32</v>
      </c>
      <c r="M699" s="20">
        <f t="shared" si="30"/>
        <v>45615.67726</v>
      </c>
      <c r="N699" s="8" t="str">
        <f t="shared" si="3"/>
        <v>SELESAI</v>
      </c>
      <c r="O699" s="23">
        <f t="shared" si="22"/>
        <v>45615.67726</v>
      </c>
      <c r="P699" s="24" t="b">
        <v>0</v>
      </c>
      <c r="Q699" s="20" t="str">
        <f t="shared" si="31"/>
        <v/>
      </c>
      <c r="R699" s="24" t="b">
        <v>1</v>
      </c>
      <c r="S699" s="20">
        <f t="shared" si="6"/>
        <v>45616.37609</v>
      </c>
      <c r="T699" s="7"/>
    </row>
    <row r="700" ht="22.5" hidden="1" customHeight="1">
      <c r="B700" s="7">
        <f t="shared" si="7"/>
        <v>694</v>
      </c>
      <c r="C700" s="18" t="s">
        <v>686</v>
      </c>
      <c r="D700" s="19" t="str">
        <f t="array" ref="D700">IFNA(_xlfn.XLOOKUP(C700,Table_Tarikan_Warkah[Nomor Sertipikat],Table_Tarikan_Warkah[Nomor Tiket]),"")</f>
        <v>K/46/141124/3</v>
      </c>
      <c r="E700" s="20">
        <f t="array" ref="E700">IFNA(_xlfn.XLOOKUP(D700,Table_Tarikan_Warkah[Nomor Tiket],Table_Tarikan_Warkah[Tanggal diserahkan kepada Validator]),"")</f>
        <v>45614.46274</v>
      </c>
      <c r="F700" s="20" t="str">
        <f t="array" ref="F700">IFNA(_xlfn.XLOOKUP(D700,Table_Tarikan_Warkah[Nomor Tiket],Table_Tarikan_Warkah[Nama Petugas Warkah]),"")</f>
        <v>Berry</v>
      </c>
      <c r="G700" s="21" t="str">
        <f t="array" ref="G700">IFNA(_xlfn.XLOOKUP(D700,Table_Tarikan_Warkah[Nomor Tiket],Table_Tarikan_Warkah[Jenis Permohonan]),"")</f>
        <v>ROYA</v>
      </c>
      <c r="H700" s="22" t="s">
        <v>37</v>
      </c>
      <c r="I700" s="22" t="s">
        <v>32</v>
      </c>
      <c r="J700" s="20">
        <f t="shared" si="29"/>
        <v>45614.68429</v>
      </c>
      <c r="K700" s="27" t="s">
        <v>65</v>
      </c>
      <c r="L700" s="27" t="s">
        <v>32</v>
      </c>
      <c r="M700" s="20">
        <f t="shared" si="30"/>
        <v>45615.67726</v>
      </c>
      <c r="N700" s="8" t="str">
        <f t="shared" si="3"/>
        <v>SELESAI</v>
      </c>
      <c r="O700" s="23">
        <f t="shared" si="22"/>
        <v>45615.67726</v>
      </c>
      <c r="P700" s="24" t="b">
        <v>0</v>
      </c>
      <c r="Q700" s="20" t="str">
        <f t="shared" si="31"/>
        <v/>
      </c>
      <c r="R700" s="24" t="b">
        <v>1</v>
      </c>
      <c r="S700" s="20">
        <f t="shared" si="6"/>
        <v>45616.37608</v>
      </c>
      <c r="T700" s="7"/>
    </row>
    <row r="701" ht="22.5" hidden="1" customHeight="1">
      <c r="B701" s="7">
        <f t="shared" si="7"/>
        <v>695</v>
      </c>
      <c r="C701" s="18" t="s">
        <v>687</v>
      </c>
      <c r="D701" s="19" t="str">
        <f t="array" ref="D701">IFNA(_xlfn.XLOOKUP(C701,Table_Tarikan_Warkah[Nomor Sertipikat],Table_Tarikan_Warkah[Nomor Tiket]),"")</f>
        <v>L/6/151124/1</v>
      </c>
      <c r="E701" s="20">
        <f t="array" ref="E701">IFNA(_xlfn.XLOOKUP(D701,Table_Tarikan_Warkah[Nomor Tiket],Table_Tarikan_Warkah[Tanggal diserahkan kepada Validator]),"")</f>
        <v>45614.46417</v>
      </c>
      <c r="F701" s="20" t="str">
        <f t="array" ref="F701">IFNA(_xlfn.XLOOKUP(D701,Table_Tarikan_Warkah[Nomor Tiket],Table_Tarikan_Warkah[Nama Petugas Warkah]),"")</f>
        <v>Berry</v>
      </c>
      <c r="G701" s="21" t="str">
        <f t="array" ref="G701">IFNA(_xlfn.XLOOKUP(D701,Table_Tarikan_Warkah[Nomor Tiket],Table_Tarikan_Warkah[Jenis Permohonan]),"")</f>
        <v>ROYA</v>
      </c>
      <c r="H701" s="22" t="s">
        <v>37</v>
      </c>
      <c r="I701" s="22" t="s">
        <v>32</v>
      </c>
      <c r="J701" s="20">
        <f t="shared" si="29"/>
        <v>45614.68429</v>
      </c>
      <c r="K701" s="27" t="s">
        <v>65</v>
      </c>
      <c r="L701" s="27" t="s">
        <v>32</v>
      </c>
      <c r="M701" s="20">
        <f t="shared" si="30"/>
        <v>45615.67726</v>
      </c>
      <c r="N701" s="8" t="str">
        <f t="shared" si="3"/>
        <v>SELESAI</v>
      </c>
      <c r="O701" s="23">
        <f t="shared" si="22"/>
        <v>45615.67726</v>
      </c>
      <c r="P701" s="24" t="b">
        <v>0</v>
      </c>
      <c r="Q701" s="20" t="str">
        <f t="shared" si="31"/>
        <v/>
      </c>
      <c r="R701" s="24" t="b">
        <v>1</v>
      </c>
      <c r="S701" s="20">
        <f t="shared" si="6"/>
        <v>45616.37607</v>
      </c>
      <c r="T701" s="7"/>
    </row>
    <row r="702" ht="22.5" hidden="1" customHeight="1">
      <c r="B702" s="7">
        <f t="shared" si="7"/>
        <v>696</v>
      </c>
      <c r="C702" s="18" t="s">
        <v>688</v>
      </c>
      <c r="D702" s="19" t="str">
        <f t="array" ref="D702">IFNA(_xlfn.XLOOKUP(C702,Table_Tarikan_Warkah[Nomor Sertipikat],Table_Tarikan_Warkah[Nomor Tiket]),"")</f>
        <v>K/19/151124/1</v>
      </c>
      <c r="E702" s="20">
        <f t="array" ref="E702">IFNA(_xlfn.XLOOKUP(D702,Table_Tarikan_Warkah[Nomor Tiket],Table_Tarikan_Warkah[Tanggal diserahkan kepada Validator]),"")</f>
        <v>45614.46466</v>
      </c>
      <c r="F702" s="20" t="str">
        <f t="array" ref="F702">IFNA(_xlfn.XLOOKUP(D702,Table_Tarikan_Warkah[Nomor Tiket],Table_Tarikan_Warkah[Nama Petugas Warkah]),"")</f>
        <v>Berry</v>
      </c>
      <c r="G702" s="21" t="str">
        <f t="array" ref="G702">IFNA(_xlfn.XLOOKUP(D702,Table_Tarikan_Warkah[Nomor Tiket],Table_Tarikan_Warkah[Jenis Permohonan]),"")</f>
        <v>BN JUAL BE;I</v>
      </c>
      <c r="H702" s="22" t="s">
        <v>37</v>
      </c>
      <c r="I702" s="22" t="s">
        <v>32</v>
      </c>
      <c r="J702" s="20">
        <f t="shared" si="29"/>
        <v>45614.68429</v>
      </c>
      <c r="K702" s="27" t="s">
        <v>65</v>
      </c>
      <c r="L702" s="27" t="s">
        <v>32</v>
      </c>
      <c r="M702" s="20">
        <f t="shared" si="30"/>
        <v>45615.67729</v>
      </c>
      <c r="N702" s="8" t="str">
        <f t="shared" si="3"/>
        <v>SELESAI</v>
      </c>
      <c r="O702" s="23">
        <f t="shared" si="22"/>
        <v>45615.67729</v>
      </c>
      <c r="P702" s="24" t="b">
        <v>0</v>
      </c>
      <c r="Q702" s="20" t="str">
        <f t="shared" si="31"/>
        <v/>
      </c>
      <c r="R702" s="24" t="b">
        <v>1</v>
      </c>
      <c r="S702" s="20">
        <f t="shared" si="6"/>
        <v>45616.37606</v>
      </c>
      <c r="T702" s="7"/>
    </row>
    <row r="703" ht="22.5" hidden="1" customHeight="1">
      <c r="B703" s="7">
        <f t="shared" si="7"/>
        <v>697</v>
      </c>
      <c r="C703" s="18" t="s">
        <v>689</v>
      </c>
      <c r="D703" s="19" t="str">
        <f t="array" ref="D703">IFNA(_xlfn.XLOOKUP(C703,Table_Tarikan_Warkah[Nomor Sertipikat],Table_Tarikan_Warkah[Nomor Tiket]),"")</f>
        <v>K/23/151124/2</v>
      </c>
      <c r="E703" s="20">
        <f t="array" ref="E703">IFNA(_xlfn.XLOOKUP(D703,Table_Tarikan_Warkah[Nomor Tiket],Table_Tarikan_Warkah[Tanggal diserahkan kepada Validator]),"")</f>
        <v>45614.46565</v>
      </c>
      <c r="F703" s="20" t="str">
        <f t="array" ref="F703">IFNA(_xlfn.XLOOKUP(D703,Table_Tarikan_Warkah[Nomor Tiket],Table_Tarikan_Warkah[Nama Petugas Warkah]),"")</f>
        <v>Berry</v>
      </c>
      <c r="G703" s="21" t="str">
        <f t="array" ref="G703">IFNA(_xlfn.XLOOKUP(D703,Table_Tarikan_Warkah[Nomor Tiket],Table_Tarikan_Warkah[Jenis Permohonan]),"")</f>
        <v>BN JUAL BELI</v>
      </c>
      <c r="H703" s="22" t="s">
        <v>37</v>
      </c>
      <c r="I703" s="22" t="s">
        <v>32</v>
      </c>
      <c r="J703" s="20">
        <f t="shared" si="29"/>
        <v>45614.68429</v>
      </c>
      <c r="K703" s="27" t="s">
        <v>65</v>
      </c>
      <c r="L703" s="27" t="s">
        <v>32</v>
      </c>
      <c r="M703" s="20">
        <f t="shared" si="30"/>
        <v>45615.67729</v>
      </c>
      <c r="N703" s="8" t="str">
        <f t="shared" si="3"/>
        <v>SELESAI</v>
      </c>
      <c r="O703" s="23">
        <f t="shared" si="22"/>
        <v>45615.67729</v>
      </c>
      <c r="P703" s="24" t="b">
        <v>0</v>
      </c>
      <c r="Q703" s="20" t="str">
        <f t="shared" si="31"/>
        <v/>
      </c>
      <c r="R703" s="24" t="b">
        <v>1</v>
      </c>
      <c r="S703" s="20">
        <f t="shared" si="6"/>
        <v>45616.37604</v>
      </c>
      <c r="T703" s="7"/>
    </row>
    <row r="704" ht="22.5" hidden="1" customHeight="1">
      <c r="B704" s="7">
        <f t="shared" si="7"/>
        <v>698</v>
      </c>
      <c r="C704" s="18" t="s">
        <v>690</v>
      </c>
      <c r="D704" s="19" t="str">
        <f t="array" ref="D704">IFNA(_xlfn.XLOOKUP(C704,Table_Tarikan_Warkah[Nomor Sertipikat],Table_Tarikan_Warkah[Nomor Tiket]),"")</f>
        <v>K/26/151124/1</v>
      </c>
      <c r="E704" s="20">
        <f t="array" ref="E704">IFNA(_xlfn.XLOOKUP(D704,Table_Tarikan_Warkah[Nomor Tiket],Table_Tarikan_Warkah[Tanggal diserahkan kepada Validator]),"")</f>
        <v>45614.46575</v>
      </c>
      <c r="F704" s="20" t="str">
        <f t="array" ref="F704">IFNA(_xlfn.XLOOKUP(D704,Table_Tarikan_Warkah[Nomor Tiket],Table_Tarikan_Warkah[Nama Petugas Warkah]),"")</f>
        <v>Berry</v>
      </c>
      <c r="G704" s="21" t="str">
        <f t="array" ref="G704">IFNA(_xlfn.XLOOKUP(D704,Table_Tarikan_Warkah[Nomor Tiket],Table_Tarikan_Warkah[Jenis Permohonan]),"")</f>
        <v>BN JUAL BELI</v>
      </c>
      <c r="H704" s="22" t="s">
        <v>37</v>
      </c>
      <c r="I704" s="22" t="s">
        <v>32</v>
      </c>
      <c r="J704" s="20">
        <f t="shared" si="29"/>
        <v>45614.68429</v>
      </c>
      <c r="K704" s="27" t="s">
        <v>65</v>
      </c>
      <c r="L704" s="27" t="s">
        <v>32</v>
      </c>
      <c r="M704" s="20">
        <f t="shared" si="30"/>
        <v>45615.67729</v>
      </c>
      <c r="N704" s="8" t="str">
        <f t="shared" si="3"/>
        <v>SELESAI</v>
      </c>
      <c r="O704" s="23">
        <f t="shared" si="22"/>
        <v>45615.67729</v>
      </c>
      <c r="P704" s="24" t="b">
        <v>0</v>
      </c>
      <c r="Q704" s="20" t="str">
        <f t="shared" si="31"/>
        <v/>
      </c>
      <c r="R704" s="24" t="b">
        <v>1</v>
      </c>
      <c r="S704" s="20">
        <f t="shared" si="6"/>
        <v>45616.37603</v>
      </c>
      <c r="T704" s="7"/>
    </row>
    <row r="705" ht="22.5" hidden="1" customHeight="1">
      <c r="B705" s="7">
        <f t="shared" si="7"/>
        <v>699</v>
      </c>
      <c r="C705" s="18" t="s">
        <v>691</v>
      </c>
      <c r="D705" s="19" t="str">
        <f t="array" ref="D705">IFNA(_xlfn.XLOOKUP(C705,Table_Tarikan_Warkah[Nomor Sertipikat],Table_Tarikan_Warkah[Nomor Tiket]),"")</f>
        <v>K/24/151124/1</v>
      </c>
      <c r="E705" s="20">
        <f t="array" ref="E705">IFNA(_xlfn.XLOOKUP(D705,Table_Tarikan_Warkah[Nomor Tiket],Table_Tarikan_Warkah[Tanggal diserahkan kepada Validator]),"")</f>
        <v>45614.46591</v>
      </c>
      <c r="F705" s="20" t="str">
        <f t="array" ref="F705">IFNA(_xlfn.XLOOKUP(D705,Table_Tarikan_Warkah[Nomor Tiket],Table_Tarikan_Warkah[Nama Petugas Warkah]),"")</f>
        <v>Berry</v>
      </c>
      <c r="G705" s="21" t="str">
        <f t="array" ref="G705">IFNA(_xlfn.XLOOKUP(D705,Table_Tarikan_Warkah[Nomor Tiket],Table_Tarikan_Warkah[Jenis Permohonan]),"")</f>
        <v>BN JUAL BELI</v>
      </c>
      <c r="H705" s="22" t="s">
        <v>37</v>
      </c>
      <c r="I705" s="22" t="s">
        <v>32</v>
      </c>
      <c r="J705" s="20">
        <f t="shared" si="29"/>
        <v>45614.68429</v>
      </c>
      <c r="K705" s="27" t="s">
        <v>65</v>
      </c>
      <c r="L705" s="27" t="s">
        <v>32</v>
      </c>
      <c r="M705" s="20">
        <f t="shared" si="30"/>
        <v>45615.67729</v>
      </c>
      <c r="N705" s="8" t="str">
        <f t="shared" si="3"/>
        <v>SELESAI</v>
      </c>
      <c r="O705" s="23">
        <f t="shared" si="22"/>
        <v>45615.67729</v>
      </c>
      <c r="P705" s="24" t="b">
        <v>0</v>
      </c>
      <c r="Q705" s="20" t="str">
        <f t="shared" si="31"/>
        <v/>
      </c>
      <c r="R705" s="24" t="b">
        <v>1</v>
      </c>
      <c r="S705" s="20">
        <f t="shared" si="6"/>
        <v>45616.37601</v>
      </c>
      <c r="T705" s="7"/>
    </row>
    <row r="706" ht="22.5" hidden="1" customHeight="1">
      <c r="B706" s="7">
        <f t="shared" si="7"/>
        <v>700</v>
      </c>
      <c r="C706" s="18" t="s">
        <v>692</v>
      </c>
      <c r="D706" s="19" t="str">
        <f t="array" ref="D706">IFNA(_xlfn.XLOOKUP(C706,Table_Tarikan_Warkah[Nomor Sertipikat],Table_Tarikan_Warkah[Nomor Tiket]),"")</f>
        <v>L/6/281024/1</v>
      </c>
      <c r="E706" s="20">
        <f t="array" ref="E706">IFNA(_xlfn.XLOOKUP(D706,Table_Tarikan_Warkah[Nomor Tiket],Table_Tarikan_Warkah[Tanggal diserahkan kepada Validator]),"")</f>
        <v>45594.40951</v>
      </c>
      <c r="F706" s="20" t="str">
        <f t="array" ref="F706">IFNA(_xlfn.XLOOKUP(D706,Table_Tarikan_Warkah[Nomor Tiket],Table_Tarikan_Warkah[Nama Petugas Warkah]),"")</f>
        <v>David</v>
      </c>
      <c r="G706" s="21" t="str">
        <f t="array" ref="G706">IFNA(_xlfn.XLOOKUP(D706,Table_Tarikan_Warkah[Nomor Tiket],Table_Tarikan_Warkah[Jenis Permohonan]),"")</f>
        <v>BN LELANG</v>
      </c>
      <c r="H706" s="22" t="s">
        <v>37</v>
      </c>
      <c r="I706" s="22" t="s">
        <v>32</v>
      </c>
      <c r="J706" s="20">
        <f t="shared" si="29"/>
        <v>45614.68429</v>
      </c>
      <c r="K706" s="27" t="s">
        <v>65</v>
      </c>
      <c r="L706" s="27" t="s">
        <v>32</v>
      </c>
      <c r="M706" s="20">
        <f t="shared" si="30"/>
        <v>45615.67729</v>
      </c>
      <c r="N706" s="8" t="str">
        <f t="shared" si="3"/>
        <v>SELESAI</v>
      </c>
      <c r="O706" s="23">
        <f t="shared" si="22"/>
        <v>45615.67729</v>
      </c>
      <c r="P706" s="24" t="b">
        <v>0</v>
      </c>
      <c r="Q706" s="20" t="str">
        <f t="shared" si="31"/>
        <v/>
      </c>
      <c r="R706" s="24" t="b">
        <v>1</v>
      </c>
      <c r="S706" s="20">
        <f t="shared" si="6"/>
        <v>45616.37598</v>
      </c>
      <c r="T706" s="7"/>
    </row>
    <row r="707" ht="22.5" hidden="1" customHeight="1">
      <c r="B707" s="7">
        <f t="shared" si="7"/>
        <v>701</v>
      </c>
      <c r="C707" s="18" t="s">
        <v>693</v>
      </c>
      <c r="D707" s="19" t="str">
        <f t="array" ref="D707">IFNA(_xlfn.XLOOKUP(C707,Table_Tarikan_Warkah[Nomor Sertipikat],Table_Tarikan_Warkah[Nomor Tiket]),"")</f>
        <v>L/22/061124/1</v>
      </c>
      <c r="E707" s="20" t="str">
        <f t="array" ref="E707">IFNA(_xlfn.XLOOKUP(D707,Table_Tarikan_Warkah[Nomor Tiket],Table_Tarikan_Warkah[Tanggal diserahkan kepada Validator]),"")</f>
        <v/>
      </c>
      <c r="F707" s="20" t="str">
        <f t="array" ref="F707">IFNA(_xlfn.XLOOKUP(D707,Table_Tarikan_Warkah[Nomor Tiket],Table_Tarikan_Warkah[Nama Petugas Warkah]),"")</f>
        <v>Berry</v>
      </c>
      <c r="G707" s="21" t="str">
        <f t="array" ref="G707">IFNA(_xlfn.XLOOKUP(D707,Table_Tarikan_Warkah[Nomor Tiket],Table_Tarikan_Warkah[Jenis Permohonan]),"")</f>
        <v>PERUBAHAN HAK</v>
      </c>
      <c r="H707" s="22" t="s">
        <v>37</v>
      </c>
      <c r="I707" s="22" t="s">
        <v>32</v>
      </c>
      <c r="J707" s="20">
        <f t="shared" si="29"/>
        <v>45614.68429</v>
      </c>
      <c r="K707" s="27" t="s">
        <v>65</v>
      </c>
      <c r="L707" s="27" t="s">
        <v>32</v>
      </c>
      <c r="M707" s="20">
        <f t="shared" si="30"/>
        <v>45615.67729</v>
      </c>
      <c r="N707" s="8" t="str">
        <f t="shared" si="3"/>
        <v>SELESAI</v>
      </c>
      <c r="O707" s="23">
        <f t="shared" si="22"/>
        <v>45615.67729</v>
      </c>
      <c r="P707" s="24" t="b">
        <v>0</v>
      </c>
      <c r="Q707" s="20" t="str">
        <f t="shared" si="31"/>
        <v/>
      </c>
      <c r="R707" s="24" t="b">
        <v>1</v>
      </c>
      <c r="S707" s="20">
        <f t="shared" si="6"/>
        <v>45616.37597</v>
      </c>
      <c r="T707" s="7"/>
    </row>
    <row r="708" ht="22.5" hidden="1" customHeight="1">
      <c r="B708" s="7">
        <f t="shared" si="7"/>
        <v>702</v>
      </c>
      <c r="C708" s="18" t="s">
        <v>694</v>
      </c>
      <c r="D708" s="19" t="str">
        <f t="array" ref="D708">IFNA(_xlfn.XLOOKUP(C708,Table_Tarikan_Warkah[Nomor Sertipikat],Table_Tarikan_Warkah[Nomor Tiket]),"")</f>
        <v>L/12/131124/1</v>
      </c>
      <c r="E708" s="20">
        <f t="array" ref="E708">IFNA(_xlfn.XLOOKUP(D708,Table_Tarikan_Warkah[Nomor Tiket],Table_Tarikan_Warkah[Tanggal diserahkan kepada Validator]),"")</f>
        <v>45614.44078</v>
      </c>
      <c r="F708" s="20" t="str">
        <f t="array" ref="F708">IFNA(_xlfn.XLOOKUP(D708,Table_Tarikan_Warkah[Nomor Tiket],Table_Tarikan_Warkah[Nama Petugas Warkah]),"")</f>
        <v>David</v>
      </c>
      <c r="G708" s="21" t="str">
        <f t="array" ref="G708">IFNA(_xlfn.XLOOKUP(D708,Table_Tarikan_Warkah[Nomor Tiket],Table_Tarikan_Warkah[Jenis Permohonan]),"")</f>
        <v>ROYA</v>
      </c>
      <c r="H708" s="22" t="s">
        <v>31</v>
      </c>
      <c r="I708" s="22" t="s">
        <v>32</v>
      </c>
      <c r="J708" s="20">
        <f t="shared" si="29"/>
        <v>45614.68551</v>
      </c>
      <c r="K708" s="27" t="s">
        <v>65</v>
      </c>
      <c r="L708" s="27" t="s">
        <v>32</v>
      </c>
      <c r="M708" s="20">
        <f t="shared" si="30"/>
        <v>45615.67729</v>
      </c>
      <c r="N708" s="8" t="str">
        <f t="shared" si="3"/>
        <v>SELESAI</v>
      </c>
      <c r="O708" s="23">
        <f t="shared" si="22"/>
        <v>45615.67729</v>
      </c>
      <c r="P708" s="24" t="b">
        <v>0</v>
      </c>
      <c r="Q708" s="20" t="str">
        <f t="shared" si="31"/>
        <v/>
      </c>
      <c r="R708" s="24" t="b">
        <v>1</v>
      </c>
      <c r="S708" s="20">
        <f t="shared" si="6"/>
        <v>45616.37595</v>
      </c>
      <c r="T708" s="7"/>
    </row>
    <row r="709" ht="22.5" hidden="1" customHeight="1">
      <c r="B709" s="7">
        <f t="shared" si="7"/>
        <v>703</v>
      </c>
      <c r="C709" s="18" t="s">
        <v>695</v>
      </c>
      <c r="D709" s="19" t="str">
        <f t="array" ref="D709">IFNA(_xlfn.XLOOKUP(C709,Table_Tarikan_Warkah[Nomor Sertipikat],Table_Tarikan_Warkah[Nomor Tiket]),"")</f>
        <v>K/15/131124/3</v>
      </c>
      <c r="E709" s="20">
        <f t="array" ref="E709">IFNA(_xlfn.XLOOKUP(D709,Table_Tarikan_Warkah[Nomor Tiket],Table_Tarikan_Warkah[Tanggal diserahkan kepada Validator]),"")</f>
        <v>45614.44296</v>
      </c>
      <c r="F709" s="20" t="str">
        <f t="array" ref="F709">IFNA(_xlfn.XLOOKUP(D709,Table_Tarikan_Warkah[Nomor Tiket],Table_Tarikan_Warkah[Nama Petugas Warkah]),"")</f>
        <v>David</v>
      </c>
      <c r="G709" s="21" t="str">
        <f t="array" ref="G709">IFNA(_xlfn.XLOOKUP(D709,Table_Tarikan_Warkah[Nomor Tiket],Table_Tarikan_Warkah[Jenis Permohonan]),"")</f>
        <v>BN JUAL BELI</v>
      </c>
      <c r="H709" s="22" t="s">
        <v>31</v>
      </c>
      <c r="I709" s="22" t="s">
        <v>32</v>
      </c>
      <c r="J709" s="20">
        <f t="shared" si="29"/>
        <v>45614.68588</v>
      </c>
      <c r="K709" s="27" t="s">
        <v>65</v>
      </c>
      <c r="L709" s="27" t="s">
        <v>32</v>
      </c>
      <c r="M709" s="20">
        <f t="shared" si="30"/>
        <v>45615.67741</v>
      </c>
      <c r="N709" s="8" t="str">
        <f t="shared" si="3"/>
        <v>SELESAI</v>
      </c>
      <c r="O709" s="23">
        <f t="shared" si="22"/>
        <v>45615.67741</v>
      </c>
      <c r="P709" s="24" t="b">
        <v>0</v>
      </c>
      <c r="Q709" s="20" t="str">
        <f t="shared" si="31"/>
        <v/>
      </c>
      <c r="R709" s="24" t="b">
        <v>1</v>
      </c>
      <c r="S709" s="20">
        <f t="shared" si="6"/>
        <v>45616.37594</v>
      </c>
      <c r="T709" s="7"/>
    </row>
    <row r="710" ht="22.5" hidden="1" customHeight="1">
      <c r="B710" s="7">
        <f t="shared" si="7"/>
        <v>704</v>
      </c>
      <c r="C710" s="18" t="s">
        <v>696</v>
      </c>
      <c r="D710" s="19" t="str">
        <f t="array" ref="D710">IFNA(_xlfn.XLOOKUP(C710,Table_Tarikan_Warkah[Nomor Sertipikat],Table_Tarikan_Warkah[Nomor Tiket]),"")</f>
        <v>K/14/131124/2</v>
      </c>
      <c r="E710" s="20">
        <f t="array" ref="E710">IFNA(_xlfn.XLOOKUP(D710,Table_Tarikan_Warkah[Nomor Tiket],Table_Tarikan_Warkah[Tanggal diserahkan kepada Validator]),"")</f>
        <v>45614.4426</v>
      </c>
      <c r="F710" s="20" t="str">
        <f t="array" ref="F710">IFNA(_xlfn.XLOOKUP(D710,Table_Tarikan_Warkah[Nomor Tiket],Table_Tarikan_Warkah[Nama Petugas Warkah]),"")</f>
        <v>David</v>
      </c>
      <c r="G710" s="21" t="str">
        <f t="array" ref="G710">IFNA(_xlfn.XLOOKUP(D710,Table_Tarikan_Warkah[Nomor Tiket],Table_Tarikan_Warkah[Jenis Permohonan]),"")</f>
        <v>BN JUAL JUAL BELI</v>
      </c>
      <c r="H710" s="22" t="s">
        <v>31</v>
      </c>
      <c r="I710" s="22" t="s">
        <v>32</v>
      </c>
      <c r="J710" s="20">
        <f t="shared" si="29"/>
        <v>45614.68588</v>
      </c>
      <c r="K710" s="27" t="s">
        <v>65</v>
      </c>
      <c r="L710" s="27" t="s">
        <v>32</v>
      </c>
      <c r="M710" s="20">
        <f t="shared" si="30"/>
        <v>45615.67741</v>
      </c>
      <c r="N710" s="8" t="str">
        <f t="shared" si="3"/>
        <v>SELESAI</v>
      </c>
      <c r="O710" s="23">
        <f t="shared" si="22"/>
        <v>45615.67741</v>
      </c>
      <c r="P710" s="24" t="b">
        <v>0</v>
      </c>
      <c r="Q710" s="20" t="str">
        <f t="shared" si="31"/>
        <v/>
      </c>
      <c r="R710" s="24" t="b">
        <v>1</v>
      </c>
      <c r="S710" s="20">
        <f t="shared" si="6"/>
        <v>45616.37593</v>
      </c>
      <c r="T710" s="7"/>
    </row>
    <row r="711" ht="22.5" hidden="1" customHeight="1">
      <c r="B711" s="7">
        <f t="shared" si="7"/>
        <v>705</v>
      </c>
      <c r="C711" s="18" t="s">
        <v>697</v>
      </c>
      <c r="D711" s="19" t="str">
        <f t="array" ref="D711">IFNA(_xlfn.XLOOKUP(C711,Table_Tarikan_Warkah[Nomor Sertipikat],Table_Tarikan_Warkah[Nomor Tiket]),"")</f>
        <v>K/10/131124/1</v>
      </c>
      <c r="E711" s="20">
        <f t="array" ref="E711">IFNA(_xlfn.XLOOKUP(D711,Table_Tarikan_Warkah[Nomor Tiket],Table_Tarikan_Warkah[Tanggal diserahkan kepada Validator]),"")</f>
        <v>45614.43867</v>
      </c>
      <c r="F711" s="20" t="str">
        <f t="array" ref="F711">IFNA(_xlfn.XLOOKUP(D711,Table_Tarikan_Warkah[Nomor Tiket],Table_Tarikan_Warkah[Nama Petugas Warkah]),"")</f>
        <v>David</v>
      </c>
      <c r="G711" s="21" t="str">
        <f t="array" ref="G711">IFNA(_xlfn.XLOOKUP(D711,Table_Tarikan_Warkah[Nomor Tiket],Table_Tarikan_Warkah[Jenis Permohonan]),"")</f>
        <v>BN Jual Beli</v>
      </c>
      <c r="H711" s="22" t="s">
        <v>31</v>
      </c>
      <c r="I711" s="22" t="s">
        <v>32</v>
      </c>
      <c r="J711" s="20">
        <f t="shared" si="29"/>
        <v>45614.68588</v>
      </c>
      <c r="K711" s="27" t="s">
        <v>65</v>
      </c>
      <c r="L711" s="27" t="s">
        <v>32</v>
      </c>
      <c r="M711" s="20">
        <f t="shared" si="30"/>
        <v>45615.67741</v>
      </c>
      <c r="N711" s="8" t="str">
        <f t="shared" si="3"/>
        <v>SELESAI</v>
      </c>
      <c r="O711" s="23">
        <f t="shared" si="22"/>
        <v>45615.67741</v>
      </c>
      <c r="P711" s="24" t="b">
        <v>0</v>
      </c>
      <c r="Q711" s="20" t="str">
        <f t="shared" si="31"/>
        <v/>
      </c>
      <c r="R711" s="24" t="b">
        <v>1</v>
      </c>
      <c r="S711" s="20">
        <f t="shared" si="6"/>
        <v>45616.37593</v>
      </c>
      <c r="T711" s="7"/>
    </row>
    <row r="712" ht="22.5" hidden="1" customHeight="1">
      <c r="B712" s="7">
        <f t="shared" si="7"/>
        <v>706</v>
      </c>
      <c r="C712" s="18" t="s">
        <v>664</v>
      </c>
      <c r="D712" s="19" t="str">
        <f t="array" ref="D712">IFNA(_xlfn.XLOOKUP(C712,Table_Tarikan_Warkah[Nomor Sertipikat],Table_Tarikan_Warkah[Nomor Tiket]),"")</f>
        <v>K/7/131124/1</v>
      </c>
      <c r="E712" s="20">
        <f t="array" ref="E712">IFNA(_xlfn.XLOOKUP(D712,Table_Tarikan_Warkah[Nomor Tiket],Table_Tarikan_Warkah[Tanggal diserahkan kepada Validator]),"")</f>
        <v>45614.43788</v>
      </c>
      <c r="F712" s="20" t="str">
        <f t="array" ref="F712">IFNA(_xlfn.XLOOKUP(D712,Table_Tarikan_Warkah[Nomor Tiket],Table_Tarikan_Warkah[Nama Petugas Warkah]),"")</f>
        <v>David</v>
      </c>
      <c r="G712" s="21" t="str">
        <f t="array" ref="G712">IFNA(_xlfn.XLOOKUP(D712,Table_Tarikan_Warkah[Nomor Tiket],Table_Tarikan_Warkah[Jenis Permohonan]),"")</f>
        <v>ROYA</v>
      </c>
      <c r="H712" s="22" t="s">
        <v>31</v>
      </c>
      <c r="I712" s="22" t="s">
        <v>32</v>
      </c>
      <c r="J712" s="20">
        <f t="shared" si="29"/>
        <v>45614.68588</v>
      </c>
      <c r="K712" s="27" t="s">
        <v>65</v>
      </c>
      <c r="L712" s="27" t="s">
        <v>32</v>
      </c>
      <c r="M712" s="20">
        <f t="shared" si="30"/>
        <v>45615.67741</v>
      </c>
      <c r="N712" s="8" t="str">
        <f t="shared" si="3"/>
        <v>SELESAI</v>
      </c>
      <c r="O712" s="23">
        <f t="shared" si="22"/>
        <v>45615.67741</v>
      </c>
      <c r="P712" s="24" t="b">
        <v>0</v>
      </c>
      <c r="Q712" s="20" t="str">
        <f t="shared" si="31"/>
        <v/>
      </c>
      <c r="R712" s="24" t="b">
        <v>1</v>
      </c>
      <c r="S712" s="20">
        <f t="shared" si="6"/>
        <v>45616.37592</v>
      </c>
      <c r="T712" s="7"/>
    </row>
    <row r="713" ht="22.5" hidden="1" customHeight="1">
      <c r="B713" s="7">
        <f t="shared" si="7"/>
        <v>707</v>
      </c>
      <c r="C713" s="18" t="s">
        <v>698</v>
      </c>
      <c r="D713" s="19" t="str">
        <f t="array" ref="D713">IFNA(_xlfn.XLOOKUP(C713,Table_Tarikan_Warkah[Nomor Sertipikat],Table_Tarikan_Warkah[Nomor Tiket]),"")</f>
        <v>K/19/131124/1</v>
      </c>
      <c r="E713" s="20">
        <f t="array" ref="E713">IFNA(_xlfn.XLOOKUP(D713,Table_Tarikan_Warkah[Nomor Tiket],Table_Tarikan_Warkah[Tanggal diserahkan kepada Validator]),"")</f>
        <v>45614.41139</v>
      </c>
      <c r="F713" s="20" t="str">
        <f t="array" ref="F713">IFNA(_xlfn.XLOOKUP(D713,Table_Tarikan_Warkah[Nomor Tiket],Table_Tarikan_Warkah[Nama Petugas Warkah]),"")</f>
        <v>David</v>
      </c>
      <c r="G713" s="21" t="str">
        <f t="array" ref="G713">IFNA(_xlfn.XLOOKUP(D713,Table_Tarikan_Warkah[Nomor Tiket],Table_Tarikan_Warkah[Jenis Permohonan]),"")</f>
        <v>BN Waris</v>
      </c>
      <c r="H713" s="22" t="s">
        <v>31</v>
      </c>
      <c r="I713" s="22" t="s">
        <v>32</v>
      </c>
      <c r="J713" s="20">
        <f t="shared" si="29"/>
        <v>45614.68588</v>
      </c>
      <c r="K713" s="27" t="s">
        <v>65</v>
      </c>
      <c r="L713" s="27" t="s">
        <v>32</v>
      </c>
      <c r="M713" s="20">
        <f t="shared" si="30"/>
        <v>45615.67741</v>
      </c>
      <c r="N713" s="8" t="str">
        <f t="shared" si="3"/>
        <v>SELESAI</v>
      </c>
      <c r="O713" s="23">
        <f t="shared" si="22"/>
        <v>45615.67741</v>
      </c>
      <c r="P713" s="24" t="b">
        <v>0</v>
      </c>
      <c r="Q713" s="20" t="str">
        <f t="shared" si="31"/>
        <v/>
      </c>
      <c r="R713" s="24" t="b">
        <v>1</v>
      </c>
      <c r="S713" s="20">
        <f t="shared" si="6"/>
        <v>45616.37591</v>
      </c>
      <c r="T713" s="7"/>
    </row>
    <row r="714" ht="22.5" hidden="1" customHeight="1">
      <c r="B714" s="7">
        <f t="shared" si="7"/>
        <v>708</v>
      </c>
      <c r="C714" s="18" t="s">
        <v>699</v>
      </c>
      <c r="D714" s="19" t="str">
        <f t="array" ref="D714">IFNA(_xlfn.XLOOKUP(C714,Table_Tarikan_Warkah[Nomor Sertipikat],Table_Tarikan_Warkah[Nomor Tiket]),"")</f>
        <v>K/20/131124/1</v>
      </c>
      <c r="E714" s="20">
        <f t="array" ref="E714">IFNA(_xlfn.XLOOKUP(D714,Table_Tarikan_Warkah[Nomor Tiket],Table_Tarikan_Warkah[Tanggal diserahkan kepada Validator]),"")</f>
        <v>45614.44479</v>
      </c>
      <c r="F714" s="20" t="str">
        <f t="array" ref="F714">IFNA(_xlfn.XLOOKUP(D714,Table_Tarikan_Warkah[Nomor Tiket],Table_Tarikan_Warkah[Nama Petugas Warkah]),"")</f>
        <v>David</v>
      </c>
      <c r="G714" s="21" t="str">
        <f t="array" ref="G714">IFNA(_xlfn.XLOOKUP(D714,Table_Tarikan_Warkah[Nomor Tiket],Table_Tarikan_Warkah[Jenis Permohonan]),"")</f>
        <v>BN JUAL BELI</v>
      </c>
      <c r="H714" s="22" t="s">
        <v>31</v>
      </c>
      <c r="I714" s="22" t="s">
        <v>32</v>
      </c>
      <c r="J714" s="20">
        <f t="shared" si="29"/>
        <v>45614.68588</v>
      </c>
      <c r="K714" s="27" t="s">
        <v>65</v>
      </c>
      <c r="L714" s="27" t="s">
        <v>32</v>
      </c>
      <c r="M714" s="20">
        <f t="shared" si="30"/>
        <v>45615.67741</v>
      </c>
      <c r="N714" s="8" t="str">
        <f t="shared" si="3"/>
        <v>SELESAI</v>
      </c>
      <c r="O714" s="23">
        <f t="shared" si="22"/>
        <v>45615.67741</v>
      </c>
      <c r="P714" s="24" t="b">
        <v>0</v>
      </c>
      <c r="Q714" s="20" t="str">
        <f t="shared" si="31"/>
        <v/>
      </c>
      <c r="R714" s="24" t="b">
        <v>1</v>
      </c>
      <c r="S714" s="20">
        <f t="shared" si="6"/>
        <v>45616.3759</v>
      </c>
      <c r="T714" s="7"/>
    </row>
    <row r="715" ht="22.5" hidden="1" customHeight="1">
      <c r="B715" s="7">
        <f t="shared" si="7"/>
        <v>709</v>
      </c>
      <c r="C715" s="18" t="s">
        <v>700</v>
      </c>
      <c r="D715" s="19" t="str">
        <f t="array" ref="D715">IFNA(_xlfn.XLOOKUP(C715,Table_Tarikan_Warkah[Nomor Sertipikat],Table_Tarikan_Warkah[Nomor Tiket]),"")</f>
        <v>K/4/141124/3</v>
      </c>
      <c r="E715" s="20">
        <f t="array" ref="E715">IFNA(_xlfn.XLOOKUP(D715,Table_Tarikan_Warkah[Nomor Tiket],Table_Tarikan_Warkah[Tanggal diserahkan kepada Validator]),"")</f>
        <v>45614.45265</v>
      </c>
      <c r="F715" s="20" t="str">
        <f t="array" ref="F715">IFNA(_xlfn.XLOOKUP(D715,Table_Tarikan_Warkah[Nomor Tiket],Table_Tarikan_Warkah[Nama Petugas Warkah]),"")</f>
        <v>David</v>
      </c>
      <c r="G715" s="21" t="str">
        <f t="array" ref="G715">IFNA(_xlfn.XLOOKUP(D715,Table_Tarikan_Warkah[Nomor Tiket],Table_Tarikan_Warkah[Jenis Permohonan]),"")</f>
        <v>PERUBAHAN HAK</v>
      </c>
      <c r="H715" s="22" t="s">
        <v>31</v>
      </c>
      <c r="I715" s="22" t="s">
        <v>32</v>
      </c>
      <c r="J715" s="20">
        <f t="shared" si="29"/>
        <v>45614.68588</v>
      </c>
      <c r="K715" s="27" t="s">
        <v>65</v>
      </c>
      <c r="L715" s="27" t="s">
        <v>32</v>
      </c>
      <c r="M715" s="20">
        <f t="shared" si="30"/>
        <v>45615.67741</v>
      </c>
      <c r="N715" s="8" t="str">
        <f t="shared" si="3"/>
        <v>SELESAI</v>
      </c>
      <c r="O715" s="23">
        <f t="shared" si="22"/>
        <v>45615.67741</v>
      </c>
      <c r="P715" s="24" t="b">
        <v>0</v>
      </c>
      <c r="Q715" s="20" t="str">
        <f t="shared" si="31"/>
        <v/>
      </c>
      <c r="R715" s="24" t="b">
        <v>1</v>
      </c>
      <c r="S715" s="20">
        <f t="shared" si="6"/>
        <v>45616.37586</v>
      </c>
      <c r="T715" s="7"/>
    </row>
    <row r="716" ht="22.5" hidden="1" customHeight="1">
      <c r="B716" s="7">
        <f t="shared" si="7"/>
        <v>710</v>
      </c>
      <c r="C716" s="18" t="s">
        <v>666</v>
      </c>
      <c r="D716" s="19" t="str">
        <f t="array" ref="D716">IFNA(_xlfn.XLOOKUP(C716,Table_Tarikan_Warkah[Nomor Sertipikat],Table_Tarikan_Warkah[Nomor Tiket]),"")</f>
        <v>K/22/141124/1</v>
      </c>
      <c r="E716" s="20">
        <f t="array" ref="E716">IFNA(_xlfn.XLOOKUP(D716,Table_Tarikan_Warkah[Nomor Tiket],Table_Tarikan_Warkah[Tanggal diserahkan kepada Validator]),"")</f>
        <v>45614.45738</v>
      </c>
      <c r="F716" s="20" t="str">
        <f t="array" ref="F716">IFNA(_xlfn.XLOOKUP(D716,Table_Tarikan_Warkah[Nomor Tiket],Table_Tarikan_Warkah[Nama Petugas Warkah]),"")</f>
        <v>Berry</v>
      </c>
      <c r="G716" s="21" t="str">
        <f t="array" ref="G716">IFNA(_xlfn.XLOOKUP(D716,Table_Tarikan_Warkah[Nomor Tiket],Table_Tarikan_Warkah[Jenis Permohonan]),"")</f>
        <v>BN JUAL BELI</v>
      </c>
      <c r="H716" s="22" t="s">
        <v>31</v>
      </c>
      <c r="I716" s="22" t="s">
        <v>32</v>
      </c>
      <c r="J716" s="20">
        <f t="shared" si="29"/>
        <v>45614.68588</v>
      </c>
      <c r="K716" s="27" t="s">
        <v>65</v>
      </c>
      <c r="L716" s="27" t="s">
        <v>32</v>
      </c>
      <c r="M716" s="20">
        <f t="shared" si="30"/>
        <v>45615.67741</v>
      </c>
      <c r="N716" s="8" t="str">
        <f t="shared" si="3"/>
        <v>SELESAI</v>
      </c>
      <c r="O716" s="23">
        <f t="shared" si="22"/>
        <v>45615.67741</v>
      </c>
      <c r="P716" s="24" t="b">
        <v>0</v>
      </c>
      <c r="Q716" s="20" t="str">
        <f t="shared" si="31"/>
        <v/>
      </c>
      <c r="R716" s="24" t="b">
        <v>1</v>
      </c>
      <c r="S716" s="20">
        <f t="shared" si="6"/>
        <v>45616.37585</v>
      </c>
      <c r="T716" s="7"/>
    </row>
    <row r="717" ht="22.5" hidden="1" customHeight="1">
      <c r="B717" s="7">
        <f t="shared" si="7"/>
        <v>711</v>
      </c>
      <c r="C717" s="18" t="s">
        <v>701</v>
      </c>
      <c r="D717" s="19" t="str">
        <f t="array" ref="D717">IFNA(_xlfn.XLOOKUP(C717,Table_Tarikan_Warkah[Nomor Sertipikat],Table_Tarikan_Warkah[Nomor Tiket]),"")</f>
        <v>L/18/141124/1</v>
      </c>
      <c r="E717" s="20">
        <f t="array" ref="E717">IFNA(_xlfn.XLOOKUP(D717,Table_Tarikan_Warkah[Nomor Tiket],Table_Tarikan_Warkah[Tanggal diserahkan kepada Validator]),"")</f>
        <v>45614.45678</v>
      </c>
      <c r="F717" s="20" t="str">
        <f t="array" ref="F717">IFNA(_xlfn.XLOOKUP(D717,Table_Tarikan_Warkah[Nomor Tiket],Table_Tarikan_Warkah[Nama Petugas Warkah]),"")</f>
        <v>Berry</v>
      </c>
      <c r="G717" s="21" t="str">
        <f t="array" ref="G717">IFNA(_xlfn.XLOOKUP(D717,Table_Tarikan_Warkah[Nomor Tiket],Table_Tarikan_Warkah[Jenis Permohonan]),"")</f>
        <v>ROYA</v>
      </c>
      <c r="H717" s="22" t="s">
        <v>31</v>
      </c>
      <c r="I717" s="22" t="s">
        <v>32</v>
      </c>
      <c r="J717" s="20">
        <f t="shared" si="29"/>
        <v>45614.68588</v>
      </c>
      <c r="K717" s="27" t="s">
        <v>65</v>
      </c>
      <c r="L717" s="27" t="s">
        <v>32</v>
      </c>
      <c r="M717" s="20">
        <f t="shared" si="30"/>
        <v>45615.67741</v>
      </c>
      <c r="N717" s="8" t="str">
        <f t="shared" si="3"/>
        <v>SELESAI</v>
      </c>
      <c r="O717" s="23">
        <f t="shared" si="22"/>
        <v>45615.67741</v>
      </c>
      <c r="P717" s="24" t="b">
        <v>0</v>
      </c>
      <c r="Q717" s="20" t="str">
        <f t="shared" si="31"/>
        <v/>
      </c>
      <c r="R717" s="24" t="b">
        <v>1</v>
      </c>
      <c r="S717" s="20">
        <f t="shared" si="6"/>
        <v>45616.37584</v>
      </c>
      <c r="T717" s="7"/>
    </row>
    <row r="718" ht="22.5" hidden="1" customHeight="1">
      <c r="B718" s="7">
        <f t="shared" si="7"/>
        <v>712</v>
      </c>
      <c r="C718" s="18" t="s">
        <v>702</v>
      </c>
      <c r="D718" s="19" t="str">
        <f t="array" ref="D718">IFNA(_xlfn.XLOOKUP(C718,Table_Tarikan_Warkah[Nomor Sertipikat],Table_Tarikan_Warkah[Nomor Tiket]),"")</f>
        <v>K/12/141124/1</v>
      </c>
      <c r="E718" s="20">
        <f t="array" ref="E718">IFNA(_xlfn.XLOOKUP(D718,Table_Tarikan_Warkah[Nomor Tiket],Table_Tarikan_Warkah[Tanggal diserahkan kepada Validator]),"")</f>
        <v>45614.45553</v>
      </c>
      <c r="F718" s="20" t="str">
        <f t="array" ref="F718">IFNA(_xlfn.XLOOKUP(D718,Table_Tarikan_Warkah[Nomor Tiket],Table_Tarikan_Warkah[Nama Petugas Warkah]),"")</f>
        <v>Berry</v>
      </c>
      <c r="G718" s="21" t="str">
        <f t="array" ref="G718">IFNA(_xlfn.XLOOKUP(D718,Table_Tarikan_Warkah[Nomor Tiket],Table_Tarikan_Warkah[Jenis Permohonan]),"")</f>
        <v>BN JUAL BELI</v>
      </c>
      <c r="H718" s="22" t="s">
        <v>31</v>
      </c>
      <c r="I718" s="22" t="s">
        <v>32</v>
      </c>
      <c r="J718" s="20">
        <f t="shared" si="29"/>
        <v>45614.68588</v>
      </c>
      <c r="K718" s="27" t="s">
        <v>65</v>
      </c>
      <c r="L718" s="27" t="s">
        <v>32</v>
      </c>
      <c r="M718" s="20">
        <f t="shared" si="30"/>
        <v>45615.67741</v>
      </c>
      <c r="N718" s="8" t="str">
        <f t="shared" si="3"/>
        <v>SELESAI</v>
      </c>
      <c r="O718" s="23">
        <f t="shared" si="22"/>
        <v>45615.67741</v>
      </c>
      <c r="P718" s="24" t="b">
        <v>1</v>
      </c>
      <c r="Q718" s="20">
        <f t="shared" si="31"/>
        <v>45615.72961</v>
      </c>
      <c r="R718" s="24" t="b">
        <v>1</v>
      </c>
      <c r="S718" s="20">
        <f t="shared" si="6"/>
        <v>45616.3757</v>
      </c>
      <c r="T718" s="7"/>
    </row>
    <row r="719" ht="22.5" hidden="1" customHeight="1">
      <c r="B719" s="7">
        <f t="shared" si="7"/>
        <v>713</v>
      </c>
      <c r="C719" s="18" t="s">
        <v>703</v>
      </c>
      <c r="D719" s="19" t="str">
        <f t="array" ref="D719">IFNA(_xlfn.XLOOKUP(C719,Table_Tarikan_Warkah[Nomor Sertipikat],Table_Tarikan_Warkah[Nomor Tiket]),"")</f>
        <v>K/11/141124/1</v>
      </c>
      <c r="E719" s="20">
        <f t="array" ref="E719">IFNA(_xlfn.XLOOKUP(D719,Table_Tarikan_Warkah[Nomor Tiket],Table_Tarikan_Warkah[Tanggal diserahkan kepada Validator]),"")</f>
        <v>45614.45458</v>
      </c>
      <c r="F719" s="20" t="str">
        <f t="array" ref="F719">IFNA(_xlfn.XLOOKUP(D719,Table_Tarikan_Warkah[Nomor Tiket],Table_Tarikan_Warkah[Nama Petugas Warkah]),"")</f>
        <v>Berry</v>
      </c>
      <c r="G719" s="21" t="str">
        <f t="array" ref="G719">IFNA(_xlfn.XLOOKUP(D719,Table_Tarikan_Warkah[Nomor Tiket],Table_Tarikan_Warkah[Jenis Permohonan]),"")</f>
        <v>ROYA</v>
      </c>
      <c r="H719" s="22" t="s">
        <v>31</v>
      </c>
      <c r="I719" s="22" t="s">
        <v>32</v>
      </c>
      <c r="J719" s="20">
        <f t="shared" si="29"/>
        <v>45614.68588</v>
      </c>
      <c r="K719" s="27" t="s">
        <v>65</v>
      </c>
      <c r="L719" s="27" t="s">
        <v>32</v>
      </c>
      <c r="M719" s="20">
        <f t="shared" si="30"/>
        <v>45615.67741</v>
      </c>
      <c r="N719" s="8" t="str">
        <f t="shared" si="3"/>
        <v>SELESAI</v>
      </c>
      <c r="O719" s="23">
        <f t="shared" si="22"/>
        <v>45615.67741</v>
      </c>
      <c r="P719" s="24" t="b">
        <v>0</v>
      </c>
      <c r="Q719" s="20" t="str">
        <f t="shared" si="31"/>
        <v/>
      </c>
      <c r="R719" s="24" t="b">
        <v>1</v>
      </c>
      <c r="S719" s="20">
        <f t="shared" si="6"/>
        <v>45616.37569</v>
      </c>
      <c r="T719" s="7"/>
    </row>
    <row r="720" ht="22.5" hidden="1" customHeight="1">
      <c r="B720" s="7">
        <f t="shared" si="7"/>
        <v>714</v>
      </c>
      <c r="C720" s="18" t="s">
        <v>704</v>
      </c>
      <c r="D720" s="19" t="str">
        <f t="array" ref="D720">IFNA(_xlfn.XLOOKUP(C720,Table_Tarikan_Warkah[Nomor Sertipikat],Table_Tarikan_Warkah[Nomor Tiket]),"")</f>
        <v>L/10/141124/1</v>
      </c>
      <c r="E720" s="20">
        <f t="array" ref="E720">IFNA(_xlfn.XLOOKUP(D720,Table_Tarikan_Warkah[Nomor Tiket],Table_Tarikan_Warkah[Tanggal diserahkan kepada Validator]),"")</f>
        <v>45614.45325</v>
      </c>
      <c r="F720" s="20" t="str">
        <f t="array" ref="F720">IFNA(_xlfn.XLOOKUP(D720,Table_Tarikan_Warkah[Nomor Tiket],Table_Tarikan_Warkah[Nama Petugas Warkah]),"")</f>
        <v>David</v>
      </c>
      <c r="G720" s="21" t="str">
        <f t="array" ref="G720">IFNA(_xlfn.XLOOKUP(D720,Table_Tarikan_Warkah[Nomor Tiket],Table_Tarikan_Warkah[Jenis Permohonan]),"")</f>
        <v>ROYA</v>
      </c>
      <c r="H720" s="22" t="s">
        <v>31</v>
      </c>
      <c r="I720" s="22" t="s">
        <v>32</v>
      </c>
      <c r="J720" s="20">
        <f t="shared" si="29"/>
        <v>45614.68588</v>
      </c>
      <c r="K720" s="27" t="s">
        <v>65</v>
      </c>
      <c r="L720" s="27" t="s">
        <v>32</v>
      </c>
      <c r="M720" s="20">
        <f t="shared" si="30"/>
        <v>45615.67741</v>
      </c>
      <c r="N720" s="8" t="str">
        <f t="shared" si="3"/>
        <v>SELESAI</v>
      </c>
      <c r="O720" s="23">
        <f t="shared" si="22"/>
        <v>45615.67741</v>
      </c>
      <c r="P720" s="24" t="b">
        <v>0</v>
      </c>
      <c r="Q720" s="20" t="str">
        <f t="shared" si="31"/>
        <v/>
      </c>
      <c r="R720" s="24" t="b">
        <v>1</v>
      </c>
      <c r="S720" s="20">
        <f t="shared" si="6"/>
        <v>45616.37568</v>
      </c>
      <c r="T720" s="7"/>
    </row>
    <row r="721" ht="22.5" hidden="1" customHeight="1">
      <c r="B721" s="7">
        <f t="shared" si="7"/>
        <v>715</v>
      </c>
      <c r="C721" s="18" t="s">
        <v>669</v>
      </c>
      <c r="D721" s="19" t="str">
        <f t="array" ref="D721">IFNA(_xlfn.XLOOKUP(C721,Table_Tarikan_Warkah[Nomor Sertipikat],Table_Tarikan_Warkah[Nomor Tiket]),"")</f>
        <v>K/6/141124/1</v>
      </c>
      <c r="E721" s="20">
        <f t="array" ref="E721">IFNA(_xlfn.XLOOKUP(D721,Table_Tarikan_Warkah[Nomor Tiket],Table_Tarikan_Warkah[Tanggal diserahkan kepada Validator]),"")</f>
        <v>45614.45291</v>
      </c>
      <c r="F721" s="20" t="str">
        <f t="array" ref="F721">IFNA(_xlfn.XLOOKUP(D721,Table_Tarikan_Warkah[Nomor Tiket],Table_Tarikan_Warkah[Nama Petugas Warkah]),"")</f>
        <v>David</v>
      </c>
      <c r="G721" s="21" t="str">
        <f t="array" ref="G721">IFNA(_xlfn.XLOOKUP(D721,Table_Tarikan_Warkah[Nomor Tiket],Table_Tarikan_Warkah[Jenis Permohonan]),"")</f>
        <v>BN JUAL BELI</v>
      </c>
      <c r="H721" s="22" t="s">
        <v>31</v>
      </c>
      <c r="I721" s="22" t="s">
        <v>32</v>
      </c>
      <c r="J721" s="20">
        <f t="shared" si="29"/>
        <v>45614.68588</v>
      </c>
      <c r="K721" s="27" t="s">
        <v>65</v>
      </c>
      <c r="L721" s="27" t="s">
        <v>32</v>
      </c>
      <c r="M721" s="20">
        <f t="shared" si="30"/>
        <v>45615.67741</v>
      </c>
      <c r="N721" s="8" t="str">
        <f t="shared" si="3"/>
        <v>SELESAI</v>
      </c>
      <c r="O721" s="23">
        <f t="shared" si="22"/>
        <v>45615.67741</v>
      </c>
      <c r="P721" s="24" t="b">
        <v>0</v>
      </c>
      <c r="Q721" s="20" t="str">
        <f t="shared" si="31"/>
        <v/>
      </c>
      <c r="R721" s="24" t="b">
        <v>1</v>
      </c>
      <c r="S721" s="20">
        <f t="shared" si="6"/>
        <v>45616.35414</v>
      </c>
      <c r="T721" s="7"/>
    </row>
    <row r="722" ht="22.5" hidden="1" customHeight="1">
      <c r="B722" s="7">
        <f t="shared" si="7"/>
        <v>716</v>
      </c>
      <c r="C722" s="18" t="s">
        <v>705</v>
      </c>
      <c r="D722" s="19" t="str">
        <f t="array" ref="D722">IFNA(_xlfn.XLOOKUP(C722,Table_Tarikan_Warkah[Nomor Sertipikat],Table_Tarikan_Warkah[Nomor Tiket]),"")</f>
        <v>K/2/141124/1</v>
      </c>
      <c r="E722" s="20">
        <f t="array" ref="E722">IFNA(_xlfn.XLOOKUP(D722,Table_Tarikan_Warkah[Nomor Tiket],Table_Tarikan_Warkah[Tanggal diserahkan kepada Validator]),"")</f>
        <v>45614.45181</v>
      </c>
      <c r="F722" s="20" t="str">
        <f t="array" ref="F722">IFNA(_xlfn.XLOOKUP(D722,Table_Tarikan_Warkah[Nomor Tiket],Table_Tarikan_Warkah[Nama Petugas Warkah]),"")</f>
        <v>David</v>
      </c>
      <c r="G722" s="21" t="str">
        <f t="array" ref="G722">IFNA(_xlfn.XLOOKUP(D722,Table_Tarikan_Warkah[Nomor Tiket],Table_Tarikan_Warkah[Jenis Permohonan]),"")</f>
        <v>BN JUAL BELI</v>
      </c>
      <c r="H722" s="22" t="s">
        <v>31</v>
      </c>
      <c r="I722" s="22" t="s">
        <v>32</v>
      </c>
      <c r="J722" s="20">
        <f t="shared" si="29"/>
        <v>45614.68588</v>
      </c>
      <c r="K722" s="27" t="s">
        <v>65</v>
      </c>
      <c r="L722" s="27" t="s">
        <v>32</v>
      </c>
      <c r="M722" s="20">
        <f t="shared" si="30"/>
        <v>45615.67741</v>
      </c>
      <c r="N722" s="8" t="str">
        <f t="shared" si="3"/>
        <v>SELESAI</v>
      </c>
      <c r="O722" s="23">
        <f t="shared" si="22"/>
        <v>45615.67741</v>
      </c>
      <c r="P722" s="24" t="b">
        <v>0</v>
      </c>
      <c r="Q722" s="20" t="str">
        <f t="shared" si="31"/>
        <v/>
      </c>
      <c r="R722" s="24" t="b">
        <v>1</v>
      </c>
      <c r="S722" s="20">
        <f t="shared" si="6"/>
        <v>45616.35413</v>
      </c>
      <c r="T722" s="7"/>
    </row>
    <row r="723" ht="22.5" hidden="1" customHeight="1">
      <c r="B723" s="7">
        <f t="shared" si="7"/>
        <v>717</v>
      </c>
      <c r="C723" s="18" t="s">
        <v>706</v>
      </c>
      <c r="D723" s="19" t="str">
        <f t="array" ref="D723">IFNA(_xlfn.XLOOKUP(C723,Table_Tarikan_Warkah[Nomor Sertipikat],Table_Tarikan_Warkah[Nomor Tiket]),"")</f>
        <v>K/6/291024/1</v>
      </c>
      <c r="E723" s="20">
        <f t="array" ref="E723">IFNA(_xlfn.XLOOKUP(D723,Table_Tarikan_Warkah[Nomor Tiket],Table_Tarikan_Warkah[Tanggal diserahkan kepada Validator]),"")</f>
        <v>45595.45535</v>
      </c>
      <c r="F723" s="20" t="str">
        <f t="array" ref="F723">IFNA(_xlfn.XLOOKUP(D723,Table_Tarikan_Warkah[Nomor Tiket],Table_Tarikan_Warkah[Nama Petugas Warkah]),"")</f>
        <v>David</v>
      </c>
      <c r="G723" s="21" t="str">
        <f t="array" ref="G723">IFNA(_xlfn.XLOOKUP(D723,Table_Tarikan_Warkah[Nomor Tiket],Table_Tarikan_Warkah[Jenis Permohonan]),"")</f>
        <v>roya</v>
      </c>
      <c r="H723" s="22" t="s">
        <v>31</v>
      </c>
      <c r="I723" s="22" t="s">
        <v>32</v>
      </c>
      <c r="J723" s="20">
        <f t="shared" si="29"/>
        <v>45614.68588</v>
      </c>
      <c r="K723" s="27" t="s">
        <v>65</v>
      </c>
      <c r="L723" s="27" t="s">
        <v>32</v>
      </c>
      <c r="M723" s="20">
        <f t="shared" si="30"/>
        <v>45615.67741</v>
      </c>
      <c r="N723" s="8" t="str">
        <f t="shared" si="3"/>
        <v>SELESAI</v>
      </c>
      <c r="O723" s="23">
        <f t="shared" si="22"/>
        <v>45615.67741</v>
      </c>
      <c r="P723" s="24" t="b">
        <v>0</v>
      </c>
      <c r="Q723" s="20" t="str">
        <f t="shared" si="31"/>
        <v/>
      </c>
      <c r="R723" s="24" t="b">
        <v>1</v>
      </c>
      <c r="S723" s="20">
        <f t="shared" si="6"/>
        <v>45616.35411</v>
      </c>
      <c r="T723" s="7"/>
    </row>
    <row r="724" ht="22.5" hidden="1" customHeight="1">
      <c r="B724" s="7">
        <f t="shared" si="7"/>
        <v>718</v>
      </c>
      <c r="C724" s="18" t="s">
        <v>707</v>
      </c>
      <c r="D724" s="19" t="str">
        <f t="array" ref="D724">IFNA(_xlfn.XLOOKUP(C724,Table_Tarikan_Warkah[Nomor Sertipikat],Table_Tarikan_Warkah[Nomor Tiket]),"")</f>
        <v>L/5/141124/1</v>
      </c>
      <c r="E724" s="20">
        <f t="array" ref="E724">IFNA(_xlfn.XLOOKUP(D724,Table_Tarikan_Warkah[Nomor Tiket],Table_Tarikan_Warkah[Tanggal diserahkan kepada Validator]),"")</f>
        <v>45614.45141</v>
      </c>
      <c r="F724" s="20" t="str">
        <f t="array" ref="F724">IFNA(_xlfn.XLOOKUP(D724,Table_Tarikan_Warkah[Nomor Tiket],Table_Tarikan_Warkah[Nama Petugas Warkah]),"")</f>
        <v>David</v>
      </c>
      <c r="G724" s="21" t="str">
        <f t="array" ref="G724">IFNA(_xlfn.XLOOKUP(D724,Table_Tarikan_Warkah[Nomor Tiket],Table_Tarikan_Warkah[Jenis Permohonan]),"")</f>
        <v>ROYA WARIS</v>
      </c>
      <c r="H724" s="22" t="s">
        <v>31</v>
      </c>
      <c r="I724" s="22" t="s">
        <v>32</v>
      </c>
      <c r="J724" s="20">
        <f t="shared" si="29"/>
        <v>45614.68588</v>
      </c>
      <c r="K724" s="27" t="s">
        <v>65</v>
      </c>
      <c r="L724" s="27" t="s">
        <v>32</v>
      </c>
      <c r="M724" s="20">
        <f t="shared" si="30"/>
        <v>45615.67741</v>
      </c>
      <c r="N724" s="8" t="str">
        <f t="shared" si="3"/>
        <v>SELESAI</v>
      </c>
      <c r="O724" s="23">
        <f t="shared" si="22"/>
        <v>45615.67741</v>
      </c>
      <c r="P724" s="24" t="b">
        <v>0</v>
      </c>
      <c r="Q724" s="20" t="str">
        <f t="shared" si="31"/>
        <v/>
      </c>
      <c r="R724" s="24" t="b">
        <v>1</v>
      </c>
      <c r="S724" s="20">
        <f t="shared" si="6"/>
        <v>45616.35408</v>
      </c>
      <c r="T724" s="7"/>
    </row>
    <row r="725" ht="22.5" hidden="1" customHeight="1">
      <c r="B725" s="7">
        <f t="shared" si="7"/>
        <v>719</v>
      </c>
      <c r="C725" s="18" t="s">
        <v>708</v>
      </c>
      <c r="D725" s="19" t="str">
        <f t="array" ref="D725">IFNA(_xlfn.XLOOKUP(C725,Table_Tarikan_Warkah[Nomor Sertipikat],Table_Tarikan_Warkah[Nomor Tiket]),"")</f>
        <v>K/23/131124/1</v>
      </c>
      <c r="E725" s="20">
        <f t="array" ref="E725">IFNA(_xlfn.XLOOKUP(D725,Table_Tarikan_Warkah[Nomor Tiket],Table_Tarikan_Warkah[Tanggal diserahkan kepada Validator]),"")</f>
        <v>45614.44708</v>
      </c>
      <c r="F725" s="20" t="str">
        <f t="array" ref="F725">IFNA(_xlfn.XLOOKUP(D725,Table_Tarikan_Warkah[Nomor Tiket],Table_Tarikan_Warkah[Nama Petugas Warkah]),"")</f>
        <v>David</v>
      </c>
      <c r="G725" s="21" t="str">
        <f t="array" ref="G725">IFNA(_xlfn.XLOOKUP(D725,Table_Tarikan_Warkah[Nomor Tiket],Table_Tarikan_Warkah[Jenis Permohonan]),"")</f>
        <v>BN Jual Beli</v>
      </c>
      <c r="H725" s="22" t="s">
        <v>31</v>
      </c>
      <c r="I725" s="22" t="s">
        <v>32</v>
      </c>
      <c r="J725" s="20">
        <f t="shared" si="29"/>
        <v>45614.68588</v>
      </c>
      <c r="K725" s="27" t="s">
        <v>65</v>
      </c>
      <c r="L725" s="27" t="s">
        <v>32</v>
      </c>
      <c r="M725" s="20">
        <f t="shared" si="30"/>
        <v>45615.67741</v>
      </c>
      <c r="N725" s="8" t="str">
        <f t="shared" si="3"/>
        <v>SELESAI</v>
      </c>
      <c r="O725" s="23">
        <f t="shared" si="22"/>
        <v>45615.67741</v>
      </c>
      <c r="P725" s="24" t="b">
        <v>0</v>
      </c>
      <c r="Q725" s="20" t="str">
        <f t="shared" si="31"/>
        <v/>
      </c>
      <c r="R725" s="24" t="b">
        <v>1</v>
      </c>
      <c r="S725" s="20">
        <f t="shared" si="6"/>
        <v>45616.35407</v>
      </c>
      <c r="T725" s="7"/>
    </row>
    <row r="726" ht="22.5" hidden="1" customHeight="1">
      <c r="B726" s="7">
        <f t="shared" si="7"/>
        <v>720</v>
      </c>
      <c r="C726" s="18" t="s">
        <v>709</v>
      </c>
      <c r="D726" s="19" t="str">
        <f t="array" ref="D726">IFNA(_xlfn.XLOOKUP(C726,Table_Tarikan_Warkah[Nomor Sertipikat],Table_Tarikan_Warkah[Nomor Tiket]),"")</f>
        <v>K/13/131124/1</v>
      </c>
      <c r="E726" s="20">
        <f t="array" ref="E726">IFNA(_xlfn.XLOOKUP(D726,Table_Tarikan_Warkah[Nomor Tiket],Table_Tarikan_Warkah[Tanggal diserahkan kepada Validator]),"")</f>
        <v>45614.44168</v>
      </c>
      <c r="F726" s="20" t="str">
        <f t="array" ref="F726">IFNA(_xlfn.XLOOKUP(D726,Table_Tarikan_Warkah[Nomor Tiket],Table_Tarikan_Warkah[Nama Petugas Warkah]),"")</f>
        <v>David</v>
      </c>
      <c r="G726" s="21" t="str">
        <f t="array" ref="G726">IFNA(_xlfn.XLOOKUP(D726,Table_Tarikan_Warkah[Nomor Tiket],Table_Tarikan_Warkah[Jenis Permohonan]),"")</f>
        <v>BN JUAL BELI</v>
      </c>
      <c r="H726" s="22" t="s">
        <v>31</v>
      </c>
      <c r="I726" s="22" t="s">
        <v>32</v>
      </c>
      <c r="J726" s="20">
        <f t="shared" si="29"/>
        <v>45614.68588</v>
      </c>
      <c r="K726" s="27" t="s">
        <v>65</v>
      </c>
      <c r="L726" s="27" t="s">
        <v>32</v>
      </c>
      <c r="M726" s="20">
        <f t="shared" si="30"/>
        <v>45615.67741</v>
      </c>
      <c r="N726" s="8" t="str">
        <f t="shared" si="3"/>
        <v>SELESAI</v>
      </c>
      <c r="O726" s="23">
        <f t="shared" si="22"/>
        <v>45615.67741</v>
      </c>
      <c r="P726" s="24" t="b">
        <v>0</v>
      </c>
      <c r="Q726" s="20" t="str">
        <f t="shared" si="31"/>
        <v/>
      </c>
      <c r="R726" s="24" t="b">
        <v>1</v>
      </c>
      <c r="S726" s="20">
        <f t="shared" si="6"/>
        <v>45615.67636</v>
      </c>
      <c r="T726" s="7"/>
    </row>
    <row r="727" ht="22.5" hidden="1" customHeight="1">
      <c r="B727" s="7">
        <f t="shared" si="7"/>
        <v>721</v>
      </c>
      <c r="C727" s="18" t="s">
        <v>710</v>
      </c>
      <c r="D727" s="19" t="str">
        <f t="array" ref="D727">IFNA(_xlfn.XLOOKUP(C727,Table_Tarikan_Warkah[Nomor Sertipikat],Table_Tarikan_Warkah[Nomor Tiket]),"")</f>
        <v>K/4/131124/1</v>
      </c>
      <c r="E727" s="20">
        <f t="array" ref="E727">IFNA(_xlfn.XLOOKUP(D727,Table_Tarikan_Warkah[Nomor Tiket],Table_Tarikan_Warkah[Tanggal diserahkan kepada Validator]),"")</f>
        <v>45614.43763</v>
      </c>
      <c r="F727" s="20" t="str">
        <f t="array" ref="F727">IFNA(_xlfn.XLOOKUP(D727,Table_Tarikan_Warkah[Nomor Tiket],Table_Tarikan_Warkah[Nama Petugas Warkah]),"")</f>
        <v>David</v>
      </c>
      <c r="G727" s="21" t="str">
        <f t="array" ref="G727">IFNA(_xlfn.XLOOKUP(D727,Table_Tarikan_Warkah[Nomor Tiket],Table_Tarikan_Warkah[Jenis Permohonan]),"")</f>
        <v>BN JUAL BELI</v>
      </c>
      <c r="H727" s="22" t="s">
        <v>31</v>
      </c>
      <c r="I727" s="22" t="s">
        <v>187</v>
      </c>
      <c r="J727" s="20">
        <f t="shared" si="29"/>
        <v>45614.6859</v>
      </c>
      <c r="K727" s="27" t="s">
        <v>33</v>
      </c>
      <c r="L727" s="27" t="s">
        <v>187</v>
      </c>
      <c r="M727" s="20">
        <f t="shared" si="30"/>
        <v>45615.67659</v>
      </c>
      <c r="N727" s="8" t="str">
        <f t="shared" si="3"/>
        <v>Selesai</v>
      </c>
      <c r="O727" s="23">
        <f t="shared" si="22"/>
        <v>45615.67659</v>
      </c>
      <c r="P727" s="24" t="b">
        <v>1</v>
      </c>
      <c r="Q727" s="20">
        <f t="shared" si="31"/>
        <v>45615.67627</v>
      </c>
      <c r="R727" s="24" t="b">
        <v>0</v>
      </c>
      <c r="S727" s="7" t="str">
        <f t="shared" si="6"/>
        <v/>
      </c>
      <c r="T727" s="7"/>
    </row>
    <row r="728" ht="22.5" hidden="1" customHeight="1">
      <c r="B728" s="7">
        <f t="shared" si="7"/>
        <v>722</v>
      </c>
      <c r="C728" s="18" t="s">
        <v>711</v>
      </c>
      <c r="D728" s="19" t="str">
        <f t="array" ref="D728">IFNA(_xlfn.XLOOKUP(C728,Table_Tarikan_Warkah[Nomor Sertipikat],Table_Tarikan_Warkah[Nomor Tiket]),"")</f>
        <v>K/28/131124/2</v>
      </c>
      <c r="E728" s="20" t="str">
        <f t="array" ref="E728">IFNA(_xlfn.XLOOKUP(D728,Table_Tarikan_Warkah[Nomor Tiket],Table_Tarikan_Warkah[Tanggal diserahkan kepada Validator]),"")</f>
        <v/>
      </c>
      <c r="F728" s="20" t="str">
        <f t="array" ref="F728">IFNA(_xlfn.XLOOKUP(D728,Table_Tarikan_Warkah[Nomor Tiket],Table_Tarikan_Warkah[Nama Petugas Warkah]),"")</f>
        <v>David</v>
      </c>
      <c r="G728" s="21" t="str">
        <f t="array" ref="G728">IFNA(_xlfn.XLOOKUP(D728,Table_Tarikan_Warkah[Nomor Tiket],Table_Tarikan_Warkah[Jenis Permohonan]),"")</f>
        <v>ROYA</v>
      </c>
      <c r="H728" s="22" t="s">
        <v>31</v>
      </c>
      <c r="I728" s="22" t="s">
        <v>187</v>
      </c>
      <c r="J728" s="20">
        <f t="shared" si="29"/>
        <v>45614.68597</v>
      </c>
      <c r="K728" s="27" t="s">
        <v>33</v>
      </c>
      <c r="L728" s="27" t="s">
        <v>187</v>
      </c>
      <c r="M728" s="20">
        <f t="shared" si="30"/>
        <v>45615.67665</v>
      </c>
      <c r="N728" s="8" t="str">
        <f t="shared" si="3"/>
        <v>Selesai</v>
      </c>
      <c r="O728" s="23">
        <f t="shared" si="22"/>
        <v>45615.67665</v>
      </c>
      <c r="P728" s="24" t="b">
        <v>1</v>
      </c>
      <c r="Q728" s="20">
        <f t="shared" si="31"/>
        <v>45615.67628</v>
      </c>
      <c r="R728" s="24" t="b">
        <v>0</v>
      </c>
      <c r="S728" s="7" t="str">
        <f t="shared" si="6"/>
        <v/>
      </c>
      <c r="T728" s="7"/>
    </row>
    <row r="729" ht="22.5" hidden="1" customHeight="1">
      <c r="B729" s="7">
        <f t="shared" si="7"/>
        <v>723</v>
      </c>
      <c r="C729" s="18" t="s">
        <v>681</v>
      </c>
      <c r="D729" s="19" t="str">
        <f t="array" ref="D729">IFNA(_xlfn.XLOOKUP(C729,Table_Tarikan_Warkah[Nomor Sertipikat],Table_Tarikan_Warkah[Nomor Tiket]),"")</f>
        <v>K/25/141124/1</v>
      </c>
      <c r="E729" s="20">
        <f t="array" ref="E729">IFNA(_xlfn.XLOOKUP(D729,Table_Tarikan_Warkah[Nomor Tiket],Table_Tarikan_Warkah[Tanggal diserahkan kepada Validator]),"")</f>
        <v>45614.45811</v>
      </c>
      <c r="F729" s="20" t="str">
        <f t="array" ref="F729">IFNA(_xlfn.XLOOKUP(D729,Table_Tarikan_Warkah[Nomor Tiket],Table_Tarikan_Warkah[Nama Petugas Warkah]),"")</f>
        <v>Berry</v>
      </c>
      <c r="G729" s="21" t="str">
        <f t="array" ref="G729">IFNA(_xlfn.XLOOKUP(D729,Table_Tarikan_Warkah[Nomor Tiket],Table_Tarikan_Warkah[Jenis Permohonan]),"")</f>
        <v>BN JUAL BELI</v>
      </c>
      <c r="H729" s="22" t="s">
        <v>31</v>
      </c>
      <c r="I729" s="22" t="s">
        <v>187</v>
      </c>
      <c r="J729" s="20">
        <f t="shared" si="29"/>
        <v>45614.68597</v>
      </c>
      <c r="K729" s="27" t="s">
        <v>33</v>
      </c>
      <c r="L729" s="27" t="s">
        <v>187</v>
      </c>
      <c r="M729" s="20">
        <f t="shared" si="30"/>
        <v>45615.67667</v>
      </c>
      <c r="N729" s="8" t="str">
        <f t="shared" si="3"/>
        <v>Selesai</v>
      </c>
      <c r="O729" s="23">
        <f t="shared" si="22"/>
        <v>45615.67667</v>
      </c>
      <c r="P729" s="24" t="b">
        <v>1</v>
      </c>
      <c r="Q729" s="20">
        <f t="shared" si="31"/>
        <v>45615.67629</v>
      </c>
      <c r="R729" s="24" t="b">
        <v>0</v>
      </c>
      <c r="S729" s="7" t="str">
        <f t="shared" si="6"/>
        <v/>
      </c>
      <c r="T729" s="7"/>
    </row>
    <row r="730" ht="22.5" hidden="1" customHeight="1">
      <c r="B730" s="7">
        <f t="shared" si="7"/>
        <v>724</v>
      </c>
      <c r="C730" s="18" t="s">
        <v>712</v>
      </c>
      <c r="D730" s="19" t="str">
        <f t="array" ref="D730">IFNA(_xlfn.XLOOKUP(C730,Table_Tarikan_Warkah[Nomor Sertipikat],Table_Tarikan_Warkah[Nomor Tiket]),"")</f>
        <v>K/26/121124/3</v>
      </c>
      <c r="E730" s="20" t="str">
        <f t="array" ref="E730">IFNA(_xlfn.XLOOKUP(D730,Table_Tarikan_Warkah[Nomor Tiket],Table_Tarikan_Warkah[Tanggal diserahkan kepada Validator]),"")</f>
        <v/>
      </c>
      <c r="F730" s="20" t="str">
        <f t="array" ref="F730">IFNA(_xlfn.XLOOKUP(D730,Table_Tarikan_Warkah[Nomor Tiket],Table_Tarikan_Warkah[Nama Petugas Warkah]),"")</f>
        <v>Berry</v>
      </c>
      <c r="G730" s="21" t="str">
        <f t="array" ref="G730">IFNA(_xlfn.XLOOKUP(D730,Table_Tarikan_Warkah[Nomor Tiket],Table_Tarikan_Warkah[Jenis Permohonan]),"")</f>
        <v>BN JUAL BELI</v>
      </c>
      <c r="H730" s="22" t="s">
        <v>31</v>
      </c>
      <c r="I730" s="22" t="s">
        <v>187</v>
      </c>
      <c r="J730" s="20">
        <f t="shared" si="29"/>
        <v>45614.68597</v>
      </c>
      <c r="K730" s="27" t="s">
        <v>33</v>
      </c>
      <c r="L730" s="27" t="s">
        <v>187</v>
      </c>
      <c r="M730" s="20">
        <f t="shared" si="30"/>
        <v>45615.67679</v>
      </c>
      <c r="N730" s="8" t="str">
        <f t="shared" si="3"/>
        <v>Selesai</v>
      </c>
      <c r="O730" s="23">
        <f t="shared" si="22"/>
        <v>45615.67679</v>
      </c>
      <c r="P730" s="24" t="b">
        <v>1</v>
      </c>
      <c r="Q730" s="20">
        <f t="shared" si="31"/>
        <v>45615.67626</v>
      </c>
      <c r="R730" s="24" t="b">
        <v>0</v>
      </c>
      <c r="S730" s="7" t="str">
        <f t="shared" si="6"/>
        <v/>
      </c>
      <c r="T730" s="7"/>
    </row>
    <row r="731" ht="22.5" hidden="1" customHeight="1">
      <c r="B731" s="7">
        <f t="shared" si="7"/>
        <v>725</v>
      </c>
      <c r="C731" s="18" t="s">
        <v>710</v>
      </c>
      <c r="D731" s="19" t="str">
        <f t="array" ref="D731">IFNA(_xlfn.XLOOKUP(C731,Table_Tarikan_Warkah[Nomor Sertipikat],Table_Tarikan_Warkah[Nomor Tiket]),"")</f>
        <v>K/4/131124/1</v>
      </c>
      <c r="E731" s="20">
        <f t="array" ref="E731">IFNA(_xlfn.XLOOKUP(D731,Table_Tarikan_Warkah[Nomor Tiket],Table_Tarikan_Warkah[Tanggal diserahkan kepada Validator]),"")</f>
        <v>45614.43763</v>
      </c>
      <c r="F731" s="20" t="str">
        <f t="array" ref="F731">IFNA(_xlfn.XLOOKUP(D731,Table_Tarikan_Warkah[Nomor Tiket],Table_Tarikan_Warkah[Nama Petugas Warkah]),"")</f>
        <v>David</v>
      </c>
      <c r="G731" s="21" t="str">
        <f t="array" ref="G731">IFNA(_xlfn.XLOOKUP(D731,Table_Tarikan_Warkah[Nomor Tiket],Table_Tarikan_Warkah[Jenis Permohonan]),"")</f>
        <v>BN JUAL BELI</v>
      </c>
      <c r="H731" s="22" t="s">
        <v>31</v>
      </c>
      <c r="I731" s="22" t="s">
        <v>187</v>
      </c>
      <c r="J731" s="20">
        <f t="shared" si="29"/>
        <v>45614.68597</v>
      </c>
      <c r="K731" s="27" t="s">
        <v>33</v>
      </c>
      <c r="L731" s="27" t="s">
        <v>187</v>
      </c>
      <c r="M731" s="20">
        <f t="shared" si="30"/>
        <v>45615.67679</v>
      </c>
      <c r="N731" s="8" t="str">
        <f t="shared" si="3"/>
        <v>Selesai</v>
      </c>
      <c r="O731" s="23">
        <f t="shared" si="22"/>
        <v>45615.67679</v>
      </c>
      <c r="P731" s="24" t="b">
        <v>1</v>
      </c>
      <c r="Q731" s="20">
        <f t="shared" si="31"/>
        <v>45615.67624</v>
      </c>
      <c r="R731" s="24" t="b">
        <v>0</v>
      </c>
      <c r="S731" s="7" t="str">
        <f t="shared" si="6"/>
        <v/>
      </c>
      <c r="T731" s="7"/>
    </row>
    <row r="732" ht="22.5" hidden="1" customHeight="1">
      <c r="B732" s="7">
        <f t="shared" si="7"/>
        <v>726</v>
      </c>
      <c r="C732" s="18" t="s">
        <v>630</v>
      </c>
      <c r="D732" s="19" t="str">
        <f t="array" ref="D732">IFNA(_xlfn.XLOOKUP(C732,Table_Tarikan_Warkah[Nomor Sertipikat],Table_Tarikan_Warkah[Nomor Tiket]),"")</f>
        <v>K/40/121124/1</v>
      </c>
      <c r="E732" s="20">
        <f t="array" ref="E732">IFNA(_xlfn.XLOOKUP(D732,Table_Tarikan_Warkah[Nomor Tiket],Table_Tarikan_Warkah[Tanggal diserahkan kepada Validator]),"")</f>
        <v>45610.35971</v>
      </c>
      <c r="F732" s="20" t="str">
        <f t="array" ref="F732">IFNA(_xlfn.XLOOKUP(D732,Table_Tarikan_Warkah[Nomor Tiket],Table_Tarikan_Warkah[Nama Petugas Warkah]),"")</f>
        <v>Berry</v>
      </c>
      <c r="G732" s="21" t="str">
        <f t="array" ref="G732">IFNA(_xlfn.XLOOKUP(D732,Table_Tarikan_Warkah[Nomor Tiket],Table_Tarikan_Warkah[Jenis Permohonan]),"")</f>
        <v>BN JUAL BELI</v>
      </c>
      <c r="H732" s="22" t="s">
        <v>31</v>
      </c>
      <c r="I732" s="22" t="s">
        <v>187</v>
      </c>
      <c r="J732" s="20">
        <f t="shared" si="29"/>
        <v>45614.68597</v>
      </c>
      <c r="K732" s="27" t="s">
        <v>33</v>
      </c>
      <c r="L732" s="27" t="s">
        <v>187</v>
      </c>
      <c r="M732" s="20">
        <f t="shared" si="30"/>
        <v>45615.67679</v>
      </c>
      <c r="N732" s="8" t="str">
        <f t="shared" si="3"/>
        <v>Selesai</v>
      </c>
      <c r="O732" s="23">
        <f t="shared" si="22"/>
        <v>45615.67679</v>
      </c>
      <c r="P732" s="24" t="b">
        <v>1</v>
      </c>
      <c r="Q732" s="20">
        <f t="shared" si="31"/>
        <v>45615.67622</v>
      </c>
      <c r="R732" s="24" t="b">
        <v>0</v>
      </c>
      <c r="S732" s="7" t="str">
        <f t="shared" si="6"/>
        <v/>
      </c>
      <c r="T732" s="7"/>
    </row>
    <row r="733" ht="22.5" hidden="1" customHeight="1">
      <c r="B733" s="7">
        <f t="shared" si="7"/>
        <v>727</v>
      </c>
      <c r="C733" s="18" t="s">
        <v>713</v>
      </c>
      <c r="D733" s="19" t="str">
        <f t="array" ref="D733">IFNA(_xlfn.XLOOKUP(C733,Table_Tarikan_Warkah[Nomor Sertipikat],Table_Tarikan_Warkah[Nomor Tiket]),"")</f>
        <v>K/31/151124/1</v>
      </c>
      <c r="E733" s="20">
        <f t="array" ref="E733">IFNA(_xlfn.XLOOKUP(D733,Table_Tarikan_Warkah[Nomor Tiket],Table_Tarikan_Warkah[Tanggal diserahkan kepada Validator]),"")</f>
        <v>45614.46632</v>
      </c>
      <c r="F733" s="20" t="str">
        <f t="array" ref="F733">IFNA(_xlfn.XLOOKUP(D733,Table_Tarikan_Warkah[Nomor Tiket],Table_Tarikan_Warkah[Nama Petugas Warkah]),"")</f>
        <v>Bayu</v>
      </c>
      <c r="G733" s="21" t="str">
        <f t="array" ref="G733">IFNA(_xlfn.XLOOKUP(D733,Table_Tarikan_Warkah[Nomor Tiket],Table_Tarikan_Warkah[Jenis Permohonan]),"")</f>
        <v>BN Waris</v>
      </c>
      <c r="H733" s="22" t="s">
        <v>37</v>
      </c>
      <c r="I733" s="22" t="s">
        <v>32</v>
      </c>
      <c r="J733" s="20">
        <f t="shared" si="29"/>
        <v>45614.6945</v>
      </c>
      <c r="K733" s="27" t="s">
        <v>65</v>
      </c>
      <c r="L733" s="27" t="s">
        <v>32</v>
      </c>
      <c r="M733" s="20">
        <f t="shared" si="30"/>
        <v>45615.6769</v>
      </c>
      <c r="N733" s="8" t="str">
        <f t="shared" si="3"/>
        <v>SELESAI</v>
      </c>
      <c r="O733" s="23">
        <f t="shared" si="22"/>
        <v>45615.6769</v>
      </c>
      <c r="P733" s="24" t="b">
        <v>0</v>
      </c>
      <c r="Q733" s="20" t="str">
        <f t="shared" si="31"/>
        <v/>
      </c>
      <c r="R733" s="24" t="b">
        <v>1</v>
      </c>
      <c r="S733" s="20">
        <f t="shared" si="6"/>
        <v>45615.6762</v>
      </c>
      <c r="T733" s="7"/>
    </row>
    <row r="734" ht="22.5" hidden="1" customHeight="1">
      <c r="B734" s="7">
        <f t="shared" si="7"/>
        <v>728</v>
      </c>
      <c r="C734" s="34" t="s">
        <v>714</v>
      </c>
      <c r="D734" s="19" t="str">
        <f t="array" ref="D734">IFNA(_xlfn.XLOOKUP(C734,Table_Tarikan_Warkah[Nomor Sertipikat],Table_Tarikan_Warkah[Nomor Tiket]),"")</f>
        <v>K/36/071124/1</v>
      </c>
      <c r="E734" s="20" t="str">
        <f t="array" ref="E734">IFNA(_xlfn.XLOOKUP(D734,Table_Tarikan_Warkah[Nomor Tiket],Table_Tarikan_Warkah[Tanggal diserahkan kepada Validator]),"")</f>
        <v/>
      </c>
      <c r="F734" s="20" t="str">
        <f t="array" ref="F734">IFNA(_xlfn.XLOOKUP(D734,Table_Tarikan_Warkah[Nomor Tiket],Table_Tarikan_Warkah[Nama Petugas Warkah]),"")</f>
        <v>David</v>
      </c>
      <c r="G734" s="21" t="str">
        <f t="array" ref="G734">IFNA(_xlfn.XLOOKUP(D734,Table_Tarikan_Warkah[Nomor Tiket],Table_Tarikan_Warkah[Jenis Permohonan]),"")</f>
        <v>BN Jual Beli</v>
      </c>
      <c r="H734" s="27" t="s">
        <v>37</v>
      </c>
      <c r="I734" s="27" t="s">
        <v>187</v>
      </c>
      <c r="J734" s="20">
        <f t="shared" si="29"/>
        <v>45614.71715</v>
      </c>
      <c r="K734" s="27" t="s">
        <v>33</v>
      </c>
      <c r="L734" s="27" t="s">
        <v>187</v>
      </c>
      <c r="M734" s="20">
        <f t="shared" si="30"/>
        <v>45614.71719</v>
      </c>
      <c r="N734" s="8" t="str">
        <f t="shared" si="3"/>
        <v>Selesai</v>
      </c>
      <c r="O734" s="23">
        <f t="shared" si="22"/>
        <v>45614.71719</v>
      </c>
      <c r="P734" s="24" t="b">
        <v>1</v>
      </c>
      <c r="Q734" s="20">
        <f t="shared" si="31"/>
        <v>45614.71721</v>
      </c>
      <c r="R734" s="24" t="b">
        <v>0</v>
      </c>
      <c r="S734" s="7" t="str">
        <f t="shared" si="6"/>
        <v/>
      </c>
      <c r="T734" s="7"/>
    </row>
    <row r="735" ht="22.5" hidden="1" customHeight="1">
      <c r="B735" s="7">
        <f t="shared" si="7"/>
        <v>729</v>
      </c>
      <c r="C735" s="18" t="s">
        <v>715</v>
      </c>
      <c r="D735" s="19" t="str">
        <f t="array" ref="D735">IFNA(_xlfn.XLOOKUP(C735,Table_Tarikan_Warkah[Nomor Sertipikat],Table_Tarikan_Warkah[Nomor Tiket]),"")</f>
        <v>L/5/181124/1</v>
      </c>
      <c r="E735" s="20">
        <f t="array" ref="E735">IFNA(_xlfn.XLOOKUP(D735,Table_Tarikan_Warkah[Nomor Tiket],Table_Tarikan_Warkah[Tanggal diserahkan kepada Validator]),"")</f>
        <v>45615.46001</v>
      </c>
      <c r="F735" s="20" t="str">
        <f t="array" ref="F735">IFNA(_xlfn.XLOOKUP(D735,Table_Tarikan_Warkah[Nomor Tiket],Table_Tarikan_Warkah[Nama Petugas Warkah]),"")</f>
        <v>Berry</v>
      </c>
      <c r="G735" s="21" t="str">
        <f t="array" ref="G735">IFNA(_xlfn.XLOOKUP(D735,Table_Tarikan_Warkah[Nomor Tiket],Table_Tarikan_Warkah[Jenis Permohonan]),"")</f>
        <v>ROYA</v>
      </c>
      <c r="H735" s="22" t="s">
        <v>31</v>
      </c>
      <c r="I735" s="22" t="s">
        <v>32</v>
      </c>
      <c r="J735" s="20">
        <f t="shared" si="29"/>
        <v>45615.68653</v>
      </c>
      <c r="K735" s="27" t="s">
        <v>65</v>
      </c>
      <c r="L735" s="27" t="s">
        <v>32</v>
      </c>
      <c r="M735" s="20">
        <f t="shared" si="30"/>
        <v>45616.63157</v>
      </c>
      <c r="N735" s="8" t="str">
        <f t="shared" si="3"/>
        <v>SELESAI</v>
      </c>
      <c r="O735" s="23">
        <f t="shared" si="22"/>
        <v>45616.63157</v>
      </c>
      <c r="P735" s="24" t="b">
        <v>0</v>
      </c>
      <c r="Q735" s="20" t="str">
        <f t="shared" si="31"/>
        <v/>
      </c>
      <c r="R735" s="24" t="b">
        <v>1</v>
      </c>
      <c r="S735" s="20">
        <f t="shared" si="6"/>
        <v>45617.59262</v>
      </c>
      <c r="T735" s="7"/>
    </row>
    <row r="736" ht="22.5" hidden="1" customHeight="1">
      <c r="B736" s="7">
        <f t="shared" si="7"/>
        <v>730</v>
      </c>
      <c r="C736" s="18" t="s">
        <v>716</v>
      </c>
      <c r="D736" s="19" t="str">
        <f t="array" ref="D736">IFNA(_xlfn.XLOOKUP(C736,Table_Tarikan_Warkah[Nomor Sertipikat],Table_Tarikan_Warkah[Nomor Tiket]),"")</f>
        <v>K/48/181124/5</v>
      </c>
      <c r="E736" s="20">
        <f t="array" ref="E736">IFNA(_xlfn.XLOOKUP(D736,Table_Tarikan_Warkah[Nomor Tiket],Table_Tarikan_Warkah[Tanggal diserahkan kepada Validator]),"")</f>
        <v>45615.46689</v>
      </c>
      <c r="F736" s="20" t="str">
        <f t="array" ref="F736">IFNA(_xlfn.XLOOKUP(D736,Table_Tarikan_Warkah[Nomor Tiket],Table_Tarikan_Warkah[Nama Petugas Warkah]),"")</f>
        <v>David</v>
      </c>
      <c r="G736" s="21" t="str">
        <f t="array" ref="G736">IFNA(_xlfn.XLOOKUP(D736,Table_Tarikan_Warkah[Nomor Tiket],Table_Tarikan_Warkah[Jenis Permohonan]),"")</f>
        <v>BN Jual Beli</v>
      </c>
      <c r="H736" s="22" t="s">
        <v>31</v>
      </c>
      <c r="I736" s="22" t="s">
        <v>32</v>
      </c>
      <c r="J736" s="20">
        <f t="shared" si="29"/>
        <v>45615.6866</v>
      </c>
      <c r="K736" s="27" t="s">
        <v>65</v>
      </c>
      <c r="L736" s="27" t="s">
        <v>32</v>
      </c>
      <c r="M736" s="20">
        <f t="shared" si="30"/>
        <v>45616.63157</v>
      </c>
      <c r="N736" s="8" t="str">
        <f t="shared" si="3"/>
        <v>SELESAI</v>
      </c>
      <c r="O736" s="23">
        <f t="shared" si="22"/>
        <v>45616.63157</v>
      </c>
      <c r="P736" s="24" t="b">
        <v>0</v>
      </c>
      <c r="Q736" s="20" t="str">
        <f t="shared" si="31"/>
        <v/>
      </c>
      <c r="R736" s="24" t="b">
        <v>1</v>
      </c>
      <c r="S736" s="20">
        <f t="shared" si="6"/>
        <v>45617.59262</v>
      </c>
      <c r="T736" s="7"/>
    </row>
    <row r="737" ht="22.5" hidden="1" customHeight="1">
      <c r="B737" s="7">
        <f t="shared" si="7"/>
        <v>731</v>
      </c>
      <c r="C737" s="18" t="s">
        <v>717</v>
      </c>
      <c r="D737" s="19" t="str">
        <f t="array" ref="D737">IFNA(_xlfn.XLOOKUP(C737,Table_Tarikan_Warkah[Nomor Sertipikat],Table_Tarikan_Warkah[Nomor Tiket]),"")</f>
        <v>K/3/181124/1</v>
      </c>
      <c r="E737" s="20" t="str">
        <f t="array" ref="E737">IFNA(_xlfn.XLOOKUP(D737,Table_Tarikan_Warkah[Nomor Tiket],Table_Tarikan_Warkah[Tanggal diserahkan kepada Validator]),"")</f>
        <v/>
      </c>
      <c r="F737" s="20" t="str">
        <f t="array" ref="F737">IFNA(_xlfn.XLOOKUP(D737,Table_Tarikan_Warkah[Nomor Tiket],Table_Tarikan_Warkah[Nama Petugas Warkah]),"")</f>
        <v>Berry</v>
      </c>
      <c r="G737" s="21" t="str">
        <f t="array" ref="G737">IFNA(_xlfn.XLOOKUP(D737,Table_Tarikan_Warkah[Nomor Tiket],Table_Tarikan_Warkah[Jenis Permohonan]),"")</f>
        <v>BN WARIS</v>
      </c>
      <c r="H737" s="22" t="s">
        <v>31</v>
      </c>
      <c r="I737" s="22" t="s">
        <v>32</v>
      </c>
      <c r="J737" s="20">
        <f t="shared" si="29"/>
        <v>45615.6866</v>
      </c>
      <c r="K737" s="27" t="s">
        <v>65</v>
      </c>
      <c r="L737" s="27" t="s">
        <v>32</v>
      </c>
      <c r="M737" s="20">
        <f t="shared" si="30"/>
        <v>45616.63157</v>
      </c>
      <c r="N737" s="8" t="str">
        <f t="shared" si="3"/>
        <v>SELESAI</v>
      </c>
      <c r="O737" s="23">
        <f t="shared" si="22"/>
        <v>45616.63157</v>
      </c>
      <c r="P737" s="24" t="b">
        <v>0</v>
      </c>
      <c r="Q737" s="20" t="str">
        <f t="shared" si="31"/>
        <v/>
      </c>
      <c r="R737" s="24" t="b">
        <v>1</v>
      </c>
      <c r="S737" s="20">
        <f t="shared" si="6"/>
        <v>45617.59263</v>
      </c>
      <c r="T737" s="7"/>
    </row>
    <row r="738" ht="22.5" hidden="1" customHeight="1">
      <c r="B738" s="7">
        <f t="shared" si="7"/>
        <v>732</v>
      </c>
      <c r="C738" s="18" t="s">
        <v>718</v>
      </c>
      <c r="D738" s="19" t="s">
        <v>719</v>
      </c>
      <c r="E738" s="20">
        <f t="array" ref="E738">IFNA(_xlfn.XLOOKUP(D738,Table_Tarikan_Warkah[Nomor Tiket],Table_Tarikan_Warkah[Tanggal diserahkan kepada Validator]),"")</f>
        <v>45615.45302</v>
      </c>
      <c r="F738" s="20" t="str">
        <f t="array" ref="F738">IFNA(_xlfn.XLOOKUP(D738,Table_Tarikan_Warkah[Nomor Tiket],Table_Tarikan_Warkah[Nama Petugas Warkah]),"")</f>
        <v>Berry</v>
      </c>
      <c r="G738" s="21" t="str">
        <f t="array" ref="G738">IFNA(_xlfn.XLOOKUP(D738,Table_Tarikan_Warkah[Nomor Tiket],Table_Tarikan_Warkah[Jenis Permohonan]),"")</f>
        <v>BN Waris</v>
      </c>
      <c r="H738" s="22" t="s">
        <v>31</v>
      </c>
      <c r="I738" s="22" t="s">
        <v>32</v>
      </c>
      <c r="J738" s="20">
        <f t="shared" si="29"/>
        <v>45615.6866</v>
      </c>
      <c r="K738" s="27" t="s">
        <v>65</v>
      </c>
      <c r="L738" s="27" t="s">
        <v>32</v>
      </c>
      <c r="M738" s="20">
        <f t="shared" si="30"/>
        <v>45616.63157</v>
      </c>
      <c r="N738" s="8" t="str">
        <f t="shared" si="3"/>
        <v>SELESAI</v>
      </c>
      <c r="O738" s="23">
        <f t="shared" si="22"/>
        <v>45616.63157</v>
      </c>
      <c r="P738" s="24" t="b">
        <v>1</v>
      </c>
      <c r="Q738" s="20">
        <f t="shared" si="31"/>
        <v>45639.64579</v>
      </c>
      <c r="R738" s="24" t="b">
        <v>1</v>
      </c>
      <c r="S738" s="20">
        <f t="shared" si="6"/>
        <v>45617.59264</v>
      </c>
      <c r="T738" s="7"/>
    </row>
    <row r="739" ht="22.5" hidden="1" customHeight="1">
      <c r="B739" s="7">
        <f t="shared" si="7"/>
        <v>733</v>
      </c>
      <c r="C739" s="18" t="s">
        <v>720</v>
      </c>
      <c r="D739" s="19" t="str">
        <f t="array" ref="D739">IFNA(_xlfn.XLOOKUP(C739,Table_Tarikan_Warkah[Nomor Sertipikat],Table_Tarikan_Warkah[Nomor Tiket]),"")</f>
        <v>L/39/151124/1</v>
      </c>
      <c r="E739" s="20">
        <f t="array" ref="E739">IFNA(_xlfn.XLOOKUP(D739,Table_Tarikan_Warkah[Nomor Tiket],Table_Tarikan_Warkah[Tanggal diserahkan kepada Validator]),"")</f>
        <v>45615.45031</v>
      </c>
      <c r="F739" s="20" t="str">
        <f t="array" ref="F739">IFNA(_xlfn.XLOOKUP(D739,Table_Tarikan_Warkah[Nomor Tiket],Table_Tarikan_Warkah[Nama Petugas Warkah]),"")</f>
        <v>Berry</v>
      </c>
      <c r="G739" s="21" t="str">
        <f t="array" ref="G739">IFNA(_xlfn.XLOOKUP(D739,Table_Tarikan_Warkah[Nomor Tiket],Table_Tarikan_Warkah[Jenis Permohonan]),"")</f>
        <v>ROYA</v>
      </c>
      <c r="H739" s="22" t="s">
        <v>31</v>
      </c>
      <c r="I739" s="22" t="s">
        <v>32</v>
      </c>
      <c r="J739" s="20">
        <f t="shared" si="29"/>
        <v>45615.6866</v>
      </c>
      <c r="K739" s="27" t="s">
        <v>65</v>
      </c>
      <c r="L739" s="27" t="s">
        <v>32</v>
      </c>
      <c r="M739" s="20">
        <f t="shared" si="30"/>
        <v>45616.63159</v>
      </c>
      <c r="N739" s="8" t="str">
        <f t="shared" si="3"/>
        <v>SELESAI</v>
      </c>
      <c r="O739" s="23">
        <f t="shared" si="22"/>
        <v>45616.63159</v>
      </c>
      <c r="P739" s="24" t="b">
        <v>0</v>
      </c>
      <c r="Q739" s="20" t="str">
        <f t="shared" si="31"/>
        <v/>
      </c>
      <c r="R739" s="24" t="b">
        <v>1</v>
      </c>
      <c r="S739" s="20">
        <f t="shared" si="6"/>
        <v>45617.59269</v>
      </c>
      <c r="T739" s="7"/>
    </row>
    <row r="740" ht="22.5" hidden="1" customHeight="1">
      <c r="B740" s="7">
        <f t="shared" si="7"/>
        <v>734</v>
      </c>
      <c r="C740" s="18" t="s">
        <v>721</v>
      </c>
      <c r="D740" s="19" t="str">
        <f t="array" ref="D740">IFNA(_xlfn.XLOOKUP(C740,Table_Tarikan_Warkah[Nomor Sertipikat],Table_Tarikan_Warkah[Nomor Tiket]),"")</f>
        <v>L/45/151124/1</v>
      </c>
      <c r="E740" s="20">
        <f t="array" ref="E740">IFNA(_xlfn.XLOOKUP(D740,Table_Tarikan_Warkah[Nomor Tiket],Table_Tarikan_Warkah[Tanggal diserahkan kepada Validator]),"")</f>
        <v>45615.45176</v>
      </c>
      <c r="F740" s="20" t="str">
        <f t="array" ref="F740">IFNA(_xlfn.XLOOKUP(D740,Table_Tarikan_Warkah[Nomor Tiket],Table_Tarikan_Warkah[Nama Petugas Warkah]),"")</f>
        <v>Berry</v>
      </c>
      <c r="G740" s="21" t="str">
        <f t="array" ref="G740">IFNA(_xlfn.XLOOKUP(D740,Table_Tarikan_Warkah[Nomor Tiket],Table_Tarikan_Warkah[Jenis Permohonan]),"")</f>
        <v>B JUAL - BELI</v>
      </c>
      <c r="H740" s="22" t="s">
        <v>31</v>
      </c>
      <c r="I740" s="22" t="s">
        <v>32</v>
      </c>
      <c r="J740" s="20">
        <f t="shared" si="29"/>
        <v>45615.6866</v>
      </c>
      <c r="K740" s="27" t="s">
        <v>65</v>
      </c>
      <c r="L740" s="27" t="s">
        <v>32</v>
      </c>
      <c r="M740" s="20">
        <f t="shared" si="30"/>
        <v>45616.63159</v>
      </c>
      <c r="N740" s="8" t="str">
        <f t="shared" si="3"/>
        <v>SELESAI</v>
      </c>
      <c r="O740" s="23">
        <f t="shared" si="22"/>
        <v>45616.63159</v>
      </c>
      <c r="P740" s="24" t="b">
        <v>0</v>
      </c>
      <c r="Q740" s="20" t="str">
        <f t="shared" si="31"/>
        <v/>
      </c>
      <c r="R740" s="24" t="b">
        <v>1</v>
      </c>
      <c r="S740" s="20">
        <f t="shared" si="6"/>
        <v>45617.59269</v>
      </c>
      <c r="T740" s="7"/>
    </row>
    <row r="741" ht="22.5" hidden="1" customHeight="1">
      <c r="B741" s="7">
        <f t="shared" si="7"/>
        <v>735</v>
      </c>
      <c r="C741" s="18" t="s">
        <v>722</v>
      </c>
      <c r="D741" s="19" t="str">
        <f t="array" ref="D741">IFNA(_xlfn.XLOOKUP(C741,Table_Tarikan_Warkah[Nomor Sertipikat],Table_Tarikan_Warkah[Nomor Tiket]),"")</f>
        <v>K/17/131124/1</v>
      </c>
      <c r="E741" s="20" t="str">
        <f t="array" ref="E741">IFNA(_xlfn.XLOOKUP(D741,Table_Tarikan_Warkah[Nomor Tiket],Table_Tarikan_Warkah[Tanggal diserahkan kepada Validator]),"")</f>
        <v/>
      </c>
      <c r="F741" s="20" t="str">
        <f t="array" ref="F741">IFNA(_xlfn.XLOOKUP(D741,Table_Tarikan_Warkah[Nomor Tiket],Table_Tarikan_Warkah[Nama Petugas Warkah]),"")</f>
        <v>David</v>
      </c>
      <c r="G741" s="21" t="str">
        <f t="array" ref="G741">IFNA(_xlfn.XLOOKUP(D741,Table_Tarikan_Warkah[Nomor Tiket],Table_Tarikan_Warkah[Jenis Permohonan]),"")</f>
        <v>BN JUAL BELI</v>
      </c>
      <c r="H741" s="22" t="s">
        <v>31</v>
      </c>
      <c r="I741" s="22" t="s">
        <v>32</v>
      </c>
      <c r="J741" s="20">
        <f t="shared" si="29"/>
        <v>45615.6866</v>
      </c>
      <c r="K741" s="27" t="s">
        <v>65</v>
      </c>
      <c r="L741" s="27" t="s">
        <v>32</v>
      </c>
      <c r="M741" s="20">
        <f t="shared" si="30"/>
        <v>45616.63159</v>
      </c>
      <c r="N741" s="8" t="str">
        <f t="shared" si="3"/>
        <v>SELESAI</v>
      </c>
      <c r="O741" s="23">
        <f t="shared" si="22"/>
        <v>45616.63159</v>
      </c>
      <c r="P741" s="24" t="b">
        <v>0</v>
      </c>
      <c r="Q741" s="20" t="str">
        <f t="shared" si="31"/>
        <v/>
      </c>
      <c r="R741" s="24" t="b">
        <v>1</v>
      </c>
      <c r="S741" s="20">
        <f t="shared" si="6"/>
        <v>45617.59269</v>
      </c>
      <c r="T741" s="7"/>
    </row>
    <row r="742" ht="22.5" hidden="1" customHeight="1">
      <c r="B742" s="7">
        <f t="shared" si="7"/>
        <v>736</v>
      </c>
      <c r="C742" s="18" t="s">
        <v>723</v>
      </c>
      <c r="D742" s="19" t="str">
        <f t="array" ref="D742">IFNA(_xlfn.XLOOKUP(C742,Table_Tarikan_Warkah[Nomor Sertipikat],Table_Tarikan_Warkah[Nomor Tiket]),"")</f>
        <v>K/53/181124/3</v>
      </c>
      <c r="E742" s="20" t="str">
        <f t="array" ref="E742">IFNA(_xlfn.XLOOKUP(D742,Table_Tarikan_Warkah[Nomor Tiket],Table_Tarikan_Warkah[Tanggal diserahkan kepada Validator]),"")</f>
        <v/>
      </c>
      <c r="F742" s="20" t="str">
        <f t="array" ref="F742">IFNA(_xlfn.XLOOKUP(D742,Table_Tarikan_Warkah[Nomor Tiket],Table_Tarikan_Warkah[Nama Petugas Warkah]),"")</f>
        <v/>
      </c>
      <c r="G742" s="21" t="str">
        <f t="array" ref="G742">IFNA(_xlfn.XLOOKUP(D742,Table_Tarikan_Warkah[Nomor Tiket],Table_Tarikan_Warkah[Jenis Permohonan]),"")</f>
        <v>BN PHB</v>
      </c>
      <c r="H742" s="22" t="s">
        <v>31</v>
      </c>
      <c r="I742" s="22" t="s">
        <v>32</v>
      </c>
      <c r="J742" s="20">
        <f t="shared" si="29"/>
        <v>45615.6866</v>
      </c>
      <c r="K742" s="27" t="s">
        <v>65</v>
      </c>
      <c r="L742" s="27" t="s">
        <v>32</v>
      </c>
      <c r="M742" s="20">
        <f t="shared" si="30"/>
        <v>45616.63159</v>
      </c>
      <c r="N742" s="8" t="str">
        <f t="shared" si="3"/>
        <v>SELESAI</v>
      </c>
      <c r="O742" s="23">
        <f t="shared" si="22"/>
        <v>45616.63159</v>
      </c>
      <c r="P742" s="24" t="b">
        <v>0</v>
      </c>
      <c r="Q742" s="20" t="str">
        <f t="shared" si="31"/>
        <v/>
      </c>
      <c r="R742" s="24" t="b">
        <v>1</v>
      </c>
      <c r="S742" s="20">
        <f t="shared" si="6"/>
        <v>45617.59269</v>
      </c>
      <c r="T742" s="7"/>
    </row>
    <row r="743" ht="22.5" hidden="1" customHeight="1">
      <c r="B743" s="7">
        <f t="shared" si="7"/>
        <v>737</v>
      </c>
      <c r="C743" s="18" t="s">
        <v>724</v>
      </c>
      <c r="D743" s="19" t="str">
        <f t="array" ref="D743">IFNA(_xlfn.XLOOKUP(C743,Table_Tarikan_Warkah[Nomor Sertipikat],Table_Tarikan_Warkah[Nomor Tiket]),"")</f>
        <v>K/56/181124/1</v>
      </c>
      <c r="E743" s="20" t="str">
        <f t="array" ref="E743">IFNA(_xlfn.XLOOKUP(D743,Table_Tarikan_Warkah[Nomor Tiket],Table_Tarikan_Warkah[Tanggal diserahkan kepada Validator]),"")</f>
        <v/>
      </c>
      <c r="F743" s="20" t="str">
        <f t="array" ref="F743">IFNA(_xlfn.XLOOKUP(D743,Table_Tarikan_Warkah[Nomor Tiket],Table_Tarikan_Warkah[Nama Petugas Warkah]),"")</f>
        <v>David</v>
      </c>
      <c r="G743" s="21" t="str">
        <f t="array" ref="G743">IFNA(_xlfn.XLOOKUP(D743,Table_Tarikan_Warkah[Nomor Tiket],Table_Tarikan_Warkah[Jenis Permohonan]),"")</f>
        <v>BN JUAL BELI</v>
      </c>
      <c r="H743" s="22" t="s">
        <v>31</v>
      </c>
      <c r="I743" s="22" t="s">
        <v>32</v>
      </c>
      <c r="J743" s="20">
        <f t="shared" si="29"/>
        <v>45615.6866</v>
      </c>
      <c r="K743" s="27" t="s">
        <v>65</v>
      </c>
      <c r="L743" s="27" t="s">
        <v>32</v>
      </c>
      <c r="M743" s="20">
        <f t="shared" si="30"/>
        <v>45616.63162</v>
      </c>
      <c r="N743" s="8" t="str">
        <f t="shared" si="3"/>
        <v>SELESAI</v>
      </c>
      <c r="O743" s="23">
        <f t="shared" si="22"/>
        <v>45616.63162</v>
      </c>
      <c r="P743" s="24" t="b">
        <v>0</v>
      </c>
      <c r="Q743" s="20" t="str">
        <f t="shared" si="31"/>
        <v/>
      </c>
      <c r="R743" s="24" t="b">
        <v>1</v>
      </c>
      <c r="S743" s="20">
        <f t="shared" si="6"/>
        <v>45617.59276</v>
      </c>
      <c r="T743" s="7"/>
    </row>
    <row r="744" ht="22.5" hidden="1" customHeight="1">
      <c r="B744" s="7">
        <f t="shared" si="7"/>
        <v>738</v>
      </c>
      <c r="C744" s="18" t="s">
        <v>725</v>
      </c>
      <c r="D744" s="19" t="str">
        <f t="array" ref="D744">IFNA(_xlfn.XLOOKUP(C744,Table_Tarikan_Warkah[Nomor Sertipikat],Table_Tarikan_Warkah[Nomor Tiket]),"")</f>
        <v>K/52/181124/2</v>
      </c>
      <c r="E744" s="20">
        <f t="array" ref="E744">IFNA(_xlfn.XLOOKUP(D744,Table_Tarikan_Warkah[Nomor Tiket],Table_Tarikan_Warkah[Tanggal diserahkan kepada Validator]),"")</f>
        <v>45615.46826</v>
      </c>
      <c r="F744" s="20" t="str">
        <f t="array" ref="F744">IFNA(_xlfn.XLOOKUP(D744,Table_Tarikan_Warkah[Nomor Tiket],Table_Tarikan_Warkah[Nama Petugas Warkah]),"")</f>
        <v>David</v>
      </c>
      <c r="G744" s="21" t="str">
        <f t="array" ref="G744">IFNA(_xlfn.XLOOKUP(D744,Table_Tarikan_Warkah[Nomor Tiket],Table_Tarikan_Warkah[Jenis Permohonan]),"")</f>
        <v>BN JUAL BELI</v>
      </c>
      <c r="H744" s="22" t="s">
        <v>31</v>
      </c>
      <c r="I744" s="22" t="s">
        <v>32</v>
      </c>
      <c r="J744" s="20">
        <f t="shared" si="29"/>
        <v>45615.6866</v>
      </c>
      <c r="K744" s="27" t="s">
        <v>65</v>
      </c>
      <c r="L744" s="27" t="s">
        <v>32</v>
      </c>
      <c r="M744" s="20">
        <f t="shared" si="30"/>
        <v>45616.63162</v>
      </c>
      <c r="N744" s="8" t="str">
        <f t="shared" si="3"/>
        <v>SELESAI</v>
      </c>
      <c r="O744" s="23">
        <f t="shared" si="22"/>
        <v>45616.63162</v>
      </c>
      <c r="P744" s="24" t="b">
        <v>0</v>
      </c>
      <c r="Q744" s="20" t="str">
        <f t="shared" si="31"/>
        <v/>
      </c>
      <c r="R744" s="24" t="b">
        <v>1</v>
      </c>
      <c r="S744" s="20">
        <f t="shared" si="6"/>
        <v>45617.59276</v>
      </c>
      <c r="T744" s="7"/>
    </row>
    <row r="745" ht="22.5" hidden="1" customHeight="1">
      <c r="B745" s="7">
        <f t="shared" si="7"/>
        <v>739</v>
      </c>
      <c r="C745" s="18" t="s">
        <v>726</v>
      </c>
      <c r="D745" s="19" t="str">
        <f t="array" ref="D745">IFNA(_xlfn.XLOOKUP(C745,Table_Tarikan_Warkah[Nomor Sertipikat],Table_Tarikan_Warkah[Nomor Tiket]),"")</f>
        <v>K/55/181124/1</v>
      </c>
      <c r="E745" s="20">
        <f t="array" ref="E745">IFNA(_xlfn.XLOOKUP(D745,Table_Tarikan_Warkah[Nomor Tiket],Table_Tarikan_Warkah[Tanggal diserahkan kepada Validator]),"")</f>
        <v>45615.46809</v>
      </c>
      <c r="F745" s="20" t="str">
        <f t="array" ref="F745">IFNA(_xlfn.XLOOKUP(D745,Table_Tarikan_Warkah[Nomor Tiket],Table_Tarikan_Warkah[Nama Petugas Warkah]),"")</f>
        <v>David</v>
      </c>
      <c r="G745" s="21" t="str">
        <f t="array" ref="G745">IFNA(_xlfn.XLOOKUP(D745,Table_Tarikan_Warkah[Nomor Tiket],Table_Tarikan_Warkah[Jenis Permohonan]),"")</f>
        <v>BN Jual Beli</v>
      </c>
      <c r="H745" s="22" t="s">
        <v>31</v>
      </c>
      <c r="I745" s="22" t="s">
        <v>32</v>
      </c>
      <c r="J745" s="20">
        <f t="shared" si="29"/>
        <v>45615.6866</v>
      </c>
      <c r="K745" s="27" t="s">
        <v>65</v>
      </c>
      <c r="L745" s="27" t="s">
        <v>32</v>
      </c>
      <c r="M745" s="20">
        <f t="shared" si="30"/>
        <v>45616.63162</v>
      </c>
      <c r="N745" s="8" t="str">
        <f t="shared" si="3"/>
        <v>SELESAI</v>
      </c>
      <c r="O745" s="23">
        <f t="shared" si="22"/>
        <v>45616.63162</v>
      </c>
      <c r="P745" s="24" t="b">
        <v>0</v>
      </c>
      <c r="Q745" s="20" t="str">
        <f t="shared" si="31"/>
        <v/>
      </c>
      <c r="R745" s="24" t="b">
        <v>1</v>
      </c>
      <c r="S745" s="20">
        <f t="shared" si="6"/>
        <v>45617.59276</v>
      </c>
      <c r="T745" s="7"/>
    </row>
    <row r="746" ht="22.5" hidden="1" customHeight="1">
      <c r="B746" s="7">
        <f t="shared" si="7"/>
        <v>740</v>
      </c>
      <c r="C746" s="18" t="s">
        <v>727</v>
      </c>
      <c r="D746" s="19" t="str">
        <f t="array" ref="D746">IFNA(_xlfn.XLOOKUP(C746,Table_Tarikan_Warkah[Nomor Sertipikat],Table_Tarikan_Warkah[Nomor Tiket]),"")</f>
        <v>K/44/181124/1</v>
      </c>
      <c r="E746" s="20" t="str">
        <f t="array" ref="E746">IFNA(_xlfn.XLOOKUP(D746,Table_Tarikan_Warkah[Nomor Tiket],Table_Tarikan_Warkah[Tanggal diserahkan kepada Validator]),"")</f>
        <v/>
      </c>
      <c r="F746" s="20" t="str">
        <f t="array" ref="F746">IFNA(_xlfn.XLOOKUP(D746,Table_Tarikan_Warkah[Nomor Tiket],Table_Tarikan_Warkah[Nama Petugas Warkah]),"")</f>
        <v/>
      </c>
      <c r="G746" s="21" t="str">
        <f t="array" ref="G746">IFNA(_xlfn.XLOOKUP(D746,Table_Tarikan_Warkah[Nomor Tiket],Table_Tarikan_Warkah[Jenis Permohonan]),"")</f>
        <v>BN Jual Beli</v>
      </c>
      <c r="H746" s="22" t="s">
        <v>31</v>
      </c>
      <c r="I746" s="22" t="s">
        <v>32</v>
      </c>
      <c r="J746" s="20">
        <f t="shared" si="29"/>
        <v>45615.6866</v>
      </c>
      <c r="K746" s="27" t="s">
        <v>65</v>
      </c>
      <c r="L746" s="27" t="s">
        <v>32</v>
      </c>
      <c r="M746" s="20">
        <f t="shared" si="30"/>
        <v>45616.63162</v>
      </c>
      <c r="N746" s="8" t="str">
        <f t="shared" si="3"/>
        <v>SELESAI</v>
      </c>
      <c r="O746" s="23">
        <f t="shared" si="22"/>
        <v>45616.63162</v>
      </c>
      <c r="P746" s="24" t="b">
        <v>0</v>
      </c>
      <c r="Q746" s="20" t="str">
        <f t="shared" si="31"/>
        <v/>
      </c>
      <c r="R746" s="24" t="b">
        <v>1</v>
      </c>
      <c r="S746" s="20">
        <f t="shared" si="6"/>
        <v>45617.59276</v>
      </c>
      <c r="T746" s="7"/>
    </row>
    <row r="747" ht="22.5" hidden="1" customHeight="1">
      <c r="B747" s="7">
        <f t="shared" si="7"/>
        <v>741</v>
      </c>
      <c r="C747" s="18" t="s">
        <v>728</v>
      </c>
      <c r="D747" s="19" t="str">
        <f t="array" ref="D747">IFNA(_xlfn.XLOOKUP(C747,Table_Tarikan_Warkah[Nomor Sertipikat],Table_Tarikan_Warkah[Nomor Tiket]),"")</f>
        <v>K/45/181124/2</v>
      </c>
      <c r="E747" s="20" t="str">
        <f t="array" ref="E747">IFNA(_xlfn.XLOOKUP(D747,Table_Tarikan_Warkah[Nomor Tiket],Table_Tarikan_Warkah[Tanggal diserahkan kepada Validator]),"")</f>
        <v/>
      </c>
      <c r="F747" s="20" t="str">
        <f t="array" ref="F747">IFNA(_xlfn.XLOOKUP(D747,Table_Tarikan_Warkah[Nomor Tiket],Table_Tarikan_Warkah[Nama Petugas Warkah]),"")</f>
        <v>David</v>
      </c>
      <c r="G747" s="21" t="str">
        <f t="array" ref="G747">IFNA(_xlfn.XLOOKUP(D747,Table_Tarikan_Warkah[Nomor Tiket],Table_Tarikan_Warkah[Jenis Permohonan]),"")</f>
        <v>BN Jual Beli</v>
      </c>
      <c r="H747" s="22" t="s">
        <v>31</v>
      </c>
      <c r="I747" s="22" t="s">
        <v>32</v>
      </c>
      <c r="J747" s="20">
        <f t="shared" si="29"/>
        <v>45615.6866</v>
      </c>
      <c r="K747" s="27" t="s">
        <v>65</v>
      </c>
      <c r="L747" s="27" t="s">
        <v>32</v>
      </c>
      <c r="M747" s="20">
        <f t="shared" si="30"/>
        <v>45616.63164</v>
      </c>
      <c r="N747" s="8" t="str">
        <f t="shared" si="3"/>
        <v>SELESAI</v>
      </c>
      <c r="O747" s="23">
        <f t="shared" si="22"/>
        <v>45616.63164</v>
      </c>
      <c r="P747" s="24" t="b">
        <v>0</v>
      </c>
      <c r="Q747" s="20" t="str">
        <f t="shared" si="31"/>
        <v/>
      </c>
      <c r="R747" s="24" t="b">
        <v>1</v>
      </c>
      <c r="S747" s="20">
        <f t="shared" si="6"/>
        <v>45617.59276</v>
      </c>
      <c r="T747" s="7"/>
    </row>
    <row r="748" ht="22.5" hidden="1" customHeight="1">
      <c r="B748" s="7">
        <f t="shared" si="7"/>
        <v>742</v>
      </c>
      <c r="C748" s="18" t="s">
        <v>729</v>
      </c>
      <c r="D748" s="19" t="str">
        <f t="array" ref="D748">IFNA(_xlfn.XLOOKUP(C748,Table_Tarikan_Warkah[Nomor Sertipikat],Table_Tarikan_Warkah[Nomor Tiket]),"")</f>
        <v>K/46/181124/3</v>
      </c>
      <c r="E748" s="20">
        <f t="array" ref="E748">IFNA(_xlfn.XLOOKUP(D748,Table_Tarikan_Warkah[Nomor Tiket],Table_Tarikan_Warkah[Tanggal diserahkan kepada Validator]),"")</f>
        <v>45615.46727</v>
      </c>
      <c r="F748" s="20" t="str">
        <f t="array" ref="F748">IFNA(_xlfn.XLOOKUP(D748,Table_Tarikan_Warkah[Nomor Tiket],Table_Tarikan_Warkah[Nama Petugas Warkah]),"")</f>
        <v>David</v>
      </c>
      <c r="G748" s="21" t="str">
        <f t="array" ref="G748">IFNA(_xlfn.XLOOKUP(D748,Table_Tarikan_Warkah[Nomor Tiket],Table_Tarikan_Warkah[Jenis Permohonan]),"")</f>
        <v>BN Jual Beli</v>
      </c>
      <c r="H748" s="22" t="s">
        <v>31</v>
      </c>
      <c r="I748" s="22" t="s">
        <v>32</v>
      </c>
      <c r="J748" s="20">
        <f t="shared" si="29"/>
        <v>45615.6866</v>
      </c>
      <c r="K748" s="27" t="s">
        <v>65</v>
      </c>
      <c r="L748" s="27" t="s">
        <v>32</v>
      </c>
      <c r="M748" s="20">
        <f t="shared" si="30"/>
        <v>45616.63164</v>
      </c>
      <c r="N748" s="8" t="str">
        <f t="shared" si="3"/>
        <v>SELESAI</v>
      </c>
      <c r="O748" s="23">
        <f t="shared" si="22"/>
        <v>45616.63164</v>
      </c>
      <c r="P748" s="24" t="b">
        <v>0</v>
      </c>
      <c r="Q748" s="20" t="str">
        <f t="shared" si="31"/>
        <v/>
      </c>
      <c r="R748" s="24" t="b">
        <v>1</v>
      </c>
      <c r="S748" s="20">
        <f t="shared" si="6"/>
        <v>45617.59276</v>
      </c>
      <c r="T748" s="7"/>
    </row>
    <row r="749" ht="22.5" hidden="1" customHeight="1">
      <c r="B749" s="7">
        <f t="shared" si="7"/>
        <v>743</v>
      </c>
      <c r="C749" s="18" t="s">
        <v>730</v>
      </c>
      <c r="D749" s="19" t="str">
        <f t="array" ref="D749">IFNA(_xlfn.XLOOKUP(C749,Table_Tarikan_Warkah[Nomor Sertipikat],Table_Tarikan_Warkah[Nomor Tiket]),"")</f>
        <v>K/49/181124/1</v>
      </c>
      <c r="E749" s="20">
        <f t="array" ref="E749">IFNA(_xlfn.XLOOKUP(D749,Table_Tarikan_Warkah[Nomor Tiket],Table_Tarikan_Warkah[Tanggal diserahkan kepada Validator]),"")</f>
        <v>45615.46724</v>
      </c>
      <c r="F749" s="20" t="str">
        <f t="array" ref="F749">IFNA(_xlfn.XLOOKUP(D749,Table_Tarikan_Warkah[Nomor Tiket],Table_Tarikan_Warkah[Nama Petugas Warkah]),"")</f>
        <v>David</v>
      </c>
      <c r="G749" s="21" t="str">
        <f t="array" ref="G749">IFNA(_xlfn.XLOOKUP(D749,Table_Tarikan_Warkah[Nomor Tiket],Table_Tarikan_Warkah[Jenis Permohonan]),"")</f>
        <v>BN LELANG</v>
      </c>
      <c r="H749" s="22" t="s">
        <v>31</v>
      </c>
      <c r="I749" s="22" t="s">
        <v>32</v>
      </c>
      <c r="J749" s="20">
        <f t="shared" si="29"/>
        <v>45615.6866</v>
      </c>
      <c r="K749" s="27" t="s">
        <v>65</v>
      </c>
      <c r="L749" s="27" t="s">
        <v>32</v>
      </c>
      <c r="M749" s="20">
        <f t="shared" si="30"/>
        <v>45616.63164</v>
      </c>
      <c r="N749" s="8" t="str">
        <f t="shared" si="3"/>
        <v>SELESAI</v>
      </c>
      <c r="O749" s="23">
        <f t="shared" si="22"/>
        <v>45616.63164</v>
      </c>
      <c r="P749" s="24" t="b">
        <v>0</v>
      </c>
      <c r="Q749" s="20" t="str">
        <f t="shared" si="31"/>
        <v/>
      </c>
      <c r="R749" s="24" t="b">
        <v>1</v>
      </c>
      <c r="S749" s="20">
        <f t="shared" si="6"/>
        <v>45617.59276</v>
      </c>
      <c r="T749" s="7"/>
    </row>
    <row r="750" ht="22.5" hidden="1" customHeight="1">
      <c r="B750" s="7">
        <f t="shared" si="7"/>
        <v>744</v>
      </c>
      <c r="C750" s="18" t="s">
        <v>731</v>
      </c>
      <c r="D750" s="19" t="str">
        <f t="array" ref="D750">IFNA(_xlfn.XLOOKUP(C750,Table_Tarikan_Warkah[Nomor Sertipikat],Table_Tarikan_Warkah[Nomor Tiket]),"")</f>
        <v>K/47/181124/4</v>
      </c>
      <c r="E750" s="20">
        <f t="array" ref="E750">IFNA(_xlfn.XLOOKUP(D750,Table_Tarikan_Warkah[Nomor Tiket],Table_Tarikan_Warkah[Tanggal diserahkan kepada Validator]),"")</f>
        <v>45615.46721</v>
      </c>
      <c r="F750" s="20" t="str">
        <f t="array" ref="F750">IFNA(_xlfn.XLOOKUP(D750,Table_Tarikan_Warkah[Nomor Tiket],Table_Tarikan_Warkah[Nama Petugas Warkah]),"")</f>
        <v>David</v>
      </c>
      <c r="G750" s="21" t="str">
        <f t="array" ref="G750">IFNA(_xlfn.XLOOKUP(D750,Table_Tarikan_Warkah[Nomor Tiket],Table_Tarikan_Warkah[Jenis Permohonan]),"")</f>
        <v>BN Jual Beli</v>
      </c>
      <c r="H750" s="22" t="s">
        <v>31</v>
      </c>
      <c r="I750" s="22" t="s">
        <v>32</v>
      </c>
      <c r="J750" s="20">
        <f t="shared" si="29"/>
        <v>45615.6866</v>
      </c>
      <c r="K750" s="27" t="s">
        <v>65</v>
      </c>
      <c r="L750" s="27" t="s">
        <v>32</v>
      </c>
      <c r="M750" s="20">
        <f t="shared" si="30"/>
        <v>45616.63164</v>
      </c>
      <c r="N750" s="8" t="str">
        <f t="shared" si="3"/>
        <v>SELESAI</v>
      </c>
      <c r="O750" s="23">
        <f t="shared" si="22"/>
        <v>45616.63164</v>
      </c>
      <c r="P750" s="24" t="b">
        <v>0</v>
      </c>
      <c r="Q750" s="20" t="str">
        <f t="shared" si="31"/>
        <v/>
      </c>
      <c r="R750" s="24" t="b">
        <v>1</v>
      </c>
      <c r="S750" s="20">
        <f t="shared" si="6"/>
        <v>45617.59281</v>
      </c>
      <c r="T750" s="7"/>
    </row>
    <row r="751" ht="22.5" hidden="1" customHeight="1">
      <c r="B751" s="7">
        <f t="shared" si="7"/>
        <v>745</v>
      </c>
      <c r="C751" s="18" t="s">
        <v>732</v>
      </c>
      <c r="D751" s="19" t="str">
        <f t="array" ref="D751">IFNA(_xlfn.XLOOKUP(C751,Table_Tarikan_Warkah[Nomor Sertipikat],Table_Tarikan_Warkah[Nomor Tiket]),"")</f>
        <v>K/40/181124/1</v>
      </c>
      <c r="E751" s="20" t="str">
        <f t="array" ref="E751">IFNA(_xlfn.XLOOKUP(D751,Table_Tarikan_Warkah[Nomor Tiket],Table_Tarikan_Warkah[Tanggal diserahkan kepada Validator]),"")</f>
        <v/>
      </c>
      <c r="F751" s="20" t="str">
        <f t="array" ref="F751">IFNA(_xlfn.XLOOKUP(D751,Table_Tarikan_Warkah[Nomor Tiket],Table_Tarikan_Warkah[Nama Petugas Warkah]),"")</f>
        <v/>
      </c>
      <c r="G751" s="21" t="str">
        <f t="array" ref="G751">IFNA(_xlfn.XLOOKUP(D751,Table_Tarikan_Warkah[Nomor Tiket],Table_Tarikan_Warkah[Jenis Permohonan]),"")</f>
        <v>BN JUAL BELI</v>
      </c>
      <c r="H751" s="22" t="s">
        <v>31</v>
      </c>
      <c r="I751" s="22" t="s">
        <v>32</v>
      </c>
      <c r="J751" s="20">
        <f t="shared" si="29"/>
        <v>45615.6866</v>
      </c>
      <c r="K751" s="27" t="s">
        <v>65</v>
      </c>
      <c r="L751" s="27" t="s">
        <v>32</v>
      </c>
      <c r="M751" s="20">
        <f t="shared" si="30"/>
        <v>45616.63167</v>
      </c>
      <c r="N751" s="8" t="str">
        <f t="shared" si="3"/>
        <v>SELESAI</v>
      </c>
      <c r="O751" s="23">
        <f t="shared" si="22"/>
        <v>45616.63167</v>
      </c>
      <c r="P751" s="24" t="b">
        <v>0</v>
      </c>
      <c r="Q751" s="20" t="str">
        <f t="shared" si="31"/>
        <v/>
      </c>
      <c r="R751" s="24" t="b">
        <v>1</v>
      </c>
      <c r="S751" s="20">
        <f t="shared" si="6"/>
        <v>45617.59281</v>
      </c>
      <c r="T751" s="7"/>
    </row>
    <row r="752" ht="22.5" hidden="1" customHeight="1">
      <c r="B752" s="7">
        <f t="shared" si="7"/>
        <v>746</v>
      </c>
      <c r="C752" s="18" t="s">
        <v>733</v>
      </c>
      <c r="D752" s="19" t="str">
        <f t="array" ref="D752">IFNA(_xlfn.XLOOKUP(C752,Table_Tarikan_Warkah[Nomor Sertipikat],Table_Tarikan_Warkah[Nomor Tiket]),"")</f>
        <v>L/14/181124/1</v>
      </c>
      <c r="E752" s="20" t="str">
        <f t="array" ref="E752">IFNA(_xlfn.XLOOKUP(D752,Table_Tarikan_Warkah[Nomor Tiket],Table_Tarikan_Warkah[Tanggal diserahkan kepada Validator]),"")</f>
        <v/>
      </c>
      <c r="F752" s="20" t="str">
        <f t="array" ref="F752">IFNA(_xlfn.XLOOKUP(D752,Table_Tarikan_Warkah[Nomor Tiket],Table_Tarikan_Warkah[Nama Petugas Warkah]),"")</f>
        <v/>
      </c>
      <c r="G752" s="21" t="str">
        <f t="array" ref="G752">IFNA(_xlfn.XLOOKUP(D752,Table_Tarikan_Warkah[Nomor Tiket],Table_Tarikan_Warkah[Jenis Permohonan]),"")</f>
        <v>ROYA</v>
      </c>
      <c r="H752" s="22" t="s">
        <v>31</v>
      </c>
      <c r="I752" s="22" t="s">
        <v>32</v>
      </c>
      <c r="J752" s="20">
        <f t="shared" si="29"/>
        <v>45615.6866</v>
      </c>
      <c r="K752" s="27" t="s">
        <v>65</v>
      </c>
      <c r="L752" s="27" t="s">
        <v>32</v>
      </c>
      <c r="M752" s="20">
        <f t="shared" si="30"/>
        <v>45616.63167</v>
      </c>
      <c r="N752" s="8" t="str">
        <f t="shared" si="3"/>
        <v>SELESAI</v>
      </c>
      <c r="O752" s="23">
        <f t="shared" si="22"/>
        <v>45616.63167</v>
      </c>
      <c r="P752" s="24" t="b">
        <v>0</v>
      </c>
      <c r="Q752" s="20" t="str">
        <f t="shared" si="31"/>
        <v/>
      </c>
      <c r="R752" s="24" t="b">
        <v>1</v>
      </c>
      <c r="S752" s="20">
        <f t="shared" si="6"/>
        <v>45617.59281</v>
      </c>
      <c r="T752" s="7"/>
    </row>
    <row r="753" ht="22.5" hidden="1" customHeight="1">
      <c r="B753" s="7">
        <f t="shared" si="7"/>
        <v>747</v>
      </c>
      <c r="C753" s="18" t="s">
        <v>734</v>
      </c>
      <c r="D753" s="19" t="str">
        <f t="array" ref="D753">IFNA(_xlfn.XLOOKUP(C753,Table_Tarikan_Warkah[Nomor Sertipikat],Table_Tarikan_Warkah[Nomor Tiket]),"")</f>
        <v>K/59/151124/1</v>
      </c>
      <c r="E753" s="20">
        <f t="array" ref="E753">IFNA(_xlfn.XLOOKUP(D753,Table_Tarikan_Warkah[Nomor Tiket],Table_Tarikan_Warkah[Tanggal diserahkan kepada Validator]),"")</f>
        <v>45615.45251</v>
      </c>
      <c r="F753" s="20" t="str">
        <f t="array" ref="F753">IFNA(_xlfn.XLOOKUP(D753,Table_Tarikan_Warkah[Nomor Tiket],Table_Tarikan_Warkah[Nama Petugas Warkah]),"")</f>
        <v>Berry</v>
      </c>
      <c r="G753" s="21" t="str">
        <f t="array" ref="G753">IFNA(_xlfn.XLOOKUP(D753,Table_Tarikan_Warkah[Nomor Tiket],Table_Tarikan_Warkah[Jenis Permohonan]),"")</f>
        <v>BN Jual Beli</v>
      </c>
      <c r="H753" s="22" t="s">
        <v>31</v>
      </c>
      <c r="I753" s="22" t="s">
        <v>32</v>
      </c>
      <c r="J753" s="20">
        <f t="shared" si="29"/>
        <v>45615.6866</v>
      </c>
      <c r="K753" s="27" t="s">
        <v>65</v>
      </c>
      <c r="L753" s="27" t="s">
        <v>32</v>
      </c>
      <c r="M753" s="20">
        <f t="shared" si="30"/>
        <v>45616.63167</v>
      </c>
      <c r="N753" s="8" t="str">
        <f t="shared" si="3"/>
        <v>SELESAI</v>
      </c>
      <c r="O753" s="23">
        <f t="shared" si="22"/>
        <v>45616.63167</v>
      </c>
      <c r="P753" s="24" t="b">
        <v>0</v>
      </c>
      <c r="Q753" s="20" t="str">
        <f t="shared" si="31"/>
        <v/>
      </c>
      <c r="R753" s="24" t="b">
        <v>1</v>
      </c>
      <c r="S753" s="20">
        <f t="shared" si="6"/>
        <v>45617.59281</v>
      </c>
      <c r="T753" s="7"/>
    </row>
    <row r="754" ht="22.5" hidden="1" customHeight="1">
      <c r="B754" s="7">
        <f t="shared" si="7"/>
        <v>748</v>
      </c>
      <c r="C754" s="18" t="s">
        <v>735</v>
      </c>
      <c r="D754" s="19" t="str">
        <f t="array" ref="D754">IFNA(_xlfn.XLOOKUP(C754,Table_Tarikan_Warkah[Nomor Sertipikat],Table_Tarikan_Warkah[Nomor Tiket]),"")</f>
        <v>K/42/151124/1</v>
      </c>
      <c r="E754" s="20">
        <f t="array" ref="E754">IFNA(_xlfn.XLOOKUP(D754,Table_Tarikan_Warkah[Nomor Tiket],Table_Tarikan_Warkah[Tanggal diserahkan kepada Validator]),"")</f>
        <v>45615.45123</v>
      </c>
      <c r="F754" s="20" t="str">
        <f t="array" ref="F754">IFNA(_xlfn.XLOOKUP(D754,Table_Tarikan_Warkah[Nomor Tiket],Table_Tarikan_Warkah[Nama Petugas Warkah]),"")</f>
        <v>Berry</v>
      </c>
      <c r="G754" s="21" t="str">
        <f t="array" ref="G754">IFNA(_xlfn.XLOOKUP(D754,Table_Tarikan_Warkah[Nomor Tiket],Table_Tarikan_Warkah[Jenis Permohonan]),"")</f>
        <v>KEWARISAN</v>
      </c>
      <c r="H754" s="22" t="s">
        <v>31</v>
      </c>
      <c r="I754" s="22" t="s">
        <v>32</v>
      </c>
      <c r="J754" s="20">
        <f t="shared" si="29"/>
        <v>45615.6866</v>
      </c>
      <c r="K754" s="27" t="s">
        <v>65</v>
      </c>
      <c r="L754" s="27" t="s">
        <v>32</v>
      </c>
      <c r="M754" s="20">
        <f t="shared" si="30"/>
        <v>45616.63167</v>
      </c>
      <c r="N754" s="8" t="str">
        <f t="shared" si="3"/>
        <v>SELESAI</v>
      </c>
      <c r="O754" s="23">
        <f t="shared" si="22"/>
        <v>45616.63167</v>
      </c>
      <c r="P754" s="24" t="b">
        <v>0</v>
      </c>
      <c r="Q754" s="20" t="str">
        <f t="shared" si="31"/>
        <v/>
      </c>
      <c r="R754" s="24" t="b">
        <v>1</v>
      </c>
      <c r="S754" s="20">
        <f t="shared" si="6"/>
        <v>45617.59281</v>
      </c>
      <c r="T754" s="7"/>
    </row>
    <row r="755" ht="22.5" hidden="1" customHeight="1">
      <c r="B755" s="7">
        <f t="shared" si="7"/>
        <v>749</v>
      </c>
      <c r="C755" s="18" t="s">
        <v>736</v>
      </c>
      <c r="D755" s="19" t="str">
        <f t="array" ref="D755">IFNA(_xlfn.XLOOKUP(C755,Table_Tarikan_Warkah[Nomor Sertipikat],Table_Tarikan_Warkah[Nomor Tiket]),"")</f>
        <v>K/40/151124/1</v>
      </c>
      <c r="E755" s="20">
        <f t="array" ref="E755">IFNA(_xlfn.XLOOKUP(D755,Table_Tarikan_Warkah[Nomor Tiket],Table_Tarikan_Warkah[Tanggal diserahkan kepada Validator]),"")</f>
        <v>45615.45076</v>
      </c>
      <c r="F755" s="20" t="str">
        <f t="array" ref="F755">IFNA(_xlfn.XLOOKUP(D755,Table_Tarikan_Warkah[Nomor Tiket],Table_Tarikan_Warkah[Nama Petugas Warkah]),"")</f>
        <v>Berry</v>
      </c>
      <c r="G755" s="21" t="str">
        <f t="array" ref="G755">IFNA(_xlfn.XLOOKUP(D755,Table_Tarikan_Warkah[Nomor Tiket],Table_Tarikan_Warkah[Jenis Permohonan]),"")</f>
        <v>BN JUAL BELI</v>
      </c>
      <c r="H755" s="22" t="s">
        <v>31</v>
      </c>
      <c r="I755" s="22" t="s">
        <v>32</v>
      </c>
      <c r="J755" s="20">
        <f t="shared" si="29"/>
        <v>45615.6866</v>
      </c>
      <c r="K755" s="27" t="s">
        <v>65</v>
      </c>
      <c r="L755" s="27" t="s">
        <v>32</v>
      </c>
      <c r="M755" s="20">
        <f t="shared" si="30"/>
        <v>45616.63171</v>
      </c>
      <c r="N755" s="8" t="str">
        <f t="shared" si="3"/>
        <v>SELESAI</v>
      </c>
      <c r="O755" s="23">
        <f t="shared" si="22"/>
        <v>45616.63171</v>
      </c>
      <c r="P755" s="24" t="b">
        <v>0</v>
      </c>
      <c r="Q755" s="20" t="str">
        <f t="shared" si="31"/>
        <v/>
      </c>
      <c r="R755" s="24" t="b">
        <v>1</v>
      </c>
      <c r="S755" s="20">
        <f t="shared" si="6"/>
        <v>45617.59281</v>
      </c>
      <c r="T755" s="7"/>
    </row>
    <row r="756" ht="22.5" hidden="1" customHeight="1">
      <c r="B756" s="7">
        <f t="shared" si="7"/>
        <v>750</v>
      </c>
      <c r="C756" s="18" t="s">
        <v>737</v>
      </c>
      <c r="D756" s="19" t="str">
        <f t="array" ref="D756">IFNA(_xlfn.XLOOKUP(C756,Table_Tarikan_Warkah[Nomor Sertipikat],Table_Tarikan_Warkah[Nomor Tiket]),"")</f>
        <v>K/33/151124/2</v>
      </c>
      <c r="E756" s="20">
        <f t="array" ref="E756">IFNA(_xlfn.XLOOKUP(D756,Table_Tarikan_Warkah[Nomor Tiket],Table_Tarikan_Warkah[Tanggal diserahkan kepada Validator]),"")</f>
        <v>45615.4487</v>
      </c>
      <c r="F756" s="20" t="str">
        <f t="array" ref="F756">IFNA(_xlfn.XLOOKUP(D756,Table_Tarikan_Warkah[Nomor Tiket],Table_Tarikan_Warkah[Nama Petugas Warkah]),"")</f>
        <v>Berry</v>
      </c>
      <c r="G756" s="21" t="str">
        <f t="array" ref="G756">IFNA(_xlfn.XLOOKUP(D756,Table_Tarikan_Warkah[Nomor Tiket],Table_Tarikan_Warkah[Jenis Permohonan]),"")</f>
        <v>BN Jual Beli</v>
      </c>
      <c r="H756" s="22" t="s">
        <v>31</v>
      </c>
      <c r="I756" s="22" t="s">
        <v>32</v>
      </c>
      <c r="J756" s="20">
        <f t="shared" si="29"/>
        <v>45615.6866</v>
      </c>
      <c r="K756" s="27" t="s">
        <v>65</v>
      </c>
      <c r="L756" s="27" t="s">
        <v>32</v>
      </c>
      <c r="M756" s="20">
        <f t="shared" si="30"/>
        <v>45616.63171</v>
      </c>
      <c r="N756" s="8" t="str">
        <f t="shared" si="3"/>
        <v>SELESAI</v>
      </c>
      <c r="O756" s="23">
        <f t="shared" si="22"/>
        <v>45616.63171</v>
      </c>
      <c r="P756" s="24" t="b">
        <v>0</v>
      </c>
      <c r="Q756" s="20" t="str">
        <f t="shared" si="31"/>
        <v/>
      </c>
      <c r="R756" s="24" t="b">
        <v>1</v>
      </c>
      <c r="S756" s="20">
        <f t="shared" si="6"/>
        <v>45617.59281</v>
      </c>
      <c r="T756" s="7"/>
    </row>
    <row r="757" ht="22.5" hidden="1" customHeight="1">
      <c r="B757" s="7">
        <f t="shared" si="7"/>
        <v>751</v>
      </c>
      <c r="C757" s="18" t="s">
        <v>644</v>
      </c>
      <c r="D757" s="19" t="str">
        <f t="array" ref="D757">IFNA(_xlfn.XLOOKUP(C757,Table_Tarikan_Warkah[Nomor Sertipikat],Table_Tarikan_Warkah[Nomor Tiket]),"")</f>
        <v>K/14/121124/1</v>
      </c>
      <c r="E757" s="20" t="str">
        <f t="array" ref="E757">IFNA(_xlfn.XLOOKUP(D757,Table_Tarikan_Warkah[Nomor Tiket],Table_Tarikan_Warkah[Tanggal diserahkan kepada Validator]),"")</f>
        <v/>
      </c>
      <c r="F757" s="20" t="str">
        <f t="array" ref="F757">IFNA(_xlfn.XLOOKUP(D757,Table_Tarikan_Warkah[Nomor Tiket],Table_Tarikan_Warkah[Nama Petugas Warkah]),"")</f>
        <v>David</v>
      </c>
      <c r="G757" s="21" t="str">
        <f t="array" ref="G757">IFNA(_xlfn.XLOOKUP(D757,Table_Tarikan_Warkah[Nomor Tiket],Table_Tarikan_Warkah[Jenis Permohonan]),"")</f>
        <v>BN HIBAH</v>
      </c>
      <c r="H757" s="22" t="s">
        <v>31</v>
      </c>
      <c r="I757" s="22" t="s">
        <v>32</v>
      </c>
      <c r="J757" s="20">
        <f t="shared" si="29"/>
        <v>45615.6866</v>
      </c>
      <c r="K757" s="27" t="s">
        <v>65</v>
      </c>
      <c r="L757" s="27" t="s">
        <v>32</v>
      </c>
      <c r="M757" s="20">
        <f t="shared" si="30"/>
        <v>45616.63171</v>
      </c>
      <c r="N757" s="8" t="str">
        <f t="shared" si="3"/>
        <v>SELESAI</v>
      </c>
      <c r="O757" s="23">
        <f t="shared" si="22"/>
        <v>45616.63171</v>
      </c>
      <c r="P757" s="24" t="b">
        <v>0</v>
      </c>
      <c r="Q757" s="20" t="str">
        <f t="shared" si="31"/>
        <v/>
      </c>
      <c r="R757" s="24" t="b">
        <v>1</v>
      </c>
      <c r="S757" s="20">
        <f t="shared" si="6"/>
        <v>45617.59285</v>
      </c>
      <c r="T757" s="7"/>
    </row>
    <row r="758" ht="22.5" hidden="1" customHeight="1">
      <c r="B758" s="7">
        <f t="shared" si="7"/>
        <v>752</v>
      </c>
      <c r="C758" s="18" t="s">
        <v>738</v>
      </c>
      <c r="D758" s="19" t="str">
        <f t="array" ref="D758">IFNA(_xlfn.XLOOKUP(C758,Table_Tarikan_Warkah[Nomor Sertipikat],Table_Tarikan_Warkah[Nomor Tiket]),"")</f>
        <v>K/30/131124/1</v>
      </c>
      <c r="E758" s="20">
        <f t="array" ref="E758">IFNA(_xlfn.XLOOKUP(D758,Table_Tarikan_Warkah[Nomor Tiket],Table_Tarikan_Warkah[Tanggal diserahkan kepada Validator]),"")</f>
        <v>45614.44871</v>
      </c>
      <c r="F758" s="20" t="str">
        <f t="array" ref="F758">IFNA(_xlfn.XLOOKUP(D758,Table_Tarikan_Warkah[Nomor Tiket],Table_Tarikan_Warkah[Nama Petugas Warkah]),"")</f>
        <v>David</v>
      </c>
      <c r="G758" s="21" t="str">
        <f t="array" ref="G758">IFNA(_xlfn.XLOOKUP(D758,Table_Tarikan_Warkah[Nomor Tiket],Table_Tarikan_Warkah[Jenis Permohonan]),"")</f>
        <v>BN Waris</v>
      </c>
      <c r="H758" s="22" t="s">
        <v>31</v>
      </c>
      <c r="I758" s="22" t="s">
        <v>32</v>
      </c>
      <c r="J758" s="20">
        <f t="shared" si="29"/>
        <v>45615.6866</v>
      </c>
      <c r="K758" s="27" t="s">
        <v>65</v>
      </c>
      <c r="L758" s="27" t="s">
        <v>32</v>
      </c>
      <c r="M758" s="20">
        <f t="shared" si="30"/>
        <v>45616.63171</v>
      </c>
      <c r="N758" s="8" t="str">
        <f t="shared" si="3"/>
        <v>SELESAI</v>
      </c>
      <c r="O758" s="23">
        <f t="shared" si="22"/>
        <v>45616.63171</v>
      </c>
      <c r="P758" s="24" t="b">
        <v>0</v>
      </c>
      <c r="Q758" s="20" t="str">
        <f t="shared" si="31"/>
        <v/>
      </c>
      <c r="R758" s="24" t="b">
        <v>1</v>
      </c>
      <c r="S758" s="20">
        <f t="shared" si="6"/>
        <v>45617.59286</v>
      </c>
      <c r="T758" s="7"/>
    </row>
    <row r="759" ht="22.5" hidden="1" customHeight="1">
      <c r="B759" s="7">
        <f t="shared" si="7"/>
        <v>753</v>
      </c>
      <c r="C759" s="18" t="s">
        <v>711</v>
      </c>
      <c r="D759" s="19" t="str">
        <f t="array" ref="D759">IFNA(_xlfn.XLOOKUP(C759,Table_Tarikan_Warkah[Nomor Sertipikat],Table_Tarikan_Warkah[Nomor Tiket]),"")</f>
        <v>K/28/131124/2</v>
      </c>
      <c r="E759" s="20" t="str">
        <f t="array" ref="E759">IFNA(_xlfn.XLOOKUP(D759,Table_Tarikan_Warkah[Nomor Tiket],Table_Tarikan_Warkah[Tanggal diserahkan kepada Validator]),"")</f>
        <v/>
      </c>
      <c r="F759" s="20" t="str">
        <f t="array" ref="F759">IFNA(_xlfn.XLOOKUP(D759,Table_Tarikan_Warkah[Nomor Tiket],Table_Tarikan_Warkah[Nama Petugas Warkah]),"")</f>
        <v>David</v>
      </c>
      <c r="G759" s="21" t="str">
        <f t="array" ref="G759">IFNA(_xlfn.XLOOKUP(D759,Table_Tarikan_Warkah[Nomor Tiket],Table_Tarikan_Warkah[Jenis Permohonan]),"")</f>
        <v>ROYA</v>
      </c>
      <c r="H759" s="22" t="s">
        <v>31</v>
      </c>
      <c r="I759" s="22" t="s">
        <v>32</v>
      </c>
      <c r="J759" s="20">
        <f t="shared" si="29"/>
        <v>45615.6866</v>
      </c>
      <c r="K759" s="27" t="s">
        <v>65</v>
      </c>
      <c r="L759" s="27" t="s">
        <v>32</v>
      </c>
      <c r="M759" s="20">
        <f t="shared" si="30"/>
        <v>45616.63176</v>
      </c>
      <c r="N759" s="8" t="str">
        <f t="shared" si="3"/>
        <v>SELESAI</v>
      </c>
      <c r="O759" s="23">
        <f t="shared" si="22"/>
        <v>45616.63176</v>
      </c>
      <c r="P759" s="24" t="b">
        <v>0</v>
      </c>
      <c r="Q759" s="20" t="str">
        <f t="shared" si="31"/>
        <v/>
      </c>
      <c r="R759" s="24" t="b">
        <v>1</v>
      </c>
      <c r="S759" s="20">
        <f t="shared" si="6"/>
        <v>45617.59287</v>
      </c>
      <c r="T759" s="7"/>
    </row>
    <row r="760" ht="22.5" hidden="1" customHeight="1">
      <c r="B760" s="7">
        <f t="shared" si="7"/>
        <v>754</v>
      </c>
      <c r="C760" s="18" t="s">
        <v>739</v>
      </c>
      <c r="D760" s="19" t="str">
        <f t="array" ref="D760">IFNA(_xlfn.XLOOKUP(C760,Table_Tarikan_Warkah[Nomor Sertipikat],Table_Tarikan_Warkah[Nomor Tiket]),"")</f>
        <v>K/37/131124/1</v>
      </c>
      <c r="E760" s="20" t="str">
        <f t="array" ref="E760">IFNA(_xlfn.XLOOKUP(D760,Table_Tarikan_Warkah[Nomor Tiket],Table_Tarikan_Warkah[Tanggal diserahkan kepada Validator]),"")</f>
        <v/>
      </c>
      <c r="F760" s="20" t="str">
        <f t="array" ref="F760">IFNA(_xlfn.XLOOKUP(D760,Table_Tarikan_Warkah[Nomor Tiket],Table_Tarikan_Warkah[Nama Petugas Warkah]),"")</f>
        <v>David</v>
      </c>
      <c r="G760" s="21" t="str">
        <f t="array" ref="G760">IFNA(_xlfn.XLOOKUP(D760,Table_Tarikan_Warkah[Nomor Tiket],Table_Tarikan_Warkah[Jenis Permohonan]),"")</f>
        <v>BN JUAL BELI</v>
      </c>
      <c r="H760" s="22" t="s">
        <v>31</v>
      </c>
      <c r="I760" s="22" t="s">
        <v>32</v>
      </c>
      <c r="J760" s="20">
        <f t="shared" si="29"/>
        <v>45615.6866</v>
      </c>
      <c r="K760" s="27" t="s">
        <v>65</v>
      </c>
      <c r="L760" s="27" t="s">
        <v>32</v>
      </c>
      <c r="M760" s="20">
        <f t="shared" si="30"/>
        <v>45616.63176</v>
      </c>
      <c r="N760" s="8" t="str">
        <f t="shared" si="3"/>
        <v>SELESAI</v>
      </c>
      <c r="O760" s="23">
        <f t="shared" si="22"/>
        <v>45616.63176</v>
      </c>
      <c r="P760" s="24" t="b">
        <v>0</v>
      </c>
      <c r="Q760" s="20" t="str">
        <f t="shared" si="31"/>
        <v/>
      </c>
      <c r="R760" s="24" t="b">
        <v>1</v>
      </c>
      <c r="S760" s="20">
        <f t="shared" si="6"/>
        <v>45617.59288</v>
      </c>
      <c r="T760" s="7"/>
    </row>
    <row r="761" ht="22.5" hidden="1" customHeight="1">
      <c r="B761" s="7">
        <f t="shared" si="7"/>
        <v>755</v>
      </c>
      <c r="C761" s="18" t="s">
        <v>740</v>
      </c>
      <c r="D761" s="19" t="str">
        <f t="array" ref="D761">IFNA(_xlfn.XLOOKUP(C761,Table_Tarikan_Warkah[Nomor Sertipikat],Table_Tarikan_Warkah[Nomor Tiket]),"")</f>
        <v>K/7/121124/1</v>
      </c>
      <c r="E761" s="20" t="str">
        <f t="array" ref="E761">IFNA(_xlfn.XLOOKUP(D761,Table_Tarikan_Warkah[Nomor Tiket],Table_Tarikan_Warkah[Tanggal diserahkan kepada Validator]),"")</f>
        <v/>
      </c>
      <c r="F761" s="20" t="str">
        <f t="array" ref="F761">IFNA(_xlfn.XLOOKUP(D761,Table_Tarikan_Warkah[Nomor Tiket],Table_Tarikan_Warkah[Nama Petugas Warkah]),"")</f>
        <v>David</v>
      </c>
      <c r="G761" s="21" t="str">
        <f t="array" ref="G761">IFNA(_xlfn.XLOOKUP(D761,Table_Tarikan_Warkah[Nomor Tiket],Table_Tarikan_Warkah[Jenis Permohonan]),"")</f>
        <v>BN Waris</v>
      </c>
      <c r="H761" s="22" t="s">
        <v>31</v>
      </c>
      <c r="I761" s="22" t="s">
        <v>32</v>
      </c>
      <c r="J761" s="20">
        <f t="shared" si="29"/>
        <v>45615.6866</v>
      </c>
      <c r="K761" s="27" t="s">
        <v>65</v>
      </c>
      <c r="L761" s="27" t="s">
        <v>32</v>
      </c>
      <c r="M761" s="20">
        <f t="shared" si="30"/>
        <v>45616.63176</v>
      </c>
      <c r="N761" s="8" t="str">
        <f t="shared" si="3"/>
        <v>SELESAI</v>
      </c>
      <c r="O761" s="23">
        <f t="shared" si="22"/>
        <v>45616.63176</v>
      </c>
      <c r="P761" s="24" t="b">
        <v>1</v>
      </c>
      <c r="Q761" s="20">
        <f t="shared" si="31"/>
        <v>45643.62753</v>
      </c>
      <c r="R761" s="24" t="b">
        <v>1</v>
      </c>
      <c r="S761" s="20">
        <f t="shared" si="6"/>
        <v>45617.59289</v>
      </c>
      <c r="T761" s="7"/>
    </row>
    <row r="762" ht="22.5" hidden="1" customHeight="1">
      <c r="B762" s="7">
        <f t="shared" si="7"/>
        <v>756</v>
      </c>
      <c r="C762" s="18" t="s">
        <v>741</v>
      </c>
      <c r="D762" s="19" t="str">
        <f t="array" ref="D762">IFNA(_xlfn.XLOOKUP(C762,Table_Tarikan_Warkah[Nomor Sertipikat],Table_Tarikan_Warkah[Nomor Tiket]),"")</f>
        <v>K/5/041124/1</v>
      </c>
      <c r="E762" s="20" t="str">
        <f t="array" ref="E762">IFNA(_xlfn.XLOOKUP(D762,Table_Tarikan_Warkah[Nomor Tiket],Table_Tarikan_Warkah[Tanggal diserahkan kepada Validator]),"")</f>
        <v/>
      </c>
      <c r="F762" s="20" t="str">
        <f t="array" ref="F762">IFNA(_xlfn.XLOOKUP(D762,Table_Tarikan_Warkah[Nomor Tiket],Table_Tarikan_Warkah[Nama Petugas Warkah]),"")</f>
        <v>Berry</v>
      </c>
      <c r="G762" s="21" t="str">
        <f t="array" ref="G762">IFNA(_xlfn.XLOOKUP(D762,Table_Tarikan_Warkah[Nomor Tiket],Table_Tarikan_Warkah[Jenis Permohonan]),"")</f>
        <v>BN Waris</v>
      </c>
      <c r="H762" s="22" t="s">
        <v>31</v>
      </c>
      <c r="I762" s="22" t="s">
        <v>187</v>
      </c>
      <c r="J762" s="20">
        <f t="shared" si="29"/>
        <v>45615.68642</v>
      </c>
      <c r="K762" s="27" t="s">
        <v>33</v>
      </c>
      <c r="L762" s="27" t="s">
        <v>187</v>
      </c>
      <c r="M762" s="20">
        <f t="shared" si="30"/>
        <v>45616.37891</v>
      </c>
      <c r="N762" s="8" t="str">
        <f t="shared" si="3"/>
        <v>Selesai</v>
      </c>
      <c r="O762" s="23">
        <f t="shared" si="22"/>
        <v>45616.37891</v>
      </c>
      <c r="P762" s="24" t="b">
        <v>1</v>
      </c>
      <c r="Q762" s="20">
        <f t="shared" si="31"/>
        <v>45617.59292</v>
      </c>
      <c r="R762" s="24" t="b">
        <v>0</v>
      </c>
      <c r="S762" s="7" t="str">
        <f t="shared" si="6"/>
        <v/>
      </c>
      <c r="T762" s="7"/>
    </row>
    <row r="763" ht="22.5" hidden="1" customHeight="1">
      <c r="B763" s="7">
        <f t="shared" si="7"/>
        <v>757</v>
      </c>
      <c r="C763" s="18" t="s">
        <v>742</v>
      </c>
      <c r="D763" s="19" t="str">
        <f t="array" ref="D763">IFNA(_xlfn.XLOOKUP(C763,Table_Tarikan_Warkah[Nomor Sertipikat],Table_Tarikan_Warkah[Nomor Tiket]),"")</f>
        <v>K/36/221024/1</v>
      </c>
      <c r="E763" s="20" t="str">
        <f t="array" ref="E763">IFNA(_xlfn.XLOOKUP(D763,Table_Tarikan_Warkah[Nomor Tiket],Table_Tarikan_Warkah[Tanggal diserahkan kepada Validator]),"")</f>
        <v/>
      </c>
      <c r="F763" s="20" t="str">
        <f t="array" ref="F763">IFNA(_xlfn.XLOOKUP(D763,Table_Tarikan_Warkah[Nomor Tiket],Table_Tarikan_Warkah[Nama Petugas Warkah]),"")</f>
        <v/>
      </c>
      <c r="G763" s="21" t="str">
        <f t="array" ref="G763">IFNA(_xlfn.XLOOKUP(D763,Table_Tarikan_Warkah[Nomor Tiket],Table_Tarikan_Warkah[Jenis Permohonan]),"")</f>
        <v>BN Jual Beli</v>
      </c>
      <c r="H763" s="22" t="s">
        <v>31</v>
      </c>
      <c r="I763" s="22" t="s">
        <v>187</v>
      </c>
      <c r="J763" s="20">
        <f t="shared" si="29"/>
        <v>45615.68647</v>
      </c>
      <c r="K763" s="27" t="s">
        <v>33</v>
      </c>
      <c r="L763" s="27" t="s">
        <v>187</v>
      </c>
      <c r="M763" s="20">
        <f t="shared" si="30"/>
        <v>45616.37901</v>
      </c>
      <c r="N763" s="8" t="str">
        <f t="shared" si="3"/>
        <v>Selesai</v>
      </c>
      <c r="O763" s="23">
        <f t="shared" si="22"/>
        <v>45616.37901</v>
      </c>
      <c r="P763" s="24" t="b">
        <v>1</v>
      </c>
      <c r="Q763" s="20">
        <f t="shared" si="31"/>
        <v>45617.59292</v>
      </c>
      <c r="R763" s="24" t="b">
        <v>0</v>
      </c>
      <c r="S763" s="7" t="str">
        <f t="shared" si="6"/>
        <v/>
      </c>
      <c r="T763" s="7"/>
    </row>
    <row r="764" ht="22.5" hidden="1" customHeight="1">
      <c r="B764" s="7">
        <f t="shared" si="7"/>
        <v>758</v>
      </c>
      <c r="C764" s="18" t="s">
        <v>674</v>
      </c>
      <c r="D764" s="19" t="str">
        <f t="array" ref="D764">IFNA(_xlfn.XLOOKUP(C764,Table_Tarikan_Warkah[Nomor Sertipikat],Table_Tarikan_Warkah[Nomor Tiket]),"")</f>
        <v>K/54/151124/1</v>
      </c>
      <c r="E764" s="20">
        <f t="array" ref="E764">IFNA(_xlfn.XLOOKUP(D764,Table_Tarikan_Warkah[Nomor Tiket],Table_Tarikan_Warkah[Tanggal diserahkan kepada Validator]),"")</f>
        <v>45614.40938</v>
      </c>
      <c r="F764" s="20" t="str">
        <f t="array" ref="F764">IFNA(_xlfn.XLOOKUP(D764,Table_Tarikan_Warkah[Nomor Tiket],Table_Tarikan_Warkah[Nama Petugas Warkah]),"")</f>
        <v>Bayu</v>
      </c>
      <c r="G764" s="21" t="str">
        <f t="array" ref="G764">IFNA(_xlfn.XLOOKUP(D764,Table_Tarikan_Warkah[Nomor Tiket],Table_Tarikan_Warkah[Jenis Permohonan]),"")</f>
        <v>BN Jual Beli</v>
      </c>
      <c r="H764" s="22" t="s">
        <v>31</v>
      </c>
      <c r="I764" s="22" t="s">
        <v>187</v>
      </c>
      <c r="J764" s="20">
        <f t="shared" si="29"/>
        <v>45615.68647</v>
      </c>
      <c r="K764" s="27" t="s">
        <v>33</v>
      </c>
      <c r="L764" s="27" t="s">
        <v>187</v>
      </c>
      <c r="M764" s="20">
        <f t="shared" si="30"/>
        <v>45616.37912</v>
      </c>
      <c r="N764" s="8" t="str">
        <f t="shared" si="3"/>
        <v>Selesai</v>
      </c>
      <c r="O764" s="23">
        <f t="shared" si="22"/>
        <v>45616.37912</v>
      </c>
      <c r="P764" s="24" t="b">
        <v>1</v>
      </c>
      <c r="Q764" s="20">
        <f t="shared" si="31"/>
        <v>45617.59293</v>
      </c>
      <c r="R764" s="24" t="b">
        <v>0</v>
      </c>
      <c r="S764" s="7" t="str">
        <f t="shared" si="6"/>
        <v/>
      </c>
      <c r="T764" s="7"/>
    </row>
    <row r="765" ht="22.5" hidden="1" customHeight="1">
      <c r="B765" s="7">
        <f t="shared" si="7"/>
        <v>759</v>
      </c>
      <c r="C765" s="18" t="s">
        <v>743</v>
      </c>
      <c r="D765" s="19" t="str">
        <f t="array" ref="D765">IFNA(_xlfn.XLOOKUP(C765,Table_Tarikan_Warkah[Nomor Sertipikat],Table_Tarikan_Warkah[Nomor Tiket]),"")</f>
        <v>K/36/171024/2</v>
      </c>
      <c r="E765" s="20" t="str">
        <f t="array" ref="E765">IFNA(_xlfn.XLOOKUP(D765,Table_Tarikan_Warkah[Nomor Tiket],Table_Tarikan_Warkah[Tanggal diserahkan kepada Validator]),"")</f>
        <v/>
      </c>
      <c r="F765" s="20" t="str">
        <f t="array" ref="F765">IFNA(_xlfn.XLOOKUP(D765,Table_Tarikan_Warkah[Nomor Tiket],Table_Tarikan_Warkah[Nama Petugas Warkah]),"")</f>
        <v/>
      </c>
      <c r="G765" s="21" t="str">
        <f t="array" ref="G765">IFNA(_xlfn.XLOOKUP(D765,Table_Tarikan_Warkah[Nomor Tiket],Table_Tarikan_Warkah[Jenis Permohonan]),"")</f>
        <v>GANDES</v>
      </c>
      <c r="H765" s="22" t="s">
        <v>31</v>
      </c>
      <c r="I765" s="22" t="s">
        <v>187</v>
      </c>
      <c r="J765" s="20">
        <f t="shared" si="29"/>
        <v>45615.68647</v>
      </c>
      <c r="K765" s="27" t="s">
        <v>33</v>
      </c>
      <c r="L765" s="27" t="s">
        <v>187</v>
      </c>
      <c r="M765" s="20">
        <f t="shared" si="30"/>
        <v>45616.37912</v>
      </c>
      <c r="N765" s="8" t="str">
        <f t="shared" si="3"/>
        <v>Selesai</v>
      </c>
      <c r="O765" s="23">
        <f t="shared" si="22"/>
        <v>45616.37912</v>
      </c>
      <c r="P765" s="24" t="b">
        <v>1</v>
      </c>
      <c r="Q765" s="20">
        <f t="shared" si="31"/>
        <v>45617.59294</v>
      </c>
      <c r="R765" s="24" t="b">
        <v>0</v>
      </c>
      <c r="S765" s="7" t="str">
        <f t="shared" si="6"/>
        <v/>
      </c>
      <c r="T765" s="7"/>
    </row>
    <row r="766" ht="22.5" hidden="1" customHeight="1">
      <c r="B766" s="7">
        <f t="shared" si="7"/>
        <v>760</v>
      </c>
      <c r="C766" s="18" t="s">
        <v>737</v>
      </c>
      <c r="D766" s="19" t="str">
        <f t="array" ref="D766">IFNA(_xlfn.XLOOKUP(C766,Table_Tarikan_Warkah[Nomor Sertipikat],Table_Tarikan_Warkah[Nomor Tiket]),"")</f>
        <v>K/33/151124/2</v>
      </c>
      <c r="E766" s="20">
        <f t="array" ref="E766">IFNA(_xlfn.XLOOKUP(D766,Table_Tarikan_Warkah[Nomor Tiket],Table_Tarikan_Warkah[Tanggal diserahkan kepada Validator]),"")</f>
        <v>45615.4487</v>
      </c>
      <c r="F766" s="20" t="str">
        <f t="array" ref="F766">IFNA(_xlfn.XLOOKUP(D766,Table_Tarikan_Warkah[Nomor Tiket],Table_Tarikan_Warkah[Nama Petugas Warkah]),"")</f>
        <v>Berry</v>
      </c>
      <c r="G766" s="21" t="str">
        <f t="array" ref="G766">IFNA(_xlfn.XLOOKUP(D766,Table_Tarikan_Warkah[Nomor Tiket],Table_Tarikan_Warkah[Jenis Permohonan]),"")</f>
        <v>BN Jual Beli</v>
      </c>
      <c r="H766" s="22" t="s">
        <v>31</v>
      </c>
      <c r="I766" s="22" t="s">
        <v>187</v>
      </c>
      <c r="J766" s="20">
        <f t="shared" si="29"/>
        <v>45615.68647</v>
      </c>
      <c r="K766" s="27" t="s">
        <v>33</v>
      </c>
      <c r="L766" s="27" t="s">
        <v>187</v>
      </c>
      <c r="M766" s="20">
        <f t="shared" si="30"/>
        <v>45616.63211</v>
      </c>
      <c r="N766" s="8" t="str">
        <f t="shared" si="3"/>
        <v>Selesai</v>
      </c>
      <c r="O766" s="23">
        <f t="shared" si="22"/>
        <v>45616.63211</v>
      </c>
      <c r="P766" s="24" t="b">
        <v>1</v>
      </c>
      <c r="Q766" s="20">
        <f t="shared" si="31"/>
        <v>45617.59295</v>
      </c>
      <c r="R766" s="24" t="b">
        <v>0</v>
      </c>
      <c r="S766" s="7" t="str">
        <f t="shared" si="6"/>
        <v/>
      </c>
      <c r="T766" s="7"/>
    </row>
    <row r="767" ht="22.5" hidden="1" customHeight="1">
      <c r="B767" s="7">
        <f t="shared" si="7"/>
        <v>761</v>
      </c>
      <c r="C767" s="18" t="s">
        <v>744</v>
      </c>
      <c r="D767" s="19" t="str">
        <f t="array" ref="D767">IFNA(_xlfn.XLOOKUP(C767,Table_Tarikan_Warkah[Nomor Sertipikat],Table_Tarikan_Warkah[Nomor Tiket]),"")</f>
        <v>K/19/181124/2</v>
      </c>
      <c r="E767" s="20" t="str">
        <f t="array" ref="E767">IFNA(_xlfn.XLOOKUP(D767,Table_Tarikan_Warkah[Nomor Tiket],Table_Tarikan_Warkah[Tanggal diserahkan kepada Validator]),"")</f>
        <v/>
      </c>
      <c r="F767" s="20" t="str">
        <f t="array" ref="F767">IFNA(_xlfn.XLOOKUP(D767,Table_Tarikan_Warkah[Nomor Tiket],Table_Tarikan_Warkah[Nama Petugas Warkah]),"")</f>
        <v/>
      </c>
      <c r="G767" s="21" t="str">
        <f t="array" ref="G767">IFNA(_xlfn.XLOOKUP(D767,Table_Tarikan_Warkah[Nomor Tiket],Table_Tarikan_Warkah[Jenis Permohonan]),"")</f>
        <v>BN JUAL BELI</v>
      </c>
      <c r="H767" s="22" t="s">
        <v>37</v>
      </c>
      <c r="I767" s="22" t="s">
        <v>32</v>
      </c>
      <c r="J767" s="20">
        <f t="shared" si="29"/>
        <v>45615.71596</v>
      </c>
      <c r="K767" s="27" t="s">
        <v>65</v>
      </c>
      <c r="L767" s="27" t="s">
        <v>32</v>
      </c>
      <c r="M767" s="20">
        <f t="shared" si="30"/>
        <v>45616.63182</v>
      </c>
      <c r="N767" s="8" t="str">
        <f t="shared" si="3"/>
        <v>SELESAI</v>
      </c>
      <c r="O767" s="23">
        <f t="shared" si="22"/>
        <v>45616.63182</v>
      </c>
      <c r="P767" s="24" t="b">
        <v>0</v>
      </c>
      <c r="Q767" s="20" t="str">
        <f t="shared" si="31"/>
        <v/>
      </c>
      <c r="R767" s="24" t="b">
        <v>1</v>
      </c>
      <c r="S767" s="20">
        <f t="shared" si="6"/>
        <v>45617.59298</v>
      </c>
      <c r="T767" s="7"/>
    </row>
    <row r="768" ht="22.5" hidden="1" customHeight="1">
      <c r="B768" s="7">
        <f t="shared" si="7"/>
        <v>762</v>
      </c>
      <c r="C768" s="18" t="s">
        <v>745</v>
      </c>
      <c r="D768" s="19" t="str">
        <f t="array" ref="D768">IFNA(_xlfn.XLOOKUP(C768,Table_Tarikan_Warkah[Nomor Sertipikat],Table_Tarikan_Warkah[Nomor Tiket]),"")</f>
        <v>K/18/181124/1</v>
      </c>
      <c r="E768" s="20">
        <f t="array" ref="E768">IFNA(_xlfn.XLOOKUP(D768,Table_Tarikan_Warkah[Nomor Tiket],Table_Tarikan_Warkah[Tanggal diserahkan kepada Validator]),"")</f>
        <v>45615.46402</v>
      </c>
      <c r="F768" s="20" t="str">
        <f t="array" ref="F768">IFNA(_xlfn.XLOOKUP(D768,Table_Tarikan_Warkah[Nomor Tiket],Table_Tarikan_Warkah[Nama Petugas Warkah]),"")</f>
        <v>David</v>
      </c>
      <c r="G768" s="21" t="str">
        <f t="array" ref="G768">IFNA(_xlfn.XLOOKUP(D768,Table_Tarikan_Warkah[Nomor Tiket],Table_Tarikan_Warkah[Jenis Permohonan]),"")</f>
        <v>BN JUAL BELI</v>
      </c>
      <c r="H768" s="22" t="s">
        <v>37</v>
      </c>
      <c r="I768" s="22" t="s">
        <v>32</v>
      </c>
      <c r="J768" s="20">
        <f t="shared" si="29"/>
        <v>45615.71606</v>
      </c>
      <c r="K768" s="27" t="s">
        <v>65</v>
      </c>
      <c r="L768" s="27" t="s">
        <v>32</v>
      </c>
      <c r="M768" s="20">
        <f t="shared" si="30"/>
        <v>45616.63182</v>
      </c>
      <c r="N768" s="8" t="str">
        <f t="shared" si="3"/>
        <v>SELESAI</v>
      </c>
      <c r="O768" s="23">
        <f t="shared" si="22"/>
        <v>45616.63182</v>
      </c>
      <c r="P768" s="24" t="b">
        <v>0</v>
      </c>
      <c r="Q768" s="20" t="str">
        <f t="shared" si="31"/>
        <v/>
      </c>
      <c r="R768" s="24" t="b">
        <v>1</v>
      </c>
      <c r="S768" s="20">
        <f t="shared" si="6"/>
        <v>45617.59298</v>
      </c>
      <c r="T768" s="7"/>
    </row>
    <row r="769" ht="22.5" hidden="1" customHeight="1">
      <c r="B769" s="7">
        <f t="shared" si="7"/>
        <v>763</v>
      </c>
      <c r="C769" s="18" t="s">
        <v>746</v>
      </c>
      <c r="D769" s="19" t="str">
        <f t="array" ref="D769">IFNA(_xlfn.XLOOKUP(C769,Table_Tarikan_Warkah[Nomor Sertipikat],Table_Tarikan_Warkah[Nomor Tiket]),"")</f>
        <v>K/20/181124/3</v>
      </c>
      <c r="E769" s="20" t="str">
        <f t="array" ref="E769">IFNA(_xlfn.XLOOKUP(D769,Table_Tarikan_Warkah[Nomor Tiket],Table_Tarikan_Warkah[Tanggal diserahkan kepada Validator]),"")</f>
        <v/>
      </c>
      <c r="F769" s="20" t="str">
        <f t="array" ref="F769">IFNA(_xlfn.XLOOKUP(D769,Table_Tarikan_Warkah[Nomor Tiket],Table_Tarikan_Warkah[Nama Petugas Warkah]),"")</f>
        <v/>
      </c>
      <c r="G769" s="21" t="str">
        <f t="array" ref="G769">IFNA(_xlfn.XLOOKUP(D769,Table_Tarikan_Warkah[Nomor Tiket],Table_Tarikan_Warkah[Jenis Permohonan]),"")</f>
        <v>BN JUAL BELI</v>
      </c>
      <c r="H769" s="22" t="s">
        <v>37</v>
      </c>
      <c r="I769" s="22" t="s">
        <v>32</v>
      </c>
      <c r="J769" s="20">
        <f t="shared" si="29"/>
        <v>45615.71617</v>
      </c>
      <c r="K769" s="27" t="s">
        <v>65</v>
      </c>
      <c r="L769" s="27" t="s">
        <v>32</v>
      </c>
      <c r="M769" s="20">
        <f t="shared" si="30"/>
        <v>45616.63182</v>
      </c>
      <c r="N769" s="8" t="str">
        <f t="shared" si="3"/>
        <v>SELESAI</v>
      </c>
      <c r="O769" s="23">
        <f t="shared" si="22"/>
        <v>45616.63182</v>
      </c>
      <c r="P769" s="24" t="b">
        <v>0</v>
      </c>
      <c r="Q769" s="20" t="str">
        <f t="shared" si="31"/>
        <v/>
      </c>
      <c r="R769" s="24" t="b">
        <v>1</v>
      </c>
      <c r="S769" s="20">
        <f t="shared" si="6"/>
        <v>45617.59298</v>
      </c>
      <c r="T769" s="7"/>
    </row>
    <row r="770" ht="22.5" hidden="1" customHeight="1">
      <c r="B770" s="7">
        <f t="shared" si="7"/>
        <v>764</v>
      </c>
      <c r="C770" s="18" t="s">
        <v>747</v>
      </c>
      <c r="D770" s="19" t="str">
        <f t="array" ref="D770">IFNA(_xlfn.XLOOKUP(C770,Table_Tarikan_Warkah[Nomor Sertipikat],Table_Tarikan_Warkah[Nomor Tiket]),"")</f>
        <v>K/13/181124/1</v>
      </c>
      <c r="E770" s="20">
        <f t="array" ref="E770">IFNA(_xlfn.XLOOKUP(D770,Table_Tarikan_Warkah[Nomor Tiket],Table_Tarikan_Warkah[Tanggal diserahkan kepada Validator]),"")</f>
        <v>45615.46277</v>
      </c>
      <c r="F770" s="20" t="str">
        <f t="array" ref="F770">IFNA(_xlfn.XLOOKUP(D770,Table_Tarikan_Warkah[Nomor Tiket],Table_Tarikan_Warkah[Nama Petugas Warkah]),"")</f>
        <v>David</v>
      </c>
      <c r="G770" s="21" t="str">
        <f t="array" ref="G770">IFNA(_xlfn.XLOOKUP(D770,Table_Tarikan_Warkah[Nomor Tiket],Table_Tarikan_Warkah[Jenis Permohonan]),"")</f>
        <v>BN Jual Beli</v>
      </c>
      <c r="H770" s="22" t="s">
        <v>37</v>
      </c>
      <c r="I770" s="22" t="s">
        <v>32</v>
      </c>
      <c r="J770" s="20">
        <f t="shared" si="29"/>
        <v>45615.71628</v>
      </c>
      <c r="K770" s="27" t="s">
        <v>65</v>
      </c>
      <c r="L770" s="27" t="s">
        <v>32</v>
      </c>
      <c r="M770" s="20">
        <f t="shared" si="30"/>
        <v>45616.63182</v>
      </c>
      <c r="N770" s="8" t="str">
        <f t="shared" si="3"/>
        <v>SELESAI</v>
      </c>
      <c r="O770" s="23">
        <f t="shared" si="22"/>
        <v>45616.63182</v>
      </c>
      <c r="P770" s="24" t="b">
        <v>0</v>
      </c>
      <c r="Q770" s="20" t="str">
        <f t="shared" si="31"/>
        <v/>
      </c>
      <c r="R770" s="24" t="b">
        <v>1</v>
      </c>
      <c r="S770" s="20">
        <f t="shared" si="6"/>
        <v>45617.59298</v>
      </c>
      <c r="T770" s="7"/>
    </row>
    <row r="771" ht="22.5" hidden="1" customHeight="1">
      <c r="B771" s="7">
        <f t="shared" si="7"/>
        <v>765</v>
      </c>
      <c r="C771" s="18" t="s">
        <v>748</v>
      </c>
      <c r="D771" s="19" t="str">
        <f t="array" ref="D771">IFNA(_xlfn.XLOOKUP(C771,Table_Tarikan_Warkah[Nomor Sertipikat],Table_Tarikan_Warkah[Nomor Tiket]),"")</f>
        <v>L/8/181124/1</v>
      </c>
      <c r="E771" s="20">
        <f t="array" ref="E771">IFNA(_xlfn.XLOOKUP(D771,Table_Tarikan_Warkah[Nomor Tiket],Table_Tarikan_Warkah[Tanggal diserahkan kepada Validator]),"")</f>
        <v>45615.46128</v>
      </c>
      <c r="F771" s="20" t="str">
        <f t="array" ref="F771">IFNA(_xlfn.XLOOKUP(D771,Table_Tarikan_Warkah[Nomor Tiket],Table_Tarikan_Warkah[Nama Petugas Warkah]),"")</f>
        <v>David</v>
      </c>
      <c r="G771" s="21" t="str">
        <f t="array" ref="G771">IFNA(_xlfn.XLOOKUP(D771,Table_Tarikan_Warkah[Nomor Tiket],Table_Tarikan_Warkah[Jenis Permohonan]),"")</f>
        <v>TONY</v>
      </c>
      <c r="H771" s="22" t="s">
        <v>37</v>
      </c>
      <c r="I771" s="22" t="s">
        <v>32</v>
      </c>
      <c r="J771" s="20">
        <f t="shared" si="29"/>
        <v>45615.71638</v>
      </c>
      <c r="K771" s="27" t="s">
        <v>65</v>
      </c>
      <c r="L771" s="27" t="s">
        <v>32</v>
      </c>
      <c r="M771" s="20">
        <f t="shared" si="30"/>
        <v>45616.63185</v>
      </c>
      <c r="N771" s="8" t="str">
        <f t="shared" si="3"/>
        <v>SELESAI</v>
      </c>
      <c r="O771" s="23">
        <f t="shared" si="22"/>
        <v>45616.63185</v>
      </c>
      <c r="P771" s="24" t="b">
        <v>0</v>
      </c>
      <c r="Q771" s="20" t="str">
        <f t="shared" si="31"/>
        <v/>
      </c>
      <c r="R771" s="24" t="b">
        <v>1</v>
      </c>
      <c r="S771" s="20">
        <f t="shared" si="6"/>
        <v>45617.59298</v>
      </c>
      <c r="T771" s="7"/>
    </row>
    <row r="772" ht="22.5" hidden="1" customHeight="1">
      <c r="B772" s="7">
        <f t="shared" si="7"/>
        <v>766</v>
      </c>
      <c r="C772" s="18" t="s">
        <v>749</v>
      </c>
      <c r="D772" s="19" t="str">
        <f t="array" ref="D772">IFNA(_xlfn.XLOOKUP(C772,Table_Tarikan_Warkah[Nomor Sertipikat],Table_Tarikan_Warkah[Nomor Tiket]),"")</f>
        <v>K/4/181124/2</v>
      </c>
      <c r="E772" s="20" t="str">
        <f t="array" ref="E772">IFNA(_xlfn.XLOOKUP(D772,Table_Tarikan_Warkah[Nomor Tiket],Table_Tarikan_Warkah[Tanggal diserahkan kepada Validator]),"")</f>
        <v/>
      </c>
      <c r="F772" s="20" t="str">
        <f t="array" ref="F772">IFNA(_xlfn.XLOOKUP(D772,Table_Tarikan_Warkah[Nomor Tiket],Table_Tarikan_Warkah[Nama Petugas Warkah]),"")</f>
        <v/>
      </c>
      <c r="G772" s="21" t="str">
        <f t="array" ref="G772">IFNA(_xlfn.XLOOKUP(D772,Table_Tarikan_Warkah[Nomor Tiket],Table_Tarikan_Warkah[Jenis Permohonan]),"")</f>
        <v>BN WARIS</v>
      </c>
      <c r="H772" s="22" t="s">
        <v>37</v>
      </c>
      <c r="I772" s="22" t="s">
        <v>32</v>
      </c>
      <c r="J772" s="20">
        <f t="shared" si="29"/>
        <v>45615.71648</v>
      </c>
      <c r="K772" s="27" t="s">
        <v>65</v>
      </c>
      <c r="L772" s="27" t="s">
        <v>32</v>
      </c>
      <c r="M772" s="20">
        <f t="shared" si="30"/>
        <v>45616.63185</v>
      </c>
      <c r="N772" s="8" t="str">
        <f t="shared" si="3"/>
        <v>SELESAI</v>
      </c>
      <c r="O772" s="23">
        <f t="shared" si="22"/>
        <v>45616.63185</v>
      </c>
      <c r="P772" s="24" t="b">
        <v>0</v>
      </c>
      <c r="Q772" s="20" t="str">
        <f t="shared" si="31"/>
        <v/>
      </c>
      <c r="R772" s="24" t="b">
        <v>1</v>
      </c>
      <c r="S772" s="20">
        <f t="shared" si="6"/>
        <v>45617.59298</v>
      </c>
      <c r="T772" s="7"/>
    </row>
    <row r="773" ht="22.5" hidden="1" customHeight="1">
      <c r="B773" s="7">
        <f t="shared" si="7"/>
        <v>767</v>
      </c>
      <c r="C773" s="18" t="s">
        <v>750</v>
      </c>
      <c r="D773" s="7" t="s">
        <v>751</v>
      </c>
      <c r="E773" s="20">
        <f t="array" ref="E773">IFNA(_xlfn.XLOOKUP(D773,Table_Tarikan_Warkah[Nomor Tiket],Table_Tarikan_Warkah[Tanggal diserahkan kepada Validator]),"")</f>
        <v>45615.45938</v>
      </c>
      <c r="F773" s="20" t="str">
        <f t="array" ref="F773">IFNA(_xlfn.XLOOKUP(D773,Table_Tarikan_Warkah[Nomor Tiket],Table_Tarikan_Warkah[Nama Petugas Warkah]),"")</f>
        <v>Berry</v>
      </c>
      <c r="G773" s="21" t="str">
        <f t="array" ref="G773">IFNA(_xlfn.XLOOKUP(D773,Table_Tarikan_Warkah[Nomor Tiket],Table_Tarikan_Warkah[Jenis Permohonan]),"")</f>
        <v>KEWARISAN</v>
      </c>
      <c r="H773" s="22" t="s">
        <v>37</v>
      </c>
      <c r="I773" s="22" t="s">
        <v>32</v>
      </c>
      <c r="J773" s="20">
        <f t="shared" si="29"/>
        <v>45615.7166</v>
      </c>
      <c r="K773" s="27" t="s">
        <v>65</v>
      </c>
      <c r="L773" s="27" t="s">
        <v>32</v>
      </c>
      <c r="M773" s="20">
        <f t="shared" si="30"/>
        <v>45616.63185</v>
      </c>
      <c r="N773" s="8" t="str">
        <f t="shared" si="3"/>
        <v>SELESAI</v>
      </c>
      <c r="O773" s="23">
        <f t="shared" si="22"/>
        <v>45616.63185</v>
      </c>
      <c r="P773" s="24" t="b">
        <v>1</v>
      </c>
      <c r="Q773" s="20">
        <f t="shared" si="31"/>
        <v>45624.70305</v>
      </c>
      <c r="R773" s="24" t="b">
        <v>1</v>
      </c>
      <c r="S773" s="20">
        <f t="shared" si="6"/>
        <v>45617.59298</v>
      </c>
      <c r="T773" s="7"/>
    </row>
    <row r="774" ht="22.5" hidden="1" customHeight="1">
      <c r="B774" s="7">
        <f t="shared" si="7"/>
        <v>768</v>
      </c>
      <c r="C774" s="18" t="s">
        <v>752</v>
      </c>
      <c r="D774" s="19" t="str">
        <f t="array" ref="D774">IFNA(_xlfn.XLOOKUP(C774,Table_Tarikan_Warkah[Nomor Sertipikat],Table_Tarikan_Warkah[Nomor Tiket]),"")</f>
        <v>K/2/181124/2</v>
      </c>
      <c r="E774" s="20">
        <f t="array" ref="E774">IFNA(_xlfn.XLOOKUP(D774,Table_Tarikan_Warkah[Nomor Tiket],Table_Tarikan_Warkah[Tanggal diserahkan kepada Validator]),"")</f>
        <v>45615.45701</v>
      </c>
      <c r="F774" s="20" t="str">
        <f t="array" ref="F774">IFNA(_xlfn.XLOOKUP(D774,Table_Tarikan_Warkah[Nomor Tiket],Table_Tarikan_Warkah[Nama Petugas Warkah]),"")</f>
        <v>Berry</v>
      </c>
      <c r="G774" s="21" t="str">
        <f t="array" ref="G774">IFNA(_xlfn.XLOOKUP(D774,Table_Tarikan_Warkah[Nomor Tiket],Table_Tarikan_Warkah[Jenis Permohonan]),"")</f>
        <v>ROYA</v>
      </c>
      <c r="H774" s="22" t="s">
        <v>37</v>
      </c>
      <c r="I774" s="22" t="s">
        <v>32</v>
      </c>
      <c r="J774" s="20">
        <f t="shared" si="29"/>
        <v>45615.71672</v>
      </c>
      <c r="K774" s="27" t="s">
        <v>65</v>
      </c>
      <c r="L774" s="27" t="s">
        <v>32</v>
      </c>
      <c r="M774" s="20">
        <f t="shared" si="30"/>
        <v>45616.63185</v>
      </c>
      <c r="N774" s="8" t="str">
        <f t="shared" si="3"/>
        <v>SELESAI</v>
      </c>
      <c r="O774" s="23">
        <f t="shared" si="22"/>
        <v>45616.63185</v>
      </c>
      <c r="P774" s="24" t="b">
        <v>0</v>
      </c>
      <c r="Q774" s="20" t="str">
        <f t="shared" si="31"/>
        <v/>
      </c>
      <c r="R774" s="24" t="b">
        <v>1</v>
      </c>
      <c r="S774" s="20">
        <f t="shared" si="6"/>
        <v>45617.59302</v>
      </c>
      <c r="T774" s="7"/>
    </row>
    <row r="775" ht="22.5" hidden="1" customHeight="1">
      <c r="B775" s="7">
        <f t="shared" si="7"/>
        <v>769</v>
      </c>
      <c r="C775" s="18" t="s">
        <v>753</v>
      </c>
      <c r="D775" s="19" t="str">
        <f t="array" ref="D775">IFNA(_xlfn.XLOOKUP(C775,Table_Tarikan_Warkah[Nomor Sertipikat],Table_Tarikan_Warkah[Nomor Tiket]),"")</f>
        <v>L/2/161124/1</v>
      </c>
      <c r="E775" s="20">
        <f t="array" ref="E775">IFNA(_xlfn.XLOOKUP(D775,Table_Tarikan_Warkah[Nomor Tiket],Table_Tarikan_Warkah[Tanggal diserahkan kepada Validator]),"")</f>
        <v>45615.45535</v>
      </c>
      <c r="F775" s="20" t="str">
        <f t="array" ref="F775">IFNA(_xlfn.XLOOKUP(D775,Table_Tarikan_Warkah[Nomor Tiket],Table_Tarikan_Warkah[Nama Petugas Warkah]),"")</f>
        <v>Berry</v>
      </c>
      <c r="G775" s="21" t="str">
        <f t="array" ref="G775">IFNA(_xlfn.XLOOKUP(D775,Table_Tarikan_Warkah[Nomor Tiket],Table_Tarikan_Warkah[Jenis Permohonan]),"")</f>
        <v>PEMECAHAN</v>
      </c>
      <c r="H775" s="22" t="s">
        <v>37</v>
      </c>
      <c r="I775" s="22" t="s">
        <v>32</v>
      </c>
      <c r="J775" s="20">
        <f t="shared" si="29"/>
        <v>45615.7168</v>
      </c>
      <c r="K775" s="27" t="s">
        <v>65</v>
      </c>
      <c r="L775" s="27" t="s">
        <v>32</v>
      </c>
      <c r="M775" s="20">
        <f t="shared" si="30"/>
        <v>45616.63188</v>
      </c>
      <c r="N775" s="8" t="str">
        <f t="shared" si="3"/>
        <v>SELESAI</v>
      </c>
      <c r="O775" s="23">
        <f t="shared" si="22"/>
        <v>45616.63188</v>
      </c>
      <c r="P775" s="24" t="b">
        <v>0</v>
      </c>
      <c r="Q775" s="20" t="str">
        <f t="shared" si="31"/>
        <v/>
      </c>
      <c r="R775" s="24" t="b">
        <v>1</v>
      </c>
      <c r="S775" s="20">
        <f t="shared" si="6"/>
        <v>45617.59302</v>
      </c>
      <c r="T775" s="7"/>
    </row>
    <row r="776" ht="22.5" hidden="1" customHeight="1">
      <c r="B776" s="7">
        <f t="shared" si="7"/>
        <v>770</v>
      </c>
      <c r="C776" s="18" t="s">
        <v>754</v>
      </c>
      <c r="D776" s="19" t="str">
        <f t="array" ref="D776">IFNA(_xlfn.XLOOKUP(C776,Table_Tarikan_Warkah[Nomor Sertipikat],Table_Tarikan_Warkah[Nomor Tiket]),"")</f>
        <v>K/48/151124/1</v>
      </c>
      <c r="E776" s="20">
        <f t="array" ref="E776">IFNA(_xlfn.XLOOKUP(D776,Table_Tarikan_Warkah[Nomor Tiket],Table_Tarikan_Warkah[Tanggal diserahkan kepada Validator]),"")</f>
        <v>45615.4539</v>
      </c>
      <c r="F776" s="20" t="str">
        <f t="array" ref="F776">IFNA(_xlfn.XLOOKUP(D776,Table_Tarikan_Warkah[Nomor Tiket],Table_Tarikan_Warkah[Nama Petugas Warkah]),"")</f>
        <v>Berry</v>
      </c>
      <c r="G776" s="21" t="str">
        <f t="array" ref="G776">IFNA(_xlfn.XLOOKUP(D776,Table_Tarikan_Warkah[Nomor Tiket],Table_Tarikan_Warkah[Jenis Permohonan]),"")</f>
        <v>BN Jual Beli</v>
      </c>
      <c r="H776" s="22" t="s">
        <v>37</v>
      </c>
      <c r="I776" s="22" t="s">
        <v>32</v>
      </c>
      <c r="J776" s="20">
        <f t="shared" si="29"/>
        <v>45615.71689</v>
      </c>
      <c r="K776" s="27" t="s">
        <v>65</v>
      </c>
      <c r="L776" s="27" t="s">
        <v>32</v>
      </c>
      <c r="M776" s="20">
        <f t="shared" si="30"/>
        <v>45616.63188</v>
      </c>
      <c r="N776" s="8" t="str">
        <f t="shared" si="3"/>
        <v>SELESAI</v>
      </c>
      <c r="O776" s="23">
        <f t="shared" si="22"/>
        <v>45616.63188</v>
      </c>
      <c r="P776" s="24" t="b">
        <v>0</v>
      </c>
      <c r="Q776" s="20" t="str">
        <f t="shared" si="31"/>
        <v/>
      </c>
      <c r="R776" s="24" t="b">
        <v>1</v>
      </c>
      <c r="S776" s="20">
        <f t="shared" si="6"/>
        <v>45617.59302</v>
      </c>
      <c r="T776" s="7"/>
    </row>
    <row r="777" ht="22.5" hidden="1" customHeight="1">
      <c r="B777" s="7">
        <f t="shared" si="7"/>
        <v>771</v>
      </c>
      <c r="C777" s="18" t="s">
        <v>755</v>
      </c>
      <c r="D777" s="19" t="str">
        <f t="array" ref="D777">IFNA(_xlfn.XLOOKUP(C777,Table_Tarikan_Warkah[Nomor Sertipikat],Table_Tarikan_Warkah[Nomor Tiket]),"")</f>
        <v>K/50/151124/3</v>
      </c>
      <c r="E777" s="20">
        <f t="array" ref="E777">IFNA(_xlfn.XLOOKUP(D777,Table_Tarikan_Warkah[Nomor Tiket],Table_Tarikan_Warkah[Tanggal diserahkan kepada Validator]),"")</f>
        <v>45615.4542</v>
      </c>
      <c r="F777" s="20" t="str">
        <f t="array" ref="F777">IFNA(_xlfn.XLOOKUP(D777,Table_Tarikan_Warkah[Nomor Tiket],Table_Tarikan_Warkah[Nama Petugas Warkah]),"")</f>
        <v>Berry</v>
      </c>
      <c r="G777" s="21" t="str">
        <f t="array" ref="G777">IFNA(_xlfn.XLOOKUP(D777,Table_Tarikan_Warkah[Nomor Tiket],Table_Tarikan_Warkah[Jenis Permohonan]),"")</f>
        <v>BN Jual Beli</v>
      </c>
      <c r="H777" s="22" t="s">
        <v>37</v>
      </c>
      <c r="I777" s="22" t="s">
        <v>32</v>
      </c>
      <c r="J777" s="20">
        <f t="shared" si="29"/>
        <v>45615.71697</v>
      </c>
      <c r="K777" s="27" t="s">
        <v>65</v>
      </c>
      <c r="L777" s="27" t="s">
        <v>32</v>
      </c>
      <c r="M777" s="20">
        <f t="shared" si="30"/>
        <v>45616.63188</v>
      </c>
      <c r="N777" s="8" t="str">
        <f t="shared" si="3"/>
        <v>SELESAI</v>
      </c>
      <c r="O777" s="23">
        <f t="shared" si="22"/>
        <v>45616.63188</v>
      </c>
      <c r="P777" s="24" t="b">
        <v>0</v>
      </c>
      <c r="Q777" s="20" t="str">
        <f t="shared" si="31"/>
        <v/>
      </c>
      <c r="R777" s="24" t="b">
        <v>1</v>
      </c>
      <c r="S777" s="20">
        <f t="shared" si="6"/>
        <v>45617.59302</v>
      </c>
      <c r="T777" s="7"/>
    </row>
    <row r="778" ht="22.5" hidden="1" customHeight="1">
      <c r="B778" s="7">
        <f t="shared" si="7"/>
        <v>772</v>
      </c>
      <c r="C778" s="18" t="s">
        <v>756</v>
      </c>
      <c r="D778" s="19" t="str">
        <f t="array" ref="D778">IFNA(_xlfn.XLOOKUP(C778,Table_Tarikan_Warkah[Nomor Sertipikat],Table_Tarikan_Warkah[Nomor Tiket]),"")</f>
        <v>K/51/151124/4</v>
      </c>
      <c r="E778" s="20">
        <f t="array" ref="E778">IFNA(_xlfn.XLOOKUP(D778,Table_Tarikan_Warkah[Nomor Tiket],Table_Tarikan_Warkah[Tanggal diserahkan kepada Validator]),"")</f>
        <v>45615.45448</v>
      </c>
      <c r="F778" s="20" t="str">
        <f t="array" ref="F778">IFNA(_xlfn.XLOOKUP(D778,Table_Tarikan_Warkah[Nomor Tiket],Table_Tarikan_Warkah[Nama Petugas Warkah]),"")</f>
        <v>Berry</v>
      </c>
      <c r="G778" s="21" t="str">
        <f t="array" ref="G778">IFNA(_xlfn.XLOOKUP(D778,Table_Tarikan_Warkah[Nomor Tiket],Table_Tarikan_Warkah[Jenis Permohonan]),"")</f>
        <v>BN Jual Beli</v>
      </c>
      <c r="H778" s="22" t="s">
        <v>37</v>
      </c>
      <c r="I778" s="22" t="s">
        <v>32</v>
      </c>
      <c r="J778" s="20">
        <f t="shared" si="29"/>
        <v>45615.71709</v>
      </c>
      <c r="K778" s="27" t="s">
        <v>65</v>
      </c>
      <c r="L778" s="27" t="s">
        <v>32</v>
      </c>
      <c r="M778" s="20">
        <f t="shared" si="30"/>
        <v>45616.63188</v>
      </c>
      <c r="N778" s="8" t="str">
        <f t="shared" si="3"/>
        <v>SELESAI</v>
      </c>
      <c r="O778" s="23">
        <f t="shared" si="22"/>
        <v>45616.63188</v>
      </c>
      <c r="P778" s="24" t="b">
        <v>0</v>
      </c>
      <c r="Q778" s="20" t="str">
        <f t="shared" si="31"/>
        <v/>
      </c>
      <c r="R778" s="24" t="b">
        <v>1</v>
      </c>
      <c r="S778" s="20">
        <f t="shared" si="6"/>
        <v>45617.59302</v>
      </c>
      <c r="T778" s="7"/>
    </row>
    <row r="779" ht="22.5" hidden="1" customHeight="1">
      <c r="B779" s="7">
        <f t="shared" si="7"/>
        <v>773</v>
      </c>
      <c r="C779" s="18" t="s">
        <v>757</v>
      </c>
      <c r="D779" s="19" t="str">
        <f t="array" ref="D779">IFNA(_xlfn.XLOOKUP(C779,Table_Tarikan_Warkah[Nomor Sertipikat],Table_Tarikan_Warkah[Nomor Tiket]),"")</f>
        <v>K/52/151124/5</v>
      </c>
      <c r="E779" s="20">
        <f t="array" ref="E779">IFNA(_xlfn.XLOOKUP(D779,Table_Tarikan_Warkah[Nomor Tiket],Table_Tarikan_Warkah[Tanggal diserahkan kepada Validator]),"")</f>
        <v>45615.4545</v>
      </c>
      <c r="F779" s="20" t="str">
        <f t="array" ref="F779">IFNA(_xlfn.XLOOKUP(D779,Table_Tarikan_Warkah[Nomor Tiket],Table_Tarikan_Warkah[Nama Petugas Warkah]),"")</f>
        <v>Berry</v>
      </c>
      <c r="G779" s="21" t="str">
        <f t="array" ref="G779">IFNA(_xlfn.XLOOKUP(D779,Table_Tarikan_Warkah[Nomor Tiket],Table_Tarikan_Warkah[Jenis Permohonan]),"")</f>
        <v>BN Jual Beli</v>
      </c>
      <c r="H779" s="22" t="s">
        <v>37</v>
      </c>
      <c r="I779" s="22" t="s">
        <v>32</v>
      </c>
      <c r="J779" s="20">
        <f t="shared" si="29"/>
        <v>45615.71719</v>
      </c>
      <c r="K779" s="27" t="s">
        <v>65</v>
      </c>
      <c r="L779" s="27" t="s">
        <v>32</v>
      </c>
      <c r="M779" s="20">
        <f t="shared" si="30"/>
        <v>45616.63191</v>
      </c>
      <c r="N779" s="8" t="str">
        <f t="shared" si="3"/>
        <v>SELESAI</v>
      </c>
      <c r="O779" s="23">
        <f t="shared" si="22"/>
        <v>45616.63191</v>
      </c>
      <c r="P779" s="24" t="b">
        <v>0</v>
      </c>
      <c r="Q779" s="20" t="str">
        <f t="shared" si="31"/>
        <v/>
      </c>
      <c r="R779" s="24" t="b">
        <v>1</v>
      </c>
      <c r="S779" s="20">
        <f t="shared" si="6"/>
        <v>45617.59302</v>
      </c>
      <c r="T779" s="7"/>
    </row>
    <row r="780" ht="22.5" hidden="1" customHeight="1">
      <c r="B780" s="7">
        <f t="shared" si="7"/>
        <v>774</v>
      </c>
      <c r="C780" s="18" t="s">
        <v>758</v>
      </c>
      <c r="D780" s="19" t="str">
        <f t="array" ref="D780">IFNA(_xlfn.XLOOKUP(C780,Table_Tarikan_Warkah[Nomor Sertipikat],Table_Tarikan_Warkah[Nomor Tiket]),"")</f>
        <v>K/35/141124/2</v>
      </c>
      <c r="E780" s="20">
        <f t="array" ref="E780">IFNA(_xlfn.XLOOKUP(D780,Table_Tarikan_Warkah[Nomor Tiket],Table_Tarikan_Warkah[Tanggal diserahkan kepada Validator]),"")</f>
        <v>45615.45872</v>
      </c>
      <c r="F780" s="20" t="str">
        <f t="array" ref="F780">IFNA(_xlfn.XLOOKUP(D780,Table_Tarikan_Warkah[Nomor Tiket],Table_Tarikan_Warkah[Nama Petugas Warkah]),"")</f>
        <v>Berry</v>
      </c>
      <c r="G780" s="21" t="str">
        <f t="array" ref="G780">IFNA(_xlfn.XLOOKUP(D780,Table_Tarikan_Warkah[Nomor Tiket],Table_Tarikan_Warkah[Jenis Permohonan]),"")</f>
        <v>BN Jual Beli</v>
      </c>
      <c r="H780" s="22" t="s">
        <v>37</v>
      </c>
      <c r="I780" s="22" t="s">
        <v>32</v>
      </c>
      <c r="J780" s="20">
        <f t="shared" si="29"/>
        <v>45615.71736</v>
      </c>
      <c r="K780" s="27" t="s">
        <v>65</v>
      </c>
      <c r="L780" s="27" t="s">
        <v>32</v>
      </c>
      <c r="M780" s="20">
        <f t="shared" si="30"/>
        <v>45616.63191</v>
      </c>
      <c r="N780" s="8" t="str">
        <f t="shared" si="3"/>
        <v>SELESAI</v>
      </c>
      <c r="O780" s="23">
        <f t="shared" si="22"/>
        <v>45616.63191</v>
      </c>
      <c r="P780" s="24" t="b">
        <v>0</v>
      </c>
      <c r="Q780" s="20" t="str">
        <f t="shared" si="31"/>
        <v/>
      </c>
      <c r="R780" s="24" t="b">
        <v>1</v>
      </c>
      <c r="S780" s="20">
        <f t="shared" si="6"/>
        <v>45617.59302</v>
      </c>
      <c r="T780" s="7"/>
    </row>
    <row r="781" ht="22.5" hidden="1" customHeight="1">
      <c r="B781" s="7">
        <f t="shared" si="7"/>
        <v>775</v>
      </c>
      <c r="C781" s="18" t="s">
        <v>759</v>
      </c>
      <c r="D781" s="19" t="str">
        <f t="array" ref="D781">IFNA(_xlfn.XLOOKUP(C781,Table_Tarikan_Warkah[Nomor Sertipikat],Table_Tarikan_Warkah[Nomor Tiket]),"")</f>
        <v>K/26/191124/1</v>
      </c>
      <c r="E781" s="20" t="str">
        <f t="array" ref="E781">IFNA(_xlfn.XLOOKUP(D781,Table_Tarikan_Warkah[Nomor Tiket],Table_Tarikan_Warkah[Tanggal diserahkan kepada Validator]),"")</f>
        <v/>
      </c>
      <c r="F781" s="20" t="str">
        <f t="array" ref="F781">IFNA(_xlfn.XLOOKUP(D781,Table_Tarikan_Warkah[Nomor Tiket],Table_Tarikan_Warkah[Nama Petugas Warkah]),"")</f>
        <v/>
      </c>
      <c r="G781" s="21" t="str">
        <f t="array" ref="G781">IFNA(_xlfn.XLOOKUP(D781,Table_Tarikan_Warkah[Nomor Tiket],Table_Tarikan_Warkah[Jenis Permohonan]),"")</f>
        <v>KEWARISAN</v>
      </c>
      <c r="H781" s="22" t="s">
        <v>37</v>
      </c>
      <c r="I781" s="22" t="s">
        <v>32</v>
      </c>
      <c r="J781" s="20">
        <f t="shared" si="29"/>
        <v>45615.71747</v>
      </c>
      <c r="K781" s="27" t="s">
        <v>65</v>
      </c>
      <c r="L781" s="27" t="s">
        <v>32</v>
      </c>
      <c r="M781" s="20">
        <f t="shared" si="30"/>
        <v>45616.63191</v>
      </c>
      <c r="N781" s="8" t="str">
        <f t="shared" si="3"/>
        <v>SELESAI</v>
      </c>
      <c r="O781" s="23">
        <f t="shared" si="22"/>
        <v>45616.63191</v>
      </c>
      <c r="P781" s="24" t="b">
        <v>0</v>
      </c>
      <c r="Q781" s="20" t="str">
        <f t="shared" si="31"/>
        <v/>
      </c>
      <c r="R781" s="24" t="b">
        <v>1</v>
      </c>
      <c r="S781" s="20">
        <f t="shared" si="6"/>
        <v>45617.59306</v>
      </c>
      <c r="T781" s="7"/>
    </row>
    <row r="782" ht="22.5" hidden="1" customHeight="1">
      <c r="B782" s="7">
        <f t="shared" si="7"/>
        <v>776</v>
      </c>
      <c r="C782" s="18" t="s">
        <v>760</v>
      </c>
      <c r="D782" s="19" t="str">
        <f t="array" ref="D782">IFNA(_xlfn.XLOOKUP(C782,Table_Tarikan_Warkah[Nomor Sertipikat],Table_Tarikan_Warkah[Nomor Tiket]),"")</f>
        <v>K/10/181124/1</v>
      </c>
      <c r="E782" s="20">
        <f t="array" ref="E782">IFNA(_xlfn.XLOOKUP(D782,Table_Tarikan_Warkah[Nomor Tiket],Table_Tarikan_Warkah[Tanggal diserahkan kepada Validator]),"")</f>
        <v>45615.46156</v>
      </c>
      <c r="F782" s="20" t="str">
        <f t="array" ref="F782">IFNA(_xlfn.XLOOKUP(D782,Table_Tarikan_Warkah[Nomor Tiket],Table_Tarikan_Warkah[Nama Petugas Warkah]),"")</f>
        <v>David</v>
      </c>
      <c r="G782" s="21" t="str">
        <f t="array" ref="G782">IFNA(_xlfn.XLOOKUP(D782,Table_Tarikan_Warkah[Nomor Tiket],Table_Tarikan_Warkah[Jenis Permohonan]),"")</f>
        <v>BN JUAL BELI</v>
      </c>
      <c r="H782" s="22" t="s">
        <v>37</v>
      </c>
      <c r="I782" s="22" t="s">
        <v>32</v>
      </c>
      <c r="J782" s="20">
        <f t="shared" si="29"/>
        <v>45615.71757</v>
      </c>
      <c r="K782" s="27" t="s">
        <v>65</v>
      </c>
      <c r="L782" s="27" t="s">
        <v>32</v>
      </c>
      <c r="M782" s="20">
        <f t="shared" si="30"/>
        <v>45616.63191</v>
      </c>
      <c r="N782" s="8" t="str">
        <f t="shared" si="3"/>
        <v>SELESAI</v>
      </c>
      <c r="O782" s="23">
        <f t="shared" si="22"/>
        <v>45616.63191</v>
      </c>
      <c r="P782" s="24" t="b">
        <v>0</v>
      </c>
      <c r="Q782" s="20" t="str">
        <f t="shared" si="31"/>
        <v/>
      </c>
      <c r="R782" s="24" t="b">
        <v>1</v>
      </c>
      <c r="S782" s="20">
        <f t="shared" si="6"/>
        <v>45617.59307</v>
      </c>
      <c r="T782" s="7"/>
    </row>
    <row r="783" ht="22.5" hidden="1" customHeight="1">
      <c r="B783" s="7">
        <f t="shared" si="7"/>
        <v>777</v>
      </c>
      <c r="C783" s="18" t="s">
        <v>761</v>
      </c>
      <c r="D783" s="19" t="str">
        <f t="array" ref="D783">IFNA(_xlfn.XLOOKUP(C783,Table_Tarikan_Warkah[Nomor Sertipikat],Table_Tarikan_Warkah[Nomor Tiket]),"")</f>
        <v>K/15/181124/1</v>
      </c>
      <c r="E783" s="20" t="str">
        <f t="array" ref="E783">IFNA(_xlfn.XLOOKUP(D783,Table_Tarikan_Warkah[Nomor Tiket],Table_Tarikan_Warkah[Tanggal diserahkan kepada Validator]),"")</f>
        <v/>
      </c>
      <c r="F783" s="20" t="str">
        <f t="array" ref="F783">IFNA(_xlfn.XLOOKUP(D783,Table_Tarikan_Warkah[Nomor Tiket],Table_Tarikan_Warkah[Nama Petugas Warkah]),"")</f>
        <v/>
      </c>
      <c r="G783" s="21" t="str">
        <f t="array" ref="G783">IFNA(_xlfn.XLOOKUP(D783,Table_Tarikan_Warkah[Nomor Tiket],Table_Tarikan_Warkah[Jenis Permohonan]),"")</f>
        <v>BN JUAL BELI</v>
      </c>
      <c r="H783" s="22" t="s">
        <v>37</v>
      </c>
      <c r="I783" s="22" t="s">
        <v>32</v>
      </c>
      <c r="J783" s="20">
        <f t="shared" si="29"/>
        <v>45615.71765</v>
      </c>
      <c r="K783" s="27" t="s">
        <v>65</v>
      </c>
      <c r="L783" s="27" t="s">
        <v>32</v>
      </c>
      <c r="M783" s="20">
        <f t="shared" si="30"/>
        <v>45616.632</v>
      </c>
      <c r="N783" s="8" t="str">
        <f t="shared" si="3"/>
        <v>SELESAI</v>
      </c>
      <c r="O783" s="23">
        <f t="shared" si="22"/>
        <v>45616.632</v>
      </c>
      <c r="P783" s="24" t="b">
        <v>0</v>
      </c>
      <c r="Q783" s="20" t="str">
        <f t="shared" si="31"/>
        <v/>
      </c>
      <c r="R783" s="24" t="b">
        <v>1</v>
      </c>
      <c r="S783" s="20">
        <f t="shared" si="6"/>
        <v>45617.59307</v>
      </c>
      <c r="T783" s="7"/>
    </row>
    <row r="784" ht="22.5" hidden="1" customHeight="1">
      <c r="B784" s="7">
        <f t="shared" si="7"/>
        <v>778</v>
      </c>
      <c r="C784" s="18" t="s">
        <v>762</v>
      </c>
      <c r="D784" s="19" t="str">
        <f t="array" ref="D784">IFNA(_xlfn.XLOOKUP(C784,Table_Tarikan_Warkah[Nomor Sertipikat],Table_Tarikan_Warkah[Nomor Tiket]),"")</f>
        <v>L/1/141024/1</v>
      </c>
      <c r="E784" s="20">
        <f t="array" ref="E784">IFNA(_xlfn.XLOOKUP(D784,Table_Tarikan_Warkah[Nomor Tiket],Table_Tarikan_Warkah[Tanggal diserahkan kepada Validator]),"")</f>
        <v>45616.45838</v>
      </c>
      <c r="F784" s="20" t="str">
        <f t="array" ref="F784">IFNA(_xlfn.XLOOKUP(D784,Table_Tarikan_Warkah[Nomor Tiket],Table_Tarikan_Warkah[Nama Petugas Warkah]),"")</f>
        <v/>
      </c>
      <c r="G784" s="21" t="str">
        <f t="array" ref="G784">IFNA(_xlfn.XLOOKUP(D784,Table_Tarikan_Warkah[Nomor Tiket],Table_Tarikan_Warkah[Jenis Permohonan]),"")</f>
        <v>ROYA</v>
      </c>
      <c r="H784" s="22" t="s">
        <v>37</v>
      </c>
      <c r="I784" s="22" t="s">
        <v>32</v>
      </c>
      <c r="J784" s="20">
        <f t="shared" si="29"/>
        <v>45616.65338</v>
      </c>
      <c r="K784" s="27" t="s">
        <v>65</v>
      </c>
      <c r="L784" s="27" t="s">
        <v>32</v>
      </c>
      <c r="M784" s="20">
        <f t="shared" si="30"/>
        <v>45617.5925</v>
      </c>
      <c r="N784" s="8" t="str">
        <f t="shared" si="3"/>
        <v>SELESAI</v>
      </c>
      <c r="O784" s="23">
        <f t="shared" si="22"/>
        <v>45617.5925</v>
      </c>
      <c r="P784" s="24" t="b">
        <v>0</v>
      </c>
      <c r="Q784" s="20" t="str">
        <f t="shared" si="31"/>
        <v/>
      </c>
      <c r="R784" s="24" t="b">
        <v>1</v>
      </c>
      <c r="S784" s="20">
        <f t="shared" si="6"/>
        <v>45617.59308</v>
      </c>
      <c r="T784" s="7"/>
    </row>
    <row r="785" ht="22.5" hidden="1" customHeight="1">
      <c r="B785" s="7">
        <f t="shared" si="7"/>
        <v>779</v>
      </c>
      <c r="C785" s="18" t="s">
        <v>763</v>
      </c>
      <c r="D785" s="19" t="str">
        <f t="array" ref="D785">IFNA(_xlfn.XLOOKUP(C785,Table_Tarikan_Warkah[Nomor Sertipikat],Table_Tarikan_Warkah[Nomor Tiket]),"")</f>
        <v>K/1/201124/1</v>
      </c>
      <c r="E785" s="20" t="str">
        <f t="array" ref="E785">IFNA(_xlfn.XLOOKUP(D785,Table_Tarikan_Warkah[Nomor Tiket],Table_Tarikan_Warkah[Tanggal diserahkan kepada Validator]),"")</f>
        <v/>
      </c>
      <c r="F785" s="20" t="str">
        <f t="array" ref="F785">IFNA(_xlfn.XLOOKUP(D785,Table_Tarikan_Warkah[Nomor Tiket],Table_Tarikan_Warkah[Nama Petugas Warkah]),"")</f>
        <v/>
      </c>
      <c r="G785" s="21" t="str">
        <f t="array" ref="G785">IFNA(_xlfn.XLOOKUP(D785,Table_Tarikan_Warkah[Nomor Tiket],Table_Tarikan_Warkah[Jenis Permohonan]),"")</f>
        <v>Roya</v>
      </c>
      <c r="H785" s="22" t="s">
        <v>37</v>
      </c>
      <c r="I785" s="22" t="s">
        <v>32</v>
      </c>
      <c r="J785" s="20">
        <f t="shared" si="29"/>
        <v>45616.6834</v>
      </c>
      <c r="K785" s="27" t="s">
        <v>33</v>
      </c>
      <c r="L785" s="27" t="s">
        <v>32</v>
      </c>
      <c r="M785" s="20">
        <f t="shared" si="30"/>
        <v>45616.69591</v>
      </c>
      <c r="N785" s="8" t="str">
        <f t="shared" si="3"/>
        <v>SELESAI</v>
      </c>
      <c r="O785" s="23">
        <f t="shared" si="22"/>
        <v>45616.69591</v>
      </c>
      <c r="P785" s="24" t="b">
        <v>1</v>
      </c>
      <c r="Q785" s="20">
        <f t="shared" si="31"/>
        <v>45616.69602</v>
      </c>
      <c r="R785" s="24" t="b">
        <v>1</v>
      </c>
      <c r="S785" s="20">
        <f t="shared" si="6"/>
        <v>45617.39654</v>
      </c>
      <c r="T785" s="7"/>
    </row>
    <row r="786" ht="22.5" hidden="1" customHeight="1">
      <c r="B786" s="7">
        <f t="shared" si="7"/>
        <v>780</v>
      </c>
      <c r="C786" s="18" t="s">
        <v>764</v>
      </c>
      <c r="D786" s="19" t="str">
        <f t="array" ref="D786">IFNA(_xlfn.XLOOKUP(C786,Table_Tarikan_Warkah[Nomor Sertipikat],Table_Tarikan_Warkah[Nomor Tiket]),"")</f>
        <v>K/23/181124/1</v>
      </c>
      <c r="E786" s="20" t="str">
        <f t="array" ref="E786">IFNA(_xlfn.XLOOKUP(D786,Table_Tarikan_Warkah[Nomor Tiket],Table_Tarikan_Warkah[Tanggal diserahkan kepada Validator]),"")</f>
        <v/>
      </c>
      <c r="F786" s="20" t="str">
        <f t="array" ref="F786">IFNA(_xlfn.XLOOKUP(D786,Table_Tarikan_Warkah[Nomor Tiket],Table_Tarikan_Warkah[Nama Petugas Warkah]),"")</f>
        <v>David</v>
      </c>
      <c r="G786" s="21" t="str">
        <f t="array" ref="G786">IFNA(_xlfn.XLOOKUP(D786,Table_Tarikan_Warkah[Nomor Tiket],Table_Tarikan_Warkah[Jenis Permohonan]),"")</f>
        <v>BN JUAL BELI</v>
      </c>
      <c r="H786" s="22" t="s">
        <v>37</v>
      </c>
      <c r="I786" s="22" t="s">
        <v>32</v>
      </c>
      <c r="J786" s="20">
        <f t="shared" si="29"/>
        <v>45616.68352</v>
      </c>
      <c r="K786" s="35" t="s">
        <v>65</v>
      </c>
      <c r="L786" s="36" t="s">
        <v>32</v>
      </c>
      <c r="M786" s="20">
        <f t="shared" si="30"/>
        <v>45617.59231</v>
      </c>
      <c r="N786" s="8" t="str">
        <f t="shared" si="3"/>
        <v>SELESAI</v>
      </c>
      <c r="O786" s="23">
        <f t="shared" si="22"/>
        <v>45617.59231</v>
      </c>
      <c r="P786" s="24" t="b">
        <v>0</v>
      </c>
      <c r="Q786" s="20" t="str">
        <f t="shared" si="31"/>
        <v/>
      </c>
      <c r="R786" s="24" t="b">
        <v>1</v>
      </c>
      <c r="S786" s="20">
        <f t="shared" si="6"/>
        <v>45617.59321</v>
      </c>
      <c r="T786" s="7"/>
    </row>
    <row r="787" ht="22.5" hidden="1" customHeight="1">
      <c r="B787" s="7">
        <f t="shared" si="7"/>
        <v>781</v>
      </c>
      <c r="C787" s="18" t="s">
        <v>765</v>
      </c>
      <c r="D787" s="19" t="str">
        <f t="array" ref="D787">IFNA(_xlfn.XLOOKUP(C787,Table_Tarikan_Warkah[Nomor Sertipikat],Table_Tarikan_Warkah[Nomor Tiket]),"")</f>
        <v>K/24/181124/2</v>
      </c>
      <c r="E787" s="20" t="str">
        <f t="array" ref="E787">IFNA(_xlfn.XLOOKUP(D787,Table_Tarikan_Warkah[Nomor Tiket],Table_Tarikan_Warkah[Tanggal diserahkan kepada Validator]),"")</f>
        <v/>
      </c>
      <c r="F787" s="20" t="str">
        <f t="array" ref="F787">IFNA(_xlfn.XLOOKUP(D787,Table_Tarikan_Warkah[Nomor Tiket],Table_Tarikan_Warkah[Nama Petugas Warkah]),"")</f>
        <v/>
      </c>
      <c r="G787" s="21" t="str">
        <f t="array" ref="G787">IFNA(_xlfn.XLOOKUP(D787,Table_Tarikan_Warkah[Nomor Tiket],Table_Tarikan_Warkah[Jenis Permohonan]),"")</f>
        <v>BN JUAL BELI</v>
      </c>
      <c r="H787" s="22" t="s">
        <v>37</v>
      </c>
      <c r="I787" s="22" t="s">
        <v>32</v>
      </c>
      <c r="J787" s="20">
        <f t="shared" si="29"/>
        <v>45616.68365</v>
      </c>
      <c r="K787" s="37" t="s">
        <v>65</v>
      </c>
      <c r="L787" s="38" t="s">
        <v>32</v>
      </c>
      <c r="M787" s="20">
        <f t="shared" si="30"/>
        <v>45617.59231</v>
      </c>
      <c r="N787" s="8" t="str">
        <f t="shared" si="3"/>
        <v>SELESAI</v>
      </c>
      <c r="O787" s="23">
        <f t="shared" si="22"/>
        <v>45617.59231</v>
      </c>
      <c r="P787" s="24" t="b">
        <v>0</v>
      </c>
      <c r="Q787" s="20" t="str">
        <f t="shared" si="31"/>
        <v/>
      </c>
      <c r="R787" s="24" t="b">
        <v>1</v>
      </c>
      <c r="S787" s="20">
        <f t="shared" si="6"/>
        <v>45617.59321</v>
      </c>
      <c r="T787" s="7"/>
    </row>
    <row r="788" ht="22.5" hidden="1" customHeight="1">
      <c r="B788" s="7">
        <f t="shared" si="7"/>
        <v>782</v>
      </c>
      <c r="C788" s="18" t="s">
        <v>766</v>
      </c>
      <c r="D788" s="19" t="str">
        <f t="array" ref="D788">IFNA(_xlfn.XLOOKUP(C788,Table_Tarikan_Warkah[Nomor Sertipikat],Table_Tarikan_Warkah[Nomor Tiket]),"")</f>
        <v>L/38/181124/1</v>
      </c>
      <c r="E788" s="20">
        <f t="array" ref="E788">IFNA(_xlfn.XLOOKUP(D788,Table_Tarikan_Warkah[Nomor Tiket],Table_Tarikan_Warkah[Tanggal diserahkan kepada Validator]),"")</f>
        <v>45615.46594</v>
      </c>
      <c r="F788" s="20" t="str">
        <f t="array" ref="F788">IFNA(_xlfn.XLOOKUP(D788,Table_Tarikan_Warkah[Nomor Tiket],Table_Tarikan_Warkah[Nama Petugas Warkah]),"")</f>
        <v>David</v>
      </c>
      <c r="G788" s="21" t="str">
        <f t="array" ref="G788">IFNA(_xlfn.XLOOKUP(D788,Table_Tarikan_Warkah[Nomor Tiket],Table_Tarikan_Warkah[Jenis Permohonan]),"")</f>
        <v>SUPRIYANTO</v>
      </c>
      <c r="H788" s="22" t="s">
        <v>37</v>
      </c>
      <c r="I788" s="22" t="s">
        <v>32</v>
      </c>
      <c r="J788" s="20">
        <f t="shared" si="29"/>
        <v>45616.68375</v>
      </c>
      <c r="K788" s="35" t="s">
        <v>65</v>
      </c>
      <c r="L788" s="36" t="s">
        <v>32</v>
      </c>
      <c r="M788" s="20">
        <f t="shared" si="30"/>
        <v>45617.59231</v>
      </c>
      <c r="N788" s="8" t="str">
        <f t="shared" si="3"/>
        <v>SELESAI</v>
      </c>
      <c r="O788" s="23">
        <f t="shared" si="22"/>
        <v>45617.59231</v>
      </c>
      <c r="P788" s="24" t="b">
        <v>0</v>
      </c>
      <c r="Q788" s="20" t="str">
        <f t="shared" si="31"/>
        <v/>
      </c>
      <c r="R788" s="24" t="b">
        <v>1</v>
      </c>
      <c r="S788" s="20">
        <f t="shared" si="6"/>
        <v>45617.59321</v>
      </c>
      <c r="T788" s="7"/>
    </row>
    <row r="789" ht="22.5" hidden="1" customHeight="1">
      <c r="B789" s="7">
        <f t="shared" si="7"/>
        <v>783</v>
      </c>
      <c r="C789" s="18" t="s">
        <v>767</v>
      </c>
      <c r="D789" s="19" t="str">
        <f t="array" ref="D789">IFNA(_xlfn.XLOOKUP(C789,Table_Tarikan_Warkah[Nomor Sertipikat],Table_Tarikan_Warkah[Nomor Tiket]),"")</f>
        <v>K/25/191124/2</v>
      </c>
      <c r="E789" s="20" t="str">
        <f t="array" ref="E789">IFNA(_xlfn.XLOOKUP(D789,Table_Tarikan_Warkah[Nomor Tiket],Table_Tarikan_Warkah[Tanggal diserahkan kepada Validator]),"")</f>
        <v/>
      </c>
      <c r="F789" s="20" t="str">
        <f t="array" ref="F789">IFNA(_xlfn.XLOOKUP(D789,Table_Tarikan_Warkah[Nomor Tiket],Table_Tarikan_Warkah[Nama Petugas Warkah]),"")</f>
        <v>David</v>
      </c>
      <c r="G789" s="21" t="str">
        <f t="array" ref="G789">IFNA(_xlfn.XLOOKUP(D789,Table_Tarikan_Warkah[Nomor Tiket],Table_Tarikan_Warkah[Jenis Permohonan]),"")</f>
        <v>BN JUAL BELI</v>
      </c>
      <c r="H789" s="22" t="s">
        <v>37</v>
      </c>
      <c r="I789" s="22" t="s">
        <v>32</v>
      </c>
      <c r="J789" s="20">
        <f t="shared" si="29"/>
        <v>45616.684</v>
      </c>
      <c r="K789" s="37" t="s">
        <v>65</v>
      </c>
      <c r="L789" s="38" t="s">
        <v>32</v>
      </c>
      <c r="M789" s="20">
        <f t="shared" si="30"/>
        <v>45617.59231</v>
      </c>
      <c r="N789" s="8" t="str">
        <f t="shared" si="3"/>
        <v>SELESAI</v>
      </c>
      <c r="O789" s="23">
        <f t="shared" si="22"/>
        <v>45617.59231</v>
      </c>
      <c r="P789" s="24" t="b">
        <v>1</v>
      </c>
      <c r="Q789" s="20">
        <f t="shared" si="31"/>
        <v>45617.65123</v>
      </c>
      <c r="R789" s="24" t="b">
        <v>1</v>
      </c>
      <c r="S789" s="20">
        <f t="shared" si="6"/>
        <v>45617.59321</v>
      </c>
      <c r="T789" s="7"/>
    </row>
    <row r="790" ht="22.5" hidden="1" customHeight="1">
      <c r="B790" s="7">
        <f t="shared" si="7"/>
        <v>784</v>
      </c>
      <c r="C790" s="18" t="s">
        <v>768</v>
      </c>
      <c r="D790" s="19" t="str">
        <f t="array" ref="D790">IFNA(_xlfn.XLOOKUP(C790,Table_Tarikan_Warkah[Nomor Sertipikat],Table_Tarikan_Warkah[Nomor Tiket]),"")</f>
        <v>K/16/191124/1</v>
      </c>
      <c r="E790" s="20" t="str">
        <f t="array" ref="E790">IFNA(_xlfn.XLOOKUP(D790,Table_Tarikan_Warkah[Nomor Tiket],Table_Tarikan_Warkah[Tanggal diserahkan kepada Validator]),"")</f>
        <v/>
      </c>
      <c r="F790" s="20" t="str">
        <f t="array" ref="F790">IFNA(_xlfn.XLOOKUP(D790,Table_Tarikan_Warkah[Nomor Tiket],Table_Tarikan_Warkah[Nama Petugas Warkah]),"")</f>
        <v>David</v>
      </c>
      <c r="G790" s="21" t="str">
        <f t="array" ref="G790">IFNA(_xlfn.XLOOKUP(D790,Table_Tarikan_Warkah[Nomor Tiket],Table_Tarikan_Warkah[Jenis Permohonan]),"")</f>
        <v>BN JUAL BELI</v>
      </c>
      <c r="H790" s="22" t="s">
        <v>37</v>
      </c>
      <c r="I790" s="22" t="s">
        <v>32</v>
      </c>
      <c r="J790" s="20">
        <f t="shared" si="29"/>
        <v>45616.68409</v>
      </c>
      <c r="K790" s="35" t="s">
        <v>65</v>
      </c>
      <c r="L790" s="36" t="s">
        <v>32</v>
      </c>
      <c r="M790" s="20">
        <f t="shared" si="30"/>
        <v>45617.59234</v>
      </c>
      <c r="N790" s="8" t="str">
        <f t="shared" si="3"/>
        <v>SELESAI</v>
      </c>
      <c r="O790" s="23">
        <f t="shared" si="22"/>
        <v>45617.59234</v>
      </c>
      <c r="P790" s="24" t="b">
        <v>0</v>
      </c>
      <c r="Q790" s="20" t="str">
        <f t="shared" si="31"/>
        <v/>
      </c>
      <c r="R790" s="24" t="b">
        <v>1</v>
      </c>
      <c r="S790" s="20">
        <f t="shared" si="6"/>
        <v>45617.59321</v>
      </c>
      <c r="T790" s="7"/>
    </row>
    <row r="791" ht="22.5" hidden="1" customHeight="1">
      <c r="B791" s="7">
        <f t="shared" si="7"/>
        <v>785</v>
      </c>
      <c r="C791" s="18" t="s">
        <v>769</v>
      </c>
      <c r="D791" s="19" t="str">
        <f t="array" ref="D791">IFNA(_xlfn.XLOOKUP(C791,Table_Tarikan_Warkah[Nomor Sertipikat],Table_Tarikan_Warkah[Nomor Tiket]),"")</f>
        <v>K/14/191124/2</v>
      </c>
      <c r="E791" s="20">
        <f t="array" ref="E791">IFNA(_xlfn.XLOOKUP(D791,Table_Tarikan_Warkah[Nomor Tiket],Table_Tarikan_Warkah[Tanggal diserahkan kepada Validator]),"")</f>
        <v>45616.63361</v>
      </c>
      <c r="F791" s="20" t="str">
        <f t="array" ref="F791">IFNA(_xlfn.XLOOKUP(D791,Table_Tarikan_Warkah[Nomor Tiket],Table_Tarikan_Warkah[Nama Petugas Warkah]),"")</f>
        <v>David</v>
      </c>
      <c r="G791" s="21" t="str">
        <f t="array" ref="G791">IFNA(_xlfn.XLOOKUP(D791,Table_Tarikan_Warkah[Nomor Tiket],Table_Tarikan_Warkah[Jenis Permohonan]),"")</f>
        <v>Roya</v>
      </c>
      <c r="H791" s="22" t="s">
        <v>37</v>
      </c>
      <c r="I791" s="22" t="s">
        <v>32</v>
      </c>
      <c r="J791" s="20">
        <f t="shared" si="29"/>
        <v>45616.68417</v>
      </c>
      <c r="K791" s="37" t="s">
        <v>65</v>
      </c>
      <c r="L791" s="38" t="s">
        <v>32</v>
      </c>
      <c r="M791" s="20">
        <f t="shared" si="30"/>
        <v>45617.59234</v>
      </c>
      <c r="N791" s="8" t="str">
        <f t="shared" si="3"/>
        <v>SELESAI</v>
      </c>
      <c r="O791" s="23">
        <f t="shared" si="22"/>
        <v>45617.59234</v>
      </c>
      <c r="P791" s="24" t="b">
        <v>1</v>
      </c>
      <c r="Q791" s="20">
        <f t="shared" si="31"/>
        <v>45635.70106</v>
      </c>
      <c r="R791" s="24" t="b">
        <v>1</v>
      </c>
      <c r="S791" s="20">
        <f t="shared" si="6"/>
        <v>45617.59321</v>
      </c>
      <c r="T791" s="7"/>
    </row>
    <row r="792" ht="22.5" hidden="1" customHeight="1">
      <c r="B792" s="7">
        <f t="shared" si="7"/>
        <v>786</v>
      </c>
      <c r="C792" s="18" t="s">
        <v>770</v>
      </c>
      <c r="D792" s="19" t="str">
        <f t="array" ref="D792">IFNA(_xlfn.XLOOKUP(C792,Table_Tarikan_Warkah[Nomor Sertipikat],Table_Tarikan_Warkah[Nomor Tiket]),"")</f>
        <v>K/29/141024/1</v>
      </c>
      <c r="E792" s="20" t="str">
        <f t="array" ref="E792">IFNA(_xlfn.XLOOKUP(D792,Table_Tarikan_Warkah[Nomor Tiket],Table_Tarikan_Warkah[Tanggal diserahkan kepada Validator]),"")</f>
        <v/>
      </c>
      <c r="F792" s="20" t="str">
        <f t="array" ref="F792">IFNA(_xlfn.XLOOKUP(D792,Table_Tarikan_Warkah[Nomor Tiket],Table_Tarikan_Warkah[Nama Petugas Warkah]),"")</f>
        <v/>
      </c>
      <c r="G792" s="21" t="str">
        <f t="array" ref="G792">IFNA(_xlfn.XLOOKUP(D792,Table_Tarikan_Warkah[Nomor Tiket],Table_Tarikan_Warkah[Jenis Permohonan]),"")</f>
        <v>PTPGT PEMECAHAN</v>
      </c>
      <c r="H792" s="22" t="s">
        <v>37</v>
      </c>
      <c r="I792" s="22" t="s">
        <v>32</v>
      </c>
      <c r="J792" s="20">
        <f t="shared" si="29"/>
        <v>45616.68448</v>
      </c>
      <c r="K792" s="35" t="s">
        <v>65</v>
      </c>
      <c r="L792" s="36" t="s">
        <v>32</v>
      </c>
      <c r="M792" s="20">
        <f t="shared" si="30"/>
        <v>45617.59234</v>
      </c>
      <c r="N792" s="8" t="str">
        <f t="shared" si="3"/>
        <v>SELESAI</v>
      </c>
      <c r="O792" s="23">
        <f t="shared" si="22"/>
        <v>45617.59234</v>
      </c>
      <c r="P792" s="24" t="b">
        <v>0</v>
      </c>
      <c r="Q792" s="20" t="str">
        <f t="shared" si="31"/>
        <v/>
      </c>
      <c r="R792" s="24" t="b">
        <v>1</v>
      </c>
      <c r="S792" s="20">
        <f t="shared" si="6"/>
        <v>45617.59321</v>
      </c>
      <c r="T792" s="7"/>
    </row>
    <row r="793" ht="22.5" hidden="1" customHeight="1">
      <c r="B793" s="7">
        <f t="shared" si="7"/>
        <v>787</v>
      </c>
      <c r="C793" s="18" t="s">
        <v>771</v>
      </c>
      <c r="D793" s="19" t="str">
        <f t="array" ref="D793">IFNA(_xlfn.XLOOKUP(C793,Table_Tarikan_Warkah[Nomor Sertipikat],Table_Tarikan_Warkah[Nomor Tiket]),"")</f>
        <v>L/28/181124/1</v>
      </c>
      <c r="E793" s="20" t="str">
        <f t="array" ref="E793">IFNA(_xlfn.XLOOKUP(D793,Table_Tarikan_Warkah[Nomor Tiket],Table_Tarikan_Warkah[Tanggal diserahkan kepada Validator]),"")</f>
        <v/>
      </c>
      <c r="F793" s="20" t="str">
        <f t="array" ref="F793">IFNA(_xlfn.XLOOKUP(D793,Table_Tarikan_Warkah[Nomor Tiket],Table_Tarikan_Warkah[Nama Petugas Warkah]),"")</f>
        <v/>
      </c>
      <c r="G793" s="21" t="str">
        <f t="array" ref="G793">IFNA(_xlfn.XLOOKUP(D793,Table_Tarikan_Warkah[Nomor Tiket],Table_Tarikan_Warkah[Jenis Permohonan]),"")</f>
        <v>PH</v>
      </c>
      <c r="H793" s="22" t="s">
        <v>37</v>
      </c>
      <c r="I793" s="22" t="s">
        <v>32</v>
      </c>
      <c r="J793" s="20">
        <f t="shared" si="29"/>
        <v>45616.68461</v>
      </c>
      <c r="K793" s="37" t="s">
        <v>65</v>
      </c>
      <c r="L793" s="38" t="s">
        <v>32</v>
      </c>
      <c r="M793" s="20">
        <f t="shared" si="30"/>
        <v>45617.59234</v>
      </c>
      <c r="N793" s="8" t="str">
        <f t="shared" si="3"/>
        <v>SELESAI</v>
      </c>
      <c r="O793" s="23">
        <f t="shared" si="22"/>
        <v>45617.59234</v>
      </c>
      <c r="P793" s="24" t="b">
        <v>0</v>
      </c>
      <c r="Q793" s="20" t="str">
        <f t="shared" si="31"/>
        <v/>
      </c>
      <c r="R793" s="24" t="b">
        <v>1</v>
      </c>
      <c r="S793" s="20">
        <f t="shared" si="6"/>
        <v>45617.59323</v>
      </c>
      <c r="T793" s="7"/>
    </row>
    <row r="794" ht="22.5" hidden="1" customHeight="1">
      <c r="B794" s="7">
        <f t="shared" si="7"/>
        <v>788</v>
      </c>
      <c r="C794" s="18" t="s">
        <v>772</v>
      </c>
      <c r="D794" s="19" t="str">
        <f t="array" ref="D794">IFNA(_xlfn.XLOOKUP(C794,Table_Tarikan_Warkah[Nomor Sertipikat],Table_Tarikan_Warkah[Nomor Tiket]),"")</f>
        <v>L/4/161124/1</v>
      </c>
      <c r="E794" s="20">
        <f t="array" ref="E794">IFNA(_xlfn.XLOOKUP(D794,Table_Tarikan_Warkah[Nomor Tiket],Table_Tarikan_Warkah[Tanggal diserahkan kepada Validator]),"")</f>
        <v>45615.45586</v>
      </c>
      <c r="F794" s="20" t="str">
        <f t="array" ref="F794">IFNA(_xlfn.XLOOKUP(D794,Table_Tarikan_Warkah[Nomor Tiket],Table_Tarikan_Warkah[Nama Petugas Warkah]),"")</f>
        <v>Berry</v>
      </c>
      <c r="G794" s="21" t="str">
        <f t="array" ref="G794">IFNA(_xlfn.XLOOKUP(D794,Table_Tarikan_Warkah[Nomor Tiket],Table_Tarikan_Warkah[Jenis Permohonan]),"")</f>
        <v>ROYA</v>
      </c>
      <c r="H794" s="22" t="s">
        <v>37</v>
      </c>
      <c r="I794" s="22" t="s">
        <v>32</v>
      </c>
      <c r="J794" s="20">
        <f t="shared" si="29"/>
        <v>45616.68469</v>
      </c>
      <c r="K794" s="27" t="s">
        <v>65</v>
      </c>
      <c r="L794" s="27" t="s">
        <v>32</v>
      </c>
      <c r="M794" s="20">
        <f t="shared" si="30"/>
        <v>45617.59241</v>
      </c>
      <c r="N794" s="8" t="str">
        <f t="shared" si="3"/>
        <v>SELESAI</v>
      </c>
      <c r="O794" s="23">
        <f t="shared" si="22"/>
        <v>45617.59241</v>
      </c>
      <c r="P794" s="24" t="b">
        <v>0</v>
      </c>
      <c r="Q794" s="20" t="str">
        <f t="shared" si="31"/>
        <v/>
      </c>
      <c r="R794" s="24" t="b">
        <v>1</v>
      </c>
      <c r="S794" s="20">
        <f t="shared" si="6"/>
        <v>45617.59324</v>
      </c>
      <c r="T794" s="7"/>
    </row>
    <row r="795" ht="22.5" hidden="1" customHeight="1">
      <c r="B795" s="7">
        <f t="shared" si="7"/>
        <v>789</v>
      </c>
      <c r="C795" s="18"/>
      <c r="D795" s="19" t="str">
        <f t="array" ref="D795">IFNA(_xlfn.XLOOKUP(C795,Table_Tarikan_Warkah[Nomor Sertipikat],Table_Tarikan_Warkah[Nomor Tiket]),"")</f>
        <v/>
      </c>
      <c r="E795" s="20" t="str">
        <f t="array" ref="E795">IFNA(_xlfn.XLOOKUP(D795,Table_Tarikan_Warkah[Nomor Tiket],Table_Tarikan_Warkah[Tanggal diserahkan kepada Validator]),"")</f>
        <v/>
      </c>
      <c r="F795" s="20" t="str">
        <f t="array" ref="F795">IFNA(_xlfn.XLOOKUP(D795,Table_Tarikan_Warkah[Nomor Tiket],Table_Tarikan_Warkah[Nama Petugas Warkah]),"")</f>
        <v/>
      </c>
      <c r="G795" s="21" t="str">
        <f t="array" ref="G795">IFNA(_xlfn.XLOOKUP(D795,Table_Tarikan_Warkah[Nomor Tiket],Table_Tarikan_Warkah[Jenis Permohonan]),"")</f>
        <v/>
      </c>
      <c r="H795" s="22" t="s">
        <v>37</v>
      </c>
      <c r="I795" s="22" t="s">
        <v>187</v>
      </c>
      <c r="J795" s="20">
        <f t="shared" si="29"/>
        <v>45616.68481</v>
      </c>
      <c r="K795" s="27" t="s">
        <v>33</v>
      </c>
      <c r="L795" s="27" t="s">
        <v>187</v>
      </c>
      <c r="M795" s="20">
        <f t="shared" si="30"/>
        <v>45617.5918</v>
      </c>
      <c r="N795" s="8" t="str">
        <f t="shared" si="3"/>
        <v/>
      </c>
      <c r="O795" s="21" t="str">
        <f t="shared" si="22"/>
        <v/>
      </c>
      <c r="P795" s="24" t="b">
        <v>1</v>
      </c>
      <c r="Q795" s="20">
        <f t="shared" si="31"/>
        <v>45617.59326</v>
      </c>
      <c r="R795" s="24" t="b">
        <v>0</v>
      </c>
      <c r="S795" s="7" t="str">
        <f t="shared" si="6"/>
        <v/>
      </c>
      <c r="T795" s="7"/>
    </row>
    <row r="796" ht="22.5" hidden="1" customHeight="1">
      <c r="B796" s="7">
        <f t="shared" si="7"/>
        <v>790</v>
      </c>
      <c r="C796" s="18" t="s">
        <v>773</v>
      </c>
      <c r="D796" s="19" t="str">
        <f t="array" ref="D796">IFNA(_xlfn.XLOOKUP(C796,Table_Tarikan_Warkah[Nomor Sertipikat],Table_Tarikan_Warkah[Nomor Tiket]),"")</f>
        <v>K/31/131124/2</v>
      </c>
      <c r="E796" s="20" t="str">
        <f t="array" ref="E796">IFNA(_xlfn.XLOOKUP(D796,Table_Tarikan_Warkah[Nomor Tiket],Table_Tarikan_Warkah[Tanggal diserahkan kepada Validator]),"")</f>
        <v/>
      </c>
      <c r="F796" s="20" t="str">
        <f t="array" ref="F796">IFNA(_xlfn.XLOOKUP(D796,Table_Tarikan_Warkah[Nomor Tiket],Table_Tarikan_Warkah[Nama Petugas Warkah]),"")</f>
        <v>David</v>
      </c>
      <c r="G796" s="21" t="str">
        <f t="array" ref="G796">IFNA(_xlfn.XLOOKUP(D796,Table_Tarikan_Warkah[Nomor Tiket],Table_Tarikan_Warkah[Jenis Permohonan]),"")</f>
        <v>BN Jual Beli</v>
      </c>
      <c r="H796" s="22" t="s">
        <v>37</v>
      </c>
      <c r="I796" s="22" t="s">
        <v>187</v>
      </c>
      <c r="J796" s="20">
        <f t="shared" si="29"/>
        <v>45616.68491</v>
      </c>
      <c r="K796" s="27" t="s">
        <v>33</v>
      </c>
      <c r="L796" s="27" t="s">
        <v>187</v>
      </c>
      <c r="M796" s="20">
        <f t="shared" si="30"/>
        <v>45617.59184</v>
      </c>
      <c r="N796" s="8" t="str">
        <f t="shared" si="3"/>
        <v>Selesai</v>
      </c>
      <c r="O796" s="23">
        <f t="shared" si="22"/>
        <v>45617.59184</v>
      </c>
      <c r="P796" s="24" t="b">
        <v>1</v>
      </c>
      <c r="Q796" s="20">
        <f t="shared" si="31"/>
        <v>45617.59333</v>
      </c>
      <c r="R796" s="24" t="b">
        <v>0</v>
      </c>
      <c r="S796" s="7" t="str">
        <f t="shared" si="6"/>
        <v/>
      </c>
      <c r="T796" s="7"/>
    </row>
    <row r="797" ht="22.5" hidden="1" customHeight="1">
      <c r="B797" s="7">
        <f t="shared" si="7"/>
        <v>791</v>
      </c>
      <c r="C797" s="18" t="s">
        <v>774</v>
      </c>
      <c r="D797" s="19" t="str">
        <f t="array" ref="D797">IFNA(_xlfn.XLOOKUP(C797,Table_Tarikan_Warkah[Nomor Sertipikat],Table_Tarikan_Warkah[Nomor Tiket]),"")</f>
        <v>K/35/131124/2</v>
      </c>
      <c r="E797" s="20" t="str">
        <f t="array" ref="E797">IFNA(_xlfn.XLOOKUP(D797,Table_Tarikan_Warkah[Nomor Tiket],Table_Tarikan_Warkah[Tanggal diserahkan kepada Validator]),"")</f>
        <v/>
      </c>
      <c r="F797" s="20" t="str">
        <f t="array" ref="F797">IFNA(_xlfn.XLOOKUP(D797,Table_Tarikan_Warkah[Nomor Tiket],Table_Tarikan_Warkah[Nama Petugas Warkah]),"")</f>
        <v>David</v>
      </c>
      <c r="G797" s="21" t="str">
        <f t="array" ref="G797">IFNA(_xlfn.XLOOKUP(D797,Table_Tarikan_Warkah[Nomor Tiket],Table_Tarikan_Warkah[Jenis Permohonan]),"")</f>
        <v>BN HIBAH</v>
      </c>
      <c r="H797" s="22" t="s">
        <v>31</v>
      </c>
      <c r="I797" s="22" t="s">
        <v>187</v>
      </c>
      <c r="J797" s="20">
        <f t="shared" si="29"/>
        <v>45617.35878</v>
      </c>
      <c r="K797" s="27" t="s">
        <v>33</v>
      </c>
      <c r="L797" s="27" t="s">
        <v>187</v>
      </c>
      <c r="M797" s="20">
        <f t="shared" si="30"/>
        <v>45617.59188</v>
      </c>
      <c r="N797" s="8" t="str">
        <f t="shared" si="3"/>
        <v>Selesai</v>
      </c>
      <c r="O797" s="23">
        <f t="shared" si="22"/>
        <v>45617.59188</v>
      </c>
      <c r="P797" s="24" t="b">
        <v>1</v>
      </c>
      <c r="Q797" s="20">
        <f t="shared" si="31"/>
        <v>45617.59333</v>
      </c>
      <c r="R797" s="24" t="b">
        <v>0</v>
      </c>
      <c r="S797" s="7" t="str">
        <f t="shared" si="6"/>
        <v/>
      </c>
      <c r="T797" s="7"/>
    </row>
    <row r="798" ht="22.5" hidden="1" customHeight="1">
      <c r="B798" s="7">
        <f t="shared" si="7"/>
        <v>792</v>
      </c>
      <c r="C798" s="18" t="s">
        <v>775</v>
      </c>
      <c r="D798" s="19" t="str">
        <f t="array" ref="D798">IFNA(_xlfn.XLOOKUP(C798,Table_Tarikan_Warkah[Nomor Sertipikat],Table_Tarikan_Warkah[Nomor Tiket]),"")</f>
        <v>K/9/141124/1</v>
      </c>
      <c r="E798" s="20" t="str">
        <f t="array" ref="E798">IFNA(_xlfn.XLOOKUP(D798,Table_Tarikan_Warkah[Nomor Tiket],Table_Tarikan_Warkah[Tanggal diserahkan kepada Validator]),"")</f>
        <v/>
      </c>
      <c r="F798" s="20" t="str">
        <f t="array" ref="F798">IFNA(_xlfn.XLOOKUP(D798,Table_Tarikan_Warkah[Nomor Tiket],Table_Tarikan_Warkah[Nama Petugas Warkah]),"")</f>
        <v>David</v>
      </c>
      <c r="G798" s="21" t="str">
        <f t="array" ref="G798">IFNA(_xlfn.XLOOKUP(D798,Table_Tarikan_Warkah[Nomor Tiket],Table_Tarikan_Warkah[Jenis Permohonan]),"")</f>
        <v>BN JUAL BELI</v>
      </c>
      <c r="H798" s="22" t="s">
        <v>31</v>
      </c>
      <c r="I798" s="22" t="s">
        <v>187</v>
      </c>
      <c r="J798" s="20">
        <f t="shared" si="29"/>
        <v>45617.35882</v>
      </c>
      <c r="K798" s="27" t="s">
        <v>33</v>
      </c>
      <c r="L798" s="27" t="s">
        <v>187</v>
      </c>
      <c r="M798" s="20">
        <f t="shared" si="30"/>
        <v>45617.59188</v>
      </c>
      <c r="N798" s="8" t="str">
        <f t="shared" si="3"/>
        <v>Selesai</v>
      </c>
      <c r="O798" s="23">
        <f t="shared" si="22"/>
        <v>45617.59188</v>
      </c>
      <c r="P798" s="24" t="b">
        <v>1</v>
      </c>
      <c r="Q798" s="20">
        <f t="shared" si="31"/>
        <v>45617.59333</v>
      </c>
      <c r="R798" s="24" t="b">
        <v>0</v>
      </c>
      <c r="S798" s="7" t="str">
        <f t="shared" si="6"/>
        <v/>
      </c>
      <c r="T798" s="7"/>
    </row>
    <row r="799" ht="22.5" hidden="1" customHeight="1">
      <c r="B799" s="7">
        <f t="shared" si="7"/>
        <v>793</v>
      </c>
      <c r="C799" s="18" t="s">
        <v>776</v>
      </c>
      <c r="D799" s="19" t="str">
        <f t="array" ref="D799">IFNA(_xlfn.XLOOKUP(C799,Table_Tarikan_Warkah[Nomor Sertipikat],Table_Tarikan_Warkah[Nomor Tiket]),"")</f>
        <v>K/1/281024/1</v>
      </c>
      <c r="E799" s="20" t="str">
        <f t="array" ref="E799">IFNA(_xlfn.XLOOKUP(D799,Table_Tarikan_Warkah[Nomor Tiket],Table_Tarikan_Warkah[Tanggal diserahkan kepada Validator]),"")</f>
        <v/>
      </c>
      <c r="F799" s="20" t="str">
        <f t="array" ref="F799">IFNA(_xlfn.XLOOKUP(D799,Table_Tarikan_Warkah[Nomor Tiket],Table_Tarikan_Warkah[Nama Petugas Warkah]),"")</f>
        <v>David</v>
      </c>
      <c r="G799" s="21" t="str">
        <f t="array" ref="G799">IFNA(_xlfn.XLOOKUP(D799,Table_Tarikan_Warkah[Nomor Tiket],Table_Tarikan_Warkah[Jenis Permohonan]),"")</f>
        <v>BN JUAL BELI</v>
      </c>
      <c r="H799" s="22" t="s">
        <v>31</v>
      </c>
      <c r="I799" s="22" t="s">
        <v>187</v>
      </c>
      <c r="J799" s="20">
        <f t="shared" si="29"/>
        <v>45617.35882</v>
      </c>
      <c r="K799" s="27" t="s">
        <v>33</v>
      </c>
      <c r="L799" s="27" t="s">
        <v>187</v>
      </c>
      <c r="M799" s="20">
        <f t="shared" si="30"/>
        <v>45617.5919</v>
      </c>
      <c r="N799" s="8" t="str">
        <f t="shared" si="3"/>
        <v>Selesai</v>
      </c>
      <c r="O799" s="23">
        <f t="shared" si="22"/>
        <v>45617.5919</v>
      </c>
      <c r="P799" s="24" t="b">
        <v>1</v>
      </c>
      <c r="Q799" s="20">
        <f t="shared" si="31"/>
        <v>45617.59333</v>
      </c>
      <c r="R799" s="24" t="b">
        <v>0</v>
      </c>
      <c r="S799" s="7" t="str">
        <f t="shared" si="6"/>
        <v/>
      </c>
      <c r="T799" s="7"/>
    </row>
    <row r="800" ht="22.5" hidden="1" customHeight="1">
      <c r="B800" s="7">
        <f t="shared" si="7"/>
        <v>794</v>
      </c>
      <c r="C800" s="18" t="s">
        <v>777</v>
      </c>
      <c r="D800" s="19" t="str">
        <f t="array" ref="D800">IFNA(_xlfn.XLOOKUP(C800,Table_Tarikan_Warkah[Nomor Sertipikat],Table_Tarikan_Warkah[Nomor Tiket]),"")</f>
        <v>K/21/141124/1</v>
      </c>
      <c r="E800" s="20" t="str">
        <f t="array" ref="E800">IFNA(_xlfn.XLOOKUP(D800,Table_Tarikan_Warkah[Nomor Tiket],Table_Tarikan_Warkah[Tanggal diserahkan kepada Validator]),"")</f>
        <v/>
      </c>
      <c r="F800" s="20" t="str">
        <f t="array" ref="F800">IFNA(_xlfn.XLOOKUP(D800,Table_Tarikan_Warkah[Nomor Tiket],Table_Tarikan_Warkah[Nama Petugas Warkah]),"")</f>
        <v>Berry</v>
      </c>
      <c r="G800" s="21" t="str">
        <f t="array" ref="G800">IFNA(_xlfn.XLOOKUP(D800,Table_Tarikan_Warkah[Nomor Tiket],Table_Tarikan_Warkah[Jenis Permohonan]),"")</f>
        <v>BN JUAL BELI</v>
      </c>
      <c r="H800" s="22" t="s">
        <v>31</v>
      </c>
      <c r="I800" s="22" t="s">
        <v>187</v>
      </c>
      <c r="J800" s="20">
        <f t="shared" si="29"/>
        <v>45617.35882</v>
      </c>
      <c r="K800" s="27" t="s">
        <v>33</v>
      </c>
      <c r="L800" s="27" t="s">
        <v>187</v>
      </c>
      <c r="M800" s="20">
        <f t="shared" si="30"/>
        <v>45617.5919</v>
      </c>
      <c r="N800" s="8" t="str">
        <f t="shared" si="3"/>
        <v>Selesai</v>
      </c>
      <c r="O800" s="23">
        <f t="shared" si="22"/>
        <v>45617.5919</v>
      </c>
      <c r="P800" s="24" t="b">
        <v>1</v>
      </c>
      <c r="Q800" s="20">
        <f t="shared" si="31"/>
        <v>45617.59333</v>
      </c>
      <c r="R800" s="24" t="b">
        <v>0</v>
      </c>
      <c r="S800" s="7" t="str">
        <f t="shared" si="6"/>
        <v/>
      </c>
      <c r="T800" s="7"/>
    </row>
    <row r="801" ht="22.5" hidden="1" customHeight="1">
      <c r="B801" s="7">
        <f t="shared" si="7"/>
        <v>795</v>
      </c>
      <c r="C801" s="18" t="s">
        <v>778</v>
      </c>
      <c r="D801" s="19" t="str">
        <f t="array" ref="D801">IFNA(_xlfn.XLOOKUP(C801,Table_Tarikan_Warkah[Nomor Sertipikat],Table_Tarikan_Warkah[Nomor Tiket]),"")</f>
        <v>K/50/141124/1</v>
      </c>
      <c r="E801" s="20" t="str">
        <f t="array" ref="E801">IFNA(_xlfn.XLOOKUP(D801,Table_Tarikan_Warkah[Nomor Tiket],Table_Tarikan_Warkah[Tanggal diserahkan kepada Validator]),"")</f>
        <v/>
      </c>
      <c r="F801" s="20" t="str">
        <f t="array" ref="F801">IFNA(_xlfn.XLOOKUP(D801,Table_Tarikan_Warkah[Nomor Tiket],Table_Tarikan_Warkah[Nama Petugas Warkah]),"")</f>
        <v>Berry</v>
      </c>
      <c r="G801" s="21" t="str">
        <f t="array" ref="G801">IFNA(_xlfn.XLOOKUP(D801,Table_Tarikan_Warkah[Nomor Tiket],Table_Tarikan_Warkah[Jenis Permohonan]),"")</f>
        <v>BN Jual Beli</v>
      </c>
      <c r="H801" s="22" t="s">
        <v>31</v>
      </c>
      <c r="I801" s="22" t="s">
        <v>187</v>
      </c>
      <c r="J801" s="20">
        <f t="shared" si="29"/>
        <v>45617.35882</v>
      </c>
      <c r="K801" s="27" t="s">
        <v>33</v>
      </c>
      <c r="L801" s="27" t="s">
        <v>187</v>
      </c>
      <c r="M801" s="20">
        <f t="shared" si="30"/>
        <v>45617.59196</v>
      </c>
      <c r="N801" s="8" t="str">
        <f t="shared" si="3"/>
        <v>Selesai</v>
      </c>
      <c r="O801" s="23">
        <f t="shared" si="22"/>
        <v>45617.59196</v>
      </c>
      <c r="P801" s="24" t="b">
        <v>1</v>
      </c>
      <c r="Q801" s="20">
        <f t="shared" si="31"/>
        <v>45617.59333</v>
      </c>
      <c r="R801" s="24" t="b">
        <v>0</v>
      </c>
      <c r="S801" s="7" t="str">
        <f t="shared" si="6"/>
        <v/>
      </c>
      <c r="T801" s="7"/>
    </row>
    <row r="802" ht="22.5" hidden="1" customHeight="1">
      <c r="B802" s="7">
        <f t="shared" si="7"/>
        <v>796</v>
      </c>
      <c r="C802" s="18" t="s">
        <v>689</v>
      </c>
      <c r="D802" s="19" t="str">
        <f t="array" ref="D802">IFNA(_xlfn.XLOOKUP(C802,Table_Tarikan_Warkah[Nomor Sertipikat],Table_Tarikan_Warkah[Nomor Tiket]),"")</f>
        <v>K/23/151124/2</v>
      </c>
      <c r="E802" s="20">
        <f t="array" ref="E802">IFNA(_xlfn.XLOOKUP(D802,Table_Tarikan_Warkah[Nomor Tiket],Table_Tarikan_Warkah[Tanggal diserahkan kepada Validator]),"")</f>
        <v>45614.46565</v>
      </c>
      <c r="F802" s="20" t="str">
        <f t="array" ref="F802">IFNA(_xlfn.XLOOKUP(D802,Table_Tarikan_Warkah[Nomor Tiket],Table_Tarikan_Warkah[Nama Petugas Warkah]),"")</f>
        <v>Berry</v>
      </c>
      <c r="G802" s="21" t="str">
        <f t="array" ref="G802">IFNA(_xlfn.XLOOKUP(D802,Table_Tarikan_Warkah[Nomor Tiket],Table_Tarikan_Warkah[Jenis Permohonan]),"")</f>
        <v>BN JUAL BELI</v>
      </c>
      <c r="H802" s="22" t="s">
        <v>31</v>
      </c>
      <c r="I802" s="22" t="s">
        <v>187</v>
      </c>
      <c r="J802" s="20">
        <f t="shared" si="29"/>
        <v>45617.35882</v>
      </c>
      <c r="K802" s="27" t="s">
        <v>33</v>
      </c>
      <c r="L802" s="27" t="s">
        <v>187</v>
      </c>
      <c r="M802" s="20">
        <f t="shared" si="30"/>
        <v>45617.59196</v>
      </c>
      <c r="N802" s="8" t="str">
        <f t="shared" si="3"/>
        <v>Selesai</v>
      </c>
      <c r="O802" s="23">
        <f t="shared" si="22"/>
        <v>45617.59196</v>
      </c>
      <c r="P802" s="24" t="b">
        <v>1</v>
      </c>
      <c r="Q802" s="20">
        <f t="shared" si="31"/>
        <v>45617.59336</v>
      </c>
      <c r="R802" s="24" t="b">
        <v>0</v>
      </c>
      <c r="S802" s="7" t="str">
        <f t="shared" si="6"/>
        <v/>
      </c>
      <c r="T802" s="7"/>
    </row>
    <row r="803" ht="22.5" hidden="1" customHeight="1">
      <c r="B803" s="7">
        <f t="shared" si="7"/>
        <v>797</v>
      </c>
      <c r="C803" s="18" t="s">
        <v>779</v>
      </c>
      <c r="D803" s="19" t="str">
        <f t="array" ref="D803">IFNA(_xlfn.XLOOKUP(C803,Table_Tarikan_Warkah[Nomor Sertipikat],Table_Tarikan_Warkah[Nomor Tiket]),"")</f>
        <v>K/39/111124/1</v>
      </c>
      <c r="E803" s="20">
        <f t="array" ref="E803">IFNA(_xlfn.XLOOKUP(D803,Table_Tarikan_Warkah[Nomor Tiket],Table_Tarikan_Warkah[Tanggal diserahkan kepada Validator]),"")</f>
        <v>45624.57701</v>
      </c>
      <c r="F803" s="20" t="str">
        <f t="array" ref="F803">IFNA(_xlfn.XLOOKUP(D803,Table_Tarikan_Warkah[Nomor Tiket],Table_Tarikan_Warkah[Nama Petugas Warkah]),"")</f>
        <v>David</v>
      </c>
      <c r="G803" s="21" t="str">
        <f t="array" ref="G803">IFNA(_xlfn.XLOOKUP(D803,Table_Tarikan_Warkah[Nomor Tiket],Table_Tarikan_Warkah[Jenis Permohonan]),"")</f>
        <v>BN JUAL BELI</v>
      </c>
      <c r="H803" s="22" t="s">
        <v>31</v>
      </c>
      <c r="I803" s="22" t="s">
        <v>187</v>
      </c>
      <c r="J803" s="20">
        <f t="shared" si="29"/>
        <v>45617.35882</v>
      </c>
      <c r="K803" s="27" t="s">
        <v>33</v>
      </c>
      <c r="L803" s="27" t="s">
        <v>187</v>
      </c>
      <c r="M803" s="20">
        <f t="shared" si="30"/>
        <v>45617.59196</v>
      </c>
      <c r="N803" s="8" t="str">
        <f t="shared" si="3"/>
        <v>Selesai</v>
      </c>
      <c r="O803" s="23">
        <f t="shared" si="22"/>
        <v>45617.59196</v>
      </c>
      <c r="P803" s="24" t="b">
        <v>1</v>
      </c>
      <c r="Q803" s="20">
        <f t="shared" si="31"/>
        <v>45617.59336</v>
      </c>
      <c r="R803" s="24" t="b">
        <v>0</v>
      </c>
      <c r="S803" s="7" t="str">
        <f t="shared" si="6"/>
        <v/>
      </c>
      <c r="T803" s="7"/>
    </row>
    <row r="804" ht="22.5" hidden="1" customHeight="1">
      <c r="B804" s="7">
        <f t="shared" si="7"/>
        <v>798</v>
      </c>
      <c r="C804" s="18" t="s">
        <v>780</v>
      </c>
      <c r="D804" s="19" t="str">
        <f t="array" ref="D804">IFNA(_xlfn.XLOOKUP(C804,Table_Tarikan_Warkah[Nomor Sertipikat],Table_Tarikan_Warkah[Nomor Tiket]),"")</f>
        <v>K/41/151124/2</v>
      </c>
      <c r="E804" s="20" t="str">
        <f t="array" ref="E804">IFNA(_xlfn.XLOOKUP(D804,Table_Tarikan_Warkah[Nomor Tiket],Table_Tarikan_Warkah[Tanggal diserahkan kepada Validator]),"")</f>
        <v/>
      </c>
      <c r="F804" s="20" t="str">
        <f t="array" ref="F804">IFNA(_xlfn.XLOOKUP(D804,Table_Tarikan_Warkah[Nomor Tiket],Table_Tarikan_Warkah[Nama Petugas Warkah]),"")</f>
        <v>Berry</v>
      </c>
      <c r="G804" s="21" t="str">
        <f t="array" ref="G804">IFNA(_xlfn.XLOOKUP(D804,Table_Tarikan_Warkah[Nomor Tiket],Table_Tarikan_Warkah[Jenis Permohonan]),"")</f>
        <v>BN JUAL BELI</v>
      </c>
      <c r="H804" s="22" t="s">
        <v>31</v>
      </c>
      <c r="I804" s="22" t="s">
        <v>187</v>
      </c>
      <c r="J804" s="20">
        <f t="shared" si="29"/>
        <v>45617.35882</v>
      </c>
      <c r="K804" s="27" t="s">
        <v>33</v>
      </c>
      <c r="L804" s="27" t="s">
        <v>187</v>
      </c>
      <c r="M804" s="20">
        <f t="shared" si="30"/>
        <v>45617.59196</v>
      </c>
      <c r="N804" s="8" t="str">
        <f t="shared" si="3"/>
        <v>Selesai</v>
      </c>
      <c r="O804" s="23">
        <f t="shared" si="22"/>
        <v>45617.59196</v>
      </c>
      <c r="P804" s="24" t="b">
        <v>1</v>
      </c>
      <c r="Q804" s="20">
        <f t="shared" si="31"/>
        <v>45617.59336</v>
      </c>
      <c r="R804" s="24" t="b">
        <v>0</v>
      </c>
      <c r="S804" s="7" t="str">
        <f t="shared" si="6"/>
        <v/>
      </c>
      <c r="T804" s="7"/>
    </row>
    <row r="805" ht="22.5" hidden="1" customHeight="1">
      <c r="B805" s="7">
        <f t="shared" si="7"/>
        <v>799</v>
      </c>
      <c r="C805" s="18" t="s">
        <v>750</v>
      </c>
      <c r="D805" s="19" t="str">
        <f t="array" ref="D805">IFNA(_xlfn.XLOOKUP(C805,Table_Tarikan_Warkah[Nomor Sertipikat],Table_Tarikan_Warkah[Nomor Tiket]),"")</f>
        <v>K/32/141024/1</v>
      </c>
      <c r="E805" s="20">
        <f t="array" ref="E805">IFNA(_xlfn.XLOOKUP(D805,Table_Tarikan_Warkah[Nomor Tiket],Table_Tarikan_Warkah[Tanggal diserahkan kepada Validator]),"")</f>
        <v>45580.66059</v>
      </c>
      <c r="F805" s="20" t="str">
        <f t="array" ref="F805">IFNA(_xlfn.XLOOKUP(D805,Table_Tarikan_Warkah[Nomor Tiket],Table_Tarikan_Warkah[Nama Petugas Warkah]),"")</f>
        <v>Bayu</v>
      </c>
      <c r="G805" s="21" t="str">
        <f t="array" ref="G805">IFNA(_xlfn.XLOOKUP(D805,Table_Tarikan_Warkah[Nomor Tiket],Table_Tarikan_Warkah[Jenis Permohonan]),"")</f>
        <v>GANDES</v>
      </c>
      <c r="H805" s="22" t="s">
        <v>31</v>
      </c>
      <c r="I805" s="22" t="s">
        <v>187</v>
      </c>
      <c r="J805" s="20">
        <f t="shared" si="29"/>
        <v>45617.35882</v>
      </c>
      <c r="K805" s="27" t="s">
        <v>33</v>
      </c>
      <c r="L805" s="27" t="s">
        <v>187</v>
      </c>
      <c r="M805" s="20">
        <f t="shared" si="30"/>
        <v>45617.59196</v>
      </c>
      <c r="N805" s="8" t="str">
        <f t="shared" si="3"/>
        <v>Selesai</v>
      </c>
      <c r="O805" s="23">
        <f t="shared" si="22"/>
        <v>45617.59196</v>
      </c>
      <c r="P805" s="24" t="b">
        <v>1</v>
      </c>
      <c r="Q805" s="20">
        <f t="shared" si="31"/>
        <v>45617.59336</v>
      </c>
      <c r="R805" s="24" t="b">
        <v>0</v>
      </c>
      <c r="S805" s="7" t="str">
        <f t="shared" si="6"/>
        <v/>
      </c>
      <c r="T805" s="7"/>
    </row>
    <row r="806" ht="22.5" hidden="1" customHeight="1">
      <c r="B806" s="7">
        <f t="shared" si="7"/>
        <v>800</v>
      </c>
      <c r="C806" s="18" t="s">
        <v>739</v>
      </c>
      <c r="D806" s="19" t="str">
        <f t="array" ref="D806">IFNA(_xlfn.XLOOKUP(C806,Table_Tarikan_Warkah[Nomor Sertipikat],Table_Tarikan_Warkah[Nomor Tiket]),"")</f>
        <v>K/37/131124/1</v>
      </c>
      <c r="E806" s="20" t="str">
        <f t="array" ref="E806">IFNA(_xlfn.XLOOKUP(D806,Table_Tarikan_Warkah[Nomor Tiket],Table_Tarikan_Warkah[Tanggal diserahkan kepada Validator]),"")</f>
        <v/>
      </c>
      <c r="F806" s="20" t="str">
        <f t="array" ref="F806">IFNA(_xlfn.XLOOKUP(D806,Table_Tarikan_Warkah[Nomor Tiket],Table_Tarikan_Warkah[Nama Petugas Warkah]),"")</f>
        <v>David</v>
      </c>
      <c r="G806" s="21" t="str">
        <f t="array" ref="G806">IFNA(_xlfn.XLOOKUP(D806,Table_Tarikan_Warkah[Nomor Tiket],Table_Tarikan_Warkah[Jenis Permohonan]),"")</f>
        <v>BN JUAL BELI</v>
      </c>
      <c r="H806" s="22" t="s">
        <v>31</v>
      </c>
      <c r="I806" s="22" t="s">
        <v>187</v>
      </c>
      <c r="J806" s="20">
        <f t="shared" si="29"/>
        <v>45617.35882</v>
      </c>
      <c r="K806" s="27" t="s">
        <v>33</v>
      </c>
      <c r="L806" s="27" t="s">
        <v>187</v>
      </c>
      <c r="M806" s="20">
        <f t="shared" si="30"/>
        <v>45617.59196</v>
      </c>
      <c r="N806" s="8" t="str">
        <f t="shared" si="3"/>
        <v>Selesai</v>
      </c>
      <c r="O806" s="23">
        <f t="shared" si="22"/>
        <v>45617.59196</v>
      </c>
      <c r="P806" s="24" t="b">
        <v>1</v>
      </c>
      <c r="Q806" s="20">
        <f t="shared" si="31"/>
        <v>45617.59336</v>
      </c>
      <c r="R806" s="24" t="b">
        <v>0</v>
      </c>
      <c r="S806" s="7" t="str">
        <f t="shared" si="6"/>
        <v/>
      </c>
      <c r="T806" s="7"/>
    </row>
    <row r="807" ht="22.5" hidden="1" customHeight="1">
      <c r="B807" s="7">
        <f t="shared" si="7"/>
        <v>801</v>
      </c>
      <c r="C807" s="18" t="s">
        <v>761</v>
      </c>
      <c r="D807" s="19" t="str">
        <f t="array" ref="D807">IFNA(_xlfn.XLOOKUP(C807,Table_Tarikan_Warkah[Nomor Sertipikat],Table_Tarikan_Warkah[Nomor Tiket]),"")</f>
        <v>K/15/181124/1</v>
      </c>
      <c r="E807" s="20" t="str">
        <f t="array" ref="E807">IFNA(_xlfn.XLOOKUP(D807,Table_Tarikan_Warkah[Nomor Tiket],Table_Tarikan_Warkah[Tanggal diserahkan kepada Validator]),"")</f>
        <v/>
      </c>
      <c r="F807" s="20" t="str">
        <f t="array" ref="F807">IFNA(_xlfn.XLOOKUP(D807,Table_Tarikan_Warkah[Nomor Tiket],Table_Tarikan_Warkah[Nama Petugas Warkah]),"")</f>
        <v/>
      </c>
      <c r="G807" s="21" t="str">
        <f t="array" ref="G807">IFNA(_xlfn.XLOOKUP(D807,Table_Tarikan_Warkah[Nomor Tiket],Table_Tarikan_Warkah[Jenis Permohonan]),"")</f>
        <v>BN JUAL BELI</v>
      </c>
      <c r="H807" s="22" t="s">
        <v>31</v>
      </c>
      <c r="I807" s="22" t="s">
        <v>187</v>
      </c>
      <c r="J807" s="20">
        <f t="shared" si="29"/>
        <v>45617.35882</v>
      </c>
      <c r="K807" s="27" t="s">
        <v>33</v>
      </c>
      <c r="L807" s="27" t="s">
        <v>187</v>
      </c>
      <c r="M807" s="20">
        <f t="shared" si="30"/>
        <v>45617.59202</v>
      </c>
      <c r="N807" s="8" t="str">
        <f t="shared" si="3"/>
        <v>Selesai</v>
      </c>
      <c r="O807" s="23">
        <f t="shared" si="22"/>
        <v>45617.59202</v>
      </c>
      <c r="P807" s="24" t="b">
        <v>1</v>
      </c>
      <c r="Q807" s="20">
        <f t="shared" si="31"/>
        <v>45617.59336</v>
      </c>
      <c r="R807" s="24" t="b">
        <v>0</v>
      </c>
      <c r="S807" s="7" t="str">
        <f t="shared" si="6"/>
        <v/>
      </c>
      <c r="T807" s="7"/>
    </row>
    <row r="808" ht="22.5" hidden="1" customHeight="1">
      <c r="B808" s="7">
        <f t="shared" si="7"/>
        <v>802</v>
      </c>
      <c r="C808" s="18" t="s">
        <v>692</v>
      </c>
      <c r="D808" s="19" t="str">
        <f t="array" ref="D808">IFNA(_xlfn.XLOOKUP(C808,Table_Tarikan_Warkah[Nomor Sertipikat],Table_Tarikan_Warkah[Nomor Tiket]),"")</f>
        <v>L/6/281024/1</v>
      </c>
      <c r="E808" s="20">
        <f t="array" ref="E808">IFNA(_xlfn.XLOOKUP(D808,Table_Tarikan_Warkah[Nomor Tiket],Table_Tarikan_Warkah[Tanggal diserahkan kepada Validator]),"")</f>
        <v>45594.40951</v>
      </c>
      <c r="F808" s="20" t="str">
        <f t="array" ref="F808">IFNA(_xlfn.XLOOKUP(D808,Table_Tarikan_Warkah[Nomor Tiket],Table_Tarikan_Warkah[Nama Petugas Warkah]),"")</f>
        <v>David</v>
      </c>
      <c r="G808" s="21" t="str">
        <f t="array" ref="G808">IFNA(_xlfn.XLOOKUP(D808,Table_Tarikan_Warkah[Nomor Tiket],Table_Tarikan_Warkah[Jenis Permohonan]),"")</f>
        <v>BN LELANG</v>
      </c>
      <c r="H808" s="22" t="s">
        <v>31</v>
      </c>
      <c r="I808" s="22" t="s">
        <v>187</v>
      </c>
      <c r="J808" s="20">
        <f t="shared" si="29"/>
        <v>45617.35882</v>
      </c>
      <c r="K808" s="27" t="s">
        <v>33</v>
      </c>
      <c r="L808" s="27" t="s">
        <v>187</v>
      </c>
      <c r="M808" s="20">
        <f t="shared" si="30"/>
        <v>45617.59202</v>
      </c>
      <c r="N808" s="8" t="str">
        <f t="shared" si="3"/>
        <v>Selesai</v>
      </c>
      <c r="O808" s="23">
        <f t="shared" si="22"/>
        <v>45617.59202</v>
      </c>
      <c r="P808" s="24" t="b">
        <v>1</v>
      </c>
      <c r="Q808" s="20">
        <f t="shared" si="31"/>
        <v>45617.59338</v>
      </c>
      <c r="R808" s="24" t="b">
        <v>0</v>
      </c>
      <c r="S808" s="7" t="str">
        <f t="shared" si="6"/>
        <v/>
      </c>
      <c r="T808" s="7"/>
    </row>
    <row r="809" ht="22.5" hidden="1" customHeight="1">
      <c r="B809" s="7">
        <f t="shared" si="7"/>
        <v>803</v>
      </c>
      <c r="C809" s="18" t="s">
        <v>781</v>
      </c>
      <c r="D809" s="19" t="str">
        <f t="array" ref="D809">IFNA(_xlfn.XLOOKUP(C809,Table_Tarikan_Warkah[Nomor Sertipikat],Table_Tarikan_Warkah[Nomor Tiket]),"")</f>
        <v>L/29/121124/1</v>
      </c>
      <c r="E809" s="20">
        <f t="array" ref="E809">IFNA(_xlfn.XLOOKUP(D809,Table_Tarikan_Warkah[Nomor Tiket],Table_Tarikan_Warkah[Tanggal diserahkan kepada Validator]),"")</f>
        <v>45616.63361</v>
      </c>
      <c r="F809" s="20" t="str">
        <f t="array" ref="F809">IFNA(_xlfn.XLOOKUP(D809,Table_Tarikan_Warkah[Nomor Tiket],Table_Tarikan_Warkah[Nama Petugas Warkah]),"")</f>
        <v>Berry</v>
      </c>
      <c r="G809" s="21" t="str">
        <f t="array" ref="G809">IFNA(_xlfn.XLOOKUP(D809,Table_Tarikan_Warkah[Nomor Tiket],Table_Tarikan_Warkah[Jenis Permohonan]),"")</f>
        <v>ROYA</v>
      </c>
      <c r="H809" s="22" t="s">
        <v>37</v>
      </c>
      <c r="I809" s="22" t="s">
        <v>32</v>
      </c>
      <c r="J809" s="20">
        <f t="shared" si="29"/>
        <v>45617.46122</v>
      </c>
      <c r="K809" s="27" t="s">
        <v>65</v>
      </c>
      <c r="L809" s="27" t="s">
        <v>32</v>
      </c>
      <c r="M809" s="20">
        <f t="shared" si="30"/>
        <v>45617.5921</v>
      </c>
      <c r="N809" s="8" t="str">
        <f t="shared" si="3"/>
        <v>SELESAI</v>
      </c>
      <c r="O809" s="23">
        <f t="shared" si="22"/>
        <v>45617.5921</v>
      </c>
      <c r="P809" s="24" t="b">
        <v>0</v>
      </c>
      <c r="Q809" s="20" t="str">
        <f t="shared" si="31"/>
        <v/>
      </c>
      <c r="R809" s="24" t="b">
        <v>1</v>
      </c>
      <c r="S809" s="20">
        <f t="shared" si="6"/>
        <v>45617.59342</v>
      </c>
      <c r="T809" s="7"/>
    </row>
    <row r="810" ht="22.5" hidden="1" customHeight="1">
      <c r="B810" s="7">
        <f t="shared" si="7"/>
        <v>804</v>
      </c>
      <c r="C810" s="18" t="s">
        <v>782</v>
      </c>
      <c r="D810" s="19" t="str">
        <f t="array" ref="D810">IFNA(_xlfn.XLOOKUP(C810,Table_Tarikan_Warkah[Nomor Sertipikat],Table_Tarikan_Warkah[Nomor Tiket]),"")</f>
        <v>L/37/111124/1</v>
      </c>
      <c r="E810" s="20">
        <f t="array" ref="E810">IFNA(_xlfn.XLOOKUP(D810,Table_Tarikan_Warkah[Nomor Tiket],Table_Tarikan_Warkah[Tanggal diserahkan kepada Validator]),"")</f>
        <v>45616.4703</v>
      </c>
      <c r="F810" s="20" t="str">
        <f t="array" ref="F810">IFNA(_xlfn.XLOOKUP(D810,Table_Tarikan_Warkah[Nomor Tiket],Table_Tarikan_Warkah[Nama Petugas Warkah]),"")</f>
        <v>David</v>
      </c>
      <c r="G810" s="21" t="str">
        <f t="array" ref="G810">IFNA(_xlfn.XLOOKUP(D810,Table_Tarikan_Warkah[Nomor Tiket],Table_Tarikan_Warkah[Jenis Permohonan]),"")</f>
        <v>ROYA</v>
      </c>
      <c r="H810" s="22" t="s">
        <v>37</v>
      </c>
      <c r="I810" s="22" t="s">
        <v>32</v>
      </c>
      <c r="J810" s="20">
        <f t="shared" si="29"/>
        <v>45617.46134</v>
      </c>
      <c r="K810" s="27" t="s">
        <v>65</v>
      </c>
      <c r="L810" s="27" t="s">
        <v>32</v>
      </c>
      <c r="M810" s="20">
        <f t="shared" si="30"/>
        <v>45617.5921</v>
      </c>
      <c r="N810" s="8" t="str">
        <f t="shared" si="3"/>
        <v>SELESAI</v>
      </c>
      <c r="O810" s="23">
        <f t="shared" si="22"/>
        <v>45617.5921</v>
      </c>
      <c r="P810" s="24" t="b">
        <v>0</v>
      </c>
      <c r="Q810" s="20" t="str">
        <f t="shared" si="31"/>
        <v/>
      </c>
      <c r="R810" s="24" t="b">
        <v>1</v>
      </c>
      <c r="S810" s="20">
        <f t="shared" si="6"/>
        <v>45617.59342</v>
      </c>
      <c r="T810" s="7"/>
    </row>
    <row r="811" ht="22.5" hidden="1" customHeight="1">
      <c r="B811" s="7">
        <f t="shared" si="7"/>
        <v>805</v>
      </c>
      <c r="C811" s="18" t="s">
        <v>783</v>
      </c>
      <c r="D811" s="19" t="str">
        <f t="array" ref="D811">IFNA(_xlfn.XLOOKUP(C811,Table_Tarikan_Warkah[Nomor Sertipikat],Table_Tarikan_Warkah[Nomor Tiket]),"")</f>
        <v>L/3/111124/1</v>
      </c>
      <c r="E811" s="20">
        <f t="array" ref="E811">IFNA(_xlfn.XLOOKUP(D811,Table_Tarikan_Warkah[Nomor Tiket],Table_Tarikan_Warkah[Tanggal diserahkan kepada Validator]),"")</f>
        <v>45616.47039</v>
      </c>
      <c r="F811" s="20" t="str">
        <f t="array" ref="F811">IFNA(_xlfn.XLOOKUP(D811,Table_Tarikan_Warkah[Nomor Tiket],Table_Tarikan_Warkah[Nama Petugas Warkah]),"")</f>
        <v>Berry</v>
      </c>
      <c r="G811" s="21" t="str">
        <f t="array" ref="G811">IFNA(_xlfn.XLOOKUP(D811,Table_Tarikan_Warkah[Nomor Tiket],Table_Tarikan_Warkah[Jenis Permohonan]),"")</f>
        <v>ROYA</v>
      </c>
      <c r="H811" s="22" t="s">
        <v>37</v>
      </c>
      <c r="I811" s="22" t="s">
        <v>32</v>
      </c>
      <c r="J811" s="20">
        <f t="shared" si="29"/>
        <v>45617.46144</v>
      </c>
      <c r="K811" s="27" t="s">
        <v>65</v>
      </c>
      <c r="L811" s="27" t="s">
        <v>32</v>
      </c>
      <c r="M811" s="20">
        <f t="shared" si="30"/>
        <v>45617.5921</v>
      </c>
      <c r="N811" s="8" t="str">
        <f t="shared" si="3"/>
        <v>SELESAI</v>
      </c>
      <c r="O811" s="23">
        <f t="shared" si="22"/>
        <v>45617.5921</v>
      </c>
      <c r="P811" s="24" t="b">
        <v>0</v>
      </c>
      <c r="Q811" s="20" t="str">
        <f t="shared" si="31"/>
        <v/>
      </c>
      <c r="R811" s="24" t="b">
        <v>1</v>
      </c>
      <c r="S811" s="20">
        <f t="shared" si="6"/>
        <v>45617.59342</v>
      </c>
      <c r="T811" s="7"/>
    </row>
    <row r="812" ht="22.5" hidden="1" customHeight="1">
      <c r="B812" s="7">
        <f t="shared" si="7"/>
        <v>806</v>
      </c>
      <c r="C812" s="18" t="s">
        <v>784</v>
      </c>
      <c r="D812" s="19" t="str">
        <f t="array" ref="D812">IFNA(_xlfn.XLOOKUP(C812,Table_Tarikan_Warkah[Nomor Sertipikat],Table_Tarikan_Warkah[Nomor Tiket]),"")</f>
        <v>K/2/191124/1</v>
      </c>
      <c r="E812" s="20" t="str">
        <f t="array" ref="E812">IFNA(_xlfn.XLOOKUP(D812,Table_Tarikan_Warkah[Nomor Tiket],Table_Tarikan_Warkah[Tanggal diserahkan kepada Validator]),"")</f>
        <v/>
      </c>
      <c r="F812" s="20" t="str">
        <f t="array" ref="F812">IFNA(_xlfn.XLOOKUP(D812,Table_Tarikan_Warkah[Nomor Tiket],Table_Tarikan_Warkah[Nama Petugas Warkah]),"")</f>
        <v/>
      </c>
      <c r="G812" s="21" t="str">
        <f t="array" ref="G812">IFNA(_xlfn.XLOOKUP(D812,Table_Tarikan_Warkah[Nomor Tiket],Table_Tarikan_Warkah[Jenis Permohonan]),"")</f>
        <v>BN JUAL BELI</v>
      </c>
      <c r="H812" s="22" t="s">
        <v>37</v>
      </c>
      <c r="I812" s="22" t="s">
        <v>32</v>
      </c>
      <c r="J812" s="20">
        <f t="shared" si="29"/>
        <v>45617.46155</v>
      </c>
      <c r="K812" s="27" t="s">
        <v>65</v>
      </c>
      <c r="L812" s="27" t="s">
        <v>32</v>
      </c>
      <c r="M812" s="20">
        <f t="shared" si="30"/>
        <v>45617.5921</v>
      </c>
      <c r="N812" s="8" t="str">
        <f t="shared" si="3"/>
        <v>SELESAI</v>
      </c>
      <c r="O812" s="23">
        <f t="shared" si="22"/>
        <v>45617.5921</v>
      </c>
      <c r="P812" s="24" t="b">
        <v>0</v>
      </c>
      <c r="Q812" s="20" t="str">
        <f t="shared" si="31"/>
        <v/>
      </c>
      <c r="R812" s="24" t="b">
        <v>1</v>
      </c>
      <c r="S812" s="20">
        <f t="shared" si="6"/>
        <v>45617.59342</v>
      </c>
      <c r="T812" s="7"/>
    </row>
    <row r="813" ht="22.5" hidden="1" customHeight="1">
      <c r="B813" s="7">
        <f t="shared" si="7"/>
        <v>807</v>
      </c>
      <c r="C813" s="18" t="s">
        <v>785</v>
      </c>
      <c r="D813" s="19" t="str">
        <f t="array" ref="D813">IFNA(_xlfn.XLOOKUP(C813,Table_Tarikan_Warkah[Nomor Sertipikat],Table_Tarikan_Warkah[Nomor Tiket]),"")</f>
        <v>K/18/191124/1</v>
      </c>
      <c r="E813" s="20">
        <f t="array" ref="E813">IFNA(_xlfn.XLOOKUP(D813,Table_Tarikan_Warkah[Nomor Tiket],Table_Tarikan_Warkah[Tanggal diserahkan kepada Validator]),"")</f>
        <v>45642.68828</v>
      </c>
      <c r="F813" s="20" t="str">
        <f t="array" ref="F813">IFNA(_xlfn.XLOOKUP(D813,Table_Tarikan_Warkah[Nomor Tiket],Table_Tarikan_Warkah[Nama Petugas Warkah]),"")</f>
        <v/>
      </c>
      <c r="G813" s="21" t="str">
        <f t="array" ref="G813">IFNA(_xlfn.XLOOKUP(D813,Table_Tarikan_Warkah[Nomor Tiket],Table_Tarikan_Warkah[Jenis Permohonan]),"")</f>
        <v>BN JUAL BELI</v>
      </c>
      <c r="H813" s="22" t="s">
        <v>37</v>
      </c>
      <c r="I813" s="22" t="s">
        <v>32</v>
      </c>
      <c r="J813" s="20">
        <f t="shared" si="29"/>
        <v>45617.46166</v>
      </c>
      <c r="K813" s="27" t="s">
        <v>65</v>
      </c>
      <c r="L813" s="27" t="s">
        <v>32</v>
      </c>
      <c r="M813" s="20">
        <f t="shared" si="30"/>
        <v>45617.59212</v>
      </c>
      <c r="N813" s="8" t="str">
        <f t="shared" si="3"/>
        <v>SELESAI</v>
      </c>
      <c r="O813" s="23">
        <f t="shared" si="22"/>
        <v>45617.59212</v>
      </c>
      <c r="P813" s="24" t="b">
        <v>0</v>
      </c>
      <c r="Q813" s="20" t="str">
        <f t="shared" si="31"/>
        <v/>
      </c>
      <c r="R813" s="24" t="b">
        <v>1</v>
      </c>
      <c r="S813" s="20">
        <f t="shared" si="6"/>
        <v>45617.59342</v>
      </c>
      <c r="T813" s="7"/>
    </row>
    <row r="814" ht="22.5" hidden="1" customHeight="1">
      <c r="B814" s="7">
        <f t="shared" si="7"/>
        <v>808</v>
      </c>
      <c r="C814" s="18" t="s">
        <v>786</v>
      </c>
      <c r="D814" s="19" t="str">
        <f t="array" ref="D814">IFNA(_xlfn.XLOOKUP(C814,Table_Tarikan_Warkah[Nomor Sertipikat],Table_Tarikan_Warkah[Nomor Tiket]),"")</f>
        <v>K/13/191124/1</v>
      </c>
      <c r="E814" s="20" t="str">
        <f t="array" ref="E814">IFNA(_xlfn.XLOOKUP(D814,Table_Tarikan_Warkah[Nomor Tiket],Table_Tarikan_Warkah[Tanggal diserahkan kepada Validator]),"")</f>
        <v/>
      </c>
      <c r="F814" s="20" t="str">
        <f t="array" ref="F814">IFNA(_xlfn.XLOOKUP(D814,Table_Tarikan_Warkah[Nomor Tiket],Table_Tarikan_Warkah[Nama Petugas Warkah]),"")</f>
        <v/>
      </c>
      <c r="G814" s="21" t="str">
        <f t="array" ref="G814">IFNA(_xlfn.XLOOKUP(D814,Table_Tarikan_Warkah[Nomor Tiket],Table_Tarikan_Warkah[Jenis Permohonan]),"")</f>
        <v>BN Jual Beli</v>
      </c>
      <c r="H814" s="22" t="s">
        <v>37</v>
      </c>
      <c r="I814" s="22" t="s">
        <v>32</v>
      </c>
      <c r="J814" s="20">
        <f t="shared" si="29"/>
        <v>45617.46175</v>
      </c>
      <c r="K814" s="27" t="s">
        <v>65</v>
      </c>
      <c r="L814" s="27" t="s">
        <v>32</v>
      </c>
      <c r="M814" s="20">
        <f t="shared" si="30"/>
        <v>45617.59212</v>
      </c>
      <c r="N814" s="8" t="str">
        <f t="shared" si="3"/>
        <v>SELESAI</v>
      </c>
      <c r="O814" s="23">
        <f t="shared" si="22"/>
        <v>45617.59212</v>
      </c>
      <c r="P814" s="24" t="b">
        <v>0</v>
      </c>
      <c r="Q814" s="20" t="str">
        <f t="shared" si="31"/>
        <v/>
      </c>
      <c r="R814" s="24" t="b">
        <v>1</v>
      </c>
      <c r="S814" s="20">
        <f t="shared" si="6"/>
        <v>45617.59342</v>
      </c>
      <c r="T814" s="7"/>
    </row>
    <row r="815" ht="22.5" hidden="1" customHeight="1">
      <c r="B815" s="7">
        <f t="shared" si="7"/>
        <v>809</v>
      </c>
      <c r="C815" s="18" t="s">
        <v>762</v>
      </c>
      <c r="D815" s="19" t="str">
        <f t="array" ref="D815">IFNA(_xlfn.XLOOKUP(C815,Table_Tarikan_Warkah[Nomor Sertipikat],Table_Tarikan_Warkah[Nomor Tiket]),"")</f>
        <v>L/1/141024/1</v>
      </c>
      <c r="E815" s="20">
        <f t="array" ref="E815">IFNA(_xlfn.XLOOKUP(D815,Table_Tarikan_Warkah[Nomor Tiket],Table_Tarikan_Warkah[Tanggal diserahkan kepada Validator]),"")</f>
        <v>45616.45838</v>
      </c>
      <c r="F815" s="20" t="str">
        <f t="array" ref="F815">IFNA(_xlfn.XLOOKUP(D815,Table_Tarikan_Warkah[Nomor Tiket],Table_Tarikan_Warkah[Nama Petugas Warkah]),"")</f>
        <v/>
      </c>
      <c r="G815" s="21" t="str">
        <f t="array" ref="G815">IFNA(_xlfn.XLOOKUP(D815,Table_Tarikan_Warkah[Nomor Tiket],Table_Tarikan_Warkah[Jenis Permohonan]),"")</f>
        <v>ROYA</v>
      </c>
      <c r="H815" s="22" t="s">
        <v>37</v>
      </c>
      <c r="I815" s="22" t="s">
        <v>32</v>
      </c>
      <c r="J815" s="20">
        <f t="shared" si="29"/>
        <v>45617.46186</v>
      </c>
      <c r="K815" s="27" t="s">
        <v>65</v>
      </c>
      <c r="L815" s="27" t="s">
        <v>32</v>
      </c>
      <c r="M815" s="20">
        <f t="shared" si="30"/>
        <v>45617.59212</v>
      </c>
      <c r="N815" s="8" t="str">
        <f t="shared" si="3"/>
        <v>SELESAI</v>
      </c>
      <c r="O815" s="23">
        <f t="shared" si="22"/>
        <v>45617.59212</v>
      </c>
      <c r="P815" s="24" t="b">
        <v>0</v>
      </c>
      <c r="Q815" s="20" t="str">
        <f t="shared" si="31"/>
        <v/>
      </c>
      <c r="R815" s="24" t="b">
        <v>1</v>
      </c>
      <c r="S815" s="20">
        <f t="shared" si="6"/>
        <v>45617.59342</v>
      </c>
      <c r="T815" s="7"/>
    </row>
    <row r="816" ht="22.5" hidden="1" customHeight="1">
      <c r="B816" s="7">
        <f t="shared" si="7"/>
        <v>810</v>
      </c>
      <c r="C816" s="18" t="s">
        <v>787</v>
      </c>
      <c r="D816" s="19" t="str">
        <f t="array" ref="D816">IFNA(_xlfn.XLOOKUP(C816,Table_Tarikan_Warkah[Nomor Sertipikat],Table_Tarikan_Warkah[Nomor Tiket]),"")</f>
        <v>K/33/191124/2</v>
      </c>
      <c r="E816" s="20">
        <f t="array" ref="E816">IFNA(_xlfn.XLOOKUP(D816,Table_Tarikan_Warkah[Nomor Tiket],Table_Tarikan_Warkah[Tanggal diserahkan kepada Validator]),"")</f>
        <v>45616.63361</v>
      </c>
      <c r="F816" s="20" t="str">
        <f t="array" ref="F816">IFNA(_xlfn.XLOOKUP(D816,Table_Tarikan_Warkah[Nomor Tiket],Table_Tarikan_Warkah[Nama Petugas Warkah]),"")</f>
        <v>Berry</v>
      </c>
      <c r="G816" s="21" t="str">
        <f t="array" ref="G816">IFNA(_xlfn.XLOOKUP(D816,Table_Tarikan_Warkah[Nomor Tiket],Table_Tarikan_Warkah[Jenis Permohonan]),"")</f>
        <v>BN JUAL BELI</v>
      </c>
      <c r="H816" s="22" t="s">
        <v>31</v>
      </c>
      <c r="I816" s="22" t="s">
        <v>32</v>
      </c>
      <c r="J816" s="20">
        <f t="shared" si="29"/>
        <v>45617.57768</v>
      </c>
      <c r="K816" s="27" t="s">
        <v>65</v>
      </c>
      <c r="L816" s="27" t="s">
        <v>32</v>
      </c>
      <c r="M816" s="20">
        <f t="shared" si="30"/>
        <v>45617.58919</v>
      </c>
      <c r="N816" s="8" t="str">
        <f t="shared" si="3"/>
        <v>SELESAI</v>
      </c>
      <c r="O816" s="23">
        <f t="shared" si="22"/>
        <v>45617.58919</v>
      </c>
      <c r="P816" s="24" t="b">
        <v>0</v>
      </c>
      <c r="Q816" s="20" t="str">
        <f t="shared" si="31"/>
        <v/>
      </c>
      <c r="R816" s="24" t="b">
        <v>1</v>
      </c>
      <c r="S816" s="20">
        <f t="shared" si="6"/>
        <v>45617.59345</v>
      </c>
      <c r="T816" s="7"/>
    </row>
    <row r="817" ht="22.5" hidden="1" customHeight="1">
      <c r="B817" s="7">
        <f t="shared" si="7"/>
        <v>811</v>
      </c>
      <c r="C817" s="18" t="s">
        <v>788</v>
      </c>
      <c r="D817" s="19" t="str">
        <f t="array" ref="D817">IFNA(_xlfn.XLOOKUP(C817,Table_Tarikan_Warkah[Nomor Sertipikat],Table_Tarikan_Warkah[Nomor Tiket]),"")</f>
        <v>K/30/181024/1</v>
      </c>
      <c r="E817" s="20" t="str">
        <f t="array" ref="E817">IFNA(_xlfn.XLOOKUP(D817,Table_Tarikan_Warkah[Nomor Tiket],Table_Tarikan_Warkah[Tanggal diserahkan kepada Validator]),"")</f>
        <v/>
      </c>
      <c r="F817" s="20" t="str">
        <f t="array" ref="F817">IFNA(_xlfn.XLOOKUP(D817,Table_Tarikan_Warkah[Nomor Tiket],Table_Tarikan_Warkah[Nama Petugas Warkah]),"")</f>
        <v/>
      </c>
      <c r="G817" s="21" t="str">
        <f t="array" ref="G817">IFNA(_xlfn.XLOOKUP(D817,Table_Tarikan_Warkah[Nomor Tiket],Table_Tarikan_Warkah[Jenis Permohonan]),"")</f>
        <v>Plotting</v>
      </c>
      <c r="H817" s="22" t="s">
        <v>31</v>
      </c>
      <c r="I817" s="22" t="s">
        <v>32</v>
      </c>
      <c r="J817" s="20">
        <f t="shared" si="29"/>
        <v>45617.57768</v>
      </c>
      <c r="K817" s="27" t="s">
        <v>65</v>
      </c>
      <c r="L817" s="27" t="s">
        <v>32</v>
      </c>
      <c r="M817" s="20">
        <f t="shared" si="30"/>
        <v>45617.58924</v>
      </c>
      <c r="N817" s="8" t="str">
        <f t="shared" si="3"/>
        <v>SELESAI</v>
      </c>
      <c r="O817" s="23">
        <f t="shared" si="22"/>
        <v>45617.58924</v>
      </c>
      <c r="P817" s="24" t="b">
        <v>0</v>
      </c>
      <c r="Q817" s="20" t="str">
        <f t="shared" si="31"/>
        <v/>
      </c>
      <c r="R817" s="24" t="b">
        <v>1</v>
      </c>
      <c r="S817" s="20">
        <f t="shared" si="6"/>
        <v>45617.59345</v>
      </c>
      <c r="T817" s="7"/>
    </row>
    <row r="818" ht="22.5" hidden="1" customHeight="1">
      <c r="B818" s="7">
        <f t="shared" si="7"/>
        <v>812</v>
      </c>
      <c r="C818" s="18" t="s">
        <v>789</v>
      </c>
      <c r="D818" s="19" t="str">
        <f t="array" ref="D818">IFNA(_xlfn.XLOOKUP(C818,Table_Tarikan_Warkah[Nomor Sertipikat],Table_Tarikan_Warkah[Nomor Tiket]),"")</f>
        <v>K/41/191124/2</v>
      </c>
      <c r="E818" s="20" t="str">
        <f t="array" ref="E818">IFNA(_xlfn.XLOOKUP(D818,Table_Tarikan_Warkah[Nomor Tiket],Table_Tarikan_Warkah[Tanggal diserahkan kepada Validator]),"")</f>
        <v/>
      </c>
      <c r="F818" s="20" t="str">
        <f t="array" ref="F818">IFNA(_xlfn.XLOOKUP(D818,Table_Tarikan_Warkah[Nomor Tiket],Table_Tarikan_Warkah[Nama Petugas Warkah]),"")</f>
        <v/>
      </c>
      <c r="G818" s="21" t="str">
        <f t="array" ref="G818">IFNA(_xlfn.XLOOKUP(D818,Table_Tarikan_Warkah[Nomor Tiket],Table_Tarikan_Warkah[Jenis Permohonan]),"")</f>
        <v>Roya</v>
      </c>
      <c r="H818" s="22" t="s">
        <v>31</v>
      </c>
      <c r="I818" s="22" t="s">
        <v>32</v>
      </c>
      <c r="J818" s="20">
        <f t="shared" si="29"/>
        <v>45617.57768</v>
      </c>
      <c r="K818" s="27" t="s">
        <v>65</v>
      </c>
      <c r="L818" s="27" t="s">
        <v>32</v>
      </c>
      <c r="M818" s="20">
        <f t="shared" si="30"/>
        <v>45617.58928</v>
      </c>
      <c r="N818" s="8" t="str">
        <f t="shared" si="3"/>
        <v>SELESAI</v>
      </c>
      <c r="O818" s="23">
        <f t="shared" si="22"/>
        <v>45617.58928</v>
      </c>
      <c r="P818" s="24" t="b">
        <v>0</v>
      </c>
      <c r="Q818" s="20" t="str">
        <f t="shared" si="31"/>
        <v/>
      </c>
      <c r="R818" s="24" t="b">
        <v>1</v>
      </c>
      <c r="S818" s="20">
        <f t="shared" si="6"/>
        <v>45617.59345</v>
      </c>
      <c r="T818" s="7"/>
    </row>
    <row r="819" ht="22.5" hidden="1" customHeight="1">
      <c r="B819" s="7">
        <f t="shared" si="7"/>
        <v>813</v>
      </c>
      <c r="C819" s="18" t="s">
        <v>790</v>
      </c>
      <c r="D819" s="19" t="str">
        <f t="array" ref="D819">IFNA(_xlfn.XLOOKUP(C819,Table_Tarikan_Warkah[Nomor Sertipikat],Table_Tarikan_Warkah[Nomor Tiket]),"")</f>
        <v>L/51/191124/1</v>
      </c>
      <c r="E819" s="20">
        <f t="array" ref="E819">IFNA(_xlfn.XLOOKUP(D819,Table_Tarikan_Warkah[Nomor Tiket],Table_Tarikan_Warkah[Tanggal diserahkan kepada Validator]),"")</f>
        <v>45616.63361</v>
      </c>
      <c r="F819" s="20" t="str">
        <f t="array" ref="F819">IFNA(_xlfn.XLOOKUP(D819,Table_Tarikan_Warkah[Nomor Tiket],Table_Tarikan_Warkah[Nama Petugas Warkah]),"")</f>
        <v>Berry</v>
      </c>
      <c r="G819" s="21" t="str">
        <f t="array" ref="G819">IFNA(_xlfn.XLOOKUP(D819,Table_Tarikan_Warkah[Nomor Tiket],Table_Tarikan_Warkah[Jenis Permohonan]),"")</f>
        <v>ROYA</v>
      </c>
      <c r="H819" s="22" t="s">
        <v>31</v>
      </c>
      <c r="I819" s="22" t="s">
        <v>32</v>
      </c>
      <c r="J819" s="20">
        <f t="shared" si="29"/>
        <v>45617.57768</v>
      </c>
      <c r="K819" s="27" t="s">
        <v>65</v>
      </c>
      <c r="L819" s="27" t="s">
        <v>32</v>
      </c>
      <c r="M819" s="20">
        <f t="shared" si="30"/>
        <v>45617.58928</v>
      </c>
      <c r="N819" s="8" t="str">
        <f t="shared" si="3"/>
        <v>SELESAI</v>
      </c>
      <c r="O819" s="23">
        <f t="shared" si="22"/>
        <v>45617.58928</v>
      </c>
      <c r="P819" s="24" t="b">
        <v>0</v>
      </c>
      <c r="Q819" s="20" t="str">
        <f t="shared" si="31"/>
        <v/>
      </c>
      <c r="R819" s="24" t="b">
        <v>1</v>
      </c>
      <c r="S819" s="20">
        <f t="shared" si="6"/>
        <v>45617.59345</v>
      </c>
      <c r="T819" s="7"/>
    </row>
    <row r="820" ht="22.5" hidden="1" customHeight="1">
      <c r="B820" s="7">
        <f t="shared" si="7"/>
        <v>814</v>
      </c>
      <c r="C820" s="18" t="s">
        <v>791</v>
      </c>
      <c r="D820" s="19" t="str">
        <f t="array" ref="D820">IFNA(_xlfn.XLOOKUP(C820,Table_Tarikan_Warkah[Nomor Sertipikat],Table_Tarikan_Warkah[Nomor Tiket]),"")</f>
        <v>L/52/191124/1</v>
      </c>
      <c r="E820" s="20" t="str">
        <f t="array" ref="E820">IFNA(_xlfn.XLOOKUP(D820,Table_Tarikan_Warkah[Nomor Tiket],Table_Tarikan_Warkah[Tanggal diserahkan kepada Validator]),"")</f>
        <v/>
      </c>
      <c r="F820" s="20" t="str">
        <f t="array" ref="F820">IFNA(_xlfn.XLOOKUP(D820,Table_Tarikan_Warkah[Nomor Tiket],Table_Tarikan_Warkah[Nama Petugas Warkah]),"")</f>
        <v>Berry</v>
      </c>
      <c r="G820" s="21" t="str">
        <f t="array" ref="G820">IFNA(_xlfn.XLOOKUP(D820,Table_Tarikan_Warkah[Nomor Tiket],Table_Tarikan_Warkah[Jenis Permohonan]),"")</f>
        <v>ROYA</v>
      </c>
      <c r="H820" s="22" t="s">
        <v>31</v>
      </c>
      <c r="I820" s="22" t="s">
        <v>32</v>
      </c>
      <c r="J820" s="20">
        <f t="shared" si="29"/>
        <v>45617.57768</v>
      </c>
      <c r="K820" s="27" t="s">
        <v>65</v>
      </c>
      <c r="L820" s="27" t="s">
        <v>32</v>
      </c>
      <c r="M820" s="20">
        <f t="shared" si="30"/>
        <v>45617.58936</v>
      </c>
      <c r="N820" s="8" t="str">
        <f t="shared" si="3"/>
        <v>SELESAI</v>
      </c>
      <c r="O820" s="23">
        <f t="shared" si="22"/>
        <v>45617.58936</v>
      </c>
      <c r="P820" s="24" t="b">
        <v>0</v>
      </c>
      <c r="Q820" s="20" t="str">
        <f t="shared" si="31"/>
        <v/>
      </c>
      <c r="R820" s="24" t="b">
        <v>1</v>
      </c>
      <c r="S820" s="20">
        <f t="shared" si="6"/>
        <v>45617.59345</v>
      </c>
      <c r="T820" s="7"/>
    </row>
    <row r="821" ht="22.5" hidden="1" customHeight="1">
      <c r="B821" s="7">
        <f t="shared" si="7"/>
        <v>815</v>
      </c>
      <c r="C821" s="18" t="s">
        <v>792</v>
      </c>
      <c r="D821" s="19" t="str">
        <f t="array" ref="D821">IFNA(_xlfn.XLOOKUP(C821,Table_Tarikan_Warkah[Nomor Sertipikat],Table_Tarikan_Warkah[Nomor Tiket]),"")</f>
        <v>K/55/191124/1</v>
      </c>
      <c r="E821" s="20" t="str">
        <f t="array" ref="E821">IFNA(_xlfn.XLOOKUP(D821,Table_Tarikan_Warkah[Nomor Tiket],Table_Tarikan_Warkah[Tanggal diserahkan kepada Validator]),"")</f>
        <v/>
      </c>
      <c r="F821" s="20" t="str">
        <f t="array" ref="F821">IFNA(_xlfn.XLOOKUP(D821,Table_Tarikan_Warkah[Nomor Tiket],Table_Tarikan_Warkah[Nama Petugas Warkah]),"")</f>
        <v/>
      </c>
      <c r="G821" s="21" t="str">
        <f t="array" ref="G821">IFNA(_xlfn.XLOOKUP(D821,Table_Tarikan_Warkah[Nomor Tiket],Table_Tarikan_Warkah[Jenis Permohonan]),"")</f>
        <v>BN JUAL BELI</v>
      </c>
      <c r="H821" s="22" t="s">
        <v>31</v>
      </c>
      <c r="I821" s="22" t="s">
        <v>32</v>
      </c>
      <c r="J821" s="20">
        <f t="shared" si="29"/>
        <v>45617.57768</v>
      </c>
      <c r="K821" s="27" t="s">
        <v>65</v>
      </c>
      <c r="L821" s="27" t="s">
        <v>32</v>
      </c>
      <c r="M821" s="20">
        <f t="shared" si="30"/>
        <v>45617.58936</v>
      </c>
      <c r="N821" s="8" t="str">
        <f t="shared" si="3"/>
        <v>SELESAI</v>
      </c>
      <c r="O821" s="23">
        <f t="shared" si="22"/>
        <v>45617.58936</v>
      </c>
      <c r="P821" s="24" t="b">
        <v>0</v>
      </c>
      <c r="Q821" s="20" t="str">
        <f t="shared" si="31"/>
        <v/>
      </c>
      <c r="R821" s="24" t="b">
        <v>1</v>
      </c>
      <c r="S821" s="20">
        <f t="shared" si="6"/>
        <v>45617.59345</v>
      </c>
      <c r="T821" s="7"/>
    </row>
    <row r="822" ht="22.5" hidden="1" customHeight="1">
      <c r="B822" s="7">
        <f t="shared" si="7"/>
        <v>816</v>
      </c>
      <c r="C822" s="18" t="s">
        <v>793</v>
      </c>
      <c r="D822" s="19" t="str">
        <f t="array" ref="D822">IFNA(_xlfn.XLOOKUP(C822,Table_Tarikan_Warkah[Nomor Sertipikat],Table_Tarikan_Warkah[Nomor Tiket]),"")</f>
        <v>K/50/191124/2</v>
      </c>
      <c r="E822" s="20" t="str">
        <f t="array" ref="E822">IFNA(_xlfn.XLOOKUP(D822,Table_Tarikan_Warkah[Nomor Tiket],Table_Tarikan_Warkah[Tanggal diserahkan kepada Validator]),"")</f>
        <v/>
      </c>
      <c r="F822" s="20" t="str">
        <f t="array" ref="F822">IFNA(_xlfn.XLOOKUP(D822,Table_Tarikan_Warkah[Nomor Tiket],Table_Tarikan_Warkah[Nama Petugas Warkah]),"")</f>
        <v>Berry</v>
      </c>
      <c r="G822" s="21" t="str">
        <f t="array" ref="G822">IFNA(_xlfn.XLOOKUP(D822,Table_Tarikan_Warkah[Nomor Tiket],Table_Tarikan_Warkah[Jenis Permohonan]),"")</f>
        <v>BN JUAL BELI</v>
      </c>
      <c r="H822" s="22" t="s">
        <v>31</v>
      </c>
      <c r="I822" s="22" t="s">
        <v>32</v>
      </c>
      <c r="J822" s="20">
        <f t="shared" si="29"/>
        <v>45617.57768</v>
      </c>
      <c r="K822" s="27" t="s">
        <v>65</v>
      </c>
      <c r="L822" s="27" t="s">
        <v>32</v>
      </c>
      <c r="M822" s="20">
        <f t="shared" si="30"/>
        <v>45617.58936</v>
      </c>
      <c r="N822" s="8" t="str">
        <f t="shared" si="3"/>
        <v>SELESAI</v>
      </c>
      <c r="O822" s="23">
        <f t="shared" si="22"/>
        <v>45617.58936</v>
      </c>
      <c r="P822" s="24" t="b">
        <v>0</v>
      </c>
      <c r="Q822" s="20" t="str">
        <f t="shared" si="31"/>
        <v/>
      </c>
      <c r="R822" s="24" t="b">
        <v>1</v>
      </c>
      <c r="S822" s="20">
        <f t="shared" si="6"/>
        <v>45617.59345</v>
      </c>
      <c r="T822" s="7"/>
    </row>
    <row r="823" ht="22.5" hidden="1" customHeight="1">
      <c r="B823" s="7">
        <f t="shared" si="7"/>
        <v>817</v>
      </c>
      <c r="C823" s="18" t="s">
        <v>794</v>
      </c>
      <c r="D823" s="19" t="str">
        <f t="array" ref="D823">IFNA(_xlfn.XLOOKUP(C823,Table_Tarikan_Warkah[Nomor Sertipikat],Table_Tarikan_Warkah[Nomor Tiket]),"")</f>
        <v>K/49/191124/1</v>
      </c>
      <c r="E823" s="20">
        <f t="array" ref="E823">IFNA(_xlfn.XLOOKUP(D823,Table_Tarikan_Warkah[Nomor Tiket],Table_Tarikan_Warkah[Tanggal diserahkan kepada Validator]),"")</f>
        <v>45616.63361</v>
      </c>
      <c r="F823" s="20" t="str">
        <f t="array" ref="F823">IFNA(_xlfn.XLOOKUP(D823,Table_Tarikan_Warkah[Nomor Tiket],Table_Tarikan_Warkah[Nama Petugas Warkah]),"")</f>
        <v>Berry</v>
      </c>
      <c r="G823" s="21" t="str">
        <f t="array" ref="G823">IFNA(_xlfn.XLOOKUP(D823,Table_Tarikan_Warkah[Nomor Tiket],Table_Tarikan_Warkah[Jenis Permohonan]),"")</f>
        <v>BN JUAL BELI</v>
      </c>
      <c r="H823" s="22" t="s">
        <v>31</v>
      </c>
      <c r="I823" s="22" t="s">
        <v>32</v>
      </c>
      <c r="J823" s="20">
        <f t="shared" si="29"/>
        <v>45617.57768</v>
      </c>
      <c r="K823" s="27" t="s">
        <v>65</v>
      </c>
      <c r="L823" s="27" t="s">
        <v>32</v>
      </c>
      <c r="M823" s="20">
        <f t="shared" si="30"/>
        <v>45617.58938</v>
      </c>
      <c r="N823" s="8" t="str">
        <f t="shared" si="3"/>
        <v>SELESAI</v>
      </c>
      <c r="O823" s="23">
        <f t="shared" si="22"/>
        <v>45617.58938</v>
      </c>
      <c r="P823" s="24" t="b">
        <v>0</v>
      </c>
      <c r="Q823" s="20" t="str">
        <f t="shared" si="31"/>
        <v/>
      </c>
      <c r="R823" s="24" t="b">
        <v>1</v>
      </c>
      <c r="S823" s="20">
        <f t="shared" si="6"/>
        <v>45617.59348</v>
      </c>
      <c r="T823" s="7"/>
    </row>
    <row r="824" ht="22.5" hidden="1" customHeight="1">
      <c r="B824" s="7">
        <f t="shared" si="7"/>
        <v>818</v>
      </c>
      <c r="C824" s="18" t="s">
        <v>795</v>
      </c>
      <c r="D824" s="7" t="s">
        <v>796</v>
      </c>
      <c r="E824" s="20" t="str">
        <f t="array" ref="E824">IFNA(_xlfn.XLOOKUP(D824,Table_Tarikan_Warkah[Nomor Tiket],Table_Tarikan_Warkah[Tanggal diserahkan kepada Validator]),"")</f>
        <v/>
      </c>
      <c r="F824" s="20" t="str">
        <f t="array" ref="F824">IFNA(_xlfn.XLOOKUP(D824,Table_Tarikan_Warkah[Nomor Tiket],Table_Tarikan_Warkah[Nama Petugas Warkah]),"")</f>
        <v/>
      </c>
      <c r="G824" s="21" t="str">
        <f t="array" ref="G824">IFNA(_xlfn.XLOOKUP(D824,Table_Tarikan_Warkah[Nomor Tiket],Table_Tarikan_Warkah[Jenis Permohonan]),"")</f>
        <v>KEWARISAN</v>
      </c>
      <c r="H824" s="22" t="s">
        <v>31</v>
      </c>
      <c r="I824" s="22" t="s">
        <v>32</v>
      </c>
      <c r="J824" s="20">
        <f t="shared" si="29"/>
        <v>45617.57768</v>
      </c>
      <c r="K824" s="27" t="s">
        <v>65</v>
      </c>
      <c r="L824" s="27" t="s">
        <v>32</v>
      </c>
      <c r="M824" s="20">
        <f t="shared" si="30"/>
        <v>45617.58938</v>
      </c>
      <c r="N824" s="8" t="str">
        <f t="shared" si="3"/>
        <v>SELESAI</v>
      </c>
      <c r="O824" s="23">
        <f t="shared" si="22"/>
        <v>45617.58938</v>
      </c>
      <c r="P824" s="24" t="b">
        <v>0</v>
      </c>
      <c r="Q824" s="20" t="str">
        <f t="shared" si="31"/>
        <v/>
      </c>
      <c r="R824" s="24" t="b">
        <v>1</v>
      </c>
      <c r="S824" s="20">
        <f t="shared" si="6"/>
        <v>45617.5935</v>
      </c>
      <c r="T824" s="7"/>
    </row>
    <row r="825" ht="22.5" hidden="1" customHeight="1">
      <c r="B825" s="7">
        <f t="shared" si="7"/>
        <v>819</v>
      </c>
      <c r="C825" s="18" t="s">
        <v>797</v>
      </c>
      <c r="D825" s="7" t="s">
        <v>798</v>
      </c>
      <c r="E825" s="20" t="str">
        <f t="array" ref="E825">IFNA(_xlfn.XLOOKUP(D825,Table_Tarikan_Warkah[Nomor Tiket],Table_Tarikan_Warkah[Tanggal diserahkan kepada Validator]),"")</f>
        <v/>
      </c>
      <c r="F825" s="20" t="str">
        <f t="array" ref="F825">IFNA(_xlfn.XLOOKUP(D825,Table_Tarikan_Warkah[Nomor Tiket],Table_Tarikan_Warkah[Nama Petugas Warkah]),"")</f>
        <v/>
      </c>
      <c r="G825" s="21" t="str">
        <f t="array" ref="G825">IFNA(_xlfn.XLOOKUP(D825,Table_Tarikan_Warkah[Nomor Tiket],Table_Tarikan_Warkah[Jenis Permohonan]),"")</f>
        <v>Roya</v>
      </c>
      <c r="H825" s="22" t="s">
        <v>31</v>
      </c>
      <c r="I825" s="22" t="s">
        <v>32</v>
      </c>
      <c r="J825" s="20">
        <f t="shared" si="29"/>
        <v>45617.57768</v>
      </c>
      <c r="K825" s="27" t="s">
        <v>65</v>
      </c>
      <c r="L825" s="27" t="s">
        <v>32</v>
      </c>
      <c r="M825" s="20">
        <f t="shared" si="30"/>
        <v>45617.58938</v>
      </c>
      <c r="N825" s="8" t="str">
        <f t="shared" si="3"/>
        <v>SELESAI</v>
      </c>
      <c r="O825" s="23">
        <f t="shared" si="22"/>
        <v>45617.58938</v>
      </c>
      <c r="P825" s="24" t="b">
        <v>1</v>
      </c>
      <c r="Q825" s="20">
        <f t="shared" si="31"/>
        <v>45656.44325</v>
      </c>
      <c r="R825" s="24" t="b">
        <v>1</v>
      </c>
      <c r="S825" s="20">
        <f t="shared" si="6"/>
        <v>45617.5936</v>
      </c>
      <c r="T825" s="7"/>
    </row>
    <row r="826" ht="22.5" hidden="1" customHeight="1">
      <c r="B826" s="7">
        <f t="shared" si="7"/>
        <v>820</v>
      </c>
      <c r="C826" s="18" t="s">
        <v>799</v>
      </c>
      <c r="D826" s="19" t="str">
        <f t="array" ref="D826">IFNA(_xlfn.XLOOKUP(C826,Table_Tarikan_Warkah[Nomor Sertipikat],Table_Tarikan_Warkah[Nomor Tiket]),"")</f>
        <v>K/32/191124/3</v>
      </c>
      <c r="E826" s="20">
        <f t="array" ref="E826">IFNA(_xlfn.XLOOKUP(D826,Table_Tarikan_Warkah[Nomor Tiket],Table_Tarikan_Warkah[Tanggal diserahkan kepada Validator]),"")</f>
        <v>45616.63361</v>
      </c>
      <c r="F826" s="20" t="str">
        <f t="array" ref="F826">IFNA(_xlfn.XLOOKUP(D826,Table_Tarikan_Warkah[Nomor Tiket],Table_Tarikan_Warkah[Nama Petugas Warkah]),"")</f>
        <v>Berry</v>
      </c>
      <c r="G826" s="21" t="str">
        <f t="array" ref="G826">IFNA(_xlfn.XLOOKUP(D826,Table_Tarikan_Warkah[Nomor Tiket],Table_Tarikan_Warkah[Jenis Permohonan]),"")</f>
        <v>BN JUAL BELI</v>
      </c>
      <c r="H826" s="22" t="s">
        <v>31</v>
      </c>
      <c r="I826" s="22" t="s">
        <v>32</v>
      </c>
      <c r="J826" s="20">
        <f t="shared" si="29"/>
        <v>45617.57768</v>
      </c>
      <c r="K826" s="27" t="s">
        <v>65</v>
      </c>
      <c r="L826" s="27" t="s">
        <v>32</v>
      </c>
      <c r="M826" s="20">
        <f t="shared" si="30"/>
        <v>45617.59358</v>
      </c>
      <c r="N826" s="8" t="str">
        <f t="shared" si="3"/>
        <v>SELESAI</v>
      </c>
      <c r="O826" s="23">
        <f t="shared" si="22"/>
        <v>45617.59358</v>
      </c>
      <c r="P826" s="24" t="b">
        <v>0</v>
      </c>
      <c r="Q826" s="20" t="str">
        <f t="shared" si="31"/>
        <v/>
      </c>
      <c r="R826" s="24" t="b">
        <v>1</v>
      </c>
      <c r="S826" s="20">
        <f t="shared" si="6"/>
        <v>45617.59361</v>
      </c>
      <c r="T826" s="7"/>
    </row>
    <row r="827" ht="22.5" hidden="1" customHeight="1">
      <c r="B827" s="7">
        <f t="shared" si="7"/>
        <v>821</v>
      </c>
      <c r="C827" s="18" t="s">
        <v>800</v>
      </c>
      <c r="D827" s="19" t="str">
        <f t="array" ref="D827">IFNA(_xlfn.XLOOKUP(C827,Table_Tarikan_Warkah[Nomor Sertipikat],Table_Tarikan_Warkah[Nomor Tiket]),"")</f>
        <v>K/60/181124/1</v>
      </c>
      <c r="E827" s="20">
        <f t="array" ref="E827">IFNA(_xlfn.XLOOKUP(D827,Table_Tarikan_Warkah[Nomor Tiket],Table_Tarikan_Warkah[Tanggal diserahkan kepada Validator]),"")</f>
        <v>45625.66739</v>
      </c>
      <c r="F827" s="20" t="str">
        <f t="array" ref="F827">IFNA(_xlfn.XLOOKUP(D827,Table_Tarikan_Warkah[Nomor Tiket],Table_Tarikan_Warkah[Nama Petugas Warkah]),"")</f>
        <v/>
      </c>
      <c r="G827" s="21" t="str">
        <f t="array" ref="G827">IFNA(_xlfn.XLOOKUP(D827,Table_Tarikan_Warkah[Nomor Tiket],Table_Tarikan_Warkah[Jenis Permohonan]),"")</f>
        <v>ROYA</v>
      </c>
      <c r="H827" s="22" t="s">
        <v>37</v>
      </c>
      <c r="I827" s="22" t="s">
        <v>32</v>
      </c>
      <c r="J827" s="20">
        <f t="shared" si="29"/>
        <v>45617.58419</v>
      </c>
      <c r="K827" s="22" t="s">
        <v>33</v>
      </c>
      <c r="L827" s="22" t="s">
        <v>32</v>
      </c>
      <c r="M827" s="20">
        <f t="shared" si="30"/>
        <v>45617.58425</v>
      </c>
      <c r="N827" s="8" t="str">
        <f t="shared" si="3"/>
        <v>SELESAI</v>
      </c>
      <c r="O827" s="23">
        <f t="shared" si="22"/>
        <v>45617.58425</v>
      </c>
      <c r="P827" s="24" t="b">
        <v>0</v>
      </c>
      <c r="Q827" s="20" t="str">
        <f t="shared" si="31"/>
        <v/>
      </c>
      <c r="R827" s="24" t="b">
        <v>1</v>
      </c>
      <c r="S827" s="20">
        <f t="shared" si="6"/>
        <v>45617.58429</v>
      </c>
      <c r="T827" s="7"/>
    </row>
    <row r="828" ht="22.5" hidden="1" customHeight="1">
      <c r="B828" s="7">
        <f t="shared" si="7"/>
        <v>822</v>
      </c>
      <c r="C828" s="18" t="s">
        <v>801</v>
      </c>
      <c r="D828" s="19" t="str">
        <f t="array" ref="D828">IFNA(_xlfn.XLOOKUP(C828,Table_Tarikan_Warkah[Nomor Sertipikat],Table_Tarikan_Warkah[Nomor Tiket]),"")</f>
        <v>K/3/141124/2</v>
      </c>
      <c r="E828" s="20">
        <f t="array" ref="E828">IFNA(_xlfn.XLOOKUP(D828,Table_Tarikan_Warkah[Nomor Tiket],Table_Tarikan_Warkah[Tanggal diserahkan kepada Validator]),"")</f>
        <v>45616.63361</v>
      </c>
      <c r="F828" s="20" t="str">
        <f t="array" ref="F828">IFNA(_xlfn.XLOOKUP(D828,Table_Tarikan_Warkah[Nomor Tiket],Table_Tarikan_Warkah[Nama Petugas Warkah]),"")</f>
        <v>David</v>
      </c>
      <c r="G828" s="21" t="str">
        <f t="array" ref="G828">IFNA(_xlfn.XLOOKUP(D828,Table_Tarikan_Warkah[Nomor Tiket],Table_Tarikan_Warkah[Jenis Permohonan]),"")</f>
        <v>ROYA</v>
      </c>
      <c r="H828" s="22" t="s">
        <v>37</v>
      </c>
      <c r="I828" s="22" t="s">
        <v>32</v>
      </c>
      <c r="J828" s="20">
        <f t="shared" si="29"/>
        <v>45618.43531</v>
      </c>
      <c r="K828" s="22" t="s">
        <v>33</v>
      </c>
      <c r="L828" s="22" t="s">
        <v>32</v>
      </c>
      <c r="M828" s="20">
        <f t="shared" si="30"/>
        <v>45618.4354</v>
      </c>
      <c r="N828" s="8" t="str">
        <f t="shared" si="3"/>
        <v>SELESAI</v>
      </c>
      <c r="O828" s="23">
        <f t="shared" si="22"/>
        <v>45618.4354</v>
      </c>
      <c r="P828" s="24" t="b">
        <v>0</v>
      </c>
      <c r="Q828" s="20" t="str">
        <f t="shared" si="31"/>
        <v/>
      </c>
      <c r="R828" s="24" t="b">
        <v>0</v>
      </c>
      <c r="S828" s="7" t="str">
        <f t="shared" si="6"/>
        <v/>
      </c>
      <c r="T828" s="7"/>
    </row>
    <row r="829" ht="22.5" hidden="1" customHeight="1">
      <c r="B829" s="7">
        <f t="shared" si="7"/>
        <v>823</v>
      </c>
      <c r="C829" s="18" t="s">
        <v>765</v>
      </c>
      <c r="D829" s="19" t="str">
        <f t="array" ref="D829">IFNA(_xlfn.XLOOKUP(C829,Table_Tarikan_Warkah[Nomor Sertipikat],Table_Tarikan_Warkah[Nomor Tiket]),"")</f>
        <v>K/24/181124/2</v>
      </c>
      <c r="E829" s="20" t="str">
        <f t="array" ref="E829">IFNA(_xlfn.XLOOKUP(D829,Table_Tarikan_Warkah[Nomor Tiket],Table_Tarikan_Warkah[Tanggal diserahkan kepada Validator]),"")</f>
        <v/>
      </c>
      <c r="F829" s="20" t="str">
        <f t="array" ref="F829">IFNA(_xlfn.XLOOKUP(D829,Table_Tarikan_Warkah[Nomor Tiket],Table_Tarikan_Warkah[Nama Petugas Warkah]),"")</f>
        <v/>
      </c>
      <c r="G829" s="21" t="str">
        <f t="array" ref="G829">IFNA(_xlfn.XLOOKUP(D829,Table_Tarikan_Warkah[Nomor Tiket],Table_Tarikan_Warkah[Jenis Permohonan]),"")</f>
        <v>BN JUAL BELI</v>
      </c>
      <c r="H829" s="22" t="s">
        <v>31</v>
      </c>
      <c r="I829" s="22" t="s">
        <v>187</v>
      </c>
      <c r="J829" s="20">
        <f t="shared" si="29"/>
        <v>45618.63562</v>
      </c>
      <c r="K829" s="22" t="s">
        <v>33</v>
      </c>
      <c r="L829" s="22" t="s">
        <v>187</v>
      </c>
      <c r="M829" s="20">
        <f t="shared" si="30"/>
        <v>45621.70535</v>
      </c>
      <c r="N829" s="8" t="str">
        <f t="shared" si="3"/>
        <v>Selesai</v>
      </c>
      <c r="O829" s="23">
        <f t="shared" si="22"/>
        <v>45621.70535</v>
      </c>
      <c r="P829" s="24" t="b">
        <v>1</v>
      </c>
      <c r="Q829" s="20">
        <f t="shared" si="31"/>
        <v>45621.70535</v>
      </c>
      <c r="R829" s="24" t="b">
        <v>0</v>
      </c>
      <c r="S829" s="7" t="str">
        <f t="shared" si="6"/>
        <v/>
      </c>
      <c r="T829" s="7"/>
    </row>
    <row r="830" ht="22.5" hidden="1" customHeight="1">
      <c r="B830" s="7">
        <f t="shared" si="7"/>
        <v>824</v>
      </c>
      <c r="C830" s="18" t="s">
        <v>764</v>
      </c>
      <c r="D830" s="19" t="str">
        <f t="array" ref="D830">IFNA(_xlfn.XLOOKUP(C830,Table_Tarikan_Warkah[Nomor Sertipikat],Table_Tarikan_Warkah[Nomor Tiket]),"")</f>
        <v>K/23/181124/1</v>
      </c>
      <c r="E830" s="20" t="str">
        <f t="array" ref="E830">IFNA(_xlfn.XLOOKUP(D830,Table_Tarikan_Warkah[Nomor Tiket],Table_Tarikan_Warkah[Tanggal diserahkan kepada Validator]),"")</f>
        <v/>
      </c>
      <c r="F830" s="20" t="str">
        <f t="array" ref="F830">IFNA(_xlfn.XLOOKUP(D830,Table_Tarikan_Warkah[Nomor Tiket],Table_Tarikan_Warkah[Nama Petugas Warkah]),"")</f>
        <v>David</v>
      </c>
      <c r="G830" s="21" t="str">
        <f t="array" ref="G830">IFNA(_xlfn.XLOOKUP(D830,Table_Tarikan_Warkah[Nomor Tiket],Table_Tarikan_Warkah[Jenis Permohonan]),"")</f>
        <v>BN JUAL BELI</v>
      </c>
      <c r="H830" s="22" t="s">
        <v>31</v>
      </c>
      <c r="I830" s="22" t="s">
        <v>187</v>
      </c>
      <c r="J830" s="20">
        <f t="shared" si="29"/>
        <v>45618.63594</v>
      </c>
      <c r="K830" s="22" t="s">
        <v>33</v>
      </c>
      <c r="L830" s="22" t="s">
        <v>187</v>
      </c>
      <c r="M830" s="20">
        <f t="shared" si="30"/>
        <v>45621.70535</v>
      </c>
      <c r="N830" s="8" t="str">
        <f t="shared" si="3"/>
        <v>Selesai</v>
      </c>
      <c r="O830" s="23">
        <f t="shared" si="22"/>
        <v>45621.70535</v>
      </c>
      <c r="P830" s="24" t="b">
        <v>1</v>
      </c>
      <c r="Q830" s="20">
        <f t="shared" si="31"/>
        <v>45621.70535</v>
      </c>
      <c r="R830" s="24" t="b">
        <v>0</v>
      </c>
      <c r="S830" s="7" t="str">
        <f t="shared" si="6"/>
        <v/>
      </c>
      <c r="T830" s="7"/>
    </row>
    <row r="831" ht="22.5" hidden="1" customHeight="1">
      <c r="B831" s="7">
        <f t="shared" si="7"/>
        <v>825</v>
      </c>
      <c r="C831" s="18" t="s">
        <v>802</v>
      </c>
      <c r="D831" s="19" t="str">
        <f t="array" ref="D831">IFNA(_xlfn.XLOOKUP(C831,Table_Tarikan_Warkah[Nomor Sertipikat],Table_Tarikan_Warkah[Nomor Tiket]),"")</f>
        <v>L/22/201124/1</v>
      </c>
      <c r="E831" s="20" t="str">
        <f t="array" ref="E831">IFNA(_xlfn.XLOOKUP(D831,Table_Tarikan_Warkah[Nomor Tiket],Table_Tarikan_Warkah[Tanggal diserahkan kepada Validator]),"")</f>
        <v/>
      </c>
      <c r="F831" s="20" t="str">
        <f t="array" ref="F831">IFNA(_xlfn.XLOOKUP(D831,Table_Tarikan_Warkah[Nomor Tiket],Table_Tarikan_Warkah[Nama Petugas Warkah]),"")</f>
        <v/>
      </c>
      <c r="G831" s="21" t="str">
        <f t="array" ref="G831">IFNA(_xlfn.XLOOKUP(D831,Table_Tarikan_Warkah[Nomor Tiket],Table_Tarikan_Warkah[Jenis Permohonan]),"")</f>
        <v>SERTIPIKAT HILANG</v>
      </c>
      <c r="H831" s="22" t="s">
        <v>31</v>
      </c>
      <c r="I831" s="22" t="s">
        <v>32</v>
      </c>
      <c r="J831" s="20">
        <f t="shared" si="29"/>
        <v>45618.63594</v>
      </c>
      <c r="K831" s="27" t="s">
        <v>65</v>
      </c>
      <c r="L831" s="27" t="s">
        <v>32</v>
      </c>
      <c r="M831" s="20">
        <f t="shared" si="30"/>
        <v>45621.70535</v>
      </c>
      <c r="N831" s="8" t="str">
        <f t="shared" si="3"/>
        <v>SELESAI</v>
      </c>
      <c r="O831" s="23">
        <f t="shared" si="22"/>
        <v>45621.70535</v>
      </c>
      <c r="P831" s="24" t="b">
        <v>0</v>
      </c>
      <c r="Q831" s="20" t="str">
        <f t="shared" si="31"/>
        <v/>
      </c>
      <c r="R831" s="24" t="b">
        <v>1</v>
      </c>
      <c r="S831" s="20">
        <f t="shared" si="6"/>
        <v>45621.70535</v>
      </c>
      <c r="T831" s="7"/>
    </row>
    <row r="832" ht="22.5" hidden="1" customHeight="1">
      <c r="B832" s="7">
        <f t="shared" si="7"/>
        <v>826</v>
      </c>
      <c r="C832" s="18" t="s">
        <v>803</v>
      </c>
      <c r="D832" s="19" t="str">
        <f t="array" ref="D832">IFNA(_xlfn.XLOOKUP(C832,Table_Tarikan_Warkah[Nomor Sertipikat],Table_Tarikan_Warkah[Nomor Tiket]),"")</f>
        <v>K/24/201124/1</v>
      </c>
      <c r="E832" s="20" t="str">
        <f t="array" ref="E832">IFNA(_xlfn.XLOOKUP(D832,Table_Tarikan_Warkah[Nomor Tiket],Table_Tarikan_Warkah[Tanggal diserahkan kepada Validator]),"")</f>
        <v/>
      </c>
      <c r="F832" s="20" t="str">
        <f t="array" ref="F832">IFNA(_xlfn.XLOOKUP(D832,Table_Tarikan_Warkah[Nomor Tiket],Table_Tarikan_Warkah[Nama Petugas Warkah]),"")</f>
        <v/>
      </c>
      <c r="G832" s="21" t="str">
        <f t="array" ref="G832">IFNA(_xlfn.XLOOKUP(D832,Table_Tarikan_Warkah[Nomor Tiket],Table_Tarikan_Warkah[Jenis Permohonan]),"")</f>
        <v>BN WARIS</v>
      </c>
      <c r="H832" s="22" t="s">
        <v>31</v>
      </c>
      <c r="I832" s="22" t="s">
        <v>32</v>
      </c>
      <c r="J832" s="20">
        <f t="shared" si="29"/>
        <v>45618.63602</v>
      </c>
      <c r="K832" s="27" t="s">
        <v>65</v>
      </c>
      <c r="L832" s="27" t="s">
        <v>32</v>
      </c>
      <c r="M832" s="20">
        <f t="shared" si="30"/>
        <v>45621.70535</v>
      </c>
      <c r="N832" s="8" t="str">
        <f t="shared" si="3"/>
        <v>SELESAI</v>
      </c>
      <c r="O832" s="23">
        <f t="shared" si="22"/>
        <v>45621.70535</v>
      </c>
      <c r="P832" s="24" t="b">
        <v>0</v>
      </c>
      <c r="Q832" s="20" t="str">
        <f t="shared" si="31"/>
        <v/>
      </c>
      <c r="R832" s="24" t="b">
        <v>1</v>
      </c>
      <c r="S832" s="20">
        <f t="shared" si="6"/>
        <v>45621.70535</v>
      </c>
      <c r="T832" s="7"/>
    </row>
    <row r="833" ht="22.5" hidden="1" customHeight="1">
      <c r="B833" s="7">
        <f t="shared" si="7"/>
        <v>827</v>
      </c>
      <c r="C833" s="18" t="s">
        <v>804</v>
      </c>
      <c r="D833" s="19" t="str">
        <f t="array" ref="D833">IFNA(_xlfn.XLOOKUP(C833,Table_Tarikan_Warkah[Nomor Sertipikat],Table_Tarikan_Warkah[Nomor Tiket]),"")</f>
        <v>K/27/201124/1</v>
      </c>
      <c r="E833" s="20" t="str">
        <f t="array" ref="E833">IFNA(_xlfn.XLOOKUP(D833,Table_Tarikan_Warkah[Nomor Tiket],Table_Tarikan_Warkah[Tanggal diserahkan kepada Validator]),"")</f>
        <v/>
      </c>
      <c r="F833" s="20" t="str">
        <f t="array" ref="F833">IFNA(_xlfn.XLOOKUP(D833,Table_Tarikan_Warkah[Nomor Tiket],Table_Tarikan_Warkah[Nama Petugas Warkah]),"")</f>
        <v/>
      </c>
      <c r="G833" s="21" t="str">
        <f t="array" ref="G833">IFNA(_xlfn.XLOOKUP(D833,Table_Tarikan_Warkah[Nomor Tiket],Table_Tarikan_Warkah[Jenis Permohonan]),"")</f>
        <v>ROYA LELANG</v>
      </c>
      <c r="H833" s="22" t="s">
        <v>31</v>
      </c>
      <c r="I833" s="22" t="s">
        <v>32</v>
      </c>
      <c r="J833" s="20">
        <f t="shared" si="29"/>
        <v>45618.63602</v>
      </c>
      <c r="K833" s="27" t="s">
        <v>65</v>
      </c>
      <c r="L833" s="27" t="s">
        <v>32</v>
      </c>
      <c r="M833" s="20">
        <f t="shared" si="30"/>
        <v>45621.70535</v>
      </c>
      <c r="N833" s="8" t="str">
        <f t="shared" si="3"/>
        <v>SELESAI</v>
      </c>
      <c r="O833" s="23">
        <f t="shared" si="22"/>
        <v>45621.70535</v>
      </c>
      <c r="P833" s="24" t="b">
        <v>0</v>
      </c>
      <c r="Q833" s="20" t="str">
        <f t="shared" si="31"/>
        <v/>
      </c>
      <c r="R833" s="24" t="b">
        <v>1</v>
      </c>
      <c r="S833" s="20">
        <f t="shared" si="6"/>
        <v>45621.70535</v>
      </c>
      <c r="T833" s="7"/>
    </row>
    <row r="834" ht="22.5" hidden="1" customHeight="1">
      <c r="B834" s="7">
        <f t="shared" si="7"/>
        <v>828</v>
      </c>
      <c r="C834" s="18" t="s">
        <v>805</v>
      </c>
      <c r="D834" s="19" t="str">
        <f t="array" ref="D834">IFNA(_xlfn.XLOOKUP(C834,Table_Tarikan_Warkah[Nomor Sertipikat],Table_Tarikan_Warkah[Nomor Tiket]),"")</f>
        <v>K/40/201124/2</v>
      </c>
      <c r="E834" s="20">
        <f t="array" ref="E834">IFNA(_xlfn.XLOOKUP(D834,Table_Tarikan_Warkah[Nomor Tiket],Table_Tarikan_Warkah[Tanggal diserahkan kepada Validator]),"")</f>
        <v>45617.68555</v>
      </c>
      <c r="F834" s="20" t="str">
        <f t="array" ref="F834">IFNA(_xlfn.XLOOKUP(D834,Table_Tarikan_Warkah[Nomor Tiket],Table_Tarikan_Warkah[Nama Petugas Warkah]),"")</f>
        <v>David</v>
      </c>
      <c r="G834" s="21" t="str">
        <f t="array" ref="G834">IFNA(_xlfn.XLOOKUP(D834,Table_Tarikan_Warkah[Nomor Tiket],Table_Tarikan_Warkah[Jenis Permohonan]),"")</f>
        <v>BN JUAL BELI</v>
      </c>
      <c r="H834" s="22" t="s">
        <v>31</v>
      </c>
      <c r="I834" s="22" t="s">
        <v>32</v>
      </c>
      <c r="J834" s="20">
        <f t="shared" si="29"/>
        <v>45618.63602</v>
      </c>
      <c r="K834" s="27" t="s">
        <v>65</v>
      </c>
      <c r="L834" s="27" t="s">
        <v>32</v>
      </c>
      <c r="M834" s="20">
        <f t="shared" si="30"/>
        <v>45621.70535</v>
      </c>
      <c r="N834" s="8" t="str">
        <f t="shared" si="3"/>
        <v>SELESAI</v>
      </c>
      <c r="O834" s="23">
        <f t="shared" si="22"/>
        <v>45621.70535</v>
      </c>
      <c r="P834" s="24" t="b">
        <v>0</v>
      </c>
      <c r="Q834" s="20" t="str">
        <f t="shared" si="31"/>
        <v/>
      </c>
      <c r="R834" s="24" t="b">
        <v>1</v>
      </c>
      <c r="S834" s="20">
        <f t="shared" si="6"/>
        <v>45621.70535</v>
      </c>
      <c r="T834" s="7"/>
    </row>
    <row r="835" ht="22.5" hidden="1" customHeight="1">
      <c r="B835" s="7">
        <f t="shared" si="7"/>
        <v>829</v>
      </c>
      <c r="C835" s="18" t="s">
        <v>806</v>
      </c>
      <c r="D835" s="19" t="str">
        <f t="array" ref="D835">IFNA(_xlfn.XLOOKUP(C835,Table_Tarikan_Warkah[Nomor Sertipikat],Table_Tarikan_Warkah[Nomor Tiket]),"")</f>
        <v>K/1/211124/1</v>
      </c>
      <c r="E835" s="20">
        <f t="array" ref="E835">IFNA(_xlfn.XLOOKUP(D835,Table_Tarikan_Warkah[Nomor Tiket],Table_Tarikan_Warkah[Tanggal diserahkan kepada Validator]),"")</f>
        <v>45622.50264</v>
      </c>
      <c r="F835" s="20" t="str">
        <f t="array" ref="F835">IFNA(_xlfn.XLOOKUP(D835,Table_Tarikan_Warkah[Nomor Tiket],Table_Tarikan_Warkah[Nama Petugas Warkah]),"")</f>
        <v>David</v>
      </c>
      <c r="G835" s="21" t="str">
        <f t="array" ref="G835">IFNA(_xlfn.XLOOKUP(D835,Table_Tarikan_Warkah[Nomor Tiket],Table_Tarikan_Warkah[Jenis Permohonan]),"")</f>
        <v>BN JUAL BELI</v>
      </c>
      <c r="H835" s="22" t="s">
        <v>31</v>
      </c>
      <c r="I835" s="22" t="s">
        <v>32</v>
      </c>
      <c r="J835" s="20">
        <f t="shared" si="29"/>
        <v>45618.63602</v>
      </c>
      <c r="K835" s="27" t="s">
        <v>65</v>
      </c>
      <c r="L835" s="27" t="s">
        <v>32</v>
      </c>
      <c r="M835" s="20">
        <f t="shared" si="30"/>
        <v>45621.70535</v>
      </c>
      <c r="N835" s="8" t="str">
        <f t="shared" si="3"/>
        <v>SELESAI</v>
      </c>
      <c r="O835" s="23">
        <f t="shared" si="22"/>
        <v>45621.70535</v>
      </c>
      <c r="P835" s="24" t="b">
        <v>0</v>
      </c>
      <c r="Q835" s="20" t="str">
        <f t="shared" si="31"/>
        <v/>
      </c>
      <c r="R835" s="24" t="b">
        <v>1</v>
      </c>
      <c r="S835" s="20">
        <f t="shared" si="6"/>
        <v>45621.70535</v>
      </c>
      <c r="T835" s="7"/>
    </row>
    <row r="836" ht="22.5" hidden="1" customHeight="1">
      <c r="B836" s="7">
        <f t="shared" si="7"/>
        <v>830</v>
      </c>
      <c r="C836" s="18" t="s">
        <v>807</v>
      </c>
      <c r="D836" s="19" t="str">
        <f t="array" ref="D836">IFNA(_xlfn.XLOOKUP(C836,Table_Tarikan_Warkah[Nomor Sertipikat],Table_Tarikan_Warkah[Nomor Tiket]),"")</f>
        <v>K/42/201124/1</v>
      </c>
      <c r="E836" s="20" t="str">
        <f t="array" ref="E836">IFNA(_xlfn.XLOOKUP(D836,Table_Tarikan_Warkah[Nomor Tiket],Table_Tarikan_Warkah[Tanggal diserahkan kepada Validator]),"")</f>
        <v/>
      </c>
      <c r="F836" s="20" t="str">
        <f t="array" ref="F836">IFNA(_xlfn.XLOOKUP(D836,Table_Tarikan_Warkah[Nomor Tiket],Table_Tarikan_Warkah[Nama Petugas Warkah]),"")</f>
        <v/>
      </c>
      <c r="G836" s="21" t="str">
        <f t="array" ref="G836">IFNA(_xlfn.XLOOKUP(D836,Table_Tarikan_Warkah[Nomor Tiket],Table_Tarikan_Warkah[Jenis Permohonan]),"")</f>
        <v>KEWARISAN</v>
      </c>
      <c r="H836" s="22" t="s">
        <v>31</v>
      </c>
      <c r="I836" s="22" t="s">
        <v>32</v>
      </c>
      <c r="J836" s="20">
        <f t="shared" si="29"/>
        <v>45618.63602</v>
      </c>
      <c r="K836" s="27" t="s">
        <v>65</v>
      </c>
      <c r="L836" s="27" t="s">
        <v>32</v>
      </c>
      <c r="M836" s="20">
        <f t="shared" si="30"/>
        <v>45621.70535</v>
      </c>
      <c r="N836" s="8" t="str">
        <f t="shared" si="3"/>
        <v>SELESAI</v>
      </c>
      <c r="O836" s="23">
        <f t="shared" si="22"/>
        <v>45621.70535</v>
      </c>
      <c r="P836" s="24" t="b">
        <v>0</v>
      </c>
      <c r="Q836" s="20" t="str">
        <f t="shared" si="31"/>
        <v/>
      </c>
      <c r="R836" s="24" t="b">
        <v>1</v>
      </c>
      <c r="S836" s="20">
        <f t="shared" si="6"/>
        <v>45621.70535</v>
      </c>
      <c r="T836" s="7"/>
    </row>
    <row r="837" ht="22.5" hidden="1" customHeight="1">
      <c r="B837" s="7">
        <f t="shared" si="7"/>
        <v>831</v>
      </c>
      <c r="C837" s="18" t="s">
        <v>808</v>
      </c>
      <c r="D837" s="19" t="str">
        <f t="array" ref="D837">IFNA(_xlfn.XLOOKUP(C837,Table_Tarikan_Warkah[Nomor Sertipikat],Table_Tarikan_Warkah[Nomor Tiket]),"")</f>
        <v>K/37/201124/2</v>
      </c>
      <c r="E837" s="20">
        <f t="array" ref="E837">IFNA(_xlfn.XLOOKUP(D837,Table_Tarikan_Warkah[Nomor Tiket],Table_Tarikan_Warkah[Tanggal diserahkan kepada Validator]),"")</f>
        <v>45622.50264</v>
      </c>
      <c r="F837" s="20" t="str">
        <f t="array" ref="F837">IFNA(_xlfn.XLOOKUP(D837,Table_Tarikan_Warkah[Nomor Tiket],Table_Tarikan_Warkah[Nama Petugas Warkah]),"")</f>
        <v>David</v>
      </c>
      <c r="G837" s="21" t="str">
        <f t="array" ref="G837">IFNA(_xlfn.XLOOKUP(D837,Table_Tarikan_Warkah[Nomor Tiket],Table_Tarikan_Warkah[Jenis Permohonan]),"")</f>
        <v>BN Jual Beli</v>
      </c>
      <c r="H837" s="22" t="s">
        <v>31</v>
      </c>
      <c r="I837" s="22" t="s">
        <v>32</v>
      </c>
      <c r="J837" s="20">
        <f t="shared" si="29"/>
        <v>45618.63602</v>
      </c>
      <c r="K837" s="27" t="s">
        <v>65</v>
      </c>
      <c r="L837" s="27" t="s">
        <v>32</v>
      </c>
      <c r="M837" s="20">
        <f t="shared" si="30"/>
        <v>45621.70535</v>
      </c>
      <c r="N837" s="8" t="str">
        <f t="shared" si="3"/>
        <v>SELESAI</v>
      </c>
      <c r="O837" s="23">
        <f t="shared" si="22"/>
        <v>45621.70535</v>
      </c>
      <c r="P837" s="24" t="b">
        <v>0</v>
      </c>
      <c r="Q837" s="20" t="str">
        <f t="shared" si="31"/>
        <v/>
      </c>
      <c r="R837" s="24" t="b">
        <v>1</v>
      </c>
      <c r="S837" s="20">
        <f t="shared" si="6"/>
        <v>45621.70535</v>
      </c>
      <c r="T837" s="7"/>
    </row>
    <row r="838" ht="22.5" hidden="1" customHeight="1">
      <c r="B838" s="7">
        <f t="shared" si="7"/>
        <v>832</v>
      </c>
      <c r="C838" s="18" t="s">
        <v>809</v>
      </c>
      <c r="D838" s="19" t="str">
        <f t="array" ref="D838">IFNA(_xlfn.XLOOKUP(C838,Table_Tarikan_Warkah[Nomor Sertipikat],Table_Tarikan_Warkah[Nomor Tiket]),"")</f>
        <v>K/36/201124/1</v>
      </c>
      <c r="E838" s="20" t="str">
        <f t="array" ref="E838">IFNA(_xlfn.XLOOKUP(D838,Table_Tarikan_Warkah[Nomor Tiket],Table_Tarikan_Warkah[Tanggal diserahkan kepada Validator]),"")</f>
        <v/>
      </c>
      <c r="F838" s="20" t="str">
        <f t="array" ref="F838">IFNA(_xlfn.XLOOKUP(D838,Table_Tarikan_Warkah[Nomor Tiket],Table_Tarikan_Warkah[Nama Petugas Warkah]),"")</f>
        <v/>
      </c>
      <c r="G838" s="21" t="str">
        <f t="array" ref="G838">IFNA(_xlfn.XLOOKUP(D838,Table_Tarikan_Warkah[Nomor Tiket],Table_Tarikan_Warkah[Jenis Permohonan]),"")</f>
        <v>BN Jual Beli</v>
      </c>
      <c r="H838" s="22" t="s">
        <v>31</v>
      </c>
      <c r="I838" s="22" t="s">
        <v>32</v>
      </c>
      <c r="J838" s="20">
        <f t="shared" si="29"/>
        <v>45618.63602</v>
      </c>
      <c r="K838" s="27" t="s">
        <v>65</v>
      </c>
      <c r="L838" s="27" t="s">
        <v>32</v>
      </c>
      <c r="M838" s="20">
        <f t="shared" si="30"/>
        <v>45621.70535</v>
      </c>
      <c r="N838" s="8" t="str">
        <f t="shared" si="3"/>
        <v>SELESAI</v>
      </c>
      <c r="O838" s="23">
        <f t="shared" si="22"/>
        <v>45621.70535</v>
      </c>
      <c r="P838" s="24" t="b">
        <v>0</v>
      </c>
      <c r="Q838" s="20" t="str">
        <f t="shared" si="31"/>
        <v/>
      </c>
      <c r="R838" s="24" t="b">
        <v>1</v>
      </c>
      <c r="S838" s="20">
        <f t="shared" si="6"/>
        <v>45621.70535</v>
      </c>
      <c r="T838" s="7"/>
    </row>
    <row r="839" ht="22.5" hidden="1" customHeight="1">
      <c r="B839" s="7">
        <f t="shared" si="7"/>
        <v>833</v>
      </c>
      <c r="C839" s="18" t="s">
        <v>810</v>
      </c>
      <c r="D839" s="19" t="str">
        <f t="array" ref="D839">IFNA(_xlfn.XLOOKUP(C839,Table_Tarikan_Warkah[Nomor Sertipikat],Table_Tarikan_Warkah[Nomor Tiket]),"")</f>
        <v>K/34/201124/2</v>
      </c>
      <c r="E839" s="20">
        <f t="array" ref="E839">IFNA(_xlfn.XLOOKUP(D839,Table_Tarikan_Warkah[Nomor Tiket],Table_Tarikan_Warkah[Tanggal diserahkan kepada Validator]),"")</f>
        <v>45617.68479</v>
      </c>
      <c r="F839" s="20" t="str">
        <f t="array" ref="F839">IFNA(_xlfn.XLOOKUP(D839,Table_Tarikan_Warkah[Nomor Tiket],Table_Tarikan_Warkah[Nama Petugas Warkah]),"")</f>
        <v>David</v>
      </c>
      <c r="G839" s="21" t="str">
        <f t="array" ref="G839">IFNA(_xlfn.XLOOKUP(D839,Table_Tarikan_Warkah[Nomor Tiket],Table_Tarikan_Warkah[Jenis Permohonan]),"")</f>
        <v>BN JUAL BELI</v>
      </c>
      <c r="H839" s="22" t="s">
        <v>31</v>
      </c>
      <c r="I839" s="22" t="s">
        <v>32</v>
      </c>
      <c r="J839" s="20">
        <f t="shared" si="29"/>
        <v>45618.63602</v>
      </c>
      <c r="K839" s="27" t="s">
        <v>65</v>
      </c>
      <c r="L839" s="27" t="s">
        <v>32</v>
      </c>
      <c r="M839" s="20">
        <f t="shared" si="30"/>
        <v>45621.70535</v>
      </c>
      <c r="N839" s="8" t="str">
        <f t="shared" si="3"/>
        <v>SELESAI</v>
      </c>
      <c r="O839" s="23">
        <f t="shared" si="22"/>
        <v>45621.70535</v>
      </c>
      <c r="P839" s="24" t="b">
        <v>0</v>
      </c>
      <c r="Q839" s="20" t="str">
        <f t="shared" si="31"/>
        <v/>
      </c>
      <c r="R839" s="24" t="b">
        <v>1</v>
      </c>
      <c r="S839" s="20">
        <f t="shared" si="6"/>
        <v>45621.70535</v>
      </c>
      <c r="T839" s="7"/>
    </row>
    <row r="840" ht="22.5" hidden="1" customHeight="1">
      <c r="B840" s="7">
        <f t="shared" si="7"/>
        <v>834</v>
      </c>
      <c r="C840" s="18" t="s">
        <v>811</v>
      </c>
      <c r="D840" s="19" t="str">
        <f t="array" ref="D840">IFNA(_xlfn.XLOOKUP(C840,Table_Tarikan_Warkah[Nomor Sertipikat],Table_Tarikan_Warkah[Nomor Tiket]),"")</f>
        <v>K/33/201124/1</v>
      </c>
      <c r="E840" s="20" t="str">
        <f t="array" ref="E840">IFNA(_xlfn.XLOOKUP(D840,Table_Tarikan_Warkah[Nomor Tiket],Table_Tarikan_Warkah[Tanggal diserahkan kepada Validator]),"")</f>
        <v/>
      </c>
      <c r="F840" s="20" t="str">
        <f t="array" ref="F840">IFNA(_xlfn.XLOOKUP(D840,Table_Tarikan_Warkah[Nomor Tiket],Table_Tarikan_Warkah[Nama Petugas Warkah]),"")</f>
        <v/>
      </c>
      <c r="G840" s="21" t="str">
        <f t="array" ref="G840">IFNA(_xlfn.XLOOKUP(D840,Table_Tarikan_Warkah[Nomor Tiket],Table_Tarikan_Warkah[Jenis Permohonan]),"")</f>
        <v>BN JUAL BELI</v>
      </c>
      <c r="H840" s="22" t="s">
        <v>31</v>
      </c>
      <c r="I840" s="22" t="s">
        <v>32</v>
      </c>
      <c r="J840" s="20">
        <f t="shared" si="29"/>
        <v>45618.63602</v>
      </c>
      <c r="K840" s="27" t="s">
        <v>65</v>
      </c>
      <c r="L840" s="27" t="s">
        <v>32</v>
      </c>
      <c r="M840" s="20">
        <f t="shared" si="30"/>
        <v>45621.70535</v>
      </c>
      <c r="N840" s="8" t="str">
        <f t="shared" si="3"/>
        <v>SELESAI</v>
      </c>
      <c r="O840" s="23">
        <f t="shared" si="22"/>
        <v>45621.70535</v>
      </c>
      <c r="P840" s="24" t="b">
        <v>0</v>
      </c>
      <c r="Q840" s="20" t="str">
        <f t="shared" si="31"/>
        <v/>
      </c>
      <c r="R840" s="24" t="b">
        <v>1</v>
      </c>
      <c r="S840" s="20">
        <f t="shared" si="6"/>
        <v>45621.70535</v>
      </c>
      <c r="T840" s="7"/>
    </row>
    <row r="841" ht="22.5" hidden="1" customHeight="1">
      <c r="B841" s="7">
        <f t="shared" si="7"/>
        <v>835</v>
      </c>
      <c r="C841" s="18" t="s">
        <v>812</v>
      </c>
      <c r="D841" s="19" t="str">
        <f t="array" ref="D841">IFNA(_xlfn.XLOOKUP(C841,Table_Tarikan_Warkah[Nomor Sertipikat],Table_Tarikan_Warkah[Nomor Tiket]),"")</f>
        <v>K/32/201124/1</v>
      </c>
      <c r="E841" s="20">
        <f t="array" ref="E841">IFNA(_xlfn.XLOOKUP(D841,Table_Tarikan_Warkah[Nomor Tiket],Table_Tarikan_Warkah[Tanggal diserahkan kepada Validator]),"")</f>
        <v>45617.68453</v>
      </c>
      <c r="F841" s="20" t="str">
        <f t="array" ref="F841">IFNA(_xlfn.XLOOKUP(D841,Table_Tarikan_Warkah[Nomor Tiket],Table_Tarikan_Warkah[Nama Petugas Warkah]),"")</f>
        <v>David</v>
      </c>
      <c r="G841" s="21" t="str">
        <f t="array" ref="G841">IFNA(_xlfn.XLOOKUP(D841,Table_Tarikan_Warkah[Nomor Tiket],Table_Tarikan_Warkah[Jenis Permohonan]),"")</f>
        <v>ROYA</v>
      </c>
      <c r="H841" s="22" t="s">
        <v>31</v>
      </c>
      <c r="I841" s="22" t="s">
        <v>32</v>
      </c>
      <c r="J841" s="20">
        <f t="shared" si="29"/>
        <v>45618.63602</v>
      </c>
      <c r="K841" s="27" t="s">
        <v>65</v>
      </c>
      <c r="L841" s="27" t="s">
        <v>32</v>
      </c>
      <c r="M841" s="20">
        <f t="shared" si="30"/>
        <v>45621.70535</v>
      </c>
      <c r="N841" s="8" t="str">
        <f t="shared" si="3"/>
        <v>SELESAI</v>
      </c>
      <c r="O841" s="23">
        <f t="shared" si="22"/>
        <v>45621.70535</v>
      </c>
      <c r="P841" s="24" t="b">
        <v>0</v>
      </c>
      <c r="Q841" s="20" t="str">
        <f t="shared" si="31"/>
        <v/>
      </c>
      <c r="R841" s="24" t="b">
        <v>1</v>
      </c>
      <c r="S841" s="20">
        <f t="shared" si="6"/>
        <v>45621.70535</v>
      </c>
      <c r="T841" s="7"/>
    </row>
    <row r="842" ht="22.5" hidden="1" customHeight="1">
      <c r="B842" s="7">
        <f t="shared" si="7"/>
        <v>836</v>
      </c>
      <c r="C842" s="18" t="s">
        <v>813</v>
      </c>
      <c r="D842" s="7" t="s">
        <v>814</v>
      </c>
      <c r="E842" s="20">
        <f t="array" ref="E842">IFNA(_xlfn.XLOOKUP(D842,Table_Tarikan_Warkah[Nomor Tiket],Table_Tarikan_Warkah[Tanggal diserahkan kepada Validator]),"")</f>
        <v>45617.68316</v>
      </c>
      <c r="F842" s="20" t="str">
        <f t="array" ref="F842">IFNA(_xlfn.XLOOKUP(D842,Table_Tarikan_Warkah[Nomor Tiket],Table_Tarikan_Warkah[Nama Petugas Warkah]),"")</f>
        <v>David</v>
      </c>
      <c r="G842" s="21" t="str">
        <f t="array" ref="G842">IFNA(_xlfn.XLOOKUP(D842,Table_Tarikan_Warkah[Nomor Tiket],Table_Tarikan_Warkah[Jenis Permohonan]),"")</f>
        <v>BN Jual Beli</v>
      </c>
      <c r="H842" s="22" t="s">
        <v>31</v>
      </c>
      <c r="I842" s="22" t="s">
        <v>32</v>
      </c>
      <c r="J842" s="20">
        <f t="shared" si="29"/>
        <v>45618.63602</v>
      </c>
      <c r="K842" s="27" t="s">
        <v>65</v>
      </c>
      <c r="L842" s="27" t="s">
        <v>32</v>
      </c>
      <c r="M842" s="20">
        <f t="shared" si="30"/>
        <v>45621.70535</v>
      </c>
      <c r="N842" s="8" t="str">
        <f t="shared" si="3"/>
        <v>SELESAI</v>
      </c>
      <c r="O842" s="23">
        <f t="shared" si="22"/>
        <v>45621.70535</v>
      </c>
      <c r="P842" s="24" t="b">
        <v>0</v>
      </c>
      <c r="Q842" s="20" t="str">
        <f t="shared" si="31"/>
        <v/>
      </c>
      <c r="R842" s="24" t="b">
        <v>1</v>
      </c>
      <c r="S842" s="20">
        <f t="shared" si="6"/>
        <v>45621.70535</v>
      </c>
      <c r="T842" s="7"/>
    </row>
    <row r="843" ht="22.5" hidden="1" customHeight="1">
      <c r="B843" s="7">
        <f t="shared" si="7"/>
        <v>837</v>
      </c>
      <c r="C843" s="18" t="s">
        <v>815</v>
      </c>
      <c r="D843" s="19" t="str">
        <f t="array" ref="D843">IFNA(_xlfn.XLOOKUP(C843,Table_Tarikan_Warkah[Nomor Sertipikat],Table_Tarikan_Warkah[Nomor Tiket]),"")</f>
        <v>K/19/201124/1</v>
      </c>
      <c r="E843" s="20" t="str">
        <f t="array" ref="E843">IFNA(_xlfn.XLOOKUP(D843,Table_Tarikan_Warkah[Nomor Tiket],Table_Tarikan_Warkah[Tanggal diserahkan kepada Validator]),"")</f>
        <v/>
      </c>
      <c r="F843" s="20" t="str">
        <f t="array" ref="F843">IFNA(_xlfn.XLOOKUP(D843,Table_Tarikan_Warkah[Nomor Tiket],Table_Tarikan_Warkah[Nama Petugas Warkah]),"")</f>
        <v/>
      </c>
      <c r="G843" s="21" t="str">
        <f t="array" ref="G843">IFNA(_xlfn.XLOOKUP(D843,Table_Tarikan_Warkah[Nomor Tiket],Table_Tarikan_Warkah[Jenis Permohonan]),"")</f>
        <v>BN JUAL BELI</v>
      </c>
      <c r="H843" s="22" t="s">
        <v>31</v>
      </c>
      <c r="I843" s="22" t="s">
        <v>32</v>
      </c>
      <c r="J843" s="20">
        <f t="shared" si="29"/>
        <v>45618.63602</v>
      </c>
      <c r="K843" s="27" t="s">
        <v>65</v>
      </c>
      <c r="L843" s="27" t="s">
        <v>32</v>
      </c>
      <c r="M843" s="20">
        <f t="shared" si="30"/>
        <v>45621.70535</v>
      </c>
      <c r="N843" s="8" t="str">
        <f t="shared" si="3"/>
        <v>SELESAI</v>
      </c>
      <c r="O843" s="23">
        <f t="shared" si="22"/>
        <v>45621.70535</v>
      </c>
      <c r="P843" s="24" t="b">
        <v>0</v>
      </c>
      <c r="Q843" s="20" t="str">
        <f t="shared" si="31"/>
        <v/>
      </c>
      <c r="R843" s="24" t="b">
        <v>1</v>
      </c>
      <c r="S843" s="20">
        <f t="shared" si="6"/>
        <v>45621.70535</v>
      </c>
      <c r="T843" s="7"/>
    </row>
    <row r="844" ht="22.5" hidden="1" customHeight="1">
      <c r="B844" s="7">
        <f t="shared" si="7"/>
        <v>838</v>
      </c>
      <c r="C844" s="18" t="s">
        <v>816</v>
      </c>
      <c r="D844" s="19" t="str">
        <f t="array" ref="D844">IFNA(_xlfn.XLOOKUP(C844,Table_Tarikan_Warkah[Nomor Sertipikat],Table_Tarikan_Warkah[Nomor Tiket]),"")</f>
        <v>K/15/201124/1</v>
      </c>
      <c r="E844" s="20" t="str">
        <f t="array" ref="E844">IFNA(_xlfn.XLOOKUP(D844,Table_Tarikan_Warkah[Nomor Tiket],Table_Tarikan_Warkah[Tanggal diserahkan kepada Validator]),"")</f>
        <v/>
      </c>
      <c r="F844" s="20" t="str">
        <f t="array" ref="F844">IFNA(_xlfn.XLOOKUP(D844,Table_Tarikan_Warkah[Nomor Tiket],Table_Tarikan_Warkah[Nama Petugas Warkah]),"")</f>
        <v/>
      </c>
      <c r="G844" s="21" t="str">
        <f t="array" ref="G844">IFNA(_xlfn.XLOOKUP(D844,Table_Tarikan_Warkah[Nomor Tiket],Table_Tarikan_Warkah[Jenis Permohonan]),"")</f>
        <v>BN Jual Beli</v>
      </c>
      <c r="H844" s="22" t="s">
        <v>31</v>
      </c>
      <c r="I844" s="22" t="s">
        <v>32</v>
      </c>
      <c r="J844" s="20">
        <f t="shared" si="29"/>
        <v>45618.63602</v>
      </c>
      <c r="K844" s="27" t="s">
        <v>65</v>
      </c>
      <c r="L844" s="27" t="s">
        <v>32</v>
      </c>
      <c r="M844" s="20">
        <f t="shared" si="30"/>
        <v>45621.70535</v>
      </c>
      <c r="N844" s="8" t="str">
        <f t="shared" si="3"/>
        <v>SELESAI</v>
      </c>
      <c r="O844" s="23">
        <f t="shared" si="22"/>
        <v>45621.70535</v>
      </c>
      <c r="P844" s="24" t="b">
        <v>0</v>
      </c>
      <c r="Q844" s="20" t="str">
        <f t="shared" si="31"/>
        <v/>
      </c>
      <c r="R844" s="24" t="b">
        <v>1</v>
      </c>
      <c r="S844" s="20">
        <f t="shared" si="6"/>
        <v>45621.70535</v>
      </c>
      <c r="T844" s="7"/>
    </row>
    <row r="845" ht="22.5" hidden="1" customHeight="1">
      <c r="B845" s="7">
        <f t="shared" si="7"/>
        <v>839</v>
      </c>
      <c r="C845" s="18" t="s">
        <v>817</v>
      </c>
      <c r="D845" s="19" t="str">
        <f t="array" ref="D845">IFNA(_xlfn.XLOOKUP(C845,Table_Tarikan_Warkah[Nomor Sertipikat],Table_Tarikan_Warkah[Nomor Tiket]),"")</f>
        <v>K/14/201124/1</v>
      </c>
      <c r="E845" s="20" t="str">
        <f t="array" ref="E845">IFNA(_xlfn.XLOOKUP(D845,Table_Tarikan_Warkah[Nomor Tiket],Table_Tarikan_Warkah[Tanggal diserahkan kepada Validator]),"")</f>
        <v/>
      </c>
      <c r="F845" s="20" t="str">
        <f t="array" ref="F845">IFNA(_xlfn.XLOOKUP(D845,Table_Tarikan_Warkah[Nomor Tiket],Table_Tarikan_Warkah[Nama Petugas Warkah]),"")</f>
        <v/>
      </c>
      <c r="G845" s="21" t="str">
        <f t="array" ref="G845">IFNA(_xlfn.XLOOKUP(D845,Table_Tarikan_Warkah[Nomor Tiket],Table_Tarikan_Warkah[Jenis Permohonan]),"")</f>
        <v>BN JUAL BELI</v>
      </c>
      <c r="H845" s="22" t="s">
        <v>31</v>
      </c>
      <c r="I845" s="22" t="s">
        <v>32</v>
      </c>
      <c r="J845" s="20">
        <f t="shared" si="29"/>
        <v>45618.63602</v>
      </c>
      <c r="K845" s="27" t="s">
        <v>65</v>
      </c>
      <c r="L845" s="27" t="s">
        <v>32</v>
      </c>
      <c r="M845" s="20">
        <f t="shared" si="30"/>
        <v>45621.70535</v>
      </c>
      <c r="N845" s="8" t="str">
        <f t="shared" si="3"/>
        <v>SELESAI</v>
      </c>
      <c r="O845" s="23">
        <f t="shared" si="22"/>
        <v>45621.70535</v>
      </c>
      <c r="P845" s="24" t="b">
        <v>0</v>
      </c>
      <c r="Q845" s="20" t="str">
        <f t="shared" si="31"/>
        <v/>
      </c>
      <c r="R845" s="24" t="b">
        <v>1</v>
      </c>
      <c r="S845" s="20">
        <f t="shared" si="6"/>
        <v>45621.70535</v>
      </c>
      <c r="T845" s="7"/>
    </row>
    <row r="846" ht="22.5" hidden="1" customHeight="1">
      <c r="B846" s="7">
        <f t="shared" si="7"/>
        <v>840</v>
      </c>
      <c r="C846" s="18" t="s">
        <v>818</v>
      </c>
      <c r="D846" s="19" t="str">
        <f t="array" ref="D846">IFNA(_xlfn.XLOOKUP(C846,Table_Tarikan_Warkah[Nomor Sertipikat],Table_Tarikan_Warkah[Nomor Tiket]),"")</f>
        <v>K/12/201124/2</v>
      </c>
      <c r="E846" s="20">
        <f t="array" ref="E846">IFNA(_xlfn.XLOOKUP(D846,Table_Tarikan_Warkah[Nomor Tiket],Table_Tarikan_Warkah[Tanggal diserahkan kepada Validator]),"")</f>
        <v>45617.68164</v>
      </c>
      <c r="F846" s="20" t="str">
        <f t="array" ref="F846">IFNA(_xlfn.XLOOKUP(D846,Table_Tarikan_Warkah[Nomor Tiket],Table_Tarikan_Warkah[Nama Petugas Warkah]),"")</f>
        <v>Berry</v>
      </c>
      <c r="G846" s="21" t="str">
        <f t="array" ref="G846">IFNA(_xlfn.XLOOKUP(D846,Table_Tarikan_Warkah[Nomor Tiket],Table_Tarikan_Warkah[Jenis Permohonan]),"")</f>
        <v>BN HIBAH</v>
      </c>
      <c r="H846" s="22" t="s">
        <v>31</v>
      </c>
      <c r="I846" s="22" t="s">
        <v>32</v>
      </c>
      <c r="J846" s="20">
        <f t="shared" si="29"/>
        <v>45618.63602</v>
      </c>
      <c r="K846" s="27" t="s">
        <v>65</v>
      </c>
      <c r="L846" s="27" t="s">
        <v>32</v>
      </c>
      <c r="M846" s="20">
        <f t="shared" si="30"/>
        <v>45621.70535</v>
      </c>
      <c r="N846" s="8" t="str">
        <f t="shared" si="3"/>
        <v>SELESAI</v>
      </c>
      <c r="O846" s="23">
        <f t="shared" si="22"/>
        <v>45621.70535</v>
      </c>
      <c r="P846" s="24" t="b">
        <v>0</v>
      </c>
      <c r="Q846" s="20" t="str">
        <f t="shared" si="31"/>
        <v/>
      </c>
      <c r="R846" s="24" t="b">
        <v>1</v>
      </c>
      <c r="S846" s="20">
        <f t="shared" si="6"/>
        <v>45621.70535</v>
      </c>
      <c r="T846" s="7"/>
    </row>
    <row r="847" ht="22.5" hidden="1" customHeight="1">
      <c r="B847" s="7">
        <f t="shared" si="7"/>
        <v>841</v>
      </c>
      <c r="C847" s="18" t="s">
        <v>819</v>
      </c>
      <c r="D847" s="19" t="str">
        <f t="array" ref="D847">IFNA(_xlfn.XLOOKUP(C847,Table_Tarikan_Warkah[Nomor Sertipikat],Table_Tarikan_Warkah[Nomor Tiket]),"")</f>
        <v>K/9/201124/2</v>
      </c>
      <c r="E847" s="20" t="str">
        <f t="array" ref="E847">IFNA(_xlfn.XLOOKUP(D847,Table_Tarikan_Warkah[Nomor Tiket],Table_Tarikan_Warkah[Tanggal diserahkan kepada Validator]),"")</f>
        <v/>
      </c>
      <c r="F847" s="20" t="str">
        <f t="array" ref="F847">IFNA(_xlfn.XLOOKUP(D847,Table_Tarikan_Warkah[Nomor Tiket],Table_Tarikan_Warkah[Nama Petugas Warkah]),"")</f>
        <v>Berry</v>
      </c>
      <c r="G847" s="21" t="str">
        <f t="array" ref="G847">IFNA(_xlfn.XLOOKUP(D847,Table_Tarikan_Warkah[Nomor Tiket],Table_Tarikan_Warkah[Jenis Permohonan]),"")</f>
        <v>BN Jual Beli</v>
      </c>
      <c r="H847" s="22" t="s">
        <v>31</v>
      </c>
      <c r="I847" s="22" t="s">
        <v>32</v>
      </c>
      <c r="J847" s="20">
        <f t="shared" si="29"/>
        <v>45618.63602</v>
      </c>
      <c r="K847" s="27" t="s">
        <v>65</v>
      </c>
      <c r="L847" s="27" t="s">
        <v>32</v>
      </c>
      <c r="M847" s="20">
        <f t="shared" si="30"/>
        <v>45621.70535</v>
      </c>
      <c r="N847" s="8" t="str">
        <f t="shared" si="3"/>
        <v>SELESAI</v>
      </c>
      <c r="O847" s="23">
        <f t="shared" si="22"/>
        <v>45621.70535</v>
      </c>
      <c r="P847" s="24" t="b">
        <v>0</v>
      </c>
      <c r="Q847" s="20" t="str">
        <f t="shared" si="31"/>
        <v/>
      </c>
      <c r="R847" s="24" t="b">
        <v>1</v>
      </c>
      <c r="S847" s="20">
        <f t="shared" si="6"/>
        <v>45621.70535</v>
      </c>
      <c r="T847" s="7"/>
    </row>
    <row r="848" ht="22.5" hidden="1" customHeight="1">
      <c r="B848" s="7">
        <f t="shared" si="7"/>
        <v>842</v>
      </c>
      <c r="C848" s="18" t="s">
        <v>820</v>
      </c>
      <c r="D848" s="19" t="str">
        <f t="array" ref="D848">IFNA(_xlfn.XLOOKUP(C848,Table_Tarikan_Warkah[Nomor Sertipikat],Table_Tarikan_Warkah[Nomor Tiket]),"")</f>
        <v>K/10/201124/3</v>
      </c>
      <c r="E848" s="20">
        <f t="array" ref="E848">IFNA(_xlfn.XLOOKUP(D848,Table_Tarikan_Warkah[Nomor Tiket],Table_Tarikan_Warkah[Tanggal diserahkan kepada Validator]),"")</f>
        <v>45617.68129</v>
      </c>
      <c r="F848" s="20" t="str">
        <f t="array" ref="F848">IFNA(_xlfn.XLOOKUP(D848,Table_Tarikan_Warkah[Nomor Tiket],Table_Tarikan_Warkah[Nama Petugas Warkah]),"")</f>
        <v>Berry</v>
      </c>
      <c r="G848" s="21" t="str">
        <f t="array" ref="G848">IFNA(_xlfn.XLOOKUP(D848,Table_Tarikan_Warkah[Nomor Tiket],Table_Tarikan_Warkah[Jenis Permohonan]),"")</f>
        <v>BN Jual Beli</v>
      </c>
      <c r="H848" s="22" t="s">
        <v>31</v>
      </c>
      <c r="I848" s="22" t="s">
        <v>32</v>
      </c>
      <c r="J848" s="20">
        <f t="shared" si="29"/>
        <v>45618.63602</v>
      </c>
      <c r="K848" s="27" t="s">
        <v>65</v>
      </c>
      <c r="L848" s="27" t="s">
        <v>32</v>
      </c>
      <c r="M848" s="20">
        <f t="shared" si="30"/>
        <v>45621.70535</v>
      </c>
      <c r="N848" s="8" t="str">
        <f t="shared" si="3"/>
        <v>SELESAI</v>
      </c>
      <c r="O848" s="23">
        <f t="shared" si="22"/>
        <v>45621.70535</v>
      </c>
      <c r="P848" s="24" t="b">
        <v>0</v>
      </c>
      <c r="Q848" s="20" t="str">
        <f t="shared" si="31"/>
        <v/>
      </c>
      <c r="R848" s="24" t="b">
        <v>1</v>
      </c>
      <c r="S848" s="20">
        <f t="shared" si="6"/>
        <v>45621.70535</v>
      </c>
      <c r="T848" s="7"/>
    </row>
    <row r="849" ht="22.5" hidden="1" customHeight="1">
      <c r="B849" s="7">
        <f t="shared" si="7"/>
        <v>843</v>
      </c>
      <c r="C849" s="18" t="s">
        <v>821</v>
      </c>
      <c r="D849" s="19" t="str">
        <f t="array" ref="D849">IFNA(_xlfn.XLOOKUP(C849,Table_Tarikan_Warkah[Nomor Sertipikat],Table_Tarikan_Warkah[Nomor Tiket]),"")</f>
        <v>K/8/201124/1</v>
      </c>
      <c r="E849" s="20">
        <f t="array" ref="E849">IFNA(_xlfn.XLOOKUP(D849,Table_Tarikan_Warkah[Nomor Tiket],Table_Tarikan_Warkah[Tanggal diserahkan kepada Validator]),"")</f>
        <v>45617.68094</v>
      </c>
      <c r="F849" s="20" t="str">
        <f t="array" ref="F849">IFNA(_xlfn.XLOOKUP(D849,Table_Tarikan_Warkah[Nomor Tiket],Table_Tarikan_Warkah[Nama Petugas Warkah]),"")</f>
        <v>Berry</v>
      </c>
      <c r="G849" s="21" t="str">
        <f t="array" ref="G849">IFNA(_xlfn.XLOOKUP(D849,Table_Tarikan_Warkah[Nomor Tiket],Table_Tarikan_Warkah[Jenis Permohonan]),"")</f>
        <v>BN Jual Beli</v>
      </c>
      <c r="H849" s="22" t="s">
        <v>31</v>
      </c>
      <c r="I849" s="22" t="s">
        <v>32</v>
      </c>
      <c r="J849" s="20">
        <f t="shared" si="29"/>
        <v>45618.63602</v>
      </c>
      <c r="K849" s="22" t="s">
        <v>65</v>
      </c>
      <c r="L849" s="22" t="s">
        <v>32</v>
      </c>
      <c r="M849" s="20">
        <f t="shared" si="30"/>
        <v>45621.70535</v>
      </c>
      <c r="N849" s="8" t="str">
        <f t="shared" si="3"/>
        <v>SELESAI</v>
      </c>
      <c r="O849" s="23">
        <f t="shared" si="22"/>
        <v>45621.70535</v>
      </c>
      <c r="P849" s="24" t="b">
        <v>0</v>
      </c>
      <c r="Q849" s="20" t="str">
        <f t="shared" si="31"/>
        <v/>
      </c>
      <c r="R849" s="24" t="b">
        <v>1</v>
      </c>
      <c r="S849" s="20">
        <f t="shared" si="6"/>
        <v>45621.70535</v>
      </c>
      <c r="T849" s="7"/>
    </row>
    <row r="850" ht="22.5" hidden="1" customHeight="1">
      <c r="B850" s="7">
        <f t="shared" si="7"/>
        <v>844</v>
      </c>
      <c r="C850" s="18" t="s">
        <v>822</v>
      </c>
      <c r="D850" s="7" t="s">
        <v>823</v>
      </c>
      <c r="E850" s="20" t="str">
        <f t="array" ref="E850">IFNA(_xlfn.XLOOKUP(D850,Table_Tarikan_Warkah[Nomor Tiket],Table_Tarikan_Warkah[Tanggal diserahkan kepada Validator]),"")</f>
        <v/>
      </c>
      <c r="F850" s="20" t="str">
        <f t="array" ref="F850">IFNA(_xlfn.XLOOKUP(D850,Table_Tarikan_Warkah[Nomor Tiket],Table_Tarikan_Warkah[Nama Petugas Warkah]),"")</f>
        <v/>
      </c>
      <c r="G850" s="21" t="str">
        <f t="array" ref="G850">IFNA(_xlfn.XLOOKUP(D850,Table_Tarikan_Warkah[Nomor Tiket],Table_Tarikan_Warkah[Jenis Permohonan]),"")</f>
        <v>HM 2606/WAY KANDIS</v>
      </c>
      <c r="H850" s="22" t="s">
        <v>31</v>
      </c>
      <c r="I850" s="22" t="s">
        <v>32</v>
      </c>
      <c r="J850" s="20">
        <f t="shared" si="29"/>
        <v>45618.63602</v>
      </c>
      <c r="K850" s="22" t="s">
        <v>65</v>
      </c>
      <c r="L850" s="22" t="s">
        <v>32</v>
      </c>
      <c r="M850" s="20">
        <f t="shared" si="30"/>
        <v>45621.70535</v>
      </c>
      <c r="N850" s="8" t="str">
        <f t="shared" si="3"/>
        <v>SELESAI</v>
      </c>
      <c r="O850" s="23">
        <f t="shared" si="22"/>
        <v>45621.70535</v>
      </c>
      <c r="P850" s="24" t="b">
        <v>0</v>
      </c>
      <c r="Q850" s="20" t="str">
        <f t="shared" si="31"/>
        <v/>
      </c>
      <c r="R850" s="24" t="b">
        <v>1</v>
      </c>
      <c r="S850" s="20">
        <f t="shared" si="6"/>
        <v>45621.70535</v>
      </c>
      <c r="T850" s="7"/>
    </row>
    <row r="851" ht="22.5" hidden="1" customHeight="1">
      <c r="B851" s="7">
        <f t="shared" si="7"/>
        <v>845</v>
      </c>
      <c r="C851" s="18" t="s">
        <v>824</v>
      </c>
      <c r="D851" s="19" t="str">
        <f t="array" ref="D851">IFNA(_xlfn.XLOOKUP(C851,Table_Tarikan_Warkah[Nomor Sertipikat],Table_Tarikan_Warkah[Nomor Tiket]),"")</f>
        <v>K/20/071124/1</v>
      </c>
      <c r="E851" s="20" t="str">
        <f t="array" ref="E851">IFNA(_xlfn.XLOOKUP(D851,Table_Tarikan_Warkah[Nomor Tiket],Table_Tarikan_Warkah[Tanggal diserahkan kepada Validator]),"")</f>
        <v/>
      </c>
      <c r="F851" s="20" t="str">
        <f t="array" ref="F851">IFNA(_xlfn.XLOOKUP(D851,Table_Tarikan_Warkah[Nomor Tiket],Table_Tarikan_Warkah[Nama Petugas Warkah]),"")</f>
        <v>David</v>
      </c>
      <c r="G851" s="21" t="str">
        <f t="array" ref="G851">IFNA(_xlfn.XLOOKUP(D851,Table_Tarikan_Warkah[Nomor Tiket],Table_Tarikan_Warkah[Jenis Permohonan]),"")</f>
        <v>BN JUAL BELI</v>
      </c>
      <c r="H851" s="22" t="s">
        <v>37</v>
      </c>
      <c r="I851" s="22" t="s">
        <v>187</v>
      </c>
      <c r="J851" s="20">
        <f t="shared" si="29"/>
        <v>45621.35939</v>
      </c>
      <c r="K851" s="27" t="s">
        <v>33</v>
      </c>
      <c r="L851" s="27" t="s">
        <v>187</v>
      </c>
      <c r="M851" s="20">
        <f t="shared" si="30"/>
        <v>45622.64663</v>
      </c>
      <c r="N851" s="8" t="str">
        <f t="shared" si="3"/>
        <v>Selesai</v>
      </c>
      <c r="O851" s="23">
        <f t="shared" si="22"/>
        <v>45622.64663</v>
      </c>
      <c r="P851" s="24" t="b">
        <v>1</v>
      </c>
      <c r="Q851" s="20">
        <f t="shared" si="31"/>
        <v>45622.64667</v>
      </c>
      <c r="R851" s="24" t="b">
        <v>0</v>
      </c>
      <c r="S851" s="7" t="str">
        <f t="shared" si="6"/>
        <v/>
      </c>
      <c r="T851" s="7"/>
    </row>
    <row r="852" ht="22.5" hidden="1" customHeight="1">
      <c r="B852" s="7">
        <f t="shared" si="7"/>
        <v>846</v>
      </c>
      <c r="C852" s="18" t="s">
        <v>825</v>
      </c>
      <c r="D852" s="19" t="str">
        <f t="array" ref="D852">IFNA(_xlfn.XLOOKUP(C852,Table_Tarikan_Warkah[Nomor Sertipikat],Table_Tarikan_Warkah[Nomor Tiket]),"")</f>
        <v>L/9/191124/1</v>
      </c>
      <c r="E852" s="20" t="str">
        <f t="array" ref="E852">IFNA(_xlfn.XLOOKUP(D852,Table_Tarikan_Warkah[Nomor Tiket],Table_Tarikan_Warkah[Tanggal diserahkan kepada Validator]),"")</f>
        <v/>
      </c>
      <c r="F852" s="20" t="str">
        <f t="array" ref="F852">IFNA(_xlfn.XLOOKUP(D852,Table_Tarikan_Warkah[Nomor Tiket],Table_Tarikan_Warkah[Nama Petugas Warkah]),"")</f>
        <v/>
      </c>
      <c r="G852" s="21" t="str">
        <f t="array" ref="G852">IFNA(_xlfn.XLOOKUP(D852,Table_Tarikan_Warkah[Nomor Tiket],Table_Tarikan_Warkah[Jenis Permohonan]),"")</f>
        <v>PH</v>
      </c>
      <c r="H852" s="22" t="s">
        <v>37</v>
      </c>
      <c r="I852" s="22" t="s">
        <v>187</v>
      </c>
      <c r="J852" s="20">
        <f t="shared" si="29"/>
        <v>45621.39323</v>
      </c>
      <c r="K852" s="27" t="s">
        <v>33</v>
      </c>
      <c r="L852" s="27" t="s">
        <v>187</v>
      </c>
      <c r="M852" s="20">
        <f t="shared" si="30"/>
        <v>45622.64665</v>
      </c>
      <c r="N852" s="8" t="str">
        <f t="shared" si="3"/>
        <v>Selesai</v>
      </c>
      <c r="O852" s="23">
        <f t="shared" si="22"/>
        <v>45622.64665</v>
      </c>
      <c r="P852" s="24" t="b">
        <v>1</v>
      </c>
      <c r="Q852" s="20">
        <f t="shared" si="31"/>
        <v>45622.64668</v>
      </c>
      <c r="R852" s="24" t="b">
        <v>0</v>
      </c>
      <c r="S852" s="7" t="str">
        <f t="shared" si="6"/>
        <v/>
      </c>
      <c r="T852" s="7"/>
    </row>
    <row r="853" ht="22.5" hidden="1" customHeight="1">
      <c r="B853" s="7">
        <f t="shared" si="7"/>
        <v>847</v>
      </c>
      <c r="C853" s="18" t="s">
        <v>826</v>
      </c>
      <c r="D853" s="19" t="str">
        <f t="array" ref="D853">IFNA(_xlfn.XLOOKUP(C853,Table_Tarikan_Warkah[Nomor Sertipikat],Table_Tarikan_Warkah[Nomor Tiket]),"")</f>
        <v>K/23/211124/1</v>
      </c>
      <c r="E853" s="20">
        <f t="array" ref="E853">IFNA(_xlfn.XLOOKUP(D853,Table_Tarikan_Warkah[Nomor Tiket],Table_Tarikan_Warkah[Tanggal diserahkan kepada Validator]),"")</f>
        <v>45622.50264</v>
      </c>
      <c r="F853" s="20" t="str">
        <f t="array" ref="F853">IFNA(_xlfn.XLOOKUP(D853,Table_Tarikan_Warkah[Nomor Tiket],Table_Tarikan_Warkah[Nama Petugas Warkah]),"")</f>
        <v>David</v>
      </c>
      <c r="G853" s="21" t="str">
        <f t="array" ref="G853">IFNA(_xlfn.XLOOKUP(D853,Table_Tarikan_Warkah[Nomor Tiket],Table_Tarikan_Warkah[Jenis Permohonan]),"")</f>
        <v>BN JUAL BELI</v>
      </c>
      <c r="H853" s="22" t="s">
        <v>37</v>
      </c>
      <c r="I853" s="22" t="s">
        <v>32</v>
      </c>
      <c r="J853" s="20">
        <f t="shared" si="29"/>
        <v>45621.70535</v>
      </c>
      <c r="K853" s="27" t="s">
        <v>65</v>
      </c>
      <c r="L853" s="27" t="s">
        <v>32</v>
      </c>
      <c r="M853" s="20">
        <f t="shared" si="30"/>
        <v>45622.64674</v>
      </c>
      <c r="N853" s="8" t="str">
        <f t="shared" si="3"/>
        <v>SELESAI</v>
      </c>
      <c r="O853" s="23">
        <f t="shared" si="22"/>
        <v>45622.64674</v>
      </c>
      <c r="P853" s="24" t="b">
        <v>0</v>
      </c>
      <c r="Q853" s="20" t="str">
        <f t="shared" si="31"/>
        <v/>
      </c>
      <c r="R853" s="24" t="b">
        <v>0</v>
      </c>
      <c r="S853" s="7" t="str">
        <f t="shared" si="6"/>
        <v/>
      </c>
      <c r="T853" s="7"/>
    </row>
    <row r="854" ht="22.5" hidden="1" customHeight="1">
      <c r="B854" s="7">
        <f t="shared" si="7"/>
        <v>848</v>
      </c>
      <c r="C854" s="18" t="s">
        <v>827</v>
      </c>
      <c r="D854" s="19" t="str">
        <f t="array" ref="D854">IFNA(_xlfn.XLOOKUP(C854,Table_Tarikan_Warkah[Nomor Sertipikat],Table_Tarikan_Warkah[Nomor Tiket]),"")</f>
        <v>K/30/211124/1</v>
      </c>
      <c r="E854" s="20" t="str">
        <f t="array" ref="E854">IFNA(_xlfn.XLOOKUP(D854,Table_Tarikan_Warkah[Nomor Tiket],Table_Tarikan_Warkah[Tanggal diserahkan kepada Validator]),"")</f>
        <v/>
      </c>
      <c r="F854" s="20" t="str">
        <f t="array" ref="F854">IFNA(_xlfn.XLOOKUP(D854,Table_Tarikan_Warkah[Nomor Tiket],Table_Tarikan_Warkah[Nama Petugas Warkah]),"")</f>
        <v/>
      </c>
      <c r="G854" s="21" t="str">
        <f t="array" ref="G854">IFNA(_xlfn.XLOOKUP(D854,Table_Tarikan_Warkah[Nomor Tiket],Table_Tarikan_Warkah[Jenis Permohonan]),"")</f>
        <v>BN JUAL BELI</v>
      </c>
      <c r="H854" s="22" t="s">
        <v>37</v>
      </c>
      <c r="I854" s="22" t="s">
        <v>32</v>
      </c>
      <c r="J854" s="20">
        <f t="shared" si="29"/>
        <v>45621.70535</v>
      </c>
      <c r="K854" s="22" t="s">
        <v>65</v>
      </c>
      <c r="L854" s="22" t="s">
        <v>32</v>
      </c>
      <c r="M854" s="20">
        <f t="shared" si="30"/>
        <v>45622.64674</v>
      </c>
      <c r="N854" s="8" t="str">
        <f t="shared" si="3"/>
        <v>SELESAI</v>
      </c>
      <c r="O854" s="23">
        <f t="shared" si="22"/>
        <v>45622.64674</v>
      </c>
      <c r="P854" s="24" t="b">
        <v>0</v>
      </c>
      <c r="Q854" s="20" t="str">
        <f t="shared" si="31"/>
        <v/>
      </c>
      <c r="R854" s="24" t="b">
        <v>0</v>
      </c>
      <c r="S854" s="7" t="str">
        <f t="shared" si="6"/>
        <v/>
      </c>
      <c r="T854" s="7"/>
    </row>
    <row r="855" ht="22.5" hidden="1" customHeight="1">
      <c r="B855" s="7">
        <f t="shared" si="7"/>
        <v>849</v>
      </c>
      <c r="C855" s="18" t="s">
        <v>828</v>
      </c>
      <c r="D855" s="19" t="str">
        <f t="array" ref="D855">IFNA(_xlfn.XLOOKUP(C855,Table_Tarikan_Warkah[Nomor Sertipikat],Table_Tarikan_Warkah[Nomor Tiket]),"")</f>
        <v>K/53/211124/2</v>
      </c>
      <c r="E855" s="20" t="str">
        <f t="array" ref="E855">IFNA(_xlfn.XLOOKUP(D855,Table_Tarikan_Warkah[Nomor Tiket],Table_Tarikan_Warkah[Tanggal diserahkan kepada Validator]),"")</f>
        <v/>
      </c>
      <c r="F855" s="20" t="str">
        <f t="array" ref="F855">IFNA(_xlfn.XLOOKUP(D855,Table_Tarikan_Warkah[Nomor Tiket],Table_Tarikan_Warkah[Nama Petugas Warkah]),"")</f>
        <v/>
      </c>
      <c r="G855" s="21" t="str">
        <f t="array" ref="G855">IFNA(_xlfn.XLOOKUP(D855,Table_Tarikan_Warkah[Nomor Tiket],Table_Tarikan_Warkah[Jenis Permohonan]),"")</f>
        <v>BN JUAL BELI</v>
      </c>
      <c r="H855" s="22" t="s">
        <v>37</v>
      </c>
      <c r="I855" s="22" t="s">
        <v>32</v>
      </c>
      <c r="J855" s="20">
        <f t="shared" si="29"/>
        <v>45621.70535</v>
      </c>
      <c r="K855" s="22" t="s">
        <v>65</v>
      </c>
      <c r="L855" s="22" t="s">
        <v>32</v>
      </c>
      <c r="M855" s="20">
        <f t="shared" si="30"/>
        <v>45622.64674</v>
      </c>
      <c r="N855" s="8" t="str">
        <f t="shared" si="3"/>
        <v>SELESAI</v>
      </c>
      <c r="O855" s="23">
        <f t="shared" si="22"/>
        <v>45622.64674</v>
      </c>
      <c r="P855" s="24" t="b">
        <v>0</v>
      </c>
      <c r="Q855" s="20" t="str">
        <f t="shared" si="31"/>
        <v/>
      </c>
      <c r="R855" s="24" t="b">
        <v>0</v>
      </c>
      <c r="S855" s="7" t="str">
        <f t="shared" si="6"/>
        <v/>
      </c>
      <c r="T855" s="7"/>
    </row>
    <row r="856" ht="22.5" hidden="1" customHeight="1">
      <c r="B856" s="7">
        <f t="shared" si="7"/>
        <v>850</v>
      </c>
      <c r="C856" s="18" t="s">
        <v>829</v>
      </c>
      <c r="D856" s="19" t="str">
        <f t="array" ref="D856">IFNA(_xlfn.XLOOKUP(C856,Table_Tarikan_Warkah[Nomor Sertipikat],Table_Tarikan_Warkah[Nomor Tiket]),"")</f>
        <v>K/46/211124/1</v>
      </c>
      <c r="E856" s="20" t="str">
        <f t="array" ref="E856">IFNA(_xlfn.XLOOKUP(D856,Table_Tarikan_Warkah[Nomor Tiket],Table_Tarikan_Warkah[Tanggal diserahkan kepada Validator]),"")</f>
        <v/>
      </c>
      <c r="F856" s="20" t="str">
        <f t="array" ref="F856">IFNA(_xlfn.XLOOKUP(D856,Table_Tarikan_Warkah[Nomor Tiket],Table_Tarikan_Warkah[Nama Petugas Warkah]),"")</f>
        <v/>
      </c>
      <c r="G856" s="21" t="str">
        <f t="array" ref="G856">IFNA(_xlfn.XLOOKUP(D856,Table_Tarikan_Warkah[Nomor Tiket],Table_Tarikan_Warkah[Jenis Permohonan]),"")</f>
        <v>BN WARIS</v>
      </c>
      <c r="H856" s="22" t="s">
        <v>37</v>
      </c>
      <c r="I856" s="22" t="s">
        <v>32</v>
      </c>
      <c r="J856" s="20">
        <f t="shared" si="29"/>
        <v>45621.70535</v>
      </c>
      <c r="K856" s="27" t="s">
        <v>65</v>
      </c>
      <c r="L856" s="27" t="s">
        <v>32</v>
      </c>
      <c r="M856" s="20">
        <f t="shared" si="30"/>
        <v>45622.64726</v>
      </c>
      <c r="N856" s="8" t="str">
        <f t="shared" si="3"/>
        <v>SELESAI</v>
      </c>
      <c r="O856" s="23">
        <f t="shared" si="22"/>
        <v>45622.64726</v>
      </c>
      <c r="P856" s="24" t="b">
        <v>0</v>
      </c>
      <c r="Q856" s="20" t="str">
        <f t="shared" si="31"/>
        <v/>
      </c>
      <c r="R856" s="24" t="b">
        <v>0</v>
      </c>
      <c r="S856" s="7" t="str">
        <f t="shared" si="6"/>
        <v/>
      </c>
      <c r="T856" s="7"/>
    </row>
    <row r="857" ht="22.5" hidden="1" customHeight="1">
      <c r="B857" s="7">
        <f t="shared" si="7"/>
        <v>851</v>
      </c>
      <c r="C857" s="18" t="s">
        <v>830</v>
      </c>
      <c r="D857" s="19" t="str">
        <f t="array" ref="D857">IFNA(_xlfn.XLOOKUP(C857,Table_Tarikan_Warkah[Nomor Sertipikat],Table_Tarikan_Warkah[Nomor Tiket]),"")</f>
        <v>K/6/211124/1</v>
      </c>
      <c r="E857" s="20">
        <f t="array" ref="E857">IFNA(_xlfn.XLOOKUP(D857,Table_Tarikan_Warkah[Nomor Tiket],Table_Tarikan_Warkah[Tanggal diserahkan kepada Validator]),"")</f>
        <v>45621.4601</v>
      </c>
      <c r="F857" s="20" t="str">
        <f t="array" ref="F857">IFNA(_xlfn.XLOOKUP(D857,Table_Tarikan_Warkah[Nomor Tiket],Table_Tarikan_Warkah[Nama Petugas Warkah]),"")</f>
        <v>David</v>
      </c>
      <c r="G857" s="21" t="str">
        <f t="array" ref="G857">IFNA(_xlfn.XLOOKUP(D857,Table_Tarikan_Warkah[Nomor Tiket],Table_Tarikan_Warkah[Jenis Permohonan]),"")</f>
        <v>KEWARISAN</v>
      </c>
      <c r="H857" s="22" t="s">
        <v>37</v>
      </c>
      <c r="I857" s="22" t="s">
        <v>32</v>
      </c>
      <c r="J857" s="20">
        <f t="shared" si="29"/>
        <v>45621.70535</v>
      </c>
      <c r="K857" s="22" t="s">
        <v>65</v>
      </c>
      <c r="L857" s="22" t="s">
        <v>32</v>
      </c>
      <c r="M857" s="20">
        <f t="shared" si="30"/>
        <v>45622.64726</v>
      </c>
      <c r="N857" s="8" t="str">
        <f t="shared" si="3"/>
        <v>SELESAI</v>
      </c>
      <c r="O857" s="23">
        <f t="shared" si="22"/>
        <v>45622.64726</v>
      </c>
      <c r="P857" s="24" t="b">
        <v>0</v>
      </c>
      <c r="Q857" s="20" t="str">
        <f t="shared" si="31"/>
        <v/>
      </c>
      <c r="R857" s="24" t="b">
        <v>0</v>
      </c>
      <c r="S857" s="7" t="str">
        <f t="shared" si="6"/>
        <v/>
      </c>
      <c r="T857" s="7"/>
    </row>
    <row r="858" ht="22.5" hidden="1" customHeight="1">
      <c r="B858" s="7">
        <f t="shared" si="7"/>
        <v>852</v>
      </c>
      <c r="C858" s="18" t="s">
        <v>831</v>
      </c>
      <c r="D858" s="7" t="s">
        <v>832</v>
      </c>
      <c r="E858" s="20" t="str">
        <f t="array" ref="E858">IFNA(_xlfn.XLOOKUP(D858,Table_Tarikan_Warkah[Nomor Tiket],Table_Tarikan_Warkah[Tanggal diserahkan kepada Validator]),"")</f>
        <v/>
      </c>
      <c r="F858" s="20" t="str">
        <f t="array" ref="F858">IFNA(_xlfn.XLOOKUP(D858,Table_Tarikan_Warkah[Nomor Tiket],Table_Tarikan_Warkah[Nama Petugas Warkah]),"")</f>
        <v/>
      </c>
      <c r="G858" s="21" t="str">
        <f t="array" ref="G858">IFNA(_xlfn.XLOOKUP(D858,Table_Tarikan_Warkah[Nomor Tiket],Table_Tarikan_Warkah[Jenis Permohonan]),"")</f>
        <v>PEMECHAAN BIDANG</v>
      </c>
      <c r="H858" s="22" t="s">
        <v>37</v>
      </c>
      <c r="I858" s="22" t="s">
        <v>32</v>
      </c>
      <c r="J858" s="20">
        <f t="shared" si="29"/>
        <v>45621.70535</v>
      </c>
      <c r="K858" s="22" t="s">
        <v>65</v>
      </c>
      <c r="L858" s="22" t="s">
        <v>32</v>
      </c>
      <c r="M858" s="20">
        <f t="shared" si="30"/>
        <v>45622.64726</v>
      </c>
      <c r="N858" s="8" t="str">
        <f t="shared" si="3"/>
        <v>SELESAI</v>
      </c>
      <c r="O858" s="23">
        <f t="shared" si="22"/>
        <v>45622.64726</v>
      </c>
      <c r="P858" s="24" t="b">
        <v>0</v>
      </c>
      <c r="Q858" s="20" t="str">
        <f t="shared" si="31"/>
        <v/>
      </c>
      <c r="R858" s="24" t="b">
        <v>0</v>
      </c>
      <c r="S858" s="7" t="str">
        <f t="shared" si="6"/>
        <v/>
      </c>
      <c r="T858" s="7"/>
    </row>
    <row r="859" ht="22.5" hidden="1" customHeight="1">
      <c r="B859" s="7">
        <f t="shared" si="7"/>
        <v>853</v>
      </c>
      <c r="C859" s="18" t="s">
        <v>833</v>
      </c>
      <c r="D859" s="19" t="str">
        <f t="array" ref="D859">IFNA(_xlfn.XLOOKUP(C859,Table_Tarikan_Warkah[Nomor Sertipikat],Table_Tarikan_Warkah[Nomor Tiket]),"")</f>
        <v>K/8/211124/1</v>
      </c>
      <c r="E859" s="20" t="str">
        <f t="array" ref="E859">IFNA(_xlfn.XLOOKUP(D859,Table_Tarikan_Warkah[Nomor Tiket],Table_Tarikan_Warkah[Tanggal diserahkan kepada Validator]),"")</f>
        <v/>
      </c>
      <c r="F859" s="20" t="str">
        <f t="array" ref="F859">IFNA(_xlfn.XLOOKUP(D859,Table_Tarikan_Warkah[Nomor Tiket],Table_Tarikan_Warkah[Nama Petugas Warkah]),"")</f>
        <v/>
      </c>
      <c r="G859" s="21" t="str">
        <f t="array" ref="G859">IFNA(_xlfn.XLOOKUP(D859,Table_Tarikan_Warkah[Nomor Tiket],Table_Tarikan_Warkah[Jenis Permohonan]),"")</f>
        <v>BN Jual Beli</v>
      </c>
      <c r="H859" s="22" t="s">
        <v>37</v>
      </c>
      <c r="I859" s="22" t="s">
        <v>32</v>
      </c>
      <c r="J859" s="20">
        <f t="shared" si="29"/>
        <v>45621.70535</v>
      </c>
      <c r="K859" s="27" t="s">
        <v>65</v>
      </c>
      <c r="L859" s="27" t="s">
        <v>32</v>
      </c>
      <c r="M859" s="20">
        <f t="shared" si="30"/>
        <v>45622.6474</v>
      </c>
      <c r="N859" s="8" t="str">
        <f t="shared" si="3"/>
        <v>SELESAI</v>
      </c>
      <c r="O859" s="23">
        <f t="shared" si="22"/>
        <v>45622.6474</v>
      </c>
      <c r="P859" s="24" t="b">
        <v>0</v>
      </c>
      <c r="Q859" s="20" t="str">
        <f t="shared" si="31"/>
        <v/>
      </c>
      <c r="R859" s="24" t="b">
        <v>0</v>
      </c>
      <c r="S859" s="7" t="str">
        <f t="shared" si="6"/>
        <v/>
      </c>
      <c r="T859" s="7"/>
    </row>
    <row r="860" ht="22.5" hidden="1" customHeight="1">
      <c r="B860" s="7">
        <f t="shared" si="7"/>
        <v>854</v>
      </c>
      <c r="C860" s="18" t="s">
        <v>834</v>
      </c>
      <c r="D860" s="19" t="str">
        <f t="array" ref="D860">IFNA(_xlfn.XLOOKUP(C860,Table_Tarikan_Warkah[Nomor Sertipikat],Table_Tarikan_Warkah[Nomor Tiket]),"")</f>
        <v>L/10/211124/1</v>
      </c>
      <c r="E860" s="20" t="str">
        <f t="array" ref="E860">IFNA(_xlfn.XLOOKUP(D860,Table_Tarikan_Warkah[Nomor Tiket],Table_Tarikan_Warkah[Tanggal diserahkan kepada Validator]),"")</f>
        <v/>
      </c>
      <c r="F860" s="20" t="str">
        <f t="array" ref="F860">IFNA(_xlfn.XLOOKUP(D860,Table_Tarikan_Warkah[Nomor Tiket],Table_Tarikan_Warkah[Nama Petugas Warkah]),"")</f>
        <v>David</v>
      </c>
      <c r="G860" s="21" t="str">
        <f t="array" ref="G860">IFNA(_xlfn.XLOOKUP(D860,Table_Tarikan_Warkah[Nomor Tiket],Table_Tarikan_Warkah[Jenis Permohonan]),"")</f>
        <v>ROYA</v>
      </c>
      <c r="H860" s="22" t="s">
        <v>37</v>
      </c>
      <c r="I860" s="22" t="s">
        <v>32</v>
      </c>
      <c r="J860" s="20">
        <f t="shared" si="29"/>
        <v>45621.70535</v>
      </c>
      <c r="K860" s="22" t="s">
        <v>65</v>
      </c>
      <c r="L860" s="22" t="s">
        <v>32</v>
      </c>
      <c r="M860" s="20">
        <f t="shared" si="30"/>
        <v>45622.6474</v>
      </c>
      <c r="N860" s="8" t="str">
        <f t="shared" si="3"/>
        <v>SELESAI</v>
      </c>
      <c r="O860" s="23">
        <f t="shared" si="22"/>
        <v>45622.6474</v>
      </c>
      <c r="P860" s="24" t="b">
        <v>0</v>
      </c>
      <c r="Q860" s="20" t="str">
        <f t="shared" si="31"/>
        <v/>
      </c>
      <c r="R860" s="24" t="b">
        <v>0</v>
      </c>
      <c r="S860" s="7" t="str">
        <f t="shared" si="6"/>
        <v/>
      </c>
      <c r="T860" s="7"/>
    </row>
    <row r="861" ht="22.5" hidden="1" customHeight="1">
      <c r="B861" s="7">
        <f t="shared" si="7"/>
        <v>855</v>
      </c>
      <c r="C861" s="18" t="s">
        <v>835</v>
      </c>
      <c r="D861" s="19" t="str">
        <f t="array" ref="D861">IFNA(_xlfn.XLOOKUP(C861,Table_Tarikan_Warkah[Nomor Sertipikat],Table_Tarikan_Warkah[Nomor Tiket]),"")</f>
        <v>L/3/211124/1</v>
      </c>
      <c r="E861" s="20" t="str">
        <f t="array" ref="E861">IFNA(_xlfn.XLOOKUP(D861,Table_Tarikan_Warkah[Nomor Tiket],Table_Tarikan_Warkah[Tanggal diserahkan kepada Validator]),"")</f>
        <v/>
      </c>
      <c r="F861" s="20" t="str">
        <f t="array" ref="F861">IFNA(_xlfn.XLOOKUP(D861,Table_Tarikan_Warkah[Nomor Tiket],Table_Tarikan_Warkah[Nama Petugas Warkah]),"")</f>
        <v/>
      </c>
      <c r="G861" s="21" t="str">
        <f t="array" ref="G861">IFNA(_xlfn.XLOOKUP(D861,Table_Tarikan_Warkah[Nomor Tiket],Table_Tarikan_Warkah[Jenis Permohonan]),"")</f>
        <v>ROYA</v>
      </c>
      <c r="H861" s="22" t="s">
        <v>37</v>
      </c>
      <c r="I861" s="22" t="s">
        <v>32</v>
      </c>
      <c r="J861" s="20">
        <f t="shared" si="29"/>
        <v>45621.70535</v>
      </c>
      <c r="K861" s="22" t="s">
        <v>65</v>
      </c>
      <c r="L861" s="22" t="s">
        <v>32</v>
      </c>
      <c r="M861" s="20">
        <f t="shared" si="30"/>
        <v>45622.6474</v>
      </c>
      <c r="N861" s="8" t="str">
        <f t="shared" si="3"/>
        <v>SELESAI</v>
      </c>
      <c r="O861" s="23">
        <f t="shared" si="22"/>
        <v>45622.6474</v>
      </c>
      <c r="P861" s="24" t="b">
        <v>0</v>
      </c>
      <c r="Q861" s="20" t="str">
        <f t="shared" si="31"/>
        <v/>
      </c>
      <c r="R861" s="24" t="b">
        <v>0</v>
      </c>
      <c r="S861" s="7" t="str">
        <f t="shared" si="6"/>
        <v/>
      </c>
      <c r="T861" s="7"/>
    </row>
    <row r="862" ht="22.5" hidden="1" customHeight="1">
      <c r="B862" s="7">
        <f t="shared" si="7"/>
        <v>856</v>
      </c>
      <c r="C862" s="18" t="s">
        <v>836</v>
      </c>
      <c r="D862" s="19" t="str">
        <f t="array" ref="D862">IFNA(_xlfn.XLOOKUP(C862,Table_Tarikan_Warkah[Nomor Sertipikat],Table_Tarikan_Warkah[Nomor Tiket]),"")</f>
        <v>L/37/211124/1</v>
      </c>
      <c r="E862" s="20">
        <f t="array" ref="E862">IFNA(_xlfn.XLOOKUP(D862,Table_Tarikan_Warkah[Nomor Tiket],Table_Tarikan_Warkah[Tanggal diserahkan kepada Validator]),"")</f>
        <v>45621.4601</v>
      </c>
      <c r="F862" s="20" t="str">
        <f t="array" ref="F862">IFNA(_xlfn.XLOOKUP(D862,Table_Tarikan_Warkah[Nomor Tiket],Table_Tarikan_Warkah[Nama Petugas Warkah]),"")</f>
        <v>David</v>
      </c>
      <c r="G862" s="21" t="str">
        <f t="array" ref="G862">IFNA(_xlfn.XLOOKUP(D862,Table_Tarikan_Warkah[Nomor Tiket],Table_Tarikan_Warkah[Jenis Permohonan]),"")</f>
        <v>ROYA</v>
      </c>
      <c r="H862" s="22" t="s">
        <v>37</v>
      </c>
      <c r="I862" s="22" t="s">
        <v>32</v>
      </c>
      <c r="J862" s="20">
        <f t="shared" si="29"/>
        <v>45621.70535</v>
      </c>
      <c r="K862" s="27" t="s">
        <v>65</v>
      </c>
      <c r="L862" s="27" t="s">
        <v>32</v>
      </c>
      <c r="M862" s="20">
        <f t="shared" si="30"/>
        <v>45622.6474</v>
      </c>
      <c r="N862" s="8" t="str">
        <f t="shared" si="3"/>
        <v>SELESAI</v>
      </c>
      <c r="O862" s="23">
        <f t="shared" si="22"/>
        <v>45622.6474</v>
      </c>
      <c r="P862" s="24" t="b">
        <v>0</v>
      </c>
      <c r="Q862" s="20" t="str">
        <f t="shared" si="31"/>
        <v/>
      </c>
      <c r="R862" s="24" t="b">
        <v>0</v>
      </c>
      <c r="S862" s="7" t="str">
        <f t="shared" si="6"/>
        <v/>
      </c>
      <c r="T862" s="7"/>
    </row>
    <row r="863" ht="22.5" hidden="1" customHeight="1">
      <c r="B863" s="7">
        <f t="shared" si="7"/>
        <v>857</v>
      </c>
      <c r="C863" s="18" t="s">
        <v>837</v>
      </c>
      <c r="D863" s="19" t="str">
        <f t="array" ref="D863">IFNA(_xlfn.XLOOKUP(C863,Table_Tarikan_Warkah[Nomor Sertipikat],Table_Tarikan_Warkah[Nomor Tiket]),"")</f>
        <v>K/39/211124/2</v>
      </c>
      <c r="E863" s="20">
        <f t="array" ref="E863">IFNA(_xlfn.XLOOKUP(D863,Table_Tarikan_Warkah[Nomor Tiket],Table_Tarikan_Warkah[Tanggal diserahkan kepada Validator]),"")</f>
        <v>45621.4601</v>
      </c>
      <c r="F863" s="20" t="str">
        <f t="array" ref="F863">IFNA(_xlfn.XLOOKUP(D863,Table_Tarikan_Warkah[Nomor Tiket],Table_Tarikan_Warkah[Nama Petugas Warkah]),"")</f>
        <v>David</v>
      </c>
      <c r="G863" s="21" t="str">
        <f t="array" ref="G863">IFNA(_xlfn.XLOOKUP(D863,Table_Tarikan_Warkah[Nomor Tiket],Table_Tarikan_Warkah[Jenis Permohonan]),"")</f>
        <v>KEWARISAN</v>
      </c>
      <c r="H863" s="22" t="s">
        <v>37</v>
      </c>
      <c r="I863" s="22" t="s">
        <v>32</v>
      </c>
      <c r="J863" s="20">
        <f t="shared" si="29"/>
        <v>45621.70535</v>
      </c>
      <c r="K863" s="22" t="s">
        <v>65</v>
      </c>
      <c r="L863" s="22" t="s">
        <v>32</v>
      </c>
      <c r="M863" s="20">
        <f t="shared" si="30"/>
        <v>45622.6474</v>
      </c>
      <c r="N863" s="8" t="str">
        <f t="shared" si="3"/>
        <v>SELESAI</v>
      </c>
      <c r="O863" s="23">
        <f t="shared" si="22"/>
        <v>45622.6474</v>
      </c>
      <c r="P863" s="24" t="b">
        <v>0</v>
      </c>
      <c r="Q863" s="20" t="str">
        <f t="shared" si="31"/>
        <v/>
      </c>
      <c r="R863" s="24" t="b">
        <v>0</v>
      </c>
      <c r="S863" s="7" t="str">
        <f t="shared" si="6"/>
        <v/>
      </c>
      <c r="T863" s="7"/>
    </row>
    <row r="864" ht="22.5" hidden="1" customHeight="1">
      <c r="B864" s="7">
        <f t="shared" si="7"/>
        <v>858</v>
      </c>
      <c r="C864" s="18" t="s">
        <v>838</v>
      </c>
      <c r="D864" s="19" t="str">
        <f t="array" ref="D864">IFNA(_xlfn.XLOOKUP(C864,Table_Tarikan_Warkah[Nomor Sertipikat],Table_Tarikan_Warkah[Nomor Tiket]),"")</f>
        <v>K/41/211124/1</v>
      </c>
      <c r="E864" s="20">
        <f t="array" ref="E864">IFNA(_xlfn.XLOOKUP(D864,Table_Tarikan_Warkah[Nomor Tiket],Table_Tarikan_Warkah[Tanggal diserahkan kepada Validator]),"")</f>
        <v>45621.4601</v>
      </c>
      <c r="F864" s="20" t="str">
        <f t="array" ref="F864">IFNA(_xlfn.XLOOKUP(D864,Table_Tarikan_Warkah[Nomor Tiket],Table_Tarikan_Warkah[Nama Petugas Warkah]),"")</f>
        <v>David</v>
      </c>
      <c r="G864" s="21" t="str">
        <f t="array" ref="G864">IFNA(_xlfn.XLOOKUP(D864,Table_Tarikan_Warkah[Nomor Tiket],Table_Tarikan_Warkah[Jenis Permohonan]),"")</f>
        <v>BN Jual Beli</v>
      </c>
      <c r="H864" s="22" t="s">
        <v>37</v>
      </c>
      <c r="I864" s="22" t="s">
        <v>32</v>
      </c>
      <c r="J864" s="20">
        <f t="shared" si="29"/>
        <v>45621.70535</v>
      </c>
      <c r="K864" s="22" t="s">
        <v>65</v>
      </c>
      <c r="L864" s="22" t="s">
        <v>32</v>
      </c>
      <c r="M864" s="20">
        <f t="shared" si="30"/>
        <v>45622.6474</v>
      </c>
      <c r="N864" s="8" t="str">
        <f t="shared" si="3"/>
        <v>SELESAI</v>
      </c>
      <c r="O864" s="23">
        <f t="shared" si="22"/>
        <v>45622.6474</v>
      </c>
      <c r="P864" s="24" t="b">
        <v>0</v>
      </c>
      <c r="Q864" s="20" t="str">
        <f t="shared" si="31"/>
        <v/>
      </c>
      <c r="R864" s="24" t="b">
        <v>0</v>
      </c>
      <c r="S864" s="7" t="str">
        <f t="shared" si="6"/>
        <v/>
      </c>
      <c r="T864" s="7"/>
    </row>
    <row r="865" ht="22.5" hidden="1" customHeight="1">
      <c r="B865" s="7">
        <f t="shared" si="7"/>
        <v>859</v>
      </c>
      <c r="C865" s="18" t="s">
        <v>839</v>
      </c>
      <c r="D865" s="19" t="str">
        <f t="array" ref="D865">IFNA(_xlfn.XLOOKUP(C865,Table_Tarikan_Warkah[Nomor Sertipikat],Table_Tarikan_Warkah[Nomor Tiket]),"")</f>
        <v>K/43/211124/1</v>
      </c>
      <c r="E865" s="20">
        <f t="array" ref="E865">IFNA(_xlfn.XLOOKUP(D865,Table_Tarikan_Warkah[Nomor Tiket],Table_Tarikan_Warkah[Tanggal diserahkan kepada Validator]),"")</f>
        <v>45621.4601</v>
      </c>
      <c r="F865" s="20" t="str">
        <f t="array" ref="F865">IFNA(_xlfn.XLOOKUP(D865,Table_Tarikan_Warkah[Nomor Tiket],Table_Tarikan_Warkah[Nama Petugas Warkah]),"")</f>
        <v>David</v>
      </c>
      <c r="G865" s="21" t="str">
        <f t="array" ref="G865">IFNA(_xlfn.XLOOKUP(D865,Table_Tarikan_Warkah[Nomor Tiket],Table_Tarikan_Warkah[Jenis Permohonan]),"")</f>
        <v>BN JUAL BELI</v>
      </c>
      <c r="H865" s="22" t="s">
        <v>37</v>
      </c>
      <c r="I865" s="22" t="s">
        <v>32</v>
      </c>
      <c r="J865" s="20">
        <f t="shared" si="29"/>
        <v>45621.70535</v>
      </c>
      <c r="K865" s="22" t="s">
        <v>65</v>
      </c>
      <c r="L865" s="22" t="s">
        <v>32</v>
      </c>
      <c r="M865" s="20">
        <f t="shared" si="30"/>
        <v>45622.64746</v>
      </c>
      <c r="N865" s="8" t="str">
        <f t="shared" si="3"/>
        <v>SELESAI</v>
      </c>
      <c r="O865" s="23">
        <f t="shared" si="22"/>
        <v>45622.64746</v>
      </c>
      <c r="P865" s="24" t="b">
        <v>0</v>
      </c>
      <c r="Q865" s="20" t="str">
        <f t="shared" si="31"/>
        <v/>
      </c>
      <c r="R865" s="24" t="b">
        <v>0</v>
      </c>
      <c r="S865" s="7" t="str">
        <f t="shared" si="6"/>
        <v/>
      </c>
      <c r="T865" s="7"/>
    </row>
    <row r="866" ht="22.5" hidden="1" customHeight="1">
      <c r="B866" s="7">
        <f t="shared" si="7"/>
        <v>860</v>
      </c>
      <c r="C866" s="18" t="s">
        <v>840</v>
      </c>
      <c r="D866" s="19" t="str">
        <f t="array" ref="D866">IFNA(_xlfn.XLOOKUP(C866,Table_Tarikan_Warkah[Nomor Sertipikat],Table_Tarikan_Warkah[Nomor Tiket]),"")</f>
        <v>K/52/211124/1</v>
      </c>
      <c r="E866" s="20">
        <f t="array" ref="E866">IFNA(_xlfn.XLOOKUP(D866,Table_Tarikan_Warkah[Nomor Tiket],Table_Tarikan_Warkah[Tanggal diserahkan kepada Validator]),"")</f>
        <v>45622.42599</v>
      </c>
      <c r="F866" s="20" t="str">
        <f t="array" ref="F866">IFNA(_xlfn.XLOOKUP(D866,Table_Tarikan_Warkah[Nomor Tiket],Table_Tarikan_Warkah[Nama Petugas Warkah]),"")</f>
        <v>David</v>
      </c>
      <c r="G866" s="21" t="str">
        <f t="array" ref="G866">IFNA(_xlfn.XLOOKUP(D866,Table_Tarikan_Warkah[Nomor Tiket],Table_Tarikan_Warkah[Jenis Permohonan]),"")</f>
        <v>BN JUAL BELI</v>
      </c>
      <c r="H866" s="22" t="s">
        <v>37</v>
      </c>
      <c r="I866" s="22" t="s">
        <v>32</v>
      </c>
      <c r="J866" s="20">
        <f t="shared" si="29"/>
        <v>45621.70535</v>
      </c>
      <c r="K866" s="22" t="s">
        <v>65</v>
      </c>
      <c r="L866" s="22" t="s">
        <v>32</v>
      </c>
      <c r="M866" s="20">
        <f t="shared" si="30"/>
        <v>45622.64746</v>
      </c>
      <c r="N866" s="8" t="str">
        <f t="shared" si="3"/>
        <v>SELESAI</v>
      </c>
      <c r="O866" s="23">
        <f t="shared" si="22"/>
        <v>45622.64746</v>
      </c>
      <c r="P866" s="24" t="b">
        <v>0</v>
      </c>
      <c r="Q866" s="20" t="str">
        <f t="shared" si="31"/>
        <v/>
      </c>
      <c r="R866" s="24" t="b">
        <v>0</v>
      </c>
      <c r="S866" s="7" t="str">
        <f t="shared" si="6"/>
        <v/>
      </c>
      <c r="T866" s="7"/>
    </row>
    <row r="867" ht="22.5" hidden="1" customHeight="1">
      <c r="B867" s="7">
        <f t="shared" si="7"/>
        <v>861</v>
      </c>
      <c r="C867" s="18" t="s">
        <v>841</v>
      </c>
      <c r="D867" s="19" t="str">
        <f t="array" ref="D867">IFNA(_xlfn.XLOOKUP(C867,Table_Tarikan_Warkah[Nomor Sertipikat],Table_Tarikan_Warkah[Nomor Tiket]),"")</f>
        <v>K/8/111124/1</v>
      </c>
      <c r="E867" s="20" t="str">
        <f t="array" ref="E867">IFNA(_xlfn.XLOOKUP(D867,Table_Tarikan_Warkah[Nomor Tiket],Table_Tarikan_Warkah[Tanggal diserahkan kepada Validator]),"")</f>
        <v/>
      </c>
      <c r="F867" s="20" t="str">
        <f t="array" ref="F867">IFNA(_xlfn.XLOOKUP(D867,Table_Tarikan_Warkah[Nomor Tiket],Table_Tarikan_Warkah[Nama Petugas Warkah]),"")</f>
        <v>Berry</v>
      </c>
      <c r="G867" s="21" t="str">
        <f t="array" ref="G867">IFNA(_xlfn.XLOOKUP(D867,Table_Tarikan_Warkah[Nomor Tiket],Table_Tarikan_Warkah[Jenis Permohonan]),"")</f>
        <v>BN Jual Beli</v>
      </c>
      <c r="H867" s="22" t="s">
        <v>31</v>
      </c>
      <c r="I867" s="22" t="s">
        <v>187</v>
      </c>
      <c r="J867" s="20">
        <f t="shared" si="29"/>
        <v>45621.70535</v>
      </c>
      <c r="K867" s="27" t="s">
        <v>33</v>
      </c>
      <c r="L867" s="27" t="s">
        <v>187</v>
      </c>
      <c r="M867" s="20">
        <f t="shared" si="30"/>
        <v>45622.64876</v>
      </c>
      <c r="N867" s="8" t="str">
        <f t="shared" si="3"/>
        <v>Selesai</v>
      </c>
      <c r="O867" s="23">
        <f t="shared" si="22"/>
        <v>45622.64876</v>
      </c>
      <c r="P867" s="24" t="b">
        <v>1</v>
      </c>
      <c r="Q867" s="20">
        <f t="shared" si="31"/>
        <v>45622.64889</v>
      </c>
      <c r="R867" s="24" t="b">
        <v>0</v>
      </c>
      <c r="S867" s="7" t="str">
        <f t="shared" si="6"/>
        <v/>
      </c>
      <c r="T867" s="7"/>
    </row>
    <row r="868" ht="22.5" hidden="1" customHeight="1">
      <c r="B868" s="7">
        <f t="shared" si="7"/>
        <v>862</v>
      </c>
      <c r="C868" s="18" t="s">
        <v>842</v>
      </c>
      <c r="D868" s="19" t="str">
        <f t="array" ref="D868">IFNA(_xlfn.XLOOKUP(C868,Table_Tarikan_Warkah[Nomor Sertipikat],Table_Tarikan_Warkah[Nomor Tiket]),"")</f>
        <v>K/34/141124/1</v>
      </c>
      <c r="E868" s="20" t="str">
        <f t="array" ref="E868">IFNA(_xlfn.XLOOKUP(D868,Table_Tarikan_Warkah[Nomor Tiket],Table_Tarikan_Warkah[Tanggal diserahkan kepada Validator]),"")</f>
        <v/>
      </c>
      <c r="F868" s="20" t="str">
        <f t="array" ref="F868">IFNA(_xlfn.XLOOKUP(D868,Table_Tarikan_Warkah[Nomor Tiket],Table_Tarikan_Warkah[Nama Petugas Warkah]),"")</f>
        <v>Berry</v>
      </c>
      <c r="G868" s="21" t="str">
        <f t="array" ref="G868">IFNA(_xlfn.XLOOKUP(D868,Table_Tarikan_Warkah[Nomor Tiket],Table_Tarikan_Warkah[Jenis Permohonan]),"")</f>
        <v>BN Jual Beli</v>
      </c>
      <c r="H868" s="22" t="s">
        <v>31</v>
      </c>
      <c r="I868" s="22" t="s">
        <v>187</v>
      </c>
      <c r="J868" s="20">
        <f t="shared" si="29"/>
        <v>45621.70535</v>
      </c>
      <c r="K868" s="27" t="s">
        <v>33</v>
      </c>
      <c r="L868" s="27" t="s">
        <v>187</v>
      </c>
      <c r="M868" s="20">
        <f t="shared" si="30"/>
        <v>45622.64876</v>
      </c>
      <c r="N868" s="8" t="str">
        <f t="shared" si="3"/>
        <v>Selesai</v>
      </c>
      <c r="O868" s="23">
        <f t="shared" si="22"/>
        <v>45622.64876</v>
      </c>
      <c r="P868" s="24" t="b">
        <v>1</v>
      </c>
      <c r="Q868" s="20">
        <f t="shared" si="31"/>
        <v>45622.64891</v>
      </c>
      <c r="R868" s="24" t="b">
        <v>0</v>
      </c>
      <c r="S868" s="7" t="str">
        <f t="shared" si="6"/>
        <v/>
      </c>
      <c r="T868" s="7"/>
    </row>
    <row r="869" ht="22.5" hidden="1" customHeight="1">
      <c r="B869" s="7">
        <f t="shared" si="7"/>
        <v>863</v>
      </c>
      <c r="C869" s="18" t="s">
        <v>724</v>
      </c>
      <c r="D869" s="19" t="str">
        <f t="array" ref="D869">IFNA(_xlfn.XLOOKUP(C869,Table_Tarikan_Warkah[Nomor Sertipikat],Table_Tarikan_Warkah[Nomor Tiket]),"")</f>
        <v>K/56/181124/1</v>
      </c>
      <c r="E869" s="20" t="str">
        <f t="array" ref="E869">IFNA(_xlfn.XLOOKUP(D869,Table_Tarikan_Warkah[Nomor Tiket],Table_Tarikan_Warkah[Tanggal diserahkan kepada Validator]),"")</f>
        <v/>
      </c>
      <c r="F869" s="20" t="str">
        <f t="array" ref="F869">IFNA(_xlfn.XLOOKUP(D869,Table_Tarikan_Warkah[Nomor Tiket],Table_Tarikan_Warkah[Nama Petugas Warkah]),"")</f>
        <v>David</v>
      </c>
      <c r="G869" s="21" t="str">
        <f t="array" ref="G869">IFNA(_xlfn.XLOOKUP(D869,Table_Tarikan_Warkah[Nomor Tiket],Table_Tarikan_Warkah[Jenis Permohonan]),"")</f>
        <v>BN JUAL BELI</v>
      </c>
      <c r="H869" s="22" t="s">
        <v>31</v>
      </c>
      <c r="I869" s="22" t="s">
        <v>187</v>
      </c>
      <c r="J869" s="20">
        <f t="shared" si="29"/>
        <v>45621.70535</v>
      </c>
      <c r="K869" s="27" t="s">
        <v>33</v>
      </c>
      <c r="L869" s="27" t="s">
        <v>187</v>
      </c>
      <c r="M869" s="20">
        <f t="shared" si="30"/>
        <v>45622.64878</v>
      </c>
      <c r="N869" s="8" t="str">
        <f t="shared" si="3"/>
        <v>Selesai</v>
      </c>
      <c r="O869" s="23">
        <f t="shared" si="22"/>
        <v>45622.64878</v>
      </c>
      <c r="P869" s="24" t="b">
        <v>1</v>
      </c>
      <c r="Q869" s="20">
        <f t="shared" si="31"/>
        <v>45622.64892</v>
      </c>
      <c r="R869" s="24" t="b">
        <v>0</v>
      </c>
      <c r="S869" s="7" t="str">
        <f t="shared" si="6"/>
        <v/>
      </c>
      <c r="T869" s="7"/>
    </row>
    <row r="870" ht="22.5" hidden="1" customHeight="1">
      <c r="B870" s="7">
        <f t="shared" si="7"/>
        <v>864</v>
      </c>
      <c r="C870" s="18" t="s">
        <v>843</v>
      </c>
      <c r="D870" s="19" t="str">
        <f t="array" ref="D870">IFNA(_xlfn.XLOOKUP(C870,Table_Tarikan_Warkah[Nomor Sertipikat],Table_Tarikan_Warkah[Nomor Tiket]),"")</f>
        <v>K/59/181124/2</v>
      </c>
      <c r="E870" s="20" t="str">
        <f t="array" ref="E870">IFNA(_xlfn.XLOOKUP(D870,Table_Tarikan_Warkah[Nomor Tiket],Table_Tarikan_Warkah[Tanggal diserahkan kepada Validator]),"")</f>
        <v/>
      </c>
      <c r="F870" s="20" t="str">
        <f t="array" ref="F870">IFNA(_xlfn.XLOOKUP(D870,Table_Tarikan_Warkah[Nomor Tiket],Table_Tarikan_Warkah[Nama Petugas Warkah]),"")</f>
        <v/>
      </c>
      <c r="G870" s="21" t="str">
        <f t="array" ref="G870">IFNA(_xlfn.XLOOKUP(D870,Table_Tarikan_Warkah[Nomor Tiket],Table_Tarikan_Warkah[Jenis Permohonan]),"")</f>
        <v>Ganti Nama HT</v>
      </c>
      <c r="H870" s="22" t="s">
        <v>31</v>
      </c>
      <c r="I870" s="22" t="s">
        <v>187</v>
      </c>
      <c r="J870" s="20">
        <f t="shared" si="29"/>
        <v>45621.70535</v>
      </c>
      <c r="K870" s="27" t="s">
        <v>33</v>
      </c>
      <c r="L870" s="27" t="s">
        <v>187</v>
      </c>
      <c r="M870" s="20">
        <f t="shared" si="30"/>
        <v>45622.64878</v>
      </c>
      <c r="N870" s="8" t="str">
        <f t="shared" si="3"/>
        <v>Selesai</v>
      </c>
      <c r="O870" s="23">
        <f t="shared" si="22"/>
        <v>45622.64878</v>
      </c>
      <c r="P870" s="24" t="b">
        <v>1</v>
      </c>
      <c r="Q870" s="20">
        <f t="shared" si="31"/>
        <v>45622.64892</v>
      </c>
      <c r="R870" s="24" t="b">
        <v>0</v>
      </c>
      <c r="S870" s="7" t="str">
        <f t="shared" si="6"/>
        <v/>
      </c>
      <c r="T870" s="7"/>
    </row>
    <row r="871" ht="22.5" hidden="1" customHeight="1">
      <c r="B871" s="7">
        <f t="shared" si="7"/>
        <v>865</v>
      </c>
      <c r="C871" s="18" t="s">
        <v>844</v>
      </c>
      <c r="D871" s="19" t="str">
        <f t="array" ref="D871">IFNA(_xlfn.XLOOKUP(C871,Table_Tarikan_Warkah[Nomor Sertipikat],Table_Tarikan_Warkah[Nomor Tiket]),"")</f>
        <v>K/60/181124/3</v>
      </c>
      <c r="E871" s="20" t="str">
        <f t="array" ref="E871">IFNA(_xlfn.XLOOKUP(D871,Table_Tarikan_Warkah[Nomor Tiket],Table_Tarikan_Warkah[Tanggal diserahkan kepada Validator]),"")</f>
        <v/>
      </c>
      <c r="F871" s="20" t="str">
        <f t="array" ref="F871">IFNA(_xlfn.XLOOKUP(D871,Table_Tarikan_Warkah[Nomor Tiket],Table_Tarikan_Warkah[Nama Petugas Warkah]),"")</f>
        <v/>
      </c>
      <c r="G871" s="21" t="str">
        <f t="array" ref="G871">IFNA(_xlfn.XLOOKUP(D871,Table_Tarikan_Warkah[Nomor Tiket],Table_Tarikan_Warkah[Jenis Permohonan]),"")</f>
        <v>Ganti Nama HT</v>
      </c>
      <c r="H871" s="22" t="s">
        <v>31</v>
      </c>
      <c r="I871" s="22" t="s">
        <v>187</v>
      </c>
      <c r="J871" s="20">
        <f t="shared" si="29"/>
        <v>45621.70535</v>
      </c>
      <c r="K871" s="27" t="s">
        <v>33</v>
      </c>
      <c r="L871" s="27" t="s">
        <v>187</v>
      </c>
      <c r="M871" s="20">
        <f t="shared" si="30"/>
        <v>45622.64881</v>
      </c>
      <c r="N871" s="8" t="str">
        <f t="shared" si="3"/>
        <v>Selesai</v>
      </c>
      <c r="O871" s="23">
        <f t="shared" si="22"/>
        <v>45622.64881</v>
      </c>
      <c r="P871" s="24" t="b">
        <v>1</v>
      </c>
      <c r="Q871" s="20">
        <f t="shared" si="31"/>
        <v>45622.64893</v>
      </c>
      <c r="R871" s="24" t="b">
        <v>0</v>
      </c>
      <c r="S871" s="7" t="str">
        <f t="shared" si="6"/>
        <v/>
      </c>
      <c r="T871" s="7"/>
    </row>
    <row r="872" ht="22.5" hidden="1" customHeight="1">
      <c r="B872" s="7">
        <f t="shared" si="7"/>
        <v>866</v>
      </c>
      <c r="C872" s="18" t="s">
        <v>845</v>
      </c>
      <c r="D872" s="19" t="str">
        <f t="array" ref="D872">IFNA(_xlfn.XLOOKUP(C872,Table_Tarikan_Warkah[Nomor Sertipikat],Table_Tarikan_Warkah[Nomor Tiket]),"")</f>
        <v>K/5/111124/1</v>
      </c>
      <c r="E872" s="20" t="str">
        <f t="array" ref="E872">IFNA(_xlfn.XLOOKUP(D872,Table_Tarikan_Warkah[Nomor Tiket],Table_Tarikan_Warkah[Tanggal diserahkan kepada Validator]),"")</f>
        <v/>
      </c>
      <c r="F872" s="20" t="str">
        <f t="array" ref="F872">IFNA(_xlfn.XLOOKUP(D872,Table_Tarikan_Warkah[Nomor Tiket],Table_Tarikan_Warkah[Nama Petugas Warkah]),"")</f>
        <v>Berry</v>
      </c>
      <c r="G872" s="21" t="str">
        <f t="array" ref="G872">IFNA(_xlfn.XLOOKUP(D872,Table_Tarikan_Warkah[Nomor Tiket],Table_Tarikan_Warkah[Jenis Permohonan]),"")</f>
        <v>BN Waris</v>
      </c>
      <c r="H872" s="22" t="s">
        <v>31</v>
      </c>
      <c r="I872" s="22" t="s">
        <v>187</v>
      </c>
      <c r="J872" s="20">
        <f t="shared" si="29"/>
        <v>45621.70535</v>
      </c>
      <c r="K872" s="27" t="s">
        <v>33</v>
      </c>
      <c r="L872" s="27" t="s">
        <v>187</v>
      </c>
      <c r="M872" s="20">
        <f t="shared" si="30"/>
        <v>45622.64881</v>
      </c>
      <c r="N872" s="8" t="str">
        <f t="shared" si="3"/>
        <v>Selesai</v>
      </c>
      <c r="O872" s="23">
        <f t="shared" si="22"/>
        <v>45622.64881</v>
      </c>
      <c r="P872" s="24" t="b">
        <v>1</v>
      </c>
      <c r="Q872" s="20">
        <f t="shared" si="31"/>
        <v>45622.64894</v>
      </c>
      <c r="R872" s="24" t="b">
        <v>0</v>
      </c>
      <c r="S872" s="7" t="str">
        <f t="shared" si="6"/>
        <v/>
      </c>
      <c r="T872" s="7"/>
    </row>
    <row r="873" ht="22.5" hidden="1" customHeight="1">
      <c r="B873" s="7">
        <f t="shared" si="7"/>
        <v>867</v>
      </c>
      <c r="C873" s="18" t="s">
        <v>846</v>
      </c>
      <c r="D873" s="19" t="str">
        <f t="array" ref="D873">IFNA(_xlfn.XLOOKUP(C873,Table_Tarikan_Warkah[Nomor Sertipikat],Table_Tarikan_Warkah[Nomor Tiket]),"")</f>
        <v>K/49/151124/2</v>
      </c>
      <c r="E873" s="20" t="str">
        <f t="array" ref="E873">IFNA(_xlfn.XLOOKUP(D873,Table_Tarikan_Warkah[Nomor Tiket],Table_Tarikan_Warkah[Tanggal diserahkan kepada Validator]),"")</f>
        <v/>
      </c>
      <c r="F873" s="20" t="str">
        <f t="array" ref="F873">IFNA(_xlfn.XLOOKUP(D873,Table_Tarikan_Warkah[Nomor Tiket],Table_Tarikan_Warkah[Nama Petugas Warkah]),"")</f>
        <v>Berry</v>
      </c>
      <c r="G873" s="21" t="str">
        <f t="array" ref="G873">IFNA(_xlfn.XLOOKUP(D873,Table_Tarikan_Warkah[Nomor Tiket],Table_Tarikan_Warkah[Jenis Permohonan]),"")</f>
        <v>BN Jual Beli</v>
      </c>
      <c r="H873" s="22" t="s">
        <v>31</v>
      </c>
      <c r="I873" s="22" t="s">
        <v>187</v>
      </c>
      <c r="J873" s="20">
        <f t="shared" si="29"/>
        <v>45621.70535</v>
      </c>
      <c r="K873" s="27" t="s">
        <v>33</v>
      </c>
      <c r="L873" s="27" t="s">
        <v>187</v>
      </c>
      <c r="M873" s="20">
        <f t="shared" si="30"/>
        <v>45622.64887</v>
      </c>
      <c r="N873" s="8" t="str">
        <f t="shared" si="3"/>
        <v>Selesai</v>
      </c>
      <c r="O873" s="23">
        <f t="shared" si="22"/>
        <v>45622.64887</v>
      </c>
      <c r="P873" s="24" t="b">
        <v>1</v>
      </c>
      <c r="Q873" s="20">
        <f t="shared" si="31"/>
        <v>45622.64895</v>
      </c>
      <c r="R873" s="24" t="b">
        <v>0</v>
      </c>
      <c r="S873" s="7" t="str">
        <f t="shared" si="6"/>
        <v/>
      </c>
      <c r="T873" s="7"/>
    </row>
    <row r="874" ht="22.5" hidden="1" customHeight="1">
      <c r="B874" s="7">
        <f t="shared" si="7"/>
        <v>868</v>
      </c>
      <c r="C874" s="18" t="s">
        <v>847</v>
      </c>
      <c r="D874" s="19" t="str">
        <f t="array" ref="D874">IFNA(_xlfn.XLOOKUP(C874,Table_Tarikan_Warkah[Nomor Sertipikat],Table_Tarikan_Warkah[Nomor Tiket]),"")</f>
        <v>K/1/261124/1</v>
      </c>
      <c r="E874" s="20" t="str">
        <f t="array" ref="E874">IFNA(_xlfn.XLOOKUP(D874,Table_Tarikan_Warkah[Nomor Tiket],Table_Tarikan_Warkah[Tanggal diserahkan kepada Validator]),"")</f>
        <v/>
      </c>
      <c r="F874" s="20" t="str">
        <f t="array" ref="F874">IFNA(_xlfn.XLOOKUP(D874,Table_Tarikan_Warkah[Nomor Tiket],Table_Tarikan_Warkah[Nama Petugas Warkah]),"")</f>
        <v>David</v>
      </c>
      <c r="G874" s="21" t="str">
        <f t="array" ref="G874">IFNA(_xlfn.XLOOKUP(D874,Table_Tarikan_Warkah[Nomor Tiket],Table_Tarikan_Warkah[Jenis Permohonan]),"")</f>
        <v>BN Jual Beli</v>
      </c>
      <c r="H874" s="22" t="s">
        <v>37</v>
      </c>
      <c r="I874" s="22" t="s">
        <v>32</v>
      </c>
      <c r="J874" s="20">
        <f t="shared" si="29"/>
        <v>45622.39974</v>
      </c>
      <c r="K874" s="27" t="s">
        <v>33</v>
      </c>
      <c r="L874" s="27" t="s">
        <v>32</v>
      </c>
      <c r="M874" s="20">
        <f t="shared" si="30"/>
        <v>45624.65004</v>
      </c>
      <c r="N874" s="8" t="str">
        <f t="shared" si="3"/>
        <v>SELESAI</v>
      </c>
      <c r="O874" s="23">
        <f t="shared" si="22"/>
        <v>45624.65004</v>
      </c>
      <c r="P874" s="24" t="b">
        <v>0</v>
      </c>
      <c r="Q874" s="20" t="str">
        <f t="shared" si="31"/>
        <v/>
      </c>
      <c r="R874" s="24" t="b">
        <v>1</v>
      </c>
      <c r="S874" s="20">
        <f t="shared" si="6"/>
        <v>45624.65004</v>
      </c>
      <c r="T874" s="7"/>
    </row>
    <row r="875" ht="22.5" hidden="1" customHeight="1">
      <c r="B875" s="7">
        <f t="shared" si="7"/>
        <v>869</v>
      </c>
      <c r="C875" s="18" t="s">
        <v>848</v>
      </c>
      <c r="D875" s="19" t="str">
        <f t="array" ref="D875">IFNA(_xlfn.XLOOKUP(C875,Table_Tarikan_Warkah[Nomor Sertipikat],Table_Tarikan_Warkah[Nomor Tiket]),"")</f>
        <v>K/34/131124/1</v>
      </c>
      <c r="E875" s="20">
        <f t="array" ref="E875">IFNA(_xlfn.XLOOKUP(D875,Table_Tarikan_Warkah[Nomor Tiket],Table_Tarikan_Warkah[Tanggal diserahkan kepada Validator]),"")</f>
        <v>45614.45043</v>
      </c>
      <c r="F875" s="20" t="str">
        <f t="array" ref="F875">IFNA(_xlfn.XLOOKUP(D875,Table_Tarikan_Warkah[Nomor Tiket],Table_Tarikan_Warkah[Nama Petugas Warkah]),"")</f>
        <v>David</v>
      </c>
      <c r="G875" s="21" t="str">
        <f t="array" ref="G875">IFNA(_xlfn.XLOOKUP(D875,Table_Tarikan_Warkah[Nomor Tiket],Table_Tarikan_Warkah[Jenis Permohonan]),"")</f>
        <v>BN JUAL BELI</v>
      </c>
      <c r="H875" s="22" t="s">
        <v>31</v>
      </c>
      <c r="I875" s="26"/>
      <c r="J875" s="20" t="str">
        <f t="shared" si="29"/>
        <v/>
      </c>
      <c r="K875" s="26"/>
      <c r="L875" s="26"/>
      <c r="M875" s="20" t="str">
        <f t="shared" si="30"/>
        <v/>
      </c>
      <c r="N875" s="8" t="str">
        <f t="shared" si="3"/>
        <v>BT atau SU Belum Valid</v>
      </c>
      <c r="O875" s="21" t="str">
        <f t="shared" si="22"/>
        <v/>
      </c>
      <c r="P875" s="24" t="b">
        <v>0</v>
      </c>
      <c r="Q875" s="20" t="str">
        <f t="shared" si="31"/>
        <v/>
      </c>
      <c r="R875" s="24" t="b">
        <v>0</v>
      </c>
      <c r="S875" s="7" t="str">
        <f t="shared" si="6"/>
        <v/>
      </c>
      <c r="T875" s="7"/>
    </row>
    <row r="876" ht="22.5" hidden="1" customHeight="1">
      <c r="B876" s="7">
        <f t="shared" si="7"/>
        <v>870</v>
      </c>
      <c r="C876" s="18" t="s">
        <v>849</v>
      </c>
      <c r="D876" s="19" t="str">
        <f t="array" ref="D876">IFNA(_xlfn.XLOOKUP(C876,Table_Tarikan_Warkah[Nomor Sertipikat],Table_Tarikan_Warkah[Nomor Tiket]),"")</f>
        <v>K/47/211124/1</v>
      </c>
      <c r="E876" s="20" t="str">
        <f t="array" ref="E876">IFNA(_xlfn.XLOOKUP(D876,Table_Tarikan_Warkah[Nomor Tiket],Table_Tarikan_Warkah[Tanggal diserahkan kepada Validator]),"")</f>
        <v/>
      </c>
      <c r="F876" s="20" t="str">
        <f t="array" ref="F876">IFNA(_xlfn.XLOOKUP(D876,Table_Tarikan_Warkah[Nomor Tiket],Table_Tarikan_Warkah[Nama Petugas Warkah]),"")</f>
        <v/>
      </c>
      <c r="G876" s="21" t="str">
        <f t="array" ref="G876">IFNA(_xlfn.XLOOKUP(D876,Table_Tarikan_Warkah[Nomor Tiket],Table_Tarikan_Warkah[Jenis Permohonan]),"")</f>
        <v>BN Jual Beli</v>
      </c>
      <c r="H876" s="22" t="s">
        <v>37</v>
      </c>
      <c r="I876" s="22" t="s">
        <v>32</v>
      </c>
      <c r="J876" s="20">
        <f t="shared" si="29"/>
        <v>45622.47924</v>
      </c>
      <c r="K876" s="22" t="s">
        <v>33</v>
      </c>
      <c r="L876" s="22" t="s">
        <v>32</v>
      </c>
      <c r="M876" s="20">
        <f t="shared" si="30"/>
        <v>45622.47931</v>
      </c>
      <c r="N876" s="8" t="str">
        <f t="shared" si="3"/>
        <v>SELESAI</v>
      </c>
      <c r="O876" s="23">
        <f t="shared" si="22"/>
        <v>45622.47931</v>
      </c>
      <c r="P876" s="24" t="b">
        <v>0</v>
      </c>
      <c r="Q876" s="20" t="str">
        <f t="shared" si="31"/>
        <v/>
      </c>
      <c r="R876" s="24" t="b">
        <v>1</v>
      </c>
      <c r="S876" s="20">
        <f t="shared" si="6"/>
        <v>45624.65004</v>
      </c>
      <c r="T876" s="8" t="s">
        <v>850</v>
      </c>
    </row>
    <row r="877" ht="22.5" hidden="1" customHeight="1">
      <c r="B877" s="7">
        <f t="shared" si="7"/>
        <v>871</v>
      </c>
      <c r="C877" s="18" t="s">
        <v>851</v>
      </c>
      <c r="D877" s="19" t="str">
        <f t="array" ref="D877">IFNA(_xlfn.XLOOKUP(C877,Table_Tarikan_Warkah[Nomor Sertipikat],Table_Tarikan_Warkah[Nomor Tiket]),"")</f>
        <v>K/29/201124/2</v>
      </c>
      <c r="E877" s="20" t="str">
        <f t="array" ref="E877">IFNA(_xlfn.XLOOKUP(D877,Table_Tarikan_Warkah[Nomor Tiket],Table_Tarikan_Warkah[Tanggal diserahkan kepada Validator]),"")</f>
        <v/>
      </c>
      <c r="F877" s="20" t="str">
        <f t="array" ref="F877">IFNA(_xlfn.XLOOKUP(D877,Table_Tarikan_Warkah[Nomor Tiket],Table_Tarikan_Warkah[Nama Petugas Warkah]),"")</f>
        <v>David</v>
      </c>
      <c r="G877" s="21" t="str">
        <f t="array" ref="G877">IFNA(_xlfn.XLOOKUP(D877,Table_Tarikan_Warkah[Nomor Tiket],Table_Tarikan_Warkah[Jenis Permohonan]),"")</f>
        <v>BN JUAL BELI</v>
      </c>
      <c r="H877" s="22" t="s">
        <v>31</v>
      </c>
      <c r="I877" s="22" t="s">
        <v>32</v>
      </c>
      <c r="J877" s="20">
        <f t="shared" si="29"/>
        <v>45622.59712</v>
      </c>
      <c r="K877" s="22" t="s">
        <v>65</v>
      </c>
      <c r="L877" s="22" t="s">
        <v>32</v>
      </c>
      <c r="M877" s="20">
        <f t="shared" si="30"/>
        <v>45624.65004</v>
      </c>
      <c r="N877" s="8" t="str">
        <f t="shared" si="3"/>
        <v>SELESAI</v>
      </c>
      <c r="O877" s="23">
        <f t="shared" si="22"/>
        <v>45624.65004</v>
      </c>
      <c r="P877" s="24" t="b">
        <v>0</v>
      </c>
      <c r="Q877" s="20" t="str">
        <f t="shared" si="31"/>
        <v/>
      </c>
      <c r="R877" s="24" t="b">
        <v>1</v>
      </c>
      <c r="S877" s="20">
        <f t="shared" si="6"/>
        <v>45624.65004</v>
      </c>
      <c r="T877" s="7"/>
    </row>
    <row r="878" ht="22.5" hidden="1" customHeight="1">
      <c r="B878" s="7">
        <f t="shared" si="7"/>
        <v>872</v>
      </c>
      <c r="C878" s="18" t="s">
        <v>852</v>
      </c>
      <c r="D878" s="19" t="str">
        <f t="array" ref="D878">IFNA(_xlfn.XLOOKUP(C878,Table_Tarikan_Warkah[Nomor Sertipikat],Table_Tarikan_Warkah[Nomor Tiket]),"")</f>
        <v>K/25/211124/3</v>
      </c>
      <c r="E878" s="20" t="str">
        <f t="array" ref="E878">IFNA(_xlfn.XLOOKUP(D878,Table_Tarikan_Warkah[Nomor Tiket],Table_Tarikan_Warkah[Tanggal diserahkan kepada Validator]),"")</f>
        <v/>
      </c>
      <c r="F878" s="20" t="str">
        <f t="array" ref="F878">IFNA(_xlfn.XLOOKUP(D878,Table_Tarikan_Warkah[Nomor Tiket],Table_Tarikan_Warkah[Nama Petugas Warkah]),"")</f>
        <v/>
      </c>
      <c r="G878" s="21" t="str">
        <f t="array" ref="G878">IFNA(_xlfn.XLOOKUP(D878,Table_Tarikan_Warkah[Nomor Tiket],Table_Tarikan_Warkah[Jenis Permohonan]),"")</f>
        <v>PERUBAHAN HAK</v>
      </c>
      <c r="H878" s="22" t="s">
        <v>31</v>
      </c>
      <c r="I878" s="22" t="s">
        <v>32</v>
      </c>
      <c r="J878" s="20">
        <f t="shared" si="29"/>
        <v>45622.59733</v>
      </c>
      <c r="K878" s="22" t="s">
        <v>65</v>
      </c>
      <c r="L878" s="22" t="s">
        <v>32</v>
      </c>
      <c r="M878" s="20">
        <f t="shared" si="30"/>
        <v>45624.65004</v>
      </c>
      <c r="N878" s="8" t="str">
        <f t="shared" si="3"/>
        <v>SELESAI</v>
      </c>
      <c r="O878" s="23">
        <f t="shared" si="22"/>
        <v>45624.65004</v>
      </c>
      <c r="P878" s="24" t="b">
        <v>0</v>
      </c>
      <c r="Q878" s="20" t="str">
        <f t="shared" si="31"/>
        <v/>
      </c>
      <c r="R878" s="24" t="b">
        <v>1</v>
      </c>
      <c r="S878" s="20">
        <f t="shared" si="6"/>
        <v>45624.65004</v>
      </c>
      <c r="T878" s="7"/>
    </row>
    <row r="879" ht="22.5" hidden="1" customHeight="1">
      <c r="B879" s="7">
        <f t="shared" si="7"/>
        <v>873</v>
      </c>
      <c r="C879" s="18" t="s">
        <v>853</v>
      </c>
      <c r="D879" s="19" t="str">
        <f t="array" ref="D879">IFNA(_xlfn.XLOOKUP(C879,Table_Tarikan_Warkah[Nomor Sertipikat],Table_Tarikan_Warkah[Nomor Tiket]),"")</f>
        <v>K/56/251124/2</v>
      </c>
      <c r="E879" s="20">
        <f t="array" ref="E879">IFNA(_xlfn.XLOOKUP(D879,Table_Tarikan_Warkah[Nomor Tiket],Table_Tarikan_Warkah[Tanggal diserahkan kepada Validator]),"")</f>
        <v>45622.50264</v>
      </c>
      <c r="F879" s="20" t="str">
        <f t="array" ref="F879">IFNA(_xlfn.XLOOKUP(D879,Table_Tarikan_Warkah[Nomor Tiket],Table_Tarikan_Warkah[Nama Petugas Warkah]),"")</f>
        <v>Berry</v>
      </c>
      <c r="G879" s="21" t="str">
        <f t="array" ref="G879">IFNA(_xlfn.XLOOKUP(D879,Table_Tarikan_Warkah[Nomor Tiket],Table_Tarikan_Warkah[Jenis Permohonan]),"")</f>
        <v>BN JUAL BELI</v>
      </c>
      <c r="H879" s="22" t="s">
        <v>31</v>
      </c>
      <c r="I879" s="22" t="s">
        <v>32</v>
      </c>
      <c r="J879" s="20">
        <f t="shared" si="29"/>
        <v>45622.59733</v>
      </c>
      <c r="K879" s="27" t="s">
        <v>65</v>
      </c>
      <c r="L879" s="27" t="s">
        <v>32</v>
      </c>
      <c r="M879" s="20">
        <f t="shared" si="30"/>
        <v>45624.65004</v>
      </c>
      <c r="N879" s="8" t="str">
        <f t="shared" si="3"/>
        <v>SELESAI</v>
      </c>
      <c r="O879" s="23">
        <f t="shared" si="22"/>
        <v>45624.65004</v>
      </c>
      <c r="P879" s="24" t="b">
        <v>0</v>
      </c>
      <c r="Q879" s="20" t="str">
        <f t="shared" si="31"/>
        <v/>
      </c>
      <c r="R879" s="24" t="b">
        <v>1</v>
      </c>
      <c r="S879" s="20">
        <f t="shared" si="6"/>
        <v>45624.65004</v>
      </c>
      <c r="T879" s="7"/>
    </row>
    <row r="880" ht="22.5" hidden="1" customHeight="1">
      <c r="B880" s="7">
        <f t="shared" si="7"/>
        <v>874</v>
      </c>
      <c r="C880" s="18" t="s">
        <v>854</v>
      </c>
      <c r="D880" s="19" t="str">
        <f t="array" ref="D880">IFNA(_xlfn.XLOOKUP(C880,Table_Tarikan_Warkah[Nomor Sertipikat],Table_Tarikan_Warkah[Nomor Tiket]),"")</f>
        <v>K/42/251124/1</v>
      </c>
      <c r="E880" s="20" t="str">
        <f t="array" ref="E880">IFNA(_xlfn.XLOOKUP(D880,Table_Tarikan_Warkah[Nomor Tiket],Table_Tarikan_Warkah[Tanggal diserahkan kepada Validator]),"")</f>
        <v/>
      </c>
      <c r="F880" s="20" t="str">
        <f t="array" ref="F880">IFNA(_xlfn.XLOOKUP(D880,Table_Tarikan_Warkah[Nomor Tiket],Table_Tarikan_Warkah[Nama Petugas Warkah]),"")</f>
        <v>Berry</v>
      </c>
      <c r="G880" s="21" t="str">
        <f t="array" ref="G880">IFNA(_xlfn.XLOOKUP(D880,Table_Tarikan_Warkah[Nomor Tiket],Table_Tarikan_Warkah[Jenis Permohonan]),"")</f>
        <v>BN Jual Beli</v>
      </c>
      <c r="H880" s="22" t="s">
        <v>31</v>
      </c>
      <c r="I880" s="22" t="s">
        <v>32</v>
      </c>
      <c r="J880" s="20">
        <f t="shared" si="29"/>
        <v>45622.59733</v>
      </c>
      <c r="K880" s="22" t="s">
        <v>65</v>
      </c>
      <c r="L880" s="22" t="s">
        <v>32</v>
      </c>
      <c r="M880" s="20">
        <f t="shared" si="30"/>
        <v>45624.65004</v>
      </c>
      <c r="N880" s="8" t="str">
        <f t="shared" si="3"/>
        <v>SELESAI</v>
      </c>
      <c r="O880" s="23">
        <f t="shared" si="22"/>
        <v>45624.65004</v>
      </c>
      <c r="P880" s="24" t="b">
        <v>0</v>
      </c>
      <c r="Q880" s="20" t="str">
        <f t="shared" si="31"/>
        <v/>
      </c>
      <c r="R880" s="24" t="b">
        <v>1</v>
      </c>
      <c r="S880" s="20">
        <f t="shared" si="6"/>
        <v>45624.65004</v>
      </c>
      <c r="T880" s="7"/>
    </row>
    <row r="881" ht="22.5" hidden="1" customHeight="1">
      <c r="B881" s="7">
        <f t="shared" si="7"/>
        <v>875</v>
      </c>
      <c r="C881" s="18" t="s">
        <v>855</v>
      </c>
      <c r="D881" s="19" t="str">
        <f t="array" ref="D881">IFNA(_xlfn.XLOOKUP(C881,Table_Tarikan_Warkah[Nomor Sertipikat],Table_Tarikan_Warkah[Nomor Tiket]),"")</f>
        <v>L/39/251124/1</v>
      </c>
      <c r="E881" s="20">
        <f t="array" ref="E881">IFNA(_xlfn.XLOOKUP(D881,Table_Tarikan_Warkah[Nomor Tiket],Table_Tarikan_Warkah[Tanggal diserahkan kepada Validator]),"")</f>
        <v>45622.50264</v>
      </c>
      <c r="F881" s="20" t="str">
        <f t="array" ref="F881">IFNA(_xlfn.XLOOKUP(D881,Table_Tarikan_Warkah[Nomor Tiket],Table_Tarikan_Warkah[Nama Petugas Warkah]),"")</f>
        <v>Berry</v>
      </c>
      <c r="G881" s="21" t="str">
        <f t="array" ref="G881">IFNA(_xlfn.XLOOKUP(D881,Table_Tarikan_Warkah[Nomor Tiket],Table_Tarikan_Warkah[Jenis Permohonan]),"")</f>
        <v>SERTIPIKAT HILANG</v>
      </c>
      <c r="H881" s="22" t="s">
        <v>31</v>
      </c>
      <c r="I881" s="22" t="s">
        <v>32</v>
      </c>
      <c r="J881" s="20">
        <f t="shared" si="29"/>
        <v>45622.59733</v>
      </c>
      <c r="K881" s="22" t="s">
        <v>65</v>
      </c>
      <c r="L881" s="22" t="s">
        <v>32</v>
      </c>
      <c r="M881" s="20">
        <f t="shared" si="30"/>
        <v>45624.65004</v>
      </c>
      <c r="N881" s="8" t="str">
        <f t="shared" si="3"/>
        <v>SELESAI</v>
      </c>
      <c r="O881" s="23">
        <f t="shared" si="22"/>
        <v>45624.65004</v>
      </c>
      <c r="P881" s="24" t="b">
        <v>0</v>
      </c>
      <c r="Q881" s="20" t="str">
        <f t="shared" si="31"/>
        <v/>
      </c>
      <c r="R881" s="24" t="b">
        <v>1</v>
      </c>
      <c r="S881" s="20">
        <f t="shared" si="6"/>
        <v>45624.65004</v>
      </c>
      <c r="T881" s="7"/>
    </row>
    <row r="882" ht="22.5" hidden="1" customHeight="1">
      <c r="B882" s="7">
        <f t="shared" si="7"/>
        <v>876</v>
      </c>
      <c r="C882" s="18" t="s">
        <v>856</v>
      </c>
      <c r="D882" s="19" t="str">
        <f t="array" ref="D882">IFNA(_xlfn.XLOOKUP(C882,Table_Tarikan_Warkah[Nomor Sertipikat],Table_Tarikan_Warkah[Nomor Tiket]),"")</f>
        <v>K/24/211124/2</v>
      </c>
      <c r="E882" s="20">
        <f t="array" ref="E882">IFNA(_xlfn.XLOOKUP(D882,Table_Tarikan_Warkah[Nomor Tiket],Table_Tarikan_Warkah[Tanggal diserahkan kepada Validator]),"")</f>
        <v>45622.50264</v>
      </c>
      <c r="F882" s="20" t="str">
        <f t="array" ref="F882">IFNA(_xlfn.XLOOKUP(D882,Table_Tarikan_Warkah[Nomor Tiket],Table_Tarikan_Warkah[Nama Petugas Warkah]),"")</f>
        <v>David</v>
      </c>
      <c r="G882" s="21" t="str">
        <f t="array" ref="G882">IFNA(_xlfn.XLOOKUP(D882,Table_Tarikan_Warkah[Nomor Tiket],Table_Tarikan_Warkah[Jenis Permohonan]),"")</f>
        <v>BN JUAL BELI</v>
      </c>
      <c r="H882" s="22" t="s">
        <v>31</v>
      </c>
      <c r="I882" s="22" t="s">
        <v>32</v>
      </c>
      <c r="J882" s="20">
        <f t="shared" si="29"/>
        <v>45622.59733</v>
      </c>
      <c r="K882" s="22" t="s">
        <v>65</v>
      </c>
      <c r="L882" s="22" t="s">
        <v>32</v>
      </c>
      <c r="M882" s="20">
        <f t="shared" si="30"/>
        <v>45624.65004</v>
      </c>
      <c r="N882" s="8" t="str">
        <f t="shared" si="3"/>
        <v>SELESAI</v>
      </c>
      <c r="O882" s="23">
        <f t="shared" si="22"/>
        <v>45624.65004</v>
      </c>
      <c r="P882" s="24" t="b">
        <v>0</v>
      </c>
      <c r="Q882" s="20" t="str">
        <f t="shared" si="31"/>
        <v/>
      </c>
      <c r="R882" s="24" t="b">
        <v>1</v>
      </c>
      <c r="S882" s="20">
        <f t="shared" si="6"/>
        <v>45624.65004</v>
      </c>
      <c r="T882" s="7"/>
    </row>
    <row r="883" ht="22.5" hidden="1" customHeight="1">
      <c r="B883" s="7">
        <f t="shared" si="7"/>
        <v>877</v>
      </c>
      <c r="C883" s="18" t="s">
        <v>857</v>
      </c>
      <c r="D883" s="19" t="str">
        <f t="array" ref="D883">IFNA(_xlfn.XLOOKUP(C883,Table_Tarikan_Warkah[Nomor Sertipikat],Table_Tarikan_Warkah[Nomor Tiket]),"")</f>
        <v>K/39/201124/1</v>
      </c>
      <c r="E883" s="20" t="str">
        <f t="array" ref="E883">IFNA(_xlfn.XLOOKUP(D883,Table_Tarikan_Warkah[Nomor Tiket],Table_Tarikan_Warkah[Tanggal diserahkan kepada Validator]),"")</f>
        <v/>
      </c>
      <c r="F883" s="20" t="str">
        <f t="array" ref="F883">IFNA(_xlfn.XLOOKUP(D883,Table_Tarikan_Warkah[Nomor Tiket],Table_Tarikan_Warkah[Nama Petugas Warkah]),"")</f>
        <v/>
      </c>
      <c r="G883" s="21" t="str">
        <f t="array" ref="G883">IFNA(_xlfn.XLOOKUP(D883,Table_Tarikan_Warkah[Nomor Tiket],Table_Tarikan_Warkah[Jenis Permohonan]),"")</f>
        <v>PEMECAHAN</v>
      </c>
      <c r="H883" s="22" t="s">
        <v>31</v>
      </c>
      <c r="I883" s="22" t="s">
        <v>32</v>
      </c>
      <c r="J883" s="20">
        <f t="shared" si="29"/>
        <v>45622.59733</v>
      </c>
      <c r="K883" s="22" t="s">
        <v>65</v>
      </c>
      <c r="L883" s="22" t="s">
        <v>32</v>
      </c>
      <c r="M883" s="20">
        <f t="shared" si="30"/>
        <v>45624.65004</v>
      </c>
      <c r="N883" s="8" t="str">
        <f t="shared" si="3"/>
        <v>SELESAI</v>
      </c>
      <c r="O883" s="23">
        <f t="shared" si="22"/>
        <v>45624.65004</v>
      </c>
      <c r="P883" s="24" t="b">
        <v>0</v>
      </c>
      <c r="Q883" s="20" t="str">
        <f t="shared" si="31"/>
        <v/>
      </c>
      <c r="R883" s="24" t="b">
        <v>1</v>
      </c>
      <c r="S883" s="20">
        <f t="shared" si="6"/>
        <v>45624.65004</v>
      </c>
      <c r="T883" s="7"/>
    </row>
    <row r="884" ht="22.5" hidden="1" customHeight="1">
      <c r="B884" s="7">
        <f t="shared" si="7"/>
        <v>878</v>
      </c>
      <c r="C884" s="18" t="s">
        <v>858</v>
      </c>
      <c r="D884" s="19" t="str">
        <f t="array" ref="D884">IFNA(_xlfn.XLOOKUP(C884,Table_Tarikan_Warkah[Nomor Sertipikat],Table_Tarikan_Warkah[Nomor Tiket]),"")</f>
        <v>K/32/211124/1</v>
      </c>
      <c r="E884" s="20" t="str">
        <f t="array" ref="E884">IFNA(_xlfn.XLOOKUP(D884,Table_Tarikan_Warkah[Nomor Tiket],Table_Tarikan_Warkah[Tanggal diserahkan kepada Validator]),"")</f>
        <v/>
      </c>
      <c r="F884" s="20" t="str">
        <f t="array" ref="F884">IFNA(_xlfn.XLOOKUP(D884,Table_Tarikan_Warkah[Nomor Tiket],Table_Tarikan_Warkah[Nama Petugas Warkah]),"")</f>
        <v>David</v>
      </c>
      <c r="G884" s="21" t="str">
        <f t="array" ref="G884">IFNA(_xlfn.XLOOKUP(D884,Table_Tarikan_Warkah[Nomor Tiket],Table_Tarikan_Warkah[Jenis Permohonan]),"")</f>
        <v>BN Hibah </v>
      </c>
      <c r="H884" s="22" t="s">
        <v>31</v>
      </c>
      <c r="I884" s="22" t="s">
        <v>32</v>
      </c>
      <c r="J884" s="20">
        <f t="shared" si="29"/>
        <v>45622.59733</v>
      </c>
      <c r="K884" s="27" t="s">
        <v>65</v>
      </c>
      <c r="L884" s="27" t="s">
        <v>32</v>
      </c>
      <c r="M884" s="20">
        <f t="shared" si="30"/>
        <v>45624.65004</v>
      </c>
      <c r="N884" s="8" t="str">
        <f t="shared" si="3"/>
        <v>SELESAI</v>
      </c>
      <c r="O884" s="23">
        <f t="shared" si="22"/>
        <v>45624.65004</v>
      </c>
      <c r="P884" s="24" t="b">
        <v>0</v>
      </c>
      <c r="Q884" s="20" t="str">
        <f t="shared" si="31"/>
        <v/>
      </c>
      <c r="R884" s="24" t="b">
        <v>1</v>
      </c>
      <c r="S884" s="20">
        <f t="shared" si="6"/>
        <v>45624.65004</v>
      </c>
      <c r="T884" s="7"/>
    </row>
    <row r="885" ht="22.5" hidden="1" customHeight="1">
      <c r="B885" s="7">
        <f t="shared" si="7"/>
        <v>879</v>
      </c>
      <c r="C885" s="18" t="s">
        <v>835</v>
      </c>
      <c r="D885" s="19" t="str">
        <f t="array" ref="D885">IFNA(_xlfn.XLOOKUP(C885,Table_Tarikan_Warkah[Nomor Sertipikat],Table_Tarikan_Warkah[Nomor Tiket]),"")</f>
        <v>L/3/211124/1</v>
      </c>
      <c r="E885" s="20" t="str">
        <f t="array" ref="E885">IFNA(_xlfn.XLOOKUP(D885,Table_Tarikan_Warkah[Nomor Tiket],Table_Tarikan_Warkah[Tanggal diserahkan kepada Validator]),"")</f>
        <v/>
      </c>
      <c r="F885" s="20" t="str">
        <f t="array" ref="F885">IFNA(_xlfn.XLOOKUP(D885,Table_Tarikan_Warkah[Nomor Tiket],Table_Tarikan_Warkah[Nama Petugas Warkah]),"")</f>
        <v/>
      </c>
      <c r="G885" s="21" t="str">
        <f t="array" ref="G885">IFNA(_xlfn.XLOOKUP(D885,Table_Tarikan_Warkah[Nomor Tiket],Table_Tarikan_Warkah[Jenis Permohonan]),"")</f>
        <v>ROYA</v>
      </c>
      <c r="H885" s="22" t="s">
        <v>31</v>
      </c>
      <c r="I885" s="22" t="s">
        <v>32</v>
      </c>
      <c r="J885" s="20">
        <f t="shared" si="29"/>
        <v>45622.59733</v>
      </c>
      <c r="K885" s="22" t="s">
        <v>65</v>
      </c>
      <c r="L885" s="22" t="s">
        <v>32</v>
      </c>
      <c r="M885" s="20">
        <f t="shared" si="30"/>
        <v>45624.65004</v>
      </c>
      <c r="N885" s="8" t="str">
        <f t="shared" si="3"/>
        <v>SELESAI</v>
      </c>
      <c r="O885" s="23">
        <f t="shared" si="22"/>
        <v>45624.65004</v>
      </c>
      <c r="P885" s="24" t="b">
        <v>0</v>
      </c>
      <c r="Q885" s="20" t="str">
        <f t="shared" si="31"/>
        <v/>
      </c>
      <c r="R885" s="24" t="b">
        <v>1</v>
      </c>
      <c r="S885" s="20">
        <f t="shared" si="6"/>
        <v>45624.65004</v>
      </c>
      <c r="T885" s="7"/>
    </row>
    <row r="886" ht="22.5" hidden="1" customHeight="1">
      <c r="B886" s="7">
        <f t="shared" si="7"/>
        <v>880</v>
      </c>
      <c r="C886" s="18" t="s">
        <v>859</v>
      </c>
      <c r="D886" s="19" t="str">
        <f t="array" ref="D886">IFNA(_xlfn.XLOOKUP(C886,Table_Tarikan_Warkah[Nomor Sertipikat],Table_Tarikan_Warkah[Nomor Tiket]),"")</f>
        <v>K/5/211124/2</v>
      </c>
      <c r="E886" s="20">
        <f t="array" ref="E886">IFNA(_xlfn.XLOOKUP(D886,Table_Tarikan_Warkah[Nomor Tiket],Table_Tarikan_Warkah[Tanggal diserahkan kepada Validator]),"")</f>
        <v>45621.4601</v>
      </c>
      <c r="F886" s="20" t="str">
        <f t="array" ref="F886">IFNA(_xlfn.XLOOKUP(D886,Table_Tarikan_Warkah[Nomor Tiket],Table_Tarikan_Warkah[Nama Petugas Warkah]),"")</f>
        <v>David</v>
      </c>
      <c r="G886" s="21" t="str">
        <f t="array" ref="G886">IFNA(_xlfn.XLOOKUP(D886,Table_Tarikan_Warkah[Nomor Tiket],Table_Tarikan_Warkah[Jenis Permohonan]),"")</f>
        <v>BN Jual Beli</v>
      </c>
      <c r="H886" s="22" t="s">
        <v>31</v>
      </c>
      <c r="I886" s="22" t="s">
        <v>32</v>
      </c>
      <c r="J886" s="20">
        <f t="shared" si="29"/>
        <v>45622.59733</v>
      </c>
      <c r="K886" s="22" t="s">
        <v>65</v>
      </c>
      <c r="L886" s="22" t="s">
        <v>32</v>
      </c>
      <c r="M886" s="20">
        <f t="shared" si="30"/>
        <v>45624.65004</v>
      </c>
      <c r="N886" s="8" t="str">
        <f t="shared" si="3"/>
        <v>SELESAI</v>
      </c>
      <c r="O886" s="23">
        <f t="shared" si="22"/>
        <v>45624.65004</v>
      </c>
      <c r="P886" s="24" t="b">
        <v>0</v>
      </c>
      <c r="Q886" s="20" t="str">
        <f t="shared" si="31"/>
        <v/>
      </c>
      <c r="R886" s="24" t="b">
        <v>1</v>
      </c>
      <c r="S886" s="20">
        <f t="shared" si="6"/>
        <v>45624.65004</v>
      </c>
      <c r="T886" s="7"/>
    </row>
    <row r="887" ht="22.5" hidden="1" customHeight="1">
      <c r="B887" s="7">
        <f t="shared" si="7"/>
        <v>881</v>
      </c>
      <c r="C887" s="18" t="s">
        <v>860</v>
      </c>
      <c r="D887" s="19" t="str">
        <f t="array" ref="D887">IFNA(_xlfn.XLOOKUP(C887,Table_Tarikan_Warkah[Nomor Sertipikat],Table_Tarikan_Warkah[Nomor Tiket]),"")</f>
        <v>K/65/251124/1</v>
      </c>
      <c r="E887" s="20">
        <f t="array" ref="E887">IFNA(_xlfn.XLOOKUP(D887,Table_Tarikan_Warkah[Nomor Tiket],Table_Tarikan_Warkah[Tanggal diserahkan kepada Validator]),"")</f>
        <v>45622.39781</v>
      </c>
      <c r="F887" s="20" t="str">
        <f t="array" ref="F887">IFNA(_xlfn.XLOOKUP(D887,Table_Tarikan_Warkah[Nomor Tiket],Table_Tarikan_Warkah[Nama Petugas Warkah]),"")</f>
        <v>Bayu</v>
      </c>
      <c r="G887" s="21" t="str">
        <f t="array" ref="G887">IFNA(_xlfn.XLOOKUP(D887,Table_Tarikan_Warkah[Nomor Tiket],Table_Tarikan_Warkah[Jenis Permohonan]),"")</f>
        <v>ROYA</v>
      </c>
      <c r="H887" s="22" t="s">
        <v>31</v>
      </c>
      <c r="I887" s="22" t="s">
        <v>32</v>
      </c>
      <c r="J887" s="20">
        <f t="shared" si="29"/>
        <v>45622.59733</v>
      </c>
      <c r="K887" s="22" t="s">
        <v>65</v>
      </c>
      <c r="L887" s="22" t="s">
        <v>32</v>
      </c>
      <c r="M887" s="20">
        <f t="shared" si="30"/>
        <v>45624.65004</v>
      </c>
      <c r="N887" s="8" t="str">
        <f t="shared" si="3"/>
        <v>SELESAI</v>
      </c>
      <c r="O887" s="23">
        <f t="shared" si="22"/>
        <v>45624.65004</v>
      </c>
      <c r="P887" s="24" t="b">
        <v>0</v>
      </c>
      <c r="Q887" s="20" t="str">
        <f t="shared" si="31"/>
        <v/>
      </c>
      <c r="R887" s="24" t="b">
        <v>1</v>
      </c>
      <c r="S887" s="20">
        <f t="shared" si="6"/>
        <v>45624.65004</v>
      </c>
      <c r="T887" s="7"/>
    </row>
    <row r="888" ht="22.5" hidden="1" customHeight="1">
      <c r="B888" s="7">
        <f t="shared" si="7"/>
        <v>882</v>
      </c>
      <c r="C888" s="18" t="s">
        <v>861</v>
      </c>
      <c r="D888" s="19" t="str">
        <f t="array" ref="D888">IFNA(_xlfn.XLOOKUP(C888,Table_Tarikan_Warkah[Nomor Sertipikat],Table_Tarikan_Warkah[Nomor Tiket]),"")</f>
        <v>K/58/251124/4</v>
      </c>
      <c r="E888" s="20">
        <f t="array" ref="E888">IFNA(_xlfn.XLOOKUP(D888,Table_Tarikan_Warkah[Nomor Tiket],Table_Tarikan_Warkah[Tanggal diserahkan kepada Validator]),"")</f>
        <v>45622.50264</v>
      </c>
      <c r="F888" s="20" t="str">
        <f t="array" ref="F888">IFNA(_xlfn.XLOOKUP(D888,Table_Tarikan_Warkah[Nomor Tiket],Table_Tarikan_Warkah[Nama Petugas Warkah]),"")</f>
        <v>Berry</v>
      </c>
      <c r="G888" s="21" t="str">
        <f t="array" ref="G888">IFNA(_xlfn.XLOOKUP(D888,Table_Tarikan_Warkah[Nomor Tiket],Table_Tarikan_Warkah[Jenis Permohonan]),"")</f>
        <v>BN JUAL BELI</v>
      </c>
      <c r="H888" s="22" t="s">
        <v>31</v>
      </c>
      <c r="I888" s="22" t="s">
        <v>32</v>
      </c>
      <c r="J888" s="20">
        <f t="shared" si="29"/>
        <v>45622.59733</v>
      </c>
      <c r="K888" s="22" t="s">
        <v>65</v>
      </c>
      <c r="L888" s="22" t="s">
        <v>32</v>
      </c>
      <c r="M888" s="20">
        <f t="shared" si="30"/>
        <v>45624.65004</v>
      </c>
      <c r="N888" s="8" t="str">
        <f t="shared" si="3"/>
        <v>SELESAI</v>
      </c>
      <c r="O888" s="23">
        <f t="shared" si="22"/>
        <v>45624.65004</v>
      </c>
      <c r="P888" s="24" t="b">
        <v>0</v>
      </c>
      <c r="Q888" s="20" t="str">
        <f t="shared" si="31"/>
        <v/>
      </c>
      <c r="R888" s="24" t="b">
        <v>1</v>
      </c>
      <c r="S888" s="20">
        <f t="shared" si="6"/>
        <v>45624.65004</v>
      </c>
      <c r="T888" s="7"/>
    </row>
    <row r="889" ht="22.5" hidden="1" customHeight="1">
      <c r="B889" s="7">
        <f t="shared" si="7"/>
        <v>883</v>
      </c>
      <c r="C889" s="18" t="s">
        <v>862</v>
      </c>
      <c r="D889" s="19" t="str">
        <f t="array" ref="D889">IFNA(_xlfn.XLOOKUP(C889,Table_Tarikan_Warkah[Nomor Sertipikat],Table_Tarikan_Warkah[Nomor Tiket]),"")</f>
        <v>K/57/251124/3</v>
      </c>
      <c r="E889" s="20" t="str">
        <f t="array" ref="E889">IFNA(_xlfn.XLOOKUP(D889,Table_Tarikan_Warkah[Nomor Tiket],Table_Tarikan_Warkah[Tanggal diserahkan kepada Validator]),"")</f>
        <v/>
      </c>
      <c r="F889" s="20" t="str">
        <f t="array" ref="F889">IFNA(_xlfn.XLOOKUP(D889,Table_Tarikan_Warkah[Nomor Tiket],Table_Tarikan_Warkah[Nama Petugas Warkah]),"")</f>
        <v>Berry</v>
      </c>
      <c r="G889" s="21" t="str">
        <f t="array" ref="G889">IFNA(_xlfn.XLOOKUP(D889,Table_Tarikan_Warkah[Nomor Tiket],Table_Tarikan_Warkah[Jenis Permohonan]),"")</f>
        <v>BN JUAL BELI</v>
      </c>
      <c r="H889" s="22" t="s">
        <v>31</v>
      </c>
      <c r="I889" s="22" t="s">
        <v>32</v>
      </c>
      <c r="J889" s="20">
        <f t="shared" si="29"/>
        <v>45622.59733</v>
      </c>
      <c r="K889" s="27" t="s">
        <v>65</v>
      </c>
      <c r="L889" s="27" t="s">
        <v>32</v>
      </c>
      <c r="M889" s="20">
        <f t="shared" si="30"/>
        <v>45624.65004</v>
      </c>
      <c r="N889" s="8" t="str">
        <f t="shared" si="3"/>
        <v>SELESAI</v>
      </c>
      <c r="O889" s="23">
        <f t="shared" si="22"/>
        <v>45624.65004</v>
      </c>
      <c r="P889" s="24" t="b">
        <v>0</v>
      </c>
      <c r="Q889" s="20" t="str">
        <f t="shared" si="31"/>
        <v/>
      </c>
      <c r="R889" s="24" t="b">
        <v>1</v>
      </c>
      <c r="S889" s="20">
        <f t="shared" si="6"/>
        <v>45624.65004</v>
      </c>
      <c r="T889" s="7"/>
    </row>
    <row r="890" ht="22.5" hidden="1" customHeight="1">
      <c r="B890" s="7">
        <f t="shared" si="7"/>
        <v>884</v>
      </c>
      <c r="C890" s="18" t="s">
        <v>863</v>
      </c>
      <c r="D890" s="19" t="str">
        <f t="array" ref="D890">IFNA(_xlfn.XLOOKUP(C890,Table_Tarikan_Warkah[Nomor Sertipikat],Table_Tarikan_Warkah[Nomor Tiket]),"")</f>
        <v>K/59/251124/1</v>
      </c>
      <c r="E890" s="20" t="str">
        <f t="array" ref="E890">IFNA(_xlfn.XLOOKUP(D890,Table_Tarikan_Warkah[Nomor Tiket],Table_Tarikan_Warkah[Tanggal diserahkan kepada Validator]),"")</f>
        <v/>
      </c>
      <c r="F890" s="20" t="str">
        <f t="array" ref="F890">IFNA(_xlfn.XLOOKUP(D890,Table_Tarikan_Warkah[Nomor Tiket],Table_Tarikan_Warkah[Nama Petugas Warkah]),"")</f>
        <v/>
      </c>
      <c r="G890" s="21" t="str">
        <f t="array" ref="G890">IFNA(_xlfn.XLOOKUP(D890,Table_Tarikan_Warkah[Nomor Tiket],Table_Tarikan_Warkah[Jenis Permohonan]),"")</f>
        <v>BN JUAL BELI</v>
      </c>
      <c r="H890" s="22" t="s">
        <v>31</v>
      </c>
      <c r="I890" s="22" t="s">
        <v>32</v>
      </c>
      <c r="J890" s="20">
        <f t="shared" si="29"/>
        <v>45622.59733</v>
      </c>
      <c r="K890" s="22" t="s">
        <v>65</v>
      </c>
      <c r="L890" s="22" t="s">
        <v>32</v>
      </c>
      <c r="M890" s="20">
        <f t="shared" si="30"/>
        <v>45624.65004</v>
      </c>
      <c r="N890" s="8" t="str">
        <f t="shared" si="3"/>
        <v>SELESAI</v>
      </c>
      <c r="O890" s="23">
        <f t="shared" si="22"/>
        <v>45624.65004</v>
      </c>
      <c r="P890" s="24" t="b">
        <v>0</v>
      </c>
      <c r="Q890" s="20" t="str">
        <f t="shared" si="31"/>
        <v/>
      </c>
      <c r="R890" s="24" t="b">
        <v>1</v>
      </c>
      <c r="S890" s="20">
        <f t="shared" si="6"/>
        <v>45624.65004</v>
      </c>
      <c r="T890" s="7"/>
    </row>
    <row r="891" ht="22.5" hidden="1" customHeight="1">
      <c r="B891" s="7">
        <f t="shared" si="7"/>
        <v>885</v>
      </c>
      <c r="C891" s="18" t="s">
        <v>864</v>
      </c>
      <c r="D891" s="19" t="str">
        <f t="array" ref="D891">IFNA(_xlfn.XLOOKUP(C891,Table_Tarikan_Warkah[Nomor Sertipikat],Table_Tarikan_Warkah[Nomor Tiket]),"")</f>
        <v>K/54/251124/2</v>
      </c>
      <c r="E891" s="20" t="str">
        <f t="array" ref="E891">IFNA(_xlfn.XLOOKUP(D891,Table_Tarikan_Warkah[Nomor Tiket],Table_Tarikan_Warkah[Tanggal diserahkan kepada Validator]),"")</f>
        <v/>
      </c>
      <c r="F891" s="20" t="str">
        <f t="array" ref="F891">IFNA(_xlfn.XLOOKUP(D891,Table_Tarikan_Warkah[Nomor Tiket],Table_Tarikan_Warkah[Nama Petugas Warkah]),"")</f>
        <v/>
      </c>
      <c r="G891" s="21" t="str">
        <f t="array" ref="G891">IFNA(_xlfn.XLOOKUP(D891,Table_Tarikan_Warkah[Nomor Tiket],Table_Tarikan_Warkah[Jenis Permohonan]),"")</f>
        <v>BN JUAL BELI</v>
      </c>
      <c r="H891" s="22" t="s">
        <v>31</v>
      </c>
      <c r="I891" s="22" t="s">
        <v>32</v>
      </c>
      <c r="J891" s="20">
        <f t="shared" si="29"/>
        <v>45622.59733</v>
      </c>
      <c r="K891" s="22" t="s">
        <v>65</v>
      </c>
      <c r="L891" s="22" t="s">
        <v>32</v>
      </c>
      <c r="M891" s="20">
        <f t="shared" si="30"/>
        <v>45624.65004</v>
      </c>
      <c r="N891" s="8" t="str">
        <f t="shared" si="3"/>
        <v>SELESAI</v>
      </c>
      <c r="O891" s="23">
        <f t="shared" si="22"/>
        <v>45624.65004</v>
      </c>
      <c r="P891" s="24" t="b">
        <v>0</v>
      </c>
      <c r="Q891" s="20" t="str">
        <f t="shared" si="31"/>
        <v/>
      </c>
      <c r="R891" s="24" t="b">
        <v>1</v>
      </c>
      <c r="S891" s="20">
        <f t="shared" si="6"/>
        <v>45624.65004</v>
      </c>
      <c r="T891" s="7"/>
    </row>
    <row r="892" ht="22.5" hidden="1" customHeight="1">
      <c r="B892" s="7">
        <f t="shared" si="7"/>
        <v>886</v>
      </c>
      <c r="C892" s="18" t="s">
        <v>865</v>
      </c>
      <c r="D892" s="19" t="str">
        <f t="array" ref="D892">IFNA(_xlfn.XLOOKUP(C892,Table_Tarikan_Warkah[Nomor Sertipikat],Table_Tarikan_Warkah[Nomor Tiket]),"")</f>
        <v>K/53/251124/1</v>
      </c>
      <c r="E892" s="20" t="str">
        <f t="array" ref="E892">IFNA(_xlfn.XLOOKUP(D892,Table_Tarikan_Warkah[Nomor Tiket],Table_Tarikan_Warkah[Tanggal diserahkan kepada Validator]),"")</f>
        <v/>
      </c>
      <c r="F892" s="20" t="str">
        <f t="array" ref="F892">IFNA(_xlfn.XLOOKUP(D892,Table_Tarikan_Warkah[Nomor Tiket],Table_Tarikan_Warkah[Nama Petugas Warkah]),"")</f>
        <v/>
      </c>
      <c r="G892" s="21" t="str">
        <f t="array" ref="G892">IFNA(_xlfn.XLOOKUP(D892,Table_Tarikan_Warkah[Nomor Tiket],Table_Tarikan_Warkah[Jenis Permohonan]),"")</f>
        <v>BN JUAL BELI</v>
      </c>
      <c r="H892" s="22" t="s">
        <v>31</v>
      </c>
      <c r="I892" s="22" t="s">
        <v>32</v>
      </c>
      <c r="J892" s="20">
        <f t="shared" si="29"/>
        <v>45622.59733</v>
      </c>
      <c r="K892" s="22" t="s">
        <v>65</v>
      </c>
      <c r="L892" s="22" t="s">
        <v>32</v>
      </c>
      <c r="M892" s="20">
        <f t="shared" si="30"/>
        <v>45624.65004</v>
      </c>
      <c r="N892" s="8" t="str">
        <f t="shared" si="3"/>
        <v>SELESAI</v>
      </c>
      <c r="O892" s="23">
        <f t="shared" si="22"/>
        <v>45624.65004</v>
      </c>
      <c r="P892" s="24" t="b">
        <v>0</v>
      </c>
      <c r="Q892" s="20" t="str">
        <f t="shared" si="31"/>
        <v/>
      </c>
      <c r="R892" s="24" t="b">
        <v>1</v>
      </c>
      <c r="S892" s="20">
        <f t="shared" si="6"/>
        <v>45624.65004</v>
      </c>
      <c r="T892" s="7"/>
    </row>
    <row r="893" ht="22.5" hidden="1" customHeight="1">
      <c r="B893" s="7">
        <f t="shared" si="7"/>
        <v>887</v>
      </c>
      <c r="C893" s="18" t="s">
        <v>866</v>
      </c>
      <c r="D893" s="19" t="str">
        <f t="array" ref="D893">IFNA(_xlfn.XLOOKUP(C893,Table_Tarikan_Warkah[Nomor Sertipikat],Table_Tarikan_Warkah[Nomor Tiket]),"")</f>
        <v>K/46/251124/1</v>
      </c>
      <c r="E893" s="20" t="str">
        <f t="array" ref="E893">IFNA(_xlfn.XLOOKUP(D893,Table_Tarikan_Warkah[Nomor Tiket],Table_Tarikan_Warkah[Tanggal diserahkan kepada Validator]),"")</f>
        <v/>
      </c>
      <c r="F893" s="20" t="str">
        <f t="array" ref="F893">IFNA(_xlfn.XLOOKUP(D893,Table_Tarikan_Warkah[Nomor Tiket],Table_Tarikan_Warkah[Nama Petugas Warkah]),"")</f>
        <v/>
      </c>
      <c r="G893" s="21" t="str">
        <f t="array" ref="G893">IFNA(_xlfn.XLOOKUP(D893,Table_Tarikan_Warkah[Nomor Tiket],Table_Tarikan_Warkah[Jenis Permohonan]),"")</f>
        <v>BN Jual Beli</v>
      </c>
      <c r="H893" s="22" t="s">
        <v>31</v>
      </c>
      <c r="I893" s="22" t="s">
        <v>32</v>
      </c>
      <c r="J893" s="20">
        <f t="shared" si="29"/>
        <v>45622.59733</v>
      </c>
      <c r="K893" s="22" t="s">
        <v>65</v>
      </c>
      <c r="L893" s="22" t="s">
        <v>32</v>
      </c>
      <c r="M893" s="20">
        <f t="shared" si="30"/>
        <v>45624.65004</v>
      </c>
      <c r="N893" s="8" t="str">
        <f t="shared" si="3"/>
        <v>SELESAI</v>
      </c>
      <c r="O893" s="23">
        <f t="shared" si="22"/>
        <v>45624.65004</v>
      </c>
      <c r="P893" s="24" t="b">
        <v>0</v>
      </c>
      <c r="Q893" s="20" t="str">
        <f t="shared" si="31"/>
        <v/>
      </c>
      <c r="R893" s="24" t="b">
        <v>1</v>
      </c>
      <c r="S893" s="20">
        <f t="shared" si="6"/>
        <v>45624.65004</v>
      </c>
      <c r="T893" s="7"/>
    </row>
    <row r="894" ht="22.5" hidden="1" customHeight="1">
      <c r="B894" s="7">
        <f t="shared" si="7"/>
        <v>888</v>
      </c>
      <c r="C894" s="18" t="s">
        <v>867</v>
      </c>
      <c r="D894" s="19" t="str">
        <f t="array" ref="D894">IFNA(_xlfn.XLOOKUP(C894,Table_Tarikan_Warkah[Nomor Sertipikat],Table_Tarikan_Warkah[Nomor Tiket]),"")</f>
        <v>K/48/251124/1</v>
      </c>
      <c r="E894" s="20" t="str">
        <f t="array" ref="E894">IFNA(_xlfn.XLOOKUP(D894,Table_Tarikan_Warkah[Nomor Tiket],Table_Tarikan_Warkah[Tanggal diserahkan kepada Validator]),"")</f>
        <v/>
      </c>
      <c r="F894" s="20" t="str">
        <f t="array" ref="F894">IFNA(_xlfn.XLOOKUP(D894,Table_Tarikan_Warkah[Nomor Tiket],Table_Tarikan_Warkah[Nama Petugas Warkah]),"")</f>
        <v/>
      </c>
      <c r="G894" s="21" t="str">
        <f t="array" ref="G894">IFNA(_xlfn.XLOOKUP(D894,Table_Tarikan_Warkah[Nomor Tiket],Table_Tarikan_Warkah[Jenis Permohonan]),"")</f>
        <v>BN JUAL BELI</v>
      </c>
      <c r="H894" s="22" t="s">
        <v>31</v>
      </c>
      <c r="I894" s="22" t="s">
        <v>32</v>
      </c>
      <c r="J894" s="20">
        <f t="shared" si="29"/>
        <v>45622.59733</v>
      </c>
      <c r="K894" s="27" t="s">
        <v>65</v>
      </c>
      <c r="L894" s="27" t="s">
        <v>32</v>
      </c>
      <c r="M894" s="20">
        <f t="shared" si="30"/>
        <v>45624.65004</v>
      </c>
      <c r="N894" s="8" t="str">
        <f t="shared" si="3"/>
        <v>SELESAI</v>
      </c>
      <c r="O894" s="23">
        <f t="shared" si="22"/>
        <v>45624.65004</v>
      </c>
      <c r="P894" s="24" t="b">
        <v>0</v>
      </c>
      <c r="Q894" s="20" t="str">
        <f t="shared" si="31"/>
        <v/>
      </c>
      <c r="R894" s="24" t="b">
        <v>1</v>
      </c>
      <c r="S894" s="20">
        <f t="shared" si="6"/>
        <v>45624.65004</v>
      </c>
      <c r="T894" s="7"/>
    </row>
    <row r="895" ht="22.5" hidden="1" customHeight="1">
      <c r="B895" s="7">
        <f t="shared" si="7"/>
        <v>889</v>
      </c>
      <c r="C895" s="18" t="s">
        <v>868</v>
      </c>
      <c r="D895" s="19" t="str">
        <f t="array" ref="D895">IFNA(_xlfn.XLOOKUP(C895,Table_Tarikan_Warkah[Nomor Sertipikat],Table_Tarikan_Warkah[Nomor Tiket]),"")</f>
        <v> K/41/251124/1</v>
      </c>
      <c r="E895" s="20" t="str">
        <f t="array" ref="E895">IFNA(_xlfn.XLOOKUP(D895,Table_Tarikan_Warkah[Nomor Tiket],Table_Tarikan_Warkah[Tanggal diserahkan kepada Validator]),"")</f>
        <v/>
      </c>
      <c r="F895" s="20" t="str">
        <f t="array" ref="F895">IFNA(_xlfn.XLOOKUP(D895,Table_Tarikan_Warkah[Nomor Tiket],Table_Tarikan_Warkah[Nama Petugas Warkah]),"")</f>
        <v/>
      </c>
      <c r="G895" s="21" t="str">
        <f t="array" ref="G895">IFNA(_xlfn.XLOOKUP(D895,Table_Tarikan_Warkah[Nomor Tiket],Table_Tarikan_Warkah[Jenis Permohonan]),"")</f>
        <v>BN Jual Beli</v>
      </c>
      <c r="H895" s="22" t="s">
        <v>31</v>
      </c>
      <c r="I895" s="22" t="s">
        <v>32</v>
      </c>
      <c r="J895" s="20">
        <f t="shared" si="29"/>
        <v>45622.59733</v>
      </c>
      <c r="K895" s="22" t="s">
        <v>65</v>
      </c>
      <c r="L895" s="22" t="s">
        <v>32</v>
      </c>
      <c r="M895" s="20">
        <f t="shared" si="30"/>
        <v>45624.65004</v>
      </c>
      <c r="N895" s="8" t="str">
        <f t="shared" si="3"/>
        <v>SELESAI</v>
      </c>
      <c r="O895" s="23">
        <f t="shared" si="22"/>
        <v>45624.65004</v>
      </c>
      <c r="P895" s="24" t="b">
        <v>0</v>
      </c>
      <c r="Q895" s="20" t="str">
        <f t="shared" si="31"/>
        <v/>
      </c>
      <c r="R895" s="24" t="b">
        <v>1</v>
      </c>
      <c r="S895" s="20">
        <f t="shared" si="6"/>
        <v>45624.65004</v>
      </c>
      <c r="T895" s="7"/>
    </row>
    <row r="896" ht="22.5" hidden="1" customHeight="1">
      <c r="B896" s="7">
        <f t="shared" si="7"/>
        <v>890</v>
      </c>
      <c r="C896" s="18" t="s">
        <v>869</v>
      </c>
      <c r="D896" s="19" t="str">
        <f t="array" ref="D896">IFNA(_xlfn.XLOOKUP(C896,Table_Tarikan_Warkah[Nomor Sertipikat],Table_Tarikan_Warkah[Nomor Tiket]),"")</f>
        <v>K/33/251124/1</v>
      </c>
      <c r="E896" s="20" t="str">
        <f t="array" ref="E896">IFNA(_xlfn.XLOOKUP(D896,Table_Tarikan_Warkah[Nomor Tiket],Table_Tarikan_Warkah[Tanggal diserahkan kepada Validator]),"")</f>
        <v/>
      </c>
      <c r="F896" s="20" t="str">
        <f t="array" ref="F896">IFNA(_xlfn.XLOOKUP(D896,Table_Tarikan_Warkah[Nomor Tiket],Table_Tarikan_Warkah[Nama Petugas Warkah]),"")</f>
        <v/>
      </c>
      <c r="G896" s="21" t="str">
        <f t="array" ref="G896">IFNA(_xlfn.XLOOKUP(D896,Table_Tarikan_Warkah[Nomor Tiket],Table_Tarikan_Warkah[Jenis Permohonan]),"")</f>
        <v>ROYA</v>
      </c>
      <c r="H896" s="22" t="s">
        <v>31</v>
      </c>
      <c r="I896" s="22" t="s">
        <v>32</v>
      </c>
      <c r="J896" s="20">
        <f t="shared" si="29"/>
        <v>45622.59733</v>
      </c>
      <c r="K896" s="22" t="s">
        <v>65</v>
      </c>
      <c r="L896" s="22" t="s">
        <v>32</v>
      </c>
      <c r="M896" s="20">
        <f t="shared" si="30"/>
        <v>45624.65004</v>
      </c>
      <c r="N896" s="8" t="str">
        <f t="shared" si="3"/>
        <v>SELESAI</v>
      </c>
      <c r="O896" s="23">
        <f t="shared" si="22"/>
        <v>45624.65004</v>
      </c>
      <c r="P896" s="24" t="b">
        <v>0</v>
      </c>
      <c r="Q896" s="20" t="str">
        <f t="shared" si="31"/>
        <v/>
      </c>
      <c r="R896" s="24" t="b">
        <v>1</v>
      </c>
      <c r="S896" s="20">
        <f t="shared" si="6"/>
        <v>45624.65004</v>
      </c>
      <c r="T896" s="7"/>
    </row>
    <row r="897" ht="22.5" hidden="1" customHeight="1">
      <c r="B897" s="7">
        <f t="shared" si="7"/>
        <v>891</v>
      </c>
      <c r="C897" s="18" t="s">
        <v>869</v>
      </c>
      <c r="D897" s="19" t="str">
        <f t="array" ref="D897">IFNA(_xlfn.XLOOKUP(C897,Table_Tarikan_Warkah[Nomor Sertipikat],Table_Tarikan_Warkah[Nomor Tiket]),"")</f>
        <v>K/33/251124/1</v>
      </c>
      <c r="E897" s="20" t="str">
        <f t="array" ref="E897">IFNA(_xlfn.XLOOKUP(D897,Table_Tarikan_Warkah[Nomor Tiket],Table_Tarikan_Warkah[Tanggal diserahkan kepada Validator]),"")</f>
        <v/>
      </c>
      <c r="F897" s="20" t="str">
        <f t="array" ref="F897">IFNA(_xlfn.XLOOKUP(D897,Table_Tarikan_Warkah[Nomor Tiket],Table_Tarikan_Warkah[Nama Petugas Warkah]),"")</f>
        <v/>
      </c>
      <c r="G897" s="21" t="str">
        <f t="array" ref="G897">IFNA(_xlfn.XLOOKUP(D897,Table_Tarikan_Warkah[Nomor Tiket],Table_Tarikan_Warkah[Jenis Permohonan]),"")</f>
        <v>ROYA</v>
      </c>
      <c r="H897" s="22" t="s">
        <v>31</v>
      </c>
      <c r="I897" s="22" t="s">
        <v>32</v>
      </c>
      <c r="J897" s="20">
        <f t="shared" si="29"/>
        <v>45622.59733</v>
      </c>
      <c r="K897" s="27" t="s">
        <v>65</v>
      </c>
      <c r="L897" s="27" t="s">
        <v>32</v>
      </c>
      <c r="M897" s="20">
        <f t="shared" si="30"/>
        <v>45624.65004</v>
      </c>
      <c r="N897" s="8" t="str">
        <f t="shared" si="3"/>
        <v>SELESAI</v>
      </c>
      <c r="O897" s="23">
        <f t="shared" si="22"/>
        <v>45624.65004</v>
      </c>
      <c r="P897" s="24" t="b">
        <v>0</v>
      </c>
      <c r="Q897" s="20" t="str">
        <f t="shared" si="31"/>
        <v/>
      </c>
      <c r="R897" s="24" t="b">
        <v>1</v>
      </c>
      <c r="S897" s="20">
        <f t="shared" si="6"/>
        <v>45624.65004</v>
      </c>
      <c r="T897" s="7"/>
    </row>
    <row r="898" ht="22.5" hidden="1" customHeight="1">
      <c r="B898" s="7">
        <f t="shared" si="7"/>
        <v>892</v>
      </c>
      <c r="C898" s="18" t="s">
        <v>870</v>
      </c>
      <c r="D898" s="19" t="str">
        <f t="array" ref="D898">IFNA(_xlfn.XLOOKUP(C898,Table_Tarikan_Warkah[Nomor Sertipikat],Table_Tarikan_Warkah[Nomor Tiket]),"")</f>
        <v>K/34/051124/1</v>
      </c>
      <c r="E898" s="20" t="str">
        <f t="array" ref="E898">IFNA(_xlfn.XLOOKUP(D898,Table_Tarikan_Warkah[Nomor Tiket],Table_Tarikan_Warkah[Tanggal diserahkan kepada Validator]),"")</f>
        <v/>
      </c>
      <c r="F898" s="20" t="str">
        <f t="array" ref="F898">IFNA(_xlfn.XLOOKUP(D898,Table_Tarikan_Warkah[Nomor Tiket],Table_Tarikan_Warkah[Nama Petugas Warkah]),"")</f>
        <v>Berry</v>
      </c>
      <c r="G898" s="21" t="str">
        <f t="array" ref="G898">IFNA(_xlfn.XLOOKUP(D898,Table_Tarikan_Warkah[Nomor Tiket],Table_Tarikan_Warkah[Jenis Permohonan]),"")</f>
        <v>BN JUAL BELI</v>
      </c>
      <c r="H898" s="22" t="s">
        <v>31</v>
      </c>
      <c r="I898" s="22" t="s">
        <v>187</v>
      </c>
      <c r="J898" s="20">
        <f t="shared" si="29"/>
        <v>45622.59735</v>
      </c>
      <c r="K898" s="27" t="s">
        <v>33</v>
      </c>
      <c r="L898" s="27" t="s">
        <v>187</v>
      </c>
      <c r="M898" s="20">
        <f t="shared" si="30"/>
        <v>45624.65004</v>
      </c>
      <c r="N898" s="8" t="str">
        <f t="shared" si="3"/>
        <v>Selesai</v>
      </c>
      <c r="O898" s="23">
        <f t="shared" si="22"/>
        <v>45624.65004</v>
      </c>
      <c r="P898" s="24" t="b">
        <v>1</v>
      </c>
      <c r="Q898" s="20">
        <f t="shared" si="31"/>
        <v>45624.65004</v>
      </c>
      <c r="R898" s="24" t="b">
        <v>0</v>
      </c>
      <c r="S898" s="7" t="str">
        <f t="shared" si="6"/>
        <v/>
      </c>
      <c r="T898" s="7"/>
    </row>
    <row r="899" ht="22.5" hidden="1" customHeight="1">
      <c r="B899" s="7">
        <f t="shared" si="7"/>
        <v>893</v>
      </c>
      <c r="C899" s="18" t="s">
        <v>839</v>
      </c>
      <c r="D899" s="19" t="str">
        <f t="array" ref="D899">IFNA(_xlfn.XLOOKUP(C899,Table_Tarikan_Warkah[Nomor Sertipikat],Table_Tarikan_Warkah[Nomor Tiket]),"")</f>
        <v>K/43/211124/1</v>
      </c>
      <c r="E899" s="20">
        <f t="array" ref="E899">IFNA(_xlfn.XLOOKUP(D899,Table_Tarikan_Warkah[Nomor Tiket],Table_Tarikan_Warkah[Tanggal diserahkan kepada Validator]),"")</f>
        <v>45621.4601</v>
      </c>
      <c r="F899" s="20" t="str">
        <f t="array" ref="F899">IFNA(_xlfn.XLOOKUP(D899,Table_Tarikan_Warkah[Nomor Tiket],Table_Tarikan_Warkah[Nama Petugas Warkah]),"")</f>
        <v>David</v>
      </c>
      <c r="G899" s="21" t="str">
        <f t="array" ref="G899">IFNA(_xlfn.XLOOKUP(D899,Table_Tarikan_Warkah[Nomor Tiket],Table_Tarikan_Warkah[Jenis Permohonan]),"")</f>
        <v>BN JUAL BELI</v>
      </c>
      <c r="H899" s="22" t="s">
        <v>31</v>
      </c>
      <c r="I899" s="22" t="s">
        <v>187</v>
      </c>
      <c r="J899" s="20">
        <f t="shared" si="29"/>
        <v>45622.59743</v>
      </c>
      <c r="K899" s="27" t="s">
        <v>33</v>
      </c>
      <c r="L899" s="27" t="s">
        <v>187</v>
      </c>
      <c r="M899" s="20">
        <f t="shared" si="30"/>
        <v>45624.65004</v>
      </c>
      <c r="N899" s="8" t="str">
        <f t="shared" si="3"/>
        <v>Selesai</v>
      </c>
      <c r="O899" s="23">
        <f t="shared" si="22"/>
        <v>45624.65004</v>
      </c>
      <c r="P899" s="24" t="b">
        <v>1</v>
      </c>
      <c r="Q899" s="20">
        <f t="shared" si="31"/>
        <v>45624.65004</v>
      </c>
      <c r="R899" s="24" t="b">
        <v>0</v>
      </c>
      <c r="S899" s="7" t="str">
        <f t="shared" si="6"/>
        <v/>
      </c>
      <c r="T899" s="7"/>
    </row>
    <row r="900" ht="22.5" hidden="1" customHeight="1">
      <c r="B900" s="7">
        <f t="shared" si="7"/>
        <v>894</v>
      </c>
      <c r="C900" s="18" t="s">
        <v>871</v>
      </c>
      <c r="D900" s="19" t="str">
        <f t="array" ref="D900">IFNA(_xlfn.XLOOKUP(C900,Table_Tarikan_Warkah[Nomor Sertipikat],Table_Tarikan_Warkah[Nomor Tiket]),"")</f>
        <v>K/11/211124/1</v>
      </c>
      <c r="E900" s="20" t="str">
        <f t="array" ref="E900">IFNA(_xlfn.XLOOKUP(D900,Table_Tarikan_Warkah[Nomor Tiket],Table_Tarikan_Warkah[Tanggal diserahkan kepada Validator]),"")</f>
        <v/>
      </c>
      <c r="F900" s="20" t="str">
        <f t="array" ref="F900">IFNA(_xlfn.XLOOKUP(D900,Table_Tarikan_Warkah[Nomor Tiket],Table_Tarikan_Warkah[Nama Petugas Warkah]),"")</f>
        <v/>
      </c>
      <c r="G900" s="21" t="str">
        <f t="array" ref="G900">IFNA(_xlfn.XLOOKUP(D900,Table_Tarikan_Warkah[Nomor Tiket],Table_Tarikan_Warkah[Jenis Permohonan]),"")</f>
        <v>BN JUAL BELI</v>
      </c>
      <c r="H900" s="22" t="s">
        <v>31</v>
      </c>
      <c r="I900" s="22" t="s">
        <v>187</v>
      </c>
      <c r="J900" s="20">
        <f t="shared" si="29"/>
        <v>45622.59743</v>
      </c>
      <c r="K900" s="27" t="s">
        <v>33</v>
      </c>
      <c r="L900" s="27" t="s">
        <v>187</v>
      </c>
      <c r="M900" s="20">
        <f t="shared" si="30"/>
        <v>45624.65004</v>
      </c>
      <c r="N900" s="8" t="str">
        <f t="shared" si="3"/>
        <v>Selesai</v>
      </c>
      <c r="O900" s="23">
        <f t="shared" si="22"/>
        <v>45624.65004</v>
      </c>
      <c r="P900" s="24" t="b">
        <v>1</v>
      </c>
      <c r="Q900" s="20">
        <f t="shared" si="31"/>
        <v>45624.65004</v>
      </c>
      <c r="R900" s="24" t="b">
        <v>0</v>
      </c>
      <c r="S900" s="7" t="str">
        <f t="shared" si="6"/>
        <v/>
      </c>
      <c r="T900" s="7"/>
    </row>
    <row r="901" ht="22.5" hidden="1" customHeight="1">
      <c r="B901" s="7">
        <f t="shared" si="7"/>
        <v>895</v>
      </c>
      <c r="C901" s="18" t="s">
        <v>805</v>
      </c>
      <c r="D901" s="19" t="str">
        <f t="array" ref="D901">IFNA(_xlfn.XLOOKUP(C901,Table_Tarikan_Warkah[Nomor Sertipikat],Table_Tarikan_Warkah[Nomor Tiket]),"")</f>
        <v>K/40/201124/2</v>
      </c>
      <c r="E901" s="20">
        <f t="array" ref="E901">IFNA(_xlfn.XLOOKUP(D901,Table_Tarikan_Warkah[Nomor Tiket],Table_Tarikan_Warkah[Tanggal diserahkan kepada Validator]),"")</f>
        <v>45617.68555</v>
      </c>
      <c r="F901" s="20" t="str">
        <f t="array" ref="F901">IFNA(_xlfn.XLOOKUP(D901,Table_Tarikan_Warkah[Nomor Tiket],Table_Tarikan_Warkah[Nama Petugas Warkah]),"")</f>
        <v>David</v>
      </c>
      <c r="G901" s="21" t="str">
        <f t="array" ref="G901">IFNA(_xlfn.XLOOKUP(D901,Table_Tarikan_Warkah[Nomor Tiket],Table_Tarikan_Warkah[Jenis Permohonan]),"")</f>
        <v>BN JUAL BELI</v>
      </c>
      <c r="H901" s="22" t="s">
        <v>31</v>
      </c>
      <c r="I901" s="22" t="s">
        <v>187</v>
      </c>
      <c r="J901" s="20">
        <f t="shared" si="29"/>
        <v>45622.59743</v>
      </c>
      <c r="K901" s="27" t="s">
        <v>33</v>
      </c>
      <c r="L901" s="27" t="s">
        <v>187</v>
      </c>
      <c r="M901" s="20">
        <f t="shared" si="30"/>
        <v>45624.65004</v>
      </c>
      <c r="N901" s="8" t="str">
        <f t="shared" si="3"/>
        <v>Selesai</v>
      </c>
      <c r="O901" s="23">
        <f t="shared" si="22"/>
        <v>45624.65004</v>
      </c>
      <c r="P901" s="24" t="b">
        <v>1</v>
      </c>
      <c r="Q901" s="20">
        <f t="shared" si="31"/>
        <v>45624.65004</v>
      </c>
      <c r="R901" s="24" t="b">
        <v>0</v>
      </c>
      <c r="S901" s="7" t="str">
        <f t="shared" si="6"/>
        <v/>
      </c>
      <c r="T901" s="7"/>
    </row>
    <row r="902" ht="22.5" hidden="1" customHeight="1">
      <c r="B902" s="7">
        <f t="shared" si="7"/>
        <v>896</v>
      </c>
      <c r="C902" s="18" t="s">
        <v>872</v>
      </c>
      <c r="D902" s="19" t="str">
        <f t="array" ref="D902">IFNA(_xlfn.XLOOKUP(C902,Table_Tarikan_Warkah[Nomor Sertipikat],Table_Tarikan_Warkah[Nomor Tiket]),"")</f>
        <v>K/27/191124/2</v>
      </c>
      <c r="E902" s="20" t="str">
        <f t="array" ref="E902">IFNA(_xlfn.XLOOKUP(D902,Table_Tarikan_Warkah[Nomor Tiket],Table_Tarikan_Warkah[Tanggal diserahkan kepada Validator]),"")</f>
        <v/>
      </c>
      <c r="F902" s="20" t="str">
        <f t="array" ref="F902">IFNA(_xlfn.XLOOKUP(D902,Table_Tarikan_Warkah[Nomor Tiket],Table_Tarikan_Warkah[Nama Petugas Warkah]),"")</f>
        <v/>
      </c>
      <c r="G902" s="21" t="str">
        <f t="array" ref="G902">IFNA(_xlfn.XLOOKUP(D902,Table_Tarikan_Warkah[Nomor Tiket],Table_Tarikan_Warkah[Jenis Permohonan]),"")</f>
        <v>KEWARISAN</v>
      </c>
      <c r="H902" s="22" t="s">
        <v>31</v>
      </c>
      <c r="I902" s="22" t="s">
        <v>187</v>
      </c>
      <c r="J902" s="20">
        <f t="shared" si="29"/>
        <v>45622.59743</v>
      </c>
      <c r="K902" s="27" t="s">
        <v>33</v>
      </c>
      <c r="L902" s="27" t="s">
        <v>187</v>
      </c>
      <c r="M902" s="20">
        <f t="shared" si="30"/>
        <v>45624.65004</v>
      </c>
      <c r="N902" s="8" t="str">
        <f t="shared" si="3"/>
        <v>Selesai</v>
      </c>
      <c r="O902" s="23">
        <f t="shared" si="22"/>
        <v>45624.65004</v>
      </c>
      <c r="P902" s="24" t="b">
        <v>1</v>
      </c>
      <c r="Q902" s="20">
        <f t="shared" si="31"/>
        <v>45624.65004</v>
      </c>
      <c r="R902" s="24" t="b">
        <v>0</v>
      </c>
      <c r="S902" s="7" t="str">
        <f t="shared" si="6"/>
        <v/>
      </c>
      <c r="T902" s="7"/>
    </row>
    <row r="903" ht="22.5" hidden="1" customHeight="1">
      <c r="B903" s="7">
        <f t="shared" si="7"/>
        <v>897</v>
      </c>
      <c r="C903" s="18" t="s">
        <v>830</v>
      </c>
      <c r="D903" s="19" t="str">
        <f t="array" ref="D903">IFNA(_xlfn.XLOOKUP(C903,Table_Tarikan_Warkah[Nomor Sertipikat],Table_Tarikan_Warkah[Nomor Tiket]),"")</f>
        <v>K/6/211124/1</v>
      </c>
      <c r="E903" s="20">
        <f t="array" ref="E903">IFNA(_xlfn.XLOOKUP(D903,Table_Tarikan_Warkah[Nomor Tiket],Table_Tarikan_Warkah[Tanggal diserahkan kepada Validator]),"")</f>
        <v>45621.4601</v>
      </c>
      <c r="F903" s="20" t="str">
        <f t="array" ref="F903">IFNA(_xlfn.XLOOKUP(D903,Table_Tarikan_Warkah[Nomor Tiket],Table_Tarikan_Warkah[Nama Petugas Warkah]),"")</f>
        <v>David</v>
      </c>
      <c r="G903" s="21" t="str">
        <f t="array" ref="G903">IFNA(_xlfn.XLOOKUP(D903,Table_Tarikan_Warkah[Nomor Tiket],Table_Tarikan_Warkah[Jenis Permohonan]),"")</f>
        <v>KEWARISAN</v>
      </c>
      <c r="H903" s="22" t="s">
        <v>31</v>
      </c>
      <c r="I903" s="22" t="s">
        <v>187</v>
      </c>
      <c r="J903" s="20">
        <f t="shared" si="29"/>
        <v>45622.59743</v>
      </c>
      <c r="K903" s="27" t="s">
        <v>33</v>
      </c>
      <c r="L903" s="27" t="s">
        <v>187</v>
      </c>
      <c r="M903" s="20">
        <f t="shared" si="30"/>
        <v>45624.65004</v>
      </c>
      <c r="N903" s="8" t="str">
        <f t="shared" si="3"/>
        <v>Selesai</v>
      </c>
      <c r="O903" s="23">
        <f t="shared" si="22"/>
        <v>45624.65004</v>
      </c>
      <c r="P903" s="24" t="b">
        <v>1</v>
      </c>
      <c r="Q903" s="20">
        <f t="shared" si="31"/>
        <v>45624.65004</v>
      </c>
      <c r="R903" s="24" t="b">
        <v>0</v>
      </c>
      <c r="S903" s="7" t="str">
        <f t="shared" si="6"/>
        <v/>
      </c>
      <c r="T903" s="7"/>
    </row>
    <row r="904" ht="22.5" hidden="1" customHeight="1">
      <c r="B904" s="7">
        <f t="shared" si="7"/>
        <v>898</v>
      </c>
      <c r="C904" s="18" t="s">
        <v>873</v>
      </c>
      <c r="D904" s="19" t="str">
        <f t="array" ref="D904">IFNA(_xlfn.XLOOKUP(C904,Table_Tarikan_Warkah[Nomor Sertipikat],Table_Tarikan_Warkah[Nomor Tiket]),"")</f>
        <v>L/45/191124/1</v>
      </c>
      <c r="E904" s="20" t="str">
        <f t="array" ref="E904">IFNA(_xlfn.XLOOKUP(D904,Table_Tarikan_Warkah[Nomor Tiket],Table_Tarikan_Warkah[Tanggal diserahkan kepada Validator]),"")</f>
        <v/>
      </c>
      <c r="F904" s="20" t="str">
        <f t="array" ref="F904">IFNA(_xlfn.XLOOKUP(D904,Table_Tarikan_Warkah[Nomor Tiket],Table_Tarikan_Warkah[Nama Petugas Warkah]),"")</f>
        <v/>
      </c>
      <c r="G904" s="21" t="str">
        <f t="array" ref="G904">IFNA(_xlfn.XLOOKUP(D904,Table_Tarikan_Warkah[Nomor Tiket],Table_Tarikan_Warkah[Jenis Permohonan]),"")</f>
        <v>ROYA</v>
      </c>
      <c r="H904" s="22" t="s">
        <v>37</v>
      </c>
      <c r="I904" s="22" t="s">
        <v>32</v>
      </c>
      <c r="J904" s="20">
        <f t="shared" si="29"/>
        <v>45622.66638</v>
      </c>
      <c r="K904" s="22" t="s">
        <v>65</v>
      </c>
      <c r="L904" s="22" t="s">
        <v>32</v>
      </c>
      <c r="M904" s="20">
        <f t="shared" si="30"/>
        <v>45624.65004</v>
      </c>
      <c r="N904" s="8" t="str">
        <f t="shared" si="3"/>
        <v>SELESAI</v>
      </c>
      <c r="O904" s="23">
        <f t="shared" si="22"/>
        <v>45624.65004</v>
      </c>
      <c r="P904" s="24" t="b">
        <v>0</v>
      </c>
      <c r="Q904" s="20" t="str">
        <f t="shared" si="31"/>
        <v/>
      </c>
      <c r="R904" s="24" t="b">
        <v>1</v>
      </c>
      <c r="S904" s="20">
        <f t="shared" si="6"/>
        <v>45625.43931</v>
      </c>
      <c r="T904" s="7"/>
    </row>
    <row r="905" ht="22.5" hidden="1" customHeight="1">
      <c r="B905" s="7">
        <f t="shared" si="7"/>
        <v>899</v>
      </c>
      <c r="C905" s="18" t="s">
        <v>874</v>
      </c>
      <c r="D905" s="19" t="str">
        <f t="array" ref="D905">IFNA(_xlfn.XLOOKUP(C905,Table_Tarikan_Warkah[Nomor Sertipikat],Table_Tarikan_Warkah[Nomor Tiket]),"")</f>
        <v>K/1/221124/1</v>
      </c>
      <c r="E905" s="20">
        <f t="array" ref="E905">IFNA(_xlfn.XLOOKUP(D905,Table_Tarikan_Warkah[Nomor Tiket],Table_Tarikan_Warkah[Tanggal diserahkan kepada Validator]),"")</f>
        <v>45622.42608</v>
      </c>
      <c r="F905" s="20" t="str">
        <f t="array" ref="F905">IFNA(_xlfn.XLOOKUP(D905,Table_Tarikan_Warkah[Nomor Tiket],Table_Tarikan_Warkah[Nama Petugas Warkah]),"")</f>
        <v>David</v>
      </c>
      <c r="G905" s="21" t="str">
        <f t="array" ref="G905">IFNA(_xlfn.XLOOKUP(D905,Table_Tarikan_Warkah[Nomor Tiket],Table_Tarikan_Warkah[Jenis Permohonan]),"")</f>
        <v>BN JUAL BELI</v>
      </c>
      <c r="H905" s="22" t="s">
        <v>37</v>
      </c>
      <c r="I905" s="22" t="s">
        <v>32</v>
      </c>
      <c r="J905" s="20">
        <f t="shared" si="29"/>
        <v>45622.66666</v>
      </c>
      <c r="K905" s="22" t="s">
        <v>65</v>
      </c>
      <c r="L905" s="22" t="s">
        <v>32</v>
      </c>
      <c r="M905" s="20">
        <f t="shared" si="30"/>
        <v>45624.65004</v>
      </c>
      <c r="N905" s="8" t="str">
        <f t="shared" si="3"/>
        <v>SELESAI</v>
      </c>
      <c r="O905" s="23">
        <f t="shared" si="22"/>
        <v>45624.65004</v>
      </c>
      <c r="P905" s="24" t="b">
        <v>0</v>
      </c>
      <c r="Q905" s="20" t="str">
        <f t="shared" si="31"/>
        <v/>
      </c>
      <c r="R905" s="24" t="b">
        <v>1</v>
      </c>
      <c r="S905" s="20">
        <f t="shared" si="6"/>
        <v>45625.43933</v>
      </c>
      <c r="T905" s="7"/>
    </row>
    <row r="906" ht="22.5" hidden="1" customHeight="1">
      <c r="B906" s="7">
        <f t="shared" si="7"/>
        <v>900</v>
      </c>
      <c r="C906" s="18" t="s">
        <v>875</v>
      </c>
      <c r="D906" s="19" t="str">
        <f t="array" ref="D906">IFNA(_xlfn.XLOOKUP(C906,Table_Tarikan_Warkah[Nomor Sertipikat],Table_Tarikan_Warkah[Nomor Tiket]),"")</f>
        <v>K/5/221124/1</v>
      </c>
      <c r="E906" s="20">
        <f t="array" ref="E906">IFNA(_xlfn.XLOOKUP(D906,Table_Tarikan_Warkah[Nomor Tiket],Table_Tarikan_Warkah[Tanggal diserahkan kepada Validator]),"")</f>
        <v>45622.42669</v>
      </c>
      <c r="F906" s="20" t="str">
        <f t="array" ref="F906">IFNA(_xlfn.XLOOKUP(D906,Table_Tarikan_Warkah[Nomor Tiket],Table_Tarikan_Warkah[Nama Petugas Warkah]),"")</f>
        <v>David</v>
      </c>
      <c r="G906" s="21" t="str">
        <f t="array" ref="G906">IFNA(_xlfn.XLOOKUP(D906,Table_Tarikan_Warkah[Nomor Tiket],Table_Tarikan_Warkah[Jenis Permohonan]),"")</f>
        <v>BN WARIS</v>
      </c>
      <c r="H906" s="22" t="s">
        <v>37</v>
      </c>
      <c r="I906" s="22" t="s">
        <v>32</v>
      </c>
      <c r="J906" s="20">
        <f t="shared" si="29"/>
        <v>45622.66713</v>
      </c>
      <c r="K906" s="27" t="s">
        <v>65</v>
      </c>
      <c r="L906" s="27" t="s">
        <v>32</v>
      </c>
      <c r="M906" s="20">
        <f t="shared" si="30"/>
        <v>45624.65004</v>
      </c>
      <c r="N906" s="8" t="str">
        <f t="shared" si="3"/>
        <v>SELESAI</v>
      </c>
      <c r="O906" s="23">
        <f t="shared" si="22"/>
        <v>45624.65004</v>
      </c>
      <c r="P906" s="24" t="b">
        <v>1</v>
      </c>
      <c r="Q906" s="20">
        <f t="shared" si="31"/>
        <v>45637.66793</v>
      </c>
      <c r="R906" s="24" t="b">
        <v>1</v>
      </c>
      <c r="S906" s="20">
        <f t="shared" si="6"/>
        <v>45625.43933</v>
      </c>
      <c r="T906" s="7"/>
    </row>
    <row r="907" ht="22.5" hidden="1" customHeight="1">
      <c r="B907" s="7">
        <f t="shared" si="7"/>
        <v>901</v>
      </c>
      <c r="C907" s="18" t="s">
        <v>876</v>
      </c>
      <c r="D907" s="19" t="str">
        <f t="array" ref="D907">IFNA(_xlfn.XLOOKUP(C907,Table_Tarikan_Warkah[Nomor Sertipikat],Table_Tarikan_Warkah[Nomor Tiket]),"")</f>
        <v/>
      </c>
      <c r="E907" s="20" t="str">
        <f t="array" ref="E907">IFNA(_xlfn.XLOOKUP(D907,Table_Tarikan_Warkah[Nomor Tiket],Table_Tarikan_Warkah[Tanggal diserahkan kepada Validator]),"")</f>
        <v/>
      </c>
      <c r="F907" s="20" t="str">
        <f t="array" ref="F907">IFNA(_xlfn.XLOOKUP(D907,Table_Tarikan_Warkah[Nomor Tiket],Table_Tarikan_Warkah[Nama Petugas Warkah]),"")</f>
        <v/>
      </c>
      <c r="G907" s="21" t="str">
        <f t="array" ref="G907">IFNA(_xlfn.XLOOKUP(D907,Table_Tarikan_Warkah[Nomor Tiket],Table_Tarikan_Warkah[Jenis Permohonan]),"")</f>
        <v/>
      </c>
      <c r="H907" s="22" t="s">
        <v>37</v>
      </c>
      <c r="I907" s="22" t="s">
        <v>32</v>
      </c>
      <c r="J907" s="20">
        <f t="shared" si="29"/>
        <v>45622.66724</v>
      </c>
      <c r="K907" s="22" t="s">
        <v>65</v>
      </c>
      <c r="L907" s="22" t="s">
        <v>32</v>
      </c>
      <c r="M907" s="20">
        <f t="shared" si="30"/>
        <v>45624.65004</v>
      </c>
      <c r="N907" s="8" t="str">
        <f t="shared" si="3"/>
        <v/>
      </c>
      <c r="O907" s="21" t="str">
        <f t="shared" si="22"/>
        <v/>
      </c>
      <c r="P907" s="24" t="b">
        <v>0</v>
      </c>
      <c r="Q907" s="20" t="str">
        <f t="shared" si="31"/>
        <v/>
      </c>
      <c r="R907" s="24" t="b">
        <v>1</v>
      </c>
      <c r="S907" s="20">
        <f t="shared" si="6"/>
        <v>45625.43937</v>
      </c>
      <c r="T907" s="7"/>
    </row>
    <row r="908" ht="22.5" hidden="1" customHeight="1">
      <c r="B908" s="7">
        <f t="shared" si="7"/>
        <v>902</v>
      </c>
      <c r="C908" s="18" t="s">
        <v>877</v>
      </c>
      <c r="D908" s="19" t="str">
        <f t="array" ref="D908">IFNA(_xlfn.XLOOKUP(C908,Table_Tarikan_Warkah[Nomor Sertipikat],Table_Tarikan_Warkah[Nomor Tiket]),"")</f>
        <v>K/7/221124/1</v>
      </c>
      <c r="E908" s="20" t="str">
        <f t="array" ref="E908">IFNA(_xlfn.XLOOKUP(D908,Table_Tarikan_Warkah[Nomor Tiket],Table_Tarikan_Warkah[Tanggal diserahkan kepada Validator]),"")</f>
        <v/>
      </c>
      <c r="F908" s="20" t="str">
        <f t="array" ref="F908">IFNA(_xlfn.XLOOKUP(D908,Table_Tarikan_Warkah[Nomor Tiket],Table_Tarikan_Warkah[Nama Petugas Warkah]),"")</f>
        <v/>
      </c>
      <c r="G908" s="21" t="str">
        <f t="array" ref="G908">IFNA(_xlfn.XLOOKUP(D908,Table_Tarikan_Warkah[Nomor Tiket],Table_Tarikan_Warkah[Jenis Permohonan]),"")</f>
        <v>ROYA</v>
      </c>
      <c r="H908" s="22" t="s">
        <v>37</v>
      </c>
      <c r="I908" s="22" t="s">
        <v>32</v>
      </c>
      <c r="J908" s="20">
        <f t="shared" si="29"/>
        <v>45622.6674</v>
      </c>
      <c r="K908" s="22" t="s">
        <v>65</v>
      </c>
      <c r="L908" s="22" t="s">
        <v>32</v>
      </c>
      <c r="M908" s="20">
        <f t="shared" si="30"/>
        <v>45624.65004</v>
      </c>
      <c r="N908" s="8" t="str">
        <f t="shared" si="3"/>
        <v>SELESAI</v>
      </c>
      <c r="O908" s="23">
        <f t="shared" si="22"/>
        <v>45624.65004</v>
      </c>
      <c r="P908" s="24" t="b">
        <v>0</v>
      </c>
      <c r="Q908" s="20" t="str">
        <f t="shared" si="31"/>
        <v/>
      </c>
      <c r="R908" s="24" t="b">
        <v>1</v>
      </c>
      <c r="S908" s="20">
        <f t="shared" si="6"/>
        <v>45625.43937</v>
      </c>
      <c r="T908" s="7"/>
    </row>
    <row r="909" ht="22.5" hidden="1" customHeight="1">
      <c r="B909" s="7">
        <f t="shared" si="7"/>
        <v>903</v>
      </c>
      <c r="C909" s="18" t="s">
        <v>878</v>
      </c>
      <c r="D909" s="19" t="str">
        <f t="array" ref="D909">IFNA(_xlfn.XLOOKUP(C909,Table_Tarikan_Warkah[Nomor Sertipikat],Table_Tarikan_Warkah[Nomor Tiket]),"")</f>
        <v>K/11/221124/1</v>
      </c>
      <c r="E909" s="20">
        <f t="array" ref="E909">IFNA(_xlfn.XLOOKUP(D909,Table_Tarikan_Warkah[Nomor Tiket],Table_Tarikan_Warkah[Tanggal diserahkan kepada Validator]),"")</f>
        <v>45622.42746</v>
      </c>
      <c r="F909" s="20" t="str">
        <f t="array" ref="F909">IFNA(_xlfn.XLOOKUP(D909,Table_Tarikan_Warkah[Nomor Tiket],Table_Tarikan_Warkah[Nama Petugas Warkah]),"")</f>
        <v>David</v>
      </c>
      <c r="G909" s="21" t="str">
        <f t="array" ref="G909">IFNA(_xlfn.XLOOKUP(D909,Table_Tarikan_Warkah[Nomor Tiket],Table_Tarikan_Warkah[Jenis Permohonan]),"")</f>
        <v>BN JUAL BELI</v>
      </c>
      <c r="H909" s="22" t="s">
        <v>37</v>
      </c>
      <c r="I909" s="22" t="s">
        <v>32</v>
      </c>
      <c r="J909" s="20">
        <f t="shared" si="29"/>
        <v>45622.66751</v>
      </c>
      <c r="K909" s="22" t="s">
        <v>65</v>
      </c>
      <c r="L909" s="22" t="s">
        <v>32</v>
      </c>
      <c r="M909" s="20">
        <f t="shared" si="30"/>
        <v>45624.65004</v>
      </c>
      <c r="N909" s="8" t="str">
        <f t="shared" si="3"/>
        <v>SELESAI</v>
      </c>
      <c r="O909" s="23">
        <f t="shared" si="22"/>
        <v>45624.65004</v>
      </c>
      <c r="P909" s="24" t="b">
        <v>0</v>
      </c>
      <c r="Q909" s="20" t="str">
        <f t="shared" si="31"/>
        <v/>
      </c>
      <c r="R909" s="24" t="b">
        <v>1</v>
      </c>
      <c r="S909" s="20">
        <f t="shared" si="6"/>
        <v>45625.43937</v>
      </c>
      <c r="T909" s="7"/>
    </row>
    <row r="910" ht="22.5" hidden="1" customHeight="1">
      <c r="B910" s="7">
        <f t="shared" si="7"/>
        <v>904</v>
      </c>
      <c r="C910" s="18" t="s">
        <v>879</v>
      </c>
      <c r="D910" s="19" t="str">
        <f t="array" ref="D910">IFNA(_xlfn.XLOOKUP(C910,Table_Tarikan_Warkah[Nomor Sertipikat],Table_Tarikan_Warkah[Nomor Tiket]),"")</f>
        <v>K/12/221124/2</v>
      </c>
      <c r="E910" s="20" t="str">
        <f t="array" ref="E910">IFNA(_xlfn.XLOOKUP(D910,Table_Tarikan_Warkah[Nomor Tiket],Table_Tarikan_Warkah[Tanggal diserahkan kepada Validator]),"")</f>
        <v/>
      </c>
      <c r="F910" s="20" t="str">
        <f t="array" ref="F910">IFNA(_xlfn.XLOOKUP(D910,Table_Tarikan_Warkah[Nomor Tiket],Table_Tarikan_Warkah[Nama Petugas Warkah]),"")</f>
        <v/>
      </c>
      <c r="G910" s="21" t="str">
        <f t="array" ref="G910">IFNA(_xlfn.XLOOKUP(D910,Table_Tarikan_Warkah[Nomor Tiket],Table_Tarikan_Warkah[Jenis Permohonan]),"")</f>
        <v>BN JUAL BELI</v>
      </c>
      <c r="H910" s="22" t="s">
        <v>37</v>
      </c>
      <c r="I910" s="22" t="s">
        <v>32</v>
      </c>
      <c r="J910" s="20">
        <f t="shared" si="29"/>
        <v>45622.6676</v>
      </c>
      <c r="K910" s="22" t="s">
        <v>65</v>
      </c>
      <c r="L910" s="22" t="s">
        <v>32</v>
      </c>
      <c r="M910" s="20">
        <f t="shared" si="30"/>
        <v>45624.65004</v>
      </c>
      <c r="N910" s="8" t="str">
        <f t="shared" si="3"/>
        <v>SELESAI</v>
      </c>
      <c r="O910" s="23">
        <f t="shared" si="22"/>
        <v>45624.65004</v>
      </c>
      <c r="P910" s="24" t="b">
        <v>0</v>
      </c>
      <c r="Q910" s="20" t="str">
        <f t="shared" si="31"/>
        <v/>
      </c>
      <c r="R910" s="24" t="b">
        <v>1</v>
      </c>
      <c r="S910" s="20">
        <f t="shared" si="6"/>
        <v>45625.43946</v>
      </c>
      <c r="T910" s="7"/>
    </row>
    <row r="911" ht="22.5" hidden="1" customHeight="1">
      <c r="B911" s="7">
        <f t="shared" si="7"/>
        <v>905</v>
      </c>
      <c r="C911" s="18" t="s">
        <v>880</v>
      </c>
      <c r="D911" s="19" t="str">
        <f t="array" ref="D911">IFNA(_xlfn.XLOOKUP(C911,Table_Tarikan_Warkah[Nomor Sertipikat],Table_Tarikan_Warkah[Nomor Tiket]),"")</f>
        <v>L/20/221124/1</v>
      </c>
      <c r="E911" s="20">
        <f t="array" ref="E911">IFNA(_xlfn.XLOOKUP(D911,Table_Tarikan_Warkah[Nomor Tiket],Table_Tarikan_Warkah[Tanggal diserahkan kepada Validator]),"")</f>
        <v>45628.41507</v>
      </c>
      <c r="F911" s="20" t="str">
        <f t="array" ref="F911">IFNA(_xlfn.XLOOKUP(D911,Table_Tarikan_Warkah[Nomor Tiket],Table_Tarikan_Warkah[Nama Petugas Warkah]),"")</f>
        <v>David</v>
      </c>
      <c r="G911" s="21" t="str">
        <f t="array" ref="G911">IFNA(_xlfn.XLOOKUP(D911,Table_Tarikan_Warkah[Nomor Tiket],Table_Tarikan_Warkah[Jenis Permohonan]),"")</f>
        <v>ROYA</v>
      </c>
      <c r="H911" s="22" t="s">
        <v>37</v>
      </c>
      <c r="I911" s="22" t="s">
        <v>32</v>
      </c>
      <c r="J911" s="20">
        <f t="shared" si="29"/>
        <v>45622.66768</v>
      </c>
      <c r="K911" s="22" t="s">
        <v>65</v>
      </c>
      <c r="L911" s="22" t="s">
        <v>32</v>
      </c>
      <c r="M911" s="20">
        <f t="shared" si="30"/>
        <v>45624.65004</v>
      </c>
      <c r="N911" s="8" t="str">
        <f t="shared" si="3"/>
        <v>SELESAI</v>
      </c>
      <c r="O911" s="23">
        <f t="shared" si="22"/>
        <v>45624.65004</v>
      </c>
      <c r="P911" s="24" t="b">
        <v>0</v>
      </c>
      <c r="Q911" s="20" t="str">
        <f t="shared" si="31"/>
        <v/>
      </c>
      <c r="R911" s="24" t="b">
        <v>1</v>
      </c>
      <c r="S911" s="20">
        <f t="shared" si="6"/>
        <v>45625.43946</v>
      </c>
      <c r="T911" s="7"/>
    </row>
    <row r="912" ht="22.5" hidden="1" customHeight="1">
      <c r="B912" s="7">
        <f t="shared" si="7"/>
        <v>906</v>
      </c>
      <c r="C912" s="18" t="s">
        <v>881</v>
      </c>
      <c r="D912" s="19" t="str">
        <f t="array" ref="D912">IFNA(_xlfn.XLOOKUP(C912,Table_Tarikan_Warkah[Nomor Sertipikat],Table_Tarikan_Warkah[Nomor Tiket]),"")</f>
        <v>K/19/221124/1</v>
      </c>
      <c r="E912" s="20">
        <f t="array" ref="E912">IFNA(_xlfn.XLOOKUP(D912,Table_Tarikan_Warkah[Nomor Tiket],Table_Tarikan_Warkah[Tanggal diserahkan kepada Validator]),"")</f>
        <v>45628.41564</v>
      </c>
      <c r="F912" s="20" t="str">
        <f t="array" ref="F912">IFNA(_xlfn.XLOOKUP(D912,Table_Tarikan_Warkah[Nomor Tiket],Table_Tarikan_Warkah[Nama Petugas Warkah]),"")</f>
        <v>David</v>
      </c>
      <c r="G912" s="21" t="str">
        <f t="array" ref="G912">IFNA(_xlfn.XLOOKUP(D912,Table_Tarikan_Warkah[Nomor Tiket],Table_Tarikan_Warkah[Jenis Permohonan]),"")</f>
        <v>Roya</v>
      </c>
      <c r="H912" s="22" t="s">
        <v>37</v>
      </c>
      <c r="I912" s="22" t="s">
        <v>32</v>
      </c>
      <c r="J912" s="20">
        <f t="shared" si="29"/>
        <v>45622.66778</v>
      </c>
      <c r="K912" s="22" t="s">
        <v>65</v>
      </c>
      <c r="L912" s="22" t="s">
        <v>32</v>
      </c>
      <c r="M912" s="20">
        <f t="shared" si="30"/>
        <v>45624.65004</v>
      </c>
      <c r="N912" s="8" t="str">
        <f t="shared" si="3"/>
        <v>SELESAI</v>
      </c>
      <c r="O912" s="23">
        <f t="shared" si="22"/>
        <v>45624.65004</v>
      </c>
      <c r="P912" s="24" t="b">
        <v>0</v>
      </c>
      <c r="Q912" s="20" t="str">
        <f t="shared" si="31"/>
        <v/>
      </c>
      <c r="R912" s="24" t="b">
        <v>1</v>
      </c>
      <c r="S912" s="20">
        <f t="shared" si="6"/>
        <v>45625.43946</v>
      </c>
      <c r="T912" s="7"/>
    </row>
    <row r="913" ht="22.5" hidden="1" customHeight="1">
      <c r="B913" s="7">
        <f t="shared" si="7"/>
        <v>907</v>
      </c>
      <c r="C913" s="18" t="s">
        <v>882</v>
      </c>
      <c r="D913" s="19" t="str">
        <f t="array" ref="D913">IFNA(_xlfn.XLOOKUP(C913,Table_Tarikan_Warkah[Nomor Sertipikat],Table_Tarikan_Warkah[Nomor Tiket]),"")</f>
        <v>K/24/221124/1</v>
      </c>
      <c r="E913" s="20">
        <f t="array" ref="E913">IFNA(_xlfn.XLOOKUP(D913,Table_Tarikan_Warkah[Nomor Tiket],Table_Tarikan_Warkah[Tanggal diserahkan kepada Validator]),"")</f>
        <v>45628.41405</v>
      </c>
      <c r="F913" s="20" t="str">
        <f t="array" ref="F913">IFNA(_xlfn.XLOOKUP(D913,Table_Tarikan_Warkah[Nomor Tiket],Table_Tarikan_Warkah[Nama Petugas Warkah]),"")</f>
        <v>David</v>
      </c>
      <c r="G913" s="21" t="str">
        <f t="array" ref="G913">IFNA(_xlfn.XLOOKUP(D913,Table_Tarikan_Warkah[Nomor Tiket],Table_Tarikan_Warkah[Jenis Permohonan]),"")</f>
        <v>BN JUAL BELI</v>
      </c>
      <c r="H913" s="22" t="s">
        <v>37</v>
      </c>
      <c r="I913" s="22" t="s">
        <v>32</v>
      </c>
      <c r="J913" s="20">
        <f t="shared" si="29"/>
        <v>45622.66788</v>
      </c>
      <c r="K913" s="27" t="s">
        <v>65</v>
      </c>
      <c r="L913" s="27" t="s">
        <v>32</v>
      </c>
      <c r="M913" s="20">
        <f t="shared" si="30"/>
        <v>45624.65004</v>
      </c>
      <c r="N913" s="8" t="str">
        <f t="shared" si="3"/>
        <v>SELESAI</v>
      </c>
      <c r="O913" s="23">
        <f t="shared" si="22"/>
        <v>45624.65004</v>
      </c>
      <c r="P913" s="24" t="b">
        <v>0</v>
      </c>
      <c r="Q913" s="20" t="str">
        <f t="shared" si="31"/>
        <v/>
      </c>
      <c r="R913" s="24" t="b">
        <v>1</v>
      </c>
      <c r="S913" s="20">
        <f t="shared" si="6"/>
        <v>45625.43946</v>
      </c>
      <c r="T913" s="7"/>
    </row>
    <row r="914" ht="22.5" hidden="1" customHeight="1">
      <c r="B914" s="7">
        <f t="shared" si="7"/>
        <v>908</v>
      </c>
      <c r="C914" s="18" t="s">
        <v>883</v>
      </c>
      <c r="D914" s="19" t="str">
        <f t="array" ref="D914">IFNA(_xlfn.XLOOKUP(C914,Table_Tarikan_Warkah[Nomor Sertipikat],Table_Tarikan_Warkah[Nomor Tiket]),"")</f>
        <v>K/25/221124/2</v>
      </c>
      <c r="E914" s="20" t="str">
        <f t="array" ref="E914">IFNA(_xlfn.XLOOKUP(D914,Table_Tarikan_Warkah[Nomor Tiket],Table_Tarikan_Warkah[Tanggal diserahkan kepada Validator]),"")</f>
        <v/>
      </c>
      <c r="F914" s="20" t="str">
        <f t="array" ref="F914">IFNA(_xlfn.XLOOKUP(D914,Table_Tarikan_Warkah[Nomor Tiket],Table_Tarikan_Warkah[Nama Petugas Warkah]),"")</f>
        <v>David</v>
      </c>
      <c r="G914" s="21" t="str">
        <f t="array" ref="G914">IFNA(_xlfn.XLOOKUP(D914,Table_Tarikan_Warkah[Nomor Tiket],Table_Tarikan_Warkah[Jenis Permohonan]),"")</f>
        <v>BN JUAL BELI</v>
      </c>
      <c r="H914" s="22" t="s">
        <v>37</v>
      </c>
      <c r="I914" s="22" t="s">
        <v>32</v>
      </c>
      <c r="J914" s="20">
        <f t="shared" si="29"/>
        <v>45622.66796</v>
      </c>
      <c r="K914" s="22" t="s">
        <v>65</v>
      </c>
      <c r="L914" s="22" t="s">
        <v>32</v>
      </c>
      <c r="M914" s="20">
        <f t="shared" si="30"/>
        <v>45624.65004</v>
      </c>
      <c r="N914" s="8" t="str">
        <f t="shared" si="3"/>
        <v>SELESAI</v>
      </c>
      <c r="O914" s="23">
        <f t="shared" si="22"/>
        <v>45624.65004</v>
      </c>
      <c r="P914" s="24" t="b">
        <v>0</v>
      </c>
      <c r="Q914" s="20" t="str">
        <f t="shared" si="31"/>
        <v/>
      </c>
      <c r="R914" s="24" t="b">
        <v>1</v>
      </c>
      <c r="S914" s="20">
        <f t="shared" si="6"/>
        <v>45625.43946</v>
      </c>
      <c r="T914" s="7"/>
    </row>
    <row r="915" ht="22.5" hidden="1" customHeight="1">
      <c r="B915" s="7">
        <f t="shared" si="7"/>
        <v>909</v>
      </c>
      <c r="C915" s="18" t="s">
        <v>884</v>
      </c>
      <c r="D915" s="19" t="str">
        <f t="array" ref="D915">IFNA(_xlfn.XLOOKUP(C915,Table_Tarikan_Warkah[Nomor Sertipikat],Table_Tarikan_Warkah[Nomor Tiket]),"")</f>
        <v>K/28/221124/2</v>
      </c>
      <c r="E915" s="20" t="str">
        <f t="array" ref="E915">IFNA(_xlfn.XLOOKUP(D915,Table_Tarikan_Warkah[Nomor Tiket],Table_Tarikan_Warkah[Tanggal diserahkan kepada Validator]),"")</f>
        <v/>
      </c>
      <c r="F915" s="20" t="str">
        <f t="array" ref="F915">IFNA(_xlfn.XLOOKUP(D915,Table_Tarikan_Warkah[Nomor Tiket],Table_Tarikan_Warkah[Nama Petugas Warkah]),"")</f>
        <v/>
      </c>
      <c r="G915" s="21" t="str">
        <f t="array" ref="G915">IFNA(_xlfn.XLOOKUP(D915,Table_Tarikan_Warkah[Nomor Tiket],Table_Tarikan_Warkah[Jenis Permohonan]),"")</f>
        <v>Roya</v>
      </c>
      <c r="H915" s="22" t="s">
        <v>37</v>
      </c>
      <c r="I915" s="22" t="s">
        <v>32</v>
      </c>
      <c r="J915" s="20">
        <f t="shared" si="29"/>
        <v>45622.66804</v>
      </c>
      <c r="K915" s="22" t="s">
        <v>65</v>
      </c>
      <c r="L915" s="22" t="s">
        <v>32</v>
      </c>
      <c r="M915" s="20">
        <f t="shared" si="30"/>
        <v>45624.65004</v>
      </c>
      <c r="N915" s="8" t="str">
        <f t="shared" si="3"/>
        <v>SELESAI</v>
      </c>
      <c r="O915" s="23">
        <f t="shared" si="22"/>
        <v>45624.65004</v>
      </c>
      <c r="P915" s="24" t="b">
        <v>0</v>
      </c>
      <c r="Q915" s="20" t="str">
        <f t="shared" si="31"/>
        <v/>
      </c>
      <c r="R915" s="24" t="b">
        <v>1</v>
      </c>
      <c r="S915" s="20">
        <f t="shared" si="6"/>
        <v>45625.43946</v>
      </c>
      <c r="T915" s="7"/>
    </row>
    <row r="916" ht="22.5" hidden="1" customHeight="1">
      <c r="B916" s="7">
        <f t="shared" si="7"/>
        <v>910</v>
      </c>
      <c r="C916" s="18" t="s">
        <v>885</v>
      </c>
      <c r="D916" s="19" t="str">
        <f t="array" ref="D916">IFNA(_xlfn.XLOOKUP(C916,Table_Tarikan_Warkah[Nomor Sertipikat],Table_Tarikan_Warkah[Nomor Tiket]),"")</f>
        <v>K/34/221124/1</v>
      </c>
      <c r="E916" s="20">
        <f t="array" ref="E916">IFNA(_xlfn.XLOOKUP(D916,Table_Tarikan_Warkah[Nomor Tiket],Table_Tarikan_Warkah[Tanggal diserahkan kepada Validator]),"")</f>
        <v>45622.43171</v>
      </c>
      <c r="F916" s="20" t="str">
        <f t="array" ref="F916">IFNA(_xlfn.XLOOKUP(D916,Table_Tarikan_Warkah[Nomor Tiket],Table_Tarikan_Warkah[Nama Petugas Warkah]),"")</f>
        <v>David</v>
      </c>
      <c r="G916" s="21" t="str">
        <f t="array" ref="G916">IFNA(_xlfn.XLOOKUP(D916,Table_Tarikan_Warkah[Nomor Tiket],Table_Tarikan_Warkah[Jenis Permohonan]),"")</f>
        <v>BN JUAL BELI</v>
      </c>
      <c r="H916" s="22" t="s">
        <v>37</v>
      </c>
      <c r="I916" s="22" t="s">
        <v>32</v>
      </c>
      <c r="J916" s="20">
        <f t="shared" si="29"/>
        <v>45622.66815</v>
      </c>
      <c r="K916" s="22" t="s">
        <v>65</v>
      </c>
      <c r="L916" s="22" t="s">
        <v>32</v>
      </c>
      <c r="M916" s="20">
        <f t="shared" si="30"/>
        <v>45624.65004</v>
      </c>
      <c r="N916" s="8" t="str">
        <f t="shared" si="3"/>
        <v>SELESAI</v>
      </c>
      <c r="O916" s="23">
        <f t="shared" si="22"/>
        <v>45624.65004</v>
      </c>
      <c r="P916" s="24" t="b">
        <v>0</v>
      </c>
      <c r="Q916" s="20" t="str">
        <f t="shared" si="31"/>
        <v/>
      </c>
      <c r="R916" s="24" t="b">
        <v>1</v>
      </c>
      <c r="S916" s="20">
        <f t="shared" si="6"/>
        <v>45625.44138</v>
      </c>
      <c r="T916" s="7"/>
    </row>
    <row r="917" ht="22.5" hidden="1" customHeight="1">
      <c r="B917" s="7">
        <f t="shared" si="7"/>
        <v>911</v>
      </c>
      <c r="C917" s="18" t="s">
        <v>886</v>
      </c>
      <c r="D917" s="19" t="str">
        <f t="array" ref="D917">IFNA(_xlfn.XLOOKUP(C917,Table_Tarikan_Warkah[Nomor Sertipikat],Table_Tarikan_Warkah[Nomor Tiket]),"")</f>
        <v>K/39/221124/1</v>
      </c>
      <c r="E917" s="20" t="str">
        <f t="array" ref="E917">IFNA(_xlfn.XLOOKUP(D917,Table_Tarikan_Warkah[Nomor Tiket],Table_Tarikan_Warkah[Tanggal diserahkan kepada Validator]),"")</f>
        <v/>
      </c>
      <c r="F917" s="20" t="str">
        <f t="array" ref="F917">IFNA(_xlfn.XLOOKUP(D917,Table_Tarikan_Warkah[Nomor Tiket],Table_Tarikan_Warkah[Nama Petugas Warkah]),"")</f>
        <v/>
      </c>
      <c r="G917" s="21" t="str">
        <f t="array" ref="G917">IFNA(_xlfn.XLOOKUP(D917,Table_Tarikan_Warkah[Nomor Tiket],Table_Tarikan_Warkah[Jenis Permohonan]),"")</f>
        <v>Roya</v>
      </c>
      <c r="H917" s="22" t="s">
        <v>37</v>
      </c>
      <c r="I917" s="22" t="s">
        <v>32</v>
      </c>
      <c r="J917" s="20">
        <f t="shared" si="29"/>
        <v>45622.66825</v>
      </c>
      <c r="K917" s="22" t="s">
        <v>65</v>
      </c>
      <c r="L917" s="22" t="s">
        <v>32</v>
      </c>
      <c r="M917" s="20">
        <f t="shared" si="30"/>
        <v>45624.65004</v>
      </c>
      <c r="N917" s="8" t="str">
        <f t="shared" si="3"/>
        <v>SELESAI</v>
      </c>
      <c r="O917" s="23">
        <f t="shared" si="22"/>
        <v>45624.65004</v>
      </c>
      <c r="P917" s="24" t="b">
        <v>0</v>
      </c>
      <c r="Q917" s="20" t="str">
        <f t="shared" si="31"/>
        <v/>
      </c>
      <c r="R917" s="24" t="b">
        <v>1</v>
      </c>
      <c r="S917" s="20">
        <f t="shared" si="6"/>
        <v>45625.44138</v>
      </c>
      <c r="T917" s="7"/>
    </row>
    <row r="918" ht="22.5" hidden="1" customHeight="1">
      <c r="B918" s="7">
        <f t="shared" si="7"/>
        <v>912</v>
      </c>
      <c r="C918" s="18" t="s">
        <v>887</v>
      </c>
      <c r="D918" s="19" t="str">
        <f t="array" ref="D918">IFNA(_xlfn.XLOOKUP(C918,Table_Tarikan_Warkah[Nomor Sertipikat],Table_Tarikan_Warkah[Nomor Tiket]),"")</f>
        <v>K/37/221124/1</v>
      </c>
      <c r="E918" s="20">
        <f t="array" ref="E918">IFNA(_xlfn.XLOOKUP(D918,Table_Tarikan_Warkah[Nomor Tiket],Table_Tarikan_Warkah[Tanggal diserahkan kepada Validator]),"")</f>
        <v>45622.43149</v>
      </c>
      <c r="F918" s="20" t="str">
        <f t="array" ref="F918">IFNA(_xlfn.XLOOKUP(D918,Table_Tarikan_Warkah[Nomor Tiket],Table_Tarikan_Warkah[Nama Petugas Warkah]),"")</f>
        <v>David</v>
      </c>
      <c r="G918" s="21" t="str">
        <f t="array" ref="G918">IFNA(_xlfn.XLOOKUP(D918,Table_Tarikan_Warkah[Nomor Tiket],Table_Tarikan_Warkah[Jenis Permohonan]),"")</f>
        <v>BN JUAL BELI</v>
      </c>
      <c r="H918" s="22" t="s">
        <v>37</v>
      </c>
      <c r="I918" s="22" t="s">
        <v>32</v>
      </c>
      <c r="J918" s="20">
        <f t="shared" si="29"/>
        <v>45622.66833</v>
      </c>
      <c r="K918" s="22" t="s">
        <v>65</v>
      </c>
      <c r="L918" s="22" t="s">
        <v>32</v>
      </c>
      <c r="M918" s="20">
        <f t="shared" si="30"/>
        <v>45624.65004</v>
      </c>
      <c r="N918" s="8" t="str">
        <f t="shared" si="3"/>
        <v>SELESAI</v>
      </c>
      <c r="O918" s="23">
        <f t="shared" si="22"/>
        <v>45624.65004</v>
      </c>
      <c r="P918" s="24" t="b">
        <v>0</v>
      </c>
      <c r="Q918" s="20" t="str">
        <f t="shared" si="31"/>
        <v/>
      </c>
      <c r="R918" s="24" t="b">
        <v>1</v>
      </c>
      <c r="S918" s="20">
        <f t="shared" si="6"/>
        <v>45625.44138</v>
      </c>
      <c r="T918" s="7"/>
    </row>
    <row r="919" ht="22.5" hidden="1" customHeight="1">
      <c r="B919" s="7">
        <f t="shared" si="7"/>
        <v>913</v>
      </c>
      <c r="C919" s="18" t="s">
        <v>888</v>
      </c>
      <c r="D919" s="19" t="str">
        <f t="array" ref="D919">IFNA(_xlfn.XLOOKUP(C919,Table_Tarikan_Warkah[Nomor Sertipikat],Table_Tarikan_Warkah[Nomor Tiket]),"")</f>
        <v>K/38/221124/2</v>
      </c>
      <c r="E919" s="20" t="str">
        <f t="array" ref="E919">IFNA(_xlfn.XLOOKUP(D919,Table_Tarikan_Warkah[Nomor Tiket],Table_Tarikan_Warkah[Tanggal diserahkan kepada Validator]),"")</f>
        <v/>
      </c>
      <c r="F919" s="20" t="str">
        <f t="array" ref="F919">IFNA(_xlfn.XLOOKUP(D919,Table_Tarikan_Warkah[Nomor Tiket],Table_Tarikan_Warkah[Nama Petugas Warkah]),"")</f>
        <v>David</v>
      </c>
      <c r="G919" s="21" t="str">
        <f t="array" ref="G919">IFNA(_xlfn.XLOOKUP(D919,Table_Tarikan_Warkah[Nomor Tiket],Table_Tarikan_Warkah[Jenis Permohonan]),"")</f>
        <v>BN JUAL BELI</v>
      </c>
      <c r="H919" s="22" t="s">
        <v>37</v>
      </c>
      <c r="I919" s="22" t="s">
        <v>32</v>
      </c>
      <c r="J919" s="20">
        <f t="shared" si="29"/>
        <v>45622.66843</v>
      </c>
      <c r="K919" s="22" t="s">
        <v>65</v>
      </c>
      <c r="L919" s="22" t="s">
        <v>32</v>
      </c>
      <c r="M919" s="20">
        <f t="shared" si="30"/>
        <v>45624.65004</v>
      </c>
      <c r="N919" s="8" t="str">
        <f t="shared" si="3"/>
        <v>SELESAI</v>
      </c>
      <c r="O919" s="23">
        <f t="shared" si="22"/>
        <v>45624.65004</v>
      </c>
      <c r="P919" s="24" t="b">
        <v>0</v>
      </c>
      <c r="Q919" s="20" t="str">
        <f t="shared" si="31"/>
        <v/>
      </c>
      <c r="R919" s="24" t="b">
        <v>1</v>
      </c>
      <c r="S919" s="20">
        <f t="shared" si="6"/>
        <v>45625.44138</v>
      </c>
      <c r="T919" s="7"/>
    </row>
    <row r="920" ht="22.5" hidden="1" customHeight="1">
      <c r="B920" s="7">
        <f t="shared" si="7"/>
        <v>914</v>
      </c>
      <c r="C920" s="18" t="s">
        <v>889</v>
      </c>
      <c r="D920" s="19" t="str">
        <f t="array" ref="D920">IFNA(_xlfn.XLOOKUP(C920,Table_Tarikan_Warkah[Nomor Sertipikat],Table_Tarikan_Warkah[Nomor Tiket]),"")</f>
        <v>K/32/221124/1</v>
      </c>
      <c r="E920" s="20">
        <f t="array" ref="E920">IFNA(_xlfn.XLOOKUP(D920,Table_Tarikan_Warkah[Nomor Tiket],Table_Tarikan_Warkah[Tanggal diserahkan kepada Validator]),"")</f>
        <v>45622.43106</v>
      </c>
      <c r="F920" s="20" t="str">
        <f t="array" ref="F920">IFNA(_xlfn.XLOOKUP(D920,Table_Tarikan_Warkah[Nomor Tiket],Table_Tarikan_Warkah[Nama Petugas Warkah]),"")</f>
        <v>David</v>
      </c>
      <c r="G920" s="21" t="str">
        <f t="array" ref="G920">IFNA(_xlfn.XLOOKUP(D920,Table_Tarikan_Warkah[Nomor Tiket],Table_Tarikan_Warkah[Jenis Permohonan]),"")</f>
        <v>BN Jual Beli</v>
      </c>
      <c r="H920" s="22" t="s">
        <v>37</v>
      </c>
      <c r="I920" s="22" t="s">
        <v>32</v>
      </c>
      <c r="J920" s="20">
        <f t="shared" si="29"/>
        <v>45622.66851</v>
      </c>
      <c r="K920" s="27" t="s">
        <v>65</v>
      </c>
      <c r="L920" s="27" t="s">
        <v>32</v>
      </c>
      <c r="M920" s="20">
        <f t="shared" si="30"/>
        <v>45624.65004</v>
      </c>
      <c r="N920" s="8" t="str">
        <f t="shared" si="3"/>
        <v>SELESAI</v>
      </c>
      <c r="O920" s="23">
        <f t="shared" si="22"/>
        <v>45624.65004</v>
      </c>
      <c r="P920" s="24" t="b">
        <v>0</v>
      </c>
      <c r="Q920" s="20" t="str">
        <f t="shared" si="31"/>
        <v/>
      </c>
      <c r="R920" s="24" t="b">
        <v>1</v>
      </c>
      <c r="S920" s="20">
        <f t="shared" si="6"/>
        <v>45625.44138</v>
      </c>
      <c r="T920" s="7"/>
    </row>
    <row r="921" ht="22.5" hidden="1" customHeight="1">
      <c r="B921" s="7">
        <f t="shared" si="7"/>
        <v>915</v>
      </c>
      <c r="C921" s="18" t="s">
        <v>890</v>
      </c>
      <c r="D921" s="19" t="str">
        <f t="array" ref="D921">IFNA(_xlfn.XLOOKUP(C921,Table_Tarikan_Warkah[Nomor Sertipikat],Table_Tarikan_Warkah[Nomor Tiket]),"")</f>
        <v>K/7/251124/1</v>
      </c>
      <c r="E921" s="20" t="str">
        <f t="array" ref="E921">IFNA(_xlfn.XLOOKUP(D921,Table_Tarikan_Warkah[Nomor Tiket],Table_Tarikan_Warkah[Tanggal diserahkan kepada Validator]),"")</f>
        <v/>
      </c>
      <c r="F921" s="20" t="str">
        <f t="array" ref="F921">IFNA(_xlfn.XLOOKUP(D921,Table_Tarikan_Warkah[Nomor Tiket],Table_Tarikan_Warkah[Nama Petugas Warkah]),"")</f>
        <v/>
      </c>
      <c r="G921" s="21" t="str">
        <f t="array" ref="G921">IFNA(_xlfn.XLOOKUP(D921,Table_Tarikan_Warkah[Nomor Tiket],Table_Tarikan_Warkah[Jenis Permohonan]),"")</f>
        <v>Roya</v>
      </c>
      <c r="H921" s="22" t="s">
        <v>37</v>
      </c>
      <c r="I921" s="22" t="s">
        <v>32</v>
      </c>
      <c r="J921" s="20">
        <f t="shared" si="29"/>
        <v>45622.66862</v>
      </c>
      <c r="K921" s="22" t="s">
        <v>65</v>
      </c>
      <c r="L921" s="22" t="s">
        <v>32</v>
      </c>
      <c r="M921" s="20">
        <f t="shared" si="30"/>
        <v>45624.65004</v>
      </c>
      <c r="N921" s="8" t="str">
        <f t="shared" si="3"/>
        <v>SELESAI</v>
      </c>
      <c r="O921" s="23">
        <f t="shared" si="22"/>
        <v>45624.65004</v>
      </c>
      <c r="P921" s="24" t="b">
        <v>0</v>
      </c>
      <c r="Q921" s="20" t="str">
        <f t="shared" si="31"/>
        <v/>
      </c>
      <c r="R921" s="24" t="b">
        <v>1</v>
      </c>
      <c r="S921" s="20">
        <f t="shared" si="6"/>
        <v>45625.44138</v>
      </c>
      <c r="T921" s="7"/>
    </row>
    <row r="922" ht="22.5" hidden="1" customHeight="1">
      <c r="B922" s="7">
        <f t="shared" si="7"/>
        <v>916</v>
      </c>
      <c r="C922" s="18" t="s">
        <v>891</v>
      </c>
      <c r="D922" s="19" t="str">
        <f t="array" ref="D922">IFNA(_xlfn.XLOOKUP(C922,Table_Tarikan_Warkah[Nomor Sertipikat],Table_Tarikan_Warkah[Nomor Tiket]),"")</f>
        <v>K/14/251124/2</v>
      </c>
      <c r="E922" s="20" t="str">
        <f t="array" ref="E922">IFNA(_xlfn.XLOOKUP(D922,Table_Tarikan_Warkah[Nomor Tiket],Table_Tarikan_Warkah[Tanggal diserahkan kepada Validator]),"")</f>
        <v/>
      </c>
      <c r="F922" s="20" t="str">
        <f t="array" ref="F922">IFNA(_xlfn.XLOOKUP(D922,Table_Tarikan_Warkah[Nomor Tiket],Table_Tarikan_Warkah[Nama Petugas Warkah]),"")</f>
        <v/>
      </c>
      <c r="G922" s="21" t="str">
        <f t="array" ref="G922">IFNA(_xlfn.XLOOKUP(D922,Table_Tarikan_Warkah[Nomor Tiket],Table_Tarikan_Warkah[Jenis Permohonan]),"")</f>
        <v>ROYA </v>
      </c>
      <c r="H922" s="22" t="s">
        <v>37</v>
      </c>
      <c r="I922" s="22" t="s">
        <v>32</v>
      </c>
      <c r="J922" s="20">
        <f t="shared" si="29"/>
        <v>45622.66875</v>
      </c>
      <c r="K922" s="22" t="s">
        <v>65</v>
      </c>
      <c r="L922" s="22" t="s">
        <v>32</v>
      </c>
      <c r="M922" s="20">
        <f t="shared" si="30"/>
        <v>45624.65004</v>
      </c>
      <c r="N922" s="8" t="str">
        <f t="shared" si="3"/>
        <v>SELESAI</v>
      </c>
      <c r="O922" s="23">
        <f t="shared" si="22"/>
        <v>45624.65004</v>
      </c>
      <c r="P922" s="24" t="b">
        <v>0</v>
      </c>
      <c r="Q922" s="20" t="str">
        <f t="shared" si="31"/>
        <v/>
      </c>
      <c r="R922" s="24" t="b">
        <v>1</v>
      </c>
      <c r="S922" s="20">
        <f t="shared" si="6"/>
        <v>45625.44141</v>
      </c>
      <c r="T922" s="7"/>
    </row>
    <row r="923" ht="22.5" hidden="1" customHeight="1">
      <c r="B923" s="7">
        <f t="shared" si="7"/>
        <v>917</v>
      </c>
      <c r="C923" s="18" t="s">
        <v>892</v>
      </c>
      <c r="D923" s="19" t="str">
        <f t="array" ref="D923">IFNA(_xlfn.XLOOKUP(C923,Table_Tarikan_Warkah[Nomor Sertipikat],Table_Tarikan_Warkah[Nomor Tiket]),"")</f>
        <v>L/24/251124/2</v>
      </c>
      <c r="E923" s="20" t="str">
        <f t="array" ref="E923">IFNA(_xlfn.XLOOKUP(D923,Table_Tarikan_Warkah[Nomor Tiket],Table_Tarikan_Warkah[Tanggal diserahkan kepada Validator]),"")</f>
        <v/>
      </c>
      <c r="F923" s="20" t="str">
        <f t="array" ref="F923">IFNA(_xlfn.XLOOKUP(D923,Table_Tarikan_Warkah[Nomor Tiket],Table_Tarikan_Warkah[Nama Petugas Warkah]),"")</f>
        <v/>
      </c>
      <c r="G923" s="21" t="str">
        <f t="array" ref="G923">IFNA(_xlfn.XLOOKUP(D923,Table_Tarikan_Warkah[Nomor Tiket],Table_Tarikan_Warkah[Jenis Permohonan]),"")</f>
        <v>ROYA LELANG</v>
      </c>
      <c r="H923" s="22" t="s">
        <v>37</v>
      </c>
      <c r="I923" s="22" t="s">
        <v>32</v>
      </c>
      <c r="J923" s="20">
        <f t="shared" si="29"/>
        <v>45622.66887</v>
      </c>
      <c r="K923" s="22" t="s">
        <v>65</v>
      </c>
      <c r="L923" s="22" t="s">
        <v>32</v>
      </c>
      <c r="M923" s="20">
        <f t="shared" si="30"/>
        <v>45624.65004</v>
      </c>
      <c r="N923" s="8" t="str">
        <f t="shared" si="3"/>
        <v>SELESAI</v>
      </c>
      <c r="O923" s="23">
        <f t="shared" si="22"/>
        <v>45624.65004</v>
      </c>
      <c r="P923" s="24" t="b">
        <v>0</v>
      </c>
      <c r="Q923" s="20" t="str">
        <f t="shared" si="31"/>
        <v/>
      </c>
      <c r="R923" s="24" t="b">
        <v>1</v>
      </c>
      <c r="S923" s="20">
        <f t="shared" si="6"/>
        <v>45625.44141</v>
      </c>
      <c r="T923" s="7"/>
    </row>
    <row r="924" ht="22.5" hidden="1" customHeight="1">
      <c r="B924" s="7">
        <f t="shared" si="7"/>
        <v>918</v>
      </c>
      <c r="C924" s="18" t="s">
        <v>893</v>
      </c>
      <c r="D924" s="19" t="str">
        <f t="array" ref="D924">IFNA(_xlfn.XLOOKUP(C924,Table_Tarikan_Warkah[Nomor Sertipikat],Table_Tarikan_Warkah[Nomor Tiket]),"")</f>
        <v>L/23/251124/1</v>
      </c>
      <c r="E924" s="20">
        <f t="array" ref="E924">IFNA(_xlfn.XLOOKUP(D924,Table_Tarikan_Warkah[Nomor Tiket],Table_Tarikan_Warkah[Tanggal diserahkan kepada Validator]),"")</f>
        <v>45622.50264</v>
      </c>
      <c r="F924" s="20" t="str">
        <f t="array" ref="F924">IFNA(_xlfn.XLOOKUP(D924,Table_Tarikan_Warkah[Nomor Tiket],Table_Tarikan_Warkah[Nama Petugas Warkah]),"")</f>
        <v>Berry</v>
      </c>
      <c r="G924" s="21" t="str">
        <f t="array" ref="G924">IFNA(_xlfn.XLOOKUP(D924,Table_Tarikan_Warkah[Nomor Tiket],Table_Tarikan_Warkah[Jenis Permohonan]),"")</f>
        <v>ROYA LELANG</v>
      </c>
      <c r="H924" s="22" t="s">
        <v>37</v>
      </c>
      <c r="I924" s="22" t="s">
        <v>32</v>
      </c>
      <c r="J924" s="20">
        <f t="shared" si="29"/>
        <v>45622.66895</v>
      </c>
      <c r="K924" s="22" t="s">
        <v>65</v>
      </c>
      <c r="L924" s="22" t="s">
        <v>32</v>
      </c>
      <c r="M924" s="20">
        <f t="shared" si="30"/>
        <v>45624.65004</v>
      </c>
      <c r="N924" s="8" t="str">
        <f t="shared" si="3"/>
        <v>SELESAI</v>
      </c>
      <c r="O924" s="23">
        <f t="shared" si="22"/>
        <v>45624.65004</v>
      </c>
      <c r="P924" s="24" t="b">
        <v>0</v>
      </c>
      <c r="Q924" s="20" t="str">
        <f t="shared" si="31"/>
        <v/>
      </c>
      <c r="R924" s="24" t="b">
        <v>1</v>
      </c>
      <c r="S924" s="20">
        <f t="shared" si="6"/>
        <v>45625.44141</v>
      </c>
      <c r="T924" s="7"/>
    </row>
    <row r="925" ht="22.5" hidden="1" customHeight="1">
      <c r="B925" s="7">
        <f t="shared" si="7"/>
        <v>919</v>
      </c>
      <c r="C925" s="18" t="s">
        <v>894</v>
      </c>
      <c r="D925" s="19" t="str">
        <f t="array" ref="D925">IFNA(_xlfn.XLOOKUP(C925,Table_Tarikan_Warkah[Nomor Sertipikat],Table_Tarikan_Warkah[Nomor Tiket]),"")</f>
        <v>K/32/251124/1</v>
      </c>
      <c r="E925" s="20" t="str">
        <f t="array" ref="E925">IFNA(_xlfn.XLOOKUP(D925,Table_Tarikan_Warkah[Nomor Tiket],Table_Tarikan_Warkah[Tanggal diserahkan kepada Validator]),"")</f>
        <v/>
      </c>
      <c r="F925" s="20" t="str">
        <f t="array" ref="F925">IFNA(_xlfn.XLOOKUP(D925,Table_Tarikan_Warkah[Nomor Tiket],Table_Tarikan_Warkah[Nama Petugas Warkah]),"")</f>
        <v/>
      </c>
      <c r="G925" s="21" t="str">
        <f t="array" ref="G925">IFNA(_xlfn.XLOOKUP(D925,Table_Tarikan_Warkah[Nomor Tiket],Table_Tarikan_Warkah[Jenis Permohonan]),"")</f>
        <v>BN Jual Beli</v>
      </c>
      <c r="H925" s="22" t="s">
        <v>37</v>
      </c>
      <c r="I925" s="22" t="s">
        <v>32</v>
      </c>
      <c r="J925" s="20">
        <f t="shared" si="29"/>
        <v>45622.66905</v>
      </c>
      <c r="K925" s="22" t="s">
        <v>65</v>
      </c>
      <c r="L925" s="22" t="s">
        <v>32</v>
      </c>
      <c r="M925" s="20">
        <f t="shared" si="30"/>
        <v>45624.65004</v>
      </c>
      <c r="N925" s="8" t="str">
        <f t="shared" si="3"/>
        <v>SELESAI</v>
      </c>
      <c r="O925" s="23">
        <f t="shared" si="22"/>
        <v>45624.65004</v>
      </c>
      <c r="P925" s="24" t="b">
        <v>0</v>
      </c>
      <c r="Q925" s="20" t="str">
        <f t="shared" si="31"/>
        <v/>
      </c>
      <c r="R925" s="24" t="b">
        <v>1</v>
      </c>
      <c r="S925" s="20">
        <f t="shared" si="6"/>
        <v>45625.44141</v>
      </c>
      <c r="T925" s="7"/>
    </row>
    <row r="926" ht="22.5" hidden="1" customHeight="1">
      <c r="B926" s="7">
        <f t="shared" si="7"/>
        <v>920</v>
      </c>
      <c r="C926" s="18" t="s">
        <v>895</v>
      </c>
      <c r="D926" s="19" t="str">
        <f t="array" ref="D926">IFNA(_xlfn.XLOOKUP(C926,Table_Tarikan_Warkah[Nomor Sertipikat],Table_Tarikan_Warkah[Nomor Tiket]),"")</f>
        <v>L/29/251124/1</v>
      </c>
      <c r="E926" s="20" t="str">
        <f t="array" ref="E926">IFNA(_xlfn.XLOOKUP(D926,Table_Tarikan_Warkah[Nomor Tiket],Table_Tarikan_Warkah[Tanggal diserahkan kepada Validator]),"")</f>
        <v/>
      </c>
      <c r="F926" s="20" t="str">
        <f t="array" ref="F926">IFNA(_xlfn.XLOOKUP(D926,Table_Tarikan_Warkah[Nomor Tiket],Table_Tarikan_Warkah[Nama Petugas Warkah]),"")</f>
        <v>Berry</v>
      </c>
      <c r="G926" s="21" t="str">
        <f t="array" ref="G926">IFNA(_xlfn.XLOOKUP(D926,Table_Tarikan_Warkah[Nomor Tiket],Table_Tarikan_Warkah[Jenis Permohonan]),"")</f>
        <v>BN LELANG</v>
      </c>
      <c r="H926" s="22" t="s">
        <v>37</v>
      </c>
      <c r="I926" s="22" t="s">
        <v>32</v>
      </c>
      <c r="J926" s="20">
        <f t="shared" si="29"/>
        <v>45622.66914</v>
      </c>
      <c r="K926" s="22" t="s">
        <v>65</v>
      </c>
      <c r="L926" s="22" t="s">
        <v>32</v>
      </c>
      <c r="M926" s="20">
        <f t="shared" si="30"/>
        <v>45624.65004</v>
      </c>
      <c r="N926" s="8" t="str">
        <f t="shared" si="3"/>
        <v>SELESAI</v>
      </c>
      <c r="O926" s="23">
        <f t="shared" si="22"/>
        <v>45624.65004</v>
      </c>
      <c r="P926" s="24" t="b">
        <v>0</v>
      </c>
      <c r="Q926" s="20" t="str">
        <f t="shared" si="31"/>
        <v/>
      </c>
      <c r="R926" s="24" t="b">
        <v>1</v>
      </c>
      <c r="S926" s="20">
        <f t="shared" si="6"/>
        <v>45625.44141</v>
      </c>
      <c r="T926" s="7"/>
    </row>
    <row r="927" ht="22.5" hidden="1" customHeight="1">
      <c r="B927" s="7">
        <f t="shared" si="7"/>
        <v>921</v>
      </c>
      <c r="C927" s="18" t="s">
        <v>896</v>
      </c>
      <c r="D927" s="19" t="str">
        <f t="array" ref="D927">IFNA(_xlfn.XLOOKUP(C927,Table_Tarikan_Warkah[Nomor Sertipikat],Table_Tarikan_Warkah[Nomor Tiket]),"")</f>
        <v>K/29/221124/3</v>
      </c>
      <c r="E927" s="20" t="str">
        <f t="array" ref="E927">IFNA(_xlfn.XLOOKUP(D927,Table_Tarikan_Warkah[Nomor Tiket],Table_Tarikan_Warkah[Tanggal diserahkan kepada Validator]),"")</f>
        <v/>
      </c>
      <c r="F927" s="20" t="str">
        <f t="array" ref="F927">IFNA(_xlfn.XLOOKUP(D927,Table_Tarikan_Warkah[Nomor Tiket],Table_Tarikan_Warkah[Nama Petugas Warkah]),"")</f>
        <v>David</v>
      </c>
      <c r="G927" s="21" t="str">
        <f t="array" ref="G927">IFNA(_xlfn.XLOOKUP(D927,Table_Tarikan_Warkah[Nomor Tiket],Table_Tarikan_Warkah[Jenis Permohonan]),"")</f>
        <v>Roya</v>
      </c>
      <c r="H927" s="22" t="s">
        <v>37</v>
      </c>
      <c r="I927" s="22" t="s">
        <v>32</v>
      </c>
      <c r="J927" s="20">
        <f t="shared" si="29"/>
        <v>45622.66932</v>
      </c>
      <c r="K927" s="27" t="s">
        <v>65</v>
      </c>
      <c r="L927" s="27" t="s">
        <v>32</v>
      </c>
      <c r="M927" s="20">
        <f t="shared" si="30"/>
        <v>45624.65004</v>
      </c>
      <c r="N927" s="8" t="str">
        <f t="shared" si="3"/>
        <v>SELESAI</v>
      </c>
      <c r="O927" s="23">
        <f t="shared" si="22"/>
        <v>45624.65004</v>
      </c>
      <c r="P927" s="24" t="b">
        <v>0</v>
      </c>
      <c r="Q927" s="20" t="str">
        <f t="shared" si="31"/>
        <v/>
      </c>
      <c r="R927" s="24" t="b">
        <v>1</v>
      </c>
      <c r="S927" s="20">
        <f t="shared" si="6"/>
        <v>45625.44141</v>
      </c>
      <c r="T927" s="7"/>
    </row>
    <row r="928" ht="22.5" hidden="1" customHeight="1">
      <c r="B928" s="7">
        <f t="shared" si="7"/>
        <v>922</v>
      </c>
      <c r="C928" s="18" t="s">
        <v>897</v>
      </c>
      <c r="D928" s="19" t="str">
        <f t="array" ref="D928">IFNA(_xlfn.XLOOKUP(C928,Table_Tarikan_Warkah[Nomor Sertipikat],Table_Tarikan_Warkah[Nomor Tiket]),"")</f>
        <v>K/22/251124/2</v>
      </c>
      <c r="E928" s="20" t="str">
        <f t="array" ref="E928">IFNA(_xlfn.XLOOKUP(D928,Table_Tarikan_Warkah[Nomor Tiket],Table_Tarikan_Warkah[Tanggal diserahkan kepada Validator]),"")</f>
        <v/>
      </c>
      <c r="F928" s="20" t="str">
        <f t="array" ref="F928">IFNA(_xlfn.XLOOKUP(D928,Table_Tarikan_Warkah[Nomor Tiket],Table_Tarikan_Warkah[Nama Petugas Warkah]),"")</f>
        <v/>
      </c>
      <c r="G928" s="21" t="str">
        <f t="array" ref="G928">IFNA(_xlfn.XLOOKUP(D928,Table_Tarikan_Warkah[Nomor Tiket],Table_Tarikan_Warkah[Jenis Permohonan]),"")</f>
        <v>ROYA</v>
      </c>
      <c r="H928" s="22" t="s">
        <v>37</v>
      </c>
      <c r="I928" s="22" t="s">
        <v>32</v>
      </c>
      <c r="J928" s="20">
        <f t="shared" si="29"/>
        <v>45622.66943</v>
      </c>
      <c r="K928" s="22" t="s">
        <v>65</v>
      </c>
      <c r="L928" s="22" t="s">
        <v>32</v>
      </c>
      <c r="M928" s="20">
        <f t="shared" si="30"/>
        <v>45624.65004</v>
      </c>
      <c r="N928" s="8" t="str">
        <f t="shared" si="3"/>
        <v>SELESAI</v>
      </c>
      <c r="O928" s="23">
        <f t="shared" si="22"/>
        <v>45624.65004</v>
      </c>
      <c r="P928" s="24" t="b">
        <v>0</v>
      </c>
      <c r="Q928" s="20" t="str">
        <f t="shared" si="31"/>
        <v/>
      </c>
      <c r="R928" s="24" t="b">
        <v>1</v>
      </c>
      <c r="S928" s="20">
        <f t="shared" si="6"/>
        <v>45625.44144</v>
      </c>
      <c r="T928" s="8" t="s">
        <v>898</v>
      </c>
    </row>
    <row r="929" ht="22.5" hidden="1" customHeight="1">
      <c r="B929" s="7">
        <f t="shared" si="7"/>
        <v>923</v>
      </c>
      <c r="C929" s="18" t="s">
        <v>899</v>
      </c>
      <c r="D929" s="19" t="str">
        <f t="array" ref="D929">IFNA(_xlfn.XLOOKUP(C929,Table_Tarikan_Warkah[Nomor Sertipikat],Table_Tarikan_Warkah[Nomor Tiket]),"")</f>
        <v>K/21/221124/1</v>
      </c>
      <c r="E929" s="20" t="str">
        <f t="array" ref="E929">IFNA(_xlfn.XLOOKUP(D929,Table_Tarikan_Warkah[Nomor Tiket],Table_Tarikan_Warkah[Tanggal diserahkan kepada Validator]),"")</f>
        <v/>
      </c>
      <c r="F929" s="20" t="str">
        <f t="array" ref="F929">IFNA(_xlfn.XLOOKUP(D929,Table_Tarikan_Warkah[Nomor Tiket],Table_Tarikan_Warkah[Nama Petugas Warkah]),"")</f>
        <v/>
      </c>
      <c r="G929" s="21" t="str">
        <f t="array" ref="G929">IFNA(_xlfn.XLOOKUP(D929,Table_Tarikan_Warkah[Nomor Tiket],Table_Tarikan_Warkah[Jenis Permohonan]),"")</f>
        <v>BN Jual Beli</v>
      </c>
      <c r="H929" s="22" t="s">
        <v>37</v>
      </c>
      <c r="I929" s="22" t="s">
        <v>187</v>
      </c>
      <c r="J929" s="20">
        <f t="shared" si="29"/>
        <v>45622.67059</v>
      </c>
      <c r="K929" s="27" t="s">
        <v>33</v>
      </c>
      <c r="L929" s="27" t="s">
        <v>187</v>
      </c>
      <c r="M929" s="20">
        <f t="shared" si="30"/>
        <v>45624.65004</v>
      </c>
      <c r="N929" s="8" t="str">
        <f t="shared" si="3"/>
        <v>Selesai</v>
      </c>
      <c r="O929" s="23">
        <f t="shared" si="22"/>
        <v>45624.65004</v>
      </c>
      <c r="P929" s="24" t="b">
        <v>1</v>
      </c>
      <c r="Q929" s="20">
        <f t="shared" si="31"/>
        <v>45625.44157</v>
      </c>
      <c r="R929" s="24" t="b">
        <v>0</v>
      </c>
      <c r="S929" s="7" t="str">
        <f t="shared" si="6"/>
        <v/>
      </c>
      <c r="T929" s="7"/>
    </row>
    <row r="930" ht="22.5" hidden="1" customHeight="1">
      <c r="B930" s="7">
        <f t="shared" si="7"/>
        <v>924</v>
      </c>
      <c r="C930" s="18" t="s">
        <v>900</v>
      </c>
      <c r="D930" s="19" t="str">
        <f t="array" ref="D930">IFNA(_xlfn.XLOOKUP(C930,Table_Tarikan_Warkah[Nomor Sertipikat],Table_Tarikan_Warkah[Nomor Tiket]),"")</f>
        <v/>
      </c>
      <c r="E930" s="20" t="str">
        <f t="array" ref="E930">IFNA(_xlfn.XLOOKUP(D930,Table_Tarikan_Warkah[Nomor Tiket],Table_Tarikan_Warkah[Tanggal diserahkan kepada Validator]),"")</f>
        <v/>
      </c>
      <c r="F930" s="20" t="str">
        <f t="array" ref="F930">IFNA(_xlfn.XLOOKUP(D930,Table_Tarikan_Warkah[Nomor Tiket],Table_Tarikan_Warkah[Nama Petugas Warkah]),"")</f>
        <v/>
      </c>
      <c r="G930" s="21" t="str">
        <f t="array" ref="G930">IFNA(_xlfn.XLOOKUP(D930,Table_Tarikan_Warkah[Nomor Tiket],Table_Tarikan_Warkah[Jenis Permohonan]),"")</f>
        <v/>
      </c>
      <c r="H930" s="22" t="s">
        <v>37</v>
      </c>
      <c r="I930" s="22" t="s">
        <v>187</v>
      </c>
      <c r="J930" s="20">
        <f t="shared" si="29"/>
        <v>45622.67098</v>
      </c>
      <c r="K930" s="27" t="s">
        <v>33</v>
      </c>
      <c r="L930" s="27" t="s">
        <v>187</v>
      </c>
      <c r="M930" s="20">
        <f t="shared" si="30"/>
        <v>45624.65004</v>
      </c>
      <c r="N930" s="8" t="str">
        <f t="shared" si="3"/>
        <v/>
      </c>
      <c r="O930" s="21" t="str">
        <f t="shared" si="22"/>
        <v/>
      </c>
      <c r="P930" s="24" t="b">
        <v>1</v>
      </c>
      <c r="Q930" s="20">
        <f t="shared" si="31"/>
        <v>45625.44158</v>
      </c>
      <c r="R930" s="24" t="b">
        <v>0</v>
      </c>
      <c r="S930" s="7" t="str">
        <f t="shared" si="6"/>
        <v/>
      </c>
      <c r="T930" s="7"/>
    </row>
    <row r="931" ht="22.5" hidden="1" customHeight="1">
      <c r="B931" s="7">
        <f t="shared" si="7"/>
        <v>925</v>
      </c>
      <c r="C931" s="18" t="s">
        <v>884</v>
      </c>
      <c r="D931" s="19" t="str">
        <f t="array" ref="D931">IFNA(_xlfn.XLOOKUP(C931,Table_Tarikan_Warkah[Nomor Sertipikat],Table_Tarikan_Warkah[Nomor Tiket]),"")</f>
        <v>K/28/221124/2</v>
      </c>
      <c r="E931" s="20" t="str">
        <f t="array" ref="E931">IFNA(_xlfn.XLOOKUP(D931,Table_Tarikan_Warkah[Nomor Tiket],Table_Tarikan_Warkah[Tanggal diserahkan kepada Validator]),"")</f>
        <v/>
      </c>
      <c r="F931" s="20" t="str">
        <f t="array" ref="F931">IFNA(_xlfn.XLOOKUP(D931,Table_Tarikan_Warkah[Nomor Tiket],Table_Tarikan_Warkah[Nama Petugas Warkah]),"")</f>
        <v/>
      </c>
      <c r="G931" s="21" t="str">
        <f t="array" ref="G931">IFNA(_xlfn.XLOOKUP(D931,Table_Tarikan_Warkah[Nomor Tiket],Table_Tarikan_Warkah[Jenis Permohonan]),"")</f>
        <v>Roya</v>
      </c>
      <c r="H931" s="22" t="s">
        <v>37</v>
      </c>
      <c r="I931" s="22" t="s">
        <v>187</v>
      </c>
      <c r="J931" s="20">
        <f t="shared" si="29"/>
        <v>45622.67108</v>
      </c>
      <c r="K931" s="27" t="s">
        <v>33</v>
      </c>
      <c r="L931" s="27" t="s">
        <v>187</v>
      </c>
      <c r="M931" s="20">
        <f t="shared" si="30"/>
        <v>45624.65004</v>
      </c>
      <c r="N931" s="8" t="str">
        <f t="shared" si="3"/>
        <v>Selesai</v>
      </c>
      <c r="O931" s="23">
        <f t="shared" si="22"/>
        <v>45624.65004</v>
      </c>
      <c r="P931" s="24" t="b">
        <v>1</v>
      </c>
      <c r="Q931" s="20">
        <f t="shared" si="31"/>
        <v>45625.44159</v>
      </c>
      <c r="R931" s="24" t="b">
        <v>0</v>
      </c>
      <c r="S931" s="7" t="str">
        <f t="shared" si="6"/>
        <v/>
      </c>
      <c r="T931" s="7"/>
    </row>
    <row r="932" ht="22.5" hidden="1" customHeight="1">
      <c r="B932" s="7">
        <f t="shared" si="7"/>
        <v>926</v>
      </c>
      <c r="C932" s="18" t="s">
        <v>901</v>
      </c>
      <c r="D932" s="19" t="str">
        <f t="array" ref="D932">IFNA(_xlfn.XLOOKUP(C932,Table_Tarikan_Warkah[Nomor Sertipikat],Table_Tarikan_Warkah[Nomor Tiket]),"")</f>
        <v>K/11/111124/1</v>
      </c>
      <c r="E932" s="20">
        <f t="array" ref="E932">IFNA(_xlfn.XLOOKUP(D932,Table_Tarikan_Warkah[Nomor Tiket],Table_Tarikan_Warkah[Tanggal diserahkan kepada Validator]),"")</f>
        <v>45608.44158</v>
      </c>
      <c r="F932" s="20" t="str">
        <f t="array" ref="F932">IFNA(_xlfn.XLOOKUP(D932,Table_Tarikan_Warkah[Nomor Tiket],Table_Tarikan_Warkah[Nama Petugas Warkah]),"")</f>
        <v>Berry</v>
      </c>
      <c r="G932" s="21" t="str">
        <f t="array" ref="G932">IFNA(_xlfn.XLOOKUP(D932,Table_Tarikan_Warkah[Nomor Tiket],Table_Tarikan_Warkah[Jenis Permohonan]),"")</f>
        <v>ROYA</v>
      </c>
      <c r="H932" s="22" t="s">
        <v>37</v>
      </c>
      <c r="I932" s="22" t="s">
        <v>187</v>
      </c>
      <c r="J932" s="20">
        <f t="shared" si="29"/>
        <v>45624.41084</v>
      </c>
      <c r="K932" s="27" t="s">
        <v>33</v>
      </c>
      <c r="L932" s="27" t="s">
        <v>187</v>
      </c>
      <c r="M932" s="20">
        <f t="shared" si="30"/>
        <v>45624.65004</v>
      </c>
      <c r="N932" s="8" t="str">
        <f t="shared" si="3"/>
        <v>Selesai</v>
      </c>
      <c r="O932" s="23">
        <f t="shared" si="22"/>
        <v>45624.65004</v>
      </c>
      <c r="P932" s="24" t="b">
        <v>1</v>
      </c>
      <c r="Q932" s="20">
        <f t="shared" si="31"/>
        <v>45625.44159</v>
      </c>
      <c r="R932" s="24" t="b">
        <v>0</v>
      </c>
      <c r="S932" s="7" t="str">
        <f t="shared" si="6"/>
        <v/>
      </c>
      <c r="T932" s="7"/>
    </row>
    <row r="933" ht="22.5" hidden="1" customHeight="1">
      <c r="B933" s="7">
        <f t="shared" si="7"/>
        <v>927</v>
      </c>
      <c r="C933" s="18" t="s">
        <v>902</v>
      </c>
      <c r="D933" s="19" t="str">
        <f t="array" ref="D933">IFNA(_xlfn.XLOOKUP(C933,Table_Tarikan_Warkah[Nomor Sertipikat],Table_Tarikan_Warkah[Nomor Tiket]),"")</f>
        <v>K/41/121124/2</v>
      </c>
      <c r="E933" s="20" t="str">
        <f t="array" ref="E933">IFNA(_xlfn.XLOOKUP(D933,Table_Tarikan_Warkah[Nomor Tiket],Table_Tarikan_Warkah[Tanggal diserahkan kepada Validator]),"")</f>
        <v/>
      </c>
      <c r="F933" s="20" t="str">
        <f t="array" ref="F933">IFNA(_xlfn.XLOOKUP(D933,Table_Tarikan_Warkah[Nomor Tiket],Table_Tarikan_Warkah[Nama Petugas Warkah]),"")</f>
        <v>Berry</v>
      </c>
      <c r="G933" s="21" t="str">
        <f t="array" ref="G933">IFNA(_xlfn.XLOOKUP(D933,Table_Tarikan_Warkah[Nomor Tiket],Table_Tarikan_Warkah[Jenis Permohonan]),"")</f>
        <v>BN JUAL BELI</v>
      </c>
      <c r="H933" s="22" t="s">
        <v>37</v>
      </c>
      <c r="I933" s="22" t="s">
        <v>187</v>
      </c>
      <c r="J933" s="20">
        <f t="shared" si="29"/>
        <v>45624.41098</v>
      </c>
      <c r="K933" s="27" t="s">
        <v>33</v>
      </c>
      <c r="L933" s="27" t="s">
        <v>187</v>
      </c>
      <c r="M933" s="20">
        <f t="shared" si="30"/>
        <v>45624.65004</v>
      </c>
      <c r="N933" s="8" t="str">
        <f t="shared" si="3"/>
        <v>Selesai</v>
      </c>
      <c r="O933" s="23">
        <f t="shared" si="22"/>
        <v>45624.65004</v>
      </c>
      <c r="P933" s="24" t="b">
        <v>1</v>
      </c>
      <c r="Q933" s="20">
        <f t="shared" si="31"/>
        <v>45625.4416</v>
      </c>
      <c r="R933" s="24" t="b">
        <v>0</v>
      </c>
      <c r="S933" s="7" t="str">
        <f t="shared" si="6"/>
        <v/>
      </c>
      <c r="T933" s="7"/>
    </row>
    <row r="934" ht="22.5" hidden="1" customHeight="1">
      <c r="B934" s="7">
        <f t="shared" si="7"/>
        <v>928</v>
      </c>
      <c r="C934" s="18" t="s">
        <v>903</v>
      </c>
      <c r="D934" s="19" t="str">
        <f t="array" ref="D934">IFNA(_xlfn.XLOOKUP(C934,Table_Tarikan_Warkah[Nomor Sertipikat],Table_Tarikan_Warkah[Nomor Tiket]),"")</f>
        <v>K/2/221124/2</v>
      </c>
      <c r="E934" s="20">
        <f t="array" ref="E934">IFNA(_xlfn.XLOOKUP(D934,Table_Tarikan_Warkah[Nomor Tiket],Table_Tarikan_Warkah[Tanggal diserahkan kepada Validator]),"")</f>
        <v>45622.4265</v>
      </c>
      <c r="F934" s="20" t="str">
        <f t="array" ref="F934">IFNA(_xlfn.XLOOKUP(D934,Table_Tarikan_Warkah[Nomor Tiket],Table_Tarikan_Warkah[Nama Petugas Warkah]),"")</f>
        <v>David</v>
      </c>
      <c r="G934" s="21" t="str">
        <f t="array" ref="G934">IFNA(_xlfn.XLOOKUP(D934,Table_Tarikan_Warkah[Nomor Tiket],Table_Tarikan_Warkah[Jenis Permohonan]),"")</f>
        <v>BN JUAL BELI</v>
      </c>
      <c r="H934" s="22" t="s">
        <v>37</v>
      </c>
      <c r="I934" s="22" t="s">
        <v>187</v>
      </c>
      <c r="J934" s="20">
        <f t="shared" si="29"/>
        <v>45624.41115</v>
      </c>
      <c r="K934" s="27" t="s">
        <v>33</v>
      </c>
      <c r="L934" s="27" t="s">
        <v>187</v>
      </c>
      <c r="M934" s="20">
        <f t="shared" si="30"/>
        <v>45624.65004</v>
      </c>
      <c r="N934" s="8" t="str">
        <f t="shared" si="3"/>
        <v>Selesai</v>
      </c>
      <c r="O934" s="23">
        <f t="shared" si="22"/>
        <v>45624.65004</v>
      </c>
      <c r="P934" s="24" t="b">
        <v>1</v>
      </c>
      <c r="Q934" s="20">
        <f t="shared" si="31"/>
        <v>45625.44161</v>
      </c>
      <c r="R934" s="24" t="b">
        <v>0</v>
      </c>
      <c r="S934" s="7" t="str">
        <f t="shared" si="6"/>
        <v/>
      </c>
      <c r="T934" s="7"/>
    </row>
    <row r="935" ht="22.5" hidden="1" customHeight="1">
      <c r="B935" s="7">
        <f t="shared" si="7"/>
        <v>929</v>
      </c>
      <c r="C935" s="18" t="s">
        <v>904</v>
      </c>
      <c r="D935" s="19" t="str">
        <f t="array" ref="D935">IFNA(_xlfn.XLOOKUP(C935,Table_Tarikan_Warkah[Nomor Sertipikat],Table_Tarikan_Warkah[Nomor Tiket]),"")</f>
        <v>K/29/251024/3</v>
      </c>
      <c r="E935" s="20" t="str">
        <f t="array" ref="E935">IFNA(_xlfn.XLOOKUP(D935,Table_Tarikan_Warkah[Nomor Tiket],Table_Tarikan_Warkah[Tanggal diserahkan kepada Validator]),"")</f>
        <v/>
      </c>
      <c r="F935" s="20" t="str">
        <f t="array" ref="F935">IFNA(_xlfn.XLOOKUP(D935,Table_Tarikan_Warkah[Nomor Tiket],Table_Tarikan_Warkah[Nama Petugas Warkah]),"")</f>
        <v>David</v>
      </c>
      <c r="G935" s="21" t="str">
        <f t="array" ref="G935">IFNA(_xlfn.XLOOKUP(D935,Table_Tarikan_Warkah[Nomor Tiket],Table_Tarikan_Warkah[Jenis Permohonan]),"")</f>
        <v>bn jual beli</v>
      </c>
      <c r="H935" s="22" t="s">
        <v>37</v>
      </c>
      <c r="I935" s="22" t="s">
        <v>187</v>
      </c>
      <c r="J935" s="20">
        <f t="shared" si="29"/>
        <v>45624.41137</v>
      </c>
      <c r="K935" s="27" t="s">
        <v>33</v>
      </c>
      <c r="L935" s="27" t="s">
        <v>187</v>
      </c>
      <c r="M935" s="20">
        <f t="shared" si="30"/>
        <v>45624.65004</v>
      </c>
      <c r="N935" s="8" t="str">
        <f t="shared" si="3"/>
        <v>Selesai</v>
      </c>
      <c r="O935" s="23">
        <f t="shared" si="22"/>
        <v>45624.65004</v>
      </c>
      <c r="P935" s="24" t="b">
        <v>1</v>
      </c>
      <c r="Q935" s="20">
        <f t="shared" si="31"/>
        <v>45625.44163</v>
      </c>
      <c r="R935" s="24" t="b">
        <v>0</v>
      </c>
      <c r="S935" s="7" t="str">
        <f t="shared" si="6"/>
        <v/>
      </c>
      <c r="T935" s="7"/>
    </row>
    <row r="936" ht="22.5" hidden="1" customHeight="1">
      <c r="B936" s="7">
        <f t="shared" si="7"/>
        <v>930</v>
      </c>
      <c r="C936" s="18" t="s">
        <v>905</v>
      </c>
      <c r="D936" s="19" t="str">
        <f t="array" ref="D936">IFNA(_xlfn.XLOOKUP(C936,Table_Tarikan_Warkah[Nomor Sertipikat],Table_Tarikan_Warkah[Nomor Tiket]),"")</f>
        <v>K/28/191124/1</v>
      </c>
      <c r="E936" s="20" t="str">
        <f t="array" ref="E936">IFNA(_xlfn.XLOOKUP(D936,Table_Tarikan_Warkah[Nomor Tiket],Table_Tarikan_Warkah[Tanggal diserahkan kepada Validator]),"")</f>
        <v/>
      </c>
      <c r="F936" s="20" t="str">
        <f t="array" ref="F936">IFNA(_xlfn.XLOOKUP(D936,Table_Tarikan_Warkah[Nomor Tiket],Table_Tarikan_Warkah[Nama Petugas Warkah]),"")</f>
        <v/>
      </c>
      <c r="G936" s="21" t="str">
        <f t="array" ref="G936">IFNA(_xlfn.XLOOKUP(D936,Table_Tarikan_Warkah[Nomor Tiket],Table_Tarikan_Warkah[Jenis Permohonan]),"")</f>
        <v>Ganti Nama</v>
      </c>
      <c r="H936" s="22" t="s">
        <v>37</v>
      </c>
      <c r="I936" s="22" t="s">
        <v>187</v>
      </c>
      <c r="J936" s="20">
        <f t="shared" si="29"/>
        <v>45624.41154</v>
      </c>
      <c r="K936" s="27" t="s">
        <v>33</v>
      </c>
      <c r="L936" s="27" t="s">
        <v>187</v>
      </c>
      <c r="M936" s="20">
        <f t="shared" si="30"/>
        <v>45624.65004</v>
      </c>
      <c r="N936" s="8" t="str">
        <f t="shared" si="3"/>
        <v>Selesai</v>
      </c>
      <c r="O936" s="23">
        <f t="shared" si="22"/>
        <v>45624.65004</v>
      </c>
      <c r="P936" s="24" t="b">
        <v>1</v>
      </c>
      <c r="Q936" s="20">
        <f t="shared" si="31"/>
        <v>45625.44163</v>
      </c>
      <c r="R936" s="24" t="b">
        <v>0</v>
      </c>
      <c r="S936" s="7" t="str">
        <f t="shared" si="6"/>
        <v/>
      </c>
      <c r="T936" s="7"/>
    </row>
    <row r="937" ht="22.5" hidden="1" customHeight="1">
      <c r="B937" s="7">
        <f t="shared" si="7"/>
        <v>931</v>
      </c>
      <c r="C937" s="18" t="s">
        <v>906</v>
      </c>
      <c r="D937" s="19" t="str">
        <f t="array" ref="D937">IFNA(_xlfn.XLOOKUP(C937,Table_Tarikan_Warkah[Nomor Sertipikat],Table_Tarikan_Warkah[Nomor Tiket]),"")</f>
        <v>K/22/221124/1</v>
      </c>
      <c r="E937" s="20">
        <f t="array" ref="E937">IFNA(_xlfn.XLOOKUP(D937,Table_Tarikan_Warkah[Nomor Tiket],Table_Tarikan_Warkah[Tanggal diserahkan kepada Validator]),"")</f>
        <v>45622.42931</v>
      </c>
      <c r="F937" s="20" t="str">
        <f t="array" ref="F937">IFNA(_xlfn.XLOOKUP(D937,Table_Tarikan_Warkah[Nomor Tiket],Table_Tarikan_Warkah[Nama Petugas Warkah]),"")</f>
        <v>David</v>
      </c>
      <c r="G937" s="21" t="str">
        <f t="array" ref="G937">IFNA(_xlfn.XLOOKUP(D937,Table_Tarikan_Warkah[Nomor Tiket],Table_Tarikan_Warkah[Jenis Permohonan]),"")</f>
        <v>BN HIBAH</v>
      </c>
      <c r="H937" s="22" t="s">
        <v>37</v>
      </c>
      <c r="I937" s="22" t="s">
        <v>187</v>
      </c>
      <c r="J937" s="20">
        <f t="shared" si="29"/>
        <v>45624.41165</v>
      </c>
      <c r="K937" s="27" t="s">
        <v>33</v>
      </c>
      <c r="L937" s="27" t="s">
        <v>187</v>
      </c>
      <c r="M937" s="20">
        <f t="shared" si="30"/>
        <v>45624.65004</v>
      </c>
      <c r="N937" s="8" t="str">
        <f t="shared" si="3"/>
        <v>Selesai</v>
      </c>
      <c r="O937" s="23">
        <f t="shared" si="22"/>
        <v>45624.65004</v>
      </c>
      <c r="P937" s="24" t="b">
        <v>1</v>
      </c>
      <c r="Q937" s="20">
        <f t="shared" si="31"/>
        <v>45625.44165</v>
      </c>
      <c r="R937" s="24" t="b">
        <v>0</v>
      </c>
      <c r="S937" s="7" t="str">
        <f t="shared" si="6"/>
        <v/>
      </c>
      <c r="T937" s="7"/>
    </row>
    <row r="938" ht="22.5" hidden="1" customHeight="1">
      <c r="B938" s="7">
        <f t="shared" si="7"/>
        <v>932</v>
      </c>
      <c r="C938" s="18" t="s">
        <v>907</v>
      </c>
      <c r="D938" s="19" t="str">
        <f t="array" ref="D938">IFNA(_xlfn.XLOOKUP(C938,Table_Tarikan_Warkah[Nomor Sertipikat],Table_Tarikan_Warkah[Nomor Tiket]),"")</f>
        <v>K/30/111124/4</v>
      </c>
      <c r="E938" s="20" t="str">
        <f t="array" ref="E938">IFNA(_xlfn.XLOOKUP(D938,Table_Tarikan_Warkah[Nomor Tiket],Table_Tarikan_Warkah[Tanggal diserahkan kepada Validator]),"")</f>
        <v/>
      </c>
      <c r="F938" s="20" t="str">
        <f t="array" ref="F938">IFNA(_xlfn.XLOOKUP(D938,Table_Tarikan_Warkah[Nomor Tiket],Table_Tarikan_Warkah[Nama Petugas Warkah]),"")</f>
        <v>David</v>
      </c>
      <c r="G938" s="21" t="str">
        <f t="array" ref="G938">IFNA(_xlfn.XLOOKUP(D938,Table_Tarikan_Warkah[Nomor Tiket],Table_Tarikan_Warkah[Jenis Permohonan]),"")</f>
        <v>BN Waris</v>
      </c>
      <c r="H938" s="22" t="s">
        <v>37</v>
      </c>
      <c r="I938" s="22" t="s">
        <v>187</v>
      </c>
      <c r="J938" s="20">
        <f t="shared" si="29"/>
        <v>45624.41177</v>
      </c>
      <c r="K938" s="27" t="s">
        <v>33</v>
      </c>
      <c r="L938" s="27" t="s">
        <v>187</v>
      </c>
      <c r="M938" s="20">
        <f t="shared" si="30"/>
        <v>45624.65004</v>
      </c>
      <c r="N938" s="8" t="str">
        <f t="shared" si="3"/>
        <v>Selesai</v>
      </c>
      <c r="O938" s="23">
        <f t="shared" si="22"/>
        <v>45624.65004</v>
      </c>
      <c r="P938" s="24" t="b">
        <v>1</v>
      </c>
      <c r="Q938" s="20">
        <f t="shared" si="31"/>
        <v>45625.44167</v>
      </c>
      <c r="R938" s="24" t="b">
        <v>0</v>
      </c>
      <c r="S938" s="7" t="str">
        <f t="shared" si="6"/>
        <v/>
      </c>
      <c r="T938" s="7"/>
    </row>
    <row r="939" ht="22.5" hidden="1" customHeight="1">
      <c r="B939" s="7">
        <f t="shared" si="7"/>
        <v>933</v>
      </c>
      <c r="C939" s="18" t="s">
        <v>908</v>
      </c>
      <c r="D939" s="19" t="str">
        <f t="array" ref="D939">IFNA(_xlfn.XLOOKUP(C939,Table_Tarikan_Warkah[Nomor Sertipikat],Table_Tarikan_Warkah[Nomor Tiket]),"")</f>
        <v>K/61/151124/2</v>
      </c>
      <c r="E939" s="20" t="str">
        <f t="array" ref="E939">IFNA(_xlfn.XLOOKUP(D939,Table_Tarikan_Warkah[Nomor Tiket],Table_Tarikan_Warkah[Tanggal diserahkan kepada Validator]),"")</f>
        <v/>
      </c>
      <c r="F939" s="20" t="str">
        <f t="array" ref="F939">IFNA(_xlfn.XLOOKUP(D939,Table_Tarikan_Warkah[Nomor Tiket],Table_Tarikan_Warkah[Nama Petugas Warkah]),"")</f>
        <v>Berry</v>
      </c>
      <c r="G939" s="21" t="str">
        <f t="array" ref="G939">IFNA(_xlfn.XLOOKUP(D939,Table_Tarikan_Warkah[Nomor Tiket],Table_Tarikan_Warkah[Jenis Permohonan]),"")</f>
        <v>BN Hibah</v>
      </c>
      <c r="H939" s="22" t="s">
        <v>37</v>
      </c>
      <c r="I939" s="22" t="s">
        <v>187</v>
      </c>
      <c r="J939" s="20">
        <f t="shared" si="29"/>
        <v>45624.41283</v>
      </c>
      <c r="K939" s="27" t="s">
        <v>33</v>
      </c>
      <c r="L939" s="27" t="s">
        <v>187</v>
      </c>
      <c r="M939" s="20">
        <f t="shared" si="30"/>
        <v>45624.65004</v>
      </c>
      <c r="N939" s="8" t="str">
        <f t="shared" si="3"/>
        <v>Selesai</v>
      </c>
      <c r="O939" s="23">
        <f t="shared" si="22"/>
        <v>45624.65004</v>
      </c>
      <c r="P939" s="24" t="b">
        <v>1</v>
      </c>
      <c r="Q939" s="20">
        <f t="shared" si="31"/>
        <v>45625.44168</v>
      </c>
      <c r="R939" s="24" t="b">
        <v>0</v>
      </c>
      <c r="S939" s="7" t="str">
        <f t="shared" si="6"/>
        <v/>
      </c>
      <c r="T939" s="7"/>
    </row>
    <row r="940" ht="22.5" hidden="1" customHeight="1">
      <c r="B940" s="7">
        <f t="shared" si="7"/>
        <v>934</v>
      </c>
      <c r="C940" s="18" t="s">
        <v>909</v>
      </c>
      <c r="D940" s="19" t="str">
        <f t="array" ref="D940">IFNA(_xlfn.XLOOKUP(C940,Table_Tarikan_Warkah[Nomor Sertipikat],Table_Tarikan_Warkah[Nomor Tiket]),"")</f>
        <v>K/52/261124/1</v>
      </c>
      <c r="E940" s="20" t="str">
        <f t="array" ref="E940">IFNA(_xlfn.XLOOKUP(D940,Table_Tarikan_Warkah[Nomor Tiket],Table_Tarikan_Warkah[Tanggal diserahkan kepada Validator]),"")</f>
        <v/>
      </c>
      <c r="F940" s="20" t="str">
        <f t="array" ref="F940">IFNA(_xlfn.XLOOKUP(D940,Table_Tarikan_Warkah[Nomor Tiket],Table_Tarikan_Warkah[Nama Petugas Warkah]),"")</f>
        <v/>
      </c>
      <c r="G940" s="21" t="str">
        <f t="array" ref="G940">IFNA(_xlfn.XLOOKUP(D940,Table_Tarikan_Warkah[Nomor Tiket],Table_Tarikan_Warkah[Jenis Permohonan]),"")</f>
        <v>BN JUAL BELI</v>
      </c>
      <c r="H940" s="22" t="s">
        <v>31</v>
      </c>
      <c r="I940" s="22" t="s">
        <v>32</v>
      </c>
      <c r="J940" s="20">
        <f t="shared" si="29"/>
        <v>45624.68071</v>
      </c>
      <c r="K940" s="22" t="s">
        <v>65</v>
      </c>
      <c r="L940" s="22" t="s">
        <v>32</v>
      </c>
      <c r="M940" s="20">
        <f t="shared" si="30"/>
        <v>45625.4424</v>
      </c>
      <c r="N940" s="8" t="str">
        <f t="shared" si="3"/>
        <v>SELESAI</v>
      </c>
      <c r="O940" s="23">
        <f t="shared" si="22"/>
        <v>45625.4424</v>
      </c>
      <c r="P940" s="24" t="b">
        <v>0</v>
      </c>
      <c r="Q940" s="20" t="str">
        <f t="shared" si="31"/>
        <v/>
      </c>
      <c r="R940" s="24" t="b">
        <v>1</v>
      </c>
      <c r="S940" s="20">
        <f t="shared" si="6"/>
        <v>45625.44178</v>
      </c>
      <c r="T940" s="7"/>
    </row>
    <row r="941" ht="22.5" hidden="1" customHeight="1">
      <c r="B941" s="7">
        <f t="shared" si="7"/>
        <v>935</v>
      </c>
      <c r="C941" s="18" t="s">
        <v>910</v>
      </c>
      <c r="D941" s="19" t="str">
        <f t="array" ref="D941">IFNA(_xlfn.XLOOKUP(C941,Table_Tarikan_Warkah[Nomor Sertipikat],Table_Tarikan_Warkah[Nomor Tiket]),"")</f>
        <v>K/50/261124/1</v>
      </c>
      <c r="E941" s="20" t="str">
        <f t="array" ref="E941">IFNA(_xlfn.XLOOKUP(D941,Table_Tarikan_Warkah[Nomor Tiket],Table_Tarikan_Warkah[Tanggal diserahkan kepada Validator]),"")</f>
        <v/>
      </c>
      <c r="F941" s="20" t="str">
        <f t="array" ref="F941">IFNA(_xlfn.XLOOKUP(D941,Table_Tarikan_Warkah[Nomor Tiket],Table_Tarikan_Warkah[Nama Petugas Warkah]),"")</f>
        <v>Berry</v>
      </c>
      <c r="G941" s="21" t="str">
        <f t="array" ref="G941">IFNA(_xlfn.XLOOKUP(D941,Table_Tarikan_Warkah[Nomor Tiket],Table_Tarikan_Warkah[Jenis Permohonan]),"")</f>
        <v>BN JUAL BELI</v>
      </c>
      <c r="H941" s="22" t="s">
        <v>31</v>
      </c>
      <c r="I941" s="22" t="s">
        <v>32</v>
      </c>
      <c r="J941" s="20">
        <f t="shared" si="29"/>
        <v>45624.68076</v>
      </c>
      <c r="K941" s="22" t="s">
        <v>65</v>
      </c>
      <c r="L941" s="22" t="s">
        <v>32</v>
      </c>
      <c r="M941" s="20">
        <f t="shared" si="30"/>
        <v>45625.4424</v>
      </c>
      <c r="N941" s="8" t="str">
        <f t="shared" si="3"/>
        <v>SELESAI</v>
      </c>
      <c r="O941" s="23">
        <f t="shared" si="22"/>
        <v>45625.4424</v>
      </c>
      <c r="P941" s="24" t="b">
        <v>0</v>
      </c>
      <c r="Q941" s="20" t="str">
        <f t="shared" si="31"/>
        <v/>
      </c>
      <c r="R941" s="24" t="b">
        <v>1</v>
      </c>
      <c r="S941" s="20">
        <f t="shared" si="6"/>
        <v>45625.44178</v>
      </c>
      <c r="T941" s="7"/>
    </row>
    <row r="942" ht="22.5" hidden="1" customHeight="1">
      <c r="B942" s="7">
        <f t="shared" si="7"/>
        <v>936</v>
      </c>
      <c r="C942" s="18" t="s">
        <v>911</v>
      </c>
      <c r="D942" s="19" t="str">
        <f t="array" ref="D942">IFNA(_xlfn.XLOOKUP(C942,Table_Tarikan_Warkah[Nomor Sertipikat],Table_Tarikan_Warkah[Nomor Tiket]),"")</f>
        <v>K/48/261124/1</v>
      </c>
      <c r="E942" s="20" t="str">
        <f t="array" ref="E942">IFNA(_xlfn.XLOOKUP(D942,Table_Tarikan_Warkah[Nomor Tiket],Table_Tarikan_Warkah[Tanggal diserahkan kepada Validator]),"")</f>
        <v/>
      </c>
      <c r="F942" s="20" t="str">
        <f t="array" ref="F942">IFNA(_xlfn.XLOOKUP(D942,Table_Tarikan_Warkah[Nomor Tiket],Table_Tarikan_Warkah[Nama Petugas Warkah]),"")</f>
        <v/>
      </c>
      <c r="G942" s="21" t="str">
        <f t="array" ref="G942">IFNA(_xlfn.XLOOKUP(D942,Table_Tarikan_Warkah[Nomor Tiket],Table_Tarikan_Warkah[Jenis Permohonan]),"")</f>
        <v>BN Jual Beli</v>
      </c>
      <c r="H942" s="22" t="s">
        <v>31</v>
      </c>
      <c r="I942" s="22" t="s">
        <v>32</v>
      </c>
      <c r="J942" s="20">
        <f t="shared" si="29"/>
        <v>45624.68076</v>
      </c>
      <c r="K942" s="22" t="s">
        <v>65</v>
      </c>
      <c r="L942" s="22" t="s">
        <v>32</v>
      </c>
      <c r="M942" s="20">
        <f t="shared" si="30"/>
        <v>45625.4424</v>
      </c>
      <c r="N942" s="8" t="str">
        <f t="shared" si="3"/>
        <v>SELESAI</v>
      </c>
      <c r="O942" s="23">
        <f t="shared" si="22"/>
        <v>45625.4424</v>
      </c>
      <c r="P942" s="24" t="b">
        <v>0</v>
      </c>
      <c r="Q942" s="20" t="str">
        <f t="shared" si="31"/>
        <v/>
      </c>
      <c r="R942" s="24" t="b">
        <v>1</v>
      </c>
      <c r="S942" s="20">
        <f t="shared" si="6"/>
        <v>45625.44178</v>
      </c>
      <c r="T942" s="7"/>
    </row>
    <row r="943" ht="22.5" hidden="1" customHeight="1">
      <c r="B943" s="7">
        <f t="shared" si="7"/>
        <v>937</v>
      </c>
      <c r="C943" s="18" t="s">
        <v>912</v>
      </c>
      <c r="D943" s="19" t="str">
        <f t="array" ref="D943">IFNA(_xlfn.XLOOKUP(C943,Table_Tarikan_Warkah[Nomor Sertipikat],Table_Tarikan_Warkah[Nomor Tiket]),"")</f>
        <v>K/49/261124/2</v>
      </c>
      <c r="E943" s="20" t="str">
        <f t="array" ref="E943">IFNA(_xlfn.XLOOKUP(D943,Table_Tarikan_Warkah[Nomor Tiket],Table_Tarikan_Warkah[Tanggal diserahkan kepada Validator]),"")</f>
        <v/>
      </c>
      <c r="F943" s="20" t="str">
        <f t="array" ref="F943">IFNA(_xlfn.XLOOKUP(D943,Table_Tarikan_Warkah[Nomor Tiket],Table_Tarikan_Warkah[Nama Petugas Warkah]),"")</f>
        <v/>
      </c>
      <c r="G943" s="21" t="str">
        <f t="array" ref="G943">IFNA(_xlfn.XLOOKUP(D943,Table_Tarikan_Warkah[Nomor Tiket],Table_Tarikan_Warkah[Jenis Permohonan]),"")</f>
        <v>BN Jual Beli</v>
      </c>
      <c r="H943" s="22" t="s">
        <v>31</v>
      </c>
      <c r="I943" s="22" t="s">
        <v>32</v>
      </c>
      <c r="J943" s="20">
        <f t="shared" si="29"/>
        <v>45624.68076</v>
      </c>
      <c r="K943" s="27" t="s">
        <v>65</v>
      </c>
      <c r="L943" s="27" t="s">
        <v>32</v>
      </c>
      <c r="M943" s="20">
        <f t="shared" si="30"/>
        <v>45625.4424</v>
      </c>
      <c r="N943" s="8" t="str">
        <f t="shared" si="3"/>
        <v>SELESAI</v>
      </c>
      <c r="O943" s="23">
        <f t="shared" si="22"/>
        <v>45625.4424</v>
      </c>
      <c r="P943" s="24" t="b">
        <v>0</v>
      </c>
      <c r="Q943" s="20" t="str">
        <f t="shared" si="31"/>
        <v/>
      </c>
      <c r="R943" s="24" t="b">
        <v>1</v>
      </c>
      <c r="S943" s="20">
        <f t="shared" si="6"/>
        <v>45625.44178</v>
      </c>
      <c r="T943" s="7"/>
    </row>
    <row r="944" ht="22.5" hidden="1" customHeight="1">
      <c r="B944" s="7">
        <f t="shared" si="7"/>
        <v>938</v>
      </c>
      <c r="C944" s="18" t="s">
        <v>913</v>
      </c>
      <c r="D944" s="19" t="str">
        <f t="array" ref="D944">IFNA(_xlfn.XLOOKUP(C944,Table_Tarikan_Warkah[Nomor Sertipikat],Table_Tarikan_Warkah[Nomor Tiket]),"")</f>
        <v>K/52/051124/2</v>
      </c>
      <c r="E944" s="20" t="str">
        <f t="array" ref="E944">IFNA(_xlfn.XLOOKUP(D944,Table_Tarikan_Warkah[Nomor Tiket],Table_Tarikan_Warkah[Tanggal diserahkan kepada Validator]),"")</f>
        <v/>
      </c>
      <c r="F944" s="20" t="str">
        <f t="array" ref="F944">IFNA(_xlfn.XLOOKUP(D944,Table_Tarikan_Warkah[Nomor Tiket],Table_Tarikan_Warkah[Nama Petugas Warkah]),"")</f>
        <v/>
      </c>
      <c r="G944" s="21" t="str">
        <f t="array" ref="G944">IFNA(_xlfn.XLOOKUP(D944,Table_Tarikan_Warkah[Nomor Tiket],Table_Tarikan_Warkah[Jenis Permohonan]),"")</f>
        <v>PLOTTING</v>
      </c>
      <c r="H944" s="22" t="s">
        <v>31</v>
      </c>
      <c r="I944" s="22" t="s">
        <v>32</v>
      </c>
      <c r="J944" s="20">
        <f t="shared" si="29"/>
        <v>45624.68076</v>
      </c>
      <c r="K944" s="22" t="s">
        <v>65</v>
      </c>
      <c r="L944" s="22" t="s">
        <v>32</v>
      </c>
      <c r="M944" s="20">
        <f t="shared" si="30"/>
        <v>45625.4424</v>
      </c>
      <c r="N944" s="8" t="str">
        <f t="shared" si="3"/>
        <v>SELESAI</v>
      </c>
      <c r="O944" s="23">
        <f t="shared" si="22"/>
        <v>45625.4424</v>
      </c>
      <c r="P944" s="24" t="b">
        <v>0</v>
      </c>
      <c r="Q944" s="20" t="str">
        <f t="shared" si="31"/>
        <v/>
      </c>
      <c r="R944" s="24" t="b">
        <v>1</v>
      </c>
      <c r="S944" s="20">
        <f t="shared" si="6"/>
        <v>45625.44185</v>
      </c>
      <c r="T944" s="7"/>
    </row>
    <row r="945" ht="22.5" hidden="1" customHeight="1">
      <c r="B945" s="7">
        <f t="shared" si="7"/>
        <v>939</v>
      </c>
      <c r="C945" s="18" t="s">
        <v>914</v>
      </c>
      <c r="D945" s="19" t="str">
        <f t="array" ref="D945">IFNA(_xlfn.XLOOKUP(C945,Table_Tarikan_Warkah[Nomor Sertipikat],Table_Tarikan_Warkah[Nomor Tiket]),"")</f>
        <v>K/25/261124/3</v>
      </c>
      <c r="E945" s="20">
        <f t="array" ref="E945">IFNA(_xlfn.XLOOKUP(D945,Table_Tarikan_Warkah[Nomor Tiket],Table_Tarikan_Warkah[Tanggal diserahkan kepada Validator]),"")</f>
        <v>45628.41237</v>
      </c>
      <c r="F945" s="20" t="str">
        <f t="array" ref="F945">IFNA(_xlfn.XLOOKUP(D945,Table_Tarikan_Warkah[Nomor Tiket],Table_Tarikan_Warkah[Nama Petugas Warkah]),"")</f>
        <v>David</v>
      </c>
      <c r="G945" s="21" t="str">
        <f t="array" ref="G945">IFNA(_xlfn.XLOOKUP(D945,Table_Tarikan_Warkah[Nomor Tiket],Table_Tarikan_Warkah[Jenis Permohonan]),"")</f>
        <v>PERUBAHAN HAK</v>
      </c>
      <c r="H945" s="22" t="s">
        <v>31</v>
      </c>
      <c r="I945" s="22" t="s">
        <v>32</v>
      </c>
      <c r="J945" s="20">
        <f t="shared" si="29"/>
        <v>45624.68076</v>
      </c>
      <c r="K945" s="27" t="s">
        <v>65</v>
      </c>
      <c r="L945" s="27" t="s">
        <v>32</v>
      </c>
      <c r="M945" s="20">
        <f t="shared" si="30"/>
        <v>45625.46185</v>
      </c>
      <c r="N945" s="8" t="str">
        <f t="shared" si="3"/>
        <v>SELESAI</v>
      </c>
      <c r="O945" s="23">
        <f t="shared" si="22"/>
        <v>45625.46185</v>
      </c>
      <c r="P945" s="24" t="b">
        <v>0</v>
      </c>
      <c r="Q945" s="20" t="str">
        <f t="shared" si="31"/>
        <v/>
      </c>
      <c r="R945" s="24" t="b">
        <v>1</v>
      </c>
      <c r="S945" s="20">
        <f t="shared" si="6"/>
        <v>45625.44185</v>
      </c>
      <c r="T945" s="7"/>
    </row>
    <row r="946" ht="22.5" hidden="1" customHeight="1">
      <c r="B946" s="7">
        <f t="shared" si="7"/>
        <v>940</v>
      </c>
      <c r="C946" s="18" t="s">
        <v>915</v>
      </c>
      <c r="D946" s="19" t="str">
        <f t="array" ref="D946">IFNA(_xlfn.XLOOKUP(C946,Table_Tarikan_Warkah[Nomor Sertipikat],Table_Tarikan_Warkah[Nomor Tiket]),"")</f>
        <v>K/24/261124/2</v>
      </c>
      <c r="E946" s="20" t="str">
        <f t="array" ref="E946">IFNA(_xlfn.XLOOKUP(D946,Table_Tarikan_Warkah[Nomor Tiket],Table_Tarikan_Warkah[Tanggal diserahkan kepada Validator]),"")</f>
        <v/>
      </c>
      <c r="F946" s="20" t="str">
        <f t="array" ref="F946">IFNA(_xlfn.XLOOKUP(D946,Table_Tarikan_Warkah[Nomor Tiket],Table_Tarikan_Warkah[Nama Petugas Warkah]),"")</f>
        <v/>
      </c>
      <c r="G946" s="21" t="str">
        <f t="array" ref="G946">IFNA(_xlfn.XLOOKUP(D946,Table_Tarikan_Warkah[Nomor Tiket],Table_Tarikan_Warkah[Jenis Permohonan]),"")</f>
        <v>BN JUAL BELI</v>
      </c>
      <c r="H946" s="22" t="s">
        <v>31</v>
      </c>
      <c r="I946" s="22" t="s">
        <v>32</v>
      </c>
      <c r="J946" s="20">
        <f t="shared" si="29"/>
        <v>45624.68076</v>
      </c>
      <c r="K946" s="22" t="s">
        <v>65</v>
      </c>
      <c r="L946" s="22" t="s">
        <v>32</v>
      </c>
      <c r="M946" s="20">
        <f t="shared" si="30"/>
        <v>45625.46185</v>
      </c>
      <c r="N946" s="8" t="str">
        <f t="shared" si="3"/>
        <v>SELESAI</v>
      </c>
      <c r="O946" s="23">
        <f t="shared" si="22"/>
        <v>45625.46185</v>
      </c>
      <c r="P946" s="24" t="b">
        <v>0</v>
      </c>
      <c r="Q946" s="20" t="str">
        <f t="shared" si="31"/>
        <v/>
      </c>
      <c r="R946" s="24" t="b">
        <v>1</v>
      </c>
      <c r="S946" s="20">
        <f t="shared" si="6"/>
        <v>45625.44185</v>
      </c>
      <c r="T946" s="7"/>
    </row>
    <row r="947" ht="22.5" hidden="1" customHeight="1">
      <c r="B947" s="7">
        <f t="shared" si="7"/>
        <v>941</v>
      </c>
      <c r="C947" s="18" t="s">
        <v>916</v>
      </c>
      <c r="D947" s="19" t="str">
        <f t="array" ref="D947">IFNA(_xlfn.XLOOKUP(C947,Table_Tarikan_Warkah[Nomor Sertipikat],Table_Tarikan_Warkah[Nomor Tiket]),"")</f>
        <v>K/26/221124/1</v>
      </c>
      <c r="E947" s="20">
        <f t="array" ref="E947">IFNA(_xlfn.XLOOKUP(D947,Table_Tarikan_Warkah[Nomor Tiket],Table_Tarikan_Warkah[Tanggal diserahkan kepada Validator]),"")</f>
        <v>45622.43002</v>
      </c>
      <c r="F947" s="20" t="str">
        <f t="array" ref="F947">IFNA(_xlfn.XLOOKUP(D947,Table_Tarikan_Warkah[Nomor Tiket],Table_Tarikan_Warkah[Nama Petugas Warkah]),"")</f>
        <v>David</v>
      </c>
      <c r="G947" s="21" t="str">
        <f t="array" ref="G947">IFNA(_xlfn.XLOOKUP(D947,Table_Tarikan_Warkah[Nomor Tiket],Table_Tarikan_Warkah[Jenis Permohonan]),"")</f>
        <v>BN JUAL BELI</v>
      </c>
      <c r="H947" s="22" t="s">
        <v>31</v>
      </c>
      <c r="I947" s="22" t="s">
        <v>187</v>
      </c>
      <c r="J947" s="20">
        <f t="shared" si="29"/>
        <v>45624.68079</v>
      </c>
      <c r="K947" s="27" t="s">
        <v>33</v>
      </c>
      <c r="L947" s="27" t="s">
        <v>187</v>
      </c>
      <c r="M947" s="20">
        <f t="shared" si="30"/>
        <v>45625.44216</v>
      </c>
      <c r="N947" s="8" t="str">
        <f t="shared" si="3"/>
        <v>Selesai</v>
      </c>
      <c r="O947" s="23">
        <f t="shared" si="22"/>
        <v>45625.44216</v>
      </c>
      <c r="P947" s="24" t="b">
        <v>1</v>
      </c>
      <c r="Q947" s="20">
        <f t="shared" si="31"/>
        <v>45625.44193</v>
      </c>
      <c r="R947" s="24" t="b">
        <v>0</v>
      </c>
      <c r="S947" s="7" t="str">
        <f t="shared" si="6"/>
        <v/>
      </c>
      <c r="T947" s="7"/>
    </row>
    <row r="948" ht="22.5" hidden="1" customHeight="1">
      <c r="B948" s="7">
        <f t="shared" si="7"/>
        <v>942</v>
      </c>
      <c r="C948" s="18" t="s">
        <v>879</v>
      </c>
      <c r="D948" s="19" t="str">
        <f t="array" ref="D948">IFNA(_xlfn.XLOOKUP(C948,Table_Tarikan_Warkah[Nomor Sertipikat],Table_Tarikan_Warkah[Nomor Tiket]),"")</f>
        <v>K/12/221124/2</v>
      </c>
      <c r="E948" s="20" t="str">
        <f t="array" ref="E948">IFNA(_xlfn.XLOOKUP(D948,Table_Tarikan_Warkah[Nomor Tiket],Table_Tarikan_Warkah[Tanggal diserahkan kepada Validator]),"")</f>
        <v/>
      </c>
      <c r="F948" s="20" t="str">
        <f t="array" ref="F948">IFNA(_xlfn.XLOOKUP(D948,Table_Tarikan_Warkah[Nomor Tiket],Table_Tarikan_Warkah[Nama Petugas Warkah]),"")</f>
        <v/>
      </c>
      <c r="G948" s="21" t="str">
        <f t="array" ref="G948">IFNA(_xlfn.XLOOKUP(D948,Table_Tarikan_Warkah[Nomor Tiket],Table_Tarikan_Warkah[Jenis Permohonan]),"")</f>
        <v>BN JUAL BELI</v>
      </c>
      <c r="H948" s="22" t="s">
        <v>31</v>
      </c>
      <c r="I948" s="22" t="s">
        <v>187</v>
      </c>
      <c r="J948" s="20">
        <f t="shared" si="29"/>
        <v>45624.68081</v>
      </c>
      <c r="K948" s="27" t="s">
        <v>33</v>
      </c>
      <c r="L948" s="27" t="s">
        <v>187</v>
      </c>
      <c r="M948" s="20">
        <f t="shared" si="30"/>
        <v>45625.44216</v>
      </c>
      <c r="N948" s="8" t="str">
        <f t="shared" si="3"/>
        <v>Selesai</v>
      </c>
      <c r="O948" s="23">
        <f t="shared" si="22"/>
        <v>45625.44216</v>
      </c>
      <c r="P948" s="24" t="b">
        <v>1</v>
      </c>
      <c r="Q948" s="20">
        <f t="shared" si="31"/>
        <v>45625.44195</v>
      </c>
      <c r="R948" s="24" t="b">
        <v>0</v>
      </c>
      <c r="S948" s="7" t="str">
        <f t="shared" si="6"/>
        <v/>
      </c>
      <c r="T948" s="7"/>
    </row>
    <row r="949" ht="22.5" hidden="1" customHeight="1">
      <c r="B949" s="7">
        <f t="shared" si="7"/>
        <v>943</v>
      </c>
      <c r="C949" s="18" t="s">
        <v>894</v>
      </c>
      <c r="D949" s="19" t="str">
        <f t="array" ref="D949">IFNA(_xlfn.XLOOKUP(C949,Table_Tarikan_Warkah[Nomor Sertipikat],Table_Tarikan_Warkah[Nomor Tiket]),"")</f>
        <v>K/32/251124/1</v>
      </c>
      <c r="E949" s="20" t="str">
        <f t="array" ref="E949">IFNA(_xlfn.XLOOKUP(D949,Table_Tarikan_Warkah[Nomor Tiket],Table_Tarikan_Warkah[Tanggal diserahkan kepada Validator]),"")</f>
        <v/>
      </c>
      <c r="F949" s="20" t="str">
        <f t="array" ref="F949">IFNA(_xlfn.XLOOKUP(D949,Table_Tarikan_Warkah[Nomor Tiket],Table_Tarikan_Warkah[Nama Petugas Warkah]),"")</f>
        <v/>
      </c>
      <c r="G949" s="21" t="str">
        <f t="array" ref="G949">IFNA(_xlfn.XLOOKUP(D949,Table_Tarikan_Warkah[Nomor Tiket],Table_Tarikan_Warkah[Jenis Permohonan]),"")</f>
        <v>BN Jual Beli</v>
      </c>
      <c r="H949" s="22" t="s">
        <v>31</v>
      </c>
      <c r="I949" s="22" t="s">
        <v>187</v>
      </c>
      <c r="J949" s="20">
        <f t="shared" si="29"/>
        <v>45624.68081</v>
      </c>
      <c r="K949" s="27" t="s">
        <v>33</v>
      </c>
      <c r="L949" s="27" t="s">
        <v>187</v>
      </c>
      <c r="M949" s="20">
        <f t="shared" si="30"/>
        <v>45625.44216</v>
      </c>
      <c r="N949" s="8" t="str">
        <f t="shared" si="3"/>
        <v>Selesai</v>
      </c>
      <c r="O949" s="23">
        <f t="shared" si="22"/>
        <v>45625.44216</v>
      </c>
      <c r="P949" s="24" t="b">
        <v>1</v>
      </c>
      <c r="Q949" s="20">
        <f t="shared" si="31"/>
        <v>45625.44195</v>
      </c>
      <c r="R949" s="24" t="b">
        <v>0</v>
      </c>
      <c r="S949" s="7" t="str">
        <f t="shared" si="6"/>
        <v/>
      </c>
      <c r="T949" s="7"/>
    </row>
    <row r="950" ht="22.5" hidden="1" customHeight="1">
      <c r="B950" s="7">
        <f t="shared" si="7"/>
        <v>944</v>
      </c>
      <c r="C950" s="18" t="s">
        <v>917</v>
      </c>
      <c r="D950" s="19" t="str">
        <f t="array" ref="D950">IFNA(_xlfn.XLOOKUP(C950,Table_Tarikan_Warkah[Nomor Sertipikat],Table_Tarikan_Warkah[Nomor Tiket]),"")</f>
        <v>K/36/131124/1</v>
      </c>
      <c r="E950" s="20" t="str">
        <f t="array" ref="E950">IFNA(_xlfn.XLOOKUP(D950,Table_Tarikan_Warkah[Nomor Tiket],Table_Tarikan_Warkah[Tanggal diserahkan kepada Validator]),"")</f>
        <v/>
      </c>
      <c r="F950" s="20" t="str">
        <f t="array" ref="F950">IFNA(_xlfn.XLOOKUP(D950,Table_Tarikan_Warkah[Nomor Tiket],Table_Tarikan_Warkah[Nama Petugas Warkah]),"")</f>
        <v>David</v>
      </c>
      <c r="G950" s="21" t="str">
        <f t="array" ref="G950">IFNA(_xlfn.XLOOKUP(D950,Table_Tarikan_Warkah[Nomor Tiket],Table_Tarikan_Warkah[Jenis Permohonan]),"")</f>
        <v>BN Jual Beli</v>
      </c>
      <c r="H950" s="22" t="s">
        <v>31</v>
      </c>
      <c r="I950" s="22" t="s">
        <v>187</v>
      </c>
      <c r="J950" s="20">
        <f t="shared" si="29"/>
        <v>45624.68081</v>
      </c>
      <c r="K950" s="27" t="s">
        <v>33</v>
      </c>
      <c r="L950" s="27" t="s">
        <v>187</v>
      </c>
      <c r="M950" s="20">
        <f t="shared" si="30"/>
        <v>45625.44216</v>
      </c>
      <c r="N950" s="8" t="str">
        <f t="shared" si="3"/>
        <v>Selesai</v>
      </c>
      <c r="O950" s="23">
        <f t="shared" si="22"/>
        <v>45625.44216</v>
      </c>
      <c r="P950" s="24" t="b">
        <v>1</v>
      </c>
      <c r="Q950" s="20">
        <f t="shared" si="31"/>
        <v>45625.44196</v>
      </c>
      <c r="R950" s="24" t="b">
        <v>0</v>
      </c>
      <c r="S950" s="7" t="str">
        <f t="shared" si="6"/>
        <v/>
      </c>
      <c r="T950" s="7"/>
    </row>
    <row r="951" ht="22.5" hidden="1" customHeight="1">
      <c r="B951" s="7">
        <f t="shared" si="7"/>
        <v>945</v>
      </c>
      <c r="C951" s="18" t="s">
        <v>918</v>
      </c>
      <c r="D951" s="7" t="s">
        <v>814</v>
      </c>
      <c r="E951" s="20">
        <f t="array" ref="E951">IFNA(_xlfn.XLOOKUP(D951,Table_Tarikan_Warkah[Nomor Tiket],Table_Tarikan_Warkah[Tanggal diserahkan kepada Validator]),"")</f>
        <v>45617.68316</v>
      </c>
      <c r="F951" s="20" t="str">
        <f t="array" ref="F951">IFNA(_xlfn.XLOOKUP(D951,Table_Tarikan_Warkah[Nomor Tiket],Table_Tarikan_Warkah[Nama Petugas Warkah]),"")</f>
        <v>David</v>
      </c>
      <c r="G951" s="21" t="str">
        <f t="array" ref="G951">IFNA(_xlfn.XLOOKUP(D951,Table_Tarikan_Warkah[Nomor Tiket],Table_Tarikan_Warkah[Jenis Permohonan]),"")</f>
        <v>BN Jual Beli</v>
      </c>
      <c r="H951" s="22" t="s">
        <v>31</v>
      </c>
      <c r="I951" s="22" t="s">
        <v>187</v>
      </c>
      <c r="J951" s="20">
        <f t="shared" si="29"/>
        <v>45624.68081</v>
      </c>
      <c r="K951" s="27" t="s">
        <v>33</v>
      </c>
      <c r="L951" s="27" t="s">
        <v>187</v>
      </c>
      <c r="M951" s="20">
        <f t="shared" si="30"/>
        <v>45625.44216</v>
      </c>
      <c r="N951" s="8" t="str">
        <f t="shared" si="3"/>
        <v>Selesai</v>
      </c>
      <c r="O951" s="23">
        <f t="shared" si="22"/>
        <v>45625.44216</v>
      </c>
      <c r="P951" s="24" t="b">
        <v>1</v>
      </c>
      <c r="Q951" s="20">
        <f t="shared" si="31"/>
        <v>45625.44197</v>
      </c>
      <c r="R951" s="24" t="b">
        <v>0</v>
      </c>
      <c r="S951" s="7" t="str">
        <f t="shared" si="6"/>
        <v/>
      </c>
      <c r="T951" s="7"/>
    </row>
    <row r="952" ht="22.5" hidden="1" customHeight="1">
      <c r="B952" s="7">
        <f t="shared" si="7"/>
        <v>946</v>
      </c>
      <c r="C952" s="18" t="s">
        <v>919</v>
      </c>
      <c r="D952" s="19" t="str">
        <f t="array" ref="D952">IFNA(_xlfn.XLOOKUP(C952,Table_Tarikan_Warkah[Nomor Sertipikat],Table_Tarikan_Warkah[Nomor Tiket]),"")</f>
        <v>K/2/261124/1</v>
      </c>
      <c r="E952" s="20" t="str">
        <f t="array" ref="E952">IFNA(_xlfn.XLOOKUP(D952,Table_Tarikan_Warkah[Nomor Tiket],Table_Tarikan_Warkah[Tanggal diserahkan kepada Validator]),"")</f>
        <v/>
      </c>
      <c r="F952" s="20" t="str">
        <f t="array" ref="F952">IFNA(_xlfn.XLOOKUP(D952,Table_Tarikan_Warkah[Nomor Tiket],Table_Tarikan_Warkah[Nama Petugas Warkah]),"")</f>
        <v/>
      </c>
      <c r="G952" s="21" t="str">
        <f t="array" ref="G952">IFNA(_xlfn.XLOOKUP(D952,Table_Tarikan_Warkah[Nomor Tiket],Table_Tarikan_Warkah[Jenis Permohonan]),"")</f>
        <v>BN JUAL BELI</v>
      </c>
      <c r="H952" s="22" t="s">
        <v>37</v>
      </c>
      <c r="I952" s="22" t="s">
        <v>32</v>
      </c>
      <c r="J952" s="20">
        <f t="shared" si="29"/>
        <v>45625.45251</v>
      </c>
      <c r="K952" s="22" t="s">
        <v>65</v>
      </c>
      <c r="L952" s="22" t="s">
        <v>32</v>
      </c>
      <c r="M952" s="20">
        <f t="shared" si="30"/>
        <v>45625.61984</v>
      </c>
      <c r="N952" s="8" t="str">
        <f t="shared" si="3"/>
        <v>SELESAI</v>
      </c>
      <c r="O952" s="23">
        <f t="shared" si="22"/>
        <v>45625.61984</v>
      </c>
      <c r="P952" s="24" t="b">
        <v>0</v>
      </c>
      <c r="Q952" s="20" t="str">
        <f t="shared" si="31"/>
        <v/>
      </c>
      <c r="R952" s="24" t="b">
        <v>1</v>
      </c>
      <c r="S952" s="20">
        <f t="shared" si="6"/>
        <v>45625.6203</v>
      </c>
      <c r="T952" s="7"/>
    </row>
    <row r="953" ht="22.5" hidden="1" customHeight="1">
      <c r="B953" s="7">
        <f t="shared" si="7"/>
        <v>947</v>
      </c>
      <c r="C953" s="18" t="s">
        <v>920</v>
      </c>
      <c r="D953" s="19" t="str">
        <f t="array" ref="D953">IFNA(_xlfn.XLOOKUP(C953,Table_Tarikan_Warkah[Nomor Sertipikat],Table_Tarikan_Warkah[Nomor Tiket]),"")</f>
        <v>K/18/261124/1</v>
      </c>
      <c r="E953" s="20" t="str">
        <f t="array" ref="E953">IFNA(_xlfn.XLOOKUP(D953,Table_Tarikan_Warkah[Nomor Tiket],Table_Tarikan_Warkah[Tanggal diserahkan kepada Validator]),"")</f>
        <v/>
      </c>
      <c r="F953" s="20" t="str">
        <f t="array" ref="F953">IFNA(_xlfn.XLOOKUP(D953,Table_Tarikan_Warkah[Nomor Tiket],Table_Tarikan_Warkah[Nama Petugas Warkah]),"")</f>
        <v/>
      </c>
      <c r="G953" s="21" t="str">
        <f t="array" ref="G953">IFNA(_xlfn.XLOOKUP(D953,Table_Tarikan_Warkah[Nomor Tiket],Table_Tarikan_Warkah[Jenis Permohonan]),"")</f>
        <v>BN Jual Beli</v>
      </c>
      <c r="H953" s="22" t="s">
        <v>37</v>
      </c>
      <c r="I953" s="22" t="s">
        <v>32</v>
      </c>
      <c r="J953" s="20">
        <f t="shared" si="29"/>
        <v>45625.4526</v>
      </c>
      <c r="K953" s="22" t="s">
        <v>65</v>
      </c>
      <c r="L953" s="22" t="s">
        <v>32</v>
      </c>
      <c r="M953" s="20">
        <f t="shared" si="30"/>
        <v>45625.61984</v>
      </c>
      <c r="N953" s="8" t="str">
        <f t="shared" si="3"/>
        <v>SELESAI</v>
      </c>
      <c r="O953" s="23">
        <f t="shared" si="22"/>
        <v>45625.61984</v>
      </c>
      <c r="P953" s="24" t="b">
        <v>0</v>
      </c>
      <c r="Q953" s="20" t="str">
        <f t="shared" si="31"/>
        <v/>
      </c>
      <c r="R953" s="24" t="b">
        <v>1</v>
      </c>
      <c r="S953" s="20">
        <f t="shared" si="6"/>
        <v>45625.6203</v>
      </c>
      <c r="T953" s="7"/>
    </row>
    <row r="954" ht="22.5" hidden="1" customHeight="1">
      <c r="B954" s="7">
        <f t="shared" si="7"/>
        <v>948</v>
      </c>
      <c r="C954" s="18" t="s">
        <v>921</v>
      </c>
      <c r="D954" s="19" t="str">
        <f t="array" ref="D954">IFNA(_xlfn.XLOOKUP(C954,Table_Tarikan_Warkah[Nomor Sertipikat],Table_Tarikan_Warkah[Nomor Tiket]),"")</f>
        <v>K/66/261124/1</v>
      </c>
      <c r="E954" s="20">
        <f t="array" ref="E954">IFNA(_xlfn.XLOOKUP(D954,Table_Tarikan_Warkah[Nomor Tiket],Table_Tarikan_Warkah[Tanggal diserahkan kepada Validator]),"")</f>
        <v>45624.59355</v>
      </c>
      <c r="F954" s="20" t="str">
        <f t="array" ref="F954">IFNA(_xlfn.XLOOKUP(D954,Table_Tarikan_Warkah[Nomor Tiket],Table_Tarikan_Warkah[Nama Petugas Warkah]),"")</f>
        <v>Berry</v>
      </c>
      <c r="G954" s="21" t="str">
        <f t="array" ref="G954">IFNA(_xlfn.XLOOKUP(D954,Table_Tarikan_Warkah[Nomor Tiket],Table_Tarikan_Warkah[Jenis Permohonan]),"")</f>
        <v>BN JUAL BELI</v>
      </c>
      <c r="H954" s="22" t="s">
        <v>37</v>
      </c>
      <c r="I954" s="22" t="s">
        <v>32</v>
      </c>
      <c r="J954" s="20">
        <f t="shared" si="29"/>
        <v>45625.4527</v>
      </c>
      <c r="K954" s="27" t="s">
        <v>65</v>
      </c>
      <c r="L954" s="27" t="s">
        <v>32</v>
      </c>
      <c r="M954" s="20">
        <f t="shared" si="30"/>
        <v>45625.61984</v>
      </c>
      <c r="N954" s="8" t="str">
        <f t="shared" si="3"/>
        <v>SELESAI</v>
      </c>
      <c r="O954" s="23">
        <f t="shared" si="22"/>
        <v>45625.61984</v>
      </c>
      <c r="P954" s="24" t="b">
        <v>0</v>
      </c>
      <c r="Q954" s="20" t="str">
        <f t="shared" si="31"/>
        <v/>
      </c>
      <c r="R954" s="24" t="b">
        <v>1</v>
      </c>
      <c r="S954" s="20">
        <f t="shared" si="6"/>
        <v>45625.6203</v>
      </c>
      <c r="T954" s="7"/>
    </row>
    <row r="955" ht="22.5" hidden="1" customHeight="1">
      <c r="B955" s="7">
        <f t="shared" si="7"/>
        <v>949</v>
      </c>
      <c r="C955" s="18" t="s">
        <v>922</v>
      </c>
      <c r="D955" s="19" t="str">
        <f t="array" ref="D955">IFNA(_xlfn.XLOOKUP(C955,Table_Tarikan_Warkah[Nomor Sertipikat],Table_Tarikan_Warkah[Nomor Tiket]),"")</f>
        <v>K/67/261124/2</v>
      </c>
      <c r="E955" s="20">
        <f t="array" ref="E955">IFNA(_xlfn.XLOOKUP(D955,Table_Tarikan_Warkah[Nomor Tiket],Table_Tarikan_Warkah[Tanggal diserahkan kepada Validator]),"")</f>
        <v>45624.59421</v>
      </c>
      <c r="F955" s="20" t="str">
        <f t="array" ref="F955">IFNA(_xlfn.XLOOKUP(D955,Table_Tarikan_Warkah[Nomor Tiket],Table_Tarikan_Warkah[Nama Petugas Warkah]),"")</f>
        <v>Berry</v>
      </c>
      <c r="G955" s="21" t="str">
        <f t="array" ref="G955">IFNA(_xlfn.XLOOKUP(D955,Table_Tarikan_Warkah[Nomor Tiket],Table_Tarikan_Warkah[Jenis Permohonan]),"")</f>
        <v>KEWARISAN</v>
      </c>
      <c r="H955" s="22" t="s">
        <v>37</v>
      </c>
      <c r="I955" s="22" t="s">
        <v>32</v>
      </c>
      <c r="J955" s="20">
        <f t="shared" si="29"/>
        <v>45625.45286</v>
      </c>
      <c r="K955" s="22" t="s">
        <v>65</v>
      </c>
      <c r="L955" s="22" t="s">
        <v>32</v>
      </c>
      <c r="M955" s="20">
        <f t="shared" si="30"/>
        <v>45625.61984</v>
      </c>
      <c r="N955" s="8" t="str">
        <f t="shared" si="3"/>
        <v>SELESAI</v>
      </c>
      <c r="O955" s="23">
        <f t="shared" si="22"/>
        <v>45625.61984</v>
      </c>
      <c r="P955" s="24" t="b">
        <v>0</v>
      </c>
      <c r="Q955" s="20" t="str">
        <f t="shared" si="31"/>
        <v/>
      </c>
      <c r="R955" s="24" t="b">
        <v>1</v>
      </c>
      <c r="S955" s="20">
        <f t="shared" si="6"/>
        <v>45625.6203</v>
      </c>
      <c r="T955" s="7"/>
    </row>
    <row r="956" ht="22.5" hidden="1" customHeight="1">
      <c r="B956" s="7">
        <f t="shared" si="7"/>
        <v>950</v>
      </c>
      <c r="C956" s="18" t="s">
        <v>923</v>
      </c>
      <c r="D956" s="19" t="str">
        <f t="array" ref="D956">IFNA(_xlfn.XLOOKUP(C956,Table_Tarikan_Warkah[Nomor Sertipikat],Table_Tarikan_Warkah[Nomor Tiket]),"")</f>
        <v>K/65/261124/3</v>
      </c>
      <c r="E956" s="20">
        <f t="array" ref="E956">IFNA(_xlfn.XLOOKUP(D956,Table_Tarikan_Warkah[Nomor Tiket],Table_Tarikan_Warkah[Tanggal diserahkan kepada Validator]),"")</f>
        <v>45624.59443</v>
      </c>
      <c r="F956" s="20" t="str">
        <f t="array" ref="F956">IFNA(_xlfn.XLOOKUP(D956,Table_Tarikan_Warkah[Nomor Tiket],Table_Tarikan_Warkah[Nama Petugas Warkah]),"")</f>
        <v>Berry</v>
      </c>
      <c r="G956" s="21" t="str">
        <f t="array" ref="G956">IFNA(_xlfn.XLOOKUP(D956,Table_Tarikan_Warkah[Nomor Tiket],Table_Tarikan_Warkah[Jenis Permohonan]),"")</f>
        <v>BN JUAL BELI</v>
      </c>
      <c r="H956" s="22" t="s">
        <v>37</v>
      </c>
      <c r="I956" s="22" t="s">
        <v>32</v>
      </c>
      <c r="J956" s="20">
        <f t="shared" si="29"/>
        <v>45625.4531</v>
      </c>
      <c r="K956" s="22" t="s">
        <v>65</v>
      </c>
      <c r="L956" s="22" t="s">
        <v>32</v>
      </c>
      <c r="M956" s="20">
        <f t="shared" si="30"/>
        <v>45625.61984</v>
      </c>
      <c r="N956" s="8" t="str">
        <f t="shared" si="3"/>
        <v>SELESAI</v>
      </c>
      <c r="O956" s="23">
        <f t="shared" si="22"/>
        <v>45625.61984</v>
      </c>
      <c r="P956" s="24" t="b">
        <v>0</v>
      </c>
      <c r="Q956" s="20" t="str">
        <f t="shared" si="31"/>
        <v/>
      </c>
      <c r="R956" s="24" t="b">
        <v>1</v>
      </c>
      <c r="S956" s="20">
        <f t="shared" si="6"/>
        <v>45625.6203</v>
      </c>
      <c r="T956" s="7"/>
    </row>
    <row r="957" ht="22.5" hidden="1" customHeight="1">
      <c r="B957" s="7">
        <f t="shared" si="7"/>
        <v>951</v>
      </c>
      <c r="C957" s="18" t="s">
        <v>924</v>
      </c>
      <c r="D957" s="19" t="str">
        <f t="array" ref="D957">IFNA(_xlfn.XLOOKUP(C957,Table_Tarikan_Warkah[Nomor Sertipikat],Table_Tarikan_Warkah[Nomor Tiket]),"")</f>
        <v>L/54/261124/2</v>
      </c>
      <c r="E957" s="20" t="str">
        <f t="array" ref="E957">IFNA(_xlfn.XLOOKUP(D957,Table_Tarikan_Warkah[Nomor Tiket],Table_Tarikan_Warkah[Tanggal diserahkan kepada Validator]),"")</f>
        <v/>
      </c>
      <c r="F957" s="20" t="str">
        <f t="array" ref="F957">IFNA(_xlfn.XLOOKUP(D957,Table_Tarikan_Warkah[Nomor Tiket],Table_Tarikan_Warkah[Nama Petugas Warkah]),"")</f>
        <v>Berry</v>
      </c>
      <c r="G957" s="21" t="str">
        <f t="array" ref="G957">IFNA(_xlfn.XLOOKUP(D957,Table_Tarikan_Warkah[Nomor Tiket],Table_Tarikan_Warkah[Jenis Permohonan]),"")</f>
        <v>ROYA</v>
      </c>
      <c r="H957" s="22" t="s">
        <v>37</v>
      </c>
      <c r="I957" s="22" t="s">
        <v>32</v>
      </c>
      <c r="J957" s="20">
        <f t="shared" si="29"/>
        <v>45625.45319</v>
      </c>
      <c r="K957" s="22" t="s">
        <v>65</v>
      </c>
      <c r="L957" s="22" t="s">
        <v>32</v>
      </c>
      <c r="M957" s="20">
        <f t="shared" si="30"/>
        <v>45625.61984</v>
      </c>
      <c r="N957" s="8" t="str">
        <f t="shared" si="3"/>
        <v>SELESAI</v>
      </c>
      <c r="O957" s="23">
        <f t="shared" si="22"/>
        <v>45625.61984</v>
      </c>
      <c r="P957" s="24" t="b">
        <v>0</v>
      </c>
      <c r="Q957" s="20" t="str">
        <f t="shared" si="31"/>
        <v/>
      </c>
      <c r="R957" s="24" t="b">
        <v>1</v>
      </c>
      <c r="S957" s="20">
        <f t="shared" si="6"/>
        <v>45625.62034</v>
      </c>
      <c r="T957" s="7"/>
    </row>
    <row r="958" ht="22.5" hidden="1" customHeight="1">
      <c r="B958" s="7">
        <f t="shared" si="7"/>
        <v>952</v>
      </c>
      <c r="C958" s="18" t="s">
        <v>925</v>
      </c>
      <c r="D958" s="19" t="str">
        <f t="array" ref="D958">IFNA(_xlfn.XLOOKUP(C958,Table_Tarikan_Warkah[Nomor Sertipikat],Table_Tarikan_Warkah[Nomor Tiket]),"")</f>
        <v>K/68/261124/1</v>
      </c>
      <c r="E958" s="20" t="str">
        <f t="array" ref="E958">IFNA(_xlfn.XLOOKUP(D958,Table_Tarikan_Warkah[Nomor Tiket],Table_Tarikan_Warkah[Tanggal diserahkan kepada Validator]),"")</f>
        <v/>
      </c>
      <c r="F958" s="20" t="str">
        <f t="array" ref="F958">IFNA(_xlfn.XLOOKUP(D958,Table_Tarikan_Warkah[Nomor Tiket],Table_Tarikan_Warkah[Nama Petugas Warkah]),"")</f>
        <v>Berry</v>
      </c>
      <c r="G958" s="21" t="str">
        <f t="array" ref="G958">IFNA(_xlfn.XLOOKUP(D958,Table_Tarikan_Warkah[Nomor Tiket],Table_Tarikan_Warkah[Jenis Permohonan]),"")</f>
        <v>BN JUAL BELI</v>
      </c>
      <c r="H958" s="22" t="s">
        <v>37</v>
      </c>
      <c r="I958" s="22" t="s">
        <v>32</v>
      </c>
      <c r="J958" s="20">
        <f t="shared" si="29"/>
        <v>45625.45331</v>
      </c>
      <c r="K958" s="27" t="s">
        <v>65</v>
      </c>
      <c r="L958" s="27" t="s">
        <v>32</v>
      </c>
      <c r="M958" s="20">
        <f t="shared" si="30"/>
        <v>45625.61995</v>
      </c>
      <c r="N958" s="8" t="str">
        <f t="shared" si="3"/>
        <v>SELESAI</v>
      </c>
      <c r="O958" s="23">
        <f t="shared" si="22"/>
        <v>45625.61995</v>
      </c>
      <c r="P958" s="24" t="b">
        <v>0</v>
      </c>
      <c r="Q958" s="20" t="str">
        <f t="shared" si="31"/>
        <v/>
      </c>
      <c r="R958" s="24" t="b">
        <v>1</v>
      </c>
      <c r="S958" s="20">
        <f t="shared" si="6"/>
        <v>45625.62034</v>
      </c>
      <c r="T958" s="7"/>
    </row>
    <row r="959" ht="22.5" hidden="1" customHeight="1">
      <c r="B959" s="7">
        <f t="shared" si="7"/>
        <v>953</v>
      </c>
      <c r="C959" s="18" t="s">
        <v>926</v>
      </c>
      <c r="D959" s="19" t="str">
        <f t="array" ref="D959">IFNA(_xlfn.XLOOKUP(C959,Table_Tarikan_Warkah[Nomor Sertipikat],Table_Tarikan_Warkah[Nomor Tiket]),"")</f>
        <v>K/58/261124/4</v>
      </c>
      <c r="E959" s="20">
        <f t="array" ref="E959">IFNA(_xlfn.XLOOKUP(D959,Table_Tarikan_Warkah[Nomor Tiket],Table_Tarikan_Warkah[Tanggal diserahkan kepada Validator]),"")</f>
        <v>45624.59279</v>
      </c>
      <c r="F959" s="20" t="str">
        <f t="array" ref="F959">IFNA(_xlfn.XLOOKUP(D959,Table_Tarikan_Warkah[Nomor Tiket],Table_Tarikan_Warkah[Nama Petugas Warkah]),"")</f>
        <v>Berry</v>
      </c>
      <c r="G959" s="21" t="str">
        <f t="array" ref="G959">IFNA(_xlfn.XLOOKUP(D959,Table_Tarikan_Warkah[Nomor Tiket],Table_Tarikan_Warkah[Jenis Permohonan]),"")</f>
        <v>ROYA</v>
      </c>
      <c r="H959" s="22" t="s">
        <v>37</v>
      </c>
      <c r="I959" s="22" t="s">
        <v>32</v>
      </c>
      <c r="J959" s="20">
        <f t="shared" si="29"/>
        <v>45625.45341</v>
      </c>
      <c r="K959" s="22" t="s">
        <v>65</v>
      </c>
      <c r="L959" s="22" t="s">
        <v>32</v>
      </c>
      <c r="M959" s="20">
        <f t="shared" si="30"/>
        <v>45625.61995</v>
      </c>
      <c r="N959" s="8" t="str">
        <f t="shared" si="3"/>
        <v>SELESAI</v>
      </c>
      <c r="O959" s="23">
        <f t="shared" si="22"/>
        <v>45625.61995</v>
      </c>
      <c r="P959" s="24" t="b">
        <v>0</v>
      </c>
      <c r="Q959" s="20" t="str">
        <f t="shared" si="31"/>
        <v/>
      </c>
      <c r="R959" s="24" t="b">
        <v>1</v>
      </c>
      <c r="S959" s="20">
        <f t="shared" si="6"/>
        <v>45625.62034</v>
      </c>
      <c r="T959" s="7"/>
    </row>
    <row r="960" ht="22.5" hidden="1" customHeight="1">
      <c r="B960" s="7">
        <f t="shared" si="7"/>
        <v>954</v>
      </c>
      <c r="C960" s="18" t="s">
        <v>927</v>
      </c>
      <c r="D960" s="19" t="str">
        <f t="array" ref="D960">IFNA(_xlfn.XLOOKUP(C960,Table_Tarikan_Warkah[Nomor Sertipikat],Table_Tarikan_Warkah[Nomor Tiket]),"")</f>
        <v>L/41/261124/1</v>
      </c>
      <c r="E960" s="20">
        <f t="array" ref="E960">IFNA(_xlfn.XLOOKUP(D960,Table_Tarikan_Warkah[Nomor Tiket],Table_Tarikan_Warkah[Tanggal diserahkan kepada Validator]),"")</f>
        <v>45628.40975</v>
      </c>
      <c r="F960" s="20" t="str">
        <f t="array" ref="F960">IFNA(_xlfn.XLOOKUP(D960,Table_Tarikan_Warkah[Nomor Tiket],Table_Tarikan_Warkah[Nama Petugas Warkah]),"")</f>
        <v>David</v>
      </c>
      <c r="G960" s="21" t="str">
        <f t="array" ref="G960">IFNA(_xlfn.XLOOKUP(D960,Table_Tarikan_Warkah[Nomor Tiket],Table_Tarikan_Warkah[Jenis Permohonan]),"")</f>
        <v>BN WARIS</v>
      </c>
      <c r="H960" s="22" t="s">
        <v>37</v>
      </c>
      <c r="I960" s="22" t="s">
        <v>32</v>
      </c>
      <c r="J960" s="20">
        <f t="shared" si="29"/>
        <v>45625.45378</v>
      </c>
      <c r="K960" s="27" t="s">
        <v>65</v>
      </c>
      <c r="L960" s="27" t="s">
        <v>32</v>
      </c>
      <c r="M960" s="20">
        <f t="shared" si="30"/>
        <v>45625.61995</v>
      </c>
      <c r="N960" s="8" t="str">
        <f t="shared" si="3"/>
        <v>SELESAI</v>
      </c>
      <c r="O960" s="23">
        <f t="shared" si="22"/>
        <v>45625.61995</v>
      </c>
      <c r="P960" s="24" t="b">
        <v>0</v>
      </c>
      <c r="Q960" s="20" t="str">
        <f t="shared" si="31"/>
        <v/>
      </c>
      <c r="R960" s="24" t="b">
        <v>1</v>
      </c>
      <c r="S960" s="20">
        <f t="shared" si="6"/>
        <v>45625.62034</v>
      </c>
      <c r="T960" s="7"/>
    </row>
    <row r="961" ht="22.5" hidden="1" customHeight="1">
      <c r="B961" s="7">
        <f t="shared" si="7"/>
        <v>955</v>
      </c>
      <c r="C961" s="18" t="s">
        <v>928</v>
      </c>
      <c r="D961" s="19" t="str">
        <f t="array" ref="D961">IFNA(_xlfn.XLOOKUP(C961,Table_Tarikan_Warkah[Nomor Sertipikat],Table_Tarikan_Warkah[Nomor Tiket]),"")</f>
        <v>K/60/261124/1</v>
      </c>
      <c r="E961" s="20" t="str">
        <f t="array" ref="E961">IFNA(_xlfn.XLOOKUP(D961,Table_Tarikan_Warkah[Nomor Tiket],Table_Tarikan_Warkah[Tanggal diserahkan kepada Validator]),"")</f>
        <v/>
      </c>
      <c r="F961" s="20" t="str">
        <f t="array" ref="F961">IFNA(_xlfn.XLOOKUP(D961,Table_Tarikan_Warkah[Nomor Tiket],Table_Tarikan_Warkah[Nama Petugas Warkah]),"")</f>
        <v/>
      </c>
      <c r="G961" s="21" t="str">
        <f t="array" ref="G961">IFNA(_xlfn.XLOOKUP(D961,Table_Tarikan_Warkah[Nomor Tiket],Table_Tarikan_Warkah[Jenis Permohonan]),"")</f>
        <v>BN JUAL BELI</v>
      </c>
      <c r="H961" s="22" t="s">
        <v>37</v>
      </c>
      <c r="I961" s="22" t="s">
        <v>32</v>
      </c>
      <c r="J961" s="20">
        <f t="shared" si="29"/>
        <v>45625.4538</v>
      </c>
      <c r="K961" s="22" t="s">
        <v>65</v>
      </c>
      <c r="L961" s="22" t="s">
        <v>32</v>
      </c>
      <c r="M961" s="20">
        <f t="shared" si="30"/>
        <v>45625.61995</v>
      </c>
      <c r="N961" s="8" t="str">
        <f t="shared" si="3"/>
        <v>SELESAI</v>
      </c>
      <c r="O961" s="23">
        <f t="shared" si="22"/>
        <v>45625.61995</v>
      </c>
      <c r="P961" s="24" t="b">
        <v>0</v>
      </c>
      <c r="Q961" s="20" t="str">
        <f t="shared" si="31"/>
        <v/>
      </c>
      <c r="R961" s="24" t="b">
        <v>1</v>
      </c>
      <c r="S961" s="20">
        <f t="shared" si="6"/>
        <v>45625.62034</v>
      </c>
      <c r="T961" s="7"/>
    </row>
    <row r="962" ht="22.5" hidden="1" customHeight="1">
      <c r="B962" s="7">
        <f t="shared" si="7"/>
        <v>956</v>
      </c>
      <c r="C962" s="18" t="s">
        <v>929</v>
      </c>
      <c r="D962" s="19" t="str">
        <f t="array" ref="D962">IFNA(_xlfn.XLOOKUP(C962,Table_Tarikan_Warkah[Nomor Sertipikat],Table_Tarikan_Warkah[Nomor Tiket]),"")</f>
        <v>K/28/251024/2</v>
      </c>
      <c r="E962" s="20" t="str">
        <f t="array" ref="E962">IFNA(_xlfn.XLOOKUP(D962,Table_Tarikan_Warkah[Nomor Tiket],Table_Tarikan_Warkah[Tanggal diserahkan kepada Validator]),"")</f>
        <v/>
      </c>
      <c r="F962" s="20" t="str">
        <f t="array" ref="F962">IFNA(_xlfn.XLOOKUP(D962,Table_Tarikan_Warkah[Nomor Tiket],Table_Tarikan_Warkah[Nama Petugas Warkah]),"")</f>
        <v>Berry</v>
      </c>
      <c r="G962" s="21" t="str">
        <f t="array" ref="G962">IFNA(_xlfn.XLOOKUP(D962,Table_Tarikan_Warkah[Nomor Tiket],Table_Tarikan_Warkah[Jenis Permohonan]),"")</f>
        <v>BN JUAL BELI</v>
      </c>
      <c r="H962" s="22" t="s">
        <v>37</v>
      </c>
      <c r="I962" s="22" t="s">
        <v>187</v>
      </c>
      <c r="J962" s="20">
        <f t="shared" si="29"/>
        <v>45625.4565</v>
      </c>
      <c r="K962" s="27" t="s">
        <v>33</v>
      </c>
      <c r="L962" s="27" t="s">
        <v>187</v>
      </c>
      <c r="M962" s="20">
        <f t="shared" si="30"/>
        <v>45625.6201</v>
      </c>
      <c r="N962" s="8" t="str">
        <f t="shared" si="3"/>
        <v>Selesai</v>
      </c>
      <c r="O962" s="23">
        <f t="shared" si="22"/>
        <v>45625.6201</v>
      </c>
      <c r="P962" s="24" t="b">
        <v>1</v>
      </c>
      <c r="Q962" s="20">
        <f t="shared" si="31"/>
        <v>45625.62016</v>
      </c>
      <c r="R962" s="24" t="b">
        <v>0</v>
      </c>
      <c r="S962" s="7" t="str">
        <f t="shared" si="6"/>
        <v/>
      </c>
      <c r="T962" s="7"/>
    </row>
    <row r="963" ht="22.5" hidden="1" customHeight="1">
      <c r="B963" s="7">
        <f t="shared" si="7"/>
        <v>957</v>
      </c>
      <c r="C963" s="18" t="s">
        <v>930</v>
      </c>
      <c r="D963" s="19" t="str">
        <f t="array" ref="D963">IFNA(_xlfn.XLOOKUP(C963,Table_Tarikan_Warkah[Nomor Sertipikat],Table_Tarikan_Warkah[Nomor Tiket]),"")</f>
        <v>L/5/201124/1</v>
      </c>
      <c r="E963" s="20" t="str">
        <f t="array" ref="E963">IFNA(_xlfn.XLOOKUP(D963,Table_Tarikan_Warkah[Nomor Tiket],Table_Tarikan_Warkah[Tanggal diserahkan kepada Validator]),"")</f>
        <v/>
      </c>
      <c r="F963" s="20" t="str">
        <f t="array" ref="F963">IFNA(_xlfn.XLOOKUP(D963,Table_Tarikan_Warkah[Nomor Tiket],Table_Tarikan_Warkah[Nama Petugas Warkah]),"")</f>
        <v>Berry</v>
      </c>
      <c r="G963" s="21" t="str">
        <f t="array" ref="G963">IFNA(_xlfn.XLOOKUP(D963,Table_Tarikan_Warkah[Nomor Tiket],Table_Tarikan_Warkah[Jenis Permohonan]),"")</f>
        <v>BN WARIS</v>
      </c>
      <c r="H963" s="22" t="s">
        <v>37</v>
      </c>
      <c r="I963" s="22" t="s">
        <v>187</v>
      </c>
      <c r="J963" s="20">
        <f t="shared" si="29"/>
        <v>45625.45729</v>
      </c>
      <c r="K963" s="27" t="s">
        <v>33</v>
      </c>
      <c r="L963" s="27" t="s">
        <v>187</v>
      </c>
      <c r="M963" s="20">
        <f t="shared" si="30"/>
        <v>45625.6201</v>
      </c>
      <c r="N963" s="8" t="str">
        <f t="shared" si="3"/>
        <v>Selesai</v>
      </c>
      <c r="O963" s="23">
        <f t="shared" si="22"/>
        <v>45625.6201</v>
      </c>
      <c r="P963" s="24" t="b">
        <v>1</v>
      </c>
      <c r="Q963" s="20">
        <f t="shared" si="31"/>
        <v>45625.62017</v>
      </c>
      <c r="R963" s="24" t="b">
        <v>0</v>
      </c>
      <c r="S963" s="7" t="str">
        <f t="shared" si="6"/>
        <v/>
      </c>
      <c r="T963" s="7"/>
    </row>
    <row r="964" ht="22.5" hidden="1" customHeight="1">
      <c r="B964" s="7">
        <f t="shared" si="7"/>
        <v>958</v>
      </c>
      <c r="C964" s="18" t="s">
        <v>931</v>
      </c>
      <c r="D964" s="19" t="str">
        <f t="array" ref="D964">IFNA(_xlfn.XLOOKUP(C964,Table_Tarikan_Warkah[Nomor Sertipikat],Table_Tarikan_Warkah[Nomor Tiket]),"")</f>
        <v>K/33/221124/2</v>
      </c>
      <c r="E964" s="20" t="str">
        <f t="array" ref="E964">IFNA(_xlfn.XLOOKUP(D964,Table_Tarikan_Warkah[Nomor Tiket],Table_Tarikan_Warkah[Tanggal diserahkan kepada Validator]),"")</f>
        <v/>
      </c>
      <c r="F964" s="20" t="str">
        <f t="array" ref="F964">IFNA(_xlfn.XLOOKUP(D964,Table_Tarikan_Warkah[Nomor Tiket],Table_Tarikan_Warkah[Nama Petugas Warkah]),"")</f>
        <v/>
      </c>
      <c r="G964" s="21" t="str">
        <f t="array" ref="G964">IFNA(_xlfn.XLOOKUP(D964,Table_Tarikan_Warkah[Nomor Tiket],Table_Tarikan_Warkah[Jenis Permohonan]),"")</f>
        <v>BN Jual Beli</v>
      </c>
      <c r="H964" s="22" t="s">
        <v>37</v>
      </c>
      <c r="I964" s="22" t="s">
        <v>187</v>
      </c>
      <c r="J964" s="20">
        <f t="shared" si="29"/>
        <v>45625.45739</v>
      </c>
      <c r="K964" s="27" t="s">
        <v>33</v>
      </c>
      <c r="L964" s="27" t="s">
        <v>187</v>
      </c>
      <c r="M964" s="20">
        <f t="shared" si="30"/>
        <v>45625.6201</v>
      </c>
      <c r="N964" s="8" t="str">
        <f t="shared" si="3"/>
        <v>Selesai</v>
      </c>
      <c r="O964" s="23">
        <f t="shared" si="22"/>
        <v>45625.6201</v>
      </c>
      <c r="P964" s="24" t="b">
        <v>1</v>
      </c>
      <c r="Q964" s="20">
        <f t="shared" si="31"/>
        <v>45625.62018</v>
      </c>
      <c r="R964" s="24" t="b">
        <v>1</v>
      </c>
      <c r="S964" s="20">
        <f t="shared" si="6"/>
        <v>45628.69367</v>
      </c>
      <c r="T964" s="7"/>
    </row>
    <row r="965" ht="22.5" hidden="1" customHeight="1">
      <c r="B965" s="7">
        <f t="shared" si="7"/>
        <v>959</v>
      </c>
      <c r="C965" s="18" t="s">
        <v>932</v>
      </c>
      <c r="D965" s="19" t="str">
        <f t="array" ref="D965">IFNA(_xlfn.XLOOKUP(C965,Table_Tarikan_Warkah[Nomor Sertipikat],Table_Tarikan_Warkah[Nomor Tiket]),"")</f>
        <v>K/3/121124/2</v>
      </c>
      <c r="E965" s="20">
        <f t="array" ref="E965">IFNA(_xlfn.XLOOKUP(D965,Table_Tarikan_Warkah[Nomor Tiket],Table_Tarikan_Warkah[Tanggal diserahkan kepada Validator]),"")</f>
        <v>45625.66739</v>
      </c>
      <c r="F965" s="20" t="str">
        <f t="array" ref="F965">IFNA(_xlfn.XLOOKUP(D965,Table_Tarikan_Warkah[Nomor Tiket],Table_Tarikan_Warkah[Nama Petugas Warkah]),"")</f>
        <v>David</v>
      </c>
      <c r="G965" s="21" t="str">
        <f t="array" ref="G965">IFNA(_xlfn.XLOOKUP(D965,Table_Tarikan_Warkah[Nomor Tiket],Table_Tarikan_Warkah[Jenis Permohonan]),"")</f>
        <v>ROYA</v>
      </c>
      <c r="H965" s="22" t="s">
        <v>37</v>
      </c>
      <c r="I965" s="22" t="s">
        <v>32</v>
      </c>
      <c r="J965" s="20">
        <f t="shared" si="29"/>
        <v>45625.67177</v>
      </c>
      <c r="K965" s="22" t="s">
        <v>65</v>
      </c>
      <c r="L965" s="22" t="s">
        <v>32</v>
      </c>
      <c r="M965" s="20">
        <f t="shared" si="30"/>
        <v>45628.35457</v>
      </c>
      <c r="N965" s="8" t="str">
        <f t="shared" si="3"/>
        <v>SELESAI</v>
      </c>
      <c r="O965" s="23">
        <f t="shared" si="22"/>
        <v>45628.35457</v>
      </c>
      <c r="P965" s="24" t="b">
        <v>0</v>
      </c>
      <c r="Q965" s="20" t="str">
        <f t="shared" si="31"/>
        <v/>
      </c>
      <c r="R965" s="24" t="b">
        <v>1</v>
      </c>
      <c r="S965" s="20">
        <f t="shared" si="6"/>
        <v>45628.69367</v>
      </c>
      <c r="T965" s="7"/>
    </row>
    <row r="966" ht="22.5" hidden="1" customHeight="1">
      <c r="B966" s="7">
        <f t="shared" si="7"/>
        <v>960</v>
      </c>
      <c r="C966" s="18" t="s">
        <v>933</v>
      </c>
      <c r="D966" s="19" t="str">
        <f t="array" ref="D966">IFNA(_xlfn.XLOOKUP(C966,Table_Tarikan_Warkah[Nomor Sertipikat],Table_Tarikan_Warkah[Nomor Tiket]),"")</f>
        <v>L/16/251124/1</v>
      </c>
      <c r="E966" s="20" t="str">
        <f t="array" ref="E966">IFNA(_xlfn.XLOOKUP(D966,Table_Tarikan_Warkah[Nomor Tiket],Table_Tarikan_Warkah[Tanggal diserahkan kepada Validator]),"")</f>
        <v/>
      </c>
      <c r="F966" s="20" t="str">
        <f t="array" ref="F966">IFNA(_xlfn.XLOOKUP(D966,Table_Tarikan_Warkah[Nomor Tiket],Table_Tarikan_Warkah[Nama Petugas Warkah]),"")</f>
        <v/>
      </c>
      <c r="G966" s="21" t="str">
        <f t="array" ref="G966">IFNA(_xlfn.XLOOKUP(D966,Table_Tarikan_Warkah[Nomor Tiket],Table_Tarikan_Warkah[Jenis Permohonan]),"")</f>
        <v>ROYA</v>
      </c>
      <c r="H966" s="22" t="s">
        <v>37</v>
      </c>
      <c r="I966" s="22" t="s">
        <v>32</v>
      </c>
      <c r="J966" s="20">
        <f t="shared" si="29"/>
        <v>45625.67191</v>
      </c>
      <c r="K966" s="27" t="s">
        <v>65</v>
      </c>
      <c r="L966" s="27" t="s">
        <v>32</v>
      </c>
      <c r="M966" s="20">
        <f t="shared" si="30"/>
        <v>45628.35457</v>
      </c>
      <c r="N966" s="8" t="str">
        <f t="shared" si="3"/>
        <v>SELESAI</v>
      </c>
      <c r="O966" s="23">
        <f t="shared" si="22"/>
        <v>45628.35457</v>
      </c>
      <c r="P966" s="24" t="b">
        <v>0</v>
      </c>
      <c r="Q966" s="20" t="str">
        <f t="shared" si="31"/>
        <v/>
      </c>
      <c r="R966" s="24" t="b">
        <v>1</v>
      </c>
      <c r="S966" s="20">
        <f t="shared" si="6"/>
        <v>45628.69367</v>
      </c>
      <c r="T966" s="7"/>
    </row>
    <row r="967" ht="22.5" hidden="1" customHeight="1">
      <c r="B967" s="7">
        <f t="shared" si="7"/>
        <v>961</v>
      </c>
      <c r="C967" s="18" t="s">
        <v>934</v>
      </c>
      <c r="D967" s="19" t="str">
        <f t="array" ref="D967">IFNA(_xlfn.XLOOKUP(C967,Table_Tarikan_Warkah[Nomor Sertipikat],Table_Tarikan_Warkah[Nomor Tiket]),"")</f>
        <v>K/45/211124/1</v>
      </c>
      <c r="E967" s="20">
        <f t="array" ref="E967">IFNA(_xlfn.XLOOKUP(D967,Table_Tarikan_Warkah[Nomor Tiket],Table_Tarikan_Warkah[Tanggal diserahkan kepada Validator]),"")</f>
        <v>45621.4601</v>
      </c>
      <c r="F967" s="20" t="str">
        <f t="array" ref="F967">IFNA(_xlfn.XLOOKUP(D967,Table_Tarikan_Warkah[Nomor Tiket],Table_Tarikan_Warkah[Nama Petugas Warkah]),"")</f>
        <v>David</v>
      </c>
      <c r="G967" s="21" t="str">
        <f t="array" ref="G967">IFNA(_xlfn.XLOOKUP(D967,Table_Tarikan_Warkah[Nomor Tiket],Table_Tarikan_Warkah[Jenis Permohonan]),"")</f>
        <v>ROYA</v>
      </c>
      <c r="H967" s="22" t="s">
        <v>37</v>
      </c>
      <c r="I967" s="22" t="s">
        <v>32</v>
      </c>
      <c r="J967" s="20">
        <f t="shared" si="29"/>
        <v>45625.67207</v>
      </c>
      <c r="K967" s="22" t="s">
        <v>65</v>
      </c>
      <c r="L967" s="22" t="s">
        <v>32</v>
      </c>
      <c r="M967" s="20">
        <f t="shared" si="30"/>
        <v>45628.35457</v>
      </c>
      <c r="N967" s="8" t="str">
        <f t="shared" si="3"/>
        <v>SELESAI</v>
      </c>
      <c r="O967" s="23">
        <f t="shared" si="22"/>
        <v>45628.35457</v>
      </c>
      <c r="P967" s="24" t="b">
        <v>0</v>
      </c>
      <c r="Q967" s="20" t="str">
        <f t="shared" si="31"/>
        <v/>
      </c>
      <c r="R967" s="24" t="b">
        <v>1</v>
      </c>
      <c r="S967" s="20">
        <f t="shared" si="6"/>
        <v>45628.69367</v>
      </c>
      <c r="T967" s="7"/>
    </row>
    <row r="968" ht="22.5" hidden="1" customHeight="1">
      <c r="B968" s="7">
        <f t="shared" si="7"/>
        <v>962</v>
      </c>
      <c r="C968" s="18" t="s">
        <v>935</v>
      </c>
      <c r="D968" s="19" t="str">
        <f t="array" ref="D968">IFNA(_xlfn.XLOOKUP(C968,Table_Tarikan_Warkah[Nomor Sertipikat],Table_Tarikan_Warkah[Nomor Tiket]),"")</f>
        <v>L/42/211124/1</v>
      </c>
      <c r="E968" s="20">
        <f t="array" ref="E968">IFNA(_xlfn.XLOOKUP(D968,Table_Tarikan_Warkah[Nomor Tiket],Table_Tarikan_Warkah[Tanggal diserahkan kepada Validator]),"")</f>
        <v>45625.66739</v>
      </c>
      <c r="F968" s="20" t="str">
        <f t="array" ref="F968">IFNA(_xlfn.XLOOKUP(D968,Table_Tarikan_Warkah[Nomor Tiket],Table_Tarikan_Warkah[Nama Petugas Warkah]),"")</f>
        <v>David</v>
      </c>
      <c r="G968" s="21" t="str">
        <f t="array" ref="G968">IFNA(_xlfn.XLOOKUP(D968,Table_Tarikan_Warkah[Nomor Tiket],Table_Tarikan_Warkah[Jenis Permohonan]),"")</f>
        <v>ROYA</v>
      </c>
      <c r="H968" s="22" t="s">
        <v>37</v>
      </c>
      <c r="I968" s="22" t="s">
        <v>32</v>
      </c>
      <c r="J968" s="20">
        <f t="shared" si="29"/>
        <v>45625.67219</v>
      </c>
      <c r="K968" s="27" t="s">
        <v>65</v>
      </c>
      <c r="L968" s="27" t="s">
        <v>32</v>
      </c>
      <c r="M968" s="20">
        <f t="shared" si="30"/>
        <v>45628.35462</v>
      </c>
      <c r="N968" s="8" t="str">
        <f t="shared" si="3"/>
        <v>SELESAI</v>
      </c>
      <c r="O968" s="23">
        <f t="shared" si="22"/>
        <v>45628.35462</v>
      </c>
      <c r="P968" s="24" t="b">
        <v>0</v>
      </c>
      <c r="Q968" s="20" t="str">
        <f t="shared" si="31"/>
        <v/>
      </c>
      <c r="R968" s="24" t="b">
        <v>1</v>
      </c>
      <c r="S968" s="20">
        <f t="shared" si="6"/>
        <v>45628.69367</v>
      </c>
      <c r="T968" s="7"/>
    </row>
    <row r="969" ht="22.5" hidden="1" customHeight="1">
      <c r="B969" s="7">
        <f t="shared" si="7"/>
        <v>963</v>
      </c>
      <c r="C969" s="18" t="s">
        <v>936</v>
      </c>
      <c r="D969" s="19" t="str">
        <f t="array" ref="D969">IFNA(_xlfn.XLOOKUP(C969,Table_Tarikan_Warkah[Nomor Sertipikat],Table_Tarikan_Warkah[Nomor Tiket]),"")</f>
        <v>L/4/251124/1</v>
      </c>
      <c r="E969" s="20" t="str">
        <f t="array" ref="E969">IFNA(_xlfn.XLOOKUP(D969,Table_Tarikan_Warkah[Nomor Tiket],Table_Tarikan_Warkah[Tanggal diserahkan kepada Validator]),"")</f>
        <v/>
      </c>
      <c r="F969" s="20" t="str">
        <f t="array" ref="F969">IFNA(_xlfn.XLOOKUP(D969,Table_Tarikan_Warkah[Nomor Tiket],Table_Tarikan_Warkah[Nama Petugas Warkah]),"")</f>
        <v>Berry</v>
      </c>
      <c r="G969" s="21" t="str">
        <f t="array" ref="G969">IFNA(_xlfn.XLOOKUP(D969,Table_Tarikan_Warkah[Nomor Tiket],Table_Tarikan_Warkah[Jenis Permohonan]),"")</f>
        <v>GANTI BALNGKO</v>
      </c>
      <c r="H969" s="22" t="s">
        <v>37</v>
      </c>
      <c r="I969" s="22" t="s">
        <v>187</v>
      </c>
      <c r="J969" s="20">
        <f t="shared" si="29"/>
        <v>45625.67232</v>
      </c>
      <c r="K969" s="27" t="s">
        <v>33</v>
      </c>
      <c r="L969" s="27" t="s">
        <v>187</v>
      </c>
      <c r="M969" s="20">
        <f t="shared" si="30"/>
        <v>45628.35474</v>
      </c>
      <c r="N969" s="8" t="str">
        <f t="shared" si="3"/>
        <v>Selesai</v>
      </c>
      <c r="O969" s="23">
        <f t="shared" si="22"/>
        <v>45628.35474</v>
      </c>
      <c r="P969" s="24" t="b">
        <v>1</v>
      </c>
      <c r="Q969" s="20">
        <f t="shared" si="31"/>
        <v>45628.59095</v>
      </c>
      <c r="R969" s="24" t="b">
        <v>0</v>
      </c>
      <c r="S969" s="7" t="str">
        <f t="shared" si="6"/>
        <v/>
      </c>
      <c r="T969" s="7"/>
    </row>
    <row r="970" ht="22.5" hidden="1" customHeight="1">
      <c r="B970" s="7">
        <f t="shared" si="7"/>
        <v>964</v>
      </c>
      <c r="C970" s="18" t="s">
        <v>851</v>
      </c>
      <c r="D970" s="19" t="str">
        <f t="array" ref="D970">IFNA(_xlfn.XLOOKUP(C970,Table_Tarikan_Warkah[Nomor Sertipikat],Table_Tarikan_Warkah[Nomor Tiket]),"")</f>
        <v>K/29/201124/2</v>
      </c>
      <c r="E970" s="20" t="str">
        <f t="array" ref="E970">IFNA(_xlfn.XLOOKUP(D970,Table_Tarikan_Warkah[Nomor Tiket],Table_Tarikan_Warkah[Tanggal diserahkan kepada Validator]),"")</f>
        <v/>
      </c>
      <c r="F970" s="20" t="str">
        <f t="array" ref="F970">IFNA(_xlfn.XLOOKUP(D970,Table_Tarikan_Warkah[Nomor Tiket],Table_Tarikan_Warkah[Nama Petugas Warkah]),"")</f>
        <v>David</v>
      </c>
      <c r="G970" s="21" t="str">
        <f t="array" ref="G970">IFNA(_xlfn.XLOOKUP(D970,Table_Tarikan_Warkah[Nomor Tiket],Table_Tarikan_Warkah[Jenis Permohonan]),"")</f>
        <v>BN JUAL BELI</v>
      </c>
      <c r="H970" s="22" t="s">
        <v>31</v>
      </c>
      <c r="I970" s="22" t="s">
        <v>187</v>
      </c>
      <c r="J970" s="20">
        <f t="shared" si="29"/>
        <v>45625.68618</v>
      </c>
      <c r="K970" s="27" t="s">
        <v>33</v>
      </c>
      <c r="L970" s="27" t="s">
        <v>187</v>
      </c>
      <c r="M970" s="20">
        <f t="shared" si="30"/>
        <v>45628.35474</v>
      </c>
      <c r="N970" s="8" t="str">
        <f t="shared" si="3"/>
        <v>Selesai</v>
      </c>
      <c r="O970" s="23">
        <f t="shared" si="22"/>
        <v>45628.35474</v>
      </c>
      <c r="P970" s="24" t="b">
        <v>1</v>
      </c>
      <c r="Q970" s="20">
        <f t="shared" si="31"/>
        <v>45628.59099</v>
      </c>
      <c r="R970" s="24" t="b">
        <v>0</v>
      </c>
      <c r="S970" s="7" t="str">
        <f t="shared" si="6"/>
        <v/>
      </c>
      <c r="T970" s="7"/>
    </row>
    <row r="971" ht="22.5" hidden="1" customHeight="1">
      <c r="B971" s="7">
        <f t="shared" si="7"/>
        <v>965</v>
      </c>
      <c r="C971" s="18" t="s">
        <v>937</v>
      </c>
      <c r="D971" s="19" t="str">
        <f t="array" ref="D971">IFNA(_xlfn.XLOOKUP(C971,Table_Tarikan_Warkah[Nomor Sertipikat],Table_Tarikan_Warkah[Nomor Tiket]),"")</f>
        <v>K/14/221124/1</v>
      </c>
      <c r="E971" s="20" t="str">
        <f t="array" ref="E971">IFNA(_xlfn.XLOOKUP(D971,Table_Tarikan_Warkah[Nomor Tiket],Table_Tarikan_Warkah[Tanggal diserahkan kepada Validator]),"")</f>
        <v/>
      </c>
      <c r="F971" s="20" t="str">
        <f t="array" ref="F971">IFNA(_xlfn.XLOOKUP(D971,Table_Tarikan_Warkah[Nomor Tiket],Table_Tarikan_Warkah[Nama Petugas Warkah]),"")</f>
        <v/>
      </c>
      <c r="G971" s="21" t="str">
        <f t="array" ref="G971">IFNA(_xlfn.XLOOKUP(D971,Table_Tarikan_Warkah[Nomor Tiket],Table_Tarikan_Warkah[Jenis Permohonan]),"")</f>
        <v>BN PHB</v>
      </c>
      <c r="H971" s="22" t="s">
        <v>31</v>
      </c>
      <c r="I971" s="22" t="s">
        <v>187</v>
      </c>
      <c r="J971" s="20">
        <f t="shared" si="29"/>
        <v>45625.6862</v>
      </c>
      <c r="K971" s="27" t="s">
        <v>33</v>
      </c>
      <c r="L971" s="27" t="s">
        <v>187</v>
      </c>
      <c r="M971" s="20">
        <f t="shared" si="30"/>
        <v>45628.35474</v>
      </c>
      <c r="N971" s="8" t="str">
        <f t="shared" si="3"/>
        <v>Selesai</v>
      </c>
      <c r="O971" s="23">
        <f t="shared" si="22"/>
        <v>45628.35474</v>
      </c>
      <c r="P971" s="24" t="b">
        <v>1</v>
      </c>
      <c r="Q971" s="20">
        <f t="shared" si="31"/>
        <v>45628.59101</v>
      </c>
      <c r="R971" s="24" t="b">
        <v>0</v>
      </c>
      <c r="S971" s="7" t="str">
        <f t="shared" si="6"/>
        <v/>
      </c>
      <c r="T971" s="7"/>
    </row>
    <row r="972" ht="22.5" hidden="1" customHeight="1">
      <c r="B972" s="7">
        <f t="shared" si="7"/>
        <v>966</v>
      </c>
      <c r="C972" s="18" t="s">
        <v>891</v>
      </c>
      <c r="D972" s="19" t="str">
        <f t="array" ref="D972">IFNA(_xlfn.XLOOKUP(C972,Table_Tarikan_Warkah[Nomor Sertipikat],Table_Tarikan_Warkah[Nomor Tiket]),"")</f>
        <v>K/14/251124/2</v>
      </c>
      <c r="E972" s="20" t="str">
        <f t="array" ref="E972">IFNA(_xlfn.XLOOKUP(D972,Table_Tarikan_Warkah[Nomor Tiket],Table_Tarikan_Warkah[Tanggal diserahkan kepada Validator]),"")</f>
        <v/>
      </c>
      <c r="F972" s="20" t="str">
        <f t="array" ref="F972">IFNA(_xlfn.XLOOKUP(D972,Table_Tarikan_Warkah[Nomor Tiket],Table_Tarikan_Warkah[Nama Petugas Warkah]),"")</f>
        <v/>
      </c>
      <c r="G972" s="21" t="str">
        <f t="array" ref="G972">IFNA(_xlfn.XLOOKUP(D972,Table_Tarikan_Warkah[Nomor Tiket],Table_Tarikan_Warkah[Jenis Permohonan]),"")</f>
        <v>ROYA </v>
      </c>
      <c r="H972" s="22" t="s">
        <v>31</v>
      </c>
      <c r="I972" s="22" t="s">
        <v>187</v>
      </c>
      <c r="J972" s="20">
        <f t="shared" si="29"/>
        <v>45625.6862</v>
      </c>
      <c r="K972" s="27" t="s">
        <v>33</v>
      </c>
      <c r="L972" s="27" t="s">
        <v>187</v>
      </c>
      <c r="M972" s="20">
        <f t="shared" si="30"/>
        <v>45628.35476</v>
      </c>
      <c r="N972" s="8" t="str">
        <f t="shared" si="3"/>
        <v>Selesai</v>
      </c>
      <c r="O972" s="23">
        <f t="shared" si="22"/>
        <v>45628.35476</v>
      </c>
      <c r="P972" s="24" t="b">
        <v>1</v>
      </c>
      <c r="Q972" s="20">
        <f t="shared" si="31"/>
        <v>45628.59104</v>
      </c>
      <c r="R972" s="24" t="b">
        <v>0</v>
      </c>
      <c r="S972" s="7" t="str">
        <f t="shared" si="6"/>
        <v/>
      </c>
      <c r="T972" s="7"/>
    </row>
    <row r="973" ht="22.5" hidden="1" customHeight="1">
      <c r="B973" s="7">
        <f t="shared" si="7"/>
        <v>967</v>
      </c>
      <c r="C973" s="18" t="s">
        <v>938</v>
      </c>
      <c r="D973" s="19" t="str">
        <f t="array" ref="D973">IFNA(_xlfn.XLOOKUP(C973,Table_Tarikan_Warkah[Nomor Sertipikat],Table_Tarikan_Warkah[Nomor Tiket]),"")</f>
        <v>K/5/251124/1</v>
      </c>
      <c r="E973" s="20">
        <f t="array" ref="E973">IFNA(_xlfn.XLOOKUP(D973,Table_Tarikan_Warkah[Nomor Tiket],Table_Tarikan_Warkah[Tanggal diserahkan kepada Validator]),"")</f>
        <v>45622.50264</v>
      </c>
      <c r="F973" s="20" t="str">
        <f t="array" ref="F973">IFNA(_xlfn.XLOOKUP(D973,Table_Tarikan_Warkah[Nomor Tiket],Table_Tarikan_Warkah[Nama Petugas Warkah]),"")</f>
        <v>Berry</v>
      </c>
      <c r="G973" s="21" t="str">
        <f t="array" ref="G973">IFNA(_xlfn.XLOOKUP(D973,Table_Tarikan_Warkah[Nomor Tiket],Table_Tarikan_Warkah[Jenis Permohonan]),"")</f>
        <v>BN JUAL BELI</v>
      </c>
      <c r="H973" s="22" t="s">
        <v>31</v>
      </c>
      <c r="I973" s="22" t="s">
        <v>187</v>
      </c>
      <c r="J973" s="20">
        <f t="shared" si="29"/>
        <v>45625.6862</v>
      </c>
      <c r="K973" s="27" t="s">
        <v>33</v>
      </c>
      <c r="L973" s="27" t="s">
        <v>187</v>
      </c>
      <c r="M973" s="20">
        <f t="shared" si="30"/>
        <v>45628.35476</v>
      </c>
      <c r="N973" s="8" t="str">
        <f t="shared" si="3"/>
        <v>Selesai</v>
      </c>
      <c r="O973" s="23">
        <f t="shared" si="22"/>
        <v>45628.35476</v>
      </c>
      <c r="P973" s="24" t="b">
        <v>1</v>
      </c>
      <c r="Q973" s="20">
        <f t="shared" si="31"/>
        <v>45628.59106</v>
      </c>
      <c r="R973" s="24" t="b">
        <v>0</v>
      </c>
      <c r="S973" s="7" t="str">
        <f t="shared" si="6"/>
        <v/>
      </c>
      <c r="T973" s="7"/>
    </row>
    <row r="974" ht="22.5" hidden="1" customHeight="1">
      <c r="B974" s="7">
        <f t="shared" si="7"/>
        <v>968</v>
      </c>
      <c r="C974" s="18" t="s">
        <v>939</v>
      </c>
      <c r="D974" s="19" t="str">
        <f t="array" ref="D974">IFNA(_xlfn.XLOOKUP(C974,Table_Tarikan_Warkah[Nomor Sertipikat],Table_Tarikan_Warkah[Nomor Tiket]),"")</f>
        <v>K/43/291024/1</v>
      </c>
      <c r="E974" s="20" t="str">
        <f t="array" ref="E974">IFNA(_xlfn.XLOOKUP(D974,Table_Tarikan_Warkah[Nomor Tiket],Table_Tarikan_Warkah[Tanggal diserahkan kepada Validator]),"")</f>
        <v/>
      </c>
      <c r="F974" s="20" t="str">
        <f t="array" ref="F974">IFNA(_xlfn.XLOOKUP(D974,Table_Tarikan_Warkah[Nomor Tiket],Table_Tarikan_Warkah[Nama Petugas Warkah]),"")</f>
        <v>Berry</v>
      </c>
      <c r="G974" s="21" t="str">
        <f t="array" ref="G974">IFNA(_xlfn.XLOOKUP(D974,Table_Tarikan_Warkah[Nomor Tiket],Table_Tarikan_Warkah[Jenis Permohonan]),"")</f>
        <v>BN Jual Beli</v>
      </c>
      <c r="H974" s="22" t="s">
        <v>31</v>
      </c>
      <c r="I974" s="22" t="s">
        <v>187</v>
      </c>
      <c r="J974" s="20">
        <f t="shared" si="29"/>
        <v>45625.6862</v>
      </c>
      <c r="K974" s="27" t="s">
        <v>33</v>
      </c>
      <c r="L974" s="27" t="s">
        <v>187</v>
      </c>
      <c r="M974" s="20">
        <f t="shared" si="30"/>
        <v>45628.35476</v>
      </c>
      <c r="N974" s="8" t="str">
        <f t="shared" si="3"/>
        <v>Selesai</v>
      </c>
      <c r="O974" s="23">
        <f t="shared" si="22"/>
        <v>45628.35476</v>
      </c>
      <c r="P974" s="24" t="b">
        <v>1</v>
      </c>
      <c r="Q974" s="20">
        <f t="shared" si="31"/>
        <v>45628.59107</v>
      </c>
      <c r="R974" s="24" t="b">
        <v>0</v>
      </c>
      <c r="S974" s="7" t="str">
        <f t="shared" si="6"/>
        <v/>
      </c>
      <c r="T974" s="7"/>
    </row>
    <row r="975" ht="22.5" hidden="1" customHeight="1">
      <c r="B975" s="7">
        <f t="shared" si="7"/>
        <v>969</v>
      </c>
      <c r="C975" s="18" t="s">
        <v>914</v>
      </c>
      <c r="D975" s="19" t="str">
        <f t="array" ref="D975">IFNA(_xlfn.XLOOKUP(C975,Table_Tarikan_Warkah[Nomor Sertipikat],Table_Tarikan_Warkah[Nomor Tiket]),"")</f>
        <v>K/25/261124/3</v>
      </c>
      <c r="E975" s="20">
        <f t="array" ref="E975">IFNA(_xlfn.XLOOKUP(D975,Table_Tarikan_Warkah[Nomor Tiket],Table_Tarikan_Warkah[Tanggal diserahkan kepada Validator]),"")</f>
        <v>45628.41237</v>
      </c>
      <c r="F975" s="20" t="str">
        <f t="array" ref="F975">IFNA(_xlfn.XLOOKUP(D975,Table_Tarikan_Warkah[Nomor Tiket],Table_Tarikan_Warkah[Nama Petugas Warkah]),"")</f>
        <v>David</v>
      </c>
      <c r="G975" s="21" t="str">
        <f t="array" ref="G975">IFNA(_xlfn.XLOOKUP(D975,Table_Tarikan_Warkah[Nomor Tiket],Table_Tarikan_Warkah[Jenis Permohonan]),"")</f>
        <v>PERUBAHAN HAK</v>
      </c>
      <c r="H975" s="22" t="s">
        <v>31</v>
      </c>
      <c r="I975" s="22" t="s">
        <v>187</v>
      </c>
      <c r="J975" s="20">
        <f t="shared" si="29"/>
        <v>45625.6862</v>
      </c>
      <c r="K975" s="27" t="s">
        <v>33</v>
      </c>
      <c r="L975" s="27" t="s">
        <v>187</v>
      </c>
      <c r="M975" s="20">
        <f t="shared" si="30"/>
        <v>45628.3548</v>
      </c>
      <c r="N975" s="8" t="str">
        <f t="shared" si="3"/>
        <v>Selesai</v>
      </c>
      <c r="O975" s="23">
        <f t="shared" si="22"/>
        <v>45628.3548</v>
      </c>
      <c r="P975" s="24" t="b">
        <v>1</v>
      </c>
      <c r="Q975" s="20">
        <f t="shared" si="31"/>
        <v>45628.59108</v>
      </c>
      <c r="R975" s="24" t="b">
        <v>0</v>
      </c>
      <c r="S975" s="7" t="str">
        <f t="shared" si="6"/>
        <v/>
      </c>
      <c r="T975" s="7"/>
    </row>
    <row r="976" ht="22.5" hidden="1" customHeight="1">
      <c r="B976" s="7">
        <f t="shared" si="7"/>
        <v>970</v>
      </c>
      <c r="C976" s="18" t="s">
        <v>940</v>
      </c>
      <c r="D976" s="19" t="str">
        <f t="array" ref="D976">IFNA(_xlfn.XLOOKUP(C976,Table_Tarikan_Warkah[Nomor Sertipikat],Table_Tarikan_Warkah[Nomor Tiket]),"")</f>
        <v>K/6/251124/2</v>
      </c>
      <c r="E976" s="20" t="str">
        <f t="array" ref="E976">IFNA(_xlfn.XLOOKUP(D976,Table_Tarikan_Warkah[Nomor Tiket],Table_Tarikan_Warkah[Tanggal diserahkan kepada Validator]),"")</f>
        <v/>
      </c>
      <c r="F976" s="20" t="str">
        <f t="array" ref="F976">IFNA(_xlfn.XLOOKUP(D976,Table_Tarikan_Warkah[Nomor Tiket],Table_Tarikan_Warkah[Nama Petugas Warkah]),"")</f>
        <v/>
      </c>
      <c r="G976" s="21" t="str">
        <f t="array" ref="G976">IFNA(_xlfn.XLOOKUP(D976,Table_Tarikan_Warkah[Nomor Tiket],Table_Tarikan_Warkah[Jenis Permohonan]),"")</f>
        <v>BN JUAL BELI</v>
      </c>
      <c r="H976" s="22" t="s">
        <v>31</v>
      </c>
      <c r="I976" s="22" t="s">
        <v>187</v>
      </c>
      <c r="J976" s="20">
        <f t="shared" si="29"/>
        <v>45625.6862</v>
      </c>
      <c r="K976" s="27" t="s">
        <v>33</v>
      </c>
      <c r="L976" s="27" t="s">
        <v>187</v>
      </c>
      <c r="M976" s="20">
        <f t="shared" si="30"/>
        <v>45628.3548</v>
      </c>
      <c r="N976" s="8" t="str">
        <f t="shared" si="3"/>
        <v>Selesai</v>
      </c>
      <c r="O976" s="23">
        <f t="shared" si="22"/>
        <v>45628.3548</v>
      </c>
      <c r="P976" s="24" t="b">
        <v>1</v>
      </c>
      <c r="Q976" s="20">
        <f t="shared" si="31"/>
        <v>45628.59109</v>
      </c>
      <c r="R976" s="24" t="b">
        <v>0</v>
      </c>
      <c r="S976" s="7" t="str">
        <f t="shared" si="6"/>
        <v/>
      </c>
      <c r="T976" s="7"/>
    </row>
    <row r="977" ht="22.5" hidden="1" customHeight="1">
      <c r="B977" s="7">
        <f t="shared" si="7"/>
        <v>971</v>
      </c>
      <c r="C977" s="18" t="s">
        <v>941</v>
      </c>
      <c r="D977" s="19" t="str">
        <f t="array" ref="D977">IFNA(_xlfn.XLOOKUP(C977,Table_Tarikan_Warkah[Nomor Sertipikat],Table_Tarikan_Warkah[Nomor Tiket]),"")</f>
        <v>K/17/261124/1</v>
      </c>
      <c r="E977" s="20">
        <f t="array" ref="E977">IFNA(_xlfn.XLOOKUP(D977,Table_Tarikan_Warkah[Nomor Tiket],Table_Tarikan_Warkah[Tanggal diserahkan kepada Validator]),"")</f>
        <v>45649.44393</v>
      </c>
      <c r="F977" s="20" t="str">
        <f t="array" ref="F977">IFNA(_xlfn.XLOOKUP(D977,Table_Tarikan_Warkah[Nomor Tiket],Table_Tarikan_Warkah[Nama Petugas Warkah]),"")</f>
        <v>David</v>
      </c>
      <c r="G977" s="21" t="str">
        <f t="array" ref="G977">IFNA(_xlfn.XLOOKUP(D977,Table_Tarikan_Warkah[Nomor Tiket],Table_Tarikan_Warkah[Jenis Permohonan]),"")</f>
        <v>BN JUAL BELI</v>
      </c>
      <c r="H977" s="22" t="s">
        <v>37</v>
      </c>
      <c r="I977" s="22" t="s">
        <v>187</v>
      </c>
      <c r="J977" s="20">
        <f t="shared" si="29"/>
        <v>45628.44544</v>
      </c>
      <c r="K977" s="27" t="s">
        <v>33</v>
      </c>
      <c r="L977" s="27" t="s">
        <v>187</v>
      </c>
      <c r="M977" s="20">
        <f t="shared" si="30"/>
        <v>45628.69367</v>
      </c>
      <c r="N977" s="8" t="str">
        <f t="shared" si="3"/>
        <v>Selesai</v>
      </c>
      <c r="O977" s="23">
        <f t="shared" si="22"/>
        <v>45628.69367</v>
      </c>
      <c r="P977" s="24" t="b">
        <v>1</v>
      </c>
      <c r="Q977" s="20">
        <f t="shared" si="31"/>
        <v>45628.69367</v>
      </c>
      <c r="R977" s="24" t="b">
        <v>1</v>
      </c>
      <c r="S977" s="20">
        <f t="shared" si="6"/>
        <v>45628.69367</v>
      </c>
      <c r="T977" s="7"/>
    </row>
    <row r="978" ht="22.5" hidden="1" customHeight="1">
      <c r="B978" s="7">
        <f t="shared" si="7"/>
        <v>972</v>
      </c>
      <c r="C978" s="18" t="s">
        <v>942</v>
      </c>
      <c r="D978" s="19" t="str">
        <f t="array" ref="D978">IFNA(_xlfn.XLOOKUP(C978,Table_Tarikan_Warkah[Nomor Sertipikat],Table_Tarikan_Warkah[Nomor Tiket]),"")</f>
        <v>K/15/251124/3</v>
      </c>
      <c r="E978" s="20">
        <f t="array" ref="E978">IFNA(_xlfn.XLOOKUP(D978,Table_Tarikan_Warkah[Nomor Tiket],Table_Tarikan_Warkah[Tanggal diserahkan kepada Validator]),"")</f>
        <v>45625.66739</v>
      </c>
      <c r="F978" s="20" t="str">
        <f t="array" ref="F978">IFNA(_xlfn.XLOOKUP(D978,Table_Tarikan_Warkah[Nomor Tiket],Table_Tarikan_Warkah[Nama Petugas Warkah]),"")</f>
        <v/>
      </c>
      <c r="G978" s="21" t="str">
        <f t="array" ref="G978">IFNA(_xlfn.XLOOKUP(D978,Table_Tarikan_Warkah[Nomor Tiket],Table_Tarikan_Warkah[Jenis Permohonan]),"")</f>
        <v>GANTI NAMA +ROYA</v>
      </c>
      <c r="H978" s="22" t="s">
        <v>37</v>
      </c>
      <c r="I978" s="22" t="s">
        <v>187</v>
      </c>
      <c r="J978" s="20">
        <f t="shared" si="29"/>
        <v>45628.48</v>
      </c>
      <c r="K978" s="27" t="s">
        <v>33</v>
      </c>
      <c r="L978" s="27" t="s">
        <v>187</v>
      </c>
      <c r="M978" s="20">
        <f t="shared" si="30"/>
        <v>45628.69367</v>
      </c>
      <c r="N978" s="8" t="str">
        <f t="shared" si="3"/>
        <v>Selesai</v>
      </c>
      <c r="O978" s="23">
        <f t="shared" si="22"/>
        <v>45628.69367</v>
      </c>
      <c r="P978" s="24" t="b">
        <v>1</v>
      </c>
      <c r="Q978" s="20">
        <f t="shared" si="31"/>
        <v>45628.69367</v>
      </c>
      <c r="R978" s="24" t="b">
        <v>0</v>
      </c>
      <c r="S978" s="7" t="str">
        <f t="shared" si="6"/>
        <v/>
      </c>
      <c r="T978" s="7"/>
    </row>
    <row r="979" ht="22.5" hidden="1" customHeight="1">
      <c r="B979" s="7">
        <f t="shared" si="7"/>
        <v>973</v>
      </c>
      <c r="C979" s="18" t="s">
        <v>943</v>
      </c>
      <c r="D979" s="19" t="str">
        <f t="array" ref="D979">IFNA(_xlfn.XLOOKUP(C979,Table_Tarikan_Warkah[Nomor Sertipikat],Table_Tarikan_Warkah[Nomor Tiket]),"")</f>
        <v>L/44/281124/1</v>
      </c>
      <c r="E979" s="20" t="str">
        <f t="array" ref="E979">IFNA(_xlfn.XLOOKUP(D979,Table_Tarikan_Warkah[Nomor Tiket],Table_Tarikan_Warkah[Tanggal diserahkan kepada Validator]),"")</f>
        <v/>
      </c>
      <c r="F979" s="20" t="str">
        <f t="array" ref="F979">IFNA(_xlfn.XLOOKUP(D979,Table_Tarikan_Warkah[Nomor Tiket],Table_Tarikan_Warkah[Nama Petugas Warkah]),"")</f>
        <v/>
      </c>
      <c r="G979" s="21" t="str">
        <f t="array" ref="G979">IFNA(_xlfn.XLOOKUP(D979,Table_Tarikan_Warkah[Nomor Tiket],Table_Tarikan_Warkah[Jenis Permohonan]),"")</f>
        <v>ROYA</v>
      </c>
      <c r="H979" s="22" t="s">
        <v>37</v>
      </c>
      <c r="I979" s="22" t="s">
        <v>32</v>
      </c>
      <c r="J979" s="20">
        <f t="shared" si="29"/>
        <v>45628.57524</v>
      </c>
      <c r="K979" s="22" t="s">
        <v>65</v>
      </c>
      <c r="L979" s="22" t="s">
        <v>32</v>
      </c>
      <c r="M979" s="20">
        <f t="shared" si="30"/>
        <v>45628.69367</v>
      </c>
      <c r="N979" s="8" t="str">
        <f t="shared" si="3"/>
        <v>SELESAI</v>
      </c>
      <c r="O979" s="23">
        <f t="shared" si="22"/>
        <v>45628.69367</v>
      </c>
      <c r="P979" s="24" t="b">
        <v>0</v>
      </c>
      <c r="Q979" s="20" t="str">
        <f t="shared" si="31"/>
        <v/>
      </c>
      <c r="R979" s="24" t="b">
        <v>1</v>
      </c>
      <c r="S979" s="20">
        <f t="shared" si="6"/>
        <v>45628.69367</v>
      </c>
      <c r="T979" s="7"/>
    </row>
    <row r="980" ht="22.5" hidden="1" customHeight="1">
      <c r="B980" s="7">
        <f t="shared" si="7"/>
        <v>974</v>
      </c>
      <c r="C980" s="18" t="s">
        <v>944</v>
      </c>
      <c r="D980" s="19" t="str">
        <f t="array" ref="D980">IFNA(_xlfn.XLOOKUP(C980,Table_Tarikan_Warkah[Nomor Sertipikat],Table_Tarikan_Warkah[Nomor Tiket]),"")</f>
        <v>K/7/281124/1</v>
      </c>
      <c r="E980" s="20" t="str">
        <f t="array" ref="E980">IFNA(_xlfn.XLOOKUP(D980,Table_Tarikan_Warkah[Nomor Tiket],Table_Tarikan_Warkah[Tanggal diserahkan kepada Validator]),"")</f>
        <v/>
      </c>
      <c r="F980" s="20" t="str">
        <f t="array" ref="F980">IFNA(_xlfn.XLOOKUP(D980,Table_Tarikan_Warkah[Nomor Tiket],Table_Tarikan_Warkah[Nama Petugas Warkah]),"")</f>
        <v/>
      </c>
      <c r="G980" s="21" t="str">
        <f t="array" ref="G980">IFNA(_xlfn.XLOOKUP(D980,Table_Tarikan_Warkah[Nomor Tiket],Table_Tarikan_Warkah[Jenis Permohonan]),"")</f>
        <v>BN WARIS</v>
      </c>
      <c r="H980" s="22" t="s">
        <v>37</v>
      </c>
      <c r="I980" s="22" t="s">
        <v>32</v>
      </c>
      <c r="J980" s="20">
        <f t="shared" si="29"/>
        <v>45628.57532</v>
      </c>
      <c r="K980" s="27" t="s">
        <v>65</v>
      </c>
      <c r="L980" s="27" t="s">
        <v>32</v>
      </c>
      <c r="M980" s="20">
        <f t="shared" si="30"/>
        <v>45628.69367</v>
      </c>
      <c r="N980" s="8" t="str">
        <f t="shared" si="3"/>
        <v>SELESAI</v>
      </c>
      <c r="O980" s="23">
        <f t="shared" si="22"/>
        <v>45628.69367</v>
      </c>
      <c r="P980" s="24" t="b">
        <v>0</v>
      </c>
      <c r="Q980" s="20" t="str">
        <f t="shared" si="31"/>
        <v/>
      </c>
      <c r="R980" s="24" t="b">
        <v>1</v>
      </c>
      <c r="S980" s="20">
        <f t="shared" si="6"/>
        <v>45628.69367</v>
      </c>
      <c r="T980" s="7"/>
    </row>
    <row r="981" ht="22.5" hidden="1" customHeight="1">
      <c r="B981" s="7">
        <f t="shared" si="7"/>
        <v>975</v>
      </c>
      <c r="C981" s="18" t="s">
        <v>945</v>
      </c>
      <c r="D981" s="19" t="str">
        <f t="array" ref="D981">IFNA(_xlfn.XLOOKUP(C981,Table_Tarikan_Warkah[Nomor Sertipikat],Table_Tarikan_Warkah[Nomor Tiket]),"")</f>
        <v>K/12/281124/1</v>
      </c>
      <c r="E981" s="20" t="str">
        <f t="array" ref="E981">IFNA(_xlfn.XLOOKUP(D981,Table_Tarikan_Warkah[Nomor Tiket],Table_Tarikan_Warkah[Tanggal diserahkan kepada Validator]),"")</f>
        <v/>
      </c>
      <c r="F981" s="20" t="str">
        <f t="array" ref="F981">IFNA(_xlfn.XLOOKUP(D981,Table_Tarikan_Warkah[Nomor Tiket],Table_Tarikan_Warkah[Nama Petugas Warkah]),"")</f>
        <v>Berry</v>
      </c>
      <c r="G981" s="21" t="str">
        <f t="array" ref="G981">IFNA(_xlfn.XLOOKUP(D981,Table_Tarikan_Warkah[Nomor Tiket],Table_Tarikan_Warkah[Jenis Permohonan]),"")</f>
        <v>BN Jual Beli</v>
      </c>
      <c r="H981" s="22" t="s">
        <v>37</v>
      </c>
      <c r="I981" s="22" t="s">
        <v>32</v>
      </c>
      <c r="J981" s="20">
        <f t="shared" si="29"/>
        <v>45628.5754</v>
      </c>
      <c r="K981" s="22" t="s">
        <v>65</v>
      </c>
      <c r="L981" s="22" t="s">
        <v>32</v>
      </c>
      <c r="M981" s="20">
        <f t="shared" si="30"/>
        <v>45628.69367</v>
      </c>
      <c r="N981" s="8" t="str">
        <f t="shared" si="3"/>
        <v>SELESAI</v>
      </c>
      <c r="O981" s="23">
        <f t="shared" si="22"/>
        <v>45628.69367</v>
      </c>
      <c r="P981" s="24" t="b">
        <v>0</v>
      </c>
      <c r="Q981" s="20" t="str">
        <f t="shared" si="31"/>
        <v/>
      </c>
      <c r="R981" s="24" t="b">
        <v>1</v>
      </c>
      <c r="S981" s="20">
        <f t="shared" si="6"/>
        <v>45628.69367</v>
      </c>
      <c r="T981" s="7"/>
    </row>
    <row r="982" ht="22.5" hidden="1" customHeight="1">
      <c r="B982" s="7">
        <f t="shared" si="7"/>
        <v>976</v>
      </c>
      <c r="C982" s="18" t="s">
        <v>946</v>
      </c>
      <c r="D982" s="19" t="str">
        <f t="array" ref="D982">IFNA(_xlfn.XLOOKUP(C982,Table_Tarikan_Warkah[Nomor Sertipikat],Table_Tarikan_Warkah[Nomor Tiket]),"")</f>
        <v>K/15/281124/1</v>
      </c>
      <c r="E982" s="20">
        <f t="array" ref="E982">IFNA(_xlfn.XLOOKUP(D982,Table_Tarikan_Warkah[Nomor Tiket],Table_Tarikan_Warkah[Tanggal diserahkan kepada Validator]),"")</f>
        <v>45628.39943</v>
      </c>
      <c r="F982" s="20" t="str">
        <f t="array" ref="F982">IFNA(_xlfn.XLOOKUP(D982,Table_Tarikan_Warkah[Nomor Tiket],Table_Tarikan_Warkah[Nama Petugas Warkah]),"")</f>
        <v>Berry</v>
      </c>
      <c r="G982" s="21" t="str">
        <f t="array" ref="G982">IFNA(_xlfn.XLOOKUP(D982,Table_Tarikan_Warkah[Nomor Tiket],Table_Tarikan_Warkah[Jenis Permohonan]),"")</f>
        <v>BN Waris</v>
      </c>
      <c r="H982" s="22" t="s">
        <v>37</v>
      </c>
      <c r="I982" s="22" t="s">
        <v>32</v>
      </c>
      <c r="J982" s="20">
        <f t="shared" si="29"/>
        <v>45628.57563</v>
      </c>
      <c r="K982" s="22" t="s">
        <v>65</v>
      </c>
      <c r="L982" s="22" t="s">
        <v>32</v>
      </c>
      <c r="M982" s="20">
        <f t="shared" si="30"/>
        <v>45628.69367</v>
      </c>
      <c r="N982" s="8" t="str">
        <f t="shared" si="3"/>
        <v>SELESAI</v>
      </c>
      <c r="O982" s="23">
        <f t="shared" si="22"/>
        <v>45628.69367</v>
      </c>
      <c r="P982" s="24" t="b">
        <v>0</v>
      </c>
      <c r="Q982" s="20" t="str">
        <f t="shared" si="31"/>
        <v/>
      </c>
      <c r="R982" s="24" t="b">
        <v>1</v>
      </c>
      <c r="S982" s="20">
        <f t="shared" si="6"/>
        <v>45628.69367</v>
      </c>
      <c r="T982" s="7"/>
    </row>
    <row r="983" ht="22.5" hidden="1" customHeight="1">
      <c r="B983" s="7">
        <f t="shared" si="7"/>
        <v>977</v>
      </c>
      <c r="C983" s="18" t="s">
        <v>947</v>
      </c>
      <c r="D983" s="19" t="str">
        <f t="array" ref="D983">IFNA(_xlfn.XLOOKUP(C983,Table_Tarikan_Warkah[Nomor Sertipikat],Table_Tarikan_Warkah[Nomor Tiket]),"")</f>
        <v>K/16/281124/2</v>
      </c>
      <c r="E983" s="20">
        <f t="array" ref="E983">IFNA(_xlfn.XLOOKUP(D983,Table_Tarikan_Warkah[Nomor Tiket],Table_Tarikan_Warkah[Tanggal diserahkan kepada Validator]),"")</f>
        <v>45628.39961</v>
      </c>
      <c r="F983" s="20" t="str">
        <f t="array" ref="F983">IFNA(_xlfn.XLOOKUP(D983,Table_Tarikan_Warkah[Nomor Tiket],Table_Tarikan_Warkah[Nama Petugas Warkah]),"")</f>
        <v>Berry</v>
      </c>
      <c r="G983" s="21" t="str">
        <f t="array" ref="G983">IFNA(_xlfn.XLOOKUP(D983,Table_Tarikan_Warkah[Nomor Tiket],Table_Tarikan_Warkah[Jenis Permohonan]),"")</f>
        <v>BN Waris</v>
      </c>
      <c r="H983" s="22" t="s">
        <v>37</v>
      </c>
      <c r="I983" s="22" t="s">
        <v>32</v>
      </c>
      <c r="J983" s="20">
        <f t="shared" si="29"/>
        <v>45628.57573</v>
      </c>
      <c r="K983" s="27" t="s">
        <v>65</v>
      </c>
      <c r="L983" s="27" t="s">
        <v>32</v>
      </c>
      <c r="M983" s="20">
        <f t="shared" si="30"/>
        <v>45628.69367</v>
      </c>
      <c r="N983" s="8" t="str">
        <f t="shared" si="3"/>
        <v>SELESAI</v>
      </c>
      <c r="O983" s="23">
        <f t="shared" si="22"/>
        <v>45628.69367</v>
      </c>
      <c r="P983" s="24" t="b">
        <v>0</v>
      </c>
      <c r="Q983" s="20" t="str">
        <f t="shared" si="31"/>
        <v/>
      </c>
      <c r="R983" s="24" t="b">
        <v>1</v>
      </c>
      <c r="S983" s="20">
        <f t="shared" si="6"/>
        <v>45628.69367</v>
      </c>
      <c r="T983" s="7"/>
    </row>
    <row r="984" ht="22.5" hidden="1" customHeight="1">
      <c r="B984" s="7">
        <f t="shared" si="7"/>
        <v>978</v>
      </c>
      <c r="C984" s="18" t="s">
        <v>948</v>
      </c>
      <c r="D984" s="19" t="str">
        <f t="array" ref="D984">IFNA(_xlfn.XLOOKUP(C984,Table_Tarikan_Warkah[Nomor Sertipikat],Table_Tarikan_Warkah[Nomor Tiket]),"")</f>
        <v>K/17/281124/1</v>
      </c>
      <c r="E984" s="20" t="str">
        <f t="array" ref="E984">IFNA(_xlfn.XLOOKUP(D984,Table_Tarikan_Warkah[Nomor Tiket],Table_Tarikan_Warkah[Tanggal diserahkan kepada Validator]),"")</f>
        <v/>
      </c>
      <c r="F984" s="20" t="str">
        <f t="array" ref="F984">IFNA(_xlfn.XLOOKUP(D984,Table_Tarikan_Warkah[Nomor Tiket],Table_Tarikan_Warkah[Nama Petugas Warkah]),"")</f>
        <v>Berry</v>
      </c>
      <c r="G984" s="21" t="str">
        <f t="array" ref="G984">IFNA(_xlfn.XLOOKUP(D984,Table_Tarikan_Warkah[Nomor Tiket],Table_Tarikan_Warkah[Jenis Permohonan]),"")</f>
        <v>BN JUAL BELI</v>
      </c>
      <c r="H984" s="22" t="s">
        <v>37</v>
      </c>
      <c r="I984" s="22" t="s">
        <v>32</v>
      </c>
      <c r="J984" s="20">
        <f t="shared" si="29"/>
        <v>45628.57582</v>
      </c>
      <c r="K984" s="22" t="s">
        <v>65</v>
      </c>
      <c r="L984" s="22" t="s">
        <v>32</v>
      </c>
      <c r="M984" s="20">
        <f t="shared" si="30"/>
        <v>45628.69367</v>
      </c>
      <c r="N984" s="8" t="str">
        <f t="shared" si="3"/>
        <v>SELESAI</v>
      </c>
      <c r="O984" s="23">
        <f t="shared" si="22"/>
        <v>45628.69367</v>
      </c>
      <c r="P984" s="24" t="b">
        <v>0</v>
      </c>
      <c r="Q984" s="20" t="str">
        <f t="shared" si="31"/>
        <v/>
      </c>
      <c r="R984" s="24" t="b">
        <v>1</v>
      </c>
      <c r="S984" s="20">
        <f t="shared" si="6"/>
        <v>45628.69367</v>
      </c>
      <c r="T984" s="7"/>
    </row>
    <row r="985" ht="22.5" hidden="1" customHeight="1">
      <c r="B985" s="7">
        <f t="shared" si="7"/>
        <v>979</v>
      </c>
      <c r="C985" s="18" t="s">
        <v>949</v>
      </c>
      <c r="D985" s="19" t="str">
        <f t="array" ref="D985">IFNA(_xlfn.XLOOKUP(C985,Table_Tarikan_Warkah[Nomor Sertipikat],Table_Tarikan_Warkah[Nomor Tiket]),"")</f>
        <v>K/20/281124/1</v>
      </c>
      <c r="E985" s="20" t="str">
        <f t="array" ref="E985">IFNA(_xlfn.XLOOKUP(D985,Table_Tarikan_Warkah[Nomor Tiket],Table_Tarikan_Warkah[Tanggal diserahkan kepada Validator]),"")</f>
        <v/>
      </c>
      <c r="F985" s="20" t="str">
        <f t="array" ref="F985">IFNA(_xlfn.XLOOKUP(D985,Table_Tarikan_Warkah[Nomor Tiket],Table_Tarikan_Warkah[Nama Petugas Warkah]),"")</f>
        <v/>
      </c>
      <c r="G985" s="21" t="str">
        <f t="array" ref="G985">IFNA(_xlfn.XLOOKUP(D985,Table_Tarikan_Warkah[Nomor Tiket],Table_Tarikan_Warkah[Jenis Permohonan]),"")</f>
        <v>ROYA</v>
      </c>
      <c r="H985" s="22" t="s">
        <v>37</v>
      </c>
      <c r="I985" s="22" t="s">
        <v>32</v>
      </c>
      <c r="J985" s="20">
        <f t="shared" si="29"/>
        <v>45628.57592</v>
      </c>
      <c r="K985" s="22" t="s">
        <v>65</v>
      </c>
      <c r="L985" s="22" t="s">
        <v>32</v>
      </c>
      <c r="M985" s="20">
        <f t="shared" si="30"/>
        <v>45628.69367</v>
      </c>
      <c r="N985" s="8" t="str">
        <f t="shared" si="3"/>
        <v>SELESAI</v>
      </c>
      <c r="O985" s="23">
        <f t="shared" si="22"/>
        <v>45628.69367</v>
      </c>
      <c r="P985" s="24" t="b">
        <v>0</v>
      </c>
      <c r="Q985" s="20" t="str">
        <f t="shared" si="31"/>
        <v/>
      </c>
      <c r="R985" s="24" t="b">
        <v>1</v>
      </c>
      <c r="S985" s="20">
        <f t="shared" si="6"/>
        <v>45628.69367</v>
      </c>
      <c r="T985" s="7"/>
    </row>
    <row r="986" ht="22.5" hidden="1" customHeight="1">
      <c r="B986" s="7">
        <f t="shared" si="7"/>
        <v>980</v>
      </c>
      <c r="C986" s="18" t="s">
        <v>950</v>
      </c>
      <c r="D986" s="19" t="str">
        <f t="array" ref="D986">IFNA(_xlfn.XLOOKUP(C986,Table_Tarikan_Warkah[Nomor Sertipikat],Table_Tarikan_Warkah[Nomor Tiket]),"")</f>
        <v>K/18/281124/2</v>
      </c>
      <c r="E986" s="20">
        <f t="array" ref="E986">IFNA(_xlfn.XLOOKUP(D986,Table_Tarikan_Warkah[Nomor Tiket],Table_Tarikan_Warkah[Tanggal diserahkan kepada Validator]),"")</f>
        <v>45628.40159</v>
      </c>
      <c r="F986" s="20" t="str">
        <f t="array" ref="F986">IFNA(_xlfn.XLOOKUP(D986,Table_Tarikan_Warkah[Nomor Tiket],Table_Tarikan_Warkah[Nama Petugas Warkah]),"")</f>
        <v>David</v>
      </c>
      <c r="G986" s="21" t="str">
        <f t="array" ref="G986">IFNA(_xlfn.XLOOKUP(D986,Table_Tarikan_Warkah[Nomor Tiket],Table_Tarikan_Warkah[Jenis Permohonan]),"")</f>
        <v>BN JUAL BELI</v>
      </c>
      <c r="H986" s="22" t="s">
        <v>37</v>
      </c>
      <c r="I986" s="22" t="s">
        <v>32</v>
      </c>
      <c r="J986" s="20">
        <f t="shared" si="29"/>
        <v>45628.57604</v>
      </c>
      <c r="K986" s="27" t="s">
        <v>65</v>
      </c>
      <c r="L986" s="27" t="s">
        <v>32</v>
      </c>
      <c r="M986" s="20">
        <f t="shared" si="30"/>
        <v>45628.69367</v>
      </c>
      <c r="N986" s="8" t="str">
        <f t="shared" si="3"/>
        <v>SELESAI</v>
      </c>
      <c r="O986" s="23">
        <f t="shared" si="22"/>
        <v>45628.69367</v>
      </c>
      <c r="P986" s="24" t="b">
        <v>0</v>
      </c>
      <c r="Q986" s="20" t="str">
        <f t="shared" si="31"/>
        <v/>
      </c>
      <c r="R986" s="24" t="b">
        <v>1</v>
      </c>
      <c r="S986" s="20">
        <f t="shared" si="6"/>
        <v>45628.69367</v>
      </c>
      <c r="T986" s="7"/>
    </row>
    <row r="987" ht="22.5" hidden="1" customHeight="1">
      <c r="B987" s="7">
        <f t="shared" si="7"/>
        <v>981</v>
      </c>
      <c r="C987" s="18" t="s">
        <v>951</v>
      </c>
      <c r="D987" s="19" t="str">
        <f t="array" ref="D987">IFNA(_xlfn.XLOOKUP(C987,Table_Tarikan_Warkah[Nomor Sertipikat],Table_Tarikan_Warkah[Nomor Tiket]),"")</f>
        <v>K/19/281124/3</v>
      </c>
      <c r="E987" s="20" t="str">
        <f t="array" ref="E987">IFNA(_xlfn.XLOOKUP(D987,Table_Tarikan_Warkah[Nomor Tiket],Table_Tarikan_Warkah[Tanggal diserahkan kepada Validator]),"")</f>
        <v/>
      </c>
      <c r="F987" s="20" t="str">
        <f t="array" ref="F987">IFNA(_xlfn.XLOOKUP(D987,Table_Tarikan_Warkah[Nomor Tiket],Table_Tarikan_Warkah[Nama Petugas Warkah]),"")</f>
        <v>David</v>
      </c>
      <c r="G987" s="21" t="str">
        <f t="array" ref="G987">IFNA(_xlfn.XLOOKUP(D987,Table_Tarikan_Warkah[Nomor Tiket],Table_Tarikan_Warkah[Jenis Permohonan]),"")</f>
        <v>BN JUAL BELI</v>
      </c>
      <c r="H987" s="22" t="s">
        <v>37</v>
      </c>
      <c r="I987" s="22" t="s">
        <v>32</v>
      </c>
      <c r="J987" s="20">
        <f t="shared" si="29"/>
        <v>45628.57613</v>
      </c>
      <c r="K987" s="22" t="s">
        <v>65</v>
      </c>
      <c r="L987" s="22" t="s">
        <v>32</v>
      </c>
      <c r="M987" s="20">
        <f t="shared" si="30"/>
        <v>45628.69367</v>
      </c>
      <c r="N987" s="8" t="str">
        <f t="shared" si="3"/>
        <v>SELESAI</v>
      </c>
      <c r="O987" s="23">
        <f t="shared" si="22"/>
        <v>45628.69367</v>
      </c>
      <c r="P987" s="24" t="b">
        <v>0</v>
      </c>
      <c r="Q987" s="20" t="str">
        <f t="shared" si="31"/>
        <v/>
      </c>
      <c r="R987" s="24" t="b">
        <v>1</v>
      </c>
      <c r="S987" s="20">
        <f t="shared" si="6"/>
        <v>45628.69367</v>
      </c>
      <c r="T987" s="7"/>
    </row>
    <row r="988" ht="22.5" hidden="1" customHeight="1">
      <c r="B988" s="7">
        <f t="shared" si="7"/>
        <v>982</v>
      </c>
      <c r="C988" s="18" t="s">
        <v>952</v>
      </c>
      <c r="D988" s="19" t="str">
        <f t="array" ref="D988">IFNA(_xlfn.XLOOKUP(C988,Table_Tarikan_Warkah[Nomor Sertipikat],Table_Tarikan_Warkah[Nomor Tiket]),"")</f>
        <v>K/26/281124/1</v>
      </c>
      <c r="E988" s="20" t="str">
        <f t="array" ref="E988">IFNA(_xlfn.XLOOKUP(D988,Table_Tarikan_Warkah[Nomor Tiket],Table_Tarikan_Warkah[Tanggal diserahkan kepada Validator]),"")</f>
        <v/>
      </c>
      <c r="F988" s="20" t="str">
        <f t="array" ref="F988">IFNA(_xlfn.XLOOKUP(D988,Table_Tarikan_Warkah[Nomor Tiket],Table_Tarikan_Warkah[Nama Petugas Warkah]),"")</f>
        <v/>
      </c>
      <c r="G988" s="21" t="str">
        <f t="array" ref="G988">IFNA(_xlfn.XLOOKUP(D988,Table_Tarikan_Warkah[Nomor Tiket],Table_Tarikan_Warkah[Jenis Permohonan]),"")</f>
        <v>BN Jual Beli</v>
      </c>
      <c r="H988" s="22" t="s">
        <v>37</v>
      </c>
      <c r="I988" s="22" t="s">
        <v>32</v>
      </c>
      <c r="J988" s="20">
        <f t="shared" si="29"/>
        <v>45628.57621</v>
      </c>
      <c r="K988" s="22" t="s">
        <v>65</v>
      </c>
      <c r="L988" s="22" t="s">
        <v>32</v>
      </c>
      <c r="M988" s="20">
        <f t="shared" si="30"/>
        <v>45628.69367</v>
      </c>
      <c r="N988" s="8" t="str">
        <f t="shared" si="3"/>
        <v>SELESAI</v>
      </c>
      <c r="O988" s="23">
        <f t="shared" si="22"/>
        <v>45628.69367</v>
      </c>
      <c r="P988" s="24" t="b">
        <v>0</v>
      </c>
      <c r="Q988" s="20" t="str">
        <f t="shared" si="31"/>
        <v/>
      </c>
      <c r="R988" s="24" t="b">
        <v>1</v>
      </c>
      <c r="S988" s="20">
        <f t="shared" si="6"/>
        <v>45628.69367</v>
      </c>
      <c r="T988" s="7"/>
    </row>
    <row r="989" ht="22.5" hidden="1" customHeight="1">
      <c r="B989" s="7">
        <f t="shared" si="7"/>
        <v>983</v>
      </c>
      <c r="C989" s="18" t="s">
        <v>953</v>
      </c>
      <c r="D989" s="19" t="str">
        <f t="array" ref="D989">IFNA(_xlfn.XLOOKUP(C989,Table_Tarikan_Warkah[Nomor Sertipikat],Table_Tarikan_Warkah[Nomor Tiket]),"")</f>
        <v>K/34/281124/2</v>
      </c>
      <c r="E989" s="20" t="str">
        <f t="array" ref="E989">IFNA(_xlfn.XLOOKUP(D989,Table_Tarikan_Warkah[Nomor Tiket],Table_Tarikan_Warkah[Tanggal diserahkan kepada Validator]),"")</f>
        <v/>
      </c>
      <c r="F989" s="20" t="str">
        <f t="array" ref="F989">IFNA(_xlfn.XLOOKUP(D989,Table_Tarikan_Warkah[Nomor Tiket],Table_Tarikan_Warkah[Nama Petugas Warkah]),"")</f>
        <v/>
      </c>
      <c r="G989" s="21" t="str">
        <f t="array" ref="G989">IFNA(_xlfn.XLOOKUP(D989,Table_Tarikan_Warkah[Nomor Tiket],Table_Tarikan_Warkah[Jenis Permohonan]),"")</f>
        <v>KEWARISAN</v>
      </c>
      <c r="H989" s="22" t="s">
        <v>37</v>
      </c>
      <c r="I989" s="22" t="s">
        <v>32</v>
      </c>
      <c r="J989" s="20">
        <f t="shared" si="29"/>
        <v>45628.5764</v>
      </c>
      <c r="K989" s="27" t="s">
        <v>65</v>
      </c>
      <c r="L989" s="27" t="s">
        <v>32</v>
      </c>
      <c r="M989" s="20">
        <f t="shared" si="30"/>
        <v>45628.69367</v>
      </c>
      <c r="N989" s="8" t="str">
        <f t="shared" si="3"/>
        <v>SELESAI</v>
      </c>
      <c r="O989" s="23">
        <f t="shared" si="22"/>
        <v>45628.69367</v>
      </c>
      <c r="P989" s="24" t="b">
        <v>0</v>
      </c>
      <c r="Q989" s="20" t="str">
        <f t="shared" si="31"/>
        <v/>
      </c>
      <c r="R989" s="24" t="b">
        <v>1</v>
      </c>
      <c r="S989" s="20">
        <f t="shared" si="6"/>
        <v>45628.69367</v>
      </c>
      <c r="T989" s="7"/>
    </row>
    <row r="990" ht="22.5" hidden="1" customHeight="1">
      <c r="B990" s="7">
        <f t="shared" si="7"/>
        <v>984</v>
      </c>
      <c r="C990" s="18" t="s">
        <v>954</v>
      </c>
      <c r="D990" s="19" t="str">
        <f t="array" ref="D990">IFNA(_xlfn.XLOOKUP(C990,Table_Tarikan_Warkah[Nomor Sertipikat],Table_Tarikan_Warkah[Nomor Tiket]),"")</f>
        <v>K/42/281124/2</v>
      </c>
      <c r="E990" s="20">
        <f t="array" ref="E990">IFNA(_xlfn.XLOOKUP(D990,Table_Tarikan_Warkah[Nomor Tiket],Table_Tarikan_Warkah[Tanggal diserahkan kepada Validator]),"")</f>
        <v>45628.40576</v>
      </c>
      <c r="F990" s="20" t="str">
        <f t="array" ref="F990">IFNA(_xlfn.XLOOKUP(D990,Table_Tarikan_Warkah[Nomor Tiket],Table_Tarikan_Warkah[Nama Petugas Warkah]),"")</f>
        <v>David</v>
      </c>
      <c r="G990" s="21" t="str">
        <f t="array" ref="G990">IFNA(_xlfn.XLOOKUP(D990,Table_Tarikan_Warkah[Nomor Tiket],Table_Tarikan_Warkah[Jenis Permohonan]),"")</f>
        <v>BN JUAL BELI</v>
      </c>
      <c r="H990" s="22" t="s">
        <v>37</v>
      </c>
      <c r="I990" s="22" t="s">
        <v>32</v>
      </c>
      <c r="J990" s="20">
        <f t="shared" si="29"/>
        <v>45628.57677</v>
      </c>
      <c r="K990" s="22" t="s">
        <v>65</v>
      </c>
      <c r="L990" s="22" t="s">
        <v>32</v>
      </c>
      <c r="M990" s="20">
        <f t="shared" si="30"/>
        <v>45628.69367</v>
      </c>
      <c r="N990" s="8" t="str">
        <f t="shared" si="3"/>
        <v>SELESAI</v>
      </c>
      <c r="O990" s="23">
        <f t="shared" si="22"/>
        <v>45628.69367</v>
      </c>
      <c r="P990" s="24" t="b">
        <v>0</v>
      </c>
      <c r="Q990" s="20" t="str">
        <f t="shared" si="31"/>
        <v/>
      </c>
      <c r="R990" s="24" t="b">
        <v>1</v>
      </c>
      <c r="S990" s="20">
        <f t="shared" si="6"/>
        <v>45628.69367</v>
      </c>
      <c r="T990" s="7"/>
    </row>
    <row r="991" ht="22.5" hidden="1" customHeight="1">
      <c r="B991" s="7">
        <f t="shared" si="7"/>
        <v>985</v>
      </c>
      <c r="C991" s="18" t="s">
        <v>955</v>
      </c>
      <c r="D991" s="19" t="str">
        <f t="array" ref="D991">IFNA(_xlfn.XLOOKUP(C991,Table_Tarikan_Warkah[Nomor Sertipikat],Table_Tarikan_Warkah[Nomor Tiket]),"")</f>
        <v>K/41/281124/1</v>
      </c>
      <c r="E991" s="20">
        <f t="array" ref="E991">IFNA(_xlfn.XLOOKUP(D991,Table_Tarikan_Warkah[Nomor Tiket],Table_Tarikan_Warkah[Tanggal diserahkan kepada Validator]),"")</f>
        <v>45628.40539</v>
      </c>
      <c r="F991" s="20" t="str">
        <f t="array" ref="F991">IFNA(_xlfn.XLOOKUP(D991,Table_Tarikan_Warkah[Nomor Tiket],Table_Tarikan_Warkah[Nama Petugas Warkah]),"")</f>
        <v>David</v>
      </c>
      <c r="G991" s="21" t="str">
        <f t="array" ref="G991">IFNA(_xlfn.XLOOKUP(D991,Table_Tarikan_Warkah[Nomor Tiket],Table_Tarikan_Warkah[Jenis Permohonan]),"")</f>
        <v>BN JUAL BELI</v>
      </c>
      <c r="H991" s="22" t="s">
        <v>37</v>
      </c>
      <c r="I991" s="22" t="s">
        <v>32</v>
      </c>
      <c r="J991" s="20">
        <f t="shared" si="29"/>
        <v>45628.57687</v>
      </c>
      <c r="K991" s="27" t="s">
        <v>65</v>
      </c>
      <c r="L991" s="27" t="s">
        <v>32</v>
      </c>
      <c r="M991" s="20">
        <f t="shared" si="30"/>
        <v>45628.69367</v>
      </c>
      <c r="N991" s="8" t="str">
        <f t="shared" si="3"/>
        <v>SELESAI</v>
      </c>
      <c r="O991" s="23">
        <f t="shared" si="22"/>
        <v>45628.69367</v>
      </c>
      <c r="P991" s="24" t="b">
        <v>0</v>
      </c>
      <c r="Q991" s="20" t="str">
        <f t="shared" si="31"/>
        <v/>
      </c>
      <c r="R991" s="24" t="b">
        <v>1</v>
      </c>
      <c r="S991" s="20">
        <f t="shared" si="6"/>
        <v>45628.69367</v>
      </c>
      <c r="T991" s="7"/>
    </row>
    <row r="992" ht="22.5" hidden="1" customHeight="1">
      <c r="B992" s="7">
        <f t="shared" si="7"/>
        <v>986</v>
      </c>
      <c r="C992" s="18" t="s">
        <v>956</v>
      </c>
      <c r="D992" s="19" t="str">
        <f t="array" ref="D992">IFNA(_xlfn.XLOOKUP(C992,Table_Tarikan_Warkah[Nomor Sertipikat],Table_Tarikan_Warkah[Nomor Tiket]),"")</f>
        <v>L/36/261124/1</v>
      </c>
      <c r="E992" s="20">
        <f t="array" ref="E992">IFNA(_xlfn.XLOOKUP(D992,Table_Tarikan_Warkah[Nomor Tiket],Table_Tarikan_Warkah[Tanggal diserahkan kepada Validator]),"")</f>
        <v>45628.41053</v>
      </c>
      <c r="F992" s="20" t="str">
        <f t="array" ref="F992">IFNA(_xlfn.XLOOKUP(D992,Table_Tarikan_Warkah[Nomor Tiket],Table_Tarikan_Warkah[Nama Petugas Warkah]),"")</f>
        <v>David</v>
      </c>
      <c r="G992" s="21" t="str">
        <f t="array" ref="G992">IFNA(_xlfn.XLOOKUP(D992,Table_Tarikan_Warkah[Nomor Tiket],Table_Tarikan_Warkah[Jenis Permohonan]),"")</f>
        <v>ROYA</v>
      </c>
      <c r="H992" s="22" t="s">
        <v>31</v>
      </c>
      <c r="I992" s="22" t="s">
        <v>32</v>
      </c>
      <c r="J992" s="20">
        <f t="shared" si="29"/>
        <v>45628.74287</v>
      </c>
      <c r="K992" s="22" t="s">
        <v>65</v>
      </c>
      <c r="L992" s="22" t="s">
        <v>32</v>
      </c>
      <c r="M992" s="20">
        <f t="shared" si="30"/>
        <v>45630.6326</v>
      </c>
      <c r="N992" s="8" t="str">
        <f t="shared" si="3"/>
        <v>SELESAI</v>
      </c>
      <c r="O992" s="23">
        <f t="shared" si="22"/>
        <v>45630.6326</v>
      </c>
      <c r="P992" s="24" t="b">
        <v>0</v>
      </c>
      <c r="Q992" s="20" t="str">
        <f t="shared" si="31"/>
        <v/>
      </c>
      <c r="R992" s="24" t="b">
        <v>1</v>
      </c>
      <c r="S992" s="20">
        <f t="shared" si="6"/>
        <v>45630.63345</v>
      </c>
      <c r="T992" s="7"/>
    </row>
    <row r="993" ht="22.5" hidden="1" customHeight="1">
      <c r="B993" s="7">
        <f t="shared" si="7"/>
        <v>987</v>
      </c>
      <c r="C993" s="18" t="s">
        <v>957</v>
      </c>
      <c r="D993" s="19" t="str">
        <f t="array" ref="D993">IFNA(_xlfn.XLOOKUP(C993,Table_Tarikan_Warkah[Nomor Sertipikat],Table_Tarikan_Warkah[Nomor Tiket]),"")</f>
        <v>L/32/261124/1</v>
      </c>
      <c r="E993" s="20">
        <f t="array" ref="E993">IFNA(_xlfn.XLOOKUP(D993,Table_Tarikan_Warkah[Nomor Tiket],Table_Tarikan_Warkah[Tanggal diserahkan kepada Validator]),"")</f>
        <v>45628.41461</v>
      </c>
      <c r="F993" s="20" t="str">
        <f t="array" ref="F993">IFNA(_xlfn.XLOOKUP(D993,Table_Tarikan_Warkah[Nomor Tiket],Table_Tarikan_Warkah[Nama Petugas Warkah]),"")</f>
        <v>David</v>
      </c>
      <c r="G993" s="21" t="str">
        <f t="array" ref="G993">IFNA(_xlfn.XLOOKUP(D993,Table_Tarikan_Warkah[Nomor Tiket],Table_Tarikan_Warkah[Jenis Permohonan]),"")</f>
        <v>ROYA</v>
      </c>
      <c r="H993" s="22" t="s">
        <v>31</v>
      </c>
      <c r="I993" s="22" t="s">
        <v>32</v>
      </c>
      <c r="J993" s="20">
        <f t="shared" si="29"/>
        <v>45628.7429</v>
      </c>
      <c r="K993" s="22" t="s">
        <v>65</v>
      </c>
      <c r="L993" s="22" t="s">
        <v>32</v>
      </c>
      <c r="M993" s="20">
        <f t="shared" si="30"/>
        <v>45630.6326</v>
      </c>
      <c r="N993" s="8" t="str">
        <f t="shared" si="3"/>
        <v>SELESAI</v>
      </c>
      <c r="O993" s="23">
        <f t="shared" si="22"/>
        <v>45630.6326</v>
      </c>
      <c r="P993" s="24" t="b">
        <v>0</v>
      </c>
      <c r="Q993" s="20" t="str">
        <f t="shared" si="31"/>
        <v/>
      </c>
      <c r="R993" s="24" t="b">
        <v>1</v>
      </c>
      <c r="S993" s="20">
        <f t="shared" si="6"/>
        <v>45630.63346</v>
      </c>
      <c r="T993" s="7"/>
    </row>
    <row r="994" ht="22.5" hidden="1" customHeight="1">
      <c r="B994" s="7">
        <f t="shared" si="7"/>
        <v>988</v>
      </c>
      <c r="C994" s="18" t="s">
        <v>958</v>
      </c>
      <c r="D994" s="19" t="str">
        <f t="array" ref="D994">IFNA(_xlfn.XLOOKUP(C994,Table_Tarikan_Warkah[Nomor Sertipikat],Table_Tarikan_Warkah[Nomor Tiket]),"")</f>
        <v>K/37/281124/2</v>
      </c>
      <c r="E994" s="20" t="str">
        <f t="array" ref="E994">IFNA(_xlfn.XLOOKUP(D994,Table_Tarikan_Warkah[Nomor Tiket],Table_Tarikan_Warkah[Tanggal diserahkan kepada Validator]),"")</f>
        <v/>
      </c>
      <c r="F994" s="20" t="str">
        <f t="array" ref="F994">IFNA(_xlfn.XLOOKUP(D994,Table_Tarikan_Warkah[Nomor Tiket],Table_Tarikan_Warkah[Nama Petugas Warkah]),"")</f>
        <v/>
      </c>
      <c r="G994" s="21" t="str">
        <f t="array" ref="G994">IFNA(_xlfn.XLOOKUP(D994,Table_Tarikan_Warkah[Nomor Tiket],Table_Tarikan_Warkah[Jenis Permohonan]),"")</f>
        <v>BN JUAL BELI</v>
      </c>
      <c r="H994" s="22" t="s">
        <v>31</v>
      </c>
      <c r="I994" s="22" t="s">
        <v>32</v>
      </c>
      <c r="J994" s="20">
        <f t="shared" si="29"/>
        <v>45628.7429</v>
      </c>
      <c r="K994" s="27" t="s">
        <v>65</v>
      </c>
      <c r="L994" s="27" t="s">
        <v>32</v>
      </c>
      <c r="M994" s="20">
        <f t="shared" si="30"/>
        <v>45630.6326</v>
      </c>
      <c r="N994" s="8" t="str">
        <f t="shared" si="3"/>
        <v>SELESAI</v>
      </c>
      <c r="O994" s="23">
        <f t="shared" si="22"/>
        <v>45630.6326</v>
      </c>
      <c r="P994" s="24" t="b">
        <v>0</v>
      </c>
      <c r="Q994" s="20" t="str">
        <f t="shared" si="31"/>
        <v/>
      </c>
      <c r="R994" s="24" t="b">
        <v>1</v>
      </c>
      <c r="S994" s="20">
        <f t="shared" si="6"/>
        <v>45630.63347</v>
      </c>
      <c r="T994" s="7"/>
    </row>
    <row r="995" ht="22.5" hidden="1" customHeight="1">
      <c r="B995" s="7">
        <f t="shared" si="7"/>
        <v>989</v>
      </c>
      <c r="C995" s="18" t="s">
        <v>959</v>
      </c>
      <c r="D995" s="19" t="str">
        <f t="array" ref="D995">IFNA(_xlfn.XLOOKUP(C995,Table_Tarikan_Warkah[Nomor Sertipikat],Table_Tarikan_Warkah[Nomor Tiket]),"")</f>
        <v>K/25/281124/1</v>
      </c>
      <c r="E995" s="20">
        <f t="array" ref="E995">IFNA(_xlfn.XLOOKUP(D995,Table_Tarikan_Warkah[Nomor Tiket],Table_Tarikan_Warkah[Tanggal diserahkan kepada Validator]),"")</f>
        <v>45628.40242</v>
      </c>
      <c r="F995" s="20" t="str">
        <f t="array" ref="F995">IFNA(_xlfn.XLOOKUP(D995,Table_Tarikan_Warkah[Nomor Tiket],Table_Tarikan_Warkah[Nama Petugas Warkah]),"")</f>
        <v>David</v>
      </c>
      <c r="G995" s="21" t="str">
        <f t="array" ref="G995">IFNA(_xlfn.XLOOKUP(D995,Table_Tarikan_Warkah[Nomor Tiket],Table_Tarikan_Warkah[Jenis Permohonan]),"")</f>
        <v>ROYA </v>
      </c>
      <c r="H995" s="22" t="s">
        <v>31</v>
      </c>
      <c r="I995" s="22" t="s">
        <v>32</v>
      </c>
      <c r="J995" s="20">
        <f t="shared" si="29"/>
        <v>45628.7429</v>
      </c>
      <c r="K995" s="22" t="s">
        <v>65</v>
      </c>
      <c r="L995" s="22" t="s">
        <v>32</v>
      </c>
      <c r="M995" s="20">
        <f t="shared" si="30"/>
        <v>45630.6326</v>
      </c>
      <c r="N995" s="8" t="str">
        <f t="shared" si="3"/>
        <v>SELESAI</v>
      </c>
      <c r="O995" s="23">
        <f t="shared" si="22"/>
        <v>45630.6326</v>
      </c>
      <c r="P995" s="24" t="b">
        <v>0</v>
      </c>
      <c r="Q995" s="20" t="str">
        <f t="shared" si="31"/>
        <v/>
      </c>
      <c r="R995" s="24" t="b">
        <v>1</v>
      </c>
      <c r="S995" s="20">
        <f t="shared" si="6"/>
        <v>45630.63347</v>
      </c>
      <c r="T995" s="7"/>
    </row>
    <row r="996" ht="22.5" hidden="1" customHeight="1">
      <c r="B996" s="7">
        <f t="shared" si="7"/>
        <v>990</v>
      </c>
      <c r="C996" s="18" t="s">
        <v>960</v>
      </c>
      <c r="D996" s="19" t="str">
        <f t="array" ref="D996">IFNA(_xlfn.XLOOKUP(C996,Table_Tarikan_Warkah[Nomor Sertipikat],Table_Tarikan_Warkah[Nomor Tiket]),"")</f>
        <v>K/21/311024/1</v>
      </c>
      <c r="E996" s="20" t="str">
        <f t="array" ref="E996">IFNA(_xlfn.XLOOKUP(D996,Table_Tarikan_Warkah[Nomor Tiket],Table_Tarikan_Warkah[Tanggal diserahkan kepada Validator]),"")</f>
        <v/>
      </c>
      <c r="F996" s="20" t="str">
        <f t="array" ref="F996">IFNA(_xlfn.XLOOKUP(D996,Table_Tarikan_Warkah[Nomor Tiket],Table_Tarikan_Warkah[Nama Petugas Warkah]),"")</f>
        <v/>
      </c>
      <c r="G996" s="21" t="str">
        <f t="array" ref="G996">IFNA(_xlfn.XLOOKUP(D996,Table_Tarikan_Warkah[Nomor Tiket],Table_Tarikan_Warkah[Jenis Permohonan]),"")</f>
        <v>GANTI KECAMATAN</v>
      </c>
      <c r="H996" s="22" t="s">
        <v>31</v>
      </c>
      <c r="I996" s="22" t="s">
        <v>32</v>
      </c>
      <c r="J996" s="20">
        <f t="shared" si="29"/>
        <v>45628.7429</v>
      </c>
      <c r="K996" s="22" t="s">
        <v>65</v>
      </c>
      <c r="L996" s="22" t="s">
        <v>32</v>
      </c>
      <c r="M996" s="20">
        <f t="shared" si="30"/>
        <v>45630.6326</v>
      </c>
      <c r="N996" s="8" t="str">
        <f t="shared" si="3"/>
        <v>SELESAI</v>
      </c>
      <c r="O996" s="23">
        <f t="shared" si="22"/>
        <v>45630.6326</v>
      </c>
      <c r="P996" s="24" t="b">
        <v>0</v>
      </c>
      <c r="Q996" s="20" t="str">
        <f t="shared" si="31"/>
        <v/>
      </c>
      <c r="R996" s="24" t="b">
        <v>1</v>
      </c>
      <c r="S996" s="20">
        <f t="shared" si="6"/>
        <v>45630.63352</v>
      </c>
      <c r="T996" s="7"/>
    </row>
    <row r="997" ht="22.5" hidden="1" customHeight="1">
      <c r="B997" s="7">
        <f t="shared" si="7"/>
        <v>991</v>
      </c>
      <c r="C997" s="18" t="s">
        <v>961</v>
      </c>
      <c r="D997" s="19" t="str">
        <f t="array" ref="D997">IFNA(_xlfn.XLOOKUP(C997,Table_Tarikan_Warkah[Nomor Sertipikat],Table_Tarikan_Warkah[Nomor Tiket]),"")</f>
        <v>K/33/261124/1</v>
      </c>
      <c r="E997" s="20" t="str">
        <f t="array" ref="E997">IFNA(_xlfn.XLOOKUP(D997,Table_Tarikan_Warkah[Nomor Tiket],Table_Tarikan_Warkah[Tanggal diserahkan kepada Validator]),"")</f>
        <v/>
      </c>
      <c r="F997" s="20" t="str">
        <f t="array" ref="F997">IFNA(_xlfn.XLOOKUP(D997,Table_Tarikan_Warkah[Nomor Tiket],Table_Tarikan_Warkah[Nama Petugas Warkah]),"")</f>
        <v/>
      </c>
      <c r="G997" s="21" t="str">
        <f t="array" ref="G997">IFNA(_xlfn.XLOOKUP(D997,Table_Tarikan_Warkah[Nomor Tiket],Table_Tarikan_Warkah[Jenis Permohonan]),"")</f>
        <v>BN JUAL BELI</v>
      </c>
      <c r="H997" s="22" t="s">
        <v>31</v>
      </c>
      <c r="I997" s="22" t="s">
        <v>32</v>
      </c>
      <c r="J997" s="20">
        <f t="shared" si="29"/>
        <v>45628.7429</v>
      </c>
      <c r="K997" s="27" t="s">
        <v>65</v>
      </c>
      <c r="L997" s="27" t="s">
        <v>32</v>
      </c>
      <c r="M997" s="20">
        <f t="shared" si="30"/>
        <v>45630.6326</v>
      </c>
      <c r="N997" s="8" t="str">
        <f t="shared" si="3"/>
        <v>SELESAI</v>
      </c>
      <c r="O997" s="23">
        <f t="shared" si="22"/>
        <v>45630.6326</v>
      </c>
      <c r="P997" s="24" t="b">
        <v>0</v>
      </c>
      <c r="Q997" s="20" t="str">
        <f t="shared" si="31"/>
        <v/>
      </c>
      <c r="R997" s="24" t="b">
        <v>1</v>
      </c>
      <c r="S997" s="20">
        <f t="shared" si="6"/>
        <v>45630.63352</v>
      </c>
      <c r="T997" s="7"/>
    </row>
    <row r="998" ht="22.5" hidden="1" customHeight="1">
      <c r="B998" s="7">
        <f t="shared" si="7"/>
        <v>992</v>
      </c>
      <c r="C998" s="18" t="s">
        <v>962</v>
      </c>
      <c r="D998" s="19" t="str">
        <f t="array" ref="D998">IFNA(_xlfn.XLOOKUP(C998,Table_Tarikan_Warkah[Nomor Sertipikat],Table_Tarikan_Warkah[Nomor Tiket]),"")</f>
        <v>L/5/281124/1</v>
      </c>
      <c r="E998" s="20" t="str">
        <f t="array" ref="E998">IFNA(_xlfn.XLOOKUP(D998,Table_Tarikan_Warkah[Nomor Tiket],Table_Tarikan_Warkah[Tanggal diserahkan kepada Validator]),"")</f>
        <v/>
      </c>
      <c r="F998" s="20" t="str">
        <f t="array" ref="F998">IFNA(_xlfn.XLOOKUP(D998,Table_Tarikan_Warkah[Nomor Tiket],Table_Tarikan_Warkah[Nama Petugas Warkah]),"")</f>
        <v>Berry</v>
      </c>
      <c r="G998" s="21" t="str">
        <f t="array" ref="G998">IFNA(_xlfn.XLOOKUP(D998,Table_Tarikan_Warkah[Nomor Tiket],Table_Tarikan_Warkah[Jenis Permohonan]),"")</f>
        <v>PH</v>
      </c>
      <c r="H998" s="22" t="s">
        <v>31</v>
      </c>
      <c r="I998" s="22" t="s">
        <v>32</v>
      </c>
      <c r="J998" s="20">
        <f t="shared" si="29"/>
        <v>45628.7429</v>
      </c>
      <c r="K998" s="22" t="s">
        <v>65</v>
      </c>
      <c r="L998" s="22" t="s">
        <v>32</v>
      </c>
      <c r="M998" s="20">
        <f t="shared" si="30"/>
        <v>45630.6326</v>
      </c>
      <c r="N998" s="8" t="str">
        <f t="shared" si="3"/>
        <v>SELESAI</v>
      </c>
      <c r="O998" s="23">
        <f t="shared" si="22"/>
        <v>45630.6326</v>
      </c>
      <c r="P998" s="24" t="b">
        <v>0</v>
      </c>
      <c r="Q998" s="20" t="str">
        <f t="shared" si="31"/>
        <v/>
      </c>
      <c r="R998" s="24" t="b">
        <v>1</v>
      </c>
      <c r="S998" s="20">
        <f t="shared" si="6"/>
        <v>45630.63352</v>
      </c>
      <c r="T998" s="7"/>
    </row>
    <row r="999" ht="22.5" hidden="1" customHeight="1">
      <c r="B999" s="7">
        <f t="shared" si="7"/>
        <v>993</v>
      </c>
      <c r="C999" s="18" t="s">
        <v>963</v>
      </c>
      <c r="D999" s="19" t="str">
        <f t="array" ref="D999">IFNA(_xlfn.XLOOKUP(C999,Table_Tarikan_Warkah[Nomor Sertipikat],Table_Tarikan_Warkah[Nomor Tiket]),"")</f>
        <v>K/28/261124/1</v>
      </c>
      <c r="E999" s="20" t="str">
        <f t="array" ref="E999">IFNA(_xlfn.XLOOKUP(D999,Table_Tarikan_Warkah[Nomor Tiket],Table_Tarikan_Warkah[Tanggal diserahkan kepada Validator]),"")</f>
        <v/>
      </c>
      <c r="F999" s="20" t="str">
        <f t="array" ref="F999">IFNA(_xlfn.XLOOKUP(D999,Table_Tarikan_Warkah[Nomor Tiket],Table_Tarikan_Warkah[Nama Petugas Warkah]),"")</f>
        <v/>
      </c>
      <c r="G999" s="21" t="str">
        <f t="array" ref="G999">IFNA(_xlfn.XLOOKUP(D999,Table_Tarikan_Warkah[Nomor Tiket],Table_Tarikan_Warkah[Jenis Permohonan]),"")</f>
        <v>BN JUAL BELI</v>
      </c>
      <c r="H999" s="22" t="s">
        <v>31</v>
      </c>
      <c r="I999" s="22" t="s">
        <v>32</v>
      </c>
      <c r="J999" s="20">
        <f t="shared" si="29"/>
        <v>45628.7429</v>
      </c>
      <c r="K999" s="27" t="s">
        <v>65</v>
      </c>
      <c r="L999" s="27" t="s">
        <v>32</v>
      </c>
      <c r="M999" s="20">
        <f t="shared" si="30"/>
        <v>45630.6326</v>
      </c>
      <c r="N999" s="8" t="str">
        <f t="shared" si="3"/>
        <v>SELESAI</v>
      </c>
      <c r="O999" s="23">
        <f t="shared" si="22"/>
        <v>45630.6326</v>
      </c>
      <c r="P999" s="24" t="b">
        <v>0</v>
      </c>
      <c r="Q999" s="20" t="str">
        <f t="shared" si="31"/>
        <v/>
      </c>
      <c r="R999" s="24" t="b">
        <v>1</v>
      </c>
      <c r="S999" s="20">
        <f t="shared" si="6"/>
        <v>45630.63352</v>
      </c>
      <c r="T999" s="7"/>
    </row>
    <row r="1000" ht="22.5" hidden="1" customHeight="1">
      <c r="B1000" s="7">
        <f t="shared" si="7"/>
        <v>994</v>
      </c>
      <c r="C1000" s="18" t="s">
        <v>964</v>
      </c>
      <c r="D1000" s="19" t="str">
        <f t="array" ref="D1000">IFNA(_xlfn.XLOOKUP(C1000,Table_Tarikan_Warkah[Nomor Sertipikat],Table_Tarikan_Warkah[Nomor Tiket]),"")</f>
        <v>K/14/261124/1</v>
      </c>
      <c r="E1000" s="20" t="str">
        <f t="array" ref="E1000">IFNA(_xlfn.XLOOKUP(D1000,Table_Tarikan_Warkah[Nomor Tiket],Table_Tarikan_Warkah[Tanggal diserahkan kepada Validator]),"")</f>
        <v/>
      </c>
      <c r="F1000" s="20" t="str">
        <f t="array" ref="F1000">IFNA(_xlfn.XLOOKUP(D1000,Table_Tarikan_Warkah[Nomor Tiket],Table_Tarikan_Warkah[Nama Petugas Warkah]),"")</f>
        <v/>
      </c>
      <c r="G1000" s="21" t="str">
        <f t="array" ref="G1000">IFNA(_xlfn.XLOOKUP(D1000,Table_Tarikan_Warkah[Nomor Tiket],Table_Tarikan_Warkah[Jenis Permohonan]),"")</f>
        <v>BN JUAL BELI</v>
      </c>
      <c r="H1000" s="22" t="s">
        <v>31</v>
      </c>
      <c r="I1000" s="22" t="s">
        <v>32</v>
      </c>
      <c r="J1000" s="20">
        <f t="shared" si="29"/>
        <v>45628.7429</v>
      </c>
      <c r="K1000" s="22" t="s">
        <v>65</v>
      </c>
      <c r="L1000" s="22" t="s">
        <v>32</v>
      </c>
      <c r="M1000" s="20">
        <f t="shared" si="30"/>
        <v>45630.63263</v>
      </c>
      <c r="N1000" s="8" t="str">
        <f t="shared" si="3"/>
        <v>SELESAI</v>
      </c>
      <c r="O1000" s="23">
        <f t="shared" si="22"/>
        <v>45630.63263</v>
      </c>
      <c r="P1000" s="24" t="b">
        <v>0</v>
      </c>
      <c r="Q1000" s="20" t="str">
        <f t="shared" si="31"/>
        <v/>
      </c>
      <c r="R1000" s="24" t="b">
        <v>1</v>
      </c>
      <c r="S1000" s="20">
        <f t="shared" si="6"/>
        <v>45630.63358</v>
      </c>
      <c r="T1000" s="7"/>
    </row>
    <row r="1001" ht="22.5" hidden="1" customHeight="1">
      <c r="B1001" s="7">
        <f t="shared" si="7"/>
        <v>995</v>
      </c>
      <c r="C1001" s="18" t="s">
        <v>965</v>
      </c>
      <c r="D1001" s="19" t="str">
        <f t="array" ref="D1001">IFNA(_xlfn.XLOOKUP(C1001,Table_Tarikan_Warkah[Nomor Sertipikat],Table_Tarikan_Warkah[Nomor Tiket]),"")</f>
        <v>K/28/281124/2</v>
      </c>
      <c r="E1001" s="20" t="str">
        <f t="array" ref="E1001">IFNA(_xlfn.XLOOKUP(D1001,Table_Tarikan_Warkah[Nomor Tiket],Table_Tarikan_Warkah[Tanggal diserahkan kepada Validator]),"")</f>
        <v/>
      </c>
      <c r="F1001" s="20" t="str">
        <f t="array" ref="F1001">IFNA(_xlfn.XLOOKUP(D1001,Table_Tarikan_Warkah[Nomor Tiket],Table_Tarikan_Warkah[Nama Petugas Warkah]),"")</f>
        <v>David</v>
      </c>
      <c r="G1001" s="21" t="str">
        <f t="array" ref="G1001">IFNA(_xlfn.XLOOKUP(D1001,Table_Tarikan_Warkah[Nomor Tiket],Table_Tarikan_Warkah[Jenis Permohonan]),"")</f>
        <v>ROYA</v>
      </c>
      <c r="H1001" s="22" t="s">
        <v>31</v>
      </c>
      <c r="I1001" s="22" t="s">
        <v>32</v>
      </c>
      <c r="J1001" s="20">
        <f t="shared" si="29"/>
        <v>45628.7429</v>
      </c>
      <c r="K1001" s="22" t="s">
        <v>65</v>
      </c>
      <c r="L1001" s="22" t="s">
        <v>32</v>
      </c>
      <c r="M1001" s="20">
        <f t="shared" si="30"/>
        <v>45630.63263</v>
      </c>
      <c r="N1001" s="8" t="str">
        <f t="shared" si="3"/>
        <v>SELESAI</v>
      </c>
      <c r="O1001" s="23">
        <f t="shared" si="22"/>
        <v>45630.63263</v>
      </c>
      <c r="P1001" s="24" t="b">
        <v>0</v>
      </c>
      <c r="Q1001" s="20" t="str">
        <f t="shared" si="31"/>
        <v/>
      </c>
      <c r="R1001" s="24" t="b">
        <v>1</v>
      </c>
      <c r="S1001" s="20">
        <f t="shared" si="6"/>
        <v>45630.63358</v>
      </c>
      <c r="T1001" s="7"/>
    </row>
    <row r="1002" ht="22.5" hidden="1" customHeight="1">
      <c r="B1002" s="7">
        <f t="shared" si="7"/>
        <v>996</v>
      </c>
      <c r="C1002" s="18" t="s">
        <v>966</v>
      </c>
      <c r="D1002" s="19" t="str">
        <f t="array" ref="D1002">IFNA(_xlfn.XLOOKUP(C1002,Table_Tarikan_Warkah[Nomor Sertipikat],Table_Tarikan_Warkah[Nomor Tiket]),"")</f>
        <v>K/43/281124/1</v>
      </c>
      <c r="E1002" s="20" t="str">
        <f t="array" ref="E1002">IFNA(_xlfn.XLOOKUP(D1002,Table_Tarikan_Warkah[Nomor Tiket],Table_Tarikan_Warkah[Tanggal diserahkan kepada Validator]),"")</f>
        <v/>
      </c>
      <c r="F1002" s="20" t="str">
        <f t="array" ref="F1002">IFNA(_xlfn.XLOOKUP(D1002,Table_Tarikan_Warkah[Nomor Tiket],Table_Tarikan_Warkah[Nama Petugas Warkah]),"")</f>
        <v/>
      </c>
      <c r="G1002" s="21" t="str">
        <f t="array" ref="G1002">IFNA(_xlfn.XLOOKUP(D1002,Table_Tarikan_Warkah[Nomor Tiket],Table_Tarikan_Warkah[Jenis Permohonan]),"")</f>
        <v>BN JUAL BELI</v>
      </c>
      <c r="H1002" s="22" t="s">
        <v>31</v>
      </c>
      <c r="I1002" s="22" t="s">
        <v>32</v>
      </c>
      <c r="J1002" s="20">
        <f t="shared" si="29"/>
        <v>45628.7429</v>
      </c>
      <c r="K1002" s="27" t="s">
        <v>65</v>
      </c>
      <c r="L1002" s="27" t="s">
        <v>32</v>
      </c>
      <c r="M1002" s="20">
        <f t="shared" si="30"/>
        <v>45630.63263</v>
      </c>
      <c r="N1002" s="8" t="str">
        <f t="shared" si="3"/>
        <v>SELESAI</v>
      </c>
      <c r="O1002" s="23">
        <f t="shared" si="22"/>
        <v>45630.63263</v>
      </c>
      <c r="P1002" s="24" t="b">
        <v>0</v>
      </c>
      <c r="Q1002" s="20" t="str">
        <f t="shared" si="31"/>
        <v/>
      </c>
      <c r="R1002" s="24" t="b">
        <v>1</v>
      </c>
      <c r="S1002" s="20">
        <f t="shared" si="6"/>
        <v>45630.63358</v>
      </c>
      <c r="T1002" s="7"/>
    </row>
    <row r="1003" ht="22.5" hidden="1" customHeight="1">
      <c r="B1003" s="7">
        <f t="shared" si="7"/>
        <v>997</v>
      </c>
      <c r="C1003" s="18" t="s">
        <v>967</v>
      </c>
      <c r="D1003" s="19" t="str">
        <f t="array" ref="D1003">IFNA(_xlfn.XLOOKUP(C1003,Table_Tarikan_Warkah[Nomor Sertipikat],Table_Tarikan_Warkah[Nomor Tiket]),"")</f>
        <v>K/23/261124/1</v>
      </c>
      <c r="E1003" s="20" t="str">
        <f t="array" ref="E1003">IFNA(_xlfn.XLOOKUP(D1003,Table_Tarikan_Warkah[Nomor Tiket],Table_Tarikan_Warkah[Tanggal diserahkan kepada Validator]),"")</f>
        <v/>
      </c>
      <c r="F1003" s="20" t="str">
        <f t="array" ref="F1003">IFNA(_xlfn.XLOOKUP(D1003,Table_Tarikan_Warkah[Nomor Tiket],Table_Tarikan_Warkah[Nama Petugas Warkah]),"")</f>
        <v/>
      </c>
      <c r="G1003" s="21" t="str">
        <f t="array" ref="G1003">IFNA(_xlfn.XLOOKUP(D1003,Table_Tarikan_Warkah[Nomor Tiket],Table_Tarikan_Warkah[Jenis Permohonan]),"")</f>
        <v>BN JUAL BELI</v>
      </c>
      <c r="H1003" s="22" t="s">
        <v>31</v>
      </c>
      <c r="I1003" s="22" t="s">
        <v>32</v>
      </c>
      <c r="J1003" s="20">
        <f t="shared" si="29"/>
        <v>45628.7429</v>
      </c>
      <c r="K1003" s="22" t="s">
        <v>65</v>
      </c>
      <c r="L1003" s="22" t="s">
        <v>32</v>
      </c>
      <c r="M1003" s="20">
        <f t="shared" si="30"/>
        <v>45630.63263</v>
      </c>
      <c r="N1003" s="8" t="str">
        <f t="shared" si="3"/>
        <v>SELESAI</v>
      </c>
      <c r="O1003" s="23">
        <f t="shared" si="22"/>
        <v>45630.63263</v>
      </c>
      <c r="P1003" s="24" t="b">
        <v>0</v>
      </c>
      <c r="Q1003" s="20" t="str">
        <f t="shared" si="31"/>
        <v/>
      </c>
      <c r="R1003" s="24" t="b">
        <v>1</v>
      </c>
      <c r="S1003" s="20">
        <f t="shared" si="6"/>
        <v>45630.63358</v>
      </c>
      <c r="T1003" s="7"/>
    </row>
    <row r="1004" ht="22.5" hidden="1" customHeight="1">
      <c r="B1004" s="7">
        <f t="shared" si="7"/>
        <v>998</v>
      </c>
      <c r="C1004" s="18" t="s">
        <v>968</v>
      </c>
      <c r="D1004" s="7" t="s">
        <v>969</v>
      </c>
      <c r="E1004" s="20" t="str">
        <f t="array" ref="E1004">IFNA(_xlfn.XLOOKUP(D1004,Table_Tarikan_Warkah[Nomor Tiket],Table_Tarikan_Warkah[Tanggal diserahkan kepada Validator]),"")</f>
        <v/>
      </c>
      <c r="F1004" s="20" t="str">
        <f t="array" ref="F1004">IFNA(_xlfn.XLOOKUP(D1004,Table_Tarikan_Warkah[Nomor Tiket],Table_Tarikan_Warkah[Nama Petugas Warkah]),"")</f>
        <v/>
      </c>
      <c r="G1004" s="21" t="str">
        <f t="array" ref="G1004">IFNA(_xlfn.XLOOKUP(D1004,Table_Tarikan_Warkah[Nomor Tiket],Table_Tarikan_Warkah[Jenis Permohonan]),"")</f>
        <v>BN waris</v>
      </c>
      <c r="H1004" s="22" t="s">
        <v>31</v>
      </c>
      <c r="I1004" s="22" t="s">
        <v>32</v>
      </c>
      <c r="J1004" s="20">
        <f t="shared" si="29"/>
        <v>45628.7429</v>
      </c>
      <c r="K1004" s="22" t="s">
        <v>65</v>
      </c>
      <c r="L1004" s="22" t="s">
        <v>32</v>
      </c>
      <c r="M1004" s="20">
        <f t="shared" si="30"/>
        <v>45630.63263</v>
      </c>
      <c r="N1004" s="8" t="str">
        <f t="shared" si="3"/>
        <v>SELESAI</v>
      </c>
      <c r="O1004" s="23">
        <f t="shared" si="22"/>
        <v>45630.63263</v>
      </c>
      <c r="P1004" s="24" t="b">
        <v>0</v>
      </c>
      <c r="Q1004" s="20" t="str">
        <f t="shared" si="31"/>
        <v/>
      </c>
      <c r="R1004" s="24" t="b">
        <v>1</v>
      </c>
      <c r="S1004" s="20">
        <f t="shared" si="6"/>
        <v>45630.63358</v>
      </c>
      <c r="T1004" s="7"/>
    </row>
    <row r="1005" ht="22.5" hidden="1" customHeight="1">
      <c r="B1005" s="7">
        <f t="shared" si="7"/>
        <v>999</v>
      </c>
      <c r="C1005" s="18" t="s">
        <v>970</v>
      </c>
      <c r="D1005" s="19" t="str">
        <f t="array" ref="D1005">IFNA(_xlfn.XLOOKUP(C1005,Table_Tarikan_Warkah[Nomor Sertipikat],Table_Tarikan_Warkah[Nomor Tiket]),"")</f>
        <v>K/35/291124/1</v>
      </c>
      <c r="E1005" s="20" t="str">
        <f t="array" ref="E1005">IFNA(_xlfn.XLOOKUP(D1005,Table_Tarikan_Warkah[Nomor Tiket],Table_Tarikan_Warkah[Tanggal diserahkan kepada Validator]),"")</f>
        <v/>
      </c>
      <c r="F1005" s="20" t="str">
        <f t="array" ref="F1005">IFNA(_xlfn.XLOOKUP(D1005,Table_Tarikan_Warkah[Nomor Tiket],Table_Tarikan_Warkah[Nama Petugas Warkah]),"")</f>
        <v/>
      </c>
      <c r="G1005" s="21" t="str">
        <f t="array" ref="G1005">IFNA(_xlfn.XLOOKUP(D1005,Table_Tarikan_Warkah[Nomor Tiket],Table_Tarikan_Warkah[Jenis Permohonan]),"")</f>
        <v>BN JUAL BELI</v>
      </c>
      <c r="H1005" s="22" t="s">
        <v>31</v>
      </c>
      <c r="I1005" s="22" t="s">
        <v>32</v>
      </c>
      <c r="J1005" s="20">
        <f t="shared" si="29"/>
        <v>45628.7429</v>
      </c>
      <c r="K1005" s="27" t="s">
        <v>65</v>
      </c>
      <c r="L1005" s="27" t="s">
        <v>32</v>
      </c>
      <c r="M1005" s="20">
        <f t="shared" si="30"/>
        <v>45630.63263</v>
      </c>
      <c r="N1005" s="8" t="str">
        <f t="shared" si="3"/>
        <v>SELESAI</v>
      </c>
      <c r="O1005" s="23">
        <f t="shared" si="22"/>
        <v>45630.63263</v>
      </c>
      <c r="P1005" s="24" t="b">
        <v>1</v>
      </c>
      <c r="Q1005" s="20">
        <f t="shared" si="31"/>
        <v>45636.70676</v>
      </c>
      <c r="R1005" s="24" t="b">
        <v>1</v>
      </c>
      <c r="S1005" s="20">
        <f t="shared" si="6"/>
        <v>45630.63358</v>
      </c>
      <c r="T1005" s="7"/>
    </row>
    <row r="1006" ht="22.5" hidden="1" customHeight="1">
      <c r="B1006" s="7">
        <f t="shared" si="7"/>
        <v>1000</v>
      </c>
      <c r="C1006" s="18" t="s">
        <v>971</v>
      </c>
      <c r="D1006" s="19" t="str">
        <f t="array" ref="D1006">IFNA(_xlfn.XLOOKUP(C1006,Table_Tarikan_Warkah[Nomor Sertipikat],Table_Tarikan_Warkah[Nomor Tiket]),"")</f>
        <v>K/37/291124/2</v>
      </c>
      <c r="E1006" s="20" t="str">
        <f t="array" ref="E1006">IFNA(_xlfn.XLOOKUP(D1006,Table_Tarikan_Warkah[Nomor Tiket],Table_Tarikan_Warkah[Tanggal diserahkan kepada Validator]),"")</f>
        <v/>
      </c>
      <c r="F1006" s="20" t="str">
        <f t="array" ref="F1006">IFNA(_xlfn.XLOOKUP(D1006,Table_Tarikan_Warkah[Nomor Tiket],Table_Tarikan_Warkah[Nama Petugas Warkah]),"")</f>
        <v/>
      </c>
      <c r="G1006" s="21" t="str">
        <f t="array" ref="G1006">IFNA(_xlfn.XLOOKUP(D1006,Table_Tarikan_Warkah[Nomor Tiket],Table_Tarikan_Warkah[Jenis Permohonan]),"")</f>
        <v>BN PHB</v>
      </c>
      <c r="H1006" s="22" t="s">
        <v>31</v>
      </c>
      <c r="I1006" s="22" t="s">
        <v>32</v>
      </c>
      <c r="J1006" s="20">
        <f t="shared" si="29"/>
        <v>45628.7429</v>
      </c>
      <c r="K1006" s="22" t="s">
        <v>65</v>
      </c>
      <c r="L1006" s="22" t="s">
        <v>32</v>
      </c>
      <c r="M1006" s="20">
        <f t="shared" si="30"/>
        <v>45630.63263</v>
      </c>
      <c r="N1006" s="8" t="str">
        <f t="shared" si="3"/>
        <v>SELESAI</v>
      </c>
      <c r="O1006" s="23">
        <f t="shared" si="22"/>
        <v>45630.63263</v>
      </c>
      <c r="P1006" s="24" t="b">
        <v>0</v>
      </c>
      <c r="Q1006" s="20" t="str">
        <f t="shared" si="31"/>
        <v/>
      </c>
      <c r="R1006" s="24" t="b">
        <v>1</v>
      </c>
      <c r="S1006" s="20">
        <f t="shared" si="6"/>
        <v>45630.63358</v>
      </c>
      <c r="T1006" s="7"/>
    </row>
    <row r="1007" ht="22.5" hidden="1" customHeight="1">
      <c r="B1007" s="7">
        <f t="shared" si="7"/>
        <v>1001</v>
      </c>
      <c r="C1007" s="18" t="s">
        <v>972</v>
      </c>
      <c r="D1007" s="19" t="str">
        <f t="array" ref="D1007">IFNA(_xlfn.XLOOKUP(C1007,Table_Tarikan_Warkah[Nomor Sertipikat],Table_Tarikan_Warkah[Nomor Tiket]),"")</f>
        <v>K/48/291124/1</v>
      </c>
      <c r="E1007" s="20">
        <f t="array" ref="E1007">IFNA(_xlfn.XLOOKUP(D1007,Table_Tarikan_Warkah[Nomor Tiket],Table_Tarikan_Warkah[Tanggal diserahkan kepada Validator]),"")</f>
        <v>45628.62991</v>
      </c>
      <c r="F1007" s="20" t="str">
        <f t="array" ref="F1007">IFNA(_xlfn.XLOOKUP(D1007,Table_Tarikan_Warkah[Nomor Tiket],Table_Tarikan_Warkah[Nama Petugas Warkah]),"")</f>
        <v>Berry</v>
      </c>
      <c r="G1007" s="21" t="str">
        <f t="array" ref="G1007">IFNA(_xlfn.XLOOKUP(D1007,Table_Tarikan_Warkah[Nomor Tiket],Table_Tarikan_Warkah[Jenis Permohonan]),"")</f>
        <v>BN JUAL BELI</v>
      </c>
      <c r="H1007" s="22" t="s">
        <v>31</v>
      </c>
      <c r="I1007" s="22" t="s">
        <v>32</v>
      </c>
      <c r="J1007" s="20">
        <f t="shared" si="29"/>
        <v>45628.7429</v>
      </c>
      <c r="K1007" s="22" t="s">
        <v>65</v>
      </c>
      <c r="L1007" s="22" t="s">
        <v>32</v>
      </c>
      <c r="M1007" s="20">
        <f t="shared" si="30"/>
        <v>45630.63263</v>
      </c>
      <c r="N1007" s="8" t="str">
        <f t="shared" si="3"/>
        <v>SELESAI</v>
      </c>
      <c r="O1007" s="23">
        <f t="shared" si="22"/>
        <v>45630.63263</v>
      </c>
      <c r="P1007" s="24" t="b">
        <v>1</v>
      </c>
      <c r="Q1007" s="20">
        <f t="shared" si="31"/>
        <v>45636.66331</v>
      </c>
      <c r="R1007" s="24" t="b">
        <v>1</v>
      </c>
      <c r="S1007" s="20">
        <f t="shared" si="6"/>
        <v>45630.63358</v>
      </c>
      <c r="T1007" s="7"/>
    </row>
    <row r="1008" ht="22.5" hidden="1" customHeight="1">
      <c r="B1008" s="7">
        <f t="shared" si="7"/>
        <v>1002</v>
      </c>
      <c r="C1008" s="18" t="s">
        <v>973</v>
      </c>
      <c r="D1008" s="19" t="str">
        <f t="array" ref="D1008">IFNA(_xlfn.XLOOKUP(C1008,Table_Tarikan_Warkah[Nomor Sertipikat],Table_Tarikan_Warkah[Nomor Tiket]),"")</f>
        <v>K/39/281124/1</v>
      </c>
      <c r="E1008" s="20">
        <f t="array" ref="E1008">IFNA(_xlfn.XLOOKUP(D1008,Table_Tarikan_Warkah[Nomor Tiket],Table_Tarikan_Warkah[Tanggal diserahkan kepada Validator]),"")</f>
        <v>45628.40471</v>
      </c>
      <c r="F1008" s="20" t="str">
        <f t="array" ref="F1008">IFNA(_xlfn.XLOOKUP(D1008,Table_Tarikan_Warkah[Nomor Tiket],Table_Tarikan_Warkah[Nama Petugas Warkah]),"")</f>
        <v>David</v>
      </c>
      <c r="G1008" s="21" t="str">
        <f t="array" ref="G1008">IFNA(_xlfn.XLOOKUP(D1008,Table_Tarikan_Warkah[Nomor Tiket],Table_Tarikan_Warkah[Jenis Permohonan]),"")</f>
        <v>ROYA</v>
      </c>
      <c r="H1008" s="22" t="s">
        <v>31</v>
      </c>
      <c r="I1008" s="22" t="s">
        <v>32</v>
      </c>
      <c r="J1008" s="20">
        <f t="shared" si="29"/>
        <v>45628.7429</v>
      </c>
      <c r="K1008" s="27" t="s">
        <v>65</v>
      </c>
      <c r="L1008" s="27" t="s">
        <v>32</v>
      </c>
      <c r="M1008" s="20">
        <f t="shared" si="30"/>
        <v>45630.63268</v>
      </c>
      <c r="N1008" s="8" t="str">
        <f t="shared" si="3"/>
        <v>SELESAI</v>
      </c>
      <c r="O1008" s="23">
        <f t="shared" si="22"/>
        <v>45630.63268</v>
      </c>
      <c r="P1008" s="24" t="b">
        <v>0</v>
      </c>
      <c r="Q1008" s="20" t="str">
        <f t="shared" si="31"/>
        <v/>
      </c>
      <c r="R1008" s="24" t="b">
        <v>1</v>
      </c>
      <c r="S1008" s="20">
        <f t="shared" si="6"/>
        <v>45630.63361</v>
      </c>
      <c r="T1008" s="7"/>
    </row>
    <row r="1009" ht="22.5" hidden="1" customHeight="1">
      <c r="B1009" s="7">
        <f t="shared" si="7"/>
        <v>1003</v>
      </c>
      <c r="C1009" s="18" t="s">
        <v>974</v>
      </c>
      <c r="D1009" s="19" t="str">
        <f t="array" ref="D1009">IFNA(_xlfn.XLOOKUP(C1009,Table_Tarikan_Warkah[Nomor Sertipikat],Table_Tarikan_Warkah[Nomor Tiket]),"")</f>
        <v>K/36/281124/1</v>
      </c>
      <c r="E1009" s="20">
        <f t="array" ref="E1009">IFNA(_xlfn.XLOOKUP(D1009,Table_Tarikan_Warkah[Nomor Tiket],Table_Tarikan_Warkah[Tanggal diserahkan kepada Validator]),"")</f>
        <v>45628.40438</v>
      </c>
      <c r="F1009" s="20" t="str">
        <f t="array" ref="F1009">IFNA(_xlfn.XLOOKUP(D1009,Table_Tarikan_Warkah[Nomor Tiket],Table_Tarikan_Warkah[Nama Petugas Warkah]),"")</f>
        <v>David</v>
      </c>
      <c r="G1009" s="21" t="str">
        <f t="array" ref="G1009">IFNA(_xlfn.XLOOKUP(D1009,Table_Tarikan_Warkah[Nomor Tiket],Table_Tarikan_Warkah[Jenis Permohonan]),"")</f>
        <v>BN JUAL BELI</v>
      </c>
      <c r="H1009" s="22" t="s">
        <v>31</v>
      </c>
      <c r="I1009" s="22" t="s">
        <v>32</v>
      </c>
      <c r="J1009" s="20">
        <f t="shared" si="29"/>
        <v>45628.7429</v>
      </c>
      <c r="K1009" s="22" t="s">
        <v>65</v>
      </c>
      <c r="L1009" s="22" t="s">
        <v>32</v>
      </c>
      <c r="M1009" s="20">
        <f t="shared" si="30"/>
        <v>45630.63268</v>
      </c>
      <c r="N1009" s="8" t="str">
        <f t="shared" si="3"/>
        <v>SELESAI</v>
      </c>
      <c r="O1009" s="23">
        <f t="shared" si="22"/>
        <v>45630.63268</v>
      </c>
      <c r="P1009" s="24" t="b">
        <v>1</v>
      </c>
      <c r="Q1009" s="20">
        <f t="shared" si="31"/>
        <v>45631.36749</v>
      </c>
      <c r="R1009" s="24" t="b">
        <v>1</v>
      </c>
      <c r="S1009" s="20">
        <f t="shared" si="6"/>
        <v>45630.63361</v>
      </c>
      <c r="T1009" s="7"/>
    </row>
    <row r="1010" ht="22.5" hidden="1" customHeight="1">
      <c r="B1010" s="7">
        <f t="shared" si="7"/>
        <v>1004</v>
      </c>
      <c r="C1010" s="18" t="s">
        <v>975</v>
      </c>
      <c r="D1010" s="19" t="str">
        <f t="array" ref="D1010">IFNA(_xlfn.XLOOKUP(C1010,Table_Tarikan_Warkah[Nomor Sertipikat],Table_Tarikan_Warkah[Nomor Tiket]),"")</f>
        <v>K/47/291124/1</v>
      </c>
      <c r="E1010" s="20" t="str">
        <f t="array" ref="E1010">IFNA(_xlfn.XLOOKUP(D1010,Table_Tarikan_Warkah[Nomor Tiket],Table_Tarikan_Warkah[Tanggal diserahkan kepada Validator]),"")</f>
        <v/>
      </c>
      <c r="F1010" s="20" t="str">
        <f t="array" ref="F1010">IFNA(_xlfn.XLOOKUP(D1010,Table_Tarikan_Warkah[Nomor Tiket],Table_Tarikan_Warkah[Nama Petugas Warkah]),"")</f>
        <v/>
      </c>
      <c r="G1010" s="21" t="str">
        <f t="array" ref="G1010">IFNA(_xlfn.XLOOKUP(D1010,Table_Tarikan_Warkah[Nomor Tiket],Table_Tarikan_Warkah[Jenis Permohonan]),"")</f>
        <v>BN Jual Beli</v>
      </c>
      <c r="H1010" s="22" t="s">
        <v>31</v>
      </c>
      <c r="I1010" s="22" t="s">
        <v>32</v>
      </c>
      <c r="J1010" s="20">
        <f t="shared" si="29"/>
        <v>45628.7429</v>
      </c>
      <c r="K1010" s="22" t="s">
        <v>65</v>
      </c>
      <c r="L1010" s="22" t="s">
        <v>32</v>
      </c>
      <c r="M1010" s="20">
        <f t="shared" si="30"/>
        <v>45630.63268</v>
      </c>
      <c r="N1010" s="8" t="str">
        <f t="shared" si="3"/>
        <v>SELESAI</v>
      </c>
      <c r="O1010" s="23">
        <f t="shared" si="22"/>
        <v>45630.63268</v>
      </c>
      <c r="P1010" s="24" t="b">
        <v>0</v>
      </c>
      <c r="Q1010" s="20" t="str">
        <f t="shared" si="31"/>
        <v/>
      </c>
      <c r="R1010" s="24" t="b">
        <v>1</v>
      </c>
      <c r="S1010" s="20">
        <f t="shared" si="6"/>
        <v>45630.63361</v>
      </c>
      <c r="T1010" s="7"/>
    </row>
    <row r="1011" ht="22.5" hidden="1" customHeight="1">
      <c r="B1011" s="7">
        <f t="shared" si="7"/>
        <v>1005</v>
      </c>
      <c r="C1011" s="18" t="s">
        <v>976</v>
      </c>
      <c r="D1011" s="19" t="str">
        <f t="array" ref="D1011">IFNA(_xlfn.XLOOKUP(C1011,Table_Tarikan_Warkah[Nomor Sertipikat],Table_Tarikan_Warkah[Nomor Tiket]),"")</f>
        <v>L/38/291124/1</v>
      </c>
      <c r="E1011" s="20">
        <f t="array" ref="E1011">IFNA(_xlfn.XLOOKUP(D1011,Table_Tarikan_Warkah[Nomor Tiket],Table_Tarikan_Warkah[Tanggal diserahkan kepada Validator]),"")</f>
        <v>45628.62926</v>
      </c>
      <c r="F1011" s="20" t="str">
        <f t="array" ref="F1011">IFNA(_xlfn.XLOOKUP(D1011,Table_Tarikan_Warkah[Nomor Tiket],Table_Tarikan_Warkah[Nama Petugas Warkah]),"")</f>
        <v>Berry</v>
      </c>
      <c r="G1011" s="21" t="str">
        <f t="array" ref="G1011">IFNA(_xlfn.XLOOKUP(D1011,Table_Tarikan_Warkah[Nomor Tiket],Table_Tarikan_Warkah[Jenis Permohonan]),"")</f>
        <v>PEMECAHAN</v>
      </c>
      <c r="H1011" s="22" t="s">
        <v>31</v>
      </c>
      <c r="I1011" s="22" t="s">
        <v>32</v>
      </c>
      <c r="J1011" s="20">
        <f t="shared" si="29"/>
        <v>45628.7429</v>
      </c>
      <c r="K1011" s="27" t="s">
        <v>65</v>
      </c>
      <c r="L1011" s="27" t="s">
        <v>32</v>
      </c>
      <c r="M1011" s="20">
        <f t="shared" si="30"/>
        <v>45630.63268</v>
      </c>
      <c r="N1011" s="8" t="str">
        <f t="shared" si="3"/>
        <v>SELESAI</v>
      </c>
      <c r="O1011" s="23">
        <f t="shared" si="22"/>
        <v>45630.63268</v>
      </c>
      <c r="P1011" s="24" t="b">
        <v>0</v>
      </c>
      <c r="Q1011" s="20" t="str">
        <f t="shared" si="31"/>
        <v/>
      </c>
      <c r="R1011" s="24" t="b">
        <v>1</v>
      </c>
      <c r="S1011" s="20">
        <f t="shared" si="6"/>
        <v>45630.63361</v>
      </c>
      <c r="T1011" s="7"/>
    </row>
    <row r="1012" ht="22.5" hidden="1" customHeight="1">
      <c r="B1012" s="7">
        <f t="shared" si="7"/>
        <v>1006</v>
      </c>
      <c r="C1012" s="18" t="s">
        <v>977</v>
      </c>
      <c r="D1012" s="19" t="str">
        <f t="array" ref="D1012">IFNA(_xlfn.XLOOKUP(C1012,Table_Tarikan_Warkah[Nomor Sertipikat],Table_Tarikan_Warkah[Nomor Tiket]),"")</f>
        <v>K/29/281124/1</v>
      </c>
      <c r="E1012" s="20">
        <f t="array" ref="E1012">IFNA(_xlfn.XLOOKUP(D1012,Table_Tarikan_Warkah[Nomor Tiket],Table_Tarikan_Warkah[Tanggal diserahkan kepada Validator]),"")</f>
        <v>45628.40579</v>
      </c>
      <c r="F1012" s="20" t="str">
        <f t="array" ref="F1012">IFNA(_xlfn.XLOOKUP(D1012,Table_Tarikan_Warkah[Nomor Tiket],Table_Tarikan_Warkah[Nama Petugas Warkah]),"")</f>
        <v>David</v>
      </c>
      <c r="G1012" s="21" t="str">
        <f t="array" ref="G1012">IFNA(_xlfn.XLOOKUP(D1012,Table_Tarikan_Warkah[Nomor Tiket],Table_Tarikan_Warkah[Jenis Permohonan]),"")</f>
        <v>Roya</v>
      </c>
      <c r="H1012" s="22" t="s">
        <v>31</v>
      </c>
      <c r="I1012" s="22" t="s">
        <v>32</v>
      </c>
      <c r="J1012" s="20">
        <f t="shared" si="29"/>
        <v>45628.7429</v>
      </c>
      <c r="K1012" s="22" t="s">
        <v>65</v>
      </c>
      <c r="L1012" s="22" t="s">
        <v>32</v>
      </c>
      <c r="M1012" s="20">
        <f t="shared" si="30"/>
        <v>45630.63268</v>
      </c>
      <c r="N1012" s="8" t="str">
        <f t="shared" si="3"/>
        <v>SELESAI</v>
      </c>
      <c r="O1012" s="23">
        <f t="shared" si="22"/>
        <v>45630.63268</v>
      </c>
      <c r="P1012" s="24" t="b">
        <v>0</v>
      </c>
      <c r="Q1012" s="20" t="str">
        <f t="shared" si="31"/>
        <v/>
      </c>
      <c r="R1012" s="24" t="b">
        <v>1</v>
      </c>
      <c r="S1012" s="20">
        <f t="shared" si="6"/>
        <v>45630.63361</v>
      </c>
      <c r="T1012" s="7"/>
    </row>
    <row r="1013" ht="22.5" hidden="1" customHeight="1">
      <c r="B1013" s="7">
        <f t="shared" si="7"/>
        <v>1007</v>
      </c>
      <c r="C1013" s="18" t="s">
        <v>978</v>
      </c>
      <c r="D1013" s="19" t="str">
        <f t="array" ref="D1013">IFNA(_xlfn.XLOOKUP(C1013,Table_Tarikan_Warkah[Nomor Sertipikat],Table_Tarikan_Warkah[Nomor Tiket]),"")</f>
        <v/>
      </c>
      <c r="E1013" s="20" t="str">
        <f t="array" ref="E1013">IFNA(_xlfn.XLOOKUP(D1013,Table_Tarikan_Warkah[Nomor Tiket],Table_Tarikan_Warkah[Tanggal diserahkan kepada Validator]),"")</f>
        <v/>
      </c>
      <c r="F1013" s="20" t="str">
        <f t="array" ref="F1013">IFNA(_xlfn.XLOOKUP(D1013,Table_Tarikan_Warkah[Nomor Tiket],Table_Tarikan_Warkah[Nama Petugas Warkah]),"")</f>
        <v/>
      </c>
      <c r="G1013" s="21" t="str">
        <f t="array" ref="G1013">IFNA(_xlfn.XLOOKUP(D1013,Table_Tarikan_Warkah[Nomor Tiket],Table_Tarikan_Warkah[Jenis Permohonan]),"")</f>
        <v/>
      </c>
      <c r="H1013" s="22" t="s">
        <v>37</v>
      </c>
      <c r="I1013" s="22" t="s">
        <v>32</v>
      </c>
      <c r="J1013" s="20">
        <f t="shared" si="29"/>
        <v>45629.44766</v>
      </c>
      <c r="K1013" s="27" t="s">
        <v>65</v>
      </c>
      <c r="L1013" s="27" t="s">
        <v>32</v>
      </c>
      <c r="M1013" s="20">
        <f t="shared" si="30"/>
        <v>45630.63268</v>
      </c>
      <c r="N1013" s="8" t="str">
        <f t="shared" si="3"/>
        <v/>
      </c>
      <c r="O1013" s="21" t="str">
        <f t="shared" si="22"/>
        <v/>
      </c>
      <c r="P1013" s="24" t="b">
        <v>0</v>
      </c>
      <c r="Q1013" s="20" t="str">
        <f t="shared" si="31"/>
        <v/>
      </c>
      <c r="R1013" s="24" t="b">
        <v>1</v>
      </c>
      <c r="S1013" s="20">
        <f t="shared" si="6"/>
        <v>45630.63361</v>
      </c>
      <c r="T1013" s="7"/>
    </row>
    <row r="1014" ht="22.5" hidden="1" customHeight="1">
      <c r="B1014" s="7">
        <f t="shared" si="7"/>
        <v>1008</v>
      </c>
      <c r="C1014" s="18" t="s">
        <v>979</v>
      </c>
      <c r="D1014" s="19" t="str">
        <f t="array" ref="D1014">IFNA(_xlfn.XLOOKUP(C1014,Table_Tarikan_Warkah[Nomor Sertipikat],Table_Tarikan_Warkah[Nomor Tiket]),"")</f>
        <v>K/29/291124/3</v>
      </c>
      <c r="E1014" s="20" t="str">
        <f t="array" ref="E1014">IFNA(_xlfn.XLOOKUP(D1014,Table_Tarikan_Warkah[Nomor Tiket],Table_Tarikan_Warkah[Tanggal diserahkan kepada Validator]),"")</f>
        <v/>
      </c>
      <c r="F1014" s="20" t="str">
        <f t="array" ref="F1014">IFNA(_xlfn.XLOOKUP(D1014,Table_Tarikan_Warkah[Nomor Tiket],Table_Tarikan_Warkah[Nama Petugas Warkah]),"")</f>
        <v/>
      </c>
      <c r="G1014" s="21" t="str">
        <f t="array" ref="G1014">IFNA(_xlfn.XLOOKUP(D1014,Table_Tarikan_Warkah[Nomor Tiket],Table_Tarikan_Warkah[Jenis Permohonan]),"")</f>
        <v>BN JUAL BELI</v>
      </c>
      <c r="H1014" s="22" t="s">
        <v>37</v>
      </c>
      <c r="I1014" s="22" t="s">
        <v>32</v>
      </c>
      <c r="J1014" s="20">
        <f t="shared" si="29"/>
        <v>45629.44766</v>
      </c>
      <c r="K1014" s="22" t="s">
        <v>65</v>
      </c>
      <c r="L1014" s="22" t="s">
        <v>32</v>
      </c>
      <c r="M1014" s="20">
        <f t="shared" si="30"/>
        <v>45630.63278</v>
      </c>
      <c r="N1014" s="8" t="str">
        <f t="shared" si="3"/>
        <v>SELESAI</v>
      </c>
      <c r="O1014" s="23">
        <f t="shared" si="22"/>
        <v>45630.63278</v>
      </c>
      <c r="P1014" s="24" t="b">
        <v>0</v>
      </c>
      <c r="Q1014" s="20" t="str">
        <f t="shared" si="31"/>
        <v/>
      </c>
      <c r="R1014" s="24" t="b">
        <v>1</v>
      </c>
      <c r="S1014" s="20">
        <f t="shared" si="6"/>
        <v>45630.63361</v>
      </c>
      <c r="T1014" s="7"/>
    </row>
    <row r="1015" ht="22.5" hidden="1" customHeight="1">
      <c r="B1015" s="7">
        <f t="shared" si="7"/>
        <v>1009</v>
      </c>
      <c r="C1015" s="18" t="s">
        <v>980</v>
      </c>
      <c r="D1015" s="19" t="str">
        <f t="array" ref="D1015">IFNA(_xlfn.XLOOKUP(C1015,Table_Tarikan_Warkah[Nomor Sertipikat],Table_Tarikan_Warkah[Nomor Tiket]),"")</f>
        <v>K/8/291124/1</v>
      </c>
      <c r="E1015" s="20" t="str">
        <f t="array" ref="E1015">IFNA(_xlfn.XLOOKUP(D1015,Table_Tarikan_Warkah[Nomor Tiket],Table_Tarikan_Warkah[Tanggal diserahkan kepada Validator]),"")</f>
        <v/>
      </c>
      <c r="F1015" s="20" t="str">
        <f t="array" ref="F1015">IFNA(_xlfn.XLOOKUP(D1015,Table_Tarikan_Warkah[Nomor Tiket],Table_Tarikan_Warkah[Nama Petugas Warkah]),"")</f>
        <v/>
      </c>
      <c r="G1015" s="21" t="str">
        <f t="array" ref="G1015">IFNA(_xlfn.XLOOKUP(D1015,Table_Tarikan_Warkah[Nomor Tiket],Table_Tarikan_Warkah[Jenis Permohonan]),"")</f>
        <v>BN JUAL BELI</v>
      </c>
      <c r="H1015" s="22" t="s">
        <v>37</v>
      </c>
      <c r="I1015" s="22" t="s">
        <v>32</v>
      </c>
      <c r="J1015" s="20">
        <f t="shared" si="29"/>
        <v>45629.44766</v>
      </c>
      <c r="K1015" s="22" t="s">
        <v>65</v>
      </c>
      <c r="L1015" s="22" t="s">
        <v>32</v>
      </c>
      <c r="M1015" s="20">
        <f t="shared" si="30"/>
        <v>45630.63278</v>
      </c>
      <c r="N1015" s="8" t="str">
        <f t="shared" si="3"/>
        <v>SELESAI</v>
      </c>
      <c r="O1015" s="23">
        <f t="shared" si="22"/>
        <v>45630.63278</v>
      </c>
      <c r="P1015" s="24" t="b">
        <v>0</v>
      </c>
      <c r="Q1015" s="20" t="str">
        <f t="shared" si="31"/>
        <v/>
      </c>
      <c r="R1015" s="24" t="b">
        <v>1</v>
      </c>
      <c r="S1015" s="20">
        <f t="shared" si="6"/>
        <v>45630.63361</v>
      </c>
      <c r="T1015" s="7"/>
    </row>
    <row r="1016" ht="22.5" hidden="1" customHeight="1">
      <c r="B1016" s="7">
        <f t="shared" si="7"/>
        <v>1010</v>
      </c>
      <c r="C1016" s="18" t="s">
        <v>981</v>
      </c>
      <c r="D1016" s="19" t="str">
        <f t="array" ref="D1016">IFNA(_xlfn.XLOOKUP(C1016,Table_Tarikan_Warkah[Nomor Sertipikat],Table_Tarikan_Warkah[Nomor Tiket]),"")</f>
        <v>K/17/291124/1</v>
      </c>
      <c r="E1016" s="20" t="str">
        <f t="array" ref="E1016">IFNA(_xlfn.XLOOKUP(D1016,Table_Tarikan_Warkah[Nomor Tiket],Table_Tarikan_Warkah[Tanggal diserahkan kepada Validator]),"")</f>
        <v/>
      </c>
      <c r="F1016" s="20" t="str">
        <f t="array" ref="F1016">IFNA(_xlfn.XLOOKUP(D1016,Table_Tarikan_Warkah[Nomor Tiket],Table_Tarikan_Warkah[Nama Petugas Warkah]),"")</f>
        <v/>
      </c>
      <c r="G1016" s="21" t="str">
        <f t="array" ref="G1016">IFNA(_xlfn.XLOOKUP(D1016,Table_Tarikan_Warkah[Nomor Tiket],Table_Tarikan_Warkah[Jenis Permohonan]),"")</f>
        <v>BN Jual Beli</v>
      </c>
      <c r="H1016" s="22" t="s">
        <v>37</v>
      </c>
      <c r="I1016" s="22" t="s">
        <v>32</v>
      </c>
      <c r="J1016" s="20">
        <f t="shared" si="29"/>
        <v>45629.44766</v>
      </c>
      <c r="K1016" s="27" t="s">
        <v>65</v>
      </c>
      <c r="L1016" s="27" t="s">
        <v>32</v>
      </c>
      <c r="M1016" s="20">
        <f t="shared" si="30"/>
        <v>45630.63278</v>
      </c>
      <c r="N1016" s="8" t="str">
        <f t="shared" si="3"/>
        <v>SELESAI</v>
      </c>
      <c r="O1016" s="23">
        <f t="shared" si="22"/>
        <v>45630.63278</v>
      </c>
      <c r="P1016" s="24" t="b">
        <v>0</v>
      </c>
      <c r="Q1016" s="20" t="str">
        <f t="shared" si="31"/>
        <v/>
      </c>
      <c r="R1016" s="24" t="b">
        <v>1</v>
      </c>
      <c r="S1016" s="20">
        <f t="shared" si="6"/>
        <v>45630.63365</v>
      </c>
      <c r="T1016" s="7"/>
    </row>
    <row r="1017" ht="22.5" hidden="1" customHeight="1">
      <c r="B1017" s="7">
        <f t="shared" si="7"/>
        <v>1011</v>
      </c>
      <c r="C1017" s="18" t="s">
        <v>982</v>
      </c>
      <c r="D1017" s="19" t="str">
        <f t="array" ref="D1017">IFNA(_xlfn.XLOOKUP(C1017,Table_Tarikan_Warkah[Nomor Sertipikat],Table_Tarikan_Warkah[Nomor Tiket]),"")</f>
        <v>K/28/291124/2</v>
      </c>
      <c r="E1017" s="20" t="str">
        <f t="array" ref="E1017">IFNA(_xlfn.XLOOKUP(D1017,Table_Tarikan_Warkah[Nomor Tiket],Table_Tarikan_Warkah[Tanggal diserahkan kepada Validator]),"")</f>
        <v/>
      </c>
      <c r="F1017" s="20" t="str">
        <f t="array" ref="F1017">IFNA(_xlfn.XLOOKUP(D1017,Table_Tarikan_Warkah[Nomor Tiket],Table_Tarikan_Warkah[Nama Petugas Warkah]),"")</f>
        <v>Berry</v>
      </c>
      <c r="G1017" s="21" t="str">
        <f t="array" ref="G1017">IFNA(_xlfn.XLOOKUP(D1017,Table_Tarikan_Warkah[Nomor Tiket],Table_Tarikan_Warkah[Jenis Permohonan]),"")</f>
        <v>BN JUAL BELI</v>
      </c>
      <c r="H1017" s="22" t="s">
        <v>37</v>
      </c>
      <c r="I1017" s="22" t="s">
        <v>32</v>
      </c>
      <c r="J1017" s="20">
        <f t="shared" si="29"/>
        <v>45629.44766</v>
      </c>
      <c r="K1017" s="22" t="s">
        <v>65</v>
      </c>
      <c r="L1017" s="22" t="s">
        <v>32</v>
      </c>
      <c r="M1017" s="20">
        <f t="shared" si="30"/>
        <v>45630.63278</v>
      </c>
      <c r="N1017" s="8" t="str">
        <f t="shared" si="3"/>
        <v>SELESAI</v>
      </c>
      <c r="O1017" s="23">
        <f t="shared" si="22"/>
        <v>45630.63278</v>
      </c>
      <c r="P1017" s="24" t="b">
        <v>1</v>
      </c>
      <c r="Q1017" s="20">
        <f t="shared" si="31"/>
        <v>45636.66426</v>
      </c>
      <c r="R1017" s="24" t="b">
        <v>1</v>
      </c>
      <c r="S1017" s="20">
        <f t="shared" si="6"/>
        <v>45630.63365</v>
      </c>
      <c r="T1017" s="7"/>
    </row>
    <row r="1018" ht="22.5" hidden="1" customHeight="1">
      <c r="B1018" s="7">
        <f t="shared" si="7"/>
        <v>1012</v>
      </c>
      <c r="C1018" s="18" t="s">
        <v>983</v>
      </c>
      <c r="D1018" s="19" t="str">
        <f t="array" ref="D1018">IFNA(_xlfn.XLOOKUP(C1018,Table_Tarikan_Warkah[Nomor Sertipikat],Table_Tarikan_Warkah[Nomor Tiket]),"")</f>
        <v>K/27/291124/1</v>
      </c>
      <c r="E1018" s="20">
        <f t="array" ref="E1018">IFNA(_xlfn.XLOOKUP(D1018,Table_Tarikan_Warkah[Nomor Tiket],Table_Tarikan_Warkah[Tanggal diserahkan kepada Validator]),"")</f>
        <v>45628.62836</v>
      </c>
      <c r="F1018" s="20" t="str">
        <f t="array" ref="F1018">IFNA(_xlfn.XLOOKUP(D1018,Table_Tarikan_Warkah[Nomor Tiket],Table_Tarikan_Warkah[Nama Petugas Warkah]),"")</f>
        <v>Berry</v>
      </c>
      <c r="G1018" s="21" t="str">
        <f t="array" ref="G1018">IFNA(_xlfn.XLOOKUP(D1018,Table_Tarikan_Warkah[Nomor Tiket],Table_Tarikan_Warkah[Jenis Permohonan]),"")</f>
        <v>BN JUAL BELI</v>
      </c>
      <c r="H1018" s="22" t="s">
        <v>37</v>
      </c>
      <c r="I1018" s="22" t="s">
        <v>32</v>
      </c>
      <c r="J1018" s="20">
        <f t="shared" si="29"/>
        <v>45629.44766</v>
      </c>
      <c r="K1018" s="22" t="s">
        <v>65</v>
      </c>
      <c r="L1018" s="22" t="s">
        <v>32</v>
      </c>
      <c r="M1018" s="20">
        <f t="shared" si="30"/>
        <v>45630.63278</v>
      </c>
      <c r="N1018" s="8" t="str">
        <f t="shared" si="3"/>
        <v>SELESAI</v>
      </c>
      <c r="O1018" s="23">
        <f t="shared" si="22"/>
        <v>45630.63278</v>
      </c>
      <c r="P1018" s="24" t="b">
        <v>0</v>
      </c>
      <c r="Q1018" s="20" t="str">
        <f t="shared" si="31"/>
        <v/>
      </c>
      <c r="R1018" s="24" t="b">
        <v>1</v>
      </c>
      <c r="S1018" s="20">
        <f t="shared" si="6"/>
        <v>45630.63365</v>
      </c>
      <c r="T1018" s="7"/>
    </row>
    <row r="1019" ht="22.5" hidden="1" customHeight="1">
      <c r="B1019" s="7">
        <f t="shared" si="7"/>
        <v>1013</v>
      </c>
      <c r="C1019" s="18" t="s">
        <v>984</v>
      </c>
      <c r="D1019" s="19" t="str">
        <f t="array" ref="D1019">IFNA(_xlfn.XLOOKUP(C1019,Table_Tarikan_Warkah[Nomor Sertipikat],Table_Tarikan_Warkah[Nomor Tiket]),"")</f>
        <v>L/19/291124/1</v>
      </c>
      <c r="E1019" s="20">
        <f t="array" ref="E1019">IFNA(_xlfn.XLOOKUP(D1019,Table_Tarikan_Warkah[Nomor Tiket],Table_Tarikan_Warkah[Tanggal diserahkan kepada Validator]),"")</f>
        <v>45628.62764</v>
      </c>
      <c r="F1019" s="20" t="str">
        <f t="array" ref="F1019">IFNA(_xlfn.XLOOKUP(D1019,Table_Tarikan_Warkah[Nomor Tiket],Table_Tarikan_Warkah[Nama Petugas Warkah]),"")</f>
        <v>Berry</v>
      </c>
      <c r="G1019" s="21" t="str">
        <f t="array" ref="G1019">IFNA(_xlfn.XLOOKUP(D1019,Table_Tarikan_Warkah[Nomor Tiket],Table_Tarikan_Warkah[Jenis Permohonan]),"")</f>
        <v>BN WARIS</v>
      </c>
      <c r="H1019" s="22" t="s">
        <v>37</v>
      </c>
      <c r="I1019" s="22" t="s">
        <v>32</v>
      </c>
      <c r="J1019" s="20">
        <f t="shared" si="29"/>
        <v>45629.44766</v>
      </c>
      <c r="K1019" s="27" t="s">
        <v>65</v>
      </c>
      <c r="L1019" s="27" t="s">
        <v>32</v>
      </c>
      <c r="M1019" s="20">
        <f t="shared" si="30"/>
        <v>45630.63278</v>
      </c>
      <c r="N1019" s="8" t="str">
        <f t="shared" si="3"/>
        <v>SELESAI</v>
      </c>
      <c r="O1019" s="23">
        <f t="shared" si="22"/>
        <v>45630.63278</v>
      </c>
      <c r="P1019" s="24" t="b">
        <v>0</v>
      </c>
      <c r="Q1019" s="20" t="str">
        <f t="shared" si="31"/>
        <v/>
      </c>
      <c r="R1019" s="24" t="b">
        <v>1</v>
      </c>
      <c r="S1019" s="20">
        <f t="shared" si="6"/>
        <v>45630.63365</v>
      </c>
      <c r="T1019" s="7"/>
    </row>
    <row r="1020" ht="22.5" hidden="1" customHeight="1">
      <c r="B1020" s="7">
        <f t="shared" si="7"/>
        <v>1014</v>
      </c>
      <c r="C1020" s="18" t="s">
        <v>985</v>
      </c>
      <c r="D1020" s="19" t="str">
        <f t="array" ref="D1020">IFNA(_xlfn.XLOOKUP(C1020,Table_Tarikan_Warkah[Nomor Sertipikat],Table_Tarikan_Warkah[Nomor Tiket]),"")</f>
        <v>K/13/291124/2</v>
      </c>
      <c r="E1020" s="20" t="str">
        <f t="array" ref="E1020">IFNA(_xlfn.XLOOKUP(D1020,Table_Tarikan_Warkah[Nomor Tiket],Table_Tarikan_Warkah[Tanggal diserahkan kepada Validator]),"")</f>
        <v/>
      </c>
      <c r="F1020" s="20" t="str">
        <f t="array" ref="F1020">IFNA(_xlfn.XLOOKUP(D1020,Table_Tarikan_Warkah[Nomor Tiket],Table_Tarikan_Warkah[Nama Petugas Warkah]),"")</f>
        <v/>
      </c>
      <c r="G1020" s="21" t="str">
        <f t="array" ref="G1020">IFNA(_xlfn.XLOOKUP(D1020,Table_Tarikan_Warkah[Nomor Tiket],Table_Tarikan_Warkah[Jenis Permohonan]),"")</f>
        <v>ROYA</v>
      </c>
      <c r="H1020" s="22" t="s">
        <v>37</v>
      </c>
      <c r="I1020" s="22" t="s">
        <v>32</v>
      </c>
      <c r="J1020" s="20">
        <f t="shared" si="29"/>
        <v>45629.44766</v>
      </c>
      <c r="K1020" s="22" t="s">
        <v>65</v>
      </c>
      <c r="L1020" s="22" t="s">
        <v>32</v>
      </c>
      <c r="M1020" s="20">
        <f t="shared" si="30"/>
        <v>45630.63278</v>
      </c>
      <c r="N1020" s="8" t="str">
        <f t="shared" si="3"/>
        <v>SELESAI</v>
      </c>
      <c r="O1020" s="23">
        <f t="shared" si="22"/>
        <v>45630.63278</v>
      </c>
      <c r="P1020" s="24" t="b">
        <v>0</v>
      </c>
      <c r="Q1020" s="20" t="str">
        <f t="shared" si="31"/>
        <v/>
      </c>
      <c r="R1020" s="24" t="b">
        <v>1</v>
      </c>
      <c r="S1020" s="20">
        <f t="shared" si="6"/>
        <v>45630.63369</v>
      </c>
      <c r="T1020" s="7"/>
    </row>
    <row r="1021" ht="22.5" hidden="1" customHeight="1">
      <c r="B1021" s="7">
        <f t="shared" si="7"/>
        <v>1015</v>
      </c>
      <c r="C1021" s="18" t="s">
        <v>986</v>
      </c>
      <c r="D1021" s="19" t="str">
        <f t="array" ref="D1021">IFNA(_xlfn.XLOOKUP(C1021,Table_Tarikan_Warkah[Nomor Sertipikat],Table_Tarikan_Warkah[Nomor Tiket]),"")</f>
        <v>K/11/291124/1</v>
      </c>
      <c r="E1021" s="20" t="str">
        <f t="array" ref="E1021">IFNA(_xlfn.XLOOKUP(D1021,Table_Tarikan_Warkah[Nomor Tiket],Table_Tarikan_Warkah[Tanggal diserahkan kepada Validator]),"")</f>
        <v/>
      </c>
      <c r="F1021" s="20" t="str">
        <f t="array" ref="F1021">IFNA(_xlfn.XLOOKUP(D1021,Table_Tarikan_Warkah[Nomor Tiket],Table_Tarikan_Warkah[Nama Petugas Warkah]),"")</f>
        <v/>
      </c>
      <c r="G1021" s="21" t="str">
        <f t="array" ref="G1021">IFNA(_xlfn.XLOOKUP(D1021,Table_Tarikan_Warkah[Nomor Tiket],Table_Tarikan_Warkah[Jenis Permohonan]),"")</f>
        <v>BN Jual Beli</v>
      </c>
      <c r="H1021" s="22" t="s">
        <v>37</v>
      </c>
      <c r="I1021" s="22" t="s">
        <v>32</v>
      </c>
      <c r="J1021" s="20">
        <f t="shared" si="29"/>
        <v>45629.44766</v>
      </c>
      <c r="K1021" s="27" t="s">
        <v>65</v>
      </c>
      <c r="L1021" s="27" t="s">
        <v>32</v>
      </c>
      <c r="M1021" s="20">
        <f t="shared" si="30"/>
        <v>45630.63278</v>
      </c>
      <c r="N1021" s="8" t="str">
        <f t="shared" si="3"/>
        <v>SELESAI</v>
      </c>
      <c r="O1021" s="23">
        <f t="shared" si="22"/>
        <v>45630.63278</v>
      </c>
      <c r="P1021" s="24" t="b">
        <v>0</v>
      </c>
      <c r="Q1021" s="20" t="str">
        <f t="shared" si="31"/>
        <v/>
      </c>
      <c r="R1021" s="24" t="b">
        <v>1</v>
      </c>
      <c r="S1021" s="20">
        <f t="shared" si="6"/>
        <v>45630.63369</v>
      </c>
      <c r="T1021" s="7"/>
    </row>
    <row r="1022" ht="22.5" hidden="1" customHeight="1">
      <c r="B1022" s="7">
        <f t="shared" si="7"/>
        <v>1016</v>
      </c>
      <c r="C1022" s="18" t="s">
        <v>987</v>
      </c>
      <c r="D1022" s="19" t="str">
        <f t="array" ref="D1022">IFNA(_xlfn.XLOOKUP(C1022,Table_Tarikan_Warkah[Nomor Sertipikat],Table_Tarikan_Warkah[Nomor Tiket]),"")</f>
        <v>L/5/161124/1</v>
      </c>
      <c r="E1022" s="20" t="str">
        <f t="array" ref="E1022">IFNA(_xlfn.XLOOKUP(D1022,Table_Tarikan_Warkah[Nomor Tiket],Table_Tarikan_Warkah[Tanggal diserahkan kepada Validator]),"")</f>
        <v/>
      </c>
      <c r="F1022" s="20" t="str">
        <f t="array" ref="F1022">IFNA(_xlfn.XLOOKUP(D1022,Table_Tarikan_Warkah[Nomor Tiket],Table_Tarikan_Warkah[Nama Petugas Warkah]),"")</f>
        <v>Berry</v>
      </c>
      <c r="G1022" s="21" t="str">
        <f t="array" ref="G1022">IFNA(_xlfn.XLOOKUP(D1022,Table_Tarikan_Warkah[Nomor Tiket],Table_Tarikan_Warkah[Jenis Permohonan]),"")</f>
        <v>ROYA</v>
      </c>
      <c r="H1022" s="22" t="s">
        <v>37</v>
      </c>
      <c r="I1022" s="22" t="s">
        <v>187</v>
      </c>
      <c r="J1022" s="20">
        <f t="shared" si="29"/>
        <v>45629.44766</v>
      </c>
      <c r="K1022" s="27" t="s">
        <v>33</v>
      </c>
      <c r="L1022" s="27" t="s">
        <v>187</v>
      </c>
      <c r="M1022" s="20">
        <f t="shared" si="30"/>
        <v>45630.63321</v>
      </c>
      <c r="N1022" s="8" t="str">
        <f t="shared" si="3"/>
        <v>Selesai</v>
      </c>
      <c r="O1022" s="23">
        <f t="shared" si="22"/>
        <v>45630.63321</v>
      </c>
      <c r="P1022" s="24" t="b">
        <v>1</v>
      </c>
      <c r="Q1022" s="20">
        <f t="shared" si="31"/>
        <v>45630.63339</v>
      </c>
      <c r="R1022" s="24" t="b">
        <v>0</v>
      </c>
      <c r="S1022" s="7" t="str">
        <f t="shared" si="6"/>
        <v/>
      </c>
      <c r="T1022" s="7"/>
    </row>
    <row r="1023" ht="22.5" hidden="1" customHeight="1">
      <c r="B1023" s="7">
        <f t="shared" si="7"/>
        <v>1017</v>
      </c>
      <c r="C1023" s="18" t="s">
        <v>988</v>
      </c>
      <c r="D1023" s="19" t="str">
        <f t="array" ref="D1023">IFNA(_xlfn.XLOOKUP(C1023,Table_Tarikan_Warkah[Nomor Sertipikat],Table_Tarikan_Warkah[Nomor Tiket]),"")</f>
        <v>K/14/281124/2</v>
      </c>
      <c r="E1023" s="20">
        <f t="array" ref="E1023">IFNA(_xlfn.XLOOKUP(D1023,Table_Tarikan_Warkah[Nomor Tiket],Table_Tarikan_Warkah[Tanggal diserahkan kepada Validator]),"")</f>
        <v>45628.39889</v>
      </c>
      <c r="F1023" s="20" t="str">
        <f t="array" ref="F1023">IFNA(_xlfn.XLOOKUP(D1023,Table_Tarikan_Warkah[Nomor Tiket],Table_Tarikan_Warkah[Nama Petugas Warkah]),"")</f>
        <v>Berry</v>
      </c>
      <c r="G1023" s="21" t="str">
        <f t="array" ref="G1023">IFNA(_xlfn.XLOOKUP(D1023,Table_Tarikan_Warkah[Nomor Tiket],Table_Tarikan_Warkah[Jenis Permohonan]),"")</f>
        <v>BN Hibah</v>
      </c>
      <c r="H1023" s="22" t="s">
        <v>37</v>
      </c>
      <c r="I1023" s="22" t="s">
        <v>187</v>
      </c>
      <c r="J1023" s="20">
        <f t="shared" si="29"/>
        <v>45629.44766</v>
      </c>
      <c r="K1023" s="27" t="s">
        <v>33</v>
      </c>
      <c r="L1023" s="27" t="s">
        <v>187</v>
      </c>
      <c r="M1023" s="20">
        <f t="shared" si="30"/>
        <v>45630.63323</v>
      </c>
      <c r="N1023" s="8" t="str">
        <f t="shared" si="3"/>
        <v>Selesai</v>
      </c>
      <c r="O1023" s="23">
        <f t="shared" si="22"/>
        <v>45630.63323</v>
      </c>
      <c r="P1023" s="24" t="b">
        <v>1</v>
      </c>
      <c r="Q1023" s="20">
        <f t="shared" si="31"/>
        <v>45630.63338</v>
      </c>
      <c r="R1023" s="24" t="b">
        <v>0</v>
      </c>
      <c r="S1023" s="7" t="str">
        <f t="shared" si="6"/>
        <v/>
      </c>
      <c r="T1023" s="7"/>
    </row>
    <row r="1024" ht="22.5" hidden="1" customHeight="1">
      <c r="B1024" s="7">
        <f t="shared" si="7"/>
        <v>1018</v>
      </c>
      <c r="C1024" s="18" t="s">
        <v>989</v>
      </c>
      <c r="D1024" s="19" t="str">
        <f t="array" ref="D1024">IFNA(_xlfn.XLOOKUP(C1024,Table_Tarikan_Warkah[Nomor Sertipikat],Table_Tarikan_Warkah[Nomor Tiket]),"")</f>
        <v>K/21/281124/1</v>
      </c>
      <c r="E1024" s="20">
        <f t="array" ref="E1024">IFNA(_xlfn.XLOOKUP(D1024,Table_Tarikan_Warkah[Nomor Tiket],Table_Tarikan_Warkah[Tanggal diserahkan kepada Validator]),"")</f>
        <v>45628.39996</v>
      </c>
      <c r="F1024" s="20" t="str">
        <f t="array" ref="F1024">IFNA(_xlfn.XLOOKUP(D1024,Table_Tarikan_Warkah[Nomor Tiket],Table_Tarikan_Warkah[Nama Petugas Warkah]),"")</f>
        <v>Berry</v>
      </c>
      <c r="G1024" s="21" t="str">
        <f t="array" ref="G1024">IFNA(_xlfn.XLOOKUP(D1024,Table_Tarikan_Warkah[Nomor Tiket],Table_Tarikan_Warkah[Jenis Permohonan]),"")</f>
        <v>BN JUAL BELI</v>
      </c>
      <c r="H1024" s="22" t="s">
        <v>37</v>
      </c>
      <c r="I1024" s="22" t="s">
        <v>187</v>
      </c>
      <c r="J1024" s="20">
        <f t="shared" si="29"/>
        <v>45629.56498</v>
      </c>
      <c r="K1024" s="27" t="s">
        <v>33</v>
      </c>
      <c r="L1024" s="27" t="s">
        <v>187</v>
      </c>
      <c r="M1024" s="20">
        <f t="shared" si="30"/>
        <v>45630.63297</v>
      </c>
      <c r="N1024" s="8" t="str">
        <f t="shared" si="3"/>
        <v>Selesai</v>
      </c>
      <c r="O1024" s="23">
        <f t="shared" si="22"/>
        <v>45630.63297</v>
      </c>
      <c r="P1024" s="24" t="b">
        <v>1</v>
      </c>
      <c r="Q1024" s="20">
        <f t="shared" si="31"/>
        <v>45630.63336</v>
      </c>
      <c r="R1024" s="24" t="b">
        <v>0</v>
      </c>
      <c r="S1024" s="7" t="str">
        <f t="shared" si="6"/>
        <v/>
      </c>
      <c r="T1024" s="7"/>
    </row>
    <row r="1025" ht="22.5" hidden="1" customHeight="1">
      <c r="B1025" s="7">
        <f t="shared" si="7"/>
        <v>1019</v>
      </c>
      <c r="C1025" s="18" t="s">
        <v>990</v>
      </c>
      <c r="D1025" s="19" t="str">
        <f t="array" ref="D1025">IFNA(_xlfn.XLOOKUP(C1025,Table_Tarikan_Warkah[Nomor Sertipikat],Table_Tarikan_Warkah[Nomor Tiket]),"")</f>
        <v>L/36/151124/1</v>
      </c>
      <c r="E1025" s="20" t="str">
        <f t="array" ref="E1025">IFNA(_xlfn.XLOOKUP(D1025,Table_Tarikan_Warkah[Nomor Tiket],Table_Tarikan_Warkah[Tanggal diserahkan kepada Validator]),"")</f>
        <v/>
      </c>
      <c r="F1025" s="20" t="str">
        <f t="array" ref="F1025">IFNA(_xlfn.XLOOKUP(D1025,Table_Tarikan_Warkah[Nomor Tiket],Table_Tarikan_Warkah[Nama Petugas Warkah]),"")</f>
        <v>Berry</v>
      </c>
      <c r="G1025" s="21" t="str">
        <f t="array" ref="G1025">IFNA(_xlfn.XLOOKUP(D1025,Table_Tarikan_Warkah[Nomor Tiket],Table_Tarikan_Warkah[Jenis Permohonan]),"")</f>
        <v>PERUBAHAN HAK</v>
      </c>
      <c r="H1025" s="22" t="s">
        <v>37</v>
      </c>
      <c r="I1025" s="22" t="s">
        <v>187</v>
      </c>
      <c r="J1025" s="20">
        <f t="shared" si="29"/>
        <v>45629.60573</v>
      </c>
      <c r="K1025" s="22" t="s">
        <v>33</v>
      </c>
      <c r="L1025" s="22" t="s">
        <v>187</v>
      </c>
      <c r="M1025" s="20">
        <f t="shared" si="30"/>
        <v>45629.60583</v>
      </c>
      <c r="N1025" s="8" t="str">
        <f t="shared" si="3"/>
        <v>Selesai</v>
      </c>
      <c r="O1025" s="23">
        <f t="shared" si="22"/>
        <v>45629.60583</v>
      </c>
      <c r="P1025" s="24" t="b">
        <v>1</v>
      </c>
      <c r="Q1025" s="20">
        <f t="shared" si="31"/>
        <v>45629.60587</v>
      </c>
      <c r="R1025" s="24" t="b">
        <v>0</v>
      </c>
      <c r="S1025" s="7" t="str">
        <f t="shared" si="6"/>
        <v/>
      </c>
      <c r="T1025" s="7"/>
    </row>
    <row r="1026" ht="22.5" hidden="1" customHeight="1">
      <c r="B1026" s="7">
        <f t="shared" si="7"/>
        <v>1020</v>
      </c>
      <c r="C1026" s="18" t="s">
        <v>991</v>
      </c>
      <c r="D1026" s="19" t="str">
        <f t="array" ref="D1026">IFNA(_xlfn.XLOOKUP(C1026,Table_Tarikan_Warkah[Nomor Sertipikat],Table_Tarikan_Warkah[Nomor Tiket]),"")</f>
        <v>K/12/211124/2</v>
      </c>
      <c r="E1026" s="20" t="str">
        <f t="array" ref="E1026">IFNA(_xlfn.XLOOKUP(D1026,Table_Tarikan_Warkah[Nomor Tiket],Table_Tarikan_Warkah[Tanggal diserahkan kepada Validator]),"")</f>
        <v/>
      </c>
      <c r="F1026" s="20" t="str">
        <f t="array" ref="F1026">IFNA(_xlfn.XLOOKUP(D1026,Table_Tarikan_Warkah[Nomor Tiket],Table_Tarikan_Warkah[Nama Petugas Warkah]),"")</f>
        <v/>
      </c>
      <c r="G1026" s="21" t="str">
        <f t="array" ref="G1026">IFNA(_xlfn.XLOOKUP(D1026,Table_Tarikan_Warkah[Nomor Tiket],Table_Tarikan_Warkah[Jenis Permohonan]),"")</f>
        <v>BN JUAL BELI</v>
      </c>
      <c r="H1026" s="22" t="s">
        <v>37</v>
      </c>
      <c r="I1026" s="22" t="s">
        <v>187</v>
      </c>
      <c r="J1026" s="20">
        <f t="shared" si="29"/>
        <v>45629.66763</v>
      </c>
      <c r="K1026" s="27" t="s">
        <v>33</v>
      </c>
      <c r="L1026" s="27" t="s">
        <v>187</v>
      </c>
      <c r="M1026" s="20">
        <f t="shared" si="30"/>
        <v>45630.63333</v>
      </c>
      <c r="N1026" s="8" t="str">
        <f t="shared" si="3"/>
        <v>Selesai</v>
      </c>
      <c r="O1026" s="23">
        <f t="shared" si="22"/>
        <v>45630.63333</v>
      </c>
      <c r="P1026" s="24" t="b">
        <v>1</v>
      </c>
      <c r="Q1026" s="20">
        <f t="shared" si="31"/>
        <v>45630.63335</v>
      </c>
      <c r="R1026" s="24" t="b">
        <v>0</v>
      </c>
      <c r="S1026" s="7" t="str">
        <f t="shared" si="6"/>
        <v/>
      </c>
      <c r="T1026" s="7"/>
    </row>
    <row r="1027" ht="22.5" hidden="1" customHeight="1">
      <c r="B1027" s="7">
        <f t="shared" si="7"/>
        <v>1021</v>
      </c>
      <c r="C1027" s="18" t="s">
        <v>992</v>
      </c>
      <c r="D1027" s="19" t="str">
        <f t="array" ref="D1027">IFNA(_xlfn.XLOOKUP(C1027,Table_Tarikan_Warkah[Nomor Sertipikat],Table_Tarikan_Warkah[Nomor Tiket]),"")</f>
        <v>K/53/191124/1</v>
      </c>
      <c r="E1027" s="20">
        <f t="array" ref="E1027">IFNA(_xlfn.XLOOKUP(D1027,Table_Tarikan_Warkah[Nomor Tiket],Table_Tarikan_Warkah[Tanggal diserahkan kepada Validator]),"")</f>
        <v>45616.63361</v>
      </c>
      <c r="F1027" s="20" t="str">
        <f t="array" ref="F1027">IFNA(_xlfn.XLOOKUP(D1027,Table_Tarikan_Warkah[Nomor Tiket],Table_Tarikan_Warkah[Nama Petugas Warkah]),"")</f>
        <v>Berry</v>
      </c>
      <c r="G1027" s="21" t="str">
        <f t="array" ref="G1027">IFNA(_xlfn.XLOOKUP(D1027,Table_Tarikan_Warkah[Nomor Tiket],Table_Tarikan_Warkah[Jenis Permohonan]),"")</f>
        <v>BN WARIS</v>
      </c>
      <c r="H1027" s="22" t="s">
        <v>37</v>
      </c>
      <c r="I1027" s="22" t="s">
        <v>187</v>
      </c>
      <c r="J1027" s="20">
        <f t="shared" si="29"/>
        <v>45630.4072</v>
      </c>
      <c r="K1027" s="27" t="s">
        <v>33</v>
      </c>
      <c r="L1027" s="27" t="s">
        <v>187</v>
      </c>
      <c r="M1027" s="20">
        <f t="shared" si="30"/>
        <v>45636.62721</v>
      </c>
      <c r="N1027" s="8" t="str">
        <f t="shared" si="3"/>
        <v>Selesai</v>
      </c>
      <c r="O1027" s="23">
        <f t="shared" si="22"/>
        <v>45636.62721</v>
      </c>
      <c r="P1027" s="24" t="b">
        <v>1</v>
      </c>
      <c r="Q1027" s="20">
        <f t="shared" si="31"/>
        <v>45636.62746</v>
      </c>
      <c r="R1027" s="24" t="b">
        <v>0</v>
      </c>
      <c r="S1027" s="7" t="str">
        <f t="shared" si="6"/>
        <v/>
      </c>
      <c r="T1027" s="7"/>
    </row>
    <row r="1028" ht="22.5" hidden="1" customHeight="1">
      <c r="B1028" s="7">
        <f t="shared" si="7"/>
        <v>1022</v>
      </c>
      <c r="C1028" s="18" t="s">
        <v>993</v>
      </c>
      <c r="D1028" s="19" t="str">
        <f t="array" ref="D1028">IFNA(_xlfn.XLOOKUP(C1028,Table_Tarikan_Warkah[Nomor Sertipikat],Table_Tarikan_Warkah[Nomor Tiket]),"")</f>
        <v>K/62/151124/3</v>
      </c>
      <c r="E1028" s="20" t="str">
        <f t="array" ref="E1028">IFNA(_xlfn.XLOOKUP(D1028,Table_Tarikan_Warkah[Nomor Tiket],Table_Tarikan_Warkah[Tanggal diserahkan kepada Validator]),"")</f>
        <v/>
      </c>
      <c r="F1028" s="20" t="str">
        <f t="array" ref="F1028">IFNA(_xlfn.XLOOKUP(D1028,Table_Tarikan_Warkah[Nomor Tiket],Table_Tarikan_Warkah[Nama Petugas Warkah]),"")</f>
        <v>Berry</v>
      </c>
      <c r="G1028" s="21" t="str">
        <f t="array" ref="G1028">IFNA(_xlfn.XLOOKUP(D1028,Table_Tarikan_Warkah[Nomor Tiket],Table_Tarikan_Warkah[Jenis Permohonan]),"")</f>
        <v>BN Hibah</v>
      </c>
      <c r="H1028" s="22" t="s">
        <v>37</v>
      </c>
      <c r="I1028" s="22" t="s">
        <v>187</v>
      </c>
      <c r="J1028" s="20">
        <f t="shared" si="29"/>
        <v>45630.41266</v>
      </c>
      <c r="K1028" s="27" t="s">
        <v>33</v>
      </c>
      <c r="L1028" s="27" t="s">
        <v>187</v>
      </c>
      <c r="M1028" s="20">
        <f t="shared" si="30"/>
        <v>0</v>
      </c>
      <c r="N1028" s="8" t="str">
        <f t="shared" si="3"/>
        <v>Selesai</v>
      </c>
      <c r="O1028" s="23">
        <f t="shared" si="22"/>
        <v>0</v>
      </c>
      <c r="P1028" s="24" t="b">
        <v>1</v>
      </c>
      <c r="Q1028" s="20">
        <f t="shared" si="31"/>
        <v>45636.62723</v>
      </c>
      <c r="R1028" s="24" t="b">
        <v>0</v>
      </c>
      <c r="S1028" s="7" t="str">
        <f t="shared" si="6"/>
        <v/>
      </c>
      <c r="T1028" s="7"/>
    </row>
    <row r="1029" ht="22.5" hidden="1" customHeight="1">
      <c r="B1029" s="7">
        <f t="shared" si="7"/>
        <v>1023</v>
      </c>
      <c r="C1029" s="18" t="s">
        <v>994</v>
      </c>
      <c r="D1029" s="19" t="str">
        <f t="array" ref="D1029">IFNA(_xlfn.XLOOKUP(C1029,Table_Tarikan_Warkah[Nomor Sertipikat],Table_Tarikan_Warkah[Nomor Tiket]),"")</f>
        <v>K/5/161024/1</v>
      </c>
      <c r="E1029" s="20" t="str">
        <f t="array" ref="E1029">IFNA(_xlfn.XLOOKUP(D1029,Table_Tarikan_Warkah[Nomor Tiket],Table_Tarikan_Warkah[Tanggal diserahkan kepada Validator]),"")</f>
        <v/>
      </c>
      <c r="F1029" s="20" t="str">
        <f t="array" ref="F1029">IFNA(_xlfn.XLOOKUP(D1029,Table_Tarikan_Warkah[Nomor Tiket],Table_Tarikan_Warkah[Nama Petugas Warkah]),"")</f>
        <v/>
      </c>
      <c r="G1029" s="21" t="str">
        <f t="array" ref="G1029">IFNA(_xlfn.XLOOKUP(D1029,Table_Tarikan_Warkah[Nomor Tiket],Table_Tarikan_Warkah[Jenis Permohonan]),"")</f>
        <v>BN Jual Beli</v>
      </c>
      <c r="H1029" s="22" t="s">
        <v>37</v>
      </c>
      <c r="I1029" s="22" t="s">
        <v>187</v>
      </c>
      <c r="J1029" s="20">
        <f t="shared" si="29"/>
        <v>45630.41281</v>
      </c>
      <c r="K1029" s="27" t="s">
        <v>33</v>
      </c>
      <c r="L1029" s="27" t="s">
        <v>187</v>
      </c>
      <c r="M1029" s="20">
        <f t="shared" si="30"/>
        <v>0</v>
      </c>
      <c r="N1029" s="8" t="str">
        <f t="shared" si="3"/>
        <v>Selesai</v>
      </c>
      <c r="O1029" s="23">
        <f t="shared" si="22"/>
        <v>0</v>
      </c>
      <c r="P1029" s="24" t="b">
        <v>1</v>
      </c>
      <c r="Q1029" s="20">
        <f t="shared" si="31"/>
        <v>0</v>
      </c>
      <c r="R1029" s="24" t="b">
        <v>0</v>
      </c>
      <c r="S1029" s="7" t="str">
        <f t="shared" si="6"/>
        <v/>
      </c>
      <c r="T1029" s="7"/>
    </row>
    <row r="1030" ht="22.5" hidden="1" customHeight="1">
      <c r="B1030" s="7">
        <f t="shared" si="7"/>
        <v>1024</v>
      </c>
      <c r="C1030" s="18" t="s">
        <v>995</v>
      </c>
      <c r="D1030" s="19" t="str">
        <f t="array" ref="D1030">IFNA(_xlfn.XLOOKUP(C1030,Table_Tarikan_Warkah[Nomor Sertipikat],Table_Tarikan_Warkah[Nomor Tiket]),"")</f>
        <v>K/29/021224/1</v>
      </c>
      <c r="E1030" s="20">
        <f t="array" ref="E1030">IFNA(_xlfn.XLOOKUP(D1030,Table_Tarikan_Warkah[Nomor Tiket],Table_Tarikan_Warkah[Tanggal diserahkan kepada Validator]),"")</f>
        <v>45630.39766</v>
      </c>
      <c r="F1030" s="20" t="str">
        <f t="array" ref="F1030">IFNA(_xlfn.XLOOKUP(D1030,Table_Tarikan_Warkah[Nomor Tiket],Table_Tarikan_Warkah[Nama Petugas Warkah]),"")</f>
        <v>Berry</v>
      </c>
      <c r="G1030" s="21" t="str">
        <f t="array" ref="G1030">IFNA(_xlfn.XLOOKUP(D1030,Table_Tarikan_Warkah[Nomor Tiket],Table_Tarikan_Warkah[Jenis Permohonan]),"")</f>
        <v>BN JUAL BELI </v>
      </c>
      <c r="H1030" s="22" t="s">
        <v>37</v>
      </c>
      <c r="I1030" s="22" t="s">
        <v>187</v>
      </c>
      <c r="J1030" s="20">
        <f t="shared" si="29"/>
        <v>45630.41426</v>
      </c>
      <c r="K1030" s="27" t="s">
        <v>33</v>
      </c>
      <c r="L1030" s="27" t="s">
        <v>187</v>
      </c>
      <c r="M1030" s="20">
        <f t="shared" si="30"/>
        <v>0</v>
      </c>
      <c r="N1030" s="8" t="str">
        <f t="shared" si="3"/>
        <v>Selesai</v>
      </c>
      <c r="O1030" s="23">
        <f t="shared" si="22"/>
        <v>0</v>
      </c>
      <c r="P1030" s="24" t="b">
        <v>1</v>
      </c>
      <c r="Q1030" s="20">
        <f t="shared" si="31"/>
        <v>0</v>
      </c>
      <c r="R1030" s="24" t="b">
        <v>1</v>
      </c>
      <c r="S1030" s="20">
        <f t="shared" si="6"/>
        <v>45637.43054</v>
      </c>
      <c r="T1030" s="7"/>
    </row>
    <row r="1031" ht="22.5" hidden="1" customHeight="1">
      <c r="B1031" s="7">
        <f t="shared" si="7"/>
        <v>1025</v>
      </c>
      <c r="C1031" s="18" t="s">
        <v>996</v>
      </c>
      <c r="D1031" s="19" t="str">
        <f t="array" ref="D1031">IFNA(_xlfn.XLOOKUP(C1031,Table_Tarikan_Warkah[Nomor Sertipikat],Table_Tarikan_Warkah[Nomor Tiket]),"")</f>
        <v>K/7/201124/1</v>
      </c>
      <c r="E1031" s="20">
        <f t="array" ref="E1031">IFNA(_xlfn.XLOOKUP(D1031,Table_Tarikan_Warkah[Nomor Tiket],Table_Tarikan_Warkah[Tanggal diserahkan kepada Validator]),"")</f>
        <v>45617.68054</v>
      </c>
      <c r="F1031" s="20" t="str">
        <f t="array" ref="F1031">IFNA(_xlfn.XLOOKUP(D1031,Table_Tarikan_Warkah[Nomor Tiket],Table_Tarikan_Warkah[Nama Petugas Warkah]),"")</f>
        <v>Berry</v>
      </c>
      <c r="G1031" s="21" t="str">
        <f t="array" ref="G1031">IFNA(_xlfn.XLOOKUP(D1031,Table_Tarikan_Warkah[Nomor Tiket],Table_Tarikan_Warkah[Jenis Permohonan]),"")</f>
        <v>BN JUAL BELI</v>
      </c>
      <c r="H1031" s="22" t="s">
        <v>37</v>
      </c>
      <c r="I1031" s="22" t="s">
        <v>187</v>
      </c>
      <c r="J1031" s="20">
        <f t="shared" si="29"/>
        <v>45630.41595</v>
      </c>
      <c r="K1031" s="27" t="s">
        <v>33</v>
      </c>
      <c r="L1031" s="27" t="s">
        <v>187</v>
      </c>
      <c r="M1031" s="20">
        <f t="shared" si="30"/>
        <v>0</v>
      </c>
      <c r="N1031" s="8" t="str">
        <f t="shared" si="3"/>
        <v>Selesai</v>
      </c>
      <c r="O1031" s="23">
        <f t="shared" si="22"/>
        <v>0</v>
      </c>
      <c r="P1031" s="24" t="b">
        <v>1</v>
      </c>
      <c r="Q1031" s="20">
        <f t="shared" si="31"/>
        <v>0</v>
      </c>
      <c r="R1031" s="24" t="b">
        <v>0</v>
      </c>
      <c r="S1031" s="7" t="str">
        <f t="shared" si="6"/>
        <v/>
      </c>
      <c r="T1031" s="7"/>
    </row>
    <row r="1032" ht="22.5" hidden="1" customHeight="1">
      <c r="B1032" s="7">
        <f t="shared" si="7"/>
        <v>1026</v>
      </c>
      <c r="C1032" s="18" t="s">
        <v>997</v>
      </c>
      <c r="D1032" s="19" t="str">
        <f t="array" ref="D1032">IFNA(_xlfn.XLOOKUP(C1032,Table_Tarikan_Warkah[Nomor Sertipikat],Table_Tarikan_Warkah[Nomor Tiket]),"")</f>
        <v>K/25/181124/3</v>
      </c>
      <c r="E1032" s="20" t="str">
        <f t="array" ref="E1032">IFNA(_xlfn.XLOOKUP(D1032,Table_Tarikan_Warkah[Nomor Tiket],Table_Tarikan_Warkah[Tanggal diserahkan kepada Validator]),"")</f>
        <v/>
      </c>
      <c r="F1032" s="20" t="str">
        <f t="array" ref="F1032">IFNA(_xlfn.XLOOKUP(D1032,Table_Tarikan_Warkah[Nomor Tiket],Table_Tarikan_Warkah[Nama Petugas Warkah]),"")</f>
        <v/>
      </c>
      <c r="G1032" s="21" t="str">
        <f t="array" ref="G1032">IFNA(_xlfn.XLOOKUP(D1032,Table_Tarikan_Warkah[Nomor Tiket],Table_Tarikan_Warkah[Jenis Permohonan]),"")</f>
        <v>BN JUAL BELI</v>
      </c>
      <c r="H1032" s="22" t="s">
        <v>37</v>
      </c>
      <c r="I1032" s="22" t="s">
        <v>187</v>
      </c>
      <c r="J1032" s="20">
        <f t="shared" si="29"/>
        <v>45630.41751</v>
      </c>
      <c r="K1032" s="27" t="s">
        <v>33</v>
      </c>
      <c r="L1032" s="27" t="s">
        <v>187</v>
      </c>
      <c r="M1032" s="20">
        <f t="shared" si="30"/>
        <v>0</v>
      </c>
      <c r="N1032" s="8" t="str">
        <f t="shared" si="3"/>
        <v>Selesai</v>
      </c>
      <c r="O1032" s="23">
        <f t="shared" si="22"/>
        <v>0</v>
      </c>
      <c r="P1032" s="24" t="b">
        <v>1</v>
      </c>
      <c r="Q1032" s="20">
        <f t="shared" si="31"/>
        <v>0</v>
      </c>
      <c r="R1032" s="24" t="b">
        <v>0</v>
      </c>
      <c r="S1032" s="7" t="str">
        <f t="shared" si="6"/>
        <v/>
      </c>
      <c r="T1032" s="7"/>
    </row>
    <row r="1033" ht="22.5" hidden="1" customHeight="1">
      <c r="B1033" s="7">
        <f t="shared" si="7"/>
        <v>1027</v>
      </c>
      <c r="C1033" s="18" t="s">
        <v>998</v>
      </c>
      <c r="D1033" s="19" t="str">
        <f t="array" ref="D1033">IFNA(_xlfn.XLOOKUP(C1033,Table_Tarikan_Warkah[Nomor Sertipikat],Table_Tarikan_Warkah[Nomor Tiket]),"")</f>
        <v>K/22/021224/1</v>
      </c>
      <c r="E1033" s="20" t="str">
        <f t="array" ref="E1033">IFNA(_xlfn.XLOOKUP(D1033,Table_Tarikan_Warkah[Nomor Tiket],Table_Tarikan_Warkah[Tanggal diserahkan kepada Validator]),"")</f>
        <v/>
      </c>
      <c r="F1033" s="20" t="str">
        <f t="array" ref="F1033">IFNA(_xlfn.XLOOKUP(D1033,Table_Tarikan_Warkah[Nomor Tiket],Table_Tarikan_Warkah[Nama Petugas Warkah]),"")</f>
        <v>Berry</v>
      </c>
      <c r="G1033" s="21" t="str">
        <f t="array" ref="G1033">IFNA(_xlfn.XLOOKUP(D1033,Table_Tarikan_Warkah[Nomor Tiket],Table_Tarikan_Warkah[Jenis Permohonan]),"")</f>
        <v>BN JUAL BELI</v>
      </c>
      <c r="H1033" s="22" t="s">
        <v>37</v>
      </c>
      <c r="I1033" s="22" t="s">
        <v>187</v>
      </c>
      <c r="J1033" s="20">
        <f t="shared" si="29"/>
        <v>45630.49575</v>
      </c>
      <c r="K1033" s="27" t="s">
        <v>33</v>
      </c>
      <c r="L1033" s="27" t="s">
        <v>187</v>
      </c>
      <c r="M1033" s="20">
        <f t="shared" si="30"/>
        <v>0</v>
      </c>
      <c r="N1033" s="8" t="str">
        <f t="shared" si="3"/>
        <v>Selesai</v>
      </c>
      <c r="O1033" s="23">
        <f t="shared" si="22"/>
        <v>0</v>
      </c>
      <c r="P1033" s="24" t="b">
        <v>1</v>
      </c>
      <c r="Q1033" s="20">
        <f t="shared" si="31"/>
        <v>0</v>
      </c>
      <c r="R1033" s="24" t="b">
        <v>1</v>
      </c>
      <c r="S1033" s="20">
        <f t="shared" si="6"/>
        <v>45637.43503</v>
      </c>
      <c r="T1033" s="7"/>
    </row>
    <row r="1034" ht="22.5" hidden="1" customHeight="1">
      <c r="B1034" s="7">
        <f t="shared" si="7"/>
        <v>1028</v>
      </c>
      <c r="C1034" s="18" t="s">
        <v>999</v>
      </c>
      <c r="D1034" s="19" t="str">
        <f t="array" ref="D1034">IFNA(_xlfn.XLOOKUP(C1034,Table_Tarikan_Warkah[Nomor Sertipikat],Table_Tarikan_Warkah[Nomor Tiket]),"")</f>
        <v>K/3/261124/1</v>
      </c>
      <c r="E1034" s="20" t="str">
        <f t="array" ref="E1034">IFNA(_xlfn.XLOOKUP(D1034,Table_Tarikan_Warkah[Nomor Tiket],Table_Tarikan_Warkah[Tanggal diserahkan kepada Validator]),"")</f>
        <v/>
      </c>
      <c r="F1034" s="20" t="str">
        <f t="array" ref="F1034">IFNA(_xlfn.XLOOKUP(D1034,Table_Tarikan_Warkah[Nomor Tiket],Table_Tarikan_Warkah[Nama Petugas Warkah]),"")</f>
        <v/>
      </c>
      <c r="G1034" s="21" t="str">
        <f t="array" ref="G1034">IFNA(_xlfn.XLOOKUP(D1034,Table_Tarikan_Warkah[Nomor Tiket],Table_Tarikan_Warkah[Jenis Permohonan]),"")</f>
        <v>Roya</v>
      </c>
      <c r="H1034" s="22" t="s">
        <v>37</v>
      </c>
      <c r="I1034" s="22" t="s">
        <v>187</v>
      </c>
      <c r="J1034" s="20">
        <f t="shared" si="29"/>
        <v>45630.59595</v>
      </c>
      <c r="K1034" s="27" t="s">
        <v>33</v>
      </c>
      <c r="L1034" s="27" t="s">
        <v>187</v>
      </c>
      <c r="M1034" s="20">
        <f t="shared" si="30"/>
        <v>0</v>
      </c>
      <c r="N1034" s="8" t="str">
        <f t="shared" si="3"/>
        <v>Selesai</v>
      </c>
      <c r="O1034" s="23">
        <f t="shared" si="22"/>
        <v>0</v>
      </c>
      <c r="P1034" s="24" t="b">
        <v>1</v>
      </c>
      <c r="Q1034" s="20">
        <f t="shared" si="31"/>
        <v>0</v>
      </c>
      <c r="R1034" s="24" t="b">
        <v>0</v>
      </c>
      <c r="S1034" s="7" t="str">
        <f t="shared" si="6"/>
        <v/>
      </c>
      <c r="T1034" s="7"/>
    </row>
    <row r="1035" ht="22.5" hidden="1" customHeight="1">
      <c r="B1035" s="7">
        <f t="shared" si="7"/>
        <v>1029</v>
      </c>
      <c r="C1035" s="18" t="s">
        <v>1000</v>
      </c>
      <c r="D1035" s="19" t="str">
        <f t="array" ref="D1035">IFNA(_xlfn.XLOOKUP(C1035,Table_Tarikan_Warkah[Nomor Sertipikat],Table_Tarikan_Warkah[Nomor Tiket]),"")</f>
        <v>K/61/251124/1</v>
      </c>
      <c r="E1035" s="20" t="str">
        <f t="array" ref="E1035">IFNA(_xlfn.XLOOKUP(D1035,Table_Tarikan_Warkah[Nomor Tiket],Table_Tarikan_Warkah[Tanggal diserahkan kepada Validator]),"")</f>
        <v/>
      </c>
      <c r="F1035" s="20" t="str">
        <f t="array" ref="F1035">IFNA(_xlfn.XLOOKUP(D1035,Table_Tarikan_Warkah[Nomor Tiket],Table_Tarikan_Warkah[Nama Petugas Warkah]),"")</f>
        <v>Berry</v>
      </c>
      <c r="G1035" s="21" t="str">
        <f t="array" ref="G1035">IFNA(_xlfn.XLOOKUP(D1035,Table_Tarikan_Warkah[Nomor Tiket],Table_Tarikan_Warkah[Jenis Permohonan]),"")</f>
        <v>BN JUAL BELI</v>
      </c>
      <c r="H1035" s="22" t="s">
        <v>37</v>
      </c>
      <c r="I1035" s="22" t="s">
        <v>187</v>
      </c>
      <c r="J1035" s="20">
        <f t="shared" si="29"/>
        <v>45630.59701</v>
      </c>
      <c r="K1035" s="27" t="s">
        <v>33</v>
      </c>
      <c r="L1035" s="27" t="s">
        <v>187</v>
      </c>
      <c r="M1035" s="20">
        <f t="shared" si="30"/>
        <v>45636.62783</v>
      </c>
      <c r="N1035" s="8" t="str">
        <f t="shared" si="3"/>
        <v>Selesai</v>
      </c>
      <c r="O1035" s="23">
        <f t="shared" si="22"/>
        <v>45636.62783</v>
      </c>
      <c r="P1035" s="24" t="b">
        <v>1</v>
      </c>
      <c r="Q1035" s="20">
        <f t="shared" si="31"/>
        <v>45636.62784</v>
      </c>
      <c r="R1035" s="24" t="b">
        <v>0</v>
      </c>
      <c r="S1035" s="7" t="str">
        <f t="shared" si="6"/>
        <v/>
      </c>
      <c r="T1035" s="7"/>
    </row>
    <row r="1036" ht="22.5" hidden="1" customHeight="1">
      <c r="B1036" s="7">
        <f t="shared" si="7"/>
        <v>1030</v>
      </c>
      <c r="C1036" s="18" t="s">
        <v>1001</v>
      </c>
      <c r="D1036" s="19" t="str">
        <f t="array" ref="D1036">IFNA(_xlfn.XLOOKUP(C1036,Table_Tarikan_Warkah[Nomor Sertipikat],Table_Tarikan_Warkah[Nomor Tiket]),"")</f>
        <v>K/12/291124/1</v>
      </c>
      <c r="E1036" s="20" t="str">
        <f t="array" ref="E1036">IFNA(_xlfn.XLOOKUP(D1036,Table_Tarikan_Warkah[Nomor Tiket],Table_Tarikan_Warkah[Tanggal diserahkan kepada Validator]),"")</f>
        <v/>
      </c>
      <c r="F1036" s="20" t="str">
        <f t="array" ref="F1036">IFNA(_xlfn.XLOOKUP(D1036,Table_Tarikan_Warkah[Nomor Tiket],Table_Tarikan_Warkah[Nama Petugas Warkah]),"")</f>
        <v/>
      </c>
      <c r="G1036" s="21" t="str">
        <f t="array" ref="G1036">IFNA(_xlfn.XLOOKUP(D1036,Table_Tarikan_Warkah[Nomor Tiket],Table_Tarikan_Warkah[Jenis Permohonan]),"")</f>
        <v>ROYA</v>
      </c>
      <c r="H1036" s="22" t="s">
        <v>31</v>
      </c>
      <c r="I1036" s="22" t="s">
        <v>32</v>
      </c>
      <c r="J1036" s="20">
        <f t="shared" si="29"/>
        <v>45630.67349</v>
      </c>
      <c r="K1036" s="27" t="s">
        <v>65</v>
      </c>
      <c r="L1036" s="27" t="s">
        <v>32</v>
      </c>
      <c r="M1036" s="20">
        <f t="shared" si="30"/>
        <v>45636.66859</v>
      </c>
      <c r="N1036" s="8" t="str">
        <f t="shared" si="3"/>
        <v>SELESAI</v>
      </c>
      <c r="O1036" s="23">
        <f t="shared" si="22"/>
        <v>45636.66859</v>
      </c>
      <c r="P1036" s="24" t="b">
        <v>0</v>
      </c>
      <c r="Q1036" s="20" t="str">
        <f t="shared" si="31"/>
        <v/>
      </c>
      <c r="R1036" s="24" t="b">
        <v>1</v>
      </c>
      <c r="S1036" s="20">
        <f t="shared" si="6"/>
        <v>45637.4348</v>
      </c>
      <c r="T1036" s="7"/>
    </row>
    <row r="1037" ht="22.5" hidden="1" customHeight="1">
      <c r="B1037" s="7">
        <f t="shared" si="7"/>
        <v>1031</v>
      </c>
      <c r="C1037" s="18" t="s">
        <v>1002</v>
      </c>
      <c r="D1037" s="19" t="str">
        <f t="array" ref="D1037">IFNA(_xlfn.XLOOKUP(C1037,Table_Tarikan_Warkah[Nomor Sertipikat],Table_Tarikan_Warkah[Nomor Tiket]),"")</f>
        <v>K/2/021224/1</v>
      </c>
      <c r="E1037" s="20" t="str">
        <f t="array" ref="E1037">IFNA(_xlfn.XLOOKUP(D1037,Table_Tarikan_Warkah[Nomor Tiket],Table_Tarikan_Warkah[Tanggal diserahkan kepada Validator]),"")</f>
        <v/>
      </c>
      <c r="F1037" s="20" t="str">
        <f t="array" ref="F1037">IFNA(_xlfn.XLOOKUP(D1037,Table_Tarikan_Warkah[Nomor Tiket],Table_Tarikan_Warkah[Nama Petugas Warkah]),"")</f>
        <v/>
      </c>
      <c r="G1037" s="21" t="str">
        <f t="array" ref="G1037">IFNA(_xlfn.XLOOKUP(D1037,Table_Tarikan_Warkah[Nomor Tiket],Table_Tarikan_Warkah[Jenis Permohonan]),"")</f>
        <v>ROYA </v>
      </c>
      <c r="H1037" s="22" t="s">
        <v>31</v>
      </c>
      <c r="I1037" s="22" t="s">
        <v>32</v>
      </c>
      <c r="J1037" s="20">
        <f t="shared" si="29"/>
        <v>45630.67361</v>
      </c>
      <c r="K1037" s="27" t="s">
        <v>65</v>
      </c>
      <c r="L1037" s="27" t="s">
        <v>32</v>
      </c>
      <c r="M1037" s="20">
        <f t="shared" si="30"/>
        <v>45636.66864</v>
      </c>
      <c r="N1037" s="8" t="str">
        <f t="shared" si="3"/>
        <v>SELESAI</v>
      </c>
      <c r="O1037" s="23">
        <f t="shared" si="22"/>
        <v>45636.66864</v>
      </c>
      <c r="P1037" s="24" t="b">
        <v>0</v>
      </c>
      <c r="Q1037" s="20" t="str">
        <f t="shared" si="31"/>
        <v/>
      </c>
      <c r="R1037" s="24" t="b">
        <v>1</v>
      </c>
      <c r="S1037" s="20">
        <f t="shared" si="6"/>
        <v>45637.43321</v>
      </c>
      <c r="T1037" s="7"/>
    </row>
    <row r="1038" ht="22.5" hidden="1" customHeight="1">
      <c r="B1038" s="7">
        <f t="shared" si="7"/>
        <v>1032</v>
      </c>
      <c r="C1038" s="18" t="s">
        <v>1003</v>
      </c>
      <c r="D1038" s="19" t="str">
        <f t="array" ref="D1038">IFNA(_xlfn.XLOOKUP(C1038,Table_Tarikan_Warkah[Nomor Sertipikat],Table_Tarikan_Warkah[Nomor Tiket]),"")</f>
        <v>L/18/021224/1</v>
      </c>
      <c r="E1038" s="20" t="str">
        <f t="array" ref="E1038">IFNA(_xlfn.XLOOKUP(D1038,Table_Tarikan_Warkah[Nomor Tiket],Table_Tarikan_Warkah[Tanggal diserahkan kepada Validator]),"")</f>
        <v/>
      </c>
      <c r="F1038" s="20" t="str">
        <f t="array" ref="F1038">IFNA(_xlfn.XLOOKUP(D1038,Table_Tarikan_Warkah[Nomor Tiket],Table_Tarikan_Warkah[Nama Petugas Warkah]),"")</f>
        <v>Berry</v>
      </c>
      <c r="G1038" s="21" t="str">
        <f t="array" ref="G1038">IFNA(_xlfn.XLOOKUP(D1038,Table_Tarikan_Warkah[Nomor Tiket],Table_Tarikan_Warkah[Jenis Permohonan]),"")</f>
        <v>ROYA</v>
      </c>
      <c r="H1038" s="22" t="s">
        <v>31</v>
      </c>
      <c r="I1038" s="22" t="s">
        <v>32</v>
      </c>
      <c r="J1038" s="20">
        <f t="shared" si="29"/>
        <v>45630.67361</v>
      </c>
      <c r="K1038" s="27" t="s">
        <v>65</v>
      </c>
      <c r="L1038" s="27" t="s">
        <v>32</v>
      </c>
      <c r="M1038" s="20">
        <f t="shared" si="30"/>
        <v>45636.66879</v>
      </c>
      <c r="N1038" s="8" t="str">
        <f t="shared" si="3"/>
        <v>SELESAI</v>
      </c>
      <c r="O1038" s="23">
        <f t="shared" si="22"/>
        <v>45636.66879</v>
      </c>
      <c r="P1038" s="24" t="b">
        <v>0</v>
      </c>
      <c r="Q1038" s="20" t="str">
        <f t="shared" si="31"/>
        <v/>
      </c>
      <c r="R1038" s="24" t="b">
        <v>1</v>
      </c>
      <c r="S1038" s="20">
        <f t="shared" si="6"/>
        <v>45637.43355</v>
      </c>
      <c r="T1038" s="7"/>
    </row>
    <row r="1039" ht="22.5" hidden="1" customHeight="1">
      <c r="B1039" s="7">
        <f t="shared" si="7"/>
        <v>1033</v>
      </c>
      <c r="C1039" s="18" t="s">
        <v>1004</v>
      </c>
      <c r="D1039" s="19" t="str">
        <f t="array" ref="D1039">IFNA(_xlfn.XLOOKUP(C1039,Table_Tarikan_Warkah[Nomor Sertipikat],Table_Tarikan_Warkah[Nomor Tiket]),"")</f>
        <v>K/12/021224/1</v>
      </c>
      <c r="E1039" s="20" t="str">
        <f t="array" ref="E1039">IFNA(_xlfn.XLOOKUP(D1039,Table_Tarikan_Warkah[Nomor Tiket],Table_Tarikan_Warkah[Tanggal diserahkan kepada Validator]),"")</f>
        <v/>
      </c>
      <c r="F1039" s="20" t="str">
        <f t="array" ref="F1039">IFNA(_xlfn.XLOOKUP(D1039,Table_Tarikan_Warkah[Nomor Tiket],Table_Tarikan_Warkah[Nama Petugas Warkah]),"")</f>
        <v>Berry</v>
      </c>
      <c r="G1039" s="21" t="str">
        <f t="array" ref="G1039">IFNA(_xlfn.XLOOKUP(D1039,Table_Tarikan_Warkah[Nomor Tiket],Table_Tarikan_Warkah[Jenis Permohonan]),"")</f>
        <v>ROYA</v>
      </c>
      <c r="H1039" s="22" t="s">
        <v>31</v>
      </c>
      <c r="I1039" s="22" t="s">
        <v>32</v>
      </c>
      <c r="J1039" s="20">
        <f t="shared" si="29"/>
        <v>45630.67361</v>
      </c>
      <c r="K1039" s="27" t="s">
        <v>65</v>
      </c>
      <c r="L1039" s="27" t="s">
        <v>32</v>
      </c>
      <c r="M1039" s="20">
        <f t="shared" si="30"/>
        <v>45636.66879</v>
      </c>
      <c r="N1039" s="8" t="str">
        <f t="shared" si="3"/>
        <v>SELESAI</v>
      </c>
      <c r="O1039" s="23">
        <f t="shared" si="22"/>
        <v>45636.66879</v>
      </c>
      <c r="P1039" s="24" t="b">
        <v>0</v>
      </c>
      <c r="Q1039" s="20" t="str">
        <f t="shared" si="31"/>
        <v/>
      </c>
      <c r="R1039" s="24" t="b">
        <v>1</v>
      </c>
      <c r="S1039" s="20">
        <f t="shared" si="6"/>
        <v>45637.43348</v>
      </c>
      <c r="T1039" s="7"/>
    </row>
    <row r="1040" ht="22.5" hidden="1" customHeight="1">
      <c r="B1040" s="7">
        <f t="shared" si="7"/>
        <v>1034</v>
      </c>
      <c r="C1040" s="18" t="s">
        <v>1005</v>
      </c>
      <c r="D1040" s="19" t="str">
        <f t="array" ref="D1040">IFNA(_xlfn.XLOOKUP(C1040,Table_Tarikan_Warkah[Nomor Sertipikat],Table_Tarikan_Warkah[Nomor Tiket]),"")</f>
        <v>L/13/021224/1</v>
      </c>
      <c r="E1040" s="20" t="str">
        <f t="array" ref="E1040">IFNA(_xlfn.XLOOKUP(D1040,Table_Tarikan_Warkah[Nomor Tiket],Table_Tarikan_Warkah[Tanggal diserahkan kepada Validator]),"")</f>
        <v/>
      </c>
      <c r="F1040" s="20" t="str">
        <f t="array" ref="F1040">IFNA(_xlfn.XLOOKUP(D1040,Table_Tarikan_Warkah[Nomor Tiket],Table_Tarikan_Warkah[Nama Petugas Warkah]),"")</f>
        <v>Berry</v>
      </c>
      <c r="G1040" s="21" t="str">
        <f t="array" ref="G1040">IFNA(_xlfn.XLOOKUP(D1040,Table_Tarikan_Warkah[Nomor Tiket],Table_Tarikan_Warkah[Jenis Permohonan]),"")</f>
        <v>BN WARIS</v>
      </c>
      <c r="H1040" s="22" t="s">
        <v>31</v>
      </c>
      <c r="I1040" s="22" t="s">
        <v>32</v>
      </c>
      <c r="J1040" s="20">
        <f t="shared" si="29"/>
        <v>45630.67361</v>
      </c>
      <c r="K1040" s="27" t="s">
        <v>65</v>
      </c>
      <c r="L1040" s="27" t="s">
        <v>32</v>
      </c>
      <c r="M1040" s="20">
        <f t="shared" si="30"/>
        <v>45636.66896</v>
      </c>
      <c r="N1040" s="8" t="str">
        <f t="shared" si="3"/>
        <v>SELESAI</v>
      </c>
      <c r="O1040" s="23">
        <f t="shared" si="22"/>
        <v>45636.66896</v>
      </c>
      <c r="P1040" s="24" t="b">
        <v>0</v>
      </c>
      <c r="Q1040" s="20" t="str">
        <f t="shared" si="31"/>
        <v/>
      </c>
      <c r="R1040" s="24" t="b">
        <v>1</v>
      </c>
      <c r="S1040" s="20">
        <f t="shared" si="6"/>
        <v>45637.4284</v>
      </c>
      <c r="T1040" s="7"/>
    </row>
    <row r="1041" ht="22.5" hidden="1" customHeight="1">
      <c r="B1041" s="7">
        <f t="shared" si="7"/>
        <v>1035</v>
      </c>
      <c r="C1041" s="18" t="s">
        <v>1006</v>
      </c>
      <c r="D1041" s="19" t="str">
        <f t="array" ref="D1041">IFNA(_xlfn.XLOOKUP(C1041,Table_Tarikan_Warkah[Nomor Sertipikat],Table_Tarikan_Warkah[Nomor Tiket]),"")</f>
        <v>K/30/021224/2</v>
      </c>
      <c r="E1041" s="20" t="str">
        <f t="array" ref="E1041">IFNA(_xlfn.XLOOKUP(D1041,Table_Tarikan_Warkah[Nomor Tiket],Table_Tarikan_Warkah[Tanggal diserahkan kepada Validator]),"")</f>
        <v/>
      </c>
      <c r="F1041" s="20" t="str">
        <f t="array" ref="F1041">IFNA(_xlfn.XLOOKUP(D1041,Table_Tarikan_Warkah[Nomor Tiket],Table_Tarikan_Warkah[Nama Petugas Warkah]),"")</f>
        <v/>
      </c>
      <c r="G1041" s="21" t="str">
        <f t="array" ref="G1041">IFNA(_xlfn.XLOOKUP(D1041,Table_Tarikan_Warkah[Nomor Tiket],Table_Tarikan_Warkah[Jenis Permohonan]),"")</f>
        <v>BN JUAL BELI </v>
      </c>
      <c r="H1041" s="22" t="s">
        <v>31</v>
      </c>
      <c r="I1041" s="22" t="s">
        <v>32</v>
      </c>
      <c r="J1041" s="20">
        <f t="shared" si="29"/>
        <v>45630.67361</v>
      </c>
      <c r="K1041" s="27" t="s">
        <v>65</v>
      </c>
      <c r="L1041" s="27" t="s">
        <v>32</v>
      </c>
      <c r="M1041" s="20">
        <f t="shared" si="30"/>
        <v>45636.66896</v>
      </c>
      <c r="N1041" s="8" t="str">
        <f t="shared" si="3"/>
        <v>SELESAI</v>
      </c>
      <c r="O1041" s="23">
        <f t="shared" si="22"/>
        <v>45636.66896</v>
      </c>
      <c r="P1041" s="24" t="b">
        <v>1</v>
      </c>
      <c r="Q1041" s="20">
        <f t="shared" si="31"/>
        <v>45636.70676</v>
      </c>
      <c r="R1041" s="24" t="b">
        <v>1</v>
      </c>
      <c r="S1041" s="20">
        <f t="shared" si="6"/>
        <v>45637.42824</v>
      </c>
      <c r="T1041" s="7"/>
    </row>
    <row r="1042" ht="22.5" hidden="1" customHeight="1">
      <c r="B1042" s="7">
        <f t="shared" si="7"/>
        <v>1036</v>
      </c>
      <c r="C1042" s="18" t="s">
        <v>1007</v>
      </c>
      <c r="D1042" s="19" t="str">
        <f t="array" ref="D1042">IFNA(_xlfn.XLOOKUP(C1042,Table_Tarikan_Warkah[Nomor Sertipikat],Table_Tarikan_Warkah[Nomor Tiket]),"")</f>
        <v>K/28/021224/2</v>
      </c>
      <c r="E1042" s="20" t="str">
        <f t="array" ref="E1042">IFNA(_xlfn.XLOOKUP(D1042,Table_Tarikan_Warkah[Nomor Tiket],Table_Tarikan_Warkah[Tanggal diserahkan kepada Validator]),"")</f>
        <v/>
      </c>
      <c r="F1042" s="20" t="str">
        <f t="array" ref="F1042">IFNA(_xlfn.XLOOKUP(D1042,Table_Tarikan_Warkah[Nomor Tiket],Table_Tarikan_Warkah[Nama Petugas Warkah]),"")</f>
        <v/>
      </c>
      <c r="G1042" s="21" t="str">
        <f t="array" ref="G1042">IFNA(_xlfn.XLOOKUP(D1042,Table_Tarikan_Warkah[Nomor Tiket],Table_Tarikan_Warkah[Jenis Permohonan]),"")</f>
        <v>BN Waris</v>
      </c>
      <c r="H1042" s="22" t="s">
        <v>31</v>
      </c>
      <c r="I1042" s="22" t="s">
        <v>32</v>
      </c>
      <c r="J1042" s="20">
        <f t="shared" si="29"/>
        <v>45630.67361</v>
      </c>
      <c r="K1042" s="27" t="s">
        <v>65</v>
      </c>
      <c r="L1042" s="27" t="s">
        <v>32</v>
      </c>
      <c r="M1042" s="20">
        <f t="shared" si="30"/>
        <v>45636.66896</v>
      </c>
      <c r="N1042" s="8" t="str">
        <f t="shared" si="3"/>
        <v>SELESAI</v>
      </c>
      <c r="O1042" s="23">
        <f t="shared" si="22"/>
        <v>45636.66896</v>
      </c>
      <c r="P1042" s="24" t="b">
        <v>0</v>
      </c>
      <c r="Q1042" s="20" t="str">
        <f t="shared" si="31"/>
        <v/>
      </c>
      <c r="R1042" s="24" t="b">
        <v>1</v>
      </c>
      <c r="S1042" s="20">
        <f t="shared" si="6"/>
        <v>45637.42816</v>
      </c>
      <c r="T1042" s="7"/>
    </row>
    <row r="1043" ht="22.5" hidden="1" customHeight="1">
      <c r="B1043" s="7">
        <f t="shared" si="7"/>
        <v>1037</v>
      </c>
      <c r="C1043" s="18" t="s">
        <v>1008</v>
      </c>
      <c r="D1043" s="19" t="str">
        <f t="array" ref="D1043">IFNA(_xlfn.XLOOKUP(C1043,Table_Tarikan_Warkah[Nomor Sertipikat],Table_Tarikan_Warkah[Nomor Tiket]),"")</f>
        <v>K/27/021224/1</v>
      </c>
      <c r="E1043" s="20">
        <f t="array" ref="E1043">IFNA(_xlfn.XLOOKUP(D1043,Table_Tarikan_Warkah[Nomor Tiket],Table_Tarikan_Warkah[Tanggal diserahkan kepada Validator]),"")</f>
        <v>45630.39753</v>
      </c>
      <c r="F1043" s="20" t="str">
        <f t="array" ref="F1043">IFNA(_xlfn.XLOOKUP(D1043,Table_Tarikan_Warkah[Nomor Tiket],Table_Tarikan_Warkah[Nama Petugas Warkah]),"")</f>
        <v>Berry</v>
      </c>
      <c r="G1043" s="21" t="str">
        <f t="array" ref="G1043">IFNA(_xlfn.XLOOKUP(D1043,Table_Tarikan_Warkah[Nomor Tiket],Table_Tarikan_Warkah[Jenis Permohonan]),"")</f>
        <v>BN Waris</v>
      </c>
      <c r="H1043" s="22" t="s">
        <v>31</v>
      </c>
      <c r="I1043" s="22" t="s">
        <v>32</v>
      </c>
      <c r="J1043" s="20">
        <f t="shared" si="29"/>
        <v>45630.67361</v>
      </c>
      <c r="K1043" s="27" t="s">
        <v>65</v>
      </c>
      <c r="L1043" s="27" t="s">
        <v>32</v>
      </c>
      <c r="M1043" s="20">
        <f t="shared" si="30"/>
        <v>45636.66899</v>
      </c>
      <c r="N1043" s="8" t="str">
        <f t="shared" si="3"/>
        <v>SELESAI</v>
      </c>
      <c r="O1043" s="23">
        <f t="shared" si="22"/>
        <v>45636.66899</v>
      </c>
      <c r="P1043" s="24" t="b">
        <v>0</v>
      </c>
      <c r="Q1043" s="20" t="str">
        <f t="shared" si="31"/>
        <v/>
      </c>
      <c r="R1043" s="24" t="b">
        <v>1</v>
      </c>
      <c r="S1043" s="20">
        <f t="shared" si="6"/>
        <v>45637.4361</v>
      </c>
      <c r="T1043" s="7"/>
    </row>
    <row r="1044" ht="22.5" hidden="1" customHeight="1">
      <c r="B1044" s="7">
        <f t="shared" si="7"/>
        <v>1038</v>
      </c>
      <c r="C1044" s="18" t="s">
        <v>1009</v>
      </c>
      <c r="D1044" s="19" t="str">
        <f t="array" ref="D1044">IFNA(_xlfn.XLOOKUP(C1044,Table_Tarikan_Warkah[Nomor Sertipikat],Table_Tarikan_Warkah[Nomor Tiket]),"")</f>
        <v>K/20/021224/1</v>
      </c>
      <c r="E1044" s="20" t="str">
        <f t="array" ref="E1044">IFNA(_xlfn.XLOOKUP(D1044,Table_Tarikan_Warkah[Nomor Tiket],Table_Tarikan_Warkah[Tanggal diserahkan kepada Validator]),"")</f>
        <v/>
      </c>
      <c r="F1044" s="20" t="str">
        <f t="array" ref="F1044">IFNA(_xlfn.XLOOKUP(D1044,Table_Tarikan_Warkah[Nomor Tiket],Table_Tarikan_Warkah[Nama Petugas Warkah]),"")</f>
        <v/>
      </c>
      <c r="G1044" s="21" t="str">
        <f t="array" ref="G1044">IFNA(_xlfn.XLOOKUP(D1044,Table_Tarikan_Warkah[Nomor Tiket],Table_Tarikan_Warkah[Jenis Permohonan]),"")</f>
        <v>Roya</v>
      </c>
      <c r="H1044" s="22" t="s">
        <v>31</v>
      </c>
      <c r="I1044" s="22" t="s">
        <v>32</v>
      </c>
      <c r="J1044" s="20">
        <f t="shared" si="29"/>
        <v>45630.67361</v>
      </c>
      <c r="K1044" s="27" t="s">
        <v>65</v>
      </c>
      <c r="L1044" s="27" t="s">
        <v>32</v>
      </c>
      <c r="M1044" s="20">
        <f t="shared" si="30"/>
        <v>45636.66899</v>
      </c>
      <c r="N1044" s="8" t="str">
        <f t="shared" si="3"/>
        <v>SELESAI</v>
      </c>
      <c r="O1044" s="23">
        <f t="shared" si="22"/>
        <v>45636.66899</v>
      </c>
      <c r="P1044" s="24" t="b">
        <v>0</v>
      </c>
      <c r="Q1044" s="20" t="str">
        <f t="shared" si="31"/>
        <v/>
      </c>
      <c r="R1044" s="24" t="b">
        <v>1</v>
      </c>
      <c r="S1044" s="20">
        <f t="shared" si="6"/>
        <v>45637.42994</v>
      </c>
      <c r="T1044" s="7"/>
    </row>
    <row r="1045" ht="22.5" hidden="1" customHeight="1">
      <c r="B1045" s="7">
        <f t="shared" si="7"/>
        <v>1039</v>
      </c>
      <c r="C1045" s="18" t="s">
        <v>1010</v>
      </c>
      <c r="D1045" s="19" t="str">
        <f t="array" ref="D1045">IFNA(_xlfn.XLOOKUP(C1045,Table_Tarikan_Warkah[Nomor Sertipikat],Table_Tarikan_Warkah[Nomor Tiket]),"")</f>
        <v>K/1/181124/1</v>
      </c>
      <c r="E1045" s="20">
        <f t="array" ref="E1045">IFNA(_xlfn.XLOOKUP(D1045,Table_Tarikan_Warkah[Nomor Tiket],Table_Tarikan_Warkah[Tanggal diserahkan kepada Validator]),"")</f>
        <v>45615.4569</v>
      </c>
      <c r="F1045" s="20" t="str">
        <f t="array" ref="F1045">IFNA(_xlfn.XLOOKUP(D1045,Table_Tarikan_Warkah[Nomor Tiket],Table_Tarikan_Warkah[Nama Petugas Warkah]),"")</f>
        <v>Berry</v>
      </c>
      <c r="G1045" s="21" t="str">
        <f t="array" ref="G1045">IFNA(_xlfn.XLOOKUP(D1045,Table_Tarikan_Warkah[Nomor Tiket],Table_Tarikan_Warkah[Jenis Permohonan]),"")</f>
        <v>BN JUAL BELI</v>
      </c>
      <c r="H1045" s="22" t="s">
        <v>31</v>
      </c>
      <c r="I1045" s="22" t="s">
        <v>32</v>
      </c>
      <c r="J1045" s="20">
        <f t="shared" si="29"/>
        <v>45630.67361</v>
      </c>
      <c r="K1045" s="27" t="s">
        <v>65</v>
      </c>
      <c r="L1045" s="27" t="s">
        <v>32</v>
      </c>
      <c r="M1045" s="20">
        <f t="shared" si="30"/>
        <v>45636.66899</v>
      </c>
      <c r="N1045" s="8" t="str">
        <f t="shared" si="3"/>
        <v>SELESAI</v>
      </c>
      <c r="O1045" s="23">
        <f t="shared" si="22"/>
        <v>45636.66899</v>
      </c>
      <c r="P1045" s="24" t="b">
        <v>0</v>
      </c>
      <c r="Q1045" s="20" t="str">
        <f t="shared" si="31"/>
        <v/>
      </c>
      <c r="R1045" s="24" t="b">
        <v>0</v>
      </c>
      <c r="S1045" s="7" t="str">
        <f t="shared" si="6"/>
        <v/>
      </c>
      <c r="T1045" s="7"/>
    </row>
    <row r="1046" ht="22.5" hidden="1" customHeight="1">
      <c r="B1046" s="7">
        <f t="shared" si="7"/>
        <v>1040</v>
      </c>
      <c r="C1046" s="18" t="s">
        <v>1011</v>
      </c>
      <c r="D1046" s="19" t="str">
        <f t="array" ref="D1046">IFNA(_xlfn.XLOOKUP(C1046,Table_Tarikan_Warkah[Nomor Sertipikat],Table_Tarikan_Warkah[Nomor Tiket]),"")</f>
        <v>K/3/191124/2</v>
      </c>
      <c r="E1046" s="20" t="str">
        <f t="array" ref="E1046">IFNA(_xlfn.XLOOKUP(D1046,Table_Tarikan_Warkah[Nomor Tiket],Table_Tarikan_Warkah[Tanggal diserahkan kepada Validator]),"")</f>
        <v/>
      </c>
      <c r="F1046" s="20" t="str">
        <f t="array" ref="F1046">IFNA(_xlfn.XLOOKUP(D1046,Table_Tarikan_Warkah[Nomor Tiket],Table_Tarikan_Warkah[Nama Petugas Warkah]),"")</f>
        <v/>
      </c>
      <c r="G1046" s="21" t="str">
        <f t="array" ref="G1046">IFNA(_xlfn.XLOOKUP(D1046,Table_Tarikan_Warkah[Nomor Tiket],Table_Tarikan_Warkah[Jenis Permohonan]),"")</f>
        <v>BN JUAL BELI</v>
      </c>
      <c r="H1046" s="22" t="s">
        <v>31</v>
      </c>
      <c r="I1046" s="22" t="s">
        <v>32</v>
      </c>
      <c r="J1046" s="20">
        <f t="shared" si="29"/>
        <v>45630.67361</v>
      </c>
      <c r="K1046" s="27" t="s">
        <v>65</v>
      </c>
      <c r="L1046" s="27" t="s">
        <v>32</v>
      </c>
      <c r="M1046" s="20">
        <f t="shared" si="30"/>
        <v>45636.66918</v>
      </c>
      <c r="N1046" s="8" t="str">
        <f t="shared" si="3"/>
        <v>SELESAI</v>
      </c>
      <c r="O1046" s="23">
        <f t="shared" si="22"/>
        <v>45636.66918</v>
      </c>
      <c r="P1046" s="24" t="b">
        <v>0</v>
      </c>
      <c r="Q1046" s="20" t="str">
        <f t="shared" si="31"/>
        <v/>
      </c>
      <c r="R1046" s="24" t="b">
        <v>0</v>
      </c>
      <c r="S1046" s="7" t="str">
        <f t="shared" si="6"/>
        <v/>
      </c>
      <c r="T1046" s="7"/>
    </row>
    <row r="1047" ht="22.5" hidden="1" customHeight="1">
      <c r="B1047" s="7">
        <f t="shared" si="7"/>
        <v>1041</v>
      </c>
      <c r="C1047" s="18" t="s">
        <v>1012</v>
      </c>
      <c r="D1047" s="19" t="str">
        <f t="array" ref="D1047">IFNA(_xlfn.XLOOKUP(C1047,Table_Tarikan_Warkah[Nomor Sertipikat],Table_Tarikan_Warkah[Nomor Tiket]),"")</f>
        <v>L/19/021224/1</v>
      </c>
      <c r="E1047" s="20">
        <f t="array" ref="E1047">IFNA(_xlfn.XLOOKUP(D1047,Table_Tarikan_Warkah[Nomor Tiket],Table_Tarikan_Warkah[Tanggal diserahkan kepada Validator]),"")</f>
        <v>45630.39605</v>
      </c>
      <c r="F1047" s="20" t="str">
        <f t="array" ref="F1047">IFNA(_xlfn.XLOOKUP(D1047,Table_Tarikan_Warkah[Nomor Tiket],Table_Tarikan_Warkah[Nama Petugas Warkah]),"")</f>
        <v>Berry</v>
      </c>
      <c r="G1047" s="21" t="str">
        <f t="array" ref="G1047">IFNA(_xlfn.XLOOKUP(D1047,Table_Tarikan_Warkah[Nomor Tiket],Table_Tarikan_Warkah[Jenis Permohonan]),"")</f>
        <v>ROYA</v>
      </c>
      <c r="H1047" s="22" t="s">
        <v>37</v>
      </c>
      <c r="I1047" s="22" t="s">
        <v>187</v>
      </c>
      <c r="J1047" s="20">
        <f t="shared" si="29"/>
        <v>45631.39463</v>
      </c>
      <c r="K1047" s="27" t="s">
        <v>33</v>
      </c>
      <c r="L1047" s="27" t="s">
        <v>187</v>
      </c>
      <c r="M1047" s="20">
        <f t="shared" si="30"/>
        <v>45636.66943</v>
      </c>
      <c r="N1047" s="8" t="str">
        <f t="shared" si="3"/>
        <v>Selesai</v>
      </c>
      <c r="O1047" s="23">
        <f t="shared" si="22"/>
        <v>45636.66943</v>
      </c>
      <c r="P1047" s="24" t="b">
        <v>0</v>
      </c>
      <c r="Q1047" s="20" t="str">
        <f t="shared" si="31"/>
        <v/>
      </c>
      <c r="R1047" s="24" t="b">
        <v>0</v>
      </c>
      <c r="S1047" s="7" t="str">
        <f t="shared" si="6"/>
        <v/>
      </c>
      <c r="T1047" s="7"/>
    </row>
    <row r="1048" ht="22.5" hidden="1" customHeight="1">
      <c r="B1048" s="7">
        <f t="shared" si="7"/>
        <v>1042</v>
      </c>
      <c r="C1048" s="18" t="s">
        <v>1013</v>
      </c>
      <c r="D1048" s="19" t="str">
        <f t="array" ref="D1048">IFNA(_xlfn.XLOOKUP(C1048,Table_Tarikan_Warkah[Nomor Sertipikat],Table_Tarikan_Warkah[Nomor Tiket]),"")</f>
        <v>K/58/181124/1</v>
      </c>
      <c r="E1048" s="20">
        <f t="array" ref="E1048">IFNA(_xlfn.XLOOKUP(D1048,Table_Tarikan_Warkah[Nomor Tiket],Table_Tarikan_Warkah[Tanggal diserahkan kepada Validator]),"")</f>
        <v>45625.66739</v>
      </c>
      <c r="F1048" s="20" t="str">
        <f t="array" ref="F1048">IFNA(_xlfn.XLOOKUP(D1048,Table_Tarikan_Warkah[Nomor Tiket],Table_Tarikan_Warkah[Nama Petugas Warkah]),"")</f>
        <v/>
      </c>
      <c r="G1048" s="21" t="str">
        <f t="array" ref="G1048">IFNA(_xlfn.XLOOKUP(D1048,Table_Tarikan_Warkah[Nomor Tiket],Table_Tarikan_Warkah[Jenis Permohonan]),"")</f>
        <v>Ganti Nama HT</v>
      </c>
      <c r="H1048" s="22" t="s">
        <v>37</v>
      </c>
      <c r="I1048" s="22" t="s">
        <v>187</v>
      </c>
      <c r="J1048" s="20">
        <f t="shared" si="29"/>
        <v>45631.39473</v>
      </c>
      <c r="K1048" s="27" t="s">
        <v>33</v>
      </c>
      <c r="L1048" s="27" t="s">
        <v>187</v>
      </c>
      <c r="M1048" s="20">
        <f t="shared" si="30"/>
        <v>45636.66943</v>
      </c>
      <c r="N1048" s="8" t="str">
        <f t="shared" si="3"/>
        <v>Selesai</v>
      </c>
      <c r="O1048" s="23">
        <f t="shared" si="22"/>
        <v>45636.66943</v>
      </c>
      <c r="P1048" s="24" t="b">
        <v>0</v>
      </c>
      <c r="Q1048" s="20" t="str">
        <f t="shared" si="31"/>
        <v/>
      </c>
      <c r="R1048" s="24" t="b">
        <v>0</v>
      </c>
      <c r="S1048" s="7" t="str">
        <f t="shared" si="6"/>
        <v/>
      </c>
      <c r="T1048" s="7"/>
    </row>
    <row r="1049" ht="22.5" hidden="1" customHeight="1">
      <c r="B1049" s="7">
        <f t="shared" si="7"/>
        <v>1043</v>
      </c>
      <c r="C1049" s="18" t="s">
        <v>1014</v>
      </c>
      <c r="D1049" s="19" t="str">
        <f t="array" ref="D1049">IFNA(_xlfn.XLOOKUP(C1049,Table_Tarikan_Warkah[Nomor Sertipikat],Table_Tarikan_Warkah[Nomor Tiket]),"")</f>
        <v>L/2/301124/2</v>
      </c>
      <c r="E1049" s="20" t="str">
        <f t="array" ref="E1049">IFNA(_xlfn.XLOOKUP(D1049,Table_Tarikan_Warkah[Nomor Tiket],Table_Tarikan_Warkah[Tanggal diserahkan kepada Validator]),"")</f>
        <v/>
      </c>
      <c r="F1049" s="20" t="str">
        <f t="array" ref="F1049">IFNA(_xlfn.XLOOKUP(D1049,Table_Tarikan_Warkah[Nomor Tiket],Table_Tarikan_Warkah[Nama Petugas Warkah]),"")</f>
        <v>Berry</v>
      </c>
      <c r="G1049" s="21" t="str">
        <f t="array" ref="G1049">IFNA(_xlfn.XLOOKUP(D1049,Table_Tarikan_Warkah[Nomor Tiket],Table_Tarikan_Warkah[Jenis Permohonan]),"")</f>
        <v>ROYA</v>
      </c>
      <c r="H1049" s="22" t="s">
        <v>37</v>
      </c>
      <c r="I1049" s="22" t="s">
        <v>187</v>
      </c>
      <c r="J1049" s="20">
        <f t="shared" si="29"/>
        <v>45631.42255</v>
      </c>
      <c r="K1049" s="27" t="s">
        <v>33</v>
      </c>
      <c r="L1049" s="27" t="s">
        <v>187</v>
      </c>
      <c r="M1049" s="20">
        <f t="shared" si="30"/>
        <v>45636.66944</v>
      </c>
      <c r="N1049" s="8" t="str">
        <f t="shared" si="3"/>
        <v>Selesai</v>
      </c>
      <c r="O1049" s="23">
        <f t="shared" si="22"/>
        <v>45636.66944</v>
      </c>
      <c r="P1049" s="24" t="b">
        <v>1</v>
      </c>
      <c r="Q1049" s="20">
        <f t="shared" si="31"/>
        <v>45636.66264</v>
      </c>
      <c r="R1049" s="24" t="b">
        <v>0</v>
      </c>
      <c r="S1049" s="7" t="str">
        <f t="shared" si="6"/>
        <v/>
      </c>
      <c r="T1049" s="7"/>
    </row>
    <row r="1050" ht="22.5" hidden="1" customHeight="1">
      <c r="B1050" s="7">
        <f t="shared" si="7"/>
        <v>1044</v>
      </c>
      <c r="C1050" s="18" t="s">
        <v>1015</v>
      </c>
      <c r="D1050" s="19" t="str">
        <f t="array" ref="D1050">IFNA(_xlfn.XLOOKUP(C1050,Table_Tarikan_Warkah[Nomor Sertipikat],Table_Tarikan_Warkah[Nomor Tiket]),"")</f>
        <v>L/4/301124/4</v>
      </c>
      <c r="E1050" s="20" t="str">
        <f t="array" ref="E1050">IFNA(_xlfn.XLOOKUP(D1050,Table_Tarikan_Warkah[Nomor Tiket],Table_Tarikan_Warkah[Tanggal diserahkan kepada Validator]),"")</f>
        <v/>
      </c>
      <c r="F1050" s="20" t="str">
        <f t="array" ref="F1050">IFNA(_xlfn.XLOOKUP(D1050,Table_Tarikan_Warkah[Nomor Tiket],Table_Tarikan_Warkah[Nama Petugas Warkah]),"")</f>
        <v/>
      </c>
      <c r="G1050" s="21" t="str">
        <f t="array" ref="G1050">IFNA(_xlfn.XLOOKUP(D1050,Table_Tarikan_Warkah[Nomor Tiket],Table_Tarikan_Warkah[Jenis Permohonan]),"")</f>
        <v>ROYA</v>
      </c>
      <c r="H1050" s="22" t="s">
        <v>37</v>
      </c>
      <c r="I1050" s="22" t="s">
        <v>187</v>
      </c>
      <c r="J1050" s="20">
        <f t="shared" si="29"/>
        <v>45631.42266</v>
      </c>
      <c r="K1050" s="27" t="s">
        <v>33</v>
      </c>
      <c r="L1050" s="27" t="s">
        <v>187</v>
      </c>
      <c r="M1050" s="20">
        <f t="shared" si="30"/>
        <v>45636.66944</v>
      </c>
      <c r="N1050" s="8" t="str">
        <f t="shared" si="3"/>
        <v>Selesai</v>
      </c>
      <c r="O1050" s="23">
        <f t="shared" si="22"/>
        <v>45636.66944</v>
      </c>
      <c r="P1050" s="24" t="b">
        <v>1</v>
      </c>
      <c r="Q1050" s="20">
        <f t="shared" si="31"/>
        <v>45636.66245</v>
      </c>
      <c r="R1050" s="24" t="b">
        <v>0</v>
      </c>
      <c r="S1050" s="7" t="str">
        <f t="shared" si="6"/>
        <v/>
      </c>
      <c r="T1050" s="7"/>
    </row>
    <row r="1051" ht="22.5" hidden="1" customHeight="1">
      <c r="B1051" s="7">
        <f t="shared" si="7"/>
        <v>1045</v>
      </c>
      <c r="C1051" s="18" t="s">
        <v>1016</v>
      </c>
      <c r="D1051" s="19" t="str">
        <f t="array" ref="D1051">IFNA(_xlfn.XLOOKUP(C1051,Table_Tarikan_Warkah[Nomor Sertipikat],Table_Tarikan_Warkah[Nomor Tiket]),"")</f>
        <v>L/3/301124/3</v>
      </c>
      <c r="E1051" s="20" t="str">
        <f t="array" ref="E1051">IFNA(_xlfn.XLOOKUP(D1051,Table_Tarikan_Warkah[Nomor Tiket],Table_Tarikan_Warkah[Tanggal diserahkan kepada Validator]),"")</f>
        <v/>
      </c>
      <c r="F1051" s="20" t="str">
        <f t="array" ref="F1051">IFNA(_xlfn.XLOOKUP(D1051,Table_Tarikan_Warkah[Nomor Tiket],Table_Tarikan_Warkah[Nama Petugas Warkah]),"")</f>
        <v/>
      </c>
      <c r="G1051" s="21" t="str">
        <f t="array" ref="G1051">IFNA(_xlfn.XLOOKUP(D1051,Table_Tarikan_Warkah[Nomor Tiket],Table_Tarikan_Warkah[Jenis Permohonan]),"")</f>
        <v>ROYA</v>
      </c>
      <c r="H1051" s="22" t="s">
        <v>37</v>
      </c>
      <c r="I1051" s="22" t="s">
        <v>187</v>
      </c>
      <c r="J1051" s="20">
        <f t="shared" si="29"/>
        <v>45631.4228</v>
      </c>
      <c r="K1051" s="27" t="s">
        <v>33</v>
      </c>
      <c r="L1051" s="27" t="s">
        <v>187</v>
      </c>
      <c r="M1051" s="20">
        <f t="shared" si="30"/>
        <v>45636.6695</v>
      </c>
      <c r="N1051" s="8" t="str">
        <f t="shared" si="3"/>
        <v>Selesai</v>
      </c>
      <c r="O1051" s="23">
        <f t="shared" si="22"/>
        <v>45636.6695</v>
      </c>
      <c r="P1051" s="24" t="b">
        <v>1</v>
      </c>
      <c r="Q1051" s="20">
        <f t="shared" si="31"/>
        <v>45636.66257</v>
      </c>
      <c r="R1051" s="24" t="b">
        <v>0</v>
      </c>
      <c r="S1051" s="7" t="str">
        <f t="shared" si="6"/>
        <v/>
      </c>
      <c r="T1051" s="7"/>
    </row>
    <row r="1052" ht="22.5" hidden="1" customHeight="1">
      <c r="B1052" s="7">
        <f t="shared" si="7"/>
        <v>1046</v>
      </c>
      <c r="C1052" s="18" t="s">
        <v>1017</v>
      </c>
      <c r="D1052" s="19" t="str">
        <f t="array" ref="D1052">IFNA(_xlfn.XLOOKUP(C1052,Table_Tarikan_Warkah[Nomor Sertipikat],Table_Tarikan_Warkah[Nomor Tiket]),"")</f>
        <v>L/1/301124/1</v>
      </c>
      <c r="E1052" s="20" t="str">
        <f t="array" ref="E1052">IFNA(_xlfn.XLOOKUP(D1052,Table_Tarikan_Warkah[Nomor Tiket],Table_Tarikan_Warkah[Tanggal diserahkan kepada Validator]),"")</f>
        <v/>
      </c>
      <c r="F1052" s="20" t="str">
        <f t="array" ref="F1052">IFNA(_xlfn.XLOOKUP(D1052,Table_Tarikan_Warkah[Nomor Tiket],Table_Tarikan_Warkah[Nama Petugas Warkah]),"")</f>
        <v>Berry</v>
      </c>
      <c r="G1052" s="21" t="str">
        <f t="array" ref="G1052">IFNA(_xlfn.XLOOKUP(D1052,Table_Tarikan_Warkah[Nomor Tiket],Table_Tarikan_Warkah[Jenis Permohonan]),"")</f>
        <v>ROYA</v>
      </c>
      <c r="H1052" s="22" t="s">
        <v>37</v>
      </c>
      <c r="I1052" s="22" t="s">
        <v>187</v>
      </c>
      <c r="J1052" s="20">
        <f t="shared" si="29"/>
        <v>45631.42283</v>
      </c>
      <c r="K1052" s="27" t="s">
        <v>33</v>
      </c>
      <c r="L1052" s="27" t="s">
        <v>187</v>
      </c>
      <c r="M1052" s="20">
        <f t="shared" si="30"/>
        <v>45636.6695</v>
      </c>
      <c r="N1052" s="8" t="str">
        <f t="shared" si="3"/>
        <v>Selesai</v>
      </c>
      <c r="O1052" s="23">
        <f t="shared" si="22"/>
        <v>45636.6695</v>
      </c>
      <c r="P1052" s="24" t="b">
        <v>1</v>
      </c>
      <c r="Q1052" s="20">
        <f t="shared" si="31"/>
        <v>45636.66222</v>
      </c>
      <c r="R1052" s="24" t="b">
        <v>0</v>
      </c>
      <c r="S1052" s="7" t="str">
        <f t="shared" si="6"/>
        <v/>
      </c>
      <c r="T1052" s="7"/>
    </row>
    <row r="1053" ht="22.5" hidden="1" customHeight="1">
      <c r="B1053" s="7">
        <f t="shared" si="7"/>
        <v>1047</v>
      </c>
      <c r="C1053" s="18" t="s">
        <v>1018</v>
      </c>
      <c r="D1053" s="19" t="str">
        <f t="array" ref="D1053">IFNA(_xlfn.XLOOKUP(C1053,Table_Tarikan_Warkah[Nomor Sertipikat],Table_Tarikan_Warkah[Nomor Tiket]),"")</f>
        <v>K/46/231024/2</v>
      </c>
      <c r="E1053" s="20" t="str">
        <f t="array" ref="E1053">IFNA(_xlfn.XLOOKUP(D1053,Table_Tarikan_Warkah[Nomor Tiket],Table_Tarikan_Warkah[Tanggal diserahkan kepada Validator]),"")</f>
        <v/>
      </c>
      <c r="F1053" s="20" t="str">
        <f t="array" ref="F1053">IFNA(_xlfn.XLOOKUP(D1053,Table_Tarikan_Warkah[Nomor Tiket],Table_Tarikan_Warkah[Nama Petugas Warkah]),"")</f>
        <v/>
      </c>
      <c r="G1053" s="21" t="str">
        <f t="array" ref="G1053">IFNA(_xlfn.XLOOKUP(D1053,Table_Tarikan_Warkah[Nomor Tiket],Table_Tarikan_Warkah[Jenis Permohonan]),"")</f>
        <v>GANDES</v>
      </c>
      <c r="H1053" s="22" t="s">
        <v>31</v>
      </c>
      <c r="I1053" s="22" t="s">
        <v>187</v>
      </c>
      <c r="J1053" s="20">
        <f t="shared" si="29"/>
        <v>45631.66759</v>
      </c>
      <c r="K1053" s="27" t="s">
        <v>33</v>
      </c>
      <c r="L1053" s="27" t="s">
        <v>187</v>
      </c>
      <c r="M1053" s="20">
        <f t="shared" si="30"/>
        <v>45636.6695</v>
      </c>
      <c r="N1053" s="8" t="str">
        <f t="shared" si="3"/>
        <v>Selesai</v>
      </c>
      <c r="O1053" s="23">
        <f t="shared" si="22"/>
        <v>45636.6695</v>
      </c>
      <c r="P1053" s="24" t="b">
        <v>1</v>
      </c>
      <c r="Q1053" s="20">
        <f t="shared" si="31"/>
        <v>45639.37411</v>
      </c>
      <c r="R1053" s="24" t="b">
        <v>1</v>
      </c>
      <c r="S1053" s="20">
        <f t="shared" si="6"/>
        <v>45639.37411</v>
      </c>
      <c r="T1053" s="7"/>
    </row>
    <row r="1054" ht="22.5" hidden="1" customHeight="1">
      <c r="B1054" s="7">
        <f t="shared" si="7"/>
        <v>1048</v>
      </c>
      <c r="C1054" s="18" t="s">
        <v>1019</v>
      </c>
      <c r="D1054" s="19" t="str">
        <f t="array" ref="D1054">IFNA(_xlfn.XLOOKUP(C1054,Table_Tarikan_Warkah[Nomor Sertipikat],Table_Tarikan_Warkah[Nomor Tiket]),"")</f>
        <v>K/38/031224/2</v>
      </c>
      <c r="E1054" s="20" t="str">
        <f t="array" ref="E1054">IFNA(_xlfn.XLOOKUP(D1054,Table_Tarikan_Warkah[Nomor Tiket],Table_Tarikan_Warkah[Tanggal diserahkan kepada Validator]),"")</f>
        <v/>
      </c>
      <c r="F1054" s="20" t="str">
        <f t="array" ref="F1054">IFNA(_xlfn.XLOOKUP(D1054,Table_Tarikan_Warkah[Nomor Tiket],Table_Tarikan_Warkah[Nama Petugas Warkah]),"")</f>
        <v/>
      </c>
      <c r="G1054" s="21" t="str">
        <f t="array" ref="G1054">IFNA(_xlfn.XLOOKUP(D1054,Table_Tarikan_Warkah[Nomor Tiket],Table_Tarikan_Warkah[Jenis Permohonan]),"")</f>
        <v>BN Jual Beli</v>
      </c>
      <c r="H1054" s="22" t="s">
        <v>31</v>
      </c>
      <c r="I1054" s="22" t="s">
        <v>187</v>
      </c>
      <c r="J1054" s="20">
        <f t="shared" si="29"/>
        <v>45631.66761</v>
      </c>
      <c r="K1054" s="27" t="s">
        <v>33</v>
      </c>
      <c r="L1054" s="27" t="s">
        <v>187</v>
      </c>
      <c r="M1054" s="20">
        <f t="shared" si="30"/>
        <v>45636.66955</v>
      </c>
      <c r="N1054" s="8" t="str">
        <f t="shared" si="3"/>
        <v>Selesai</v>
      </c>
      <c r="O1054" s="23">
        <f t="shared" si="22"/>
        <v>45636.66955</v>
      </c>
      <c r="P1054" s="24" t="b">
        <v>0</v>
      </c>
      <c r="Q1054" s="20" t="str">
        <f t="shared" si="31"/>
        <v/>
      </c>
      <c r="R1054" s="24" t="b">
        <v>0</v>
      </c>
      <c r="S1054" s="7" t="str">
        <f t="shared" si="6"/>
        <v/>
      </c>
      <c r="T1054" s="7"/>
    </row>
    <row r="1055" ht="22.5" hidden="1" customHeight="1">
      <c r="B1055" s="7">
        <f t="shared" si="7"/>
        <v>1049</v>
      </c>
      <c r="C1055" s="18" t="s">
        <v>1020</v>
      </c>
      <c r="D1055" s="19" t="str">
        <f t="array" ref="D1055">IFNA(_xlfn.XLOOKUP(C1055,Table_Tarikan_Warkah[Nomor Sertipikat],Table_Tarikan_Warkah[Nomor Tiket]),"")</f>
        <v>K/17/031224/1</v>
      </c>
      <c r="E1055" s="20">
        <f t="array" ref="E1055">IFNA(_xlfn.XLOOKUP(D1055,Table_Tarikan_Warkah[Nomor Tiket],Table_Tarikan_Warkah[Tanggal diserahkan kepada Validator]),"")</f>
        <v>45631.34532</v>
      </c>
      <c r="F1055" s="20" t="str">
        <f t="array" ref="F1055">IFNA(_xlfn.XLOOKUP(D1055,Table_Tarikan_Warkah[Nomor Tiket],Table_Tarikan_Warkah[Nama Petugas Warkah]),"")</f>
        <v>Berry</v>
      </c>
      <c r="G1055" s="21" t="str">
        <f t="array" ref="G1055">IFNA(_xlfn.XLOOKUP(D1055,Table_Tarikan_Warkah[Nomor Tiket],Table_Tarikan_Warkah[Jenis Permohonan]),"")</f>
        <v>BN Jual Beli</v>
      </c>
      <c r="H1055" s="22" t="s">
        <v>31</v>
      </c>
      <c r="I1055" s="22" t="s">
        <v>187</v>
      </c>
      <c r="J1055" s="20">
        <f t="shared" si="29"/>
        <v>45631.66761</v>
      </c>
      <c r="K1055" s="27" t="s">
        <v>33</v>
      </c>
      <c r="L1055" s="27" t="s">
        <v>187</v>
      </c>
      <c r="M1055" s="20">
        <f t="shared" si="30"/>
        <v>45636.66955</v>
      </c>
      <c r="N1055" s="8" t="str">
        <f t="shared" si="3"/>
        <v>Selesai</v>
      </c>
      <c r="O1055" s="23">
        <f t="shared" si="22"/>
        <v>45636.66955</v>
      </c>
      <c r="P1055" s="24" t="b">
        <v>0</v>
      </c>
      <c r="Q1055" s="20" t="str">
        <f t="shared" si="31"/>
        <v/>
      </c>
      <c r="R1055" s="24" t="b">
        <v>0</v>
      </c>
      <c r="S1055" s="7" t="str">
        <f t="shared" si="6"/>
        <v/>
      </c>
      <c r="T1055" s="7"/>
    </row>
    <row r="1056" ht="22.5" hidden="1" customHeight="1">
      <c r="B1056" s="7">
        <f t="shared" si="7"/>
        <v>1050</v>
      </c>
      <c r="C1056" s="18" t="s">
        <v>1021</v>
      </c>
      <c r="D1056" s="19" t="str">
        <f t="array" ref="D1056">IFNA(_xlfn.XLOOKUP(C1056,Table_Tarikan_Warkah[Nomor Sertipikat],Table_Tarikan_Warkah[Nomor Tiket]),"")</f>
        <v>K/12/031224/1</v>
      </c>
      <c r="E1056" s="20">
        <f t="array" ref="E1056">IFNA(_xlfn.XLOOKUP(D1056,Table_Tarikan_Warkah[Nomor Tiket],Table_Tarikan_Warkah[Tanggal diserahkan kepada Validator]),"")</f>
        <v>45631.34532</v>
      </c>
      <c r="F1056" s="20" t="str">
        <f t="array" ref="F1056">IFNA(_xlfn.XLOOKUP(D1056,Table_Tarikan_Warkah[Nomor Tiket],Table_Tarikan_Warkah[Nama Petugas Warkah]),"")</f>
        <v>Berry</v>
      </c>
      <c r="G1056" s="21" t="str">
        <f t="array" ref="G1056">IFNA(_xlfn.XLOOKUP(D1056,Table_Tarikan_Warkah[Nomor Tiket],Table_Tarikan_Warkah[Jenis Permohonan]),"")</f>
        <v>Penggabungan</v>
      </c>
      <c r="H1056" s="22" t="s">
        <v>31</v>
      </c>
      <c r="I1056" s="22" t="s">
        <v>32</v>
      </c>
      <c r="J1056" s="20">
        <f t="shared" si="29"/>
        <v>45631.67028</v>
      </c>
      <c r="K1056" s="27" t="s">
        <v>65</v>
      </c>
      <c r="L1056" s="27" t="s">
        <v>32</v>
      </c>
      <c r="M1056" s="20">
        <f t="shared" si="30"/>
        <v>45636.66965</v>
      </c>
      <c r="N1056" s="8" t="str">
        <f t="shared" si="3"/>
        <v>SELESAI</v>
      </c>
      <c r="O1056" s="23">
        <f t="shared" si="22"/>
        <v>45636.66965</v>
      </c>
      <c r="P1056" s="24" t="b">
        <v>0</v>
      </c>
      <c r="Q1056" s="20" t="str">
        <f t="shared" si="31"/>
        <v/>
      </c>
      <c r="R1056" s="24" t="b">
        <v>0</v>
      </c>
      <c r="S1056" s="7" t="str">
        <f t="shared" si="6"/>
        <v/>
      </c>
      <c r="T1056" s="7"/>
    </row>
    <row r="1057" ht="22.5" hidden="1" customHeight="1">
      <c r="B1057" s="7">
        <f t="shared" si="7"/>
        <v>1051</v>
      </c>
      <c r="C1057" s="18" t="s">
        <v>1022</v>
      </c>
      <c r="D1057" s="19" t="str">
        <f t="array" ref="D1057">IFNA(_xlfn.XLOOKUP(C1057,Table_Tarikan_Warkah[Nomor Sertipikat],Table_Tarikan_Warkah[Nomor Tiket]),"")</f>
        <v>K/2/031224/1</v>
      </c>
      <c r="E1057" s="20" t="str">
        <f t="array" ref="E1057">IFNA(_xlfn.XLOOKUP(D1057,Table_Tarikan_Warkah[Nomor Tiket],Table_Tarikan_Warkah[Tanggal diserahkan kepada Validator]),"")</f>
        <v/>
      </c>
      <c r="F1057" s="20" t="str">
        <f t="array" ref="F1057">IFNA(_xlfn.XLOOKUP(D1057,Table_Tarikan_Warkah[Nomor Tiket],Table_Tarikan_Warkah[Nama Petugas Warkah]),"")</f>
        <v/>
      </c>
      <c r="G1057" s="21" t="str">
        <f t="array" ref="G1057">IFNA(_xlfn.XLOOKUP(D1057,Table_Tarikan_Warkah[Nomor Tiket],Table_Tarikan_Warkah[Jenis Permohonan]),"")</f>
        <v>ROYA</v>
      </c>
      <c r="H1057" s="22" t="s">
        <v>31</v>
      </c>
      <c r="I1057" s="22" t="s">
        <v>32</v>
      </c>
      <c r="J1057" s="20">
        <f t="shared" si="29"/>
        <v>45631.67051</v>
      </c>
      <c r="K1057" s="27" t="s">
        <v>65</v>
      </c>
      <c r="L1057" s="27" t="s">
        <v>32</v>
      </c>
      <c r="M1057" s="20">
        <f t="shared" si="30"/>
        <v>45636.66965</v>
      </c>
      <c r="N1057" s="8" t="str">
        <f t="shared" si="3"/>
        <v>SELESAI</v>
      </c>
      <c r="O1057" s="23">
        <f t="shared" si="22"/>
        <v>45636.66965</v>
      </c>
      <c r="P1057" s="24" t="b">
        <v>0</v>
      </c>
      <c r="Q1057" s="20" t="str">
        <f t="shared" si="31"/>
        <v/>
      </c>
      <c r="R1057" s="24" t="b">
        <v>1</v>
      </c>
      <c r="S1057" s="20">
        <f t="shared" si="6"/>
        <v>45637.43539</v>
      </c>
      <c r="T1057" s="7"/>
    </row>
    <row r="1058" ht="22.5" hidden="1" customHeight="1">
      <c r="B1058" s="7">
        <f t="shared" si="7"/>
        <v>1052</v>
      </c>
      <c r="C1058" s="18" t="s">
        <v>1023</v>
      </c>
      <c r="D1058" s="19" t="str">
        <f t="array" ref="D1058">IFNA(_xlfn.XLOOKUP(C1058,Table_Tarikan_Warkah[Nomor Sertipikat],Table_Tarikan_Warkah[Nomor Tiket]),"")</f>
        <v>K/11/031224/3</v>
      </c>
      <c r="E1058" s="20" t="str">
        <f t="array" ref="E1058">IFNA(_xlfn.XLOOKUP(D1058,Table_Tarikan_Warkah[Nomor Tiket],Table_Tarikan_Warkah[Tanggal diserahkan kepada Validator]),"")</f>
        <v/>
      </c>
      <c r="F1058" s="20" t="str">
        <f t="array" ref="F1058">IFNA(_xlfn.XLOOKUP(D1058,Table_Tarikan_Warkah[Nomor Tiket],Table_Tarikan_Warkah[Nama Petugas Warkah]),"")</f>
        <v/>
      </c>
      <c r="G1058" s="21" t="str">
        <f t="array" ref="G1058">IFNA(_xlfn.XLOOKUP(D1058,Table_Tarikan_Warkah[Nomor Tiket],Table_Tarikan_Warkah[Jenis Permohonan]),"")</f>
        <v>ROYA</v>
      </c>
      <c r="H1058" s="22" t="s">
        <v>31</v>
      </c>
      <c r="I1058" s="22" t="s">
        <v>32</v>
      </c>
      <c r="J1058" s="20">
        <f t="shared" si="29"/>
        <v>45631.67051</v>
      </c>
      <c r="K1058" s="27" t="s">
        <v>65</v>
      </c>
      <c r="L1058" s="27" t="s">
        <v>32</v>
      </c>
      <c r="M1058" s="20">
        <f t="shared" si="30"/>
        <v>45636.66965</v>
      </c>
      <c r="N1058" s="8" t="str">
        <f t="shared" si="3"/>
        <v>SELESAI</v>
      </c>
      <c r="O1058" s="23">
        <f t="shared" si="22"/>
        <v>45636.66965</v>
      </c>
      <c r="P1058" s="24" t="b">
        <v>0</v>
      </c>
      <c r="Q1058" s="20" t="str">
        <f t="shared" si="31"/>
        <v/>
      </c>
      <c r="R1058" s="24" t="b">
        <v>1</v>
      </c>
      <c r="S1058" s="20">
        <f t="shared" si="6"/>
        <v>45637.42898</v>
      </c>
      <c r="T1058" s="7"/>
    </row>
    <row r="1059" ht="22.5" hidden="1" customHeight="1">
      <c r="B1059" s="7">
        <f t="shared" si="7"/>
        <v>1053</v>
      </c>
      <c r="C1059" s="18" t="s">
        <v>1024</v>
      </c>
      <c r="D1059" s="19" t="str">
        <f t="array" ref="D1059">IFNA(_xlfn.XLOOKUP(C1059,Table_Tarikan_Warkah[Nomor Sertipikat],Table_Tarikan_Warkah[Nomor Tiket]),"")</f>
        <v>K/19/031224/1</v>
      </c>
      <c r="E1059" s="20">
        <f t="array" ref="E1059">IFNA(_xlfn.XLOOKUP(D1059,Table_Tarikan_Warkah[Nomor Tiket],Table_Tarikan_Warkah[Tanggal diserahkan kepada Validator]),"")</f>
        <v>45631.34532</v>
      </c>
      <c r="F1059" s="20" t="str">
        <f t="array" ref="F1059">IFNA(_xlfn.XLOOKUP(D1059,Table_Tarikan_Warkah[Nomor Tiket],Table_Tarikan_Warkah[Nama Petugas Warkah]),"")</f>
        <v>Berry</v>
      </c>
      <c r="G1059" s="21" t="str">
        <f t="array" ref="G1059">IFNA(_xlfn.XLOOKUP(D1059,Table_Tarikan_Warkah[Nomor Tiket],Table_Tarikan_Warkah[Jenis Permohonan]),"")</f>
        <v>KEWARISAN</v>
      </c>
      <c r="H1059" s="22" t="s">
        <v>31</v>
      </c>
      <c r="I1059" s="22" t="s">
        <v>32</v>
      </c>
      <c r="J1059" s="20">
        <f t="shared" si="29"/>
        <v>45631.67051</v>
      </c>
      <c r="K1059" s="27" t="s">
        <v>65</v>
      </c>
      <c r="L1059" s="27" t="s">
        <v>32</v>
      </c>
      <c r="M1059" s="20">
        <f t="shared" si="30"/>
        <v>45636.66965</v>
      </c>
      <c r="N1059" s="8" t="str">
        <f t="shared" si="3"/>
        <v>SELESAI</v>
      </c>
      <c r="O1059" s="23">
        <f t="shared" si="22"/>
        <v>45636.66965</v>
      </c>
      <c r="P1059" s="24" t="b">
        <v>1</v>
      </c>
      <c r="Q1059" s="20">
        <f t="shared" si="31"/>
        <v>45637.69027</v>
      </c>
      <c r="R1059" s="24" t="b">
        <v>1</v>
      </c>
      <c r="S1059" s="20">
        <f t="shared" si="6"/>
        <v>45637.42877</v>
      </c>
      <c r="T1059" s="7"/>
    </row>
    <row r="1060" ht="22.5" hidden="1" customHeight="1">
      <c r="B1060" s="7">
        <f t="shared" si="7"/>
        <v>1054</v>
      </c>
      <c r="C1060" s="18" t="s">
        <v>1025</v>
      </c>
      <c r="D1060" s="7" t="s">
        <v>1026</v>
      </c>
      <c r="E1060" s="20">
        <f t="array" ref="E1060">IFNA(_xlfn.XLOOKUP(D1060,Table_Tarikan_Warkah[Nomor Tiket],Table_Tarikan_Warkah[Tanggal diserahkan kepada Validator]),"")</f>
        <v>45631.34532</v>
      </c>
      <c r="F1060" s="20" t="str">
        <f t="array" ref="F1060">IFNA(_xlfn.XLOOKUP(D1060,Table_Tarikan_Warkah[Nomor Tiket],Table_Tarikan_Warkah[Nama Petugas Warkah]),"")</f>
        <v>Berry</v>
      </c>
      <c r="G1060" s="21" t="str">
        <f t="array" ref="G1060">IFNA(_xlfn.XLOOKUP(D1060,Table_Tarikan_Warkah[Nomor Tiket],Table_Tarikan_Warkah[Jenis Permohonan]),"")</f>
        <v>ROYA KEWARISAN</v>
      </c>
      <c r="H1060" s="22" t="s">
        <v>31</v>
      </c>
      <c r="I1060" s="22" t="s">
        <v>32</v>
      </c>
      <c r="J1060" s="20">
        <f t="shared" si="29"/>
        <v>45631.67051</v>
      </c>
      <c r="K1060" s="27" t="s">
        <v>65</v>
      </c>
      <c r="L1060" s="27" t="s">
        <v>32</v>
      </c>
      <c r="M1060" s="20">
        <f t="shared" si="30"/>
        <v>45636.66406</v>
      </c>
      <c r="N1060" s="8" t="str">
        <f t="shared" si="3"/>
        <v>SELESAI</v>
      </c>
      <c r="O1060" s="23">
        <f t="shared" si="22"/>
        <v>45636.66406</v>
      </c>
      <c r="P1060" s="24" t="b">
        <v>1</v>
      </c>
      <c r="Q1060" s="20">
        <f t="shared" si="31"/>
        <v>45636.6641</v>
      </c>
      <c r="R1060" s="24" t="b">
        <v>1</v>
      </c>
      <c r="S1060" s="20">
        <f t="shared" si="6"/>
        <v>45637.43567</v>
      </c>
      <c r="T1060" s="7"/>
    </row>
    <row r="1061" ht="22.5" hidden="1" customHeight="1">
      <c r="B1061" s="7">
        <f t="shared" si="7"/>
        <v>1055</v>
      </c>
      <c r="C1061" s="18" t="s">
        <v>1027</v>
      </c>
      <c r="D1061" s="19" t="str">
        <f t="array" ref="D1061">IFNA(_xlfn.XLOOKUP(C1061,Table_Tarikan_Warkah[Nomor Sertipikat],Table_Tarikan_Warkah[Nomor Tiket]),"")</f>
        <v>K/22/031224/1</v>
      </c>
      <c r="E1061" s="20" t="str">
        <f t="array" ref="E1061">IFNA(_xlfn.XLOOKUP(D1061,Table_Tarikan_Warkah[Nomor Tiket],Table_Tarikan_Warkah[Tanggal diserahkan kepada Validator]),"")</f>
        <v/>
      </c>
      <c r="F1061" s="20" t="str">
        <f t="array" ref="F1061">IFNA(_xlfn.XLOOKUP(D1061,Table_Tarikan_Warkah[Nomor Tiket],Table_Tarikan_Warkah[Nama Petugas Warkah]),"")</f>
        <v/>
      </c>
      <c r="G1061" s="21" t="str">
        <f t="array" ref="G1061">IFNA(_xlfn.XLOOKUP(D1061,Table_Tarikan_Warkah[Nomor Tiket],Table_Tarikan_Warkah[Jenis Permohonan]),"")</f>
        <v>Roya</v>
      </c>
      <c r="H1061" s="22" t="s">
        <v>31</v>
      </c>
      <c r="I1061" s="22" t="s">
        <v>32</v>
      </c>
      <c r="J1061" s="20">
        <f t="shared" si="29"/>
        <v>45631.67051</v>
      </c>
      <c r="K1061" s="27" t="s">
        <v>65</v>
      </c>
      <c r="L1061" s="27" t="s">
        <v>32</v>
      </c>
      <c r="M1061" s="20">
        <f t="shared" si="30"/>
        <v>45636.70676</v>
      </c>
      <c r="N1061" s="8" t="str">
        <f t="shared" si="3"/>
        <v>SELESAI</v>
      </c>
      <c r="O1061" s="23">
        <f t="shared" si="22"/>
        <v>45636.70676</v>
      </c>
      <c r="P1061" s="24" t="b">
        <v>0</v>
      </c>
      <c r="Q1061" s="20" t="str">
        <f t="shared" si="31"/>
        <v/>
      </c>
      <c r="R1061" s="24" t="b">
        <v>1</v>
      </c>
      <c r="S1061" s="20">
        <f t="shared" si="6"/>
        <v>45637.42869</v>
      </c>
      <c r="T1061" s="7"/>
    </row>
    <row r="1062" ht="22.5" hidden="1" customHeight="1">
      <c r="B1062" s="7">
        <f t="shared" si="7"/>
        <v>1056</v>
      </c>
      <c r="C1062" s="18" t="s">
        <v>1028</v>
      </c>
      <c r="D1062" s="19" t="str">
        <f t="array" ref="D1062">IFNA(_xlfn.XLOOKUP(C1062,Table_Tarikan_Warkah[Nomor Sertipikat],Table_Tarikan_Warkah[Nomor Tiket]),"")</f>
        <v>K/09/031224/2</v>
      </c>
      <c r="E1062" s="20">
        <f t="array" ref="E1062">IFNA(_xlfn.XLOOKUP(D1062,Table_Tarikan_Warkah[Nomor Tiket],Table_Tarikan_Warkah[Tanggal diserahkan kepada Validator]),"")</f>
        <v>45631.34532</v>
      </c>
      <c r="F1062" s="20" t="str">
        <f t="array" ref="F1062">IFNA(_xlfn.XLOOKUP(D1062,Table_Tarikan_Warkah[Nomor Tiket],Table_Tarikan_Warkah[Nama Petugas Warkah]),"")</f>
        <v>Berry</v>
      </c>
      <c r="G1062" s="21" t="str">
        <f t="array" ref="G1062">IFNA(_xlfn.XLOOKUP(D1062,Table_Tarikan_Warkah[Nomor Tiket],Table_Tarikan_Warkah[Jenis Permohonan]),"")</f>
        <v>BN JUAL BELI</v>
      </c>
      <c r="H1062" s="22" t="s">
        <v>31</v>
      </c>
      <c r="I1062" s="22" t="s">
        <v>32</v>
      </c>
      <c r="J1062" s="20">
        <f t="shared" si="29"/>
        <v>45631.67051</v>
      </c>
      <c r="K1062" s="27" t="s">
        <v>65</v>
      </c>
      <c r="L1062" s="27" t="s">
        <v>32</v>
      </c>
      <c r="M1062" s="20">
        <f t="shared" si="30"/>
        <v>45636.70676</v>
      </c>
      <c r="N1062" s="8" t="str">
        <f t="shared" si="3"/>
        <v>SELESAI</v>
      </c>
      <c r="O1062" s="23">
        <f t="shared" si="22"/>
        <v>45636.70676</v>
      </c>
      <c r="P1062" s="24" t="b">
        <v>1</v>
      </c>
      <c r="Q1062" s="20">
        <f t="shared" si="31"/>
        <v>45636.70676</v>
      </c>
      <c r="R1062" s="24" t="b">
        <v>1</v>
      </c>
      <c r="S1062" s="20">
        <f t="shared" si="6"/>
        <v>45637.43118</v>
      </c>
      <c r="T1062" s="7"/>
    </row>
    <row r="1063" ht="22.5" hidden="1" customHeight="1">
      <c r="B1063" s="7">
        <f t="shared" si="7"/>
        <v>1057</v>
      </c>
      <c r="C1063" s="18" t="s">
        <v>1029</v>
      </c>
      <c r="D1063" s="19" t="str">
        <f t="array" ref="D1063">IFNA(_xlfn.XLOOKUP(C1063,Table_Tarikan_Warkah[Nomor Sertipikat],Table_Tarikan_Warkah[Nomor Tiket]),"")</f>
        <v>K/10/031224/2</v>
      </c>
      <c r="E1063" s="20" t="str">
        <f t="array" ref="E1063">IFNA(_xlfn.XLOOKUP(D1063,Table_Tarikan_Warkah[Nomor Tiket],Table_Tarikan_Warkah[Tanggal diserahkan kepada Validator]),"")</f>
        <v/>
      </c>
      <c r="F1063" s="20" t="str">
        <f t="array" ref="F1063">IFNA(_xlfn.XLOOKUP(D1063,Table_Tarikan_Warkah[Nomor Tiket],Table_Tarikan_Warkah[Nama Petugas Warkah]),"")</f>
        <v/>
      </c>
      <c r="G1063" s="21" t="str">
        <f t="array" ref="G1063">IFNA(_xlfn.XLOOKUP(D1063,Table_Tarikan_Warkah[Nomor Tiket],Table_Tarikan_Warkah[Jenis Permohonan]),"")</f>
        <v>BN JUAL BELI</v>
      </c>
      <c r="H1063" s="22" t="s">
        <v>31</v>
      </c>
      <c r="I1063" s="22" t="s">
        <v>32</v>
      </c>
      <c r="J1063" s="20">
        <f t="shared" si="29"/>
        <v>45631.67051</v>
      </c>
      <c r="K1063" s="27" t="s">
        <v>65</v>
      </c>
      <c r="L1063" s="27" t="s">
        <v>32</v>
      </c>
      <c r="M1063" s="20">
        <f t="shared" si="30"/>
        <v>45636.70676</v>
      </c>
      <c r="N1063" s="8" t="str">
        <f t="shared" si="3"/>
        <v>SELESAI</v>
      </c>
      <c r="O1063" s="23">
        <f t="shared" si="22"/>
        <v>45636.70676</v>
      </c>
      <c r="P1063" s="24" t="b">
        <v>1</v>
      </c>
      <c r="Q1063" s="20">
        <f t="shared" si="31"/>
        <v>45637.69012</v>
      </c>
      <c r="R1063" s="24" t="b">
        <v>1</v>
      </c>
      <c r="S1063" s="20">
        <f t="shared" si="6"/>
        <v>45637.43072</v>
      </c>
      <c r="T1063" s="7"/>
    </row>
    <row r="1064" ht="22.5" hidden="1" customHeight="1">
      <c r="B1064" s="7">
        <f t="shared" si="7"/>
        <v>1058</v>
      </c>
      <c r="C1064" s="18" t="s">
        <v>1030</v>
      </c>
      <c r="D1064" s="19" t="str">
        <f t="array" ref="D1064">IFNA(_xlfn.XLOOKUP(C1064,Table_Tarikan_Warkah[Nomor Sertipikat],Table_Tarikan_Warkah[Nomor Tiket]),"")</f>
        <v>K/35/161024/1</v>
      </c>
      <c r="E1064" s="20">
        <f t="array" ref="E1064">IFNA(_xlfn.XLOOKUP(D1064,Table_Tarikan_Warkah[Nomor Tiket],Table_Tarikan_Warkah[Tanggal diserahkan kepada Validator]),"")</f>
        <v>45582.41683</v>
      </c>
      <c r="F1064" s="20" t="str">
        <f t="array" ref="F1064">IFNA(_xlfn.XLOOKUP(D1064,Table_Tarikan_Warkah[Nomor Tiket],Table_Tarikan_Warkah[Nama Petugas Warkah]),"")</f>
        <v>David</v>
      </c>
      <c r="G1064" s="21" t="str">
        <f t="array" ref="G1064">IFNA(_xlfn.XLOOKUP(D1064,Table_Tarikan_Warkah[Nomor Tiket],Table_Tarikan_Warkah[Jenis Permohonan]),"")</f>
        <v>ROYA</v>
      </c>
      <c r="H1064" s="22" t="s">
        <v>31</v>
      </c>
      <c r="I1064" s="22" t="s">
        <v>32</v>
      </c>
      <c r="J1064" s="20">
        <f t="shared" si="29"/>
        <v>45631.67053</v>
      </c>
      <c r="K1064" s="27" t="s">
        <v>65</v>
      </c>
      <c r="L1064" s="27" t="s">
        <v>32</v>
      </c>
      <c r="M1064" s="20">
        <f t="shared" si="30"/>
        <v>45636.70676</v>
      </c>
      <c r="N1064" s="8" t="str">
        <f t="shared" si="3"/>
        <v>SELESAI</v>
      </c>
      <c r="O1064" s="23">
        <f t="shared" si="22"/>
        <v>45636.70676</v>
      </c>
      <c r="P1064" s="24" t="b">
        <v>0</v>
      </c>
      <c r="Q1064" s="20" t="str">
        <f t="shared" si="31"/>
        <v/>
      </c>
      <c r="R1064" s="24" t="b">
        <v>1</v>
      </c>
      <c r="S1064" s="20">
        <f t="shared" si="6"/>
        <v>45637.43298</v>
      </c>
      <c r="T1064" s="7"/>
    </row>
    <row r="1065" ht="22.5" hidden="1" customHeight="1">
      <c r="B1065" s="7">
        <f t="shared" si="7"/>
        <v>1059</v>
      </c>
      <c r="C1065" s="18" t="s">
        <v>1031</v>
      </c>
      <c r="D1065" s="7" t="s">
        <v>1032</v>
      </c>
      <c r="E1065" s="20">
        <f t="array" ref="E1065">IFNA(_xlfn.XLOOKUP(D1065,Table_Tarikan_Warkah[Nomor Tiket],Table_Tarikan_Warkah[Tanggal diserahkan kepada Validator]),"")</f>
        <v>45631.34532</v>
      </c>
      <c r="F1065" s="20" t="str">
        <f t="array" ref="F1065">IFNA(_xlfn.XLOOKUP(D1065,Table_Tarikan_Warkah[Nomor Tiket],Table_Tarikan_Warkah[Nama Petugas Warkah]),"")</f>
        <v>Berry</v>
      </c>
      <c r="G1065" s="21" t="str">
        <f t="array" ref="G1065">IFNA(_xlfn.XLOOKUP(D1065,Table_Tarikan_Warkah[Nomor Tiket],Table_Tarikan_Warkah[Jenis Permohonan]),"")</f>
        <v>PEMECAHAN</v>
      </c>
      <c r="H1065" s="22" t="s">
        <v>31</v>
      </c>
      <c r="I1065" s="22" t="s">
        <v>32</v>
      </c>
      <c r="J1065" s="20">
        <f t="shared" si="29"/>
        <v>45631.67055</v>
      </c>
      <c r="K1065" s="27" t="s">
        <v>65</v>
      </c>
      <c r="L1065" s="27" t="s">
        <v>32</v>
      </c>
      <c r="M1065" s="20">
        <f t="shared" si="30"/>
        <v>45636.70676</v>
      </c>
      <c r="N1065" s="8" t="str">
        <f t="shared" si="3"/>
        <v>SELESAI</v>
      </c>
      <c r="O1065" s="23">
        <f t="shared" si="22"/>
        <v>45636.70676</v>
      </c>
      <c r="P1065" s="24" t="b">
        <v>0</v>
      </c>
      <c r="Q1065" s="20" t="str">
        <f t="shared" si="31"/>
        <v/>
      </c>
      <c r="R1065" s="24" t="b">
        <v>1</v>
      </c>
      <c r="S1065" s="20">
        <f t="shared" si="6"/>
        <v>45637.42959</v>
      </c>
      <c r="T1065" s="7"/>
    </row>
    <row r="1066" ht="22.5" hidden="1" customHeight="1">
      <c r="B1066" s="7">
        <f t="shared" si="7"/>
        <v>1060</v>
      </c>
      <c r="C1066" s="18" t="s">
        <v>1033</v>
      </c>
      <c r="D1066" s="19" t="str">
        <f t="array" ref="D1066">IFNA(_xlfn.XLOOKUP(C1066,Table_Tarikan_Warkah[Nomor Sertipikat],Table_Tarikan_Warkah[Nomor Tiket]),"")</f>
        <v>L/6/041224/1</v>
      </c>
      <c r="E1066" s="20">
        <f t="array" ref="E1066">IFNA(_xlfn.XLOOKUP(D1066,Table_Tarikan_Warkah[Nomor Tiket],Table_Tarikan_Warkah[Tanggal diserahkan kepada Validator]),"")</f>
        <v>45631.69832</v>
      </c>
      <c r="F1066" s="20" t="str">
        <f t="array" ref="F1066">IFNA(_xlfn.XLOOKUP(D1066,Table_Tarikan_Warkah[Nomor Tiket],Table_Tarikan_Warkah[Nama Petugas Warkah]),"")</f>
        <v>Berry</v>
      </c>
      <c r="G1066" s="21" t="str">
        <f t="array" ref="G1066">IFNA(_xlfn.XLOOKUP(D1066,Table_Tarikan_Warkah[Nomor Tiket],Table_Tarikan_Warkah[Jenis Permohonan]),"")</f>
        <v>ROYA</v>
      </c>
      <c r="H1066" s="22" t="s">
        <v>37</v>
      </c>
      <c r="I1066" s="22" t="s">
        <v>32</v>
      </c>
      <c r="J1066" s="20">
        <f t="shared" si="29"/>
        <v>45631.67537</v>
      </c>
      <c r="K1066" s="27" t="s">
        <v>65</v>
      </c>
      <c r="L1066" s="27" t="s">
        <v>32</v>
      </c>
      <c r="M1066" s="20">
        <f t="shared" si="30"/>
        <v>45636.70676</v>
      </c>
      <c r="N1066" s="8" t="str">
        <f t="shared" si="3"/>
        <v>SELESAI</v>
      </c>
      <c r="O1066" s="23">
        <f t="shared" si="22"/>
        <v>45636.70676</v>
      </c>
      <c r="P1066" s="24" t="b">
        <v>0</v>
      </c>
      <c r="Q1066" s="20" t="str">
        <f t="shared" si="31"/>
        <v/>
      </c>
      <c r="R1066" s="24" t="b">
        <v>1</v>
      </c>
      <c r="S1066" s="20">
        <f t="shared" si="6"/>
        <v>45637.43585</v>
      </c>
      <c r="T1066" s="7"/>
    </row>
    <row r="1067" ht="22.5" hidden="1" customHeight="1">
      <c r="B1067" s="7">
        <f t="shared" si="7"/>
        <v>1061</v>
      </c>
      <c r="C1067" s="18" t="s">
        <v>1034</v>
      </c>
      <c r="D1067" s="19" t="str">
        <f t="array" ref="D1067">IFNA(_xlfn.XLOOKUP(C1067,Table_Tarikan_Warkah[Nomor Sertipikat],Table_Tarikan_Warkah[Nomor Tiket]),"")</f>
        <v>K/4/041224/1</v>
      </c>
      <c r="E1067" s="20">
        <f t="array" ref="E1067">IFNA(_xlfn.XLOOKUP(D1067,Table_Tarikan_Warkah[Nomor Tiket],Table_Tarikan_Warkah[Tanggal diserahkan kepada Validator]),"")</f>
        <v>45631.34532</v>
      </c>
      <c r="F1067" s="20" t="str">
        <f t="array" ref="F1067">IFNA(_xlfn.XLOOKUP(D1067,Table_Tarikan_Warkah[Nomor Tiket],Table_Tarikan_Warkah[Nama Petugas Warkah]),"")</f>
        <v>Berry</v>
      </c>
      <c r="G1067" s="21" t="str">
        <f t="array" ref="G1067">IFNA(_xlfn.XLOOKUP(D1067,Table_Tarikan_Warkah[Nomor Tiket],Table_Tarikan_Warkah[Jenis Permohonan]),"")</f>
        <v>ROYA</v>
      </c>
      <c r="H1067" s="22" t="s">
        <v>37</v>
      </c>
      <c r="I1067" s="22" t="s">
        <v>32</v>
      </c>
      <c r="J1067" s="20">
        <f t="shared" si="29"/>
        <v>45631.67547</v>
      </c>
      <c r="K1067" s="27" t="s">
        <v>65</v>
      </c>
      <c r="L1067" s="27" t="s">
        <v>32</v>
      </c>
      <c r="M1067" s="20">
        <f t="shared" si="30"/>
        <v>45636.70676</v>
      </c>
      <c r="N1067" s="8" t="str">
        <f t="shared" si="3"/>
        <v>SELESAI</v>
      </c>
      <c r="O1067" s="23">
        <f t="shared" si="22"/>
        <v>45636.70676</v>
      </c>
      <c r="P1067" s="24" t="b">
        <v>0</v>
      </c>
      <c r="Q1067" s="20" t="str">
        <f t="shared" si="31"/>
        <v/>
      </c>
      <c r="R1067" s="24" t="b">
        <v>1</v>
      </c>
      <c r="S1067" s="20">
        <f t="shared" si="6"/>
        <v>45637.43275</v>
      </c>
      <c r="T1067" s="7"/>
    </row>
    <row r="1068" ht="22.5" hidden="1" customHeight="1">
      <c r="B1068" s="7">
        <f t="shared" si="7"/>
        <v>1062</v>
      </c>
      <c r="C1068" s="18" t="s">
        <v>1035</v>
      </c>
      <c r="D1068" s="19" t="str">
        <f t="array" ref="D1068">IFNA(_xlfn.XLOOKUP(C1068,Table_Tarikan_Warkah[Nomor Sertipikat],Table_Tarikan_Warkah[Nomor Tiket]),"")</f>
        <v>K/44/031224/1</v>
      </c>
      <c r="E1068" s="20" t="str">
        <f t="array" ref="E1068">IFNA(_xlfn.XLOOKUP(D1068,Table_Tarikan_Warkah[Nomor Tiket],Table_Tarikan_Warkah[Tanggal diserahkan kepada Validator]),"")</f>
        <v/>
      </c>
      <c r="F1068" s="20" t="str">
        <f t="array" ref="F1068">IFNA(_xlfn.XLOOKUP(D1068,Table_Tarikan_Warkah[Nomor Tiket],Table_Tarikan_Warkah[Nama Petugas Warkah]),"")</f>
        <v/>
      </c>
      <c r="G1068" s="21" t="str">
        <f t="array" ref="G1068">IFNA(_xlfn.XLOOKUP(D1068,Table_Tarikan_Warkah[Nomor Tiket],Table_Tarikan_Warkah[Jenis Permohonan]),"")</f>
        <v>BN JUAL BELI</v>
      </c>
      <c r="H1068" s="22" t="s">
        <v>37</v>
      </c>
      <c r="I1068" s="22" t="s">
        <v>32</v>
      </c>
      <c r="J1068" s="20">
        <f t="shared" si="29"/>
        <v>45631.67569</v>
      </c>
      <c r="K1068" s="27" t="s">
        <v>65</v>
      </c>
      <c r="L1068" s="27" t="s">
        <v>32</v>
      </c>
      <c r="M1068" s="20">
        <f t="shared" si="30"/>
        <v>45636.70676</v>
      </c>
      <c r="N1068" s="8" t="str">
        <f t="shared" si="3"/>
        <v>SELESAI</v>
      </c>
      <c r="O1068" s="23">
        <f t="shared" si="22"/>
        <v>45636.70676</v>
      </c>
      <c r="P1068" s="24" t="b">
        <v>1</v>
      </c>
      <c r="Q1068" s="20">
        <f t="shared" si="31"/>
        <v>45637.69036</v>
      </c>
      <c r="R1068" s="24" t="b">
        <v>1</v>
      </c>
      <c r="S1068" s="20">
        <f t="shared" si="6"/>
        <v>45637.41251</v>
      </c>
      <c r="T1068" s="7"/>
    </row>
    <row r="1069" ht="22.5" hidden="1" customHeight="1">
      <c r="B1069" s="7">
        <f t="shared" si="7"/>
        <v>1063</v>
      </c>
      <c r="C1069" s="18" t="s">
        <v>1036</v>
      </c>
      <c r="D1069" s="19" t="str">
        <f t="array" ref="D1069">IFNA(_xlfn.XLOOKUP(C1069,Table_Tarikan_Warkah[Nomor Sertipikat],Table_Tarikan_Warkah[Nomor Tiket]),"")</f>
        <v>K/39/031224/1</v>
      </c>
      <c r="E1069" s="20" t="str">
        <f t="array" ref="E1069">IFNA(_xlfn.XLOOKUP(D1069,Table_Tarikan_Warkah[Nomor Tiket],Table_Tarikan_Warkah[Tanggal diserahkan kepada Validator]),"")</f>
        <v/>
      </c>
      <c r="F1069" s="20" t="str">
        <f t="array" ref="F1069">IFNA(_xlfn.XLOOKUP(D1069,Table_Tarikan_Warkah[Nomor Tiket],Table_Tarikan_Warkah[Nama Petugas Warkah]),"")</f>
        <v/>
      </c>
      <c r="G1069" s="21" t="str">
        <f t="array" ref="G1069">IFNA(_xlfn.XLOOKUP(D1069,Table_Tarikan_Warkah[Nomor Tiket],Table_Tarikan_Warkah[Jenis Permohonan]),"")</f>
        <v>BN JUAL BELI</v>
      </c>
      <c r="H1069" s="22" t="s">
        <v>37</v>
      </c>
      <c r="I1069" s="22" t="s">
        <v>32</v>
      </c>
      <c r="J1069" s="20">
        <f t="shared" si="29"/>
        <v>45631.67591</v>
      </c>
      <c r="K1069" s="27" t="s">
        <v>65</v>
      </c>
      <c r="L1069" s="27" t="s">
        <v>32</v>
      </c>
      <c r="M1069" s="20">
        <f t="shared" si="30"/>
        <v>45636.70676</v>
      </c>
      <c r="N1069" s="8" t="str">
        <f t="shared" si="3"/>
        <v>SELESAI</v>
      </c>
      <c r="O1069" s="23">
        <f t="shared" si="22"/>
        <v>45636.70676</v>
      </c>
      <c r="P1069" s="24" t="b">
        <v>0</v>
      </c>
      <c r="Q1069" s="20" t="str">
        <f t="shared" si="31"/>
        <v/>
      </c>
      <c r="R1069" s="24" t="b">
        <v>1</v>
      </c>
      <c r="S1069" s="20">
        <f t="shared" si="6"/>
        <v>45637.4118</v>
      </c>
      <c r="T1069" s="7"/>
    </row>
    <row r="1070" ht="22.5" hidden="1" customHeight="1">
      <c r="B1070" s="7">
        <f t="shared" si="7"/>
        <v>1064</v>
      </c>
      <c r="C1070" s="18" t="s">
        <v>1037</v>
      </c>
      <c r="D1070" s="19" t="str">
        <f t="array" ref="D1070">IFNA(_xlfn.XLOOKUP(C1070,Table_Tarikan_Warkah[Nomor Sertipikat],Table_Tarikan_Warkah[Nomor Tiket]),"")</f>
        <v>K/24/031224/1</v>
      </c>
      <c r="E1070" s="20">
        <f t="array" ref="E1070">IFNA(_xlfn.XLOOKUP(D1070,Table_Tarikan_Warkah[Nomor Tiket],Table_Tarikan_Warkah[Tanggal diserahkan kepada Validator]),"")</f>
        <v>45631.34532</v>
      </c>
      <c r="F1070" s="20" t="str">
        <f t="array" ref="F1070">IFNA(_xlfn.XLOOKUP(D1070,Table_Tarikan_Warkah[Nomor Tiket],Table_Tarikan_Warkah[Nama Petugas Warkah]),"")</f>
        <v>Berry</v>
      </c>
      <c r="G1070" s="21" t="str">
        <f t="array" ref="G1070">IFNA(_xlfn.XLOOKUP(D1070,Table_Tarikan_Warkah[Nomor Tiket],Table_Tarikan_Warkah[Jenis Permohonan]),"")</f>
        <v>BN JUAL BELI</v>
      </c>
      <c r="H1070" s="22" t="s">
        <v>37</v>
      </c>
      <c r="I1070" s="22" t="s">
        <v>32</v>
      </c>
      <c r="J1070" s="20">
        <f t="shared" si="29"/>
        <v>45631.676</v>
      </c>
      <c r="K1070" s="27" t="s">
        <v>65</v>
      </c>
      <c r="L1070" s="27" t="s">
        <v>32</v>
      </c>
      <c r="M1070" s="20">
        <f t="shared" si="30"/>
        <v>45636.70676</v>
      </c>
      <c r="N1070" s="8" t="str">
        <f t="shared" si="3"/>
        <v>SELESAI</v>
      </c>
      <c r="O1070" s="23">
        <f t="shared" si="22"/>
        <v>45636.70676</v>
      </c>
      <c r="P1070" s="24" t="b">
        <v>0</v>
      </c>
      <c r="Q1070" s="20" t="str">
        <f t="shared" si="31"/>
        <v/>
      </c>
      <c r="R1070" s="24" t="b">
        <v>1</v>
      </c>
      <c r="S1070" s="20">
        <f t="shared" si="6"/>
        <v>45637.43237</v>
      </c>
      <c r="T1070" s="7"/>
    </row>
    <row r="1071" ht="22.5" hidden="1" customHeight="1">
      <c r="B1071" s="7">
        <f t="shared" si="7"/>
        <v>1065</v>
      </c>
      <c r="C1071" s="18" t="s">
        <v>1038</v>
      </c>
      <c r="D1071" s="19" t="str">
        <f t="array" ref="D1071">IFNA(_xlfn.XLOOKUP(C1071,Table_Tarikan_Warkah[Nomor Sertipikat],Table_Tarikan_Warkah[Nomor Tiket]),"")</f>
        <v>K/25/031224/2</v>
      </c>
      <c r="E1071" s="20">
        <f t="array" ref="E1071">IFNA(_xlfn.XLOOKUP(D1071,Table_Tarikan_Warkah[Nomor Tiket],Table_Tarikan_Warkah[Tanggal diserahkan kepada Validator]),"")</f>
        <v>45631.34532</v>
      </c>
      <c r="F1071" s="20" t="str">
        <f t="array" ref="F1071">IFNA(_xlfn.XLOOKUP(D1071,Table_Tarikan_Warkah[Nomor Tiket],Table_Tarikan_Warkah[Nama Petugas Warkah]),"")</f>
        <v>Berry</v>
      </c>
      <c r="G1071" s="21" t="str">
        <f t="array" ref="G1071">IFNA(_xlfn.XLOOKUP(D1071,Table_Tarikan_Warkah[Nomor Tiket],Table_Tarikan_Warkah[Jenis Permohonan]),"")</f>
        <v>BN JUAL BELI</v>
      </c>
      <c r="H1071" s="22" t="s">
        <v>37</v>
      </c>
      <c r="I1071" s="22" t="s">
        <v>32</v>
      </c>
      <c r="J1071" s="20">
        <f t="shared" si="29"/>
        <v>45631.6761</v>
      </c>
      <c r="K1071" s="27" t="s">
        <v>65</v>
      </c>
      <c r="L1071" s="27" t="s">
        <v>32</v>
      </c>
      <c r="M1071" s="20">
        <f t="shared" si="30"/>
        <v>45636.70676</v>
      </c>
      <c r="N1071" s="8" t="str">
        <f t="shared" si="3"/>
        <v>SELESAI</v>
      </c>
      <c r="O1071" s="23">
        <f t="shared" si="22"/>
        <v>45636.70676</v>
      </c>
      <c r="P1071" s="24" t="b">
        <v>0</v>
      </c>
      <c r="Q1071" s="20" t="str">
        <f t="shared" si="31"/>
        <v/>
      </c>
      <c r="R1071" s="24" t="b">
        <v>1</v>
      </c>
      <c r="S1071" s="20">
        <f t="shared" si="6"/>
        <v>45637.43229</v>
      </c>
      <c r="T1071" s="7"/>
    </row>
    <row r="1072" ht="22.5" hidden="1" customHeight="1">
      <c r="B1072" s="7">
        <f t="shared" si="7"/>
        <v>1066</v>
      </c>
      <c r="C1072" s="18" t="s">
        <v>1039</v>
      </c>
      <c r="D1072" s="19" t="str">
        <f t="array" ref="D1072">IFNA(_xlfn.XLOOKUP(C1072,Table_Tarikan_Warkah[Nomor Sertipikat],Table_Tarikan_Warkah[Nomor Tiket]),"")</f>
        <v>K/26/031224/3</v>
      </c>
      <c r="E1072" s="20" t="str">
        <f t="array" ref="E1072">IFNA(_xlfn.XLOOKUP(D1072,Table_Tarikan_Warkah[Nomor Tiket],Table_Tarikan_Warkah[Tanggal diserahkan kepada Validator]),"")</f>
        <v/>
      </c>
      <c r="F1072" s="20" t="str">
        <f t="array" ref="F1072">IFNA(_xlfn.XLOOKUP(D1072,Table_Tarikan_Warkah[Nomor Tiket],Table_Tarikan_Warkah[Nama Petugas Warkah]),"")</f>
        <v/>
      </c>
      <c r="G1072" s="21" t="str">
        <f t="array" ref="G1072">IFNA(_xlfn.XLOOKUP(D1072,Table_Tarikan_Warkah[Nomor Tiket],Table_Tarikan_Warkah[Jenis Permohonan]),"")</f>
        <v>BN JUAL BELI</v>
      </c>
      <c r="H1072" s="22" t="s">
        <v>37</v>
      </c>
      <c r="I1072" s="22" t="s">
        <v>32</v>
      </c>
      <c r="J1072" s="20">
        <f t="shared" si="29"/>
        <v>45631.67618</v>
      </c>
      <c r="K1072" s="27" t="s">
        <v>65</v>
      </c>
      <c r="L1072" s="27" t="s">
        <v>32</v>
      </c>
      <c r="M1072" s="20">
        <f t="shared" si="30"/>
        <v>45636.70676</v>
      </c>
      <c r="N1072" s="8" t="str">
        <f t="shared" si="3"/>
        <v>SELESAI</v>
      </c>
      <c r="O1072" s="23">
        <f t="shared" si="22"/>
        <v>45636.70676</v>
      </c>
      <c r="P1072" s="24" t="b">
        <v>0</v>
      </c>
      <c r="Q1072" s="20" t="str">
        <f t="shared" si="31"/>
        <v/>
      </c>
      <c r="R1072" s="24" t="b">
        <v>1</v>
      </c>
      <c r="S1072" s="20">
        <f t="shared" si="6"/>
        <v>45637.43255</v>
      </c>
      <c r="T1072" s="7"/>
    </row>
    <row r="1073" ht="22.5" hidden="1" customHeight="1">
      <c r="B1073" s="7">
        <f t="shared" si="7"/>
        <v>1067</v>
      </c>
      <c r="C1073" s="18" t="s">
        <v>1040</v>
      </c>
      <c r="D1073" s="19" t="str">
        <f t="array" ref="D1073">IFNA(_xlfn.XLOOKUP(C1073,Table_Tarikan_Warkah[Nomor Sertipikat],Table_Tarikan_Warkah[Nomor Tiket]),"")</f>
        <v>K/30/031224/1</v>
      </c>
      <c r="E1073" s="20" t="str">
        <f t="array" ref="E1073">IFNA(_xlfn.XLOOKUP(D1073,Table_Tarikan_Warkah[Nomor Tiket],Table_Tarikan_Warkah[Tanggal diserahkan kepada Validator]),"")</f>
        <v/>
      </c>
      <c r="F1073" s="20" t="str">
        <f t="array" ref="F1073">IFNA(_xlfn.XLOOKUP(D1073,Table_Tarikan_Warkah[Nomor Tiket],Table_Tarikan_Warkah[Nama Petugas Warkah]),"")</f>
        <v/>
      </c>
      <c r="G1073" s="21" t="str">
        <f t="array" ref="G1073">IFNA(_xlfn.XLOOKUP(D1073,Table_Tarikan_Warkah[Nomor Tiket],Table_Tarikan_Warkah[Jenis Permohonan]),"")</f>
        <v>BN JUAL BELI </v>
      </c>
      <c r="H1073" s="22" t="s">
        <v>37</v>
      </c>
      <c r="I1073" s="22" t="s">
        <v>32</v>
      </c>
      <c r="J1073" s="20">
        <f t="shared" si="29"/>
        <v>45631.67629</v>
      </c>
      <c r="K1073" s="22" t="s">
        <v>33</v>
      </c>
      <c r="L1073" s="22" t="s">
        <v>32</v>
      </c>
      <c r="M1073" s="20">
        <f t="shared" si="30"/>
        <v>45636.66441</v>
      </c>
      <c r="N1073" s="8" t="str">
        <f t="shared" si="3"/>
        <v>SELESAI</v>
      </c>
      <c r="O1073" s="23">
        <f t="shared" si="22"/>
        <v>45636.66441</v>
      </c>
      <c r="P1073" s="24" t="b">
        <v>1</v>
      </c>
      <c r="Q1073" s="20">
        <f t="shared" si="31"/>
        <v>45636.66445</v>
      </c>
      <c r="R1073" s="24" t="b">
        <v>1</v>
      </c>
      <c r="S1073" s="20">
        <f t="shared" si="6"/>
        <v>45637.41162</v>
      </c>
      <c r="T1073" s="7"/>
    </row>
    <row r="1074" ht="22.5" hidden="1" customHeight="1">
      <c r="B1074" s="7">
        <f t="shared" si="7"/>
        <v>1068</v>
      </c>
      <c r="C1074" s="18" t="s">
        <v>1041</v>
      </c>
      <c r="D1074" s="19" t="str">
        <f t="array" ref="D1074">IFNA(_xlfn.XLOOKUP(C1074,Table_Tarikan_Warkah[Nomor Sertipikat],Table_Tarikan_Warkah[Nomor Tiket]),"")</f>
        <v>K/8/281124/1</v>
      </c>
      <c r="E1074" s="20" t="str">
        <f t="array" ref="E1074">IFNA(_xlfn.XLOOKUP(D1074,Table_Tarikan_Warkah[Nomor Tiket],Table_Tarikan_Warkah[Tanggal diserahkan kepada Validator]),"")</f>
        <v/>
      </c>
      <c r="F1074" s="20" t="str">
        <f t="array" ref="F1074">IFNA(_xlfn.XLOOKUP(D1074,Table_Tarikan_Warkah[Nomor Tiket],Table_Tarikan_Warkah[Nama Petugas Warkah]),"")</f>
        <v/>
      </c>
      <c r="G1074" s="21" t="str">
        <f t="array" ref="G1074">IFNA(_xlfn.XLOOKUP(D1074,Table_Tarikan_Warkah[Nomor Tiket],Table_Tarikan_Warkah[Jenis Permohonan]),"")</f>
        <v>BN Jual Beli</v>
      </c>
      <c r="H1074" s="22" t="s">
        <v>37</v>
      </c>
      <c r="I1074" s="22" t="s">
        <v>187</v>
      </c>
      <c r="J1074" s="20">
        <f t="shared" si="29"/>
        <v>45631.6792</v>
      </c>
      <c r="K1074" s="27" t="s">
        <v>33</v>
      </c>
      <c r="L1074" s="27" t="s">
        <v>187</v>
      </c>
      <c r="M1074" s="20">
        <f t="shared" si="30"/>
        <v>45636.70676</v>
      </c>
      <c r="N1074" s="8" t="str">
        <f t="shared" si="3"/>
        <v>Selesai</v>
      </c>
      <c r="O1074" s="23">
        <f t="shared" si="22"/>
        <v>45636.70676</v>
      </c>
      <c r="P1074" s="24" t="b">
        <v>1</v>
      </c>
      <c r="Q1074" s="20">
        <f t="shared" si="31"/>
        <v>45636.70676</v>
      </c>
      <c r="R1074" s="24" t="b">
        <v>0</v>
      </c>
      <c r="S1074" s="7" t="str">
        <f t="shared" si="6"/>
        <v/>
      </c>
      <c r="T1074" s="7"/>
    </row>
    <row r="1075" ht="22.5" hidden="1" customHeight="1">
      <c r="B1075" s="7">
        <f t="shared" si="7"/>
        <v>1069</v>
      </c>
      <c r="C1075" s="18" t="s">
        <v>1042</v>
      </c>
      <c r="D1075" s="19" t="str">
        <f t="array" ref="D1075">IFNA(_xlfn.XLOOKUP(C1075,Table_Tarikan_Warkah[Nomor Sertipikat],Table_Tarikan_Warkah[Nomor Tiket]),"")</f>
        <v>K/36/211124/1</v>
      </c>
      <c r="E1075" s="20" t="str">
        <f t="array" ref="E1075">IFNA(_xlfn.XLOOKUP(D1075,Table_Tarikan_Warkah[Nomor Tiket],Table_Tarikan_Warkah[Tanggal diserahkan kepada Validator]),"")</f>
        <v/>
      </c>
      <c r="F1075" s="20" t="str">
        <f t="array" ref="F1075">IFNA(_xlfn.XLOOKUP(D1075,Table_Tarikan_Warkah[Nomor Tiket],Table_Tarikan_Warkah[Nama Petugas Warkah]),"")</f>
        <v/>
      </c>
      <c r="G1075" s="21" t="str">
        <f t="array" ref="G1075">IFNA(_xlfn.XLOOKUP(D1075,Table_Tarikan_Warkah[Nomor Tiket],Table_Tarikan_Warkah[Jenis Permohonan]),"")</f>
        <v>BN Jual Beli</v>
      </c>
      <c r="H1075" s="22" t="s">
        <v>37</v>
      </c>
      <c r="I1075" s="22" t="s">
        <v>187</v>
      </c>
      <c r="J1075" s="20">
        <f t="shared" si="29"/>
        <v>45632.43723</v>
      </c>
      <c r="K1075" s="27" t="s">
        <v>33</v>
      </c>
      <c r="L1075" s="27" t="s">
        <v>187</v>
      </c>
      <c r="M1075" s="20">
        <f t="shared" si="30"/>
        <v>45636.70676</v>
      </c>
      <c r="N1075" s="8" t="str">
        <f t="shared" si="3"/>
        <v>Selesai</v>
      </c>
      <c r="O1075" s="23">
        <f t="shared" si="22"/>
        <v>45636.70676</v>
      </c>
      <c r="P1075" s="24" t="b">
        <v>1</v>
      </c>
      <c r="Q1075" s="20">
        <f t="shared" si="31"/>
        <v>45636.70676</v>
      </c>
      <c r="R1075" s="24" t="b">
        <v>0</v>
      </c>
      <c r="S1075" s="7" t="str">
        <f t="shared" si="6"/>
        <v/>
      </c>
      <c r="T1075" s="7"/>
    </row>
    <row r="1076" ht="22.5" hidden="1" customHeight="1">
      <c r="B1076" s="7">
        <f t="shared" si="7"/>
        <v>1070</v>
      </c>
      <c r="C1076" s="18" t="s">
        <v>1043</v>
      </c>
      <c r="D1076" s="19" t="str">
        <f t="array" ref="D1076">IFNA(_xlfn.XLOOKUP(C1076,Table_Tarikan_Warkah[Nomor Sertipikat],Table_Tarikan_Warkah[Nomor Tiket]),"")</f>
        <v>K/8/021224/1</v>
      </c>
      <c r="E1076" s="20" t="str">
        <f t="array" ref="E1076">IFNA(_xlfn.XLOOKUP(D1076,Table_Tarikan_Warkah[Nomor Tiket],Table_Tarikan_Warkah[Tanggal diserahkan kepada Validator]),"")</f>
        <v/>
      </c>
      <c r="F1076" s="20" t="str">
        <f t="array" ref="F1076">IFNA(_xlfn.XLOOKUP(D1076,Table_Tarikan_Warkah[Nomor Tiket],Table_Tarikan_Warkah[Nama Petugas Warkah]),"")</f>
        <v/>
      </c>
      <c r="G1076" s="21" t="str">
        <f t="array" ref="G1076">IFNA(_xlfn.XLOOKUP(D1076,Table_Tarikan_Warkah[Nomor Tiket],Table_Tarikan_Warkah[Jenis Permohonan]),"")</f>
        <v>BN HIBAH</v>
      </c>
      <c r="H1076" s="22" t="s">
        <v>37</v>
      </c>
      <c r="I1076" s="22" t="s">
        <v>187</v>
      </c>
      <c r="J1076" s="20">
        <f t="shared" si="29"/>
        <v>45632.64093</v>
      </c>
      <c r="K1076" s="27" t="s">
        <v>33</v>
      </c>
      <c r="L1076" s="27" t="s">
        <v>187</v>
      </c>
      <c r="M1076" s="20">
        <f t="shared" si="30"/>
        <v>45636.70676</v>
      </c>
      <c r="N1076" s="8" t="str">
        <f t="shared" si="3"/>
        <v>Selesai</v>
      </c>
      <c r="O1076" s="23">
        <f t="shared" si="22"/>
        <v>45636.70676</v>
      </c>
      <c r="P1076" s="24" t="b">
        <v>1</v>
      </c>
      <c r="Q1076" s="20">
        <f t="shared" si="31"/>
        <v>45636.70676</v>
      </c>
      <c r="R1076" s="24" t="b">
        <v>0</v>
      </c>
      <c r="S1076" s="7" t="str">
        <f t="shared" si="6"/>
        <v/>
      </c>
      <c r="T1076" s="7"/>
    </row>
    <row r="1077" ht="22.5" hidden="1" customHeight="1">
      <c r="B1077" s="7">
        <f t="shared" si="7"/>
        <v>1071</v>
      </c>
      <c r="C1077" s="18" t="s">
        <v>1044</v>
      </c>
      <c r="D1077" s="19" t="str">
        <f t="array" ref="D1077">IFNA(_xlfn.XLOOKUP(C1077,Table_Tarikan_Warkah[Nomor Sertipikat],Table_Tarikan_Warkah[Nomor Tiket]),"")</f>
        <v>K/43/031224/2</v>
      </c>
      <c r="E1077" s="20" t="str">
        <f t="array" ref="E1077">IFNA(_xlfn.XLOOKUP(D1077,Table_Tarikan_Warkah[Nomor Tiket],Table_Tarikan_Warkah[Tanggal diserahkan kepada Validator]),"")</f>
        <v/>
      </c>
      <c r="F1077" s="20" t="str">
        <f t="array" ref="F1077">IFNA(_xlfn.XLOOKUP(D1077,Table_Tarikan_Warkah[Nomor Tiket],Table_Tarikan_Warkah[Nama Petugas Warkah]),"")</f>
        <v>Berry</v>
      </c>
      <c r="G1077" s="21" t="str">
        <f t="array" ref="G1077">IFNA(_xlfn.XLOOKUP(D1077,Table_Tarikan_Warkah[Nomor Tiket],Table_Tarikan_Warkah[Jenis Permohonan]),"")</f>
        <v>Roya</v>
      </c>
      <c r="H1077" s="22" t="s">
        <v>37</v>
      </c>
      <c r="I1077" s="22" t="s">
        <v>32</v>
      </c>
      <c r="J1077" s="20">
        <f t="shared" si="29"/>
        <v>45632.64381</v>
      </c>
      <c r="K1077" s="27" t="s">
        <v>65</v>
      </c>
      <c r="L1077" s="27" t="s">
        <v>32</v>
      </c>
      <c r="M1077" s="20">
        <f t="shared" si="30"/>
        <v>45636.70676</v>
      </c>
      <c r="N1077" s="8" t="str">
        <f t="shared" si="3"/>
        <v>SELESAI</v>
      </c>
      <c r="O1077" s="23">
        <f t="shared" si="22"/>
        <v>45636.70676</v>
      </c>
      <c r="P1077" s="24" t="b">
        <v>0</v>
      </c>
      <c r="Q1077" s="20" t="str">
        <f t="shared" si="31"/>
        <v/>
      </c>
      <c r="R1077" s="24" t="b">
        <v>0</v>
      </c>
      <c r="S1077" s="7" t="str">
        <f t="shared" si="6"/>
        <v/>
      </c>
      <c r="T1077" s="7"/>
    </row>
    <row r="1078" ht="22.5" hidden="1" customHeight="1">
      <c r="B1078" s="7">
        <f t="shared" si="7"/>
        <v>1072</v>
      </c>
      <c r="C1078" s="18" t="s">
        <v>1045</v>
      </c>
      <c r="D1078" s="19" t="str">
        <f t="array" ref="D1078">IFNA(_xlfn.XLOOKUP(C1078,Table_Tarikan_Warkah[Nomor Sertipikat],Table_Tarikan_Warkah[Nomor Tiket]),"")</f>
        <v>K/9/041224/1</v>
      </c>
      <c r="E1078" s="20" t="str">
        <f t="array" ref="E1078">IFNA(_xlfn.XLOOKUP(D1078,Table_Tarikan_Warkah[Nomor Tiket],Table_Tarikan_Warkah[Tanggal diserahkan kepada Validator]),"")</f>
        <v/>
      </c>
      <c r="F1078" s="20" t="str">
        <f t="array" ref="F1078">IFNA(_xlfn.XLOOKUP(D1078,Table_Tarikan_Warkah[Nomor Tiket],Table_Tarikan_Warkah[Nama Petugas Warkah]),"")</f>
        <v/>
      </c>
      <c r="G1078" s="21" t="str">
        <f t="array" ref="G1078">IFNA(_xlfn.XLOOKUP(D1078,Table_Tarikan_Warkah[Nomor Tiket],Table_Tarikan_Warkah[Jenis Permohonan]),"")</f>
        <v>BN JUAL BELI</v>
      </c>
      <c r="H1078" s="22" t="s">
        <v>37</v>
      </c>
      <c r="I1078" s="22" t="s">
        <v>32</v>
      </c>
      <c r="J1078" s="20">
        <f t="shared" si="29"/>
        <v>45632.65816</v>
      </c>
      <c r="K1078" s="27" t="s">
        <v>65</v>
      </c>
      <c r="L1078" s="27" t="s">
        <v>32</v>
      </c>
      <c r="M1078" s="20">
        <f t="shared" si="30"/>
        <v>45636.70676</v>
      </c>
      <c r="N1078" s="8" t="str">
        <f t="shared" si="3"/>
        <v>SELESAI</v>
      </c>
      <c r="O1078" s="23">
        <f t="shared" si="22"/>
        <v>45636.70676</v>
      </c>
      <c r="P1078" s="24" t="b">
        <v>0</v>
      </c>
      <c r="Q1078" s="20" t="str">
        <f t="shared" si="31"/>
        <v/>
      </c>
      <c r="R1078" s="24" t="b">
        <v>1</v>
      </c>
      <c r="S1078" s="20">
        <f t="shared" si="6"/>
        <v>45637.42923</v>
      </c>
      <c r="T1078" s="7"/>
    </row>
    <row r="1079" ht="22.5" hidden="1" customHeight="1">
      <c r="B1079" s="7">
        <f t="shared" si="7"/>
        <v>1073</v>
      </c>
      <c r="C1079" s="18" t="s">
        <v>1046</v>
      </c>
      <c r="D1079" s="19" t="str">
        <f t="array" ref="D1079">IFNA(_xlfn.XLOOKUP(C1079,Table_Tarikan_Warkah[Nomor Sertipikat],Table_Tarikan_Warkah[Nomor Tiket]),"")</f>
        <v>K/21/041224/1</v>
      </c>
      <c r="E1079" s="20" t="str">
        <f t="array" ref="E1079">IFNA(_xlfn.XLOOKUP(D1079,Table_Tarikan_Warkah[Nomor Tiket],Table_Tarikan_Warkah[Tanggal diserahkan kepada Validator]),"")</f>
        <v/>
      </c>
      <c r="F1079" s="20" t="str">
        <f t="array" ref="F1079">IFNA(_xlfn.XLOOKUP(D1079,Table_Tarikan_Warkah[Nomor Tiket],Table_Tarikan_Warkah[Nama Petugas Warkah]),"")</f>
        <v/>
      </c>
      <c r="G1079" s="21" t="str">
        <f t="array" ref="G1079">IFNA(_xlfn.XLOOKUP(D1079,Table_Tarikan_Warkah[Nomor Tiket],Table_Tarikan_Warkah[Jenis Permohonan]),"")</f>
        <v>BN JUAL BELI</v>
      </c>
      <c r="H1079" s="22" t="s">
        <v>37</v>
      </c>
      <c r="I1079" s="22" t="s">
        <v>32</v>
      </c>
      <c r="J1079" s="20">
        <f t="shared" si="29"/>
        <v>45632.65824</v>
      </c>
      <c r="K1079" s="27" t="s">
        <v>65</v>
      </c>
      <c r="L1079" s="27" t="s">
        <v>32</v>
      </c>
      <c r="M1079" s="20">
        <f t="shared" si="30"/>
        <v>45636.70676</v>
      </c>
      <c r="N1079" s="8" t="str">
        <f t="shared" si="3"/>
        <v>SELESAI</v>
      </c>
      <c r="O1079" s="23">
        <f t="shared" si="22"/>
        <v>45636.70676</v>
      </c>
      <c r="P1079" s="24" t="b">
        <v>0</v>
      </c>
      <c r="Q1079" s="20" t="str">
        <f t="shared" si="31"/>
        <v/>
      </c>
      <c r="R1079" s="24" t="b">
        <v>1</v>
      </c>
      <c r="S1079" s="20">
        <f t="shared" si="6"/>
        <v>45637.43038</v>
      </c>
      <c r="T1079" s="7"/>
    </row>
    <row r="1080" ht="22.5" hidden="1" customHeight="1">
      <c r="B1080" s="7">
        <f t="shared" si="7"/>
        <v>1074</v>
      </c>
      <c r="C1080" s="18" t="s">
        <v>1047</v>
      </c>
      <c r="D1080" s="19" t="str">
        <f t="array" ref="D1080">IFNA(_xlfn.XLOOKUP(C1080,Table_Tarikan_Warkah[Nomor Sertipikat],Table_Tarikan_Warkah[Nomor Tiket]),"")</f>
        <v>K/10/041224/2</v>
      </c>
      <c r="E1080" s="20" t="str">
        <f t="array" ref="E1080">IFNA(_xlfn.XLOOKUP(D1080,Table_Tarikan_Warkah[Nomor Tiket],Table_Tarikan_Warkah[Tanggal diserahkan kepada Validator]),"")</f>
        <v/>
      </c>
      <c r="F1080" s="20" t="str">
        <f t="array" ref="F1080">IFNA(_xlfn.XLOOKUP(D1080,Table_Tarikan_Warkah[Nomor Tiket],Table_Tarikan_Warkah[Nama Petugas Warkah]),"")</f>
        <v>Berry</v>
      </c>
      <c r="G1080" s="21" t="str">
        <f t="array" ref="G1080">IFNA(_xlfn.XLOOKUP(D1080,Table_Tarikan_Warkah[Nomor Tiket],Table_Tarikan_Warkah[Jenis Permohonan]),"")</f>
        <v>BN JUAL BELI</v>
      </c>
      <c r="H1080" s="22" t="s">
        <v>37</v>
      </c>
      <c r="I1080" s="22" t="s">
        <v>32</v>
      </c>
      <c r="J1080" s="20">
        <f t="shared" si="29"/>
        <v>45632.65835</v>
      </c>
      <c r="K1080" s="27" t="s">
        <v>65</v>
      </c>
      <c r="L1080" s="27" t="s">
        <v>32</v>
      </c>
      <c r="M1080" s="20">
        <f t="shared" si="30"/>
        <v>45636.70676</v>
      </c>
      <c r="N1080" s="8" t="str">
        <f t="shared" si="3"/>
        <v>SELESAI</v>
      </c>
      <c r="O1080" s="23">
        <f t="shared" si="22"/>
        <v>45636.70676</v>
      </c>
      <c r="P1080" s="24" t="b">
        <v>0</v>
      </c>
      <c r="Q1080" s="20" t="str">
        <f t="shared" si="31"/>
        <v/>
      </c>
      <c r="R1080" s="24" t="b">
        <v>1</v>
      </c>
      <c r="S1080" s="20">
        <f t="shared" si="6"/>
        <v>45637.41132</v>
      </c>
      <c r="T1080" s="7"/>
    </row>
    <row r="1081" ht="22.5" hidden="1" customHeight="1">
      <c r="B1081" s="7">
        <f t="shared" si="7"/>
        <v>1075</v>
      </c>
      <c r="C1081" s="18" t="s">
        <v>1048</v>
      </c>
      <c r="D1081" s="19" t="str">
        <f t="array" ref="D1081">IFNA(_xlfn.XLOOKUP(C1081,Table_Tarikan_Warkah[Nomor Sertipikat],Table_Tarikan_Warkah[Nomor Tiket]),"")</f>
        <v>K/20/041224/4</v>
      </c>
      <c r="E1081" s="20" t="str">
        <f t="array" ref="E1081">IFNA(_xlfn.XLOOKUP(D1081,Table_Tarikan_Warkah[Nomor Tiket],Table_Tarikan_Warkah[Tanggal diserahkan kepada Validator]),"")</f>
        <v/>
      </c>
      <c r="F1081" s="20" t="str">
        <f t="array" ref="F1081">IFNA(_xlfn.XLOOKUP(D1081,Table_Tarikan_Warkah[Nomor Tiket],Table_Tarikan_Warkah[Nama Petugas Warkah]),"")</f>
        <v>Berry</v>
      </c>
      <c r="G1081" s="21" t="str">
        <f t="array" ref="G1081">IFNA(_xlfn.XLOOKUP(D1081,Table_Tarikan_Warkah[Nomor Tiket],Table_Tarikan_Warkah[Jenis Permohonan]),"")</f>
        <v>BN JUAL BELI</v>
      </c>
      <c r="H1081" s="22" t="s">
        <v>37</v>
      </c>
      <c r="I1081" s="22" t="s">
        <v>32</v>
      </c>
      <c r="J1081" s="20">
        <f t="shared" si="29"/>
        <v>45632.6598</v>
      </c>
      <c r="K1081" s="27" t="s">
        <v>65</v>
      </c>
      <c r="L1081" s="27" t="s">
        <v>32</v>
      </c>
      <c r="M1081" s="20">
        <f t="shared" si="30"/>
        <v>45636.70676</v>
      </c>
      <c r="N1081" s="8" t="str">
        <f t="shared" si="3"/>
        <v>SELESAI</v>
      </c>
      <c r="O1081" s="23">
        <f t="shared" si="22"/>
        <v>45636.70676</v>
      </c>
      <c r="P1081" s="24" t="b">
        <v>0</v>
      </c>
      <c r="Q1081" s="20" t="str">
        <f t="shared" si="31"/>
        <v/>
      </c>
      <c r="R1081" s="24" t="b">
        <v>1</v>
      </c>
      <c r="S1081" s="20">
        <f t="shared" si="6"/>
        <v>45637.42937</v>
      </c>
      <c r="T1081" s="7"/>
    </row>
    <row r="1082" ht="22.5" hidden="1" customHeight="1">
      <c r="B1082" s="7">
        <f t="shared" si="7"/>
        <v>1076</v>
      </c>
      <c r="C1082" s="18" t="s">
        <v>1049</v>
      </c>
      <c r="D1082" s="19" t="str">
        <f t="array" ref="D1082">IFNA(_xlfn.XLOOKUP(C1082,Table_Tarikan_Warkah[Nomor Sertipikat],Table_Tarikan_Warkah[Nomor Tiket]),"")</f>
        <v>K/27/221124/1</v>
      </c>
      <c r="E1082" s="20">
        <f t="array" ref="E1082">IFNA(_xlfn.XLOOKUP(D1082,Table_Tarikan_Warkah[Nomor Tiket],Table_Tarikan_Warkah[Tanggal diserahkan kepada Validator]),"")</f>
        <v>45622.4302</v>
      </c>
      <c r="F1082" s="20" t="str">
        <f t="array" ref="F1082">IFNA(_xlfn.XLOOKUP(D1082,Table_Tarikan_Warkah[Nomor Tiket],Table_Tarikan_Warkah[Nama Petugas Warkah]),"")</f>
        <v>David</v>
      </c>
      <c r="G1082" s="21" t="str">
        <f t="array" ref="G1082">IFNA(_xlfn.XLOOKUP(D1082,Table_Tarikan_Warkah[Nomor Tiket],Table_Tarikan_Warkah[Jenis Permohonan]),"")</f>
        <v>BN Jual Beli</v>
      </c>
      <c r="H1082" s="22" t="s">
        <v>37</v>
      </c>
      <c r="I1082" s="22" t="s">
        <v>187</v>
      </c>
      <c r="J1082" s="20">
        <f t="shared" si="29"/>
        <v>45632.65983</v>
      </c>
      <c r="K1082" s="27" t="s">
        <v>33</v>
      </c>
      <c r="L1082" s="27" t="s">
        <v>187</v>
      </c>
      <c r="M1082" s="20">
        <f t="shared" si="30"/>
        <v>45636.70676</v>
      </c>
      <c r="N1082" s="8" t="str">
        <f t="shared" si="3"/>
        <v>Selesai</v>
      </c>
      <c r="O1082" s="23">
        <f t="shared" si="22"/>
        <v>45636.70676</v>
      </c>
      <c r="P1082" s="24" t="b">
        <v>1</v>
      </c>
      <c r="Q1082" s="20">
        <f t="shared" si="31"/>
        <v>45636.70676</v>
      </c>
      <c r="R1082" s="24" t="b">
        <v>0</v>
      </c>
      <c r="S1082" s="7" t="str">
        <f t="shared" si="6"/>
        <v/>
      </c>
      <c r="T1082" s="7"/>
    </row>
    <row r="1083" ht="22.5" hidden="1" customHeight="1">
      <c r="B1083" s="7">
        <f t="shared" si="7"/>
        <v>1077</v>
      </c>
      <c r="C1083" s="18" t="s">
        <v>1050</v>
      </c>
      <c r="D1083" s="19" t="str">
        <f t="array" ref="D1083">IFNA(_xlfn.XLOOKUP(C1083,Table_Tarikan_Warkah[Nomor Sertipikat],Table_Tarikan_Warkah[Nomor Tiket]),"")</f>
        <v>K/19/261124/2</v>
      </c>
      <c r="E1083" s="20" t="str">
        <f t="array" ref="E1083">IFNA(_xlfn.XLOOKUP(D1083,Table_Tarikan_Warkah[Nomor Tiket],Table_Tarikan_Warkah[Tanggal diserahkan kepada Validator]),"")</f>
        <v/>
      </c>
      <c r="F1083" s="20" t="str">
        <f t="array" ref="F1083">IFNA(_xlfn.XLOOKUP(D1083,Table_Tarikan_Warkah[Nomor Tiket],Table_Tarikan_Warkah[Nama Petugas Warkah]),"")</f>
        <v/>
      </c>
      <c r="G1083" s="21" t="str">
        <f t="array" ref="G1083">IFNA(_xlfn.XLOOKUP(D1083,Table_Tarikan_Warkah[Nomor Tiket],Table_Tarikan_Warkah[Jenis Permohonan]),"")</f>
        <v>BN PHB</v>
      </c>
      <c r="H1083" s="22" t="s">
        <v>37</v>
      </c>
      <c r="I1083" s="22" t="s">
        <v>187</v>
      </c>
      <c r="J1083" s="20">
        <f t="shared" si="29"/>
        <v>45632.66062</v>
      </c>
      <c r="K1083" s="27" t="s">
        <v>33</v>
      </c>
      <c r="L1083" s="27" t="s">
        <v>187</v>
      </c>
      <c r="M1083" s="20">
        <f t="shared" si="30"/>
        <v>45636.70676</v>
      </c>
      <c r="N1083" s="8" t="str">
        <f t="shared" si="3"/>
        <v>Selesai</v>
      </c>
      <c r="O1083" s="23">
        <f t="shared" si="22"/>
        <v>45636.70676</v>
      </c>
      <c r="P1083" s="24" t="b">
        <v>1</v>
      </c>
      <c r="Q1083" s="20">
        <f t="shared" si="31"/>
        <v>45636.70676</v>
      </c>
      <c r="R1083" s="24" t="b">
        <v>0</v>
      </c>
      <c r="S1083" s="7" t="str">
        <f t="shared" si="6"/>
        <v/>
      </c>
      <c r="T1083" s="7"/>
    </row>
    <row r="1084" ht="22.5" hidden="1" customHeight="1">
      <c r="B1084" s="7">
        <f t="shared" si="7"/>
        <v>1078</v>
      </c>
      <c r="C1084" s="18" t="s">
        <v>1051</v>
      </c>
      <c r="D1084" s="19" t="str">
        <f t="array" ref="D1084">IFNA(_xlfn.XLOOKUP(C1084,Table_Tarikan_Warkah[Nomor Sertipikat],Table_Tarikan_Warkah[Nomor Tiket]),"")</f>
        <v>K/24/141124/1</v>
      </c>
      <c r="E1084" s="20" t="str">
        <f t="array" ref="E1084">IFNA(_xlfn.XLOOKUP(D1084,Table_Tarikan_Warkah[Nomor Tiket],Table_Tarikan_Warkah[Tanggal diserahkan kepada Validator]),"")</f>
        <v/>
      </c>
      <c r="F1084" s="20" t="str">
        <f t="array" ref="F1084">IFNA(_xlfn.XLOOKUP(D1084,Table_Tarikan_Warkah[Nomor Tiket],Table_Tarikan_Warkah[Nama Petugas Warkah]),"")</f>
        <v>Berry</v>
      </c>
      <c r="G1084" s="21" t="str">
        <f t="array" ref="G1084">IFNA(_xlfn.XLOOKUP(D1084,Table_Tarikan_Warkah[Nomor Tiket],Table_Tarikan_Warkah[Jenis Permohonan]),"")</f>
        <v>BN Jual Beli</v>
      </c>
      <c r="H1084" s="22" t="s">
        <v>37</v>
      </c>
      <c r="I1084" s="22" t="s">
        <v>187</v>
      </c>
      <c r="J1084" s="20">
        <f t="shared" si="29"/>
        <v>45632.66155</v>
      </c>
      <c r="K1084" s="27" t="s">
        <v>33</v>
      </c>
      <c r="L1084" s="27" t="s">
        <v>187</v>
      </c>
      <c r="M1084" s="20">
        <f t="shared" si="30"/>
        <v>45636.70676</v>
      </c>
      <c r="N1084" s="8" t="str">
        <f t="shared" si="3"/>
        <v>Selesai</v>
      </c>
      <c r="O1084" s="23">
        <f t="shared" si="22"/>
        <v>45636.70676</v>
      </c>
      <c r="P1084" s="24" t="b">
        <v>1</v>
      </c>
      <c r="Q1084" s="20">
        <f t="shared" si="31"/>
        <v>45636.70676</v>
      </c>
      <c r="R1084" s="24" t="b">
        <v>0</v>
      </c>
      <c r="S1084" s="7" t="str">
        <f t="shared" si="6"/>
        <v/>
      </c>
      <c r="T1084" s="7"/>
    </row>
    <row r="1085" ht="22.5" hidden="1" customHeight="1">
      <c r="B1085" s="7">
        <f t="shared" si="7"/>
        <v>1079</v>
      </c>
      <c r="C1085" s="18" t="s">
        <v>1052</v>
      </c>
      <c r="D1085" s="19" t="str">
        <f t="array" ref="D1085">IFNA(_xlfn.XLOOKUP(C1085,Table_Tarikan_Warkah[Nomor Sertipikat],Table_Tarikan_Warkah[Nomor Tiket]),"")</f>
        <v>K/7/041224/1</v>
      </c>
      <c r="E1085" s="20">
        <f t="array" ref="E1085">IFNA(_xlfn.XLOOKUP(D1085,Table_Tarikan_Warkah[Nomor Tiket],Table_Tarikan_Warkah[Tanggal diserahkan kepada Validator]),"")</f>
        <v>45631.699</v>
      </c>
      <c r="F1085" s="20" t="str">
        <f t="array" ref="F1085">IFNA(_xlfn.XLOOKUP(D1085,Table_Tarikan_Warkah[Nomor Tiket],Table_Tarikan_Warkah[Nama Petugas Warkah]),"")</f>
        <v>Berry</v>
      </c>
      <c r="G1085" s="21" t="str">
        <f t="array" ref="G1085">IFNA(_xlfn.XLOOKUP(D1085,Table_Tarikan_Warkah[Nomor Tiket],Table_Tarikan_Warkah[Jenis Permohonan]),"")</f>
        <v>BN JUAL BELI</v>
      </c>
      <c r="H1085" s="22" t="s">
        <v>37</v>
      </c>
      <c r="I1085" s="22" t="s">
        <v>187</v>
      </c>
      <c r="J1085" s="20">
        <f t="shared" si="29"/>
        <v>45635.46828</v>
      </c>
      <c r="K1085" s="27" t="s">
        <v>33</v>
      </c>
      <c r="L1085" s="27" t="s">
        <v>187</v>
      </c>
      <c r="M1085" s="20">
        <f t="shared" si="30"/>
        <v>45636.70676</v>
      </c>
      <c r="N1085" s="8" t="str">
        <f t="shared" si="3"/>
        <v>Selesai</v>
      </c>
      <c r="O1085" s="23">
        <f t="shared" si="22"/>
        <v>45636.70676</v>
      </c>
      <c r="P1085" s="24" t="b">
        <v>1</v>
      </c>
      <c r="Q1085" s="20">
        <f t="shared" si="31"/>
        <v>45636.70676</v>
      </c>
      <c r="R1085" s="24" t="b">
        <v>0</v>
      </c>
      <c r="S1085" s="7" t="str">
        <f t="shared" si="6"/>
        <v/>
      </c>
      <c r="T1085" s="7"/>
    </row>
    <row r="1086" ht="22.5" hidden="1" customHeight="1">
      <c r="B1086" s="7">
        <f t="shared" si="7"/>
        <v>1080</v>
      </c>
      <c r="C1086" s="18" t="s">
        <v>1053</v>
      </c>
      <c r="D1086" s="19" t="str">
        <f t="array" ref="D1086">IFNA(_xlfn.XLOOKUP(C1086,Table_Tarikan_Warkah[Nomor Sertipikat],Table_Tarikan_Warkah[Nomor Tiket]),"")</f>
        <v>K/35/051224/3</v>
      </c>
      <c r="E1086" s="20" t="str">
        <f t="array" ref="E1086">IFNA(_xlfn.XLOOKUP(D1086,Table_Tarikan_Warkah[Nomor Tiket],Table_Tarikan_Warkah[Tanggal diserahkan kepada Validator]),"")</f>
        <v/>
      </c>
      <c r="F1086" s="20" t="str">
        <f t="array" ref="F1086">IFNA(_xlfn.XLOOKUP(D1086,Table_Tarikan_Warkah[Nomor Tiket],Table_Tarikan_Warkah[Nama Petugas Warkah]),"")</f>
        <v>Berry</v>
      </c>
      <c r="G1086" s="21" t="str">
        <f t="array" ref="G1086">IFNA(_xlfn.XLOOKUP(D1086,Table_Tarikan_Warkah[Nomor Tiket],Table_Tarikan_Warkah[Jenis Permohonan]),"")</f>
        <v>BN JUAL BELI</v>
      </c>
      <c r="H1086" s="22" t="s">
        <v>37</v>
      </c>
      <c r="I1086" s="22" t="s">
        <v>32</v>
      </c>
      <c r="J1086" s="20">
        <f t="shared" si="29"/>
        <v>45635.46828</v>
      </c>
      <c r="K1086" s="27" t="s">
        <v>65</v>
      </c>
      <c r="L1086" s="27" t="s">
        <v>32</v>
      </c>
      <c r="M1086" s="20">
        <f t="shared" si="30"/>
        <v>45636.70676</v>
      </c>
      <c r="N1086" s="8" t="str">
        <f t="shared" si="3"/>
        <v>SELESAI</v>
      </c>
      <c r="O1086" s="23">
        <f t="shared" si="22"/>
        <v>45636.70676</v>
      </c>
      <c r="P1086" s="24" t="b">
        <v>0</v>
      </c>
      <c r="Q1086" s="20" t="str">
        <f t="shared" si="31"/>
        <v/>
      </c>
      <c r="R1086" s="24" t="b">
        <v>0</v>
      </c>
      <c r="S1086" s="7" t="str">
        <f t="shared" si="6"/>
        <v/>
      </c>
      <c r="T1086" s="7"/>
    </row>
    <row r="1087" ht="22.5" hidden="1" customHeight="1">
      <c r="B1087" s="7">
        <f t="shared" si="7"/>
        <v>1081</v>
      </c>
      <c r="C1087" s="18" t="s">
        <v>1054</v>
      </c>
      <c r="D1087" s="19" t="str">
        <f t="array" ref="D1087">IFNA(_xlfn.XLOOKUP(C1087,Table_Tarikan_Warkah[Nomor Sertipikat],Table_Tarikan_Warkah[Nomor Tiket]),"")</f>
        <v>L/6/051224/1</v>
      </c>
      <c r="E1087" s="20" t="str">
        <f t="array" ref="E1087">IFNA(_xlfn.XLOOKUP(D1087,Table_Tarikan_Warkah[Nomor Tiket],Table_Tarikan_Warkah[Tanggal diserahkan kepada Validator]),"")</f>
        <v/>
      </c>
      <c r="F1087" s="20" t="str">
        <f t="array" ref="F1087">IFNA(_xlfn.XLOOKUP(D1087,Table_Tarikan_Warkah[Nomor Tiket],Table_Tarikan_Warkah[Nama Petugas Warkah]),"")</f>
        <v/>
      </c>
      <c r="G1087" s="21" t="str">
        <f t="array" ref="G1087">IFNA(_xlfn.XLOOKUP(D1087,Table_Tarikan_Warkah[Nomor Tiket],Table_Tarikan_Warkah[Jenis Permohonan]),"")</f>
        <v>PH</v>
      </c>
      <c r="H1087" s="22" t="s">
        <v>37</v>
      </c>
      <c r="I1087" s="22" t="s">
        <v>32</v>
      </c>
      <c r="J1087" s="20">
        <f t="shared" si="29"/>
        <v>45635.46828</v>
      </c>
      <c r="K1087" s="27" t="s">
        <v>65</v>
      </c>
      <c r="L1087" s="27" t="s">
        <v>32</v>
      </c>
      <c r="M1087" s="20">
        <f t="shared" si="30"/>
        <v>45636.70676</v>
      </c>
      <c r="N1087" s="8" t="str">
        <f t="shared" si="3"/>
        <v>SELESAI</v>
      </c>
      <c r="O1087" s="23">
        <f t="shared" si="22"/>
        <v>45636.70676</v>
      </c>
      <c r="P1087" s="24" t="b">
        <v>0</v>
      </c>
      <c r="Q1087" s="20" t="str">
        <f t="shared" si="31"/>
        <v/>
      </c>
      <c r="R1087" s="24" t="b">
        <v>1</v>
      </c>
      <c r="S1087" s="20">
        <f t="shared" si="6"/>
        <v>45637.4339</v>
      </c>
      <c r="T1087" s="7"/>
    </row>
    <row r="1088" ht="22.5" hidden="1" customHeight="1">
      <c r="B1088" s="7">
        <f t="shared" si="7"/>
        <v>1082</v>
      </c>
      <c r="C1088" s="18" t="s">
        <v>1055</v>
      </c>
      <c r="D1088" s="19" t="str">
        <f t="array" ref="D1088">IFNA(_xlfn.XLOOKUP(C1088,Table_Tarikan_Warkah[Nomor Sertipikat],Table_Tarikan_Warkah[Nomor Tiket]),"")</f>
        <v>L/7/051224/2</v>
      </c>
      <c r="E1088" s="20">
        <f t="array" ref="E1088">IFNA(_xlfn.XLOOKUP(D1088,Table_Tarikan_Warkah[Nomor Tiket],Table_Tarikan_Warkah[Tanggal diserahkan kepada Validator]),"")</f>
        <v>45635.41659</v>
      </c>
      <c r="F1088" s="20" t="str">
        <f t="array" ref="F1088">IFNA(_xlfn.XLOOKUP(D1088,Table_Tarikan_Warkah[Nomor Tiket],Table_Tarikan_Warkah[Nama Petugas Warkah]),"")</f>
        <v>Berry</v>
      </c>
      <c r="G1088" s="21" t="str">
        <f t="array" ref="G1088">IFNA(_xlfn.XLOOKUP(D1088,Table_Tarikan_Warkah[Nomor Tiket],Table_Tarikan_Warkah[Jenis Permohonan]),"")</f>
        <v>PH</v>
      </c>
      <c r="H1088" s="22" t="s">
        <v>37</v>
      </c>
      <c r="I1088" s="22" t="s">
        <v>32</v>
      </c>
      <c r="J1088" s="20">
        <f t="shared" si="29"/>
        <v>45635.46828</v>
      </c>
      <c r="K1088" s="27" t="s">
        <v>65</v>
      </c>
      <c r="L1088" s="27" t="s">
        <v>32</v>
      </c>
      <c r="M1088" s="20">
        <f t="shared" si="30"/>
        <v>45636.70676</v>
      </c>
      <c r="N1088" s="8" t="str">
        <f t="shared" si="3"/>
        <v>SELESAI</v>
      </c>
      <c r="O1088" s="23">
        <f t="shared" si="22"/>
        <v>45636.70676</v>
      </c>
      <c r="P1088" s="24" t="b">
        <v>0</v>
      </c>
      <c r="Q1088" s="20" t="str">
        <f t="shared" si="31"/>
        <v/>
      </c>
      <c r="R1088" s="24" t="b">
        <v>1</v>
      </c>
      <c r="S1088" s="20">
        <f t="shared" si="6"/>
        <v>45637.43408</v>
      </c>
      <c r="T1088" s="7"/>
    </row>
    <row r="1089" ht="22.5" hidden="1" customHeight="1">
      <c r="B1089" s="7">
        <f t="shared" si="7"/>
        <v>1083</v>
      </c>
      <c r="C1089" s="18" t="s">
        <v>1056</v>
      </c>
      <c r="D1089" s="19" t="str">
        <f t="array" ref="D1089">IFNA(_xlfn.XLOOKUP(C1089,Table_Tarikan_Warkah[Nomor Sertipikat],Table_Tarikan_Warkah[Nomor Tiket]),"")</f>
        <v>K/9/051224/2</v>
      </c>
      <c r="E1089" s="20" t="str">
        <f t="array" ref="E1089">IFNA(_xlfn.XLOOKUP(D1089,Table_Tarikan_Warkah[Nomor Tiket],Table_Tarikan_Warkah[Tanggal diserahkan kepada Validator]),"")</f>
        <v/>
      </c>
      <c r="F1089" s="20" t="str">
        <f t="array" ref="F1089">IFNA(_xlfn.XLOOKUP(D1089,Table_Tarikan_Warkah[Nomor Tiket],Table_Tarikan_Warkah[Nama Petugas Warkah]),"")</f>
        <v>Berry</v>
      </c>
      <c r="G1089" s="21" t="str">
        <f t="array" ref="G1089">IFNA(_xlfn.XLOOKUP(D1089,Table_Tarikan_Warkah[Nomor Tiket],Table_Tarikan_Warkah[Jenis Permohonan]),"")</f>
        <v>BN JUAL BELI</v>
      </c>
      <c r="H1089" s="22" t="s">
        <v>37</v>
      </c>
      <c r="I1089" s="22" t="s">
        <v>32</v>
      </c>
      <c r="J1089" s="20">
        <f t="shared" si="29"/>
        <v>45635.46828</v>
      </c>
      <c r="K1089" s="27" t="s">
        <v>65</v>
      </c>
      <c r="L1089" s="27" t="s">
        <v>32</v>
      </c>
      <c r="M1089" s="20">
        <f t="shared" si="30"/>
        <v>45636.70676</v>
      </c>
      <c r="N1089" s="8" t="str">
        <f t="shared" si="3"/>
        <v>SELESAI</v>
      </c>
      <c r="O1089" s="23">
        <f t="shared" si="22"/>
        <v>45636.70676</v>
      </c>
      <c r="P1089" s="24" t="b">
        <v>0</v>
      </c>
      <c r="Q1089" s="20" t="str">
        <f t="shared" si="31"/>
        <v/>
      </c>
      <c r="R1089" s="24" t="b">
        <v>1</v>
      </c>
      <c r="S1089" s="20">
        <f t="shared" si="6"/>
        <v>45637.42502</v>
      </c>
      <c r="T1089" s="7"/>
    </row>
    <row r="1090" ht="22.5" hidden="1" customHeight="1">
      <c r="B1090" s="7">
        <f t="shared" si="7"/>
        <v>1084</v>
      </c>
      <c r="C1090" s="18" t="s">
        <v>1057</v>
      </c>
      <c r="D1090" s="19" t="str">
        <f t="array" ref="D1090">IFNA(_xlfn.XLOOKUP(C1090,Table_Tarikan_Warkah[Nomor Sertipikat],Table_Tarikan_Warkah[Nomor Tiket]),"")</f>
        <v>K/34/051224/2</v>
      </c>
      <c r="E1090" s="20" t="str">
        <f t="array" ref="E1090">IFNA(_xlfn.XLOOKUP(D1090,Table_Tarikan_Warkah[Nomor Tiket],Table_Tarikan_Warkah[Tanggal diserahkan kepada Validator]),"")</f>
        <v/>
      </c>
      <c r="F1090" s="20" t="str">
        <f t="array" ref="F1090">IFNA(_xlfn.XLOOKUP(D1090,Table_Tarikan_Warkah[Nomor Tiket],Table_Tarikan_Warkah[Nama Petugas Warkah]),"")</f>
        <v>Berry</v>
      </c>
      <c r="G1090" s="21" t="str">
        <f t="array" ref="G1090">IFNA(_xlfn.XLOOKUP(D1090,Table_Tarikan_Warkah[Nomor Tiket],Table_Tarikan_Warkah[Jenis Permohonan]),"")</f>
        <v>BN JUAL BELI</v>
      </c>
      <c r="H1090" s="22" t="s">
        <v>37</v>
      </c>
      <c r="I1090" s="22" t="s">
        <v>32</v>
      </c>
      <c r="J1090" s="20">
        <f t="shared" si="29"/>
        <v>45635.46828</v>
      </c>
      <c r="K1090" s="27" t="s">
        <v>65</v>
      </c>
      <c r="L1090" s="27" t="s">
        <v>32</v>
      </c>
      <c r="M1090" s="20">
        <f t="shared" si="30"/>
        <v>45636.70676</v>
      </c>
      <c r="N1090" s="8" t="str">
        <f t="shared" si="3"/>
        <v>SELESAI</v>
      </c>
      <c r="O1090" s="23">
        <f t="shared" si="22"/>
        <v>45636.70676</v>
      </c>
      <c r="P1090" s="24" t="b">
        <v>0</v>
      </c>
      <c r="Q1090" s="20" t="str">
        <f t="shared" si="31"/>
        <v/>
      </c>
      <c r="R1090" s="24" t="b">
        <v>1</v>
      </c>
      <c r="S1090" s="20">
        <f t="shared" si="6"/>
        <v>45637.42513</v>
      </c>
      <c r="T1090" s="7"/>
    </row>
    <row r="1091" ht="22.5" hidden="1" customHeight="1">
      <c r="B1091" s="7">
        <f t="shared" si="7"/>
        <v>1085</v>
      </c>
      <c r="C1091" s="18" t="s">
        <v>1058</v>
      </c>
      <c r="D1091" s="19" t="str">
        <f t="array" ref="D1091">IFNA(_xlfn.XLOOKUP(C1091,Table_Tarikan_Warkah[Nomor Sertipikat],Table_Tarikan_Warkah[Nomor Tiket]),"")</f>
        <v>K/8/041224/1</v>
      </c>
      <c r="E1091" s="20">
        <f t="array" ref="E1091">IFNA(_xlfn.XLOOKUP(D1091,Table_Tarikan_Warkah[Nomor Tiket],Table_Tarikan_Warkah[Tanggal diserahkan kepada Validator]),"")</f>
        <v>45631.70014</v>
      </c>
      <c r="F1091" s="20" t="str">
        <f t="array" ref="F1091">IFNA(_xlfn.XLOOKUP(D1091,Table_Tarikan_Warkah[Nomor Tiket],Table_Tarikan_Warkah[Nama Petugas Warkah]),"")</f>
        <v>Berry</v>
      </c>
      <c r="G1091" s="21" t="str">
        <f t="array" ref="G1091">IFNA(_xlfn.XLOOKUP(D1091,Table_Tarikan_Warkah[Nomor Tiket],Table_Tarikan_Warkah[Jenis Permohonan]),"")</f>
        <v>ROYA</v>
      </c>
      <c r="H1091" s="22" t="s">
        <v>37</v>
      </c>
      <c r="I1091" s="22" t="s">
        <v>32</v>
      </c>
      <c r="J1091" s="20">
        <f t="shared" si="29"/>
        <v>45635.46828</v>
      </c>
      <c r="K1091" s="27" t="s">
        <v>65</v>
      </c>
      <c r="L1091" s="27" t="s">
        <v>32</v>
      </c>
      <c r="M1091" s="20">
        <f t="shared" si="30"/>
        <v>45636.70676</v>
      </c>
      <c r="N1091" s="8" t="str">
        <f t="shared" si="3"/>
        <v>SELESAI</v>
      </c>
      <c r="O1091" s="23">
        <f t="shared" si="22"/>
        <v>45636.70676</v>
      </c>
      <c r="P1091" s="24" t="b">
        <v>0</v>
      </c>
      <c r="Q1091" s="20" t="str">
        <f t="shared" si="31"/>
        <v/>
      </c>
      <c r="R1091" s="24" t="b">
        <v>1</v>
      </c>
      <c r="S1091" s="20">
        <f t="shared" si="6"/>
        <v>45637.43774</v>
      </c>
      <c r="T1091" s="7"/>
    </row>
    <row r="1092" ht="22.5" hidden="1" customHeight="1">
      <c r="B1092" s="7">
        <f t="shared" si="7"/>
        <v>1086</v>
      </c>
      <c r="C1092" s="18" t="s">
        <v>1059</v>
      </c>
      <c r="D1092" s="19" t="str">
        <f t="array" ref="D1092">IFNA(_xlfn.XLOOKUP(C1092,Table_Tarikan_Warkah[Nomor Sertipikat],Table_Tarikan_Warkah[Nomor Tiket]),"")</f>
        <v>K/47/041224/2</v>
      </c>
      <c r="E1092" s="20" t="str">
        <f t="array" ref="E1092">IFNA(_xlfn.XLOOKUP(D1092,Table_Tarikan_Warkah[Nomor Tiket],Table_Tarikan_Warkah[Tanggal diserahkan kepada Validator]),"")</f>
        <v/>
      </c>
      <c r="F1092" s="20" t="str">
        <f t="array" ref="F1092">IFNA(_xlfn.XLOOKUP(D1092,Table_Tarikan_Warkah[Nomor Tiket],Table_Tarikan_Warkah[Nama Petugas Warkah]),"")</f>
        <v/>
      </c>
      <c r="G1092" s="21" t="str">
        <f t="array" ref="G1092">IFNA(_xlfn.XLOOKUP(D1092,Table_Tarikan_Warkah[Nomor Tiket],Table_Tarikan_Warkah[Jenis Permohonan]),"")</f>
        <v>BN JUAL BELI</v>
      </c>
      <c r="H1092" s="22" t="s">
        <v>37</v>
      </c>
      <c r="I1092" s="22" t="s">
        <v>187</v>
      </c>
      <c r="J1092" s="20">
        <f t="shared" si="29"/>
        <v>45635.46828</v>
      </c>
      <c r="K1092" s="27" t="s">
        <v>33</v>
      </c>
      <c r="L1092" s="27" t="s">
        <v>187</v>
      </c>
      <c r="M1092" s="20">
        <f t="shared" si="30"/>
        <v>45636.70676</v>
      </c>
      <c r="N1092" s="8" t="str">
        <f t="shared" si="3"/>
        <v>Selesai</v>
      </c>
      <c r="O1092" s="23">
        <f t="shared" si="22"/>
        <v>45636.70676</v>
      </c>
      <c r="P1092" s="24" t="b">
        <v>1</v>
      </c>
      <c r="Q1092" s="20">
        <f t="shared" si="31"/>
        <v>45636.70676</v>
      </c>
      <c r="R1092" s="24" t="b">
        <v>1</v>
      </c>
      <c r="S1092" s="20">
        <f t="shared" si="6"/>
        <v>45637.43442</v>
      </c>
      <c r="T1092" s="7"/>
    </row>
    <row r="1093" ht="22.5" hidden="1" customHeight="1">
      <c r="B1093" s="7">
        <f t="shared" si="7"/>
        <v>1087</v>
      </c>
      <c r="C1093" s="18" t="s">
        <v>1060</v>
      </c>
      <c r="D1093" s="19" t="str">
        <f t="array" ref="D1093">IFNA(_xlfn.XLOOKUP(C1093,Table_Tarikan_Warkah[Nomor Sertipikat],Table_Tarikan_Warkah[Nomor Tiket]),"")</f>
        <v>K/39/021224/1</v>
      </c>
      <c r="E1093" s="20" t="str">
        <f t="array" ref="E1093">IFNA(_xlfn.XLOOKUP(D1093,Table_Tarikan_Warkah[Nomor Tiket],Table_Tarikan_Warkah[Tanggal diserahkan kepada Validator]),"")</f>
        <v/>
      </c>
      <c r="F1093" s="20" t="str">
        <f t="array" ref="F1093">IFNA(_xlfn.XLOOKUP(D1093,Table_Tarikan_Warkah[Nomor Tiket],Table_Tarikan_Warkah[Nama Petugas Warkah]),"")</f>
        <v/>
      </c>
      <c r="G1093" s="21" t="str">
        <f t="array" ref="G1093">IFNA(_xlfn.XLOOKUP(D1093,Table_Tarikan_Warkah[Nomor Tiket],Table_Tarikan_Warkah[Jenis Permohonan]),"")</f>
        <v>BN JUAL BELI</v>
      </c>
      <c r="H1093" s="22" t="s">
        <v>37</v>
      </c>
      <c r="I1093" s="22" t="s">
        <v>187</v>
      </c>
      <c r="J1093" s="20">
        <f t="shared" si="29"/>
        <v>45635.46828</v>
      </c>
      <c r="K1093" s="27" t="s">
        <v>33</v>
      </c>
      <c r="L1093" s="27" t="s">
        <v>187</v>
      </c>
      <c r="M1093" s="20">
        <f t="shared" si="30"/>
        <v>45636.70676</v>
      </c>
      <c r="N1093" s="8" t="str">
        <f t="shared" si="3"/>
        <v>Selesai</v>
      </c>
      <c r="O1093" s="23">
        <f t="shared" si="22"/>
        <v>45636.70676</v>
      </c>
      <c r="P1093" s="24" t="b">
        <v>1</v>
      </c>
      <c r="Q1093" s="20">
        <f t="shared" si="31"/>
        <v>45636.70676</v>
      </c>
      <c r="R1093" s="24" t="b">
        <v>0</v>
      </c>
      <c r="S1093" s="7" t="str">
        <f t="shared" si="6"/>
        <v/>
      </c>
      <c r="T1093" s="7"/>
    </row>
    <row r="1094" ht="22.5" hidden="1" customHeight="1">
      <c r="B1094" s="7">
        <f t="shared" si="7"/>
        <v>1088</v>
      </c>
      <c r="C1094" s="18" t="s">
        <v>1061</v>
      </c>
      <c r="D1094" s="19" t="str">
        <f t="array" ref="D1094">IFNA(_xlfn.XLOOKUP(C1094,Table_Tarikan_Warkah[Nomor Sertipikat],Table_Tarikan_Warkah[Nomor Tiket]),"")</f>
        <v>K/24/191124/1</v>
      </c>
      <c r="E1094" s="20">
        <f t="array" ref="E1094">IFNA(_xlfn.XLOOKUP(D1094,Table_Tarikan_Warkah[Nomor Tiket],Table_Tarikan_Warkah[Tanggal diserahkan kepada Validator]),"")</f>
        <v>45616.63361</v>
      </c>
      <c r="F1094" s="20" t="str">
        <f t="array" ref="F1094">IFNA(_xlfn.XLOOKUP(D1094,Table_Tarikan_Warkah[Nomor Tiket],Table_Tarikan_Warkah[Nama Petugas Warkah]),"")</f>
        <v>David</v>
      </c>
      <c r="G1094" s="21" t="str">
        <f t="array" ref="G1094">IFNA(_xlfn.XLOOKUP(D1094,Table_Tarikan_Warkah[Nomor Tiket],Table_Tarikan_Warkah[Jenis Permohonan]),"")</f>
        <v>BN WARIS</v>
      </c>
      <c r="H1094" s="22" t="s">
        <v>37</v>
      </c>
      <c r="I1094" s="22" t="s">
        <v>187</v>
      </c>
      <c r="J1094" s="20">
        <f t="shared" si="29"/>
        <v>45635.46828</v>
      </c>
      <c r="K1094" s="27" t="s">
        <v>33</v>
      </c>
      <c r="L1094" s="27" t="s">
        <v>187</v>
      </c>
      <c r="M1094" s="20">
        <f t="shared" si="30"/>
        <v>45636.70676</v>
      </c>
      <c r="N1094" s="8" t="str">
        <f t="shared" si="3"/>
        <v>Selesai</v>
      </c>
      <c r="O1094" s="23">
        <f t="shared" si="22"/>
        <v>45636.70676</v>
      </c>
      <c r="P1094" s="24" t="b">
        <v>1</v>
      </c>
      <c r="Q1094" s="20">
        <f t="shared" si="31"/>
        <v>45636.70676</v>
      </c>
      <c r="R1094" s="24" t="b">
        <v>0</v>
      </c>
      <c r="S1094" s="7" t="str">
        <f t="shared" si="6"/>
        <v/>
      </c>
      <c r="T1094" s="7"/>
    </row>
    <row r="1095" ht="22.5" hidden="1" customHeight="1">
      <c r="B1095" s="7">
        <f t="shared" si="7"/>
        <v>1089</v>
      </c>
      <c r="C1095" s="18" t="s">
        <v>1062</v>
      </c>
      <c r="D1095" s="19" t="str">
        <f t="array" ref="D1095">IFNA(_xlfn.XLOOKUP(C1095,Table_Tarikan_Warkah[Nomor Sertipikat],Table_Tarikan_Warkah[Nomor Tiket]),"")</f>
        <v>K/1/051224/1</v>
      </c>
      <c r="E1095" s="20" t="str">
        <f t="array" ref="E1095">IFNA(_xlfn.XLOOKUP(D1095,Table_Tarikan_Warkah[Nomor Tiket],Table_Tarikan_Warkah[Tanggal diserahkan kepada Validator]),"")</f>
        <v/>
      </c>
      <c r="F1095" s="20" t="str">
        <f t="array" ref="F1095">IFNA(_xlfn.XLOOKUP(D1095,Table_Tarikan_Warkah[Nomor Tiket],Table_Tarikan_Warkah[Nama Petugas Warkah]),"")</f>
        <v>Berry</v>
      </c>
      <c r="G1095" s="21" t="str">
        <f t="array" ref="G1095">IFNA(_xlfn.XLOOKUP(D1095,Table_Tarikan_Warkah[Nomor Tiket],Table_Tarikan_Warkah[Jenis Permohonan]),"")</f>
        <v>BN WARIS</v>
      </c>
      <c r="H1095" s="22" t="s">
        <v>37</v>
      </c>
      <c r="I1095" s="22" t="s">
        <v>32</v>
      </c>
      <c r="J1095" s="20">
        <f t="shared" si="29"/>
        <v>45635.47767</v>
      </c>
      <c r="K1095" s="27" t="s">
        <v>65</v>
      </c>
      <c r="L1095" s="27" t="s">
        <v>32</v>
      </c>
      <c r="M1095" s="20">
        <f t="shared" si="30"/>
        <v>45636.70676</v>
      </c>
      <c r="N1095" s="8" t="str">
        <f t="shared" si="3"/>
        <v>SELESAI</v>
      </c>
      <c r="O1095" s="23">
        <f t="shared" si="22"/>
        <v>45636.70676</v>
      </c>
      <c r="P1095" s="24" t="b">
        <v>0</v>
      </c>
      <c r="Q1095" s="20" t="str">
        <f t="shared" si="31"/>
        <v/>
      </c>
      <c r="R1095" s="24" t="b">
        <v>1</v>
      </c>
      <c r="S1095" s="20">
        <f t="shared" si="6"/>
        <v>45637.41265</v>
      </c>
      <c r="T1095" s="7"/>
    </row>
    <row r="1096" ht="22.5" hidden="1" customHeight="1">
      <c r="B1096" s="7">
        <f t="shared" si="7"/>
        <v>1090</v>
      </c>
      <c r="C1096" s="18" t="s">
        <v>1063</v>
      </c>
      <c r="D1096" s="19" t="str">
        <f t="array" ref="D1096">IFNA(_xlfn.XLOOKUP(C1096,Table_Tarikan_Warkah[Nomor Sertipikat],Table_Tarikan_Warkah[Nomor Tiket]),"")</f>
        <v>K/12/051224/1</v>
      </c>
      <c r="E1096" s="20" t="str">
        <f t="array" ref="E1096">IFNA(_xlfn.XLOOKUP(D1096,Table_Tarikan_Warkah[Nomor Tiket],Table_Tarikan_Warkah[Tanggal diserahkan kepada Validator]),"")</f>
        <v/>
      </c>
      <c r="F1096" s="20" t="str">
        <f t="array" ref="F1096">IFNA(_xlfn.XLOOKUP(D1096,Table_Tarikan_Warkah[Nomor Tiket],Table_Tarikan_Warkah[Nama Petugas Warkah]),"")</f>
        <v/>
      </c>
      <c r="G1096" s="21" t="str">
        <f t="array" ref="G1096">IFNA(_xlfn.XLOOKUP(D1096,Table_Tarikan_Warkah[Nomor Tiket],Table_Tarikan_Warkah[Jenis Permohonan]),"")</f>
        <v>BN Jual Beli</v>
      </c>
      <c r="H1096" s="22" t="s">
        <v>37</v>
      </c>
      <c r="I1096" s="22" t="s">
        <v>32</v>
      </c>
      <c r="J1096" s="20">
        <f t="shared" si="29"/>
        <v>45635.47796</v>
      </c>
      <c r="K1096" s="27" t="s">
        <v>65</v>
      </c>
      <c r="L1096" s="27" t="s">
        <v>32</v>
      </c>
      <c r="M1096" s="20">
        <f t="shared" si="30"/>
        <v>45636.70676</v>
      </c>
      <c r="N1096" s="8" t="str">
        <f t="shared" si="3"/>
        <v>SELESAI</v>
      </c>
      <c r="O1096" s="23">
        <f t="shared" si="22"/>
        <v>45636.70676</v>
      </c>
      <c r="P1096" s="24" t="b">
        <v>0</v>
      </c>
      <c r="Q1096" s="20" t="str">
        <f t="shared" si="31"/>
        <v/>
      </c>
      <c r="R1096" s="24" t="b">
        <v>1</v>
      </c>
      <c r="S1096" s="20">
        <f t="shared" si="6"/>
        <v>45637.42528</v>
      </c>
      <c r="T1096" s="7"/>
    </row>
    <row r="1097" ht="22.5" hidden="1" customHeight="1">
      <c r="B1097" s="7">
        <f t="shared" si="7"/>
        <v>1091</v>
      </c>
      <c r="C1097" s="18" t="s">
        <v>1064</v>
      </c>
      <c r="D1097" s="19" t="str">
        <f t="array" ref="D1097">IFNA(_xlfn.XLOOKUP(C1097,Table_Tarikan_Warkah[Nomor Sertipikat],Table_Tarikan_Warkah[Nomor Tiket]),"")</f>
        <v>L/16/051224/1</v>
      </c>
      <c r="E1097" s="20" t="str">
        <f t="array" ref="E1097">IFNA(_xlfn.XLOOKUP(D1097,Table_Tarikan_Warkah[Nomor Tiket],Table_Tarikan_Warkah[Tanggal diserahkan kepada Validator]),"")</f>
        <v/>
      </c>
      <c r="F1097" s="20" t="str">
        <f t="array" ref="F1097">IFNA(_xlfn.XLOOKUP(D1097,Table_Tarikan_Warkah[Nomor Tiket],Table_Tarikan_Warkah[Nama Petugas Warkah]),"")</f>
        <v/>
      </c>
      <c r="G1097" s="21" t="str">
        <f t="array" ref="G1097">IFNA(_xlfn.XLOOKUP(D1097,Table_Tarikan_Warkah[Nomor Tiket],Table_Tarikan_Warkah[Jenis Permohonan]),"")</f>
        <v>ROYA</v>
      </c>
      <c r="H1097" s="22" t="s">
        <v>31</v>
      </c>
      <c r="I1097" s="22" t="s">
        <v>32</v>
      </c>
      <c r="J1097" s="20">
        <f t="shared" si="29"/>
        <v>45635.70106</v>
      </c>
      <c r="K1097" s="27" t="s">
        <v>65</v>
      </c>
      <c r="L1097" s="27" t="s">
        <v>32</v>
      </c>
      <c r="M1097" s="20">
        <f t="shared" si="30"/>
        <v>45636.70676</v>
      </c>
      <c r="N1097" s="8" t="str">
        <f t="shared" si="3"/>
        <v>SELESAI</v>
      </c>
      <c r="O1097" s="23">
        <f t="shared" si="22"/>
        <v>45636.70676</v>
      </c>
      <c r="P1097" s="24" t="b">
        <v>0</v>
      </c>
      <c r="Q1097" s="20" t="str">
        <f t="shared" si="31"/>
        <v/>
      </c>
      <c r="R1097" s="24" t="b">
        <v>0</v>
      </c>
      <c r="S1097" s="7" t="str">
        <f t="shared" si="6"/>
        <v/>
      </c>
      <c r="T1097" s="7"/>
    </row>
    <row r="1098" ht="22.5" hidden="1" customHeight="1">
      <c r="B1098" s="7">
        <f t="shared" si="7"/>
        <v>1092</v>
      </c>
      <c r="C1098" s="18" t="s">
        <v>1065</v>
      </c>
      <c r="D1098" s="19" t="str">
        <f t="array" ref="D1098">IFNA(_xlfn.XLOOKUP(C1098,Table_Tarikan_Warkah[Nomor Sertipikat],Table_Tarikan_Warkah[Nomor Tiket]),"")</f>
        <v>L/18/051224/1</v>
      </c>
      <c r="E1098" s="20" t="str">
        <f t="array" ref="E1098">IFNA(_xlfn.XLOOKUP(D1098,Table_Tarikan_Warkah[Nomor Tiket],Table_Tarikan_Warkah[Tanggal diserahkan kepada Validator]),"")</f>
        <v/>
      </c>
      <c r="F1098" s="20" t="str">
        <f t="array" ref="F1098">IFNA(_xlfn.XLOOKUP(D1098,Table_Tarikan_Warkah[Nomor Tiket],Table_Tarikan_Warkah[Nama Petugas Warkah]),"")</f>
        <v/>
      </c>
      <c r="G1098" s="21" t="str">
        <f t="array" ref="G1098">IFNA(_xlfn.XLOOKUP(D1098,Table_Tarikan_Warkah[Nomor Tiket],Table_Tarikan_Warkah[Jenis Permohonan]),"")</f>
        <v>ROYA</v>
      </c>
      <c r="H1098" s="22" t="s">
        <v>31</v>
      </c>
      <c r="I1098" s="22" t="s">
        <v>32</v>
      </c>
      <c r="J1098" s="20">
        <f t="shared" si="29"/>
        <v>45635.70106</v>
      </c>
      <c r="K1098" s="27" t="s">
        <v>65</v>
      </c>
      <c r="L1098" s="27" t="s">
        <v>32</v>
      </c>
      <c r="M1098" s="20">
        <f t="shared" si="30"/>
        <v>45636.70676</v>
      </c>
      <c r="N1098" s="8" t="str">
        <f t="shared" si="3"/>
        <v>SELESAI</v>
      </c>
      <c r="O1098" s="23">
        <f t="shared" si="22"/>
        <v>45636.70676</v>
      </c>
      <c r="P1098" s="24" t="b">
        <v>0</v>
      </c>
      <c r="Q1098" s="20" t="str">
        <f t="shared" si="31"/>
        <v/>
      </c>
      <c r="R1098" s="24" t="b">
        <v>1</v>
      </c>
      <c r="S1098" s="20">
        <f t="shared" si="6"/>
        <v>45637.4273</v>
      </c>
      <c r="T1098" s="7"/>
    </row>
    <row r="1099" ht="22.5" hidden="1" customHeight="1">
      <c r="B1099" s="7">
        <f t="shared" si="7"/>
        <v>1093</v>
      </c>
      <c r="C1099" s="18" t="s">
        <v>1066</v>
      </c>
      <c r="D1099" s="19" t="str">
        <f t="array" ref="D1099">IFNA(_xlfn.XLOOKUP(C1099,Table_Tarikan_Warkah[Nomor Sertipikat],Table_Tarikan_Warkah[Nomor Tiket]),"")</f>
        <v>K/20/051224/2</v>
      </c>
      <c r="E1099" s="20" t="str">
        <f t="array" ref="E1099">IFNA(_xlfn.XLOOKUP(D1099,Table_Tarikan_Warkah[Nomor Tiket],Table_Tarikan_Warkah[Tanggal diserahkan kepada Validator]),"")</f>
        <v/>
      </c>
      <c r="F1099" s="20" t="str">
        <f t="array" ref="F1099">IFNA(_xlfn.XLOOKUP(D1099,Table_Tarikan_Warkah[Nomor Tiket],Table_Tarikan_Warkah[Nama Petugas Warkah]),"")</f>
        <v>Berry</v>
      </c>
      <c r="G1099" s="21" t="str">
        <f t="array" ref="G1099">IFNA(_xlfn.XLOOKUP(D1099,Table_Tarikan_Warkah[Nomor Tiket],Table_Tarikan_Warkah[Jenis Permohonan]),"")</f>
        <v>BN Jual Beli</v>
      </c>
      <c r="H1099" s="22" t="s">
        <v>31</v>
      </c>
      <c r="I1099" s="22" t="s">
        <v>32</v>
      </c>
      <c r="J1099" s="20">
        <f t="shared" si="29"/>
        <v>45635.70106</v>
      </c>
      <c r="K1099" s="27" t="s">
        <v>65</v>
      </c>
      <c r="L1099" s="27" t="s">
        <v>32</v>
      </c>
      <c r="M1099" s="20">
        <f t="shared" si="30"/>
        <v>45636.70676</v>
      </c>
      <c r="N1099" s="8" t="str">
        <f t="shared" si="3"/>
        <v>SELESAI</v>
      </c>
      <c r="O1099" s="23">
        <f t="shared" si="22"/>
        <v>45636.70676</v>
      </c>
      <c r="P1099" s="24" t="b">
        <v>0</v>
      </c>
      <c r="Q1099" s="20" t="str">
        <f t="shared" si="31"/>
        <v/>
      </c>
      <c r="R1099" s="24" t="b">
        <v>1</v>
      </c>
      <c r="S1099" s="20">
        <f t="shared" si="6"/>
        <v>45637.42732</v>
      </c>
      <c r="T1099" s="7"/>
    </row>
    <row r="1100" ht="22.5" hidden="1" customHeight="1">
      <c r="B1100" s="7">
        <f t="shared" si="7"/>
        <v>1094</v>
      </c>
      <c r="C1100" s="18" t="s">
        <v>1067</v>
      </c>
      <c r="D1100" s="19" t="str">
        <f t="array" ref="D1100">IFNA(_xlfn.XLOOKUP(C1100,Table_Tarikan_Warkah[Nomor Sertipikat],Table_Tarikan_Warkah[Nomor Tiket]),"")</f>
        <v>K/36/051224/1</v>
      </c>
      <c r="E1100" s="20" t="str">
        <f t="array" ref="E1100">IFNA(_xlfn.XLOOKUP(D1100,Table_Tarikan_Warkah[Nomor Tiket],Table_Tarikan_Warkah[Tanggal diserahkan kepada Validator]),"")</f>
        <v/>
      </c>
      <c r="F1100" s="20" t="str">
        <f t="array" ref="F1100">IFNA(_xlfn.XLOOKUP(D1100,Table_Tarikan_Warkah[Nomor Tiket],Table_Tarikan_Warkah[Nama Petugas Warkah]),"")</f>
        <v>Berry</v>
      </c>
      <c r="G1100" s="21" t="str">
        <f t="array" ref="G1100">IFNA(_xlfn.XLOOKUP(D1100,Table_Tarikan_Warkah[Nomor Tiket],Table_Tarikan_Warkah[Jenis Permohonan]),"")</f>
        <v>BN JUAL BELI</v>
      </c>
      <c r="H1100" s="22" t="s">
        <v>31</v>
      </c>
      <c r="I1100" s="22" t="s">
        <v>32</v>
      </c>
      <c r="J1100" s="20">
        <f t="shared" si="29"/>
        <v>45635.70106</v>
      </c>
      <c r="K1100" s="27" t="s">
        <v>65</v>
      </c>
      <c r="L1100" s="27" t="s">
        <v>32</v>
      </c>
      <c r="M1100" s="20">
        <f t="shared" si="30"/>
        <v>45636.70676</v>
      </c>
      <c r="N1100" s="8" t="str">
        <f t="shared" si="3"/>
        <v>SELESAI</v>
      </c>
      <c r="O1100" s="23">
        <f t="shared" si="22"/>
        <v>45636.70676</v>
      </c>
      <c r="P1100" s="24" t="b">
        <v>0</v>
      </c>
      <c r="Q1100" s="20" t="str">
        <f t="shared" si="31"/>
        <v/>
      </c>
      <c r="R1100" s="24" t="b">
        <v>1</v>
      </c>
      <c r="S1100" s="20">
        <f t="shared" si="6"/>
        <v>45637.42575</v>
      </c>
      <c r="T1100" s="7"/>
    </row>
    <row r="1101" ht="22.5" hidden="1" customHeight="1">
      <c r="B1101" s="7">
        <f t="shared" si="7"/>
        <v>1095</v>
      </c>
      <c r="C1101" s="18" t="s">
        <v>1068</v>
      </c>
      <c r="D1101" s="19" t="str">
        <f t="array" ref="D1101">IFNA(_xlfn.XLOOKUP(C1101,Table_Tarikan_Warkah[Nomor Sertipikat],Table_Tarikan_Warkah[Nomor Tiket]),"")</f>
        <v>K/33/051224/1</v>
      </c>
      <c r="E1101" s="20">
        <f t="array" ref="E1101">IFNA(_xlfn.XLOOKUP(D1101,Table_Tarikan_Warkah[Nomor Tiket],Table_Tarikan_Warkah[Tanggal diserahkan kepada Validator]),"")</f>
        <v>45635.41905</v>
      </c>
      <c r="F1101" s="20" t="str">
        <f t="array" ref="F1101">IFNA(_xlfn.XLOOKUP(D1101,Table_Tarikan_Warkah[Nomor Tiket],Table_Tarikan_Warkah[Nama Petugas Warkah]),"")</f>
        <v>Berry</v>
      </c>
      <c r="G1101" s="21" t="str">
        <f t="array" ref="G1101">IFNA(_xlfn.XLOOKUP(D1101,Table_Tarikan_Warkah[Nomor Tiket],Table_Tarikan_Warkah[Jenis Permohonan]),"")</f>
        <v>BN JUAL BELI</v>
      </c>
      <c r="H1101" s="22" t="s">
        <v>31</v>
      </c>
      <c r="I1101" s="22" t="s">
        <v>32</v>
      </c>
      <c r="J1101" s="20">
        <f t="shared" si="29"/>
        <v>45635.70106</v>
      </c>
      <c r="K1101" s="27" t="s">
        <v>65</v>
      </c>
      <c r="L1101" s="27" t="s">
        <v>32</v>
      </c>
      <c r="M1101" s="20">
        <f t="shared" si="30"/>
        <v>45636.70676</v>
      </c>
      <c r="N1101" s="8" t="str">
        <f t="shared" si="3"/>
        <v>SELESAI</v>
      </c>
      <c r="O1101" s="23">
        <f t="shared" si="22"/>
        <v>45636.70676</v>
      </c>
      <c r="P1101" s="24" t="b">
        <v>0</v>
      </c>
      <c r="Q1101" s="20" t="str">
        <f t="shared" si="31"/>
        <v/>
      </c>
      <c r="R1101" s="24" t="b">
        <v>1</v>
      </c>
      <c r="S1101" s="20">
        <f t="shared" si="6"/>
        <v>45637.4259</v>
      </c>
      <c r="T1101" s="7"/>
    </row>
    <row r="1102" ht="22.5" hidden="1" customHeight="1">
      <c r="B1102" s="7">
        <f t="shared" si="7"/>
        <v>1096</v>
      </c>
      <c r="C1102" s="18" t="s">
        <v>1069</v>
      </c>
      <c r="D1102" s="19" t="str">
        <f t="array" ref="D1102">IFNA(_xlfn.XLOOKUP(C1102,Table_Tarikan_Warkah[Nomor Sertipikat],Table_Tarikan_Warkah[Nomor Tiket]),"")</f>
        <v>L/21/051224/1</v>
      </c>
      <c r="E1102" s="20" t="str">
        <f t="array" ref="E1102">IFNA(_xlfn.XLOOKUP(D1102,Table_Tarikan_Warkah[Nomor Tiket],Table_Tarikan_Warkah[Tanggal diserahkan kepada Validator]),"")</f>
        <v/>
      </c>
      <c r="F1102" s="20" t="str">
        <f t="array" ref="F1102">IFNA(_xlfn.XLOOKUP(D1102,Table_Tarikan_Warkah[Nomor Tiket],Table_Tarikan_Warkah[Nama Petugas Warkah]),"")</f>
        <v>Berry</v>
      </c>
      <c r="G1102" s="21" t="str">
        <f t="array" ref="G1102">IFNA(_xlfn.XLOOKUP(D1102,Table_Tarikan_Warkah[Nomor Tiket],Table_Tarikan_Warkah[Jenis Permohonan]),"")</f>
        <v>ROYA</v>
      </c>
      <c r="H1102" s="22" t="s">
        <v>31</v>
      </c>
      <c r="I1102" s="22" t="s">
        <v>32</v>
      </c>
      <c r="J1102" s="20">
        <f t="shared" si="29"/>
        <v>45635.70106</v>
      </c>
      <c r="K1102" s="27" t="s">
        <v>65</v>
      </c>
      <c r="L1102" s="27" t="s">
        <v>32</v>
      </c>
      <c r="M1102" s="20">
        <f t="shared" si="30"/>
        <v>45636.70676</v>
      </c>
      <c r="N1102" s="8" t="str">
        <f t="shared" si="3"/>
        <v>SELESAI</v>
      </c>
      <c r="O1102" s="23">
        <f t="shared" si="22"/>
        <v>45636.70676</v>
      </c>
      <c r="P1102" s="24" t="b">
        <v>0</v>
      </c>
      <c r="Q1102" s="20" t="str">
        <f t="shared" si="31"/>
        <v/>
      </c>
      <c r="R1102" s="24" t="b">
        <v>1</v>
      </c>
      <c r="S1102" s="20">
        <f t="shared" si="6"/>
        <v>45637.42745</v>
      </c>
      <c r="T1102" s="7"/>
    </row>
    <row r="1103" ht="22.5" hidden="1" customHeight="1">
      <c r="B1103" s="7">
        <f t="shared" si="7"/>
        <v>1097</v>
      </c>
      <c r="C1103" s="18" t="s">
        <v>1070</v>
      </c>
      <c r="D1103" s="19" t="str">
        <f t="array" ref="D1103">IFNA(_xlfn.XLOOKUP(C1103,Table_Tarikan_Warkah[Nomor Sertipikat],Table_Tarikan_Warkah[Nomor Tiket]),"")</f>
        <v>K/17/051224/1</v>
      </c>
      <c r="E1103" s="20">
        <f t="array" ref="E1103">IFNA(_xlfn.XLOOKUP(D1103,Table_Tarikan_Warkah[Nomor Tiket],Table_Tarikan_Warkah[Tanggal diserahkan kepada Validator]),"")</f>
        <v>45635.41823</v>
      </c>
      <c r="F1103" s="20" t="str">
        <f t="array" ref="F1103">IFNA(_xlfn.XLOOKUP(D1103,Table_Tarikan_Warkah[Nomor Tiket],Table_Tarikan_Warkah[Nama Petugas Warkah]),"")</f>
        <v>Berry</v>
      </c>
      <c r="G1103" s="21" t="str">
        <f t="array" ref="G1103">IFNA(_xlfn.XLOOKUP(D1103,Table_Tarikan_Warkah[Nomor Tiket],Table_Tarikan_Warkah[Jenis Permohonan]),"")</f>
        <v>BN Jual Beli</v>
      </c>
      <c r="H1103" s="22" t="s">
        <v>31</v>
      </c>
      <c r="I1103" s="22" t="s">
        <v>32</v>
      </c>
      <c r="J1103" s="20">
        <f t="shared" si="29"/>
        <v>45635.70106</v>
      </c>
      <c r="K1103" s="27" t="s">
        <v>65</v>
      </c>
      <c r="L1103" s="27" t="s">
        <v>32</v>
      </c>
      <c r="M1103" s="20">
        <f t="shared" si="30"/>
        <v>45636.70676</v>
      </c>
      <c r="N1103" s="8" t="str">
        <f t="shared" si="3"/>
        <v>SELESAI</v>
      </c>
      <c r="O1103" s="23">
        <f t="shared" si="22"/>
        <v>45636.70676</v>
      </c>
      <c r="P1103" s="24" t="b">
        <v>0</v>
      </c>
      <c r="Q1103" s="20" t="str">
        <f t="shared" si="31"/>
        <v/>
      </c>
      <c r="R1103" s="24" t="b">
        <v>1</v>
      </c>
      <c r="S1103" s="20">
        <f t="shared" si="6"/>
        <v>45637.42756</v>
      </c>
      <c r="T1103" s="7"/>
    </row>
    <row r="1104" ht="22.5" hidden="1" customHeight="1">
      <c r="B1104" s="7">
        <f t="shared" si="7"/>
        <v>1098</v>
      </c>
      <c r="C1104" s="18" t="s">
        <v>1071</v>
      </c>
      <c r="D1104" s="19" t="str">
        <f t="array" ref="D1104">IFNA(_xlfn.XLOOKUP(C1104,Table_Tarikan_Warkah[Nomor Sertipikat],Table_Tarikan_Warkah[Nomor Tiket]),"")</f>
        <v>K/29/041224/1</v>
      </c>
      <c r="E1104" s="20" t="str">
        <f t="array" ref="E1104">IFNA(_xlfn.XLOOKUP(D1104,Table_Tarikan_Warkah[Nomor Tiket],Table_Tarikan_Warkah[Tanggal diserahkan kepada Validator]),"")</f>
        <v/>
      </c>
      <c r="F1104" s="20" t="str">
        <f t="array" ref="F1104">IFNA(_xlfn.XLOOKUP(D1104,Table_Tarikan_Warkah[Nomor Tiket],Table_Tarikan_Warkah[Nama Petugas Warkah]),"")</f>
        <v/>
      </c>
      <c r="G1104" s="21" t="str">
        <f t="array" ref="G1104">IFNA(_xlfn.XLOOKUP(D1104,Table_Tarikan_Warkah[Nomor Tiket],Table_Tarikan_Warkah[Jenis Permohonan]),"")</f>
        <v>BN Jual Beli</v>
      </c>
      <c r="H1104" s="22" t="s">
        <v>31</v>
      </c>
      <c r="I1104" s="22" t="s">
        <v>32</v>
      </c>
      <c r="J1104" s="20">
        <f t="shared" si="29"/>
        <v>45635.70106</v>
      </c>
      <c r="K1104" s="27" t="s">
        <v>65</v>
      </c>
      <c r="L1104" s="27" t="s">
        <v>32</v>
      </c>
      <c r="M1104" s="20">
        <f t="shared" si="30"/>
        <v>45636.70676</v>
      </c>
      <c r="N1104" s="8" t="str">
        <f t="shared" si="3"/>
        <v>SELESAI</v>
      </c>
      <c r="O1104" s="23">
        <f t="shared" si="22"/>
        <v>45636.70676</v>
      </c>
      <c r="P1104" s="24" t="b">
        <v>0</v>
      </c>
      <c r="Q1104" s="20" t="str">
        <f t="shared" si="31"/>
        <v/>
      </c>
      <c r="R1104" s="24" t="b">
        <v>1</v>
      </c>
      <c r="S1104" s="20">
        <f t="shared" si="6"/>
        <v>45637.42764</v>
      </c>
      <c r="T1104" s="7"/>
    </row>
    <row r="1105" ht="22.5" hidden="1" customHeight="1">
      <c r="B1105" s="7">
        <f t="shared" si="7"/>
        <v>1099</v>
      </c>
      <c r="C1105" s="18" t="s">
        <v>1072</v>
      </c>
      <c r="D1105" s="19" t="str">
        <f t="array" ref="D1105">IFNA(_xlfn.XLOOKUP(C1105,Table_Tarikan_Warkah[Nomor Sertipikat],Table_Tarikan_Warkah[Nomor Tiket]),"")</f>
        <v>K/30/041224/2</v>
      </c>
      <c r="E1105" s="20" t="str">
        <f t="array" ref="E1105">IFNA(_xlfn.XLOOKUP(D1105,Table_Tarikan_Warkah[Nomor Tiket],Table_Tarikan_Warkah[Tanggal diserahkan kepada Validator]),"")</f>
        <v/>
      </c>
      <c r="F1105" s="20" t="str">
        <f t="array" ref="F1105">IFNA(_xlfn.XLOOKUP(D1105,Table_Tarikan_Warkah[Nomor Tiket],Table_Tarikan_Warkah[Nama Petugas Warkah]),"")</f>
        <v>Berry</v>
      </c>
      <c r="G1105" s="21" t="str">
        <f t="array" ref="G1105">IFNA(_xlfn.XLOOKUP(D1105,Table_Tarikan_Warkah[Nomor Tiket],Table_Tarikan_Warkah[Jenis Permohonan]),"")</f>
        <v>BN Jual Beli</v>
      </c>
      <c r="H1105" s="22" t="s">
        <v>31</v>
      </c>
      <c r="I1105" s="22" t="s">
        <v>32</v>
      </c>
      <c r="J1105" s="20">
        <f t="shared" si="29"/>
        <v>45635.70106</v>
      </c>
      <c r="K1105" s="27" t="s">
        <v>65</v>
      </c>
      <c r="L1105" s="27" t="s">
        <v>32</v>
      </c>
      <c r="M1105" s="20">
        <f t="shared" si="30"/>
        <v>45636.70676</v>
      </c>
      <c r="N1105" s="8" t="str">
        <f t="shared" si="3"/>
        <v>SELESAI</v>
      </c>
      <c r="O1105" s="23">
        <f t="shared" si="22"/>
        <v>45636.70676</v>
      </c>
      <c r="P1105" s="24" t="b">
        <v>0</v>
      </c>
      <c r="Q1105" s="20" t="str">
        <f t="shared" si="31"/>
        <v/>
      </c>
      <c r="R1105" s="24" t="b">
        <v>1</v>
      </c>
      <c r="S1105" s="20">
        <f t="shared" si="6"/>
        <v>45637.42773</v>
      </c>
      <c r="T1105" s="7"/>
    </row>
    <row r="1106" ht="22.5" hidden="1" customHeight="1">
      <c r="B1106" s="7">
        <f t="shared" si="7"/>
        <v>1100</v>
      </c>
      <c r="C1106" s="18" t="s">
        <v>1073</v>
      </c>
      <c r="D1106" s="19" t="str">
        <f t="array" ref="D1106">IFNA(_xlfn.XLOOKUP(C1106,Table_Tarikan_Warkah[Nomor Sertipikat],Table_Tarikan_Warkah[Nomor Tiket]),"")</f>
        <v>K/46/041224/1</v>
      </c>
      <c r="E1106" s="20" t="str">
        <f t="array" ref="E1106">IFNA(_xlfn.XLOOKUP(D1106,Table_Tarikan_Warkah[Nomor Tiket],Table_Tarikan_Warkah[Tanggal diserahkan kepada Validator]),"")</f>
        <v/>
      </c>
      <c r="F1106" s="20" t="str">
        <f t="array" ref="F1106">IFNA(_xlfn.XLOOKUP(D1106,Table_Tarikan_Warkah[Nomor Tiket],Table_Tarikan_Warkah[Nama Petugas Warkah]),"")</f>
        <v/>
      </c>
      <c r="G1106" s="21" t="str">
        <f t="array" ref="G1106">IFNA(_xlfn.XLOOKUP(D1106,Table_Tarikan_Warkah[Nomor Tiket],Table_Tarikan_Warkah[Jenis Permohonan]),"")</f>
        <v>BN JUAL BELI</v>
      </c>
      <c r="H1106" s="22" t="s">
        <v>31</v>
      </c>
      <c r="I1106" s="22" t="s">
        <v>32</v>
      </c>
      <c r="J1106" s="20">
        <f t="shared" si="29"/>
        <v>45635.70106</v>
      </c>
      <c r="K1106" s="27" t="s">
        <v>65</v>
      </c>
      <c r="L1106" s="27" t="s">
        <v>32</v>
      </c>
      <c r="M1106" s="20">
        <f t="shared" si="30"/>
        <v>45636.70676</v>
      </c>
      <c r="N1106" s="8" t="str">
        <f t="shared" si="3"/>
        <v>SELESAI</v>
      </c>
      <c r="O1106" s="23">
        <f t="shared" si="22"/>
        <v>45636.70676</v>
      </c>
      <c r="P1106" s="24" t="b">
        <v>0</v>
      </c>
      <c r="Q1106" s="20" t="str">
        <f t="shared" si="31"/>
        <v/>
      </c>
      <c r="R1106" s="24" t="b">
        <v>1</v>
      </c>
      <c r="S1106" s="20">
        <f t="shared" si="6"/>
        <v>45637.42623</v>
      </c>
      <c r="T1106" s="7"/>
    </row>
    <row r="1107" ht="22.5" hidden="1" customHeight="1">
      <c r="B1107" s="7">
        <f t="shared" si="7"/>
        <v>1101</v>
      </c>
      <c r="C1107" s="18" t="s">
        <v>1059</v>
      </c>
      <c r="D1107" s="19" t="str">
        <f t="array" ref="D1107">IFNA(_xlfn.XLOOKUP(C1107,Table_Tarikan_Warkah[Nomor Sertipikat],Table_Tarikan_Warkah[Nomor Tiket]),"")</f>
        <v>K/47/041224/2</v>
      </c>
      <c r="E1107" s="20" t="str">
        <f t="array" ref="E1107">IFNA(_xlfn.XLOOKUP(D1107,Table_Tarikan_Warkah[Nomor Tiket],Table_Tarikan_Warkah[Tanggal diserahkan kepada Validator]),"")</f>
        <v/>
      </c>
      <c r="F1107" s="20" t="str">
        <f t="array" ref="F1107">IFNA(_xlfn.XLOOKUP(D1107,Table_Tarikan_Warkah[Nomor Tiket],Table_Tarikan_Warkah[Nama Petugas Warkah]),"")</f>
        <v/>
      </c>
      <c r="G1107" s="21" t="str">
        <f t="array" ref="G1107">IFNA(_xlfn.XLOOKUP(D1107,Table_Tarikan_Warkah[Nomor Tiket],Table_Tarikan_Warkah[Jenis Permohonan]),"")</f>
        <v>BN JUAL BELI</v>
      </c>
      <c r="H1107" s="22" t="s">
        <v>31</v>
      </c>
      <c r="I1107" s="22" t="s">
        <v>32</v>
      </c>
      <c r="J1107" s="20">
        <f t="shared" si="29"/>
        <v>45635.70106</v>
      </c>
      <c r="K1107" s="27" t="s">
        <v>65</v>
      </c>
      <c r="L1107" s="27" t="s">
        <v>32</v>
      </c>
      <c r="M1107" s="20">
        <f t="shared" si="30"/>
        <v>45636.70676</v>
      </c>
      <c r="N1107" s="8" t="str">
        <f t="shared" si="3"/>
        <v>SELESAI</v>
      </c>
      <c r="O1107" s="23">
        <f t="shared" si="22"/>
        <v>45636.70676</v>
      </c>
      <c r="P1107" s="24" t="b">
        <v>0</v>
      </c>
      <c r="Q1107" s="20" t="str">
        <f t="shared" si="31"/>
        <v/>
      </c>
      <c r="R1107" s="24" t="b">
        <v>1</v>
      </c>
      <c r="S1107" s="20">
        <f t="shared" si="6"/>
        <v>45637.43449</v>
      </c>
      <c r="T1107" s="7"/>
    </row>
    <row r="1108" ht="22.5" hidden="1" customHeight="1">
      <c r="B1108" s="7">
        <f t="shared" si="7"/>
        <v>1102</v>
      </c>
      <c r="C1108" s="18" t="s">
        <v>1074</v>
      </c>
      <c r="D1108" s="19" t="str">
        <f t="array" ref="D1108">IFNA(_xlfn.XLOOKUP(C1108,Table_Tarikan_Warkah[Nomor Sertipikat],Table_Tarikan_Warkah[Nomor Tiket]),"")</f>
        <v>K/15/021224/1</v>
      </c>
      <c r="E1108" s="20" t="str">
        <f t="array" ref="E1108">IFNA(_xlfn.XLOOKUP(D1108,Table_Tarikan_Warkah[Nomor Tiket],Table_Tarikan_Warkah[Tanggal diserahkan kepada Validator]),"")</f>
        <v/>
      </c>
      <c r="F1108" s="20" t="str">
        <f t="array" ref="F1108">IFNA(_xlfn.XLOOKUP(D1108,Table_Tarikan_Warkah[Nomor Tiket],Table_Tarikan_Warkah[Nama Petugas Warkah]),"")</f>
        <v/>
      </c>
      <c r="G1108" s="21" t="str">
        <f t="array" ref="G1108">IFNA(_xlfn.XLOOKUP(D1108,Table_Tarikan_Warkah[Nomor Tiket],Table_Tarikan_Warkah[Jenis Permohonan]),"")</f>
        <v>Roya</v>
      </c>
      <c r="H1108" s="22" t="s">
        <v>31</v>
      </c>
      <c r="I1108" s="22" t="s">
        <v>187</v>
      </c>
      <c r="J1108" s="20">
        <f t="shared" si="29"/>
        <v>45635.70106</v>
      </c>
      <c r="K1108" s="27" t="s">
        <v>33</v>
      </c>
      <c r="L1108" s="27" t="s">
        <v>187</v>
      </c>
      <c r="M1108" s="20">
        <f t="shared" si="30"/>
        <v>45636.70676</v>
      </c>
      <c r="N1108" s="8" t="str">
        <f t="shared" si="3"/>
        <v>Selesai</v>
      </c>
      <c r="O1108" s="23">
        <f t="shared" si="22"/>
        <v>45636.70676</v>
      </c>
      <c r="P1108" s="24" t="b">
        <v>1</v>
      </c>
      <c r="Q1108" s="20">
        <f t="shared" si="31"/>
        <v>45636.70676</v>
      </c>
      <c r="R1108" s="24" t="b">
        <v>0</v>
      </c>
      <c r="S1108" s="7" t="str">
        <f t="shared" si="6"/>
        <v/>
      </c>
      <c r="T1108" s="7"/>
    </row>
    <row r="1109" ht="22.5" hidden="1" customHeight="1">
      <c r="B1109" s="7">
        <f t="shared" si="7"/>
        <v>1103</v>
      </c>
      <c r="C1109" s="18" t="s">
        <v>1075</v>
      </c>
      <c r="D1109" s="19" t="str">
        <f t="array" ref="D1109">IFNA(_xlfn.XLOOKUP(C1109,Table_Tarikan_Warkah[Nomor Sertipikat],Table_Tarikan_Warkah[Nomor Tiket]),"")</f>
        <v>K/25/041224/1</v>
      </c>
      <c r="E1109" s="20" t="str">
        <f t="array" ref="E1109">IFNA(_xlfn.XLOOKUP(D1109,Table_Tarikan_Warkah[Nomor Tiket],Table_Tarikan_Warkah[Tanggal diserahkan kepada Validator]),"")</f>
        <v/>
      </c>
      <c r="F1109" s="20" t="str">
        <f t="array" ref="F1109">IFNA(_xlfn.XLOOKUP(D1109,Table_Tarikan_Warkah[Nomor Tiket],Table_Tarikan_Warkah[Nama Petugas Warkah]),"")</f>
        <v>Berry</v>
      </c>
      <c r="G1109" s="21" t="str">
        <f t="array" ref="G1109">IFNA(_xlfn.XLOOKUP(D1109,Table_Tarikan_Warkah[Nomor Tiket],Table_Tarikan_Warkah[Jenis Permohonan]),"")</f>
        <v>BN JUAL BELI</v>
      </c>
      <c r="H1109" s="22" t="s">
        <v>31</v>
      </c>
      <c r="I1109" s="22" t="s">
        <v>187</v>
      </c>
      <c r="J1109" s="20">
        <f t="shared" si="29"/>
        <v>45635.70106</v>
      </c>
      <c r="K1109" s="27" t="s">
        <v>33</v>
      </c>
      <c r="L1109" s="27" t="s">
        <v>187</v>
      </c>
      <c r="M1109" s="20">
        <f t="shared" si="30"/>
        <v>45636.70676</v>
      </c>
      <c r="N1109" s="8" t="str">
        <f t="shared" si="3"/>
        <v>Selesai</v>
      </c>
      <c r="O1109" s="23">
        <f t="shared" si="22"/>
        <v>45636.70676</v>
      </c>
      <c r="P1109" s="24" t="b">
        <v>1</v>
      </c>
      <c r="Q1109" s="20">
        <f t="shared" si="31"/>
        <v>45636.70676</v>
      </c>
      <c r="R1109" s="24" t="b">
        <v>0</v>
      </c>
      <c r="S1109" s="7" t="str">
        <f t="shared" si="6"/>
        <v/>
      </c>
      <c r="T1109" s="7"/>
    </row>
    <row r="1110" ht="22.5" hidden="1" customHeight="1">
      <c r="B1110" s="7">
        <f t="shared" si="7"/>
        <v>1104</v>
      </c>
      <c r="C1110" s="18" t="s">
        <v>792</v>
      </c>
      <c r="D1110" s="19" t="str">
        <f t="array" ref="D1110">IFNA(_xlfn.XLOOKUP(C1110,Table_Tarikan_Warkah[Nomor Sertipikat],Table_Tarikan_Warkah[Nomor Tiket]),"")</f>
        <v>K/55/191124/1</v>
      </c>
      <c r="E1110" s="20" t="str">
        <f t="array" ref="E1110">IFNA(_xlfn.XLOOKUP(D1110,Table_Tarikan_Warkah[Nomor Tiket],Table_Tarikan_Warkah[Tanggal diserahkan kepada Validator]),"")</f>
        <v/>
      </c>
      <c r="F1110" s="20" t="str">
        <f t="array" ref="F1110">IFNA(_xlfn.XLOOKUP(D1110,Table_Tarikan_Warkah[Nomor Tiket],Table_Tarikan_Warkah[Nama Petugas Warkah]),"")</f>
        <v/>
      </c>
      <c r="G1110" s="21" t="str">
        <f t="array" ref="G1110">IFNA(_xlfn.XLOOKUP(D1110,Table_Tarikan_Warkah[Nomor Tiket],Table_Tarikan_Warkah[Jenis Permohonan]),"")</f>
        <v>BN JUAL BELI</v>
      </c>
      <c r="H1110" s="22" t="s">
        <v>31</v>
      </c>
      <c r="I1110" s="22" t="s">
        <v>187</v>
      </c>
      <c r="J1110" s="20">
        <f t="shared" si="29"/>
        <v>45635.70106</v>
      </c>
      <c r="K1110" s="27" t="s">
        <v>33</v>
      </c>
      <c r="L1110" s="27" t="s">
        <v>187</v>
      </c>
      <c r="M1110" s="20">
        <f t="shared" si="30"/>
        <v>45636.70676</v>
      </c>
      <c r="N1110" s="8" t="str">
        <f t="shared" si="3"/>
        <v>Selesai</v>
      </c>
      <c r="O1110" s="23">
        <f t="shared" si="22"/>
        <v>45636.70676</v>
      </c>
      <c r="P1110" s="24" t="b">
        <v>1</v>
      </c>
      <c r="Q1110" s="20">
        <f t="shared" si="31"/>
        <v>45636.70676</v>
      </c>
      <c r="R1110" s="24" t="b">
        <v>0</v>
      </c>
      <c r="S1110" s="7" t="str">
        <f t="shared" si="6"/>
        <v/>
      </c>
      <c r="T1110" s="7"/>
    </row>
    <row r="1111" ht="22.5" hidden="1" customHeight="1">
      <c r="B1111" s="7">
        <f t="shared" si="7"/>
        <v>1105</v>
      </c>
      <c r="C1111" s="18" t="s">
        <v>1076</v>
      </c>
      <c r="D1111" s="19" t="str">
        <f t="array" ref="D1111">IFNA(_xlfn.XLOOKUP(C1111,Table_Tarikan_Warkah[Nomor Sertipikat],Table_Tarikan_Warkah[Nomor Tiket]),"")</f>
        <v>K/3/071124/1</v>
      </c>
      <c r="E1111" s="20">
        <f t="array" ref="E1111">IFNA(_xlfn.XLOOKUP(D1111,Table_Tarikan_Warkah[Nomor Tiket],Table_Tarikan_Warkah[Tanggal diserahkan kepada Validator]),"")</f>
        <v>45635.58956</v>
      </c>
      <c r="F1111" s="20" t="str">
        <f t="array" ref="F1111">IFNA(_xlfn.XLOOKUP(D1111,Table_Tarikan_Warkah[Nomor Tiket],Table_Tarikan_Warkah[Nama Petugas Warkah]),"")</f>
        <v>David</v>
      </c>
      <c r="G1111" s="21" t="str">
        <f t="array" ref="G1111">IFNA(_xlfn.XLOOKUP(D1111,Table_Tarikan_Warkah[Nomor Tiket],Table_Tarikan_Warkah[Jenis Permohonan]),"")</f>
        <v>BN AKTA JUAL BELI</v>
      </c>
      <c r="H1111" s="22" t="s">
        <v>31</v>
      </c>
      <c r="I1111" s="22" t="s">
        <v>187</v>
      </c>
      <c r="J1111" s="20">
        <f t="shared" si="29"/>
        <v>45635.70106</v>
      </c>
      <c r="K1111" s="22" t="s">
        <v>33</v>
      </c>
      <c r="L1111" s="22" t="s">
        <v>187</v>
      </c>
      <c r="M1111" s="20">
        <f t="shared" si="30"/>
        <v>45635.70106</v>
      </c>
      <c r="N1111" s="8" t="str">
        <f t="shared" si="3"/>
        <v>Selesai</v>
      </c>
      <c r="O1111" s="23">
        <f t="shared" si="22"/>
        <v>45635.70106</v>
      </c>
      <c r="P1111" s="24" t="b">
        <v>1</v>
      </c>
      <c r="Q1111" s="20">
        <f t="shared" si="31"/>
        <v>45635.70106</v>
      </c>
      <c r="R1111" s="24" t="b">
        <v>0</v>
      </c>
      <c r="S1111" s="7" t="str">
        <f t="shared" si="6"/>
        <v/>
      </c>
      <c r="T1111" s="7"/>
    </row>
    <row r="1112" ht="22.5" hidden="1" customHeight="1">
      <c r="B1112" s="7">
        <f t="shared" si="7"/>
        <v>1106</v>
      </c>
      <c r="C1112" s="18" t="s">
        <v>1077</v>
      </c>
      <c r="D1112" s="19" t="str">
        <f t="array" ref="D1112">IFNA(_xlfn.XLOOKUP(C1112,Table_Tarikan_Warkah[Nomor Sertipikat],Table_Tarikan_Warkah[Nomor Tiket]),"")</f>
        <v>K/13/281124/1</v>
      </c>
      <c r="E1112" s="20">
        <f t="array" ref="E1112">IFNA(_xlfn.XLOOKUP(D1112,Table_Tarikan_Warkah[Nomor Tiket],Table_Tarikan_Warkah[Tanggal diserahkan kepada Validator]),"")</f>
        <v>45628.3984</v>
      </c>
      <c r="F1112" s="20" t="str">
        <f t="array" ref="F1112">IFNA(_xlfn.XLOOKUP(D1112,Table_Tarikan_Warkah[Nomor Tiket],Table_Tarikan_Warkah[Nama Petugas Warkah]),"")</f>
        <v>Berry</v>
      </c>
      <c r="G1112" s="21" t="str">
        <f t="array" ref="G1112">IFNA(_xlfn.XLOOKUP(D1112,Table_Tarikan_Warkah[Nomor Tiket],Table_Tarikan_Warkah[Jenis Permohonan]),"")</f>
        <v>BN WARIS</v>
      </c>
      <c r="H1112" s="22" t="s">
        <v>31</v>
      </c>
      <c r="I1112" s="22" t="s">
        <v>187</v>
      </c>
      <c r="J1112" s="20">
        <f t="shared" si="29"/>
        <v>45635.70106</v>
      </c>
      <c r="K1112" s="27" t="s">
        <v>33</v>
      </c>
      <c r="L1112" s="27" t="s">
        <v>187</v>
      </c>
      <c r="M1112" s="20">
        <f t="shared" si="30"/>
        <v>45636.70676</v>
      </c>
      <c r="N1112" s="8" t="str">
        <f t="shared" si="3"/>
        <v>Selesai</v>
      </c>
      <c r="O1112" s="23">
        <f t="shared" si="22"/>
        <v>45636.70676</v>
      </c>
      <c r="P1112" s="24" t="b">
        <v>1</v>
      </c>
      <c r="Q1112" s="20">
        <f t="shared" si="31"/>
        <v>45636.70676</v>
      </c>
      <c r="R1112" s="24" t="b">
        <v>0</v>
      </c>
      <c r="S1112" s="7" t="str">
        <f t="shared" si="6"/>
        <v/>
      </c>
      <c r="T1112" s="7"/>
    </row>
    <row r="1113" ht="22.5" hidden="1" customHeight="1">
      <c r="B1113" s="7">
        <f t="shared" si="7"/>
        <v>1107</v>
      </c>
      <c r="C1113" s="18" t="s">
        <v>1078</v>
      </c>
      <c r="D1113" s="19" t="str">
        <f t="array" ref="D1113">IFNA(_xlfn.XLOOKUP(C1113,Table_Tarikan_Warkah[Nomor Sertipikat],Table_Tarikan_Warkah[Nomor Tiket]),"")</f>
        <v>K/35/021224/1</v>
      </c>
      <c r="E1113" s="20" t="str">
        <f t="array" ref="E1113">IFNA(_xlfn.XLOOKUP(D1113,Table_Tarikan_Warkah[Nomor Tiket],Table_Tarikan_Warkah[Tanggal diserahkan kepada Validator]),"")</f>
        <v/>
      </c>
      <c r="F1113" s="20" t="str">
        <f t="array" ref="F1113">IFNA(_xlfn.XLOOKUP(D1113,Table_Tarikan_Warkah[Nomor Tiket],Table_Tarikan_Warkah[Nama Petugas Warkah]),"")</f>
        <v>Berry</v>
      </c>
      <c r="G1113" s="21" t="str">
        <f t="array" ref="G1113">IFNA(_xlfn.XLOOKUP(D1113,Table_Tarikan_Warkah[Nomor Tiket],Table_Tarikan_Warkah[Jenis Permohonan]),"")</f>
        <v>BN JUAL BELI</v>
      </c>
      <c r="H1113" s="22" t="s">
        <v>37</v>
      </c>
      <c r="I1113" s="22" t="s">
        <v>187</v>
      </c>
      <c r="J1113" s="20">
        <f t="shared" si="29"/>
        <v>45635.70106</v>
      </c>
      <c r="K1113" s="27" t="s">
        <v>33</v>
      </c>
      <c r="L1113" s="27" t="s">
        <v>187</v>
      </c>
      <c r="M1113" s="20">
        <f t="shared" si="30"/>
        <v>45636.70676</v>
      </c>
      <c r="N1113" s="8" t="str">
        <f t="shared" si="3"/>
        <v>Selesai</v>
      </c>
      <c r="O1113" s="23">
        <f t="shared" si="22"/>
        <v>45636.70676</v>
      </c>
      <c r="P1113" s="24" t="b">
        <v>1</v>
      </c>
      <c r="Q1113" s="20">
        <f t="shared" si="31"/>
        <v>45636.66341</v>
      </c>
      <c r="R1113" s="24" t="b">
        <v>0</v>
      </c>
      <c r="S1113" s="7" t="str">
        <f t="shared" si="6"/>
        <v/>
      </c>
      <c r="T1113" s="7"/>
    </row>
    <row r="1114" ht="22.5" hidden="1" customHeight="1">
      <c r="B1114" s="7">
        <f t="shared" si="7"/>
        <v>1108</v>
      </c>
      <c r="C1114" s="18" t="s">
        <v>1079</v>
      </c>
      <c r="D1114" s="19" t="str">
        <f t="array" ref="D1114">IFNA(_xlfn.XLOOKUP(C1114,Table_Tarikan_Warkah[Nomor Sertipikat],Table_Tarikan_Warkah[Nomor Tiket]),"")</f>
        <v>K/6/061224/1</v>
      </c>
      <c r="E1114" s="20">
        <f t="array" ref="E1114">IFNA(_xlfn.XLOOKUP(D1114,Table_Tarikan_Warkah[Nomor Tiket],Table_Tarikan_Warkah[Tanggal diserahkan kepada Validator]),"")</f>
        <v>45635.67451</v>
      </c>
      <c r="F1114" s="20" t="str">
        <f t="array" ref="F1114">IFNA(_xlfn.XLOOKUP(D1114,Table_Tarikan_Warkah[Nomor Tiket],Table_Tarikan_Warkah[Nama Petugas Warkah]),"")</f>
        <v>Berry</v>
      </c>
      <c r="G1114" s="21" t="str">
        <f t="array" ref="G1114">IFNA(_xlfn.XLOOKUP(D1114,Table_Tarikan_Warkah[Nomor Tiket],Table_Tarikan_Warkah[Jenis Permohonan]),"")</f>
        <v>Roya</v>
      </c>
      <c r="H1114" s="22" t="s">
        <v>37</v>
      </c>
      <c r="I1114" s="22" t="s">
        <v>187</v>
      </c>
      <c r="J1114" s="20">
        <f t="shared" si="29"/>
        <v>45635.70106</v>
      </c>
      <c r="K1114" s="27" t="s">
        <v>33</v>
      </c>
      <c r="L1114" s="27" t="s">
        <v>187</v>
      </c>
      <c r="M1114" s="20">
        <f t="shared" si="30"/>
        <v>45636.70676</v>
      </c>
      <c r="N1114" s="8" t="str">
        <f t="shared" si="3"/>
        <v>Selesai</v>
      </c>
      <c r="O1114" s="23">
        <f t="shared" si="22"/>
        <v>45636.70676</v>
      </c>
      <c r="P1114" s="24" t="b">
        <v>1</v>
      </c>
      <c r="Q1114" s="20">
        <f t="shared" si="31"/>
        <v>45636.70676</v>
      </c>
      <c r="R1114" s="24" t="b">
        <v>0</v>
      </c>
      <c r="S1114" s="7" t="str">
        <f t="shared" si="6"/>
        <v/>
      </c>
      <c r="T1114" s="7"/>
    </row>
    <row r="1115" ht="22.5" hidden="1" customHeight="1">
      <c r="B1115" s="7">
        <f t="shared" si="7"/>
        <v>1109</v>
      </c>
      <c r="C1115" s="18" t="s">
        <v>1080</v>
      </c>
      <c r="D1115" s="19" t="str">
        <f t="array" ref="D1115">IFNA(_xlfn.XLOOKUP(C1115,Table_Tarikan_Warkah[Nomor Sertipikat],Table_Tarikan_Warkah[Nomor Tiket]),"")</f>
        <v>K/30/061224/1</v>
      </c>
      <c r="E1115" s="20" t="str">
        <f t="array" ref="E1115">IFNA(_xlfn.XLOOKUP(D1115,Table_Tarikan_Warkah[Nomor Tiket],Table_Tarikan_Warkah[Tanggal diserahkan kepada Validator]),"")</f>
        <v/>
      </c>
      <c r="F1115" s="20" t="str">
        <f t="array" ref="F1115">IFNA(_xlfn.XLOOKUP(D1115,Table_Tarikan_Warkah[Nomor Tiket],Table_Tarikan_Warkah[Nama Petugas Warkah]),"")</f>
        <v/>
      </c>
      <c r="G1115" s="21" t="str">
        <f t="array" ref="G1115">IFNA(_xlfn.XLOOKUP(D1115,Table_Tarikan_Warkah[Nomor Tiket],Table_Tarikan_Warkah[Jenis Permohonan]),"")</f>
        <v>ROYA</v>
      </c>
      <c r="H1115" s="22" t="s">
        <v>37</v>
      </c>
      <c r="I1115" s="22" t="s">
        <v>32</v>
      </c>
      <c r="J1115" s="20">
        <f t="shared" si="29"/>
        <v>45635.70106</v>
      </c>
      <c r="K1115" s="27" t="s">
        <v>65</v>
      </c>
      <c r="L1115" s="27" t="s">
        <v>32</v>
      </c>
      <c r="M1115" s="20">
        <f t="shared" si="30"/>
        <v>45636.70676</v>
      </c>
      <c r="N1115" s="8" t="str">
        <f t="shared" si="3"/>
        <v>SELESAI</v>
      </c>
      <c r="O1115" s="23">
        <f t="shared" si="22"/>
        <v>45636.70676</v>
      </c>
      <c r="P1115" s="24" t="b">
        <v>0</v>
      </c>
      <c r="Q1115" s="20" t="str">
        <f t="shared" si="31"/>
        <v/>
      </c>
      <c r="R1115" s="24" t="b">
        <v>1</v>
      </c>
      <c r="S1115" s="20">
        <f t="shared" si="6"/>
        <v>45637.43681</v>
      </c>
      <c r="T1115" s="7"/>
    </row>
    <row r="1116" ht="22.5" hidden="1" customHeight="1">
      <c r="B1116" s="7">
        <f t="shared" si="7"/>
        <v>1110</v>
      </c>
      <c r="C1116" s="18" t="s">
        <v>1081</v>
      </c>
      <c r="D1116" s="19" t="str">
        <f t="array" ref="D1116">IFNA(_xlfn.XLOOKUP(C1116,Table_Tarikan_Warkah[Nomor Sertipikat],Table_Tarikan_Warkah[Nomor Tiket]),"")</f>
        <v>K/3/061224/1</v>
      </c>
      <c r="E1116" s="20" t="str">
        <f t="array" ref="E1116">IFNA(_xlfn.XLOOKUP(D1116,Table_Tarikan_Warkah[Nomor Tiket],Table_Tarikan_Warkah[Tanggal diserahkan kepada Validator]),"")</f>
        <v/>
      </c>
      <c r="F1116" s="20" t="str">
        <f t="array" ref="F1116">IFNA(_xlfn.XLOOKUP(D1116,Table_Tarikan_Warkah[Nomor Tiket],Table_Tarikan_Warkah[Nama Petugas Warkah]),"")</f>
        <v>Berry</v>
      </c>
      <c r="G1116" s="21" t="str">
        <f t="array" ref="G1116">IFNA(_xlfn.XLOOKUP(D1116,Table_Tarikan_Warkah[Nomor Tiket],Table_Tarikan_Warkah[Jenis Permohonan]),"")</f>
        <v>BN JUAL BELI</v>
      </c>
      <c r="H1116" s="22" t="s">
        <v>37</v>
      </c>
      <c r="I1116" s="22" t="s">
        <v>32</v>
      </c>
      <c r="J1116" s="20">
        <f t="shared" si="29"/>
        <v>45635.70109</v>
      </c>
      <c r="K1116" s="27" t="s">
        <v>65</v>
      </c>
      <c r="L1116" s="27" t="s">
        <v>32</v>
      </c>
      <c r="M1116" s="20">
        <f t="shared" si="30"/>
        <v>45636.70676</v>
      </c>
      <c r="N1116" s="8" t="str">
        <f t="shared" si="3"/>
        <v>SELESAI</v>
      </c>
      <c r="O1116" s="23">
        <f t="shared" si="22"/>
        <v>45636.70676</v>
      </c>
      <c r="P1116" s="24" t="b">
        <v>0</v>
      </c>
      <c r="Q1116" s="20" t="str">
        <f t="shared" si="31"/>
        <v/>
      </c>
      <c r="R1116" s="24" t="b">
        <v>1</v>
      </c>
      <c r="S1116" s="20">
        <f t="shared" si="6"/>
        <v>45637.43674</v>
      </c>
      <c r="T1116" s="7"/>
    </row>
    <row r="1117" ht="22.5" hidden="1" customHeight="1">
      <c r="B1117" s="7">
        <f t="shared" si="7"/>
        <v>1111</v>
      </c>
      <c r="C1117" s="18" t="s">
        <v>1082</v>
      </c>
      <c r="D1117" s="19" t="str">
        <f t="array" ref="D1117">IFNA(_xlfn.XLOOKUP(C1117,Table_Tarikan_Warkah[Nomor Sertipikat],Table_Tarikan_Warkah[Nomor Tiket]),"")</f>
        <v>K/15/061224/1</v>
      </c>
      <c r="E1117" s="20" t="str">
        <f t="array" ref="E1117">IFNA(_xlfn.XLOOKUP(D1117,Table_Tarikan_Warkah[Nomor Tiket],Table_Tarikan_Warkah[Tanggal diserahkan kepada Validator]),"")</f>
        <v/>
      </c>
      <c r="F1117" s="20" t="str">
        <f t="array" ref="F1117">IFNA(_xlfn.XLOOKUP(D1117,Table_Tarikan_Warkah[Nomor Tiket],Table_Tarikan_Warkah[Nama Petugas Warkah]),"")</f>
        <v/>
      </c>
      <c r="G1117" s="21" t="str">
        <f t="array" ref="G1117">IFNA(_xlfn.XLOOKUP(D1117,Table_Tarikan_Warkah[Nomor Tiket],Table_Tarikan_Warkah[Jenis Permohonan]),"")</f>
        <v>BN JUAL BELI</v>
      </c>
      <c r="H1117" s="22" t="s">
        <v>37</v>
      </c>
      <c r="I1117" s="22" t="s">
        <v>32</v>
      </c>
      <c r="J1117" s="20">
        <f t="shared" si="29"/>
        <v>45635.70117</v>
      </c>
      <c r="K1117" s="27" t="s">
        <v>65</v>
      </c>
      <c r="L1117" s="27" t="s">
        <v>32</v>
      </c>
      <c r="M1117" s="20">
        <f t="shared" si="30"/>
        <v>45636.70676</v>
      </c>
      <c r="N1117" s="8" t="str">
        <f t="shared" si="3"/>
        <v>SELESAI</v>
      </c>
      <c r="O1117" s="23">
        <f t="shared" si="22"/>
        <v>45636.70676</v>
      </c>
      <c r="P1117" s="24" t="b">
        <v>0</v>
      </c>
      <c r="Q1117" s="20" t="str">
        <f t="shared" si="31"/>
        <v/>
      </c>
      <c r="R1117" s="24" t="b">
        <v>1</v>
      </c>
      <c r="S1117" s="20">
        <f t="shared" si="6"/>
        <v>45637.43664</v>
      </c>
      <c r="T1117" s="7"/>
    </row>
    <row r="1118" ht="22.5" hidden="1" customHeight="1">
      <c r="B1118" s="7">
        <f t="shared" si="7"/>
        <v>1112</v>
      </c>
      <c r="C1118" s="18" t="s">
        <v>1083</v>
      </c>
      <c r="D1118" s="19" t="str">
        <f t="array" ref="D1118">IFNA(_xlfn.XLOOKUP(C1118,Table_Tarikan_Warkah[Nomor Sertipikat],Table_Tarikan_Warkah[Nomor Tiket]),"")</f>
        <v>K/19/061224/1</v>
      </c>
      <c r="E1118" s="20">
        <f t="array" ref="E1118">IFNA(_xlfn.XLOOKUP(D1118,Table_Tarikan_Warkah[Nomor Tiket],Table_Tarikan_Warkah[Tanggal diserahkan kepada Validator]),"")</f>
        <v>45635.67529</v>
      </c>
      <c r="F1118" s="20" t="str">
        <f t="array" ref="F1118">IFNA(_xlfn.XLOOKUP(D1118,Table_Tarikan_Warkah[Nomor Tiket],Table_Tarikan_Warkah[Nama Petugas Warkah]),"")</f>
        <v>Berry</v>
      </c>
      <c r="G1118" s="21" t="str">
        <f t="array" ref="G1118">IFNA(_xlfn.XLOOKUP(D1118,Table_Tarikan_Warkah[Nomor Tiket],Table_Tarikan_Warkah[Jenis Permohonan]),"")</f>
        <v>BN Jual Beli</v>
      </c>
      <c r="H1118" s="22" t="s">
        <v>37</v>
      </c>
      <c r="I1118" s="22" t="s">
        <v>32</v>
      </c>
      <c r="J1118" s="20">
        <f t="shared" si="29"/>
        <v>45635.70127</v>
      </c>
      <c r="K1118" s="27" t="s">
        <v>65</v>
      </c>
      <c r="L1118" s="27" t="s">
        <v>32</v>
      </c>
      <c r="M1118" s="20">
        <f t="shared" si="30"/>
        <v>45636.70676</v>
      </c>
      <c r="N1118" s="8" t="str">
        <f t="shared" si="3"/>
        <v>SELESAI</v>
      </c>
      <c r="O1118" s="23">
        <f t="shared" si="22"/>
        <v>45636.70676</v>
      </c>
      <c r="P1118" s="24" t="b">
        <v>0</v>
      </c>
      <c r="Q1118" s="20" t="str">
        <f t="shared" si="31"/>
        <v/>
      </c>
      <c r="R1118" s="24" t="b">
        <v>1</v>
      </c>
      <c r="S1118" s="20">
        <f t="shared" si="6"/>
        <v>45637.43655</v>
      </c>
      <c r="T1118" s="7"/>
    </row>
    <row r="1119" ht="22.5" hidden="1" customHeight="1">
      <c r="B1119" s="7">
        <f t="shared" si="7"/>
        <v>1113</v>
      </c>
      <c r="C1119" s="18" t="s">
        <v>1084</v>
      </c>
      <c r="D1119" s="19" t="str">
        <f t="array" ref="D1119">IFNA(_xlfn.XLOOKUP(C1119,Table_Tarikan_Warkah[Nomor Sertipikat],Table_Tarikan_Warkah[Nomor Tiket]),"")</f>
        <v>K/23/061224/2</v>
      </c>
      <c r="E1119" s="20" t="str">
        <f t="array" ref="E1119">IFNA(_xlfn.XLOOKUP(D1119,Table_Tarikan_Warkah[Nomor Tiket],Table_Tarikan_Warkah[Tanggal diserahkan kepada Validator]),"")</f>
        <v/>
      </c>
      <c r="F1119" s="20" t="str">
        <f t="array" ref="F1119">IFNA(_xlfn.XLOOKUP(D1119,Table_Tarikan_Warkah[Nomor Tiket],Table_Tarikan_Warkah[Nama Petugas Warkah]),"")</f>
        <v>Berry</v>
      </c>
      <c r="G1119" s="21" t="str">
        <f t="array" ref="G1119">IFNA(_xlfn.XLOOKUP(D1119,Table_Tarikan_Warkah[Nomor Tiket],Table_Tarikan_Warkah[Jenis Permohonan]),"")</f>
        <v>BN Jual Beli</v>
      </c>
      <c r="H1119" s="22" t="s">
        <v>37</v>
      </c>
      <c r="I1119" s="22" t="s">
        <v>32</v>
      </c>
      <c r="J1119" s="20">
        <f t="shared" si="29"/>
        <v>45635.70136</v>
      </c>
      <c r="K1119" s="27" t="s">
        <v>65</v>
      </c>
      <c r="L1119" s="27" t="s">
        <v>32</v>
      </c>
      <c r="M1119" s="20">
        <f t="shared" si="30"/>
        <v>45636.70676</v>
      </c>
      <c r="N1119" s="8" t="str">
        <f t="shared" si="3"/>
        <v>SELESAI</v>
      </c>
      <c r="O1119" s="23">
        <f t="shared" si="22"/>
        <v>45636.70676</v>
      </c>
      <c r="P1119" s="24" t="b">
        <v>0</v>
      </c>
      <c r="Q1119" s="20" t="str">
        <f t="shared" si="31"/>
        <v/>
      </c>
      <c r="R1119" s="24" t="b">
        <v>1</v>
      </c>
      <c r="S1119" s="20">
        <f t="shared" si="6"/>
        <v>45637.437</v>
      </c>
      <c r="T1119" s="7"/>
    </row>
    <row r="1120" ht="22.5" hidden="1" customHeight="1">
      <c r="B1120" s="7">
        <f t="shared" si="7"/>
        <v>1114</v>
      </c>
      <c r="C1120" s="18" t="s">
        <v>1085</v>
      </c>
      <c r="D1120" s="19" t="str">
        <f t="array" ref="D1120">IFNA(_xlfn.XLOOKUP(C1120,Table_Tarikan_Warkah[Nomor Sertipikat],Table_Tarikan_Warkah[Nomor Tiket]),"")</f>
        <v>K/25/061224/1</v>
      </c>
      <c r="E1120" s="20" t="str">
        <f t="array" ref="E1120">IFNA(_xlfn.XLOOKUP(D1120,Table_Tarikan_Warkah[Nomor Tiket],Table_Tarikan_Warkah[Tanggal diserahkan kepada Validator]),"")</f>
        <v/>
      </c>
      <c r="F1120" s="20" t="str">
        <f t="array" ref="F1120">IFNA(_xlfn.XLOOKUP(D1120,Table_Tarikan_Warkah[Nomor Tiket],Table_Tarikan_Warkah[Nama Petugas Warkah]),"")</f>
        <v/>
      </c>
      <c r="G1120" s="21" t="str">
        <f t="array" ref="G1120">IFNA(_xlfn.XLOOKUP(D1120,Table_Tarikan_Warkah[Nomor Tiket],Table_Tarikan_Warkah[Jenis Permohonan]),"")</f>
        <v>BN Waris</v>
      </c>
      <c r="H1120" s="22" t="s">
        <v>37</v>
      </c>
      <c r="I1120" s="22" t="s">
        <v>32</v>
      </c>
      <c r="J1120" s="20">
        <f t="shared" si="29"/>
        <v>45635.70145</v>
      </c>
      <c r="K1120" s="27" t="s">
        <v>65</v>
      </c>
      <c r="L1120" s="27" t="s">
        <v>32</v>
      </c>
      <c r="M1120" s="20">
        <f t="shared" si="30"/>
        <v>45636.70676</v>
      </c>
      <c r="N1120" s="8" t="str">
        <f t="shared" si="3"/>
        <v>SELESAI</v>
      </c>
      <c r="O1120" s="23">
        <f t="shared" si="22"/>
        <v>45636.70676</v>
      </c>
      <c r="P1120" s="24" t="b">
        <v>0</v>
      </c>
      <c r="Q1120" s="20" t="str">
        <f t="shared" si="31"/>
        <v/>
      </c>
      <c r="R1120" s="24" t="b">
        <v>1</v>
      </c>
      <c r="S1120" s="20">
        <f t="shared" si="6"/>
        <v>45637.43629</v>
      </c>
      <c r="T1120" s="7"/>
    </row>
    <row r="1121" ht="22.5" hidden="1" customHeight="1">
      <c r="B1121" s="7">
        <f t="shared" si="7"/>
        <v>1115</v>
      </c>
      <c r="C1121" s="18" t="s">
        <v>1086</v>
      </c>
      <c r="D1121" s="19" t="str">
        <f t="array" ref="D1121">IFNA(_xlfn.XLOOKUP(C1121,Table_Tarikan_Warkah[Nomor Sertipikat],Table_Tarikan_Warkah[Nomor Tiket]),"")</f>
        <v>K/27/061224/2</v>
      </c>
      <c r="E1121" s="20">
        <f t="array" ref="E1121">IFNA(_xlfn.XLOOKUP(D1121,Table_Tarikan_Warkah[Nomor Tiket],Table_Tarikan_Warkah[Tanggal diserahkan kepada Validator]),"")</f>
        <v>45642.69853</v>
      </c>
      <c r="F1121" s="20" t="str">
        <f t="array" ref="F1121">IFNA(_xlfn.XLOOKUP(D1121,Table_Tarikan_Warkah[Nomor Tiket],Table_Tarikan_Warkah[Nama Petugas Warkah]),"")</f>
        <v>Berry</v>
      </c>
      <c r="G1121" s="21" t="str">
        <f t="array" ref="G1121">IFNA(_xlfn.XLOOKUP(D1121,Table_Tarikan_Warkah[Nomor Tiket],Table_Tarikan_Warkah[Jenis Permohonan]),"")</f>
        <v>BN Waris</v>
      </c>
      <c r="H1121" s="22" t="s">
        <v>37</v>
      </c>
      <c r="I1121" s="22" t="s">
        <v>32</v>
      </c>
      <c r="J1121" s="20">
        <f t="shared" si="29"/>
        <v>45635.70153</v>
      </c>
      <c r="K1121" s="27" t="s">
        <v>65</v>
      </c>
      <c r="L1121" s="27" t="s">
        <v>32</v>
      </c>
      <c r="M1121" s="20">
        <f t="shared" si="30"/>
        <v>45636.70676</v>
      </c>
      <c r="N1121" s="8" t="str">
        <f t="shared" si="3"/>
        <v>SELESAI</v>
      </c>
      <c r="O1121" s="23">
        <f t="shared" si="22"/>
        <v>45636.70676</v>
      </c>
      <c r="P1121" s="24" t="b">
        <v>0</v>
      </c>
      <c r="Q1121" s="20" t="str">
        <f t="shared" si="31"/>
        <v/>
      </c>
      <c r="R1121" s="24" t="b">
        <v>1</v>
      </c>
      <c r="S1121" s="20">
        <f t="shared" si="6"/>
        <v>45637.43695</v>
      </c>
      <c r="T1121" s="7"/>
    </row>
    <row r="1122" ht="22.5" hidden="1" customHeight="1">
      <c r="B1122" s="7">
        <f t="shared" si="7"/>
        <v>1116</v>
      </c>
      <c r="C1122" s="18" t="s">
        <v>1087</v>
      </c>
      <c r="D1122" s="19" t="str">
        <f t="array" ref="D1122">IFNA(_xlfn.XLOOKUP(C1122,Table_Tarikan_Warkah[Nomor Sertipikat],Table_Tarikan_Warkah[Nomor Tiket]),"")</f>
        <v>K/6/091224/1</v>
      </c>
      <c r="E1122" s="20" t="str">
        <f t="array" ref="E1122">IFNA(_xlfn.XLOOKUP(D1122,Table_Tarikan_Warkah[Nomor Tiket],Table_Tarikan_Warkah[Tanggal diserahkan kepada Validator]),"")</f>
        <v/>
      </c>
      <c r="F1122" s="20" t="str">
        <f t="array" ref="F1122">IFNA(_xlfn.XLOOKUP(D1122,Table_Tarikan_Warkah[Nomor Tiket],Table_Tarikan_Warkah[Nama Petugas Warkah]),"")</f>
        <v/>
      </c>
      <c r="G1122" s="21" t="str">
        <f t="array" ref="G1122">IFNA(_xlfn.XLOOKUP(D1122,Table_Tarikan_Warkah[Nomor Tiket],Table_Tarikan_Warkah[Jenis Permohonan]),"")</f>
        <v>Roya</v>
      </c>
      <c r="H1122" s="22" t="s">
        <v>37</v>
      </c>
      <c r="I1122" s="22" t="s">
        <v>32</v>
      </c>
      <c r="J1122" s="20">
        <f t="shared" si="29"/>
        <v>45636.45378</v>
      </c>
      <c r="K1122" s="22" t="s">
        <v>33</v>
      </c>
      <c r="L1122" s="22" t="s">
        <v>32</v>
      </c>
      <c r="M1122" s="20">
        <f t="shared" si="30"/>
        <v>45636.45385</v>
      </c>
      <c r="N1122" s="8" t="str">
        <f t="shared" si="3"/>
        <v>SELESAI</v>
      </c>
      <c r="O1122" s="23">
        <f t="shared" si="22"/>
        <v>45636.45385</v>
      </c>
      <c r="P1122" s="24" t="b">
        <v>1</v>
      </c>
      <c r="Q1122" s="20">
        <f t="shared" si="31"/>
        <v>45636.45387</v>
      </c>
      <c r="R1122" s="24" t="b">
        <v>1</v>
      </c>
      <c r="S1122" s="20">
        <f t="shared" si="6"/>
        <v>45636.45389</v>
      </c>
      <c r="T1122" s="7"/>
    </row>
    <row r="1123" ht="22.5" hidden="1" customHeight="1">
      <c r="B1123" s="7">
        <f t="shared" si="7"/>
        <v>1117</v>
      </c>
      <c r="C1123" s="18" t="s">
        <v>1088</v>
      </c>
      <c r="D1123" s="19" t="str">
        <f t="array" ref="D1123">IFNA(_xlfn.XLOOKUP(C1123,Table_Tarikan_Warkah[Nomor Sertipikat],Table_Tarikan_Warkah[Nomor Tiket]),"")</f>
        <v>K/8/091224/1</v>
      </c>
      <c r="E1123" s="20">
        <f t="array" ref="E1123">IFNA(_xlfn.XLOOKUP(D1123,Table_Tarikan_Warkah[Nomor Tiket],Table_Tarikan_Warkah[Tanggal diserahkan kepada Validator]),"")</f>
        <v>45635.67958</v>
      </c>
      <c r="F1123" s="20" t="str">
        <f t="array" ref="F1123">IFNA(_xlfn.XLOOKUP(D1123,Table_Tarikan_Warkah[Nomor Tiket],Table_Tarikan_Warkah[Nama Petugas Warkah]),"")</f>
        <v>David</v>
      </c>
      <c r="G1123" s="21" t="str">
        <f t="array" ref="G1123">IFNA(_xlfn.XLOOKUP(D1123,Table_Tarikan_Warkah[Nomor Tiket],Table_Tarikan_Warkah[Jenis Permohonan]),"")</f>
        <v>BN JUAL BELI</v>
      </c>
      <c r="H1123" s="22" t="s">
        <v>31</v>
      </c>
      <c r="I1123" s="22" t="s">
        <v>32</v>
      </c>
      <c r="J1123" s="20">
        <f t="shared" si="29"/>
        <v>45636.62239</v>
      </c>
      <c r="K1123" s="27" t="s">
        <v>65</v>
      </c>
      <c r="L1123" s="27" t="s">
        <v>32</v>
      </c>
      <c r="M1123" s="20">
        <f t="shared" si="30"/>
        <v>45636.70676</v>
      </c>
      <c r="N1123" s="8" t="str">
        <f t="shared" si="3"/>
        <v>SELESAI</v>
      </c>
      <c r="O1123" s="23">
        <f t="shared" si="22"/>
        <v>45636.70676</v>
      </c>
      <c r="P1123" s="24" t="b">
        <v>0</v>
      </c>
      <c r="Q1123" s="20" t="str">
        <f t="shared" si="31"/>
        <v/>
      </c>
      <c r="R1123" s="24" t="b">
        <v>1</v>
      </c>
      <c r="S1123" s="20">
        <f t="shared" si="6"/>
        <v>45637.40957</v>
      </c>
      <c r="T1123" s="7"/>
    </row>
    <row r="1124" ht="22.5" hidden="1" customHeight="1">
      <c r="B1124" s="7">
        <f t="shared" si="7"/>
        <v>1118</v>
      </c>
      <c r="C1124" s="18" t="s">
        <v>1089</v>
      </c>
      <c r="D1124" s="19" t="str">
        <f t="array" ref="D1124">IFNA(_xlfn.XLOOKUP(C1124,Table_Tarikan_Warkah[Nomor Sertipikat],Table_Tarikan_Warkah[Nomor Tiket]),"")</f>
        <v>K/9/091224/2</v>
      </c>
      <c r="E1124" s="20" t="str">
        <f t="array" ref="E1124">IFNA(_xlfn.XLOOKUP(D1124,Table_Tarikan_Warkah[Nomor Tiket],Table_Tarikan_Warkah[Tanggal diserahkan kepada Validator]),"")</f>
        <v/>
      </c>
      <c r="F1124" s="20" t="str">
        <f t="array" ref="F1124">IFNA(_xlfn.XLOOKUP(D1124,Table_Tarikan_Warkah[Nomor Tiket],Table_Tarikan_Warkah[Nama Petugas Warkah]),"")</f>
        <v/>
      </c>
      <c r="G1124" s="21" t="str">
        <f t="array" ref="G1124">IFNA(_xlfn.XLOOKUP(D1124,Table_Tarikan_Warkah[Nomor Tiket],Table_Tarikan_Warkah[Jenis Permohonan]),"")</f>
        <v>BN JUAL BELI</v>
      </c>
      <c r="H1124" s="22" t="s">
        <v>31</v>
      </c>
      <c r="I1124" s="22" t="s">
        <v>32</v>
      </c>
      <c r="J1124" s="20">
        <f t="shared" si="29"/>
        <v>45636.62243</v>
      </c>
      <c r="K1124" s="27" t="s">
        <v>65</v>
      </c>
      <c r="L1124" s="27" t="s">
        <v>32</v>
      </c>
      <c r="M1124" s="20">
        <f t="shared" si="30"/>
        <v>45636.70676</v>
      </c>
      <c r="N1124" s="8" t="str">
        <f t="shared" si="3"/>
        <v>SELESAI</v>
      </c>
      <c r="O1124" s="23">
        <f t="shared" si="22"/>
        <v>45636.70676</v>
      </c>
      <c r="P1124" s="24" t="b">
        <v>0</v>
      </c>
      <c r="Q1124" s="20" t="str">
        <f t="shared" si="31"/>
        <v/>
      </c>
      <c r="R1124" s="24" t="b">
        <v>1</v>
      </c>
      <c r="S1124" s="20">
        <f t="shared" si="6"/>
        <v>45637.40949</v>
      </c>
      <c r="T1124" s="7"/>
    </row>
    <row r="1125" ht="22.5" hidden="1" customHeight="1">
      <c r="B1125" s="7">
        <f t="shared" si="7"/>
        <v>1119</v>
      </c>
      <c r="C1125" s="18" t="s">
        <v>1090</v>
      </c>
      <c r="D1125" s="19" t="str">
        <f t="array" ref="D1125">IFNA(_xlfn.XLOOKUP(C1125,Table_Tarikan_Warkah[Nomor Sertipikat],Table_Tarikan_Warkah[Nomor Tiket]),"")</f>
        <v>K/48/061224/1</v>
      </c>
      <c r="E1125" s="20" t="str">
        <f t="array" ref="E1125">IFNA(_xlfn.XLOOKUP(D1125,Table_Tarikan_Warkah[Nomor Tiket],Table_Tarikan_Warkah[Tanggal diserahkan kepada Validator]),"")</f>
        <v/>
      </c>
      <c r="F1125" s="20" t="str">
        <f t="array" ref="F1125">IFNA(_xlfn.XLOOKUP(D1125,Table_Tarikan_Warkah[Nomor Tiket],Table_Tarikan_Warkah[Nama Petugas Warkah]),"")</f>
        <v>David</v>
      </c>
      <c r="G1125" s="21" t="str">
        <f t="array" ref="G1125">IFNA(_xlfn.XLOOKUP(D1125,Table_Tarikan_Warkah[Nomor Tiket],Table_Tarikan_Warkah[Jenis Permohonan]),"")</f>
        <v>BN Jual Beli</v>
      </c>
      <c r="H1125" s="22" t="s">
        <v>31</v>
      </c>
      <c r="I1125" s="22" t="s">
        <v>32</v>
      </c>
      <c r="J1125" s="20">
        <f t="shared" si="29"/>
        <v>45636.62243</v>
      </c>
      <c r="K1125" s="27" t="s">
        <v>65</v>
      </c>
      <c r="L1125" s="27" t="s">
        <v>32</v>
      </c>
      <c r="M1125" s="20">
        <f t="shared" si="30"/>
        <v>45636.70676</v>
      </c>
      <c r="N1125" s="8" t="str">
        <f t="shared" si="3"/>
        <v>SELESAI</v>
      </c>
      <c r="O1125" s="23">
        <f t="shared" si="22"/>
        <v>45636.70676</v>
      </c>
      <c r="P1125" s="24" t="b">
        <v>0</v>
      </c>
      <c r="Q1125" s="20" t="str">
        <f t="shared" si="31"/>
        <v/>
      </c>
      <c r="R1125" s="24" t="b">
        <v>1</v>
      </c>
      <c r="S1125" s="20">
        <f t="shared" si="6"/>
        <v>45637.4097</v>
      </c>
      <c r="T1125" s="7"/>
    </row>
    <row r="1126" ht="22.5" hidden="1" customHeight="1">
      <c r="B1126" s="7">
        <f t="shared" si="7"/>
        <v>1120</v>
      </c>
      <c r="C1126" s="18" t="s">
        <v>1091</v>
      </c>
      <c r="D1126" s="19" t="str">
        <f t="array" ref="D1126">IFNA(_xlfn.XLOOKUP(C1126,Table_Tarikan_Warkah[Nomor Sertipikat],Table_Tarikan_Warkah[Nomor Tiket]),"")</f>
        <v>K/39/061224/1</v>
      </c>
      <c r="E1126" s="20">
        <f t="array" ref="E1126">IFNA(_xlfn.XLOOKUP(D1126,Table_Tarikan_Warkah[Nomor Tiket],Table_Tarikan_Warkah[Tanggal diserahkan kepada Validator]),"")</f>
        <v>45639.59706</v>
      </c>
      <c r="F1126" s="20" t="str">
        <f t="array" ref="F1126">IFNA(_xlfn.XLOOKUP(D1126,Table_Tarikan_Warkah[Nomor Tiket],Table_Tarikan_Warkah[Nama Petugas Warkah]),"")</f>
        <v>David</v>
      </c>
      <c r="G1126" s="21" t="str">
        <f t="array" ref="G1126">IFNA(_xlfn.XLOOKUP(D1126,Table_Tarikan_Warkah[Nomor Tiket],Table_Tarikan_Warkah[Jenis Permohonan]),"")</f>
        <v>BN JUAL BELI</v>
      </c>
      <c r="H1126" s="22" t="s">
        <v>31</v>
      </c>
      <c r="I1126" s="22" t="s">
        <v>32</v>
      </c>
      <c r="J1126" s="20">
        <f t="shared" si="29"/>
        <v>45636.62243</v>
      </c>
      <c r="K1126" s="27" t="s">
        <v>65</v>
      </c>
      <c r="L1126" s="27" t="s">
        <v>32</v>
      </c>
      <c r="M1126" s="20">
        <f t="shared" si="30"/>
        <v>45636.70676</v>
      </c>
      <c r="N1126" s="8" t="str">
        <f t="shared" si="3"/>
        <v>SELESAI</v>
      </c>
      <c r="O1126" s="23">
        <f t="shared" si="22"/>
        <v>45636.70676</v>
      </c>
      <c r="P1126" s="24" t="b">
        <v>0</v>
      </c>
      <c r="Q1126" s="20" t="str">
        <f t="shared" si="31"/>
        <v/>
      </c>
      <c r="R1126" s="24" t="b">
        <v>1</v>
      </c>
      <c r="S1126" s="20">
        <f t="shared" si="6"/>
        <v>45637.40979</v>
      </c>
      <c r="T1126" s="7"/>
    </row>
    <row r="1127" ht="22.5" hidden="1" customHeight="1">
      <c r="B1127" s="7">
        <f t="shared" si="7"/>
        <v>1121</v>
      </c>
      <c r="C1127" s="18" t="s">
        <v>1092</v>
      </c>
      <c r="D1127" s="19" t="str">
        <f t="array" ref="D1127">IFNA(_xlfn.XLOOKUP(C1127,Table_Tarikan_Warkah[Nomor Sertipikat],Table_Tarikan_Warkah[Nomor Tiket]),"")</f>
        <v>K/40/061224/2</v>
      </c>
      <c r="E1127" s="20" t="str">
        <f t="array" ref="E1127">IFNA(_xlfn.XLOOKUP(D1127,Table_Tarikan_Warkah[Nomor Tiket],Table_Tarikan_Warkah[Tanggal diserahkan kepada Validator]),"")</f>
        <v/>
      </c>
      <c r="F1127" s="20" t="str">
        <f t="array" ref="F1127">IFNA(_xlfn.XLOOKUP(D1127,Table_Tarikan_Warkah[Nomor Tiket],Table_Tarikan_Warkah[Nama Petugas Warkah]),"")</f>
        <v/>
      </c>
      <c r="G1127" s="21" t="str">
        <f t="array" ref="G1127">IFNA(_xlfn.XLOOKUP(D1127,Table_Tarikan_Warkah[Nomor Tiket],Table_Tarikan_Warkah[Jenis Permohonan]),"")</f>
        <v>BN JUAL BELI</v>
      </c>
      <c r="H1127" s="22" t="s">
        <v>31</v>
      </c>
      <c r="I1127" s="22" t="s">
        <v>32</v>
      </c>
      <c r="J1127" s="20">
        <f t="shared" si="29"/>
        <v>45636.62243</v>
      </c>
      <c r="K1127" s="27" t="s">
        <v>65</v>
      </c>
      <c r="L1127" s="27" t="s">
        <v>32</v>
      </c>
      <c r="M1127" s="20">
        <f t="shared" si="30"/>
        <v>45636.70676</v>
      </c>
      <c r="N1127" s="8" t="str">
        <f t="shared" si="3"/>
        <v>SELESAI</v>
      </c>
      <c r="O1127" s="23">
        <f t="shared" si="22"/>
        <v>45636.70676</v>
      </c>
      <c r="P1127" s="24" t="b">
        <v>0</v>
      </c>
      <c r="Q1127" s="20" t="str">
        <f t="shared" si="31"/>
        <v/>
      </c>
      <c r="R1127" s="24" t="b">
        <v>1</v>
      </c>
      <c r="S1127" s="20">
        <f t="shared" si="6"/>
        <v>45637.40988</v>
      </c>
      <c r="T1127" s="7"/>
    </row>
    <row r="1128" ht="22.5" hidden="1" customHeight="1">
      <c r="B1128" s="7">
        <f t="shared" si="7"/>
        <v>1122</v>
      </c>
      <c r="C1128" s="18" t="s">
        <v>1093</v>
      </c>
      <c r="D1128" s="19" t="str">
        <f t="array" ref="D1128">IFNA(_xlfn.XLOOKUP(C1128,Table_Tarikan_Warkah[Nomor Sertipikat],Table_Tarikan_Warkah[Nomor Tiket]),"")</f>
        <v>K/35/061224/2</v>
      </c>
      <c r="E1128" s="20">
        <f t="array" ref="E1128">IFNA(_xlfn.XLOOKUP(D1128,Table_Tarikan_Warkah[Nomor Tiket],Table_Tarikan_Warkah[Tanggal diserahkan kepada Validator]),"")</f>
        <v>45642.68846</v>
      </c>
      <c r="F1128" s="20" t="str">
        <f t="array" ref="F1128">IFNA(_xlfn.XLOOKUP(D1128,Table_Tarikan_Warkah[Nomor Tiket],Table_Tarikan_Warkah[Nama Petugas Warkah]),"")</f>
        <v>David</v>
      </c>
      <c r="G1128" s="21" t="str">
        <f t="array" ref="G1128">IFNA(_xlfn.XLOOKUP(D1128,Table_Tarikan_Warkah[Nomor Tiket],Table_Tarikan_Warkah[Jenis Permohonan]),"")</f>
        <v>BN Jual Beli</v>
      </c>
      <c r="H1128" s="22" t="s">
        <v>31</v>
      </c>
      <c r="I1128" s="22" t="s">
        <v>32</v>
      </c>
      <c r="J1128" s="20">
        <f t="shared" si="29"/>
        <v>45636.62243</v>
      </c>
      <c r="K1128" s="27" t="s">
        <v>65</v>
      </c>
      <c r="L1128" s="27" t="s">
        <v>32</v>
      </c>
      <c r="M1128" s="20">
        <f t="shared" si="30"/>
        <v>45636.70676</v>
      </c>
      <c r="N1128" s="8" t="str">
        <f t="shared" si="3"/>
        <v>SELESAI</v>
      </c>
      <c r="O1128" s="23">
        <f t="shared" si="22"/>
        <v>45636.70676</v>
      </c>
      <c r="P1128" s="24" t="b">
        <v>0</v>
      </c>
      <c r="Q1128" s="20" t="str">
        <f t="shared" si="31"/>
        <v/>
      </c>
      <c r="R1128" s="24" t="b">
        <v>1</v>
      </c>
      <c r="S1128" s="20">
        <f t="shared" si="6"/>
        <v>45637.4092</v>
      </c>
      <c r="T1128" s="7"/>
    </row>
    <row r="1129" ht="22.5" hidden="1" customHeight="1">
      <c r="B1129" s="7">
        <f t="shared" si="7"/>
        <v>1123</v>
      </c>
      <c r="C1129" s="18" t="s">
        <v>1094</v>
      </c>
      <c r="D1129" s="19" t="str">
        <f t="array" ref="D1129">IFNA(_xlfn.XLOOKUP(C1129,Table_Tarikan_Warkah[Nomor Sertipikat],Table_Tarikan_Warkah[Nomor Tiket]),"")</f>
        <v>K/32/061224/2</v>
      </c>
      <c r="E1129" s="20">
        <f t="array" ref="E1129">IFNA(_xlfn.XLOOKUP(D1129,Table_Tarikan_Warkah[Nomor Tiket],Table_Tarikan_Warkah[Tanggal diserahkan kepada Validator]),"")</f>
        <v>45635.67759</v>
      </c>
      <c r="F1129" s="20" t="str">
        <f t="array" ref="F1129">IFNA(_xlfn.XLOOKUP(D1129,Table_Tarikan_Warkah[Nomor Tiket],Table_Tarikan_Warkah[Nama Petugas Warkah]),"")</f>
        <v>David</v>
      </c>
      <c r="G1129" s="21" t="str">
        <f t="array" ref="G1129">IFNA(_xlfn.XLOOKUP(D1129,Table_Tarikan_Warkah[Nomor Tiket],Table_Tarikan_Warkah[Jenis Permohonan]),"")</f>
        <v>BN JUAL BELI</v>
      </c>
      <c r="H1129" s="22" t="s">
        <v>31</v>
      </c>
      <c r="I1129" s="22" t="s">
        <v>32</v>
      </c>
      <c r="J1129" s="20">
        <f t="shared" si="29"/>
        <v>45636.62243</v>
      </c>
      <c r="K1129" s="27" t="s">
        <v>65</v>
      </c>
      <c r="L1129" s="27" t="s">
        <v>32</v>
      </c>
      <c r="M1129" s="20">
        <f t="shared" si="30"/>
        <v>45636.70676</v>
      </c>
      <c r="N1129" s="8" t="str">
        <f t="shared" si="3"/>
        <v>SELESAI</v>
      </c>
      <c r="O1129" s="23">
        <f t="shared" si="22"/>
        <v>45636.70676</v>
      </c>
      <c r="P1129" s="24" t="b">
        <v>0</v>
      </c>
      <c r="Q1129" s="20" t="str">
        <f t="shared" si="31"/>
        <v/>
      </c>
      <c r="R1129" s="24" t="b">
        <v>1</v>
      </c>
      <c r="S1129" s="20">
        <f t="shared" si="6"/>
        <v>45637.41002</v>
      </c>
      <c r="T1129" s="7"/>
    </row>
    <row r="1130" ht="22.5" hidden="1" customHeight="1">
      <c r="B1130" s="7">
        <f t="shared" si="7"/>
        <v>1124</v>
      </c>
      <c r="C1130" s="18" t="s">
        <v>1095</v>
      </c>
      <c r="D1130" s="19" t="str">
        <f t="array" ref="D1130">IFNA(_xlfn.XLOOKUP(C1130,Table_Tarikan_Warkah[Nomor Sertipikat],Table_Tarikan_Warkah[Nomor Tiket]),"")</f>
        <v>K/43/251124/1</v>
      </c>
      <c r="E1130" s="20" t="str">
        <f t="array" ref="E1130">IFNA(_xlfn.XLOOKUP(D1130,Table_Tarikan_Warkah[Nomor Tiket],Table_Tarikan_Warkah[Tanggal diserahkan kepada Validator]),"")</f>
        <v/>
      </c>
      <c r="F1130" s="20" t="str">
        <f t="array" ref="F1130">IFNA(_xlfn.XLOOKUP(D1130,Table_Tarikan_Warkah[Nomor Tiket],Table_Tarikan_Warkah[Nama Petugas Warkah]),"")</f>
        <v/>
      </c>
      <c r="G1130" s="21" t="str">
        <f t="array" ref="G1130">IFNA(_xlfn.XLOOKUP(D1130,Table_Tarikan_Warkah[Nomor Tiket],Table_Tarikan_Warkah[Jenis Permohonan]),"")</f>
        <v>BN JUAL BELI</v>
      </c>
      <c r="H1130" s="22" t="s">
        <v>31</v>
      </c>
      <c r="I1130" s="22" t="s">
        <v>187</v>
      </c>
      <c r="J1130" s="20">
        <f t="shared" si="29"/>
        <v>45636.62251</v>
      </c>
      <c r="K1130" s="27" t="s">
        <v>33</v>
      </c>
      <c r="L1130" s="27" t="s">
        <v>187</v>
      </c>
      <c r="M1130" s="20">
        <f t="shared" si="30"/>
        <v>45636.70676</v>
      </c>
      <c r="N1130" s="8" t="str">
        <f t="shared" si="3"/>
        <v>Selesai</v>
      </c>
      <c r="O1130" s="23">
        <f t="shared" si="22"/>
        <v>45636.70676</v>
      </c>
      <c r="P1130" s="24" t="b">
        <v>1</v>
      </c>
      <c r="Q1130" s="20">
        <f t="shared" si="31"/>
        <v>45636.70676</v>
      </c>
      <c r="R1130" s="24" t="b">
        <v>0</v>
      </c>
      <c r="S1130" s="7" t="str">
        <f t="shared" si="6"/>
        <v/>
      </c>
      <c r="T1130" s="7"/>
    </row>
    <row r="1131" ht="22.5" hidden="1" customHeight="1">
      <c r="B1131" s="7">
        <f t="shared" si="7"/>
        <v>1125</v>
      </c>
      <c r="C1131" s="18" t="s">
        <v>1096</v>
      </c>
      <c r="D1131" s="19" t="str">
        <f t="array" ref="D1131">IFNA(_xlfn.XLOOKUP(C1131,Table_Tarikan_Warkah[Nomor Sertipikat],Table_Tarikan_Warkah[Nomor Tiket]),"")</f>
        <v>K/49/031224/1</v>
      </c>
      <c r="E1131" s="20">
        <f t="array" ref="E1131">IFNA(_xlfn.XLOOKUP(D1131,Table_Tarikan_Warkah[Nomor Tiket],Table_Tarikan_Warkah[Tanggal diserahkan kepada Validator]),"")</f>
        <v>45644.4605</v>
      </c>
      <c r="F1131" s="20" t="str">
        <f t="array" ref="F1131">IFNA(_xlfn.XLOOKUP(D1131,Table_Tarikan_Warkah[Nomor Tiket],Table_Tarikan_Warkah[Nama Petugas Warkah]),"")</f>
        <v>Berry</v>
      </c>
      <c r="G1131" s="21" t="str">
        <f t="array" ref="G1131">IFNA(_xlfn.XLOOKUP(D1131,Table_Tarikan_Warkah[Nomor Tiket],Table_Tarikan_Warkah[Jenis Permohonan]),"")</f>
        <v>BN JUAL BELI</v>
      </c>
      <c r="H1131" s="22" t="s">
        <v>31</v>
      </c>
      <c r="I1131" s="22" t="s">
        <v>187</v>
      </c>
      <c r="J1131" s="20">
        <f t="shared" si="29"/>
        <v>45636.62255</v>
      </c>
      <c r="K1131" s="27" t="s">
        <v>33</v>
      </c>
      <c r="L1131" s="27" t="s">
        <v>187</v>
      </c>
      <c r="M1131" s="20">
        <f t="shared" si="30"/>
        <v>45636.70676</v>
      </c>
      <c r="N1131" s="8" t="str">
        <f t="shared" si="3"/>
        <v>Selesai</v>
      </c>
      <c r="O1131" s="23">
        <f t="shared" si="22"/>
        <v>45636.70676</v>
      </c>
      <c r="P1131" s="24" t="b">
        <v>1</v>
      </c>
      <c r="Q1131" s="20">
        <f t="shared" si="31"/>
        <v>45636.70676</v>
      </c>
      <c r="R1131" s="24" t="b">
        <v>0</v>
      </c>
      <c r="S1131" s="7" t="str">
        <f t="shared" si="6"/>
        <v/>
      </c>
      <c r="T1131" s="7"/>
    </row>
    <row r="1132" ht="22.5" hidden="1" customHeight="1">
      <c r="B1132" s="7">
        <f t="shared" si="7"/>
        <v>1126</v>
      </c>
      <c r="C1132" s="18" t="s">
        <v>1097</v>
      </c>
      <c r="D1132" s="19" t="str">
        <f t="array" ref="D1132">IFNA(_xlfn.XLOOKUP(C1132,Table_Tarikan_Warkah[Nomor Sertipikat],Table_Tarikan_Warkah[Nomor Tiket]),"")</f>
        <v>K/31/061224/1</v>
      </c>
      <c r="E1132" s="20">
        <f t="array" ref="E1132">IFNA(_xlfn.XLOOKUP(D1132,Table_Tarikan_Warkah[Nomor Tiket],Table_Tarikan_Warkah[Tanggal diserahkan kepada Validator]),"")</f>
        <v>45635.67707</v>
      </c>
      <c r="F1132" s="20" t="str">
        <f t="array" ref="F1132">IFNA(_xlfn.XLOOKUP(D1132,Table_Tarikan_Warkah[Nomor Tiket],Table_Tarikan_Warkah[Nama Petugas Warkah]),"")</f>
        <v>David</v>
      </c>
      <c r="G1132" s="21" t="str">
        <f t="array" ref="G1132">IFNA(_xlfn.XLOOKUP(D1132,Table_Tarikan_Warkah[Nomor Tiket],Table_Tarikan_Warkah[Jenis Permohonan]),"")</f>
        <v>BN JUAL BELI</v>
      </c>
      <c r="H1132" s="22" t="s">
        <v>31</v>
      </c>
      <c r="I1132" s="22" t="s">
        <v>187</v>
      </c>
      <c r="J1132" s="20">
        <f t="shared" si="29"/>
        <v>45636.62255</v>
      </c>
      <c r="K1132" s="27" t="s">
        <v>33</v>
      </c>
      <c r="L1132" s="27" t="s">
        <v>187</v>
      </c>
      <c r="M1132" s="20">
        <f t="shared" si="30"/>
        <v>45636.70676</v>
      </c>
      <c r="N1132" s="8" t="str">
        <f t="shared" si="3"/>
        <v>Selesai</v>
      </c>
      <c r="O1132" s="23">
        <f t="shared" si="22"/>
        <v>45636.70676</v>
      </c>
      <c r="P1132" s="24" t="b">
        <v>1</v>
      </c>
      <c r="Q1132" s="20">
        <f t="shared" si="31"/>
        <v>45636.70676</v>
      </c>
      <c r="R1132" s="24" t="b">
        <v>0</v>
      </c>
      <c r="S1132" s="7" t="str">
        <f t="shared" si="6"/>
        <v/>
      </c>
      <c r="T1132" s="7"/>
    </row>
    <row r="1133" ht="22.5" hidden="1" customHeight="1">
      <c r="B1133" s="7">
        <f t="shared" si="7"/>
        <v>1127</v>
      </c>
      <c r="C1133" s="18" t="s">
        <v>1098</v>
      </c>
      <c r="D1133" s="19" t="str">
        <f t="array" ref="D1133">IFNA(_xlfn.XLOOKUP(C1133,Table_Tarikan_Warkah[Nomor Sertipikat],Table_Tarikan_Warkah[Nomor Tiket]),"")</f>
        <v>K/11/051224/1</v>
      </c>
      <c r="E1133" s="20">
        <f t="array" ref="E1133">IFNA(_xlfn.XLOOKUP(D1133,Table_Tarikan_Warkah[Nomor Tiket],Table_Tarikan_Warkah[Tanggal diserahkan kepada Validator]),"")</f>
        <v>45635.4169</v>
      </c>
      <c r="F1133" s="20" t="str">
        <f t="array" ref="F1133">IFNA(_xlfn.XLOOKUP(D1133,Table_Tarikan_Warkah[Nomor Tiket],Table_Tarikan_Warkah[Nama Petugas Warkah]),"")</f>
        <v>Berry</v>
      </c>
      <c r="G1133" s="21" t="str">
        <f t="array" ref="G1133">IFNA(_xlfn.XLOOKUP(D1133,Table_Tarikan_Warkah[Nomor Tiket],Table_Tarikan_Warkah[Jenis Permohonan]),"")</f>
        <v>BN JUAL BELI</v>
      </c>
      <c r="H1133" s="22" t="s">
        <v>31</v>
      </c>
      <c r="I1133" s="22" t="s">
        <v>187</v>
      </c>
      <c r="J1133" s="20">
        <f t="shared" si="29"/>
        <v>45636.62255</v>
      </c>
      <c r="K1133" s="27" t="s">
        <v>33</v>
      </c>
      <c r="L1133" s="27" t="s">
        <v>187</v>
      </c>
      <c r="M1133" s="20">
        <f t="shared" si="30"/>
        <v>45636.70676</v>
      </c>
      <c r="N1133" s="8" t="str">
        <f t="shared" si="3"/>
        <v>Selesai</v>
      </c>
      <c r="O1133" s="23">
        <f t="shared" si="22"/>
        <v>45636.70676</v>
      </c>
      <c r="P1133" s="24" t="b">
        <v>1</v>
      </c>
      <c r="Q1133" s="20">
        <f t="shared" si="31"/>
        <v>45636.70676</v>
      </c>
      <c r="R1133" s="24" t="b">
        <v>0</v>
      </c>
      <c r="S1133" s="7" t="str">
        <f t="shared" si="6"/>
        <v/>
      </c>
      <c r="T1133" s="7"/>
    </row>
    <row r="1134" ht="22.5" hidden="1" customHeight="1">
      <c r="B1134" s="7">
        <f t="shared" si="7"/>
        <v>1128</v>
      </c>
      <c r="C1134" s="18" t="s">
        <v>1099</v>
      </c>
      <c r="D1134" s="19" t="str">
        <f t="array" ref="D1134">IFNA(_xlfn.XLOOKUP(C1134,Table_Tarikan_Warkah[Nomor Sertipikat],Table_Tarikan_Warkah[Nomor Tiket]),"")</f>
        <v>K/6/291124/1</v>
      </c>
      <c r="E1134" s="20">
        <f t="array" ref="E1134">IFNA(_xlfn.XLOOKUP(D1134,Table_Tarikan_Warkah[Nomor Tiket],Table_Tarikan_Warkah[Tanggal diserahkan kepada Validator]),"")</f>
        <v>45628.62641</v>
      </c>
      <c r="F1134" s="20" t="str">
        <f t="array" ref="F1134">IFNA(_xlfn.XLOOKUP(D1134,Table_Tarikan_Warkah[Nomor Tiket],Table_Tarikan_Warkah[Nama Petugas Warkah]),"")</f>
        <v>Berry</v>
      </c>
      <c r="G1134" s="21" t="str">
        <f t="array" ref="G1134">IFNA(_xlfn.XLOOKUP(D1134,Table_Tarikan_Warkah[Nomor Tiket],Table_Tarikan_Warkah[Jenis Permohonan]),"")</f>
        <v>ROYA</v>
      </c>
      <c r="H1134" s="22" t="s">
        <v>37</v>
      </c>
      <c r="I1134" s="22" t="s">
        <v>187</v>
      </c>
      <c r="J1134" s="20">
        <f t="shared" si="29"/>
        <v>45636.61062</v>
      </c>
      <c r="K1134" s="27" t="s">
        <v>33</v>
      </c>
      <c r="L1134" s="27" t="s">
        <v>187</v>
      </c>
      <c r="M1134" s="20">
        <f t="shared" si="30"/>
        <v>45636.70676</v>
      </c>
      <c r="N1134" s="8" t="str">
        <f t="shared" si="3"/>
        <v>Selesai</v>
      </c>
      <c r="O1134" s="23">
        <f t="shared" si="22"/>
        <v>45636.70676</v>
      </c>
      <c r="P1134" s="24" t="b">
        <v>1</v>
      </c>
      <c r="Q1134" s="20">
        <f t="shared" si="31"/>
        <v>45636.70676</v>
      </c>
      <c r="R1134" s="24" t="b">
        <v>0</v>
      </c>
      <c r="S1134" s="7" t="str">
        <f t="shared" si="6"/>
        <v/>
      </c>
      <c r="T1134" s="7"/>
    </row>
    <row r="1135" ht="22.5" hidden="1" customHeight="1">
      <c r="B1135" s="7">
        <f t="shared" si="7"/>
        <v>1129</v>
      </c>
      <c r="C1135" s="18" t="s">
        <v>1100</v>
      </c>
      <c r="D1135" s="19" t="str">
        <f t="array" ref="D1135">IFNA(_xlfn.XLOOKUP(C1135,Table_Tarikan_Warkah[Nomor Sertipikat],Table_Tarikan_Warkah[Nomor Tiket]),"")</f>
        <v>K/42/041224/1</v>
      </c>
      <c r="E1135" s="20" t="str">
        <f t="array" ref="E1135">IFNA(_xlfn.XLOOKUP(D1135,Table_Tarikan_Warkah[Nomor Tiket],Table_Tarikan_Warkah[Tanggal diserahkan kepada Validator]),"")</f>
        <v/>
      </c>
      <c r="F1135" s="20" t="str">
        <f t="array" ref="F1135">IFNA(_xlfn.XLOOKUP(D1135,Table_Tarikan_Warkah[Nomor Tiket],Table_Tarikan_Warkah[Nama Petugas Warkah]),"")</f>
        <v/>
      </c>
      <c r="G1135" s="21" t="str">
        <f t="array" ref="G1135">IFNA(_xlfn.XLOOKUP(D1135,Table_Tarikan_Warkah[Nomor Tiket],Table_Tarikan_Warkah[Jenis Permohonan]),"")</f>
        <v>BN JUAL BELI</v>
      </c>
      <c r="H1135" s="22" t="s">
        <v>37</v>
      </c>
      <c r="I1135" s="22" t="s">
        <v>187</v>
      </c>
      <c r="J1135" s="20">
        <f t="shared" si="29"/>
        <v>45636.61079</v>
      </c>
      <c r="K1135" s="27" t="s">
        <v>33</v>
      </c>
      <c r="L1135" s="27" t="s">
        <v>187</v>
      </c>
      <c r="M1135" s="20">
        <f t="shared" si="30"/>
        <v>45636.70676</v>
      </c>
      <c r="N1135" s="8" t="str">
        <f t="shared" si="3"/>
        <v>Selesai</v>
      </c>
      <c r="O1135" s="23">
        <f t="shared" si="22"/>
        <v>45636.70676</v>
      </c>
      <c r="P1135" s="24" t="b">
        <v>1</v>
      </c>
      <c r="Q1135" s="20">
        <f t="shared" si="31"/>
        <v>45636.70676</v>
      </c>
      <c r="R1135" s="24" t="b">
        <v>0</v>
      </c>
      <c r="S1135" s="7" t="str">
        <f t="shared" si="6"/>
        <v/>
      </c>
      <c r="T1135" s="7"/>
    </row>
    <row r="1136" ht="22.5" hidden="1" customHeight="1">
      <c r="B1136" s="7">
        <f t="shared" si="7"/>
        <v>1130</v>
      </c>
      <c r="C1136" s="18" t="s">
        <v>1101</v>
      </c>
      <c r="D1136" s="19" t="str">
        <f t="array" ref="D1136">IFNA(_xlfn.XLOOKUP(C1136,Table_Tarikan_Warkah[Nomor Sertipikat],Table_Tarikan_Warkah[Nomor Tiket]),"")</f>
        <v>K/18/221124/2</v>
      </c>
      <c r="E1136" s="20">
        <f t="array" ref="E1136">IFNA(_xlfn.XLOOKUP(D1136,Table_Tarikan_Warkah[Nomor Tiket],Table_Tarikan_Warkah[Tanggal diserahkan kepada Validator]),"")</f>
        <v>45622.42864</v>
      </c>
      <c r="F1136" s="20" t="str">
        <f t="array" ref="F1136">IFNA(_xlfn.XLOOKUP(D1136,Table_Tarikan_Warkah[Nomor Tiket],Table_Tarikan_Warkah[Nama Petugas Warkah]),"")</f>
        <v>David</v>
      </c>
      <c r="G1136" s="21" t="str">
        <f t="array" ref="G1136">IFNA(_xlfn.XLOOKUP(D1136,Table_Tarikan_Warkah[Nomor Tiket],Table_Tarikan_Warkah[Jenis Permohonan]),"")</f>
        <v>ROYA</v>
      </c>
      <c r="H1136" s="22" t="s">
        <v>37</v>
      </c>
      <c r="I1136" s="22" t="s">
        <v>187</v>
      </c>
      <c r="J1136" s="20">
        <f t="shared" si="29"/>
        <v>45636.61092</v>
      </c>
      <c r="K1136" s="27" t="s">
        <v>33</v>
      </c>
      <c r="L1136" s="27" t="s">
        <v>187</v>
      </c>
      <c r="M1136" s="20">
        <f t="shared" si="30"/>
        <v>45636.70676</v>
      </c>
      <c r="N1136" s="8" t="str">
        <f t="shared" si="3"/>
        <v>Selesai</v>
      </c>
      <c r="O1136" s="23">
        <f t="shared" si="22"/>
        <v>45636.70676</v>
      </c>
      <c r="P1136" s="24" t="b">
        <v>1</v>
      </c>
      <c r="Q1136" s="20">
        <f t="shared" si="31"/>
        <v>45636.70676</v>
      </c>
      <c r="R1136" s="24" t="b">
        <v>0</v>
      </c>
      <c r="S1136" s="7" t="str">
        <f t="shared" si="6"/>
        <v/>
      </c>
      <c r="T1136" s="7"/>
    </row>
    <row r="1137" ht="22.5" hidden="1" customHeight="1">
      <c r="B1137" s="7">
        <f t="shared" si="7"/>
        <v>1131</v>
      </c>
      <c r="C1137" s="18" t="s">
        <v>1102</v>
      </c>
      <c r="D1137" s="19" t="str">
        <f t="array" ref="D1137">IFNA(_xlfn.XLOOKUP(C1137,Table_Tarikan_Warkah[Nomor Sertipikat],Table_Tarikan_Warkah[Nomor Tiket]),"")</f>
        <v>K/13/061224/1</v>
      </c>
      <c r="E1137" s="20">
        <f t="array" ref="E1137">IFNA(_xlfn.XLOOKUP(D1137,Table_Tarikan_Warkah[Nomor Tiket],Table_Tarikan_Warkah[Tanggal diserahkan kepada Validator]),"")</f>
        <v>45635.67487</v>
      </c>
      <c r="F1137" s="20" t="str">
        <f t="array" ref="F1137">IFNA(_xlfn.XLOOKUP(D1137,Table_Tarikan_Warkah[Nomor Tiket],Table_Tarikan_Warkah[Nama Petugas Warkah]),"")</f>
        <v>Berry</v>
      </c>
      <c r="G1137" s="21" t="str">
        <f t="array" ref="G1137">IFNA(_xlfn.XLOOKUP(D1137,Table_Tarikan_Warkah[Nomor Tiket],Table_Tarikan_Warkah[Jenis Permohonan]),"")</f>
        <v>Roya</v>
      </c>
      <c r="H1137" s="22" t="s">
        <v>37</v>
      </c>
      <c r="I1137" s="22" t="s">
        <v>32</v>
      </c>
      <c r="J1137" s="20">
        <f t="shared" si="29"/>
        <v>45636.61116</v>
      </c>
      <c r="K1137" s="27" t="s">
        <v>65</v>
      </c>
      <c r="L1137" s="27" t="s">
        <v>32</v>
      </c>
      <c r="M1137" s="20">
        <f t="shared" si="30"/>
        <v>45636.70676</v>
      </c>
      <c r="N1137" s="8" t="str">
        <f t="shared" si="3"/>
        <v>SELESAI</v>
      </c>
      <c r="O1137" s="23">
        <f t="shared" si="22"/>
        <v>45636.70676</v>
      </c>
      <c r="P1137" s="24" t="b">
        <v>0</v>
      </c>
      <c r="Q1137" s="20" t="str">
        <f t="shared" si="31"/>
        <v/>
      </c>
      <c r="R1137" s="24" t="b">
        <v>0</v>
      </c>
      <c r="S1137" s="7" t="str">
        <f t="shared" si="6"/>
        <v/>
      </c>
      <c r="T1137" s="7"/>
    </row>
    <row r="1138" ht="22.5" hidden="1" customHeight="1">
      <c r="B1138" s="7">
        <f t="shared" si="7"/>
        <v>1132</v>
      </c>
      <c r="C1138" s="18" t="s">
        <v>1103</v>
      </c>
      <c r="D1138" s="19" t="str">
        <f t="array" ref="D1138">IFNA(_xlfn.XLOOKUP(C1138,Table_Tarikan_Warkah[Nomor Sertipikat],Table_Tarikan_Warkah[Nomor Tiket]),"")</f>
        <v>K/3/091224/1</v>
      </c>
      <c r="E1138" s="20" t="str">
        <f t="array" ref="E1138">IFNA(_xlfn.XLOOKUP(D1138,Table_Tarikan_Warkah[Nomor Tiket],Table_Tarikan_Warkah[Tanggal diserahkan kepada Validator]),"")</f>
        <v/>
      </c>
      <c r="F1138" s="20" t="str">
        <f t="array" ref="F1138">IFNA(_xlfn.XLOOKUP(D1138,Table_Tarikan_Warkah[Nomor Tiket],Table_Tarikan_Warkah[Nama Petugas Warkah]),"")</f>
        <v>David</v>
      </c>
      <c r="G1138" s="21" t="str">
        <f t="array" ref="G1138">IFNA(_xlfn.XLOOKUP(D1138,Table_Tarikan_Warkah[Nomor Tiket],Table_Tarikan_Warkah[Jenis Permohonan]),"")</f>
        <v>KEWARISAN</v>
      </c>
      <c r="H1138" s="22" t="s">
        <v>31</v>
      </c>
      <c r="I1138" s="22" t="s">
        <v>32</v>
      </c>
      <c r="J1138" s="20">
        <f t="shared" si="29"/>
        <v>45636.62231</v>
      </c>
      <c r="K1138" s="27" t="s">
        <v>65</v>
      </c>
      <c r="L1138" s="27" t="s">
        <v>32</v>
      </c>
      <c r="M1138" s="20">
        <f t="shared" si="30"/>
        <v>45636.70676</v>
      </c>
      <c r="N1138" s="8" t="str">
        <f t="shared" si="3"/>
        <v>SELESAI</v>
      </c>
      <c r="O1138" s="23">
        <f t="shared" si="22"/>
        <v>45636.70676</v>
      </c>
      <c r="P1138" s="24" t="b">
        <v>0</v>
      </c>
      <c r="Q1138" s="20" t="str">
        <f t="shared" si="31"/>
        <v/>
      </c>
      <c r="R1138" s="24" t="b">
        <v>1</v>
      </c>
      <c r="S1138" s="20">
        <f t="shared" si="6"/>
        <v>45637.41105</v>
      </c>
      <c r="T1138" s="7"/>
    </row>
    <row r="1139" ht="22.5" hidden="1" customHeight="1">
      <c r="B1139" s="7">
        <f t="shared" si="7"/>
        <v>1133</v>
      </c>
      <c r="C1139" s="18" t="s">
        <v>1104</v>
      </c>
      <c r="D1139" s="19" t="str">
        <f t="array" ref="D1139">IFNA(_xlfn.XLOOKUP(C1139,Table_Tarikan_Warkah[Nomor Sertipikat],Table_Tarikan_Warkah[Nomor Tiket]),"")</f>
        <v>K/49/061224/2</v>
      </c>
      <c r="E1139" s="20" t="str">
        <f t="array" ref="E1139">IFNA(_xlfn.XLOOKUP(D1139,Table_Tarikan_Warkah[Nomor Tiket],Table_Tarikan_Warkah[Tanggal diserahkan kepada Validator]),"")</f>
        <v/>
      </c>
      <c r="F1139" s="20" t="str">
        <f t="array" ref="F1139">IFNA(_xlfn.XLOOKUP(D1139,Table_Tarikan_Warkah[Nomor Tiket],Table_Tarikan_Warkah[Nama Petugas Warkah]),"")</f>
        <v/>
      </c>
      <c r="G1139" s="21" t="str">
        <f t="array" ref="G1139">IFNA(_xlfn.XLOOKUP(D1139,Table_Tarikan_Warkah[Nomor Tiket],Table_Tarikan_Warkah[Jenis Permohonan]),"")</f>
        <v>BN Jual Beli</v>
      </c>
      <c r="H1139" s="22" t="s">
        <v>37</v>
      </c>
      <c r="I1139" s="22" t="s">
        <v>187</v>
      </c>
      <c r="J1139" s="20">
        <f t="shared" si="29"/>
        <v>45636.63057</v>
      </c>
      <c r="K1139" s="27" t="s">
        <v>33</v>
      </c>
      <c r="L1139" s="27" t="s">
        <v>187</v>
      </c>
      <c r="M1139" s="20">
        <f t="shared" si="30"/>
        <v>45636.70676</v>
      </c>
      <c r="N1139" s="8" t="str">
        <f t="shared" si="3"/>
        <v>Selesai</v>
      </c>
      <c r="O1139" s="23">
        <f t="shared" si="22"/>
        <v>45636.70676</v>
      </c>
      <c r="P1139" s="24" t="b">
        <v>1</v>
      </c>
      <c r="Q1139" s="20">
        <f t="shared" si="31"/>
        <v>45636.70676</v>
      </c>
      <c r="R1139" s="24" t="b">
        <v>0</v>
      </c>
      <c r="S1139" s="7" t="str">
        <f t="shared" si="6"/>
        <v/>
      </c>
      <c r="T1139" s="7"/>
    </row>
    <row r="1140" ht="22.5" hidden="1" customHeight="1">
      <c r="B1140" s="7">
        <f t="shared" si="7"/>
        <v>1134</v>
      </c>
      <c r="C1140" s="18" t="s">
        <v>1105</v>
      </c>
      <c r="D1140" s="19" t="str">
        <f t="array" ref="D1140">IFNA(_xlfn.XLOOKUP(C1140,Table_Tarikan_Warkah[Nomor Sertipikat],Table_Tarikan_Warkah[Nomor Tiket]),"")</f>
        <v>K/5/061224/1</v>
      </c>
      <c r="E1140" s="20" t="str">
        <f t="array" ref="E1140">IFNA(_xlfn.XLOOKUP(D1140,Table_Tarikan_Warkah[Nomor Tiket],Table_Tarikan_Warkah[Tanggal diserahkan kepada Validator]),"")</f>
        <v/>
      </c>
      <c r="F1140" s="20" t="str">
        <f t="array" ref="F1140">IFNA(_xlfn.XLOOKUP(D1140,Table_Tarikan_Warkah[Nomor Tiket],Table_Tarikan_Warkah[Nama Petugas Warkah]),"")</f>
        <v/>
      </c>
      <c r="G1140" s="21" t="str">
        <f t="array" ref="G1140">IFNA(_xlfn.XLOOKUP(D1140,Table_Tarikan_Warkah[Nomor Tiket],Table_Tarikan_Warkah[Jenis Permohonan]),"")</f>
        <v>Roya</v>
      </c>
      <c r="H1140" s="22" t="s">
        <v>37</v>
      </c>
      <c r="I1140" s="22" t="s">
        <v>187</v>
      </c>
      <c r="J1140" s="20">
        <f t="shared" si="29"/>
        <v>45636.63221</v>
      </c>
      <c r="K1140" s="27" t="s">
        <v>33</v>
      </c>
      <c r="L1140" s="27" t="s">
        <v>187</v>
      </c>
      <c r="M1140" s="20">
        <f t="shared" si="30"/>
        <v>45636.70676</v>
      </c>
      <c r="N1140" s="8" t="str">
        <f t="shared" si="3"/>
        <v>Selesai</v>
      </c>
      <c r="O1140" s="23">
        <f t="shared" si="22"/>
        <v>45636.70676</v>
      </c>
      <c r="P1140" s="24" t="b">
        <v>1</v>
      </c>
      <c r="Q1140" s="20">
        <f t="shared" si="31"/>
        <v>45636.70676</v>
      </c>
      <c r="R1140" s="24" t="b">
        <v>0</v>
      </c>
      <c r="S1140" s="7" t="str">
        <f t="shared" si="6"/>
        <v/>
      </c>
      <c r="T1140" s="7"/>
    </row>
    <row r="1141" ht="22.5" hidden="1" customHeight="1">
      <c r="B1141" s="7">
        <f t="shared" si="7"/>
        <v>1135</v>
      </c>
      <c r="C1141" s="18" t="s">
        <v>1106</v>
      </c>
      <c r="D1141" s="19" t="str">
        <f t="array" ref="D1141">IFNA(_xlfn.XLOOKUP(C1141,Table_Tarikan_Warkah[Nomor Sertipikat],Table_Tarikan_Warkah[Nomor Tiket]),"")</f>
        <v>K/21/031224/1</v>
      </c>
      <c r="E1141" s="20">
        <f t="array" ref="E1141">IFNA(_xlfn.XLOOKUP(D1141,Table_Tarikan_Warkah[Nomor Tiket],Table_Tarikan_Warkah[Tanggal diserahkan kepada Validator]),"")</f>
        <v>45631.34532</v>
      </c>
      <c r="F1141" s="20" t="str">
        <f t="array" ref="F1141">IFNA(_xlfn.XLOOKUP(D1141,Table_Tarikan_Warkah[Nomor Tiket],Table_Tarikan_Warkah[Nama Petugas Warkah]),"")</f>
        <v>Berry</v>
      </c>
      <c r="G1141" s="21" t="str">
        <f t="array" ref="G1141">IFNA(_xlfn.XLOOKUP(D1141,Table_Tarikan_Warkah[Nomor Tiket],Table_Tarikan_Warkah[Jenis Permohonan]),"")</f>
        <v>BN JUAL BELI</v>
      </c>
      <c r="H1141" s="22" t="s">
        <v>37</v>
      </c>
      <c r="I1141" s="22" t="s">
        <v>187</v>
      </c>
      <c r="J1141" s="20">
        <f t="shared" si="29"/>
        <v>45636.66598</v>
      </c>
      <c r="K1141" s="27" t="s">
        <v>33</v>
      </c>
      <c r="L1141" s="27" t="s">
        <v>187</v>
      </c>
      <c r="M1141" s="20">
        <f t="shared" si="30"/>
        <v>45636.70676</v>
      </c>
      <c r="N1141" s="8" t="str">
        <f t="shared" si="3"/>
        <v>Selesai</v>
      </c>
      <c r="O1141" s="23">
        <f t="shared" si="22"/>
        <v>45636.70676</v>
      </c>
      <c r="P1141" s="24" t="b">
        <v>1</v>
      </c>
      <c r="Q1141" s="20">
        <f t="shared" si="31"/>
        <v>45636.70676</v>
      </c>
      <c r="R1141" s="24" t="b">
        <v>0</v>
      </c>
      <c r="S1141" s="7" t="str">
        <f t="shared" si="6"/>
        <v/>
      </c>
      <c r="T1141" s="7"/>
    </row>
    <row r="1142" ht="22.5" hidden="1" customHeight="1">
      <c r="B1142" s="7">
        <f t="shared" si="7"/>
        <v>1136</v>
      </c>
      <c r="C1142" s="18" t="s">
        <v>1107</v>
      </c>
      <c r="D1142" s="19" t="str">
        <f t="array" ref="D1142">IFNA(_xlfn.XLOOKUP(C1142,Table_Tarikan_Warkah[Nomor Sertipikat],Table_Tarikan_Warkah[Nomor Tiket]),"")</f>
        <v>L/48/121124/1</v>
      </c>
      <c r="E1142" s="20" t="str">
        <f t="array" ref="E1142">IFNA(_xlfn.XLOOKUP(D1142,Table_Tarikan_Warkah[Nomor Tiket],Table_Tarikan_Warkah[Tanggal diserahkan kepada Validator]),"")</f>
        <v/>
      </c>
      <c r="F1142" s="20" t="str">
        <f t="array" ref="F1142">IFNA(_xlfn.XLOOKUP(D1142,Table_Tarikan_Warkah[Nomor Tiket],Table_Tarikan_Warkah[Nama Petugas Warkah]),"")</f>
        <v>Berry</v>
      </c>
      <c r="G1142" s="21" t="str">
        <f t="array" ref="G1142">IFNA(_xlfn.XLOOKUP(D1142,Table_Tarikan_Warkah[Nomor Tiket],Table_Tarikan_Warkah[Jenis Permohonan]),"")</f>
        <v>PERUBAHAN HAK</v>
      </c>
      <c r="H1142" s="22" t="s">
        <v>37</v>
      </c>
      <c r="I1142" s="22" t="s">
        <v>187</v>
      </c>
      <c r="J1142" s="20">
        <f t="shared" si="29"/>
        <v>45636.70676</v>
      </c>
      <c r="K1142" s="22" t="s">
        <v>33</v>
      </c>
      <c r="L1142" s="22" t="s">
        <v>187</v>
      </c>
      <c r="M1142" s="20">
        <f t="shared" si="30"/>
        <v>45636.70676</v>
      </c>
      <c r="N1142" s="8" t="str">
        <f t="shared" si="3"/>
        <v>Selesai</v>
      </c>
      <c r="O1142" s="23">
        <f t="shared" si="22"/>
        <v>45636.70676</v>
      </c>
      <c r="P1142" s="24" t="b">
        <v>1</v>
      </c>
      <c r="Q1142" s="20">
        <f t="shared" si="31"/>
        <v>45636.70676</v>
      </c>
      <c r="R1142" s="24" t="b">
        <v>0</v>
      </c>
      <c r="S1142" s="7" t="str">
        <f t="shared" si="6"/>
        <v/>
      </c>
      <c r="T1142" s="7"/>
    </row>
    <row r="1143" ht="22.5" hidden="1" customHeight="1">
      <c r="B1143" s="7">
        <f t="shared" si="7"/>
        <v>1137</v>
      </c>
      <c r="C1143" s="18" t="s">
        <v>1108</v>
      </c>
      <c r="D1143" s="19" t="str">
        <f t="array" ref="D1143">IFNA(_xlfn.XLOOKUP(C1143,Table_Tarikan_Warkah[Nomor Sertipikat],Table_Tarikan_Warkah[Nomor Tiket]),"")</f>
        <v>K/4/061224/1</v>
      </c>
      <c r="E1143" s="20" t="str">
        <f t="array" ref="E1143">IFNA(_xlfn.XLOOKUP(D1143,Table_Tarikan_Warkah[Nomor Tiket],Table_Tarikan_Warkah[Tanggal diserahkan kepada Validator]),"")</f>
        <v/>
      </c>
      <c r="F1143" s="20" t="str">
        <f t="array" ref="F1143">IFNA(_xlfn.XLOOKUP(D1143,Table_Tarikan_Warkah[Nomor Tiket],Table_Tarikan_Warkah[Nama Petugas Warkah]),"")</f>
        <v>Berry</v>
      </c>
      <c r="G1143" s="21" t="str">
        <f t="array" ref="G1143">IFNA(_xlfn.XLOOKUP(D1143,Table_Tarikan_Warkah[Nomor Tiket],Table_Tarikan_Warkah[Jenis Permohonan]),"")</f>
        <v>BN Jual Beli</v>
      </c>
      <c r="H1143" s="22" t="s">
        <v>37</v>
      </c>
      <c r="I1143" s="22" t="s">
        <v>187</v>
      </c>
      <c r="J1143" s="20">
        <f t="shared" si="29"/>
        <v>45636.70677</v>
      </c>
      <c r="K1143" s="27" t="s">
        <v>33</v>
      </c>
      <c r="L1143" s="27" t="s">
        <v>187</v>
      </c>
      <c r="M1143" s="20">
        <f t="shared" si="30"/>
        <v>45637.67995</v>
      </c>
      <c r="N1143" s="8" t="str">
        <f t="shared" si="3"/>
        <v>Selesai</v>
      </c>
      <c r="O1143" s="23">
        <f t="shared" si="22"/>
        <v>45637.67995</v>
      </c>
      <c r="P1143" s="24" t="b">
        <v>1</v>
      </c>
      <c r="Q1143" s="20">
        <f t="shared" si="31"/>
        <v>45637.68045</v>
      </c>
      <c r="R1143" s="24" t="b">
        <v>1</v>
      </c>
      <c r="S1143" s="20">
        <f t="shared" si="6"/>
        <v>45650.39623</v>
      </c>
      <c r="T1143" s="39">
        <v>45645.0</v>
      </c>
    </row>
    <row r="1144" ht="22.5" hidden="1" customHeight="1">
      <c r="B1144" s="7">
        <f t="shared" si="7"/>
        <v>1138</v>
      </c>
      <c r="C1144" s="18" t="s">
        <v>1109</v>
      </c>
      <c r="D1144" s="19" t="str">
        <f t="array" ref="D1144">IFNA(_xlfn.XLOOKUP(C1144,Table_Tarikan_Warkah[Nomor Sertipikat],Table_Tarikan_Warkah[Nomor Tiket]),"")</f>
        <v>K/5/091224/1</v>
      </c>
      <c r="E1144" s="20">
        <f t="array" ref="E1144">IFNA(_xlfn.XLOOKUP(D1144,Table_Tarikan_Warkah[Nomor Tiket],Table_Tarikan_Warkah[Tanggal diserahkan kepada Validator]),"")</f>
        <v>45635.67947</v>
      </c>
      <c r="F1144" s="20" t="str">
        <f t="array" ref="F1144">IFNA(_xlfn.XLOOKUP(D1144,Table_Tarikan_Warkah[Nomor Tiket],Table_Tarikan_Warkah[Nama Petugas Warkah]),"")</f>
        <v>David</v>
      </c>
      <c r="G1144" s="21" t="str">
        <f t="array" ref="G1144">IFNA(_xlfn.XLOOKUP(D1144,Table_Tarikan_Warkah[Nomor Tiket],Table_Tarikan_Warkah[Jenis Permohonan]),"")</f>
        <v>BN Waris</v>
      </c>
      <c r="H1144" s="22" t="s">
        <v>37</v>
      </c>
      <c r="I1144" s="22" t="s">
        <v>187</v>
      </c>
      <c r="J1144" s="20">
        <f t="shared" si="29"/>
        <v>45637.41049</v>
      </c>
      <c r="K1144" s="27" t="s">
        <v>33</v>
      </c>
      <c r="L1144" s="27" t="s">
        <v>187</v>
      </c>
      <c r="M1144" s="20">
        <f t="shared" si="30"/>
        <v>45637.68</v>
      </c>
      <c r="N1144" s="8" t="str">
        <f t="shared" si="3"/>
        <v>Selesai</v>
      </c>
      <c r="O1144" s="23">
        <f t="shared" si="22"/>
        <v>45637.68</v>
      </c>
      <c r="P1144" s="24" t="b">
        <v>1</v>
      </c>
      <c r="Q1144" s="20">
        <f t="shared" si="31"/>
        <v>45637.68048</v>
      </c>
      <c r="R1144" s="24" t="b">
        <v>0</v>
      </c>
      <c r="S1144" s="7" t="str">
        <f t="shared" si="6"/>
        <v/>
      </c>
      <c r="T1144" s="39">
        <v>45645.0</v>
      </c>
    </row>
    <row r="1145" ht="22.5" hidden="1" customHeight="1">
      <c r="B1145" s="7">
        <f t="shared" si="7"/>
        <v>1139</v>
      </c>
      <c r="C1145" s="18" t="s">
        <v>1110</v>
      </c>
      <c r="D1145" s="19" t="str">
        <f t="array" ref="D1145">IFNA(_xlfn.XLOOKUP(C1145,Table_Tarikan_Warkah[Nomor Sertipikat],Table_Tarikan_Warkah[Nomor Tiket]),"")</f>
        <v>K/15/091224/3</v>
      </c>
      <c r="E1145" s="20" t="str">
        <f t="array" ref="E1145">IFNA(_xlfn.XLOOKUP(D1145,Table_Tarikan_Warkah[Nomor Tiket],Table_Tarikan_Warkah[Tanggal diserahkan kepada Validator]),"")</f>
        <v/>
      </c>
      <c r="F1145" s="20" t="str">
        <f t="array" ref="F1145">IFNA(_xlfn.XLOOKUP(D1145,Table_Tarikan_Warkah[Nomor Tiket],Table_Tarikan_Warkah[Nama Petugas Warkah]),"")</f>
        <v>Berry</v>
      </c>
      <c r="G1145" s="21" t="str">
        <f t="array" ref="G1145">IFNA(_xlfn.XLOOKUP(D1145,Table_Tarikan_Warkah[Nomor Tiket],Table_Tarikan_Warkah[Jenis Permohonan]),"")</f>
        <v>Roya</v>
      </c>
      <c r="H1145" s="22" t="s">
        <v>37</v>
      </c>
      <c r="I1145" s="22" t="s">
        <v>187</v>
      </c>
      <c r="J1145" s="20">
        <f t="shared" si="29"/>
        <v>45637.41509</v>
      </c>
      <c r="K1145" s="22" t="s">
        <v>33</v>
      </c>
      <c r="L1145" s="22" t="s">
        <v>187</v>
      </c>
      <c r="M1145" s="20">
        <f t="shared" si="30"/>
        <v>45637.68</v>
      </c>
      <c r="N1145" s="8" t="str">
        <f t="shared" si="3"/>
        <v>Selesai</v>
      </c>
      <c r="O1145" s="23">
        <f t="shared" si="22"/>
        <v>45637.68</v>
      </c>
      <c r="P1145" s="24" t="b">
        <v>1</v>
      </c>
      <c r="Q1145" s="20">
        <f t="shared" si="31"/>
        <v>45637.68047</v>
      </c>
      <c r="R1145" s="24" t="b">
        <v>1</v>
      </c>
      <c r="S1145" s="20">
        <f t="shared" si="6"/>
        <v>45650.39378</v>
      </c>
      <c r="T1145" s="39">
        <v>45645.0</v>
      </c>
    </row>
    <row r="1146" ht="22.5" hidden="1" customHeight="1">
      <c r="B1146" s="7">
        <f t="shared" si="7"/>
        <v>1140</v>
      </c>
      <c r="C1146" s="18" t="s">
        <v>1111</v>
      </c>
      <c r="D1146" s="19" t="str">
        <f t="array" ref="D1146">IFNA(_xlfn.XLOOKUP(C1146,Table_Tarikan_Warkah[Nomor Sertipikat],Table_Tarikan_Warkah[Nomor Tiket]),"")</f>
        <v>L/21/021224/1</v>
      </c>
      <c r="E1146" s="20">
        <f t="array" ref="E1146">IFNA(_xlfn.XLOOKUP(D1146,Table_Tarikan_Warkah[Nomor Tiket],Table_Tarikan_Warkah[Tanggal diserahkan kepada Validator]),"")</f>
        <v>45630.39635</v>
      </c>
      <c r="F1146" s="20" t="str">
        <f t="array" ref="F1146">IFNA(_xlfn.XLOOKUP(D1146,Table_Tarikan_Warkah[Nomor Tiket],Table_Tarikan_Warkah[Nama Petugas Warkah]),"")</f>
        <v>Berry</v>
      </c>
      <c r="G1146" s="21" t="str">
        <f t="array" ref="G1146">IFNA(_xlfn.XLOOKUP(D1146,Table_Tarikan_Warkah[Nomor Tiket],Table_Tarikan_Warkah[Jenis Permohonan]),"")</f>
        <v>BN WARIS</v>
      </c>
      <c r="H1146" s="22" t="s">
        <v>37</v>
      </c>
      <c r="I1146" s="22" t="s">
        <v>187</v>
      </c>
      <c r="J1146" s="20">
        <f t="shared" si="29"/>
        <v>45637.41727</v>
      </c>
      <c r="K1146" s="27" t="s">
        <v>33</v>
      </c>
      <c r="L1146" s="27" t="s">
        <v>187</v>
      </c>
      <c r="M1146" s="20">
        <f t="shared" si="30"/>
        <v>45637.68</v>
      </c>
      <c r="N1146" s="8" t="str">
        <f t="shared" si="3"/>
        <v>Selesai</v>
      </c>
      <c r="O1146" s="23">
        <f t="shared" si="22"/>
        <v>45637.68</v>
      </c>
      <c r="P1146" s="24" t="b">
        <v>1</v>
      </c>
      <c r="Q1146" s="20">
        <f t="shared" si="31"/>
        <v>45637.68049</v>
      </c>
      <c r="R1146" s="24" t="b">
        <v>0</v>
      </c>
      <c r="S1146" s="7" t="str">
        <f t="shared" si="6"/>
        <v/>
      </c>
      <c r="T1146" s="7"/>
    </row>
    <row r="1147" ht="22.5" hidden="1" customHeight="1">
      <c r="B1147" s="7">
        <f t="shared" si="7"/>
        <v>1141</v>
      </c>
      <c r="C1147" s="18" t="s">
        <v>1112</v>
      </c>
      <c r="D1147" s="19" t="str">
        <f t="array" ref="D1147">IFNA(_xlfn.XLOOKUP(C1147,Table_Tarikan_Warkah[Nomor Sertipikat],Table_Tarikan_Warkah[Nomor Tiket]),"")</f>
        <v>K/23/051224/5</v>
      </c>
      <c r="E1147" s="20" t="str">
        <f t="array" ref="E1147">IFNA(_xlfn.XLOOKUP(D1147,Table_Tarikan_Warkah[Nomor Tiket],Table_Tarikan_Warkah[Tanggal diserahkan kepada Validator]),"")</f>
        <v/>
      </c>
      <c r="F1147" s="20" t="str">
        <f t="array" ref="F1147">IFNA(_xlfn.XLOOKUP(D1147,Table_Tarikan_Warkah[Nomor Tiket],Table_Tarikan_Warkah[Nama Petugas Warkah]),"")</f>
        <v/>
      </c>
      <c r="G1147" s="21" t="str">
        <f t="array" ref="G1147">IFNA(_xlfn.XLOOKUP(D1147,Table_Tarikan_Warkah[Nomor Tiket],Table_Tarikan_Warkah[Jenis Permohonan]),"")</f>
        <v>BN JUAL BELI</v>
      </c>
      <c r="H1147" s="22" t="s">
        <v>37</v>
      </c>
      <c r="I1147" s="22" t="s">
        <v>187</v>
      </c>
      <c r="J1147" s="20">
        <f t="shared" si="29"/>
        <v>45637.41869</v>
      </c>
      <c r="K1147" s="27" t="s">
        <v>33</v>
      </c>
      <c r="L1147" s="27" t="s">
        <v>187</v>
      </c>
      <c r="M1147" s="20">
        <f t="shared" si="30"/>
        <v>45637.68008</v>
      </c>
      <c r="N1147" s="8" t="str">
        <f t="shared" si="3"/>
        <v>Selesai</v>
      </c>
      <c r="O1147" s="23">
        <f t="shared" si="22"/>
        <v>45637.68008</v>
      </c>
      <c r="P1147" s="24" t="b">
        <v>1</v>
      </c>
      <c r="Q1147" s="20">
        <f t="shared" si="31"/>
        <v>45637.6805</v>
      </c>
      <c r="R1147" s="24" t="b">
        <v>0</v>
      </c>
      <c r="S1147" s="7" t="str">
        <f t="shared" si="6"/>
        <v/>
      </c>
      <c r="T1147" s="7"/>
    </row>
    <row r="1148" ht="22.5" hidden="1" customHeight="1">
      <c r="B1148" s="7">
        <f t="shared" si="7"/>
        <v>1142</v>
      </c>
      <c r="C1148" s="18" t="s">
        <v>1113</v>
      </c>
      <c r="D1148" s="19" t="str">
        <f t="array" ref="D1148">IFNA(_xlfn.XLOOKUP(C1148,Table_Tarikan_Warkah[Nomor Sertipikat],Table_Tarikan_Warkah[Nomor Tiket]),"")</f>
        <v>K/14/091224/2</v>
      </c>
      <c r="E1148" s="20" t="str">
        <f t="array" ref="E1148">IFNA(_xlfn.XLOOKUP(D1148,Table_Tarikan_Warkah[Nomor Tiket],Table_Tarikan_Warkah[Tanggal diserahkan kepada Validator]),"")</f>
        <v/>
      </c>
      <c r="F1148" s="20" t="str">
        <f t="array" ref="F1148">IFNA(_xlfn.XLOOKUP(D1148,Table_Tarikan_Warkah[Nomor Tiket],Table_Tarikan_Warkah[Nama Petugas Warkah]),"")</f>
        <v/>
      </c>
      <c r="G1148" s="21" t="str">
        <f t="array" ref="G1148">IFNA(_xlfn.XLOOKUP(D1148,Table_Tarikan_Warkah[Nomor Tiket],Table_Tarikan_Warkah[Jenis Permohonan]),"")</f>
        <v>Roya</v>
      </c>
      <c r="H1148" s="22" t="s">
        <v>37</v>
      </c>
      <c r="I1148" s="22" t="s">
        <v>32</v>
      </c>
      <c r="J1148" s="20">
        <f t="shared" si="29"/>
        <v>45637.47148</v>
      </c>
      <c r="K1148" s="27" t="s">
        <v>65</v>
      </c>
      <c r="L1148" s="27" t="s">
        <v>32</v>
      </c>
      <c r="M1148" s="20">
        <f t="shared" si="30"/>
        <v>45637.68034</v>
      </c>
      <c r="N1148" s="8" t="str">
        <f t="shared" si="3"/>
        <v>SELESAI</v>
      </c>
      <c r="O1148" s="23">
        <f t="shared" si="22"/>
        <v>45637.68034</v>
      </c>
      <c r="P1148" s="24" t="b">
        <v>0</v>
      </c>
      <c r="Q1148" s="20" t="str">
        <f t="shared" si="31"/>
        <v/>
      </c>
      <c r="R1148" s="24" t="b">
        <v>1</v>
      </c>
      <c r="S1148" s="20">
        <f t="shared" si="6"/>
        <v>45650.39328</v>
      </c>
      <c r="T1148" s="39">
        <v>45645.0</v>
      </c>
    </row>
    <row r="1149" ht="22.5" hidden="1" customHeight="1">
      <c r="B1149" s="7">
        <f t="shared" si="7"/>
        <v>1143</v>
      </c>
      <c r="C1149" s="18" t="s">
        <v>1114</v>
      </c>
      <c r="D1149" s="19" t="str">
        <f t="array" ref="D1149">IFNA(_xlfn.XLOOKUP(C1149,Table_Tarikan_Warkah[Nomor Sertipikat],Table_Tarikan_Warkah[Nomor Tiket]),"")</f>
        <v>K/22/091224/1</v>
      </c>
      <c r="E1149" s="20">
        <f t="array" ref="E1149">IFNA(_xlfn.XLOOKUP(D1149,Table_Tarikan_Warkah[Nomor Tiket],Table_Tarikan_Warkah[Tanggal diserahkan kepada Validator]),"")</f>
        <v>45636.68121</v>
      </c>
      <c r="F1149" s="20" t="str">
        <f t="array" ref="F1149">IFNA(_xlfn.XLOOKUP(D1149,Table_Tarikan_Warkah[Nomor Tiket],Table_Tarikan_Warkah[Nama Petugas Warkah]),"")</f>
        <v>Berry</v>
      </c>
      <c r="G1149" s="21" t="str">
        <f t="array" ref="G1149">IFNA(_xlfn.XLOOKUP(D1149,Table_Tarikan_Warkah[Nomor Tiket],Table_Tarikan_Warkah[Jenis Permohonan]),"")</f>
        <v>BN JUAL BELI</v>
      </c>
      <c r="H1149" s="22" t="s">
        <v>37</v>
      </c>
      <c r="I1149" s="22" t="s">
        <v>32</v>
      </c>
      <c r="J1149" s="20">
        <f t="shared" si="29"/>
        <v>45637.47161</v>
      </c>
      <c r="K1149" s="27" t="s">
        <v>65</v>
      </c>
      <c r="L1149" s="27" t="s">
        <v>32</v>
      </c>
      <c r="M1149" s="20">
        <f t="shared" si="30"/>
        <v>45637.68034</v>
      </c>
      <c r="N1149" s="8" t="str">
        <f t="shared" si="3"/>
        <v>SELESAI</v>
      </c>
      <c r="O1149" s="23">
        <f t="shared" si="22"/>
        <v>45637.68034</v>
      </c>
      <c r="P1149" s="24" t="b">
        <v>0</v>
      </c>
      <c r="Q1149" s="20" t="str">
        <f t="shared" si="31"/>
        <v/>
      </c>
      <c r="R1149" s="24" t="b">
        <v>1</v>
      </c>
      <c r="S1149" s="20">
        <f t="shared" si="6"/>
        <v>45650.39396</v>
      </c>
      <c r="T1149" s="39">
        <v>45645.0</v>
      </c>
    </row>
    <row r="1150" ht="22.5" hidden="1" customHeight="1">
      <c r="B1150" s="7">
        <f t="shared" si="7"/>
        <v>1144</v>
      </c>
      <c r="C1150" s="18" t="s">
        <v>1115</v>
      </c>
      <c r="D1150" s="19" t="str">
        <f t="array" ref="D1150">IFNA(_xlfn.XLOOKUP(C1150,Table_Tarikan_Warkah[Nomor Sertipikat],Table_Tarikan_Warkah[Nomor Tiket]),"")</f>
        <v>K/33/091224/2</v>
      </c>
      <c r="E1150" s="20" t="str">
        <f t="array" ref="E1150">IFNA(_xlfn.XLOOKUP(D1150,Table_Tarikan_Warkah[Nomor Tiket],Table_Tarikan_Warkah[Tanggal diserahkan kepada Validator]),"")</f>
        <v/>
      </c>
      <c r="F1150" s="20" t="str">
        <f t="array" ref="F1150">IFNA(_xlfn.XLOOKUP(D1150,Table_Tarikan_Warkah[Nomor Tiket],Table_Tarikan_Warkah[Nama Petugas Warkah]),"")</f>
        <v/>
      </c>
      <c r="G1150" s="21" t="str">
        <f t="array" ref="G1150">IFNA(_xlfn.XLOOKUP(D1150,Table_Tarikan_Warkah[Nomor Tiket],Table_Tarikan_Warkah[Jenis Permohonan]),"")</f>
        <v>BN JUAL BELI</v>
      </c>
      <c r="H1150" s="22" t="s">
        <v>37</v>
      </c>
      <c r="I1150" s="22" t="s">
        <v>32</v>
      </c>
      <c r="J1150" s="20">
        <f t="shared" si="29"/>
        <v>45637.47181</v>
      </c>
      <c r="K1150" s="27" t="s">
        <v>65</v>
      </c>
      <c r="L1150" s="27" t="s">
        <v>32</v>
      </c>
      <c r="M1150" s="20">
        <f t="shared" si="30"/>
        <v>45637.68038</v>
      </c>
      <c r="N1150" s="8" t="str">
        <f t="shared" si="3"/>
        <v>SELESAI</v>
      </c>
      <c r="O1150" s="23">
        <f t="shared" si="22"/>
        <v>45637.68038</v>
      </c>
      <c r="P1150" s="24" t="b">
        <v>0</v>
      </c>
      <c r="Q1150" s="20" t="str">
        <f t="shared" si="31"/>
        <v/>
      </c>
      <c r="R1150" s="24" t="b">
        <v>1</v>
      </c>
      <c r="S1150" s="20">
        <f t="shared" si="6"/>
        <v>45650.3954</v>
      </c>
      <c r="T1150" s="39">
        <v>45645.0</v>
      </c>
    </row>
    <row r="1151" ht="22.5" hidden="1" customHeight="1">
      <c r="B1151" s="7">
        <f t="shared" si="7"/>
        <v>1145</v>
      </c>
      <c r="C1151" s="18" t="s">
        <v>1116</v>
      </c>
      <c r="D1151" s="19" t="str">
        <f t="array" ref="D1151">IFNA(_xlfn.XLOOKUP(C1151,Table_Tarikan_Warkah[Nomor Sertipikat],Table_Tarikan_Warkah[Nomor Tiket]),"")</f>
        <v>K/34/091224/3</v>
      </c>
      <c r="E1151" s="20"/>
      <c r="F1151" s="20" t="str">
        <f t="array" ref="F1151">IFNA(_xlfn.XLOOKUP(D1151,Table_Tarikan_Warkah[Nomor Tiket],Table_Tarikan_Warkah[Nama Petugas Warkah]),"")</f>
        <v/>
      </c>
      <c r="G1151" s="21" t="str">
        <f t="array" ref="G1151">IFNA(_xlfn.XLOOKUP(D1151,Table_Tarikan_Warkah[Nomor Tiket],Table_Tarikan_Warkah[Jenis Permohonan]),"")</f>
        <v>BN JUAL BELI</v>
      </c>
      <c r="H1151" s="22" t="s">
        <v>37</v>
      </c>
      <c r="I1151" s="22" t="s">
        <v>32</v>
      </c>
      <c r="J1151" s="20">
        <f t="shared" si="29"/>
        <v>45637.47193</v>
      </c>
      <c r="K1151" s="27" t="s">
        <v>65</v>
      </c>
      <c r="L1151" s="27" t="s">
        <v>32</v>
      </c>
      <c r="M1151" s="20">
        <f t="shared" si="30"/>
        <v>45637.68038</v>
      </c>
      <c r="N1151" s="8" t="str">
        <f t="shared" si="3"/>
        <v>SELESAI</v>
      </c>
      <c r="O1151" s="23">
        <f t="shared" si="22"/>
        <v>45637.68038</v>
      </c>
      <c r="P1151" s="24" t="b">
        <v>0</v>
      </c>
      <c r="Q1151" s="20" t="str">
        <f t="shared" si="31"/>
        <v/>
      </c>
      <c r="R1151" s="24" t="b">
        <v>1</v>
      </c>
      <c r="S1151" s="20">
        <f t="shared" si="6"/>
        <v>45650.39541</v>
      </c>
      <c r="T1151" s="39">
        <v>45645.0</v>
      </c>
    </row>
    <row r="1152" ht="22.5" hidden="1" customHeight="1">
      <c r="B1152" s="7">
        <f t="shared" si="7"/>
        <v>1146</v>
      </c>
      <c r="C1152" s="18" t="s">
        <v>1117</v>
      </c>
      <c r="D1152" s="19" t="str">
        <f t="array" ref="D1152">IFNA(_xlfn.XLOOKUP(C1152,Table_Tarikan_Warkah[Nomor Sertipikat],Table_Tarikan_Warkah[Nomor Tiket]),"")</f>
        <v>L/10/091224/1</v>
      </c>
      <c r="E1152" s="20" t="str">
        <f t="array" ref="E1152">IFNA(_xlfn.XLOOKUP(D1152,Table_Tarikan_Warkah[Nomor Tiket],Table_Tarikan_Warkah[Tanggal diserahkan kepada Validator]),"")</f>
        <v/>
      </c>
      <c r="F1152" s="20" t="str">
        <f t="array" ref="F1152">IFNA(_xlfn.XLOOKUP(D1152,Table_Tarikan_Warkah[Nomor Tiket],Table_Tarikan_Warkah[Nama Petugas Warkah]),"")</f>
        <v/>
      </c>
      <c r="G1152" s="21" t="str">
        <f t="array" ref="G1152">IFNA(_xlfn.XLOOKUP(D1152,Table_Tarikan_Warkah[Nomor Tiket],Table_Tarikan_Warkah[Jenis Permohonan]),"")</f>
        <v>BN WARIS</v>
      </c>
      <c r="H1152" s="22" t="s">
        <v>31</v>
      </c>
      <c r="I1152" s="22" t="s">
        <v>32</v>
      </c>
      <c r="J1152" s="20">
        <f t="shared" si="29"/>
        <v>45637.57103</v>
      </c>
      <c r="K1152" s="27" t="s">
        <v>65</v>
      </c>
      <c r="L1152" s="27" t="s">
        <v>32</v>
      </c>
      <c r="M1152" s="20">
        <f t="shared" si="30"/>
        <v>45637.68041</v>
      </c>
      <c r="N1152" s="8" t="str">
        <f t="shared" si="3"/>
        <v>SELESAI</v>
      </c>
      <c r="O1152" s="23">
        <f t="shared" si="22"/>
        <v>45637.68041</v>
      </c>
      <c r="P1152" s="24" t="b">
        <v>1</v>
      </c>
      <c r="Q1152" s="20">
        <f t="shared" si="31"/>
        <v>45643.64309</v>
      </c>
      <c r="R1152" s="24" t="b">
        <v>1</v>
      </c>
      <c r="S1152" s="20">
        <f t="shared" si="6"/>
        <v>45650.39542</v>
      </c>
      <c r="T1152" s="39">
        <v>45645.0</v>
      </c>
    </row>
    <row r="1153" ht="22.5" hidden="1" customHeight="1">
      <c r="B1153" s="7">
        <f t="shared" si="7"/>
        <v>1147</v>
      </c>
      <c r="C1153" s="18" t="s">
        <v>1118</v>
      </c>
      <c r="D1153" s="19" t="str">
        <f t="array" ref="D1153">IFNA(_xlfn.XLOOKUP(C1153,Table_Tarikan_Warkah[Nomor Sertipikat],Table_Tarikan_Warkah[Nomor Tiket]),"")</f>
        <v>K/16/091224/4</v>
      </c>
      <c r="E1153" s="20">
        <f t="array" ref="E1153">IFNA(_xlfn.XLOOKUP(D1153,Table_Tarikan_Warkah[Nomor Tiket],Table_Tarikan_Warkah[Tanggal diserahkan kepada Validator]),"")</f>
        <v>45636.6805</v>
      </c>
      <c r="F1153" s="20" t="str">
        <f t="array" ref="F1153">IFNA(_xlfn.XLOOKUP(D1153,Table_Tarikan_Warkah[Nomor Tiket],Table_Tarikan_Warkah[Nama Petugas Warkah]),"")</f>
        <v>Berry</v>
      </c>
      <c r="G1153" s="21" t="str">
        <f t="array" ref="G1153">IFNA(_xlfn.XLOOKUP(D1153,Table_Tarikan_Warkah[Nomor Tiket],Table_Tarikan_Warkah[Jenis Permohonan]),"")</f>
        <v>Roya</v>
      </c>
      <c r="H1153" s="22" t="s">
        <v>31</v>
      </c>
      <c r="I1153" s="22" t="s">
        <v>32</v>
      </c>
      <c r="J1153" s="20">
        <f t="shared" si="29"/>
        <v>45637.57106</v>
      </c>
      <c r="K1153" s="27" t="s">
        <v>65</v>
      </c>
      <c r="L1153" s="27" t="s">
        <v>32</v>
      </c>
      <c r="M1153" s="20">
        <f t="shared" si="30"/>
        <v>45637.68041</v>
      </c>
      <c r="N1153" s="8" t="str">
        <f t="shared" si="3"/>
        <v>SELESAI</v>
      </c>
      <c r="O1153" s="23">
        <f t="shared" si="22"/>
        <v>45637.68041</v>
      </c>
      <c r="P1153" s="24" t="b">
        <v>0</v>
      </c>
      <c r="Q1153" s="20" t="str">
        <f t="shared" si="31"/>
        <v/>
      </c>
      <c r="R1153" s="24" t="b">
        <v>1</v>
      </c>
      <c r="S1153" s="20">
        <f t="shared" si="6"/>
        <v>45650.3935</v>
      </c>
      <c r="T1153" s="39">
        <v>45645.0</v>
      </c>
    </row>
    <row r="1154" ht="22.5" hidden="1" customHeight="1">
      <c r="B1154" s="7">
        <f t="shared" si="7"/>
        <v>1148</v>
      </c>
      <c r="C1154" s="18" t="s">
        <v>1119</v>
      </c>
      <c r="D1154" s="19" t="str">
        <f t="array" ref="D1154">IFNA(_xlfn.XLOOKUP(C1154,Table_Tarikan_Warkah[Nomor Sertipikat],Table_Tarikan_Warkah[Nomor Tiket]),"")</f>
        <v>K/34/061224/1</v>
      </c>
      <c r="E1154" s="20" t="str">
        <f t="array" ref="E1154">IFNA(_xlfn.XLOOKUP(D1154,Table_Tarikan_Warkah[Nomor Tiket],Table_Tarikan_Warkah[Tanggal diserahkan kepada Validator]),"")</f>
        <v/>
      </c>
      <c r="F1154" s="20" t="str">
        <f t="array" ref="F1154">IFNA(_xlfn.XLOOKUP(D1154,Table_Tarikan_Warkah[Nomor Tiket],Table_Tarikan_Warkah[Nama Petugas Warkah]),"")</f>
        <v/>
      </c>
      <c r="G1154" s="21" t="str">
        <f t="array" ref="G1154">IFNA(_xlfn.XLOOKUP(D1154,Table_Tarikan_Warkah[Nomor Tiket],Table_Tarikan_Warkah[Jenis Permohonan]),"")</f>
        <v>BN Jual Beli</v>
      </c>
      <c r="H1154" s="22" t="s">
        <v>31</v>
      </c>
      <c r="I1154" s="22" t="s">
        <v>32</v>
      </c>
      <c r="J1154" s="20">
        <f t="shared" si="29"/>
        <v>45637.57106</v>
      </c>
      <c r="K1154" s="27" t="s">
        <v>65</v>
      </c>
      <c r="L1154" s="27" t="s">
        <v>32</v>
      </c>
      <c r="M1154" s="20">
        <f t="shared" si="30"/>
        <v>45637.68043</v>
      </c>
      <c r="N1154" s="8" t="str">
        <f t="shared" si="3"/>
        <v>SELESAI</v>
      </c>
      <c r="O1154" s="23">
        <f t="shared" si="22"/>
        <v>45637.68043</v>
      </c>
      <c r="P1154" s="24" t="b">
        <v>0</v>
      </c>
      <c r="Q1154" s="20" t="str">
        <f t="shared" si="31"/>
        <v/>
      </c>
      <c r="R1154" s="24" t="b">
        <v>1</v>
      </c>
      <c r="S1154" s="20">
        <f t="shared" si="6"/>
        <v>45650.39525</v>
      </c>
      <c r="T1154" s="7"/>
    </row>
    <row r="1155" ht="22.5" hidden="1" customHeight="1">
      <c r="B1155" s="7">
        <f t="shared" si="7"/>
        <v>1149</v>
      </c>
      <c r="C1155" s="18" t="s">
        <v>1120</v>
      </c>
      <c r="D1155" s="19" t="str">
        <f t="array" ref="D1155">IFNA(_xlfn.XLOOKUP(C1155,Table_Tarikan_Warkah[Nomor Sertipikat],Table_Tarikan_Warkah[Nomor Tiket]),"")</f>
        <v>K/39/091224/1</v>
      </c>
      <c r="E1155" s="20">
        <f t="array" ref="E1155">IFNA(_xlfn.XLOOKUP(D1155,Table_Tarikan_Warkah[Nomor Tiket],Table_Tarikan_Warkah[Tanggal diserahkan kepada Validator]),"")</f>
        <v>45642.66771</v>
      </c>
      <c r="F1155" s="20" t="str">
        <f t="array" ref="F1155">IFNA(_xlfn.XLOOKUP(D1155,Table_Tarikan_Warkah[Nomor Tiket],Table_Tarikan_Warkah[Nama Petugas Warkah]),"")</f>
        <v>David</v>
      </c>
      <c r="G1155" s="21" t="str">
        <f t="array" ref="G1155">IFNA(_xlfn.XLOOKUP(D1155,Table_Tarikan_Warkah[Nomor Tiket],Table_Tarikan_Warkah[Jenis Permohonan]),"")</f>
        <v>BN JUAL BELI</v>
      </c>
      <c r="H1155" s="22" t="s">
        <v>31</v>
      </c>
      <c r="I1155" s="22" t="s">
        <v>32</v>
      </c>
      <c r="J1155" s="20">
        <f t="shared" si="29"/>
        <v>45637.57106</v>
      </c>
      <c r="K1155" s="27" t="s">
        <v>65</v>
      </c>
      <c r="L1155" s="27" t="s">
        <v>32</v>
      </c>
      <c r="M1155" s="20">
        <f t="shared" si="30"/>
        <v>45637.68043</v>
      </c>
      <c r="N1155" s="8" t="str">
        <f t="shared" si="3"/>
        <v>SELESAI</v>
      </c>
      <c r="O1155" s="23">
        <f t="shared" si="22"/>
        <v>45637.68043</v>
      </c>
      <c r="P1155" s="24" t="b">
        <v>0</v>
      </c>
      <c r="Q1155" s="20" t="str">
        <f t="shared" si="31"/>
        <v/>
      </c>
      <c r="R1155" s="24" t="b">
        <v>1</v>
      </c>
      <c r="S1155" s="20">
        <f t="shared" si="6"/>
        <v>45650.39523</v>
      </c>
      <c r="T1155" s="39">
        <v>45645.0</v>
      </c>
    </row>
    <row r="1156" ht="22.5" hidden="1" customHeight="1">
      <c r="B1156" s="7">
        <f t="shared" si="7"/>
        <v>1150</v>
      </c>
      <c r="C1156" s="18" t="s">
        <v>1121</v>
      </c>
      <c r="D1156" s="19" t="str">
        <f t="array" ref="D1156">IFNA(_xlfn.XLOOKUP(C1156,Table_Tarikan_Warkah[Nomor Sertipikat],Table_Tarikan_Warkah[Nomor Tiket]),"")</f>
        <v>K/3/051224/1</v>
      </c>
      <c r="E1156" s="20" t="str">
        <f t="array" ref="E1156">IFNA(_xlfn.XLOOKUP(D1156,Table_Tarikan_Warkah[Nomor Tiket],Table_Tarikan_Warkah[Tanggal diserahkan kepada Validator]),"")</f>
        <v/>
      </c>
      <c r="F1156" s="20" t="str">
        <f t="array" ref="F1156">IFNA(_xlfn.XLOOKUP(D1156,Table_Tarikan_Warkah[Nomor Tiket],Table_Tarikan_Warkah[Nama Petugas Warkah]),"")</f>
        <v/>
      </c>
      <c r="G1156" s="21" t="str">
        <f t="array" ref="G1156">IFNA(_xlfn.XLOOKUP(D1156,Table_Tarikan_Warkah[Nomor Tiket],Table_Tarikan_Warkah[Jenis Permohonan]),"")</f>
        <v>BN Jual Beli</v>
      </c>
      <c r="H1156" s="22" t="s">
        <v>31</v>
      </c>
      <c r="I1156" s="22" t="s">
        <v>187</v>
      </c>
      <c r="J1156" s="20">
        <f t="shared" si="29"/>
        <v>45637.5711</v>
      </c>
      <c r="K1156" s="27" t="s">
        <v>33</v>
      </c>
      <c r="L1156" s="27" t="s">
        <v>187</v>
      </c>
      <c r="M1156" s="20">
        <f t="shared" si="30"/>
        <v>45637.68024</v>
      </c>
      <c r="N1156" s="8" t="str">
        <f t="shared" si="3"/>
        <v>Selesai</v>
      </c>
      <c r="O1156" s="23">
        <f t="shared" si="22"/>
        <v>45637.68024</v>
      </c>
      <c r="P1156" s="24" t="b">
        <v>1</v>
      </c>
      <c r="Q1156" s="20">
        <f t="shared" si="31"/>
        <v>45637.68053</v>
      </c>
      <c r="R1156" s="24" t="b">
        <v>0</v>
      </c>
      <c r="S1156" s="7" t="str">
        <f t="shared" si="6"/>
        <v/>
      </c>
      <c r="T1156" s="7"/>
    </row>
    <row r="1157" ht="22.5" hidden="1" customHeight="1">
      <c r="B1157" s="7">
        <f t="shared" si="7"/>
        <v>1151</v>
      </c>
      <c r="C1157" s="18" t="s">
        <v>1122</v>
      </c>
      <c r="D1157" s="19" t="str">
        <f t="array" ref="D1157">IFNA(_xlfn.XLOOKUP(C1157,Table_Tarikan_Warkah[Nomor Sertipikat],Table_Tarikan_Warkah[Nomor Tiket]),"")</f>
        <v>K/2/061224/2</v>
      </c>
      <c r="E1157" s="20" t="str">
        <f t="array" ref="E1157">IFNA(_xlfn.XLOOKUP(D1157,Table_Tarikan_Warkah[Nomor Tiket],Table_Tarikan_Warkah[Tanggal diserahkan kepada Validator]),"")</f>
        <v/>
      </c>
      <c r="F1157" s="20" t="str">
        <f t="array" ref="F1157">IFNA(_xlfn.XLOOKUP(D1157,Table_Tarikan_Warkah[Nomor Tiket],Table_Tarikan_Warkah[Nama Petugas Warkah]),"")</f>
        <v/>
      </c>
      <c r="G1157" s="21" t="str">
        <f t="array" ref="G1157">IFNA(_xlfn.XLOOKUP(D1157,Table_Tarikan_Warkah[Nomor Tiket],Table_Tarikan_Warkah[Jenis Permohonan]),"")</f>
        <v>BN JUAL BELI</v>
      </c>
      <c r="H1157" s="22" t="s">
        <v>37</v>
      </c>
      <c r="I1157" s="22" t="s">
        <v>187</v>
      </c>
      <c r="J1157" s="20">
        <f t="shared" si="29"/>
        <v>45637.64346</v>
      </c>
      <c r="K1157" s="27" t="s">
        <v>33</v>
      </c>
      <c r="L1157" s="27" t="s">
        <v>187</v>
      </c>
      <c r="M1157" s="20">
        <f t="shared" si="30"/>
        <v>45637.68024</v>
      </c>
      <c r="N1157" s="8" t="str">
        <f t="shared" si="3"/>
        <v>Selesai</v>
      </c>
      <c r="O1157" s="23">
        <f t="shared" si="22"/>
        <v>45637.68024</v>
      </c>
      <c r="P1157" s="24" t="b">
        <v>1</v>
      </c>
      <c r="Q1157" s="20">
        <f t="shared" si="31"/>
        <v>45637.68054</v>
      </c>
      <c r="R1157" s="24" t="b">
        <v>0</v>
      </c>
      <c r="S1157" s="7" t="str">
        <f t="shared" si="6"/>
        <v/>
      </c>
      <c r="T1157" s="7"/>
    </row>
    <row r="1158" ht="22.5" hidden="1" customHeight="1">
      <c r="B1158" s="7">
        <f t="shared" si="7"/>
        <v>1152</v>
      </c>
      <c r="C1158" s="18" t="s">
        <v>1123</v>
      </c>
      <c r="D1158" s="19" t="str">
        <f t="array" ref="D1158">IFNA(_xlfn.XLOOKUP(C1158,Table_Tarikan_Warkah[Nomor Sertipikat],Table_Tarikan_Warkah[Nomor Tiket]),"")</f>
        <v>K/29/061224/1</v>
      </c>
      <c r="E1158" s="20" t="str">
        <f t="array" ref="E1158">IFNA(_xlfn.XLOOKUP(D1158,Table_Tarikan_Warkah[Nomor Tiket],Table_Tarikan_Warkah[Tanggal diserahkan kepada Validator]),"")</f>
        <v/>
      </c>
      <c r="F1158" s="20" t="str">
        <f t="array" ref="F1158">IFNA(_xlfn.XLOOKUP(D1158,Table_Tarikan_Warkah[Nomor Tiket],Table_Tarikan_Warkah[Nama Petugas Warkah]),"")</f>
        <v>David</v>
      </c>
      <c r="G1158" s="21" t="str">
        <f t="array" ref="G1158">IFNA(_xlfn.XLOOKUP(D1158,Table_Tarikan_Warkah[Nomor Tiket],Table_Tarikan_Warkah[Jenis Permohonan]),"")</f>
        <v>Roya</v>
      </c>
      <c r="H1158" s="22" t="s">
        <v>37</v>
      </c>
      <c r="I1158" s="22" t="s">
        <v>187</v>
      </c>
      <c r="J1158" s="20">
        <f t="shared" si="29"/>
        <v>45637.68955</v>
      </c>
      <c r="K1158" s="27" t="s">
        <v>33</v>
      </c>
      <c r="L1158" s="27" t="s">
        <v>187</v>
      </c>
      <c r="M1158" s="20">
        <f t="shared" si="30"/>
        <v>45638.44853</v>
      </c>
      <c r="N1158" s="8" t="str">
        <f t="shared" si="3"/>
        <v>Selesai</v>
      </c>
      <c r="O1158" s="23">
        <f t="shared" si="22"/>
        <v>45638.44853</v>
      </c>
      <c r="P1158" s="24" t="b">
        <v>1</v>
      </c>
      <c r="Q1158" s="20">
        <f t="shared" si="31"/>
        <v>45638.44855</v>
      </c>
      <c r="R1158" s="24" t="b">
        <v>0</v>
      </c>
      <c r="S1158" s="7" t="str">
        <f t="shared" si="6"/>
        <v/>
      </c>
      <c r="T1158" s="7"/>
    </row>
    <row r="1159" ht="22.5" hidden="1" customHeight="1">
      <c r="B1159" s="7">
        <f t="shared" si="7"/>
        <v>1153</v>
      </c>
      <c r="C1159" s="18" t="s">
        <v>1124</v>
      </c>
      <c r="D1159" s="19" t="str">
        <f t="array" ref="D1159">IFNA(_xlfn.XLOOKUP(C1159,Table_Tarikan_Warkah[Nomor Sertipikat],Table_Tarikan_Warkah[Nomor Tiket]),"")</f>
        <v>L/24/091224/1</v>
      </c>
      <c r="E1159" s="20" t="str">
        <f t="array" ref="E1159">IFNA(_xlfn.XLOOKUP(D1159,Table_Tarikan_Warkah[Nomor Tiket],Table_Tarikan_Warkah[Tanggal diserahkan kepada Validator]),"")</f>
        <v/>
      </c>
      <c r="F1159" s="20" t="str">
        <f t="array" ref="F1159">IFNA(_xlfn.XLOOKUP(D1159,Table_Tarikan_Warkah[Nomor Tiket],Table_Tarikan_Warkah[Nama Petugas Warkah]),"")</f>
        <v/>
      </c>
      <c r="G1159" s="21" t="str">
        <f t="array" ref="G1159">IFNA(_xlfn.XLOOKUP(D1159,Table_Tarikan_Warkah[Nomor Tiket],Table_Tarikan_Warkah[Jenis Permohonan]),"")</f>
        <v>PH</v>
      </c>
      <c r="H1159" s="22" t="s">
        <v>37</v>
      </c>
      <c r="I1159" s="22" t="s">
        <v>32</v>
      </c>
      <c r="J1159" s="20">
        <f t="shared" si="29"/>
        <v>45639.64579</v>
      </c>
      <c r="K1159" s="27" t="s">
        <v>65</v>
      </c>
      <c r="L1159" s="27" t="s">
        <v>32</v>
      </c>
      <c r="M1159" s="20">
        <f t="shared" si="30"/>
        <v>45642.58759</v>
      </c>
      <c r="N1159" s="8" t="str">
        <f t="shared" si="3"/>
        <v>SELESAI</v>
      </c>
      <c r="O1159" s="23">
        <f t="shared" si="22"/>
        <v>45642.58759</v>
      </c>
      <c r="P1159" s="24" t="b">
        <v>0</v>
      </c>
      <c r="Q1159" s="20" t="str">
        <f t="shared" si="31"/>
        <v/>
      </c>
      <c r="R1159" s="24" t="b">
        <v>0</v>
      </c>
      <c r="S1159" s="7" t="str">
        <f t="shared" si="6"/>
        <v/>
      </c>
      <c r="T1159" s="7"/>
    </row>
    <row r="1160" ht="22.5" hidden="1" customHeight="1">
      <c r="B1160" s="7">
        <f t="shared" si="7"/>
        <v>1154</v>
      </c>
      <c r="C1160" s="18" t="s">
        <v>1125</v>
      </c>
      <c r="D1160" s="19" t="str">
        <f t="array" ref="D1160">IFNA(_xlfn.XLOOKUP(C1160,Table_Tarikan_Warkah[Nomor Sertipikat],Table_Tarikan_Warkah[Nomor Tiket]),"")</f>
        <v>K/34/041224/2</v>
      </c>
      <c r="E1160" s="20" t="str">
        <f t="array" ref="E1160">IFNA(_xlfn.XLOOKUP(D1160,Table_Tarikan_Warkah[Nomor Tiket],Table_Tarikan_Warkah[Tanggal diserahkan kepada Validator]),"")</f>
        <v/>
      </c>
      <c r="F1160" s="20" t="str">
        <f t="array" ref="F1160">IFNA(_xlfn.XLOOKUP(D1160,Table_Tarikan_Warkah[Nomor Tiket],Table_Tarikan_Warkah[Nama Petugas Warkah]),"")</f>
        <v>Berry</v>
      </c>
      <c r="G1160" s="21" t="str">
        <f t="array" ref="G1160">IFNA(_xlfn.XLOOKUP(D1160,Table_Tarikan_Warkah[Nomor Tiket],Table_Tarikan_Warkah[Jenis Permohonan]),"")</f>
        <v>ROYA</v>
      </c>
      <c r="H1160" s="22" t="s">
        <v>37</v>
      </c>
      <c r="I1160" s="22" t="s">
        <v>32</v>
      </c>
      <c r="J1160" s="20">
        <f t="shared" si="29"/>
        <v>45639.64579</v>
      </c>
      <c r="K1160" s="27" t="s">
        <v>65</v>
      </c>
      <c r="L1160" s="27" t="s">
        <v>32</v>
      </c>
      <c r="M1160" s="20">
        <f t="shared" si="30"/>
        <v>45642.58759</v>
      </c>
      <c r="N1160" s="8" t="str">
        <f t="shared" si="3"/>
        <v>SELESAI</v>
      </c>
      <c r="O1160" s="23">
        <f t="shared" si="22"/>
        <v>45642.58759</v>
      </c>
      <c r="P1160" s="24" t="b">
        <v>0</v>
      </c>
      <c r="Q1160" s="20" t="str">
        <f t="shared" si="31"/>
        <v/>
      </c>
      <c r="R1160" s="24" t="b">
        <v>0</v>
      </c>
      <c r="S1160" s="7" t="str">
        <f t="shared" si="6"/>
        <v/>
      </c>
      <c r="T1160" s="7"/>
    </row>
    <row r="1161" ht="22.5" hidden="1" customHeight="1">
      <c r="B1161" s="7">
        <f t="shared" si="7"/>
        <v>1155</v>
      </c>
      <c r="C1161" s="18" t="s">
        <v>1126</v>
      </c>
      <c r="D1161" s="19" t="str">
        <f t="array" ref="D1161">IFNA(_xlfn.XLOOKUP(C1161,Table_Tarikan_Warkah[Nomor Sertipikat],Table_Tarikan_Warkah[Nomor Tiket]),"")</f>
        <v>K/36/021224/1</v>
      </c>
      <c r="E1161" s="20" t="str">
        <f t="array" ref="E1161">IFNA(_xlfn.XLOOKUP(D1161,Table_Tarikan_Warkah[Nomor Tiket],Table_Tarikan_Warkah[Tanggal diserahkan kepada Validator]),"")</f>
        <v/>
      </c>
      <c r="F1161" s="20" t="str">
        <f t="array" ref="F1161">IFNA(_xlfn.XLOOKUP(D1161,Table_Tarikan_Warkah[Nomor Tiket],Table_Tarikan_Warkah[Nama Petugas Warkah]),"")</f>
        <v/>
      </c>
      <c r="G1161" s="21" t="str">
        <f t="array" ref="G1161">IFNA(_xlfn.XLOOKUP(D1161,Table_Tarikan_Warkah[Nomor Tiket],Table_Tarikan_Warkah[Jenis Permohonan]),"")</f>
        <v>BN Jual Beli</v>
      </c>
      <c r="H1161" s="22" t="s">
        <v>31</v>
      </c>
      <c r="I1161" s="22" t="s">
        <v>32</v>
      </c>
      <c r="J1161" s="20">
        <f t="shared" si="29"/>
        <v>45639.64579</v>
      </c>
      <c r="K1161" s="22" t="s">
        <v>33</v>
      </c>
      <c r="L1161" s="22" t="s">
        <v>32</v>
      </c>
      <c r="M1161" s="20">
        <f t="shared" si="30"/>
        <v>45639.64579</v>
      </c>
      <c r="N1161" s="8" t="str">
        <f t="shared" si="3"/>
        <v>SELESAI</v>
      </c>
      <c r="O1161" s="23">
        <f t="shared" si="22"/>
        <v>45639.64579</v>
      </c>
      <c r="P1161" s="24" t="b">
        <v>1</v>
      </c>
      <c r="Q1161" s="20">
        <f t="shared" si="31"/>
        <v>45639.64579</v>
      </c>
      <c r="R1161" s="24" t="b">
        <v>1</v>
      </c>
      <c r="S1161" s="20">
        <f t="shared" si="6"/>
        <v>45639.64579</v>
      </c>
      <c r="T1161" s="7"/>
    </row>
    <row r="1162" ht="22.5" hidden="1" customHeight="1">
      <c r="B1162" s="7">
        <f t="shared" si="7"/>
        <v>1156</v>
      </c>
      <c r="C1162" s="18" t="s">
        <v>1127</v>
      </c>
      <c r="D1162" s="19" t="str">
        <f t="array" ref="D1162">IFNA(_xlfn.XLOOKUP(C1162,Table_Tarikan_Warkah[Nomor Sertipikat],Table_Tarikan_Warkah[Nomor Tiket]),"")</f>
        <v>K/32/111224/1</v>
      </c>
      <c r="E1162" s="20" t="str">
        <f t="array" ref="E1162">IFNA(_xlfn.XLOOKUP(D1162,Table_Tarikan_Warkah[Nomor Tiket],Table_Tarikan_Warkah[Tanggal diserahkan kepada Validator]),"")</f>
        <v/>
      </c>
      <c r="F1162" s="20" t="str">
        <f t="array" ref="F1162">IFNA(_xlfn.XLOOKUP(D1162,Table_Tarikan_Warkah[Nomor Tiket],Table_Tarikan_Warkah[Nama Petugas Warkah]),"")</f>
        <v/>
      </c>
      <c r="G1162" s="21" t="str">
        <f t="array" ref="G1162">IFNA(_xlfn.XLOOKUP(D1162,Table_Tarikan_Warkah[Nomor Tiket],Table_Tarikan_Warkah[Jenis Permohonan]),"")</f>
        <v>BN Jual Beli</v>
      </c>
      <c r="H1162" s="22" t="s">
        <v>31</v>
      </c>
      <c r="I1162" s="22" t="s">
        <v>187</v>
      </c>
      <c r="J1162" s="20">
        <f t="shared" si="29"/>
        <v>45639.64749</v>
      </c>
      <c r="K1162" s="27" t="s">
        <v>33</v>
      </c>
      <c r="L1162" s="27" t="s">
        <v>187</v>
      </c>
      <c r="M1162" s="20">
        <f t="shared" si="30"/>
        <v>45642.58741</v>
      </c>
      <c r="N1162" s="8" t="str">
        <f t="shared" si="3"/>
        <v>Selesai</v>
      </c>
      <c r="O1162" s="23">
        <f t="shared" si="22"/>
        <v>45642.58741</v>
      </c>
      <c r="P1162" s="24" t="b">
        <v>1</v>
      </c>
      <c r="Q1162" s="20">
        <f t="shared" si="31"/>
        <v>45642.66742</v>
      </c>
      <c r="R1162" s="24" t="b">
        <v>1</v>
      </c>
      <c r="S1162" s="20">
        <f t="shared" si="6"/>
        <v>45650.40313</v>
      </c>
      <c r="T1162" s="39">
        <v>45645.0</v>
      </c>
    </row>
    <row r="1163" ht="22.5" hidden="1" customHeight="1">
      <c r="B1163" s="7">
        <f t="shared" si="7"/>
        <v>1157</v>
      </c>
      <c r="C1163" s="18" t="s">
        <v>1128</v>
      </c>
      <c r="D1163" s="19" t="str">
        <f t="array" ref="D1163">IFNA(_xlfn.XLOOKUP(C1163,Table_Tarikan_Warkah[Nomor Sertipikat],Table_Tarikan_Warkah[Nomor Tiket]),"")</f>
        <v>K/4/201124/1</v>
      </c>
      <c r="E1163" s="20">
        <f t="array" ref="E1163">IFNA(_xlfn.XLOOKUP(D1163,Table_Tarikan_Warkah[Nomor Tiket],Table_Tarikan_Warkah[Tanggal diserahkan kepada Validator]),"")</f>
        <v>45617.68016</v>
      </c>
      <c r="F1163" s="20" t="str">
        <f t="array" ref="F1163">IFNA(_xlfn.XLOOKUP(D1163,Table_Tarikan_Warkah[Nomor Tiket],Table_Tarikan_Warkah[Nama Petugas Warkah]),"")</f>
        <v>Berry</v>
      </c>
      <c r="G1163" s="21" t="str">
        <f t="array" ref="G1163">IFNA(_xlfn.XLOOKUP(D1163,Table_Tarikan_Warkah[Nomor Tiket],Table_Tarikan_Warkah[Jenis Permohonan]),"")</f>
        <v>BN JUAL BELI</v>
      </c>
      <c r="H1163" s="22" t="s">
        <v>31</v>
      </c>
      <c r="I1163" s="22" t="s">
        <v>187</v>
      </c>
      <c r="J1163" s="20">
        <f t="shared" si="29"/>
        <v>45639.64756</v>
      </c>
      <c r="K1163" s="27" t="s">
        <v>33</v>
      </c>
      <c r="L1163" s="27" t="s">
        <v>187</v>
      </c>
      <c r="M1163" s="20">
        <f t="shared" si="30"/>
        <v>45642.58741</v>
      </c>
      <c r="N1163" s="8" t="str">
        <f t="shared" si="3"/>
        <v>Selesai</v>
      </c>
      <c r="O1163" s="23">
        <f t="shared" si="22"/>
        <v>45642.58741</v>
      </c>
      <c r="P1163" s="24" t="b">
        <v>1</v>
      </c>
      <c r="Q1163" s="20">
        <f t="shared" si="31"/>
        <v>45642.66743</v>
      </c>
      <c r="R1163" s="24" t="b">
        <v>0</v>
      </c>
      <c r="S1163" s="7" t="str">
        <f t="shared" si="6"/>
        <v/>
      </c>
      <c r="T1163" s="7"/>
    </row>
    <row r="1164" ht="22.5" hidden="1" customHeight="1">
      <c r="B1164" s="7">
        <f t="shared" si="7"/>
        <v>1158</v>
      </c>
      <c r="C1164" s="18" t="s">
        <v>1129</v>
      </c>
      <c r="D1164" s="19" t="str">
        <f t="array" ref="D1164">IFNA(_xlfn.XLOOKUP(C1164,Table_Tarikan_Warkah[Nomor Sertipikat],Table_Tarikan_Warkah[Nomor Tiket]),"")</f>
        <v>K/35/101224/1</v>
      </c>
      <c r="E1164" s="20" t="str">
        <f t="array" ref="E1164">IFNA(_xlfn.XLOOKUP(D1164,Table_Tarikan_Warkah[Nomor Tiket],Table_Tarikan_Warkah[Tanggal diserahkan kepada Validator]),"")</f>
        <v/>
      </c>
      <c r="F1164" s="20" t="str">
        <f t="array" ref="F1164">IFNA(_xlfn.XLOOKUP(D1164,Table_Tarikan_Warkah[Nomor Tiket],Table_Tarikan_Warkah[Nama Petugas Warkah]),"")</f>
        <v/>
      </c>
      <c r="G1164" s="21" t="str">
        <f t="array" ref="G1164">IFNA(_xlfn.XLOOKUP(D1164,Table_Tarikan_Warkah[Nomor Tiket],Table_Tarikan_Warkah[Jenis Permohonan]),"")</f>
        <v>BN JUAL BELI</v>
      </c>
      <c r="H1164" s="22" t="s">
        <v>31</v>
      </c>
      <c r="I1164" s="22" t="s">
        <v>187</v>
      </c>
      <c r="J1164" s="20">
        <f t="shared" si="29"/>
        <v>45639.64756</v>
      </c>
      <c r="K1164" s="27" t="s">
        <v>33</v>
      </c>
      <c r="L1164" s="27" t="s">
        <v>187</v>
      </c>
      <c r="M1164" s="20">
        <f t="shared" si="30"/>
        <v>45642.58741</v>
      </c>
      <c r="N1164" s="8" t="str">
        <f t="shared" si="3"/>
        <v>Selesai</v>
      </c>
      <c r="O1164" s="23">
        <f t="shared" si="22"/>
        <v>45642.58741</v>
      </c>
      <c r="P1164" s="24" t="b">
        <v>1</v>
      </c>
      <c r="Q1164" s="20">
        <f t="shared" si="31"/>
        <v>45642.66745</v>
      </c>
      <c r="R1164" s="24" t="b">
        <v>0</v>
      </c>
      <c r="S1164" s="7" t="str">
        <f t="shared" si="6"/>
        <v/>
      </c>
      <c r="T1164" s="7"/>
    </row>
    <row r="1165" ht="22.5" hidden="1" customHeight="1">
      <c r="B1165" s="7">
        <f t="shared" si="7"/>
        <v>1159</v>
      </c>
      <c r="C1165" s="18" t="s">
        <v>1130</v>
      </c>
      <c r="D1165" s="19" t="str">
        <f t="array" ref="D1165">IFNA(_xlfn.XLOOKUP(C1165,Table_Tarikan_Warkah[Nomor Sertipikat],Table_Tarikan_Warkah[Nomor Tiket]),"")</f>
        <v>K/4/031224/1</v>
      </c>
      <c r="E1165" s="20" t="str">
        <f t="array" ref="E1165">IFNA(_xlfn.XLOOKUP(D1165,Table_Tarikan_Warkah[Nomor Tiket],Table_Tarikan_Warkah[Tanggal diserahkan kepada Validator]),"")</f>
        <v/>
      </c>
      <c r="F1165" s="20" t="str">
        <f t="array" ref="F1165">IFNA(_xlfn.XLOOKUP(D1165,Table_Tarikan_Warkah[Nomor Tiket],Table_Tarikan_Warkah[Nama Petugas Warkah]),"")</f>
        <v/>
      </c>
      <c r="G1165" s="21" t="str">
        <f t="array" ref="G1165">IFNA(_xlfn.XLOOKUP(D1165,Table_Tarikan_Warkah[Nomor Tiket],Table_Tarikan_Warkah[Jenis Permohonan]),"")</f>
        <v>BN JUAL BELI</v>
      </c>
      <c r="H1165" s="22" t="s">
        <v>31</v>
      </c>
      <c r="I1165" s="22" t="s">
        <v>187</v>
      </c>
      <c r="J1165" s="20">
        <f t="shared" si="29"/>
        <v>45639.64756</v>
      </c>
      <c r="K1165" s="27" t="s">
        <v>33</v>
      </c>
      <c r="L1165" s="27" t="s">
        <v>187</v>
      </c>
      <c r="M1165" s="20">
        <f t="shared" si="30"/>
        <v>45642.58744</v>
      </c>
      <c r="N1165" s="8" t="str">
        <f t="shared" si="3"/>
        <v>Selesai</v>
      </c>
      <c r="O1165" s="23">
        <f t="shared" si="22"/>
        <v>45642.58744</v>
      </c>
      <c r="P1165" s="24" t="b">
        <v>1</v>
      </c>
      <c r="Q1165" s="20">
        <f t="shared" si="31"/>
        <v>45642.6674</v>
      </c>
      <c r="R1165" s="24" t="b">
        <v>0</v>
      </c>
      <c r="S1165" s="7" t="str">
        <f t="shared" si="6"/>
        <v/>
      </c>
      <c r="T1165" s="7"/>
    </row>
    <row r="1166" ht="22.5" hidden="1" customHeight="1">
      <c r="B1166" s="7">
        <f t="shared" si="7"/>
        <v>1160</v>
      </c>
      <c r="C1166" s="18" t="s">
        <v>1131</v>
      </c>
      <c r="D1166" s="19" t="str">
        <f t="array" ref="D1166">IFNA(_xlfn.XLOOKUP(C1166,Table_Tarikan_Warkah[Nomor Sertipikat],Table_Tarikan_Warkah[Nomor Tiket]),"")</f>
        <v>K/27/101224/4</v>
      </c>
      <c r="E1166" s="20" t="str">
        <f t="array" ref="E1166">IFNA(_xlfn.XLOOKUP(D1166,Table_Tarikan_Warkah[Nomor Tiket],Table_Tarikan_Warkah[Tanggal diserahkan kepada Validator]),"")</f>
        <v/>
      </c>
      <c r="F1166" s="20" t="str">
        <f t="array" ref="F1166">IFNA(_xlfn.XLOOKUP(D1166,Table_Tarikan_Warkah[Nomor Tiket],Table_Tarikan_Warkah[Nama Petugas Warkah]),"")</f>
        <v/>
      </c>
      <c r="G1166" s="21" t="str">
        <f t="array" ref="G1166">IFNA(_xlfn.XLOOKUP(D1166,Table_Tarikan_Warkah[Nomor Tiket],Table_Tarikan_Warkah[Jenis Permohonan]),"")</f>
        <v>KEWARISAN</v>
      </c>
      <c r="H1166" s="22" t="s">
        <v>31</v>
      </c>
      <c r="I1166" s="22" t="s">
        <v>187</v>
      </c>
      <c r="J1166" s="20">
        <f t="shared" si="29"/>
        <v>45639.64756</v>
      </c>
      <c r="K1166" s="27" t="s">
        <v>33</v>
      </c>
      <c r="L1166" s="27" t="s">
        <v>187</v>
      </c>
      <c r="M1166" s="20">
        <f t="shared" si="30"/>
        <v>45642.58744</v>
      </c>
      <c r="N1166" s="8" t="str">
        <f t="shared" si="3"/>
        <v>Selesai</v>
      </c>
      <c r="O1166" s="23">
        <f t="shared" si="22"/>
        <v>45642.58744</v>
      </c>
      <c r="P1166" s="24" t="b">
        <v>1</v>
      </c>
      <c r="Q1166" s="20">
        <f t="shared" si="31"/>
        <v>45642.66739</v>
      </c>
      <c r="R1166" s="24" t="b">
        <v>0</v>
      </c>
      <c r="S1166" s="7" t="str">
        <f t="shared" si="6"/>
        <v/>
      </c>
      <c r="T1166" s="7"/>
    </row>
    <row r="1167" ht="22.5" hidden="1" customHeight="1">
      <c r="B1167" s="7">
        <f t="shared" si="7"/>
        <v>1161</v>
      </c>
      <c r="C1167" s="18" t="s">
        <v>1132</v>
      </c>
      <c r="D1167" s="19" t="str">
        <f t="array" ref="D1167">IFNA(_xlfn.XLOOKUP(C1167,Table_Tarikan_Warkah[Nomor Sertipikat],Table_Tarikan_Warkah[Nomor Tiket]),"")</f>
        <v>K/32/041224/1</v>
      </c>
      <c r="E1167" s="20" t="str">
        <f t="array" ref="E1167">IFNA(_xlfn.XLOOKUP(D1167,Table_Tarikan_Warkah[Nomor Tiket],Table_Tarikan_Warkah[Tanggal diserahkan kepada Validator]),"")</f>
        <v/>
      </c>
      <c r="F1167" s="20" t="str">
        <f t="array" ref="F1167">IFNA(_xlfn.XLOOKUP(D1167,Table_Tarikan_Warkah[Nomor Tiket],Table_Tarikan_Warkah[Nama Petugas Warkah]),"")</f>
        <v/>
      </c>
      <c r="G1167" s="21" t="str">
        <f t="array" ref="G1167">IFNA(_xlfn.XLOOKUP(D1167,Table_Tarikan_Warkah[Nomor Tiket],Table_Tarikan_Warkah[Jenis Permohonan]),"")</f>
        <v>BN WARIS</v>
      </c>
      <c r="H1167" s="22" t="s">
        <v>31</v>
      </c>
      <c r="I1167" s="22" t="s">
        <v>187</v>
      </c>
      <c r="J1167" s="20">
        <f t="shared" si="29"/>
        <v>45639.64756</v>
      </c>
      <c r="K1167" s="27" t="s">
        <v>33</v>
      </c>
      <c r="L1167" s="27" t="s">
        <v>187</v>
      </c>
      <c r="M1167" s="20">
        <f t="shared" si="30"/>
        <v>45642.58744</v>
      </c>
      <c r="N1167" s="8" t="str">
        <f t="shared" si="3"/>
        <v>Selesai</v>
      </c>
      <c r="O1167" s="23">
        <f t="shared" si="22"/>
        <v>45642.58744</v>
      </c>
      <c r="P1167" s="24" t="b">
        <v>1</v>
      </c>
      <c r="Q1167" s="20">
        <f t="shared" si="31"/>
        <v>45642.66736</v>
      </c>
      <c r="R1167" s="24" t="b">
        <v>0</v>
      </c>
      <c r="S1167" s="7" t="str">
        <f t="shared" si="6"/>
        <v/>
      </c>
      <c r="T1167" s="7"/>
    </row>
    <row r="1168" ht="22.5" hidden="1" customHeight="1">
      <c r="B1168" s="7">
        <f t="shared" si="7"/>
        <v>1162</v>
      </c>
      <c r="C1168" s="18" t="s">
        <v>1133</v>
      </c>
      <c r="D1168" s="19" t="str">
        <f t="array" ref="D1168">IFNA(_xlfn.XLOOKUP(C1168,Table_Tarikan_Warkah[Nomor Sertipikat],Table_Tarikan_Warkah[Nomor Tiket]),"")</f>
        <v>K/42/221124/1</v>
      </c>
      <c r="E1168" s="20" t="str">
        <f t="array" ref="E1168">IFNA(_xlfn.XLOOKUP(D1168,Table_Tarikan_Warkah[Nomor Tiket],Table_Tarikan_Warkah[Tanggal diserahkan kepada Validator]),"")</f>
        <v/>
      </c>
      <c r="F1168" s="20" t="str">
        <f t="array" ref="F1168">IFNA(_xlfn.XLOOKUP(D1168,Table_Tarikan_Warkah[Nomor Tiket],Table_Tarikan_Warkah[Nama Petugas Warkah]),"")</f>
        <v/>
      </c>
      <c r="G1168" s="21" t="str">
        <f t="array" ref="G1168">IFNA(_xlfn.XLOOKUP(D1168,Table_Tarikan_Warkah[Nomor Tiket],Table_Tarikan_Warkah[Jenis Permohonan]),"")</f>
        <v>BN JUAL BELI </v>
      </c>
      <c r="H1168" s="22" t="s">
        <v>31</v>
      </c>
      <c r="I1168" s="22" t="s">
        <v>187</v>
      </c>
      <c r="J1168" s="20">
        <f t="shared" si="29"/>
        <v>45639.64756</v>
      </c>
      <c r="K1168" s="27" t="s">
        <v>33</v>
      </c>
      <c r="L1168" s="27" t="s">
        <v>187</v>
      </c>
      <c r="M1168" s="20">
        <f t="shared" si="30"/>
        <v>45642.5875</v>
      </c>
      <c r="N1168" s="8" t="str">
        <f t="shared" si="3"/>
        <v>Selesai</v>
      </c>
      <c r="O1168" s="23">
        <f t="shared" si="22"/>
        <v>45642.5875</v>
      </c>
      <c r="P1168" s="24" t="b">
        <v>1</v>
      </c>
      <c r="Q1168" s="20">
        <f t="shared" si="31"/>
        <v>45642.66735</v>
      </c>
      <c r="R1168" s="24" t="b">
        <v>0</v>
      </c>
      <c r="S1168" s="7" t="str">
        <f t="shared" si="6"/>
        <v/>
      </c>
      <c r="T1168" s="7"/>
    </row>
    <row r="1169" ht="22.5" hidden="1" customHeight="1">
      <c r="B1169" s="7">
        <f t="shared" si="7"/>
        <v>1163</v>
      </c>
      <c r="C1169" s="18" t="s">
        <v>1134</v>
      </c>
      <c r="D1169" s="19" t="str">
        <f t="array" ref="D1169">IFNA(_xlfn.XLOOKUP(C1169,Table_Tarikan_Warkah[Nomor Sertipikat],Table_Tarikan_Warkah[Nomor Tiket]),"")</f>
        <v>K/26/251124/2</v>
      </c>
      <c r="E1169" s="20">
        <f t="array" ref="E1169">IFNA(_xlfn.XLOOKUP(D1169,Table_Tarikan_Warkah[Nomor Tiket],Table_Tarikan_Warkah[Tanggal diserahkan kepada Validator]),"")</f>
        <v>45622.50264</v>
      </c>
      <c r="F1169" s="20" t="str">
        <f t="array" ref="F1169">IFNA(_xlfn.XLOOKUP(D1169,Table_Tarikan_Warkah[Nomor Tiket],Table_Tarikan_Warkah[Nama Petugas Warkah]),"")</f>
        <v>Berry</v>
      </c>
      <c r="G1169" s="21" t="str">
        <f t="array" ref="G1169">IFNA(_xlfn.XLOOKUP(D1169,Table_Tarikan_Warkah[Nomor Tiket],Table_Tarikan_Warkah[Jenis Permohonan]),"")</f>
        <v>BN JUAL BELI </v>
      </c>
      <c r="H1169" s="22" t="s">
        <v>31</v>
      </c>
      <c r="I1169" s="22" t="s">
        <v>187</v>
      </c>
      <c r="J1169" s="20">
        <f t="shared" si="29"/>
        <v>45639.64756</v>
      </c>
      <c r="K1169" s="27" t="s">
        <v>33</v>
      </c>
      <c r="L1169" s="27" t="s">
        <v>187</v>
      </c>
      <c r="M1169" s="20">
        <f t="shared" si="30"/>
        <v>45642.5875</v>
      </c>
      <c r="N1169" s="8" t="str">
        <f t="shared" si="3"/>
        <v>Selesai</v>
      </c>
      <c r="O1169" s="23">
        <f t="shared" si="22"/>
        <v>45642.5875</v>
      </c>
      <c r="P1169" s="24" t="b">
        <v>1</v>
      </c>
      <c r="Q1169" s="20">
        <f t="shared" si="31"/>
        <v>45642.66734</v>
      </c>
      <c r="R1169" s="24" t="b">
        <v>0</v>
      </c>
      <c r="S1169" s="7" t="str">
        <f t="shared" si="6"/>
        <v/>
      </c>
      <c r="T1169" s="7"/>
    </row>
    <row r="1170" ht="22.5" hidden="1" customHeight="1">
      <c r="B1170" s="7">
        <f t="shared" si="7"/>
        <v>1164</v>
      </c>
      <c r="C1170" s="18" t="s">
        <v>1135</v>
      </c>
      <c r="D1170" s="19" t="str">
        <f t="array" ref="D1170">IFNA(_xlfn.XLOOKUP(C1170,Table_Tarikan_Warkah[Nomor Sertipikat],Table_Tarikan_Warkah[Nomor Tiket]),"")</f>
        <v>K/41/091224/1</v>
      </c>
      <c r="E1170" s="20" t="str">
        <f t="array" ref="E1170">IFNA(_xlfn.XLOOKUP(D1170,Table_Tarikan_Warkah[Nomor Tiket],Table_Tarikan_Warkah[Tanggal diserahkan kepada Validator]),"")</f>
        <v/>
      </c>
      <c r="F1170" s="20" t="str">
        <f t="array" ref="F1170">IFNA(_xlfn.XLOOKUP(D1170,Table_Tarikan_Warkah[Nomor Tiket],Table_Tarikan_Warkah[Nama Petugas Warkah]),"")</f>
        <v/>
      </c>
      <c r="G1170" s="21" t="str">
        <f t="array" ref="G1170">IFNA(_xlfn.XLOOKUP(D1170,Table_Tarikan_Warkah[Nomor Tiket],Table_Tarikan_Warkah[Jenis Permohonan]),"")</f>
        <v>BN JUAL BELI</v>
      </c>
      <c r="H1170" s="22" t="s">
        <v>31</v>
      </c>
      <c r="I1170" s="22" t="s">
        <v>32</v>
      </c>
      <c r="J1170" s="20">
        <f t="shared" si="29"/>
        <v>45639.64758</v>
      </c>
      <c r="K1170" s="27" t="s">
        <v>65</v>
      </c>
      <c r="L1170" s="27" t="s">
        <v>32</v>
      </c>
      <c r="M1170" s="20">
        <f t="shared" si="30"/>
        <v>45642.58726</v>
      </c>
      <c r="N1170" s="8" t="str">
        <f t="shared" si="3"/>
        <v>SELESAI</v>
      </c>
      <c r="O1170" s="23">
        <f t="shared" si="22"/>
        <v>45642.58726</v>
      </c>
      <c r="P1170" s="24" t="b">
        <v>0</v>
      </c>
      <c r="Q1170" s="20" t="str">
        <f t="shared" si="31"/>
        <v/>
      </c>
      <c r="R1170" s="24" t="b">
        <v>0</v>
      </c>
      <c r="S1170" s="7" t="str">
        <f t="shared" si="6"/>
        <v/>
      </c>
      <c r="T1170" s="7"/>
    </row>
    <row r="1171" ht="22.5" hidden="1" customHeight="1">
      <c r="B1171" s="7">
        <f t="shared" si="7"/>
        <v>1165</v>
      </c>
      <c r="C1171" s="18" t="s">
        <v>1136</v>
      </c>
      <c r="D1171" s="19" t="str">
        <f t="array" ref="D1171">IFNA(_xlfn.XLOOKUP(C1171,Table_Tarikan_Warkah[Nomor Sertipikat],Table_Tarikan_Warkah[Nomor Tiket]),"")</f>
        <v>K/37/101224/2</v>
      </c>
      <c r="E1171" s="20">
        <f t="array" ref="E1171">IFNA(_xlfn.XLOOKUP(D1171,Table_Tarikan_Warkah[Nomor Tiket],Table_Tarikan_Warkah[Tanggal diserahkan kepada Validator]),"")</f>
        <v>45642.70383</v>
      </c>
      <c r="F1171" s="20" t="str">
        <f t="array" ref="F1171">IFNA(_xlfn.XLOOKUP(D1171,Table_Tarikan_Warkah[Nomor Tiket],Table_Tarikan_Warkah[Nama Petugas Warkah]),"")</f>
        <v>David</v>
      </c>
      <c r="G1171" s="21" t="str">
        <f t="array" ref="G1171">IFNA(_xlfn.XLOOKUP(D1171,Table_Tarikan_Warkah[Nomor Tiket],Table_Tarikan_Warkah[Jenis Permohonan]),"")</f>
        <v>BN JUAL BELI</v>
      </c>
      <c r="H1171" s="22" t="s">
        <v>31</v>
      </c>
      <c r="I1171" s="22" t="s">
        <v>32</v>
      </c>
      <c r="J1171" s="20">
        <f t="shared" si="29"/>
        <v>45639.6476</v>
      </c>
      <c r="K1171" s="27" t="s">
        <v>65</v>
      </c>
      <c r="L1171" s="27" t="s">
        <v>32</v>
      </c>
      <c r="M1171" s="20">
        <f t="shared" si="30"/>
        <v>45642.58726</v>
      </c>
      <c r="N1171" s="8" t="str">
        <f t="shared" si="3"/>
        <v>SELESAI</v>
      </c>
      <c r="O1171" s="23">
        <f t="shared" si="22"/>
        <v>45642.58726</v>
      </c>
      <c r="P1171" s="24" t="b">
        <v>0</v>
      </c>
      <c r="Q1171" s="20" t="str">
        <f t="shared" si="31"/>
        <v/>
      </c>
      <c r="R1171" s="24" t="b">
        <v>1</v>
      </c>
      <c r="S1171" s="20">
        <f t="shared" si="6"/>
        <v>45650.39645</v>
      </c>
      <c r="T1171" s="39">
        <v>45645.0</v>
      </c>
    </row>
    <row r="1172" ht="22.5" hidden="1" customHeight="1">
      <c r="B1172" s="7">
        <f t="shared" si="7"/>
        <v>1166</v>
      </c>
      <c r="C1172" s="18" t="s">
        <v>1137</v>
      </c>
      <c r="D1172" s="19" t="str">
        <f t="array" ref="D1172">IFNA(_xlfn.XLOOKUP(C1172,Table_Tarikan_Warkah[Nomor Sertipikat],Table_Tarikan_Warkah[Nomor Tiket]),"")</f>
        <v>L/38/101224/1</v>
      </c>
      <c r="E1172" s="20">
        <f t="array" ref="E1172">IFNA(_xlfn.XLOOKUP(D1172,Table_Tarikan_Warkah[Nomor Tiket],Table_Tarikan_Warkah[Tanggal diserahkan kepada Validator]),"")</f>
        <v>45639.59509</v>
      </c>
      <c r="F1172" s="20" t="str">
        <f t="array" ref="F1172">IFNA(_xlfn.XLOOKUP(D1172,Table_Tarikan_Warkah[Nomor Tiket],Table_Tarikan_Warkah[Nama Petugas Warkah]),"")</f>
        <v>David</v>
      </c>
      <c r="G1172" s="21" t="str">
        <f t="array" ref="G1172">IFNA(_xlfn.XLOOKUP(D1172,Table_Tarikan_Warkah[Nomor Tiket],Table_Tarikan_Warkah[Jenis Permohonan]),"")</f>
        <v>PENATAAN BATAS</v>
      </c>
      <c r="H1172" s="22" t="s">
        <v>31</v>
      </c>
      <c r="I1172" s="22" t="s">
        <v>32</v>
      </c>
      <c r="J1172" s="20">
        <f t="shared" si="29"/>
        <v>45639.6476</v>
      </c>
      <c r="K1172" s="27" t="s">
        <v>65</v>
      </c>
      <c r="L1172" s="27" t="s">
        <v>32</v>
      </c>
      <c r="M1172" s="20">
        <f t="shared" si="30"/>
        <v>45642.58726</v>
      </c>
      <c r="N1172" s="8" t="str">
        <f t="shared" si="3"/>
        <v>SELESAI</v>
      </c>
      <c r="O1172" s="23">
        <f t="shared" si="22"/>
        <v>45642.58726</v>
      </c>
      <c r="P1172" s="24" t="b">
        <v>0</v>
      </c>
      <c r="Q1172" s="20" t="str">
        <f t="shared" si="31"/>
        <v/>
      </c>
      <c r="R1172" s="24" t="b">
        <v>1</v>
      </c>
      <c r="S1172" s="20">
        <f t="shared" si="6"/>
        <v>45650.39297</v>
      </c>
      <c r="T1172" s="39">
        <v>45645.0</v>
      </c>
    </row>
    <row r="1173" ht="22.5" hidden="1" customHeight="1">
      <c r="B1173" s="7">
        <f t="shared" si="7"/>
        <v>1167</v>
      </c>
      <c r="C1173" s="18" t="s">
        <v>1138</v>
      </c>
      <c r="D1173" s="19" t="str">
        <f t="array" ref="D1173">IFNA(_xlfn.XLOOKUP(C1173,Table_Tarikan_Warkah[Nomor Sertipikat],Table_Tarikan_Warkah[Nomor Tiket]),"")</f>
        <v>L/39/101224/2</v>
      </c>
      <c r="E1173" s="20" t="str">
        <f t="array" ref="E1173">IFNA(_xlfn.XLOOKUP(D1173,Table_Tarikan_Warkah[Nomor Tiket],Table_Tarikan_Warkah[Tanggal diserahkan kepada Validator]),"")</f>
        <v/>
      </c>
      <c r="F1173" s="20" t="str">
        <f t="array" ref="F1173">IFNA(_xlfn.XLOOKUP(D1173,Table_Tarikan_Warkah[Nomor Tiket],Table_Tarikan_Warkah[Nama Petugas Warkah]),"")</f>
        <v>David</v>
      </c>
      <c r="G1173" s="21" t="str">
        <f t="array" ref="G1173">IFNA(_xlfn.XLOOKUP(D1173,Table_Tarikan_Warkah[Nomor Tiket],Table_Tarikan_Warkah[Jenis Permohonan]),"")</f>
        <v>PENATAAN BATAS</v>
      </c>
      <c r="H1173" s="22" t="s">
        <v>31</v>
      </c>
      <c r="I1173" s="22" t="s">
        <v>32</v>
      </c>
      <c r="J1173" s="20">
        <f t="shared" si="29"/>
        <v>45639.6476</v>
      </c>
      <c r="K1173" s="27" t="s">
        <v>65</v>
      </c>
      <c r="L1173" s="27" t="s">
        <v>32</v>
      </c>
      <c r="M1173" s="20">
        <f t="shared" si="30"/>
        <v>45642.58732</v>
      </c>
      <c r="N1173" s="8" t="str">
        <f t="shared" si="3"/>
        <v>SELESAI</v>
      </c>
      <c r="O1173" s="23">
        <f t="shared" si="22"/>
        <v>45642.58732</v>
      </c>
      <c r="P1173" s="24" t="b">
        <v>0</v>
      </c>
      <c r="Q1173" s="20" t="str">
        <f t="shared" si="31"/>
        <v/>
      </c>
      <c r="R1173" s="24" t="b">
        <v>1</v>
      </c>
      <c r="S1173" s="20">
        <f t="shared" si="6"/>
        <v>45650.39298</v>
      </c>
      <c r="T1173" s="39">
        <v>45645.0</v>
      </c>
    </row>
    <row r="1174" ht="22.5" hidden="1" customHeight="1">
      <c r="B1174" s="7">
        <f t="shared" si="7"/>
        <v>1168</v>
      </c>
      <c r="C1174" s="18" t="s">
        <v>1139</v>
      </c>
      <c r="D1174" s="19" t="str">
        <f t="array" ref="D1174">IFNA(_xlfn.XLOOKUP(C1174,Table_Tarikan_Warkah[Nomor Sertipikat],Table_Tarikan_Warkah[Nomor Tiket]),"")</f>
        <v>L/31/211124/1</v>
      </c>
      <c r="E1174" s="20">
        <f t="array" ref="E1174">IFNA(_xlfn.XLOOKUP(D1174,Table_Tarikan_Warkah[Nomor Tiket],Table_Tarikan_Warkah[Tanggal diserahkan kepada Validator]),"")</f>
        <v>45622.50264</v>
      </c>
      <c r="F1174" s="20" t="str">
        <f t="array" ref="F1174">IFNA(_xlfn.XLOOKUP(D1174,Table_Tarikan_Warkah[Nomor Tiket],Table_Tarikan_Warkah[Nama Petugas Warkah]),"")</f>
        <v>David</v>
      </c>
      <c r="G1174" s="21" t="str">
        <f t="array" ref="G1174">IFNA(_xlfn.XLOOKUP(D1174,Table_Tarikan_Warkah[Nomor Tiket],Table_Tarikan_Warkah[Jenis Permohonan]),"")</f>
        <v>ROYA</v>
      </c>
      <c r="H1174" s="22" t="s">
        <v>37</v>
      </c>
      <c r="I1174" s="22" t="s">
        <v>187</v>
      </c>
      <c r="J1174" s="20">
        <f t="shared" si="29"/>
        <v>45642.37257</v>
      </c>
      <c r="K1174" s="27" t="s">
        <v>33</v>
      </c>
      <c r="L1174" s="27" t="s">
        <v>187</v>
      </c>
      <c r="M1174" s="20">
        <f t="shared" si="30"/>
        <v>45642.58686</v>
      </c>
      <c r="N1174" s="8" t="str">
        <f t="shared" si="3"/>
        <v>Selesai</v>
      </c>
      <c r="O1174" s="23">
        <f t="shared" si="22"/>
        <v>45642.58686</v>
      </c>
      <c r="P1174" s="24" t="b">
        <v>1</v>
      </c>
      <c r="Q1174" s="20">
        <f t="shared" si="31"/>
        <v>45642.66732</v>
      </c>
      <c r="R1174" s="24" t="b">
        <v>0</v>
      </c>
      <c r="S1174" s="7" t="str">
        <f t="shared" si="6"/>
        <v/>
      </c>
      <c r="T1174" s="7"/>
    </row>
    <row r="1175" ht="22.5" hidden="1" customHeight="1">
      <c r="B1175" s="7">
        <f t="shared" si="7"/>
        <v>1169</v>
      </c>
      <c r="C1175" s="18" t="s">
        <v>1140</v>
      </c>
      <c r="D1175" s="19" t="str">
        <f t="array" ref="D1175">IFNA(_xlfn.XLOOKUP(C1175,Table_Tarikan_Warkah[Nomor Sertipikat],Table_Tarikan_Warkah[Nomor Tiket]),"")</f>
        <v>K/13/091224/1</v>
      </c>
      <c r="E1175" s="20" t="str">
        <f t="array" ref="E1175">IFNA(_xlfn.XLOOKUP(D1175,Table_Tarikan_Warkah[Nomor Tiket],Table_Tarikan_Warkah[Tanggal diserahkan kepada Validator]),"")</f>
        <v/>
      </c>
      <c r="F1175" s="20" t="str">
        <f t="array" ref="F1175">IFNA(_xlfn.XLOOKUP(D1175,Table_Tarikan_Warkah[Nomor Tiket],Table_Tarikan_Warkah[Nama Petugas Warkah]),"")</f>
        <v/>
      </c>
      <c r="G1175" s="21" t="str">
        <f t="array" ref="G1175">IFNA(_xlfn.XLOOKUP(D1175,Table_Tarikan_Warkah[Nomor Tiket],Table_Tarikan_Warkah[Jenis Permohonan]),"")</f>
        <v>Roya</v>
      </c>
      <c r="H1175" s="22" t="s">
        <v>37</v>
      </c>
      <c r="I1175" s="22" t="s">
        <v>187</v>
      </c>
      <c r="J1175" s="20">
        <f t="shared" si="29"/>
        <v>45642.37934</v>
      </c>
      <c r="K1175" s="27" t="s">
        <v>33</v>
      </c>
      <c r="L1175" s="27" t="s">
        <v>187</v>
      </c>
      <c r="M1175" s="20">
        <f t="shared" si="30"/>
        <v>45642.58686</v>
      </c>
      <c r="N1175" s="8" t="str">
        <f t="shared" si="3"/>
        <v>Selesai</v>
      </c>
      <c r="O1175" s="23">
        <f t="shared" si="22"/>
        <v>45642.58686</v>
      </c>
      <c r="P1175" s="24" t="b">
        <v>1</v>
      </c>
      <c r="Q1175" s="20">
        <f t="shared" si="31"/>
        <v>45642.66731</v>
      </c>
      <c r="R1175" s="24" t="b">
        <v>0</v>
      </c>
      <c r="S1175" s="7" t="str">
        <f t="shared" si="6"/>
        <v/>
      </c>
      <c r="T1175" s="7"/>
    </row>
    <row r="1176" ht="22.5" hidden="1" customHeight="1">
      <c r="B1176" s="7">
        <f t="shared" si="7"/>
        <v>1170</v>
      </c>
      <c r="C1176" s="18" t="s">
        <v>1141</v>
      </c>
      <c r="D1176" s="19" t="str">
        <f t="array" ref="D1176">IFNA(_xlfn.XLOOKUP(C1176,Table_Tarikan_Warkah[Nomor Sertipikat],Table_Tarikan_Warkah[Nomor Tiket]),"")</f>
        <v>K/27/121224/1</v>
      </c>
      <c r="E1176" s="20" t="str">
        <f t="array" ref="E1176">IFNA(_xlfn.XLOOKUP(D1176,Table_Tarikan_Warkah[Nomor Tiket],Table_Tarikan_Warkah[Tanggal diserahkan kepada Validator]),"")</f>
        <v/>
      </c>
      <c r="F1176" s="20" t="str">
        <f t="array" ref="F1176">IFNA(_xlfn.XLOOKUP(D1176,Table_Tarikan_Warkah[Nomor Tiket],Table_Tarikan_Warkah[Nama Petugas Warkah]),"")</f>
        <v/>
      </c>
      <c r="G1176" s="21" t="str">
        <f t="array" ref="G1176">IFNA(_xlfn.XLOOKUP(D1176,Table_Tarikan_Warkah[Nomor Tiket],Table_Tarikan_Warkah[Jenis Permohonan]),"")</f>
        <v>BN Jual Beli</v>
      </c>
      <c r="H1176" s="22" t="s">
        <v>37</v>
      </c>
      <c r="I1176" s="22" t="s">
        <v>187</v>
      </c>
      <c r="J1176" s="20">
        <f t="shared" si="29"/>
        <v>45642.4183</v>
      </c>
      <c r="K1176" s="27" t="s">
        <v>33</v>
      </c>
      <c r="L1176" s="27" t="s">
        <v>187</v>
      </c>
      <c r="M1176" s="20">
        <f t="shared" si="30"/>
        <v>45642.58693</v>
      </c>
      <c r="N1176" s="8" t="str">
        <f t="shared" si="3"/>
        <v>Selesai</v>
      </c>
      <c r="O1176" s="23">
        <f t="shared" si="22"/>
        <v>45642.58693</v>
      </c>
      <c r="P1176" s="24" t="b">
        <v>1</v>
      </c>
      <c r="Q1176" s="20">
        <f t="shared" si="31"/>
        <v>45642.66731</v>
      </c>
      <c r="R1176" s="24" t="b">
        <v>1</v>
      </c>
      <c r="S1176" s="20">
        <f t="shared" si="6"/>
        <v>45650.40467</v>
      </c>
      <c r="T1176" s="39">
        <v>45645.0</v>
      </c>
    </row>
    <row r="1177" ht="22.5" hidden="1" customHeight="1">
      <c r="B1177" s="7">
        <f t="shared" si="7"/>
        <v>1171</v>
      </c>
      <c r="C1177" s="18" t="s">
        <v>1142</v>
      </c>
      <c r="D1177" s="19" t="str">
        <f t="array" ref="D1177">IFNA(_xlfn.XLOOKUP(C1177,Table_Tarikan_Warkah[Nomor Sertipikat],Table_Tarikan_Warkah[Nomor Tiket]),"")</f>
        <v>K/11/101224/1</v>
      </c>
      <c r="E1177" s="20">
        <f t="array" ref="E1177">IFNA(_xlfn.XLOOKUP(D1177,Table_Tarikan_Warkah[Nomor Tiket],Table_Tarikan_Warkah[Tanggal diserahkan kepada Validator]),"")</f>
        <v>45639.59088</v>
      </c>
      <c r="F1177" s="20" t="str">
        <f t="array" ref="F1177">IFNA(_xlfn.XLOOKUP(D1177,Table_Tarikan_Warkah[Nomor Tiket],Table_Tarikan_Warkah[Nama Petugas Warkah]),"")</f>
        <v>David</v>
      </c>
      <c r="G1177" s="21" t="str">
        <f t="array" ref="G1177">IFNA(_xlfn.XLOOKUP(D1177,Table_Tarikan_Warkah[Nomor Tiket],Table_Tarikan_Warkah[Jenis Permohonan]),"")</f>
        <v>BN JUAL BELI</v>
      </c>
      <c r="H1177" s="22" t="s">
        <v>37</v>
      </c>
      <c r="I1177" s="22" t="s">
        <v>32</v>
      </c>
      <c r="J1177" s="20">
        <f t="shared" si="29"/>
        <v>45642.42516</v>
      </c>
      <c r="K1177" s="27" t="s">
        <v>65</v>
      </c>
      <c r="L1177" s="27" t="s">
        <v>32</v>
      </c>
      <c r="M1177" s="20">
        <f t="shared" si="30"/>
        <v>45642.58655</v>
      </c>
      <c r="N1177" s="8" t="str">
        <f t="shared" si="3"/>
        <v>SELESAI</v>
      </c>
      <c r="O1177" s="23">
        <f t="shared" si="22"/>
        <v>45642.58655</v>
      </c>
      <c r="P1177" s="24" t="b">
        <v>0</v>
      </c>
      <c r="Q1177" s="20" t="str">
        <f t="shared" si="31"/>
        <v/>
      </c>
      <c r="R1177" s="24" t="b">
        <v>1</v>
      </c>
      <c r="S1177" s="20">
        <f t="shared" si="6"/>
        <v>45650.40122</v>
      </c>
      <c r="T1177" s="39">
        <v>45645.0</v>
      </c>
    </row>
    <row r="1178" ht="22.5" hidden="1" customHeight="1">
      <c r="B1178" s="7">
        <f t="shared" si="7"/>
        <v>1172</v>
      </c>
      <c r="C1178" s="18" t="s">
        <v>1143</v>
      </c>
      <c r="D1178" s="19" t="str">
        <f t="array" ref="D1178">IFNA(_xlfn.XLOOKUP(C1178,Table_Tarikan_Warkah[Nomor Sertipikat],Table_Tarikan_Warkah[Nomor Tiket]),"")</f>
        <v>K/12/101224/2</v>
      </c>
      <c r="E1178" s="20">
        <f t="array" ref="E1178">IFNA(_xlfn.XLOOKUP(D1178,Table_Tarikan_Warkah[Nomor Tiket],Table_Tarikan_Warkah[Tanggal diserahkan kepada Validator]),"")</f>
        <v>45639.59116</v>
      </c>
      <c r="F1178" s="20" t="str">
        <f t="array" ref="F1178">IFNA(_xlfn.XLOOKUP(D1178,Table_Tarikan_Warkah[Nomor Tiket],Table_Tarikan_Warkah[Nama Petugas Warkah]),"")</f>
        <v>David</v>
      </c>
      <c r="G1178" s="21" t="str">
        <f t="array" ref="G1178">IFNA(_xlfn.XLOOKUP(D1178,Table_Tarikan_Warkah[Nomor Tiket],Table_Tarikan_Warkah[Jenis Permohonan]),"")</f>
        <v>BN JUAL BELI</v>
      </c>
      <c r="H1178" s="22" t="s">
        <v>37</v>
      </c>
      <c r="I1178" s="22" t="s">
        <v>32</v>
      </c>
      <c r="J1178" s="20">
        <f t="shared" si="29"/>
        <v>45642.42518</v>
      </c>
      <c r="K1178" s="27" t="s">
        <v>65</v>
      </c>
      <c r="L1178" s="27" t="s">
        <v>32</v>
      </c>
      <c r="M1178" s="20">
        <f t="shared" si="30"/>
        <v>45642.58664</v>
      </c>
      <c r="N1178" s="8" t="str">
        <f t="shared" si="3"/>
        <v>SELESAI</v>
      </c>
      <c r="O1178" s="23">
        <f t="shared" si="22"/>
        <v>45642.58664</v>
      </c>
      <c r="P1178" s="24" t="b">
        <v>0</v>
      </c>
      <c r="Q1178" s="20" t="str">
        <f t="shared" si="31"/>
        <v/>
      </c>
      <c r="R1178" s="24" t="b">
        <v>1</v>
      </c>
      <c r="S1178" s="20">
        <f t="shared" si="6"/>
        <v>45650.40105</v>
      </c>
      <c r="T1178" s="39">
        <v>45645.0</v>
      </c>
    </row>
    <row r="1179" ht="22.5" hidden="1" customHeight="1">
      <c r="B1179" s="7">
        <f t="shared" si="7"/>
        <v>1173</v>
      </c>
      <c r="C1179" s="18" t="s">
        <v>1144</v>
      </c>
      <c r="D1179" s="19" t="str">
        <f t="array" ref="D1179">IFNA(_xlfn.XLOOKUP(C1179,Table_Tarikan_Warkah[Nomor Sertipikat],Table_Tarikan_Warkah[Nomor Tiket]),"")</f>
        <v>K/19/101224/1</v>
      </c>
      <c r="E1179" s="20" t="str">
        <f t="array" ref="E1179">IFNA(_xlfn.XLOOKUP(D1179,Table_Tarikan_Warkah[Nomor Tiket],Table_Tarikan_Warkah[Tanggal diserahkan kepada Validator]),"")</f>
        <v/>
      </c>
      <c r="F1179" s="20" t="str">
        <f t="array" ref="F1179">IFNA(_xlfn.XLOOKUP(D1179,Table_Tarikan_Warkah[Nomor Tiket],Table_Tarikan_Warkah[Nama Petugas Warkah]),"")</f>
        <v/>
      </c>
      <c r="G1179" s="21" t="str">
        <f t="array" ref="G1179">IFNA(_xlfn.XLOOKUP(D1179,Table_Tarikan_Warkah[Nomor Tiket],Table_Tarikan_Warkah[Jenis Permohonan]),"")</f>
        <v>BN Jual Beli</v>
      </c>
      <c r="H1179" s="22" t="s">
        <v>37</v>
      </c>
      <c r="I1179" s="22" t="s">
        <v>32</v>
      </c>
      <c r="J1179" s="20">
        <f t="shared" si="29"/>
        <v>45642.46203</v>
      </c>
      <c r="K1179" s="27" t="s">
        <v>65</v>
      </c>
      <c r="L1179" s="27" t="s">
        <v>32</v>
      </c>
      <c r="M1179" s="20">
        <f t="shared" si="30"/>
        <v>45642.5867</v>
      </c>
      <c r="N1179" s="8" t="str">
        <f t="shared" si="3"/>
        <v>SELESAI</v>
      </c>
      <c r="O1179" s="23">
        <f t="shared" si="22"/>
        <v>45642.5867</v>
      </c>
      <c r="P1179" s="24" t="b">
        <v>0</v>
      </c>
      <c r="Q1179" s="20" t="str">
        <f t="shared" si="31"/>
        <v/>
      </c>
      <c r="R1179" s="24" t="b">
        <v>0</v>
      </c>
      <c r="S1179" s="7" t="str">
        <f t="shared" si="6"/>
        <v/>
      </c>
      <c r="T1179" s="7"/>
    </row>
    <row r="1180" ht="22.5" hidden="1" customHeight="1">
      <c r="B1180" s="7">
        <f t="shared" si="7"/>
        <v>1174</v>
      </c>
      <c r="C1180" s="18" t="s">
        <v>1145</v>
      </c>
      <c r="D1180" s="19" t="str">
        <f t="array" ref="D1180">IFNA(_xlfn.XLOOKUP(C1180,Table_Tarikan_Warkah[Nomor Sertipikat],Table_Tarikan_Warkah[Nomor Tiket]),"")</f>
        <v>K/13/101224/3</v>
      </c>
      <c r="E1180" s="20" t="str">
        <f t="array" ref="E1180">IFNA(_xlfn.XLOOKUP(D1180,Table_Tarikan_Warkah[Nomor Tiket],Table_Tarikan_Warkah[Tanggal diserahkan kepada Validator]),"")</f>
        <v/>
      </c>
      <c r="F1180" s="20" t="str">
        <f t="array" ref="F1180">IFNA(_xlfn.XLOOKUP(D1180,Table_Tarikan_Warkah[Nomor Tiket],Table_Tarikan_Warkah[Nama Petugas Warkah]),"")</f>
        <v>David</v>
      </c>
      <c r="G1180" s="21" t="str">
        <f t="array" ref="G1180">IFNA(_xlfn.XLOOKUP(D1180,Table_Tarikan_Warkah[Nomor Tiket],Table_Tarikan_Warkah[Jenis Permohonan]),"")</f>
        <v>KEWARISAN </v>
      </c>
      <c r="H1180" s="22" t="s">
        <v>37</v>
      </c>
      <c r="I1180" s="22" t="s">
        <v>32</v>
      </c>
      <c r="J1180" s="20">
        <f t="shared" si="29"/>
        <v>45642.47142</v>
      </c>
      <c r="K1180" s="27" t="s">
        <v>65</v>
      </c>
      <c r="L1180" s="27" t="s">
        <v>32</v>
      </c>
      <c r="M1180" s="20">
        <f t="shared" si="30"/>
        <v>45642.5867</v>
      </c>
      <c r="N1180" s="8" t="str">
        <f t="shared" si="3"/>
        <v>SELESAI</v>
      </c>
      <c r="O1180" s="23">
        <f t="shared" si="22"/>
        <v>45642.5867</v>
      </c>
      <c r="P1180" s="24" t="b">
        <v>0</v>
      </c>
      <c r="Q1180" s="20" t="str">
        <f t="shared" si="31"/>
        <v/>
      </c>
      <c r="R1180" s="24" t="b">
        <v>1</v>
      </c>
      <c r="S1180" s="20">
        <f t="shared" si="6"/>
        <v>45650.40063</v>
      </c>
      <c r="T1180" s="39">
        <v>45645.0</v>
      </c>
    </row>
    <row r="1181" ht="22.5" hidden="1" customHeight="1">
      <c r="B1181" s="7">
        <f t="shared" si="7"/>
        <v>1175</v>
      </c>
      <c r="C1181" s="18" t="s">
        <v>1146</v>
      </c>
      <c r="D1181" s="19" t="str">
        <f t="array" ref="D1181">IFNA(_xlfn.XLOOKUP(C1181,Table_Tarikan_Warkah[Nomor Sertipikat],Table_Tarikan_Warkah[Nomor Tiket]),"")</f>
        <v>K/8/101224/1</v>
      </c>
      <c r="E1181" s="20">
        <f t="array" ref="E1181">IFNA(_xlfn.XLOOKUP(D1181,Table_Tarikan_Warkah[Nomor Tiket],Table_Tarikan_Warkah[Tanggal diserahkan kepada Validator]),"")</f>
        <v>45639.59062</v>
      </c>
      <c r="F1181" s="20" t="str">
        <f t="array" ref="F1181">IFNA(_xlfn.XLOOKUP(D1181,Table_Tarikan_Warkah[Nomor Tiket],Table_Tarikan_Warkah[Nama Petugas Warkah]),"")</f>
        <v>David</v>
      </c>
      <c r="G1181" s="21" t="str">
        <f t="array" ref="G1181">IFNA(_xlfn.XLOOKUP(D1181,Table_Tarikan_Warkah[Nomor Tiket],Table_Tarikan_Warkah[Jenis Permohonan]),"")</f>
        <v>BN Jual Beli</v>
      </c>
      <c r="H1181" s="22" t="s">
        <v>37</v>
      </c>
      <c r="I1181" s="22" t="s">
        <v>32</v>
      </c>
      <c r="J1181" s="20">
        <f t="shared" si="29"/>
        <v>45642.47236</v>
      </c>
      <c r="K1181" s="27" t="s">
        <v>65</v>
      </c>
      <c r="L1181" s="27" t="s">
        <v>32</v>
      </c>
      <c r="M1181" s="20">
        <f t="shared" si="30"/>
        <v>45642.58674</v>
      </c>
      <c r="N1181" s="8" t="str">
        <f t="shared" si="3"/>
        <v>SELESAI</v>
      </c>
      <c r="O1181" s="23">
        <f t="shared" si="22"/>
        <v>45642.58674</v>
      </c>
      <c r="P1181" s="24" t="b">
        <v>0</v>
      </c>
      <c r="Q1181" s="20" t="str">
        <f t="shared" si="31"/>
        <v/>
      </c>
      <c r="R1181" s="24" t="b">
        <v>1</v>
      </c>
      <c r="S1181" s="20">
        <f t="shared" si="6"/>
        <v>45650.40024</v>
      </c>
      <c r="T1181" s="39">
        <v>45645.0</v>
      </c>
    </row>
    <row r="1182" ht="22.5" hidden="1" customHeight="1">
      <c r="B1182" s="7">
        <f t="shared" si="7"/>
        <v>1176</v>
      </c>
      <c r="C1182" s="18" t="s">
        <v>1147</v>
      </c>
      <c r="D1182" s="19" t="str">
        <f t="array" ref="D1182">IFNA(_xlfn.XLOOKUP(C1182,Table_Tarikan_Warkah[Nomor Sertipikat],Table_Tarikan_Warkah[Nomor Tiket]),"")</f>
        <v>L/6/101224/1</v>
      </c>
      <c r="E1182" s="20">
        <f t="array" ref="E1182">IFNA(_xlfn.XLOOKUP(D1182,Table_Tarikan_Warkah[Nomor Tiket],Table_Tarikan_Warkah[Tanggal diserahkan kepada Validator]),"")</f>
        <v>45639.5902</v>
      </c>
      <c r="F1182" s="20" t="str">
        <f t="array" ref="F1182">IFNA(_xlfn.XLOOKUP(D1182,Table_Tarikan_Warkah[Nomor Tiket],Table_Tarikan_Warkah[Nama Petugas Warkah]),"")</f>
        <v>David</v>
      </c>
      <c r="G1182" s="21" t="str">
        <f t="array" ref="G1182">IFNA(_xlfn.XLOOKUP(D1182,Table_Tarikan_Warkah[Nomor Tiket],Table_Tarikan_Warkah[Jenis Permohonan]),"")</f>
        <v>ROYA</v>
      </c>
      <c r="H1182" s="22" t="s">
        <v>37</v>
      </c>
      <c r="I1182" s="22" t="s">
        <v>32</v>
      </c>
      <c r="J1182" s="20">
        <f t="shared" si="29"/>
        <v>45642.47375</v>
      </c>
      <c r="K1182" s="27" t="s">
        <v>65</v>
      </c>
      <c r="L1182" s="27" t="s">
        <v>32</v>
      </c>
      <c r="M1182" s="20">
        <f t="shared" si="30"/>
        <v>45642.58674</v>
      </c>
      <c r="N1182" s="8" t="str">
        <f t="shared" si="3"/>
        <v>SELESAI</v>
      </c>
      <c r="O1182" s="23">
        <f t="shared" si="22"/>
        <v>45642.58674</v>
      </c>
      <c r="P1182" s="24" t="b">
        <v>0</v>
      </c>
      <c r="Q1182" s="20" t="str">
        <f t="shared" si="31"/>
        <v/>
      </c>
      <c r="R1182" s="24" t="b">
        <v>1</v>
      </c>
      <c r="S1182" s="20">
        <f t="shared" si="6"/>
        <v>45650.39833</v>
      </c>
      <c r="T1182" s="39">
        <v>45645.0</v>
      </c>
    </row>
    <row r="1183" ht="22.5" hidden="1" customHeight="1">
      <c r="B1183" s="7">
        <f t="shared" si="7"/>
        <v>1177</v>
      </c>
      <c r="C1183" s="18" t="s">
        <v>1148</v>
      </c>
      <c r="D1183" s="19" t="str">
        <f t="array" ref="D1183">IFNA(_xlfn.XLOOKUP(C1183,Table_Tarikan_Warkah[Nomor Sertipikat],Table_Tarikan_Warkah[Nomor Tiket]),"")</f>
        <v>K/1/121224/1</v>
      </c>
      <c r="E1183" s="20" t="str">
        <f t="array" ref="E1183">IFNA(_xlfn.XLOOKUP(D1183,Table_Tarikan_Warkah[Nomor Tiket],Table_Tarikan_Warkah[Tanggal diserahkan kepada Validator]),"")</f>
        <v/>
      </c>
      <c r="F1183" s="20" t="str">
        <f t="array" ref="F1183">IFNA(_xlfn.XLOOKUP(D1183,Table_Tarikan_Warkah[Nomor Tiket],Table_Tarikan_Warkah[Nama Petugas Warkah]),"")</f>
        <v>David</v>
      </c>
      <c r="G1183" s="21" t="str">
        <f t="array" ref="G1183">IFNA(_xlfn.XLOOKUP(D1183,Table_Tarikan_Warkah[Nomor Tiket],Table_Tarikan_Warkah[Jenis Permohonan]),"")</f>
        <v>BN Jual Beli</v>
      </c>
      <c r="H1183" s="22" t="s">
        <v>37</v>
      </c>
      <c r="I1183" s="22" t="s">
        <v>187</v>
      </c>
      <c r="J1183" s="20">
        <f t="shared" si="29"/>
        <v>45642.48472</v>
      </c>
      <c r="K1183" s="27" t="s">
        <v>33</v>
      </c>
      <c r="L1183" s="27" t="s">
        <v>187</v>
      </c>
      <c r="M1183" s="20">
        <f t="shared" si="30"/>
        <v>45642.58646</v>
      </c>
      <c r="N1183" s="8" t="str">
        <f t="shared" si="3"/>
        <v>Selesai</v>
      </c>
      <c r="O1183" s="23">
        <f t="shared" si="22"/>
        <v>45642.58646</v>
      </c>
      <c r="P1183" s="24" t="b">
        <v>1</v>
      </c>
      <c r="Q1183" s="20">
        <f t="shared" si="31"/>
        <v>45642.66729</v>
      </c>
      <c r="R1183" s="24" t="b">
        <v>1</v>
      </c>
      <c r="S1183" s="20">
        <f t="shared" si="6"/>
        <v>45650.40268</v>
      </c>
      <c r="T1183" s="39">
        <v>45645.0</v>
      </c>
    </row>
    <row r="1184" ht="22.5" hidden="1" customHeight="1">
      <c r="B1184" s="7">
        <f t="shared" si="7"/>
        <v>1178</v>
      </c>
      <c r="C1184" s="18" t="s">
        <v>1149</v>
      </c>
      <c r="D1184" s="19" t="str">
        <f t="array" ref="D1184">IFNA(_xlfn.XLOOKUP(C1184,Table_Tarikan_Warkah[Nomor Sertipikat],Table_Tarikan_Warkah[Nomor Tiket]),"")</f>
        <v>L/1/151224/1</v>
      </c>
      <c r="E1184" s="20">
        <f t="array" ref="E1184">IFNA(_xlfn.XLOOKUP(D1184,Table_Tarikan_Warkah[Nomor Tiket],Table_Tarikan_Warkah[Tanggal diserahkan kepada Validator]),"")</f>
        <v>45644.68708</v>
      </c>
      <c r="F1184" s="20" t="str">
        <f t="array" ref="F1184">IFNA(_xlfn.XLOOKUP(D1184,Table_Tarikan_Warkah[Nomor Tiket],Table_Tarikan_Warkah[Nama Petugas Warkah]),"")</f>
        <v>Berry</v>
      </c>
      <c r="G1184" s="21" t="str">
        <f t="array" ref="G1184">IFNA(_xlfn.XLOOKUP(D1184,Table_Tarikan_Warkah[Nomor Tiket],Table_Tarikan_Warkah[Jenis Permohonan]),"")</f>
        <v>Roya</v>
      </c>
      <c r="H1184" s="22" t="s">
        <v>37</v>
      </c>
      <c r="I1184" s="22" t="s">
        <v>187</v>
      </c>
      <c r="J1184" s="20">
        <f t="shared" si="29"/>
        <v>45642.48627</v>
      </c>
      <c r="K1184" s="27" t="s">
        <v>33</v>
      </c>
      <c r="L1184" s="27" t="s">
        <v>187</v>
      </c>
      <c r="M1184" s="20">
        <f t="shared" si="30"/>
        <v>45642.58648</v>
      </c>
      <c r="N1184" s="8" t="str">
        <f t="shared" si="3"/>
        <v>Selesai</v>
      </c>
      <c r="O1184" s="23">
        <f t="shared" si="22"/>
        <v>45642.58648</v>
      </c>
      <c r="P1184" s="24" t="b">
        <v>1</v>
      </c>
      <c r="Q1184" s="20">
        <f t="shared" si="31"/>
        <v>45642.66728</v>
      </c>
      <c r="R1184" s="24" t="b">
        <v>0</v>
      </c>
      <c r="S1184" s="7" t="str">
        <f t="shared" si="6"/>
        <v/>
      </c>
      <c r="T1184" s="7"/>
    </row>
    <row r="1185" ht="22.5" hidden="1" customHeight="1">
      <c r="B1185" s="7">
        <f t="shared" si="7"/>
        <v>1179</v>
      </c>
      <c r="C1185" s="18" t="s">
        <v>1150</v>
      </c>
      <c r="D1185" s="19" t="str">
        <f t="array" ref="D1185">IFNA(_xlfn.XLOOKUP(C1185,Table_Tarikan_Warkah[Nomor Sertipikat],Table_Tarikan_Warkah[Nomor Tiket]),"")</f>
        <v>K/1/101224/1</v>
      </c>
      <c r="E1185" s="20" t="str">
        <f t="array" ref="E1185">IFNA(_xlfn.XLOOKUP(D1185,Table_Tarikan_Warkah[Nomor Tiket],Table_Tarikan_Warkah[Tanggal diserahkan kepada Validator]),"")</f>
        <v/>
      </c>
      <c r="F1185" s="20" t="str">
        <f t="array" ref="F1185">IFNA(_xlfn.XLOOKUP(D1185,Table_Tarikan_Warkah[Nomor Tiket],Table_Tarikan_Warkah[Nama Petugas Warkah]),"")</f>
        <v/>
      </c>
      <c r="G1185" s="21" t="str">
        <f t="array" ref="G1185">IFNA(_xlfn.XLOOKUP(D1185,Table_Tarikan_Warkah[Nomor Tiket],Table_Tarikan_Warkah[Jenis Permohonan]),"")</f>
        <v>ROYA</v>
      </c>
      <c r="H1185" s="22" t="s">
        <v>37</v>
      </c>
      <c r="I1185" s="22" t="s">
        <v>32</v>
      </c>
      <c r="J1185" s="20">
        <f t="shared" si="29"/>
        <v>45642.56804</v>
      </c>
      <c r="K1185" s="27" t="s">
        <v>65</v>
      </c>
      <c r="L1185" s="27" t="s">
        <v>32</v>
      </c>
      <c r="M1185" s="20">
        <f t="shared" si="30"/>
        <v>45642.58638</v>
      </c>
      <c r="N1185" s="8" t="str">
        <f t="shared" si="3"/>
        <v>SELESAI</v>
      </c>
      <c r="O1185" s="23">
        <f t="shared" si="22"/>
        <v>45642.58638</v>
      </c>
      <c r="P1185" s="24" t="b">
        <v>0</v>
      </c>
      <c r="Q1185" s="20" t="str">
        <f t="shared" si="31"/>
        <v/>
      </c>
      <c r="R1185" s="24" t="b">
        <v>1</v>
      </c>
      <c r="S1185" s="20">
        <f t="shared" si="6"/>
        <v>45650.39708</v>
      </c>
      <c r="T1185" s="39">
        <v>45645.0</v>
      </c>
    </row>
    <row r="1186" ht="22.5" hidden="1" customHeight="1">
      <c r="B1186" s="7">
        <f t="shared" si="7"/>
        <v>1180</v>
      </c>
      <c r="C1186" s="18" t="s">
        <v>1151</v>
      </c>
      <c r="D1186" s="19" t="str">
        <f t="array" ref="D1186">IFNA(_xlfn.XLOOKUP(C1186,Table_Tarikan_Warkah[Nomor Sertipikat],Table_Tarikan_Warkah[Nomor Tiket]),"")</f>
        <v>K/30/111224/1</v>
      </c>
      <c r="E1186" s="20">
        <f t="array" ref="E1186">IFNA(_xlfn.XLOOKUP(D1186,Table_Tarikan_Warkah[Nomor Tiket],Table_Tarikan_Warkah[Tanggal diserahkan kepada Validator]),"")</f>
        <v>45642.70696</v>
      </c>
      <c r="F1186" s="20" t="str">
        <f t="array" ref="F1186">IFNA(_xlfn.XLOOKUP(D1186,Table_Tarikan_Warkah[Nomor Tiket],Table_Tarikan_Warkah[Nama Petugas Warkah]),"")</f>
        <v>David</v>
      </c>
      <c r="G1186" s="21" t="str">
        <f t="array" ref="G1186">IFNA(_xlfn.XLOOKUP(D1186,Table_Tarikan_Warkah[Nomor Tiket],Table_Tarikan_Warkah[Jenis Permohonan]),"")</f>
        <v>BN JUAL HIBAH</v>
      </c>
      <c r="H1186" s="22" t="s">
        <v>31</v>
      </c>
      <c r="I1186" s="22" t="s">
        <v>187</v>
      </c>
      <c r="J1186" s="20">
        <f t="shared" si="29"/>
        <v>45642.68115</v>
      </c>
      <c r="K1186" s="27" t="s">
        <v>33</v>
      </c>
      <c r="L1186" s="27" t="s">
        <v>187</v>
      </c>
      <c r="M1186" s="20">
        <f t="shared" si="30"/>
        <v>45642.71275</v>
      </c>
      <c r="N1186" s="8" t="str">
        <f t="shared" si="3"/>
        <v>Selesai</v>
      </c>
      <c r="O1186" s="23">
        <f t="shared" si="22"/>
        <v>45642.71275</v>
      </c>
      <c r="P1186" s="24" t="b">
        <v>1</v>
      </c>
      <c r="Q1186" s="20">
        <f t="shared" si="31"/>
        <v>45642.71289</v>
      </c>
      <c r="R1186" s="24" t="b">
        <v>0</v>
      </c>
      <c r="S1186" s="7" t="str">
        <f t="shared" si="6"/>
        <v/>
      </c>
      <c r="T1186" s="7"/>
    </row>
    <row r="1187" ht="22.5" hidden="1" customHeight="1">
      <c r="B1187" s="7">
        <f t="shared" si="7"/>
        <v>1181</v>
      </c>
      <c r="C1187" s="18" t="s">
        <v>1152</v>
      </c>
      <c r="D1187" s="19" t="str">
        <f t="array" ref="D1187">IFNA(_xlfn.XLOOKUP(C1187,Table_Tarikan_Warkah[Nomor Sertipikat],Table_Tarikan_Warkah[Nomor Tiket]),"")</f>
        <v>K/29/051224/1</v>
      </c>
      <c r="E1187" s="20" t="str">
        <f t="array" ref="E1187">IFNA(_xlfn.XLOOKUP(D1187,Table_Tarikan_Warkah[Nomor Tiket],Table_Tarikan_Warkah[Tanggal diserahkan kepada Validator]),"")</f>
        <v/>
      </c>
      <c r="F1187" s="20" t="str">
        <f t="array" ref="F1187">IFNA(_xlfn.XLOOKUP(D1187,Table_Tarikan_Warkah[Nomor Tiket],Table_Tarikan_Warkah[Nama Petugas Warkah]),"")</f>
        <v>Berry</v>
      </c>
      <c r="G1187" s="21" t="str">
        <f t="array" ref="G1187">IFNA(_xlfn.XLOOKUP(D1187,Table_Tarikan_Warkah[Nomor Tiket],Table_Tarikan_Warkah[Jenis Permohonan]),"")</f>
        <v>BN Hibah</v>
      </c>
      <c r="H1187" s="22" t="s">
        <v>31</v>
      </c>
      <c r="I1187" s="22" t="s">
        <v>187</v>
      </c>
      <c r="J1187" s="20">
        <f t="shared" si="29"/>
        <v>45642.68122</v>
      </c>
      <c r="K1187" s="27" t="s">
        <v>33</v>
      </c>
      <c r="L1187" s="27" t="s">
        <v>187</v>
      </c>
      <c r="M1187" s="20">
        <f t="shared" si="30"/>
        <v>45642.71275</v>
      </c>
      <c r="N1187" s="8" t="str">
        <f t="shared" si="3"/>
        <v>Selesai</v>
      </c>
      <c r="O1187" s="23">
        <f t="shared" si="22"/>
        <v>45642.71275</v>
      </c>
      <c r="P1187" s="24" t="b">
        <v>1</v>
      </c>
      <c r="Q1187" s="20">
        <f t="shared" si="31"/>
        <v>45642.7129</v>
      </c>
      <c r="R1187" s="24" t="b">
        <v>0</v>
      </c>
      <c r="S1187" s="7" t="str">
        <f t="shared" si="6"/>
        <v/>
      </c>
      <c r="T1187" s="7"/>
    </row>
    <row r="1188" ht="22.5" hidden="1" customHeight="1">
      <c r="B1188" s="7">
        <f t="shared" si="7"/>
        <v>1182</v>
      </c>
      <c r="C1188" s="18" t="s">
        <v>1153</v>
      </c>
      <c r="D1188" s="19" t="str">
        <f t="array" ref="D1188">IFNA(_xlfn.XLOOKUP(C1188,Table_Tarikan_Warkah[Nomor Sertipikat],Table_Tarikan_Warkah[Nomor Tiket]),"")</f>
        <v>K/21/121224/1</v>
      </c>
      <c r="E1188" s="20" t="str">
        <f t="array" ref="E1188">IFNA(_xlfn.XLOOKUP(D1188,Table_Tarikan_Warkah[Nomor Tiket],Table_Tarikan_Warkah[Tanggal diserahkan kepada Validator]),"")</f>
        <v/>
      </c>
      <c r="F1188" s="20" t="str">
        <f t="array" ref="F1188">IFNA(_xlfn.XLOOKUP(D1188,Table_Tarikan_Warkah[Nomor Tiket],Table_Tarikan_Warkah[Nama Petugas Warkah]),"")</f>
        <v/>
      </c>
      <c r="G1188" s="21" t="str">
        <f t="array" ref="G1188">IFNA(_xlfn.XLOOKUP(D1188,Table_Tarikan_Warkah[Nomor Tiket],Table_Tarikan_Warkah[Jenis Permohonan]),"")</f>
        <v>Perubahan Hak</v>
      </c>
      <c r="H1188" s="22" t="s">
        <v>31</v>
      </c>
      <c r="I1188" s="22" t="s">
        <v>187</v>
      </c>
      <c r="J1188" s="20">
        <f t="shared" si="29"/>
        <v>45642.68122</v>
      </c>
      <c r="K1188" s="27" t="s">
        <v>33</v>
      </c>
      <c r="L1188" s="27" t="s">
        <v>187</v>
      </c>
      <c r="M1188" s="20">
        <f t="shared" si="30"/>
        <v>45642.71277</v>
      </c>
      <c r="N1188" s="8" t="str">
        <f t="shared" si="3"/>
        <v>Selesai</v>
      </c>
      <c r="O1188" s="23">
        <f t="shared" si="22"/>
        <v>45642.71277</v>
      </c>
      <c r="P1188" s="24" t="b">
        <v>1</v>
      </c>
      <c r="Q1188" s="20">
        <f t="shared" si="31"/>
        <v>45642.71291</v>
      </c>
      <c r="R1188" s="24" t="b">
        <v>0</v>
      </c>
      <c r="S1188" s="7" t="str">
        <f t="shared" si="6"/>
        <v/>
      </c>
      <c r="T1188" s="7"/>
    </row>
    <row r="1189" ht="22.5" hidden="1" customHeight="1">
      <c r="B1189" s="7">
        <f t="shared" si="7"/>
        <v>1183</v>
      </c>
      <c r="C1189" s="18" t="s">
        <v>1154</v>
      </c>
      <c r="D1189" s="19" t="str">
        <f t="array" ref="D1189">IFNA(_xlfn.XLOOKUP(C1189,Table_Tarikan_Warkah[Nomor Sertipikat],Table_Tarikan_Warkah[Nomor Tiket]),"")</f>
        <v>K/9/101224/1</v>
      </c>
      <c r="E1189" s="20" t="str">
        <f t="array" ref="E1189">IFNA(_xlfn.XLOOKUP(D1189,Table_Tarikan_Warkah[Nomor Tiket],Table_Tarikan_Warkah[Tanggal diserahkan kepada Validator]),"")</f>
        <v/>
      </c>
      <c r="F1189" s="20" t="str">
        <f t="array" ref="F1189">IFNA(_xlfn.XLOOKUP(D1189,Table_Tarikan_Warkah[Nomor Tiket],Table_Tarikan_Warkah[Nama Petugas Warkah]),"")</f>
        <v/>
      </c>
      <c r="G1189" s="21" t="str">
        <f t="array" ref="G1189">IFNA(_xlfn.XLOOKUP(D1189,Table_Tarikan_Warkah[Nomor Tiket],Table_Tarikan_Warkah[Jenis Permohonan]),"")</f>
        <v>Roya</v>
      </c>
      <c r="H1189" s="22" t="s">
        <v>31</v>
      </c>
      <c r="I1189" s="22" t="s">
        <v>187</v>
      </c>
      <c r="J1189" s="20">
        <f t="shared" si="29"/>
        <v>45642.68122</v>
      </c>
      <c r="K1189" s="27" t="s">
        <v>33</v>
      </c>
      <c r="L1189" s="27" t="s">
        <v>187</v>
      </c>
      <c r="M1189" s="20">
        <f t="shared" si="30"/>
        <v>45642.71277</v>
      </c>
      <c r="N1189" s="8" t="str">
        <f t="shared" si="3"/>
        <v>Selesai</v>
      </c>
      <c r="O1189" s="23">
        <f t="shared" si="22"/>
        <v>45642.71277</v>
      </c>
      <c r="P1189" s="24" t="b">
        <v>1</v>
      </c>
      <c r="Q1189" s="20">
        <f t="shared" si="31"/>
        <v>45642.71292</v>
      </c>
      <c r="R1189" s="24" t="b">
        <v>0</v>
      </c>
      <c r="S1189" s="7" t="str">
        <f t="shared" si="6"/>
        <v/>
      </c>
      <c r="T1189" s="7"/>
    </row>
    <row r="1190" ht="22.5" hidden="1" customHeight="1">
      <c r="B1190" s="7">
        <f t="shared" si="7"/>
        <v>1184</v>
      </c>
      <c r="C1190" s="18" t="s">
        <v>1155</v>
      </c>
      <c r="D1190" s="19" t="str">
        <f t="array" ref="D1190">IFNA(_xlfn.XLOOKUP(C1190,Table_Tarikan_Warkah[Nomor Sertipikat],Table_Tarikan_Warkah[Nomor Tiket]),"")</f>
        <v>K/15/211124/1</v>
      </c>
      <c r="E1190" s="20" t="str">
        <f t="array" ref="E1190">IFNA(_xlfn.XLOOKUP(D1190,Table_Tarikan_Warkah[Nomor Tiket],Table_Tarikan_Warkah[Tanggal diserahkan kepada Validator]),"")</f>
        <v/>
      </c>
      <c r="F1190" s="20" t="str">
        <f t="array" ref="F1190">IFNA(_xlfn.XLOOKUP(D1190,Table_Tarikan_Warkah[Nomor Tiket],Table_Tarikan_Warkah[Nama Petugas Warkah]),"")</f>
        <v/>
      </c>
      <c r="G1190" s="21" t="str">
        <f t="array" ref="G1190">IFNA(_xlfn.XLOOKUP(D1190,Table_Tarikan_Warkah[Nomor Tiket],Table_Tarikan_Warkah[Jenis Permohonan]),"")</f>
        <v>PLOTING</v>
      </c>
      <c r="H1190" s="22" t="s">
        <v>31</v>
      </c>
      <c r="I1190" s="22" t="s">
        <v>187</v>
      </c>
      <c r="J1190" s="20">
        <f t="shared" si="29"/>
        <v>45642.68122</v>
      </c>
      <c r="K1190" s="27" t="s">
        <v>33</v>
      </c>
      <c r="L1190" s="27" t="s">
        <v>187</v>
      </c>
      <c r="M1190" s="20">
        <f t="shared" si="30"/>
        <v>45642.71284</v>
      </c>
      <c r="N1190" s="8" t="str">
        <f t="shared" si="3"/>
        <v>Selesai</v>
      </c>
      <c r="O1190" s="23">
        <f t="shared" si="22"/>
        <v>45642.71284</v>
      </c>
      <c r="P1190" s="24" t="b">
        <v>1</v>
      </c>
      <c r="Q1190" s="20">
        <f t="shared" si="31"/>
        <v>45642.71292</v>
      </c>
      <c r="R1190" s="24" t="b">
        <v>0</v>
      </c>
      <c r="S1190" s="7" t="str">
        <f t="shared" si="6"/>
        <v/>
      </c>
      <c r="T1190" s="7"/>
    </row>
    <row r="1191" ht="22.5" hidden="1" customHeight="1">
      <c r="B1191" s="7">
        <f t="shared" si="7"/>
        <v>1185</v>
      </c>
      <c r="C1191" s="18" t="s">
        <v>1156</v>
      </c>
      <c r="D1191" s="19" t="str">
        <f t="array" ref="D1191">IFNA(_xlfn.XLOOKUP(C1191,Table_Tarikan_Warkah[Nomor Sertipikat],Table_Tarikan_Warkah[Nomor Tiket]),"")</f>
        <v>L/26/061224/1</v>
      </c>
      <c r="E1191" s="20">
        <f t="array" ref="E1191">IFNA(_xlfn.XLOOKUP(D1191,Table_Tarikan_Warkah[Nomor Tiket],Table_Tarikan_Warkah[Tanggal diserahkan kepada Validator]),"")</f>
        <v>45635.67646</v>
      </c>
      <c r="F1191" s="20" t="str">
        <f t="array" ref="F1191">IFNA(_xlfn.XLOOKUP(D1191,Table_Tarikan_Warkah[Nomor Tiket],Table_Tarikan_Warkah[Nama Petugas Warkah]),"")</f>
        <v>Berry</v>
      </c>
      <c r="G1191" s="21" t="str">
        <f t="array" ref="G1191">IFNA(_xlfn.XLOOKUP(D1191,Table_Tarikan_Warkah[Nomor Tiket],Table_Tarikan_Warkah[Jenis Permohonan]),"")</f>
        <v>ROYA</v>
      </c>
      <c r="H1191" s="22" t="s">
        <v>31</v>
      </c>
      <c r="I1191" s="22" t="s">
        <v>32</v>
      </c>
      <c r="J1191" s="20">
        <f t="shared" si="29"/>
        <v>45642.68124</v>
      </c>
      <c r="K1191" s="27" t="s">
        <v>65</v>
      </c>
      <c r="L1191" s="27" t="s">
        <v>32</v>
      </c>
      <c r="M1191" s="20">
        <f t="shared" si="30"/>
        <v>45650.47758</v>
      </c>
      <c r="N1191" s="8" t="str">
        <f t="shared" si="3"/>
        <v>SELESAI</v>
      </c>
      <c r="O1191" s="23">
        <f t="shared" si="22"/>
        <v>45650.47758</v>
      </c>
      <c r="P1191" s="24" t="b">
        <v>0</v>
      </c>
      <c r="Q1191" s="20" t="str">
        <f t="shared" si="31"/>
        <v/>
      </c>
      <c r="R1191" s="24" t="b">
        <v>1</v>
      </c>
      <c r="S1191" s="20">
        <f t="shared" si="6"/>
        <v>45650.39777</v>
      </c>
      <c r="T1191" s="39">
        <v>45645.0</v>
      </c>
    </row>
    <row r="1192" ht="22.5" hidden="1" customHeight="1">
      <c r="B1192" s="7">
        <f t="shared" si="7"/>
        <v>1186</v>
      </c>
      <c r="C1192" s="18" t="s">
        <v>1157</v>
      </c>
      <c r="D1192" s="19" t="str">
        <f t="array" ref="D1192">IFNA(_xlfn.XLOOKUP(C1192,Table_Tarikan_Warkah[Nomor Sertipikat],Table_Tarikan_Warkah[Nomor Tiket]),"")</f>
        <v>K/30/101224/1</v>
      </c>
      <c r="E1192" s="20">
        <f t="array" ref="E1192">IFNA(_xlfn.XLOOKUP(D1192,Table_Tarikan_Warkah[Nomor Tiket],Table_Tarikan_Warkah[Tanggal diserahkan kepada Validator]),"")</f>
        <v>45639.59545</v>
      </c>
      <c r="F1192" s="20" t="str">
        <f t="array" ref="F1192">IFNA(_xlfn.XLOOKUP(D1192,Table_Tarikan_Warkah[Nomor Tiket],Table_Tarikan_Warkah[Nama Petugas Warkah]),"")</f>
        <v>David</v>
      </c>
      <c r="G1192" s="21" t="str">
        <f t="array" ref="G1192">IFNA(_xlfn.XLOOKUP(D1192,Table_Tarikan_Warkah[Nomor Tiket],Table_Tarikan_Warkah[Jenis Permohonan]),"")</f>
        <v>Roya</v>
      </c>
      <c r="H1192" s="22" t="s">
        <v>31</v>
      </c>
      <c r="I1192" s="22" t="s">
        <v>32</v>
      </c>
      <c r="J1192" s="20">
        <f t="shared" si="29"/>
        <v>45642.6813</v>
      </c>
      <c r="K1192" s="27" t="s">
        <v>65</v>
      </c>
      <c r="L1192" s="27" t="s">
        <v>32</v>
      </c>
      <c r="M1192" s="20">
        <f t="shared" si="30"/>
        <v>45650.47758</v>
      </c>
      <c r="N1192" s="8" t="str">
        <f t="shared" si="3"/>
        <v>SELESAI</v>
      </c>
      <c r="O1192" s="23">
        <f t="shared" si="22"/>
        <v>45650.47758</v>
      </c>
      <c r="P1192" s="24" t="b">
        <v>0</v>
      </c>
      <c r="Q1192" s="20" t="str">
        <f t="shared" si="31"/>
        <v/>
      </c>
      <c r="R1192" s="24" t="b">
        <v>1</v>
      </c>
      <c r="S1192" s="20">
        <f t="shared" si="6"/>
        <v>45650.39778</v>
      </c>
      <c r="T1192" s="39">
        <v>45645.0</v>
      </c>
    </row>
    <row r="1193" ht="22.5" hidden="1" customHeight="1">
      <c r="B1193" s="7">
        <f t="shared" si="7"/>
        <v>1187</v>
      </c>
      <c r="C1193" s="18" t="s">
        <v>1158</v>
      </c>
      <c r="D1193" s="19" t="str">
        <f t="array" ref="D1193">IFNA(_xlfn.XLOOKUP(C1193,Table_Tarikan_Warkah[Nomor Sertipikat],Table_Tarikan_Warkah[Nomor Tiket]),"")</f>
        <v>K/44/061224/1</v>
      </c>
      <c r="E1193" s="20" t="str">
        <f t="array" ref="E1193">IFNA(_xlfn.XLOOKUP(D1193,Table_Tarikan_Warkah[Nomor Tiket],Table_Tarikan_Warkah[Tanggal diserahkan kepada Validator]),"")</f>
        <v/>
      </c>
      <c r="F1193" s="20" t="str">
        <f t="array" ref="F1193">IFNA(_xlfn.XLOOKUP(D1193,Table_Tarikan_Warkah[Nomor Tiket],Table_Tarikan_Warkah[Nama Petugas Warkah]),"")</f>
        <v>David</v>
      </c>
      <c r="G1193" s="21" t="str">
        <f t="array" ref="G1193">IFNA(_xlfn.XLOOKUP(D1193,Table_Tarikan_Warkah[Nomor Tiket],Table_Tarikan_Warkah[Jenis Permohonan]),"")</f>
        <v>BN Jual Beli</v>
      </c>
      <c r="H1193" s="22" t="s">
        <v>31</v>
      </c>
      <c r="I1193" s="22" t="s">
        <v>32</v>
      </c>
      <c r="J1193" s="20">
        <f t="shared" si="29"/>
        <v>45642.6813</v>
      </c>
      <c r="K1193" s="27" t="s">
        <v>65</v>
      </c>
      <c r="L1193" s="27" t="s">
        <v>32</v>
      </c>
      <c r="M1193" s="20">
        <f t="shared" si="30"/>
        <v>45650.47758</v>
      </c>
      <c r="N1193" s="8" t="str">
        <f t="shared" si="3"/>
        <v>SELESAI</v>
      </c>
      <c r="O1193" s="23">
        <f t="shared" si="22"/>
        <v>45650.47758</v>
      </c>
      <c r="P1193" s="24" t="b">
        <v>0</v>
      </c>
      <c r="Q1193" s="20" t="str">
        <f t="shared" si="31"/>
        <v/>
      </c>
      <c r="R1193" s="24" t="b">
        <v>1</v>
      </c>
      <c r="S1193" s="20">
        <f t="shared" si="6"/>
        <v>45650.40157</v>
      </c>
      <c r="T1193" s="39">
        <v>45645.0</v>
      </c>
    </row>
    <row r="1194" ht="22.5" hidden="1" customHeight="1">
      <c r="B1194" s="7">
        <f t="shared" si="7"/>
        <v>1188</v>
      </c>
      <c r="C1194" s="18" t="s">
        <v>1159</v>
      </c>
      <c r="D1194" s="19" t="str">
        <f t="array" ref="D1194">IFNA(_xlfn.XLOOKUP(C1194,Table_Tarikan_Warkah[Nomor Sertipikat],Table_Tarikan_Warkah[Nomor Tiket]),"")</f>
        <v>L/39/141224/PELATARAN</v>
      </c>
      <c r="E1194" s="20">
        <f t="array" ref="E1194">IFNA(_xlfn.XLOOKUP(D1194,Table_Tarikan_Warkah[Nomor Tiket],Table_Tarikan_Warkah[Tanggal diserahkan kepada Validator]),"")</f>
        <v>45642.71828</v>
      </c>
      <c r="F1194" s="20" t="str">
        <f t="array" ref="F1194">IFNA(_xlfn.XLOOKUP(D1194,Table_Tarikan_Warkah[Nomor Tiket],Table_Tarikan_Warkah[Nama Petugas Warkah]),"")</f>
        <v>Berry</v>
      </c>
      <c r="G1194" s="21" t="str">
        <f t="array" ref="G1194">IFNA(_xlfn.XLOOKUP(D1194,Table_Tarikan_Warkah[Nomor Tiket],Table_Tarikan_Warkah[Jenis Permohonan]),"")</f>
        <v>ROYA</v>
      </c>
      <c r="H1194" s="22" t="s">
        <v>37</v>
      </c>
      <c r="I1194" s="22" t="s">
        <v>32</v>
      </c>
      <c r="J1194" s="20">
        <f t="shared" si="29"/>
        <v>45643.59683</v>
      </c>
      <c r="K1194" s="27" t="s">
        <v>65</v>
      </c>
      <c r="L1194" s="27" t="s">
        <v>32</v>
      </c>
      <c r="M1194" s="20">
        <f t="shared" si="30"/>
        <v>45650.47758</v>
      </c>
      <c r="N1194" s="8" t="str">
        <f t="shared" si="3"/>
        <v>SELESAI</v>
      </c>
      <c r="O1194" s="23">
        <f t="shared" si="22"/>
        <v>45650.47758</v>
      </c>
      <c r="P1194" s="24" t="b">
        <v>0</v>
      </c>
      <c r="Q1194" s="20" t="str">
        <f t="shared" si="31"/>
        <v/>
      </c>
      <c r="R1194" s="24" t="b">
        <v>1</v>
      </c>
      <c r="S1194" s="20">
        <f t="shared" si="6"/>
        <v>45650.399</v>
      </c>
      <c r="T1194" s="39">
        <v>45645.0</v>
      </c>
    </row>
    <row r="1195" ht="22.5" hidden="1" customHeight="1">
      <c r="B1195" s="7">
        <f t="shared" si="7"/>
        <v>1189</v>
      </c>
      <c r="C1195" s="18" t="s">
        <v>1160</v>
      </c>
      <c r="D1195" s="19" t="str">
        <f t="array" ref="D1195">IFNA(_xlfn.XLOOKUP(C1195,Table_Tarikan_Warkah[Nomor Sertipikat],Table_Tarikan_Warkah[Nomor Tiket]),"")</f>
        <v>K/30/121224/3</v>
      </c>
      <c r="E1195" s="20" t="str">
        <f t="array" ref="E1195">IFNA(_xlfn.XLOOKUP(D1195,Table_Tarikan_Warkah[Nomor Tiket],Table_Tarikan_Warkah[Tanggal diserahkan kepada Validator]),"")</f>
        <v/>
      </c>
      <c r="F1195" s="20" t="str">
        <f t="array" ref="F1195">IFNA(_xlfn.XLOOKUP(D1195,Table_Tarikan_Warkah[Nomor Tiket],Table_Tarikan_Warkah[Nama Petugas Warkah]),"")</f>
        <v/>
      </c>
      <c r="G1195" s="21" t="str">
        <f t="array" ref="G1195">IFNA(_xlfn.XLOOKUP(D1195,Table_Tarikan_Warkah[Nomor Tiket],Table_Tarikan_Warkah[Jenis Permohonan]),"")</f>
        <v>BN JUAL BELI</v>
      </c>
      <c r="H1195" s="22" t="s">
        <v>37</v>
      </c>
      <c r="I1195" s="22" t="s">
        <v>32</v>
      </c>
      <c r="J1195" s="20">
        <f t="shared" si="29"/>
        <v>45643.59683</v>
      </c>
      <c r="K1195" s="27" t="s">
        <v>65</v>
      </c>
      <c r="L1195" s="27" t="s">
        <v>32</v>
      </c>
      <c r="M1195" s="20">
        <f t="shared" si="30"/>
        <v>45650.47758</v>
      </c>
      <c r="N1195" s="8" t="str">
        <f t="shared" si="3"/>
        <v>SELESAI</v>
      </c>
      <c r="O1195" s="23">
        <f t="shared" si="22"/>
        <v>45650.47758</v>
      </c>
      <c r="P1195" s="24" t="b">
        <v>0</v>
      </c>
      <c r="Q1195" s="20" t="str">
        <f t="shared" si="31"/>
        <v/>
      </c>
      <c r="R1195" s="24" t="b">
        <v>1</v>
      </c>
      <c r="S1195" s="20">
        <f t="shared" si="6"/>
        <v>45650.40406</v>
      </c>
      <c r="T1195" s="39">
        <v>45645.0</v>
      </c>
    </row>
    <row r="1196" ht="22.5" hidden="1" customHeight="1">
      <c r="B1196" s="7">
        <f t="shared" si="7"/>
        <v>1190</v>
      </c>
      <c r="C1196" s="18" t="s">
        <v>1161</v>
      </c>
      <c r="D1196" s="19" t="str">
        <f t="array" ref="D1196">IFNA(_xlfn.XLOOKUP(C1196,Table_Tarikan_Warkah[Nomor Sertipikat],Table_Tarikan_Warkah[Nomor Tiket]),"")</f>
        <v>K/31/121224/4</v>
      </c>
      <c r="E1196" s="20">
        <f t="array" ref="E1196">IFNA(_xlfn.XLOOKUP(D1196,Table_Tarikan_Warkah[Nomor Tiket],Table_Tarikan_Warkah[Tanggal diserahkan kepada Validator]),"")</f>
        <v>45642.71163</v>
      </c>
      <c r="F1196" s="20" t="str">
        <f t="array" ref="F1196">IFNA(_xlfn.XLOOKUP(D1196,Table_Tarikan_Warkah[Nomor Tiket],Table_Tarikan_Warkah[Nama Petugas Warkah]),"")</f>
        <v>Berry</v>
      </c>
      <c r="G1196" s="21" t="str">
        <f t="array" ref="G1196">IFNA(_xlfn.XLOOKUP(D1196,Table_Tarikan_Warkah[Nomor Tiket],Table_Tarikan_Warkah[Jenis Permohonan]),"")</f>
        <v>BN JUAL BELI</v>
      </c>
      <c r="H1196" s="22" t="s">
        <v>37</v>
      </c>
      <c r="I1196" s="22" t="s">
        <v>32</v>
      </c>
      <c r="J1196" s="20">
        <f t="shared" si="29"/>
        <v>45643.59683</v>
      </c>
      <c r="K1196" s="27" t="s">
        <v>65</v>
      </c>
      <c r="L1196" s="27" t="s">
        <v>32</v>
      </c>
      <c r="M1196" s="20">
        <f t="shared" si="30"/>
        <v>45650.47758</v>
      </c>
      <c r="N1196" s="8" t="str">
        <f t="shared" si="3"/>
        <v>SELESAI</v>
      </c>
      <c r="O1196" s="23">
        <f t="shared" si="22"/>
        <v>45650.47758</v>
      </c>
      <c r="P1196" s="24" t="b">
        <v>0</v>
      </c>
      <c r="Q1196" s="20" t="str">
        <f t="shared" si="31"/>
        <v/>
      </c>
      <c r="R1196" s="24" t="b">
        <v>1</v>
      </c>
      <c r="S1196" s="20">
        <f t="shared" si="6"/>
        <v>45650.47758</v>
      </c>
      <c r="T1196" s="39">
        <v>45645.0</v>
      </c>
    </row>
    <row r="1197" ht="22.5" hidden="1" customHeight="1">
      <c r="B1197" s="7">
        <f t="shared" si="7"/>
        <v>1191</v>
      </c>
      <c r="C1197" s="18" t="s">
        <v>1162</v>
      </c>
      <c r="D1197" s="19" t="str">
        <f t="array" ref="D1197">IFNA(_xlfn.XLOOKUP(C1197,Table_Tarikan_Warkah[Nomor Sertipikat],Table_Tarikan_Warkah[Nomor Tiket]),"")</f>
        <v>K/10/131224/2</v>
      </c>
      <c r="E1197" s="20">
        <f t="array" ref="E1197">IFNA(_xlfn.XLOOKUP(D1197,Table_Tarikan_Warkah[Nomor Tiket],Table_Tarikan_Warkah[Tanggal diserahkan kepada Validator]),"")</f>
        <v>45642.71296</v>
      </c>
      <c r="F1197" s="20" t="str">
        <f t="array" ref="F1197">IFNA(_xlfn.XLOOKUP(D1197,Table_Tarikan_Warkah[Nomor Tiket],Table_Tarikan_Warkah[Nama Petugas Warkah]),"")</f>
        <v>Berry</v>
      </c>
      <c r="G1197" s="21" t="str">
        <f t="array" ref="G1197">IFNA(_xlfn.XLOOKUP(D1197,Table_Tarikan_Warkah[Nomor Tiket],Table_Tarikan_Warkah[Jenis Permohonan]),"")</f>
        <v>BN Jual Beli</v>
      </c>
      <c r="H1197" s="22" t="s">
        <v>37</v>
      </c>
      <c r="I1197" s="22" t="s">
        <v>32</v>
      </c>
      <c r="J1197" s="20">
        <f t="shared" si="29"/>
        <v>45643.59683</v>
      </c>
      <c r="K1197" s="27" t="s">
        <v>65</v>
      </c>
      <c r="L1197" s="27" t="s">
        <v>32</v>
      </c>
      <c r="M1197" s="20">
        <f t="shared" si="30"/>
        <v>45650.47758</v>
      </c>
      <c r="N1197" s="8" t="str">
        <f t="shared" si="3"/>
        <v>SELESAI</v>
      </c>
      <c r="O1197" s="23">
        <f t="shared" si="22"/>
        <v>45650.47758</v>
      </c>
      <c r="P1197" s="24" t="b">
        <v>0</v>
      </c>
      <c r="Q1197" s="20" t="str">
        <f t="shared" si="31"/>
        <v/>
      </c>
      <c r="R1197" s="24" t="b">
        <v>1</v>
      </c>
      <c r="S1197" s="20">
        <f t="shared" si="6"/>
        <v>45650.40482</v>
      </c>
      <c r="T1197" s="39">
        <v>45645.0</v>
      </c>
    </row>
    <row r="1198" ht="22.5" hidden="1" customHeight="1">
      <c r="B1198" s="7">
        <f t="shared" si="7"/>
        <v>1192</v>
      </c>
      <c r="C1198" s="18" t="s">
        <v>1163</v>
      </c>
      <c r="D1198" s="19" t="str">
        <f t="array" ref="D1198">IFNA(_xlfn.XLOOKUP(C1198,Table_Tarikan_Warkah[Nomor Sertipikat],Table_Tarikan_Warkah[Nomor Tiket]),"")</f>
        <v>K/14/131224/2</v>
      </c>
      <c r="E1198" s="20" t="str">
        <f t="array" ref="E1198">IFNA(_xlfn.XLOOKUP(D1198,Table_Tarikan_Warkah[Nomor Tiket],Table_Tarikan_Warkah[Tanggal diserahkan kepada Validator]),"")</f>
        <v/>
      </c>
      <c r="F1198" s="20" t="str">
        <f t="array" ref="F1198">IFNA(_xlfn.XLOOKUP(D1198,Table_Tarikan_Warkah[Nomor Tiket],Table_Tarikan_Warkah[Nama Petugas Warkah]),"")</f>
        <v>Berry</v>
      </c>
      <c r="G1198" s="21" t="str">
        <f t="array" ref="G1198">IFNA(_xlfn.XLOOKUP(D1198,Table_Tarikan_Warkah[Nomor Tiket],Table_Tarikan_Warkah[Jenis Permohonan]),"")</f>
        <v>BN JUAL BELI</v>
      </c>
      <c r="H1198" s="22" t="s">
        <v>37</v>
      </c>
      <c r="I1198" s="22" t="s">
        <v>32</v>
      </c>
      <c r="J1198" s="20">
        <f t="shared" si="29"/>
        <v>45643.59683</v>
      </c>
      <c r="K1198" s="27" t="s">
        <v>65</v>
      </c>
      <c r="L1198" s="27" t="s">
        <v>32</v>
      </c>
      <c r="M1198" s="20">
        <f t="shared" si="30"/>
        <v>45650.47758</v>
      </c>
      <c r="N1198" s="8" t="str">
        <f t="shared" si="3"/>
        <v>SELESAI</v>
      </c>
      <c r="O1198" s="23">
        <f t="shared" si="22"/>
        <v>45650.47758</v>
      </c>
      <c r="P1198" s="24" t="b">
        <v>0</v>
      </c>
      <c r="Q1198" s="20" t="str">
        <f t="shared" si="31"/>
        <v/>
      </c>
      <c r="R1198" s="24" t="b">
        <v>1</v>
      </c>
      <c r="S1198" s="20">
        <f t="shared" si="6"/>
        <v>45650.40496</v>
      </c>
      <c r="T1198" s="39">
        <v>45645.0</v>
      </c>
    </row>
    <row r="1199" ht="22.5" hidden="1" customHeight="1">
      <c r="B1199" s="7">
        <f t="shared" si="7"/>
        <v>1193</v>
      </c>
      <c r="C1199" s="18" t="s">
        <v>1164</v>
      </c>
      <c r="D1199" s="19" t="str">
        <f t="array" ref="D1199">IFNA(_xlfn.XLOOKUP(C1199,Table_Tarikan_Warkah[Nomor Sertipikat],Table_Tarikan_Warkah[Nomor Tiket]),"")</f>
        <v>K/17/131224/2</v>
      </c>
      <c r="E1199" s="20" t="str">
        <f t="array" ref="E1199">IFNA(_xlfn.XLOOKUP(D1199,Table_Tarikan_Warkah[Nomor Tiket],Table_Tarikan_Warkah[Tanggal diserahkan kepada Validator]),"")</f>
        <v/>
      </c>
      <c r="F1199" s="20" t="str">
        <f t="array" ref="F1199">IFNA(_xlfn.XLOOKUP(D1199,Table_Tarikan_Warkah[Nomor Tiket],Table_Tarikan_Warkah[Nama Petugas Warkah]),"")</f>
        <v>Berry</v>
      </c>
      <c r="G1199" s="21" t="str">
        <f t="array" ref="G1199">IFNA(_xlfn.XLOOKUP(D1199,Table_Tarikan_Warkah[Nomor Tiket],Table_Tarikan_Warkah[Jenis Permohonan]),"")</f>
        <v>BN JUAL BELI</v>
      </c>
      <c r="H1199" s="22" t="s">
        <v>37</v>
      </c>
      <c r="I1199" s="22" t="s">
        <v>32</v>
      </c>
      <c r="J1199" s="20">
        <f t="shared" si="29"/>
        <v>45643.59683</v>
      </c>
      <c r="K1199" s="27" t="s">
        <v>65</v>
      </c>
      <c r="L1199" s="27" t="s">
        <v>32</v>
      </c>
      <c r="M1199" s="20">
        <f t="shared" si="30"/>
        <v>45650.47758</v>
      </c>
      <c r="N1199" s="8" t="str">
        <f t="shared" si="3"/>
        <v>SELESAI</v>
      </c>
      <c r="O1199" s="23">
        <f t="shared" si="22"/>
        <v>45650.47758</v>
      </c>
      <c r="P1199" s="24" t="b">
        <v>0</v>
      </c>
      <c r="Q1199" s="20" t="str">
        <f t="shared" si="31"/>
        <v/>
      </c>
      <c r="R1199" s="24" t="b">
        <v>1</v>
      </c>
      <c r="S1199" s="20">
        <f t="shared" si="6"/>
        <v>45650.40514</v>
      </c>
      <c r="T1199" s="39">
        <v>45645.0</v>
      </c>
    </row>
    <row r="1200" ht="22.5" hidden="1" customHeight="1">
      <c r="B1200" s="7">
        <f t="shared" si="7"/>
        <v>1194</v>
      </c>
      <c r="C1200" s="18" t="s">
        <v>1165</v>
      </c>
      <c r="D1200" s="19" t="str">
        <f t="array" ref="D1200">IFNA(_xlfn.XLOOKUP(C1200,Table_Tarikan_Warkah[Nomor Sertipikat],Table_Tarikan_Warkah[Nomor Tiket]),"")</f>
        <v>K/28/131224/3</v>
      </c>
      <c r="E1200" s="20" t="str">
        <f t="array" ref="E1200">IFNA(_xlfn.XLOOKUP(D1200,Table_Tarikan_Warkah[Nomor Tiket],Table_Tarikan_Warkah[Tanggal diserahkan kepada Validator]),"")</f>
        <v/>
      </c>
      <c r="F1200" s="20" t="str">
        <f t="array" ref="F1200">IFNA(_xlfn.XLOOKUP(D1200,Table_Tarikan_Warkah[Nomor Tiket],Table_Tarikan_Warkah[Nama Petugas Warkah]),"")</f>
        <v>Berry</v>
      </c>
      <c r="G1200" s="21" t="str">
        <f t="array" ref="G1200">IFNA(_xlfn.XLOOKUP(D1200,Table_Tarikan_Warkah[Nomor Tiket],Table_Tarikan_Warkah[Jenis Permohonan]),"")</f>
        <v>BN Jual Beli</v>
      </c>
      <c r="H1200" s="22" t="s">
        <v>37</v>
      </c>
      <c r="I1200" s="22" t="s">
        <v>32</v>
      </c>
      <c r="J1200" s="20">
        <f t="shared" si="29"/>
        <v>45643.59683</v>
      </c>
      <c r="K1200" s="27" t="s">
        <v>65</v>
      </c>
      <c r="L1200" s="27" t="s">
        <v>32</v>
      </c>
      <c r="M1200" s="20">
        <f t="shared" si="30"/>
        <v>45650.47758</v>
      </c>
      <c r="N1200" s="8" t="str">
        <f t="shared" si="3"/>
        <v>SELESAI</v>
      </c>
      <c r="O1200" s="23">
        <f t="shared" si="22"/>
        <v>45650.47758</v>
      </c>
      <c r="P1200" s="24" t="b">
        <v>0</v>
      </c>
      <c r="Q1200" s="20" t="str">
        <f t="shared" si="31"/>
        <v/>
      </c>
      <c r="R1200" s="24" t="b">
        <v>1</v>
      </c>
      <c r="S1200" s="20">
        <f t="shared" si="6"/>
        <v>45650.40527</v>
      </c>
      <c r="T1200" s="39">
        <v>45645.0</v>
      </c>
    </row>
    <row r="1201" ht="22.5" hidden="1" customHeight="1">
      <c r="B1201" s="7">
        <f t="shared" si="7"/>
        <v>1195</v>
      </c>
      <c r="C1201" s="18" t="s">
        <v>1166</v>
      </c>
      <c r="D1201" s="19" t="str">
        <f t="array" ref="D1201">IFNA(_xlfn.XLOOKUP(C1201,Table_Tarikan_Warkah[Nomor Sertipikat],Table_Tarikan_Warkah[Nomor Tiket]),"")</f>
        <v>K/35/131224/2</v>
      </c>
      <c r="E1201" s="20" t="str">
        <f t="array" ref="E1201">IFNA(_xlfn.XLOOKUP(D1201,Table_Tarikan_Warkah[Nomor Tiket],Table_Tarikan_Warkah[Tanggal diserahkan kepada Validator]),"")</f>
        <v/>
      </c>
      <c r="F1201" s="20" t="str">
        <f t="array" ref="F1201">IFNA(_xlfn.XLOOKUP(D1201,Table_Tarikan_Warkah[Nomor Tiket],Table_Tarikan_Warkah[Nama Petugas Warkah]),"")</f>
        <v>Berry</v>
      </c>
      <c r="G1201" s="21" t="str">
        <f t="array" ref="G1201">IFNA(_xlfn.XLOOKUP(D1201,Table_Tarikan_Warkah[Nomor Tiket],Table_Tarikan_Warkah[Jenis Permohonan]),"")</f>
        <v>BN JUAL BELI</v>
      </c>
      <c r="H1201" s="22" t="s">
        <v>37</v>
      </c>
      <c r="I1201" s="22" t="s">
        <v>32</v>
      </c>
      <c r="J1201" s="20">
        <f t="shared" si="29"/>
        <v>45643.59683</v>
      </c>
      <c r="K1201" s="27" t="s">
        <v>65</v>
      </c>
      <c r="L1201" s="27" t="s">
        <v>32</v>
      </c>
      <c r="M1201" s="20">
        <f t="shared" si="30"/>
        <v>45650.47758</v>
      </c>
      <c r="N1201" s="8" t="str">
        <f t="shared" si="3"/>
        <v>SELESAI</v>
      </c>
      <c r="O1201" s="23">
        <f t="shared" si="22"/>
        <v>45650.47758</v>
      </c>
      <c r="P1201" s="24" t="b">
        <v>0</v>
      </c>
      <c r="Q1201" s="20" t="str">
        <f t="shared" si="31"/>
        <v/>
      </c>
      <c r="R1201" s="24" t="b">
        <v>1</v>
      </c>
      <c r="S1201" s="20">
        <f t="shared" si="6"/>
        <v>45650.40545</v>
      </c>
      <c r="T1201" s="39">
        <v>45645.0</v>
      </c>
    </row>
    <row r="1202" ht="22.5" hidden="1" customHeight="1">
      <c r="B1202" s="7">
        <f t="shared" si="7"/>
        <v>1196</v>
      </c>
      <c r="C1202" s="18" t="s">
        <v>1167</v>
      </c>
      <c r="D1202" s="19" t="str">
        <f t="array" ref="D1202">IFNA(_xlfn.XLOOKUP(C1202,Table_Tarikan_Warkah[Nomor Sertipikat],Table_Tarikan_Warkah[Nomor Tiket]),"")</f>
        <v>L/1/161224/1</v>
      </c>
      <c r="E1202" s="20" t="str">
        <f t="array" ref="E1202">IFNA(_xlfn.XLOOKUP(D1202,Table_Tarikan_Warkah[Nomor Tiket],Table_Tarikan_Warkah[Tanggal diserahkan kepada Validator]),"")</f>
        <v/>
      </c>
      <c r="F1202" s="20" t="str">
        <f t="array" ref="F1202">IFNA(_xlfn.XLOOKUP(D1202,Table_Tarikan_Warkah[Nomor Tiket],Table_Tarikan_Warkah[Nama Petugas Warkah]),"")</f>
        <v/>
      </c>
      <c r="G1202" s="21" t="str">
        <f t="array" ref="G1202">IFNA(_xlfn.XLOOKUP(D1202,Table_Tarikan_Warkah[Nomor Tiket],Table_Tarikan_Warkah[Jenis Permohonan]),"")</f>
        <v>ROYA</v>
      </c>
      <c r="H1202" s="22" t="s">
        <v>37</v>
      </c>
      <c r="I1202" s="22" t="s">
        <v>32</v>
      </c>
      <c r="J1202" s="20">
        <f t="shared" si="29"/>
        <v>45643.59683</v>
      </c>
      <c r="K1202" s="27" t="s">
        <v>65</v>
      </c>
      <c r="L1202" s="27" t="s">
        <v>32</v>
      </c>
      <c r="M1202" s="20">
        <f t="shared" si="30"/>
        <v>45650.47758</v>
      </c>
      <c r="N1202" s="8" t="str">
        <f t="shared" si="3"/>
        <v>SELESAI</v>
      </c>
      <c r="O1202" s="23">
        <f t="shared" si="22"/>
        <v>45650.47758</v>
      </c>
      <c r="P1202" s="24" t="b">
        <v>0</v>
      </c>
      <c r="Q1202" s="20" t="str">
        <f t="shared" si="31"/>
        <v/>
      </c>
      <c r="R1202" s="24" t="b">
        <v>1</v>
      </c>
      <c r="S1202" s="20">
        <f t="shared" si="6"/>
        <v>45650.39919</v>
      </c>
      <c r="T1202" s="39">
        <v>45645.0</v>
      </c>
    </row>
    <row r="1203" ht="22.5" hidden="1" customHeight="1">
      <c r="B1203" s="7">
        <f t="shared" si="7"/>
        <v>1197</v>
      </c>
      <c r="C1203" s="18" t="s">
        <v>1168</v>
      </c>
      <c r="D1203" s="19" t="str">
        <f t="array" ref="D1203">IFNA(_xlfn.XLOOKUP(C1203,Table_Tarikan_Warkah[Nomor Sertipikat],Table_Tarikan_Warkah[Nomor Tiket]),"")</f>
        <v>L/13/111224/1</v>
      </c>
      <c r="E1203" s="20" t="str">
        <f t="array" ref="E1203">IFNA(_xlfn.XLOOKUP(D1203,Table_Tarikan_Warkah[Nomor Tiket],Table_Tarikan_Warkah[Tanggal diserahkan kepada Validator]),"")</f>
        <v/>
      </c>
      <c r="F1203" s="20" t="str">
        <f t="array" ref="F1203">IFNA(_xlfn.XLOOKUP(D1203,Table_Tarikan_Warkah[Nomor Tiket],Table_Tarikan_Warkah[Nama Petugas Warkah]),"")</f>
        <v/>
      </c>
      <c r="G1203" s="21" t="str">
        <f t="array" ref="G1203">IFNA(_xlfn.XLOOKUP(D1203,Table_Tarikan_Warkah[Nomor Tiket],Table_Tarikan_Warkah[Jenis Permohonan]),"")</f>
        <v>ROYA</v>
      </c>
      <c r="H1203" s="22" t="s">
        <v>37</v>
      </c>
      <c r="I1203" s="22" t="s">
        <v>32</v>
      </c>
      <c r="J1203" s="20">
        <f t="shared" si="29"/>
        <v>45643.59683</v>
      </c>
      <c r="K1203" s="27" t="s">
        <v>65</v>
      </c>
      <c r="L1203" s="27" t="s">
        <v>32</v>
      </c>
      <c r="M1203" s="20">
        <f t="shared" si="30"/>
        <v>45650.47758</v>
      </c>
      <c r="N1203" s="8" t="str">
        <f t="shared" si="3"/>
        <v>SELESAI</v>
      </c>
      <c r="O1203" s="23">
        <f t="shared" si="22"/>
        <v>45650.47758</v>
      </c>
      <c r="P1203" s="24" t="b">
        <v>0</v>
      </c>
      <c r="Q1203" s="20" t="str">
        <f t="shared" si="31"/>
        <v/>
      </c>
      <c r="R1203" s="24" t="b">
        <v>1</v>
      </c>
      <c r="S1203" s="20">
        <f t="shared" si="6"/>
        <v>45650.39993</v>
      </c>
      <c r="T1203" s="39">
        <v>45645.0</v>
      </c>
    </row>
    <row r="1204" ht="22.5" hidden="1" customHeight="1">
      <c r="B1204" s="7">
        <f t="shared" si="7"/>
        <v>1198</v>
      </c>
      <c r="C1204" s="18" t="s">
        <v>1169</v>
      </c>
      <c r="D1204" s="19" t="str">
        <f t="array" ref="D1204">IFNA(_xlfn.XLOOKUP(C1204,Table_Tarikan_Warkah[Nomor Sertipikat],Table_Tarikan_Warkah[Nomor Tiket]),"")</f>
        <v>K/20/131224/1</v>
      </c>
      <c r="E1204" s="20" t="str">
        <f t="array" ref="E1204">IFNA(_xlfn.XLOOKUP(D1204,Table_Tarikan_Warkah[Nomor Tiket],Table_Tarikan_Warkah[Tanggal diserahkan kepada Validator]),"")</f>
        <v/>
      </c>
      <c r="F1204" s="20" t="str">
        <f t="array" ref="F1204">IFNA(_xlfn.XLOOKUP(D1204,Table_Tarikan_Warkah[Nomor Tiket],Table_Tarikan_Warkah[Nama Petugas Warkah]),"")</f>
        <v/>
      </c>
      <c r="G1204" s="21" t="str">
        <f t="array" ref="G1204">IFNA(_xlfn.XLOOKUP(D1204,Table_Tarikan_Warkah[Nomor Tiket],Table_Tarikan_Warkah[Jenis Permohonan]),"")</f>
        <v>BN Jual Beli</v>
      </c>
      <c r="H1204" s="22" t="s">
        <v>37</v>
      </c>
      <c r="I1204" s="22" t="s">
        <v>32</v>
      </c>
      <c r="J1204" s="20">
        <f t="shared" si="29"/>
        <v>45643.59683</v>
      </c>
      <c r="K1204" s="27" t="s">
        <v>65</v>
      </c>
      <c r="L1204" s="27" t="s">
        <v>32</v>
      </c>
      <c r="M1204" s="20">
        <f t="shared" si="30"/>
        <v>45650.47758</v>
      </c>
      <c r="N1204" s="8" t="str">
        <f t="shared" si="3"/>
        <v>SELESAI</v>
      </c>
      <c r="O1204" s="23">
        <f t="shared" si="22"/>
        <v>45650.47758</v>
      </c>
      <c r="P1204" s="24" t="b">
        <v>0</v>
      </c>
      <c r="Q1204" s="20" t="str">
        <f t="shared" si="31"/>
        <v/>
      </c>
      <c r="R1204" s="24" t="b">
        <v>1</v>
      </c>
      <c r="S1204" s="20">
        <f t="shared" si="6"/>
        <v>45650.40556</v>
      </c>
      <c r="T1204" s="39">
        <v>45645.0</v>
      </c>
    </row>
    <row r="1205" ht="22.5" hidden="1" customHeight="1">
      <c r="B1205" s="7">
        <f t="shared" si="7"/>
        <v>1199</v>
      </c>
      <c r="C1205" s="18" t="s">
        <v>1170</v>
      </c>
      <c r="D1205" s="19" t="str">
        <f t="array" ref="D1205">IFNA(_xlfn.XLOOKUP(C1205,Table_Tarikan_Warkah[Nomor Sertipikat],Table_Tarikan_Warkah[Nomor Tiket]),"")</f>
        <v>K/23/131224/1</v>
      </c>
      <c r="E1205" s="20" t="str">
        <f t="array" ref="E1205">IFNA(_xlfn.XLOOKUP(D1205,Table_Tarikan_Warkah[Nomor Tiket],Table_Tarikan_Warkah[Tanggal diserahkan kepada Validator]),"")</f>
        <v/>
      </c>
      <c r="F1205" s="20" t="str">
        <f t="array" ref="F1205">IFNA(_xlfn.XLOOKUP(D1205,Table_Tarikan_Warkah[Nomor Tiket],Table_Tarikan_Warkah[Nama Petugas Warkah]),"")</f>
        <v/>
      </c>
      <c r="G1205" s="21" t="str">
        <f t="array" ref="G1205">IFNA(_xlfn.XLOOKUP(D1205,Table_Tarikan_Warkah[Nomor Tiket],Table_Tarikan_Warkah[Jenis Permohonan]),"")</f>
        <v>BN JUAL BELI</v>
      </c>
      <c r="H1205" s="22" t="s">
        <v>37</v>
      </c>
      <c r="I1205" s="22" t="s">
        <v>32</v>
      </c>
      <c r="J1205" s="20">
        <f t="shared" si="29"/>
        <v>45643.59683</v>
      </c>
      <c r="K1205" s="27" t="s">
        <v>65</v>
      </c>
      <c r="L1205" s="27" t="s">
        <v>32</v>
      </c>
      <c r="M1205" s="20">
        <f t="shared" si="30"/>
        <v>45650.47758</v>
      </c>
      <c r="N1205" s="8" t="str">
        <f t="shared" si="3"/>
        <v>SELESAI</v>
      </c>
      <c r="O1205" s="23">
        <f t="shared" si="22"/>
        <v>45650.47758</v>
      </c>
      <c r="P1205" s="24" t="b">
        <v>0</v>
      </c>
      <c r="Q1205" s="20" t="str">
        <f t="shared" si="31"/>
        <v/>
      </c>
      <c r="R1205" s="24" t="b">
        <v>1</v>
      </c>
      <c r="S1205" s="20">
        <f t="shared" si="6"/>
        <v>45650.47758</v>
      </c>
      <c r="T1205" s="39">
        <v>45645.0</v>
      </c>
    </row>
    <row r="1206" ht="22.5" hidden="1" customHeight="1">
      <c r="B1206" s="7">
        <f t="shared" si="7"/>
        <v>1200</v>
      </c>
      <c r="C1206" s="18" t="s">
        <v>1171</v>
      </c>
      <c r="D1206" s="19" t="str">
        <f t="array" ref="D1206">IFNA(_xlfn.XLOOKUP(C1206,Table_Tarikan_Warkah[Nomor Sertipikat],Table_Tarikan_Warkah[Nomor Tiket]),"")</f>
        <v>K/26/131224/1</v>
      </c>
      <c r="E1206" s="20">
        <f t="array" ref="E1206">IFNA(_xlfn.XLOOKUP(D1206,Table_Tarikan_Warkah[Nomor Tiket],Table_Tarikan_Warkah[Tanggal diserahkan kepada Validator]),"")</f>
        <v>45642.71601</v>
      </c>
      <c r="F1206" s="20" t="str">
        <f t="array" ref="F1206">IFNA(_xlfn.XLOOKUP(D1206,Table_Tarikan_Warkah[Nomor Tiket],Table_Tarikan_Warkah[Nama Petugas Warkah]),"")</f>
        <v>Berry</v>
      </c>
      <c r="G1206" s="21" t="str">
        <f t="array" ref="G1206">IFNA(_xlfn.XLOOKUP(D1206,Table_Tarikan_Warkah[Nomor Tiket],Table_Tarikan_Warkah[Jenis Permohonan]),"")</f>
        <v>BN Jual Beli</v>
      </c>
      <c r="H1206" s="22" t="s">
        <v>37</v>
      </c>
      <c r="I1206" s="22" t="s">
        <v>32</v>
      </c>
      <c r="J1206" s="20">
        <f t="shared" si="29"/>
        <v>45643.59683</v>
      </c>
      <c r="K1206" s="27" t="s">
        <v>65</v>
      </c>
      <c r="L1206" s="27" t="s">
        <v>32</v>
      </c>
      <c r="M1206" s="20">
        <f t="shared" si="30"/>
        <v>45650.47758</v>
      </c>
      <c r="N1206" s="8" t="str">
        <f t="shared" si="3"/>
        <v>SELESAI</v>
      </c>
      <c r="O1206" s="23">
        <f t="shared" si="22"/>
        <v>45650.47758</v>
      </c>
      <c r="P1206" s="24" t="b">
        <v>0</v>
      </c>
      <c r="Q1206" s="20" t="str">
        <f t="shared" si="31"/>
        <v/>
      </c>
      <c r="R1206" s="24" t="b">
        <v>1</v>
      </c>
      <c r="S1206" s="20">
        <f t="shared" si="6"/>
        <v>45650.40594</v>
      </c>
      <c r="T1206" s="39">
        <v>45645.0</v>
      </c>
    </row>
    <row r="1207" ht="22.5" hidden="1" customHeight="1">
      <c r="B1207" s="7">
        <f t="shared" si="7"/>
        <v>1201</v>
      </c>
      <c r="C1207" s="18" t="s">
        <v>1172</v>
      </c>
      <c r="D1207" s="19" t="str">
        <f t="array" ref="D1207">IFNA(_xlfn.XLOOKUP(C1207,Table_Tarikan_Warkah[Nomor Sertipikat],Table_Tarikan_Warkah[Nomor Tiket]),"")</f>
        <v>K/33/131224/1</v>
      </c>
      <c r="E1207" s="20" t="str">
        <f t="array" ref="E1207">IFNA(_xlfn.XLOOKUP(D1207,Table_Tarikan_Warkah[Nomor Tiket],Table_Tarikan_Warkah[Tanggal diserahkan kepada Validator]),"")</f>
        <v/>
      </c>
      <c r="F1207" s="20" t="str">
        <f t="array" ref="F1207">IFNA(_xlfn.XLOOKUP(D1207,Table_Tarikan_Warkah[Nomor Tiket],Table_Tarikan_Warkah[Nama Petugas Warkah]),"")</f>
        <v>Berry</v>
      </c>
      <c r="G1207" s="21" t="str">
        <f t="array" ref="G1207">IFNA(_xlfn.XLOOKUP(D1207,Table_Tarikan_Warkah[Nomor Tiket],Table_Tarikan_Warkah[Jenis Permohonan]),"")</f>
        <v>BN Jual Beli</v>
      </c>
      <c r="H1207" s="22" t="s">
        <v>37</v>
      </c>
      <c r="I1207" s="22" t="s">
        <v>32</v>
      </c>
      <c r="J1207" s="20">
        <f t="shared" si="29"/>
        <v>45643.59683</v>
      </c>
      <c r="K1207" s="27" t="s">
        <v>65</v>
      </c>
      <c r="L1207" s="27" t="s">
        <v>32</v>
      </c>
      <c r="M1207" s="20">
        <f t="shared" si="30"/>
        <v>45650.47758</v>
      </c>
      <c r="N1207" s="8" t="str">
        <f t="shared" si="3"/>
        <v>SELESAI</v>
      </c>
      <c r="O1207" s="23">
        <f t="shared" si="22"/>
        <v>45650.47758</v>
      </c>
      <c r="P1207" s="24" t="b">
        <v>0</v>
      </c>
      <c r="Q1207" s="20" t="str">
        <f t="shared" si="31"/>
        <v/>
      </c>
      <c r="R1207" s="24" t="b">
        <v>1</v>
      </c>
      <c r="S1207" s="20">
        <f t="shared" si="6"/>
        <v>45650.40574</v>
      </c>
      <c r="T1207" s="39">
        <v>45645.0</v>
      </c>
    </row>
    <row r="1208" ht="22.5" hidden="1" customHeight="1">
      <c r="B1208" s="7">
        <f t="shared" si="7"/>
        <v>1202</v>
      </c>
      <c r="C1208" s="18" t="s">
        <v>1173</v>
      </c>
      <c r="D1208" s="19" t="str">
        <f t="array" ref="D1208">IFNA(_xlfn.XLOOKUP(C1208,Table_Tarikan_Warkah[Nomor Sertipikat],Table_Tarikan_Warkah[Nomor Tiket]),"")</f>
        <v>K/31/131224/2</v>
      </c>
      <c r="E1208" s="20">
        <f t="array" ref="E1208">IFNA(_xlfn.XLOOKUP(D1208,Table_Tarikan_Warkah[Nomor Tiket],Table_Tarikan_Warkah[Tanggal diserahkan kepada Validator]),"")</f>
        <v>45642.71678</v>
      </c>
      <c r="F1208" s="20" t="str">
        <f t="array" ref="F1208">IFNA(_xlfn.XLOOKUP(D1208,Table_Tarikan_Warkah[Nomor Tiket],Table_Tarikan_Warkah[Nama Petugas Warkah]),"")</f>
        <v>Berry</v>
      </c>
      <c r="G1208" s="21" t="str">
        <f t="array" ref="G1208">IFNA(_xlfn.XLOOKUP(D1208,Table_Tarikan_Warkah[Nomor Tiket],Table_Tarikan_Warkah[Jenis Permohonan]),"")</f>
        <v>BN JUAL BELI</v>
      </c>
      <c r="H1208" s="22" t="s">
        <v>37</v>
      </c>
      <c r="I1208" s="22" t="s">
        <v>32</v>
      </c>
      <c r="J1208" s="20">
        <f t="shared" si="29"/>
        <v>45643.59683</v>
      </c>
      <c r="K1208" s="27" t="s">
        <v>65</v>
      </c>
      <c r="L1208" s="27" t="s">
        <v>32</v>
      </c>
      <c r="M1208" s="20">
        <f t="shared" si="30"/>
        <v>45650.47758</v>
      </c>
      <c r="N1208" s="8" t="str">
        <f t="shared" si="3"/>
        <v>SELESAI</v>
      </c>
      <c r="O1208" s="23">
        <f t="shared" si="22"/>
        <v>45650.47758</v>
      </c>
      <c r="P1208" s="24" t="b">
        <v>0</v>
      </c>
      <c r="Q1208" s="20" t="str">
        <f t="shared" si="31"/>
        <v/>
      </c>
      <c r="R1208" s="24" t="b">
        <v>1</v>
      </c>
      <c r="S1208" s="20">
        <f t="shared" si="6"/>
        <v>45650.40624</v>
      </c>
      <c r="T1208" s="39">
        <v>45645.0</v>
      </c>
    </row>
    <row r="1209" ht="22.5" hidden="1" customHeight="1">
      <c r="B1209" s="7">
        <f t="shared" si="7"/>
        <v>1203</v>
      </c>
      <c r="C1209" s="18" t="s">
        <v>1174</v>
      </c>
      <c r="D1209" s="19" t="str">
        <f t="array" ref="D1209">IFNA(_xlfn.XLOOKUP(C1209,Table_Tarikan_Warkah[Nomor Sertipikat],Table_Tarikan_Warkah[Nomor Tiket]),"")</f>
        <v>K/46/111224/2</v>
      </c>
      <c r="E1209" s="20" t="str">
        <f t="array" ref="E1209">IFNA(_xlfn.XLOOKUP(D1209,Table_Tarikan_Warkah[Nomor Tiket],Table_Tarikan_Warkah[Tanggal diserahkan kepada Validator]),"")</f>
        <v/>
      </c>
      <c r="F1209" s="20" t="str">
        <f t="array" ref="F1209">IFNA(_xlfn.XLOOKUP(D1209,Table_Tarikan_Warkah[Nomor Tiket],Table_Tarikan_Warkah[Nama Petugas Warkah]),"")</f>
        <v/>
      </c>
      <c r="G1209" s="21" t="str">
        <f t="array" ref="G1209">IFNA(_xlfn.XLOOKUP(D1209,Table_Tarikan_Warkah[Nomor Tiket],Table_Tarikan_Warkah[Jenis Permohonan]),"")</f>
        <v>BN JUAL BELI</v>
      </c>
      <c r="H1209" s="22" t="s">
        <v>37</v>
      </c>
      <c r="I1209" s="22" t="s">
        <v>187</v>
      </c>
      <c r="J1209" s="20">
        <f t="shared" si="29"/>
        <v>45643.59683</v>
      </c>
      <c r="K1209" s="27" t="s">
        <v>33</v>
      </c>
      <c r="L1209" s="27" t="s">
        <v>187</v>
      </c>
      <c r="M1209" s="20">
        <f t="shared" si="30"/>
        <v>45643.66556</v>
      </c>
      <c r="N1209" s="8" t="str">
        <f t="shared" si="3"/>
        <v>Selesai</v>
      </c>
      <c r="O1209" s="23">
        <f t="shared" si="22"/>
        <v>45643.66556</v>
      </c>
      <c r="P1209" s="24" t="b">
        <v>1</v>
      </c>
      <c r="Q1209" s="20">
        <f t="shared" si="31"/>
        <v>45643.69108</v>
      </c>
      <c r="R1209" s="24" t="b">
        <v>1</v>
      </c>
      <c r="S1209" s="20">
        <f t="shared" si="6"/>
        <v>45650.40199</v>
      </c>
      <c r="T1209" s="39">
        <v>45645.0</v>
      </c>
    </row>
    <row r="1210" ht="22.5" hidden="1" customHeight="1">
      <c r="B1210" s="7">
        <f t="shared" si="7"/>
        <v>1204</v>
      </c>
      <c r="C1210" s="18" t="s">
        <v>1175</v>
      </c>
      <c r="D1210" s="19" t="str">
        <f t="array" ref="D1210">IFNA(_xlfn.XLOOKUP(C1210,Table_Tarikan_Warkah[Nomor Sertipikat],Table_Tarikan_Warkah[Nomor Tiket]),"")</f>
        <v>K/31/091224/1</v>
      </c>
      <c r="E1210" s="20" t="str">
        <f t="array" ref="E1210">IFNA(_xlfn.XLOOKUP(D1210,Table_Tarikan_Warkah[Nomor Tiket],Table_Tarikan_Warkah[Tanggal diserahkan kepada Validator]),"")</f>
        <v/>
      </c>
      <c r="F1210" s="20" t="str">
        <f t="array" ref="F1210">IFNA(_xlfn.XLOOKUP(D1210,Table_Tarikan_Warkah[Nomor Tiket],Table_Tarikan_Warkah[Nama Petugas Warkah]),"")</f>
        <v/>
      </c>
      <c r="G1210" s="21" t="str">
        <f t="array" ref="G1210">IFNA(_xlfn.XLOOKUP(D1210,Table_Tarikan_Warkah[Nomor Tiket],Table_Tarikan_Warkah[Jenis Permohonan]),"")</f>
        <v>BN Jual Beli</v>
      </c>
      <c r="H1210" s="22" t="s">
        <v>37</v>
      </c>
      <c r="I1210" s="22" t="s">
        <v>187</v>
      </c>
      <c r="J1210" s="20">
        <f t="shared" si="29"/>
        <v>45643.59683</v>
      </c>
      <c r="K1210" s="27" t="s">
        <v>33</v>
      </c>
      <c r="L1210" s="27" t="s">
        <v>187</v>
      </c>
      <c r="M1210" s="20">
        <f t="shared" si="30"/>
        <v>45643.66556</v>
      </c>
      <c r="N1210" s="8" t="str">
        <f t="shared" si="3"/>
        <v>Selesai</v>
      </c>
      <c r="O1210" s="23">
        <f t="shared" si="22"/>
        <v>45643.66556</v>
      </c>
      <c r="P1210" s="24" t="b">
        <v>1</v>
      </c>
      <c r="Q1210" s="20">
        <f t="shared" si="31"/>
        <v>45643.69108</v>
      </c>
      <c r="R1210" s="24" t="b">
        <v>0</v>
      </c>
      <c r="S1210" s="7" t="str">
        <f t="shared" si="6"/>
        <v/>
      </c>
      <c r="T1210" s="7"/>
    </row>
    <row r="1211" ht="22.5" hidden="1" customHeight="1">
      <c r="B1211" s="7">
        <f t="shared" si="7"/>
        <v>1205</v>
      </c>
      <c r="C1211" s="18" t="s">
        <v>1176</v>
      </c>
      <c r="D1211" s="19" t="str">
        <f t="array" ref="D1211">IFNA(_xlfn.XLOOKUP(C1211,Table_Tarikan_Warkah[Nomor Sertipikat],Table_Tarikan_Warkah[Nomor Tiket]),"")</f>
        <v>K/14/111224/1</v>
      </c>
      <c r="E1211" s="20" t="str">
        <f t="array" ref="E1211">IFNA(_xlfn.XLOOKUP(D1211,Table_Tarikan_Warkah[Nomor Tiket],Table_Tarikan_Warkah[Tanggal diserahkan kepada Validator]),"")</f>
        <v/>
      </c>
      <c r="F1211" s="20" t="str">
        <f t="array" ref="F1211">IFNA(_xlfn.XLOOKUP(D1211,Table_Tarikan_Warkah[Nomor Tiket],Table_Tarikan_Warkah[Nama Petugas Warkah]),"")</f>
        <v/>
      </c>
      <c r="G1211" s="21" t="str">
        <f t="array" ref="G1211">IFNA(_xlfn.XLOOKUP(D1211,Table_Tarikan_Warkah[Nomor Tiket],Table_Tarikan_Warkah[Jenis Permohonan]),"")</f>
        <v>ROYA</v>
      </c>
      <c r="H1211" s="22" t="s">
        <v>37</v>
      </c>
      <c r="I1211" s="22" t="s">
        <v>187</v>
      </c>
      <c r="J1211" s="20">
        <f t="shared" si="29"/>
        <v>45643.59683</v>
      </c>
      <c r="K1211" s="27" t="s">
        <v>33</v>
      </c>
      <c r="L1211" s="27" t="s">
        <v>187</v>
      </c>
      <c r="M1211" s="20">
        <f t="shared" si="30"/>
        <v>45643.66556</v>
      </c>
      <c r="N1211" s="8" t="str">
        <f t="shared" si="3"/>
        <v>Selesai</v>
      </c>
      <c r="O1211" s="23">
        <f t="shared" si="22"/>
        <v>45643.66556</v>
      </c>
      <c r="P1211" s="24" t="b">
        <v>1</v>
      </c>
      <c r="Q1211" s="20">
        <f t="shared" si="31"/>
        <v>45643.69108</v>
      </c>
      <c r="R1211" s="24" t="b">
        <v>0</v>
      </c>
      <c r="S1211" s="7" t="str">
        <f t="shared" si="6"/>
        <v/>
      </c>
      <c r="T1211" s="7"/>
    </row>
    <row r="1212" ht="22.5" hidden="1" customHeight="1">
      <c r="B1212" s="7">
        <f t="shared" si="7"/>
        <v>1206</v>
      </c>
      <c r="C1212" s="18" t="s">
        <v>1177</v>
      </c>
      <c r="D1212" s="19" t="str">
        <f t="array" ref="D1212">IFNA(_xlfn.XLOOKUP(C1212,Table_Tarikan_Warkah[Nomor Sertipikat],Table_Tarikan_Warkah[Nomor Tiket]),"")</f>
        <v>K/3/121224/2</v>
      </c>
      <c r="E1212" s="20" t="str">
        <f t="array" ref="E1212">IFNA(_xlfn.XLOOKUP(D1212,Table_Tarikan_Warkah[Nomor Tiket],Table_Tarikan_Warkah[Tanggal diserahkan kepada Validator]),"")</f>
        <v/>
      </c>
      <c r="F1212" s="20" t="str">
        <f t="array" ref="F1212">IFNA(_xlfn.XLOOKUP(D1212,Table_Tarikan_Warkah[Nomor Tiket],Table_Tarikan_Warkah[Nama Petugas Warkah]),"")</f>
        <v/>
      </c>
      <c r="G1212" s="21" t="str">
        <f t="array" ref="G1212">IFNA(_xlfn.XLOOKUP(D1212,Table_Tarikan_Warkah[Nomor Tiket],Table_Tarikan_Warkah[Jenis Permohonan]),"")</f>
        <v>BN JUAL BELI</v>
      </c>
      <c r="H1212" s="22" t="s">
        <v>37</v>
      </c>
      <c r="I1212" s="22" t="s">
        <v>187</v>
      </c>
      <c r="J1212" s="20">
        <f t="shared" si="29"/>
        <v>45643.59683</v>
      </c>
      <c r="K1212" s="27" t="s">
        <v>33</v>
      </c>
      <c r="L1212" s="27" t="s">
        <v>187</v>
      </c>
      <c r="M1212" s="20">
        <f t="shared" si="30"/>
        <v>45643.66556</v>
      </c>
      <c r="N1212" s="8" t="str">
        <f t="shared" si="3"/>
        <v>Selesai</v>
      </c>
      <c r="O1212" s="23">
        <f t="shared" si="22"/>
        <v>45643.66556</v>
      </c>
      <c r="P1212" s="24" t="b">
        <v>1</v>
      </c>
      <c r="Q1212" s="20">
        <f t="shared" si="31"/>
        <v>45643.69111</v>
      </c>
      <c r="R1212" s="24" t="b">
        <v>0</v>
      </c>
      <c r="S1212" s="7" t="str">
        <f t="shared" si="6"/>
        <v/>
      </c>
      <c r="T1212" s="7"/>
    </row>
    <row r="1213" ht="22.5" hidden="1" customHeight="1">
      <c r="B1213" s="7">
        <f t="shared" si="7"/>
        <v>1207</v>
      </c>
      <c r="C1213" s="18" t="s">
        <v>1178</v>
      </c>
      <c r="D1213" s="19" t="str">
        <f t="array" ref="D1213">IFNA(_xlfn.XLOOKUP(C1213,Table_Tarikan_Warkah[Nomor Sertipikat],Table_Tarikan_Warkah[Nomor Tiket]),"")</f>
        <v>K/2/121224/1</v>
      </c>
      <c r="E1213" s="20" t="str">
        <f t="array" ref="E1213">IFNA(_xlfn.XLOOKUP(D1213,Table_Tarikan_Warkah[Nomor Tiket],Table_Tarikan_Warkah[Tanggal diserahkan kepada Validator]),"")</f>
        <v/>
      </c>
      <c r="F1213" s="20" t="str">
        <f t="array" ref="F1213">IFNA(_xlfn.XLOOKUP(D1213,Table_Tarikan_Warkah[Nomor Tiket],Table_Tarikan_Warkah[Nama Petugas Warkah]),"")</f>
        <v/>
      </c>
      <c r="G1213" s="21" t="str">
        <f t="array" ref="G1213">IFNA(_xlfn.XLOOKUP(D1213,Table_Tarikan_Warkah[Nomor Tiket],Table_Tarikan_Warkah[Jenis Permohonan]),"")</f>
        <v>BN JUAL BELI</v>
      </c>
      <c r="H1213" s="22" t="s">
        <v>37</v>
      </c>
      <c r="I1213" s="22" t="s">
        <v>187</v>
      </c>
      <c r="J1213" s="20">
        <f t="shared" si="29"/>
        <v>45643.59683</v>
      </c>
      <c r="K1213" s="27" t="s">
        <v>33</v>
      </c>
      <c r="L1213" s="27" t="s">
        <v>187</v>
      </c>
      <c r="M1213" s="20">
        <f t="shared" si="30"/>
        <v>45643.66556</v>
      </c>
      <c r="N1213" s="8" t="str">
        <f t="shared" si="3"/>
        <v>Selesai</v>
      </c>
      <c r="O1213" s="23">
        <f t="shared" si="22"/>
        <v>45643.66556</v>
      </c>
      <c r="P1213" s="24" t="b">
        <v>1</v>
      </c>
      <c r="Q1213" s="20">
        <f t="shared" si="31"/>
        <v>45643.69111</v>
      </c>
      <c r="R1213" s="24" t="b">
        <v>1</v>
      </c>
      <c r="S1213" s="20">
        <f t="shared" si="6"/>
        <v>45650.40172</v>
      </c>
      <c r="T1213" s="39">
        <v>45645.0</v>
      </c>
    </row>
    <row r="1214" ht="22.5" hidden="1" customHeight="1">
      <c r="B1214" s="7">
        <f t="shared" si="7"/>
        <v>1208</v>
      </c>
      <c r="C1214" s="18" t="s">
        <v>1179</v>
      </c>
      <c r="D1214" s="19" t="str">
        <f t="array" ref="D1214">IFNA(_xlfn.XLOOKUP(C1214,Table_Tarikan_Warkah[Nomor Sertipikat],Table_Tarikan_Warkah[Nomor Tiket]),"")</f>
        <v>K/19/121124/1</v>
      </c>
      <c r="E1214" s="20" t="str">
        <f t="array" ref="E1214">IFNA(_xlfn.XLOOKUP(D1214,Table_Tarikan_Warkah[Nomor Tiket],Table_Tarikan_Warkah[Tanggal diserahkan kepada Validator]),"")</f>
        <v/>
      </c>
      <c r="F1214" s="20" t="str">
        <f t="array" ref="F1214">IFNA(_xlfn.XLOOKUP(D1214,Table_Tarikan_Warkah[Nomor Tiket],Table_Tarikan_Warkah[Nama Petugas Warkah]),"")</f>
        <v>David</v>
      </c>
      <c r="G1214" s="21" t="str">
        <f t="array" ref="G1214">IFNA(_xlfn.XLOOKUP(D1214,Table_Tarikan_Warkah[Nomor Tiket],Table_Tarikan_Warkah[Jenis Permohonan]),"")</f>
        <v>PH</v>
      </c>
      <c r="H1214" s="22" t="s">
        <v>37</v>
      </c>
      <c r="I1214" s="22" t="s">
        <v>187</v>
      </c>
      <c r="J1214" s="20">
        <f t="shared" si="29"/>
        <v>45643.59683</v>
      </c>
      <c r="K1214" s="27" t="s">
        <v>33</v>
      </c>
      <c r="L1214" s="27" t="s">
        <v>187</v>
      </c>
      <c r="M1214" s="20">
        <f t="shared" si="30"/>
        <v>45643.66569</v>
      </c>
      <c r="N1214" s="8" t="str">
        <f t="shared" si="3"/>
        <v>Selesai</v>
      </c>
      <c r="O1214" s="23">
        <f t="shared" si="22"/>
        <v>45643.66569</v>
      </c>
      <c r="P1214" s="24" t="b">
        <v>1</v>
      </c>
      <c r="Q1214" s="20">
        <f t="shared" si="31"/>
        <v>45643.69095</v>
      </c>
      <c r="R1214" s="24" t="b">
        <v>0</v>
      </c>
      <c r="S1214" s="7" t="str">
        <f t="shared" si="6"/>
        <v/>
      </c>
      <c r="T1214" s="7"/>
    </row>
    <row r="1215" ht="22.5" hidden="1" customHeight="1">
      <c r="B1215" s="7">
        <f t="shared" si="7"/>
        <v>1209</v>
      </c>
      <c r="C1215" s="18" t="s">
        <v>1180</v>
      </c>
      <c r="D1215" s="19" t="str">
        <f t="array" ref="D1215">IFNA(_xlfn.XLOOKUP(C1215,Table_Tarikan_Warkah[Nomor Sertipikat],Table_Tarikan_Warkah[Nomor Tiket]),"")</f>
        <v>K/13/041224/2</v>
      </c>
      <c r="E1215" s="20" t="str">
        <f t="array" ref="E1215">IFNA(_xlfn.XLOOKUP(D1215,Table_Tarikan_Warkah[Nomor Tiket],Table_Tarikan_Warkah[Tanggal diserahkan kepada Validator]),"")</f>
        <v/>
      </c>
      <c r="F1215" s="20" t="str">
        <f t="array" ref="F1215">IFNA(_xlfn.XLOOKUP(D1215,Table_Tarikan_Warkah[Nomor Tiket],Table_Tarikan_Warkah[Nama Petugas Warkah]),"")</f>
        <v>Berry</v>
      </c>
      <c r="G1215" s="21" t="str">
        <f t="array" ref="G1215">IFNA(_xlfn.XLOOKUP(D1215,Table_Tarikan_Warkah[Nomor Tiket],Table_Tarikan_Warkah[Jenis Permohonan]),"")</f>
        <v>BN Hibah</v>
      </c>
      <c r="H1215" s="22" t="s">
        <v>37</v>
      </c>
      <c r="I1215" s="22" t="s">
        <v>187</v>
      </c>
      <c r="J1215" s="20">
        <f t="shared" si="29"/>
        <v>45643.59683</v>
      </c>
      <c r="K1215" s="27" t="s">
        <v>33</v>
      </c>
      <c r="L1215" s="27" t="s">
        <v>187</v>
      </c>
      <c r="M1215" s="20">
        <f t="shared" si="30"/>
        <v>45643.66569</v>
      </c>
      <c r="N1215" s="8" t="str">
        <f t="shared" si="3"/>
        <v>Selesai</v>
      </c>
      <c r="O1215" s="23">
        <f t="shared" si="22"/>
        <v>45643.66569</v>
      </c>
      <c r="P1215" s="24" t="b">
        <v>1</v>
      </c>
      <c r="Q1215" s="20">
        <f t="shared" si="31"/>
        <v>45643.69095</v>
      </c>
      <c r="R1215" s="24" t="b">
        <v>0</v>
      </c>
      <c r="S1215" s="7" t="str">
        <f t="shared" si="6"/>
        <v/>
      </c>
      <c r="T1215" s="7"/>
    </row>
    <row r="1216" ht="22.5" hidden="1" customHeight="1">
      <c r="B1216" s="7">
        <f t="shared" si="7"/>
        <v>1210</v>
      </c>
      <c r="C1216" s="18" t="s">
        <v>1181</v>
      </c>
      <c r="D1216" s="19" t="str">
        <f t="array" ref="D1216">IFNA(_xlfn.XLOOKUP(C1216,Table_Tarikan_Warkah[Nomor Sertipikat],Table_Tarikan_Warkah[Nomor Tiket]),"")</f>
        <v>K/15/041224/4</v>
      </c>
      <c r="E1216" s="20">
        <f t="array" ref="E1216">IFNA(_xlfn.XLOOKUP(D1216,Table_Tarikan_Warkah[Nomor Tiket],Table_Tarikan_Warkah[Tanggal diserahkan kepada Validator]),"")</f>
        <v>45631.70155</v>
      </c>
      <c r="F1216" s="20" t="str">
        <f t="array" ref="F1216">IFNA(_xlfn.XLOOKUP(D1216,Table_Tarikan_Warkah[Nomor Tiket],Table_Tarikan_Warkah[Nama Petugas Warkah]),"")</f>
        <v>Berry</v>
      </c>
      <c r="G1216" s="21" t="str">
        <f t="array" ref="G1216">IFNA(_xlfn.XLOOKUP(D1216,Table_Tarikan_Warkah[Nomor Tiket],Table_Tarikan_Warkah[Jenis Permohonan]),"")</f>
        <v>BN Hibah</v>
      </c>
      <c r="H1216" s="22" t="s">
        <v>37</v>
      </c>
      <c r="I1216" s="22" t="s">
        <v>187</v>
      </c>
      <c r="J1216" s="20">
        <f t="shared" si="29"/>
        <v>45643.59683</v>
      </c>
      <c r="K1216" s="27" t="s">
        <v>33</v>
      </c>
      <c r="L1216" s="27" t="s">
        <v>187</v>
      </c>
      <c r="M1216" s="20">
        <f t="shared" si="30"/>
        <v>45643.66569</v>
      </c>
      <c r="N1216" s="8" t="str">
        <f t="shared" si="3"/>
        <v>Selesai</v>
      </c>
      <c r="O1216" s="23">
        <f t="shared" si="22"/>
        <v>45643.66569</v>
      </c>
      <c r="P1216" s="24" t="b">
        <v>1</v>
      </c>
      <c r="Q1216" s="20">
        <f t="shared" si="31"/>
        <v>45643.69095</v>
      </c>
      <c r="R1216" s="24" t="b">
        <v>0</v>
      </c>
      <c r="S1216" s="7" t="str">
        <f t="shared" si="6"/>
        <v/>
      </c>
      <c r="T1216" s="7"/>
    </row>
    <row r="1217" ht="22.5" hidden="1" customHeight="1">
      <c r="B1217" s="7">
        <f t="shared" si="7"/>
        <v>1211</v>
      </c>
      <c r="C1217" s="18" t="s">
        <v>1182</v>
      </c>
      <c r="D1217" s="19" t="str">
        <f t="array" ref="D1217">IFNA(_xlfn.XLOOKUP(C1217,Table_Tarikan_Warkah[Nomor Sertipikat],Table_Tarikan_Warkah[Nomor Tiket]),"")</f>
        <v>K/8/131224/2</v>
      </c>
      <c r="E1217" s="20">
        <f t="array" ref="E1217">IFNA(_xlfn.XLOOKUP(D1217,Table_Tarikan_Warkah[Nomor Tiket],Table_Tarikan_Warkah[Tanggal diserahkan kepada Validator]),"")</f>
        <v>45642.71248</v>
      </c>
      <c r="F1217" s="20" t="str">
        <f t="array" ref="F1217">IFNA(_xlfn.XLOOKUP(D1217,Table_Tarikan_Warkah[Nomor Tiket],Table_Tarikan_Warkah[Nama Petugas Warkah]),"")</f>
        <v>Berry</v>
      </c>
      <c r="G1217" s="21" t="str">
        <f t="array" ref="G1217">IFNA(_xlfn.XLOOKUP(D1217,Table_Tarikan_Warkah[Nomor Tiket],Table_Tarikan_Warkah[Jenis Permohonan]),"")</f>
        <v>Bn Waris</v>
      </c>
      <c r="H1217" s="22" t="s">
        <v>37</v>
      </c>
      <c r="I1217" s="22" t="s">
        <v>187</v>
      </c>
      <c r="J1217" s="20">
        <f t="shared" si="29"/>
        <v>45643.59683</v>
      </c>
      <c r="K1217" s="27" t="s">
        <v>33</v>
      </c>
      <c r="L1217" s="27" t="s">
        <v>187</v>
      </c>
      <c r="M1217" s="20">
        <f t="shared" si="30"/>
        <v>45643.66569</v>
      </c>
      <c r="N1217" s="8" t="str">
        <f t="shared" si="3"/>
        <v>Selesai</v>
      </c>
      <c r="O1217" s="23">
        <f t="shared" si="22"/>
        <v>45643.66569</v>
      </c>
      <c r="P1217" s="24" t="b">
        <v>1</v>
      </c>
      <c r="Q1217" s="20">
        <f t="shared" si="31"/>
        <v>45643.69095</v>
      </c>
      <c r="R1217" s="24" t="b">
        <v>0</v>
      </c>
      <c r="S1217" s="7" t="str">
        <f t="shared" si="6"/>
        <v/>
      </c>
      <c r="T1217" s="7"/>
    </row>
    <row r="1218" ht="22.5" hidden="1" customHeight="1">
      <c r="B1218" s="7">
        <f t="shared" si="7"/>
        <v>1212</v>
      </c>
      <c r="C1218" s="18" t="s">
        <v>1183</v>
      </c>
      <c r="D1218" s="19" t="str">
        <f t="array" ref="D1218">IFNA(_xlfn.XLOOKUP(C1218,Table_Tarikan_Warkah[Nomor Sertipikat],Table_Tarikan_Warkah[Nomor Tiket]),"")</f>
        <v>K/59/221024/1</v>
      </c>
      <c r="E1218" s="20" t="str">
        <f t="array" ref="E1218">IFNA(_xlfn.XLOOKUP(D1218,Table_Tarikan_Warkah[Nomor Tiket],Table_Tarikan_Warkah[Tanggal diserahkan kepada Validator]),"")</f>
        <v/>
      </c>
      <c r="F1218" s="20" t="str">
        <f t="array" ref="F1218">IFNA(_xlfn.XLOOKUP(D1218,Table_Tarikan_Warkah[Nomor Tiket],Table_Tarikan_Warkah[Nama Petugas Warkah]),"")</f>
        <v/>
      </c>
      <c r="G1218" s="21" t="str">
        <f t="array" ref="G1218">IFNA(_xlfn.XLOOKUP(D1218,Table_Tarikan_Warkah[Nomor Tiket],Table_Tarikan_Warkah[Jenis Permohonan]),"")</f>
        <v>KEWARISAN</v>
      </c>
      <c r="H1218" s="22" t="s">
        <v>37</v>
      </c>
      <c r="I1218" s="22" t="s">
        <v>187</v>
      </c>
      <c r="J1218" s="20">
        <f t="shared" si="29"/>
        <v>45643.59683</v>
      </c>
      <c r="K1218" s="27" t="s">
        <v>33</v>
      </c>
      <c r="L1218" s="27" t="s">
        <v>187</v>
      </c>
      <c r="M1218" s="20">
        <f t="shared" si="30"/>
        <v>45643.66575</v>
      </c>
      <c r="N1218" s="8" t="str">
        <f t="shared" si="3"/>
        <v>Selesai</v>
      </c>
      <c r="O1218" s="23">
        <f t="shared" si="22"/>
        <v>45643.66575</v>
      </c>
      <c r="P1218" s="24" t="b">
        <v>1</v>
      </c>
      <c r="Q1218" s="20">
        <f t="shared" si="31"/>
        <v>45643.69098</v>
      </c>
      <c r="R1218" s="24" t="b">
        <v>0</v>
      </c>
      <c r="S1218" s="7" t="str">
        <f t="shared" si="6"/>
        <v/>
      </c>
      <c r="T1218" s="7"/>
    </row>
    <row r="1219" ht="22.5" hidden="1" customHeight="1">
      <c r="B1219" s="7">
        <f t="shared" si="7"/>
        <v>1213</v>
      </c>
      <c r="C1219" s="18" t="s">
        <v>1184</v>
      </c>
      <c r="D1219" s="19" t="str">
        <f t="array" ref="D1219">IFNA(_xlfn.XLOOKUP(C1219,Table_Tarikan_Warkah[Nomor Sertipikat],Table_Tarikan_Warkah[Nomor Tiket]),"")</f>
        <v>K/14/101224/4</v>
      </c>
      <c r="E1219" s="20" t="str">
        <f t="array" ref="E1219">IFNA(_xlfn.XLOOKUP(D1219,Table_Tarikan_Warkah[Nomor Tiket],Table_Tarikan_Warkah[Tanggal diserahkan kepada Validator]),"")</f>
        <v/>
      </c>
      <c r="F1219" s="20" t="str">
        <f t="array" ref="F1219">IFNA(_xlfn.XLOOKUP(D1219,Table_Tarikan_Warkah[Nomor Tiket],Table_Tarikan_Warkah[Nama Petugas Warkah]),"")</f>
        <v/>
      </c>
      <c r="G1219" s="21" t="str">
        <f t="array" ref="G1219">IFNA(_xlfn.XLOOKUP(D1219,Table_Tarikan_Warkah[Nomor Tiket],Table_Tarikan_Warkah[Jenis Permohonan]),"")</f>
        <v>ROYA </v>
      </c>
      <c r="H1219" s="22" t="s">
        <v>37</v>
      </c>
      <c r="I1219" s="22" t="s">
        <v>32</v>
      </c>
      <c r="J1219" s="20">
        <f t="shared" si="29"/>
        <v>45643.59683</v>
      </c>
      <c r="K1219" s="26"/>
      <c r="L1219" s="26"/>
      <c r="M1219" s="20" t="str">
        <f t="shared" si="30"/>
        <v/>
      </c>
      <c r="N1219" s="8" t="str">
        <f t="shared" si="3"/>
        <v>BT atau SU Belum Valid</v>
      </c>
      <c r="O1219" s="21" t="str">
        <f t="shared" si="22"/>
        <v/>
      </c>
      <c r="P1219" s="24" t="b">
        <v>0</v>
      </c>
      <c r="Q1219" s="20" t="str">
        <f t="shared" si="31"/>
        <v/>
      </c>
      <c r="R1219" s="24" t="b">
        <v>1</v>
      </c>
      <c r="S1219" s="20">
        <f t="shared" si="6"/>
        <v>45650.39724</v>
      </c>
      <c r="T1219" s="39">
        <v>45645.0</v>
      </c>
    </row>
    <row r="1220" ht="22.5" hidden="1" customHeight="1">
      <c r="B1220" s="7">
        <f t="shared" si="7"/>
        <v>1214</v>
      </c>
      <c r="C1220" s="18" t="s">
        <v>1185</v>
      </c>
      <c r="D1220" s="19" t="str">
        <f t="array" ref="D1220">IFNA(_xlfn.XLOOKUP(C1220,Table_Tarikan_Warkah[Nomor Sertipikat],Table_Tarikan_Warkah[Nomor Tiket]),"")</f>
        <v>K/51/111224/1</v>
      </c>
      <c r="E1220" s="20" t="str">
        <f t="array" ref="E1220">IFNA(_xlfn.XLOOKUP(D1220,Table_Tarikan_Warkah[Nomor Tiket],Table_Tarikan_Warkah[Tanggal diserahkan kepada Validator]),"")</f>
        <v/>
      </c>
      <c r="F1220" s="20" t="str">
        <f t="array" ref="F1220">IFNA(_xlfn.XLOOKUP(D1220,Table_Tarikan_Warkah[Nomor Tiket],Table_Tarikan_Warkah[Nama Petugas Warkah]),"")</f>
        <v/>
      </c>
      <c r="G1220" s="21" t="str">
        <f t="array" ref="G1220">IFNA(_xlfn.XLOOKUP(D1220,Table_Tarikan_Warkah[Nomor Tiket],Table_Tarikan_Warkah[Jenis Permohonan]),"")</f>
        <v>KEWARISAN</v>
      </c>
      <c r="H1220" s="22" t="s">
        <v>37</v>
      </c>
      <c r="I1220" s="22" t="s">
        <v>187</v>
      </c>
      <c r="J1220" s="20">
        <f t="shared" si="29"/>
        <v>45643.59683</v>
      </c>
      <c r="K1220" s="27" t="s">
        <v>33</v>
      </c>
      <c r="L1220" s="27" t="s">
        <v>187</v>
      </c>
      <c r="M1220" s="20">
        <f t="shared" si="30"/>
        <v>45643.66587</v>
      </c>
      <c r="N1220" s="8" t="str">
        <f t="shared" si="3"/>
        <v>Selesai</v>
      </c>
      <c r="O1220" s="23">
        <f t="shared" si="22"/>
        <v>45643.66587</v>
      </c>
      <c r="P1220" s="24" t="b">
        <v>1</v>
      </c>
      <c r="Q1220" s="20">
        <f t="shared" si="31"/>
        <v>45643.69103</v>
      </c>
      <c r="R1220" s="24" t="b">
        <v>1</v>
      </c>
      <c r="S1220" s="20">
        <f t="shared" si="6"/>
        <v>45650.47758</v>
      </c>
      <c r="T1220" s="7"/>
    </row>
    <row r="1221" ht="22.5" hidden="1" customHeight="1">
      <c r="B1221" s="7">
        <f t="shared" si="7"/>
        <v>1215</v>
      </c>
      <c r="C1221" s="18" t="s">
        <v>1186</v>
      </c>
      <c r="D1221" s="19" t="str">
        <f t="array" ref="D1221">IFNA(_xlfn.XLOOKUP(C1221,Table_Tarikan_Warkah[Nomor Sertipikat],Table_Tarikan_Warkah[Nomor Tiket]),"")</f>
        <v>K/24/291024/1</v>
      </c>
      <c r="E1221" s="20">
        <f t="array" ref="E1221">IFNA(_xlfn.XLOOKUP(D1221,Table_Tarikan_Warkah[Nomor Tiket],Table_Tarikan_Warkah[Tanggal diserahkan kepada Validator]),"")</f>
        <v>45595.45918</v>
      </c>
      <c r="F1221" s="20" t="str">
        <f t="array" ref="F1221">IFNA(_xlfn.XLOOKUP(D1221,Table_Tarikan_Warkah[Nomor Tiket],Table_Tarikan_Warkah[Nama Petugas Warkah]),"")</f>
        <v>David</v>
      </c>
      <c r="G1221" s="21" t="str">
        <f t="array" ref="G1221">IFNA(_xlfn.XLOOKUP(D1221,Table_Tarikan_Warkah[Nomor Tiket],Table_Tarikan_Warkah[Jenis Permohonan]),"")</f>
        <v>BN JUAL BELI</v>
      </c>
      <c r="H1221" s="22" t="s">
        <v>37</v>
      </c>
      <c r="I1221" s="22" t="s">
        <v>187</v>
      </c>
      <c r="J1221" s="20">
        <f t="shared" si="29"/>
        <v>45643.59683</v>
      </c>
      <c r="K1221" s="27" t="s">
        <v>33</v>
      </c>
      <c r="L1221" s="27" t="s">
        <v>187</v>
      </c>
      <c r="M1221" s="20">
        <f t="shared" si="30"/>
        <v>45643.66587</v>
      </c>
      <c r="N1221" s="8" t="str">
        <f t="shared" si="3"/>
        <v>Selesai</v>
      </c>
      <c r="O1221" s="23">
        <f t="shared" si="22"/>
        <v>45643.66587</v>
      </c>
      <c r="P1221" s="24" t="b">
        <v>1</v>
      </c>
      <c r="Q1221" s="20">
        <f t="shared" si="31"/>
        <v>45643.69103</v>
      </c>
      <c r="R1221" s="24" t="b">
        <v>0</v>
      </c>
      <c r="S1221" s="7" t="str">
        <f t="shared" si="6"/>
        <v/>
      </c>
      <c r="T1221" s="7"/>
    </row>
    <row r="1222" ht="22.5" hidden="1" customHeight="1">
      <c r="B1222" s="7">
        <f t="shared" si="7"/>
        <v>1216</v>
      </c>
      <c r="C1222" s="18" t="s">
        <v>1187</v>
      </c>
      <c r="D1222" s="7" t="s">
        <v>1188</v>
      </c>
      <c r="E1222" s="20">
        <f t="array" ref="E1222">IFNA(_xlfn.XLOOKUP(D1222,Table_Tarikan_Warkah[Nomor Tiket],Table_Tarikan_Warkah[Tanggal diserahkan kepada Validator]),"")</f>
        <v>45642.71003</v>
      </c>
      <c r="F1222" s="20" t="str">
        <f t="array" ref="F1222">IFNA(_xlfn.XLOOKUP(D1222,Table_Tarikan_Warkah[Nomor Tiket],Table_Tarikan_Warkah[Nama Petugas Warkah]),"")</f>
        <v>David</v>
      </c>
      <c r="G1222" s="21" t="str">
        <f t="array" ref="G1222">IFNA(_xlfn.XLOOKUP(D1222,Table_Tarikan_Warkah[Nomor Tiket],Table_Tarikan_Warkah[Jenis Permohonan]),"")</f>
        <v>BN JUAL BELI</v>
      </c>
      <c r="H1222" s="22" t="s">
        <v>37</v>
      </c>
      <c r="I1222" s="22" t="s">
        <v>187</v>
      </c>
      <c r="J1222" s="20">
        <f t="shared" si="29"/>
        <v>45643.59683</v>
      </c>
      <c r="K1222" s="27" t="s">
        <v>33</v>
      </c>
      <c r="L1222" s="27" t="s">
        <v>187</v>
      </c>
      <c r="M1222" s="20">
        <f t="shared" si="30"/>
        <v>45643.66587</v>
      </c>
      <c r="N1222" s="8" t="str">
        <f t="shared" si="3"/>
        <v>Selesai</v>
      </c>
      <c r="O1222" s="23">
        <f t="shared" si="22"/>
        <v>45643.66587</v>
      </c>
      <c r="P1222" s="24" t="b">
        <v>1</v>
      </c>
      <c r="Q1222" s="20">
        <f t="shared" si="31"/>
        <v>45643.69103</v>
      </c>
      <c r="R1222" s="24" t="b">
        <v>1</v>
      </c>
      <c r="S1222" s="20">
        <f t="shared" si="6"/>
        <v>45650.40646</v>
      </c>
      <c r="T1222" s="39">
        <v>45645.0</v>
      </c>
    </row>
    <row r="1223" ht="22.5" hidden="1" customHeight="1">
      <c r="B1223" s="7">
        <f t="shared" si="7"/>
        <v>1217</v>
      </c>
      <c r="C1223" s="18" t="s">
        <v>1189</v>
      </c>
      <c r="D1223" s="19" t="str">
        <f t="array" ref="D1223">IFNA(_xlfn.XLOOKUP(C1223,Table_Tarikan_Warkah[Nomor Sertipikat],Table_Tarikan_Warkah[Nomor Tiket]),"")</f>
        <v>L/44/111224/1</v>
      </c>
      <c r="E1223" s="20" t="str">
        <f t="array" ref="E1223">IFNA(_xlfn.XLOOKUP(D1223,Table_Tarikan_Warkah[Nomor Tiket],Table_Tarikan_Warkah[Tanggal diserahkan kepada Validator]),"")</f>
        <v/>
      </c>
      <c r="F1223" s="20" t="str">
        <f t="array" ref="F1223">IFNA(_xlfn.XLOOKUP(D1223,Table_Tarikan_Warkah[Nomor Tiket],Table_Tarikan_Warkah[Nama Petugas Warkah]),"")</f>
        <v/>
      </c>
      <c r="G1223" s="21" t="str">
        <f t="array" ref="G1223">IFNA(_xlfn.XLOOKUP(D1223,Table_Tarikan_Warkah[Nomor Tiket],Table_Tarikan_Warkah[Jenis Permohonan]),"")</f>
        <v>PH</v>
      </c>
      <c r="H1223" s="22" t="s">
        <v>31</v>
      </c>
      <c r="I1223" s="22" t="s">
        <v>32</v>
      </c>
      <c r="J1223" s="20">
        <f t="shared" si="29"/>
        <v>45643.61369</v>
      </c>
      <c r="K1223" s="27" t="s">
        <v>65</v>
      </c>
      <c r="L1223" s="27" t="s">
        <v>32</v>
      </c>
      <c r="M1223" s="20">
        <f t="shared" si="30"/>
        <v>45650.47758</v>
      </c>
      <c r="N1223" s="8" t="str">
        <f t="shared" si="3"/>
        <v>SELESAI</v>
      </c>
      <c r="O1223" s="23">
        <f t="shared" si="22"/>
        <v>45650.47758</v>
      </c>
      <c r="P1223" s="24" t="b">
        <v>0</v>
      </c>
      <c r="Q1223" s="20" t="str">
        <f t="shared" si="31"/>
        <v/>
      </c>
      <c r="R1223" s="24" t="b">
        <v>1</v>
      </c>
      <c r="S1223" s="20">
        <f t="shared" si="6"/>
        <v>45650.39673</v>
      </c>
      <c r="T1223" s="39">
        <v>45645.0</v>
      </c>
    </row>
    <row r="1224" ht="22.5" hidden="1" customHeight="1">
      <c r="B1224" s="7">
        <f t="shared" si="7"/>
        <v>1218</v>
      </c>
      <c r="C1224" s="18" t="s">
        <v>1190</v>
      </c>
      <c r="D1224" s="19" t="str">
        <f t="array" ref="D1224">IFNA(_xlfn.XLOOKUP(C1224,Table_Tarikan_Warkah[Nomor Sertipikat],Table_Tarikan_Warkah[Nomor Tiket]),"")</f>
        <v>L/1/111224/1</v>
      </c>
      <c r="E1224" s="20" t="str">
        <f t="array" ref="E1224">IFNA(_xlfn.XLOOKUP(D1224,Table_Tarikan_Warkah[Nomor Tiket],Table_Tarikan_Warkah[Tanggal diserahkan kepada Validator]),"")</f>
        <v/>
      </c>
      <c r="F1224" s="20" t="str">
        <f t="array" ref="F1224">IFNA(_xlfn.XLOOKUP(D1224,Table_Tarikan_Warkah[Nomor Tiket],Table_Tarikan_Warkah[Nama Petugas Warkah]),"")</f>
        <v/>
      </c>
      <c r="G1224" s="21" t="str">
        <f t="array" ref="G1224">IFNA(_xlfn.XLOOKUP(D1224,Table_Tarikan_Warkah[Nomor Tiket],Table_Tarikan_Warkah[Jenis Permohonan]),"")</f>
        <v>ROYA</v>
      </c>
      <c r="H1224" s="22" t="s">
        <v>31</v>
      </c>
      <c r="I1224" s="22" t="s">
        <v>32</v>
      </c>
      <c r="J1224" s="20">
        <f t="shared" si="29"/>
        <v>45643.61371</v>
      </c>
      <c r="K1224" s="27" t="s">
        <v>65</v>
      </c>
      <c r="L1224" s="27" t="s">
        <v>32</v>
      </c>
      <c r="M1224" s="20">
        <f t="shared" si="30"/>
        <v>45650.47758</v>
      </c>
      <c r="N1224" s="8" t="str">
        <f t="shared" si="3"/>
        <v>SELESAI</v>
      </c>
      <c r="O1224" s="23">
        <f t="shared" si="22"/>
        <v>45650.47758</v>
      </c>
      <c r="P1224" s="24" t="b">
        <v>0</v>
      </c>
      <c r="Q1224" s="20" t="str">
        <f t="shared" si="31"/>
        <v/>
      </c>
      <c r="R1224" s="24" t="b">
        <v>1</v>
      </c>
      <c r="S1224" s="20">
        <f t="shared" si="6"/>
        <v>45650.39933</v>
      </c>
      <c r="T1224" s="39">
        <v>45645.0</v>
      </c>
    </row>
    <row r="1225" ht="22.5" hidden="1" customHeight="1">
      <c r="B1225" s="7">
        <f t="shared" si="7"/>
        <v>1219</v>
      </c>
      <c r="C1225" s="18" t="s">
        <v>1191</v>
      </c>
      <c r="D1225" s="19" t="str">
        <f t="array" ref="D1225">IFNA(_xlfn.XLOOKUP(C1225,Table_Tarikan_Warkah[Nomor Sertipikat],Table_Tarikan_Warkah[Nomor Tiket]),"")</f>
        <v>L/25/111224/1</v>
      </c>
      <c r="E1225" s="20" t="str">
        <f t="array" ref="E1225">IFNA(_xlfn.XLOOKUP(D1225,Table_Tarikan_Warkah[Nomor Tiket],Table_Tarikan_Warkah[Tanggal diserahkan kepada Validator]),"")</f>
        <v/>
      </c>
      <c r="F1225" s="20" t="str">
        <f t="array" ref="F1225">IFNA(_xlfn.XLOOKUP(D1225,Table_Tarikan_Warkah[Nomor Tiket],Table_Tarikan_Warkah[Nama Petugas Warkah]),"")</f>
        <v>David</v>
      </c>
      <c r="G1225" s="21" t="str">
        <f t="array" ref="G1225">IFNA(_xlfn.XLOOKUP(D1225,Table_Tarikan_Warkah[Nomor Tiket],Table_Tarikan_Warkah[Jenis Permohonan]),"")</f>
        <v>ROYA</v>
      </c>
      <c r="H1225" s="22" t="s">
        <v>31</v>
      </c>
      <c r="I1225" s="22" t="s">
        <v>32</v>
      </c>
      <c r="J1225" s="20">
        <f t="shared" si="29"/>
        <v>45643.61371</v>
      </c>
      <c r="K1225" s="27" t="s">
        <v>65</v>
      </c>
      <c r="L1225" s="27" t="s">
        <v>32</v>
      </c>
      <c r="M1225" s="20">
        <f t="shared" si="30"/>
        <v>45650.47758</v>
      </c>
      <c r="N1225" s="8" t="str">
        <f t="shared" si="3"/>
        <v>SELESAI</v>
      </c>
      <c r="O1225" s="23">
        <f t="shared" si="22"/>
        <v>45650.47758</v>
      </c>
      <c r="P1225" s="24" t="b">
        <v>0</v>
      </c>
      <c r="Q1225" s="20" t="str">
        <f t="shared" si="31"/>
        <v/>
      </c>
      <c r="R1225" s="24" t="b">
        <v>1</v>
      </c>
      <c r="S1225" s="20">
        <f t="shared" si="6"/>
        <v>45650.39966</v>
      </c>
      <c r="T1225" s="39">
        <v>45645.0</v>
      </c>
    </row>
    <row r="1226" ht="22.5" hidden="1" customHeight="1">
      <c r="B1226" s="7">
        <f t="shared" si="7"/>
        <v>1220</v>
      </c>
      <c r="C1226" s="18" t="s">
        <v>1192</v>
      </c>
      <c r="D1226" s="19" t="str">
        <f t="array" ref="D1226">IFNA(_xlfn.XLOOKUP(C1226,Table_Tarikan_Warkah[Nomor Sertipikat],Table_Tarikan_Warkah[Nomor Tiket]),"")</f>
        <v>K/3/111224/2</v>
      </c>
      <c r="E1226" s="20">
        <f t="array" ref="E1226">IFNA(_xlfn.XLOOKUP(D1226,Table_Tarikan_Warkah[Nomor Tiket],Table_Tarikan_Warkah[Tanggal diserahkan kepada Validator]),"")</f>
        <v>45642.69909</v>
      </c>
      <c r="F1226" s="20" t="str">
        <f t="array" ref="F1226">IFNA(_xlfn.XLOOKUP(D1226,Table_Tarikan_Warkah[Nomor Tiket],Table_Tarikan_Warkah[Nama Petugas Warkah]),"")</f>
        <v/>
      </c>
      <c r="G1226" s="21" t="str">
        <f t="array" ref="G1226">IFNA(_xlfn.XLOOKUP(D1226,Table_Tarikan_Warkah[Nomor Tiket],Table_Tarikan_Warkah[Jenis Permohonan]),"")</f>
        <v>Roya</v>
      </c>
      <c r="H1226" s="22" t="s">
        <v>31</v>
      </c>
      <c r="I1226" s="22" t="s">
        <v>32</v>
      </c>
      <c r="J1226" s="20">
        <f t="shared" si="29"/>
        <v>45643.61371</v>
      </c>
      <c r="K1226" s="27" t="s">
        <v>65</v>
      </c>
      <c r="L1226" s="27" t="s">
        <v>32</v>
      </c>
      <c r="M1226" s="20">
        <f t="shared" si="30"/>
        <v>45650.47758</v>
      </c>
      <c r="N1226" s="8" t="str">
        <f t="shared" si="3"/>
        <v>SELESAI</v>
      </c>
      <c r="O1226" s="23">
        <f t="shared" si="22"/>
        <v>45650.47758</v>
      </c>
      <c r="P1226" s="24" t="b">
        <v>0</v>
      </c>
      <c r="Q1226" s="20" t="str">
        <f t="shared" si="31"/>
        <v/>
      </c>
      <c r="R1226" s="24" t="b">
        <v>1</v>
      </c>
      <c r="S1226" s="20">
        <f t="shared" si="6"/>
        <v>45650.39966</v>
      </c>
      <c r="T1226" s="39">
        <v>45645.0</v>
      </c>
    </row>
    <row r="1227" ht="22.5" hidden="1" customHeight="1">
      <c r="B1227" s="7">
        <f t="shared" si="7"/>
        <v>1221</v>
      </c>
      <c r="C1227" s="18" t="s">
        <v>1193</v>
      </c>
      <c r="D1227" s="19" t="str">
        <f t="array" ref="D1227">IFNA(_xlfn.XLOOKUP(C1227,Table_Tarikan_Warkah[Nomor Sertipikat],Table_Tarikan_Warkah[Nomor Tiket]),"")</f>
        <v>L/19/121224/1</v>
      </c>
      <c r="E1227" s="20" t="str">
        <f t="array" ref="E1227">IFNA(_xlfn.XLOOKUP(D1227,Table_Tarikan_Warkah[Nomor Tiket],Table_Tarikan_Warkah[Tanggal diserahkan kepada Validator]),"")</f>
        <v/>
      </c>
      <c r="F1227" s="20" t="str">
        <f t="array" ref="F1227">IFNA(_xlfn.XLOOKUP(D1227,Table_Tarikan_Warkah[Nomor Tiket],Table_Tarikan_Warkah[Nama Petugas Warkah]),"")</f>
        <v/>
      </c>
      <c r="G1227" s="21" t="str">
        <f t="array" ref="G1227">IFNA(_xlfn.XLOOKUP(D1227,Table_Tarikan_Warkah[Nomor Tiket],Table_Tarikan_Warkah[Jenis Permohonan]),"")</f>
        <v>ROYA</v>
      </c>
      <c r="H1227" s="22" t="s">
        <v>31</v>
      </c>
      <c r="I1227" s="22" t="s">
        <v>32</v>
      </c>
      <c r="J1227" s="20">
        <f t="shared" si="29"/>
        <v>45643.61371</v>
      </c>
      <c r="K1227" s="27" t="s">
        <v>65</v>
      </c>
      <c r="L1227" s="27" t="s">
        <v>32</v>
      </c>
      <c r="M1227" s="20">
        <f t="shared" si="30"/>
        <v>45650.47758</v>
      </c>
      <c r="N1227" s="8" t="str">
        <f t="shared" si="3"/>
        <v>SELESAI</v>
      </c>
      <c r="O1227" s="23">
        <f t="shared" si="22"/>
        <v>45650.47758</v>
      </c>
      <c r="P1227" s="24" t="b">
        <v>0</v>
      </c>
      <c r="Q1227" s="20" t="str">
        <f t="shared" si="31"/>
        <v/>
      </c>
      <c r="R1227" s="24" t="b">
        <v>1</v>
      </c>
      <c r="S1227" s="20">
        <f t="shared" si="6"/>
        <v>45650.39858</v>
      </c>
      <c r="T1227" s="39">
        <v>45645.0</v>
      </c>
    </row>
    <row r="1228" ht="22.5" hidden="1" customHeight="1">
      <c r="B1228" s="7">
        <f t="shared" si="7"/>
        <v>1222</v>
      </c>
      <c r="C1228" s="18" t="s">
        <v>1194</v>
      </c>
      <c r="D1228" s="19" t="str">
        <f t="array" ref="D1228">IFNA(_xlfn.XLOOKUP(C1228,Table_Tarikan_Warkah[Nomor Sertipikat],Table_Tarikan_Warkah[Nomor Tiket]),"")</f>
        <v>K/16/121224/1</v>
      </c>
      <c r="E1228" s="20" t="str">
        <f t="array" ref="E1228">IFNA(_xlfn.XLOOKUP(D1228,Table_Tarikan_Warkah[Nomor Tiket],Table_Tarikan_Warkah[Tanggal diserahkan kepada Validator]),"")</f>
        <v/>
      </c>
      <c r="F1228" s="20" t="str">
        <f t="array" ref="F1228">IFNA(_xlfn.XLOOKUP(D1228,Table_Tarikan_Warkah[Nomor Tiket],Table_Tarikan_Warkah[Nama Petugas Warkah]),"")</f>
        <v/>
      </c>
      <c r="G1228" s="21" t="str">
        <f t="array" ref="G1228">IFNA(_xlfn.XLOOKUP(D1228,Table_Tarikan_Warkah[Nomor Tiket],Table_Tarikan_Warkah[Jenis Permohonan]),"")</f>
        <v>BN JUAL BELI</v>
      </c>
      <c r="H1228" s="22" t="s">
        <v>31</v>
      </c>
      <c r="I1228" s="22" t="s">
        <v>32</v>
      </c>
      <c r="J1228" s="20">
        <f t="shared" si="29"/>
        <v>45643.61371</v>
      </c>
      <c r="K1228" s="27" t="s">
        <v>65</v>
      </c>
      <c r="L1228" s="27" t="s">
        <v>32</v>
      </c>
      <c r="M1228" s="20">
        <f t="shared" si="30"/>
        <v>45650.47758</v>
      </c>
      <c r="N1228" s="8" t="str">
        <f t="shared" si="3"/>
        <v>SELESAI</v>
      </c>
      <c r="O1228" s="23">
        <f t="shared" si="22"/>
        <v>45650.47758</v>
      </c>
      <c r="P1228" s="24" t="b">
        <v>0</v>
      </c>
      <c r="Q1228" s="20" t="str">
        <f t="shared" si="31"/>
        <v/>
      </c>
      <c r="R1228" s="24" t="b">
        <v>1</v>
      </c>
      <c r="S1228" s="20">
        <f t="shared" si="6"/>
        <v>45650.47758</v>
      </c>
      <c r="T1228" s="39">
        <v>45645.0</v>
      </c>
    </row>
    <row r="1229" ht="22.5" hidden="1" customHeight="1">
      <c r="B1229" s="7">
        <f t="shared" si="7"/>
        <v>1223</v>
      </c>
      <c r="C1229" s="18" t="s">
        <v>1195</v>
      </c>
      <c r="D1229" s="19" t="str">
        <f t="array" ref="D1229">IFNA(_xlfn.XLOOKUP(C1229,Table_Tarikan_Warkah[Nomor Sertipikat],Table_Tarikan_Warkah[Nomor Tiket]),"")</f>
        <v>K/33/111224/2</v>
      </c>
      <c r="E1229" s="20" t="str">
        <f t="array" ref="E1229">IFNA(_xlfn.XLOOKUP(D1229,Table_Tarikan_Warkah[Nomor Tiket],Table_Tarikan_Warkah[Tanggal diserahkan kepada Validator]),"")</f>
        <v/>
      </c>
      <c r="F1229" s="20" t="str">
        <f t="array" ref="F1229">IFNA(_xlfn.XLOOKUP(D1229,Table_Tarikan_Warkah[Nomor Tiket],Table_Tarikan_Warkah[Nama Petugas Warkah]),"")</f>
        <v/>
      </c>
      <c r="G1229" s="21" t="str">
        <f t="array" ref="G1229">IFNA(_xlfn.XLOOKUP(D1229,Table_Tarikan_Warkah[Nomor Tiket],Table_Tarikan_Warkah[Jenis Permohonan]),"")</f>
        <v>BN Jual Beli</v>
      </c>
      <c r="H1229" s="22" t="s">
        <v>31</v>
      </c>
      <c r="I1229" s="22" t="s">
        <v>32</v>
      </c>
      <c r="J1229" s="20">
        <f t="shared" si="29"/>
        <v>45643.61371</v>
      </c>
      <c r="K1229" s="27" t="s">
        <v>65</v>
      </c>
      <c r="L1229" s="27" t="s">
        <v>32</v>
      </c>
      <c r="M1229" s="20">
        <f t="shared" si="30"/>
        <v>45650.47758</v>
      </c>
      <c r="N1229" s="8" t="str">
        <f t="shared" si="3"/>
        <v>SELESAI</v>
      </c>
      <c r="O1229" s="23">
        <f t="shared" si="22"/>
        <v>45650.47758</v>
      </c>
      <c r="P1229" s="24" t="b">
        <v>0</v>
      </c>
      <c r="Q1229" s="20" t="str">
        <f t="shared" si="31"/>
        <v/>
      </c>
      <c r="R1229" s="24" t="b">
        <v>1</v>
      </c>
      <c r="S1229" s="20">
        <f t="shared" si="6"/>
        <v>45650.40291</v>
      </c>
      <c r="T1229" s="39">
        <v>45645.0</v>
      </c>
    </row>
    <row r="1230" ht="22.5" hidden="1" customHeight="1">
      <c r="B1230" s="7">
        <f t="shared" si="7"/>
        <v>1224</v>
      </c>
      <c r="C1230" s="18" t="s">
        <v>1196</v>
      </c>
      <c r="D1230" s="19" t="str">
        <f t="array" ref="D1230">IFNA(_xlfn.XLOOKUP(C1230,Table_Tarikan_Warkah[Nomor Sertipikat],Table_Tarikan_Warkah[Nomor Tiket]),"")</f>
        <v>K/6/111224/3</v>
      </c>
      <c r="E1230" s="20" t="str">
        <f t="array" ref="E1230">IFNA(_xlfn.XLOOKUP(D1230,Table_Tarikan_Warkah[Nomor Tiket],Table_Tarikan_Warkah[Tanggal diserahkan kepada Validator]),"")</f>
        <v/>
      </c>
      <c r="F1230" s="20" t="str">
        <f t="array" ref="F1230">IFNA(_xlfn.XLOOKUP(D1230,Table_Tarikan_Warkah[Nomor Tiket],Table_Tarikan_Warkah[Nama Petugas Warkah]),"")</f>
        <v/>
      </c>
      <c r="G1230" s="21" t="str">
        <f t="array" ref="G1230">IFNA(_xlfn.XLOOKUP(D1230,Table_Tarikan_Warkah[Nomor Tiket],Table_Tarikan_Warkah[Jenis Permohonan]),"")</f>
        <v>BN Jual Beli</v>
      </c>
      <c r="H1230" s="22" t="s">
        <v>31</v>
      </c>
      <c r="I1230" s="22" t="s">
        <v>32</v>
      </c>
      <c r="J1230" s="20">
        <f t="shared" si="29"/>
        <v>45643.61363</v>
      </c>
      <c r="K1230" s="27" t="s">
        <v>65</v>
      </c>
      <c r="L1230" s="27" t="s">
        <v>32</v>
      </c>
      <c r="M1230" s="20">
        <f t="shared" si="30"/>
        <v>45650.47758</v>
      </c>
      <c r="N1230" s="8" t="str">
        <f t="shared" si="3"/>
        <v>SELESAI</v>
      </c>
      <c r="O1230" s="23">
        <f t="shared" si="22"/>
        <v>45650.47758</v>
      </c>
      <c r="P1230" s="24" t="b">
        <v>0</v>
      </c>
      <c r="Q1230" s="20" t="str">
        <f t="shared" si="31"/>
        <v/>
      </c>
      <c r="R1230" s="24" t="b">
        <v>1</v>
      </c>
      <c r="S1230" s="20">
        <f t="shared" si="6"/>
        <v>45650.40339</v>
      </c>
      <c r="T1230" s="39">
        <v>45645.0</v>
      </c>
    </row>
    <row r="1231" ht="22.5" hidden="1" customHeight="1">
      <c r="B1231" s="7">
        <f t="shared" si="7"/>
        <v>1225</v>
      </c>
      <c r="C1231" s="18" t="s">
        <v>1197</v>
      </c>
      <c r="D1231" s="19" t="str">
        <f t="array" ref="D1231">IFNA(_xlfn.XLOOKUP(C1231,Table_Tarikan_Warkah[Nomor Sertipikat],Table_Tarikan_Warkah[Nomor Tiket]),"")</f>
        <v>K/5/111224/1</v>
      </c>
      <c r="E1231" s="20" t="str">
        <f t="array" ref="E1231">IFNA(_xlfn.XLOOKUP(D1231,Table_Tarikan_Warkah[Nomor Tiket],Table_Tarikan_Warkah[Tanggal diserahkan kepada Validator]),"")</f>
        <v/>
      </c>
      <c r="F1231" s="20" t="str">
        <f t="array" ref="F1231">IFNA(_xlfn.XLOOKUP(D1231,Table_Tarikan_Warkah[Nomor Tiket],Table_Tarikan_Warkah[Nama Petugas Warkah]),"")</f>
        <v/>
      </c>
      <c r="G1231" s="21" t="str">
        <f t="array" ref="G1231">IFNA(_xlfn.XLOOKUP(D1231,Table_Tarikan_Warkah[Nomor Tiket],Table_Tarikan_Warkah[Jenis Permohonan]),"")</f>
        <v>BN HIBAH</v>
      </c>
      <c r="H1231" s="22" t="s">
        <v>31</v>
      </c>
      <c r="I1231" s="22" t="s">
        <v>187</v>
      </c>
      <c r="J1231" s="20">
        <f t="shared" si="29"/>
        <v>45643.61375</v>
      </c>
      <c r="K1231" s="27" t="s">
        <v>33</v>
      </c>
      <c r="L1231" s="27" t="s">
        <v>187</v>
      </c>
      <c r="M1231" s="20">
        <f t="shared" si="30"/>
        <v>45643.66517</v>
      </c>
      <c r="N1231" s="8" t="str">
        <f t="shared" si="3"/>
        <v>Selesai</v>
      </c>
      <c r="O1231" s="23">
        <f t="shared" si="22"/>
        <v>45643.66517</v>
      </c>
      <c r="P1231" s="24" t="b">
        <v>1</v>
      </c>
      <c r="Q1231" s="20">
        <f t="shared" si="31"/>
        <v>45643.69084</v>
      </c>
      <c r="R1231" s="24" t="b">
        <v>1</v>
      </c>
      <c r="S1231" s="20">
        <f t="shared" si="6"/>
        <v>45650.40339</v>
      </c>
      <c r="T1231" s="39">
        <v>45645.0</v>
      </c>
    </row>
    <row r="1232" ht="22.5" hidden="1" customHeight="1">
      <c r="B1232" s="7">
        <f t="shared" si="7"/>
        <v>1226</v>
      </c>
      <c r="C1232" s="18" t="s">
        <v>1198</v>
      </c>
      <c r="D1232" s="19" t="str">
        <f t="array" ref="D1232">IFNA(_xlfn.XLOOKUP(C1232,Table_Tarikan_Warkah[Nomor Sertipikat],Table_Tarikan_Warkah[Nomor Tiket]),"")</f>
        <v>K/29/091224/1</v>
      </c>
      <c r="E1232" s="20">
        <f t="array" ref="E1232">IFNA(_xlfn.XLOOKUP(D1232,Table_Tarikan_Warkah[Nomor Tiket],Table_Tarikan_Warkah[Tanggal diserahkan kepada Validator]),"")</f>
        <v>45639.59753</v>
      </c>
      <c r="F1232" s="20" t="str">
        <f t="array" ref="F1232">IFNA(_xlfn.XLOOKUP(D1232,Table_Tarikan_Warkah[Nomor Tiket],Table_Tarikan_Warkah[Nama Petugas Warkah]),"")</f>
        <v>David</v>
      </c>
      <c r="G1232" s="21" t="str">
        <f t="array" ref="G1232">IFNA(_xlfn.XLOOKUP(D1232,Table_Tarikan_Warkah[Nomor Tiket],Table_Tarikan_Warkah[Jenis Permohonan]),"")</f>
        <v>BN JUAL BELI</v>
      </c>
      <c r="H1232" s="22" t="s">
        <v>31</v>
      </c>
      <c r="I1232" s="22" t="s">
        <v>187</v>
      </c>
      <c r="J1232" s="20">
        <f t="shared" si="29"/>
        <v>45643.61377</v>
      </c>
      <c r="K1232" s="27" t="s">
        <v>33</v>
      </c>
      <c r="L1232" s="27" t="s">
        <v>187</v>
      </c>
      <c r="M1232" s="20">
        <f t="shared" si="30"/>
        <v>45643.66525</v>
      </c>
      <c r="N1232" s="8" t="str">
        <f t="shared" si="3"/>
        <v>Selesai</v>
      </c>
      <c r="O1232" s="23">
        <f t="shared" si="22"/>
        <v>45643.66525</v>
      </c>
      <c r="P1232" s="24" t="b">
        <v>1</v>
      </c>
      <c r="Q1232" s="20">
        <f t="shared" si="31"/>
        <v>45643.69084</v>
      </c>
      <c r="R1232" s="24" t="b">
        <v>1</v>
      </c>
      <c r="S1232" s="20">
        <f t="shared" si="6"/>
        <v>45653.60235</v>
      </c>
      <c r="T1232" s="8" t="s">
        <v>1199</v>
      </c>
    </row>
    <row r="1233" ht="22.5" hidden="1" customHeight="1">
      <c r="B1233" s="7">
        <f t="shared" si="7"/>
        <v>1227</v>
      </c>
      <c r="C1233" s="18" t="s">
        <v>1200</v>
      </c>
      <c r="D1233" s="19" t="str">
        <f t="array" ref="D1233">IFNA(_xlfn.XLOOKUP(C1233,Table_Tarikan_Warkah[Nomor Sertipikat],Table_Tarikan_Warkah[Nomor Tiket]),"")</f>
        <v>K/15/111224/1</v>
      </c>
      <c r="E1233" s="20" t="str">
        <f t="array" ref="E1233">IFNA(_xlfn.XLOOKUP(D1233,Table_Tarikan_Warkah[Nomor Tiket],Table_Tarikan_Warkah[Tanggal diserahkan kepada Validator]),"")</f>
        <v/>
      </c>
      <c r="F1233" s="20" t="str">
        <f t="array" ref="F1233">IFNA(_xlfn.XLOOKUP(D1233,Table_Tarikan_Warkah[Nomor Tiket],Table_Tarikan_Warkah[Nama Petugas Warkah]),"")</f>
        <v>David</v>
      </c>
      <c r="G1233" s="21" t="str">
        <f t="array" ref="G1233">IFNA(_xlfn.XLOOKUP(D1233,Table_Tarikan_Warkah[Nomor Tiket],Table_Tarikan_Warkah[Jenis Permohonan]),"")</f>
        <v>BN JUAL BELI</v>
      </c>
      <c r="H1233" s="22" t="s">
        <v>31</v>
      </c>
      <c r="I1233" s="22" t="s">
        <v>187</v>
      </c>
      <c r="J1233" s="20">
        <f t="shared" si="29"/>
        <v>45643.61377</v>
      </c>
      <c r="K1233" s="27" t="s">
        <v>33</v>
      </c>
      <c r="L1233" s="27" t="s">
        <v>187</v>
      </c>
      <c r="M1233" s="20">
        <f t="shared" si="30"/>
        <v>45643.66528</v>
      </c>
      <c r="N1233" s="8" t="str">
        <f t="shared" si="3"/>
        <v>Selesai</v>
      </c>
      <c r="O1233" s="23">
        <f t="shared" si="22"/>
        <v>45643.66528</v>
      </c>
      <c r="P1233" s="24" t="b">
        <v>1</v>
      </c>
      <c r="Q1233" s="20">
        <f t="shared" si="31"/>
        <v>45643.69084</v>
      </c>
      <c r="R1233" s="24" t="b">
        <v>0</v>
      </c>
      <c r="S1233" s="7" t="str">
        <f t="shared" si="6"/>
        <v/>
      </c>
      <c r="T1233" s="7"/>
    </row>
    <row r="1234" ht="22.5" hidden="1" customHeight="1">
      <c r="B1234" s="7">
        <f t="shared" si="7"/>
        <v>1228</v>
      </c>
      <c r="C1234" s="18" t="s">
        <v>1201</v>
      </c>
      <c r="D1234" s="19" t="str">
        <f t="array" ref="D1234">IFNA(_xlfn.XLOOKUP(C1234,Table_Tarikan_Warkah[Nomor Sertipikat],Table_Tarikan_Warkah[Nomor Tiket]),"")</f>
        <v>K/31/051224/1</v>
      </c>
      <c r="E1234" s="20">
        <f t="array" ref="E1234">IFNA(_xlfn.XLOOKUP(D1234,Table_Tarikan_Warkah[Nomor Tiket],Table_Tarikan_Warkah[Tanggal diserahkan kepada Validator]),"")</f>
        <v>45635.41974</v>
      </c>
      <c r="F1234" s="20" t="str">
        <f t="array" ref="F1234">IFNA(_xlfn.XLOOKUP(D1234,Table_Tarikan_Warkah[Nomor Tiket],Table_Tarikan_Warkah[Nama Petugas Warkah]),"")</f>
        <v>Berry</v>
      </c>
      <c r="G1234" s="21" t="str">
        <f t="array" ref="G1234">IFNA(_xlfn.XLOOKUP(D1234,Table_Tarikan_Warkah[Nomor Tiket],Table_Tarikan_Warkah[Jenis Permohonan]),"")</f>
        <v>BN Hibah</v>
      </c>
      <c r="H1234" s="22" t="s">
        <v>31</v>
      </c>
      <c r="I1234" s="22" t="s">
        <v>187</v>
      </c>
      <c r="J1234" s="20">
        <f t="shared" si="29"/>
        <v>45643.61377</v>
      </c>
      <c r="K1234" s="27" t="s">
        <v>33</v>
      </c>
      <c r="L1234" s="27" t="s">
        <v>187</v>
      </c>
      <c r="M1234" s="20">
        <f t="shared" si="30"/>
        <v>45643.66534</v>
      </c>
      <c r="N1234" s="8" t="str">
        <f t="shared" si="3"/>
        <v>Selesai</v>
      </c>
      <c r="O1234" s="23">
        <f t="shared" si="22"/>
        <v>45643.66534</v>
      </c>
      <c r="P1234" s="24" t="b">
        <v>1</v>
      </c>
      <c r="Q1234" s="20">
        <f t="shared" si="31"/>
        <v>45643.69084</v>
      </c>
      <c r="R1234" s="24" t="b">
        <v>0</v>
      </c>
      <c r="S1234" s="7" t="str">
        <f t="shared" si="6"/>
        <v/>
      </c>
      <c r="T1234" s="7"/>
    </row>
    <row r="1235" ht="22.5" hidden="1" customHeight="1">
      <c r="B1235" s="7">
        <f t="shared" si="7"/>
        <v>1229</v>
      </c>
      <c r="C1235" s="18" t="s">
        <v>1202</v>
      </c>
      <c r="D1235" s="19" t="str">
        <f t="array" ref="D1235">IFNA(_xlfn.XLOOKUP(C1235,Table_Tarikan_Warkah[Nomor Sertipikat],Table_Tarikan_Warkah[Nomor Tiket]),"")</f>
        <v>K/16/041224/5</v>
      </c>
      <c r="E1235" s="20" t="str">
        <f t="array" ref="E1235">IFNA(_xlfn.XLOOKUP(D1235,Table_Tarikan_Warkah[Nomor Tiket],Table_Tarikan_Warkah[Tanggal diserahkan kepada Validator]),"")</f>
        <v/>
      </c>
      <c r="F1235" s="20" t="str">
        <f t="array" ref="F1235">IFNA(_xlfn.XLOOKUP(D1235,Table_Tarikan_Warkah[Nomor Tiket],Table_Tarikan_Warkah[Nama Petugas Warkah]),"")</f>
        <v/>
      </c>
      <c r="G1235" s="21" t="str">
        <f t="array" ref="G1235">IFNA(_xlfn.XLOOKUP(D1235,Table_Tarikan_Warkah[Nomor Tiket],Table_Tarikan_Warkah[Jenis Permohonan]),"")</f>
        <v>BN Hibah</v>
      </c>
      <c r="H1235" s="22" t="s">
        <v>31</v>
      </c>
      <c r="I1235" s="22" t="s">
        <v>187</v>
      </c>
      <c r="J1235" s="20">
        <f t="shared" si="29"/>
        <v>45643.61377</v>
      </c>
      <c r="K1235" s="27" t="s">
        <v>33</v>
      </c>
      <c r="L1235" s="27" t="s">
        <v>187</v>
      </c>
      <c r="M1235" s="20">
        <f t="shared" si="30"/>
        <v>45643.66534</v>
      </c>
      <c r="N1235" s="8" t="str">
        <f t="shared" si="3"/>
        <v>Selesai</v>
      </c>
      <c r="O1235" s="23">
        <f t="shared" si="22"/>
        <v>45643.66534</v>
      </c>
      <c r="P1235" s="24" t="b">
        <v>1</v>
      </c>
      <c r="Q1235" s="20">
        <f t="shared" si="31"/>
        <v>45643.69087</v>
      </c>
      <c r="R1235" s="24" t="b">
        <v>0</v>
      </c>
      <c r="S1235" s="7" t="str">
        <f t="shared" si="6"/>
        <v/>
      </c>
      <c r="T1235" s="7"/>
    </row>
    <row r="1236" ht="22.5" hidden="1" customHeight="1">
      <c r="B1236" s="7">
        <f t="shared" si="7"/>
        <v>1230</v>
      </c>
      <c r="C1236" s="18" t="s">
        <v>1203</v>
      </c>
      <c r="D1236" s="19" t="str">
        <f t="array" ref="D1236">IFNA(_xlfn.XLOOKUP(C1236,Table_Tarikan_Warkah[Nomor Sertipikat],Table_Tarikan_Warkah[Nomor Tiket]),"")</f>
        <v>K/6/221124/1</v>
      </c>
      <c r="E1236" s="20" t="str">
        <f t="array" ref="E1236">IFNA(_xlfn.XLOOKUP(D1236,Table_Tarikan_Warkah[Nomor Tiket],Table_Tarikan_Warkah[Tanggal diserahkan kepada Validator]),"")</f>
        <v/>
      </c>
      <c r="F1236" s="20" t="str">
        <f t="array" ref="F1236">IFNA(_xlfn.XLOOKUP(D1236,Table_Tarikan_Warkah[Nomor Tiket],Table_Tarikan_Warkah[Nama Petugas Warkah]),"")</f>
        <v/>
      </c>
      <c r="G1236" s="21" t="str">
        <f t="array" ref="G1236">IFNA(_xlfn.XLOOKUP(D1236,Table_Tarikan_Warkah[Nomor Tiket],Table_Tarikan_Warkah[Jenis Permohonan]),"")</f>
        <v>Gandes</v>
      </c>
      <c r="H1236" s="22" t="s">
        <v>31</v>
      </c>
      <c r="I1236" s="22" t="s">
        <v>187</v>
      </c>
      <c r="J1236" s="20">
        <f t="shared" si="29"/>
        <v>45643.61377</v>
      </c>
      <c r="K1236" s="27" t="s">
        <v>33</v>
      </c>
      <c r="L1236" s="27" t="s">
        <v>187</v>
      </c>
      <c r="M1236" s="20">
        <f t="shared" si="30"/>
        <v>45643.66534</v>
      </c>
      <c r="N1236" s="8" t="str">
        <f t="shared" si="3"/>
        <v>Selesai</v>
      </c>
      <c r="O1236" s="23">
        <f t="shared" si="22"/>
        <v>45643.66534</v>
      </c>
      <c r="P1236" s="24" t="b">
        <v>1</v>
      </c>
      <c r="Q1236" s="20">
        <f t="shared" si="31"/>
        <v>45643.69087</v>
      </c>
      <c r="R1236" s="24" t="b">
        <v>0</v>
      </c>
      <c r="S1236" s="7" t="str">
        <f t="shared" si="6"/>
        <v/>
      </c>
      <c r="T1236" s="7"/>
    </row>
    <row r="1237" ht="22.5" hidden="1" customHeight="1">
      <c r="B1237" s="7">
        <f t="shared" si="7"/>
        <v>1231</v>
      </c>
      <c r="C1237" s="18" t="s">
        <v>1204</v>
      </c>
      <c r="D1237" s="19" t="str">
        <f t="array" ref="D1237">IFNA(_xlfn.XLOOKUP(C1237,Table_Tarikan_Warkah[Nomor Sertipikat],Table_Tarikan_Warkah[Nomor Tiket]),"")</f>
        <v>K/36/131224/1</v>
      </c>
      <c r="E1237" s="20" t="str">
        <f t="array" ref="E1237">IFNA(_xlfn.XLOOKUP(D1237,Table_Tarikan_Warkah[Nomor Tiket],Table_Tarikan_Warkah[Tanggal diserahkan kepada Validator]),"")</f>
        <v/>
      </c>
      <c r="F1237" s="20" t="str">
        <f t="array" ref="F1237">IFNA(_xlfn.XLOOKUP(D1237,Table_Tarikan_Warkah[Nomor Tiket],Table_Tarikan_Warkah[Nama Petugas Warkah]),"")</f>
        <v>Berry</v>
      </c>
      <c r="G1237" s="21" t="str">
        <f t="array" ref="G1237">IFNA(_xlfn.XLOOKUP(D1237,Table_Tarikan_Warkah[Nomor Tiket],Table_Tarikan_Warkah[Jenis Permohonan]),"")</f>
        <v>BN JUAL BELI</v>
      </c>
      <c r="H1237" s="22" t="s">
        <v>31</v>
      </c>
      <c r="I1237" s="22" t="s">
        <v>187</v>
      </c>
      <c r="J1237" s="20">
        <f t="shared" si="29"/>
        <v>45643.61377</v>
      </c>
      <c r="K1237" s="27" t="s">
        <v>33</v>
      </c>
      <c r="L1237" s="27" t="s">
        <v>187</v>
      </c>
      <c r="M1237" s="20">
        <f t="shared" si="30"/>
        <v>45643.66542</v>
      </c>
      <c r="N1237" s="8" t="str">
        <f t="shared" si="3"/>
        <v>Selesai</v>
      </c>
      <c r="O1237" s="23">
        <f t="shared" si="22"/>
        <v>45643.66542</v>
      </c>
      <c r="P1237" s="24" t="b">
        <v>1</v>
      </c>
      <c r="Q1237" s="20">
        <f t="shared" si="31"/>
        <v>45643.69087</v>
      </c>
      <c r="R1237" s="24" t="b">
        <v>0</v>
      </c>
      <c r="S1237" s="7" t="str">
        <f t="shared" si="6"/>
        <v/>
      </c>
      <c r="T1237" s="7"/>
    </row>
    <row r="1238" ht="22.5" hidden="1" customHeight="1">
      <c r="B1238" s="7">
        <f t="shared" si="7"/>
        <v>1232</v>
      </c>
      <c r="C1238" s="18" t="s">
        <v>1205</v>
      </c>
      <c r="D1238" s="19" t="str">
        <f t="array" ref="D1238">IFNA(_xlfn.XLOOKUP(C1238,Table_Tarikan_Warkah[Nomor Sertipikat],Table_Tarikan_Warkah[Nomor Tiket]),"")</f>
        <v>K/30/131224/1</v>
      </c>
      <c r="E1238" s="20" t="str">
        <f t="array" ref="E1238">IFNA(_xlfn.XLOOKUP(D1238,Table_Tarikan_Warkah[Nomor Tiket],Table_Tarikan_Warkah[Tanggal diserahkan kepada Validator]),"")</f>
        <v/>
      </c>
      <c r="F1238" s="20" t="str">
        <f t="array" ref="F1238">IFNA(_xlfn.XLOOKUP(D1238,Table_Tarikan_Warkah[Nomor Tiket],Table_Tarikan_Warkah[Nama Petugas Warkah]),"")</f>
        <v/>
      </c>
      <c r="G1238" s="21" t="str">
        <f t="array" ref="G1238">IFNA(_xlfn.XLOOKUP(D1238,Table_Tarikan_Warkah[Nomor Tiket],Table_Tarikan_Warkah[Jenis Permohonan]),"")</f>
        <v>BN JUAL BELI</v>
      </c>
      <c r="H1238" s="22" t="s">
        <v>31</v>
      </c>
      <c r="I1238" s="22" t="s">
        <v>187</v>
      </c>
      <c r="J1238" s="20">
        <f t="shared" si="29"/>
        <v>45643.61377</v>
      </c>
      <c r="K1238" s="27" t="s">
        <v>33</v>
      </c>
      <c r="L1238" s="27" t="s">
        <v>187</v>
      </c>
      <c r="M1238" s="20">
        <f t="shared" si="30"/>
        <v>45643.66542</v>
      </c>
      <c r="N1238" s="8" t="str">
        <f t="shared" si="3"/>
        <v>Selesai</v>
      </c>
      <c r="O1238" s="23">
        <f t="shared" si="22"/>
        <v>45643.66542</v>
      </c>
      <c r="P1238" s="24" t="b">
        <v>1</v>
      </c>
      <c r="Q1238" s="20">
        <f t="shared" si="31"/>
        <v>45643.69087</v>
      </c>
      <c r="R1238" s="24" t="b">
        <v>0</v>
      </c>
      <c r="S1238" s="7" t="str">
        <f t="shared" si="6"/>
        <v/>
      </c>
      <c r="T1238" s="7"/>
    </row>
    <row r="1239" ht="22.5" hidden="1" customHeight="1">
      <c r="B1239" s="7">
        <f t="shared" si="7"/>
        <v>1233</v>
      </c>
      <c r="C1239" s="18" t="s">
        <v>1206</v>
      </c>
      <c r="D1239" s="19" t="str">
        <f t="array" ref="D1239">IFNA(_xlfn.XLOOKUP(C1239,Table_Tarikan_Warkah[Nomor Sertipikat],Table_Tarikan_Warkah[Nomor Tiket]),"")</f>
        <v>K/13/131224/1</v>
      </c>
      <c r="E1239" s="20" t="str">
        <f t="array" ref="E1239">IFNA(_xlfn.XLOOKUP(D1239,Table_Tarikan_Warkah[Nomor Tiket],Table_Tarikan_Warkah[Tanggal diserahkan kepada Validator]),"")</f>
        <v/>
      </c>
      <c r="F1239" s="20" t="str">
        <f t="array" ref="F1239">IFNA(_xlfn.XLOOKUP(D1239,Table_Tarikan_Warkah[Nomor Tiket],Table_Tarikan_Warkah[Nama Petugas Warkah]),"")</f>
        <v>Berry</v>
      </c>
      <c r="G1239" s="21" t="str">
        <f t="array" ref="G1239">IFNA(_xlfn.XLOOKUP(D1239,Table_Tarikan_Warkah[Nomor Tiket],Table_Tarikan_Warkah[Jenis Permohonan]),"")</f>
        <v>BN JUAL BELI</v>
      </c>
      <c r="H1239" s="22" t="s">
        <v>31</v>
      </c>
      <c r="I1239" s="22" t="s">
        <v>187</v>
      </c>
      <c r="J1239" s="20">
        <f t="shared" si="29"/>
        <v>45643.61377</v>
      </c>
      <c r="K1239" s="27" t="s">
        <v>33</v>
      </c>
      <c r="L1239" s="27" t="s">
        <v>187</v>
      </c>
      <c r="M1239" s="20">
        <f t="shared" si="30"/>
        <v>45643.66542</v>
      </c>
      <c r="N1239" s="8" t="str">
        <f t="shared" si="3"/>
        <v>Selesai</v>
      </c>
      <c r="O1239" s="23">
        <f t="shared" si="22"/>
        <v>45643.66542</v>
      </c>
      <c r="P1239" s="24" t="b">
        <v>1</v>
      </c>
      <c r="Q1239" s="20">
        <f t="shared" si="31"/>
        <v>45643.69064</v>
      </c>
      <c r="R1239" s="24" t="b">
        <v>0</v>
      </c>
      <c r="S1239" s="7" t="str">
        <f t="shared" si="6"/>
        <v/>
      </c>
      <c r="T1239" s="7"/>
    </row>
    <row r="1240" ht="22.5" hidden="1" customHeight="1">
      <c r="B1240" s="7">
        <f t="shared" si="7"/>
        <v>1234</v>
      </c>
      <c r="C1240" s="18" t="s">
        <v>1207</v>
      </c>
      <c r="D1240" s="19" t="str">
        <f t="array" ref="D1240">IFNA(_xlfn.XLOOKUP(C1240,Table_Tarikan_Warkah[Nomor Sertipikat],Table_Tarikan_Warkah[Nomor Tiket]),"")</f>
        <v>K/12/041224/1</v>
      </c>
      <c r="E1240" s="20" t="str">
        <f t="array" ref="E1240">IFNA(_xlfn.XLOOKUP(D1240,Table_Tarikan_Warkah[Nomor Tiket],Table_Tarikan_Warkah[Tanggal diserahkan kepada Validator]),"")</f>
        <v/>
      </c>
      <c r="F1240" s="20" t="str">
        <f t="array" ref="F1240">IFNA(_xlfn.XLOOKUP(D1240,Table_Tarikan_Warkah[Nomor Tiket],Table_Tarikan_Warkah[Nama Petugas Warkah]),"")</f>
        <v/>
      </c>
      <c r="G1240" s="21" t="str">
        <f t="array" ref="G1240">IFNA(_xlfn.XLOOKUP(D1240,Table_Tarikan_Warkah[Nomor Tiket],Table_Tarikan_Warkah[Jenis Permohonan]),"")</f>
        <v>BN Hibah</v>
      </c>
      <c r="H1240" s="22" t="s">
        <v>31</v>
      </c>
      <c r="I1240" s="22" t="s">
        <v>187</v>
      </c>
      <c r="J1240" s="20">
        <f t="shared" si="29"/>
        <v>45643.61377</v>
      </c>
      <c r="K1240" s="27" t="s">
        <v>33</v>
      </c>
      <c r="L1240" s="27" t="s">
        <v>187</v>
      </c>
      <c r="M1240" s="20">
        <f t="shared" si="30"/>
        <v>45643.66542</v>
      </c>
      <c r="N1240" s="8" t="str">
        <f t="shared" si="3"/>
        <v>Selesai</v>
      </c>
      <c r="O1240" s="23">
        <f t="shared" si="22"/>
        <v>45643.66542</v>
      </c>
      <c r="P1240" s="24" t="b">
        <v>1</v>
      </c>
      <c r="Q1240" s="20">
        <f t="shared" si="31"/>
        <v>45643.69065</v>
      </c>
      <c r="R1240" s="24" t="b">
        <v>0</v>
      </c>
      <c r="S1240" s="7" t="str">
        <f t="shared" si="6"/>
        <v/>
      </c>
      <c r="T1240" s="7"/>
    </row>
    <row r="1241" ht="22.5" hidden="1" customHeight="1">
      <c r="B1241" s="7">
        <f t="shared" si="7"/>
        <v>1235</v>
      </c>
      <c r="C1241" s="18" t="s">
        <v>1208</v>
      </c>
      <c r="D1241" s="19" t="str">
        <f t="array" ref="D1241">IFNA(_xlfn.XLOOKUP(C1241,Table_Tarikan_Warkah[Nomor Sertipikat],Table_Tarikan_Warkah[Nomor Tiket]),"")</f>
        <v>K/32/051224/4</v>
      </c>
      <c r="E1241" s="20" t="str">
        <f t="array" ref="E1241">IFNA(_xlfn.XLOOKUP(D1241,Table_Tarikan_Warkah[Nomor Tiket],Table_Tarikan_Warkah[Tanggal diserahkan kepada Validator]),"")</f>
        <v/>
      </c>
      <c r="F1241" s="20" t="str">
        <f t="array" ref="F1241">IFNA(_xlfn.XLOOKUP(D1241,Table_Tarikan_Warkah[Nomor Tiket],Table_Tarikan_Warkah[Nama Petugas Warkah]),"")</f>
        <v>Berry</v>
      </c>
      <c r="G1241" s="21" t="str">
        <f t="array" ref="G1241">IFNA(_xlfn.XLOOKUP(D1241,Table_Tarikan_Warkah[Nomor Tiket],Table_Tarikan_Warkah[Jenis Permohonan]),"")</f>
        <v>BN Hibah</v>
      </c>
      <c r="H1241" s="22" t="s">
        <v>31</v>
      </c>
      <c r="I1241" s="22" t="s">
        <v>187</v>
      </c>
      <c r="J1241" s="20">
        <f t="shared" si="29"/>
        <v>45643.61377</v>
      </c>
      <c r="K1241" s="27" t="s">
        <v>33</v>
      </c>
      <c r="L1241" s="27" t="s">
        <v>187</v>
      </c>
      <c r="M1241" s="20">
        <f t="shared" si="30"/>
        <v>45643.66542</v>
      </c>
      <c r="N1241" s="8" t="str">
        <f t="shared" si="3"/>
        <v>Selesai</v>
      </c>
      <c r="O1241" s="23">
        <f t="shared" si="22"/>
        <v>45643.66542</v>
      </c>
      <c r="P1241" s="24" t="b">
        <v>1</v>
      </c>
      <c r="Q1241" s="20">
        <f t="shared" si="31"/>
        <v>45643.69061</v>
      </c>
      <c r="R1241" s="24" t="b">
        <v>0</v>
      </c>
      <c r="S1241" s="7" t="str">
        <f t="shared" si="6"/>
        <v/>
      </c>
      <c r="T1241" s="7"/>
    </row>
    <row r="1242" ht="22.5" hidden="1" customHeight="1">
      <c r="B1242" s="7">
        <f t="shared" si="7"/>
        <v>1236</v>
      </c>
      <c r="C1242" s="18" t="s">
        <v>1209</v>
      </c>
      <c r="D1242" s="19" t="str">
        <f t="array" ref="D1242">IFNA(_xlfn.XLOOKUP(C1242,Table_Tarikan_Warkah[Nomor Sertipikat],Table_Tarikan_Warkah[Nomor Tiket]),"")</f>
        <v>L/23/091224/1</v>
      </c>
      <c r="E1242" s="20" t="str">
        <f t="array" ref="E1242">IFNA(_xlfn.XLOOKUP(D1242,Table_Tarikan_Warkah[Nomor Tiket],Table_Tarikan_Warkah[Tanggal diserahkan kepada Validator]),"")</f>
        <v/>
      </c>
      <c r="F1242" s="20" t="str">
        <f t="array" ref="F1242">IFNA(_xlfn.XLOOKUP(D1242,Table_Tarikan_Warkah[Nomor Tiket],Table_Tarikan_Warkah[Nama Petugas Warkah]),"")</f>
        <v/>
      </c>
      <c r="G1242" s="21" t="str">
        <f t="array" ref="G1242">IFNA(_xlfn.XLOOKUP(D1242,Table_Tarikan_Warkah[Nomor Tiket],Table_Tarikan_Warkah[Jenis Permohonan]),"")</f>
        <v>BN LELANG</v>
      </c>
      <c r="H1242" s="22" t="s">
        <v>37</v>
      </c>
      <c r="I1242" s="22" t="s">
        <v>187</v>
      </c>
      <c r="J1242" s="20">
        <f t="shared" si="29"/>
        <v>45643.6713</v>
      </c>
      <c r="K1242" s="27" t="s">
        <v>33</v>
      </c>
      <c r="L1242" s="27" t="s">
        <v>187</v>
      </c>
      <c r="M1242" s="20">
        <f t="shared" si="30"/>
        <v>45643.69058</v>
      </c>
      <c r="N1242" s="8" t="str">
        <f t="shared" si="3"/>
        <v>Selesai</v>
      </c>
      <c r="O1242" s="23">
        <f t="shared" si="22"/>
        <v>45643.69058</v>
      </c>
      <c r="P1242" s="24" t="b">
        <v>1</v>
      </c>
      <c r="Q1242" s="20">
        <f t="shared" si="31"/>
        <v>45643.6906</v>
      </c>
      <c r="R1242" s="24" t="b">
        <v>0</v>
      </c>
      <c r="S1242" s="7" t="str">
        <f t="shared" si="6"/>
        <v/>
      </c>
      <c r="T1242" s="7"/>
    </row>
    <row r="1243" ht="22.5" hidden="1" customHeight="1">
      <c r="B1243" s="7">
        <f t="shared" si="7"/>
        <v>1237</v>
      </c>
      <c r="C1243" s="18" t="s">
        <v>1210</v>
      </c>
      <c r="D1243" s="19" t="str">
        <f t="array" ref="D1243">IFNA(_xlfn.XLOOKUP(C1243,Table_Tarikan_Warkah[Nomor Sertipikat],Table_Tarikan_Warkah[Nomor Tiket]),"")</f>
        <v>K/3/291124/1</v>
      </c>
      <c r="E1243" s="20" t="str">
        <f t="array" ref="E1243">IFNA(_xlfn.XLOOKUP(D1243,Table_Tarikan_Warkah[Nomor Tiket],Table_Tarikan_Warkah[Tanggal diserahkan kepada Validator]),"")</f>
        <v/>
      </c>
      <c r="F1243" s="20" t="str">
        <f t="array" ref="F1243">IFNA(_xlfn.XLOOKUP(D1243,Table_Tarikan_Warkah[Nomor Tiket],Table_Tarikan_Warkah[Nama Petugas Warkah]),"")</f>
        <v/>
      </c>
      <c r="G1243" s="21" t="str">
        <f t="array" ref="G1243">IFNA(_xlfn.XLOOKUP(D1243,Table_Tarikan_Warkah[Nomor Tiket],Table_Tarikan_Warkah[Jenis Permohonan]),"")</f>
        <v>GANTI NAMA</v>
      </c>
      <c r="H1243" s="22" t="s">
        <v>31</v>
      </c>
      <c r="I1243" s="22" t="s">
        <v>187</v>
      </c>
      <c r="J1243" s="20">
        <f t="shared" si="29"/>
        <v>45644.59192</v>
      </c>
      <c r="K1243" s="27" t="s">
        <v>65</v>
      </c>
      <c r="L1243" s="27" t="s">
        <v>187</v>
      </c>
      <c r="M1243" s="20">
        <f t="shared" si="30"/>
        <v>45644.64772</v>
      </c>
      <c r="N1243" s="8" t="str">
        <f t="shared" si="3"/>
        <v>Selesai</v>
      </c>
      <c r="O1243" s="23">
        <f t="shared" si="22"/>
        <v>45644.64772</v>
      </c>
      <c r="P1243" s="24" t="b">
        <v>1</v>
      </c>
      <c r="Q1243" s="20">
        <f t="shared" si="31"/>
        <v>45644.64803</v>
      </c>
      <c r="R1243" s="24" t="b">
        <v>0</v>
      </c>
      <c r="S1243" s="7" t="str">
        <f t="shared" si="6"/>
        <v/>
      </c>
      <c r="T1243" s="7"/>
    </row>
    <row r="1244" ht="22.5" hidden="1" customHeight="1">
      <c r="B1244" s="7">
        <f t="shared" si="7"/>
        <v>1238</v>
      </c>
      <c r="C1244" s="18" t="s">
        <v>1211</v>
      </c>
      <c r="D1244" s="19" t="str">
        <f t="array" ref="D1244">IFNA(_xlfn.XLOOKUP(C1244,Table_Tarikan_Warkah[Nomor Sertipikat],Table_Tarikan_Warkah[Nomor Tiket]),"")</f>
        <v>K/38/131224/3</v>
      </c>
      <c r="E1244" s="20" t="str">
        <f t="array" ref="E1244">IFNA(_xlfn.XLOOKUP(D1244,Table_Tarikan_Warkah[Nomor Tiket],Table_Tarikan_Warkah[Tanggal diserahkan kepada Validator]),"")</f>
        <v/>
      </c>
      <c r="F1244" s="20" t="str">
        <f t="array" ref="F1244">IFNA(_xlfn.XLOOKUP(D1244,Table_Tarikan_Warkah[Nomor Tiket],Table_Tarikan_Warkah[Nama Petugas Warkah]),"")</f>
        <v>Berry</v>
      </c>
      <c r="G1244" s="21" t="str">
        <f t="array" ref="G1244">IFNA(_xlfn.XLOOKUP(D1244,Table_Tarikan_Warkah[Nomor Tiket],Table_Tarikan_Warkah[Jenis Permohonan]),"")</f>
        <v>BN JUAL BELI</v>
      </c>
      <c r="H1244" s="22" t="s">
        <v>31</v>
      </c>
      <c r="I1244" s="22" t="s">
        <v>187</v>
      </c>
      <c r="J1244" s="20">
        <f t="shared" si="29"/>
        <v>45644.59196</v>
      </c>
      <c r="K1244" s="27" t="s">
        <v>65</v>
      </c>
      <c r="L1244" s="27" t="s">
        <v>187</v>
      </c>
      <c r="M1244" s="20">
        <f t="shared" si="30"/>
        <v>45644.64778</v>
      </c>
      <c r="N1244" s="8" t="str">
        <f t="shared" si="3"/>
        <v>Selesai</v>
      </c>
      <c r="O1244" s="23">
        <f t="shared" si="22"/>
        <v>45644.64778</v>
      </c>
      <c r="P1244" s="24" t="b">
        <v>1</v>
      </c>
      <c r="Q1244" s="20">
        <f t="shared" si="31"/>
        <v>45644.64804</v>
      </c>
      <c r="R1244" s="24" t="b">
        <v>0</v>
      </c>
      <c r="S1244" s="7" t="str">
        <f t="shared" si="6"/>
        <v/>
      </c>
      <c r="T1244" s="7"/>
    </row>
    <row r="1245" ht="22.5" hidden="1" customHeight="1">
      <c r="B1245" s="7">
        <f t="shared" si="7"/>
        <v>1239</v>
      </c>
      <c r="C1245" s="18" t="s">
        <v>1212</v>
      </c>
      <c r="D1245" s="19" t="str">
        <f t="array" ref="D1245">IFNA(_xlfn.XLOOKUP(C1245,Table_Tarikan_Warkah[Nomor Sertipikat],Table_Tarikan_Warkah[Nomor Tiket]),"")</f>
        <v>K/41/161224/1</v>
      </c>
      <c r="E1245" s="20" t="str">
        <f t="array" ref="E1245">IFNA(_xlfn.XLOOKUP(D1245,Table_Tarikan_Warkah[Nomor Tiket],Table_Tarikan_Warkah[Tanggal diserahkan kepada Validator]),"")</f>
        <v/>
      </c>
      <c r="F1245" s="20" t="str">
        <f t="array" ref="F1245">IFNA(_xlfn.XLOOKUP(D1245,Table_Tarikan_Warkah[Nomor Tiket],Table_Tarikan_Warkah[Nama Petugas Warkah]),"")</f>
        <v>Berry</v>
      </c>
      <c r="G1245" s="21" t="str">
        <f t="array" ref="G1245">IFNA(_xlfn.XLOOKUP(D1245,Table_Tarikan_Warkah[Nomor Tiket],Table_Tarikan_Warkah[Jenis Permohonan]),"")</f>
        <v>BN JUAL BELI</v>
      </c>
      <c r="H1245" s="22" t="s">
        <v>31</v>
      </c>
      <c r="I1245" s="22" t="s">
        <v>187</v>
      </c>
      <c r="J1245" s="20">
        <f t="shared" si="29"/>
        <v>45644.59196</v>
      </c>
      <c r="K1245" s="27" t="s">
        <v>65</v>
      </c>
      <c r="L1245" s="27" t="s">
        <v>187</v>
      </c>
      <c r="M1245" s="20">
        <f t="shared" si="30"/>
        <v>45644.64785</v>
      </c>
      <c r="N1245" s="8" t="str">
        <f t="shared" si="3"/>
        <v>Selesai</v>
      </c>
      <c r="O1245" s="23">
        <f t="shared" si="22"/>
        <v>45644.64785</v>
      </c>
      <c r="P1245" s="24" t="b">
        <v>1</v>
      </c>
      <c r="Q1245" s="20">
        <f t="shared" si="31"/>
        <v>45644.64805</v>
      </c>
      <c r="R1245" s="24" t="b">
        <v>1</v>
      </c>
      <c r="S1245" s="20">
        <f t="shared" si="6"/>
        <v>45653.59094</v>
      </c>
      <c r="T1245" s="8" t="s">
        <v>1199</v>
      </c>
    </row>
    <row r="1246" ht="22.5" hidden="1" customHeight="1">
      <c r="B1246" s="7">
        <f t="shared" si="7"/>
        <v>1240</v>
      </c>
      <c r="C1246" s="18" t="s">
        <v>1213</v>
      </c>
      <c r="D1246" s="19" t="str">
        <f t="array" ref="D1246">IFNA(_xlfn.XLOOKUP(C1246,Table_Tarikan_Warkah[Nomor Sertipikat],Table_Tarikan_Warkah[Nomor Tiket]),"")</f>
        <v>K/37/131224/2</v>
      </c>
      <c r="E1246" s="20">
        <f t="array" ref="E1246">IFNA(_xlfn.XLOOKUP(D1246,Table_Tarikan_Warkah[Nomor Tiket],Table_Tarikan_Warkah[Tanggal diserahkan kepada Validator]),"")</f>
        <v>45642.71806</v>
      </c>
      <c r="F1246" s="20" t="str">
        <f t="array" ref="F1246">IFNA(_xlfn.XLOOKUP(D1246,Table_Tarikan_Warkah[Nomor Tiket],Table_Tarikan_Warkah[Nama Petugas Warkah]),"")</f>
        <v>Berry</v>
      </c>
      <c r="G1246" s="21" t="str">
        <f t="array" ref="G1246">IFNA(_xlfn.XLOOKUP(D1246,Table_Tarikan_Warkah[Nomor Tiket],Table_Tarikan_Warkah[Jenis Permohonan]),"")</f>
        <v>BN JUAL BELI</v>
      </c>
      <c r="H1246" s="22" t="s">
        <v>31</v>
      </c>
      <c r="I1246" s="22" t="s">
        <v>187</v>
      </c>
      <c r="J1246" s="20">
        <f t="shared" si="29"/>
        <v>45644.59196</v>
      </c>
      <c r="K1246" s="27" t="s">
        <v>65</v>
      </c>
      <c r="L1246" s="27" t="s">
        <v>187</v>
      </c>
      <c r="M1246" s="20">
        <f t="shared" si="30"/>
        <v>45644.64785</v>
      </c>
      <c r="N1246" s="8" t="str">
        <f t="shared" si="3"/>
        <v>Selesai</v>
      </c>
      <c r="O1246" s="23">
        <f t="shared" si="22"/>
        <v>45644.64785</v>
      </c>
      <c r="P1246" s="24" t="b">
        <v>1</v>
      </c>
      <c r="Q1246" s="20">
        <f t="shared" si="31"/>
        <v>45644.64806</v>
      </c>
      <c r="R1246" s="24" t="b">
        <v>0</v>
      </c>
      <c r="S1246" s="7" t="str">
        <f t="shared" si="6"/>
        <v/>
      </c>
      <c r="T1246" s="7"/>
    </row>
    <row r="1247" ht="22.5" hidden="1" customHeight="1">
      <c r="B1247" s="7">
        <f t="shared" si="7"/>
        <v>1241</v>
      </c>
      <c r="C1247" s="18" t="s">
        <v>1214</v>
      </c>
      <c r="D1247" s="19" t="str">
        <f t="array" ref="D1247">IFNA(_xlfn.XLOOKUP(C1247,Table_Tarikan_Warkah[Nomor Sertipikat],Table_Tarikan_Warkah[Nomor Tiket]),"")</f>
        <v>K/14/021224/1</v>
      </c>
      <c r="E1247" s="20">
        <f t="array" ref="E1247">IFNA(_xlfn.XLOOKUP(D1247,Table_Tarikan_Warkah[Nomor Tiket],Table_Tarikan_Warkah[Tanggal diserahkan kepada Validator]),"")</f>
        <v>45630.3943</v>
      </c>
      <c r="F1247" s="20" t="str">
        <f t="array" ref="F1247">IFNA(_xlfn.XLOOKUP(D1247,Table_Tarikan_Warkah[Nomor Tiket],Table_Tarikan_Warkah[Nama Petugas Warkah]),"")</f>
        <v>Berry</v>
      </c>
      <c r="G1247" s="21" t="str">
        <f t="array" ref="G1247">IFNA(_xlfn.XLOOKUP(D1247,Table_Tarikan_Warkah[Nomor Tiket],Table_Tarikan_Warkah[Jenis Permohonan]),"")</f>
        <v>PEMECAHAN</v>
      </c>
      <c r="H1247" s="22" t="s">
        <v>31</v>
      </c>
      <c r="I1247" s="22" t="s">
        <v>187</v>
      </c>
      <c r="J1247" s="20">
        <f t="shared" si="29"/>
        <v>45644.59196</v>
      </c>
      <c r="K1247" s="27" t="s">
        <v>65</v>
      </c>
      <c r="L1247" s="27" t="s">
        <v>187</v>
      </c>
      <c r="M1247" s="20">
        <f t="shared" si="30"/>
        <v>45644.6479</v>
      </c>
      <c r="N1247" s="8" t="str">
        <f t="shared" si="3"/>
        <v>Selesai</v>
      </c>
      <c r="O1247" s="23">
        <f t="shared" si="22"/>
        <v>45644.6479</v>
      </c>
      <c r="P1247" s="24" t="b">
        <v>1</v>
      </c>
      <c r="Q1247" s="20">
        <f t="shared" si="31"/>
        <v>45644.64806</v>
      </c>
      <c r="R1247" s="24" t="b">
        <v>0</v>
      </c>
      <c r="S1247" s="7" t="str">
        <f t="shared" si="6"/>
        <v/>
      </c>
      <c r="T1247" s="7"/>
    </row>
    <row r="1248" ht="22.5" hidden="1" customHeight="1">
      <c r="B1248" s="7">
        <f t="shared" si="7"/>
        <v>1242</v>
      </c>
      <c r="C1248" s="18" t="s">
        <v>1215</v>
      </c>
      <c r="D1248" s="19" t="str">
        <f t="array" ref="D1248">IFNA(_xlfn.XLOOKUP(C1248,Table_Tarikan_Warkah[Nomor Sertipikat],Table_Tarikan_Warkah[Nomor Tiket]),"")</f>
        <v>K/6/161224/4</v>
      </c>
      <c r="E1248" s="20" t="str">
        <f t="array" ref="E1248">IFNA(_xlfn.XLOOKUP(D1248,Table_Tarikan_Warkah[Nomor Tiket],Table_Tarikan_Warkah[Tanggal diserahkan kepada Validator]),"")</f>
        <v/>
      </c>
      <c r="F1248" s="20" t="str">
        <f t="array" ref="F1248">IFNA(_xlfn.XLOOKUP(D1248,Table_Tarikan_Warkah[Nomor Tiket],Table_Tarikan_Warkah[Nama Petugas Warkah]),"")</f>
        <v/>
      </c>
      <c r="G1248" s="21" t="str">
        <f t="array" ref="G1248">IFNA(_xlfn.XLOOKUP(D1248,Table_Tarikan_Warkah[Nomor Tiket],Table_Tarikan_Warkah[Jenis Permohonan]),"")</f>
        <v>BN APHB</v>
      </c>
      <c r="H1248" s="22" t="s">
        <v>31</v>
      </c>
      <c r="I1248" s="22" t="s">
        <v>187</v>
      </c>
      <c r="J1248" s="20">
        <f t="shared" si="29"/>
        <v>45644.59196</v>
      </c>
      <c r="K1248" s="27" t="s">
        <v>65</v>
      </c>
      <c r="L1248" s="27" t="s">
        <v>187</v>
      </c>
      <c r="M1248" s="20">
        <f t="shared" si="30"/>
        <v>45644.6479</v>
      </c>
      <c r="N1248" s="8" t="str">
        <f t="shared" si="3"/>
        <v>Selesai</v>
      </c>
      <c r="O1248" s="23">
        <f t="shared" si="22"/>
        <v>45644.6479</v>
      </c>
      <c r="P1248" s="24" t="b">
        <v>1</v>
      </c>
      <c r="Q1248" s="20">
        <f t="shared" si="31"/>
        <v>45644.64807</v>
      </c>
      <c r="R1248" s="24" t="b">
        <v>0</v>
      </c>
      <c r="S1248" s="7" t="str">
        <f t="shared" si="6"/>
        <v/>
      </c>
      <c r="T1248" s="7"/>
    </row>
    <row r="1249" ht="22.5" hidden="1" customHeight="1">
      <c r="B1249" s="7">
        <f t="shared" si="7"/>
        <v>1243</v>
      </c>
      <c r="C1249" s="18" t="s">
        <v>1216</v>
      </c>
      <c r="D1249" s="19" t="str">
        <f t="array" ref="D1249">IFNA(_xlfn.XLOOKUP(C1249,Table_Tarikan_Warkah[Nomor Sertipikat],Table_Tarikan_Warkah[Nomor Tiket]),"")</f>
        <v>K/28/161224/1</v>
      </c>
      <c r="E1249" s="20">
        <f t="array" ref="E1249">IFNA(_xlfn.XLOOKUP(D1249,Table_Tarikan_Warkah[Nomor Tiket],Table_Tarikan_Warkah[Tanggal diserahkan kepada Validator]),"")</f>
        <v>45644.69019</v>
      </c>
      <c r="F1249" s="20" t="str">
        <f t="array" ref="F1249">IFNA(_xlfn.XLOOKUP(D1249,Table_Tarikan_Warkah[Nomor Tiket],Table_Tarikan_Warkah[Nama Petugas Warkah]),"")</f>
        <v>Berry</v>
      </c>
      <c r="G1249" s="21" t="str">
        <f t="array" ref="G1249">IFNA(_xlfn.XLOOKUP(D1249,Table_Tarikan_Warkah[Nomor Tiket],Table_Tarikan_Warkah[Jenis Permohonan]),"")</f>
        <v>BN JUAL BELI</v>
      </c>
      <c r="H1249" s="22" t="s">
        <v>31</v>
      </c>
      <c r="I1249" s="22" t="s">
        <v>187</v>
      </c>
      <c r="J1249" s="20">
        <f t="shared" si="29"/>
        <v>45644.59196</v>
      </c>
      <c r="K1249" s="27" t="s">
        <v>65</v>
      </c>
      <c r="L1249" s="27" t="s">
        <v>187</v>
      </c>
      <c r="M1249" s="20">
        <f t="shared" si="30"/>
        <v>45644.64792</v>
      </c>
      <c r="N1249" s="8" t="str">
        <f t="shared" si="3"/>
        <v>Selesai</v>
      </c>
      <c r="O1249" s="23">
        <f t="shared" si="22"/>
        <v>45644.64792</v>
      </c>
      <c r="P1249" s="24" t="b">
        <v>1</v>
      </c>
      <c r="Q1249" s="20">
        <f t="shared" si="31"/>
        <v>45644.64807</v>
      </c>
      <c r="R1249" s="24" t="b">
        <v>0</v>
      </c>
      <c r="S1249" s="7" t="str">
        <f t="shared" si="6"/>
        <v/>
      </c>
      <c r="T1249" s="7"/>
    </row>
    <row r="1250" ht="22.5" hidden="1" customHeight="1">
      <c r="B1250" s="7">
        <f t="shared" si="7"/>
        <v>1244</v>
      </c>
      <c r="C1250" s="18" t="s">
        <v>1217</v>
      </c>
      <c r="D1250" s="19" t="str">
        <f t="array" ref="D1250">IFNA(_xlfn.XLOOKUP(C1250,Table_Tarikan_Warkah[Nomor Sertipikat],Table_Tarikan_Warkah[Nomor Tiket]),"")</f>
        <v>K/27/251124/1</v>
      </c>
      <c r="E1250" s="20">
        <f t="array" ref="E1250">IFNA(_xlfn.XLOOKUP(D1250,Table_Tarikan_Warkah[Nomor Tiket],Table_Tarikan_Warkah[Tanggal diserahkan kepada Validator]),"")</f>
        <v>45622.50264</v>
      </c>
      <c r="F1250" s="20" t="str">
        <f t="array" ref="F1250">IFNA(_xlfn.XLOOKUP(D1250,Table_Tarikan_Warkah[Nomor Tiket],Table_Tarikan_Warkah[Nama Petugas Warkah]),"")</f>
        <v>Berry</v>
      </c>
      <c r="G1250" s="21" t="str">
        <f t="array" ref="G1250">IFNA(_xlfn.XLOOKUP(D1250,Table_Tarikan_Warkah[Nomor Tiket],Table_Tarikan_Warkah[Jenis Permohonan]),"")</f>
        <v>BN JUAL BELI</v>
      </c>
      <c r="H1250" s="22" t="s">
        <v>31</v>
      </c>
      <c r="I1250" s="22" t="s">
        <v>187</v>
      </c>
      <c r="J1250" s="20">
        <f t="shared" si="29"/>
        <v>45644.59196</v>
      </c>
      <c r="K1250" s="27" t="s">
        <v>65</v>
      </c>
      <c r="L1250" s="27" t="s">
        <v>187</v>
      </c>
      <c r="M1250" s="20">
        <f t="shared" si="30"/>
        <v>45644.64792</v>
      </c>
      <c r="N1250" s="8" t="str">
        <f t="shared" si="3"/>
        <v>Selesai</v>
      </c>
      <c r="O1250" s="23">
        <f t="shared" si="22"/>
        <v>45644.64792</v>
      </c>
      <c r="P1250" s="24" t="b">
        <v>1</v>
      </c>
      <c r="Q1250" s="20">
        <f t="shared" si="31"/>
        <v>45644.64808</v>
      </c>
      <c r="R1250" s="24" t="b">
        <v>0</v>
      </c>
      <c r="S1250" s="7" t="str">
        <f t="shared" si="6"/>
        <v/>
      </c>
      <c r="T1250" s="7"/>
    </row>
    <row r="1251" ht="22.5" hidden="1" customHeight="1">
      <c r="B1251" s="7">
        <f t="shared" si="7"/>
        <v>1245</v>
      </c>
      <c r="C1251" s="18" t="s">
        <v>1218</v>
      </c>
      <c r="D1251" s="19" t="str">
        <f t="array" ref="D1251">IFNA(_xlfn.XLOOKUP(C1251,Table_Tarikan_Warkah[Nomor Sertipikat],Table_Tarikan_Warkah[Nomor Tiket]),"")</f>
        <v>K/4/161224/2</v>
      </c>
      <c r="E1251" s="20" t="str">
        <f t="array" ref="E1251">IFNA(_xlfn.XLOOKUP(D1251,Table_Tarikan_Warkah[Nomor Tiket],Table_Tarikan_Warkah[Tanggal diserahkan kepada Validator]),"")</f>
        <v/>
      </c>
      <c r="F1251" s="20" t="str">
        <f t="array" ref="F1251">IFNA(_xlfn.XLOOKUP(D1251,Table_Tarikan_Warkah[Nomor Tiket],Table_Tarikan_Warkah[Nama Petugas Warkah]),"")</f>
        <v>Berry</v>
      </c>
      <c r="G1251" s="21" t="str">
        <f t="array" ref="G1251">IFNA(_xlfn.XLOOKUP(D1251,Table_Tarikan_Warkah[Nomor Tiket],Table_Tarikan_Warkah[Jenis Permohonan]),"")</f>
        <v>BN APHB</v>
      </c>
      <c r="H1251" s="22" t="s">
        <v>31</v>
      </c>
      <c r="I1251" s="22" t="s">
        <v>187</v>
      </c>
      <c r="J1251" s="20">
        <f t="shared" si="29"/>
        <v>45644.59196</v>
      </c>
      <c r="K1251" s="27" t="s">
        <v>65</v>
      </c>
      <c r="L1251" s="27" t="s">
        <v>187</v>
      </c>
      <c r="M1251" s="20">
        <f t="shared" si="30"/>
        <v>45644.64799</v>
      </c>
      <c r="N1251" s="8" t="str">
        <f t="shared" si="3"/>
        <v>Selesai</v>
      </c>
      <c r="O1251" s="23">
        <f t="shared" si="22"/>
        <v>45644.64799</v>
      </c>
      <c r="P1251" s="24" t="b">
        <v>1</v>
      </c>
      <c r="Q1251" s="20">
        <f t="shared" si="31"/>
        <v>45644.64809</v>
      </c>
      <c r="R1251" s="24" t="b">
        <v>0</v>
      </c>
      <c r="S1251" s="7" t="str">
        <f t="shared" si="6"/>
        <v/>
      </c>
      <c r="T1251" s="7"/>
    </row>
    <row r="1252" ht="22.5" hidden="1" customHeight="1">
      <c r="B1252" s="7">
        <f t="shared" si="7"/>
        <v>1246</v>
      </c>
      <c r="C1252" s="18" t="s">
        <v>1219</v>
      </c>
      <c r="D1252" s="19" t="str">
        <f t="array" ref="D1252">IFNA(_xlfn.XLOOKUP(C1252,Table_Tarikan_Warkah[Nomor Sertipikat],Table_Tarikan_Warkah[Nomor Tiket]),"")</f>
        <v>K/22/061224/2</v>
      </c>
      <c r="E1252" s="20">
        <f t="array" ref="E1252">IFNA(_xlfn.XLOOKUP(D1252,Table_Tarikan_Warkah[Nomor Tiket],Table_Tarikan_Warkah[Tanggal diserahkan kepada Validator]),"")</f>
        <v>45639.5961</v>
      </c>
      <c r="F1252" s="20" t="str">
        <f t="array" ref="F1252">IFNA(_xlfn.XLOOKUP(D1252,Table_Tarikan_Warkah[Nomor Tiket],Table_Tarikan_Warkah[Nama Petugas Warkah]),"")</f>
        <v>Berry</v>
      </c>
      <c r="G1252" s="21" t="str">
        <f t="array" ref="G1252">IFNA(_xlfn.XLOOKUP(D1252,Table_Tarikan_Warkah[Nomor Tiket],Table_Tarikan_Warkah[Jenis Permohonan]),"")</f>
        <v>BN JUAL BELI</v>
      </c>
      <c r="H1252" s="22" t="s">
        <v>31</v>
      </c>
      <c r="I1252" s="22" t="s">
        <v>187</v>
      </c>
      <c r="J1252" s="20">
        <f t="shared" si="29"/>
        <v>45645.70159</v>
      </c>
      <c r="K1252" s="26"/>
      <c r="L1252" s="26"/>
      <c r="M1252" s="20" t="str">
        <f t="shared" si="30"/>
        <v/>
      </c>
      <c r="N1252" s="8" t="str">
        <f t="shared" si="3"/>
        <v>BT atau SU Belum Valid</v>
      </c>
      <c r="O1252" s="21" t="str">
        <f t="shared" si="22"/>
        <v/>
      </c>
      <c r="P1252" s="24" t="b">
        <v>0</v>
      </c>
      <c r="Q1252" s="20" t="str">
        <f t="shared" si="31"/>
        <v/>
      </c>
      <c r="R1252" s="24" t="b">
        <v>0</v>
      </c>
      <c r="S1252" s="7" t="str">
        <f t="shared" si="6"/>
        <v/>
      </c>
      <c r="T1252" s="7"/>
    </row>
    <row r="1253" ht="22.5" hidden="1" customHeight="1">
      <c r="B1253" s="7">
        <f t="shared" si="7"/>
        <v>1247</v>
      </c>
      <c r="C1253" s="18" t="s">
        <v>1220</v>
      </c>
      <c r="D1253" s="19" t="str">
        <f t="array" ref="D1253">IFNA(_xlfn.XLOOKUP(C1253,Table_Tarikan_Warkah[Nomor Sertipikat],Table_Tarikan_Warkah[Nomor Tiket]),"")</f>
        <v>K/22/161224/3</v>
      </c>
      <c r="E1253" s="20" t="str">
        <f t="array" ref="E1253">IFNA(_xlfn.XLOOKUP(D1253,Table_Tarikan_Warkah[Nomor Tiket],Table_Tarikan_Warkah[Tanggal diserahkan kepada Validator]),"")</f>
        <v/>
      </c>
      <c r="F1253" s="20" t="str">
        <f t="array" ref="F1253">IFNA(_xlfn.XLOOKUP(D1253,Table_Tarikan_Warkah[Nomor Tiket],Table_Tarikan_Warkah[Nama Petugas Warkah]),"")</f>
        <v>Berry</v>
      </c>
      <c r="G1253" s="21" t="str">
        <f t="array" ref="G1253">IFNA(_xlfn.XLOOKUP(D1253,Table_Tarikan_Warkah[Nomor Tiket],Table_Tarikan_Warkah[Jenis Permohonan]),"")</f>
        <v>BN WARIS</v>
      </c>
      <c r="H1253" s="22" t="s">
        <v>31</v>
      </c>
      <c r="I1253" s="22" t="s">
        <v>187</v>
      </c>
      <c r="J1253" s="20">
        <f t="shared" si="29"/>
        <v>45645.70159</v>
      </c>
      <c r="K1253" s="22" t="s">
        <v>33</v>
      </c>
      <c r="L1253" s="26"/>
      <c r="M1253" s="20" t="str">
        <f t="shared" si="30"/>
        <v/>
      </c>
      <c r="N1253" s="8" t="str">
        <f t="shared" si="3"/>
        <v>BT atau SU Belum Valid</v>
      </c>
      <c r="O1253" s="21" t="str">
        <f t="shared" si="22"/>
        <v/>
      </c>
      <c r="P1253" s="24" t="b">
        <v>0</v>
      </c>
      <c r="Q1253" s="20" t="str">
        <f t="shared" si="31"/>
        <v/>
      </c>
      <c r="R1253" s="24" t="b">
        <v>1</v>
      </c>
      <c r="S1253" s="20">
        <f t="shared" si="6"/>
        <v>45653.59913</v>
      </c>
      <c r="T1253" s="8" t="s">
        <v>1199</v>
      </c>
    </row>
    <row r="1254" ht="22.5" hidden="1" customHeight="1">
      <c r="B1254" s="7">
        <f t="shared" si="7"/>
        <v>1248</v>
      </c>
      <c r="C1254" s="18" t="s">
        <v>1221</v>
      </c>
      <c r="D1254" s="19" t="str">
        <f t="array" ref="D1254">IFNA(_xlfn.XLOOKUP(C1254,Table_Tarikan_Warkah[Nomor Sertipikat],Table_Tarikan_Warkah[Nomor Tiket]),"")</f>
        <v>K/1/061224/1</v>
      </c>
      <c r="E1254" s="20">
        <f t="array" ref="E1254">IFNA(_xlfn.XLOOKUP(D1254,Table_Tarikan_Warkah[Nomor Tiket],Table_Tarikan_Warkah[Tanggal diserahkan kepada Validator]),"")</f>
        <v>45635.67356</v>
      </c>
      <c r="F1254" s="20" t="str">
        <f t="array" ref="F1254">IFNA(_xlfn.XLOOKUP(D1254,Table_Tarikan_Warkah[Nomor Tiket],Table_Tarikan_Warkah[Nama Petugas Warkah]),"")</f>
        <v>Berry</v>
      </c>
      <c r="G1254" s="21" t="str">
        <f t="array" ref="G1254">IFNA(_xlfn.XLOOKUP(D1254,Table_Tarikan_Warkah[Nomor Tiket],Table_Tarikan_Warkah[Jenis Permohonan]),"")</f>
        <v>BN JUAL BELI</v>
      </c>
      <c r="H1254" s="22" t="s">
        <v>31</v>
      </c>
      <c r="I1254" s="22" t="s">
        <v>187</v>
      </c>
      <c r="J1254" s="20">
        <f t="shared" si="29"/>
        <v>45645.70159</v>
      </c>
      <c r="K1254" s="26"/>
      <c r="L1254" s="26"/>
      <c r="M1254" s="20" t="str">
        <f t="shared" si="30"/>
        <v/>
      </c>
      <c r="N1254" s="8" t="str">
        <f t="shared" si="3"/>
        <v>BT atau SU Belum Valid</v>
      </c>
      <c r="O1254" s="21" t="str">
        <f t="shared" si="22"/>
        <v/>
      </c>
      <c r="P1254" s="24" t="b">
        <v>0</v>
      </c>
      <c r="Q1254" s="20" t="str">
        <f t="shared" si="31"/>
        <v/>
      </c>
      <c r="R1254" s="24" t="b">
        <v>0</v>
      </c>
      <c r="S1254" s="7" t="str">
        <f t="shared" si="6"/>
        <v/>
      </c>
      <c r="T1254" s="7"/>
    </row>
    <row r="1255" ht="22.5" hidden="1" customHeight="1">
      <c r="B1255" s="7">
        <f t="shared" si="7"/>
        <v>1249</v>
      </c>
      <c r="C1255" s="18" t="s">
        <v>1222</v>
      </c>
      <c r="D1255" s="19" t="str">
        <f t="array" ref="D1255">IFNA(_xlfn.XLOOKUP(C1255,Table_Tarikan_Warkah[Nomor Sertipikat],Table_Tarikan_Warkah[Nomor Tiket]),"")</f>
        <v>K/4/131224/1</v>
      </c>
      <c r="E1255" s="20" t="str">
        <f t="array" ref="E1255">IFNA(_xlfn.XLOOKUP(D1255,Table_Tarikan_Warkah[Nomor Tiket],Table_Tarikan_Warkah[Tanggal diserahkan kepada Validator]),"")</f>
        <v/>
      </c>
      <c r="F1255" s="20" t="str">
        <f t="array" ref="F1255">IFNA(_xlfn.XLOOKUP(D1255,Table_Tarikan_Warkah[Nomor Tiket],Table_Tarikan_Warkah[Nama Petugas Warkah]),"")</f>
        <v/>
      </c>
      <c r="G1255" s="21" t="str">
        <f t="array" ref="G1255">IFNA(_xlfn.XLOOKUP(D1255,Table_Tarikan_Warkah[Nomor Tiket],Table_Tarikan_Warkah[Jenis Permohonan]),"")</f>
        <v>BN Jual Beli</v>
      </c>
      <c r="H1255" s="22" t="s">
        <v>31</v>
      </c>
      <c r="I1255" s="22" t="s">
        <v>187</v>
      </c>
      <c r="J1255" s="20">
        <f t="shared" si="29"/>
        <v>45645.70159</v>
      </c>
      <c r="K1255" s="26"/>
      <c r="L1255" s="26"/>
      <c r="M1255" s="20" t="str">
        <f t="shared" si="30"/>
        <v/>
      </c>
      <c r="N1255" s="8" t="str">
        <f t="shared" si="3"/>
        <v>BT atau SU Belum Valid</v>
      </c>
      <c r="O1255" s="21" t="str">
        <f t="shared" si="22"/>
        <v/>
      </c>
      <c r="P1255" s="24" t="b">
        <v>0</v>
      </c>
      <c r="Q1255" s="20" t="str">
        <f t="shared" si="31"/>
        <v/>
      </c>
      <c r="R1255" s="24" t="b">
        <v>0</v>
      </c>
      <c r="S1255" s="7" t="str">
        <f t="shared" si="6"/>
        <v/>
      </c>
      <c r="T1255" s="7"/>
    </row>
    <row r="1256" ht="22.5" hidden="1" customHeight="1">
      <c r="B1256" s="7">
        <f t="shared" si="7"/>
        <v>1250</v>
      </c>
      <c r="C1256" s="18" t="s">
        <v>1223</v>
      </c>
      <c r="D1256" s="19" t="str">
        <f t="array" ref="D1256">IFNA(_xlfn.XLOOKUP(C1256,Table_Tarikan_Warkah[Nomor Sertipikat],Table_Tarikan_Warkah[Nomor Tiket]),"")</f>
        <v>K/8/181224/1</v>
      </c>
      <c r="E1256" s="20" t="str">
        <f t="array" ref="E1256">IFNA(_xlfn.XLOOKUP(D1256,Table_Tarikan_Warkah[Nomor Tiket],Table_Tarikan_Warkah[Tanggal diserahkan kepada Validator]),"")</f>
        <v/>
      </c>
      <c r="F1256" s="20" t="str">
        <f t="array" ref="F1256">IFNA(_xlfn.XLOOKUP(D1256,Table_Tarikan_Warkah[Nomor Tiket],Table_Tarikan_Warkah[Nama Petugas Warkah]),"")</f>
        <v>Berry</v>
      </c>
      <c r="G1256" s="21" t="str">
        <f t="array" ref="G1256">IFNA(_xlfn.XLOOKUP(D1256,Table_Tarikan_Warkah[Nomor Tiket],Table_Tarikan_Warkah[Jenis Permohonan]),"")</f>
        <v>BN Jual Beli</v>
      </c>
      <c r="H1256" s="22" t="s">
        <v>31</v>
      </c>
      <c r="I1256" s="22" t="s">
        <v>32</v>
      </c>
      <c r="J1256" s="20">
        <f t="shared" si="29"/>
        <v>45645.7041</v>
      </c>
      <c r="K1256" s="22" t="s">
        <v>65</v>
      </c>
      <c r="L1256" s="22" t="s">
        <v>32</v>
      </c>
      <c r="M1256" s="20">
        <f t="shared" si="30"/>
        <v>45653.60263</v>
      </c>
      <c r="N1256" s="8" t="str">
        <f t="shared" si="3"/>
        <v>SELESAI</v>
      </c>
      <c r="O1256" s="23">
        <f t="shared" si="22"/>
        <v>45653.60263</v>
      </c>
      <c r="P1256" s="24" t="b">
        <v>0</v>
      </c>
      <c r="Q1256" s="20" t="str">
        <f t="shared" si="31"/>
        <v/>
      </c>
      <c r="R1256" s="24" t="b">
        <v>1</v>
      </c>
      <c r="S1256" s="20">
        <f t="shared" si="6"/>
        <v>45653.60266</v>
      </c>
      <c r="T1256" s="7"/>
    </row>
    <row r="1257" ht="22.5" hidden="1" customHeight="1">
      <c r="B1257" s="7">
        <f t="shared" si="7"/>
        <v>1251</v>
      </c>
      <c r="C1257" s="18" t="s">
        <v>1224</v>
      </c>
      <c r="D1257" s="19" t="str">
        <f t="array" ref="D1257">IFNA(_xlfn.XLOOKUP(C1257,Table_Tarikan_Warkah[Nomor Sertipikat],Table_Tarikan_Warkah[Nomor Tiket]),"")</f>
        <v>L/3/171224/1</v>
      </c>
      <c r="E1257" s="20" t="str">
        <f t="array" ref="E1257">IFNA(_xlfn.XLOOKUP(D1257,Table_Tarikan_Warkah[Nomor Tiket],Table_Tarikan_Warkah[Tanggal diserahkan kepada Validator]),"")</f>
        <v/>
      </c>
      <c r="F1257" s="20" t="str">
        <f t="array" ref="F1257">IFNA(_xlfn.XLOOKUP(D1257,Table_Tarikan_Warkah[Nomor Tiket],Table_Tarikan_Warkah[Nama Petugas Warkah]),"")</f>
        <v/>
      </c>
      <c r="G1257" s="21" t="str">
        <f t="array" ref="G1257">IFNA(_xlfn.XLOOKUP(D1257,Table_Tarikan_Warkah[Nomor Tiket],Table_Tarikan_Warkah[Jenis Permohonan]),"")</f>
        <v>ROYA</v>
      </c>
      <c r="H1257" s="22" t="s">
        <v>31</v>
      </c>
      <c r="I1257" s="22" t="s">
        <v>32</v>
      </c>
      <c r="J1257" s="20">
        <f t="shared" si="29"/>
        <v>45645.70446</v>
      </c>
      <c r="K1257" s="22" t="s">
        <v>65</v>
      </c>
      <c r="L1257" s="22" t="s">
        <v>32</v>
      </c>
      <c r="M1257" s="20">
        <f t="shared" si="30"/>
        <v>45653.59913</v>
      </c>
      <c r="N1257" s="8" t="str">
        <f t="shared" si="3"/>
        <v>SELESAI</v>
      </c>
      <c r="O1257" s="23">
        <f t="shared" si="22"/>
        <v>45653.59913</v>
      </c>
      <c r="P1257" s="24" t="b">
        <v>0</v>
      </c>
      <c r="Q1257" s="20" t="str">
        <f t="shared" si="31"/>
        <v/>
      </c>
      <c r="R1257" s="24" t="b">
        <v>1</v>
      </c>
      <c r="S1257" s="20">
        <f t="shared" si="6"/>
        <v>45653.59913</v>
      </c>
      <c r="T1257" s="7"/>
    </row>
    <row r="1258" ht="22.5" hidden="1" customHeight="1">
      <c r="B1258" s="7">
        <f t="shared" si="7"/>
        <v>1252</v>
      </c>
      <c r="C1258" s="18" t="s">
        <v>1225</v>
      </c>
      <c r="D1258" s="19" t="str">
        <f t="array" ref="D1258">IFNA(_xlfn.XLOOKUP(C1258,Table_Tarikan_Warkah[Nomor Sertipikat],Table_Tarikan_Warkah[Nomor Tiket]),"")</f>
        <v>K/43/161224/1</v>
      </c>
      <c r="E1258" s="20" t="str">
        <f t="array" ref="E1258">IFNA(_xlfn.XLOOKUP(D1258,Table_Tarikan_Warkah[Nomor Tiket],Table_Tarikan_Warkah[Tanggal diserahkan kepada Validator]),"")</f>
        <v/>
      </c>
      <c r="F1258" s="20" t="str">
        <f t="array" ref="F1258">IFNA(_xlfn.XLOOKUP(D1258,Table_Tarikan_Warkah[Nomor Tiket],Table_Tarikan_Warkah[Nama Petugas Warkah]),"")</f>
        <v>Berry</v>
      </c>
      <c r="G1258" s="21" t="str">
        <f t="array" ref="G1258">IFNA(_xlfn.XLOOKUP(D1258,Table_Tarikan_Warkah[Nomor Tiket],Table_Tarikan_Warkah[Jenis Permohonan]),"")</f>
        <v>BN JUAL BELI</v>
      </c>
      <c r="H1258" s="22" t="s">
        <v>31</v>
      </c>
      <c r="I1258" s="22" t="s">
        <v>32</v>
      </c>
      <c r="J1258" s="20">
        <f t="shared" si="29"/>
        <v>45645.70446</v>
      </c>
      <c r="K1258" s="22" t="s">
        <v>65</v>
      </c>
      <c r="L1258" s="22" t="s">
        <v>32</v>
      </c>
      <c r="M1258" s="20">
        <f t="shared" si="30"/>
        <v>45653.59913</v>
      </c>
      <c r="N1258" s="8" t="str">
        <f t="shared" si="3"/>
        <v>SELESAI</v>
      </c>
      <c r="O1258" s="23">
        <f t="shared" si="22"/>
        <v>45653.59913</v>
      </c>
      <c r="P1258" s="24" t="b">
        <v>0</v>
      </c>
      <c r="Q1258" s="20" t="str">
        <f t="shared" si="31"/>
        <v/>
      </c>
      <c r="R1258" s="24" t="b">
        <v>1</v>
      </c>
      <c r="S1258" s="20">
        <f t="shared" si="6"/>
        <v>45653.59913</v>
      </c>
      <c r="T1258" s="7"/>
    </row>
    <row r="1259" ht="22.5" hidden="1" customHeight="1">
      <c r="B1259" s="7">
        <f t="shared" si="7"/>
        <v>1253</v>
      </c>
      <c r="C1259" s="18" t="s">
        <v>1226</v>
      </c>
      <c r="D1259" s="19" t="str">
        <f t="array" ref="D1259">IFNA(_xlfn.XLOOKUP(C1259,Table_Tarikan_Warkah[Nomor Sertipikat],Table_Tarikan_Warkah[Nomor Tiket]),"")</f>
        <v>K/1/171224/1</v>
      </c>
      <c r="E1259" s="20">
        <f t="array" ref="E1259">IFNA(_xlfn.XLOOKUP(D1259,Table_Tarikan_Warkah[Nomor Tiket],Table_Tarikan_Warkah[Tanggal diserahkan kepada Validator]),"")</f>
        <v>45644.6924</v>
      </c>
      <c r="F1259" s="20" t="str">
        <f t="array" ref="F1259">IFNA(_xlfn.XLOOKUP(D1259,Table_Tarikan_Warkah[Nomor Tiket],Table_Tarikan_Warkah[Nama Petugas Warkah]),"")</f>
        <v>David</v>
      </c>
      <c r="G1259" s="21" t="str">
        <f t="array" ref="G1259">IFNA(_xlfn.XLOOKUP(D1259,Table_Tarikan_Warkah[Nomor Tiket],Table_Tarikan_Warkah[Jenis Permohonan]),"")</f>
        <v>ROYA</v>
      </c>
      <c r="H1259" s="22" t="s">
        <v>31</v>
      </c>
      <c r="I1259" s="22" t="s">
        <v>32</v>
      </c>
      <c r="J1259" s="20">
        <f t="shared" si="29"/>
        <v>45645.70446</v>
      </c>
      <c r="K1259" s="22" t="s">
        <v>65</v>
      </c>
      <c r="L1259" s="22" t="s">
        <v>32</v>
      </c>
      <c r="M1259" s="20">
        <f t="shared" si="30"/>
        <v>45653.59913</v>
      </c>
      <c r="N1259" s="8" t="str">
        <f t="shared" si="3"/>
        <v>SELESAI</v>
      </c>
      <c r="O1259" s="23">
        <f t="shared" si="22"/>
        <v>45653.59913</v>
      </c>
      <c r="P1259" s="24" t="b">
        <v>0</v>
      </c>
      <c r="Q1259" s="20" t="str">
        <f t="shared" si="31"/>
        <v/>
      </c>
      <c r="R1259" s="24" t="b">
        <v>1</v>
      </c>
      <c r="S1259" s="20">
        <f t="shared" si="6"/>
        <v>45653.59915</v>
      </c>
      <c r="T1259" s="7"/>
    </row>
    <row r="1260" ht="22.5" hidden="1" customHeight="1">
      <c r="B1260" s="7">
        <f t="shared" si="7"/>
        <v>1254</v>
      </c>
      <c r="C1260" s="18" t="s">
        <v>1227</v>
      </c>
      <c r="D1260" s="19" t="str">
        <f t="array" ref="D1260">IFNA(_xlfn.XLOOKUP(C1260,Table_Tarikan_Warkah[Nomor Sertipikat],Table_Tarikan_Warkah[Nomor Tiket]),"")</f>
        <v>L/40/161224/1</v>
      </c>
      <c r="E1260" s="20">
        <f t="array" ref="E1260">IFNA(_xlfn.XLOOKUP(D1260,Table_Tarikan_Warkah[Nomor Tiket],Table_Tarikan_Warkah[Tanggal diserahkan kepada Validator]),"")</f>
        <v>45644.69119</v>
      </c>
      <c r="F1260" s="20" t="str">
        <f t="array" ref="F1260">IFNA(_xlfn.XLOOKUP(D1260,Table_Tarikan_Warkah[Nomor Tiket],Table_Tarikan_Warkah[Nama Petugas Warkah]),"")</f>
        <v>Berry</v>
      </c>
      <c r="G1260" s="21" t="str">
        <f t="array" ref="G1260">IFNA(_xlfn.XLOOKUP(D1260,Table_Tarikan_Warkah[Nomor Tiket],Table_Tarikan_Warkah[Jenis Permohonan]),"")</f>
        <v>ROYA</v>
      </c>
      <c r="H1260" s="22" t="s">
        <v>31</v>
      </c>
      <c r="I1260" s="22" t="s">
        <v>32</v>
      </c>
      <c r="J1260" s="20">
        <f t="shared" si="29"/>
        <v>45645.70446</v>
      </c>
      <c r="K1260" s="22" t="s">
        <v>65</v>
      </c>
      <c r="L1260" s="22" t="s">
        <v>32</v>
      </c>
      <c r="M1260" s="20">
        <f t="shared" si="30"/>
        <v>45653.59933</v>
      </c>
      <c r="N1260" s="8" t="str">
        <f t="shared" si="3"/>
        <v>SELESAI</v>
      </c>
      <c r="O1260" s="23">
        <f t="shared" si="22"/>
        <v>45653.59933</v>
      </c>
      <c r="P1260" s="24" t="b">
        <v>0</v>
      </c>
      <c r="Q1260" s="20" t="str">
        <f t="shared" si="31"/>
        <v/>
      </c>
      <c r="R1260" s="24" t="b">
        <v>1</v>
      </c>
      <c r="S1260" s="20">
        <f t="shared" si="6"/>
        <v>45653.59936</v>
      </c>
      <c r="T1260" s="7"/>
    </row>
    <row r="1261" ht="22.5" hidden="1" customHeight="1">
      <c r="B1261" s="7">
        <f t="shared" si="7"/>
        <v>1255</v>
      </c>
      <c r="C1261" s="18" t="s">
        <v>1228</v>
      </c>
      <c r="D1261" s="19" t="str">
        <f t="array" ref="D1261">IFNA(_xlfn.XLOOKUP(C1261,Table_Tarikan_Warkah[Nomor Sertipikat],Table_Tarikan_Warkah[Nomor Tiket]),"")</f>
        <v>K/2/161224/1</v>
      </c>
      <c r="E1261" s="20" t="str">
        <f t="array" ref="E1261">IFNA(_xlfn.XLOOKUP(D1261,Table_Tarikan_Warkah[Nomor Tiket],Table_Tarikan_Warkah[Tanggal diserahkan kepada Validator]),"")</f>
        <v/>
      </c>
      <c r="F1261" s="20" t="str">
        <f t="array" ref="F1261">IFNA(_xlfn.XLOOKUP(D1261,Table_Tarikan_Warkah[Nomor Tiket],Table_Tarikan_Warkah[Nama Petugas Warkah]),"")</f>
        <v>Berry</v>
      </c>
      <c r="G1261" s="21" t="str">
        <f t="array" ref="G1261">IFNA(_xlfn.XLOOKUP(D1261,Table_Tarikan_Warkah[Nomor Tiket],Table_Tarikan_Warkah[Jenis Permohonan]),"")</f>
        <v>ROYA </v>
      </c>
      <c r="H1261" s="22" t="s">
        <v>31</v>
      </c>
      <c r="I1261" s="22" t="s">
        <v>32</v>
      </c>
      <c r="J1261" s="20">
        <f t="shared" si="29"/>
        <v>45645.70446</v>
      </c>
      <c r="K1261" s="22" t="s">
        <v>65</v>
      </c>
      <c r="L1261" s="22" t="s">
        <v>32</v>
      </c>
      <c r="M1261" s="20">
        <f t="shared" si="30"/>
        <v>45653.59913</v>
      </c>
      <c r="N1261" s="8" t="str">
        <f t="shared" si="3"/>
        <v>SELESAI</v>
      </c>
      <c r="O1261" s="23">
        <f t="shared" si="22"/>
        <v>45653.59913</v>
      </c>
      <c r="P1261" s="24" t="b">
        <v>0</v>
      </c>
      <c r="Q1261" s="20" t="str">
        <f t="shared" si="31"/>
        <v/>
      </c>
      <c r="R1261" s="24" t="b">
        <v>1</v>
      </c>
      <c r="S1261" s="20">
        <f t="shared" si="6"/>
        <v>45653.59913</v>
      </c>
      <c r="T1261" s="7"/>
    </row>
    <row r="1262" ht="22.5" hidden="1" customHeight="1">
      <c r="B1262" s="7">
        <f t="shared" si="7"/>
        <v>1256</v>
      </c>
      <c r="C1262" s="18" t="s">
        <v>1229</v>
      </c>
      <c r="D1262" s="19" t="str">
        <f t="array" ref="D1262">IFNA(_xlfn.XLOOKUP(C1262,Table_Tarikan_Warkah[Nomor Sertipikat],Table_Tarikan_Warkah[Nomor Tiket]),"")</f>
        <v>K/10/181224/2</v>
      </c>
      <c r="E1262" s="20" t="str">
        <f t="array" ref="E1262">IFNA(_xlfn.XLOOKUP(D1262,Table_Tarikan_Warkah[Nomor Tiket],Table_Tarikan_Warkah[Tanggal diserahkan kepada Validator]),"")</f>
        <v/>
      </c>
      <c r="F1262" s="20" t="str">
        <f t="array" ref="F1262">IFNA(_xlfn.XLOOKUP(D1262,Table_Tarikan_Warkah[Nomor Tiket],Table_Tarikan_Warkah[Nama Petugas Warkah]),"")</f>
        <v/>
      </c>
      <c r="G1262" s="21" t="str">
        <f t="array" ref="G1262">IFNA(_xlfn.XLOOKUP(D1262,Table_Tarikan_Warkah[Nomor Tiket],Table_Tarikan_Warkah[Jenis Permohonan]),"")</f>
        <v>BN JUAL BELI</v>
      </c>
      <c r="H1262" s="22" t="s">
        <v>31</v>
      </c>
      <c r="I1262" s="22" t="s">
        <v>32</v>
      </c>
      <c r="J1262" s="20">
        <f t="shared" si="29"/>
        <v>45645.70446</v>
      </c>
      <c r="K1262" s="22" t="s">
        <v>65</v>
      </c>
      <c r="L1262" s="22" t="s">
        <v>32</v>
      </c>
      <c r="M1262" s="20">
        <f t="shared" si="30"/>
        <v>45653.595</v>
      </c>
      <c r="N1262" s="8" t="str">
        <f t="shared" si="3"/>
        <v>SELESAI</v>
      </c>
      <c r="O1262" s="23">
        <f t="shared" si="22"/>
        <v>45653.595</v>
      </c>
      <c r="P1262" s="24" t="b">
        <v>0</v>
      </c>
      <c r="Q1262" s="20" t="str">
        <f t="shared" si="31"/>
        <v/>
      </c>
      <c r="R1262" s="24" t="b">
        <v>1</v>
      </c>
      <c r="S1262" s="20">
        <f t="shared" si="6"/>
        <v>45653.59913</v>
      </c>
      <c r="T1262" s="7"/>
    </row>
    <row r="1263" ht="22.5" hidden="1" customHeight="1">
      <c r="B1263" s="7">
        <f t="shared" si="7"/>
        <v>1257</v>
      </c>
      <c r="C1263" s="18" t="s">
        <v>1230</v>
      </c>
      <c r="D1263" s="19" t="str">
        <f t="array" ref="D1263">IFNA(_xlfn.XLOOKUP(C1263,Table_Tarikan_Warkah[Nomor Sertipikat],Table_Tarikan_Warkah[Nomor Tiket]),"")</f>
        <v>K/9/181224/1</v>
      </c>
      <c r="E1263" s="20">
        <f t="array" ref="E1263">IFNA(_xlfn.XLOOKUP(D1263,Table_Tarikan_Warkah[Nomor Tiket],Table_Tarikan_Warkah[Tanggal diserahkan kepada Validator]),"")</f>
        <v>45644.69984</v>
      </c>
      <c r="F1263" s="20" t="str">
        <f t="array" ref="F1263">IFNA(_xlfn.XLOOKUP(D1263,Table_Tarikan_Warkah[Nomor Tiket],Table_Tarikan_Warkah[Nama Petugas Warkah]),"")</f>
        <v>David</v>
      </c>
      <c r="G1263" s="21" t="str">
        <f t="array" ref="G1263">IFNA(_xlfn.XLOOKUP(D1263,Table_Tarikan_Warkah[Nomor Tiket],Table_Tarikan_Warkah[Jenis Permohonan]),"")</f>
        <v>BN JUAL BELI</v>
      </c>
      <c r="H1263" s="22" t="s">
        <v>31</v>
      </c>
      <c r="I1263" s="22" t="s">
        <v>32</v>
      </c>
      <c r="J1263" s="20">
        <f t="shared" si="29"/>
        <v>45645.70446</v>
      </c>
      <c r="K1263" s="22" t="s">
        <v>65</v>
      </c>
      <c r="L1263" s="22" t="s">
        <v>32</v>
      </c>
      <c r="M1263" s="20">
        <f t="shared" si="30"/>
        <v>45653.59478</v>
      </c>
      <c r="N1263" s="8" t="str">
        <f t="shared" si="3"/>
        <v>SELESAI</v>
      </c>
      <c r="O1263" s="23">
        <f t="shared" si="22"/>
        <v>45653.59478</v>
      </c>
      <c r="P1263" s="24" t="b">
        <v>0</v>
      </c>
      <c r="Q1263" s="20" t="str">
        <f t="shared" si="31"/>
        <v/>
      </c>
      <c r="R1263" s="24" t="b">
        <v>1</v>
      </c>
      <c r="S1263" s="20">
        <f t="shared" si="6"/>
        <v>45653.59483</v>
      </c>
      <c r="T1263" s="7"/>
    </row>
    <row r="1264" ht="22.5" hidden="1" customHeight="1">
      <c r="B1264" s="7">
        <f t="shared" si="7"/>
        <v>1258</v>
      </c>
      <c r="C1264" s="18" t="s">
        <v>1231</v>
      </c>
      <c r="D1264" s="19" t="str">
        <f t="array" ref="D1264">IFNA(_xlfn.XLOOKUP(C1264,Table_Tarikan_Warkah[Nomor Sertipikat],Table_Tarikan_Warkah[Nomor Tiket]),"")</f>
        <v>K/32/171224/2</v>
      </c>
      <c r="E1264" s="20" t="str">
        <f t="array" ref="E1264">IFNA(_xlfn.XLOOKUP(D1264,Table_Tarikan_Warkah[Nomor Tiket],Table_Tarikan_Warkah[Tanggal diserahkan kepada Validator]),"")</f>
        <v/>
      </c>
      <c r="F1264" s="20" t="str">
        <f t="array" ref="F1264">IFNA(_xlfn.XLOOKUP(D1264,Table_Tarikan_Warkah[Nomor Tiket],Table_Tarikan_Warkah[Nama Petugas Warkah]),"")</f>
        <v/>
      </c>
      <c r="G1264" s="21" t="str">
        <f t="array" ref="G1264">IFNA(_xlfn.XLOOKUP(D1264,Table_Tarikan_Warkah[Nomor Tiket],Table_Tarikan_Warkah[Jenis Permohonan]),"")</f>
        <v>BN JUAL BELI</v>
      </c>
      <c r="H1264" s="22" t="s">
        <v>31</v>
      </c>
      <c r="I1264" s="22" t="s">
        <v>32</v>
      </c>
      <c r="J1264" s="20">
        <f t="shared" si="29"/>
        <v>45645.70446</v>
      </c>
      <c r="K1264" s="22" t="s">
        <v>65</v>
      </c>
      <c r="L1264" s="22" t="s">
        <v>32</v>
      </c>
      <c r="M1264" s="20">
        <f t="shared" si="30"/>
        <v>45653.59456</v>
      </c>
      <c r="N1264" s="8" t="str">
        <f t="shared" si="3"/>
        <v>SELESAI</v>
      </c>
      <c r="O1264" s="23">
        <f t="shared" si="22"/>
        <v>45653.59456</v>
      </c>
      <c r="P1264" s="24" t="b">
        <v>0</v>
      </c>
      <c r="Q1264" s="20" t="str">
        <f t="shared" si="31"/>
        <v/>
      </c>
      <c r="R1264" s="24" t="b">
        <v>1</v>
      </c>
      <c r="S1264" s="20">
        <f t="shared" si="6"/>
        <v>45653.59461</v>
      </c>
      <c r="T1264" s="7"/>
    </row>
    <row r="1265" ht="22.5" hidden="1" customHeight="1">
      <c r="B1265" s="7">
        <f t="shared" si="7"/>
        <v>1259</v>
      </c>
      <c r="C1265" s="18" t="s">
        <v>1232</v>
      </c>
      <c r="D1265" s="19" t="str">
        <f t="array" ref="D1265">IFNA(_xlfn.XLOOKUP(C1265,Table_Tarikan_Warkah[Nomor Sertipikat],Table_Tarikan_Warkah[Nomor Tiket]),"")</f>
        <v>K/28/171224/3</v>
      </c>
      <c r="E1265" s="20" t="str">
        <f t="array" ref="E1265">IFNA(_xlfn.XLOOKUP(D1265,Table_Tarikan_Warkah[Nomor Tiket],Table_Tarikan_Warkah[Tanggal diserahkan kepada Validator]),"")</f>
        <v/>
      </c>
      <c r="F1265" s="20" t="str">
        <f t="array" ref="F1265">IFNA(_xlfn.XLOOKUP(D1265,Table_Tarikan_Warkah[Nomor Tiket],Table_Tarikan_Warkah[Nama Petugas Warkah]),"")</f>
        <v/>
      </c>
      <c r="G1265" s="21" t="str">
        <f t="array" ref="G1265">IFNA(_xlfn.XLOOKUP(D1265,Table_Tarikan_Warkah[Nomor Tiket],Table_Tarikan_Warkah[Jenis Permohonan]),"")</f>
        <v>BN JUAL BELI</v>
      </c>
      <c r="H1265" s="22" t="s">
        <v>31</v>
      </c>
      <c r="I1265" s="22" t="s">
        <v>32</v>
      </c>
      <c r="J1265" s="20">
        <f t="shared" si="29"/>
        <v>45645.70446</v>
      </c>
      <c r="K1265" s="22" t="s">
        <v>65</v>
      </c>
      <c r="L1265" s="22" t="s">
        <v>32</v>
      </c>
      <c r="M1265" s="20">
        <f t="shared" si="30"/>
        <v>45653.59438</v>
      </c>
      <c r="N1265" s="8" t="str">
        <f t="shared" si="3"/>
        <v>SELESAI</v>
      </c>
      <c r="O1265" s="23">
        <f t="shared" si="22"/>
        <v>45653.59438</v>
      </c>
      <c r="P1265" s="24" t="b">
        <v>0</v>
      </c>
      <c r="Q1265" s="20" t="str">
        <f t="shared" si="31"/>
        <v/>
      </c>
      <c r="R1265" s="24" t="b">
        <v>1</v>
      </c>
      <c r="S1265" s="20">
        <f t="shared" si="6"/>
        <v>45653.59441</v>
      </c>
      <c r="T1265" s="7"/>
    </row>
    <row r="1266" ht="22.5" hidden="1" customHeight="1">
      <c r="B1266" s="7">
        <f t="shared" si="7"/>
        <v>1260</v>
      </c>
      <c r="C1266" s="18" t="s">
        <v>1233</v>
      </c>
      <c r="D1266" s="19" t="str">
        <f t="array" ref="D1266">IFNA(_xlfn.XLOOKUP(C1266,Table_Tarikan_Warkah[Nomor Sertipikat],Table_Tarikan_Warkah[Nomor Tiket]),"")</f>
        <v>K/29/171224/4</v>
      </c>
      <c r="E1266" s="20">
        <f t="array" ref="E1266">IFNA(_xlfn.XLOOKUP(D1266,Table_Tarikan_Warkah[Nomor Tiket],Table_Tarikan_Warkah[Tanggal diserahkan kepada Validator]),"")</f>
        <v>45644.69756</v>
      </c>
      <c r="F1266" s="20" t="str">
        <f t="array" ref="F1266">IFNA(_xlfn.XLOOKUP(D1266,Table_Tarikan_Warkah[Nomor Tiket],Table_Tarikan_Warkah[Nama Petugas Warkah]),"")</f>
        <v>David</v>
      </c>
      <c r="G1266" s="21" t="str">
        <f t="array" ref="G1266">IFNA(_xlfn.XLOOKUP(D1266,Table_Tarikan_Warkah[Nomor Tiket],Table_Tarikan_Warkah[Jenis Permohonan]),"")</f>
        <v>BN JUAL BELI</v>
      </c>
      <c r="H1266" s="22" t="s">
        <v>31</v>
      </c>
      <c r="I1266" s="22" t="s">
        <v>32</v>
      </c>
      <c r="J1266" s="20">
        <f t="shared" si="29"/>
        <v>45645.70446</v>
      </c>
      <c r="K1266" s="22" t="s">
        <v>65</v>
      </c>
      <c r="L1266" s="22" t="s">
        <v>32</v>
      </c>
      <c r="M1266" s="20">
        <f t="shared" si="30"/>
        <v>45653.59412</v>
      </c>
      <c r="N1266" s="8" t="str">
        <f t="shared" si="3"/>
        <v>SELESAI</v>
      </c>
      <c r="O1266" s="23">
        <f t="shared" si="22"/>
        <v>45653.59412</v>
      </c>
      <c r="P1266" s="24" t="b">
        <v>0</v>
      </c>
      <c r="Q1266" s="20" t="str">
        <f t="shared" si="31"/>
        <v/>
      </c>
      <c r="R1266" s="24" t="b">
        <v>1</v>
      </c>
      <c r="S1266" s="20">
        <f t="shared" si="6"/>
        <v>45653.59419</v>
      </c>
      <c r="T1266" s="7"/>
    </row>
    <row r="1267" ht="22.5" hidden="1" customHeight="1">
      <c r="B1267" s="7">
        <f t="shared" si="7"/>
        <v>1261</v>
      </c>
      <c r="C1267" s="18" t="s">
        <v>1234</v>
      </c>
      <c r="D1267" s="19" t="str">
        <f t="array" ref="D1267">IFNA(_xlfn.XLOOKUP(C1267,Table_Tarikan_Warkah[Nomor Sertipikat],Table_Tarikan_Warkah[Nomor Tiket]),"")</f>
        <v>K/15/171224/1</v>
      </c>
      <c r="E1267" s="20" t="str">
        <f t="array" ref="E1267">IFNA(_xlfn.XLOOKUP(D1267,Table_Tarikan_Warkah[Nomor Tiket],Table_Tarikan_Warkah[Tanggal diserahkan kepada Validator]),"")</f>
        <v/>
      </c>
      <c r="F1267" s="20" t="str">
        <f t="array" ref="F1267">IFNA(_xlfn.XLOOKUP(D1267,Table_Tarikan_Warkah[Nomor Tiket],Table_Tarikan_Warkah[Nama Petugas Warkah]),"")</f>
        <v/>
      </c>
      <c r="G1267" s="21" t="str">
        <f t="array" ref="G1267">IFNA(_xlfn.XLOOKUP(D1267,Table_Tarikan_Warkah[Nomor Tiket],Table_Tarikan_Warkah[Jenis Permohonan]),"")</f>
        <v>BN JUAL BELI</v>
      </c>
      <c r="H1267" s="22" t="s">
        <v>31</v>
      </c>
      <c r="I1267" s="22" t="s">
        <v>32</v>
      </c>
      <c r="J1267" s="20">
        <f t="shared" si="29"/>
        <v>45645.70446</v>
      </c>
      <c r="K1267" s="22" t="s">
        <v>65</v>
      </c>
      <c r="L1267" s="22" t="s">
        <v>32</v>
      </c>
      <c r="M1267" s="20">
        <f t="shared" si="30"/>
        <v>45653.59381</v>
      </c>
      <c r="N1267" s="8" t="str">
        <f t="shared" si="3"/>
        <v>SELESAI</v>
      </c>
      <c r="O1267" s="23">
        <f t="shared" si="22"/>
        <v>45653.59381</v>
      </c>
      <c r="P1267" s="24" t="b">
        <v>0</v>
      </c>
      <c r="Q1267" s="20" t="str">
        <f t="shared" si="31"/>
        <v/>
      </c>
      <c r="R1267" s="24" t="b">
        <v>1</v>
      </c>
      <c r="S1267" s="20">
        <f t="shared" si="6"/>
        <v>45653.59383</v>
      </c>
      <c r="T1267" s="7"/>
    </row>
    <row r="1268" ht="22.5" hidden="1" customHeight="1">
      <c r="B1268" s="7">
        <f t="shared" si="7"/>
        <v>1262</v>
      </c>
      <c r="C1268" s="18" t="s">
        <v>1235</v>
      </c>
      <c r="D1268" s="19" t="str">
        <f t="array" ref="D1268">IFNA(_xlfn.XLOOKUP(C1268,Table_Tarikan_Warkah[Nomor Sertipikat],Table_Tarikan_Warkah[Nomor Tiket]),"")</f>
        <v>K/45/161224/1</v>
      </c>
      <c r="E1268" s="20">
        <f t="array" ref="E1268">IFNA(_xlfn.XLOOKUP(D1268,Table_Tarikan_Warkah[Nomor Tiket],Table_Tarikan_Warkah[Tanggal diserahkan kepada Validator]),"")</f>
        <v>45644.69199</v>
      </c>
      <c r="F1268" s="20" t="str">
        <f t="array" ref="F1268">IFNA(_xlfn.XLOOKUP(D1268,Table_Tarikan_Warkah[Nomor Tiket],Table_Tarikan_Warkah[Nama Petugas Warkah]),"")</f>
        <v>Berry</v>
      </c>
      <c r="G1268" s="21" t="str">
        <f t="array" ref="G1268">IFNA(_xlfn.XLOOKUP(D1268,Table_Tarikan_Warkah[Nomor Tiket],Table_Tarikan_Warkah[Jenis Permohonan]),"")</f>
        <v>BN JUAL BELI</v>
      </c>
      <c r="H1268" s="22" t="s">
        <v>31</v>
      </c>
      <c r="I1268" s="22" t="s">
        <v>32</v>
      </c>
      <c r="J1268" s="20">
        <f t="shared" si="29"/>
        <v>45645.70446</v>
      </c>
      <c r="K1268" s="22" t="s">
        <v>65</v>
      </c>
      <c r="L1268" s="22" t="s">
        <v>32</v>
      </c>
      <c r="M1268" s="20">
        <f t="shared" si="30"/>
        <v>45653.59952</v>
      </c>
      <c r="N1268" s="8" t="str">
        <f t="shared" si="3"/>
        <v>SELESAI</v>
      </c>
      <c r="O1268" s="23">
        <f t="shared" si="22"/>
        <v>45653.59952</v>
      </c>
      <c r="P1268" s="24" t="b">
        <v>0</v>
      </c>
      <c r="Q1268" s="20" t="str">
        <f t="shared" si="31"/>
        <v/>
      </c>
      <c r="R1268" s="24" t="b">
        <v>1</v>
      </c>
      <c r="S1268" s="20">
        <f t="shared" si="6"/>
        <v>45653.59955</v>
      </c>
      <c r="T1268" s="7"/>
    </row>
    <row r="1269" ht="22.5" hidden="1" customHeight="1">
      <c r="B1269" s="7">
        <f t="shared" si="7"/>
        <v>1263</v>
      </c>
      <c r="C1269" s="18" t="s">
        <v>1236</v>
      </c>
      <c r="D1269" s="19" t="str">
        <f t="array" ref="D1269">IFNA(_xlfn.XLOOKUP(C1269,Table_Tarikan_Warkah[Nomor Sertipikat],Table_Tarikan_Warkah[Nomor Tiket]),"")</f>
        <v>K/44/161224/1</v>
      </c>
      <c r="E1269" s="20">
        <f t="array" ref="E1269">IFNA(_xlfn.XLOOKUP(D1269,Table_Tarikan_Warkah[Nomor Tiket],Table_Tarikan_Warkah[Tanggal diserahkan kepada Validator]),"")</f>
        <v>45644.69196</v>
      </c>
      <c r="F1269" s="20" t="str">
        <f t="array" ref="F1269">IFNA(_xlfn.XLOOKUP(D1269,Table_Tarikan_Warkah[Nomor Tiket],Table_Tarikan_Warkah[Nama Petugas Warkah]),"")</f>
        <v>Berry</v>
      </c>
      <c r="G1269" s="21" t="str">
        <f t="array" ref="G1269">IFNA(_xlfn.XLOOKUP(D1269,Table_Tarikan_Warkah[Nomor Tiket],Table_Tarikan_Warkah[Jenis Permohonan]),"")</f>
        <v>Roya</v>
      </c>
      <c r="H1269" s="22" t="s">
        <v>31</v>
      </c>
      <c r="I1269" s="22" t="s">
        <v>32</v>
      </c>
      <c r="J1269" s="20">
        <f t="shared" si="29"/>
        <v>45645.70446</v>
      </c>
      <c r="K1269" s="22" t="s">
        <v>65</v>
      </c>
      <c r="L1269" s="22" t="s">
        <v>32</v>
      </c>
      <c r="M1269" s="20">
        <f t="shared" si="30"/>
        <v>45653.59115</v>
      </c>
      <c r="N1269" s="8" t="str">
        <f t="shared" si="3"/>
        <v>SELESAI</v>
      </c>
      <c r="O1269" s="23">
        <f t="shared" si="22"/>
        <v>45653.59115</v>
      </c>
      <c r="P1269" s="24" t="b">
        <v>0</v>
      </c>
      <c r="Q1269" s="20" t="str">
        <f t="shared" si="31"/>
        <v/>
      </c>
      <c r="R1269" s="24" t="b">
        <v>1</v>
      </c>
      <c r="S1269" s="20">
        <f t="shared" si="6"/>
        <v>45653.59118</v>
      </c>
      <c r="T1269" s="7"/>
    </row>
    <row r="1270" ht="22.5" hidden="1" customHeight="1">
      <c r="B1270" s="7">
        <f t="shared" si="7"/>
        <v>1264</v>
      </c>
      <c r="C1270" s="18" t="s">
        <v>1237</v>
      </c>
      <c r="D1270" s="19" t="str">
        <f t="array" ref="D1270">IFNA(_xlfn.XLOOKUP(C1270,Table_Tarikan_Warkah[Nomor Sertipikat],Table_Tarikan_Warkah[Nomor Tiket]),"")</f>
        <v>K/39/161224/3</v>
      </c>
      <c r="E1270" s="20" t="str">
        <f t="array" ref="E1270">IFNA(_xlfn.XLOOKUP(D1270,Table_Tarikan_Warkah[Nomor Tiket],Table_Tarikan_Warkah[Tanggal diserahkan kepada Validator]),"")</f>
        <v/>
      </c>
      <c r="F1270" s="20" t="str">
        <f t="array" ref="F1270">IFNA(_xlfn.XLOOKUP(D1270,Table_Tarikan_Warkah[Nomor Tiket],Table_Tarikan_Warkah[Nama Petugas Warkah]),"")</f>
        <v/>
      </c>
      <c r="G1270" s="21" t="str">
        <f t="array" ref="G1270">IFNA(_xlfn.XLOOKUP(D1270,Table_Tarikan_Warkah[Nomor Tiket],Table_Tarikan_Warkah[Jenis Permohonan]),"")</f>
        <v>BN JUAL BELI</v>
      </c>
      <c r="H1270" s="22" t="s">
        <v>31</v>
      </c>
      <c r="I1270" s="22" t="s">
        <v>32</v>
      </c>
      <c r="J1270" s="20">
        <f t="shared" si="29"/>
        <v>45645.70446</v>
      </c>
      <c r="K1270" s="22" t="s">
        <v>65</v>
      </c>
      <c r="L1270" s="22" t="s">
        <v>32</v>
      </c>
      <c r="M1270" s="20">
        <f t="shared" si="30"/>
        <v>45653.59971</v>
      </c>
      <c r="N1270" s="8" t="str">
        <f t="shared" si="3"/>
        <v>SELESAI</v>
      </c>
      <c r="O1270" s="23">
        <f t="shared" si="22"/>
        <v>45653.59971</v>
      </c>
      <c r="P1270" s="24" t="b">
        <v>0</v>
      </c>
      <c r="Q1270" s="20" t="str">
        <f t="shared" si="31"/>
        <v/>
      </c>
      <c r="R1270" s="24" t="b">
        <v>1</v>
      </c>
      <c r="S1270" s="20">
        <f t="shared" si="6"/>
        <v>45653.59974</v>
      </c>
      <c r="T1270" s="7"/>
    </row>
    <row r="1271" ht="22.5" hidden="1" customHeight="1">
      <c r="B1271" s="7">
        <f t="shared" si="7"/>
        <v>1265</v>
      </c>
      <c r="C1271" s="18" t="s">
        <v>1238</v>
      </c>
      <c r="D1271" s="19" t="str">
        <f t="array" ref="D1271">IFNA(_xlfn.XLOOKUP(C1271,Table_Tarikan_Warkah[Nomor Sertipikat],Table_Tarikan_Warkah[Nomor Tiket]),"")</f>
        <v>K/38/161224/2</v>
      </c>
      <c r="E1271" s="20">
        <f t="array" ref="E1271">IFNA(_xlfn.XLOOKUP(D1271,Table_Tarikan_Warkah[Nomor Tiket],Table_Tarikan_Warkah[Tanggal diserahkan kepada Validator]),"")</f>
        <v>45644.691</v>
      </c>
      <c r="F1271" s="20" t="str">
        <f t="array" ref="F1271">IFNA(_xlfn.XLOOKUP(D1271,Table_Tarikan_Warkah[Nomor Tiket],Table_Tarikan_Warkah[Nama Petugas Warkah]),"")</f>
        <v>Berry</v>
      </c>
      <c r="G1271" s="21" t="str">
        <f t="array" ref="G1271">IFNA(_xlfn.XLOOKUP(D1271,Table_Tarikan_Warkah[Nomor Tiket],Table_Tarikan_Warkah[Jenis Permohonan]),"")</f>
        <v>BN JUAL BELI</v>
      </c>
      <c r="H1271" s="22" t="s">
        <v>31</v>
      </c>
      <c r="I1271" s="22" t="s">
        <v>32</v>
      </c>
      <c r="J1271" s="20">
        <f t="shared" si="29"/>
        <v>45645.70446</v>
      </c>
      <c r="K1271" s="22" t="s">
        <v>65</v>
      </c>
      <c r="L1271" s="22" t="s">
        <v>32</v>
      </c>
      <c r="M1271" s="20">
        <f t="shared" si="30"/>
        <v>45653.59988</v>
      </c>
      <c r="N1271" s="8" t="str">
        <f t="shared" si="3"/>
        <v>SELESAI</v>
      </c>
      <c r="O1271" s="23">
        <f t="shared" si="22"/>
        <v>45653.59988</v>
      </c>
      <c r="P1271" s="24" t="b">
        <v>0</v>
      </c>
      <c r="Q1271" s="20" t="str">
        <f t="shared" si="31"/>
        <v/>
      </c>
      <c r="R1271" s="24" t="b">
        <v>1</v>
      </c>
      <c r="S1271" s="20">
        <f t="shared" si="6"/>
        <v>45653.59991</v>
      </c>
      <c r="T1271" s="7"/>
    </row>
    <row r="1272" ht="22.5" hidden="1" customHeight="1">
      <c r="B1272" s="7">
        <f t="shared" si="7"/>
        <v>1266</v>
      </c>
      <c r="C1272" s="18" t="s">
        <v>1239</v>
      </c>
      <c r="D1272" s="19" t="str">
        <f t="array" ref="D1272">IFNA(_xlfn.XLOOKUP(C1272,Table_Tarikan_Warkah[Nomor Sertipikat],Table_Tarikan_Warkah[Nomor Tiket]),"")</f>
        <v>K/36/161224/1</v>
      </c>
      <c r="E1272" s="20">
        <f t="array" ref="E1272">IFNA(_xlfn.XLOOKUP(D1272,Table_Tarikan_Warkah[Nomor Tiket],Table_Tarikan_Warkah[Tanggal diserahkan kepada Validator]),"")</f>
        <v>45644.69061</v>
      </c>
      <c r="F1272" s="20" t="str">
        <f t="array" ref="F1272">IFNA(_xlfn.XLOOKUP(D1272,Table_Tarikan_Warkah[Nomor Tiket],Table_Tarikan_Warkah[Nama Petugas Warkah]),"")</f>
        <v>Berry</v>
      </c>
      <c r="G1272" s="21" t="str">
        <f t="array" ref="G1272">IFNA(_xlfn.XLOOKUP(D1272,Table_Tarikan_Warkah[Nomor Tiket],Table_Tarikan_Warkah[Jenis Permohonan]),"")</f>
        <v>BN Hibah</v>
      </c>
      <c r="H1272" s="22" t="s">
        <v>31</v>
      </c>
      <c r="I1272" s="22" t="s">
        <v>32</v>
      </c>
      <c r="J1272" s="20">
        <f t="shared" si="29"/>
        <v>45645.70446</v>
      </c>
      <c r="K1272" s="22" t="s">
        <v>65</v>
      </c>
      <c r="L1272" s="22" t="s">
        <v>32</v>
      </c>
      <c r="M1272" s="20">
        <f t="shared" si="30"/>
        <v>45653.59913</v>
      </c>
      <c r="N1272" s="8" t="str">
        <f t="shared" si="3"/>
        <v>SELESAI</v>
      </c>
      <c r="O1272" s="23">
        <f t="shared" si="22"/>
        <v>45653.59913</v>
      </c>
      <c r="P1272" s="24" t="b">
        <v>0</v>
      </c>
      <c r="Q1272" s="20" t="str">
        <f t="shared" si="31"/>
        <v/>
      </c>
      <c r="R1272" s="24" t="b">
        <v>1</v>
      </c>
      <c r="S1272" s="20">
        <f t="shared" si="6"/>
        <v>45653.59913</v>
      </c>
      <c r="T1272" s="7"/>
    </row>
    <row r="1273" ht="22.5" hidden="1" customHeight="1">
      <c r="B1273" s="7">
        <f t="shared" si="7"/>
        <v>1267</v>
      </c>
      <c r="C1273" s="18" t="s">
        <v>1240</v>
      </c>
      <c r="D1273" s="19" t="str">
        <f t="array" ref="D1273">IFNA(_xlfn.XLOOKUP(C1273,Table_Tarikan_Warkah[Nomor Sertipikat],Table_Tarikan_Warkah[Nomor Tiket]),"")</f>
        <v>K/23/161224/4</v>
      </c>
      <c r="E1273" s="20" t="str">
        <f t="array" ref="E1273">IFNA(_xlfn.XLOOKUP(D1273,Table_Tarikan_Warkah[Nomor Tiket],Table_Tarikan_Warkah[Tanggal diserahkan kepada Validator]),"")</f>
        <v/>
      </c>
      <c r="F1273" s="20" t="str">
        <f t="array" ref="F1273">IFNA(_xlfn.XLOOKUP(D1273,Table_Tarikan_Warkah[Nomor Tiket],Table_Tarikan_Warkah[Nama Petugas Warkah]),"")</f>
        <v/>
      </c>
      <c r="G1273" s="21" t="str">
        <f t="array" ref="G1273">IFNA(_xlfn.XLOOKUP(D1273,Table_Tarikan_Warkah[Nomor Tiket],Table_Tarikan_Warkah[Jenis Permohonan]),"")</f>
        <v>BN HIBAH</v>
      </c>
      <c r="H1273" s="22" t="s">
        <v>31</v>
      </c>
      <c r="I1273" s="22" t="s">
        <v>32</v>
      </c>
      <c r="J1273" s="20">
        <f t="shared" si="29"/>
        <v>45645.70446</v>
      </c>
      <c r="K1273" s="22" t="s">
        <v>65</v>
      </c>
      <c r="L1273" s="22" t="s">
        <v>32</v>
      </c>
      <c r="M1273" s="20">
        <f t="shared" si="30"/>
        <v>45653.60087</v>
      </c>
      <c r="N1273" s="8" t="str">
        <f t="shared" si="3"/>
        <v>SELESAI</v>
      </c>
      <c r="O1273" s="23">
        <f t="shared" si="22"/>
        <v>45653.60087</v>
      </c>
      <c r="P1273" s="24" t="b">
        <v>0</v>
      </c>
      <c r="Q1273" s="20" t="str">
        <f t="shared" si="31"/>
        <v/>
      </c>
      <c r="R1273" s="24" t="b">
        <v>1</v>
      </c>
      <c r="S1273" s="20">
        <f t="shared" si="6"/>
        <v>45653.60093</v>
      </c>
      <c r="T1273" s="7"/>
    </row>
    <row r="1274" ht="22.5" hidden="1" customHeight="1">
      <c r="B1274" s="7">
        <f t="shared" si="7"/>
        <v>1268</v>
      </c>
      <c r="C1274" s="18" t="s">
        <v>1241</v>
      </c>
      <c r="D1274" s="19" t="str">
        <f t="array" ref="D1274">IFNA(_xlfn.XLOOKUP(C1274,Table_Tarikan_Warkah[Nomor Sertipikat],Table_Tarikan_Warkah[Nomor Tiket]),"")</f>
        <v>K/16/161224/2</v>
      </c>
      <c r="E1274" s="20" t="str">
        <f t="array" ref="E1274">IFNA(_xlfn.XLOOKUP(D1274,Table_Tarikan_Warkah[Nomor Tiket],Table_Tarikan_Warkah[Tanggal diserahkan kepada Validator]),"")</f>
        <v/>
      </c>
      <c r="F1274" s="20" t="str">
        <f t="array" ref="F1274">IFNA(_xlfn.XLOOKUP(D1274,Table_Tarikan_Warkah[Nomor Tiket],Table_Tarikan_Warkah[Nama Petugas Warkah]),"")</f>
        <v/>
      </c>
      <c r="G1274" s="21" t="str">
        <f t="array" ref="G1274">IFNA(_xlfn.XLOOKUP(D1274,Table_Tarikan_Warkah[Nomor Tiket],Table_Tarikan_Warkah[Jenis Permohonan]),"")</f>
        <v>BN HIBAH</v>
      </c>
      <c r="H1274" s="22" t="s">
        <v>31</v>
      </c>
      <c r="I1274" s="22" t="s">
        <v>32</v>
      </c>
      <c r="J1274" s="20">
        <f t="shared" si="29"/>
        <v>45645.70446</v>
      </c>
      <c r="K1274" s="22" t="s">
        <v>65</v>
      </c>
      <c r="L1274" s="22" t="s">
        <v>32</v>
      </c>
      <c r="M1274" s="20">
        <f t="shared" si="30"/>
        <v>45653.60111</v>
      </c>
      <c r="N1274" s="8" t="str">
        <f t="shared" si="3"/>
        <v>SELESAI</v>
      </c>
      <c r="O1274" s="23">
        <f t="shared" si="22"/>
        <v>45653.60111</v>
      </c>
      <c r="P1274" s="24" t="b">
        <v>0</v>
      </c>
      <c r="Q1274" s="20" t="str">
        <f t="shared" si="31"/>
        <v/>
      </c>
      <c r="R1274" s="24" t="b">
        <v>1</v>
      </c>
      <c r="S1274" s="20">
        <f t="shared" si="6"/>
        <v>45653.60115</v>
      </c>
      <c r="T1274" s="7"/>
    </row>
    <row r="1275" ht="22.5" hidden="1" customHeight="1">
      <c r="B1275" s="7">
        <f t="shared" si="7"/>
        <v>1269</v>
      </c>
      <c r="C1275" s="18" t="s">
        <v>1242</v>
      </c>
      <c r="D1275" s="19" t="str">
        <f t="array" ref="D1275">IFNA(_xlfn.XLOOKUP(C1275,Table_Tarikan_Warkah[Nomor Sertipikat],Table_Tarikan_Warkah[Nomor Tiket]),"")</f>
        <v>K/15/161224/1</v>
      </c>
      <c r="E1275" s="20">
        <f t="array" ref="E1275">IFNA(_xlfn.XLOOKUP(D1275,Table_Tarikan_Warkah[Nomor Tiket],Table_Tarikan_Warkah[Tanggal diserahkan kepada Validator]),"")</f>
        <v>45644.68907</v>
      </c>
      <c r="F1275" s="20" t="str">
        <f t="array" ref="F1275">IFNA(_xlfn.XLOOKUP(D1275,Table_Tarikan_Warkah[Nomor Tiket],Table_Tarikan_Warkah[Nama Petugas Warkah]),"")</f>
        <v>Berry</v>
      </c>
      <c r="G1275" s="21" t="str">
        <f t="array" ref="G1275">IFNA(_xlfn.XLOOKUP(D1275,Table_Tarikan_Warkah[Nomor Tiket],Table_Tarikan_Warkah[Jenis Permohonan]),"")</f>
        <v>BN HIBAH</v>
      </c>
      <c r="H1275" s="22" t="s">
        <v>31</v>
      </c>
      <c r="I1275" s="22" t="s">
        <v>32</v>
      </c>
      <c r="J1275" s="20">
        <f t="shared" si="29"/>
        <v>45645.70446</v>
      </c>
      <c r="K1275" s="22" t="s">
        <v>65</v>
      </c>
      <c r="L1275" s="22" t="s">
        <v>32</v>
      </c>
      <c r="M1275" s="20">
        <f t="shared" si="30"/>
        <v>45653.59009</v>
      </c>
      <c r="N1275" s="8" t="str">
        <f t="shared" si="3"/>
        <v>SELESAI</v>
      </c>
      <c r="O1275" s="23">
        <f t="shared" si="22"/>
        <v>45653.59009</v>
      </c>
      <c r="P1275" s="24" t="b">
        <v>0</v>
      </c>
      <c r="Q1275" s="20" t="str">
        <f t="shared" si="31"/>
        <v/>
      </c>
      <c r="R1275" s="24" t="b">
        <v>1</v>
      </c>
      <c r="S1275" s="20">
        <f t="shared" si="6"/>
        <v>45653.59011</v>
      </c>
      <c r="T1275" s="7"/>
    </row>
    <row r="1276" ht="22.5" hidden="1" customHeight="1">
      <c r="B1276" s="7">
        <f t="shared" si="7"/>
        <v>1270</v>
      </c>
      <c r="C1276" s="18" t="s">
        <v>1243</v>
      </c>
      <c r="D1276" s="19" t="str">
        <f t="array" ref="D1276">IFNA(_xlfn.XLOOKUP(C1276,Table_Tarikan_Warkah[Nomor Sertipikat],Table_Tarikan_Warkah[Nomor Tiket]),"")</f>
        <v>L/12/161224/</v>
      </c>
      <c r="E1276" s="20">
        <f t="array" ref="E1276">IFNA(_xlfn.XLOOKUP(D1276,Table_Tarikan_Warkah[Nomor Tiket],Table_Tarikan_Warkah[Tanggal diserahkan kepada Validator]),"")</f>
        <v>45644.6883</v>
      </c>
      <c r="F1276" s="20" t="str">
        <f t="array" ref="F1276">IFNA(_xlfn.XLOOKUP(D1276,Table_Tarikan_Warkah[Nomor Tiket],Table_Tarikan_Warkah[Nama Petugas Warkah]),"")</f>
        <v>Berry</v>
      </c>
      <c r="G1276" s="21" t="str">
        <f t="array" ref="G1276">IFNA(_xlfn.XLOOKUP(D1276,Table_Tarikan_Warkah[Nomor Tiket],Table_Tarikan_Warkah[Jenis Permohonan]),"")</f>
        <v>ROYA</v>
      </c>
      <c r="H1276" s="22" t="s">
        <v>31</v>
      </c>
      <c r="I1276" s="22" t="s">
        <v>32</v>
      </c>
      <c r="J1276" s="20">
        <f t="shared" si="29"/>
        <v>45645.70446</v>
      </c>
      <c r="K1276" s="22" t="s">
        <v>65</v>
      </c>
      <c r="L1276" s="22" t="s">
        <v>32</v>
      </c>
      <c r="M1276" s="20">
        <f t="shared" si="30"/>
        <v>45653.60131</v>
      </c>
      <c r="N1276" s="8" t="str">
        <f t="shared" si="3"/>
        <v>SELESAI</v>
      </c>
      <c r="O1276" s="23">
        <f t="shared" si="22"/>
        <v>45653.60131</v>
      </c>
      <c r="P1276" s="24" t="b">
        <v>0</v>
      </c>
      <c r="Q1276" s="20" t="str">
        <f t="shared" si="31"/>
        <v/>
      </c>
      <c r="R1276" s="24" t="b">
        <v>1</v>
      </c>
      <c r="S1276" s="20">
        <f t="shared" si="6"/>
        <v>45653.60134</v>
      </c>
      <c r="T1276" s="7"/>
    </row>
    <row r="1277" ht="22.5" hidden="1" customHeight="1">
      <c r="B1277" s="7">
        <f t="shared" si="7"/>
        <v>1271</v>
      </c>
      <c r="C1277" s="18" t="s">
        <v>1244</v>
      </c>
      <c r="D1277" s="19" t="str">
        <f t="array" ref="D1277">IFNA(_xlfn.XLOOKUP(C1277,Table_Tarikan_Warkah[Nomor Sertipikat],Table_Tarikan_Warkah[Nomor Tiket]),"")</f>
        <v>K/2/171224/2</v>
      </c>
      <c r="E1277" s="20" t="str">
        <f t="array" ref="E1277">IFNA(_xlfn.XLOOKUP(D1277,Table_Tarikan_Warkah[Nomor Tiket],Table_Tarikan_Warkah[Tanggal diserahkan kepada Validator]),"")</f>
        <v/>
      </c>
      <c r="F1277" s="20" t="str">
        <f t="array" ref="F1277">IFNA(_xlfn.XLOOKUP(D1277,Table_Tarikan_Warkah[Nomor Tiket],Table_Tarikan_Warkah[Nama Petugas Warkah]),"")</f>
        <v/>
      </c>
      <c r="G1277" s="21" t="str">
        <f t="array" ref="G1277">IFNA(_xlfn.XLOOKUP(D1277,Table_Tarikan_Warkah[Nomor Tiket],Table_Tarikan_Warkah[Jenis Permohonan]),"")</f>
        <v>ROYA</v>
      </c>
      <c r="H1277" s="22" t="s">
        <v>31</v>
      </c>
      <c r="I1277" s="22" t="s">
        <v>187</v>
      </c>
      <c r="J1277" s="20">
        <f t="shared" si="29"/>
        <v>45645.70663</v>
      </c>
      <c r="K1277" s="26"/>
      <c r="L1277" s="26"/>
      <c r="M1277" s="20" t="str">
        <f t="shared" si="30"/>
        <v/>
      </c>
      <c r="N1277" s="8" t="str">
        <f t="shared" si="3"/>
        <v>BT atau SU Belum Valid</v>
      </c>
      <c r="O1277" s="21" t="str">
        <f t="shared" si="22"/>
        <v/>
      </c>
      <c r="P1277" s="24" t="b">
        <v>0</v>
      </c>
      <c r="Q1277" s="20" t="str">
        <f t="shared" si="31"/>
        <v/>
      </c>
      <c r="R1277" s="24" t="b">
        <v>0</v>
      </c>
      <c r="S1277" s="7" t="str">
        <f t="shared" si="6"/>
        <v/>
      </c>
      <c r="T1277" s="7"/>
    </row>
    <row r="1278" ht="22.5" hidden="1" customHeight="1">
      <c r="B1278" s="7">
        <f t="shared" si="7"/>
        <v>1272</v>
      </c>
      <c r="C1278" s="18" t="s">
        <v>1245</v>
      </c>
      <c r="D1278" s="19" t="str">
        <f t="array" ref="D1278">IFNA(_xlfn.XLOOKUP(C1278,Table_Tarikan_Warkah[Nomor Sertipikat],Table_Tarikan_Warkah[Nomor Tiket]),"")</f>
        <v>K/15/131224/3</v>
      </c>
      <c r="E1278" s="20">
        <f t="array" ref="E1278">IFNA(_xlfn.XLOOKUP(D1278,Table_Tarikan_Warkah[Nomor Tiket],Table_Tarikan_Warkah[Tanggal diserahkan kepada Validator]),"")</f>
        <v>45642.71344</v>
      </c>
      <c r="F1278" s="20" t="str">
        <f t="array" ref="F1278">IFNA(_xlfn.XLOOKUP(D1278,Table_Tarikan_Warkah[Nomor Tiket],Table_Tarikan_Warkah[Nama Petugas Warkah]),"")</f>
        <v>Berry</v>
      </c>
      <c r="G1278" s="21" t="str">
        <f t="array" ref="G1278">IFNA(_xlfn.XLOOKUP(D1278,Table_Tarikan_Warkah[Nomor Tiket],Table_Tarikan_Warkah[Jenis Permohonan]),"")</f>
        <v>BN JUAL BELI</v>
      </c>
      <c r="H1278" s="22" t="s">
        <v>31</v>
      </c>
      <c r="I1278" s="22" t="s">
        <v>187</v>
      </c>
      <c r="J1278" s="20">
        <f t="shared" si="29"/>
        <v>45645.70666</v>
      </c>
      <c r="K1278" s="26"/>
      <c r="L1278" s="26"/>
      <c r="M1278" s="20" t="str">
        <f t="shared" si="30"/>
        <v/>
      </c>
      <c r="N1278" s="8" t="str">
        <f t="shared" si="3"/>
        <v>BT atau SU Belum Valid</v>
      </c>
      <c r="O1278" s="21" t="str">
        <f t="shared" si="22"/>
        <v/>
      </c>
      <c r="P1278" s="24" t="b">
        <v>0</v>
      </c>
      <c r="Q1278" s="20" t="str">
        <f t="shared" si="31"/>
        <v/>
      </c>
      <c r="R1278" s="24" t="b">
        <v>0</v>
      </c>
      <c r="S1278" s="7" t="str">
        <f t="shared" si="6"/>
        <v/>
      </c>
      <c r="T1278" s="7"/>
    </row>
    <row r="1279" ht="22.5" hidden="1" customHeight="1">
      <c r="B1279" s="7">
        <f t="shared" si="7"/>
        <v>1273</v>
      </c>
      <c r="C1279" s="18" t="s">
        <v>1246</v>
      </c>
      <c r="D1279" s="19" t="str">
        <f t="array" ref="D1279">IFNA(_xlfn.XLOOKUP(C1279,Table_Tarikan_Warkah[Nomor Sertipikat],Table_Tarikan_Warkah[Nomor Tiket]),"")</f>
        <v>K/19/131224/4</v>
      </c>
      <c r="E1279" s="20" t="str">
        <f t="array" ref="E1279">IFNA(_xlfn.XLOOKUP(D1279,Table_Tarikan_Warkah[Nomor Tiket],Table_Tarikan_Warkah[Tanggal diserahkan kepada Validator]),"")</f>
        <v/>
      </c>
      <c r="F1279" s="20" t="str">
        <f t="array" ref="F1279">IFNA(_xlfn.XLOOKUP(D1279,Table_Tarikan_Warkah[Nomor Tiket],Table_Tarikan_Warkah[Nama Petugas Warkah]),"")</f>
        <v/>
      </c>
      <c r="G1279" s="21" t="str">
        <f t="array" ref="G1279">IFNA(_xlfn.XLOOKUP(D1279,Table_Tarikan_Warkah[Nomor Tiket],Table_Tarikan_Warkah[Jenis Permohonan]),"")</f>
        <v>BN JUAL BELI</v>
      </c>
      <c r="H1279" s="22" t="s">
        <v>31</v>
      </c>
      <c r="I1279" s="22" t="s">
        <v>187</v>
      </c>
      <c r="J1279" s="20">
        <f t="shared" si="29"/>
        <v>45645.70666</v>
      </c>
      <c r="K1279" s="26"/>
      <c r="L1279" s="26"/>
      <c r="M1279" s="20" t="str">
        <f t="shared" si="30"/>
        <v/>
      </c>
      <c r="N1279" s="8" t="str">
        <f t="shared" si="3"/>
        <v>BT atau SU Belum Valid</v>
      </c>
      <c r="O1279" s="21" t="str">
        <f t="shared" si="22"/>
        <v/>
      </c>
      <c r="P1279" s="24" t="b">
        <v>0</v>
      </c>
      <c r="Q1279" s="20" t="str">
        <f t="shared" si="31"/>
        <v/>
      </c>
      <c r="R1279" s="24" t="b">
        <v>0</v>
      </c>
      <c r="S1279" s="7" t="str">
        <f t="shared" si="6"/>
        <v/>
      </c>
      <c r="T1279" s="7"/>
    </row>
    <row r="1280" ht="22.5" hidden="1" customHeight="1">
      <c r="B1280" s="7">
        <f t="shared" si="7"/>
        <v>1274</v>
      </c>
      <c r="C1280" s="18" t="s">
        <v>1247</v>
      </c>
      <c r="D1280" s="19" t="str">
        <f t="array" ref="D1280">IFNA(_xlfn.XLOOKUP(C1280,Table_Tarikan_Warkah[Nomor Sertipikat],Table_Tarikan_Warkah[Nomor Tiket]),"")</f>
        <v>K/7/131224/1</v>
      </c>
      <c r="E1280" s="20" t="str">
        <f t="array" ref="E1280">IFNA(_xlfn.XLOOKUP(D1280,Table_Tarikan_Warkah[Nomor Tiket],Table_Tarikan_Warkah[Tanggal diserahkan kepada Validator]),"")</f>
        <v/>
      </c>
      <c r="F1280" s="20" t="str">
        <f t="array" ref="F1280">IFNA(_xlfn.XLOOKUP(D1280,Table_Tarikan_Warkah[Nomor Tiket],Table_Tarikan_Warkah[Nama Petugas Warkah]),"")</f>
        <v/>
      </c>
      <c r="G1280" s="21" t="str">
        <f t="array" ref="G1280">IFNA(_xlfn.XLOOKUP(D1280,Table_Tarikan_Warkah[Nomor Tiket],Table_Tarikan_Warkah[Jenis Permohonan]),"")</f>
        <v>BN Waris</v>
      </c>
      <c r="H1280" s="22" t="s">
        <v>31</v>
      </c>
      <c r="I1280" s="22" t="s">
        <v>187</v>
      </c>
      <c r="J1280" s="20">
        <f t="shared" si="29"/>
        <v>45645.70666</v>
      </c>
      <c r="K1280" s="26"/>
      <c r="L1280" s="26"/>
      <c r="M1280" s="20" t="str">
        <f t="shared" si="30"/>
        <v/>
      </c>
      <c r="N1280" s="8" t="str">
        <f t="shared" si="3"/>
        <v>BT atau SU Belum Valid</v>
      </c>
      <c r="O1280" s="21" t="str">
        <f t="shared" si="22"/>
        <v/>
      </c>
      <c r="P1280" s="24" t="b">
        <v>0</v>
      </c>
      <c r="Q1280" s="20" t="str">
        <f t="shared" si="31"/>
        <v/>
      </c>
      <c r="R1280" s="24" t="b">
        <v>0</v>
      </c>
      <c r="S1280" s="7" t="str">
        <f t="shared" si="6"/>
        <v/>
      </c>
      <c r="T1280" s="7"/>
    </row>
    <row r="1281" ht="22.5" hidden="1" customHeight="1">
      <c r="B1281" s="7">
        <f t="shared" si="7"/>
        <v>1275</v>
      </c>
      <c r="C1281" s="18" t="s">
        <v>1248</v>
      </c>
      <c r="D1281" s="19" t="str">
        <f t="array" ref="D1281">IFNA(_xlfn.XLOOKUP(C1281,Table_Tarikan_Warkah[Nomor Sertipikat],Table_Tarikan_Warkah[Nomor Tiket]),"")</f>
        <v>K/10/161224/1</v>
      </c>
      <c r="E1281" s="20">
        <f t="array" ref="E1281">IFNA(_xlfn.XLOOKUP(D1281,Table_Tarikan_Warkah[Nomor Tiket],Table_Tarikan_Warkah[Tanggal diserahkan kepada Validator]),"")</f>
        <v>45644.68794</v>
      </c>
      <c r="F1281" s="20" t="str">
        <f t="array" ref="F1281">IFNA(_xlfn.XLOOKUP(D1281,Table_Tarikan_Warkah[Nomor Tiket],Table_Tarikan_Warkah[Nama Petugas Warkah]),"")</f>
        <v>Berry</v>
      </c>
      <c r="G1281" s="21" t="str">
        <f t="array" ref="G1281">IFNA(_xlfn.XLOOKUP(D1281,Table_Tarikan_Warkah[Nomor Tiket],Table_Tarikan_Warkah[Jenis Permohonan]),"")</f>
        <v>SKPT LELANG</v>
      </c>
      <c r="H1281" s="22" t="s">
        <v>31</v>
      </c>
      <c r="I1281" s="22" t="s">
        <v>187</v>
      </c>
      <c r="J1281" s="20">
        <f t="shared" si="29"/>
        <v>45645.70666</v>
      </c>
      <c r="K1281" s="26"/>
      <c r="L1281" s="26"/>
      <c r="M1281" s="20" t="str">
        <f t="shared" si="30"/>
        <v/>
      </c>
      <c r="N1281" s="8" t="str">
        <f t="shared" si="3"/>
        <v>BT atau SU Belum Valid</v>
      </c>
      <c r="O1281" s="21" t="str">
        <f t="shared" si="22"/>
        <v/>
      </c>
      <c r="P1281" s="24" t="b">
        <v>0</v>
      </c>
      <c r="Q1281" s="20" t="str">
        <f t="shared" si="31"/>
        <v/>
      </c>
      <c r="R1281" s="24" t="b">
        <v>0</v>
      </c>
      <c r="S1281" s="7" t="str">
        <f t="shared" si="6"/>
        <v/>
      </c>
      <c r="T1281" s="7"/>
    </row>
    <row r="1282" ht="22.5" hidden="1" customHeight="1">
      <c r="B1282" s="7">
        <f t="shared" si="7"/>
        <v>1276</v>
      </c>
      <c r="C1282" s="18" t="s">
        <v>1249</v>
      </c>
      <c r="D1282" s="19" t="str">
        <f t="array" ref="D1282">IFNA(_xlfn.XLOOKUP(C1282,Table_Tarikan_Warkah[Nomor Sertipikat],Table_Tarikan_Warkah[Nomor Tiket]),"")</f>
        <v>K/21/061224/1</v>
      </c>
      <c r="E1282" s="20" t="str">
        <f t="array" ref="E1282">IFNA(_xlfn.XLOOKUP(D1282,Table_Tarikan_Warkah[Nomor Tiket],Table_Tarikan_Warkah[Tanggal diserahkan kepada Validator]),"")</f>
        <v/>
      </c>
      <c r="F1282" s="20" t="str">
        <f t="array" ref="F1282">IFNA(_xlfn.XLOOKUP(D1282,Table_Tarikan_Warkah[Nomor Tiket],Table_Tarikan_Warkah[Nama Petugas Warkah]),"")</f>
        <v/>
      </c>
      <c r="G1282" s="21" t="str">
        <f t="array" ref="G1282">IFNA(_xlfn.XLOOKUP(D1282,Table_Tarikan_Warkah[Nomor Tiket],Table_Tarikan_Warkah[Jenis Permohonan]),"")</f>
        <v>BN HIBAH</v>
      </c>
      <c r="H1282" s="22" t="s">
        <v>31</v>
      </c>
      <c r="I1282" s="22" t="s">
        <v>187</v>
      </c>
      <c r="J1282" s="20">
        <f t="shared" si="29"/>
        <v>45645.70666</v>
      </c>
      <c r="K1282" s="26"/>
      <c r="L1282" s="26"/>
      <c r="M1282" s="20" t="str">
        <f t="shared" si="30"/>
        <v/>
      </c>
      <c r="N1282" s="8" t="str">
        <f t="shared" si="3"/>
        <v>BT atau SU Belum Valid</v>
      </c>
      <c r="O1282" s="21" t="str">
        <f t="shared" si="22"/>
        <v/>
      </c>
      <c r="P1282" s="24" t="b">
        <v>0</v>
      </c>
      <c r="Q1282" s="20" t="str">
        <f t="shared" si="31"/>
        <v/>
      </c>
      <c r="R1282" s="24" t="b">
        <v>0</v>
      </c>
      <c r="S1282" s="7" t="str">
        <f t="shared" si="6"/>
        <v/>
      </c>
      <c r="T1282" s="7"/>
    </row>
    <row r="1283" ht="22.5" hidden="1" customHeight="1">
      <c r="B1283" s="7">
        <f t="shared" si="7"/>
        <v>1277</v>
      </c>
      <c r="C1283" s="18" t="s">
        <v>1250</v>
      </c>
      <c r="D1283" s="19" t="str">
        <f t="array" ref="D1283">IFNA(_xlfn.XLOOKUP(C1283,Table_Tarikan_Warkah[Nomor Sertipikat],Table_Tarikan_Warkah[Nomor Tiket]),"")</f>
        <v>K/38/171224/2</v>
      </c>
      <c r="E1283" s="20" t="str">
        <f t="array" ref="E1283">IFNA(_xlfn.XLOOKUP(D1283,Table_Tarikan_Warkah[Nomor Tiket],Table_Tarikan_Warkah[Tanggal diserahkan kepada Validator]),"")</f>
        <v/>
      </c>
      <c r="F1283" s="20" t="str">
        <f t="array" ref="F1283">IFNA(_xlfn.XLOOKUP(D1283,Table_Tarikan_Warkah[Nomor Tiket],Table_Tarikan_Warkah[Nama Petugas Warkah]),"")</f>
        <v>David</v>
      </c>
      <c r="G1283" s="21" t="str">
        <f t="array" ref="G1283">IFNA(_xlfn.XLOOKUP(D1283,Table_Tarikan_Warkah[Nomor Tiket],Table_Tarikan_Warkah[Jenis Permohonan]),"")</f>
        <v>BN JUAL BELI</v>
      </c>
      <c r="H1283" s="22" t="s">
        <v>31</v>
      </c>
      <c r="I1283" s="22" t="s">
        <v>187</v>
      </c>
      <c r="J1283" s="20">
        <f t="shared" si="29"/>
        <v>45645.70666</v>
      </c>
      <c r="K1283" s="26"/>
      <c r="L1283" s="26"/>
      <c r="M1283" s="20" t="str">
        <f t="shared" si="30"/>
        <v/>
      </c>
      <c r="N1283" s="8" t="str">
        <f t="shared" si="3"/>
        <v>BT atau SU Belum Valid</v>
      </c>
      <c r="O1283" s="21" t="str">
        <f t="shared" si="22"/>
        <v/>
      </c>
      <c r="P1283" s="24" t="b">
        <v>0</v>
      </c>
      <c r="Q1283" s="20" t="str">
        <f t="shared" si="31"/>
        <v/>
      </c>
      <c r="R1283" s="24" t="b">
        <v>0</v>
      </c>
      <c r="S1283" s="7" t="str">
        <f t="shared" si="6"/>
        <v/>
      </c>
      <c r="T1283" s="7"/>
    </row>
    <row r="1284" ht="22.5" hidden="1" customHeight="1">
      <c r="B1284" s="7">
        <f t="shared" si="7"/>
        <v>1278</v>
      </c>
      <c r="C1284" s="18" t="s">
        <v>1251</v>
      </c>
      <c r="D1284" s="19" t="str">
        <f t="array" ref="D1284">IFNA(_xlfn.XLOOKUP(C1284,Table_Tarikan_Warkah[Nomor Sertipikat],Table_Tarikan_Warkah[Nomor Tiket]),"")</f>
        <v>K/33/021224/1</v>
      </c>
      <c r="E1284" s="20" t="str">
        <f t="array" ref="E1284">IFNA(_xlfn.XLOOKUP(D1284,Table_Tarikan_Warkah[Nomor Tiket],Table_Tarikan_Warkah[Tanggal diserahkan kepada Validator]),"")</f>
        <v/>
      </c>
      <c r="F1284" s="20" t="str">
        <f t="array" ref="F1284">IFNA(_xlfn.XLOOKUP(D1284,Table_Tarikan_Warkah[Nomor Tiket],Table_Tarikan_Warkah[Nama Petugas Warkah]),"")</f>
        <v>Berry</v>
      </c>
      <c r="G1284" s="21" t="str">
        <f t="array" ref="G1284">IFNA(_xlfn.XLOOKUP(D1284,Table_Tarikan_Warkah[Nomor Tiket],Table_Tarikan_Warkah[Jenis Permohonan]),"")</f>
        <v>BN JUAL BELI</v>
      </c>
      <c r="H1284" s="22" t="s">
        <v>31</v>
      </c>
      <c r="I1284" s="22" t="s">
        <v>187</v>
      </c>
      <c r="J1284" s="20">
        <f t="shared" si="29"/>
        <v>45645.70666</v>
      </c>
      <c r="K1284" s="26"/>
      <c r="L1284" s="26"/>
      <c r="M1284" s="20" t="str">
        <f t="shared" si="30"/>
        <v/>
      </c>
      <c r="N1284" s="8" t="str">
        <f t="shared" si="3"/>
        <v>BT atau SU Belum Valid</v>
      </c>
      <c r="O1284" s="21" t="str">
        <f t="shared" si="22"/>
        <v/>
      </c>
      <c r="P1284" s="24" t="b">
        <v>0</v>
      </c>
      <c r="Q1284" s="20" t="str">
        <f t="shared" si="31"/>
        <v/>
      </c>
      <c r="R1284" s="24" t="b">
        <v>0</v>
      </c>
      <c r="S1284" s="7" t="str">
        <f t="shared" si="6"/>
        <v/>
      </c>
      <c r="T1284" s="7"/>
    </row>
    <row r="1285" ht="22.5" hidden="1" customHeight="1">
      <c r="B1285" s="7">
        <f t="shared" si="7"/>
        <v>1279</v>
      </c>
      <c r="C1285" s="18" t="s">
        <v>1252</v>
      </c>
      <c r="D1285" s="19" t="str">
        <f t="array" ref="D1285">IFNA(_xlfn.XLOOKUP(C1285,Table_Tarikan_Warkah[Nomor Sertipikat],Table_Tarikan_Warkah[Nomor Tiket]),"")</f>
        <v>K/16/131224/1</v>
      </c>
      <c r="E1285" s="20" t="str">
        <f t="array" ref="E1285">IFNA(_xlfn.XLOOKUP(D1285,Table_Tarikan_Warkah[Nomor Tiket],Table_Tarikan_Warkah[Tanggal diserahkan kepada Validator]),"")</f>
        <v/>
      </c>
      <c r="F1285" s="20" t="str">
        <f t="array" ref="F1285">IFNA(_xlfn.XLOOKUP(D1285,Table_Tarikan_Warkah[Nomor Tiket],Table_Tarikan_Warkah[Nama Petugas Warkah]),"")</f>
        <v>Berry</v>
      </c>
      <c r="G1285" s="21" t="str">
        <f t="array" ref="G1285">IFNA(_xlfn.XLOOKUP(D1285,Table_Tarikan_Warkah[Nomor Tiket],Table_Tarikan_Warkah[Jenis Permohonan]),"")</f>
        <v>BN JUAL BELI</v>
      </c>
      <c r="H1285" s="22" t="s">
        <v>31</v>
      </c>
      <c r="I1285" s="22" t="s">
        <v>187</v>
      </c>
      <c r="J1285" s="20">
        <f t="shared" si="29"/>
        <v>45645.70666</v>
      </c>
      <c r="K1285" s="26"/>
      <c r="L1285" s="26"/>
      <c r="M1285" s="20" t="str">
        <f t="shared" si="30"/>
        <v/>
      </c>
      <c r="N1285" s="8" t="str">
        <f t="shared" si="3"/>
        <v>BT atau SU Belum Valid</v>
      </c>
      <c r="O1285" s="21" t="str">
        <f t="shared" si="22"/>
        <v/>
      </c>
      <c r="P1285" s="24" t="b">
        <v>0</v>
      </c>
      <c r="Q1285" s="20" t="str">
        <f t="shared" si="31"/>
        <v/>
      </c>
      <c r="R1285" s="24" t="b">
        <v>0</v>
      </c>
      <c r="S1285" s="7" t="str">
        <f t="shared" si="6"/>
        <v/>
      </c>
      <c r="T1285" s="7"/>
    </row>
    <row r="1286" ht="22.5" hidden="1" customHeight="1">
      <c r="B1286" s="7">
        <f t="shared" si="7"/>
        <v>1280</v>
      </c>
      <c r="C1286" s="18" t="s">
        <v>1253</v>
      </c>
      <c r="D1286" s="19" t="str">
        <f t="array" ref="D1286">IFNA(_xlfn.XLOOKUP(C1286,Table_Tarikan_Warkah[Nomor Sertipikat],Table_Tarikan_Warkah[Nomor Tiket]),"")</f>
        <v>K/21/111224/3</v>
      </c>
      <c r="E1286" s="20" t="str">
        <f t="array" ref="E1286">IFNA(_xlfn.XLOOKUP(D1286,Table_Tarikan_Warkah[Nomor Tiket],Table_Tarikan_Warkah[Tanggal diserahkan kepada Validator]),"")</f>
        <v/>
      </c>
      <c r="F1286" s="20" t="str">
        <f t="array" ref="F1286">IFNA(_xlfn.XLOOKUP(D1286,Table_Tarikan_Warkah[Nomor Tiket],Table_Tarikan_Warkah[Nama Petugas Warkah]),"")</f>
        <v/>
      </c>
      <c r="G1286" s="21" t="str">
        <f t="array" ref="G1286">IFNA(_xlfn.XLOOKUP(D1286,Table_Tarikan_Warkah[Nomor Tiket],Table_Tarikan_Warkah[Jenis Permohonan]),"")</f>
        <v>BN Jual Beli</v>
      </c>
      <c r="H1286" s="22" t="s">
        <v>31</v>
      </c>
      <c r="I1286" s="22" t="s">
        <v>187</v>
      </c>
      <c r="J1286" s="20">
        <f t="shared" si="29"/>
        <v>45645.70666</v>
      </c>
      <c r="K1286" s="26"/>
      <c r="L1286" s="26"/>
      <c r="M1286" s="20" t="str">
        <f t="shared" si="30"/>
        <v/>
      </c>
      <c r="N1286" s="8" t="str">
        <f t="shared" si="3"/>
        <v>BT atau SU Belum Valid</v>
      </c>
      <c r="O1286" s="21" t="str">
        <f t="shared" si="22"/>
        <v/>
      </c>
      <c r="P1286" s="24" t="b">
        <v>0</v>
      </c>
      <c r="Q1286" s="20" t="str">
        <f t="shared" si="31"/>
        <v/>
      </c>
      <c r="R1286" s="24" t="b">
        <v>0</v>
      </c>
      <c r="S1286" s="7" t="str">
        <f t="shared" si="6"/>
        <v/>
      </c>
      <c r="T1286" s="7"/>
    </row>
    <row r="1287" ht="22.5" hidden="1" customHeight="1">
      <c r="B1287" s="7">
        <f t="shared" si="7"/>
        <v>1281</v>
      </c>
      <c r="C1287" s="18" t="s">
        <v>1254</v>
      </c>
      <c r="D1287" s="19" t="str">
        <f t="array" ref="D1287">IFNA(_xlfn.XLOOKUP(C1287,Table_Tarikan_Warkah[Nomor Sertipikat],Table_Tarikan_Warkah[Nomor Tiket]),"")</f>
        <v>K/16/101224/1</v>
      </c>
      <c r="E1287" s="20" t="str">
        <f t="array" ref="E1287">IFNA(_xlfn.XLOOKUP(D1287,Table_Tarikan_Warkah[Nomor Tiket],Table_Tarikan_Warkah[Tanggal diserahkan kepada Validator]),"")</f>
        <v/>
      </c>
      <c r="F1287" s="20" t="str">
        <f t="array" ref="F1287">IFNA(_xlfn.XLOOKUP(D1287,Table_Tarikan_Warkah[Nomor Tiket],Table_Tarikan_Warkah[Nama Petugas Warkah]),"")</f>
        <v/>
      </c>
      <c r="G1287" s="21" t="str">
        <f t="array" ref="G1287">IFNA(_xlfn.XLOOKUP(D1287,Table_Tarikan_Warkah[Nomor Tiket],Table_Tarikan_Warkah[Jenis Permohonan]),"")</f>
        <v>BN LELANG</v>
      </c>
      <c r="H1287" s="22" t="s">
        <v>37</v>
      </c>
      <c r="I1287" s="22" t="s">
        <v>32</v>
      </c>
      <c r="J1287" s="20">
        <f t="shared" si="29"/>
        <v>45646.3652</v>
      </c>
      <c r="K1287" s="22" t="s">
        <v>33</v>
      </c>
      <c r="L1287" s="22" t="s">
        <v>32</v>
      </c>
      <c r="M1287" s="20">
        <f t="shared" si="30"/>
        <v>45646.57163</v>
      </c>
      <c r="N1287" s="8" t="str">
        <f t="shared" si="3"/>
        <v>SELESAI</v>
      </c>
      <c r="O1287" s="23">
        <f t="shared" si="22"/>
        <v>45646.57163</v>
      </c>
      <c r="P1287" s="24" t="b">
        <v>1</v>
      </c>
      <c r="Q1287" s="20">
        <f t="shared" si="31"/>
        <v>45646.57163</v>
      </c>
      <c r="R1287" s="24" t="b">
        <v>0</v>
      </c>
      <c r="S1287" s="7" t="str">
        <f t="shared" si="6"/>
        <v/>
      </c>
      <c r="T1287" s="7"/>
    </row>
    <row r="1288" ht="22.5" hidden="1" customHeight="1">
      <c r="B1288" s="7">
        <f t="shared" si="7"/>
        <v>1282</v>
      </c>
      <c r="C1288" s="18" t="s">
        <v>1255</v>
      </c>
      <c r="D1288" s="19" t="str">
        <f t="array" ref="D1288">IFNA(_xlfn.XLOOKUP(C1288,Table_Tarikan_Warkah[Nomor Sertipikat],Table_Tarikan_Warkah[Nomor Tiket]),"")</f>
        <v>L/14/161224/1</v>
      </c>
      <c r="E1288" s="20" t="str">
        <f t="array" ref="E1288">IFNA(_xlfn.XLOOKUP(D1288,Table_Tarikan_Warkah[Nomor Tiket],Table_Tarikan_Warkah[Tanggal diserahkan kepada Validator]),"")</f>
        <v/>
      </c>
      <c r="F1288" s="20" t="str">
        <f t="array" ref="F1288">IFNA(_xlfn.XLOOKUP(D1288,Table_Tarikan_Warkah[Nomor Tiket],Table_Tarikan_Warkah[Nama Petugas Warkah]),"")</f>
        <v/>
      </c>
      <c r="G1288" s="21" t="str">
        <f t="array" ref="G1288">IFNA(_xlfn.XLOOKUP(D1288,Table_Tarikan_Warkah[Nomor Tiket],Table_Tarikan_Warkah[Jenis Permohonan]),"")</f>
        <v>ROYA</v>
      </c>
      <c r="H1288" s="22" t="s">
        <v>37</v>
      </c>
      <c r="I1288" s="22" t="s">
        <v>187</v>
      </c>
      <c r="J1288" s="20">
        <f t="shared" si="29"/>
        <v>45646.5842</v>
      </c>
      <c r="K1288" s="22" t="s">
        <v>33</v>
      </c>
      <c r="L1288" s="22" t="s">
        <v>187</v>
      </c>
      <c r="M1288" s="20">
        <f t="shared" si="30"/>
        <v>45646.58503</v>
      </c>
      <c r="N1288" s="8" t="str">
        <f t="shared" si="3"/>
        <v>Selesai</v>
      </c>
      <c r="O1288" s="23">
        <f t="shared" si="22"/>
        <v>45646.58503</v>
      </c>
      <c r="P1288" s="24" t="b">
        <v>0</v>
      </c>
      <c r="Q1288" s="20" t="str">
        <f t="shared" si="31"/>
        <v/>
      </c>
      <c r="R1288" s="24" t="b">
        <v>0</v>
      </c>
      <c r="S1288" s="7" t="str">
        <f t="shared" si="6"/>
        <v/>
      </c>
      <c r="T1288" s="7"/>
    </row>
    <row r="1289" ht="22.5" hidden="1" customHeight="1">
      <c r="B1289" s="7">
        <f t="shared" si="7"/>
        <v>1283</v>
      </c>
      <c r="C1289" s="18" t="s">
        <v>1256</v>
      </c>
      <c r="D1289" s="19" t="str">
        <f t="array" ref="D1289">IFNA(_xlfn.XLOOKUP(C1289,Table_Tarikan_Warkah[Nomor Sertipikat],Table_Tarikan_Warkah[Nomor Tiket]),"")</f>
        <v>K/8/161224/1</v>
      </c>
      <c r="E1289" s="20">
        <f t="array" ref="E1289">IFNA(_xlfn.XLOOKUP(D1289,Table_Tarikan_Warkah[Nomor Tiket],Table_Tarikan_Warkah[Tanggal diserahkan kepada Validator]),"")</f>
        <v>45644.68876</v>
      </c>
      <c r="F1289" s="20" t="str">
        <f t="array" ref="F1289">IFNA(_xlfn.XLOOKUP(D1289,Table_Tarikan_Warkah[Nomor Tiket],Table_Tarikan_Warkah[Nama Petugas Warkah]),"")</f>
        <v>Berry</v>
      </c>
      <c r="G1289" s="21" t="str">
        <f t="array" ref="G1289">IFNA(_xlfn.XLOOKUP(D1289,Table_Tarikan_Warkah[Nomor Tiket],Table_Tarikan_Warkah[Jenis Permohonan]),"")</f>
        <v>BN Jual Beli</v>
      </c>
      <c r="H1289" s="22" t="s">
        <v>31</v>
      </c>
      <c r="I1289" s="22" t="s">
        <v>187</v>
      </c>
      <c r="J1289" s="20">
        <f t="shared" si="29"/>
        <v>45646.65076</v>
      </c>
      <c r="K1289" s="26"/>
      <c r="L1289" s="26"/>
      <c r="M1289" s="20" t="str">
        <f t="shared" si="30"/>
        <v/>
      </c>
      <c r="N1289" s="8" t="str">
        <f t="shared" si="3"/>
        <v>BT atau SU Belum Valid</v>
      </c>
      <c r="O1289" s="21" t="str">
        <f t="shared" si="22"/>
        <v/>
      </c>
      <c r="P1289" s="24" t="b">
        <v>0</v>
      </c>
      <c r="Q1289" s="20" t="str">
        <f t="shared" si="31"/>
        <v/>
      </c>
      <c r="R1289" s="24" t="b">
        <v>0</v>
      </c>
      <c r="S1289" s="7" t="str">
        <f t="shared" si="6"/>
        <v/>
      </c>
      <c r="T1289" s="7"/>
    </row>
    <row r="1290" ht="22.5" hidden="1" customHeight="1">
      <c r="B1290" s="7">
        <f t="shared" si="7"/>
        <v>1284</v>
      </c>
      <c r="C1290" s="18" t="s">
        <v>1257</v>
      </c>
      <c r="D1290" s="19" t="str">
        <f t="array" ref="D1290">IFNA(_xlfn.XLOOKUP(C1290,Table_Tarikan_Warkah[Nomor Sertipikat],Table_Tarikan_Warkah[Nomor Tiket]),"")</f>
        <v>K/30/051224/2</v>
      </c>
      <c r="E1290" s="20" t="str">
        <f t="array" ref="E1290">IFNA(_xlfn.XLOOKUP(D1290,Table_Tarikan_Warkah[Nomor Tiket],Table_Tarikan_Warkah[Tanggal diserahkan kepada Validator]),"")</f>
        <v/>
      </c>
      <c r="F1290" s="20" t="str">
        <f t="array" ref="F1290">IFNA(_xlfn.XLOOKUP(D1290,Table_Tarikan_Warkah[Nomor Tiket],Table_Tarikan_Warkah[Nama Petugas Warkah]),"")</f>
        <v>Berry</v>
      </c>
      <c r="G1290" s="21" t="str">
        <f t="array" ref="G1290">IFNA(_xlfn.XLOOKUP(D1290,Table_Tarikan_Warkah[Nomor Tiket],Table_Tarikan_Warkah[Jenis Permohonan]),"")</f>
        <v>BN Hibah</v>
      </c>
      <c r="H1290" s="22" t="s">
        <v>31</v>
      </c>
      <c r="I1290" s="22" t="s">
        <v>187</v>
      </c>
      <c r="J1290" s="20">
        <f t="shared" si="29"/>
        <v>45646.65091</v>
      </c>
      <c r="K1290" s="26"/>
      <c r="L1290" s="26"/>
      <c r="M1290" s="20" t="str">
        <f t="shared" si="30"/>
        <v/>
      </c>
      <c r="N1290" s="8" t="str">
        <f t="shared" si="3"/>
        <v>BT atau SU Belum Valid</v>
      </c>
      <c r="O1290" s="21" t="str">
        <f t="shared" si="22"/>
        <v/>
      </c>
      <c r="P1290" s="24" t="b">
        <v>0</v>
      </c>
      <c r="Q1290" s="20" t="str">
        <f t="shared" si="31"/>
        <v/>
      </c>
      <c r="R1290" s="24" t="b">
        <v>0</v>
      </c>
      <c r="S1290" s="7" t="str">
        <f t="shared" si="6"/>
        <v/>
      </c>
      <c r="T1290" s="7"/>
    </row>
    <row r="1291" ht="22.5" hidden="1" customHeight="1">
      <c r="B1291" s="7">
        <f t="shared" si="7"/>
        <v>1285</v>
      </c>
      <c r="C1291" s="18" t="s">
        <v>1258</v>
      </c>
      <c r="D1291" s="19" t="str">
        <f t="array" ref="D1291">IFNA(_xlfn.XLOOKUP(C1291,Table_Tarikan_Warkah[Nomor Sertipikat],Table_Tarikan_Warkah[Nomor Tiket]),"")</f>
        <v>K/18/131224/3</v>
      </c>
      <c r="E1291" s="20">
        <f t="array" ref="E1291">IFNA(_xlfn.XLOOKUP(D1291,Table_Tarikan_Warkah[Nomor Tiket],Table_Tarikan_Warkah[Tanggal diserahkan kepada Validator]),"")</f>
        <v>45642.71511</v>
      </c>
      <c r="F1291" s="20" t="str">
        <f t="array" ref="F1291">IFNA(_xlfn.XLOOKUP(D1291,Table_Tarikan_Warkah[Nomor Tiket],Table_Tarikan_Warkah[Nama Petugas Warkah]),"")</f>
        <v>Berry</v>
      </c>
      <c r="G1291" s="21" t="str">
        <f t="array" ref="G1291">IFNA(_xlfn.XLOOKUP(D1291,Table_Tarikan_Warkah[Nomor Tiket],Table_Tarikan_Warkah[Jenis Permohonan]),"")</f>
        <v>BN JUAL BELI</v>
      </c>
      <c r="H1291" s="22" t="s">
        <v>31</v>
      </c>
      <c r="I1291" s="22" t="s">
        <v>187</v>
      </c>
      <c r="J1291" s="20">
        <f t="shared" si="29"/>
        <v>45646.65091</v>
      </c>
      <c r="K1291" s="26"/>
      <c r="L1291" s="26"/>
      <c r="M1291" s="20" t="str">
        <f t="shared" si="30"/>
        <v/>
      </c>
      <c r="N1291" s="8" t="str">
        <f t="shared" si="3"/>
        <v>BT atau SU Belum Valid</v>
      </c>
      <c r="O1291" s="21" t="str">
        <f t="shared" si="22"/>
        <v/>
      </c>
      <c r="P1291" s="24" t="b">
        <v>0</v>
      </c>
      <c r="Q1291" s="20" t="str">
        <f t="shared" si="31"/>
        <v/>
      </c>
      <c r="R1291" s="24" t="b">
        <v>0</v>
      </c>
      <c r="S1291" s="7" t="str">
        <f t="shared" si="6"/>
        <v/>
      </c>
      <c r="T1291" s="7"/>
    </row>
    <row r="1292" ht="22.5" hidden="1" customHeight="1">
      <c r="B1292" s="7">
        <f t="shared" si="7"/>
        <v>1286</v>
      </c>
      <c r="C1292" s="18" t="s">
        <v>1259</v>
      </c>
      <c r="D1292" s="19" t="str">
        <f t="array" ref="D1292">IFNA(_xlfn.XLOOKUP(C1292,Table_Tarikan_Warkah[Nomor Sertipikat],Table_Tarikan_Warkah[Nomor Tiket]),"")</f>
        <v>K/30/181224/1</v>
      </c>
      <c r="E1292" s="20">
        <f t="array" ref="E1292">IFNA(_xlfn.XLOOKUP(D1292,Table_Tarikan_Warkah[Nomor Tiket],Table_Tarikan_Warkah[Tanggal diserahkan kepada Validator]),"")</f>
        <v>45645.68117</v>
      </c>
      <c r="F1292" s="20" t="str">
        <f t="array" ref="F1292">IFNA(_xlfn.XLOOKUP(D1292,Table_Tarikan_Warkah[Nomor Tiket],Table_Tarikan_Warkah[Nama Petugas Warkah]),"")</f>
        <v>David</v>
      </c>
      <c r="G1292" s="21" t="str">
        <f t="array" ref="G1292">IFNA(_xlfn.XLOOKUP(D1292,Table_Tarikan_Warkah[Nomor Tiket],Table_Tarikan_Warkah[Jenis Permohonan]),"")</f>
        <v>BN JUAL BELI</v>
      </c>
      <c r="H1292" s="22" t="s">
        <v>31</v>
      </c>
      <c r="I1292" s="22" t="s">
        <v>32</v>
      </c>
      <c r="J1292" s="20">
        <f t="shared" si="29"/>
        <v>45646.65093</v>
      </c>
      <c r="K1292" s="22" t="s">
        <v>33</v>
      </c>
      <c r="L1292" s="22" t="s">
        <v>32</v>
      </c>
      <c r="M1292" s="20">
        <f t="shared" si="30"/>
        <v>45653.59913</v>
      </c>
      <c r="N1292" s="8" t="str">
        <f t="shared" si="3"/>
        <v>SELESAI</v>
      </c>
      <c r="O1292" s="23">
        <f t="shared" si="22"/>
        <v>45653.59913</v>
      </c>
      <c r="P1292" s="24" t="b">
        <v>0</v>
      </c>
      <c r="Q1292" s="20" t="str">
        <f t="shared" si="31"/>
        <v/>
      </c>
      <c r="R1292" s="24" t="b">
        <v>1</v>
      </c>
      <c r="S1292" s="20">
        <f t="shared" si="6"/>
        <v>45653.59913</v>
      </c>
      <c r="T1292" s="7"/>
    </row>
    <row r="1293" ht="22.5" customHeight="1">
      <c r="B1293" s="7">
        <f t="shared" si="7"/>
        <v>1287</v>
      </c>
      <c r="C1293" s="18" t="s">
        <v>1260</v>
      </c>
      <c r="D1293" s="19" t="str">
        <f t="array" ref="D1293">IFNA(_xlfn.XLOOKUP(C1293,Table_Tarikan_Warkah[Nomor Sertipikat],Table_Tarikan_Warkah[Nomor Tiket]),"")</f>
        <v>K/33/181224/1</v>
      </c>
      <c r="E1293" s="20">
        <f t="array" ref="E1293">IFNA(_xlfn.XLOOKUP(D1293,Table_Tarikan_Warkah[Nomor Tiket],Table_Tarikan_Warkah[Tanggal diserahkan kepada Validator]),"")</f>
        <v>45645.68136</v>
      </c>
      <c r="F1293" s="20" t="str">
        <f t="array" ref="F1293">IFNA(_xlfn.XLOOKUP(D1293,Table_Tarikan_Warkah[Nomor Tiket],Table_Tarikan_Warkah[Nama Petugas Warkah]),"")</f>
        <v>David</v>
      </c>
      <c r="G1293" s="21" t="str">
        <f t="array" ref="G1293">IFNA(_xlfn.XLOOKUP(D1293,Table_Tarikan_Warkah[Nomor Tiket],Table_Tarikan_Warkah[Jenis Permohonan]),"")</f>
        <v>PENINGKATAN HAK</v>
      </c>
      <c r="H1293" s="22" t="s">
        <v>31</v>
      </c>
      <c r="I1293" s="22" t="s">
        <v>32</v>
      </c>
      <c r="J1293" s="20">
        <f t="shared" si="29"/>
        <v>45646.65096</v>
      </c>
      <c r="K1293" s="22" t="s">
        <v>65</v>
      </c>
      <c r="L1293" s="22" t="s">
        <v>32</v>
      </c>
      <c r="M1293" s="20">
        <f t="shared" si="30"/>
        <v>45653.59913</v>
      </c>
      <c r="N1293" s="8" t="str">
        <f t="shared" si="3"/>
        <v>SELESAI</v>
      </c>
      <c r="O1293" s="23">
        <f t="shared" si="22"/>
        <v>45653.59913</v>
      </c>
      <c r="P1293" s="24" t="b">
        <v>0</v>
      </c>
      <c r="Q1293" s="20" t="str">
        <f t="shared" si="31"/>
        <v/>
      </c>
      <c r="R1293" s="24" t="b">
        <v>1</v>
      </c>
      <c r="S1293" s="20">
        <f t="shared" si="6"/>
        <v>45653.59913</v>
      </c>
      <c r="T1293" s="7"/>
    </row>
    <row r="1294" ht="22.5" hidden="1" customHeight="1">
      <c r="B1294" s="7">
        <f t="shared" si="7"/>
        <v>1288</v>
      </c>
      <c r="C1294" s="18" t="s">
        <v>1261</v>
      </c>
      <c r="D1294" s="19" t="str">
        <f t="array" ref="D1294">IFNA(_xlfn.XLOOKUP(C1294,Table_Tarikan_Warkah[Nomor Sertipikat],Table_Tarikan_Warkah[Nomor Tiket]),"")</f>
        <v>K/35/181224/2</v>
      </c>
      <c r="E1294" s="20" t="str">
        <f t="array" ref="E1294">IFNA(_xlfn.XLOOKUP(D1294,Table_Tarikan_Warkah[Nomor Tiket],Table_Tarikan_Warkah[Tanggal diserahkan kepada Validator]),"")</f>
        <v/>
      </c>
      <c r="F1294" s="20" t="str">
        <f t="array" ref="F1294">IFNA(_xlfn.XLOOKUP(D1294,Table_Tarikan_Warkah[Nomor Tiket],Table_Tarikan_Warkah[Nama Petugas Warkah]),"")</f>
        <v>David</v>
      </c>
      <c r="G1294" s="21" t="str">
        <f t="array" ref="G1294">IFNA(_xlfn.XLOOKUP(D1294,Table_Tarikan_Warkah[Nomor Tiket],Table_Tarikan_Warkah[Jenis Permohonan]),"")</f>
        <v>BN Jual Beli</v>
      </c>
      <c r="H1294" s="22" t="s">
        <v>31</v>
      </c>
      <c r="I1294" s="22" t="s">
        <v>32</v>
      </c>
      <c r="J1294" s="20">
        <f t="shared" si="29"/>
        <v>45646.65096</v>
      </c>
      <c r="K1294" s="22" t="s">
        <v>65</v>
      </c>
      <c r="L1294" s="22" t="s">
        <v>32</v>
      </c>
      <c r="M1294" s="20">
        <f t="shared" si="30"/>
        <v>45653.58925</v>
      </c>
      <c r="N1294" s="8" t="str">
        <f t="shared" si="3"/>
        <v>SELESAI</v>
      </c>
      <c r="O1294" s="23">
        <f t="shared" si="22"/>
        <v>45653.58925</v>
      </c>
      <c r="P1294" s="24" t="b">
        <v>0</v>
      </c>
      <c r="Q1294" s="20" t="str">
        <f t="shared" si="31"/>
        <v/>
      </c>
      <c r="R1294" s="24" t="b">
        <v>1</v>
      </c>
      <c r="S1294" s="20">
        <f t="shared" si="6"/>
        <v>45653.58936</v>
      </c>
      <c r="T1294" s="7"/>
    </row>
    <row r="1295" ht="22.5" hidden="1" customHeight="1">
      <c r="B1295" s="7">
        <f t="shared" si="7"/>
        <v>1289</v>
      </c>
      <c r="C1295" s="18" t="s">
        <v>1262</v>
      </c>
      <c r="D1295" s="19" t="str">
        <f t="array" ref="D1295">IFNA(_xlfn.XLOOKUP(C1295,Table_Tarikan_Warkah[Nomor Sertipikat],Table_Tarikan_Warkah[Nomor Tiket]),"")</f>
        <v>K/43/171224/1</v>
      </c>
      <c r="E1295" s="20" t="str">
        <f t="array" ref="E1295">IFNA(_xlfn.XLOOKUP(D1295,Table_Tarikan_Warkah[Nomor Tiket],Table_Tarikan_Warkah[Tanggal diserahkan kepada Validator]),"")</f>
        <v/>
      </c>
      <c r="F1295" s="20" t="str">
        <f t="array" ref="F1295">IFNA(_xlfn.XLOOKUP(D1295,Table_Tarikan_Warkah[Nomor Tiket],Table_Tarikan_Warkah[Nama Petugas Warkah]),"")</f>
        <v/>
      </c>
      <c r="G1295" s="21" t="str">
        <f t="array" ref="G1295">IFNA(_xlfn.XLOOKUP(D1295,Table_Tarikan_Warkah[Nomor Tiket],Table_Tarikan_Warkah[Jenis Permohonan]),"")</f>
        <v>BN JUAL BELI</v>
      </c>
      <c r="H1295" s="22" t="s">
        <v>31</v>
      </c>
      <c r="I1295" s="22" t="s">
        <v>32</v>
      </c>
      <c r="J1295" s="20">
        <f t="shared" si="29"/>
        <v>45646.65096</v>
      </c>
      <c r="K1295" s="22" t="s">
        <v>65</v>
      </c>
      <c r="L1295" s="22" t="s">
        <v>32</v>
      </c>
      <c r="M1295" s="20">
        <f t="shared" si="30"/>
        <v>45653.59913</v>
      </c>
      <c r="N1295" s="8" t="str">
        <f t="shared" si="3"/>
        <v>SELESAI</v>
      </c>
      <c r="O1295" s="23">
        <f t="shared" si="22"/>
        <v>45653.59913</v>
      </c>
      <c r="P1295" s="24" t="b">
        <v>0</v>
      </c>
      <c r="Q1295" s="20" t="str">
        <f t="shared" si="31"/>
        <v/>
      </c>
      <c r="R1295" s="24" t="b">
        <v>1</v>
      </c>
      <c r="S1295" s="20">
        <f t="shared" si="6"/>
        <v>45653.59913</v>
      </c>
      <c r="T1295" s="7"/>
    </row>
    <row r="1296" ht="22.5" hidden="1" customHeight="1">
      <c r="B1296" s="7">
        <f t="shared" si="7"/>
        <v>1290</v>
      </c>
      <c r="C1296" s="18" t="s">
        <v>1263</v>
      </c>
      <c r="D1296" s="19" t="str">
        <f t="array" ref="D1296">IFNA(_xlfn.XLOOKUP(C1296,Table_Tarikan_Warkah[Nomor Sertipikat],Table_Tarikan_Warkah[Nomor Tiket]),"")</f>
        <v>L/18/171224/1</v>
      </c>
      <c r="E1296" s="20" t="str">
        <f t="array" ref="E1296">IFNA(_xlfn.XLOOKUP(D1296,Table_Tarikan_Warkah[Nomor Tiket],Table_Tarikan_Warkah[Tanggal diserahkan kepada Validator]),"")</f>
        <v/>
      </c>
      <c r="F1296" s="20" t="str">
        <f t="array" ref="F1296">IFNA(_xlfn.XLOOKUP(D1296,Table_Tarikan_Warkah[Nomor Tiket],Table_Tarikan_Warkah[Nama Petugas Warkah]),"")</f>
        <v/>
      </c>
      <c r="G1296" s="21" t="str">
        <f t="array" ref="G1296">IFNA(_xlfn.XLOOKUP(D1296,Table_Tarikan_Warkah[Nomor Tiket],Table_Tarikan_Warkah[Jenis Permohonan]),"")</f>
        <v>ROYA</v>
      </c>
      <c r="H1296" s="22" t="s">
        <v>31</v>
      </c>
      <c r="I1296" s="22" t="s">
        <v>32</v>
      </c>
      <c r="J1296" s="20">
        <f t="shared" si="29"/>
        <v>45646.65096</v>
      </c>
      <c r="K1296" s="22" t="s">
        <v>65</v>
      </c>
      <c r="L1296" s="22" t="s">
        <v>32</v>
      </c>
      <c r="M1296" s="20">
        <f t="shared" si="30"/>
        <v>45653.59913</v>
      </c>
      <c r="N1296" s="8" t="str">
        <f t="shared" si="3"/>
        <v>SELESAI</v>
      </c>
      <c r="O1296" s="23">
        <f t="shared" si="22"/>
        <v>45653.59913</v>
      </c>
      <c r="P1296" s="24" t="b">
        <v>1</v>
      </c>
      <c r="Q1296" s="20">
        <f t="shared" si="31"/>
        <v>45656.38868</v>
      </c>
      <c r="R1296" s="24" t="b">
        <v>1</v>
      </c>
      <c r="S1296" s="20">
        <f t="shared" si="6"/>
        <v>45653.59913</v>
      </c>
      <c r="T1296" s="7"/>
    </row>
    <row r="1297" ht="22.5" hidden="1" customHeight="1">
      <c r="B1297" s="7">
        <f t="shared" si="7"/>
        <v>1291</v>
      </c>
      <c r="C1297" s="18" t="s">
        <v>1264</v>
      </c>
      <c r="D1297" s="19" t="str">
        <f t="array" ref="D1297">IFNA(_xlfn.XLOOKUP(C1297,Table_Tarikan_Warkah[Nomor Sertipikat],Table_Tarikan_Warkah[Nomor Tiket]),"")</f>
        <v>K/29/181224/2</v>
      </c>
      <c r="E1297" s="20">
        <f t="array" ref="E1297">IFNA(_xlfn.XLOOKUP(D1297,Table_Tarikan_Warkah[Nomor Tiket],Table_Tarikan_Warkah[Tanggal diserahkan kepada Validator]),"")</f>
        <v>45645.68012</v>
      </c>
      <c r="F1297" s="20" t="str">
        <f t="array" ref="F1297">IFNA(_xlfn.XLOOKUP(D1297,Table_Tarikan_Warkah[Nomor Tiket],Table_Tarikan_Warkah[Nama Petugas Warkah]),"")</f>
        <v>David</v>
      </c>
      <c r="G1297" s="21" t="str">
        <f t="array" ref="G1297">IFNA(_xlfn.XLOOKUP(D1297,Table_Tarikan_Warkah[Nomor Tiket],Table_Tarikan_Warkah[Jenis Permohonan]),"")</f>
        <v>BN JUAL BELI</v>
      </c>
      <c r="H1297" s="22" t="s">
        <v>31</v>
      </c>
      <c r="I1297" s="22" t="s">
        <v>32</v>
      </c>
      <c r="J1297" s="20">
        <f t="shared" si="29"/>
        <v>45646.65096</v>
      </c>
      <c r="K1297" s="22" t="s">
        <v>65</v>
      </c>
      <c r="L1297" s="22" t="s">
        <v>32</v>
      </c>
      <c r="M1297" s="20">
        <f t="shared" si="30"/>
        <v>45653.60214</v>
      </c>
      <c r="N1297" s="8" t="str">
        <f t="shared" si="3"/>
        <v>SELESAI</v>
      </c>
      <c r="O1297" s="23">
        <f t="shared" si="22"/>
        <v>45653.60214</v>
      </c>
      <c r="P1297" s="24" t="b">
        <v>0</v>
      </c>
      <c r="Q1297" s="20" t="str">
        <f t="shared" si="31"/>
        <v/>
      </c>
      <c r="R1297" s="24" t="b">
        <v>1</v>
      </c>
      <c r="S1297" s="20">
        <f t="shared" si="6"/>
        <v>45653.60218</v>
      </c>
      <c r="T1297" s="7"/>
    </row>
    <row r="1298" ht="22.5" hidden="1" customHeight="1">
      <c r="B1298" s="7">
        <f t="shared" si="7"/>
        <v>1292</v>
      </c>
      <c r="C1298" s="18" t="s">
        <v>1265</v>
      </c>
      <c r="D1298" s="19" t="str">
        <f t="array" ref="D1298">IFNA(_xlfn.XLOOKUP(C1298,Table_Tarikan_Warkah[Nomor Sertipikat],Table_Tarikan_Warkah[Nomor Tiket]),"")</f>
        <v>K/50/181224/1</v>
      </c>
      <c r="E1298" s="20">
        <f t="array" ref="E1298">IFNA(_xlfn.XLOOKUP(D1298,Table_Tarikan_Warkah[Nomor Tiket],Table_Tarikan_Warkah[Tanggal diserahkan kepada Validator]),"")</f>
        <v>45649.70494</v>
      </c>
      <c r="F1298" s="20" t="str">
        <f t="array" ref="F1298">IFNA(_xlfn.XLOOKUP(D1298,Table_Tarikan_Warkah[Nomor Tiket],Table_Tarikan_Warkah[Nama Petugas Warkah]),"")</f>
        <v>Berry</v>
      </c>
      <c r="G1298" s="21" t="str">
        <f t="array" ref="G1298">IFNA(_xlfn.XLOOKUP(D1298,Table_Tarikan_Warkah[Nomor Tiket],Table_Tarikan_Warkah[Jenis Permohonan]),"")</f>
        <v>BN JUAL BELI</v>
      </c>
      <c r="H1298" s="22" t="s">
        <v>31</v>
      </c>
      <c r="I1298" s="22" t="s">
        <v>32</v>
      </c>
      <c r="J1298" s="20">
        <f t="shared" si="29"/>
        <v>45646.65096</v>
      </c>
      <c r="K1298" s="22" t="s">
        <v>65</v>
      </c>
      <c r="L1298" s="22" t="s">
        <v>32</v>
      </c>
      <c r="M1298" s="20">
        <f t="shared" si="30"/>
        <v>45653.60197</v>
      </c>
      <c r="N1298" s="8" t="str">
        <f t="shared" si="3"/>
        <v>SELESAI</v>
      </c>
      <c r="O1298" s="23">
        <f t="shared" si="22"/>
        <v>45653.60197</v>
      </c>
      <c r="P1298" s="24" t="b">
        <v>0</v>
      </c>
      <c r="Q1298" s="20" t="str">
        <f t="shared" si="31"/>
        <v/>
      </c>
      <c r="R1298" s="24" t="b">
        <v>1</v>
      </c>
      <c r="S1298" s="20">
        <f t="shared" si="6"/>
        <v>45653.602</v>
      </c>
      <c r="T1298" s="7"/>
    </row>
    <row r="1299" ht="22.5" hidden="1" customHeight="1">
      <c r="B1299" s="7">
        <f t="shared" si="7"/>
        <v>1293</v>
      </c>
      <c r="C1299" s="18" t="s">
        <v>1266</v>
      </c>
      <c r="D1299" s="7" t="s">
        <v>1267</v>
      </c>
      <c r="E1299" s="20">
        <f t="array" ref="E1299">IFNA(_xlfn.XLOOKUP(D1299,Table_Tarikan_Warkah[Nomor Tiket],Table_Tarikan_Warkah[Tanggal diserahkan kepada Validator]),"")</f>
        <v>45649.70494</v>
      </c>
      <c r="F1299" s="20" t="str">
        <f t="array" ref="F1299">IFNA(_xlfn.XLOOKUP(D1299,Table_Tarikan_Warkah[Nomor Tiket],Table_Tarikan_Warkah[Nama Petugas Warkah]),"")</f>
        <v>David</v>
      </c>
      <c r="G1299" s="21" t="str">
        <f t="array" ref="G1299">IFNA(_xlfn.XLOOKUP(D1299,Table_Tarikan_Warkah[Nomor Tiket],Table_Tarikan_Warkah[Jenis Permohonan]),"")</f>
        <v>ROYA</v>
      </c>
      <c r="H1299" s="22" t="s">
        <v>31</v>
      </c>
      <c r="I1299" s="22" t="s">
        <v>32</v>
      </c>
      <c r="J1299" s="20">
        <f t="shared" si="29"/>
        <v>45646.65096</v>
      </c>
      <c r="K1299" s="22" t="s">
        <v>65</v>
      </c>
      <c r="L1299" s="22" t="s">
        <v>32</v>
      </c>
      <c r="M1299" s="20">
        <f t="shared" si="30"/>
        <v>45653.60351</v>
      </c>
      <c r="N1299" s="8" t="str">
        <f t="shared" si="3"/>
        <v>SELESAI</v>
      </c>
      <c r="O1299" s="23">
        <f t="shared" si="22"/>
        <v>45653.60351</v>
      </c>
      <c r="P1299" s="24" t="b">
        <v>1</v>
      </c>
      <c r="Q1299" s="20">
        <f t="shared" si="31"/>
        <v>45656.44334</v>
      </c>
      <c r="R1299" s="24" t="b">
        <v>1</v>
      </c>
      <c r="S1299" s="20">
        <f t="shared" si="6"/>
        <v>45653.60354</v>
      </c>
      <c r="T1299" s="7"/>
    </row>
    <row r="1300" ht="22.5" hidden="1" customHeight="1">
      <c r="B1300" s="7">
        <f t="shared" si="7"/>
        <v>1294</v>
      </c>
      <c r="C1300" s="18" t="s">
        <v>1268</v>
      </c>
      <c r="D1300" s="19" t="str">
        <f t="array" ref="D1300">IFNA(_xlfn.XLOOKUP(C1300,Table_Tarikan_Warkah[Nomor Sertipikat],Table_Tarikan_Warkah[Nomor Tiket]),"")</f>
        <v>K/22/291124/3</v>
      </c>
      <c r="E1300" s="20" t="str">
        <f t="array" ref="E1300">IFNA(_xlfn.XLOOKUP(D1300,Table_Tarikan_Warkah[Nomor Tiket],Table_Tarikan_Warkah[Tanggal diserahkan kepada Validator]),"")</f>
        <v/>
      </c>
      <c r="F1300" s="20" t="str">
        <f t="array" ref="F1300">IFNA(_xlfn.XLOOKUP(D1300,Table_Tarikan_Warkah[Nomor Tiket],Table_Tarikan_Warkah[Nama Petugas Warkah]),"")</f>
        <v/>
      </c>
      <c r="G1300" s="21" t="str">
        <f t="array" ref="G1300">IFNA(_xlfn.XLOOKUP(D1300,Table_Tarikan_Warkah[Nomor Tiket],Table_Tarikan_Warkah[Jenis Permohonan]),"")</f>
        <v>Pengecekan</v>
      </c>
      <c r="H1300" s="22" t="s">
        <v>31</v>
      </c>
      <c r="I1300" s="22" t="s">
        <v>32</v>
      </c>
      <c r="J1300" s="20">
        <f t="shared" si="29"/>
        <v>45646.65096</v>
      </c>
      <c r="K1300" s="22" t="s">
        <v>65</v>
      </c>
      <c r="L1300" s="22" t="s">
        <v>32</v>
      </c>
      <c r="M1300" s="20">
        <f t="shared" si="30"/>
        <v>45653.6028</v>
      </c>
      <c r="N1300" s="8" t="str">
        <f t="shared" si="3"/>
        <v>SELESAI</v>
      </c>
      <c r="O1300" s="23">
        <f t="shared" si="22"/>
        <v>45653.6028</v>
      </c>
      <c r="P1300" s="24" t="b">
        <v>0</v>
      </c>
      <c r="Q1300" s="20" t="str">
        <f t="shared" si="31"/>
        <v/>
      </c>
      <c r="R1300" s="24" t="b">
        <v>1</v>
      </c>
      <c r="S1300" s="20">
        <f t="shared" si="6"/>
        <v>45653.60284</v>
      </c>
      <c r="T1300" s="7"/>
    </row>
    <row r="1301" ht="22.5" hidden="1" customHeight="1">
      <c r="B1301" s="7">
        <f t="shared" si="7"/>
        <v>1295</v>
      </c>
      <c r="C1301" s="18" t="s">
        <v>1269</v>
      </c>
      <c r="D1301" s="19" t="str">
        <f t="array" ref="D1301">IFNA(_xlfn.XLOOKUP(C1301,Table_Tarikan_Warkah[Nomor Sertipikat],Table_Tarikan_Warkah[Nomor Tiket]),"")</f>
        <v>K/36/181224/3</v>
      </c>
      <c r="E1301" s="20" t="str">
        <f t="array" ref="E1301">IFNA(_xlfn.XLOOKUP(D1301,Table_Tarikan_Warkah[Nomor Tiket],Table_Tarikan_Warkah[Tanggal diserahkan kepada Validator]),"")</f>
        <v/>
      </c>
      <c r="F1301" s="20" t="str">
        <f t="array" ref="F1301">IFNA(_xlfn.XLOOKUP(D1301,Table_Tarikan_Warkah[Nomor Tiket],Table_Tarikan_Warkah[Nama Petugas Warkah]),"")</f>
        <v/>
      </c>
      <c r="G1301" s="21" t="str">
        <f t="array" ref="G1301">IFNA(_xlfn.XLOOKUP(D1301,Table_Tarikan_Warkah[Nomor Tiket],Table_Tarikan_Warkah[Jenis Permohonan]),"")</f>
        <v>BN Jual Beli</v>
      </c>
      <c r="H1301" s="22" t="s">
        <v>31</v>
      </c>
      <c r="I1301" s="22" t="s">
        <v>32</v>
      </c>
      <c r="J1301" s="20">
        <f t="shared" si="29"/>
        <v>45646.65096</v>
      </c>
      <c r="K1301" s="22" t="s">
        <v>65</v>
      </c>
      <c r="L1301" s="22" t="s">
        <v>32</v>
      </c>
      <c r="M1301" s="20">
        <f t="shared" si="30"/>
        <v>45653.603</v>
      </c>
      <c r="N1301" s="8" t="str">
        <f t="shared" si="3"/>
        <v>SELESAI</v>
      </c>
      <c r="O1301" s="23">
        <f t="shared" si="22"/>
        <v>45653.603</v>
      </c>
      <c r="P1301" s="24" t="b">
        <v>0</v>
      </c>
      <c r="Q1301" s="20" t="str">
        <f t="shared" si="31"/>
        <v/>
      </c>
      <c r="R1301" s="24" t="b">
        <v>1</v>
      </c>
      <c r="S1301" s="20">
        <f t="shared" si="6"/>
        <v>45653.60303</v>
      </c>
      <c r="T1301" s="7"/>
    </row>
    <row r="1302" ht="22.5" hidden="1" customHeight="1">
      <c r="B1302" s="7">
        <f t="shared" si="7"/>
        <v>1296</v>
      </c>
      <c r="C1302" s="18" t="s">
        <v>1270</v>
      </c>
      <c r="D1302" s="19" t="str">
        <f t="array" ref="D1302">IFNA(_xlfn.XLOOKUP(C1302,Table_Tarikan_Warkah[Nomor Sertipikat],Table_Tarikan_Warkah[Nomor Tiket]),"")</f>
        <v>K/34/181224/1</v>
      </c>
      <c r="E1302" s="20">
        <f t="array" ref="E1302">IFNA(_xlfn.XLOOKUP(D1302,Table_Tarikan_Warkah[Nomor Tiket],Table_Tarikan_Warkah[Tanggal diserahkan kepada Validator]),"")</f>
        <v>45645.68144</v>
      </c>
      <c r="F1302" s="20" t="str">
        <f t="array" ref="F1302">IFNA(_xlfn.XLOOKUP(D1302,Table_Tarikan_Warkah[Nomor Tiket],Table_Tarikan_Warkah[Nama Petugas Warkah]),"")</f>
        <v>David</v>
      </c>
      <c r="G1302" s="21" t="str">
        <f t="array" ref="G1302">IFNA(_xlfn.XLOOKUP(D1302,Table_Tarikan_Warkah[Nomor Tiket],Table_Tarikan_Warkah[Jenis Permohonan]),"")</f>
        <v>BN Jual Beli</v>
      </c>
      <c r="H1302" s="22" t="s">
        <v>31</v>
      </c>
      <c r="I1302" s="22" t="s">
        <v>32</v>
      </c>
      <c r="J1302" s="20">
        <f t="shared" si="29"/>
        <v>45646.65096</v>
      </c>
      <c r="K1302" s="22" t="s">
        <v>65</v>
      </c>
      <c r="L1302" s="22" t="s">
        <v>32</v>
      </c>
      <c r="M1302" s="20">
        <f t="shared" si="30"/>
        <v>45653.60329</v>
      </c>
      <c r="N1302" s="8" t="str">
        <f t="shared" si="3"/>
        <v>SELESAI</v>
      </c>
      <c r="O1302" s="23">
        <f t="shared" si="22"/>
        <v>45653.60329</v>
      </c>
      <c r="P1302" s="24" t="b">
        <v>0</v>
      </c>
      <c r="Q1302" s="20" t="str">
        <f t="shared" si="31"/>
        <v/>
      </c>
      <c r="R1302" s="24" t="b">
        <v>1</v>
      </c>
      <c r="S1302" s="20">
        <f t="shared" si="6"/>
        <v>45653.60332</v>
      </c>
      <c r="T1302" s="7"/>
    </row>
    <row r="1303" ht="22.5" hidden="1" customHeight="1">
      <c r="B1303" s="7">
        <f t="shared" si="7"/>
        <v>1297</v>
      </c>
      <c r="C1303" s="18" t="s">
        <v>1271</v>
      </c>
      <c r="D1303" s="19" t="str">
        <f t="array" ref="D1303">IFNA(_xlfn.XLOOKUP(C1303,Table_Tarikan_Warkah[Nomor Sertipikat],Table_Tarikan_Warkah[Nomor Tiket]),"")</f>
        <v>K/16/181224/3</v>
      </c>
      <c r="E1303" s="20" t="str">
        <f t="array" ref="E1303">IFNA(_xlfn.XLOOKUP(D1303,Table_Tarikan_Warkah[Nomor Tiket],Table_Tarikan_Warkah[Tanggal diserahkan kepada Validator]),"")</f>
        <v/>
      </c>
      <c r="F1303" s="20" t="str">
        <f t="array" ref="F1303">IFNA(_xlfn.XLOOKUP(D1303,Table_Tarikan_Warkah[Nomor Tiket],Table_Tarikan_Warkah[Nama Petugas Warkah]),"")</f>
        <v>Berry</v>
      </c>
      <c r="G1303" s="21" t="str">
        <f t="array" ref="G1303">IFNA(_xlfn.XLOOKUP(D1303,Table_Tarikan_Warkah[Nomor Tiket],Table_Tarikan_Warkah[Jenis Permohonan]),"")</f>
        <v>BN JUAL BELI</v>
      </c>
      <c r="H1303" s="22" t="s">
        <v>31</v>
      </c>
      <c r="I1303" s="22" t="s">
        <v>32</v>
      </c>
      <c r="J1303" s="20">
        <f t="shared" si="29"/>
        <v>45646.65096</v>
      </c>
      <c r="K1303" s="22" t="s">
        <v>65</v>
      </c>
      <c r="L1303" s="22" t="s">
        <v>32</v>
      </c>
      <c r="M1303" s="20">
        <f t="shared" si="30"/>
        <v>45653.60172</v>
      </c>
      <c r="N1303" s="8" t="str">
        <f t="shared" si="3"/>
        <v>SELESAI</v>
      </c>
      <c r="O1303" s="23">
        <f t="shared" si="22"/>
        <v>45653.60172</v>
      </c>
      <c r="P1303" s="24" t="b">
        <v>0</v>
      </c>
      <c r="Q1303" s="20" t="str">
        <f t="shared" si="31"/>
        <v/>
      </c>
      <c r="R1303" s="24" t="b">
        <v>1</v>
      </c>
      <c r="S1303" s="20">
        <f t="shared" si="6"/>
        <v>45653.60175</v>
      </c>
      <c r="T1303" s="7"/>
    </row>
    <row r="1304" ht="22.5" hidden="1" customHeight="1">
      <c r="B1304" s="7">
        <f t="shared" si="7"/>
        <v>1298</v>
      </c>
      <c r="C1304" s="18" t="s">
        <v>1272</v>
      </c>
      <c r="D1304" s="19" t="str">
        <f t="array" ref="D1304">IFNA(_xlfn.XLOOKUP(C1304,Table_Tarikan_Warkah[Nomor Sertipikat],Table_Tarikan_Warkah[Nomor Tiket]),"")</f>
        <v>K/15/181224/2</v>
      </c>
      <c r="E1304" s="20" t="str">
        <f t="array" ref="E1304">IFNA(_xlfn.XLOOKUP(D1304,Table_Tarikan_Warkah[Nomor Tiket],Table_Tarikan_Warkah[Tanggal diserahkan kepada Validator]),"")</f>
        <v/>
      </c>
      <c r="F1304" s="20" t="str">
        <f t="array" ref="F1304">IFNA(_xlfn.XLOOKUP(D1304,Table_Tarikan_Warkah[Nomor Tiket],Table_Tarikan_Warkah[Nama Petugas Warkah]),"")</f>
        <v/>
      </c>
      <c r="G1304" s="21" t="str">
        <f t="array" ref="G1304">IFNA(_xlfn.XLOOKUP(D1304,Table_Tarikan_Warkah[Nomor Tiket],Table_Tarikan_Warkah[Jenis Permohonan]),"")</f>
        <v>BN JUAL BELI</v>
      </c>
      <c r="H1304" s="22" t="s">
        <v>31</v>
      </c>
      <c r="I1304" s="22" t="s">
        <v>32</v>
      </c>
      <c r="J1304" s="20">
        <f t="shared" si="29"/>
        <v>45646.65096</v>
      </c>
      <c r="K1304" s="22" t="s">
        <v>65</v>
      </c>
      <c r="L1304" s="22" t="s">
        <v>32</v>
      </c>
      <c r="M1304" s="20">
        <f t="shared" si="30"/>
        <v>45653.60153</v>
      </c>
      <c r="N1304" s="8" t="str">
        <f t="shared" si="3"/>
        <v>SELESAI</v>
      </c>
      <c r="O1304" s="23">
        <f t="shared" si="22"/>
        <v>45653.60153</v>
      </c>
      <c r="P1304" s="24" t="b">
        <v>0</v>
      </c>
      <c r="Q1304" s="20" t="str">
        <f t="shared" si="31"/>
        <v/>
      </c>
      <c r="R1304" s="24" t="b">
        <v>1</v>
      </c>
      <c r="S1304" s="20">
        <f t="shared" si="6"/>
        <v>45653.60156</v>
      </c>
      <c r="T1304" s="7"/>
    </row>
    <row r="1305" ht="22.5" hidden="1" customHeight="1">
      <c r="B1305" s="7">
        <f t="shared" si="7"/>
        <v>1299</v>
      </c>
      <c r="C1305" s="18" t="s">
        <v>1273</v>
      </c>
      <c r="D1305" s="19" t="str">
        <f t="array" ref="D1305">IFNA(_xlfn.XLOOKUP(C1305,Table_Tarikan_Warkah[Nomor Sertipikat],Table_Tarikan_Warkah[Nomor Tiket]),"")</f>
        <v>K/14/181224/1</v>
      </c>
      <c r="E1305" s="20">
        <f t="array" ref="E1305">IFNA(_xlfn.XLOOKUP(D1305,Table_Tarikan_Warkah[Nomor Tiket],Table_Tarikan_Warkah[Tanggal diserahkan kepada Validator]),"")</f>
        <v>45645.67853</v>
      </c>
      <c r="F1305" s="20" t="str">
        <f t="array" ref="F1305">IFNA(_xlfn.XLOOKUP(D1305,Table_Tarikan_Warkah[Nomor Tiket],Table_Tarikan_Warkah[Nama Petugas Warkah]),"")</f>
        <v>Berry</v>
      </c>
      <c r="G1305" s="21" t="str">
        <f t="array" ref="G1305">IFNA(_xlfn.XLOOKUP(D1305,Table_Tarikan_Warkah[Nomor Tiket],Table_Tarikan_Warkah[Jenis Permohonan]),"")</f>
        <v>BN JUAL BELI</v>
      </c>
      <c r="H1305" s="22" t="s">
        <v>31</v>
      </c>
      <c r="I1305" s="22" t="s">
        <v>32</v>
      </c>
      <c r="J1305" s="20">
        <f t="shared" si="29"/>
        <v>45646.65096</v>
      </c>
      <c r="K1305" s="22" t="s">
        <v>65</v>
      </c>
      <c r="L1305" s="22" t="s">
        <v>32</v>
      </c>
      <c r="M1305" s="20">
        <f t="shared" si="30"/>
        <v>45653.60045</v>
      </c>
      <c r="N1305" s="8" t="str">
        <f t="shared" si="3"/>
        <v>SELESAI</v>
      </c>
      <c r="O1305" s="23">
        <f t="shared" si="22"/>
        <v>45653.60045</v>
      </c>
      <c r="P1305" s="24" t="b">
        <v>0</v>
      </c>
      <c r="Q1305" s="20" t="str">
        <f t="shared" si="31"/>
        <v/>
      </c>
      <c r="R1305" s="24" t="b">
        <v>1</v>
      </c>
      <c r="S1305" s="20">
        <f t="shared" si="6"/>
        <v>45653.60047</v>
      </c>
      <c r="T1305" s="7"/>
    </row>
    <row r="1306" ht="22.5" hidden="1" customHeight="1">
      <c r="B1306" s="7">
        <f t="shared" si="7"/>
        <v>1300</v>
      </c>
      <c r="C1306" s="18" t="s">
        <v>1274</v>
      </c>
      <c r="D1306" s="19" t="str">
        <f t="array" ref="D1306">IFNA(_xlfn.XLOOKUP(C1306,Table_Tarikan_Warkah[Nomor Sertipikat],Table_Tarikan_Warkah[Nomor Tiket]),"")</f>
        <v>K/13/181224/1</v>
      </c>
      <c r="E1306" s="20">
        <f t="array" ref="E1306">IFNA(_xlfn.XLOOKUP(D1306,Table_Tarikan_Warkah[Nomor Tiket],Table_Tarikan_Warkah[Tanggal diserahkan kepada Validator]),"")</f>
        <v>45645.67813</v>
      </c>
      <c r="F1306" s="20" t="str">
        <f t="array" ref="F1306">IFNA(_xlfn.XLOOKUP(D1306,Table_Tarikan_Warkah[Nomor Tiket],Table_Tarikan_Warkah[Nama Petugas Warkah]),"")</f>
        <v>Berry</v>
      </c>
      <c r="G1306" s="21" t="str">
        <f t="array" ref="G1306">IFNA(_xlfn.XLOOKUP(D1306,Table_Tarikan_Warkah[Nomor Tiket],Table_Tarikan_Warkah[Jenis Permohonan]),"")</f>
        <v>ROYA</v>
      </c>
      <c r="H1306" s="22" t="s">
        <v>31</v>
      </c>
      <c r="I1306" s="22" t="s">
        <v>32</v>
      </c>
      <c r="J1306" s="20">
        <f t="shared" si="29"/>
        <v>45646.65096</v>
      </c>
      <c r="K1306" s="22" t="s">
        <v>65</v>
      </c>
      <c r="L1306" s="22" t="s">
        <v>32</v>
      </c>
      <c r="M1306" s="20">
        <f t="shared" si="30"/>
        <v>45653.60064</v>
      </c>
      <c r="N1306" s="8" t="str">
        <f t="shared" si="3"/>
        <v>SELESAI</v>
      </c>
      <c r="O1306" s="23">
        <f t="shared" si="22"/>
        <v>45653.60064</v>
      </c>
      <c r="P1306" s="24" t="b">
        <v>0</v>
      </c>
      <c r="Q1306" s="20" t="str">
        <f t="shared" si="31"/>
        <v/>
      </c>
      <c r="R1306" s="24" t="b">
        <v>1</v>
      </c>
      <c r="S1306" s="20">
        <f t="shared" si="6"/>
        <v>45653.60066</v>
      </c>
      <c r="T1306" s="7"/>
    </row>
    <row r="1307" ht="22.5" hidden="1" customHeight="1">
      <c r="B1307" s="7">
        <f t="shared" si="7"/>
        <v>1301</v>
      </c>
      <c r="C1307" s="18" t="s">
        <v>1275</v>
      </c>
      <c r="D1307" s="19" t="str">
        <f t="array" ref="D1307">IFNA(_xlfn.XLOOKUP(C1307,Table_Tarikan_Warkah[Nomor Sertipikat],Table_Tarikan_Warkah[Nomor Tiket]),"")</f>
        <v>K/34/161224/2</v>
      </c>
      <c r="E1307" s="20">
        <f t="array" ref="E1307">IFNA(_xlfn.XLOOKUP(D1307,Table_Tarikan_Warkah[Nomor Tiket],Table_Tarikan_Warkah[Tanggal diserahkan kepada Validator]),"")</f>
        <v>45644.6918</v>
      </c>
      <c r="F1307" s="20" t="str">
        <f t="array" ref="F1307">IFNA(_xlfn.XLOOKUP(D1307,Table_Tarikan_Warkah[Nomor Tiket],Table_Tarikan_Warkah[Nama Petugas Warkah]),"")</f>
        <v>Berry</v>
      </c>
      <c r="G1307" s="21" t="str">
        <f t="array" ref="G1307">IFNA(_xlfn.XLOOKUP(D1307,Table_Tarikan_Warkah[Nomor Tiket],Table_Tarikan_Warkah[Jenis Permohonan]),"")</f>
        <v>BN JUAL BELI</v>
      </c>
      <c r="H1307" s="22" t="s">
        <v>37</v>
      </c>
      <c r="I1307" s="22" t="s">
        <v>187</v>
      </c>
      <c r="J1307" s="20">
        <f t="shared" si="29"/>
        <v>45646.6944</v>
      </c>
      <c r="K1307" s="26"/>
      <c r="L1307" s="26"/>
      <c r="M1307" s="20" t="str">
        <f t="shared" si="30"/>
        <v/>
      </c>
      <c r="N1307" s="8" t="str">
        <f t="shared" si="3"/>
        <v>BT atau SU Belum Valid</v>
      </c>
      <c r="O1307" s="21" t="str">
        <f t="shared" si="22"/>
        <v/>
      </c>
      <c r="P1307" s="24" t="b">
        <v>0</v>
      </c>
      <c r="Q1307" s="20" t="str">
        <f t="shared" si="31"/>
        <v/>
      </c>
      <c r="R1307" s="24" t="b">
        <v>0</v>
      </c>
      <c r="S1307" s="7" t="str">
        <f t="shared" si="6"/>
        <v/>
      </c>
      <c r="T1307" s="7"/>
    </row>
    <row r="1308" ht="22.5" hidden="1" customHeight="1">
      <c r="B1308" s="7">
        <f t="shared" si="7"/>
        <v>1302</v>
      </c>
      <c r="C1308" s="18" t="s">
        <v>1276</v>
      </c>
      <c r="D1308" s="19" t="str">
        <f t="array" ref="D1308">IFNA(_xlfn.XLOOKUP(C1308,Table_Tarikan_Warkah[Nomor Sertipikat],Table_Tarikan_Warkah[Nomor Tiket]),"")</f>
        <v>K/13/171224/1</v>
      </c>
      <c r="E1308" s="20" t="str">
        <f t="array" ref="E1308">IFNA(_xlfn.XLOOKUP(D1308,Table_Tarikan_Warkah[Nomor Tiket],Table_Tarikan_Warkah[Tanggal diserahkan kepada Validator]),"")</f>
        <v/>
      </c>
      <c r="F1308" s="20" t="str">
        <f t="array" ref="F1308">IFNA(_xlfn.XLOOKUP(D1308,Table_Tarikan_Warkah[Nomor Tiket],Table_Tarikan_Warkah[Nama Petugas Warkah]),"")</f>
        <v/>
      </c>
      <c r="G1308" s="21" t="str">
        <f t="array" ref="G1308">IFNA(_xlfn.XLOOKUP(D1308,Table_Tarikan_Warkah[Nomor Tiket],Table_Tarikan_Warkah[Jenis Permohonan]),"")</f>
        <v>ROYA</v>
      </c>
      <c r="H1308" s="22" t="s">
        <v>37</v>
      </c>
      <c r="I1308" s="22" t="s">
        <v>187</v>
      </c>
      <c r="J1308" s="20">
        <f t="shared" si="29"/>
        <v>45646.69448</v>
      </c>
      <c r="K1308" s="26"/>
      <c r="L1308" s="26"/>
      <c r="M1308" s="20" t="str">
        <f t="shared" si="30"/>
        <v/>
      </c>
      <c r="N1308" s="8" t="str">
        <f t="shared" si="3"/>
        <v>BT atau SU Belum Valid</v>
      </c>
      <c r="O1308" s="21" t="str">
        <f t="shared" si="22"/>
        <v/>
      </c>
      <c r="P1308" s="24" t="b">
        <v>0</v>
      </c>
      <c r="Q1308" s="20" t="str">
        <f t="shared" si="31"/>
        <v/>
      </c>
      <c r="R1308" s="24" t="b">
        <v>0</v>
      </c>
      <c r="S1308" s="7" t="str">
        <f t="shared" si="6"/>
        <v/>
      </c>
      <c r="T1308" s="7"/>
    </row>
    <row r="1309" ht="22.5" hidden="1" customHeight="1">
      <c r="B1309" s="7">
        <f t="shared" si="7"/>
        <v>1303</v>
      </c>
      <c r="C1309" s="18" t="s">
        <v>1277</v>
      </c>
      <c r="D1309" s="19" t="str">
        <f t="array" ref="D1309">IFNA(_xlfn.XLOOKUP(C1309,Table_Tarikan_Warkah[Nomor Sertipikat],Table_Tarikan_Warkah[Nomor Tiket]),"")</f>
        <v>K/8/061224/1</v>
      </c>
      <c r="E1309" s="20" t="str">
        <f t="array" ref="E1309">IFNA(_xlfn.XLOOKUP(D1309,Table_Tarikan_Warkah[Nomor Tiket],Table_Tarikan_Warkah[Tanggal diserahkan kepada Validator]),"")</f>
        <v/>
      </c>
      <c r="F1309" s="20" t="str">
        <f t="array" ref="F1309">IFNA(_xlfn.XLOOKUP(D1309,Table_Tarikan_Warkah[Nomor Tiket],Table_Tarikan_Warkah[Nama Petugas Warkah]),"")</f>
        <v>Berry</v>
      </c>
      <c r="G1309" s="21" t="str">
        <f t="array" ref="G1309">IFNA(_xlfn.XLOOKUP(D1309,Table_Tarikan_Warkah[Nomor Tiket],Table_Tarikan_Warkah[Jenis Permohonan]),"")</f>
        <v>BN HIBAH</v>
      </c>
      <c r="H1309" s="22" t="s">
        <v>37</v>
      </c>
      <c r="I1309" s="22" t="s">
        <v>187</v>
      </c>
      <c r="J1309" s="20">
        <f t="shared" si="29"/>
        <v>45649.36225</v>
      </c>
      <c r="K1309" s="26"/>
      <c r="L1309" s="26"/>
      <c r="M1309" s="20" t="str">
        <f t="shared" si="30"/>
        <v/>
      </c>
      <c r="N1309" s="8" t="str">
        <f t="shared" si="3"/>
        <v>BT atau SU Belum Valid</v>
      </c>
      <c r="O1309" s="21" t="str">
        <f t="shared" si="22"/>
        <v/>
      </c>
      <c r="P1309" s="24" t="b">
        <v>0</v>
      </c>
      <c r="Q1309" s="20" t="str">
        <f t="shared" si="31"/>
        <v/>
      </c>
      <c r="R1309" s="24" t="b">
        <v>0</v>
      </c>
      <c r="S1309" s="7" t="str">
        <f t="shared" si="6"/>
        <v/>
      </c>
      <c r="T1309" s="7"/>
    </row>
    <row r="1310" ht="22.5" hidden="1" customHeight="1">
      <c r="B1310" s="7">
        <f t="shared" si="7"/>
        <v>1304</v>
      </c>
      <c r="C1310" s="18" t="s">
        <v>1278</v>
      </c>
      <c r="D1310" s="19" t="str">
        <f t="array" ref="D1310">IFNA(_xlfn.XLOOKUP(C1310,Table_Tarikan_Warkah[Nomor Sertipikat],Table_Tarikan_Warkah[Nomor Tiket]),"")</f>
        <v>L/11/181224/1</v>
      </c>
      <c r="E1310" s="20">
        <f t="array" ref="E1310">IFNA(_xlfn.XLOOKUP(D1310,Table_Tarikan_Warkah[Nomor Tiket],Table_Tarikan_Warkah[Tanggal diserahkan kepada Validator]),"")</f>
        <v>45645.67761</v>
      </c>
      <c r="F1310" s="20" t="str">
        <f t="array" ref="F1310">IFNA(_xlfn.XLOOKUP(D1310,Table_Tarikan_Warkah[Nomor Tiket],Table_Tarikan_Warkah[Nama Petugas Warkah]),"")</f>
        <v>Berry</v>
      </c>
      <c r="G1310" s="21" t="str">
        <f t="array" ref="G1310">IFNA(_xlfn.XLOOKUP(D1310,Table_Tarikan_Warkah[Nomor Tiket],Table_Tarikan_Warkah[Jenis Permohonan]),"")</f>
        <v>PH</v>
      </c>
      <c r="H1310" s="22" t="s">
        <v>37</v>
      </c>
      <c r="I1310" s="22" t="s">
        <v>187</v>
      </c>
      <c r="J1310" s="20">
        <f t="shared" si="29"/>
        <v>45649.36758</v>
      </c>
      <c r="K1310" s="26"/>
      <c r="L1310" s="26"/>
      <c r="M1310" s="20" t="str">
        <f t="shared" si="30"/>
        <v/>
      </c>
      <c r="N1310" s="8" t="str">
        <f t="shared" si="3"/>
        <v>BT atau SU Belum Valid</v>
      </c>
      <c r="O1310" s="21" t="str">
        <f t="shared" si="22"/>
        <v/>
      </c>
      <c r="P1310" s="24" t="b">
        <v>0</v>
      </c>
      <c r="Q1310" s="20" t="str">
        <f t="shared" si="31"/>
        <v/>
      </c>
      <c r="R1310" s="24" t="b">
        <v>0</v>
      </c>
      <c r="S1310" s="7" t="str">
        <f t="shared" si="6"/>
        <v/>
      </c>
      <c r="T1310" s="7"/>
    </row>
    <row r="1311" ht="22.5" hidden="1" customHeight="1">
      <c r="B1311" s="7">
        <f t="shared" si="7"/>
        <v>1305</v>
      </c>
      <c r="C1311" s="18" t="s">
        <v>1279</v>
      </c>
      <c r="D1311" s="19" t="str">
        <f t="array" ref="D1311">IFNA(_xlfn.XLOOKUP(C1311,Table_Tarikan_Warkah[Nomor Sertipikat],Table_Tarikan_Warkah[Nomor Tiket]),"")</f>
        <v>K/12/181224/1</v>
      </c>
      <c r="E1311" s="20" t="str">
        <f t="array" ref="E1311">IFNA(_xlfn.XLOOKUP(D1311,Table_Tarikan_Warkah[Nomor Tiket],Table_Tarikan_Warkah[Tanggal diserahkan kepada Validator]),"")</f>
        <v/>
      </c>
      <c r="F1311" s="20" t="str">
        <f t="array" ref="F1311">IFNA(_xlfn.XLOOKUP(D1311,Table_Tarikan_Warkah[Nomor Tiket],Table_Tarikan_Warkah[Nama Petugas Warkah]),"")</f>
        <v>Berry</v>
      </c>
      <c r="G1311" s="21" t="str">
        <f t="array" ref="G1311">IFNA(_xlfn.XLOOKUP(D1311,Table_Tarikan_Warkah[Nomor Tiket],Table_Tarikan_Warkah[Jenis Permohonan]),"")</f>
        <v>S. Hilang</v>
      </c>
      <c r="H1311" s="22" t="s">
        <v>37</v>
      </c>
      <c r="I1311" s="22" t="s">
        <v>187</v>
      </c>
      <c r="J1311" s="20">
        <f t="shared" si="29"/>
        <v>45649.37045</v>
      </c>
      <c r="K1311" s="26"/>
      <c r="L1311" s="26"/>
      <c r="M1311" s="20" t="str">
        <f t="shared" si="30"/>
        <v/>
      </c>
      <c r="N1311" s="8" t="str">
        <f t="shared" si="3"/>
        <v>BT atau SU Belum Valid</v>
      </c>
      <c r="O1311" s="21" t="str">
        <f t="shared" si="22"/>
        <v/>
      </c>
      <c r="P1311" s="24" t="b">
        <v>0</v>
      </c>
      <c r="Q1311" s="20" t="str">
        <f t="shared" si="31"/>
        <v/>
      </c>
      <c r="R1311" s="24" t="b">
        <v>0</v>
      </c>
      <c r="S1311" s="7" t="str">
        <f t="shared" si="6"/>
        <v/>
      </c>
      <c r="T1311" s="7"/>
    </row>
    <row r="1312" ht="22.5" hidden="1" customHeight="1">
      <c r="B1312" s="7">
        <f t="shared" si="7"/>
        <v>1306</v>
      </c>
      <c r="C1312" s="18" t="s">
        <v>1280</v>
      </c>
      <c r="D1312" s="19" t="str">
        <f t="array" ref="D1312">IFNA(_xlfn.XLOOKUP(C1312,Table_Tarikan_Warkah[Nomor Sertipikat],Table_Tarikan_Warkah[Nomor Tiket]),"")</f>
        <v>K/45/181224/1</v>
      </c>
      <c r="E1312" s="20" t="str">
        <f t="array" ref="E1312">IFNA(_xlfn.XLOOKUP(D1312,Table_Tarikan_Warkah[Nomor Tiket],Table_Tarikan_Warkah[Tanggal diserahkan kepada Validator]),"")</f>
        <v/>
      </c>
      <c r="F1312" s="20" t="str">
        <f t="array" ref="F1312">IFNA(_xlfn.XLOOKUP(D1312,Table_Tarikan_Warkah[Nomor Tiket],Table_Tarikan_Warkah[Nama Petugas Warkah]),"")</f>
        <v/>
      </c>
      <c r="G1312" s="21" t="str">
        <f t="array" ref="G1312">IFNA(_xlfn.XLOOKUP(D1312,Table_Tarikan_Warkah[Nomor Tiket],Table_Tarikan_Warkah[Jenis Permohonan]),"")</f>
        <v>BN Jual Beli</v>
      </c>
      <c r="H1312" s="22" t="s">
        <v>37</v>
      </c>
      <c r="I1312" s="22" t="s">
        <v>187</v>
      </c>
      <c r="J1312" s="20">
        <f t="shared" si="29"/>
        <v>45649.37173</v>
      </c>
      <c r="K1312" s="26"/>
      <c r="L1312" s="26"/>
      <c r="M1312" s="20" t="str">
        <f t="shared" si="30"/>
        <v/>
      </c>
      <c r="N1312" s="8" t="str">
        <f t="shared" si="3"/>
        <v>BT atau SU Belum Valid</v>
      </c>
      <c r="O1312" s="21" t="str">
        <f t="shared" si="22"/>
        <v/>
      </c>
      <c r="P1312" s="24" t="b">
        <v>0</v>
      </c>
      <c r="Q1312" s="20" t="str">
        <f t="shared" si="31"/>
        <v/>
      </c>
      <c r="R1312" s="24" t="b">
        <v>0</v>
      </c>
      <c r="S1312" s="7" t="str">
        <f t="shared" si="6"/>
        <v/>
      </c>
      <c r="T1312" s="7"/>
    </row>
    <row r="1313" ht="22.5" hidden="1" customHeight="1">
      <c r="B1313" s="7">
        <f t="shared" si="7"/>
        <v>1307</v>
      </c>
      <c r="C1313" s="18" t="s">
        <v>1281</v>
      </c>
      <c r="D1313" s="19" t="str">
        <f t="array" ref="D1313">IFNA(_xlfn.XLOOKUP(C1313,Table_Tarikan_Warkah[Nomor Sertipikat],Table_Tarikan_Warkah[Nomor Tiket]),"")</f>
        <v>K/41/171224/1</v>
      </c>
      <c r="E1313" s="20">
        <f t="array" ref="E1313">IFNA(_xlfn.XLOOKUP(D1313,Table_Tarikan_Warkah[Nomor Tiket],Table_Tarikan_Warkah[Tanggal diserahkan kepada Validator]),"")</f>
        <v>45644.69867</v>
      </c>
      <c r="F1313" s="20" t="str">
        <f t="array" ref="F1313">IFNA(_xlfn.XLOOKUP(D1313,Table_Tarikan_Warkah[Nomor Tiket],Table_Tarikan_Warkah[Nama Petugas Warkah]),"")</f>
        <v>David</v>
      </c>
      <c r="G1313" s="21" t="str">
        <f t="array" ref="G1313">IFNA(_xlfn.XLOOKUP(D1313,Table_Tarikan_Warkah[Nomor Tiket],Table_Tarikan_Warkah[Jenis Permohonan]),"")</f>
        <v>BN Hibah</v>
      </c>
      <c r="H1313" s="22" t="s">
        <v>37</v>
      </c>
      <c r="I1313" s="22" t="s">
        <v>187</v>
      </c>
      <c r="J1313" s="20">
        <f t="shared" si="29"/>
        <v>45649.37284</v>
      </c>
      <c r="K1313" s="26"/>
      <c r="L1313" s="26"/>
      <c r="M1313" s="20" t="str">
        <f t="shared" si="30"/>
        <v/>
      </c>
      <c r="N1313" s="8" t="str">
        <f t="shared" si="3"/>
        <v>BT atau SU Belum Valid</v>
      </c>
      <c r="O1313" s="21" t="str">
        <f t="shared" si="22"/>
        <v/>
      </c>
      <c r="P1313" s="24" t="b">
        <v>0</v>
      </c>
      <c r="Q1313" s="20" t="str">
        <f t="shared" si="31"/>
        <v/>
      </c>
      <c r="R1313" s="24" t="b">
        <v>0</v>
      </c>
      <c r="S1313" s="7" t="str">
        <f t="shared" si="6"/>
        <v/>
      </c>
      <c r="T1313" s="7"/>
    </row>
    <row r="1314" ht="22.5" hidden="1" customHeight="1">
      <c r="B1314" s="7">
        <f t="shared" si="7"/>
        <v>1308</v>
      </c>
      <c r="C1314" s="18" t="s">
        <v>1282</v>
      </c>
      <c r="D1314" s="19" t="str">
        <f t="array" ref="D1314">IFNA(_xlfn.XLOOKUP(C1314,Table_Tarikan_Warkah[Nomor Sertipikat],Table_Tarikan_Warkah[Nomor Tiket]),"")</f>
        <v>K/21/191224/1</v>
      </c>
      <c r="E1314" s="20" t="str">
        <f t="array" ref="E1314">IFNA(_xlfn.XLOOKUP(D1314,Table_Tarikan_Warkah[Nomor Tiket],Table_Tarikan_Warkah[Tanggal diserahkan kepada Validator]),"")</f>
        <v/>
      </c>
      <c r="F1314" s="20" t="str">
        <f t="array" ref="F1314">IFNA(_xlfn.XLOOKUP(D1314,Table_Tarikan_Warkah[Nomor Tiket],Table_Tarikan_Warkah[Nama Petugas Warkah]),"")</f>
        <v/>
      </c>
      <c r="G1314" s="21" t="str">
        <f t="array" ref="G1314">IFNA(_xlfn.XLOOKUP(D1314,Table_Tarikan_Warkah[Nomor Tiket],Table_Tarikan_Warkah[Jenis Permohonan]),"")</f>
        <v>Perubahan Hak</v>
      </c>
      <c r="H1314" s="22" t="s">
        <v>37</v>
      </c>
      <c r="I1314" s="22" t="s">
        <v>187</v>
      </c>
      <c r="J1314" s="20">
        <f t="shared" si="29"/>
        <v>45649.37896</v>
      </c>
      <c r="K1314" s="26"/>
      <c r="L1314" s="26"/>
      <c r="M1314" s="20" t="str">
        <f t="shared" si="30"/>
        <v/>
      </c>
      <c r="N1314" s="8" t="str">
        <f t="shared" si="3"/>
        <v>BT atau SU Belum Valid</v>
      </c>
      <c r="O1314" s="21" t="str">
        <f t="shared" si="22"/>
        <v/>
      </c>
      <c r="P1314" s="24" t="b">
        <v>0</v>
      </c>
      <c r="Q1314" s="20" t="str">
        <f t="shared" si="31"/>
        <v/>
      </c>
      <c r="R1314" s="24" t="b">
        <v>0</v>
      </c>
      <c r="S1314" s="7" t="str">
        <f t="shared" si="6"/>
        <v/>
      </c>
      <c r="T1314" s="7"/>
    </row>
    <row r="1315" ht="22.5" hidden="1" customHeight="1">
      <c r="B1315" s="7">
        <f t="shared" si="7"/>
        <v>1309</v>
      </c>
      <c r="C1315" s="18" t="s">
        <v>1283</v>
      </c>
      <c r="D1315" s="19" t="str">
        <f t="array" ref="D1315">IFNA(_xlfn.XLOOKUP(C1315,Table_Tarikan_Warkah[Nomor Sertipikat],Table_Tarikan_Warkah[Nomor Tiket]),"")</f>
        <v>L/31/101224/1</v>
      </c>
      <c r="E1315" s="20" t="str">
        <f t="array" ref="E1315">IFNA(_xlfn.XLOOKUP(D1315,Table_Tarikan_Warkah[Nomor Tiket],Table_Tarikan_Warkah[Tanggal diserahkan kepada Validator]),"")</f>
        <v/>
      </c>
      <c r="F1315" s="20" t="str">
        <f t="array" ref="F1315">IFNA(_xlfn.XLOOKUP(D1315,Table_Tarikan_Warkah[Nomor Tiket],Table_Tarikan_Warkah[Nama Petugas Warkah]),"")</f>
        <v/>
      </c>
      <c r="G1315" s="21" t="str">
        <f t="array" ref="G1315">IFNA(_xlfn.XLOOKUP(D1315,Table_Tarikan_Warkah[Nomor Tiket],Table_Tarikan_Warkah[Jenis Permohonan]),"")</f>
        <v>ROYA</v>
      </c>
      <c r="H1315" s="22" t="s">
        <v>37</v>
      </c>
      <c r="I1315" s="22" t="s">
        <v>187</v>
      </c>
      <c r="J1315" s="20">
        <f t="shared" si="29"/>
        <v>45649.42391</v>
      </c>
      <c r="K1315" s="26"/>
      <c r="L1315" s="26"/>
      <c r="M1315" s="20" t="str">
        <f t="shared" si="30"/>
        <v/>
      </c>
      <c r="N1315" s="8" t="str">
        <f t="shared" si="3"/>
        <v>BT atau SU Belum Valid</v>
      </c>
      <c r="O1315" s="21" t="str">
        <f t="shared" si="22"/>
        <v/>
      </c>
      <c r="P1315" s="24" t="b">
        <v>0</v>
      </c>
      <c r="Q1315" s="20" t="str">
        <f t="shared" si="31"/>
        <v/>
      </c>
      <c r="R1315" s="24" t="b">
        <v>0</v>
      </c>
      <c r="S1315" s="7" t="str">
        <f t="shared" si="6"/>
        <v/>
      </c>
      <c r="T1315" s="7"/>
    </row>
    <row r="1316" ht="22.5" hidden="1" customHeight="1">
      <c r="B1316" s="7">
        <f t="shared" si="7"/>
        <v>1310</v>
      </c>
      <c r="C1316" s="18" t="s">
        <v>1284</v>
      </c>
      <c r="D1316" s="19" t="str">
        <f t="array" ref="D1316">IFNA(_xlfn.XLOOKUP(C1316,Table_Tarikan_Warkah[Nomor Sertipikat],Table_Tarikan_Warkah[Nomor Tiket]),"")</f>
        <v>K/20/121224/1</v>
      </c>
      <c r="E1316" s="20" t="str">
        <f t="array" ref="E1316">IFNA(_xlfn.XLOOKUP(D1316,Table_Tarikan_Warkah[Nomor Tiket],Table_Tarikan_Warkah[Tanggal diserahkan kepada Validator]),"")</f>
        <v/>
      </c>
      <c r="F1316" s="20" t="str">
        <f t="array" ref="F1316">IFNA(_xlfn.XLOOKUP(D1316,Table_Tarikan_Warkah[Nomor Tiket],Table_Tarikan_Warkah[Nama Petugas Warkah]),"")</f>
        <v/>
      </c>
      <c r="G1316" s="21" t="str">
        <f t="array" ref="G1316">IFNA(_xlfn.XLOOKUP(D1316,Table_Tarikan_Warkah[Nomor Tiket],Table_Tarikan_Warkah[Jenis Permohonan]),"")</f>
        <v>BN Jual Beliq</v>
      </c>
      <c r="H1316" s="22" t="s">
        <v>37</v>
      </c>
      <c r="I1316" s="22" t="s">
        <v>187</v>
      </c>
      <c r="J1316" s="20">
        <f t="shared" si="29"/>
        <v>45649.43676</v>
      </c>
      <c r="K1316" s="26"/>
      <c r="L1316" s="26"/>
      <c r="M1316" s="20" t="str">
        <f t="shared" si="30"/>
        <v/>
      </c>
      <c r="N1316" s="8" t="str">
        <f t="shared" si="3"/>
        <v>BT atau SU Belum Valid</v>
      </c>
      <c r="O1316" s="21" t="str">
        <f t="shared" si="22"/>
        <v/>
      </c>
      <c r="P1316" s="24" t="b">
        <v>0</v>
      </c>
      <c r="Q1316" s="20" t="str">
        <f t="shared" si="31"/>
        <v/>
      </c>
      <c r="R1316" s="24" t="b">
        <v>0</v>
      </c>
      <c r="S1316" s="7" t="str">
        <f t="shared" si="6"/>
        <v/>
      </c>
      <c r="T1316" s="7"/>
    </row>
    <row r="1317" ht="22.5" hidden="1" customHeight="1">
      <c r="B1317" s="7">
        <f t="shared" si="7"/>
        <v>1311</v>
      </c>
      <c r="C1317" s="18" t="s">
        <v>1285</v>
      </c>
      <c r="D1317" s="19" t="str">
        <f t="array" ref="D1317">IFNA(_xlfn.XLOOKUP(C1317,Table_Tarikan_Warkah[Nomor Sertipikat],Table_Tarikan_Warkah[Nomor Tiket]),"")</f>
        <v>K/28/191224/2</v>
      </c>
      <c r="E1317" s="20" t="str">
        <f t="array" ref="E1317">IFNA(_xlfn.XLOOKUP(D1317,Table_Tarikan_Warkah[Nomor Tiket],Table_Tarikan_Warkah[Tanggal diserahkan kepada Validator]),"")</f>
        <v/>
      </c>
      <c r="F1317" s="20" t="str">
        <f t="array" ref="F1317">IFNA(_xlfn.XLOOKUP(D1317,Table_Tarikan_Warkah[Nomor Tiket],Table_Tarikan_Warkah[Nama Petugas Warkah]),"")</f>
        <v/>
      </c>
      <c r="G1317" s="21" t="str">
        <f t="array" ref="G1317">IFNA(_xlfn.XLOOKUP(D1317,Table_Tarikan_Warkah[Nomor Tiket],Table_Tarikan_Warkah[Jenis Permohonan]),"")</f>
        <v>BN Jual Beli</v>
      </c>
      <c r="H1317" s="22" t="s">
        <v>37</v>
      </c>
      <c r="I1317" s="22" t="s">
        <v>187</v>
      </c>
      <c r="J1317" s="20">
        <f t="shared" si="29"/>
        <v>45649.45082</v>
      </c>
      <c r="K1317" s="26"/>
      <c r="L1317" s="26"/>
      <c r="M1317" s="20" t="str">
        <f t="shared" si="30"/>
        <v/>
      </c>
      <c r="N1317" s="8" t="str">
        <f t="shared" si="3"/>
        <v>BT atau SU Belum Valid</v>
      </c>
      <c r="O1317" s="21" t="str">
        <f t="shared" si="22"/>
        <v/>
      </c>
      <c r="P1317" s="24" t="b">
        <v>0</v>
      </c>
      <c r="Q1317" s="20" t="str">
        <f t="shared" si="31"/>
        <v/>
      </c>
      <c r="R1317" s="24" t="b">
        <v>0</v>
      </c>
      <c r="S1317" s="7" t="str">
        <f t="shared" si="6"/>
        <v/>
      </c>
      <c r="T1317" s="7"/>
    </row>
    <row r="1318" ht="22.5" hidden="1" customHeight="1">
      <c r="B1318" s="7">
        <f t="shared" si="7"/>
        <v>1312</v>
      </c>
      <c r="C1318" s="18" t="s">
        <v>1286</v>
      </c>
      <c r="D1318" s="19" t="str">
        <f t="array" ref="D1318">IFNA(_xlfn.XLOOKUP(C1318,Table_Tarikan_Warkah[Nomor Sertipikat],Table_Tarikan_Warkah[Nomor Tiket]),"")</f>
        <v>K/13/121224/1</v>
      </c>
      <c r="E1318" s="20" t="str">
        <f t="array" ref="E1318">IFNA(_xlfn.XLOOKUP(D1318,Table_Tarikan_Warkah[Nomor Tiket],Table_Tarikan_Warkah[Tanggal diserahkan kepada Validator]),"")</f>
        <v/>
      </c>
      <c r="F1318" s="20" t="str">
        <f t="array" ref="F1318">IFNA(_xlfn.XLOOKUP(D1318,Table_Tarikan_Warkah[Nomor Tiket],Table_Tarikan_Warkah[Nama Petugas Warkah]),"")</f>
        <v/>
      </c>
      <c r="G1318" s="21" t="str">
        <f t="array" ref="G1318">IFNA(_xlfn.XLOOKUP(D1318,Table_Tarikan_Warkah[Nomor Tiket],Table_Tarikan_Warkah[Jenis Permohonan]),"")</f>
        <v>BN Jual Beli</v>
      </c>
      <c r="H1318" s="22" t="s">
        <v>37</v>
      </c>
      <c r="I1318" s="22" t="s">
        <v>187</v>
      </c>
      <c r="J1318" s="20">
        <f t="shared" si="29"/>
        <v>45649.4594</v>
      </c>
      <c r="K1318" s="22" t="s">
        <v>33</v>
      </c>
      <c r="L1318" s="22" t="s">
        <v>187</v>
      </c>
      <c r="M1318" s="20">
        <f t="shared" si="30"/>
        <v>45649.45946</v>
      </c>
      <c r="N1318" s="8" t="str">
        <f t="shared" si="3"/>
        <v>Selesai</v>
      </c>
      <c r="O1318" s="23">
        <f t="shared" si="22"/>
        <v>45649.45946</v>
      </c>
      <c r="P1318" s="24" t="b">
        <v>1</v>
      </c>
      <c r="Q1318" s="20">
        <f t="shared" si="31"/>
        <v>45649.4595</v>
      </c>
      <c r="R1318" s="24" t="b">
        <v>0</v>
      </c>
      <c r="S1318" s="7" t="str">
        <f t="shared" si="6"/>
        <v/>
      </c>
      <c r="T1318" s="7"/>
    </row>
    <row r="1319" ht="22.5" hidden="1" customHeight="1">
      <c r="B1319" s="7">
        <f t="shared" si="7"/>
        <v>1313</v>
      </c>
      <c r="C1319" s="18" t="s">
        <v>1287</v>
      </c>
      <c r="D1319" s="19" t="str">
        <f t="array" ref="D1319">IFNA(_xlfn.XLOOKUP(C1319,Table_Tarikan_Warkah[Nomor Sertipikat],Table_Tarikan_Warkah[Nomor Tiket]),"")</f>
        <v>K/38/191224/5</v>
      </c>
      <c r="E1319" s="20" t="str">
        <f t="array" ref="E1319">IFNA(_xlfn.XLOOKUP(D1319,Table_Tarikan_Warkah[Nomor Tiket],Table_Tarikan_Warkah[Tanggal diserahkan kepada Validator]),"")</f>
        <v/>
      </c>
      <c r="F1319" s="20" t="str">
        <f t="array" ref="F1319">IFNA(_xlfn.XLOOKUP(D1319,Table_Tarikan_Warkah[Nomor Tiket],Table_Tarikan_Warkah[Nama Petugas Warkah]),"")</f>
        <v>David</v>
      </c>
      <c r="G1319" s="21" t="str">
        <f t="array" ref="G1319">IFNA(_xlfn.XLOOKUP(D1319,Table_Tarikan_Warkah[Nomor Tiket],Table_Tarikan_Warkah[Jenis Permohonan]),"")</f>
        <v>BN Jual Beli</v>
      </c>
      <c r="H1319" s="22" t="s">
        <v>37</v>
      </c>
      <c r="I1319" s="22" t="s">
        <v>187</v>
      </c>
      <c r="J1319" s="20">
        <f t="shared" si="29"/>
        <v>45649.46529</v>
      </c>
      <c r="K1319" s="22" t="s">
        <v>33</v>
      </c>
      <c r="L1319" s="22" t="s">
        <v>187</v>
      </c>
      <c r="M1319" s="20">
        <f t="shared" si="30"/>
        <v>45649.46536</v>
      </c>
      <c r="N1319" s="8" t="str">
        <f t="shared" si="3"/>
        <v>Selesai</v>
      </c>
      <c r="O1319" s="23">
        <f t="shared" si="22"/>
        <v>45649.46536</v>
      </c>
      <c r="P1319" s="24" t="b">
        <v>1</v>
      </c>
      <c r="Q1319" s="20">
        <f t="shared" si="31"/>
        <v>45649.46537</v>
      </c>
      <c r="R1319" s="24" t="b">
        <v>1</v>
      </c>
      <c r="S1319" s="20">
        <f t="shared" si="6"/>
        <v>45653.58824</v>
      </c>
      <c r="T1319" s="8" t="s">
        <v>1199</v>
      </c>
    </row>
    <row r="1320" ht="22.5" hidden="1" customHeight="1">
      <c r="B1320" s="7">
        <f t="shared" si="7"/>
        <v>1314</v>
      </c>
      <c r="C1320" s="18" t="s">
        <v>1288</v>
      </c>
      <c r="D1320" s="19" t="str">
        <f t="array" ref="D1320">IFNA(_xlfn.XLOOKUP(C1320,Table_Tarikan_Warkah[Nomor Sertipikat],Table_Tarikan_Warkah[Nomor Tiket]),"")</f>
        <v>K/22/191224/2</v>
      </c>
      <c r="E1320" s="20" t="str">
        <f t="array" ref="E1320">IFNA(_xlfn.XLOOKUP(D1320,Table_Tarikan_Warkah[Nomor Tiket],Table_Tarikan_Warkah[Tanggal diserahkan kepada Validator]),"")</f>
        <v/>
      </c>
      <c r="F1320" s="20" t="str">
        <f t="array" ref="F1320">IFNA(_xlfn.XLOOKUP(D1320,Table_Tarikan_Warkah[Nomor Tiket],Table_Tarikan_Warkah[Nama Petugas Warkah]),"")</f>
        <v/>
      </c>
      <c r="G1320" s="21" t="str">
        <f t="array" ref="G1320">IFNA(_xlfn.XLOOKUP(D1320,Table_Tarikan_Warkah[Nomor Tiket],Table_Tarikan_Warkah[Jenis Permohonan]),"")</f>
        <v>Roya</v>
      </c>
      <c r="H1320" s="22" t="s">
        <v>37</v>
      </c>
      <c r="I1320" s="22" t="s">
        <v>187</v>
      </c>
      <c r="J1320" s="20">
        <f t="shared" si="29"/>
        <v>45649.46951</v>
      </c>
      <c r="K1320" s="22" t="s">
        <v>65</v>
      </c>
      <c r="L1320" s="22" t="s">
        <v>32</v>
      </c>
      <c r="M1320" s="20">
        <f t="shared" si="30"/>
        <v>45653.58853</v>
      </c>
      <c r="N1320" s="8" t="str">
        <f t="shared" si="3"/>
        <v>Selesai</v>
      </c>
      <c r="O1320" s="23">
        <f t="shared" si="22"/>
        <v>45653.58853</v>
      </c>
      <c r="P1320" s="24" t="b">
        <v>0</v>
      </c>
      <c r="Q1320" s="20" t="str">
        <f t="shared" si="31"/>
        <v/>
      </c>
      <c r="R1320" s="24" t="b">
        <v>1</v>
      </c>
      <c r="S1320" s="20">
        <f t="shared" si="6"/>
        <v>45653.58856</v>
      </c>
      <c r="T1320" s="7"/>
    </row>
    <row r="1321" ht="22.5" hidden="1" customHeight="1">
      <c r="B1321" s="7">
        <f t="shared" si="7"/>
        <v>1315</v>
      </c>
      <c r="C1321" s="18" t="s">
        <v>1289</v>
      </c>
      <c r="D1321" s="19" t="str">
        <f t="array" ref="D1321">IFNA(_xlfn.XLOOKUP(C1321,Table_Tarikan_Warkah[Nomor Sertipikat],Table_Tarikan_Warkah[Nomor Tiket]),"")</f>
        <v>K/46/191224/1</v>
      </c>
      <c r="E1321" s="20" t="str">
        <f t="array" ref="E1321">IFNA(_xlfn.XLOOKUP(D1321,Table_Tarikan_Warkah[Nomor Tiket],Table_Tarikan_Warkah[Tanggal diserahkan kepada Validator]),"")</f>
        <v/>
      </c>
      <c r="F1321" s="20" t="str">
        <f t="array" ref="F1321">IFNA(_xlfn.XLOOKUP(D1321,Table_Tarikan_Warkah[Nomor Tiket],Table_Tarikan_Warkah[Nama Petugas Warkah]),"")</f>
        <v>David</v>
      </c>
      <c r="G1321" s="21" t="str">
        <f t="array" ref="G1321">IFNA(_xlfn.XLOOKUP(D1321,Table_Tarikan_Warkah[Nomor Tiket],Table_Tarikan_Warkah[Jenis Permohonan]),"")</f>
        <v>BN JUAL BELI</v>
      </c>
      <c r="H1321" s="22" t="s">
        <v>37</v>
      </c>
      <c r="I1321" s="22" t="s">
        <v>187</v>
      </c>
      <c r="J1321" s="20">
        <f t="shared" si="29"/>
        <v>45649.47582</v>
      </c>
      <c r="K1321" s="26"/>
      <c r="L1321" s="26"/>
      <c r="M1321" s="20" t="str">
        <f t="shared" si="30"/>
        <v/>
      </c>
      <c r="N1321" s="8" t="str">
        <f t="shared" si="3"/>
        <v>BT atau SU Belum Valid</v>
      </c>
      <c r="O1321" s="21" t="str">
        <f t="shared" si="22"/>
        <v/>
      </c>
      <c r="P1321" s="24" t="b">
        <v>0</v>
      </c>
      <c r="Q1321" s="20" t="str">
        <f t="shared" si="31"/>
        <v/>
      </c>
      <c r="R1321" s="24" t="b">
        <v>0</v>
      </c>
      <c r="S1321" s="7" t="str">
        <f t="shared" si="6"/>
        <v/>
      </c>
      <c r="T1321" s="7"/>
    </row>
    <row r="1322" ht="22.5" hidden="1" customHeight="1">
      <c r="B1322" s="7">
        <f t="shared" si="7"/>
        <v>1316</v>
      </c>
      <c r="C1322" s="18" t="s">
        <v>1290</v>
      </c>
      <c r="D1322" s="7" t="s">
        <v>1291</v>
      </c>
      <c r="E1322" s="20">
        <f t="array" ref="E1322">IFNA(_xlfn.XLOOKUP(D1322,Table_Tarikan_Warkah[Nomor Tiket],Table_Tarikan_Warkah[Tanggal diserahkan kepada Validator]),"")</f>
        <v>45649.70678</v>
      </c>
      <c r="F1322" s="20" t="str">
        <f t="array" ref="F1322">IFNA(_xlfn.XLOOKUP(D1322,Table_Tarikan_Warkah[Nomor Tiket],Table_Tarikan_Warkah[Nama Petugas Warkah]),"")</f>
        <v>David</v>
      </c>
      <c r="G1322" s="21" t="str">
        <f t="array" ref="G1322">IFNA(_xlfn.XLOOKUP(D1322,Table_Tarikan_Warkah[Nomor Tiket],Table_Tarikan_Warkah[Jenis Permohonan]),"")</f>
        <v>PEMECAHAN</v>
      </c>
      <c r="H1322" s="22" t="s">
        <v>37</v>
      </c>
      <c r="I1322" s="22" t="s">
        <v>187</v>
      </c>
      <c r="J1322" s="20">
        <f t="shared" si="29"/>
        <v>45649.47902</v>
      </c>
      <c r="K1322" s="26"/>
      <c r="L1322" s="26"/>
      <c r="M1322" s="20" t="str">
        <f t="shared" si="30"/>
        <v/>
      </c>
      <c r="N1322" s="8" t="str">
        <f t="shared" si="3"/>
        <v>BT atau SU Belum Valid</v>
      </c>
      <c r="O1322" s="21" t="str">
        <f t="shared" si="22"/>
        <v/>
      </c>
      <c r="P1322" s="24" t="b">
        <v>0</v>
      </c>
      <c r="Q1322" s="20" t="str">
        <f t="shared" si="31"/>
        <v/>
      </c>
      <c r="R1322" s="24" t="b">
        <v>1</v>
      </c>
      <c r="S1322" s="20">
        <f t="shared" si="6"/>
        <v>45653.58693</v>
      </c>
      <c r="T1322" s="8" t="s">
        <v>1199</v>
      </c>
    </row>
    <row r="1323" ht="22.5" hidden="1" customHeight="1">
      <c r="B1323" s="7">
        <f t="shared" si="7"/>
        <v>1317</v>
      </c>
      <c r="C1323" s="18" t="s">
        <v>1292</v>
      </c>
      <c r="D1323" s="19" t="str">
        <f t="array" ref="D1323">IFNA(_xlfn.XLOOKUP(C1323,Table_Tarikan_Warkah[Nomor Sertipikat],Table_Tarikan_Warkah[Nomor Tiket]),"")</f>
        <v>K/35/191224/1</v>
      </c>
      <c r="E1323" s="20">
        <f t="array" ref="E1323">IFNA(_xlfn.XLOOKUP(D1323,Table_Tarikan_Warkah[Nomor Tiket],Table_Tarikan_Warkah[Tanggal diserahkan kepada Validator]),"")</f>
        <v>45649.70569</v>
      </c>
      <c r="F1323" s="20" t="str">
        <f t="array" ref="F1323">IFNA(_xlfn.XLOOKUP(D1323,Table_Tarikan_Warkah[Nomor Tiket],Table_Tarikan_Warkah[Nama Petugas Warkah]),"")</f>
        <v>David</v>
      </c>
      <c r="G1323" s="21" t="str">
        <f t="array" ref="G1323">IFNA(_xlfn.XLOOKUP(D1323,Table_Tarikan_Warkah[Nomor Tiket],Table_Tarikan_Warkah[Jenis Permohonan]),"")</f>
        <v>BN Jual Beli</v>
      </c>
      <c r="H1323" s="22" t="s">
        <v>37</v>
      </c>
      <c r="I1323" s="22" t="s">
        <v>187</v>
      </c>
      <c r="J1323" s="20">
        <f t="shared" si="29"/>
        <v>45649.48952</v>
      </c>
      <c r="K1323" s="22" t="s">
        <v>33</v>
      </c>
      <c r="L1323" s="22" t="s">
        <v>187</v>
      </c>
      <c r="M1323" s="20">
        <f t="shared" si="30"/>
        <v>45649.48957</v>
      </c>
      <c r="N1323" s="8" t="str">
        <f t="shared" si="3"/>
        <v>Selesai</v>
      </c>
      <c r="O1323" s="23">
        <f t="shared" si="22"/>
        <v>45649.48957</v>
      </c>
      <c r="P1323" s="24" t="b">
        <v>1</v>
      </c>
      <c r="Q1323" s="20">
        <f t="shared" si="31"/>
        <v>45649.48958</v>
      </c>
      <c r="R1323" s="24" t="b">
        <v>0</v>
      </c>
      <c r="S1323" s="7" t="str">
        <f t="shared" si="6"/>
        <v/>
      </c>
      <c r="T1323" s="7"/>
    </row>
    <row r="1324" ht="22.5" hidden="1" customHeight="1">
      <c r="B1324" s="7">
        <f t="shared" si="7"/>
        <v>1318</v>
      </c>
      <c r="C1324" s="18" t="s">
        <v>1293</v>
      </c>
      <c r="D1324" s="19" t="str">
        <f t="array" ref="D1324">IFNA(_xlfn.XLOOKUP(C1324,Table_Tarikan_Warkah[Nomor Sertipikat],Table_Tarikan_Warkah[Nomor Tiket]),"")</f>
        <v>K/50/191224/1</v>
      </c>
      <c r="E1324" s="20" t="str">
        <f t="array" ref="E1324">IFNA(_xlfn.XLOOKUP(D1324,Table_Tarikan_Warkah[Nomor Tiket],Table_Tarikan_Warkah[Tanggal diserahkan kepada Validator]),"")</f>
        <v/>
      </c>
      <c r="F1324" s="20" t="str">
        <f t="array" ref="F1324">IFNA(_xlfn.XLOOKUP(D1324,Table_Tarikan_Warkah[Nomor Tiket],Table_Tarikan_Warkah[Nama Petugas Warkah]),"")</f>
        <v>Berry</v>
      </c>
      <c r="G1324" s="21" t="str">
        <f t="array" ref="G1324">IFNA(_xlfn.XLOOKUP(D1324,Table_Tarikan_Warkah[Nomor Tiket],Table_Tarikan_Warkah[Jenis Permohonan]),"")</f>
        <v>ROYA</v>
      </c>
      <c r="H1324" s="22" t="s">
        <v>31</v>
      </c>
      <c r="I1324" s="22" t="s">
        <v>187</v>
      </c>
      <c r="J1324" s="20">
        <f t="shared" si="29"/>
        <v>45649.56232</v>
      </c>
      <c r="K1324" s="26"/>
      <c r="L1324" s="26"/>
      <c r="M1324" s="20" t="str">
        <f t="shared" si="30"/>
        <v/>
      </c>
      <c r="N1324" s="8" t="str">
        <f t="shared" si="3"/>
        <v>BT atau SU Belum Valid</v>
      </c>
      <c r="O1324" s="21" t="str">
        <f t="shared" si="22"/>
        <v/>
      </c>
      <c r="P1324" s="24" t="b">
        <v>0</v>
      </c>
      <c r="Q1324" s="20" t="str">
        <f t="shared" si="31"/>
        <v/>
      </c>
      <c r="R1324" s="24" t="b">
        <v>1</v>
      </c>
      <c r="S1324" s="20">
        <f t="shared" si="6"/>
        <v>45653.5803</v>
      </c>
      <c r="T1324" s="8" t="s">
        <v>1199</v>
      </c>
    </row>
    <row r="1325" ht="22.5" hidden="1" customHeight="1">
      <c r="B1325" s="7">
        <f t="shared" si="7"/>
        <v>1319</v>
      </c>
      <c r="C1325" s="18" t="s">
        <v>1294</v>
      </c>
      <c r="D1325" s="19" t="str">
        <f t="array" ref="D1325">IFNA(_xlfn.XLOOKUP(C1325,Table_Tarikan_Warkah[Nomor Sertipikat],Table_Tarikan_Warkah[Nomor Tiket]),"")</f>
        <v>L/29/131224/1</v>
      </c>
      <c r="E1325" s="20">
        <f t="array" ref="E1325">IFNA(_xlfn.XLOOKUP(D1325,Table_Tarikan_Warkah[Nomor Tiket],Table_Tarikan_Warkah[Tanggal diserahkan kepada Validator]),"")</f>
        <v>45642.71635</v>
      </c>
      <c r="F1325" s="20" t="str">
        <f t="array" ref="F1325">IFNA(_xlfn.XLOOKUP(D1325,Table_Tarikan_Warkah[Nomor Tiket],Table_Tarikan_Warkah[Nama Petugas Warkah]),"")</f>
        <v>Berry</v>
      </c>
      <c r="G1325" s="21" t="str">
        <f t="array" ref="G1325">IFNA(_xlfn.XLOOKUP(D1325,Table_Tarikan_Warkah[Nomor Tiket],Table_Tarikan_Warkah[Jenis Permohonan]),"")</f>
        <v>BN JUAL - BELI</v>
      </c>
      <c r="H1325" s="22" t="s">
        <v>31</v>
      </c>
      <c r="I1325" s="22" t="s">
        <v>187</v>
      </c>
      <c r="J1325" s="20">
        <f t="shared" si="29"/>
        <v>45649.56233</v>
      </c>
      <c r="K1325" s="26"/>
      <c r="L1325" s="26"/>
      <c r="M1325" s="20" t="str">
        <f t="shared" si="30"/>
        <v/>
      </c>
      <c r="N1325" s="8" t="str">
        <f t="shared" si="3"/>
        <v>BT atau SU Belum Valid</v>
      </c>
      <c r="O1325" s="21" t="str">
        <f t="shared" si="22"/>
        <v/>
      </c>
      <c r="P1325" s="24" t="b">
        <v>0</v>
      </c>
      <c r="Q1325" s="20" t="str">
        <f t="shared" si="31"/>
        <v/>
      </c>
      <c r="R1325" s="24" t="b">
        <v>0</v>
      </c>
      <c r="S1325" s="7" t="str">
        <f t="shared" si="6"/>
        <v/>
      </c>
      <c r="T1325" s="7"/>
    </row>
    <row r="1326" ht="22.5" hidden="1" customHeight="1">
      <c r="B1326" s="7">
        <f t="shared" si="7"/>
        <v>1320</v>
      </c>
      <c r="C1326" s="18" t="s">
        <v>1295</v>
      </c>
      <c r="D1326" s="19" t="str">
        <f t="array" ref="D1326">IFNA(_xlfn.XLOOKUP(C1326,Table_Tarikan_Warkah[Nomor Sertipikat],Table_Tarikan_Warkah[Nomor Tiket]),"")</f>
        <v>K/14/041224/3</v>
      </c>
      <c r="E1326" s="20" t="str">
        <f t="array" ref="E1326">IFNA(_xlfn.XLOOKUP(D1326,Table_Tarikan_Warkah[Nomor Tiket],Table_Tarikan_Warkah[Tanggal diserahkan kepada Validator]),"")</f>
        <v/>
      </c>
      <c r="F1326" s="20" t="str">
        <f t="array" ref="F1326">IFNA(_xlfn.XLOOKUP(D1326,Table_Tarikan_Warkah[Nomor Tiket],Table_Tarikan_Warkah[Nama Petugas Warkah]),"")</f>
        <v>Berry</v>
      </c>
      <c r="G1326" s="21" t="str">
        <f t="array" ref="G1326">IFNA(_xlfn.XLOOKUP(D1326,Table_Tarikan_Warkah[Nomor Tiket],Table_Tarikan_Warkah[Jenis Permohonan]),"")</f>
        <v>BN Hibah</v>
      </c>
      <c r="H1326" s="22" t="s">
        <v>31</v>
      </c>
      <c r="I1326" s="22" t="s">
        <v>187</v>
      </c>
      <c r="J1326" s="20">
        <f t="shared" si="29"/>
        <v>45649.56233</v>
      </c>
      <c r="K1326" s="26"/>
      <c r="L1326" s="26"/>
      <c r="M1326" s="20" t="str">
        <f t="shared" si="30"/>
        <v/>
      </c>
      <c r="N1326" s="8" t="str">
        <f t="shared" si="3"/>
        <v>BT atau SU Belum Valid</v>
      </c>
      <c r="O1326" s="21" t="str">
        <f t="shared" si="22"/>
        <v/>
      </c>
      <c r="P1326" s="24" t="b">
        <v>0</v>
      </c>
      <c r="Q1326" s="20" t="str">
        <f t="shared" si="31"/>
        <v/>
      </c>
      <c r="R1326" s="24" t="b">
        <v>0</v>
      </c>
      <c r="S1326" s="7" t="str">
        <f t="shared" si="6"/>
        <v/>
      </c>
      <c r="T1326" s="7"/>
    </row>
    <row r="1327" ht="22.5" hidden="1" customHeight="1">
      <c r="B1327" s="7">
        <f t="shared" si="7"/>
        <v>1321</v>
      </c>
      <c r="C1327" s="18" t="s">
        <v>1296</v>
      </c>
      <c r="D1327" s="19" t="str">
        <f t="array" ref="D1327">IFNA(_xlfn.XLOOKUP(C1327,Table_Tarikan_Warkah[Nomor Sertipikat],Table_Tarikan_Warkah[Nomor Tiket]),"")</f>
        <v>K/11/161224/2</v>
      </c>
      <c r="E1327" s="20" t="str">
        <f t="array" ref="E1327">IFNA(_xlfn.XLOOKUP(D1327,Table_Tarikan_Warkah[Nomor Tiket],Table_Tarikan_Warkah[Tanggal diserahkan kepada Validator]),"")</f>
        <v/>
      </c>
      <c r="F1327" s="20" t="str">
        <f t="array" ref="F1327">IFNA(_xlfn.XLOOKUP(D1327,Table_Tarikan_Warkah[Nomor Tiket],Table_Tarikan_Warkah[Nama Petugas Warkah]),"")</f>
        <v/>
      </c>
      <c r="G1327" s="21" t="str">
        <f t="array" ref="G1327">IFNA(_xlfn.XLOOKUP(D1327,Table_Tarikan_Warkah[Nomor Tiket],Table_Tarikan_Warkah[Jenis Permohonan]),"")</f>
        <v>SKPT LELANG</v>
      </c>
      <c r="H1327" s="22" t="s">
        <v>31</v>
      </c>
      <c r="I1327" s="22" t="s">
        <v>187</v>
      </c>
      <c r="J1327" s="20">
        <f t="shared" si="29"/>
        <v>45649.56233</v>
      </c>
      <c r="K1327" s="26"/>
      <c r="L1327" s="26"/>
      <c r="M1327" s="20" t="str">
        <f t="shared" si="30"/>
        <v/>
      </c>
      <c r="N1327" s="8" t="str">
        <f t="shared" si="3"/>
        <v>BT atau SU Belum Valid</v>
      </c>
      <c r="O1327" s="21" t="str">
        <f t="shared" si="22"/>
        <v/>
      </c>
      <c r="P1327" s="24" t="b">
        <v>0</v>
      </c>
      <c r="Q1327" s="20" t="str">
        <f t="shared" si="31"/>
        <v/>
      </c>
      <c r="R1327" s="24" t="b">
        <v>0</v>
      </c>
      <c r="S1327" s="7" t="str">
        <f t="shared" si="6"/>
        <v/>
      </c>
      <c r="T1327" s="7"/>
    </row>
    <row r="1328" ht="22.5" hidden="1" customHeight="1">
      <c r="B1328" s="7">
        <f t="shared" si="7"/>
        <v>1322</v>
      </c>
      <c r="C1328" s="18" t="s">
        <v>1297</v>
      </c>
      <c r="D1328" s="19" t="str">
        <f t="array" ref="D1328">IFNA(_xlfn.XLOOKUP(C1328,Table_Tarikan_Warkah[Nomor Sertipikat],Table_Tarikan_Warkah[Nomor Tiket]),"")</f>
        <v>K/9/161224/1</v>
      </c>
      <c r="E1328" s="20" t="str">
        <f t="array" ref="E1328">IFNA(_xlfn.XLOOKUP(D1328,Table_Tarikan_Warkah[Nomor Tiket],Table_Tarikan_Warkah[Tanggal diserahkan kepada Validator]),"")</f>
        <v/>
      </c>
      <c r="F1328" s="20" t="str">
        <f t="array" ref="F1328">IFNA(_xlfn.XLOOKUP(D1328,Table_Tarikan_Warkah[Nomor Tiket],Table_Tarikan_Warkah[Nama Petugas Warkah]),"")</f>
        <v>Berry</v>
      </c>
      <c r="G1328" s="21" t="str">
        <f t="array" ref="G1328">IFNA(_xlfn.XLOOKUP(D1328,Table_Tarikan_Warkah[Nomor Tiket],Table_Tarikan_Warkah[Jenis Permohonan]),"")</f>
        <v>Roya</v>
      </c>
      <c r="H1328" s="22" t="s">
        <v>31</v>
      </c>
      <c r="I1328" s="22" t="s">
        <v>32</v>
      </c>
      <c r="J1328" s="20">
        <f t="shared" si="29"/>
        <v>45649.56247</v>
      </c>
      <c r="K1328" s="22" t="s">
        <v>65</v>
      </c>
      <c r="L1328" s="22" t="s">
        <v>32</v>
      </c>
      <c r="M1328" s="20">
        <f t="shared" si="30"/>
        <v>45653.60009</v>
      </c>
      <c r="N1328" s="8" t="str">
        <f t="shared" si="3"/>
        <v>SELESAI</v>
      </c>
      <c r="O1328" s="23">
        <f t="shared" si="22"/>
        <v>45653.60009</v>
      </c>
      <c r="P1328" s="24" t="b">
        <v>0</v>
      </c>
      <c r="Q1328" s="20" t="str">
        <f t="shared" si="31"/>
        <v/>
      </c>
      <c r="R1328" s="24" t="b">
        <v>1</v>
      </c>
      <c r="S1328" s="20">
        <f t="shared" si="6"/>
        <v>45653.60012</v>
      </c>
      <c r="T1328" s="7"/>
    </row>
    <row r="1329" ht="22.5" hidden="1" customHeight="1">
      <c r="B1329" s="7">
        <f t="shared" si="7"/>
        <v>1323</v>
      </c>
      <c r="C1329" s="18" t="s">
        <v>1298</v>
      </c>
      <c r="D1329" s="19" t="str">
        <f t="array" ref="D1329">IFNA(_xlfn.XLOOKUP(C1329,Table_Tarikan_Warkah[Nomor Sertipikat],Table_Tarikan_Warkah[Nomor Tiket]),"")</f>
        <v>K/8/191224/1</v>
      </c>
      <c r="E1329" s="20" t="str">
        <f t="array" ref="E1329">IFNA(_xlfn.XLOOKUP(D1329,Table_Tarikan_Warkah[Nomor Tiket],Table_Tarikan_Warkah[Tanggal diserahkan kepada Validator]),"")</f>
        <v/>
      </c>
      <c r="F1329" s="20" t="str">
        <f t="array" ref="F1329">IFNA(_xlfn.XLOOKUP(D1329,Table_Tarikan_Warkah[Nomor Tiket],Table_Tarikan_Warkah[Nama Petugas Warkah]),"")</f>
        <v/>
      </c>
      <c r="G1329" s="21" t="str">
        <f t="array" ref="G1329">IFNA(_xlfn.XLOOKUP(D1329,Table_Tarikan_Warkah[Nomor Tiket],Table_Tarikan_Warkah[Jenis Permohonan]),"")</f>
        <v>BN JUAL BELI</v>
      </c>
      <c r="H1329" s="22" t="s">
        <v>37</v>
      </c>
      <c r="I1329" s="22" t="s">
        <v>187</v>
      </c>
      <c r="J1329" s="20">
        <f t="shared" si="29"/>
        <v>45649.56654</v>
      </c>
      <c r="K1329" s="26"/>
      <c r="L1329" s="26"/>
      <c r="M1329" s="20" t="str">
        <f t="shared" si="30"/>
        <v/>
      </c>
      <c r="N1329" s="8" t="str">
        <f t="shared" si="3"/>
        <v>BT atau SU Belum Valid</v>
      </c>
      <c r="O1329" s="21" t="str">
        <f t="shared" si="22"/>
        <v/>
      </c>
      <c r="P1329" s="24" t="b">
        <v>0</v>
      </c>
      <c r="Q1329" s="20" t="str">
        <f t="shared" si="31"/>
        <v/>
      </c>
      <c r="R1329" s="24" t="b">
        <v>0</v>
      </c>
      <c r="S1329" s="7" t="str">
        <f t="shared" si="6"/>
        <v/>
      </c>
      <c r="T1329" s="7"/>
    </row>
    <row r="1330" ht="22.5" hidden="1" customHeight="1">
      <c r="B1330" s="7">
        <f t="shared" si="7"/>
        <v>1324</v>
      </c>
      <c r="C1330" s="18" t="s">
        <v>1299</v>
      </c>
      <c r="D1330" s="19" t="str">
        <f t="array" ref="D1330">IFNA(_xlfn.XLOOKUP(C1330,Table_Tarikan_Warkah[Nomor Sertipikat],Table_Tarikan_Warkah[Nomor Tiket]),"")</f>
        <v>L/30/171224/1</v>
      </c>
      <c r="E1330" s="20">
        <f t="array" ref="E1330">IFNA(_xlfn.XLOOKUP(D1330,Table_Tarikan_Warkah[Nomor Tiket],Table_Tarikan_Warkah[Tanggal diserahkan kepada Validator]),"")</f>
        <v>45644.69736</v>
      </c>
      <c r="F1330" s="20" t="str">
        <f t="array" ref="F1330">IFNA(_xlfn.XLOOKUP(D1330,Table_Tarikan_Warkah[Nomor Tiket],Table_Tarikan_Warkah[Nama Petugas Warkah]),"")</f>
        <v>David</v>
      </c>
      <c r="G1330" s="21" t="str">
        <f t="array" ref="G1330">IFNA(_xlfn.XLOOKUP(D1330,Table_Tarikan_Warkah[Nomor Tiket],Table_Tarikan_Warkah[Jenis Permohonan]),"")</f>
        <v>ROYA</v>
      </c>
      <c r="H1330" s="22" t="s">
        <v>37</v>
      </c>
      <c r="I1330" s="22" t="s">
        <v>187</v>
      </c>
      <c r="J1330" s="20">
        <f t="shared" si="29"/>
        <v>45649.57148</v>
      </c>
      <c r="K1330" s="26"/>
      <c r="L1330" s="26"/>
      <c r="M1330" s="20" t="str">
        <f t="shared" si="30"/>
        <v/>
      </c>
      <c r="N1330" s="8" t="str">
        <f t="shared" si="3"/>
        <v>BT atau SU Belum Valid</v>
      </c>
      <c r="O1330" s="21" t="str">
        <f t="shared" si="22"/>
        <v/>
      </c>
      <c r="P1330" s="24" t="b">
        <v>0</v>
      </c>
      <c r="Q1330" s="20" t="str">
        <f t="shared" si="31"/>
        <v/>
      </c>
      <c r="R1330" s="24" t="b">
        <v>0</v>
      </c>
      <c r="S1330" s="7" t="str">
        <f t="shared" si="6"/>
        <v/>
      </c>
      <c r="T1330" s="7"/>
    </row>
    <row r="1331" ht="22.5" hidden="1" customHeight="1">
      <c r="B1331" s="7">
        <f t="shared" si="7"/>
        <v>1325</v>
      </c>
      <c r="C1331" s="18" t="s">
        <v>1300</v>
      </c>
      <c r="D1331" s="19" t="str">
        <f t="array" ref="D1331">IFNA(_xlfn.XLOOKUP(C1331,Table_Tarikan_Warkah[Nomor Sertipikat],Table_Tarikan_Warkah[Nomor Tiket]),"")</f>
        <v>K/25/161224/1</v>
      </c>
      <c r="E1331" s="20" t="str">
        <f t="array" ref="E1331">IFNA(_xlfn.XLOOKUP(D1331,Table_Tarikan_Warkah[Nomor Tiket],Table_Tarikan_Warkah[Tanggal diserahkan kepada Validator]),"")</f>
        <v/>
      </c>
      <c r="F1331" s="20" t="str">
        <f t="array" ref="F1331">IFNA(_xlfn.XLOOKUP(D1331,Table_Tarikan_Warkah[Nomor Tiket],Table_Tarikan_Warkah[Nama Petugas Warkah]),"")</f>
        <v>Berry</v>
      </c>
      <c r="G1331" s="21" t="str">
        <f t="array" ref="G1331">IFNA(_xlfn.XLOOKUP(D1331,Table_Tarikan_Warkah[Nomor Tiket],Table_Tarikan_Warkah[Jenis Permohonan]),"")</f>
        <v>ROYA</v>
      </c>
      <c r="H1331" s="22" t="s">
        <v>37</v>
      </c>
      <c r="I1331" s="22" t="s">
        <v>187</v>
      </c>
      <c r="J1331" s="20">
        <f t="shared" si="29"/>
        <v>45649.58037</v>
      </c>
      <c r="K1331" s="22" t="s">
        <v>33</v>
      </c>
      <c r="L1331" s="22" t="s">
        <v>187</v>
      </c>
      <c r="M1331" s="20">
        <f t="shared" si="30"/>
        <v>45649.58045</v>
      </c>
      <c r="N1331" s="8" t="str">
        <f t="shared" si="3"/>
        <v>Selesai</v>
      </c>
      <c r="O1331" s="23">
        <f t="shared" si="22"/>
        <v>45649.58045</v>
      </c>
      <c r="P1331" s="24" t="b">
        <v>1</v>
      </c>
      <c r="Q1331" s="20">
        <f t="shared" si="31"/>
        <v>45649.58045</v>
      </c>
      <c r="R1331" s="24" t="b">
        <v>0</v>
      </c>
      <c r="S1331" s="7" t="str">
        <f t="shared" si="6"/>
        <v/>
      </c>
      <c r="T1331" s="7"/>
    </row>
    <row r="1332" ht="22.5" hidden="1" customHeight="1">
      <c r="B1332" s="7">
        <f t="shared" si="7"/>
        <v>1326</v>
      </c>
      <c r="C1332" s="18" t="s">
        <v>1301</v>
      </c>
      <c r="D1332" s="19" t="str">
        <f t="array" ref="D1332">IFNA(_xlfn.XLOOKUP(C1332,Table_Tarikan_Warkah[Nomor Sertipikat],Table_Tarikan_Warkah[Nomor Tiket]),"")</f>
        <v>L/20/171224/1</v>
      </c>
      <c r="E1332" s="20" t="str">
        <f t="array" ref="E1332">IFNA(_xlfn.XLOOKUP(D1332,Table_Tarikan_Warkah[Nomor Tiket],Table_Tarikan_Warkah[Tanggal diserahkan kepada Validator]),"")</f>
        <v/>
      </c>
      <c r="F1332" s="20" t="str">
        <f t="array" ref="F1332">IFNA(_xlfn.XLOOKUP(D1332,Table_Tarikan_Warkah[Nomor Tiket],Table_Tarikan_Warkah[Nama Petugas Warkah]),"")</f>
        <v>David</v>
      </c>
      <c r="G1332" s="21" t="str">
        <f t="array" ref="G1332">IFNA(_xlfn.XLOOKUP(D1332,Table_Tarikan_Warkah[Nomor Tiket],Table_Tarikan_Warkah[Jenis Permohonan]),"")</f>
        <v>ROYA</v>
      </c>
      <c r="H1332" s="22" t="s">
        <v>37</v>
      </c>
      <c r="I1332" s="22" t="s">
        <v>187</v>
      </c>
      <c r="J1332" s="20">
        <f t="shared" si="29"/>
        <v>45649.58655</v>
      </c>
      <c r="K1332" s="22" t="s">
        <v>33</v>
      </c>
      <c r="L1332" s="22" t="s">
        <v>187</v>
      </c>
      <c r="M1332" s="20">
        <f t="shared" si="30"/>
        <v>45649.58665</v>
      </c>
      <c r="N1332" s="8" t="str">
        <f t="shared" si="3"/>
        <v>Selesai</v>
      </c>
      <c r="O1332" s="23">
        <f t="shared" si="22"/>
        <v>45649.58665</v>
      </c>
      <c r="P1332" s="24" t="b">
        <v>1</v>
      </c>
      <c r="Q1332" s="20">
        <f t="shared" si="31"/>
        <v>45649.58662</v>
      </c>
      <c r="R1332" s="24" t="b">
        <v>0</v>
      </c>
      <c r="S1332" s="7" t="str">
        <f t="shared" si="6"/>
        <v/>
      </c>
      <c r="T1332" s="7"/>
    </row>
    <row r="1333" ht="22.5" hidden="1" customHeight="1">
      <c r="B1333" s="7">
        <f t="shared" si="7"/>
        <v>1327</v>
      </c>
      <c r="C1333" s="18" t="s">
        <v>1302</v>
      </c>
      <c r="D1333" s="19" t="str">
        <f t="array" ref="D1333">IFNA(_xlfn.XLOOKUP(C1333,Table_Tarikan_Warkah[Nomor Sertipikat],Table_Tarikan_Warkah[Nomor Tiket]),"")</f>
        <v>K/22/171224/2</v>
      </c>
      <c r="E1333" s="20" t="str">
        <f t="array" ref="E1333">IFNA(_xlfn.XLOOKUP(D1333,Table_Tarikan_Warkah[Nomor Tiket],Table_Tarikan_Warkah[Tanggal diserahkan kepada Validator]),"")</f>
        <v/>
      </c>
      <c r="F1333" s="20" t="str">
        <f t="array" ref="F1333">IFNA(_xlfn.XLOOKUP(D1333,Table_Tarikan_Warkah[Nomor Tiket],Table_Tarikan_Warkah[Nama Petugas Warkah]),"")</f>
        <v/>
      </c>
      <c r="G1333" s="21" t="str">
        <f t="array" ref="G1333">IFNA(_xlfn.XLOOKUP(D1333,Table_Tarikan_Warkah[Nomor Tiket],Table_Tarikan_Warkah[Jenis Permohonan]),"")</f>
        <v>BN JUAL BELI</v>
      </c>
      <c r="H1333" s="26"/>
      <c r="I1333" s="26"/>
      <c r="J1333" s="20" t="str">
        <f t="shared" si="29"/>
        <v/>
      </c>
      <c r="K1333" s="26"/>
      <c r="L1333" s="26"/>
      <c r="M1333" s="20" t="str">
        <f t="shared" si="30"/>
        <v/>
      </c>
      <c r="N1333" s="8" t="str">
        <f t="shared" si="3"/>
        <v>BT atau SU Belum Valid</v>
      </c>
      <c r="O1333" s="21" t="str">
        <f t="shared" si="22"/>
        <v/>
      </c>
      <c r="P1333" s="24" t="b">
        <v>0</v>
      </c>
      <c r="Q1333" s="20" t="str">
        <f t="shared" si="31"/>
        <v/>
      </c>
      <c r="R1333" s="24" t="b">
        <v>0</v>
      </c>
      <c r="S1333" s="7" t="str">
        <f t="shared" si="6"/>
        <v/>
      </c>
      <c r="T1333" s="7"/>
    </row>
    <row r="1334" ht="22.5" hidden="1" customHeight="1">
      <c r="B1334" s="7">
        <f t="shared" si="7"/>
        <v>1328</v>
      </c>
      <c r="C1334" s="18" t="s">
        <v>1303</v>
      </c>
      <c r="D1334" s="19" t="str">
        <f t="array" ref="D1334">IFNA(_xlfn.XLOOKUP(C1334,Table_Tarikan_Warkah[Nomor Sertipikat],Table_Tarikan_Warkah[Nomor Tiket]),"")</f>
        <v>K/27/181224/1</v>
      </c>
      <c r="E1334" s="20">
        <f t="array" ref="E1334">IFNA(_xlfn.XLOOKUP(D1334,Table_Tarikan_Warkah[Nomor Tiket],Table_Tarikan_Warkah[Tanggal diserahkan kepada Validator]),"")</f>
        <v>45645.68332</v>
      </c>
      <c r="F1334" s="20" t="str">
        <f t="array" ref="F1334">IFNA(_xlfn.XLOOKUP(D1334,Table_Tarikan_Warkah[Nomor Tiket],Table_Tarikan_Warkah[Nama Petugas Warkah]),"")</f>
        <v>Berry</v>
      </c>
      <c r="G1334" s="21" t="str">
        <f t="array" ref="G1334">IFNA(_xlfn.XLOOKUP(D1334,Table_Tarikan_Warkah[Nomor Tiket],Table_Tarikan_Warkah[Jenis Permohonan]),"")</f>
        <v>BN JUAL BELI</v>
      </c>
      <c r="H1334" s="26"/>
      <c r="I1334" s="26"/>
      <c r="J1334" s="20" t="str">
        <f t="shared" si="29"/>
        <v/>
      </c>
      <c r="K1334" s="26"/>
      <c r="L1334" s="26"/>
      <c r="M1334" s="20" t="str">
        <f t="shared" si="30"/>
        <v/>
      </c>
      <c r="N1334" s="8" t="str">
        <f t="shared" si="3"/>
        <v>BT atau SU Belum Valid</v>
      </c>
      <c r="O1334" s="21" t="str">
        <f t="shared" si="22"/>
        <v/>
      </c>
      <c r="P1334" s="24" t="b">
        <v>0</v>
      </c>
      <c r="Q1334" s="20" t="str">
        <f t="shared" si="31"/>
        <v/>
      </c>
      <c r="R1334" s="24" t="b">
        <v>0</v>
      </c>
      <c r="S1334" s="7" t="str">
        <f t="shared" si="6"/>
        <v/>
      </c>
      <c r="T1334" s="7"/>
    </row>
    <row r="1335" ht="22.5" hidden="1" customHeight="1">
      <c r="B1335" s="7">
        <f t="shared" si="7"/>
        <v>1329</v>
      </c>
      <c r="C1335" s="18" t="s">
        <v>1304</v>
      </c>
      <c r="D1335" s="19" t="str">
        <f t="array" ref="D1335">IFNA(_xlfn.XLOOKUP(C1335,Table_Tarikan_Warkah[Nomor Sertipikat],Table_Tarikan_Warkah[Nomor Tiket]),"")</f>
        <v>K/30/281124/1</v>
      </c>
      <c r="E1335" s="20">
        <f t="array" ref="E1335">IFNA(_xlfn.XLOOKUP(D1335,Table_Tarikan_Warkah[Nomor Tiket],Table_Tarikan_Warkah[Tanggal diserahkan kepada Validator]),"")</f>
        <v>45628.40326</v>
      </c>
      <c r="F1335" s="20" t="str">
        <f t="array" ref="F1335">IFNA(_xlfn.XLOOKUP(D1335,Table_Tarikan_Warkah[Nomor Tiket],Table_Tarikan_Warkah[Nama Petugas Warkah]),"")</f>
        <v>David</v>
      </c>
      <c r="G1335" s="21" t="str">
        <f t="array" ref="G1335">IFNA(_xlfn.XLOOKUP(D1335,Table_Tarikan_Warkah[Nomor Tiket],Table_Tarikan_Warkah[Jenis Permohonan]),"")</f>
        <v>KEWARISAN </v>
      </c>
      <c r="H1335" s="26"/>
      <c r="I1335" s="26"/>
      <c r="J1335" s="20" t="str">
        <f t="shared" si="29"/>
        <v/>
      </c>
      <c r="K1335" s="26"/>
      <c r="L1335" s="26"/>
      <c r="M1335" s="20" t="str">
        <f t="shared" si="30"/>
        <v/>
      </c>
      <c r="N1335" s="8" t="str">
        <f t="shared" si="3"/>
        <v>BT atau SU Belum Valid</v>
      </c>
      <c r="O1335" s="21" t="str">
        <f t="shared" si="22"/>
        <v/>
      </c>
      <c r="P1335" s="24" t="b">
        <v>0</v>
      </c>
      <c r="Q1335" s="20" t="str">
        <f t="shared" si="31"/>
        <v/>
      </c>
      <c r="R1335" s="24" t="b">
        <v>0</v>
      </c>
      <c r="S1335" s="7" t="str">
        <f t="shared" si="6"/>
        <v/>
      </c>
      <c r="T1335" s="7"/>
    </row>
    <row r="1336" ht="22.5" hidden="1" customHeight="1">
      <c r="B1336" s="7">
        <f t="shared" si="7"/>
        <v>1330</v>
      </c>
      <c r="C1336" s="18" t="s">
        <v>1305</v>
      </c>
      <c r="D1336" s="19" t="str">
        <f t="array" ref="D1336">IFNA(_xlfn.XLOOKUP(C1336,Table_Tarikan_Warkah[Nomor Sertipikat],Table_Tarikan_Warkah[Nomor Tiket]),"")</f>
        <v>K/21/171224/1</v>
      </c>
      <c r="E1336" s="20" t="str">
        <f t="array" ref="E1336">IFNA(_xlfn.XLOOKUP(D1336,Table_Tarikan_Warkah[Nomor Tiket],Table_Tarikan_Warkah[Tanggal diserahkan kepada Validator]),"")</f>
        <v/>
      </c>
      <c r="F1336" s="20" t="str">
        <f t="array" ref="F1336">IFNA(_xlfn.XLOOKUP(D1336,Table_Tarikan_Warkah[Nomor Tiket],Table_Tarikan_Warkah[Nama Petugas Warkah]),"")</f>
        <v/>
      </c>
      <c r="G1336" s="21" t="str">
        <f t="array" ref="G1336">IFNA(_xlfn.XLOOKUP(D1336,Table_Tarikan_Warkah[Nomor Tiket],Table_Tarikan_Warkah[Jenis Permohonan]),"")</f>
        <v>BN JUAL BELI</v>
      </c>
      <c r="H1336" s="26"/>
      <c r="I1336" s="26"/>
      <c r="J1336" s="20" t="str">
        <f t="shared" si="29"/>
        <v/>
      </c>
      <c r="K1336" s="26"/>
      <c r="L1336" s="26"/>
      <c r="M1336" s="20" t="str">
        <f t="shared" si="30"/>
        <v/>
      </c>
      <c r="N1336" s="8" t="str">
        <f t="shared" si="3"/>
        <v>BT atau SU Belum Valid</v>
      </c>
      <c r="O1336" s="21" t="str">
        <f t="shared" si="22"/>
        <v/>
      </c>
      <c r="P1336" s="24" t="b">
        <v>0</v>
      </c>
      <c r="Q1336" s="20" t="str">
        <f t="shared" si="31"/>
        <v/>
      </c>
      <c r="R1336" s="24" t="b">
        <v>0</v>
      </c>
      <c r="S1336" s="7" t="str">
        <f t="shared" si="6"/>
        <v/>
      </c>
      <c r="T1336" s="7"/>
    </row>
    <row r="1337" ht="22.5" hidden="1" customHeight="1">
      <c r="B1337" s="7">
        <f t="shared" si="7"/>
        <v>1331</v>
      </c>
      <c r="C1337" s="18" t="s">
        <v>1306</v>
      </c>
      <c r="D1337" s="19" t="str">
        <f t="array" ref="D1337">IFNA(_xlfn.XLOOKUP(C1337,Table_Tarikan_Warkah[Nomor Sertipikat],Table_Tarikan_Warkah[Nomor Tiket]),"")</f>
        <v>K/11/171224/1</v>
      </c>
      <c r="E1337" s="20" t="str">
        <f t="array" ref="E1337">IFNA(_xlfn.XLOOKUP(D1337,Table_Tarikan_Warkah[Nomor Tiket],Table_Tarikan_Warkah[Tanggal diserahkan kepada Validator]),"")</f>
        <v/>
      </c>
      <c r="F1337" s="20" t="str">
        <f t="array" ref="F1337">IFNA(_xlfn.XLOOKUP(D1337,Table_Tarikan_Warkah[Nomor Tiket],Table_Tarikan_Warkah[Nama Petugas Warkah]),"")</f>
        <v/>
      </c>
      <c r="G1337" s="21" t="str">
        <f t="array" ref="G1337">IFNA(_xlfn.XLOOKUP(D1337,Table_Tarikan_Warkah[Nomor Tiket],Table_Tarikan_Warkah[Jenis Permohonan]),"")</f>
        <v>BN JUAL BELI</v>
      </c>
      <c r="H1337" s="26"/>
      <c r="I1337" s="26"/>
      <c r="J1337" s="20" t="str">
        <f t="shared" si="29"/>
        <v/>
      </c>
      <c r="K1337" s="26"/>
      <c r="L1337" s="26"/>
      <c r="M1337" s="20" t="str">
        <f t="shared" si="30"/>
        <v/>
      </c>
      <c r="N1337" s="8" t="str">
        <f t="shared" si="3"/>
        <v>BT atau SU Belum Valid</v>
      </c>
      <c r="O1337" s="21" t="str">
        <f t="shared" si="22"/>
        <v/>
      </c>
      <c r="P1337" s="24" t="b">
        <v>0</v>
      </c>
      <c r="Q1337" s="20" t="str">
        <f t="shared" si="31"/>
        <v/>
      </c>
      <c r="R1337" s="24" t="b">
        <v>0</v>
      </c>
      <c r="S1337" s="7" t="str">
        <f t="shared" si="6"/>
        <v/>
      </c>
      <c r="T1337" s="7"/>
    </row>
    <row r="1338" ht="22.5" hidden="1" customHeight="1">
      <c r="B1338" s="7">
        <f t="shared" si="7"/>
        <v>1332</v>
      </c>
      <c r="C1338" s="18" t="s">
        <v>1307</v>
      </c>
      <c r="D1338" s="19" t="str">
        <f t="array" ref="D1338">IFNA(_xlfn.XLOOKUP(C1338,Table_Tarikan_Warkah[Nomor Sertipikat],Table_Tarikan_Warkah[Nomor Tiket]),"")</f>
        <v>K/49/191224/1</v>
      </c>
      <c r="E1338" s="20" t="str">
        <f t="array" ref="E1338">IFNA(_xlfn.XLOOKUP(D1338,Table_Tarikan_Warkah[Nomor Tiket],Table_Tarikan_Warkah[Tanggal diserahkan kepada Validator]),"")</f>
        <v/>
      </c>
      <c r="F1338" s="20" t="str">
        <f t="array" ref="F1338">IFNA(_xlfn.XLOOKUP(D1338,Table_Tarikan_Warkah[Nomor Tiket],Table_Tarikan_Warkah[Nama Petugas Warkah]),"")</f>
        <v>David</v>
      </c>
      <c r="G1338" s="21" t="str">
        <f t="array" ref="G1338">IFNA(_xlfn.XLOOKUP(D1338,Table_Tarikan_Warkah[Nomor Tiket],Table_Tarikan_Warkah[Jenis Permohonan]),"")</f>
        <v>BN JUAL BELI</v>
      </c>
      <c r="H1338" s="22" t="s">
        <v>37</v>
      </c>
      <c r="I1338" s="22" t="s">
        <v>187</v>
      </c>
      <c r="J1338" s="20">
        <f t="shared" si="29"/>
        <v>45649.70483</v>
      </c>
      <c r="K1338" s="26"/>
      <c r="L1338" s="26"/>
      <c r="M1338" s="20" t="str">
        <f t="shared" si="30"/>
        <v/>
      </c>
      <c r="N1338" s="8" t="str">
        <f t="shared" si="3"/>
        <v>BT atau SU Belum Valid</v>
      </c>
      <c r="O1338" s="21" t="str">
        <f t="shared" si="22"/>
        <v/>
      </c>
      <c r="P1338" s="24" t="b">
        <v>0</v>
      </c>
      <c r="Q1338" s="20" t="str">
        <f t="shared" si="31"/>
        <v/>
      </c>
      <c r="R1338" s="24" t="b">
        <v>1</v>
      </c>
      <c r="S1338" s="20">
        <f t="shared" si="6"/>
        <v>45653.58723</v>
      </c>
      <c r="T1338" s="8" t="s">
        <v>1199</v>
      </c>
    </row>
    <row r="1339" ht="22.5" hidden="1" customHeight="1">
      <c r="B1339" s="7">
        <f t="shared" si="7"/>
        <v>1333</v>
      </c>
      <c r="C1339" s="18" t="s">
        <v>1308</v>
      </c>
      <c r="D1339" s="19" t="str">
        <f t="array" ref="D1339">IFNA(_xlfn.XLOOKUP(C1339,Table_Tarikan_Warkah[Nomor Sertipikat],Table_Tarikan_Warkah[Nomor Tiket]),"")</f>
        <v>K/11/191224/1</v>
      </c>
      <c r="E1339" s="20" t="str">
        <f t="array" ref="E1339">IFNA(_xlfn.XLOOKUP(D1339,Table_Tarikan_Warkah[Nomor Tiket],Table_Tarikan_Warkah[Tanggal diserahkan kepada Validator]),"")</f>
        <v/>
      </c>
      <c r="F1339" s="20" t="str">
        <f t="array" ref="F1339">IFNA(_xlfn.XLOOKUP(D1339,Table_Tarikan_Warkah[Nomor Tiket],Table_Tarikan_Warkah[Nama Petugas Warkah]),"")</f>
        <v/>
      </c>
      <c r="G1339" s="21" t="str">
        <f t="array" ref="G1339">IFNA(_xlfn.XLOOKUP(D1339,Table_Tarikan_Warkah[Nomor Tiket],Table_Tarikan_Warkah[Jenis Permohonan]),"")</f>
        <v>BN WARIS</v>
      </c>
      <c r="H1339" s="22" t="s">
        <v>37</v>
      </c>
      <c r="I1339" s="22" t="s">
        <v>187</v>
      </c>
      <c r="J1339" s="20">
        <f t="shared" si="29"/>
        <v>45649.70595</v>
      </c>
      <c r="K1339" s="26"/>
      <c r="L1339" s="26"/>
      <c r="M1339" s="20" t="str">
        <f t="shared" si="30"/>
        <v/>
      </c>
      <c r="N1339" s="8" t="str">
        <f t="shared" si="3"/>
        <v>BT atau SU Belum Valid</v>
      </c>
      <c r="O1339" s="21" t="str">
        <f t="shared" si="22"/>
        <v/>
      </c>
      <c r="P1339" s="24" t="b">
        <v>0</v>
      </c>
      <c r="Q1339" s="20" t="str">
        <f t="shared" si="31"/>
        <v/>
      </c>
      <c r="R1339" s="24" t="b">
        <v>0</v>
      </c>
      <c r="S1339" s="7" t="str">
        <f t="shared" si="6"/>
        <v/>
      </c>
      <c r="T1339" s="7"/>
    </row>
    <row r="1340" ht="22.5" hidden="1" customHeight="1">
      <c r="B1340" s="7">
        <f t="shared" si="7"/>
        <v>1334</v>
      </c>
      <c r="C1340" s="18" t="s">
        <v>1309</v>
      </c>
      <c r="D1340" s="19" t="str">
        <f t="array" ref="D1340">IFNA(_xlfn.XLOOKUP(C1340,Table_Tarikan_Warkah[Nomor Sertipikat],Table_Tarikan_Warkah[Nomor Tiket]),"")</f>
        <v>L/17/111224/1</v>
      </c>
      <c r="E1340" s="20" t="str">
        <f t="array" ref="E1340">IFNA(_xlfn.XLOOKUP(D1340,Table_Tarikan_Warkah[Nomor Tiket],Table_Tarikan_Warkah[Tanggal diserahkan kepada Validator]),"")</f>
        <v/>
      </c>
      <c r="F1340" s="20" t="str">
        <f t="array" ref="F1340">IFNA(_xlfn.XLOOKUP(D1340,Table_Tarikan_Warkah[Nomor Tiket],Table_Tarikan_Warkah[Nama Petugas Warkah]),"")</f>
        <v/>
      </c>
      <c r="G1340" s="21" t="str">
        <f t="array" ref="G1340">IFNA(_xlfn.XLOOKUP(D1340,Table_Tarikan_Warkah[Nomor Tiket],Table_Tarikan_Warkah[Jenis Permohonan]),"")</f>
        <v>BN WARIS</v>
      </c>
      <c r="H1340" s="22" t="s">
        <v>37</v>
      </c>
      <c r="I1340" s="22" t="s">
        <v>187</v>
      </c>
      <c r="J1340" s="20">
        <f t="shared" si="29"/>
        <v>45649.71387</v>
      </c>
      <c r="K1340" s="22" t="s">
        <v>33</v>
      </c>
      <c r="L1340" s="22" t="s">
        <v>32</v>
      </c>
      <c r="M1340" s="20">
        <f t="shared" si="30"/>
        <v>45649.7139</v>
      </c>
      <c r="N1340" s="8" t="str">
        <f t="shared" si="3"/>
        <v>Selesai</v>
      </c>
      <c r="O1340" s="23">
        <f t="shared" si="22"/>
        <v>45649.7139</v>
      </c>
      <c r="P1340" s="24" t="b">
        <v>1</v>
      </c>
      <c r="Q1340" s="20">
        <f t="shared" si="31"/>
        <v>45649.71393</v>
      </c>
      <c r="R1340" s="24" t="b">
        <v>0</v>
      </c>
      <c r="S1340" s="7" t="str">
        <f t="shared" si="6"/>
        <v/>
      </c>
      <c r="T1340" s="7"/>
    </row>
    <row r="1341" ht="22.5" hidden="1" customHeight="1">
      <c r="B1341" s="7">
        <f t="shared" si="7"/>
        <v>1335</v>
      </c>
      <c r="C1341" s="18" t="s">
        <v>1310</v>
      </c>
      <c r="D1341" s="19" t="str">
        <f t="array" ref="D1341">IFNA(_xlfn.XLOOKUP(C1341,Table_Tarikan_Warkah[Nomor Sertipikat],Table_Tarikan_Warkah[Nomor Tiket]),"")</f>
        <v>K/5/191224/1</v>
      </c>
      <c r="E1341" s="20" t="str">
        <f t="array" ref="E1341">IFNA(_xlfn.XLOOKUP(D1341,Table_Tarikan_Warkah[Nomor Tiket],Table_Tarikan_Warkah[Tanggal diserahkan kepada Validator]),"")</f>
        <v/>
      </c>
      <c r="F1341" s="20" t="str">
        <f t="array" ref="F1341">IFNA(_xlfn.XLOOKUP(D1341,Table_Tarikan_Warkah[Nomor Tiket],Table_Tarikan_Warkah[Nama Petugas Warkah]),"")</f>
        <v/>
      </c>
      <c r="G1341" s="21" t="str">
        <f t="array" ref="G1341">IFNA(_xlfn.XLOOKUP(D1341,Table_Tarikan_Warkah[Nomor Tiket],Table_Tarikan_Warkah[Jenis Permohonan]),"")</f>
        <v>BN JUAL BELI</v>
      </c>
      <c r="H1341" s="22" t="s">
        <v>37</v>
      </c>
      <c r="I1341" s="22" t="s">
        <v>32</v>
      </c>
      <c r="J1341" s="20">
        <f t="shared" si="29"/>
        <v>45650.47758</v>
      </c>
      <c r="K1341" s="22" t="s">
        <v>65</v>
      </c>
      <c r="L1341" s="22" t="s">
        <v>32</v>
      </c>
      <c r="M1341" s="20">
        <f t="shared" si="30"/>
        <v>45653.582</v>
      </c>
      <c r="N1341" s="8" t="str">
        <f t="shared" si="3"/>
        <v>SELESAI</v>
      </c>
      <c r="O1341" s="23">
        <f t="shared" si="22"/>
        <v>45653.582</v>
      </c>
      <c r="P1341" s="24" t="b">
        <v>0</v>
      </c>
      <c r="Q1341" s="20" t="str">
        <f t="shared" si="31"/>
        <v/>
      </c>
      <c r="R1341" s="24" t="b">
        <v>1</v>
      </c>
      <c r="S1341" s="20">
        <f t="shared" si="6"/>
        <v>45653.58204</v>
      </c>
      <c r="T1341" s="7"/>
    </row>
    <row r="1342" ht="22.5" hidden="1" customHeight="1">
      <c r="B1342" s="7">
        <f t="shared" si="7"/>
        <v>1336</v>
      </c>
      <c r="C1342" s="18" t="s">
        <v>1311</v>
      </c>
      <c r="D1342" s="19" t="str">
        <f t="array" ref="D1342">IFNA(_xlfn.XLOOKUP(C1342,Table_Tarikan_Warkah[Nomor Sertipikat],Table_Tarikan_Warkah[Nomor Tiket]),"")</f>
        <v>K/9/191224/1</v>
      </c>
      <c r="E1342" s="20" t="str">
        <f t="array" ref="E1342">IFNA(_xlfn.XLOOKUP(D1342,Table_Tarikan_Warkah[Nomor Tiket],Table_Tarikan_Warkah[Tanggal diserahkan kepada Validator]),"")</f>
        <v/>
      </c>
      <c r="F1342" s="20" t="str">
        <f t="array" ref="F1342">IFNA(_xlfn.XLOOKUP(D1342,Table_Tarikan_Warkah[Nomor Tiket],Table_Tarikan_Warkah[Nama Petugas Warkah]),"")</f>
        <v>Berry</v>
      </c>
      <c r="G1342" s="21" t="str">
        <f t="array" ref="G1342">IFNA(_xlfn.XLOOKUP(D1342,Table_Tarikan_Warkah[Nomor Tiket],Table_Tarikan_Warkah[Jenis Permohonan]),"")</f>
        <v>BN JUAL BELI</v>
      </c>
      <c r="H1342" s="22" t="s">
        <v>37</v>
      </c>
      <c r="I1342" s="22" t="s">
        <v>32</v>
      </c>
      <c r="J1342" s="20">
        <f t="shared" si="29"/>
        <v>45650.47758</v>
      </c>
      <c r="K1342" s="22" t="s">
        <v>65</v>
      </c>
      <c r="L1342" s="22" t="s">
        <v>32</v>
      </c>
      <c r="M1342" s="20">
        <f t="shared" si="30"/>
        <v>45653.58062</v>
      </c>
      <c r="N1342" s="8" t="str">
        <f t="shared" si="3"/>
        <v>SELESAI</v>
      </c>
      <c r="O1342" s="23">
        <f t="shared" si="22"/>
        <v>45653.58062</v>
      </c>
      <c r="P1342" s="24" t="b">
        <v>0</v>
      </c>
      <c r="Q1342" s="20" t="str">
        <f t="shared" si="31"/>
        <v/>
      </c>
      <c r="R1342" s="24" t="b">
        <v>1</v>
      </c>
      <c r="S1342" s="20">
        <f t="shared" si="6"/>
        <v>45653.58204</v>
      </c>
      <c r="T1342" s="7"/>
    </row>
    <row r="1343" ht="22.5" hidden="1" customHeight="1">
      <c r="B1343" s="7">
        <f t="shared" si="7"/>
        <v>1337</v>
      </c>
      <c r="C1343" s="18" t="s">
        <v>1312</v>
      </c>
      <c r="D1343" s="19" t="str">
        <f t="array" ref="D1343">IFNA(_xlfn.XLOOKUP(C1343,Table_Tarikan_Warkah[Nomor Sertipikat],Table_Tarikan_Warkah[Nomor Tiket]),"")</f>
        <v>L/20/191224/1</v>
      </c>
      <c r="E1343" s="20" t="str">
        <f t="array" ref="E1343">IFNA(_xlfn.XLOOKUP(D1343,Table_Tarikan_Warkah[Nomor Tiket],Table_Tarikan_Warkah[Tanggal diserahkan kepada Validator]),"")</f>
        <v/>
      </c>
      <c r="F1343" s="20" t="str">
        <f t="array" ref="F1343">IFNA(_xlfn.XLOOKUP(D1343,Table_Tarikan_Warkah[Nomor Tiket],Table_Tarikan_Warkah[Nama Petugas Warkah]),"")</f>
        <v/>
      </c>
      <c r="G1343" s="21" t="str">
        <f t="array" ref="G1343">IFNA(_xlfn.XLOOKUP(D1343,Table_Tarikan_Warkah[Nomor Tiket],Table_Tarikan_Warkah[Jenis Permohonan]),"")</f>
        <v>BN WARIS</v>
      </c>
      <c r="H1343" s="22" t="s">
        <v>37</v>
      </c>
      <c r="I1343" s="22" t="s">
        <v>32</v>
      </c>
      <c r="J1343" s="20">
        <f t="shared" si="29"/>
        <v>45650.47758</v>
      </c>
      <c r="K1343" s="22" t="s">
        <v>65</v>
      </c>
      <c r="L1343" s="22" t="s">
        <v>32</v>
      </c>
      <c r="M1343" s="20">
        <f t="shared" si="30"/>
        <v>45653.58882</v>
      </c>
      <c r="N1343" s="8" t="str">
        <f t="shared" si="3"/>
        <v>SELESAI</v>
      </c>
      <c r="O1343" s="23">
        <f t="shared" si="22"/>
        <v>45653.58882</v>
      </c>
      <c r="P1343" s="24" t="b">
        <v>0</v>
      </c>
      <c r="Q1343" s="20" t="str">
        <f t="shared" si="31"/>
        <v/>
      </c>
      <c r="R1343" s="24" t="b">
        <v>1</v>
      </c>
      <c r="S1343" s="20">
        <f t="shared" si="6"/>
        <v>45653.58885</v>
      </c>
      <c r="T1343" s="7"/>
    </row>
    <row r="1344" ht="22.5" hidden="1" customHeight="1">
      <c r="B1344" s="7">
        <f t="shared" si="7"/>
        <v>1338</v>
      </c>
      <c r="C1344" s="18" t="s">
        <v>1313</v>
      </c>
      <c r="D1344" s="19" t="str">
        <f t="array" ref="D1344">IFNA(_xlfn.XLOOKUP(C1344,Table_Tarikan_Warkah[Nomor Sertipikat],Table_Tarikan_Warkah[Nomor Tiket]),"")</f>
        <v>K/34/191224/1</v>
      </c>
      <c r="E1344" s="20">
        <f t="array" ref="E1344">IFNA(_xlfn.XLOOKUP(D1344,Table_Tarikan_Warkah[Nomor Tiket],Table_Tarikan_Warkah[Tanggal diserahkan kepada Validator]),"")</f>
        <v>45649.70523</v>
      </c>
      <c r="F1344" s="20" t="str">
        <f t="array" ref="F1344">IFNA(_xlfn.XLOOKUP(D1344,Table_Tarikan_Warkah[Nomor Tiket],Table_Tarikan_Warkah[Nama Petugas Warkah]),"")</f>
        <v>David</v>
      </c>
      <c r="G1344" s="21" t="str">
        <f t="array" ref="G1344">IFNA(_xlfn.XLOOKUP(D1344,Table_Tarikan_Warkah[Nomor Tiket],Table_Tarikan_Warkah[Jenis Permohonan]),"")</f>
        <v>ROYA</v>
      </c>
      <c r="H1344" s="22" t="s">
        <v>37</v>
      </c>
      <c r="I1344" s="22" t="s">
        <v>32</v>
      </c>
      <c r="J1344" s="20">
        <f t="shared" si="29"/>
        <v>45650.47758</v>
      </c>
      <c r="K1344" s="22" t="s">
        <v>65</v>
      </c>
      <c r="L1344" s="22" t="s">
        <v>32</v>
      </c>
      <c r="M1344" s="20">
        <f t="shared" si="30"/>
        <v>45653.58618</v>
      </c>
      <c r="N1344" s="8" t="str">
        <f t="shared" si="3"/>
        <v>SELESAI</v>
      </c>
      <c r="O1344" s="23">
        <f t="shared" si="22"/>
        <v>45653.58618</v>
      </c>
      <c r="P1344" s="24" t="b">
        <v>0</v>
      </c>
      <c r="Q1344" s="20" t="str">
        <f t="shared" si="31"/>
        <v/>
      </c>
      <c r="R1344" s="24" t="b">
        <v>1</v>
      </c>
      <c r="S1344" s="20">
        <f t="shared" si="6"/>
        <v>45653.58621</v>
      </c>
      <c r="T1344" s="7"/>
    </row>
    <row r="1345" ht="22.5" hidden="1" customHeight="1">
      <c r="B1345" s="7">
        <f t="shared" si="7"/>
        <v>1339</v>
      </c>
      <c r="C1345" s="18" t="s">
        <v>1314</v>
      </c>
      <c r="D1345" s="19" t="str">
        <f t="array" ref="D1345">IFNA(_xlfn.XLOOKUP(C1345,Table_Tarikan_Warkah[Nomor Sertipikat],Table_Tarikan_Warkah[Nomor Tiket]),"")</f>
        <v>K/36/191224/3</v>
      </c>
      <c r="E1345" s="20">
        <f t="array" ref="E1345">IFNA(_xlfn.XLOOKUP(D1345,Table_Tarikan_Warkah[Nomor Tiket],Table_Tarikan_Warkah[Tanggal diserahkan kepada Validator]),"")</f>
        <v>45649.70535</v>
      </c>
      <c r="F1345" s="20" t="str">
        <f t="array" ref="F1345">IFNA(_xlfn.XLOOKUP(D1345,Table_Tarikan_Warkah[Nomor Tiket],Table_Tarikan_Warkah[Nama Petugas Warkah]),"")</f>
        <v>David</v>
      </c>
      <c r="G1345" s="21" t="str">
        <f t="array" ref="G1345">IFNA(_xlfn.XLOOKUP(D1345,Table_Tarikan_Warkah[Nomor Tiket],Table_Tarikan_Warkah[Jenis Permohonan]),"")</f>
        <v>BN Jual Beli</v>
      </c>
      <c r="H1345" s="22" t="s">
        <v>37</v>
      </c>
      <c r="I1345" s="22" t="s">
        <v>32</v>
      </c>
      <c r="J1345" s="20">
        <f t="shared" si="29"/>
        <v>45650.47758</v>
      </c>
      <c r="K1345" s="22" t="s">
        <v>65</v>
      </c>
      <c r="L1345" s="22" t="s">
        <v>32</v>
      </c>
      <c r="M1345" s="20">
        <f t="shared" si="30"/>
        <v>45653.58642</v>
      </c>
      <c r="N1345" s="8" t="str">
        <f t="shared" si="3"/>
        <v>SELESAI</v>
      </c>
      <c r="O1345" s="23">
        <f t="shared" si="22"/>
        <v>45653.58642</v>
      </c>
      <c r="P1345" s="24" t="b">
        <v>0</v>
      </c>
      <c r="Q1345" s="20" t="str">
        <f t="shared" si="31"/>
        <v/>
      </c>
      <c r="R1345" s="24" t="b">
        <v>1</v>
      </c>
      <c r="S1345" s="20">
        <f t="shared" si="6"/>
        <v>45653.58645</v>
      </c>
      <c r="T1345" s="7"/>
    </row>
    <row r="1346" ht="22.5" hidden="1" customHeight="1">
      <c r="B1346" s="7">
        <f t="shared" si="7"/>
        <v>1340</v>
      </c>
      <c r="C1346" s="18" t="s">
        <v>1315</v>
      </c>
      <c r="D1346" s="19" t="str">
        <f t="array" ref="D1346">IFNA(_xlfn.XLOOKUP(C1346,Table_Tarikan_Warkah[Nomor Sertipikat],Table_Tarikan_Warkah[Nomor Tiket]),"")</f>
        <v>K/40/191224/1</v>
      </c>
      <c r="E1346" s="20" t="str">
        <f t="array" ref="E1346">IFNA(_xlfn.XLOOKUP(D1346,Table_Tarikan_Warkah[Nomor Tiket],Table_Tarikan_Warkah[Tanggal diserahkan kepada Validator]),"")</f>
        <v/>
      </c>
      <c r="F1346" s="20" t="str">
        <f t="array" ref="F1346">IFNA(_xlfn.XLOOKUP(D1346,Table_Tarikan_Warkah[Nomor Tiket],Table_Tarikan_Warkah[Nama Petugas Warkah]),"")</f>
        <v/>
      </c>
      <c r="G1346" s="21" t="str">
        <f t="array" ref="G1346">IFNA(_xlfn.XLOOKUP(D1346,Table_Tarikan_Warkah[Nomor Tiket],Table_Tarikan_Warkah[Jenis Permohonan]),"")</f>
        <v>BN JUAL BELI</v>
      </c>
      <c r="H1346" s="22" t="s">
        <v>37</v>
      </c>
      <c r="I1346" s="22" t="s">
        <v>32</v>
      </c>
      <c r="J1346" s="20">
        <f t="shared" si="29"/>
        <v>45650.47758</v>
      </c>
      <c r="K1346" s="22" t="s">
        <v>65</v>
      </c>
      <c r="L1346" s="22" t="s">
        <v>32</v>
      </c>
      <c r="M1346" s="20">
        <f t="shared" si="30"/>
        <v>45653.58789</v>
      </c>
      <c r="N1346" s="8" t="str">
        <f t="shared" si="3"/>
        <v>SELESAI</v>
      </c>
      <c r="O1346" s="23">
        <f t="shared" si="22"/>
        <v>45653.58789</v>
      </c>
      <c r="P1346" s="24" t="b">
        <v>0</v>
      </c>
      <c r="Q1346" s="20" t="str">
        <f t="shared" si="31"/>
        <v/>
      </c>
      <c r="R1346" s="24" t="b">
        <v>1</v>
      </c>
      <c r="S1346" s="20">
        <f t="shared" si="6"/>
        <v>45653.58793</v>
      </c>
      <c r="T1346" s="7"/>
    </row>
    <row r="1347" ht="22.5" hidden="1" customHeight="1">
      <c r="B1347" s="7">
        <f t="shared" si="7"/>
        <v>1341</v>
      </c>
      <c r="C1347" s="18" t="s">
        <v>1316</v>
      </c>
      <c r="D1347" s="19" t="str">
        <f t="array" ref="D1347">IFNA(_xlfn.XLOOKUP(C1347,Table_Tarikan_Warkah[Nomor Sertipikat],Table_Tarikan_Warkah[Nomor Tiket]),"")</f>
        <v>K/41/191224/1</v>
      </c>
      <c r="E1347" s="20" t="str">
        <f t="array" ref="E1347">IFNA(_xlfn.XLOOKUP(D1347,Table_Tarikan_Warkah[Nomor Tiket],Table_Tarikan_Warkah[Tanggal diserahkan kepada Validator]),"")</f>
        <v/>
      </c>
      <c r="F1347" s="20" t="str">
        <f t="array" ref="F1347">IFNA(_xlfn.XLOOKUP(D1347,Table_Tarikan_Warkah[Nomor Tiket],Table_Tarikan_Warkah[Nama Petugas Warkah]),"")</f>
        <v/>
      </c>
      <c r="G1347" s="21" t="str">
        <f t="array" ref="G1347">IFNA(_xlfn.XLOOKUP(D1347,Table_Tarikan_Warkah[Nomor Tiket],Table_Tarikan_Warkah[Jenis Permohonan]),"")</f>
        <v>BN JUAL BELI</v>
      </c>
      <c r="H1347" s="22" t="s">
        <v>37</v>
      </c>
      <c r="I1347" s="22" t="s">
        <v>32</v>
      </c>
      <c r="J1347" s="20">
        <f t="shared" si="29"/>
        <v>45650.47758</v>
      </c>
      <c r="K1347" s="22" t="s">
        <v>65</v>
      </c>
      <c r="L1347" s="22" t="s">
        <v>32</v>
      </c>
      <c r="M1347" s="20">
        <f t="shared" si="30"/>
        <v>45653.58766</v>
      </c>
      <c r="N1347" s="8" t="str">
        <f t="shared" si="3"/>
        <v>SELESAI</v>
      </c>
      <c r="O1347" s="23">
        <f t="shared" si="22"/>
        <v>45653.58766</v>
      </c>
      <c r="P1347" s="24" t="b">
        <v>0</v>
      </c>
      <c r="Q1347" s="20" t="str">
        <f t="shared" si="31"/>
        <v/>
      </c>
      <c r="R1347" s="24" t="b">
        <v>1</v>
      </c>
      <c r="S1347" s="20">
        <f t="shared" si="6"/>
        <v>45653.58769</v>
      </c>
      <c r="T1347" s="7"/>
    </row>
    <row r="1348" ht="22.5" hidden="1" customHeight="1">
      <c r="B1348" s="7">
        <f t="shared" si="7"/>
        <v>1342</v>
      </c>
      <c r="C1348" s="18" t="s">
        <v>1317</v>
      </c>
      <c r="D1348" s="19" t="str">
        <f t="array" ref="D1348">IFNA(_xlfn.XLOOKUP(C1348,Table_Tarikan_Warkah[Nomor Sertipikat],Table_Tarikan_Warkah[Nomor Tiket]),"")</f>
        <v>K/2/201224/1</v>
      </c>
      <c r="E1348" s="20" t="str">
        <f t="array" ref="E1348">IFNA(_xlfn.XLOOKUP(D1348,Table_Tarikan_Warkah[Nomor Tiket],Table_Tarikan_Warkah[Tanggal diserahkan kepada Validator]),"")</f>
        <v/>
      </c>
      <c r="F1348" s="20" t="str">
        <f t="array" ref="F1348">IFNA(_xlfn.XLOOKUP(D1348,Table_Tarikan_Warkah[Nomor Tiket],Table_Tarikan_Warkah[Nama Petugas Warkah]),"")</f>
        <v/>
      </c>
      <c r="G1348" s="21" t="str">
        <f t="array" ref="G1348">IFNA(_xlfn.XLOOKUP(D1348,Table_Tarikan_Warkah[Nomor Tiket],Table_Tarikan_Warkah[Jenis Permohonan]),"")</f>
        <v>BN Jual Beli</v>
      </c>
      <c r="H1348" s="22" t="s">
        <v>37</v>
      </c>
      <c r="I1348" s="22" t="s">
        <v>32</v>
      </c>
      <c r="J1348" s="20">
        <f t="shared" si="29"/>
        <v>45650.47758</v>
      </c>
      <c r="K1348" s="22" t="s">
        <v>65</v>
      </c>
      <c r="L1348" s="22" t="s">
        <v>32</v>
      </c>
      <c r="M1348" s="20">
        <f t="shared" si="30"/>
        <v>45653.58665</v>
      </c>
      <c r="N1348" s="8" t="str">
        <f t="shared" si="3"/>
        <v>SELESAI</v>
      </c>
      <c r="O1348" s="23">
        <f t="shared" si="22"/>
        <v>45653.58665</v>
      </c>
      <c r="P1348" s="24" t="b">
        <v>0</v>
      </c>
      <c r="Q1348" s="20" t="str">
        <f t="shared" si="31"/>
        <v/>
      </c>
      <c r="R1348" s="24" t="b">
        <v>1</v>
      </c>
      <c r="S1348" s="20">
        <f t="shared" si="6"/>
        <v>45653.58668</v>
      </c>
      <c r="T1348" s="7"/>
    </row>
    <row r="1349" ht="22.5" hidden="1" customHeight="1">
      <c r="B1349" s="7">
        <f t="shared" si="7"/>
        <v>1343</v>
      </c>
      <c r="C1349" s="18" t="s">
        <v>1318</v>
      </c>
      <c r="D1349" s="19" t="str">
        <f t="array" ref="D1349">IFNA(_xlfn.XLOOKUP(C1349,Table_Tarikan_Warkah[Nomor Sertipikat],Table_Tarikan_Warkah[Nomor Tiket]),"")</f>
        <v>K/7/201224/1</v>
      </c>
      <c r="E1349" s="20" t="str">
        <f t="array" ref="E1349">IFNA(_xlfn.XLOOKUP(D1349,Table_Tarikan_Warkah[Nomor Tiket],Table_Tarikan_Warkah[Tanggal diserahkan kepada Validator]),"")</f>
        <v/>
      </c>
      <c r="F1349" s="20" t="str">
        <f t="array" ref="F1349">IFNA(_xlfn.XLOOKUP(D1349,Table_Tarikan_Warkah[Nomor Tiket],Table_Tarikan_Warkah[Nama Petugas Warkah]),"")</f>
        <v/>
      </c>
      <c r="G1349" s="21" t="str">
        <f t="array" ref="G1349">IFNA(_xlfn.XLOOKUP(D1349,Table_Tarikan_Warkah[Nomor Tiket],Table_Tarikan_Warkah[Jenis Permohonan]),"")</f>
        <v>ROYA</v>
      </c>
      <c r="H1349" s="22" t="s">
        <v>37</v>
      </c>
      <c r="I1349" s="22" t="s">
        <v>32</v>
      </c>
      <c r="J1349" s="20">
        <f t="shared" si="29"/>
        <v>45650.47758</v>
      </c>
      <c r="K1349" s="22" t="s">
        <v>65</v>
      </c>
      <c r="L1349" s="22" t="s">
        <v>32</v>
      </c>
      <c r="M1349" s="20">
        <f t="shared" si="30"/>
        <v>45653.58254</v>
      </c>
      <c r="N1349" s="8" t="str">
        <f t="shared" si="3"/>
        <v>SELESAI</v>
      </c>
      <c r="O1349" s="23">
        <f t="shared" si="22"/>
        <v>45653.58254</v>
      </c>
      <c r="P1349" s="24" t="b">
        <v>0</v>
      </c>
      <c r="Q1349" s="20" t="str">
        <f t="shared" si="31"/>
        <v/>
      </c>
      <c r="R1349" s="24" t="b">
        <v>1</v>
      </c>
      <c r="S1349" s="20">
        <f t="shared" si="6"/>
        <v>45653.58257</v>
      </c>
      <c r="T1349" s="7"/>
    </row>
    <row r="1350" ht="22.5" hidden="1" customHeight="1">
      <c r="B1350" s="7">
        <f t="shared" si="7"/>
        <v>1344</v>
      </c>
      <c r="C1350" s="18" t="s">
        <v>1319</v>
      </c>
      <c r="D1350" s="19" t="str">
        <f t="array" ref="D1350">IFNA(_xlfn.XLOOKUP(C1350,Table_Tarikan_Warkah[Nomor Sertipikat],Table_Tarikan_Warkah[Nomor Tiket]),"")</f>
        <v>K/16/201224/2</v>
      </c>
      <c r="E1350" s="20" t="str">
        <f t="array" ref="E1350">IFNA(_xlfn.XLOOKUP(D1350,Table_Tarikan_Warkah[Nomor Tiket],Table_Tarikan_Warkah[Tanggal diserahkan kepada Validator]),"")</f>
        <v/>
      </c>
      <c r="F1350" s="20" t="str">
        <f t="array" ref="F1350">IFNA(_xlfn.XLOOKUP(D1350,Table_Tarikan_Warkah[Nomor Tiket],Table_Tarikan_Warkah[Nama Petugas Warkah]),"")</f>
        <v/>
      </c>
      <c r="G1350" s="21" t="str">
        <f t="array" ref="G1350">IFNA(_xlfn.XLOOKUP(D1350,Table_Tarikan_Warkah[Nomor Tiket],Table_Tarikan_Warkah[Jenis Permohonan]),"")</f>
        <v>BN Jual Beli</v>
      </c>
      <c r="H1350" s="22" t="s">
        <v>37</v>
      </c>
      <c r="I1350" s="22" t="s">
        <v>32</v>
      </c>
      <c r="J1350" s="20">
        <f t="shared" si="29"/>
        <v>45650.47758</v>
      </c>
      <c r="K1350" s="22" t="s">
        <v>65</v>
      </c>
      <c r="L1350" s="22" t="s">
        <v>32</v>
      </c>
      <c r="M1350" s="20">
        <f t="shared" si="30"/>
        <v>45653.58584</v>
      </c>
      <c r="N1350" s="8" t="str">
        <f t="shared" si="3"/>
        <v>SELESAI</v>
      </c>
      <c r="O1350" s="23">
        <f t="shared" si="22"/>
        <v>45653.58584</v>
      </c>
      <c r="P1350" s="24" t="b">
        <v>0</v>
      </c>
      <c r="Q1350" s="20" t="str">
        <f t="shared" si="31"/>
        <v/>
      </c>
      <c r="R1350" s="24" t="b">
        <v>1</v>
      </c>
      <c r="S1350" s="20">
        <f t="shared" si="6"/>
        <v>45653.58589</v>
      </c>
      <c r="T1350" s="7"/>
    </row>
    <row r="1351" ht="22.5" hidden="1" customHeight="1">
      <c r="B1351" s="7">
        <f t="shared" si="7"/>
        <v>1345</v>
      </c>
      <c r="C1351" s="18" t="s">
        <v>1320</v>
      </c>
      <c r="D1351" s="19" t="str">
        <f t="array" ref="D1351">IFNA(_xlfn.XLOOKUP(C1351,Table_Tarikan_Warkah[Nomor Sertipikat],Table_Tarikan_Warkah[Nomor Tiket]),"")</f>
        <v>K/20/2012124/1</v>
      </c>
      <c r="E1351" s="20">
        <f t="array" ref="E1351">IFNA(_xlfn.XLOOKUP(D1351,Table_Tarikan_Warkah[Nomor Tiket],Table_Tarikan_Warkah[Tanggal diserahkan kepada Validator]),"")</f>
        <v>45649.70746</v>
      </c>
      <c r="F1351" s="20" t="str">
        <f t="array" ref="F1351">IFNA(_xlfn.XLOOKUP(D1351,Table_Tarikan_Warkah[Nomor Tiket],Table_Tarikan_Warkah[Nama Petugas Warkah]),"")</f>
        <v>David</v>
      </c>
      <c r="G1351" s="21" t="str">
        <f t="array" ref="G1351">IFNA(_xlfn.XLOOKUP(D1351,Table_Tarikan_Warkah[Nomor Tiket],Table_Tarikan_Warkah[Jenis Permohonan]),"")</f>
        <v>Roya</v>
      </c>
      <c r="H1351" s="22" t="s">
        <v>37</v>
      </c>
      <c r="I1351" s="22" t="s">
        <v>32</v>
      </c>
      <c r="J1351" s="20">
        <f t="shared" si="29"/>
        <v>45650.58424</v>
      </c>
      <c r="K1351" s="22" t="s">
        <v>65</v>
      </c>
      <c r="L1351" s="22" t="s">
        <v>32</v>
      </c>
      <c r="M1351" s="20">
        <f t="shared" si="30"/>
        <v>45653.58282</v>
      </c>
      <c r="N1351" s="8" t="str">
        <f t="shared" si="3"/>
        <v>SELESAI</v>
      </c>
      <c r="O1351" s="23">
        <f t="shared" si="22"/>
        <v>45653.58282</v>
      </c>
      <c r="P1351" s="24" t="b">
        <v>0</v>
      </c>
      <c r="Q1351" s="20" t="str">
        <f t="shared" si="31"/>
        <v/>
      </c>
      <c r="R1351" s="24" t="b">
        <v>1</v>
      </c>
      <c r="S1351" s="20">
        <f t="shared" si="6"/>
        <v>45653.58285</v>
      </c>
      <c r="T1351" s="7"/>
    </row>
    <row r="1352" ht="22.5" hidden="1" customHeight="1">
      <c r="B1352" s="7">
        <f t="shared" si="7"/>
        <v>1346</v>
      </c>
      <c r="C1352" s="18" t="s">
        <v>1321</v>
      </c>
      <c r="D1352" s="19" t="str">
        <f t="array" ref="D1352">IFNA(_xlfn.XLOOKUP(C1352,Table_Tarikan_Warkah[Nomor Sertipikat],Table_Tarikan_Warkah[Nomor Tiket]),"")</f>
        <v>K/2/191224/1</v>
      </c>
      <c r="E1352" s="20" t="str">
        <f t="array" ref="E1352">IFNA(_xlfn.XLOOKUP(D1352,Table_Tarikan_Warkah[Nomor Tiket],Table_Tarikan_Warkah[Tanggal diserahkan kepada Validator]),"")</f>
        <v/>
      </c>
      <c r="F1352" s="20" t="str">
        <f t="array" ref="F1352">IFNA(_xlfn.XLOOKUP(D1352,Table_Tarikan_Warkah[Nomor Tiket],Table_Tarikan_Warkah[Nama Petugas Warkah]),"")</f>
        <v/>
      </c>
      <c r="G1352" s="21" t="str">
        <f t="array" ref="G1352">IFNA(_xlfn.XLOOKUP(D1352,Table_Tarikan_Warkah[Nomor Tiket],Table_Tarikan_Warkah[Jenis Permohonan]),"")</f>
        <v>BN Jual Beli</v>
      </c>
      <c r="H1352" s="22" t="s">
        <v>37</v>
      </c>
      <c r="I1352" s="22" t="s">
        <v>32</v>
      </c>
      <c r="J1352" s="20">
        <f t="shared" si="29"/>
        <v>45650.58516</v>
      </c>
      <c r="K1352" s="22" t="s">
        <v>65</v>
      </c>
      <c r="L1352" s="22" t="s">
        <v>32</v>
      </c>
      <c r="M1352" s="20">
        <f t="shared" si="30"/>
        <v>45653.57985</v>
      </c>
      <c r="N1352" s="8" t="str">
        <f t="shared" si="3"/>
        <v>SELESAI</v>
      </c>
      <c r="O1352" s="23">
        <f t="shared" si="22"/>
        <v>45653.57985</v>
      </c>
      <c r="P1352" s="24" t="b">
        <v>0</v>
      </c>
      <c r="Q1352" s="20" t="str">
        <f t="shared" si="31"/>
        <v/>
      </c>
      <c r="R1352" s="24" t="b">
        <v>1</v>
      </c>
      <c r="S1352" s="20">
        <f t="shared" si="6"/>
        <v>45653.57988</v>
      </c>
      <c r="T1352" s="7"/>
    </row>
    <row r="1353" ht="22.5" hidden="1" customHeight="1">
      <c r="B1353" s="7">
        <f t="shared" si="7"/>
        <v>1347</v>
      </c>
      <c r="C1353" s="18" t="s">
        <v>1322</v>
      </c>
      <c r="D1353" s="19" t="str">
        <f t="array" ref="D1353">IFNA(_xlfn.XLOOKUP(C1353,Table_Tarikan_Warkah[Nomor Sertipikat],Table_Tarikan_Warkah[Nomor Tiket]),"")</f>
        <v>L/6/191224/1</v>
      </c>
      <c r="E1353" s="20">
        <f t="array" ref="E1353">IFNA(_xlfn.XLOOKUP(D1353,Table_Tarikan_Warkah[Nomor Tiket],Table_Tarikan_Warkah[Tanggal diserahkan kepada Validator]),"")</f>
        <v>45649.70494</v>
      </c>
      <c r="F1353" s="20" t="str">
        <f t="array" ref="F1353">IFNA(_xlfn.XLOOKUP(D1353,Table_Tarikan_Warkah[Nomor Tiket],Table_Tarikan_Warkah[Nama Petugas Warkah]),"")</f>
        <v>Berry</v>
      </c>
      <c r="G1353" s="21" t="str">
        <f t="array" ref="G1353">IFNA(_xlfn.XLOOKUP(D1353,Table_Tarikan_Warkah[Nomor Tiket],Table_Tarikan_Warkah[Jenis Permohonan]),"")</f>
        <v>ROYA</v>
      </c>
      <c r="H1353" s="22" t="s">
        <v>37</v>
      </c>
      <c r="I1353" s="22" t="s">
        <v>32</v>
      </c>
      <c r="J1353" s="20">
        <f t="shared" si="29"/>
        <v>45650.58685</v>
      </c>
      <c r="K1353" s="22" t="s">
        <v>65</v>
      </c>
      <c r="L1353" s="22" t="s">
        <v>32</v>
      </c>
      <c r="M1353" s="20">
        <f t="shared" si="30"/>
        <v>45653.58309</v>
      </c>
      <c r="N1353" s="8" t="str">
        <f t="shared" si="3"/>
        <v>SELESAI</v>
      </c>
      <c r="O1353" s="23">
        <f t="shared" si="22"/>
        <v>45653.58309</v>
      </c>
      <c r="P1353" s="24" t="b">
        <v>0</v>
      </c>
      <c r="Q1353" s="20" t="str">
        <f t="shared" si="31"/>
        <v/>
      </c>
      <c r="R1353" s="24" t="b">
        <v>1</v>
      </c>
      <c r="S1353" s="20">
        <f t="shared" si="6"/>
        <v>45653.58312</v>
      </c>
      <c r="T1353" s="7"/>
    </row>
    <row r="1354" ht="22.5" hidden="1" customHeight="1">
      <c r="B1354" s="7">
        <f t="shared" si="7"/>
        <v>1348</v>
      </c>
      <c r="C1354" s="18" t="s">
        <v>1323</v>
      </c>
      <c r="D1354" s="19" t="str">
        <f t="array" ref="D1354">IFNA(_xlfn.XLOOKUP(C1354,Table_Tarikan_Warkah[Nomor Sertipikat],Table_Tarikan_Warkah[Nomor Tiket]),"")</f>
        <v>K/27/191224/1</v>
      </c>
      <c r="E1354" s="20" t="str">
        <f t="array" ref="E1354">IFNA(_xlfn.XLOOKUP(D1354,Table_Tarikan_Warkah[Nomor Tiket],Table_Tarikan_Warkah[Tanggal diserahkan kepada Validator]),"")</f>
        <v/>
      </c>
      <c r="F1354" s="20" t="str">
        <f t="array" ref="F1354">IFNA(_xlfn.XLOOKUP(D1354,Table_Tarikan_Warkah[Nomor Tiket],Table_Tarikan_Warkah[Nama Petugas Warkah]),"")</f>
        <v/>
      </c>
      <c r="G1354" s="21" t="str">
        <f t="array" ref="G1354">IFNA(_xlfn.XLOOKUP(D1354,Table_Tarikan_Warkah[Nomor Tiket],Table_Tarikan_Warkah[Jenis Permohonan]),"")</f>
        <v>BN Jual Beli</v>
      </c>
      <c r="H1354" s="22" t="s">
        <v>37</v>
      </c>
      <c r="I1354" s="22" t="s">
        <v>32</v>
      </c>
      <c r="J1354" s="20">
        <f t="shared" si="29"/>
        <v>45650.60069</v>
      </c>
      <c r="K1354" s="22" t="s">
        <v>65</v>
      </c>
      <c r="L1354" s="22" t="s">
        <v>32</v>
      </c>
      <c r="M1354" s="20">
        <f t="shared" si="30"/>
        <v>45653.58552</v>
      </c>
      <c r="N1354" s="8" t="str">
        <f t="shared" si="3"/>
        <v>SELESAI</v>
      </c>
      <c r="O1354" s="23">
        <f t="shared" si="22"/>
        <v>45653.58552</v>
      </c>
      <c r="P1354" s="24" t="b">
        <v>0</v>
      </c>
      <c r="Q1354" s="20" t="str">
        <f t="shared" si="31"/>
        <v/>
      </c>
      <c r="R1354" s="24" t="b">
        <v>1</v>
      </c>
      <c r="S1354" s="20">
        <f t="shared" si="6"/>
        <v>45653.58555</v>
      </c>
      <c r="T1354" s="7"/>
    </row>
    <row r="1355" ht="22.5" hidden="1" customHeight="1">
      <c r="B1355" s="7">
        <f t="shared" si="7"/>
        <v>1349</v>
      </c>
      <c r="C1355" s="18" t="s">
        <v>1324</v>
      </c>
      <c r="D1355" s="19" t="str">
        <f t="array" ref="D1355">IFNA(_xlfn.XLOOKUP(C1355,Table_Tarikan_Warkah[Nomor Sertipikat],Table_Tarikan_Warkah[Nomor Tiket]),"")</f>
        <v>K/19/191224/1</v>
      </c>
      <c r="E1355" s="20">
        <f t="array" ref="E1355">IFNA(_xlfn.XLOOKUP(D1355,Table_Tarikan_Warkah[Nomor Tiket],Table_Tarikan_Warkah[Tanggal diserahkan kepada Validator]),"")</f>
        <v>45649.70494</v>
      </c>
      <c r="F1355" s="20" t="str">
        <f t="array" ref="F1355">IFNA(_xlfn.XLOOKUP(D1355,Table_Tarikan_Warkah[Nomor Tiket],Table_Tarikan_Warkah[Nama Petugas Warkah]),"")</f>
        <v>Berry</v>
      </c>
      <c r="G1355" s="21" t="str">
        <f t="array" ref="G1355">IFNA(_xlfn.XLOOKUP(D1355,Table_Tarikan_Warkah[Nomor Tiket],Table_Tarikan_Warkah[Jenis Permohonan]),"")</f>
        <v>BN HIBAH</v>
      </c>
      <c r="H1355" s="22" t="s">
        <v>37</v>
      </c>
      <c r="I1355" s="22" t="s">
        <v>32</v>
      </c>
      <c r="J1355" s="20">
        <f t="shared" si="29"/>
        <v>45650.61355</v>
      </c>
      <c r="K1355" s="22" t="s">
        <v>65</v>
      </c>
      <c r="L1355" s="22" t="s">
        <v>32</v>
      </c>
      <c r="M1355" s="20">
        <f t="shared" si="30"/>
        <v>45653.5793</v>
      </c>
      <c r="N1355" s="8" t="str">
        <f t="shared" si="3"/>
        <v>SELESAI</v>
      </c>
      <c r="O1355" s="23">
        <f t="shared" si="22"/>
        <v>45653.5793</v>
      </c>
      <c r="P1355" s="24" t="b">
        <v>0</v>
      </c>
      <c r="Q1355" s="20" t="str">
        <f t="shared" si="31"/>
        <v/>
      </c>
      <c r="R1355" s="24" t="b">
        <v>1</v>
      </c>
      <c r="S1355" s="20">
        <f t="shared" si="6"/>
        <v>45653.57935</v>
      </c>
      <c r="T1355" s="7"/>
    </row>
    <row r="1356" ht="22.5" hidden="1" customHeight="1">
      <c r="B1356" s="7">
        <f t="shared" si="7"/>
        <v>1350</v>
      </c>
      <c r="C1356" s="18" t="s">
        <v>1325</v>
      </c>
      <c r="D1356" s="19" t="str">
        <f t="array" ref="D1356">IFNA(_xlfn.XLOOKUP(C1356,Table_Tarikan_Warkah[Nomor Sertipikat],Table_Tarikan_Warkah[Nomor Tiket]),"")</f>
        <v>K/52/181224/1</v>
      </c>
      <c r="E1356" s="20">
        <f t="array" ref="E1356">IFNA(_xlfn.XLOOKUP(D1356,Table_Tarikan_Warkah[Nomor Tiket],Table_Tarikan_Warkah[Tanggal diserahkan kepada Validator]),"")</f>
        <v>45649.70494</v>
      </c>
      <c r="F1356" s="20" t="str">
        <f t="array" ref="F1356">IFNA(_xlfn.XLOOKUP(D1356,Table_Tarikan_Warkah[Nomor Tiket],Table_Tarikan_Warkah[Nama Petugas Warkah]),"")</f>
        <v>Berry</v>
      </c>
      <c r="G1356" s="21" t="str">
        <f t="array" ref="G1356">IFNA(_xlfn.XLOOKUP(D1356,Table_Tarikan_Warkah[Nomor Tiket],Table_Tarikan_Warkah[Jenis Permohonan]),"")</f>
        <v>BN WARIS</v>
      </c>
      <c r="H1356" s="22" t="s">
        <v>31</v>
      </c>
      <c r="I1356" s="22" t="s">
        <v>32</v>
      </c>
      <c r="J1356" s="20">
        <f t="shared" si="29"/>
        <v>45650.62693</v>
      </c>
      <c r="K1356" s="22" t="s">
        <v>65</v>
      </c>
      <c r="L1356" s="22" t="s">
        <v>32</v>
      </c>
      <c r="M1356" s="20">
        <f t="shared" si="30"/>
        <v>45653.57966</v>
      </c>
      <c r="N1356" s="8" t="str">
        <f t="shared" si="3"/>
        <v>SELESAI</v>
      </c>
      <c r="O1356" s="23">
        <f t="shared" si="22"/>
        <v>45653.57966</v>
      </c>
      <c r="P1356" s="24" t="b">
        <v>0</v>
      </c>
      <c r="Q1356" s="20" t="str">
        <f t="shared" si="31"/>
        <v/>
      </c>
      <c r="R1356" s="24" t="b">
        <v>1</v>
      </c>
      <c r="S1356" s="20">
        <f t="shared" si="6"/>
        <v>45653.57969</v>
      </c>
      <c r="T1356" s="7"/>
    </row>
    <row r="1357" ht="22.5" hidden="1" customHeight="1">
      <c r="B1357" s="7">
        <f t="shared" si="7"/>
        <v>1351</v>
      </c>
      <c r="C1357" s="18" t="s">
        <v>1326</v>
      </c>
      <c r="D1357" s="19" t="str">
        <f t="array" ref="D1357">IFNA(_xlfn.XLOOKUP(C1357,Table_Tarikan_Warkah[Nomor Sertipikat],Table_Tarikan_Warkah[Nomor Tiket]),"")</f>
        <v>K/14/231224/1</v>
      </c>
      <c r="E1357" s="20" t="str">
        <f t="array" ref="E1357">IFNA(_xlfn.XLOOKUP(D1357,Table_Tarikan_Warkah[Nomor Tiket],Table_Tarikan_Warkah[Tanggal diserahkan kepada Validator]),"")</f>
        <v/>
      </c>
      <c r="F1357" s="20" t="str">
        <f t="array" ref="F1357">IFNA(_xlfn.XLOOKUP(D1357,Table_Tarikan_Warkah[Nomor Tiket],Table_Tarikan_Warkah[Nama Petugas Warkah]),"")</f>
        <v/>
      </c>
      <c r="G1357" s="21" t="str">
        <f t="array" ref="G1357">IFNA(_xlfn.XLOOKUP(D1357,Table_Tarikan_Warkah[Nomor Tiket],Table_Tarikan_Warkah[Jenis Permohonan]),"")</f>
        <v>BN JUAL BELI</v>
      </c>
      <c r="H1357" s="22" t="s">
        <v>31</v>
      </c>
      <c r="I1357" s="22" t="s">
        <v>32</v>
      </c>
      <c r="J1357" s="20">
        <f t="shared" si="29"/>
        <v>45650.62697</v>
      </c>
      <c r="K1357" s="22" t="s">
        <v>33</v>
      </c>
      <c r="L1357" s="22" t="s">
        <v>32</v>
      </c>
      <c r="M1357" s="20">
        <f t="shared" si="30"/>
        <v>45653.40449</v>
      </c>
      <c r="N1357" s="8" t="str">
        <f t="shared" si="3"/>
        <v>SELESAI</v>
      </c>
      <c r="O1357" s="23">
        <f t="shared" si="22"/>
        <v>45653.40449</v>
      </c>
      <c r="P1357" s="24" t="b">
        <v>0</v>
      </c>
      <c r="Q1357" s="20" t="str">
        <f t="shared" si="31"/>
        <v/>
      </c>
      <c r="R1357" s="24" t="b">
        <v>1</v>
      </c>
      <c r="S1357" s="20">
        <f t="shared" si="6"/>
        <v>45653.40455</v>
      </c>
      <c r="T1357" s="7"/>
    </row>
    <row r="1358" ht="22.5" hidden="1" customHeight="1">
      <c r="B1358" s="7">
        <f t="shared" si="7"/>
        <v>1352</v>
      </c>
      <c r="C1358" s="18" t="s">
        <v>1327</v>
      </c>
      <c r="D1358" s="19" t="str">
        <f t="array" ref="D1358">IFNA(_xlfn.XLOOKUP(C1358,Table_Tarikan_Warkah[Nomor Sertipikat],Table_Tarikan_Warkah[Nomor Tiket]),"")</f>
        <v>K/6/231224/1</v>
      </c>
      <c r="E1358" s="20" t="str">
        <f t="array" ref="E1358">IFNA(_xlfn.XLOOKUP(D1358,Table_Tarikan_Warkah[Nomor Tiket],Table_Tarikan_Warkah[Tanggal diserahkan kepada Validator]),"")</f>
        <v/>
      </c>
      <c r="F1358" s="20" t="str">
        <f t="array" ref="F1358">IFNA(_xlfn.XLOOKUP(D1358,Table_Tarikan_Warkah[Nomor Tiket],Table_Tarikan_Warkah[Nama Petugas Warkah]),"")</f>
        <v>Berry</v>
      </c>
      <c r="G1358" s="21" t="str">
        <f t="array" ref="G1358">IFNA(_xlfn.XLOOKUP(D1358,Table_Tarikan_Warkah[Nomor Tiket],Table_Tarikan_Warkah[Jenis Permohonan]),"")</f>
        <v>ROYA</v>
      </c>
      <c r="H1358" s="22" t="s">
        <v>31</v>
      </c>
      <c r="I1358" s="22" t="s">
        <v>32</v>
      </c>
      <c r="J1358" s="20">
        <f t="shared" si="29"/>
        <v>45650.62697</v>
      </c>
      <c r="K1358" s="22" t="s">
        <v>33</v>
      </c>
      <c r="L1358" s="22" t="s">
        <v>32</v>
      </c>
      <c r="M1358" s="20">
        <f t="shared" si="30"/>
        <v>45653.41313</v>
      </c>
      <c r="N1358" s="8" t="str">
        <f t="shared" si="3"/>
        <v>SELESAI</v>
      </c>
      <c r="O1358" s="23">
        <f t="shared" si="22"/>
        <v>45653.41313</v>
      </c>
      <c r="P1358" s="24" t="b">
        <v>0</v>
      </c>
      <c r="Q1358" s="20" t="str">
        <f t="shared" si="31"/>
        <v/>
      </c>
      <c r="R1358" s="24" t="b">
        <v>1</v>
      </c>
      <c r="S1358" s="20">
        <f t="shared" si="6"/>
        <v>45653.41317</v>
      </c>
      <c r="T1358" s="7"/>
    </row>
    <row r="1359" ht="22.5" hidden="1" customHeight="1">
      <c r="B1359" s="7">
        <f t="shared" si="7"/>
        <v>1353</v>
      </c>
      <c r="C1359" s="18" t="s">
        <v>1328</v>
      </c>
      <c r="D1359" s="19" t="str">
        <f t="array" ref="D1359">IFNA(_xlfn.XLOOKUP(C1359,Table_Tarikan_Warkah[Nomor Sertipikat],Table_Tarikan_Warkah[Nomor Tiket]),"")</f>
        <v>L/7/231224/1</v>
      </c>
      <c r="E1359" s="20" t="str">
        <f t="array" ref="E1359">IFNA(_xlfn.XLOOKUP(D1359,Table_Tarikan_Warkah[Nomor Tiket],Table_Tarikan_Warkah[Tanggal diserahkan kepada Validator]),"")</f>
        <v/>
      </c>
      <c r="F1359" s="20" t="str">
        <f t="array" ref="F1359">IFNA(_xlfn.XLOOKUP(D1359,Table_Tarikan_Warkah[Nomor Tiket],Table_Tarikan_Warkah[Nama Petugas Warkah]),"")</f>
        <v/>
      </c>
      <c r="G1359" s="21" t="str">
        <f t="array" ref="G1359">IFNA(_xlfn.XLOOKUP(D1359,Table_Tarikan_Warkah[Nomor Tiket],Table_Tarikan_Warkah[Jenis Permohonan]),"")</f>
        <v>PEMECAHAN</v>
      </c>
      <c r="H1359" s="22" t="s">
        <v>31</v>
      </c>
      <c r="I1359" s="22" t="s">
        <v>32</v>
      </c>
      <c r="J1359" s="20">
        <f t="shared" si="29"/>
        <v>45650.62697</v>
      </c>
      <c r="K1359" s="22" t="s">
        <v>33</v>
      </c>
      <c r="L1359" s="22" t="s">
        <v>32</v>
      </c>
      <c r="M1359" s="20">
        <f t="shared" si="30"/>
        <v>45653.41405</v>
      </c>
      <c r="N1359" s="8" t="str">
        <f t="shared" si="3"/>
        <v>SELESAI</v>
      </c>
      <c r="O1359" s="23">
        <f t="shared" si="22"/>
        <v>45653.41405</v>
      </c>
      <c r="P1359" s="24" t="b">
        <v>0</v>
      </c>
      <c r="Q1359" s="20" t="str">
        <f t="shared" si="31"/>
        <v/>
      </c>
      <c r="R1359" s="24" t="b">
        <v>1</v>
      </c>
      <c r="S1359" s="20">
        <f t="shared" si="6"/>
        <v>45653.4141</v>
      </c>
      <c r="T1359" s="7"/>
    </row>
    <row r="1360" ht="22.5" hidden="1" customHeight="1">
      <c r="B1360" s="7">
        <f t="shared" si="7"/>
        <v>1354</v>
      </c>
      <c r="C1360" s="18" t="s">
        <v>1329</v>
      </c>
      <c r="D1360" s="19" t="str">
        <f t="array" ref="D1360">IFNA(_xlfn.XLOOKUP(C1360,Table_Tarikan_Warkah[Nomor Sertipikat],Table_Tarikan_Warkah[Nomor Tiket]),"")</f>
        <v>K/24/231224/2</v>
      </c>
      <c r="E1360" s="20" t="str">
        <f t="array" ref="E1360">IFNA(_xlfn.XLOOKUP(D1360,Table_Tarikan_Warkah[Nomor Tiket],Table_Tarikan_Warkah[Tanggal diserahkan kepada Validator]),"")</f>
        <v/>
      </c>
      <c r="F1360" s="20" t="str">
        <f t="array" ref="F1360">IFNA(_xlfn.XLOOKUP(D1360,Table_Tarikan_Warkah[Nomor Tiket],Table_Tarikan_Warkah[Nama Petugas Warkah]),"")</f>
        <v/>
      </c>
      <c r="G1360" s="21" t="str">
        <f t="array" ref="G1360">IFNA(_xlfn.XLOOKUP(D1360,Table_Tarikan_Warkah[Nomor Tiket],Table_Tarikan_Warkah[Jenis Permohonan]),"")</f>
        <v>Roya</v>
      </c>
      <c r="H1360" s="22" t="s">
        <v>31</v>
      </c>
      <c r="I1360" s="22" t="s">
        <v>32</v>
      </c>
      <c r="J1360" s="20">
        <f t="shared" si="29"/>
        <v>45650.62697</v>
      </c>
      <c r="K1360" s="22" t="s">
        <v>33</v>
      </c>
      <c r="L1360" s="22" t="s">
        <v>32</v>
      </c>
      <c r="M1360" s="20">
        <f t="shared" si="30"/>
        <v>45653.41925</v>
      </c>
      <c r="N1360" s="8" t="str">
        <f t="shared" si="3"/>
        <v>SELESAI</v>
      </c>
      <c r="O1360" s="23">
        <f t="shared" si="22"/>
        <v>45653.41925</v>
      </c>
      <c r="P1360" s="24" t="b">
        <v>0</v>
      </c>
      <c r="Q1360" s="20" t="str">
        <f t="shared" si="31"/>
        <v/>
      </c>
      <c r="R1360" s="24" t="b">
        <v>1</v>
      </c>
      <c r="S1360" s="20">
        <f t="shared" si="6"/>
        <v>45653.41929</v>
      </c>
      <c r="T1360" s="7"/>
    </row>
    <row r="1361" ht="22.5" hidden="1" customHeight="1">
      <c r="B1361" s="7">
        <f t="shared" si="7"/>
        <v>1355</v>
      </c>
      <c r="C1361" s="18" t="s">
        <v>1330</v>
      </c>
      <c r="D1361" s="19" t="str">
        <f t="array" ref="D1361">IFNA(_xlfn.XLOOKUP(C1361,Table_Tarikan_Warkah[Nomor Sertipikat],Table_Tarikan_Warkah[Nomor Tiket]),"")</f>
        <v>K/30/231224/1</v>
      </c>
      <c r="E1361" s="20">
        <f t="array" ref="E1361">IFNA(_xlfn.XLOOKUP(D1361,Table_Tarikan_Warkah[Nomor Tiket],Table_Tarikan_Warkah[Tanggal diserahkan kepada Validator]),"")</f>
        <v>45649.71169</v>
      </c>
      <c r="F1361" s="20" t="str">
        <f t="array" ref="F1361">IFNA(_xlfn.XLOOKUP(D1361,Table_Tarikan_Warkah[Nomor Tiket],Table_Tarikan_Warkah[Nama Petugas Warkah]),"")</f>
        <v>Berry</v>
      </c>
      <c r="G1361" s="21" t="str">
        <f t="array" ref="G1361">IFNA(_xlfn.XLOOKUP(D1361,Table_Tarikan_Warkah[Nomor Tiket],Table_Tarikan_Warkah[Jenis Permohonan]),"")</f>
        <v>Roya</v>
      </c>
      <c r="H1361" s="22" t="s">
        <v>31</v>
      </c>
      <c r="I1361" s="22" t="s">
        <v>32</v>
      </c>
      <c r="J1361" s="20">
        <f t="shared" si="29"/>
        <v>45650.62697</v>
      </c>
      <c r="K1361" s="22" t="s">
        <v>33</v>
      </c>
      <c r="L1361" s="22" t="s">
        <v>32</v>
      </c>
      <c r="M1361" s="20">
        <f t="shared" si="30"/>
        <v>45653.42</v>
      </c>
      <c r="N1361" s="8" t="str">
        <f t="shared" si="3"/>
        <v>SELESAI</v>
      </c>
      <c r="O1361" s="23">
        <f t="shared" si="22"/>
        <v>45653.42</v>
      </c>
      <c r="P1361" s="24" t="b">
        <v>0</v>
      </c>
      <c r="Q1361" s="20" t="str">
        <f t="shared" si="31"/>
        <v/>
      </c>
      <c r="R1361" s="24" t="b">
        <v>1</v>
      </c>
      <c r="S1361" s="20">
        <f t="shared" si="6"/>
        <v>45653.42003</v>
      </c>
      <c r="T1361" s="7"/>
    </row>
    <row r="1362" ht="22.5" hidden="1" customHeight="1">
      <c r="B1362" s="7">
        <f t="shared" si="7"/>
        <v>1356</v>
      </c>
      <c r="C1362" s="18" t="s">
        <v>1331</v>
      </c>
      <c r="D1362" s="19" t="str">
        <f t="array" ref="D1362">IFNA(_xlfn.XLOOKUP(C1362,Table_Tarikan_Warkah[Nomor Sertipikat],Table_Tarikan_Warkah[Nomor Tiket]),"")</f>
        <v>K/39/231224/1</v>
      </c>
      <c r="E1362" s="20">
        <f t="array" ref="E1362">IFNA(_xlfn.XLOOKUP(D1362,Table_Tarikan_Warkah[Nomor Tiket],Table_Tarikan_Warkah[Tanggal diserahkan kepada Validator]),"")</f>
        <v>45649.71203</v>
      </c>
      <c r="F1362" s="20" t="str">
        <f t="array" ref="F1362">IFNA(_xlfn.XLOOKUP(D1362,Table_Tarikan_Warkah[Nomor Tiket],Table_Tarikan_Warkah[Nama Petugas Warkah]),"")</f>
        <v>Berry</v>
      </c>
      <c r="G1362" s="21" t="str">
        <f t="array" ref="G1362">IFNA(_xlfn.XLOOKUP(D1362,Table_Tarikan_Warkah[Nomor Tiket],Table_Tarikan_Warkah[Jenis Permohonan]),"")</f>
        <v>BN JUAL BELI</v>
      </c>
      <c r="H1362" s="22" t="s">
        <v>31</v>
      </c>
      <c r="I1362" s="22" t="s">
        <v>32</v>
      </c>
      <c r="J1362" s="20">
        <f t="shared" si="29"/>
        <v>45650.62697</v>
      </c>
      <c r="K1362" s="22" t="s">
        <v>33</v>
      </c>
      <c r="L1362" s="22" t="s">
        <v>32</v>
      </c>
      <c r="M1362" s="20">
        <f t="shared" si="30"/>
        <v>45653.42194</v>
      </c>
      <c r="N1362" s="8" t="str">
        <f t="shared" si="3"/>
        <v>SELESAI</v>
      </c>
      <c r="O1362" s="23">
        <f t="shared" si="22"/>
        <v>45653.42194</v>
      </c>
      <c r="P1362" s="24" t="b">
        <v>0</v>
      </c>
      <c r="Q1362" s="20" t="str">
        <f t="shared" si="31"/>
        <v/>
      </c>
      <c r="R1362" s="24" t="b">
        <v>1</v>
      </c>
      <c r="S1362" s="20">
        <f t="shared" si="6"/>
        <v>45653.42197</v>
      </c>
      <c r="T1362" s="7"/>
    </row>
    <row r="1363" ht="22.5" hidden="1" customHeight="1">
      <c r="B1363" s="7">
        <f t="shared" si="7"/>
        <v>1357</v>
      </c>
      <c r="C1363" s="18" t="s">
        <v>1332</v>
      </c>
      <c r="D1363" s="19" t="str">
        <f t="array" ref="D1363">IFNA(_xlfn.XLOOKUP(C1363,Table_Tarikan_Warkah[Nomor Sertipikat],Table_Tarikan_Warkah[Nomor Tiket]),"")</f>
        <v>K/40/231224/2</v>
      </c>
      <c r="E1363" s="20">
        <f t="array" ref="E1363">IFNA(_xlfn.XLOOKUP(D1363,Table_Tarikan_Warkah[Nomor Tiket],Table_Tarikan_Warkah[Tanggal diserahkan kepada Validator]),"")</f>
        <v>45649.71228</v>
      </c>
      <c r="F1363" s="20" t="str">
        <f t="array" ref="F1363">IFNA(_xlfn.XLOOKUP(D1363,Table_Tarikan_Warkah[Nomor Tiket],Table_Tarikan_Warkah[Nama Petugas Warkah]),"")</f>
        <v>Berry</v>
      </c>
      <c r="G1363" s="21" t="str">
        <f t="array" ref="G1363">IFNA(_xlfn.XLOOKUP(D1363,Table_Tarikan_Warkah[Nomor Tiket],Table_Tarikan_Warkah[Jenis Permohonan]),"")</f>
        <v>BN JUAL BELI</v>
      </c>
      <c r="H1363" s="22" t="s">
        <v>31</v>
      </c>
      <c r="I1363" s="22" t="s">
        <v>32</v>
      </c>
      <c r="J1363" s="20">
        <f t="shared" si="29"/>
        <v>45650.62697</v>
      </c>
      <c r="K1363" s="22" t="s">
        <v>33</v>
      </c>
      <c r="L1363" s="22" t="s">
        <v>32</v>
      </c>
      <c r="M1363" s="20">
        <f t="shared" si="30"/>
        <v>45653.42196</v>
      </c>
      <c r="N1363" s="8" t="str">
        <f t="shared" si="3"/>
        <v>SELESAI</v>
      </c>
      <c r="O1363" s="23">
        <f t="shared" si="22"/>
        <v>45653.42196</v>
      </c>
      <c r="P1363" s="24" t="b">
        <v>0</v>
      </c>
      <c r="Q1363" s="20" t="str">
        <f t="shared" si="31"/>
        <v/>
      </c>
      <c r="R1363" s="24" t="b">
        <v>1</v>
      </c>
      <c r="S1363" s="20">
        <f t="shared" si="6"/>
        <v>45653.42198</v>
      </c>
      <c r="T1363" s="7"/>
    </row>
    <row r="1364" ht="22.5" hidden="1" customHeight="1">
      <c r="B1364" s="7">
        <f t="shared" si="7"/>
        <v>1358</v>
      </c>
      <c r="C1364" s="18" t="s">
        <v>1333</v>
      </c>
      <c r="D1364" s="19" t="str">
        <f t="array" ref="D1364">IFNA(_xlfn.XLOOKUP(C1364,Table_Tarikan_Warkah[Nomor Sertipikat],Table_Tarikan_Warkah[Nomor Tiket]),"")</f>
        <v>L/2/071224/1</v>
      </c>
      <c r="E1364" s="20" t="str">
        <f t="array" ref="E1364">IFNA(_xlfn.XLOOKUP(D1364,Table_Tarikan_Warkah[Nomor Tiket],Table_Tarikan_Warkah[Tanggal diserahkan kepada Validator]),"")</f>
        <v/>
      </c>
      <c r="F1364" s="20" t="str">
        <f t="array" ref="F1364">IFNA(_xlfn.XLOOKUP(D1364,Table_Tarikan_Warkah[Nomor Tiket],Table_Tarikan_Warkah[Nama Petugas Warkah]),"")</f>
        <v/>
      </c>
      <c r="G1364" s="21" t="str">
        <f t="array" ref="G1364">IFNA(_xlfn.XLOOKUP(D1364,Table_Tarikan_Warkah[Nomor Tiket],Table_Tarikan_Warkah[Jenis Permohonan]),"")</f>
        <v>PTPGT</v>
      </c>
      <c r="H1364" s="22" t="s">
        <v>31</v>
      </c>
      <c r="I1364" s="22" t="s">
        <v>32</v>
      </c>
      <c r="J1364" s="20">
        <f t="shared" si="29"/>
        <v>45650.62697</v>
      </c>
      <c r="K1364" s="22" t="s">
        <v>33</v>
      </c>
      <c r="L1364" s="22" t="s">
        <v>32</v>
      </c>
      <c r="M1364" s="20">
        <f t="shared" si="30"/>
        <v>45653.4228</v>
      </c>
      <c r="N1364" s="8" t="str">
        <f t="shared" si="3"/>
        <v>SELESAI</v>
      </c>
      <c r="O1364" s="23">
        <f t="shared" si="22"/>
        <v>45653.4228</v>
      </c>
      <c r="P1364" s="24" t="b">
        <v>0</v>
      </c>
      <c r="Q1364" s="20" t="str">
        <f t="shared" si="31"/>
        <v/>
      </c>
      <c r="R1364" s="24" t="b">
        <v>1</v>
      </c>
      <c r="S1364" s="20">
        <f t="shared" si="6"/>
        <v>45653.42282</v>
      </c>
      <c r="T1364" s="7"/>
    </row>
    <row r="1365" ht="22.5" hidden="1" customHeight="1">
      <c r="B1365" s="7">
        <f t="shared" si="7"/>
        <v>1359</v>
      </c>
      <c r="C1365" s="18" t="s">
        <v>1334</v>
      </c>
      <c r="D1365" s="19" t="str">
        <f t="array" ref="D1365">IFNA(_xlfn.XLOOKUP(C1365,Table_Tarikan_Warkah[Nomor Sertipikat],Table_Tarikan_Warkah[Nomor Tiket]),"")</f>
        <v>K/52/231224/1</v>
      </c>
      <c r="E1365" s="20" t="str">
        <f t="array" ref="E1365">IFNA(_xlfn.XLOOKUP(D1365,Table_Tarikan_Warkah[Nomor Tiket],Table_Tarikan_Warkah[Tanggal diserahkan kepada Validator]),"")</f>
        <v/>
      </c>
      <c r="F1365" s="20" t="str">
        <f t="array" ref="F1365">IFNA(_xlfn.XLOOKUP(D1365,Table_Tarikan_Warkah[Nomor Tiket],Table_Tarikan_Warkah[Nama Petugas Warkah]),"")</f>
        <v>David</v>
      </c>
      <c r="G1365" s="21" t="str">
        <f t="array" ref="G1365">IFNA(_xlfn.XLOOKUP(D1365,Table_Tarikan_Warkah[Nomor Tiket],Table_Tarikan_Warkah[Jenis Permohonan]),"")</f>
        <v>Wakaf </v>
      </c>
      <c r="H1365" s="22" t="s">
        <v>31</v>
      </c>
      <c r="I1365" s="22" t="s">
        <v>32</v>
      </c>
      <c r="J1365" s="20">
        <f t="shared" si="29"/>
        <v>45650.62697</v>
      </c>
      <c r="K1365" s="22" t="s">
        <v>33</v>
      </c>
      <c r="L1365" s="22" t="s">
        <v>32</v>
      </c>
      <c r="M1365" s="20">
        <f t="shared" si="30"/>
        <v>45653.42388</v>
      </c>
      <c r="N1365" s="8" t="str">
        <f t="shared" si="3"/>
        <v>SELESAI</v>
      </c>
      <c r="O1365" s="23">
        <f t="shared" si="22"/>
        <v>45653.42388</v>
      </c>
      <c r="P1365" s="24" t="b">
        <v>0</v>
      </c>
      <c r="Q1365" s="20" t="str">
        <f t="shared" si="31"/>
        <v/>
      </c>
      <c r="R1365" s="24" t="b">
        <v>1</v>
      </c>
      <c r="S1365" s="20">
        <f t="shared" si="6"/>
        <v>45653.42389</v>
      </c>
      <c r="T1365" s="7"/>
    </row>
    <row r="1366" ht="22.5" hidden="1" customHeight="1">
      <c r="B1366" s="7">
        <f t="shared" si="7"/>
        <v>1360</v>
      </c>
      <c r="C1366" s="18" t="s">
        <v>1335</v>
      </c>
      <c r="D1366" s="19" t="str">
        <f t="array" ref="D1366">IFNA(_xlfn.XLOOKUP(C1366,Table_Tarikan_Warkah[Nomor Sertipikat],Table_Tarikan_Warkah[Nomor Tiket]),"")</f>
        <v>L/4/231224/1</v>
      </c>
      <c r="E1366" s="20">
        <f t="array" ref="E1366">IFNA(_xlfn.XLOOKUP(D1366,Table_Tarikan_Warkah[Nomor Tiket],Table_Tarikan_Warkah[Tanggal diserahkan kepada Validator]),"")</f>
        <v>45649.70941</v>
      </c>
      <c r="F1366" s="20" t="str">
        <f t="array" ref="F1366">IFNA(_xlfn.XLOOKUP(D1366,Table_Tarikan_Warkah[Nomor Tiket],Table_Tarikan_Warkah[Nama Petugas Warkah]),"")</f>
        <v>Berry</v>
      </c>
      <c r="G1366" s="21" t="str">
        <f t="array" ref="G1366">IFNA(_xlfn.XLOOKUP(D1366,Table_Tarikan_Warkah[Nomor Tiket],Table_Tarikan_Warkah[Jenis Permohonan]),"")</f>
        <v>ROYA</v>
      </c>
      <c r="H1366" s="22" t="s">
        <v>31</v>
      </c>
      <c r="I1366" s="22" t="s">
        <v>32</v>
      </c>
      <c r="J1366" s="20">
        <f t="shared" si="29"/>
        <v>45650.62697</v>
      </c>
      <c r="K1366" s="22" t="s">
        <v>33</v>
      </c>
      <c r="L1366" s="22" t="s">
        <v>32</v>
      </c>
      <c r="M1366" s="20">
        <f t="shared" si="30"/>
        <v>45653.42503</v>
      </c>
      <c r="N1366" s="8" t="str">
        <f t="shared" si="3"/>
        <v>SELESAI</v>
      </c>
      <c r="O1366" s="23">
        <f t="shared" si="22"/>
        <v>45653.42503</v>
      </c>
      <c r="P1366" s="24" t="b">
        <v>0</v>
      </c>
      <c r="Q1366" s="20" t="str">
        <f t="shared" si="31"/>
        <v/>
      </c>
      <c r="R1366" s="24" t="b">
        <v>1</v>
      </c>
      <c r="S1366" s="20">
        <f t="shared" si="6"/>
        <v>45653.42506</v>
      </c>
      <c r="T1366" s="7"/>
    </row>
    <row r="1367" ht="22.5" hidden="1" customHeight="1">
      <c r="B1367" s="7">
        <f t="shared" si="7"/>
        <v>1361</v>
      </c>
      <c r="C1367" s="18" t="s">
        <v>1336</v>
      </c>
      <c r="D1367" s="19" t="str">
        <f t="array" ref="D1367">IFNA(_xlfn.XLOOKUP(C1367,Table_Tarikan_Warkah[Nomor Sertipikat],Table_Tarikan_Warkah[Nomor Tiket]),"")</f>
        <v>K/2/231224/1</v>
      </c>
      <c r="E1367" s="20">
        <f t="array" ref="E1367">IFNA(_xlfn.XLOOKUP(D1367,Table_Tarikan_Warkah[Nomor Tiket],Table_Tarikan_Warkah[Tanggal diserahkan kepada Validator]),"")</f>
        <v>45649.70891</v>
      </c>
      <c r="F1367" s="20" t="str">
        <f t="array" ref="F1367">IFNA(_xlfn.XLOOKUP(D1367,Table_Tarikan_Warkah[Nomor Tiket],Table_Tarikan_Warkah[Nama Petugas Warkah]),"")</f>
        <v>David</v>
      </c>
      <c r="G1367" s="21" t="str">
        <f t="array" ref="G1367">IFNA(_xlfn.XLOOKUP(D1367,Table_Tarikan_Warkah[Nomor Tiket],Table_Tarikan_Warkah[Jenis Permohonan]),"")</f>
        <v>Roya</v>
      </c>
      <c r="H1367" s="22" t="s">
        <v>31</v>
      </c>
      <c r="I1367" s="22" t="s">
        <v>32</v>
      </c>
      <c r="J1367" s="20">
        <f t="shared" si="29"/>
        <v>45650.62697</v>
      </c>
      <c r="K1367" s="22" t="s">
        <v>33</v>
      </c>
      <c r="L1367" s="22" t="s">
        <v>32</v>
      </c>
      <c r="M1367" s="20">
        <f t="shared" si="30"/>
        <v>45653.43426</v>
      </c>
      <c r="N1367" s="8" t="str">
        <f t="shared" si="3"/>
        <v>SELESAI</v>
      </c>
      <c r="O1367" s="23">
        <f t="shared" si="22"/>
        <v>45653.43426</v>
      </c>
      <c r="P1367" s="24" t="b">
        <v>0</v>
      </c>
      <c r="Q1367" s="20" t="str">
        <f t="shared" si="31"/>
        <v/>
      </c>
      <c r="R1367" s="24" t="b">
        <v>1</v>
      </c>
      <c r="S1367" s="20">
        <f t="shared" si="6"/>
        <v>45653.43432</v>
      </c>
      <c r="T1367" s="7"/>
    </row>
    <row r="1368" ht="22.5" hidden="1" customHeight="1">
      <c r="B1368" s="7">
        <f t="shared" si="7"/>
        <v>1362</v>
      </c>
      <c r="C1368" s="18" t="s">
        <v>1337</v>
      </c>
      <c r="D1368" s="19" t="str">
        <f t="array" ref="D1368">IFNA(_xlfn.XLOOKUP(C1368,Table_Tarikan_Warkah[Nomor Sertipikat],Table_Tarikan_Warkah[Nomor Tiket]),"")</f>
        <v>L/1/221224/PELATARAN</v>
      </c>
      <c r="E1368" s="20">
        <f t="array" ref="E1368">IFNA(_xlfn.XLOOKUP(D1368,Table_Tarikan_Warkah[Nomor Tiket],Table_Tarikan_Warkah[Tanggal diserahkan kepada Validator]),"")</f>
        <v>45649.70878</v>
      </c>
      <c r="F1368" s="20" t="str">
        <f t="array" ref="F1368">IFNA(_xlfn.XLOOKUP(D1368,Table_Tarikan_Warkah[Nomor Tiket],Table_Tarikan_Warkah[Nama Petugas Warkah]),"")</f>
        <v>David</v>
      </c>
      <c r="G1368" s="21" t="str">
        <f t="array" ref="G1368">IFNA(_xlfn.XLOOKUP(D1368,Table_Tarikan_Warkah[Nomor Tiket],Table_Tarikan_Warkah[Jenis Permohonan]),"")</f>
        <v>ROYA</v>
      </c>
      <c r="H1368" s="22" t="s">
        <v>31</v>
      </c>
      <c r="I1368" s="22" t="s">
        <v>32</v>
      </c>
      <c r="J1368" s="20">
        <f t="shared" si="29"/>
        <v>45650.62697</v>
      </c>
      <c r="K1368" s="22" t="s">
        <v>33</v>
      </c>
      <c r="L1368" s="22" t="s">
        <v>32</v>
      </c>
      <c r="M1368" s="20">
        <f t="shared" si="30"/>
        <v>45653.43426</v>
      </c>
      <c r="N1368" s="8" t="str">
        <f t="shared" si="3"/>
        <v>SELESAI</v>
      </c>
      <c r="O1368" s="23">
        <f t="shared" si="22"/>
        <v>45653.43426</v>
      </c>
      <c r="P1368" s="24" t="b">
        <v>0</v>
      </c>
      <c r="Q1368" s="20" t="str">
        <f t="shared" si="31"/>
        <v/>
      </c>
      <c r="R1368" s="24" t="b">
        <v>1</v>
      </c>
      <c r="S1368" s="20">
        <f t="shared" si="6"/>
        <v>45653.43433</v>
      </c>
      <c r="T1368" s="7"/>
    </row>
    <row r="1369" ht="22.5" hidden="1" customHeight="1">
      <c r="B1369" s="7">
        <f t="shared" si="7"/>
        <v>1363</v>
      </c>
      <c r="C1369" s="18" t="s">
        <v>1338</v>
      </c>
      <c r="D1369" s="19" t="str">
        <f t="array" ref="D1369">IFNA(_xlfn.XLOOKUP(C1369,Table_Tarikan_Warkah[Nomor Sertipikat],Table_Tarikan_Warkah[Nomor Tiket]),"")</f>
        <v>K/32/201224/4</v>
      </c>
      <c r="E1369" s="20" t="str">
        <f t="array" ref="E1369">IFNA(_xlfn.XLOOKUP(D1369,Table_Tarikan_Warkah[Nomor Tiket],Table_Tarikan_Warkah[Tanggal diserahkan kepada Validator]),"")</f>
        <v/>
      </c>
      <c r="F1369" s="20" t="str">
        <f t="array" ref="F1369">IFNA(_xlfn.XLOOKUP(D1369,Table_Tarikan_Warkah[Nomor Tiket],Table_Tarikan_Warkah[Nama Petugas Warkah]),"")</f>
        <v/>
      </c>
      <c r="G1369" s="21" t="str">
        <f t="array" ref="G1369">IFNA(_xlfn.XLOOKUP(D1369,Table_Tarikan_Warkah[Nomor Tiket],Table_Tarikan_Warkah[Jenis Permohonan]),"")</f>
        <v>BN Waris</v>
      </c>
      <c r="H1369" s="22" t="s">
        <v>31</v>
      </c>
      <c r="I1369" s="22" t="s">
        <v>32</v>
      </c>
      <c r="J1369" s="20">
        <f t="shared" si="29"/>
        <v>45650.62697</v>
      </c>
      <c r="K1369" s="22" t="s">
        <v>33</v>
      </c>
      <c r="L1369" s="22" t="s">
        <v>32</v>
      </c>
      <c r="M1369" s="20">
        <f t="shared" si="30"/>
        <v>45653.43426</v>
      </c>
      <c r="N1369" s="8" t="str">
        <f t="shared" si="3"/>
        <v>SELESAI</v>
      </c>
      <c r="O1369" s="23">
        <f t="shared" si="22"/>
        <v>45653.43426</v>
      </c>
      <c r="P1369" s="24" t="b">
        <v>0</v>
      </c>
      <c r="Q1369" s="20" t="str">
        <f t="shared" si="31"/>
        <v/>
      </c>
      <c r="R1369" s="24" t="b">
        <v>1</v>
      </c>
      <c r="S1369" s="20">
        <f t="shared" si="6"/>
        <v>45653.43434</v>
      </c>
      <c r="T1369" s="7"/>
    </row>
    <row r="1370" ht="22.5" hidden="1" customHeight="1">
      <c r="B1370" s="7">
        <f t="shared" si="7"/>
        <v>1364</v>
      </c>
      <c r="C1370" s="18" t="s">
        <v>1339</v>
      </c>
      <c r="D1370" s="19" t="str">
        <f t="array" ref="D1370">IFNA(_xlfn.XLOOKUP(C1370,Table_Tarikan_Warkah[Nomor Sertipikat],Table_Tarikan_Warkah[Nomor Tiket]),"")</f>
        <v>K/30/201224/2</v>
      </c>
      <c r="E1370" s="20">
        <f t="array" ref="E1370">IFNA(_xlfn.XLOOKUP(D1370,Table_Tarikan_Warkah[Nomor Tiket],Table_Tarikan_Warkah[Tanggal diserahkan kepada Validator]),"")</f>
        <v>45649.70827</v>
      </c>
      <c r="F1370" s="20" t="str">
        <f t="array" ref="F1370">IFNA(_xlfn.XLOOKUP(D1370,Table_Tarikan_Warkah[Nomor Tiket],Table_Tarikan_Warkah[Nama Petugas Warkah]),"")</f>
        <v>David</v>
      </c>
      <c r="G1370" s="21" t="str">
        <f t="array" ref="G1370">IFNA(_xlfn.XLOOKUP(D1370,Table_Tarikan_Warkah[Nomor Tiket],Table_Tarikan_Warkah[Jenis Permohonan]),"")</f>
        <v>BN Hibah</v>
      </c>
      <c r="H1370" s="22" t="s">
        <v>31</v>
      </c>
      <c r="I1370" s="22" t="s">
        <v>32</v>
      </c>
      <c r="J1370" s="20">
        <f t="shared" si="29"/>
        <v>45650.62697</v>
      </c>
      <c r="K1370" s="22" t="s">
        <v>33</v>
      </c>
      <c r="L1370" s="22" t="s">
        <v>32</v>
      </c>
      <c r="M1370" s="20">
        <f t="shared" si="30"/>
        <v>45653.43552</v>
      </c>
      <c r="N1370" s="8" t="str">
        <f t="shared" si="3"/>
        <v>SELESAI</v>
      </c>
      <c r="O1370" s="23">
        <f t="shared" si="22"/>
        <v>45653.43552</v>
      </c>
      <c r="P1370" s="24" t="b">
        <v>0</v>
      </c>
      <c r="Q1370" s="20" t="str">
        <f t="shared" si="31"/>
        <v/>
      </c>
      <c r="R1370" s="24" t="b">
        <v>1</v>
      </c>
      <c r="S1370" s="20">
        <f t="shared" si="6"/>
        <v>45653.43548</v>
      </c>
      <c r="T1370" s="7"/>
    </row>
    <row r="1371" ht="22.5" hidden="1" customHeight="1">
      <c r="B1371" s="7">
        <f t="shared" si="7"/>
        <v>1365</v>
      </c>
      <c r="C1371" s="18" t="s">
        <v>1340</v>
      </c>
      <c r="D1371" s="19" t="str">
        <f t="array" ref="D1371">IFNA(_xlfn.XLOOKUP(C1371,Table_Tarikan_Warkah[Nomor Sertipikat],Table_Tarikan_Warkah[Nomor Tiket]),"")</f>
        <v>K/27/201224/3</v>
      </c>
      <c r="E1371" s="20" t="str">
        <f t="array" ref="E1371">IFNA(_xlfn.XLOOKUP(D1371,Table_Tarikan_Warkah[Nomor Tiket],Table_Tarikan_Warkah[Tanggal diserahkan kepada Validator]),"")</f>
        <v/>
      </c>
      <c r="F1371" s="20" t="str">
        <f t="array" ref="F1371">IFNA(_xlfn.XLOOKUP(D1371,Table_Tarikan_Warkah[Nomor Tiket],Table_Tarikan_Warkah[Nama Petugas Warkah]),"")</f>
        <v/>
      </c>
      <c r="G1371" s="21" t="str">
        <f t="array" ref="G1371">IFNA(_xlfn.XLOOKUP(D1371,Table_Tarikan_Warkah[Nomor Tiket],Table_Tarikan_Warkah[Jenis Permohonan]),"")</f>
        <v>BN JUAL BELI</v>
      </c>
      <c r="H1371" s="22" t="s">
        <v>31</v>
      </c>
      <c r="I1371" s="22" t="s">
        <v>32</v>
      </c>
      <c r="J1371" s="20">
        <f t="shared" si="29"/>
        <v>45650.62697</v>
      </c>
      <c r="K1371" s="22" t="s">
        <v>33</v>
      </c>
      <c r="L1371" s="22" t="s">
        <v>32</v>
      </c>
      <c r="M1371" s="20">
        <f t="shared" si="30"/>
        <v>45653.43645</v>
      </c>
      <c r="N1371" s="8" t="str">
        <f t="shared" si="3"/>
        <v>SELESAI</v>
      </c>
      <c r="O1371" s="23">
        <f t="shared" si="22"/>
        <v>45653.43645</v>
      </c>
      <c r="P1371" s="24" t="b">
        <v>0</v>
      </c>
      <c r="Q1371" s="20" t="str">
        <f t="shared" si="31"/>
        <v/>
      </c>
      <c r="R1371" s="24" t="b">
        <v>1</v>
      </c>
      <c r="S1371" s="20">
        <f t="shared" si="6"/>
        <v>45653.43649</v>
      </c>
      <c r="T1371" s="7"/>
    </row>
    <row r="1372" ht="22.5" hidden="1" customHeight="1">
      <c r="B1372" s="7">
        <f t="shared" si="7"/>
        <v>1366</v>
      </c>
      <c r="C1372" s="18" t="s">
        <v>1341</v>
      </c>
      <c r="D1372" s="19" t="str">
        <f t="array" ref="D1372">IFNA(_xlfn.XLOOKUP(C1372,Table_Tarikan_Warkah[Nomor Sertipikat],Table_Tarikan_Warkah[Nomor Tiket]),"")</f>
        <v>K/22/201224/1</v>
      </c>
      <c r="E1372" s="20" t="str">
        <f t="array" ref="E1372">IFNA(_xlfn.XLOOKUP(D1372,Table_Tarikan_Warkah[Nomor Tiket],Table_Tarikan_Warkah[Tanggal diserahkan kepada Validator]),"")</f>
        <v/>
      </c>
      <c r="F1372" s="20" t="str">
        <f t="array" ref="F1372">IFNA(_xlfn.XLOOKUP(D1372,Table_Tarikan_Warkah[Nomor Tiket],Table_Tarikan_Warkah[Nama Petugas Warkah]),"")</f>
        <v/>
      </c>
      <c r="G1372" s="21" t="str">
        <f t="array" ref="G1372">IFNA(_xlfn.XLOOKUP(D1372,Table_Tarikan_Warkah[Nomor Tiket],Table_Tarikan_Warkah[Jenis Permohonan]),"")</f>
        <v>BN JUAL BELI</v>
      </c>
      <c r="H1372" s="22" t="s">
        <v>31</v>
      </c>
      <c r="I1372" s="22" t="s">
        <v>32</v>
      </c>
      <c r="J1372" s="20">
        <f t="shared" si="29"/>
        <v>45650.62697</v>
      </c>
      <c r="K1372" s="22" t="s">
        <v>33</v>
      </c>
      <c r="L1372" s="22" t="s">
        <v>32</v>
      </c>
      <c r="M1372" s="20">
        <f t="shared" si="30"/>
        <v>45653.43763</v>
      </c>
      <c r="N1372" s="8" t="str">
        <f t="shared" si="3"/>
        <v>SELESAI</v>
      </c>
      <c r="O1372" s="23">
        <f t="shared" si="22"/>
        <v>45653.43763</v>
      </c>
      <c r="P1372" s="24" t="b">
        <v>0</v>
      </c>
      <c r="Q1372" s="20" t="str">
        <f t="shared" si="31"/>
        <v/>
      </c>
      <c r="R1372" s="24" t="b">
        <v>1</v>
      </c>
      <c r="S1372" s="20">
        <f t="shared" si="6"/>
        <v>45653.43767</v>
      </c>
      <c r="T1372" s="7"/>
    </row>
    <row r="1373" ht="22.5" hidden="1" customHeight="1">
      <c r="B1373" s="7">
        <f t="shared" si="7"/>
        <v>1367</v>
      </c>
      <c r="C1373" s="18" t="s">
        <v>1342</v>
      </c>
      <c r="D1373" s="19" t="str">
        <f t="array" ref="D1373">IFNA(_xlfn.XLOOKUP(C1373,Table_Tarikan_Warkah[Nomor Sertipikat],Table_Tarikan_Warkah[Nomor Tiket]),"")</f>
        <v>K/43/231224/2</v>
      </c>
      <c r="E1373" s="20" t="str">
        <f t="array" ref="E1373">IFNA(_xlfn.XLOOKUP(D1373,Table_Tarikan_Warkah[Nomor Tiket],Table_Tarikan_Warkah[Tanggal diserahkan kepada Validator]),"")</f>
        <v/>
      </c>
      <c r="F1373" s="20" t="str">
        <f t="array" ref="F1373">IFNA(_xlfn.XLOOKUP(D1373,Table_Tarikan_Warkah[Nomor Tiket],Table_Tarikan_Warkah[Nama Petugas Warkah]),"")</f>
        <v/>
      </c>
      <c r="G1373" s="21" t="str">
        <f t="array" ref="G1373">IFNA(_xlfn.XLOOKUP(D1373,Table_Tarikan_Warkah[Nomor Tiket],Table_Tarikan_Warkah[Jenis Permohonan]),"")</f>
        <v>BN Jual Beli</v>
      </c>
      <c r="H1373" s="22" t="s">
        <v>31</v>
      </c>
      <c r="I1373" s="22" t="s">
        <v>32</v>
      </c>
      <c r="J1373" s="20">
        <f t="shared" si="29"/>
        <v>45650.62697</v>
      </c>
      <c r="K1373" s="22" t="s">
        <v>33</v>
      </c>
      <c r="L1373" s="22" t="s">
        <v>32</v>
      </c>
      <c r="M1373" s="20">
        <f t="shared" si="30"/>
        <v>45653.43894</v>
      </c>
      <c r="N1373" s="8" t="str">
        <f t="shared" si="3"/>
        <v>SELESAI</v>
      </c>
      <c r="O1373" s="23">
        <f t="shared" si="22"/>
        <v>45653.43894</v>
      </c>
      <c r="P1373" s="24" t="b">
        <v>0</v>
      </c>
      <c r="Q1373" s="20" t="str">
        <f t="shared" si="31"/>
        <v/>
      </c>
      <c r="R1373" s="24" t="b">
        <v>1</v>
      </c>
      <c r="S1373" s="20">
        <f t="shared" si="6"/>
        <v>45653.43897</v>
      </c>
      <c r="T1373" s="7"/>
    </row>
    <row r="1374" ht="22.5" hidden="1" customHeight="1">
      <c r="B1374" s="7">
        <f t="shared" si="7"/>
        <v>1368</v>
      </c>
      <c r="C1374" s="18" t="s">
        <v>1343</v>
      </c>
      <c r="D1374" s="19" t="str">
        <f t="array" ref="D1374">IFNA(_xlfn.XLOOKUP(C1374,Table_Tarikan_Warkah[Nomor Sertipikat],Table_Tarikan_Warkah[Nomor Tiket]),"")</f>
        <v>K/42/231224/1</v>
      </c>
      <c r="E1374" s="20" t="str">
        <f t="array" ref="E1374">IFNA(_xlfn.XLOOKUP(D1374,Table_Tarikan_Warkah[Nomor Tiket],Table_Tarikan_Warkah[Tanggal diserahkan kepada Validator]),"")</f>
        <v/>
      </c>
      <c r="F1374" s="20" t="str">
        <f t="array" ref="F1374">IFNA(_xlfn.XLOOKUP(D1374,Table_Tarikan_Warkah[Nomor Tiket],Table_Tarikan_Warkah[Nama Petugas Warkah]),"")</f>
        <v/>
      </c>
      <c r="G1374" s="21" t="str">
        <f t="array" ref="G1374">IFNA(_xlfn.XLOOKUP(D1374,Table_Tarikan_Warkah[Nomor Tiket],Table_Tarikan_Warkah[Jenis Permohonan]),"")</f>
        <v>BN Jual Beli</v>
      </c>
      <c r="H1374" s="22" t="s">
        <v>31</v>
      </c>
      <c r="I1374" s="22" t="s">
        <v>32</v>
      </c>
      <c r="J1374" s="20">
        <f t="shared" si="29"/>
        <v>45650.62697</v>
      </c>
      <c r="K1374" s="22" t="s">
        <v>33</v>
      </c>
      <c r="L1374" s="22" t="s">
        <v>32</v>
      </c>
      <c r="M1374" s="20">
        <f t="shared" si="30"/>
        <v>45653.44098</v>
      </c>
      <c r="N1374" s="8" t="str">
        <f t="shared" si="3"/>
        <v>SELESAI</v>
      </c>
      <c r="O1374" s="23">
        <f t="shared" si="22"/>
        <v>45653.44098</v>
      </c>
      <c r="P1374" s="24" t="b">
        <v>0</v>
      </c>
      <c r="Q1374" s="20" t="str">
        <f t="shared" si="31"/>
        <v/>
      </c>
      <c r="R1374" s="24" t="b">
        <v>1</v>
      </c>
      <c r="S1374" s="20">
        <f t="shared" si="6"/>
        <v>45653.44107</v>
      </c>
      <c r="T1374" s="7"/>
    </row>
    <row r="1375" ht="22.5" hidden="1" customHeight="1">
      <c r="B1375" s="7">
        <f t="shared" si="7"/>
        <v>1369</v>
      </c>
      <c r="C1375" s="18" t="s">
        <v>1344</v>
      </c>
      <c r="D1375" s="19" t="str">
        <f t="array" ref="D1375">IFNA(_xlfn.XLOOKUP(C1375,Table_Tarikan_Warkah[Nomor Sertipikat],Table_Tarikan_Warkah[Nomor Tiket]),"")</f>
        <v>K/32/231224/3</v>
      </c>
      <c r="E1375" s="20" t="str">
        <f t="array" ref="E1375">IFNA(_xlfn.XLOOKUP(D1375,Table_Tarikan_Warkah[Nomor Tiket],Table_Tarikan_Warkah[Tanggal diserahkan kepada Validator]),"")</f>
        <v/>
      </c>
      <c r="F1375" s="20" t="str">
        <f t="array" ref="F1375">IFNA(_xlfn.XLOOKUP(D1375,Table_Tarikan_Warkah[Nomor Tiket],Table_Tarikan_Warkah[Nama Petugas Warkah]),"")</f>
        <v>Berry</v>
      </c>
      <c r="G1375" s="21" t="str">
        <f t="array" ref="G1375">IFNA(_xlfn.XLOOKUP(D1375,Table_Tarikan_Warkah[Nomor Tiket],Table_Tarikan_Warkah[Jenis Permohonan]),"")</f>
        <v>BN Jual Beli</v>
      </c>
      <c r="H1375" s="22" t="s">
        <v>31</v>
      </c>
      <c r="I1375" s="22" t="s">
        <v>32</v>
      </c>
      <c r="J1375" s="20">
        <f t="shared" si="29"/>
        <v>45650.62697</v>
      </c>
      <c r="K1375" s="22" t="s">
        <v>33</v>
      </c>
      <c r="L1375" s="22" t="s">
        <v>32</v>
      </c>
      <c r="M1375" s="20">
        <f t="shared" si="30"/>
        <v>45653.441</v>
      </c>
      <c r="N1375" s="8" t="str">
        <f t="shared" si="3"/>
        <v>SELESAI</v>
      </c>
      <c r="O1375" s="23">
        <f t="shared" si="22"/>
        <v>45653.441</v>
      </c>
      <c r="P1375" s="24" t="b">
        <v>0</v>
      </c>
      <c r="Q1375" s="20" t="str">
        <f t="shared" si="31"/>
        <v/>
      </c>
      <c r="R1375" s="24" t="b">
        <v>1</v>
      </c>
      <c r="S1375" s="20">
        <f t="shared" si="6"/>
        <v>45653.44106</v>
      </c>
      <c r="T1375" s="7"/>
    </row>
    <row r="1376" ht="22.5" hidden="1" customHeight="1">
      <c r="B1376" s="7">
        <f t="shared" si="7"/>
        <v>1370</v>
      </c>
      <c r="C1376" s="18" t="s">
        <v>1345</v>
      </c>
      <c r="D1376" s="19" t="str">
        <f t="array" ref="D1376">IFNA(_xlfn.XLOOKUP(C1376,Table_Tarikan_Warkah[Nomor Sertipikat],Table_Tarikan_Warkah[Nomor Tiket]),"")</f>
        <v>K/31/231224/2</v>
      </c>
      <c r="E1376" s="20" t="str">
        <f t="array" ref="E1376">IFNA(_xlfn.XLOOKUP(D1376,Table_Tarikan_Warkah[Nomor Tiket],Table_Tarikan_Warkah[Tanggal diserahkan kepada Validator]),"")</f>
        <v/>
      </c>
      <c r="F1376" s="20" t="str">
        <f t="array" ref="F1376">IFNA(_xlfn.XLOOKUP(D1376,Table_Tarikan_Warkah[Nomor Tiket],Table_Tarikan_Warkah[Nama Petugas Warkah]),"")</f>
        <v>Berry</v>
      </c>
      <c r="G1376" s="21" t="str">
        <f t="array" ref="G1376">IFNA(_xlfn.XLOOKUP(D1376,Table_Tarikan_Warkah[Nomor Tiket],Table_Tarikan_Warkah[Jenis Permohonan]),"")</f>
        <v>BN Jual Beli</v>
      </c>
      <c r="H1376" s="22" t="s">
        <v>31</v>
      </c>
      <c r="I1376" s="22" t="s">
        <v>32</v>
      </c>
      <c r="J1376" s="20">
        <f t="shared" si="29"/>
        <v>45650.62697</v>
      </c>
      <c r="K1376" s="22" t="s">
        <v>33</v>
      </c>
      <c r="L1376" s="22" t="s">
        <v>32</v>
      </c>
      <c r="M1376" s="20">
        <f t="shared" si="30"/>
        <v>45653.44103</v>
      </c>
      <c r="N1376" s="8" t="str">
        <f t="shared" si="3"/>
        <v>SELESAI</v>
      </c>
      <c r="O1376" s="23">
        <f t="shared" si="22"/>
        <v>45653.44103</v>
      </c>
      <c r="P1376" s="24" t="b">
        <v>0</v>
      </c>
      <c r="Q1376" s="20" t="str">
        <f t="shared" si="31"/>
        <v/>
      </c>
      <c r="R1376" s="24" t="b">
        <v>1</v>
      </c>
      <c r="S1376" s="20">
        <f t="shared" si="6"/>
        <v>45653.44105</v>
      </c>
      <c r="T1376" s="7"/>
    </row>
    <row r="1377" ht="22.5" hidden="1" customHeight="1">
      <c r="B1377" s="7">
        <f t="shared" si="7"/>
        <v>1371</v>
      </c>
      <c r="C1377" s="18" t="s">
        <v>1346</v>
      </c>
      <c r="D1377" s="19" t="str">
        <f t="array" ref="D1377">IFNA(_xlfn.XLOOKUP(C1377,Table_Tarikan_Warkah[Nomor Sertipikat],Table_Tarikan_Warkah[Nomor Tiket]),"")</f>
        <v>L/17/231224/1</v>
      </c>
      <c r="E1377" s="20" t="str">
        <f t="array" ref="E1377">IFNA(_xlfn.XLOOKUP(D1377,Table_Tarikan_Warkah[Nomor Tiket],Table_Tarikan_Warkah[Tanggal diserahkan kepada Validator]),"")</f>
        <v/>
      </c>
      <c r="F1377" s="20" t="str">
        <f t="array" ref="F1377">IFNA(_xlfn.XLOOKUP(D1377,Table_Tarikan_Warkah[Nomor Tiket],Table_Tarikan_Warkah[Nama Petugas Warkah]),"")</f>
        <v/>
      </c>
      <c r="G1377" s="21" t="str">
        <f t="array" ref="G1377">IFNA(_xlfn.XLOOKUP(D1377,Table_Tarikan_Warkah[Nomor Tiket],Table_Tarikan_Warkah[Jenis Permohonan]),"")</f>
        <v>ROYA</v>
      </c>
      <c r="H1377" s="22" t="s">
        <v>31</v>
      </c>
      <c r="I1377" s="22" t="s">
        <v>32</v>
      </c>
      <c r="J1377" s="20">
        <f t="shared" si="29"/>
        <v>45650.62697</v>
      </c>
      <c r="K1377" s="22" t="s">
        <v>33</v>
      </c>
      <c r="L1377" s="22" t="s">
        <v>32</v>
      </c>
      <c r="M1377" s="20">
        <f t="shared" si="30"/>
        <v>45653.46988</v>
      </c>
      <c r="N1377" s="8" t="str">
        <f t="shared" si="3"/>
        <v>SELESAI</v>
      </c>
      <c r="O1377" s="23">
        <f t="shared" si="22"/>
        <v>45653.46988</v>
      </c>
      <c r="P1377" s="24" t="b">
        <v>0</v>
      </c>
      <c r="Q1377" s="20" t="str">
        <f t="shared" si="31"/>
        <v/>
      </c>
      <c r="R1377" s="24" t="b">
        <v>1</v>
      </c>
      <c r="S1377" s="20">
        <f t="shared" si="6"/>
        <v>45653.47002</v>
      </c>
      <c r="T1377" s="7"/>
    </row>
    <row r="1378" ht="22.5" hidden="1" customHeight="1">
      <c r="B1378" s="7">
        <f t="shared" si="7"/>
        <v>1372</v>
      </c>
      <c r="C1378" s="18" t="s">
        <v>1347</v>
      </c>
      <c r="D1378" s="19" t="str">
        <f t="array" ref="D1378">IFNA(_xlfn.XLOOKUP(C1378,Table_Tarikan_Warkah[Nomor Sertipikat],Table_Tarikan_Warkah[Nomor Tiket]),"")</f>
        <v>L/13/231224/1</v>
      </c>
      <c r="E1378" s="20">
        <f t="array" ref="E1378">IFNA(_xlfn.XLOOKUP(D1378,Table_Tarikan_Warkah[Nomor Tiket],Table_Tarikan_Warkah[Tanggal diserahkan kepada Validator]),"")</f>
        <v>45649.71072</v>
      </c>
      <c r="F1378" s="20" t="str">
        <f t="array" ref="F1378">IFNA(_xlfn.XLOOKUP(D1378,Table_Tarikan_Warkah[Nomor Tiket],Table_Tarikan_Warkah[Nama Petugas Warkah]),"")</f>
        <v>Berry</v>
      </c>
      <c r="G1378" s="21" t="str">
        <f t="array" ref="G1378">IFNA(_xlfn.XLOOKUP(D1378,Table_Tarikan_Warkah[Nomor Tiket],Table_Tarikan_Warkah[Jenis Permohonan]),"")</f>
        <v>GANTI NAMA &amp; TGL LAHIR</v>
      </c>
      <c r="H1378" s="22" t="s">
        <v>31</v>
      </c>
      <c r="I1378" s="22" t="s">
        <v>32</v>
      </c>
      <c r="J1378" s="20">
        <f t="shared" si="29"/>
        <v>45650.62697</v>
      </c>
      <c r="K1378" s="22" t="s">
        <v>33</v>
      </c>
      <c r="L1378" s="22" t="s">
        <v>32</v>
      </c>
      <c r="M1378" s="20">
        <f t="shared" si="30"/>
        <v>45653.47</v>
      </c>
      <c r="N1378" s="8" t="str">
        <f t="shared" si="3"/>
        <v>SELESAI</v>
      </c>
      <c r="O1378" s="23">
        <f t="shared" si="22"/>
        <v>45653.47</v>
      </c>
      <c r="P1378" s="24" t="b">
        <v>0</v>
      </c>
      <c r="Q1378" s="20" t="str">
        <f t="shared" si="31"/>
        <v/>
      </c>
      <c r="R1378" s="24" t="b">
        <v>1</v>
      </c>
      <c r="S1378" s="20">
        <f t="shared" si="6"/>
        <v>45653.47003</v>
      </c>
      <c r="T1378" s="7"/>
    </row>
    <row r="1379" ht="22.5" hidden="1" customHeight="1">
      <c r="B1379" s="7">
        <f t="shared" si="7"/>
        <v>1373</v>
      </c>
      <c r="C1379" s="18" t="s">
        <v>1348</v>
      </c>
      <c r="D1379" s="19" t="str">
        <f t="array" ref="D1379">IFNA(_xlfn.XLOOKUP(C1379,Table_Tarikan_Warkah[Nomor Sertipikat],Table_Tarikan_Warkah[Nomor Tiket]),"")</f>
        <v>L/35/201224/1</v>
      </c>
      <c r="E1379" s="20" t="str">
        <f t="array" ref="E1379">IFNA(_xlfn.XLOOKUP(D1379,Table_Tarikan_Warkah[Nomor Tiket],Table_Tarikan_Warkah[Tanggal diserahkan kepada Validator]),"")</f>
        <v/>
      </c>
      <c r="F1379" s="20" t="str">
        <f t="array" ref="F1379">IFNA(_xlfn.XLOOKUP(D1379,Table_Tarikan_Warkah[Nomor Tiket],Table_Tarikan_Warkah[Nama Petugas Warkah]),"")</f>
        <v/>
      </c>
      <c r="G1379" s="21" t="str">
        <f t="array" ref="G1379">IFNA(_xlfn.XLOOKUP(D1379,Table_Tarikan_Warkah[Nomor Tiket],Table_Tarikan_Warkah[Jenis Permohonan]),"")</f>
        <v>ROYA</v>
      </c>
      <c r="H1379" s="22" t="s">
        <v>31</v>
      </c>
      <c r="I1379" s="22" t="s">
        <v>32</v>
      </c>
      <c r="J1379" s="20">
        <f t="shared" si="29"/>
        <v>45650.62697</v>
      </c>
      <c r="K1379" s="22" t="s">
        <v>33</v>
      </c>
      <c r="L1379" s="22" t="s">
        <v>32</v>
      </c>
      <c r="M1379" s="20">
        <f t="shared" si="30"/>
        <v>45653.47069</v>
      </c>
      <c r="N1379" s="8" t="str">
        <f t="shared" si="3"/>
        <v>SELESAI</v>
      </c>
      <c r="O1379" s="23">
        <f t="shared" si="22"/>
        <v>45653.47069</v>
      </c>
      <c r="P1379" s="24" t="b">
        <v>0</v>
      </c>
      <c r="Q1379" s="20" t="str">
        <f t="shared" si="31"/>
        <v/>
      </c>
      <c r="R1379" s="24" t="b">
        <v>1</v>
      </c>
      <c r="S1379" s="20">
        <f t="shared" si="6"/>
        <v>45653.47073</v>
      </c>
      <c r="T1379" s="7"/>
    </row>
    <row r="1380" ht="22.5" hidden="1" customHeight="1">
      <c r="B1380" s="7">
        <f t="shared" si="7"/>
        <v>1374</v>
      </c>
      <c r="C1380" s="18" t="s">
        <v>1349</v>
      </c>
      <c r="D1380" s="19" t="str">
        <f t="array" ref="D1380">IFNA(_xlfn.XLOOKUP(C1380,Table_Tarikan_Warkah[Nomor Sertipikat],Table_Tarikan_Warkah[Nomor Tiket]),"")</f>
        <v>K/31/201224/3</v>
      </c>
      <c r="E1380" s="20" t="str">
        <f t="array" ref="E1380">IFNA(_xlfn.XLOOKUP(D1380,Table_Tarikan_Warkah[Nomor Tiket],Table_Tarikan_Warkah[Tanggal diserahkan kepada Validator]),"")</f>
        <v/>
      </c>
      <c r="F1380" s="20" t="str">
        <f t="array" ref="F1380">IFNA(_xlfn.XLOOKUP(D1380,Table_Tarikan_Warkah[Nomor Tiket],Table_Tarikan_Warkah[Nama Petugas Warkah]),"")</f>
        <v>David</v>
      </c>
      <c r="G1380" s="21" t="str">
        <f t="array" ref="G1380">IFNA(_xlfn.XLOOKUP(D1380,Table_Tarikan_Warkah[Nomor Tiket],Table_Tarikan_Warkah[Jenis Permohonan]),"")</f>
        <v>BN Waris</v>
      </c>
      <c r="H1380" s="22" t="s">
        <v>31</v>
      </c>
      <c r="I1380" s="22" t="s">
        <v>32</v>
      </c>
      <c r="J1380" s="20">
        <f t="shared" si="29"/>
        <v>45650.62719</v>
      </c>
      <c r="K1380" s="22" t="s">
        <v>65</v>
      </c>
      <c r="L1380" s="22" t="s">
        <v>32</v>
      </c>
      <c r="M1380" s="20">
        <f t="shared" si="30"/>
        <v>45653.58176</v>
      </c>
      <c r="N1380" s="8" t="str">
        <f t="shared" si="3"/>
        <v>SELESAI</v>
      </c>
      <c r="O1380" s="23">
        <f t="shared" si="22"/>
        <v>45653.58176</v>
      </c>
      <c r="P1380" s="24" t="b">
        <v>0</v>
      </c>
      <c r="Q1380" s="20" t="str">
        <f t="shared" si="31"/>
        <v/>
      </c>
      <c r="R1380" s="24" t="b">
        <v>1</v>
      </c>
      <c r="S1380" s="20">
        <f t="shared" si="6"/>
        <v>45653.58179</v>
      </c>
      <c r="T1380" s="7"/>
    </row>
    <row r="1381" ht="22.5" hidden="1" customHeight="1">
      <c r="B1381" s="7">
        <f t="shared" si="7"/>
        <v>1375</v>
      </c>
      <c r="C1381" s="18" t="s">
        <v>1350</v>
      </c>
      <c r="D1381" s="19" t="str">
        <f t="array" ref="D1381">IFNA(_xlfn.XLOOKUP(C1381,Table_Tarikan_Warkah[Nomor Sertipikat],Table_Tarikan_Warkah[Nomor Tiket]),"")</f>
        <v>L/28/201224/1</v>
      </c>
      <c r="E1381" s="20" t="str">
        <f t="array" ref="E1381">IFNA(_xlfn.XLOOKUP(D1381,Table_Tarikan_Warkah[Nomor Tiket],Table_Tarikan_Warkah[Tanggal diserahkan kepada Validator]),"")</f>
        <v/>
      </c>
      <c r="F1381" s="20" t="str">
        <f t="array" ref="F1381">IFNA(_xlfn.XLOOKUP(D1381,Table_Tarikan_Warkah[Nomor Tiket],Table_Tarikan_Warkah[Nama Petugas Warkah]),"")</f>
        <v/>
      </c>
      <c r="G1381" s="21" t="str">
        <f t="array" ref="G1381">IFNA(_xlfn.XLOOKUP(D1381,Table_Tarikan_Warkah[Nomor Tiket],Table_Tarikan_Warkah[Jenis Permohonan]),"")</f>
        <v>BN JUAL - BELI</v>
      </c>
      <c r="H1381" s="22" t="s">
        <v>31</v>
      </c>
      <c r="I1381" s="22" t="s">
        <v>32</v>
      </c>
      <c r="J1381" s="20">
        <f t="shared" si="29"/>
        <v>45650.62719</v>
      </c>
      <c r="K1381" s="26"/>
      <c r="L1381" s="26"/>
      <c r="M1381" s="20" t="str">
        <f t="shared" si="30"/>
        <v/>
      </c>
      <c r="N1381" s="8" t="str">
        <f t="shared" si="3"/>
        <v>BT atau SU Belum Valid</v>
      </c>
      <c r="O1381" s="21" t="str">
        <f t="shared" si="22"/>
        <v/>
      </c>
      <c r="P1381" s="24" t="b">
        <v>0</v>
      </c>
      <c r="Q1381" s="20" t="str">
        <f t="shared" si="31"/>
        <v/>
      </c>
      <c r="R1381" s="24" t="b">
        <v>0</v>
      </c>
      <c r="S1381" s="7" t="str">
        <f t="shared" si="6"/>
        <v/>
      </c>
      <c r="T1381" s="7"/>
    </row>
    <row r="1382" ht="22.5" hidden="1" customHeight="1">
      <c r="B1382" s="7">
        <f t="shared" si="7"/>
        <v>1376</v>
      </c>
      <c r="C1382" s="18" t="s">
        <v>1351</v>
      </c>
      <c r="D1382" s="19" t="str">
        <f t="array" ref="D1382">IFNA(_xlfn.XLOOKUP(C1382,Table_Tarikan_Warkah[Nomor Sertipikat],Table_Tarikan_Warkah[Nomor Tiket]),"")</f>
        <v>K/1/191224/1</v>
      </c>
      <c r="E1382" s="20" t="str">
        <f t="array" ref="E1382">IFNA(_xlfn.XLOOKUP(D1382,Table_Tarikan_Warkah[Nomor Tiket],Table_Tarikan_Warkah[Tanggal diserahkan kepada Validator]),"")</f>
        <v/>
      </c>
      <c r="F1382" s="20" t="str">
        <f t="array" ref="F1382">IFNA(_xlfn.XLOOKUP(D1382,Table_Tarikan_Warkah[Nomor Tiket],Table_Tarikan_Warkah[Nama Petugas Warkah]),"")</f>
        <v/>
      </c>
      <c r="G1382" s="21" t="str">
        <f t="array" ref="G1382">IFNA(_xlfn.XLOOKUP(D1382,Table_Tarikan_Warkah[Nomor Tiket],Table_Tarikan_Warkah[Jenis Permohonan]),"")</f>
        <v>ROYA</v>
      </c>
      <c r="H1382" s="22" t="s">
        <v>31</v>
      </c>
      <c r="I1382" s="22" t="s">
        <v>32</v>
      </c>
      <c r="J1382" s="20">
        <f t="shared" si="29"/>
        <v>45650.62719</v>
      </c>
      <c r="K1382" s="26"/>
      <c r="L1382" s="26"/>
      <c r="M1382" s="20" t="str">
        <f t="shared" si="30"/>
        <v/>
      </c>
      <c r="N1382" s="8" t="str">
        <f t="shared" si="3"/>
        <v>BT atau SU Belum Valid</v>
      </c>
      <c r="O1382" s="21" t="str">
        <f t="shared" si="22"/>
        <v/>
      </c>
      <c r="P1382" s="24" t="b">
        <v>0</v>
      </c>
      <c r="Q1382" s="20" t="str">
        <f t="shared" si="31"/>
        <v/>
      </c>
      <c r="R1382" s="24" t="b">
        <v>0</v>
      </c>
      <c r="S1382" s="7" t="str">
        <f t="shared" si="6"/>
        <v/>
      </c>
      <c r="T1382" s="7"/>
    </row>
    <row r="1383" ht="22.5" hidden="1" customHeight="1">
      <c r="B1383" s="7">
        <f t="shared" si="7"/>
        <v>1377</v>
      </c>
      <c r="C1383" s="18" t="s">
        <v>1352</v>
      </c>
      <c r="D1383" s="19" t="str">
        <f t="array" ref="D1383">IFNA(_xlfn.XLOOKUP(C1383,Table_Tarikan_Warkah[Nomor Sertipikat],Table_Tarikan_Warkah[Nomor Tiket]),"")</f>
        <v>K/27/131224/2</v>
      </c>
      <c r="E1383" s="20" t="str">
        <f t="array" ref="E1383">IFNA(_xlfn.XLOOKUP(D1383,Table_Tarikan_Warkah[Nomor Tiket],Table_Tarikan_Warkah[Tanggal diserahkan kepada Validator]),"")</f>
        <v/>
      </c>
      <c r="F1383" s="20" t="str">
        <f t="array" ref="F1383">IFNA(_xlfn.XLOOKUP(D1383,Table_Tarikan_Warkah[Nomor Tiket],Table_Tarikan_Warkah[Nama Petugas Warkah]),"")</f>
        <v>Berry</v>
      </c>
      <c r="G1383" s="21" t="str">
        <f t="array" ref="G1383">IFNA(_xlfn.XLOOKUP(D1383,Table_Tarikan_Warkah[Nomor Tiket],Table_Tarikan_Warkah[Jenis Permohonan]),"")</f>
        <v>BN Jual Beli</v>
      </c>
      <c r="H1383" s="22" t="s">
        <v>31</v>
      </c>
      <c r="I1383" s="22" t="s">
        <v>187</v>
      </c>
      <c r="J1383" s="20">
        <f t="shared" si="29"/>
        <v>45650.6272</v>
      </c>
      <c r="K1383" s="26"/>
      <c r="L1383" s="26"/>
      <c r="M1383" s="20" t="str">
        <f t="shared" si="30"/>
        <v/>
      </c>
      <c r="N1383" s="8" t="str">
        <f t="shared" si="3"/>
        <v>BT atau SU Belum Valid</v>
      </c>
      <c r="O1383" s="21" t="str">
        <f t="shared" si="22"/>
        <v/>
      </c>
      <c r="P1383" s="24" t="b">
        <v>0</v>
      </c>
      <c r="Q1383" s="20" t="str">
        <f t="shared" si="31"/>
        <v/>
      </c>
      <c r="R1383" s="24" t="b">
        <v>0</v>
      </c>
      <c r="S1383" s="7" t="str">
        <f t="shared" si="6"/>
        <v/>
      </c>
      <c r="T1383" s="7"/>
    </row>
    <row r="1384" ht="22.5" hidden="1" customHeight="1">
      <c r="B1384" s="7">
        <f t="shared" si="7"/>
        <v>1378</v>
      </c>
      <c r="C1384" s="18" t="s">
        <v>1353</v>
      </c>
      <c r="D1384" s="19" t="str">
        <f t="array" ref="D1384">IFNA(_xlfn.XLOOKUP(C1384,Table_Tarikan_Warkah[Nomor Sertipikat],Table_Tarikan_Warkah[Nomor Tiket]),"")</f>
        <v>K/38/181224/1</v>
      </c>
      <c r="E1384" s="20" t="str">
        <f t="array" ref="E1384">IFNA(_xlfn.XLOOKUP(D1384,Table_Tarikan_Warkah[Nomor Tiket],Table_Tarikan_Warkah[Tanggal diserahkan kepada Validator]),"")</f>
        <v/>
      </c>
      <c r="F1384" s="20" t="str">
        <f t="array" ref="F1384">IFNA(_xlfn.XLOOKUP(D1384,Table_Tarikan_Warkah[Nomor Tiket],Table_Tarikan_Warkah[Nama Petugas Warkah]),"")</f>
        <v/>
      </c>
      <c r="G1384" s="21" t="str">
        <f t="array" ref="G1384">IFNA(_xlfn.XLOOKUP(D1384,Table_Tarikan_Warkah[Nomor Tiket],Table_Tarikan_Warkah[Jenis Permohonan]),"")</f>
        <v>KEWARISAN</v>
      </c>
      <c r="H1384" s="22" t="s">
        <v>37</v>
      </c>
      <c r="I1384" s="22" t="s">
        <v>187</v>
      </c>
      <c r="J1384" s="20">
        <f t="shared" si="29"/>
        <v>45653.40504</v>
      </c>
      <c r="K1384" s="26"/>
      <c r="L1384" s="26"/>
      <c r="M1384" s="20" t="str">
        <f t="shared" si="30"/>
        <v/>
      </c>
      <c r="N1384" s="8" t="str">
        <f t="shared" si="3"/>
        <v>BT atau SU Belum Valid</v>
      </c>
      <c r="O1384" s="21" t="str">
        <f t="shared" si="22"/>
        <v/>
      </c>
      <c r="P1384" s="24" t="b">
        <v>0</v>
      </c>
      <c r="Q1384" s="20" t="str">
        <f t="shared" si="31"/>
        <v/>
      </c>
      <c r="R1384" s="24" t="b">
        <v>0</v>
      </c>
      <c r="S1384" s="7" t="str">
        <f t="shared" si="6"/>
        <v/>
      </c>
      <c r="T1384" s="7"/>
    </row>
    <row r="1385" ht="22.5" hidden="1" customHeight="1">
      <c r="B1385" s="7">
        <f t="shared" si="7"/>
        <v>1379</v>
      </c>
      <c r="C1385" s="18" t="s">
        <v>1354</v>
      </c>
      <c r="D1385" s="7" t="s">
        <v>1355</v>
      </c>
      <c r="E1385" s="20" t="str">
        <f t="array" ref="E1385">IFNA(_xlfn.XLOOKUP(D1385,Table_Tarikan_Warkah[Nomor Tiket],Table_Tarikan_Warkah[Tanggal diserahkan kepada Validator]),"")</f>
        <v/>
      </c>
      <c r="F1385" s="20" t="str">
        <f t="array" ref="F1385">IFNA(_xlfn.XLOOKUP(D1385,Table_Tarikan_Warkah[Nomor Tiket],Table_Tarikan_Warkah[Nama Petugas Warkah]),"")</f>
        <v/>
      </c>
      <c r="G1385" s="21" t="str">
        <f t="array" ref="G1385">IFNA(_xlfn.XLOOKUP(D1385,Table_Tarikan_Warkah[Nomor Tiket],Table_Tarikan_Warkah[Jenis Permohonan]),"")</f>
        <v>KEWARISAN</v>
      </c>
      <c r="H1385" s="22" t="s">
        <v>37</v>
      </c>
      <c r="I1385" s="22" t="s">
        <v>187</v>
      </c>
      <c r="J1385" s="20">
        <f t="shared" si="29"/>
        <v>45653.41231</v>
      </c>
      <c r="K1385" s="26"/>
      <c r="L1385" s="26"/>
      <c r="M1385" s="20" t="str">
        <f t="shared" si="30"/>
        <v/>
      </c>
      <c r="N1385" s="8" t="str">
        <f t="shared" si="3"/>
        <v>BT atau SU Belum Valid</v>
      </c>
      <c r="O1385" s="21" t="str">
        <f t="shared" si="22"/>
        <v/>
      </c>
      <c r="P1385" s="24" t="b">
        <v>0</v>
      </c>
      <c r="Q1385" s="20" t="str">
        <f t="shared" si="31"/>
        <v/>
      </c>
      <c r="R1385" s="24" t="b">
        <v>0</v>
      </c>
      <c r="S1385" s="7" t="str">
        <f t="shared" si="6"/>
        <v/>
      </c>
      <c r="T1385" s="7"/>
    </row>
    <row r="1386" ht="22.5" hidden="1" customHeight="1">
      <c r="B1386" s="7">
        <f t="shared" si="7"/>
        <v>1380</v>
      </c>
      <c r="C1386" s="18" t="s">
        <v>1356</v>
      </c>
      <c r="D1386" s="19" t="str">
        <f t="array" ref="D1386">IFNA(_xlfn.XLOOKUP(C1386,Table_Tarikan_Warkah[Nomor Sertipikat],Table_Tarikan_Warkah[Nomor Tiket]),"")</f>
        <v>K/37/191224/4</v>
      </c>
      <c r="E1386" s="20" t="str">
        <f t="array" ref="E1386">IFNA(_xlfn.XLOOKUP(D1386,Table_Tarikan_Warkah[Nomor Tiket],Table_Tarikan_Warkah[Tanggal diserahkan kepada Validator]),"")</f>
        <v/>
      </c>
      <c r="F1386" s="20" t="str">
        <f t="array" ref="F1386">IFNA(_xlfn.XLOOKUP(D1386,Table_Tarikan_Warkah[Nomor Tiket],Table_Tarikan_Warkah[Nama Petugas Warkah]),"")</f>
        <v/>
      </c>
      <c r="G1386" s="21" t="str">
        <f t="array" ref="G1386">IFNA(_xlfn.XLOOKUP(D1386,Table_Tarikan_Warkah[Nomor Tiket],Table_Tarikan_Warkah[Jenis Permohonan]),"")</f>
        <v>BN Jual Beli</v>
      </c>
      <c r="H1386" s="22" t="s">
        <v>37</v>
      </c>
      <c r="I1386" s="22" t="s">
        <v>32</v>
      </c>
      <c r="J1386" s="20">
        <f t="shared" si="29"/>
        <v>45653.58493</v>
      </c>
      <c r="K1386" s="22" t="s">
        <v>33</v>
      </c>
      <c r="L1386" s="22" t="s">
        <v>32</v>
      </c>
      <c r="M1386" s="20">
        <f t="shared" si="30"/>
        <v>45653.58512</v>
      </c>
      <c r="N1386" s="8" t="str">
        <f t="shared" si="3"/>
        <v>SELESAI</v>
      </c>
      <c r="O1386" s="23">
        <f t="shared" si="22"/>
        <v>45653.58512</v>
      </c>
      <c r="P1386" s="24" t="b">
        <v>0</v>
      </c>
      <c r="Q1386" s="20" t="str">
        <f t="shared" si="31"/>
        <v/>
      </c>
      <c r="R1386" s="24" t="b">
        <v>1</v>
      </c>
      <c r="S1386" s="20">
        <f t="shared" si="6"/>
        <v>45653.58515</v>
      </c>
      <c r="T1386" s="7"/>
    </row>
    <row r="1387" ht="22.5" hidden="1" customHeight="1">
      <c r="B1387" s="7">
        <f t="shared" si="7"/>
        <v>1381</v>
      </c>
      <c r="C1387" s="18" t="s">
        <v>1357</v>
      </c>
      <c r="D1387" s="19" t="str">
        <f t="array" ref="D1387">IFNA(_xlfn.XLOOKUP(C1387,Table_Tarikan_Warkah[Nomor Sertipikat],Table_Tarikan_Warkah[Nomor Tiket]),"")</f>
        <v>K/5/241224/1</v>
      </c>
      <c r="E1387" s="20">
        <f t="array" ref="E1387">IFNA(_xlfn.XLOOKUP(D1387,Table_Tarikan_Warkah[Nomor Tiket],Table_Tarikan_Warkah[Tanggal diserahkan kepada Validator]),"")</f>
        <v>45650.70198</v>
      </c>
      <c r="F1387" s="20" t="str">
        <f t="array" ref="F1387">IFNA(_xlfn.XLOOKUP(D1387,Table_Tarikan_Warkah[Nomor Tiket],Table_Tarikan_Warkah[Nama Petugas Warkah]),"")</f>
        <v>David</v>
      </c>
      <c r="G1387" s="21" t="str">
        <f t="array" ref="G1387">IFNA(_xlfn.XLOOKUP(D1387,Table_Tarikan_Warkah[Nomor Tiket],Table_Tarikan_Warkah[Jenis Permohonan]),"")</f>
        <v>BN JUAL BELI</v>
      </c>
      <c r="H1387" s="22" t="s">
        <v>37</v>
      </c>
      <c r="I1387" s="22" t="s">
        <v>187</v>
      </c>
      <c r="J1387" s="20">
        <f t="shared" si="29"/>
        <v>45656.39122</v>
      </c>
      <c r="K1387" s="26"/>
      <c r="L1387" s="26"/>
      <c r="M1387" s="20" t="str">
        <f t="shared" si="30"/>
        <v/>
      </c>
      <c r="N1387" s="8" t="str">
        <f t="shared" si="3"/>
        <v>BT atau SU Belum Valid</v>
      </c>
      <c r="O1387" s="21" t="str">
        <f t="shared" si="22"/>
        <v/>
      </c>
      <c r="P1387" s="24" t="b">
        <v>0</v>
      </c>
      <c r="Q1387" s="20" t="str">
        <f t="shared" si="31"/>
        <v/>
      </c>
      <c r="R1387" s="24" t="b">
        <v>0</v>
      </c>
      <c r="S1387" s="7" t="str">
        <f t="shared" si="6"/>
        <v/>
      </c>
      <c r="T1387" s="7"/>
    </row>
    <row r="1388" ht="22.5" hidden="1" customHeight="1">
      <c r="B1388" s="7">
        <f t="shared" si="7"/>
        <v>1382</v>
      </c>
      <c r="C1388" s="18" t="s">
        <v>1358</v>
      </c>
      <c r="D1388" s="19" t="str">
        <f t="array" ref="D1388">IFNA(_xlfn.XLOOKUP(C1388,Table_Tarikan_Warkah[Nomor Sertipikat],Table_Tarikan_Warkah[Nomor Tiket]),"")</f>
        <v>K/60/231224/1</v>
      </c>
      <c r="E1388" s="20" t="str">
        <f t="array" ref="E1388">IFNA(_xlfn.XLOOKUP(D1388,Table_Tarikan_Warkah[Nomor Tiket],Table_Tarikan_Warkah[Tanggal diserahkan kepada Validator]),"")</f>
        <v/>
      </c>
      <c r="F1388" s="20" t="str">
        <f t="array" ref="F1388">IFNA(_xlfn.XLOOKUP(D1388,Table_Tarikan_Warkah[Nomor Tiket],Table_Tarikan_Warkah[Nama Petugas Warkah]),"")</f>
        <v>David</v>
      </c>
      <c r="G1388" s="21" t="str">
        <f t="array" ref="G1388">IFNA(_xlfn.XLOOKUP(D1388,Table_Tarikan_Warkah[Nomor Tiket],Table_Tarikan_Warkah[Jenis Permohonan]),"")</f>
        <v>BN JUAL BELI </v>
      </c>
      <c r="H1388" s="22" t="s">
        <v>37</v>
      </c>
      <c r="I1388" s="22" t="s">
        <v>187</v>
      </c>
      <c r="J1388" s="20">
        <f t="shared" si="29"/>
        <v>45656.39241</v>
      </c>
      <c r="K1388" s="26"/>
      <c r="L1388" s="26"/>
      <c r="M1388" s="20" t="str">
        <f t="shared" si="30"/>
        <v/>
      </c>
      <c r="N1388" s="8" t="str">
        <f t="shared" si="3"/>
        <v>BT atau SU Belum Valid</v>
      </c>
      <c r="O1388" s="21" t="str">
        <f t="shared" si="22"/>
        <v/>
      </c>
      <c r="P1388" s="24" t="b">
        <v>0</v>
      </c>
      <c r="Q1388" s="20" t="str">
        <f t="shared" si="31"/>
        <v/>
      </c>
      <c r="R1388" s="24" t="b">
        <v>0</v>
      </c>
      <c r="S1388" s="7" t="str">
        <f t="shared" si="6"/>
        <v/>
      </c>
      <c r="T1388" s="7"/>
    </row>
    <row r="1389" ht="22.5" hidden="1" customHeight="1">
      <c r="B1389" s="7">
        <f t="shared" si="7"/>
        <v>1383</v>
      </c>
      <c r="C1389" s="18" t="s">
        <v>1359</v>
      </c>
      <c r="D1389" s="19" t="str">
        <f t="array" ref="D1389">IFNA(_xlfn.XLOOKUP(C1389,Table_Tarikan_Warkah[Nomor Sertipikat],Table_Tarikan_Warkah[Nomor Tiket]),"")</f>
        <v>K/16/231224/2</v>
      </c>
      <c r="E1389" s="20" t="str">
        <f t="array" ref="E1389">IFNA(_xlfn.XLOOKUP(D1389,Table_Tarikan_Warkah[Nomor Tiket],Table_Tarikan_Warkah[Tanggal diserahkan kepada Validator]),"")</f>
        <v/>
      </c>
      <c r="F1389" s="20" t="str">
        <f t="array" ref="F1389">IFNA(_xlfn.XLOOKUP(D1389,Table_Tarikan_Warkah[Nomor Tiket],Table_Tarikan_Warkah[Nama Petugas Warkah]),"")</f>
        <v>Berry</v>
      </c>
      <c r="G1389" s="21" t="str">
        <f t="array" ref="G1389">IFNA(_xlfn.XLOOKUP(D1389,Table_Tarikan_Warkah[Nomor Tiket],Table_Tarikan_Warkah[Jenis Permohonan]),"")</f>
        <v>BN JUAL BELI</v>
      </c>
      <c r="H1389" s="22" t="s">
        <v>37</v>
      </c>
      <c r="I1389" s="22" t="s">
        <v>187</v>
      </c>
      <c r="J1389" s="20">
        <f t="shared" si="29"/>
        <v>45656.4082</v>
      </c>
      <c r="K1389" s="26"/>
      <c r="L1389" s="26"/>
      <c r="M1389" s="20" t="str">
        <f t="shared" si="30"/>
        <v/>
      </c>
      <c r="N1389" s="8" t="str">
        <f t="shared" si="3"/>
        <v>BT atau SU Belum Valid</v>
      </c>
      <c r="O1389" s="21" t="str">
        <f t="shared" si="22"/>
        <v/>
      </c>
      <c r="P1389" s="24" t="b">
        <v>0</v>
      </c>
      <c r="Q1389" s="20" t="str">
        <f t="shared" si="31"/>
        <v/>
      </c>
      <c r="R1389" s="24" t="b">
        <v>0</v>
      </c>
      <c r="S1389" s="7" t="str">
        <f t="shared" si="6"/>
        <v/>
      </c>
      <c r="T1389" s="7"/>
    </row>
    <row r="1390" ht="22.5" hidden="1" customHeight="1">
      <c r="B1390" s="7">
        <f t="shared" si="7"/>
        <v>1384</v>
      </c>
      <c r="C1390" s="18" t="s">
        <v>1360</v>
      </c>
      <c r="D1390" s="19" t="str">
        <f t="array" ref="D1390">IFNA(_xlfn.XLOOKUP(C1390,Table_Tarikan_Warkah[Nomor Sertipikat],Table_Tarikan_Warkah[Nomor Tiket]),"")</f>
        <v>K/10/241224/1</v>
      </c>
      <c r="E1390" s="20" t="str">
        <f t="array" ref="E1390">IFNA(_xlfn.XLOOKUP(D1390,Table_Tarikan_Warkah[Nomor Tiket],Table_Tarikan_Warkah[Tanggal diserahkan kepada Validator]),"")</f>
        <v/>
      </c>
      <c r="F1390" s="20" t="str">
        <f t="array" ref="F1390">IFNA(_xlfn.XLOOKUP(D1390,Table_Tarikan_Warkah[Nomor Tiket],Table_Tarikan_Warkah[Nama Petugas Warkah]),"")</f>
        <v>David</v>
      </c>
      <c r="G1390" s="21" t="str">
        <f t="array" ref="G1390">IFNA(_xlfn.XLOOKUP(D1390,Table_Tarikan_Warkah[Nomor Tiket],Table_Tarikan_Warkah[Jenis Permohonan]),"")</f>
        <v>KEWARISAN</v>
      </c>
      <c r="H1390" s="22" t="s">
        <v>37</v>
      </c>
      <c r="I1390" s="22" t="s">
        <v>32</v>
      </c>
      <c r="J1390" s="20">
        <f t="shared" si="29"/>
        <v>45656.41983</v>
      </c>
      <c r="K1390" s="26"/>
      <c r="L1390" s="26"/>
      <c r="M1390" s="20" t="str">
        <f t="shared" si="30"/>
        <v/>
      </c>
      <c r="N1390" s="8" t="str">
        <f t="shared" si="3"/>
        <v>BT atau SU Belum Valid</v>
      </c>
      <c r="O1390" s="21" t="str">
        <f t="shared" si="22"/>
        <v/>
      </c>
      <c r="P1390" s="24" t="b">
        <v>0</v>
      </c>
      <c r="Q1390" s="20" t="str">
        <f t="shared" si="31"/>
        <v/>
      </c>
      <c r="R1390" s="24" t="b">
        <v>0</v>
      </c>
      <c r="S1390" s="7" t="str">
        <f t="shared" si="6"/>
        <v/>
      </c>
      <c r="T1390" s="7"/>
    </row>
    <row r="1391" ht="22.5" hidden="1" customHeight="1">
      <c r="B1391" s="7">
        <f t="shared" si="7"/>
        <v>1385</v>
      </c>
      <c r="C1391" s="18" t="s">
        <v>1361</v>
      </c>
      <c r="D1391" s="19" t="str">
        <f t="array" ref="D1391">IFNA(_xlfn.XLOOKUP(C1391,Table_Tarikan_Warkah[Nomor Sertipikat],Table_Tarikan_Warkah[Nomor Tiket]),"")</f>
        <v>K/14/241224/2</v>
      </c>
      <c r="E1391" s="20">
        <f t="array" ref="E1391">IFNA(_xlfn.XLOOKUP(D1391,Table_Tarikan_Warkah[Nomor Tiket],Table_Tarikan_Warkah[Tanggal diserahkan kepada Validator]),"")</f>
        <v>45650.70334</v>
      </c>
      <c r="F1391" s="20" t="str">
        <f t="array" ref="F1391">IFNA(_xlfn.XLOOKUP(D1391,Table_Tarikan_Warkah[Nomor Tiket],Table_Tarikan_Warkah[Nama Petugas Warkah]),"")</f>
        <v>Berry</v>
      </c>
      <c r="G1391" s="21" t="str">
        <f t="array" ref="G1391">IFNA(_xlfn.XLOOKUP(D1391,Table_Tarikan_Warkah[Nomor Tiket],Table_Tarikan_Warkah[Jenis Permohonan]),"")</f>
        <v>ROYA</v>
      </c>
      <c r="H1391" s="22" t="s">
        <v>37</v>
      </c>
      <c r="I1391" s="22" t="s">
        <v>187</v>
      </c>
      <c r="J1391" s="20">
        <f t="shared" si="29"/>
        <v>45656.45423</v>
      </c>
      <c r="K1391" s="22" t="s">
        <v>33</v>
      </c>
      <c r="L1391" s="22" t="s">
        <v>187</v>
      </c>
      <c r="M1391" s="20">
        <f t="shared" si="30"/>
        <v>45656.45439</v>
      </c>
      <c r="N1391" s="8" t="str">
        <f t="shared" si="3"/>
        <v>Selesai</v>
      </c>
      <c r="O1391" s="23">
        <f t="shared" si="22"/>
        <v>45656.45439</v>
      </c>
      <c r="P1391" s="24" t="b">
        <v>1</v>
      </c>
      <c r="Q1391" s="20">
        <f t="shared" si="31"/>
        <v>45656.45442</v>
      </c>
      <c r="R1391" s="24" t="b">
        <v>0</v>
      </c>
      <c r="S1391" s="7" t="str">
        <f t="shared" si="6"/>
        <v/>
      </c>
      <c r="T1391" s="7"/>
    </row>
    <row r="1392" ht="22.5" hidden="1" customHeight="1">
      <c r="B1392" s="7">
        <f t="shared" si="7"/>
        <v>1386</v>
      </c>
      <c r="C1392" s="18" t="s">
        <v>1362</v>
      </c>
      <c r="D1392" s="19" t="str">
        <f t="array" ref="D1392">IFNA(_xlfn.XLOOKUP(C1392,Table_Tarikan_Warkah[Nomor Sertipikat],Table_Tarikan_Warkah[Nomor Tiket]),"")</f>
        <v>L/34/201224/1</v>
      </c>
      <c r="E1392" s="20">
        <f t="array" ref="E1392">IFNA(_xlfn.XLOOKUP(D1392,Table_Tarikan_Warkah[Nomor Tiket],Table_Tarikan_Warkah[Tanggal diserahkan kepada Validator]),"")</f>
        <v>45649.70808</v>
      </c>
      <c r="F1392" s="20" t="str">
        <f t="array" ref="F1392">IFNA(_xlfn.XLOOKUP(D1392,Table_Tarikan_Warkah[Nomor Tiket],Table_Tarikan_Warkah[Nama Petugas Warkah]),"")</f>
        <v>David</v>
      </c>
      <c r="G1392" s="21" t="str">
        <f t="array" ref="G1392">IFNA(_xlfn.XLOOKUP(D1392,Table_Tarikan_Warkah[Nomor Tiket],Table_Tarikan_Warkah[Jenis Permohonan]),"")</f>
        <v>ROYA</v>
      </c>
      <c r="H1392" s="22" t="s">
        <v>37</v>
      </c>
      <c r="I1392" s="22" t="s">
        <v>187</v>
      </c>
      <c r="J1392" s="20">
        <f t="shared" si="29"/>
        <v>45656.45551</v>
      </c>
      <c r="K1392" s="22" t="s">
        <v>33</v>
      </c>
      <c r="L1392" s="22" t="s">
        <v>187</v>
      </c>
      <c r="M1392" s="20">
        <f t="shared" si="30"/>
        <v>45656.45557</v>
      </c>
      <c r="N1392" s="8" t="str">
        <f t="shared" si="3"/>
        <v>Selesai</v>
      </c>
      <c r="O1392" s="23">
        <f t="shared" si="22"/>
        <v>45656.45557</v>
      </c>
      <c r="P1392" s="24" t="b">
        <v>1</v>
      </c>
      <c r="Q1392" s="20">
        <f t="shared" si="31"/>
        <v>45656.45558</v>
      </c>
      <c r="R1392" s="24" t="b">
        <v>0</v>
      </c>
      <c r="S1392" s="7" t="str">
        <f t="shared" si="6"/>
        <v/>
      </c>
      <c r="T1392" s="7"/>
    </row>
    <row r="1393" ht="22.5" hidden="1" customHeight="1">
      <c r="B1393" s="7">
        <f t="shared" si="7"/>
        <v>1387</v>
      </c>
      <c r="C1393" s="18" t="s">
        <v>1363</v>
      </c>
      <c r="D1393" s="19" t="str">
        <f t="array" ref="D1393">IFNA(_xlfn.XLOOKUP(C1393,Table_Tarikan_Warkah[Nomor Sertipikat],Table_Tarikan_Warkah[Nomor Tiket]),"")</f>
        <v>K/7/241224/3</v>
      </c>
      <c r="E1393" s="20">
        <f t="array" ref="E1393">IFNA(_xlfn.XLOOKUP(D1393,Table_Tarikan_Warkah[Nomor Tiket],Table_Tarikan_Warkah[Tanggal diserahkan kepada Validator]),"")</f>
        <v>45650.70269</v>
      </c>
      <c r="F1393" s="20" t="str">
        <f t="array" ref="F1393">IFNA(_xlfn.XLOOKUP(D1393,Table_Tarikan_Warkah[Nomor Tiket],Table_Tarikan_Warkah[Nama Petugas Warkah]),"")</f>
        <v>David</v>
      </c>
      <c r="G1393" s="21" t="str">
        <f t="array" ref="G1393">IFNA(_xlfn.XLOOKUP(D1393,Table_Tarikan_Warkah[Nomor Tiket],Table_Tarikan_Warkah[Jenis Permohonan]),"")</f>
        <v>BN JUAL BELI </v>
      </c>
      <c r="H1393" s="22" t="s">
        <v>37</v>
      </c>
      <c r="I1393" s="22" t="s">
        <v>32</v>
      </c>
      <c r="J1393" s="20">
        <f t="shared" si="29"/>
        <v>45656.45928</v>
      </c>
      <c r="K1393" s="26"/>
      <c r="L1393" s="26"/>
      <c r="M1393" s="20" t="str">
        <f t="shared" si="30"/>
        <v/>
      </c>
      <c r="N1393" s="8" t="str">
        <f t="shared" si="3"/>
        <v>BT atau SU Belum Valid</v>
      </c>
      <c r="O1393" s="21" t="str">
        <f t="shared" si="22"/>
        <v/>
      </c>
      <c r="P1393" s="24" t="b">
        <v>0</v>
      </c>
      <c r="Q1393" s="20" t="str">
        <f t="shared" si="31"/>
        <v/>
      </c>
      <c r="R1393" s="24" t="b">
        <v>0</v>
      </c>
      <c r="S1393" s="7" t="str">
        <f t="shared" si="6"/>
        <v/>
      </c>
      <c r="T1393" s="7"/>
    </row>
    <row r="1394" ht="22.5" hidden="1" customHeight="1">
      <c r="B1394" s="7">
        <f t="shared" si="7"/>
        <v>1388</v>
      </c>
      <c r="C1394" s="18" t="s">
        <v>1364</v>
      </c>
      <c r="D1394" s="19" t="str">
        <f t="array" ref="D1394">IFNA(_xlfn.XLOOKUP(C1394,Table_Tarikan_Warkah[Nomor Sertipikat],Table_Tarikan_Warkah[Nomor Tiket]),"")</f>
        <v>L/8/241224/1</v>
      </c>
      <c r="E1394" s="20">
        <f t="array" ref="E1394">IFNA(_xlfn.XLOOKUP(D1394,Table_Tarikan_Warkah[Nomor Tiket],Table_Tarikan_Warkah[Tanggal diserahkan kepada Validator]),"")</f>
        <v>45650.70235</v>
      </c>
      <c r="F1394" s="20" t="str">
        <f t="array" ref="F1394">IFNA(_xlfn.XLOOKUP(D1394,Table_Tarikan_Warkah[Nomor Tiket],Table_Tarikan_Warkah[Nama Petugas Warkah]),"")</f>
        <v>David</v>
      </c>
      <c r="G1394" s="21" t="str">
        <f t="array" ref="G1394">IFNA(_xlfn.XLOOKUP(D1394,Table_Tarikan_Warkah[Nomor Tiket],Table_Tarikan_Warkah[Jenis Permohonan]),"")</f>
        <v>ROYA</v>
      </c>
      <c r="H1394" s="22" t="s">
        <v>37</v>
      </c>
      <c r="I1394" s="22" t="s">
        <v>32</v>
      </c>
      <c r="J1394" s="20">
        <f t="shared" si="29"/>
        <v>45656.46545</v>
      </c>
      <c r="K1394" s="26"/>
      <c r="L1394" s="26"/>
      <c r="M1394" s="20" t="str">
        <f t="shared" si="30"/>
        <v/>
      </c>
      <c r="N1394" s="8" t="str">
        <f t="shared" si="3"/>
        <v>BT atau SU Belum Valid</v>
      </c>
      <c r="O1394" s="21" t="str">
        <f t="shared" si="22"/>
        <v/>
      </c>
      <c r="P1394" s="24" t="b">
        <v>0</v>
      </c>
      <c r="Q1394" s="20" t="str">
        <f t="shared" si="31"/>
        <v/>
      </c>
      <c r="R1394" s="24" t="b">
        <v>0</v>
      </c>
      <c r="S1394" s="7" t="str">
        <f t="shared" si="6"/>
        <v/>
      </c>
      <c r="T1394" s="7"/>
    </row>
    <row r="1395" ht="22.5" hidden="1" customHeight="1">
      <c r="B1395" s="7">
        <f t="shared" si="7"/>
        <v>1389</v>
      </c>
      <c r="C1395" s="18" t="s">
        <v>1365</v>
      </c>
      <c r="D1395" s="19" t="str">
        <f t="array" ref="D1395">IFNA(_xlfn.XLOOKUP(C1395,Table_Tarikan_Warkah[Nomor Sertipikat],Table_Tarikan_Warkah[Nomor Tiket]),"")</f>
        <v>K/57/231224/1</v>
      </c>
      <c r="E1395" s="20">
        <f t="array" ref="E1395">IFNA(_xlfn.XLOOKUP(D1395,Table_Tarikan_Warkah[Nomor Tiket],Table_Tarikan_Warkah[Tanggal diserahkan kepada Validator]),"")</f>
        <v>45650.70081</v>
      </c>
      <c r="F1395" s="20" t="str">
        <f t="array" ref="F1395">IFNA(_xlfn.XLOOKUP(D1395,Table_Tarikan_Warkah[Nomor Tiket],Table_Tarikan_Warkah[Nama Petugas Warkah]),"")</f>
        <v>David</v>
      </c>
      <c r="G1395" s="21" t="str">
        <f t="array" ref="G1395">IFNA(_xlfn.XLOOKUP(D1395,Table_Tarikan_Warkah[Nomor Tiket],Table_Tarikan_Warkah[Jenis Permohonan]),"")</f>
        <v>Roya</v>
      </c>
      <c r="H1395" s="22" t="s">
        <v>37</v>
      </c>
      <c r="I1395" s="22" t="s">
        <v>32</v>
      </c>
      <c r="J1395" s="20">
        <f t="shared" si="29"/>
        <v>45656.48433</v>
      </c>
      <c r="K1395" s="26"/>
      <c r="L1395" s="26"/>
      <c r="M1395" s="20" t="str">
        <f t="shared" si="30"/>
        <v/>
      </c>
      <c r="N1395" s="8" t="str">
        <f t="shared" si="3"/>
        <v>BT atau SU Belum Valid</v>
      </c>
      <c r="O1395" s="21" t="str">
        <f t="shared" si="22"/>
        <v/>
      </c>
      <c r="P1395" s="24" t="b">
        <v>0</v>
      </c>
      <c r="Q1395" s="20" t="str">
        <f t="shared" si="31"/>
        <v/>
      </c>
      <c r="R1395" s="24" t="b">
        <v>0</v>
      </c>
      <c r="S1395" s="7" t="str">
        <f t="shared" si="6"/>
        <v/>
      </c>
      <c r="T1395" s="7"/>
    </row>
    <row r="1396" ht="22.5" hidden="1" customHeight="1">
      <c r="B1396" s="7">
        <f t="shared" si="7"/>
        <v>1390</v>
      </c>
      <c r="C1396" s="18" t="s">
        <v>1366</v>
      </c>
      <c r="D1396" s="19" t="str">
        <f t="array" ref="D1396">IFNA(_xlfn.XLOOKUP(C1396,Table_Tarikan_Warkah[Nomor Sertipikat],Table_Tarikan_Warkah[Nomor Tiket]),"")</f>
        <v>K/9/241224/1</v>
      </c>
      <c r="E1396" s="20">
        <f t="array" ref="E1396">IFNA(_xlfn.XLOOKUP(D1396,Table_Tarikan_Warkah[Nomor Tiket],Table_Tarikan_Warkah[Tanggal diserahkan kepada Validator]),"")</f>
        <v>45650.70283</v>
      </c>
      <c r="F1396" s="20" t="str">
        <f t="array" ref="F1396">IFNA(_xlfn.XLOOKUP(D1396,Table_Tarikan_Warkah[Nomor Tiket],Table_Tarikan_Warkah[Nama Petugas Warkah]),"")</f>
        <v>David</v>
      </c>
      <c r="G1396" s="21" t="str">
        <f t="array" ref="G1396">IFNA(_xlfn.XLOOKUP(D1396,Table_Tarikan_Warkah[Nomor Tiket],Table_Tarikan_Warkah[Jenis Permohonan]),"")</f>
        <v>BN JUAL BELI</v>
      </c>
      <c r="H1396" s="22" t="s">
        <v>37</v>
      </c>
      <c r="I1396" s="22" t="s">
        <v>32</v>
      </c>
      <c r="J1396" s="20">
        <f t="shared" si="29"/>
        <v>45656.48718</v>
      </c>
      <c r="K1396" s="26"/>
      <c r="L1396" s="26"/>
      <c r="M1396" s="20" t="str">
        <f t="shared" si="30"/>
        <v/>
      </c>
      <c r="N1396" s="8" t="str">
        <f t="shared" si="3"/>
        <v>BT atau SU Belum Valid</v>
      </c>
      <c r="O1396" s="21" t="str">
        <f t="shared" si="22"/>
        <v/>
      </c>
      <c r="P1396" s="24" t="b">
        <v>0</v>
      </c>
      <c r="Q1396" s="20" t="str">
        <f t="shared" si="31"/>
        <v/>
      </c>
      <c r="R1396" s="24" t="b">
        <v>0</v>
      </c>
      <c r="S1396" s="7" t="str">
        <f t="shared" si="6"/>
        <v/>
      </c>
      <c r="T1396" s="7"/>
    </row>
    <row r="1397" ht="22.5" hidden="1" customHeight="1">
      <c r="B1397" s="7">
        <f t="shared" si="7"/>
        <v>1391</v>
      </c>
      <c r="C1397" s="18" t="s">
        <v>1367</v>
      </c>
      <c r="D1397" s="19" t="str">
        <f t="array" ref="D1397">IFNA(_xlfn.XLOOKUP(C1397,Table_Tarikan_Warkah[Nomor Sertipikat],Table_Tarikan_Warkah[Nomor Tiket]),"")</f>
        <v>K/56/231224/1</v>
      </c>
      <c r="E1397" s="20" t="str">
        <f t="array" ref="E1397">IFNA(_xlfn.XLOOKUP(D1397,Table_Tarikan_Warkah[Nomor Tiket],Table_Tarikan_Warkah[Tanggal diserahkan kepada Validator]),"")</f>
        <v/>
      </c>
      <c r="F1397" s="20" t="str">
        <f t="array" ref="F1397">IFNA(_xlfn.XLOOKUP(D1397,Table_Tarikan_Warkah[Nomor Tiket],Table_Tarikan_Warkah[Nama Petugas Warkah]),"")</f>
        <v/>
      </c>
      <c r="G1397" s="21" t="str">
        <f t="array" ref="G1397">IFNA(_xlfn.XLOOKUP(D1397,Table_Tarikan_Warkah[Nomor Tiket],Table_Tarikan_Warkah[Jenis Permohonan]),"")</f>
        <v>Roya</v>
      </c>
      <c r="H1397" s="22" t="s">
        <v>37</v>
      </c>
      <c r="I1397" s="22" t="s">
        <v>32</v>
      </c>
      <c r="J1397" s="20">
        <f t="shared" si="29"/>
        <v>45656.48753</v>
      </c>
      <c r="K1397" s="26"/>
      <c r="L1397" s="26"/>
      <c r="M1397" s="20" t="str">
        <f t="shared" si="30"/>
        <v/>
      </c>
      <c r="N1397" s="8" t="str">
        <f t="shared" si="3"/>
        <v>BT atau SU Belum Valid</v>
      </c>
      <c r="O1397" s="21" t="str">
        <f t="shared" si="22"/>
        <v/>
      </c>
      <c r="P1397" s="24" t="b">
        <v>0</v>
      </c>
      <c r="Q1397" s="20" t="str">
        <f t="shared" si="31"/>
        <v/>
      </c>
      <c r="R1397" s="24" t="b">
        <v>0</v>
      </c>
      <c r="S1397" s="7" t="str">
        <f t="shared" si="6"/>
        <v/>
      </c>
      <c r="T1397" s="7"/>
    </row>
    <row r="1398" ht="22.5" hidden="1" customHeight="1">
      <c r="B1398" s="7">
        <f t="shared" si="7"/>
        <v>1392</v>
      </c>
      <c r="C1398" s="18" t="s">
        <v>1368</v>
      </c>
      <c r="D1398" s="19" t="str">
        <f t="array" ref="D1398">IFNA(_xlfn.XLOOKUP(C1398,Table_Tarikan_Warkah[Nomor Sertipikat],Table_Tarikan_Warkah[Nomor Tiket]),"")</f>
        <v>K/1/231224/1</v>
      </c>
      <c r="E1398" s="20" t="str">
        <f t="array" ref="E1398">IFNA(_xlfn.XLOOKUP(D1398,Table_Tarikan_Warkah[Nomor Tiket],Table_Tarikan_Warkah[Tanggal diserahkan kepada Validator]),"")</f>
        <v/>
      </c>
      <c r="F1398" s="20" t="str">
        <f t="array" ref="F1398">IFNA(_xlfn.XLOOKUP(D1398,Table_Tarikan_Warkah[Nomor Tiket],Table_Tarikan_Warkah[Nama Petugas Warkah]),"")</f>
        <v/>
      </c>
      <c r="G1398" s="21" t="str">
        <f t="array" ref="G1398">IFNA(_xlfn.XLOOKUP(D1398,Table_Tarikan_Warkah[Nomor Tiket],Table_Tarikan_Warkah[Jenis Permohonan]),"")</f>
        <v>BN JUAL BELI</v>
      </c>
      <c r="H1398" s="22" t="s">
        <v>37</v>
      </c>
      <c r="I1398" s="22" t="s">
        <v>187</v>
      </c>
      <c r="J1398" s="20">
        <f t="shared" si="29"/>
        <v>45656.49029</v>
      </c>
      <c r="K1398" s="26"/>
      <c r="L1398" s="26"/>
      <c r="M1398" s="20" t="str">
        <f t="shared" si="30"/>
        <v/>
      </c>
      <c r="N1398" s="8" t="str">
        <f t="shared" si="3"/>
        <v>BT atau SU Belum Valid</v>
      </c>
      <c r="O1398" s="21" t="str">
        <f t="shared" si="22"/>
        <v/>
      </c>
      <c r="P1398" s="24" t="b">
        <v>0</v>
      </c>
      <c r="Q1398" s="20" t="str">
        <f t="shared" si="31"/>
        <v/>
      </c>
      <c r="R1398" s="24" t="b">
        <v>0</v>
      </c>
      <c r="S1398" s="7" t="str">
        <f t="shared" si="6"/>
        <v/>
      </c>
      <c r="T1398" s="7"/>
    </row>
    <row r="1399" ht="22.5" hidden="1" customHeight="1">
      <c r="B1399" s="7">
        <f t="shared" si="7"/>
        <v>1393</v>
      </c>
      <c r="C1399" s="18" t="s">
        <v>1369</v>
      </c>
      <c r="D1399" s="19" t="str">
        <f t="array" ref="D1399">IFNA(_xlfn.XLOOKUP(C1399,Table_Tarikan_Warkah[Nomor Sertipikat],Table_Tarikan_Warkah[Nomor Tiket]),"")</f>
        <v>K/47/231224/1</v>
      </c>
      <c r="E1399" s="20" t="str">
        <f t="array" ref="E1399">IFNA(_xlfn.XLOOKUP(D1399,Table_Tarikan_Warkah[Nomor Tiket],Table_Tarikan_Warkah[Tanggal diserahkan kepada Validator]),"")</f>
        <v/>
      </c>
      <c r="F1399" s="20" t="str">
        <f t="array" ref="F1399">IFNA(_xlfn.XLOOKUP(D1399,Table_Tarikan_Warkah[Nomor Tiket],Table_Tarikan_Warkah[Nama Petugas Warkah]),"")</f>
        <v/>
      </c>
      <c r="G1399" s="21" t="str">
        <f t="array" ref="G1399">IFNA(_xlfn.XLOOKUP(D1399,Table_Tarikan_Warkah[Nomor Tiket],Table_Tarikan_Warkah[Jenis Permohonan]),"")</f>
        <v>BN JUAL BELI</v>
      </c>
      <c r="H1399" s="22" t="s">
        <v>37</v>
      </c>
      <c r="I1399" s="22" t="s">
        <v>187</v>
      </c>
      <c r="J1399" s="20">
        <f t="shared" si="29"/>
        <v>45656.49656</v>
      </c>
      <c r="K1399" s="26"/>
      <c r="L1399" s="26"/>
      <c r="M1399" s="20" t="str">
        <f t="shared" si="30"/>
        <v/>
      </c>
      <c r="N1399" s="8" t="str">
        <f t="shared" si="3"/>
        <v>BT atau SU Belum Valid</v>
      </c>
      <c r="O1399" s="21" t="str">
        <f t="shared" si="22"/>
        <v/>
      </c>
      <c r="P1399" s="24" t="b">
        <v>0</v>
      </c>
      <c r="Q1399" s="20" t="str">
        <f t="shared" si="31"/>
        <v/>
      </c>
      <c r="R1399" s="24" t="b">
        <v>0</v>
      </c>
      <c r="S1399" s="7" t="str">
        <f t="shared" si="6"/>
        <v/>
      </c>
      <c r="T1399" s="7"/>
    </row>
    <row r="1400" ht="22.5" hidden="1" customHeight="1">
      <c r="B1400" s="7">
        <f t="shared" si="7"/>
        <v>1394</v>
      </c>
      <c r="C1400" s="18" t="s">
        <v>1370</v>
      </c>
      <c r="D1400" s="19" t="str">
        <f t="array" ref="D1400">IFNA(_xlfn.XLOOKUP(C1400,Table_Tarikan_Warkah[Nomor Sertipikat],Table_Tarikan_Warkah[Nomor Tiket]),"")</f>
        <v>K/40/241224/1</v>
      </c>
      <c r="E1400" s="20" t="str">
        <f t="array" ref="E1400">IFNA(_xlfn.XLOOKUP(D1400,Table_Tarikan_Warkah[Nomor Tiket],Table_Tarikan_Warkah[Tanggal diserahkan kepada Validator]),"")</f>
        <v/>
      </c>
      <c r="F1400" s="20" t="str">
        <f t="array" ref="F1400">IFNA(_xlfn.XLOOKUP(D1400,Table_Tarikan_Warkah[Nomor Tiket],Table_Tarikan_Warkah[Nama Petugas Warkah]),"")</f>
        <v/>
      </c>
      <c r="G1400" s="21" t="str">
        <f t="array" ref="G1400">IFNA(_xlfn.XLOOKUP(D1400,Table_Tarikan_Warkah[Nomor Tiket],Table_Tarikan_Warkah[Jenis Permohonan]),"")</f>
        <v>Roya</v>
      </c>
      <c r="H1400" s="22" t="s">
        <v>31</v>
      </c>
      <c r="I1400" s="22" t="s">
        <v>32</v>
      </c>
      <c r="J1400" s="20">
        <f t="shared" si="29"/>
        <v>45656.57264</v>
      </c>
      <c r="K1400" s="26"/>
      <c r="L1400" s="26"/>
      <c r="M1400" s="20" t="str">
        <f t="shared" si="30"/>
        <v/>
      </c>
      <c r="N1400" s="8" t="str">
        <f t="shared" si="3"/>
        <v>BT atau SU Belum Valid</v>
      </c>
      <c r="O1400" s="21" t="str">
        <f t="shared" si="22"/>
        <v/>
      </c>
      <c r="P1400" s="24" t="b">
        <v>0</v>
      </c>
      <c r="Q1400" s="20" t="str">
        <f t="shared" si="31"/>
        <v/>
      </c>
      <c r="R1400" s="24" t="b">
        <v>0</v>
      </c>
      <c r="S1400" s="7" t="str">
        <f t="shared" si="6"/>
        <v/>
      </c>
      <c r="T1400" s="7"/>
    </row>
    <row r="1401" ht="22.5" hidden="1" customHeight="1">
      <c r="B1401" s="7">
        <f t="shared" si="7"/>
        <v>1395</v>
      </c>
      <c r="C1401" s="18" t="s">
        <v>1371</v>
      </c>
      <c r="D1401" s="19" t="str">
        <f t="array" ref="D1401">IFNA(_xlfn.XLOOKUP(C1401,Table_Tarikan_Warkah[Nomor Sertipikat],Table_Tarikan_Warkah[Nomor Tiket]),"")</f>
        <v>L/24/241224/1</v>
      </c>
      <c r="E1401" s="20" t="str">
        <f t="array" ref="E1401">IFNA(_xlfn.XLOOKUP(D1401,Table_Tarikan_Warkah[Nomor Tiket],Table_Tarikan_Warkah[Tanggal diserahkan kepada Validator]),"")</f>
        <v/>
      </c>
      <c r="F1401" s="20" t="str">
        <f t="array" ref="F1401">IFNA(_xlfn.XLOOKUP(D1401,Table_Tarikan_Warkah[Nomor Tiket],Table_Tarikan_Warkah[Nama Petugas Warkah]),"")</f>
        <v/>
      </c>
      <c r="G1401" s="21" t="str">
        <f t="array" ref="G1401">IFNA(_xlfn.XLOOKUP(D1401,Table_Tarikan_Warkah[Nomor Tiket],Table_Tarikan_Warkah[Jenis Permohonan]),"")</f>
        <v>BN WARIS</v>
      </c>
      <c r="H1401" s="22" t="s">
        <v>31</v>
      </c>
      <c r="I1401" s="22" t="s">
        <v>32</v>
      </c>
      <c r="J1401" s="20">
        <f t="shared" si="29"/>
        <v>45656.57264</v>
      </c>
      <c r="K1401" s="26"/>
      <c r="L1401" s="26"/>
      <c r="M1401" s="20" t="str">
        <f t="shared" si="30"/>
        <v/>
      </c>
      <c r="N1401" s="8" t="str">
        <f t="shared" si="3"/>
        <v>BT atau SU Belum Valid</v>
      </c>
      <c r="O1401" s="21" t="str">
        <f t="shared" si="22"/>
        <v/>
      </c>
      <c r="P1401" s="24" t="b">
        <v>0</v>
      </c>
      <c r="Q1401" s="20" t="str">
        <f t="shared" si="31"/>
        <v/>
      </c>
      <c r="R1401" s="24" t="b">
        <v>0</v>
      </c>
      <c r="S1401" s="7" t="str">
        <f t="shared" si="6"/>
        <v/>
      </c>
      <c r="T1401" s="7"/>
    </row>
    <row r="1402" ht="22.5" hidden="1" customHeight="1">
      <c r="B1402" s="7">
        <f t="shared" si="7"/>
        <v>1396</v>
      </c>
      <c r="C1402" s="18" t="s">
        <v>1372</v>
      </c>
      <c r="D1402" s="19" t="str">
        <f t="array" ref="D1402">IFNA(_xlfn.XLOOKUP(C1402,Table_Tarikan_Warkah[Nomor Sertipikat],Table_Tarikan_Warkah[Nomor Tiket]),"")</f>
        <v>K/21/241224/2</v>
      </c>
      <c r="E1402" s="20">
        <f t="array" ref="E1402">IFNA(_xlfn.XLOOKUP(D1402,Table_Tarikan_Warkah[Nomor Tiket],Table_Tarikan_Warkah[Tanggal diserahkan kepada Validator]),"")</f>
        <v>45678.40481</v>
      </c>
      <c r="F1402" s="20" t="str">
        <f t="array" ref="F1402">IFNA(_xlfn.XLOOKUP(D1402,Table_Tarikan_Warkah[Nomor Tiket],Table_Tarikan_Warkah[Nama Petugas Warkah]),"")</f>
        <v>Berry</v>
      </c>
      <c r="G1402" s="21" t="str">
        <f t="array" ref="G1402">IFNA(_xlfn.XLOOKUP(D1402,Table_Tarikan_Warkah[Nomor Tiket],Table_Tarikan_Warkah[Jenis Permohonan]),"")</f>
        <v>BN Hibah</v>
      </c>
      <c r="H1402" s="22" t="s">
        <v>31</v>
      </c>
      <c r="I1402" s="22" t="s">
        <v>32</v>
      </c>
      <c r="J1402" s="20">
        <f t="shared" si="29"/>
        <v>45656.57264</v>
      </c>
      <c r="K1402" s="26"/>
      <c r="L1402" s="26"/>
      <c r="M1402" s="20" t="str">
        <f t="shared" si="30"/>
        <v/>
      </c>
      <c r="N1402" s="8" t="str">
        <f t="shared" si="3"/>
        <v>BT atau SU Belum Valid</v>
      </c>
      <c r="O1402" s="21" t="str">
        <f t="shared" si="22"/>
        <v/>
      </c>
      <c r="P1402" s="24" t="b">
        <v>0</v>
      </c>
      <c r="Q1402" s="20" t="str">
        <f t="shared" si="31"/>
        <v/>
      </c>
      <c r="R1402" s="24" t="b">
        <v>0</v>
      </c>
      <c r="S1402" s="7" t="str">
        <f t="shared" si="6"/>
        <v/>
      </c>
      <c r="T1402" s="7"/>
    </row>
    <row r="1403" ht="22.5" hidden="1" customHeight="1">
      <c r="B1403" s="7">
        <f t="shared" si="7"/>
        <v>1397</v>
      </c>
      <c r="C1403" s="18" t="s">
        <v>1373</v>
      </c>
      <c r="D1403" s="19" t="str">
        <f t="array" ref="D1403">IFNA(_xlfn.XLOOKUP(C1403,Table_Tarikan_Warkah[Nomor Sertipikat],Table_Tarikan_Warkah[Nomor Tiket]),"")</f>
        <v>L/17/241224/1</v>
      </c>
      <c r="E1403" s="20" t="str">
        <f t="array" ref="E1403">IFNA(_xlfn.XLOOKUP(D1403,Table_Tarikan_Warkah[Nomor Tiket],Table_Tarikan_Warkah[Tanggal diserahkan kepada Validator]),"")</f>
        <v/>
      </c>
      <c r="F1403" s="20" t="str">
        <f t="array" ref="F1403">IFNA(_xlfn.XLOOKUP(D1403,Table_Tarikan_Warkah[Nomor Tiket],Table_Tarikan_Warkah[Nama Petugas Warkah]),"")</f>
        <v>Berry</v>
      </c>
      <c r="G1403" s="21" t="str">
        <f t="array" ref="G1403">IFNA(_xlfn.XLOOKUP(D1403,Table_Tarikan_Warkah[Nomor Tiket],Table_Tarikan_Warkah[Jenis Permohonan]),"")</f>
        <v>ROYA</v>
      </c>
      <c r="H1403" s="22" t="s">
        <v>31</v>
      </c>
      <c r="I1403" s="22" t="s">
        <v>32</v>
      </c>
      <c r="J1403" s="20">
        <f t="shared" si="29"/>
        <v>45656.57264</v>
      </c>
      <c r="K1403" s="26"/>
      <c r="L1403" s="26"/>
      <c r="M1403" s="20" t="str">
        <f t="shared" si="30"/>
        <v/>
      </c>
      <c r="N1403" s="8" t="str">
        <f t="shared" si="3"/>
        <v>BT atau SU Belum Valid</v>
      </c>
      <c r="O1403" s="21" t="str">
        <f t="shared" si="22"/>
        <v/>
      </c>
      <c r="P1403" s="24" t="b">
        <v>0</v>
      </c>
      <c r="Q1403" s="20" t="str">
        <f t="shared" si="31"/>
        <v/>
      </c>
      <c r="R1403" s="24" t="b">
        <v>0</v>
      </c>
      <c r="S1403" s="7" t="str">
        <f t="shared" si="6"/>
        <v/>
      </c>
      <c r="T1403" s="7"/>
    </row>
    <row r="1404" ht="22.5" hidden="1" customHeight="1">
      <c r="B1404" s="7">
        <f t="shared" si="7"/>
        <v>1398</v>
      </c>
      <c r="C1404" s="18" t="s">
        <v>1374</v>
      </c>
      <c r="D1404" s="19" t="str">
        <f t="array" ref="D1404">IFNA(_xlfn.XLOOKUP(C1404,Table_Tarikan_Warkah[Nomor Sertipikat],Table_Tarikan_Warkah[Nomor Tiket]),"")</f>
        <v>K/16/241224/1</v>
      </c>
      <c r="E1404" s="20" t="str">
        <f t="array" ref="E1404">IFNA(_xlfn.XLOOKUP(D1404,Table_Tarikan_Warkah[Nomor Tiket],Table_Tarikan_Warkah[Tanggal diserahkan kepada Validator]),"")</f>
        <v/>
      </c>
      <c r="F1404" s="20" t="str">
        <f t="array" ref="F1404">IFNA(_xlfn.XLOOKUP(D1404,Table_Tarikan_Warkah[Nomor Tiket],Table_Tarikan_Warkah[Nama Petugas Warkah]),"")</f>
        <v/>
      </c>
      <c r="G1404" s="21" t="str">
        <f t="array" ref="G1404">IFNA(_xlfn.XLOOKUP(D1404,Table_Tarikan_Warkah[Nomor Tiket],Table_Tarikan_Warkah[Jenis Permohonan]),"")</f>
        <v>BN JUAL BELI</v>
      </c>
      <c r="H1404" s="22" t="s">
        <v>31</v>
      </c>
      <c r="I1404" s="22" t="s">
        <v>32</v>
      </c>
      <c r="J1404" s="20">
        <f t="shared" si="29"/>
        <v>45656.57264</v>
      </c>
      <c r="K1404" s="26"/>
      <c r="L1404" s="26"/>
      <c r="M1404" s="20" t="str">
        <f t="shared" si="30"/>
        <v/>
      </c>
      <c r="N1404" s="8" t="str">
        <f t="shared" si="3"/>
        <v>BT atau SU Belum Valid</v>
      </c>
      <c r="O1404" s="21" t="str">
        <f t="shared" si="22"/>
        <v/>
      </c>
      <c r="P1404" s="24" t="b">
        <v>0</v>
      </c>
      <c r="Q1404" s="20" t="str">
        <f t="shared" si="31"/>
        <v/>
      </c>
      <c r="R1404" s="24" t="b">
        <v>0</v>
      </c>
      <c r="S1404" s="7" t="str">
        <f t="shared" si="6"/>
        <v/>
      </c>
      <c r="T1404" s="7"/>
    </row>
    <row r="1405" ht="22.5" hidden="1" customHeight="1">
      <c r="B1405" s="7">
        <f t="shared" si="7"/>
        <v>1399</v>
      </c>
      <c r="C1405" s="18" t="s">
        <v>1375</v>
      </c>
      <c r="D1405" s="19" t="str">
        <f t="array" ref="D1405">IFNA(_xlfn.XLOOKUP(C1405,Table_Tarikan_Warkah[Nomor Sertipikat],Table_Tarikan_Warkah[Nomor Tiket]),"")</f>
        <v>K/25/241224/1</v>
      </c>
      <c r="E1405" s="20" t="str">
        <f t="array" ref="E1405">IFNA(_xlfn.XLOOKUP(D1405,Table_Tarikan_Warkah[Nomor Tiket],Table_Tarikan_Warkah[Tanggal diserahkan kepada Validator]),"")</f>
        <v/>
      </c>
      <c r="F1405" s="20" t="str">
        <f t="array" ref="F1405">IFNA(_xlfn.XLOOKUP(D1405,Table_Tarikan_Warkah[Nomor Tiket],Table_Tarikan_Warkah[Nama Petugas Warkah]),"")</f>
        <v/>
      </c>
      <c r="G1405" s="21" t="str">
        <f t="array" ref="G1405">IFNA(_xlfn.XLOOKUP(D1405,Table_Tarikan_Warkah[Nomor Tiket],Table_Tarikan_Warkah[Jenis Permohonan]),"")</f>
        <v>BN JUAL BELI</v>
      </c>
      <c r="H1405" s="22" t="s">
        <v>31</v>
      </c>
      <c r="I1405" s="22" t="s">
        <v>32</v>
      </c>
      <c r="J1405" s="20">
        <f t="shared" si="29"/>
        <v>45656.57264</v>
      </c>
      <c r="K1405" s="26"/>
      <c r="L1405" s="26"/>
      <c r="M1405" s="20" t="str">
        <f t="shared" si="30"/>
        <v/>
      </c>
      <c r="N1405" s="8" t="str">
        <f t="shared" si="3"/>
        <v>BT atau SU Belum Valid</v>
      </c>
      <c r="O1405" s="21" t="str">
        <f t="shared" si="22"/>
        <v/>
      </c>
      <c r="P1405" s="24" t="b">
        <v>0</v>
      </c>
      <c r="Q1405" s="20" t="str">
        <f t="shared" si="31"/>
        <v/>
      </c>
      <c r="R1405" s="24" t="b">
        <v>0</v>
      </c>
      <c r="S1405" s="7" t="str">
        <f t="shared" si="6"/>
        <v/>
      </c>
      <c r="T1405" s="7"/>
    </row>
    <row r="1406" ht="22.5" hidden="1" customHeight="1">
      <c r="B1406" s="7">
        <f t="shared" si="7"/>
        <v>1400</v>
      </c>
      <c r="C1406" s="18" t="s">
        <v>1376</v>
      </c>
      <c r="D1406" s="19" t="str">
        <f t="array" ref="D1406">IFNA(_xlfn.XLOOKUP(C1406,Table_Tarikan_Warkah[Nomor Sertipikat],Table_Tarikan_Warkah[Nomor Tiket]),"")</f>
        <v>K/29/241224/1</v>
      </c>
      <c r="E1406" s="20" t="str">
        <f t="array" ref="E1406">IFNA(_xlfn.XLOOKUP(D1406,Table_Tarikan_Warkah[Nomor Tiket],Table_Tarikan_Warkah[Tanggal diserahkan kepada Validator]),"")</f>
        <v/>
      </c>
      <c r="F1406" s="20" t="str">
        <f t="array" ref="F1406">IFNA(_xlfn.XLOOKUP(D1406,Table_Tarikan_Warkah[Nomor Tiket],Table_Tarikan_Warkah[Nama Petugas Warkah]),"")</f>
        <v/>
      </c>
      <c r="G1406" s="21" t="str">
        <f t="array" ref="G1406">IFNA(_xlfn.XLOOKUP(D1406,Table_Tarikan_Warkah[Nomor Tiket],Table_Tarikan_Warkah[Jenis Permohonan]),"")</f>
        <v>BN JUAL BELI</v>
      </c>
      <c r="H1406" s="22" t="s">
        <v>31</v>
      </c>
      <c r="I1406" s="22" t="s">
        <v>32</v>
      </c>
      <c r="J1406" s="20">
        <f t="shared" si="29"/>
        <v>45656.57264</v>
      </c>
      <c r="K1406" s="26"/>
      <c r="L1406" s="26"/>
      <c r="M1406" s="20" t="str">
        <f t="shared" si="30"/>
        <v/>
      </c>
      <c r="N1406" s="8" t="str">
        <f t="shared" si="3"/>
        <v>BT atau SU Belum Valid</v>
      </c>
      <c r="O1406" s="21" t="str">
        <f t="shared" si="22"/>
        <v/>
      </c>
      <c r="P1406" s="24" t="b">
        <v>0</v>
      </c>
      <c r="Q1406" s="20" t="str">
        <f t="shared" si="31"/>
        <v/>
      </c>
      <c r="R1406" s="24" t="b">
        <v>0</v>
      </c>
      <c r="S1406" s="7" t="str">
        <f t="shared" si="6"/>
        <v/>
      </c>
      <c r="T1406" s="7"/>
    </row>
    <row r="1407" ht="22.5" hidden="1" customHeight="1">
      <c r="B1407" s="7">
        <f t="shared" si="7"/>
        <v>1401</v>
      </c>
      <c r="C1407" s="18" t="s">
        <v>1377</v>
      </c>
      <c r="D1407" s="19" t="str">
        <f t="array" ref="D1407">IFNA(_xlfn.XLOOKUP(C1407,Table_Tarikan_Warkah[Nomor Sertipikat],Table_Tarikan_Warkah[Nomor Tiket]),"")</f>
        <v>K/35/241224/1</v>
      </c>
      <c r="E1407" s="20" t="str">
        <f t="array" ref="E1407">IFNA(_xlfn.XLOOKUP(D1407,Table_Tarikan_Warkah[Nomor Tiket],Table_Tarikan_Warkah[Tanggal diserahkan kepada Validator]),"")</f>
        <v/>
      </c>
      <c r="F1407" s="20" t="str">
        <f t="array" ref="F1407">IFNA(_xlfn.XLOOKUP(D1407,Table_Tarikan_Warkah[Nomor Tiket],Table_Tarikan_Warkah[Nama Petugas Warkah]),"")</f>
        <v/>
      </c>
      <c r="G1407" s="21" t="str">
        <f t="array" ref="G1407">IFNA(_xlfn.XLOOKUP(D1407,Table_Tarikan_Warkah[Nomor Tiket],Table_Tarikan_Warkah[Jenis Permohonan]),"")</f>
        <v>BN Jual Beli</v>
      </c>
      <c r="H1407" s="22" t="s">
        <v>31</v>
      </c>
      <c r="I1407" s="22" t="s">
        <v>32</v>
      </c>
      <c r="J1407" s="20">
        <f t="shared" si="29"/>
        <v>45656.57264</v>
      </c>
      <c r="K1407" s="26"/>
      <c r="L1407" s="26"/>
      <c r="M1407" s="20" t="str">
        <f t="shared" si="30"/>
        <v/>
      </c>
      <c r="N1407" s="8" t="str">
        <f t="shared" si="3"/>
        <v>BT atau SU Belum Valid</v>
      </c>
      <c r="O1407" s="21" t="str">
        <f t="shared" si="22"/>
        <v/>
      </c>
      <c r="P1407" s="24" t="b">
        <v>0</v>
      </c>
      <c r="Q1407" s="20" t="str">
        <f t="shared" si="31"/>
        <v/>
      </c>
      <c r="R1407" s="24" t="b">
        <v>0</v>
      </c>
      <c r="S1407" s="7" t="str">
        <f t="shared" si="6"/>
        <v/>
      </c>
      <c r="T1407" s="7"/>
    </row>
    <row r="1408" ht="22.5" hidden="1" customHeight="1">
      <c r="B1408" s="7">
        <f t="shared" si="7"/>
        <v>1402</v>
      </c>
      <c r="C1408" s="18" t="s">
        <v>1378</v>
      </c>
      <c r="D1408" s="19" t="str">
        <f t="array" ref="D1408">IFNA(_xlfn.XLOOKUP(C1408,Table_Tarikan_Warkah[Nomor Sertipikat],Table_Tarikan_Warkah[Nomor Tiket]),"")</f>
        <v>K/41/241224/1</v>
      </c>
      <c r="E1408" s="20" t="str">
        <f t="array" ref="E1408">IFNA(_xlfn.XLOOKUP(D1408,Table_Tarikan_Warkah[Nomor Tiket],Table_Tarikan_Warkah[Tanggal diserahkan kepada Validator]),"")</f>
        <v/>
      </c>
      <c r="F1408" s="20" t="str">
        <f t="array" ref="F1408">IFNA(_xlfn.XLOOKUP(D1408,Table_Tarikan_Warkah[Nomor Tiket],Table_Tarikan_Warkah[Nama Petugas Warkah]),"")</f>
        <v>Berry</v>
      </c>
      <c r="G1408" s="21" t="str">
        <f t="array" ref="G1408">IFNA(_xlfn.XLOOKUP(D1408,Table_Tarikan_Warkah[Nomor Tiket],Table_Tarikan_Warkah[Jenis Permohonan]),"")</f>
        <v>Perubahan Hak</v>
      </c>
      <c r="H1408" s="22" t="s">
        <v>31</v>
      </c>
      <c r="I1408" s="22" t="s">
        <v>32</v>
      </c>
      <c r="J1408" s="20">
        <f t="shared" si="29"/>
        <v>45656.57264</v>
      </c>
      <c r="K1408" s="26"/>
      <c r="L1408" s="26"/>
      <c r="M1408" s="20" t="str">
        <f t="shared" si="30"/>
        <v/>
      </c>
      <c r="N1408" s="8" t="str">
        <f t="shared" si="3"/>
        <v>BT atau SU Belum Valid</v>
      </c>
      <c r="O1408" s="21" t="str">
        <f t="shared" si="22"/>
        <v/>
      </c>
      <c r="P1408" s="24" t="b">
        <v>0</v>
      </c>
      <c r="Q1408" s="20" t="str">
        <f t="shared" si="31"/>
        <v/>
      </c>
      <c r="R1408" s="24" t="b">
        <v>0</v>
      </c>
      <c r="S1408" s="7" t="str">
        <f t="shared" si="6"/>
        <v/>
      </c>
      <c r="T1408" s="7"/>
    </row>
    <row r="1409" ht="22.5" hidden="1" customHeight="1">
      <c r="B1409" s="7">
        <f t="shared" si="7"/>
        <v>1403</v>
      </c>
      <c r="C1409" s="18" t="s">
        <v>1379</v>
      </c>
      <c r="D1409" s="19" t="str">
        <f t="array" ref="D1409">IFNA(_xlfn.XLOOKUP(C1409,Table_Tarikan_Warkah[Nomor Sertipikat],Table_Tarikan_Warkah[Nomor Tiket]),"")</f>
        <v>K/38/241224/1</v>
      </c>
      <c r="E1409" s="20" t="str">
        <f t="array" ref="E1409">IFNA(_xlfn.XLOOKUP(D1409,Table_Tarikan_Warkah[Nomor Tiket],Table_Tarikan_Warkah[Tanggal diserahkan kepada Validator]),"")</f>
        <v/>
      </c>
      <c r="F1409" s="20" t="str">
        <f t="array" ref="F1409">IFNA(_xlfn.XLOOKUP(D1409,Table_Tarikan_Warkah[Nomor Tiket],Table_Tarikan_Warkah[Nama Petugas Warkah]),"")</f>
        <v>Berry</v>
      </c>
      <c r="G1409" s="21" t="str">
        <f t="array" ref="G1409">IFNA(_xlfn.XLOOKUP(D1409,Table_Tarikan_Warkah[Nomor Tiket],Table_Tarikan_Warkah[Jenis Permohonan]),"")</f>
        <v>BN WARIS</v>
      </c>
      <c r="H1409" s="22" t="s">
        <v>31</v>
      </c>
      <c r="I1409" s="22" t="s">
        <v>32</v>
      </c>
      <c r="J1409" s="20">
        <f t="shared" si="29"/>
        <v>45656.57264</v>
      </c>
      <c r="K1409" s="26"/>
      <c r="L1409" s="26"/>
      <c r="M1409" s="20" t="str">
        <f t="shared" si="30"/>
        <v/>
      </c>
      <c r="N1409" s="8" t="str">
        <f t="shared" si="3"/>
        <v>BT atau SU Belum Valid</v>
      </c>
      <c r="O1409" s="21" t="str">
        <f t="shared" si="22"/>
        <v/>
      </c>
      <c r="P1409" s="24" t="b">
        <v>0</v>
      </c>
      <c r="Q1409" s="20" t="str">
        <f t="shared" si="31"/>
        <v/>
      </c>
      <c r="R1409" s="24" t="b">
        <v>0</v>
      </c>
      <c r="S1409" s="7" t="str">
        <f t="shared" si="6"/>
        <v/>
      </c>
      <c r="T1409" s="7"/>
    </row>
    <row r="1410" ht="22.5" hidden="1" customHeight="1">
      <c r="B1410" s="7">
        <f t="shared" si="7"/>
        <v>1404</v>
      </c>
      <c r="C1410" s="18" t="s">
        <v>1380</v>
      </c>
      <c r="D1410" s="7" t="s">
        <v>1381</v>
      </c>
      <c r="E1410" s="20">
        <f t="array" ref="E1410">IFNA(_xlfn.XLOOKUP(D1410,Table_Tarikan_Warkah[Nomor Tiket],Table_Tarikan_Warkah[Tanggal diserahkan kepada Validator]),"")</f>
        <v>45650.70047</v>
      </c>
      <c r="F1410" s="20" t="str">
        <f t="array" ref="F1410">IFNA(_xlfn.XLOOKUP(D1410,Table_Tarikan_Warkah[Nomor Tiket],Table_Tarikan_Warkah[Nama Petugas Warkah]),"")</f>
        <v>David</v>
      </c>
      <c r="G1410" s="21" t="str">
        <f t="array" ref="G1410">IFNA(_xlfn.XLOOKUP(D1410,Table_Tarikan_Warkah[Nomor Tiket],Table_Tarikan_Warkah[Jenis Permohonan]),"")</f>
        <v>ROYA</v>
      </c>
      <c r="H1410" s="22" t="s">
        <v>37</v>
      </c>
      <c r="I1410" s="22" t="s">
        <v>187</v>
      </c>
      <c r="J1410" s="20">
        <f t="shared" si="29"/>
        <v>45656.57264</v>
      </c>
      <c r="K1410" s="26"/>
      <c r="L1410" s="26"/>
      <c r="M1410" s="20" t="str">
        <f t="shared" si="30"/>
        <v/>
      </c>
      <c r="N1410" s="8" t="str">
        <f t="shared" si="3"/>
        <v>BT atau SU Belum Valid</v>
      </c>
      <c r="O1410" s="21" t="str">
        <f t="shared" si="22"/>
        <v/>
      </c>
      <c r="P1410" s="24" t="b">
        <v>0</v>
      </c>
      <c r="Q1410" s="20" t="str">
        <f t="shared" si="31"/>
        <v/>
      </c>
      <c r="R1410" s="24" t="b">
        <v>0</v>
      </c>
      <c r="S1410" s="7" t="str">
        <f t="shared" si="6"/>
        <v/>
      </c>
      <c r="T1410" s="7"/>
    </row>
    <row r="1411" ht="22.5" hidden="1" customHeight="1">
      <c r="B1411" s="7">
        <f t="shared" si="7"/>
        <v>1405</v>
      </c>
      <c r="C1411" s="18" t="s">
        <v>1382</v>
      </c>
      <c r="D1411" s="7" t="s">
        <v>1383</v>
      </c>
      <c r="E1411" s="20" t="str">
        <f t="array" ref="E1411">IFNA(_xlfn.XLOOKUP(D1411,Table_Tarikan_Warkah[Nomor Tiket],Table_Tarikan_Warkah[Tanggal diserahkan kepada Validator]),"")</f>
        <v/>
      </c>
      <c r="F1411" s="20" t="str">
        <f t="array" ref="F1411">IFNA(_xlfn.XLOOKUP(D1411,Table_Tarikan_Warkah[Nomor Tiket],Table_Tarikan_Warkah[Nama Petugas Warkah]),"")</f>
        <v/>
      </c>
      <c r="G1411" s="21" t="str">
        <f t="array" ref="G1411">IFNA(_xlfn.XLOOKUP(D1411,Table_Tarikan_Warkah[Nomor Tiket],Table_Tarikan_Warkah[Jenis Permohonan]),"")</f>
        <v>HIBAH</v>
      </c>
      <c r="H1411" s="22" t="s">
        <v>37</v>
      </c>
      <c r="I1411" s="22" t="s">
        <v>187</v>
      </c>
      <c r="J1411" s="20">
        <f t="shared" si="29"/>
        <v>45656.67255</v>
      </c>
      <c r="K1411" s="26"/>
      <c r="L1411" s="26"/>
      <c r="M1411" s="20" t="str">
        <f t="shared" si="30"/>
        <v/>
      </c>
      <c r="N1411" s="8" t="str">
        <f t="shared" si="3"/>
        <v>BT atau SU Belum Valid</v>
      </c>
      <c r="O1411" s="21" t="str">
        <f t="shared" si="22"/>
        <v/>
      </c>
      <c r="P1411" s="24" t="b">
        <v>0</v>
      </c>
      <c r="Q1411" s="20" t="str">
        <f t="shared" si="31"/>
        <v/>
      </c>
      <c r="R1411" s="24" t="b">
        <v>0</v>
      </c>
      <c r="S1411" s="7" t="str">
        <f t="shared" si="6"/>
        <v/>
      </c>
      <c r="T1411" s="7"/>
    </row>
    <row r="1412" ht="22.5" hidden="1" customHeight="1">
      <c r="B1412" s="7">
        <f t="shared" si="7"/>
        <v>1406</v>
      </c>
      <c r="C1412" s="18" t="s">
        <v>1384</v>
      </c>
      <c r="D1412" s="7" t="s">
        <v>1385</v>
      </c>
      <c r="E1412" s="20" t="str">
        <f t="array" ref="E1412">IFNA(_xlfn.XLOOKUP(D1412,Table_Tarikan_Warkah[Nomor Tiket],Table_Tarikan_Warkah[Tanggal diserahkan kepada Validator]),"")</f>
        <v/>
      </c>
      <c r="F1412" s="20" t="str">
        <f t="array" ref="F1412">IFNA(_xlfn.XLOOKUP(D1412,Table_Tarikan_Warkah[Nomor Tiket],Table_Tarikan_Warkah[Nama Petugas Warkah]),"")</f>
        <v>Berry</v>
      </c>
      <c r="G1412" s="21" t="str">
        <f t="array" ref="G1412">IFNA(_xlfn.XLOOKUP(D1412,Table_Tarikan_Warkah[Nomor Tiket],Table_Tarikan_Warkah[Jenis Permohonan]),"")</f>
        <v>HIBAH</v>
      </c>
      <c r="H1412" s="22" t="s">
        <v>37</v>
      </c>
      <c r="I1412" s="22" t="s">
        <v>187</v>
      </c>
      <c r="J1412" s="20">
        <f t="shared" si="29"/>
        <v>45656.67255</v>
      </c>
      <c r="K1412" s="26"/>
      <c r="L1412" s="26"/>
      <c r="M1412" s="20" t="str">
        <f t="shared" si="30"/>
        <v/>
      </c>
      <c r="N1412" s="8" t="str">
        <f t="shared" si="3"/>
        <v>BT atau SU Belum Valid</v>
      </c>
      <c r="O1412" s="21" t="str">
        <f t="shared" si="22"/>
        <v/>
      </c>
      <c r="P1412" s="24" t="b">
        <v>0</v>
      </c>
      <c r="Q1412" s="20" t="str">
        <f t="shared" si="31"/>
        <v/>
      </c>
      <c r="R1412" s="24" t="b">
        <v>0</v>
      </c>
      <c r="S1412" s="7" t="str">
        <f t="shared" si="6"/>
        <v/>
      </c>
      <c r="T1412" s="7"/>
    </row>
    <row r="1413" ht="22.5" hidden="1" customHeight="1">
      <c r="B1413" s="7">
        <f t="shared" si="7"/>
        <v>1407</v>
      </c>
      <c r="C1413" s="18" t="s">
        <v>1386</v>
      </c>
      <c r="D1413" s="19" t="str">
        <f t="array" ref="D1413">IFNA(_xlfn.XLOOKUP(C1413,Table_Tarikan_Warkah[Nomor Sertipikat],Table_Tarikan_Warkah[Nomor Tiket]),"")</f>
        <v>K/25/231224/3</v>
      </c>
      <c r="E1413" s="20" t="str">
        <f t="array" ref="E1413">IFNA(_xlfn.XLOOKUP(D1413,Table_Tarikan_Warkah[Nomor Tiket],Table_Tarikan_Warkah[Tanggal diserahkan kepada Validator]),"")</f>
        <v/>
      </c>
      <c r="F1413" s="20" t="str">
        <f t="array" ref="F1413">IFNA(_xlfn.XLOOKUP(D1413,Table_Tarikan_Warkah[Nomor Tiket],Table_Tarikan_Warkah[Nama Petugas Warkah]),"")</f>
        <v/>
      </c>
      <c r="G1413" s="21" t="str">
        <f t="array" ref="G1413">IFNA(_xlfn.XLOOKUP(D1413,Table_Tarikan_Warkah[Nomor Tiket],Table_Tarikan_Warkah[Jenis Permohonan]),"")</f>
        <v>BN Jual Beli</v>
      </c>
      <c r="H1413" s="22" t="s">
        <v>37</v>
      </c>
      <c r="I1413" s="22" t="s">
        <v>187</v>
      </c>
      <c r="J1413" s="20">
        <f t="shared" si="29"/>
        <v>45656.67255</v>
      </c>
      <c r="K1413" s="26"/>
      <c r="L1413" s="26"/>
      <c r="M1413" s="20" t="str">
        <f t="shared" si="30"/>
        <v/>
      </c>
      <c r="N1413" s="8" t="str">
        <f t="shared" si="3"/>
        <v>BT atau SU Belum Valid</v>
      </c>
      <c r="O1413" s="21" t="str">
        <f t="shared" si="22"/>
        <v/>
      </c>
      <c r="P1413" s="24" t="b">
        <v>0</v>
      </c>
      <c r="Q1413" s="20" t="str">
        <f t="shared" si="31"/>
        <v/>
      </c>
      <c r="R1413" s="24" t="b">
        <v>0</v>
      </c>
      <c r="S1413" s="7" t="str">
        <f t="shared" si="6"/>
        <v/>
      </c>
      <c r="T1413" s="7"/>
    </row>
    <row r="1414" ht="22.5" hidden="1" customHeight="1">
      <c r="B1414" s="7">
        <f t="shared" si="7"/>
        <v>1408</v>
      </c>
      <c r="C1414" s="40"/>
      <c r="D1414" s="19" t="str">
        <f t="array" ref="D1414">IFNA(_xlfn.XLOOKUP(C1414,Table_Tarikan_Warkah[Nomor Sertipikat],Table_Tarikan_Warkah[Nomor Tiket]),"")</f>
        <v/>
      </c>
      <c r="E1414" s="20" t="str">
        <f t="array" ref="E1414">IFNA(_xlfn.XLOOKUP(D1414,Table_Tarikan_Warkah[Nomor Tiket],Table_Tarikan_Warkah[Tanggal diserahkan kepada Validator]),"")</f>
        <v/>
      </c>
      <c r="F1414" s="20" t="str">
        <f t="array" ref="F1414">IFNA(_xlfn.XLOOKUP(D1414,Table_Tarikan_Warkah[Nomor Tiket],Table_Tarikan_Warkah[Nama Petugas Warkah]),"")</f>
        <v/>
      </c>
      <c r="G1414" s="21" t="str">
        <f t="array" ref="G1414">IFNA(_xlfn.XLOOKUP(D1414,Table_Tarikan_Warkah[Nomor Tiket],Table_Tarikan_Warkah[Jenis Permohonan]),"")</f>
        <v/>
      </c>
      <c r="H1414" s="26"/>
      <c r="I1414" s="26"/>
      <c r="J1414" s="20" t="str">
        <f t="shared" si="29"/>
        <v/>
      </c>
      <c r="K1414" s="26"/>
      <c r="L1414" s="26"/>
      <c r="M1414" s="20" t="str">
        <f t="shared" si="30"/>
        <v/>
      </c>
      <c r="N1414" s="8" t="str">
        <f t="shared" si="3"/>
        <v/>
      </c>
      <c r="O1414" s="21" t="str">
        <f t="shared" si="22"/>
        <v/>
      </c>
      <c r="P1414" s="24" t="b">
        <v>0</v>
      </c>
      <c r="Q1414" s="20" t="str">
        <f t="shared" si="31"/>
        <v/>
      </c>
      <c r="R1414" s="24" t="b">
        <v>0</v>
      </c>
      <c r="S1414" s="7" t="str">
        <f t="shared" si="6"/>
        <v/>
      </c>
      <c r="T1414" s="7"/>
    </row>
    <row r="1415" ht="22.5" hidden="1" customHeight="1">
      <c r="B1415" s="7">
        <f t="shared" si="7"/>
        <v>1409</v>
      </c>
      <c r="C1415" s="40"/>
      <c r="D1415" s="19" t="str">
        <f t="array" ref="D1415">IFNA(_xlfn.XLOOKUP(C1415,Table_Tarikan_Warkah[Nomor Sertipikat],Table_Tarikan_Warkah[Nomor Tiket]),"")</f>
        <v/>
      </c>
      <c r="E1415" s="20" t="str">
        <f t="array" ref="E1415">IFNA(_xlfn.XLOOKUP(D1415,Table_Tarikan_Warkah[Nomor Tiket],Table_Tarikan_Warkah[Tanggal diserahkan kepada Validator]),"")</f>
        <v/>
      </c>
      <c r="F1415" s="20" t="str">
        <f t="array" ref="F1415">IFNA(_xlfn.XLOOKUP(D1415,Table_Tarikan_Warkah[Nomor Tiket],Table_Tarikan_Warkah[Nama Petugas Warkah]),"")</f>
        <v/>
      </c>
      <c r="G1415" s="21" t="str">
        <f t="array" ref="G1415">IFNA(_xlfn.XLOOKUP(D1415,Table_Tarikan_Warkah[Nomor Tiket],Table_Tarikan_Warkah[Jenis Permohonan]),"")</f>
        <v/>
      </c>
      <c r="H1415" s="26"/>
      <c r="I1415" s="26"/>
      <c r="J1415" s="20" t="str">
        <f t="shared" si="29"/>
        <v/>
      </c>
      <c r="K1415" s="26"/>
      <c r="L1415" s="26"/>
      <c r="M1415" s="20" t="str">
        <f t="shared" si="30"/>
        <v/>
      </c>
      <c r="N1415" s="8" t="str">
        <f t="shared" si="3"/>
        <v/>
      </c>
      <c r="O1415" s="21" t="str">
        <f t="shared" si="22"/>
        <v/>
      </c>
      <c r="P1415" s="24" t="b">
        <v>0</v>
      </c>
      <c r="Q1415" s="20" t="str">
        <f t="shared" si="31"/>
        <v/>
      </c>
      <c r="R1415" s="24" t="b">
        <v>0</v>
      </c>
      <c r="S1415" s="7" t="str">
        <f t="shared" si="6"/>
        <v/>
      </c>
      <c r="T1415" s="7"/>
    </row>
    <row r="1416" ht="22.5" hidden="1" customHeight="1">
      <c r="B1416" s="7">
        <f t="shared" si="7"/>
        <v>1410</v>
      </c>
      <c r="C1416" s="40"/>
      <c r="D1416" s="19" t="str">
        <f t="array" ref="D1416">IFNA(_xlfn.XLOOKUP(C1416,Table_Tarikan_Warkah[Nomor Sertipikat],Table_Tarikan_Warkah[Nomor Tiket]),"")</f>
        <v/>
      </c>
      <c r="E1416" s="20" t="str">
        <f t="array" ref="E1416">IFNA(_xlfn.XLOOKUP(D1416,Table_Tarikan_Warkah[Nomor Tiket],Table_Tarikan_Warkah[Tanggal diserahkan kepada Validator]),"")</f>
        <v/>
      </c>
      <c r="F1416" s="20" t="str">
        <f t="array" ref="F1416">IFNA(_xlfn.XLOOKUP(D1416,Table_Tarikan_Warkah[Nomor Tiket],Table_Tarikan_Warkah[Nama Petugas Warkah]),"")</f>
        <v/>
      </c>
      <c r="G1416" s="21" t="str">
        <f t="array" ref="G1416">IFNA(_xlfn.XLOOKUP(D1416,Table_Tarikan_Warkah[Nomor Tiket],Table_Tarikan_Warkah[Jenis Permohonan]),"")</f>
        <v/>
      </c>
      <c r="H1416" s="26"/>
      <c r="I1416" s="26"/>
      <c r="J1416" s="20" t="str">
        <f t="shared" si="29"/>
        <v/>
      </c>
      <c r="K1416" s="26"/>
      <c r="L1416" s="26"/>
      <c r="M1416" s="20" t="str">
        <f t="shared" si="30"/>
        <v/>
      </c>
      <c r="N1416" s="8" t="str">
        <f t="shared" si="3"/>
        <v/>
      </c>
      <c r="O1416" s="21" t="str">
        <f t="shared" si="22"/>
        <v/>
      </c>
      <c r="P1416" s="24" t="b">
        <v>0</v>
      </c>
      <c r="Q1416" s="20" t="str">
        <f t="shared" si="31"/>
        <v/>
      </c>
      <c r="R1416" s="24" t="b">
        <v>0</v>
      </c>
      <c r="S1416" s="7" t="str">
        <f t="shared" si="6"/>
        <v/>
      </c>
      <c r="T1416" s="7"/>
    </row>
    <row r="1417" ht="22.5" hidden="1" customHeight="1">
      <c r="B1417" s="7">
        <f t="shared" si="7"/>
        <v>1411</v>
      </c>
      <c r="C1417" s="40"/>
      <c r="D1417" s="19" t="str">
        <f t="array" ref="D1417">IFNA(_xlfn.XLOOKUP(C1417,Table_Tarikan_Warkah[Nomor Sertipikat],Table_Tarikan_Warkah[Nomor Tiket]),"")</f>
        <v/>
      </c>
      <c r="E1417" s="20" t="str">
        <f t="array" ref="E1417">IFNA(_xlfn.XLOOKUP(D1417,Table_Tarikan_Warkah[Nomor Tiket],Table_Tarikan_Warkah[Tanggal diserahkan kepada Validator]),"")</f>
        <v/>
      </c>
      <c r="F1417" s="20" t="str">
        <f t="array" ref="F1417">IFNA(_xlfn.XLOOKUP(D1417,Table_Tarikan_Warkah[Nomor Tiket],Table_Tarikan_Warkah[Nama Petugas Warkah]),"")</f>
        <v/>
      </c>
      <c r="G1417" s="21" t="str">
        <f t="array" ref="G1417">IFNA(_xlfn.XLOOKUP(D1417,Table_Tarikan_Warkah[Nomor Tiket],Table_Tarikan_Warkah[Jenis Permohonan]),"")</f>
        <v/>
      </c>
      <c r="H1417" s="26"/>
      <c r="I1417" s="26"/>
      <c r="J1417" s="20" t="str">
        <f t="shared" si="29"/>
        <v/>
      </c>
      <c r="K1417" s="26"/>
      <c r="L1417" s="26"/>
      <c r="M1417" s="20" t="str">
        <f t="shared" si="30"/>
        <v/>
      </c>
      <c r="N1417" s="8" t="str">
        <f t="shared" si="3"/>
        <v/>
      </c>
      <c r="O1417" s="21" t="str">
        <f t="shared" si="22"/>
        <v/>
      </c>
      <c r="P1417" s="24" t="b">
        <v>0</v>
      </c>
      <c r="Q1417" s="20" t="str">
        <f t="shared" si="31"/>
        <v/>
      </c>
      <c r="R1417" s="24" t="b">
        <v>0</v>
      </c>
      <c r="S1417" s="7" t="str">
        <f t="shared" si="6"/>
        <v/>
      </c>
      <c r="T1417" s="7"/>
    </row>
    <row r="1418" ht="22.5" hidden="1" customHeight="1">
      <c r="B1418" s="7">
        <f t="shared" si="7"/>
        <v>1412</v>
      </c>
      <c r="C1418" s="40"/>
      <c r="D1418" s="19" t="str">
        <f t="array" ref="D1418">IFNA(_xlfn.XLOOKUP(C1418,Table_Tarikan_Warkah[Nomor Sertipikat],Table_Tarikan_Warkah[Nomor Tiket]),"")</f>
        <v/>
      </c>
      <c r="E1418" s="20" t="str">
        <f t="array" ref="E1418">IFNA(_xlfn.XLOOKUP(D1418,Table_Tarikan_Warkah[Nomor Tiket],Table_Tarikan_Warkah[Tanggal diserahkan kepada Validator]),"")</f>
        <v/>
      </c>
      <c r="F1418" s="20" t="str">
        <f t="array" ref="F1418">IFNA(_xlfn.XLOOKUP(D1418,Table_Tarikan_Warkah[Nomor Tiket],Table_Tarikan_Warkah[Nama Petugas Warkah]),"")</f>
        <v/>
      </c>
      <c r="G1418" s="21" t="str">
        <f t="array" ref="G1418">IFNA(_xlfn.XLOOKUP(D1418,Table_Tarikan_Warkah[Nomor Tiket],Table_Tarikan_Warkah[Jenis Permohonan]),"")</f>
        <v/>
      </c>
      <c r="H1418" s="26"/>
      <c r="I1418" s="26"/>
      <c r="J1418" s="20" t="str">
        <f t="shared" si="29"/>
        <v/>
      </c>
      <c r="K1418" s="26"/>
      <c r="L1418" s="26"/>
      <c r="M1418" s="20" t="str">
        <f t="shared" si="30"/>
        <v/>
      </c>
      <c r="N1418" s="8" t="str">
        <f t="shared" si="3"/>
        <v/>
      </c>
      <c r="O1418" s="21" t="str">
        <f t="shared" si="22"/>
        <v/>
      </c>
      <c r="P1418" s="24" t="b">
        <v>0</v>
      </c>
      <c r="Q1418" s="20" t="str">
        <f t="shared" si="31"/>
        <v/>
      </c>
      <c r="R1418" s="24" t="b">
        <v>0</v>
      </c>
      <c r="S1418" s="7" t="str">
        <f t="shared" si="6"/>
        <v/>
      </c>
      <c r="T1418" s="7"/>
    </row>
    <row r="1419" ht="22.5" hidden="1" customHeight="1">
      <c r="B1419" s="7">
        <f t="shared" si="7"/>
        <v>1413</v>
      </c>
      <c r="C1419" s="40"/>
      <c r="D1419" s="19" t="str">
        <f t="array" ref="D1419">IFNA(_xlfn.XLOOKUP(C1419,Table_Tarikan_Warkah[Nomor Sertipikat],Table_Tarikan_Warkah[Nomor Tiket]),"")</f>
        <v/>
      </c>
      <c r="E1419" s="20" t="str">
        <f t="array" ref="E1419">IFNA(_xlfn.XLOOKUP(D1419,Table_Tarikan_Warkah[Nomor Tiket],Table_Tarikan_Warkah[Tanggal diserahkan kepada Validator]),"")</f>
        <v/>
      </c>
      <c r="F1419" s="20" t="str">
        <f t="array" ref="F1419">IFNA(_xlfn.XLOOKUP(D1419,Table_Tarikan_Warkah[Nomor Tiket],Table_Tarikan_Warkah[Nama Petugas Warkah]),"")</f>
        <v/>
      </c>
      <c r="G1419" s="21" t="str">
        <f t="array" ref="G1419">IFNA(_xlfn.XLOOKUP(D1419,Table_Tarikan_Warkah[Nomor Tiket],Table_Tarikan_Warkah[Jenis Permohonan]),"")</f>
        <v/>
      </c>
      <c r="H1419" s="26"/>
      <c r="I1419" s="26"/>
      <c r="J1419" s="20" t="str">
        <f t="shared" si="29"/>
        <v/>
      </c>
      <c r="K1419" s="26"/>
      <c r="L1419" s="26"/>
      <c r="M1419" s="20" t="str">
        <f t="shared" si="30"/>
        <v/>
      </c>
      <c r="N1419" s="8" t="str">
        <f t="shared" si="3"/>
        <v/>
      </c>
      <c r="O1419" s="21" t="str">
        <f t="shared" si="22"/>
        <v/>
      </c>
      <c r="P1419" s="24" t="b">
        <v>0</v>
      </c>
      <c r="Q1419" s="20" t="str">
        <f t="shared" si="31"/>
        <v/>
      </c>
      <c r="R1419" s="24" t="b">
        <v>0</v>
      </c>
      <c r="S1419" s="7" t="str">
        <f t="shared" si="6"/>
        <v/>
      </c>
      <c r="T1419" s="7"/>
    </row>
    <row r="1420" ht="22.5" hidden="1" customHeight="1">
      <c r="B1420" s="7">
        <f t="shared" si="7"/>
        <v>1414</v>
      </c>
      <c r="C1420" s="40"/>
      <c r="D1420" s="19" t="str">
        <f t="array" ref="D1420">IFNA(_xlfn.XLOOKUP(C1420,Table_Tarikan_Warkah[Nomor Sertipikat],Table_Tarikan_Warkah[Nomor Tiket]),"")</f>
        <v/>
      </c>
      <c r="E1420" s="20" t="str">
        <f t="array" ref="E1420">IFNA(_xlfn.XLOOKUP(D1420,Table_Tarikan_Warkah[Nomor Tiket],Table_Tarikan_Warkah[Tanggal diserahkan kepada Validator]),"")</f>
        <v/>
      </c>
      <c r="F1420" s="20" t="str">
        <f t="array" ref="F1420">IFNA(_xlfn.XLOOKUP(D1420,Table_Tarikan_Warkah[Nomor Tiket],Table_Tarikan_Warkah[Nama Petugas Warkah]),"")</f>
        <v/>
      </c>
      <c r="G1420" s="21" t="str">
        <f t="array" ref="G1420">IFNA(_xlfn.XLOOKUP(D1420,Table_Tarikan_Warkah[Nomor Tiket],Table_Tarikan_Warkah[Jenis Permohonan]),"")</f>
        <v/>
      </c>
      <c r="H1420" s="26"/>
      <c r="I1420" s="26"/>
      <c r="J1420" s="20" t="str">
        <f t="shared" si="29"/>
        <v/>
      </c>
      <c r="K1420" s="26"/>
      <c r="L1420" s="26"/>
      <c r="M1420" s="20" t="str">
        <f t="shared" si="30"/>
        <v/>
      </c>
      <c r="N1420" s="8" t="str">
        <f t="shared" si="3"/>
        <v/>
      </c>
      <c r="O1420" s="21" t="str">
        <f t="shared" si="22"/>
        <v/>
      </c>
      <c r="P1420" s="24" t="b">
        <v>0</v>
      </c>
      <c r="Q1420" s="20" t="str">
        <f t="shared" si="31"/>
        <v/>
      </c>
      <c r="R1420" s="24" t="b">
        <v>0</v>
      </c>
      <c r="S1420" s="7" t="str">
        <f t="shared" si="6"/>
        <v/>
      </c>
      <c r="T1420" s="7"/>
    </row>
    <row r="1421" ht="22.5" hidden="1" customHeight="1">
      <c r="B1421" s="7">
        <f t="shared" si="7"/>
        <v>1415</v>
      </c>
      <c r="C1421" s="40"/>
      <c r="D1421" s="19" t="str">
        <f t="array" ref="D1421">IFNA(_xlfn.XLOOKUP(C1421,Table_Tarikan_Warkah[Nomor Sertipikat],Table_Tarikan_Warkah[Nomor Tiket]),"")</f>
        <v/>
      </c>
      <c r="E1421" s="20" t="str">
        <f t="array" ref="E1421">IFNA(_xlfn.XLOOKUP(D1421,Table_Tarikan_Warkah[Nomor Tiket],Table_Tarikan_Warkah[Tanggal diserahkan kepada Validator]),"")</f>
        <v/>
      </c>
      <c r="F1421" s="20" t="str">
        <f t="array" ref="F1421">IFNA(_xlfn.XLOOKUP(D1421,Table_Tarikan_Warkah[Nomor Tiket],Table_Tarikan_Warkah[Nama Petugas Warkah]),"")</f>
        <v/>
      </c>
      <c r="G1421" s="21" t="str">
        <f t="array" ref="G1421">IFNA(_xlfn.XLOOKUP(D1421,Table_Tarikan_Warkah[Nomor Tiket],Table_Tarikan_Warkah[Jenis Permohonan]),"")</f>
        <v/>
      </c>
      <c r="H1421" s="26"/>
      <c r="I1421" s="26"/>
      <c r="J1421" s="20" t="str">
        <f t="shared" si="29"/>
        <v/>
      </c>
      <c r="K1421" s="26"/>
      <c r="L1421" s="26"/>
      <c r="M1421" s="20" t="str">
        <f t="shared" si="30"/>
        <v/>
      </c>
      <c r="N1421" s="8" t="str">
        <f t="shared" si="3"/>
        <v/>
      </c>
      <c r="O1421" s="21" t="str">
        <f t="shared" si="22"/>
        <v/>
      </c>
      <c r="P1421" s="24" t="b">
        <v>0</v>
      </c>
      <c r="Q1421" s="20" t="str">
        <f t="shared" si="31"/>
        <v/>
      </c>
      <c r="R1421" s="24" t="b">
        <v>0</v>
      </c>
      <c r="S1421" s="7" t="str">
        <f t="shared" si="6"/>
        <v/>
      </c>
      <c r="T1421" s="7"/>
    </row>
    <row r="1422" ht="22.5" hidden="1" customHeight="1">
      <c r="B1422" s="7">
        <f t="shared" si="7"/>
        <v>1416</v>
      </c>
      <c r="C1422" s="40"/>
      <c r="D1422" s="19" t="str">
        <f t="array" ref="D1422">IFNA(_xlfn.XLOOKUP(C1422,Table_Tarikan_Warkah[Nomor Sertipikat],Table_Tarikan_Warkah[Nomor Tiket]),"")</f>
        <v/>
      </c>
      <c r="E1422" s="20" t="str">
        <f t="array" ref="E1422">IFNA(_xlfn.XLOOKUP(D1422,Table_Tarikan_Warkah[Nomor Tiket],Table_Tarikan_Warkah[Tanggal diserahkan kepada Validator]),"")</f>
        <v/>
      </c>
      <c r="F1422" s="20" t="str">
        <f t="array" ref="F1422">IFNA(_xlfn.XLOOKUP(D1422,Table_Tarikan_Warkah[Nomor Tiket],Table_Tarikan_Warkah[Nama Petugas Warkah]),"")</f>
        <v/>
      </c>
      <c r="G1422" s="21" t="str">
        <f t="array" ref="G1422">IFNA(_xlfn.XLOOKUP(D1422,Table_Tarikan_Warkah[Nomor Tiket],Table_Tarikan_Warkah[Jenis Permohonan]),"")</f>
        <v/>
      </c>
      <c r="H1422" s="26"/>
      <c r="I1422" s="26"/>
      <c r="J1422" s="20" t="str">
        <f t="shared" si="29"/>
        <v/>
      </c>
      <c r="K1422" s="26"/>
      <c r="L1422" s="26"/>
      <c r="M1422" s="20" t="str">
        <f t="shared" si="30"/>
        <v/>
      </c>
      <c r="N1422" s="8" t="str">
        <f t="shared" si="3"/>
        <v/>
      </c>
      <c r="O1422" s="21" t="str">
        <f t="shared" si="22"/>
        <v/>
      </c>
      <c r="P1422" s="24" t="b">
        <v>0</v>
      </c>
      <c r="Q1422" s="20" t="str">
        <f t="shared" si="31"/>
        <v/>
      </c>
      <c r="R1422" s="24" t="b">
        <v>0</v>
      </c>
      <c r="S1422" s="7" t="str">
        <f t="shared" si="6"/>
        <v/>
      </c>
      <c r="T1422" s="7"/>
    </row>
    <row r="1423" ht="22.5" hidden="1" customHeight="1">
      <c r="B1423" s="7">
        <f t="shared" si="7"/>
        <v>1417</v>
      </c>
      <c r="C1423" s="40"/>
      <c r="D1423" s="19" t="str">
        <f t="array" ref="D1423">IFNA(_xlfn.XLOOKUP(C1423,Table_Tarikan_Warkah[Nomor Sertipikat],Table_Tarikan_Warkah[Nomor Tiket]),"")</f>
        <v/>
      </c>
      <c r="E1423" s="20" t="str">
        <f t="array" ref="E1423">IFNA(_xlfn.XLOOKUP(D1423,Table_Tarikan_Warkah[Nomor Tiket],Table_Tarikan_Warkah[Tanggal diserahkan kepada Validator]),"")</f>
        <v/>
      </c>
      <c r="F1423" s="20" t="str">
        <f t="array" ref="F1423">IFNA(_xlfn.XLOOKUP(D1423,Table_Tarikan_Warkah[Nomor Tiket],Table_Tarikan_Warkah[Nama Petugas Warkah]),"")</f>
        <v/>
      </c>
      <c r="G1423" s="21" t="str">
        <f t="array" ref="G1423">IFNA(_xlfn.XLOOKUP(D1423,Table_Tarikan_Warkah[Nomor Tiket],Table_Tarikan_Warkah[Jenis Permohonan]),"")</f>
        <v/>
      </c>
      <c r="H1423" s="26"/>
      <c r="I1423" s="26"/>
      <c r="J1423" s="20" t="str">
        <f t="shared" si="29"/>
        <v/>
      </c>
      <c r="K1423" s="26"/>
      <c r="L1423" s="26"/>
      <c r="M1423" s="20" t="str">
        <f t="shared" si="30"/>
        <v/>
      </c>
      <c r="N1423" s="8" t="str">
        <f t="shared" si="3"/>
        <v/>
      </c>
      <c r="O1423" s="21" t="str">
        <f t="shared" si="22"/>
        <v/>
      </c>
      <c r="P1423" s="24" t="b">
        <v>0</v>
      </c>
      <c r="Q1423" s="20" t="str">
        <f t="shared" si="31"/>
        <v/>
      </c>
      <c r="R1423" s="24" t="b">
        <v>0</v>
      </c>
      <c r="S1423" s="7" t="str">
        <f t="shared" si="6"/>
        <v/>
      </c>
      <c r="T1423" s="7"/>
    </row>
    <row r="1424" ht="22.5" hidden="1" customHeight="1">
      <c r="B1424" s="7">
        <f t="shared" si="7"/>
        <v>1418</v>
      </c>
      <c r="C1424" s="40"/>
      <c r="D1424" s="19" t="str">
        <f t="array" ref="D1424">IFNA(_xlfn.XLOOKUP(C1424,Table_Tarikan_Warkah[Nomor Sertipikat],Table_Tarikan_Warkah[Nomor Tiket]),"")</f>
        <v/>
      </c>
      <c r="E1424" s="20" t="str">
        <f t="array" ref="E1424">IFNA(_xlfn.XLOOKUP(D1424,Table_Tarikan_Warkah[Nomor Tiket],Table_Tarikan_Warkah[Tanggal diserahkan kepada Validator]),"")</f>
        <v/>
      </c>
      <c r="F1424" s="20" t="str">
        <f t="array" ref="F1424">IFNA(_xlfn.XLOOKUP(D1424,Table_Tarikan_Warkah[Nomor Tiket],Table_Tarikan_Warkah[Nama Petugas Warkah]),"")</f>
        <v/>
      </c>
      <c r="G1424" s="21" t="str">
        <f t="array" ref="G1424">IFNA(_xlfn.XLOOKUP(D1424,Table_Tarikan_Warkah[Nomor Tiket],Table_Tarikan_Warkah[Jenis Permohonan]),"")</f>
        <v/>
      </c>
      <c r="H1424" s="26"/>
      <c r="I1424" s="26"/>
      <c r="J1424" s="20" t="str">
        <f t="shared" si="29"/>
        <v/>
      </c>
      <c r="K1424" s="26"/>
      <c r="L1424" s="26"/>
      <c r="M1424" s="20" t="str">
        <f t="shared" si="30"/>
        <v/>
      </c>
      <c r="N1424" s="8" t="str">
        <f t="shared" si="3"/>
        <v/>
      </c>
      <c r="O1424" s="21" t="str">
        <f t="shared" si="22"/>
        <v/>
      </c>
      <c r="P1424" s="24" t="b">
        <v>0</v>
      </c>
      <c r="Q1424" s="20" t="str">
        <f t="shared" si="31"/>
        <v/>
      </c>
      <c r="R1424" s="24" t="b">
        <v>0</v>
      </c>
      <c r="S1424" s="7" t="str">
        <f t="shared" si="6"/>
        <v/>
      </c>
      <c r="T1424" s="7"/>
    </row>
    <row r="1425" ht="22.5" hidden="1" customHeight="1">
      <c r="B1425" s="7">
        <f t="shared" si="7"/>
        <v>1419</v>
      </c>
      <c r="C1425" s="40"/>
      <c r="D1425" s="19" t="str">
        <f t="array" ref="D1425">IFNA(_xlfn.XLOOKUP(C1425,Table_Tarikan_Warkah[Nomor Sertipikat],Table_Tarikan_Warkah[Nomor Tiket]),"")</f>
        <v/>
      </c>
      <c r="E1425" s="20" t="str">
        <f t="array" ref="E1425">IFNA(_xlfn.XLOOKUP(D1425,Table_Tarikan_Warkah[Nomor Tiket],Table_Tarikan_Warkah[Tanggal diserahkan kepada Validator]),"")</f>
        <v/>
      </c>
      <c r="F1425" s="20" t="str">
        <f t="array" ref="F1425">IFNA(_xlfn.XLOOKUP(D1425,Table_Tarikan_Warkah[Nomor Tiket],Table_Tarikan_Warkah[Nama Petugas Warkah]),"")</f>
        <v/>
      </c>
      <c r="G1425" s="21" t="str">
        <f t="array" ref="G1425">IFNA(_xlfn.XLOOKUP(D1425,Table_Tarikan_Warkah[Nomor Tiket],Table_Tarikan_Warkah[Jenis Permohonan]),"")</f>
        <v/>
      </c>
      <c r="H1425" s="26"/>
      <c r="I1425" s="26"/>
      <c r="J1425" s="20" t="str">
        <f t="shared" si="29"/>
        <v/>
      </c>
      <c r="K1425" s="26"/>
      <c r="L1425" s="26"/>
      <c r="M1425" s="20" t="str">
        <f t="shared" si="30"/>
        <v/>
      </c>
      <c r="N1425" s="8" t="str">
        <f t="shared" si="3"/>
        <v/>
      </c>
      <c r="O1425" s="21" t="str">
        <f t="shared" si="22"/>
        <v/>
      </c>
      <c r="P1425" s="24" t="b">
        <v>0</v>
      </c>
      <c r="Q1425" s="20" t="str">
        <f t="shared" si="31"/>
        <v/>
      </c>
      <c r="R1425" s="24" t="b">
        <v>0</v>
      </c>
      <c r="S1425" s="7" t="str">
        <f t="shared" si="6"/>
        <v/>
      </c>
      <c r="T1425" s="7"/>
    </row>
    <row r="1426" ht="22.5" hidden="1" customHeight="1">
      <c r="B1426" s="7">
        <f t="shared" si="7"/>
        <v>1420</v>
      </c>
      <c r="C1426" s="40"/>
      <c r="D1426" s="19" t="str">
        <f t="array" ref="D1426">IFNA(_xlfn.XLOOKUP(C1426,Table_Tarikan_Warkah[Nomor Sertipikat],Table_Tarikan_Warkah[Nomor Tiket]),"")</f>
        <v/>
      </c>
      <c r="E1426" s="20" t="str">
        <f t="array" ref="E1426">IFNA(_xlfn.XLOOKUP(D1426,Table_Tarikan_Warkah[Nomor Tiket],Table_Tarikan_Warkah[Tanggal diserahkan kepada Validator]),"")</f>
        <v/>
      </c>
      <c r="F1426" s="20" t="str">
        <f t="array" ref="F1426">IFNA(_xlfn.XLOOKUP(D1426,Table_Tarikan_Warkah[Nomor Tiket],Table_Tarikan_Warkah[Nama Petugas Warkah]),"")</f>
        <v/>
      </c>
      <c r="G1426" s="21" t="str">
        <f t="array" ref="G1426">IFNA(_xlfn.XLOOKUP(D1426,Table_Tarikan_Warkah[Nomor Tiket],Table_Tarikan_Warkah[Jenis Permohonan]),"")</f>
        <v/>
      </c>
      <c r="H1426" s="26"/>
      <c r="I1426" s="26"/>
      <c r="J1426" s="20" t="str">
        <f t="shared" si="29"/>
        <v/>
      </c>
      <c r="K1426" s="26"/>
      <c r="L1426" s="26"/>
      <c r="M1426" s="20" t="str">
        <f t="shared" si="30"/>
        <v/>
      </c>
      <c r="N1426" s="8" t="str">
        <f t="shared" si="3"/>
        <v/>
      </c>
      <c r="O1426" s="21" t="str">
        <f t="shared" si="22"/>
        <v/>
      </c>
      <c r="P1426" s="24" t="b">
        <v>0</v>
      </c>
      <c r="Q1426" s="20" t="str">
        <f t="shared" si="31"/>
        <v/>
      </c>
      <c r="R1426" s="24" t="b">
        <v>0</v>
      </c>
      <c r="S1426" s="7" t="str">
        <f t="shared" si="6"/>
        <v/>
      </c>
      <c r="T1426" s="7"/>
    </row>
    <row r="1427" ht="22.5" hidden="1" customHeight="1">
      <c r="B1427" s="7">
        <f t="shared" si="7"/>
        <v>1421</v>
      </c>
      <c r="C1427" s="40"/>
      <c r="D1427" s="19" t="str">
        <f t="array" ref="D1427">IFNA(_xlfn.XLOOKUP(C1427,Table_Tarikan_Warkah[Nomor Sertipikat],Table_Tarikan_Warkah[Nomor Tiket]),"")</f>
        <v/>
      </c>
      <c r="E1427" s="20" t="str">
        <f t="array" ref="E1427">IFNA(_xlfn.XLOOKUP(D1427,Table_Tarikan_Warkah[Nomor Tiket],Table_Tarikan_Warkah[Tanggal diserahkan kepada Validator]),"")</f>
        <v/>
      </c>
      <c r="F1427" s="20" t="str">
        <f t="array" ref="F1427">IFNA(_xlfn.XLOOKUP(D1427,Table_Tarikan_Warkah[Nomor Tiket],Table_Tarikan_Warkah[Nama Petugas Warkah]),"")</f>
        <v/>
      </c>
      <c r="G1427" s="21" t="str">
        <f t="array" ref="G1427">IFNA(_xlfn.XLOOKUP(D1427,Table_Tarikan_Warkah[Nomor Tiket],Table_Tarikan_Warkah[Jenis Permohonan]),"")</f>
        <v/>
      </c>
      <c r="H1427" s="26"/>
      <c r="I1427" s="26"/>
      <c r="J1427" s="20" t="str">
        <f t="shared" si="29"/>
        <v/>
      </c>
      <c r="K1427" s="26"/>
      <c r="L1427" s="26"/>
      <c r="M1427" s="20" t="str">
        <f t="shared" si="30"/>
        <v/>
      </c>
      <c r="N1427" s="8" t="str">
        <f t="shared" si="3"/>
        <v/>
      </c>
      <c r="O1427" s="21" t="str">
        <f t="shared" si="22"/>
        <v/>
      </c>
      <c r="P1427" s="24" t="b">
        <v>0</v>
      </c>
      <c r="Q1427" s="20" t="str">
        <f t="shared" si="31"/>
        <v/>
      </c>
      <c r="R1427" s="24" t="b">
        <v>0</v>
      </c>
      <c r="S1427" s="7" t="str">
        <f t="shared" si="6"/>
        <v/>
      </c>
      <c r="T1427" s="7"/>
    </row>
    <row r="1428" ht="22.5" hidden="1" customHeight="1">
      <c r="B1428" s="7">
        <f t="shared" si="7"/>
        <v>1422</v>
      </c>
      <c r="C1428" s="40"/>
      <c r="D1428" s="19" t="str">
        <f t="array" ref="D1428">IFNA(_xlfn.XLOOKUP(C1428,Table_Tarikan_Warkah[Nomor Sertipikat],Table_Tarikan_Warkah[Nomor Tiket]),"")</f>
        <v/>
      </c>
      <c r="E1428" s="20" t="str">
        <f t="array" ref="E1428">IFNA(_xlfn.XLOOKUP(D1428,Table_Tarikan_Warkah[Nomor Tiket],Table_Tarikan_Warkah[Tanggal diserahkan kepada Validator]),"")</f>
        <v/>
      </c>
      <c r="F1428" s="20" t="str">
        <f t="array" ref="F1428">IFNA(_xlfn.XLOOKUP(D1428,Table_Tarikan_Warkah[Nomor Tiket],Table_Tarikan_Warkah[Nama Petugas Warkah]),"")</f>
        <v/>
      </c>
      <c r="G1428" s="21" t="str">
        <f t="array" ref="G1428">IFNA(_xlfn.XLOOKUP(D1428,Table_Tarikan_Warkah[Nomor Tiket],Table_Tarikan_Warkah[Jenis Permohonan]),"")</f>
        <v/>
      </c>
      <c r="H1428" s="26"/>
      <c r="I1428" s="26"/>
      <c r="J1428" s="20" t="str">
        <f t="shared" si="29"/>
        <v/>
      </c>
      <c r="K1428" s="26"/>
      <c r="L1428" s="26"/>
      <c r="M1428" s="20" t="str">
        <f t="shared" si="30"/>
        <v/>
      </c>
      <c r="N1428" s="8" t="str">
        <f t="shared" si="3"/>
        <v/>
      </c>
      <c r="O1428" s="21" t="str">
        <f t="shared" si="22"/>
        <v/>
      </c>
      <c r="P1428" s="24" t="b">
        <v>0</v>
      </c>
      <c r="Q1428" s="20" t="str">
        <f t="shared" si="31"/>
        <v/>
      </c>
      <c r="R1428" s="24" t="b">
        <v>0</v>
      </c>
      <c r="S1428" s="7" t="str">
        <f t="shared" si="6"/>
        <v/>
      </c>
      <c r="T1428" s="7"/>
    </row>
    <row r="1429" ht="22.5" hidden="1" customHeight="1">
      <c r="B1429" s="7">
        <f t="shared" si="7"/>
        <v>1423</v>
      </c>
      <c r="C1429" s="40"/>
      <c r="D1429" s="19" t="str">
        <f t="array" ref="D1429">IFNA(_xlfn.XLOOKUP(C1429,Table_Tarikan_Warkah[Nomor Sertipikat],Table_Tarikan_Warkah[Nomor Tiket]),"")</f>
        <v/>
      </c>
      <c r="E1429" s="20" t="str">
        <f t="array" ref="E1429">IFNA(_xlfn.XLOOKUP(D1429,Table_Tarikan_Warkah[Nomor Tiket],Table_Tarikan_Warkah[Tanggal diserahkan kepada Validator]),"")</f>
        <v/>
      </c>
      <c r="F1429" s="20" t="str">
        <f t="array" ref="F1429">IFNA(_xlfn.XLOOKUP(D1429,Table_Tarikan_Warkah[Nomor Tiket],Table_Tarikan_Warkah[Nama Petugas Warkah]),"")</f>
        <v/>
      </c>
      <c r="G1429" s="21" t="str">
        <f t="array" ref="G1429">IFNA(_xlfn.XLOOKUP(D1429,Table_Tarikan_Warkah[Nomor Tiket],Table_Tarikan_Warkah[Jenis Permohonan]),"")</f>
        <v/>
      </c>
      <c r="H1429" s="26"/>
      <c r="I1429" s="26"/>
      <c r="J1429" s="20" t="str">
        <f t="shared" si="29"/>
        <v/>
      </c>
      <c r="K1429" s="26"/>
      <c r="L1429" s="26"/>
      <c r="M1429" s="20" t="str">
        <f t="shared" si="30"/>
        <v/>
      </c>
      <c r="N1429" s="8" t="str">
        <f t="shared" si="3"/>
        <v/>
      </c>
      <c r="O1429" s="21" t="str">
        <f t="shared" si="22"/>
        <v/>
      </c>
      <c r="P1429" s="24" t="b">
        <v>0</v>
      </c>
      <c r="Q1429" s="20" t="str">
        <f t="shared" si="31"/>
        <v/>
      </c>
      <c r="R1429" s="24" t="b">
        <v>0</v>
      </c>
      <c r="S1429" s="7" t="str">
        <f t="shared" si="6"/>
        <v/>
      </c>
      <c r="T1429" s="7"/>
    </row>
    <row r="1430" ht="22.5" hidden="1" customHeight="1">
      <c r="B1430" s="7">
        <f t="shared" si="7"/>
        <v>1424</v>
      </c>
      <c r="C1430" s="40"/>
      <c r="D1430" s="19" t="str">
        <f t="array" ref="D1430">IFNA(_xlfn.XLOOKUP(C1430,Table_Tarikan_Warkah[Nomor Sertipikat],Table_Tarikan_Warkah[Nomor Tiket]),"")</f>
        <v/>
      </c>
      <c r="E1430" s="20" t="str">
        <f t="array" ref="E1430">IFNA(_xlfn.XLOOKUP(D1430,Table_Tarikan_Warkah[Nomor Tiket],Table_Tarikan_Warkah[Tanggal diserahkan kepada Validator]),"")</f>
        <v/>
      </c>
      <c r="F1430" s="20" t="str">
        <f t="array" ref="F1430">IFNA(_xlfn.XLOOKUP(D1430,Table_Tarikan_Warkah[Nomor Tiket],Table_Tarikan_Warkah[Nama Petugas Warkah]),"")</f>
        <v/>
      </c>
      <c r="G1430" s="21" t="str">
        <f t="array" ref="G1430">IFNA(_xlfn.XLOOKUP(D1430,Table_Tarikan_Warkah[Nomor Tiket],Table_Tarikan_Warkah[Jenis Permohonan]),"")</f>
        <v/>
      </c>
      <c r="H1430" s="26"/>
      <c r="I1430" s="26"/>
      <c r="J1430" s="20" t="str">
        <f t="shared" si="29"/>
        <v/>
      </c>
      <c r="K1430" s="26"/>
      <c r="L1430" s="26"/>
      <c r="M1430" s="20" t="str">
        <f t="shared" si="30"/>
        <v/>
      </c>
      <c r="N1430" s="8" t="str">
        <f t="shared" si="3"/>
        <v/>
      </c>
      <c r="O1430" s="21" t="str">
        <f t="shared" si="22"/>
        <v/>
      </c>
      <c r="P1430" s="24" t="b">
        <v>0</v>
      </c>
      <c r="Q1430" s="20" t="str">
        <f t="shared" si="31"/>
        <v/>
      </c>
      <c r="R1430" s="24" t="b">
        <v>0</v>
      </c>
      <c r="S1430" s="7" t="str">
        <f t="shared" si="6"/>
        <v/>
      </c>
      <c r="T1430" s="7"/>
    </row>
    <row r="1431" ht="22.5" hidden="1" customHeight="1">
      <c r="B1431" s="7">
        <f t="shared" si="7"/>
        <v>1425</v>
      </c>
      <c r="C1431" s="40"/>
      <c r="D1431" s="19" t="str">
        <f t="array" ref="D1431">IFNA(_xlfn.XLOOKUP(C1431,Table_Tarikan_Warkah[Nomor Sertipikat],Table_Tarikan_Warkah[Nomor Tiket]),"")</f>
        <v/>
      </c>
      <c r="E1431" s="20" t="str">
        <f t="array" ref="E1431">IFNA(_xlfn.XLOOKUP(D1431,Table_Tarikan_Warkah[Nomor Tiket],Table_Tarikan_Warkah[Tanggal diserahkan kepada Validator]),"")</f>
        <v/>
      </c>
      <c r="F1431" s="20" t="str">
        <f t="array" ref="F1431">IFNA(_xlfn.XLOOKUP(D1431,Table_Tarikan_Warkah[Nomor Tiket],Table_Tarikan_Warkah[Nama Petugas Warkah]),"")</f>
        <v/>
      </c>
      <c r="G1431" s="21" t="str">
        <f t="array" ref="G1431">IFNA(_xlfn.XLOOKUP(D1431,Table_Tarikan_Warkah[Nomor Tiket],Table_Tarikan_Warkah[Jenis Permohonan]),"")</f>
        <v/>
      </c>
      <c r="H1431" s="26"/>
      <c r="I1431" s="26"/>
      <c r="J1431" s="20" t="str">
        <f t="shared" si="29"/>
        <v/>
      </c>
      <c r="K1431" s="26"/>
      <c r="L1431" s="26"/>
      <c r="M1431" s="20" t="str">
        <f t="shared" si="30"/>
        <v/>
      </c>
      <c r="N1431" s="8" t="str">
        <f t="shared" si="3"/>
        <v/>
      </c>
      <c r="O1431" s="21" t="str">
        <f t="shared" si="22"/>
        <v/>
      </c>
      <c r="P1431" s="24" t="b">
        <v>0</v>
      </c>
      <c r="Q1431" s="20" t="str">
        <f t="shared" si="31"/>
        <v/>
      </c>
      <c r="R1431" s="24" t="b">
        <v>0</v>
      </c>
      <c r="S1431" s="7" t="str">
        <f t="shared" si="6"/>
        <v/>
      </c>
      <c r="T1431" s="7"/>
    </row>
    <row r="1432" ht="22.5" hidden="1" customHeight="1">
      <c r="B1432" s="7">
        <f t="shared" si="7"/>
        <v>1426</v>
      </c>
      <c r="C1432" s="40"/>
      <c r="D1432" s="19" t="str">
        <f t="array" ref="D1432">IFNA(_xlfn.XLOOKUP(C1432,Table_Tarikan_Warkah[Nomor Sertipikat],Table_Tarikan_Warkah[Nomor Tiket]),"")</f>
        <v/>
      </c>
      <c r="E1432" s="20" t="str">
        <f t="array" ref="E1432">IFNA(_xlfn.XLOOKUP(D1432,Table_Tarikan_Warkah[Nomor Tiket],Table_Tarikan_Warkah[Tanggal diserahkan kepada Validator]),"")</f>
        <v/>
      </c>
      <c r="F1432" s="20" t="str">
        <f t="array" ref="F1432">IFNA(_xlfn.XLOOKUP(D1432,Table_Tarikan_Warkah[Nomor Tiket],Table_Tarikan_Warkah[Nama Petugas Warkah]),"")</f>
        <v/>
      </c>
      <c r="G1432" s="21" t="str">
        <f t="array" ref="G1432">IFNA(_xlfn.XLOOKUP(D1432,Table_Tarikan_Warkah[Nomor Tiket],Table_Tarikan_Warkah[Jenis Permohonan]),"")</f>
        <v/>
      </c>
      <c r="H1432" s="26"/>
      <c r="I1432" s="26"/>
      <c r="J1432" s="20" t="str">
        <f t="shared" si="29"/>
        <v/>
      </c>
      <c r="K1432" s="26"/>
      <c r="L1432" s="26"/>
      <c r="M1432" s="20" t="str">
        <f t="shared" si="30"/>
        <v/>
      </c>
      <c r="N1432" s="8" t="str">
        <f t="shared" si="3"/>
        <v/>
      </c>
      <c r="O1432" s="21" t="str">
        <f t="shared" si="22"/>
        <v/>
      </c>
      <c r="P1432" s="24" t="b">
        <v>0</v>
      </c>
      <c r="Q1432" s="20" t="str">
        <f t="shared" si="31"/>
        <v/>
      </c>
      <c r="R1432" s="24" t="b">
        <v>0</v>
      </c>
      <c r="S1432" s="7" t="str">
        <f t="shared" si="6"/>
        <v/>
      </c>
      <c r="T1432" s="7"/>
    </row>
    <row r="1433" ht="22.5" hidden="1" customHeight="1">
      <c r="B1433" s="7">
        <f t="shared" si="7"/>
        <v>1427</v>
      </c>
      <c r="C1433" s="40"/>
      <c r="D1433" s="19" t="str">
        <f t="array" ref="D1433">IFNA(_xlfn.XLOOKUP(C1433,Table_Tarikan_Warkah[Nomor Sertipikat],Table_Tarikan_Warkah[Nomor Tiket]),"")</f>
        <v/>
      </c>
      <c r="E1433" s="20" t="str">
        <f t="array" ref="E1433">IFNA(_xlfn.XLOOKUP(D1433,Table_Tarikan_Warkah[Nomor Tiket],Table_Tarikan_Warkah[Tanggal diserahkan kepada Validator]),"")</f>
        <v/>
      </c>
      <c r="F1433" s="20" t="str">
        <f t="array" ref="F1433">IFNA(_xlfn.XLOOKUP(D1433,Table_Tarikan_Warkah[Nomor Tiket],Table_Tarikan_Warkah[Nama Petugas Warkah]),"")</f>
        <v/>
      </c>
      <c r="G1433" s="21" t="str">
        <f t="array" ref="G1433">IFNA(_xlfn.XLOOKUP(D1433,Table_Tarikan_Warkah[Nomor Tiket],Table_Tarikan_Warkah[Jenis Permohonan]),"")</f>
        <v/>
      </c>
      <c r="H1433" s="26"/>
      <c r="I1433" s="26"/>
      <c r="J1433" s="20" t="str">
        <f t="shared" si="29"/>
        <v/>
      </c>
      <c r="K1433" s="26"/>
      <c r="L1433" s="26"/>
      <c r="M1433" s="20" t="str">
        <f t="shared" si="30"/>
        <v/>
      </c>
      <c r="N1433" s="8" t="str">
        <f t="shared" si="3"/>
        <v/>
      </c>
      <c r="O1433" s="21" t="str">
        <f t="shared" si="22"/>
        <v/>
      </c>
      <c r="P1433" s="24" t="b">
        <v>0</v>
      </c>
      <c r="Q1433" s="20" t="str">
        <f t="shared" si="31"/>
        <v/>
      </c>
      <c r="R1433" s="24" t="b">
        <v>0</v>
      </c>
      <c r="S1433" s="7" t="str">
        <f t="shared" si="6"/>
        <v/>
      </c>
      <c r="T1433" s="7"/>
    </row>
    <row r="1434" ht="22.5" hidden="1" customHeight="1">
      <c r="B1434" s="7">
        <f t="shared" si="7"/>
        <v>1428</v>
      </c>
      <c r="C1434" s="40"/>
      <c r="D1434" s="19" t="str">
        <f t="array" ref="D1434">IFNA(_xlfn.XLOOKUP(C1434,Table_Tarikan_Warkah[Nomor Sertipikat],Table_Tarikan_Warkah[Nomor Tiket]),"")</f>
        <v/>
      </c>
      <c r="E1434" s="20" t="str">
        <f t="array" ref="E1434">IFNA(_xlfn.XLOOKUP(D1434,Table_Tarikan_Warkah[Nomor Tiket],Table_Tarikan_Warkah[Tanggal diserahkan kepada Validator]),"")</f>
        <v/>
      </c>
      <c r="F1434" s="20" t="str">
        <f t="array" ref="F1434">IFNA(_xlfn.XLOOKUP(D1434,Table_Tarikan_Warkah[Nomor Tiket],Table_Tarikan_Warkah[Nama Petugas Warkah]),"")</f>
        <v/>
      </c>
      <c r="G1434" s="21" t="str">
        <f t="array" ref="G1434">IFNA(_xlfn.XLOOKUP(D1434,Table_Tarikan_Warkah[Nomor Tiket],Table_Tarikan_Warkah[Jenis Permohonan]),"")</f>
        <v/>
      </c>
      <c r="H1434" s="26"/>
      <c r="I1434" s="26"/>
      <c r="J1434" s="20" t="str">
        <f t="shared" si="29"/>
        <v/>
      </c>
      <c r="K1434" s="26"/>
      <c r="L1434" s="26"/>
      <c r="M1434" s="20" t="str">
        <f t="shared" si="30"/>
        <v/>
      </c>
      <c r="N1434" s="8" t="str">
        <f t="shared" si="3"/>
        <v/>
      </c>
      <c r="O1434" s="21" t="str">
        <f t="shared" si="22"/>
        <v/>
      </c>
      <c r="P1434" s="24" t="b">
        <v>0</v>
      </c>
      <c r="Q1434" s="20" t="str">
        <f t="shared" si="31"/>
        <v/>
      </c>
      <c r="R1434" s="24" t="b">
        <v>0</v>
      </c>
      <c r="S1434" s="7" t="str">
        <f t="shared" si="6"/>
        <v/>
      </c>
      <c r="T1434" s="7"/>
    </row>
    <row r="1435" ht="22.5" hidden="1" customHeight="1">
      <c r="B1435" s="7">
        <f t="shared" si="7"/>
        <v>1429</v>
      </c>
      <c r="C1435" s="40"/>
      <c r="D1435" s="19" t="str">
        <f t="array" ref="D1435">IFNA(_xlfn.XLOOKUP(C1435,Table_Tarikan_Warkah[Nomor Sertipikat],Table_Tarikan_Warkah[Nomor Tiket]),"")</f>
        <v/>
      </c>
      <c r="E1435" s="20" t="str">
        <f t="array" ref="E1435">IFNA(_xlfn.XLOOKUP(D1435,Table_Tarikan_Warkah[Nomor Tiket],Table_Tarikan_Warkah[Tanggal diserahkan kepada Validator]),"")</f>
        <v/>
      </c>
      <c r="F1435" s="20" t="str">
        <f t="array" ref="F1435">IFNA(_xlfn.XLOOKUP(D1435,Table_Tarikan_Warkah[Nomor Tiket],Table_Tarikan_Warkah[Nama Petugas Warkah]),"")</f>
        <v/>
      </c>
      <c r="G1435" s="21" t="str">
        <f t="array" ref="G1435">IFNA(_xlfn.XLOOKUP(D1435,Table_Tarikan_Warkah[Nomor Tiket],Table_Tarikan_Warkah[Jenis Permohonan]),"")</f>
        <v/>
      </c>
      <c r="H1435" s="26"/>
      <c r="I1435" s="26"/>
      <c r="J1435" s="20" t="str">
        <f t="shared" si="29"/>
        <v/>
      </c>
      <c r="K1435" s="26"/>
      <c r="L1435" s="26"/>
      <c r="M1435" s="20" t="str">
        <f t="shared" si="30"/>
        <v/>
      </c>
      <c r="N1435" s="8" t="str">
        <f t="shared" si="3"/>
        <v/>
      </c>
      <c r="O1435" s="21" t="str">
        <f t="shared" si="22"/>
        <v/>
      </c>
      <c r="P1435" s="24" t="b">
        <v>0</v>
      </c>
      <c r="Q1435" s="20" t="str">
        <f t="shared" si="31"/>
        <v/>
      </c>
      <c r="R1435" s="24" t="b">
        <v>0</v>
      </c>
      <c r="S1435" s="7" t="str">
        <f t="shared" si="6"/>
        <v/>
      </c>
      <c r="T1435" s="7"/>
    </row>
    <row r="1436" ht="22.5" hidden="1" customHeight="1">
      <c r="B1436" s="7">
        <f t="shared" si="7"/>
        <v>1430</v>
      </c>
      <c r="C1436" s="40"/>
      <c r="D1436" s="19" t="str">
        <f t="array" ref="D1436">IFNA(_xlfn.XLOOKUP(C1436,Table_Tarikan_Warkah[Nomor Sertipikat],Table_Tarikan_Warkah[Nomor Tiket]),"")</f>
        <v/>
      </c>
      <c r="E1436" s="20" t="str">
        <f t="array" ref="E1436">IFNA(_xlfn.XLOOKUP(D1436,Table_Tarikan_Warkah[Nomor Tiket],Table_Tarikan_Warkah[Tanggal diserahkan kepada Validator]),"")</f>
        <v/>
      </c>
      <c r="F1436" s="20" t="str">
        <f t="array" ref="F1436">IFNA(_xlfn.XLOOKUP(D1436,Table_Tarikan_Warkah[Nomor Tiket],Table_Tarikan_Warkah[Nama Petugas Warkah]),"")</f>
        <v/>
      </c>
      <c r="G1436" s="21" t="str">
        <f t="array" ref="G1436">IFNA(_xlfn.XLOOKUP(D1436,Table_Tarikan_Warkah[Nomor Tiket],Table_Tarikan_Warkah[Jenis Permohonan]),"")</f>
        <v/>
      </c>
      <c r="H1436" s="26"/>
      <c r="I1436" s="26"/>
      <c r="J1436" s="20" t="str">
        <f t="shared" si="29"/>
        <v/>
      </c>
      <c r="K1436" s="26"/>
      <c r="L1436" s="26"/>
      <c r="M1436" s="20" t="str">
        <f t="shared" si="30"/>
        <v/>
      </c>
      <c r="N1436" s="8" t="str">
        <f t="shared" si="3"/>
        <v/>
      </c>
      <c r="O1436" s="21" t="str">
        <f t="shared" si="22"/>
        <v/>
      </c>
      <c r="P1436" s="24" t="b">
        <v>0</v>
      </c>
      <c r="Q1436" s="20" t="str">
        <f t="shared" si="31"/>
        <v/>
      </c>
      <c r="R1436" s="24" t="b">
        <v>0</v>
      </c>
      <c r="S1436" s="7" t="str">
        <f t="shared" si="6"/>
        <v/>
      </c>
      <c r="T1436" s="7"/>
    </row>
    <row r="1437" ht="22.5" hidden="1" customHeight="1">
      <c r="B1437" s="7">
        <f t="shared" si="7"/>
        <v>1431</v>
      </c>
      <c r="C1437" s="40"/>
      <c r="D1437" s="19" t="str">
        <f t="array" ref="D1437">IFNA(_xlfn.XLOOKUP(C1437,Table_Tarikan_Warkah[Nomor Sertipikat],Table_Tarikan_Warkah[Nomor Tiket]),"")</f>
        <v/>
      </c>
      <c r="E1437" s="20" t="str">
        <f t="array" ref="E1437">IFNA(_xlfn.XLOOKUP(D1437,Table_Tarikan_Warkah[Nomor Tiket],Table_Tarikan_Warkah[Tanggal diserahkan kepada Validator]),"")</f>
        <v/>
      </c>
      <c r="F1437" s="20" t="str">
        <f t="array" ref="F1437">IFNA(_xlfn.XLOOKUP(D1437,Table_Tarikan_Warkah[Nomor Tiket],Table_Tarikan_Warkah[Nama Petugas Warkah]),"")</f>
        <v/>
      </c>
      <c r="G1437" s="21" t="str">
        <f t="array" ref="G1437">IFNA(_xlfn.XLOOKUP(D1437,Table_Tarikan_Warkah[Nomor Tiket],Table_Tarikan_Warkah[Jenis Permohonan]),"")</f>
        <v/>
      </c>
      <c r="H1437" s="26"/>
      <c r="I1437" s="26"/>
      <c r="J1437" s="20" t="str">
        <f t="shared" si="29"/>
        <v/>
      </c>
      <c r="K1437" s="26"/>
      <c r="L1437" s="26"/>
      <c r="M1437" s="20" t="str">
        <f t="shared" si="30"/>
        <v/>
      </c>
      <c r="N1437" s="8" t="str">
        <f t="shared" si="3"/>
        <v/>
      </c>
      <c r="O1437" s="21" t="str">
        <f t="shared" si="22"/>
        <v/>
      </c>
      <c r="P1437" s="24" t="b">
        <v>0</v>
      </c>
      <c r="Q1437" s="20" t="str">
        <f t="shared" si="31"/>
        <v/>
      </c>
      <c r="R1437" s="24" t="b">
        <v>0</v>
      </c>
      <c r="S1437" s="7" t="str">
        <f t="shared" si="6"/>
        <v/>
      </c>
      <c r="T1437" s="7"/>
    </row>
    <row r="1438" ht="22.5" hidden="1" customHeight="1">
      <c r="B1438" s="7">
        <f t="shared" si="7"/>
        <v>1432</v>
      </c>
      <c r="C1438" s="40"/>
      <c r="D1438" s="19" t="str">
        <f t="array" ref="D1438">IFNA(_xlfn.XLOOKUP(C1438,Table_Tarikan_Warkah[Nomor Sertipikat],Table_Tarikan_Warkah[Nomor Tiket]),"")</f>
        <v/>
      </c>
      <c r="E1438" s="20" t="str">
        <f t="array" ref="E1438">IFNA(_xlfn.XLOOKUP(D1438,Table_Tarikan_Warkah[Nomor Tiket],Table_Tarikan_Warkah[Tanggal diserahkan kepada Validator]),"")</f>
        <v/>
      </c>
      <c r="F1438" s="20" t="str">
        <f t="array" ref="F1438">IFNA(_xlfn.XLOOKUP(D1438,Table_Tarikan_Warkah[Nomor Tiket],Table_Tarikan_Warkah[Nama Petugas Warkah]),"")</f>
        <v/>
      </c>
      <c r="G1438" s="21" t="str">
        <f t="array" ref="G1438">IFNA(_xlfn.XLOOKUP(D1438,Table_Tarikan_Warkah[Nomor Tiket],Table_Tarikan_Warkah[Jenis Permohonan]),"")</f>
        <v/>
      </c>
      <c r="H1438" s="26"/>
      <c r="I1438" s="26"/>
      <c r="J1438" s="20" t="str">
        <f t="shared" si="29"/>
        <v/>
      </c>
      <c r="K1438" s="26"/>
      <c r="L1438" s="26"/>
      <c r="M1438" s="20" t="str">
        <f t="shared" si="30"/>
        <v/>
      </c>
      <c r="N1438" s="8" t="str">
        <f t="shared" si="3"/>
        <v/>
      </c>
      <c r="O1438" s="21" t="str">
        <f t="shared" si="22"/>
        <v/>
      </c>
      <c r="P1438" s="24" t="b">
        <v>0</v>
      </c>
      <c r="Q1438" s="20" t="str">
        <f t="shared" si="31"/>
        <v/>
      </c>
      <c r="R1438" s="24" t="b">
        <v>0</v>
      </c>
      <c r="S1438" s="7" t="str">
        <f t="shared" si="6"/>
        <v/>
      </c>
      <c r="T1438" s="7"/>
    </row>
    <row r="1439" ht="22.5" hidden="1" customHeight="1">
      <c r="B1439" s="7">
        <f t="shared" si="7"/>
        <v>1433</v>
      </c>
      <c r="C1439" s="40"/>
      <c r="D1439" s="19" t="str">
        <f t="array" ref="D1439">IFNA(_xlfn.XLOOKUP(C1439,Table_Tarikan_Warkah[Nomor Sertipikat],Table_Tarikan_Warkah[Nomor Tiket]),"")</f>
        <v/>
      </c>
      <c r="E1439" s="20" t="str">
        <f t="array" ref="E1439">IFNA(_xlfn.XLOOKUP(D1439,Table_Tarikan_Warkah[Nomor Tiket],Table_Tarikan_Warkah[Tanggal diserahkan kepada Validator]),"")</f>
        <v/>
      </c>
      <c r="F1439" s="20" t="str">
        <f t="array" ref="F1439">IFNA(_xlfn.XLOOKUP(D1439,Table_Tarikan_Warkah[Nomor Tiket],Table_Tarikan_Warkah[Nama Petugas Warkah]),"")</f>
        <v/>
      </c>
      <c r="G1439" s="21" t="str">
        <f t="array" ref="G1439">IFNA(_xlfn.XLOOKUP(D1439,Table_Tarikan_Warkah[Nomor Tiket],Table_Tarikan_Warkah[Jenis Permohonan]),"")</f>
        <v/>
      </c>
      <c r="H1439" s="26"/>
      <c r="I1439" s="26"/>
      <c r="J1439" s="20" t="str">
        <f t="shared" si="29"/>
        <v/>
      </c>
      <c r="K1439" s="26"/>
      <c r="L1439" s="26"/>
      <c r="M1439" s="20" t="str">
        <f t="shared" si="30"/>
        <v/>
      </c>
      <c r="N1439" s="8" t="str">
        <f t="shared" si="3"/>
        <v/>
      </c>
      <c r="O1439" s="21" t="str">
        <f t="shared" si="22"/>
        <v/>
      </c>
      <c r="P1439" s="24" t="b">
        <v>0</v>
      </c>
      <c r="Q1439" s="20" t="str">
        <f t="shared" si="31"/>
        <v/>
      </c>
      <c r="R1439" s="24" t="b">
        <v>0</v>
      </c>
      <c r="S1439" s="7" t="str">
        <f t="shared" si="6"/>
        <v/>
      </c>
      <c r="T1439" s="7"/>
    </row>
    <row r="1440" ht="22.5" hidden="1" customHeight="1">
      <c r="B1440" s="7">
        <f t="shared" si="7"/>
        <v>1434</v>
      </c>
      <c r="C1440" s="40"/>
      <c r="D1440" s="19" t="str">
        <f t="array" ref="D1440">IFNA(_xlfn.XLOOKUP(C1440,Table_Tarikan_Warkah[Nomor Sertipikat],Table_Tarikan_Warkah[Nomor Tiket]),"")</f>
        <v/>
      </c>
      <c r="E1440" s="20" t="str">
        <f t="array" ref="E1440">IFNA(_xlfn.XLOOKUP(D1440,Table_Tarikan_Warkah[Nomor Tiket],Table_Tarikan_Warkah[Tanggal diserahkan kepada Validator]),"")</f>
        <v/>
      </c>
      <c r="F1440" s="20" t="str">
        <f t="array" ref="F1440">IFNA(_xlfn.XLOOKUP(D1440,Table_Tarikan_Warkah[Nomor Tiket],Table_Tarikan_Warkah[Nama Petugas Warkah]),"")</f>
        <v/>
      </c>
      <c r="G1440" s="21" t="str">
        <f t="array" ref="G1440">IFNA(_xlfn.XLOOKUP(D1440,Table_Tarikan_Warkah[Nomor Tiket],Table_Tarikan_Warkah[Jenis Permohonan]),"")</f>
        <v/>
      </c>
      <c r="H1440" s="26"/>
      <c r="I1440" s="26"/>
      <c r="J1440" s="20" t="str">
        <f t="shared" si="29"/>
        <v/>
      </c>
      <c r="K1440" s="26"/>
      <c r="L1440" s="26"/>
      <c r="M1440" s="20" t="str">
        <f t="shared" si="30"/>
        <v/>
      </c>
      <c r="N1440" s="8" t="str">
        <f t="shared" si="3"/>
        <v/>
      </c>
      <c r="O1440" s="21" t="str">
        <f t="shared" si="22"/>
        <v/>
      </c>
      <c r="P1440" s="24" t="b">
        <v>0</v>
      </c>
      <c r="Q1440" s="20" t="str">
        <f t="shared" si="31"/>
        <v/>
      </c>
      <c r="R1440" s="24" t="b">
        <v>0</v>
      </c>
      <c r="S1440" s="7" t="str">
        <f t="shared" si="6"/>
        <v/>
      </c>
      <c r="T1440" s="7"/>
    </row>
    <row r="1441" ht="22.5" hidden="1" customHeight="1">
      <c r="B1441" s="7">
        <f t="shared" si="7"/>
        <v>1435</v>
      </c>
      <c r="C1441" s="40"/>
      <c r="D1441" s="19" t="str">
        <f t="array" ref="D1441">IFNA(_xlfn.XLOOKUP(C1441,Table_Tarikan_Warkah[Nomor Sertipikat],Table_Tarikan_Warkah[Nomor Tiket]),"")</f>
        <v/>
      </c>
      <c r="E1441" s="20" t="str">
        <f t="array" ref="E1441">IFNA(_xlfn.XLOOKUP(D1441,Table_Tarikan_Warkah[Nomor Tiket],Table_Tarikan_Warkah[Tanggal diserahkan kepada Validator]),"")</f>
        <v/>
      </c>
      <c r="F1441" s="20" t="str">
        <f t="array" ref="F1441">IFNA(_xlfn.XLOOKUP(D1441,Table_Tarikan_Warkah[Nomor Tiket],Table_Tarikan_Warkah[Nama Petugas Warkah]),"")</f>
        <v/>
      </c>
      <c r="G1441" s="21" t="str">
        <f t="array" ref="G1441">IFNA(_xlfn.XLOOKUP(D1441,Table_Tarikan_Warkah[Nomor Tiket],Table_Tarikan_Warkah[Jenis Permohonan]),"")</f>
        <v/>
      </c>
      <c r="H1441" s="26"/>
      <c r="I1441" s="26"/>
      <c r="J1441" s="20" t="str">
        <f t="shared" si="29"/>
        <v/>
      </c>
      <c r="K1441" s="26"/>
      <c r="L1441" s="26"/>
      <c r="M1441" s="20" t="str">
        <f t="shared" si="30"/>
        <v/>
      </c>
      <c r="N1441" s="8" t="str">
        <f t="shared" si="3"/>
        <v/>
      </c>
      <c r="O1441" s="21" t="str">
        <f t="shared" si="22"/>
        <v/>
      </c>
      <c r="P1441" s="24" t="b">
        <v>0</v>
      </c>
      <c r="Q1441" s="20" t="str">
        <f t="shared" si="31"/>
        <v/>
      </c>
      <c r="R1441" s="24" t="b">
        <v>0</v>
      </c>
      <c r="S1441" s="7" t="str">
        <f t="shared" si="6"/>
        <v/>
      </c>
      <c r="T1441" s="7"/>
    </row>
    <row r="1442" ht="22.5" hidden="1" customHeight="1">
      <c r="B1442" s="7">
        <f t="shared" si="7"/>
        <v>1436</v>
      </c>
      <c r="C1442" s="40"/>
      <c r="D1442" s="19" t="str">
        <f t="array" ref="D1442">IFNA(_xlfn.XLOOKUP(C1442,Table_Tarikan_Warkah[Nomor Sertipikat],Table_Tarikan_Warkah[Nomor Tiket]),"")</f>
        <v/>
      </c>
      <c r="E1442" s="20" t="str">
        <f t="array" ref="E1442">IFNA(_xlfn.XLOOKUP(D1442,Table_Tarikan_Warkah[Nomor Tiket],Table_Tarikan_Warkah[Tanggal diserahkan kepada Validator]),"")</f>
        <v/>
      </c>
      <c r="F1442" s="20" t="str">
        <f t="array" ref="F1442">IFNA(_xlfn.XLOOKUP(D1442,Table_Tarikan_Warkah[Nomor Tiket],Table_Tarikan_Warkah[Nama Petugas Warkah]),"")</f>
        <v/>
      </c>
      <c r="G1442" s="21" t="str">
        <f t="array" ref="G1442">IFNA(_xlfn.XLOOKUP(D1442,Table_Tarikan_Warkah[Nomor Tiket],Table_Tarikan_Warkah[Jenis Permohonan]),"")</f>
        <v/>
      </c>
      <c r="H1442" s="26"/>
      <c r="I1442" s="26"/>
      <c r="J1442" s="20" t="str">
        <f t="shared" si="29"/>
        <v/>
      </c>
      <c r="K1442" s="26"/>
      <c r="L1442" s="26"/>
      <c r="M1442" s="20" t="str">
        <f t="shared" si="30"/>
        <v/>
      </c>
      <c r="N1442" s="8" t="str">
        <f t="shared" si="3"/>
        <v/>
      </c>
      <c r="O1442" s="21" t="str">
        <f t="shared" si="22"/>
        <v/>
      </c>
      <c r="P1442" s="24" t="b">
        <v>0</v>
      </c>
      <c r="Q1442" s="20" t="str">
        <f t="shared" si="31"/>
        <v/>
      </c>
      <c r="R1442" s="24" t="b">
        <v>0</v>
      </c>
      <c r="S1442" s="7" t="str">
        <f t="shared" si="6"/>
        <v/>
      </c>
      <c r="T1442" s="7"/>
    </row>
    <row r="1443" ht="22.5" hidden="1" customHeight="1">
      <c r="B1443" s="7">
        <f t="shared" si="7"/>
        <v>1437</v>
      </c>
      <c r="C1443" s="40"/>
      <c r="D1443" s="19" t="str">
        <f t="array" ref="D1443">IFNA(_xlfn.XLOOKUP(C1443,Table_Tarikan_Warkah[Nomor Sertipikat],Table_Tarikan_Warkah[Nomor Tiket]),"")</f>
        <v/>
      </c>
      <c r="E1443" s="20" t="str">
        <f t="array" ref="E1443">IFNA(_xlfn.XLOOKUP(D1443,Table_Tarikan_Warkah[Nomor Tiket],Table_Tarikan_Warkah[Tanggal diserahkan kepada Validator]),"")</f>
        <v/>
      </c>
      <c r="F1443" s="20" t="str">
        <f t="array" ref="F1443">IFNA(_xlfn.XLOOKUP(D1443,Table_Tarikan_Warkah[Nomor Tiket],Table_Tarikan_Warkah[Nama Petugas Warkah]),"")</f>
        <v/>
      </c>
      <c r="G1443" s="21" t="str">
        <f t="array" ref="G1443">IFNA(_xlfn.XLOOKUP(D1443,Table_Tarikan_Warkah[Nomor Tiket],Table_Tarikan_Warkah[Jenis Permohonan]),"")</f>
        <v/>
      </c>
      <c r="H1443" s="26"/>
      <c r="I1443" s="26"/>
      <c r="J1443" s="20" t="str">
        <f t="shared" si="29"/>
        <v/>
      </c>
      <c r="K1443" s="26"/>
      <c r="L1443" s="26"/>
      <c r="M1443" s="20" t="str">
        <f t="shared" si="30"/>
        <v/>
      </c>
      <c r="N1443" s="8" t="str">
        <f t="shared" si="3"/>
        <v/>
      </c>
      <c r="O1443" s="21" t="str">
        <f t="shared" si="22"/>
        <v/>
      </c>
      <c r="P1443" s="24" t="b">
        <v>0</v>
      </c>
      <c r="Q1443" s="20" t="str">
        <f t="shared" si="31"/>
        <v/>
      </c>
      <c r="R1443" s="24" t="b">
        <v>0</v>
      </c>
      <c r="S1443" s="7" t="str">
        <f t="shared" si="6"/>
        <v/>
      </c>
      <c r="T1443" s="7"/>
    </row>
    <row r="1444" ht="22.5" hidden="1" customHeight="1">
      <c r="B1444" s="7">
        <f t="shared" si="7"/>
        <v>1438</v>
      </c>
      <c r="C1444" s="40"/>
      <c r="D1444" s="19" t="str">
        <f t="array" ref="D1444">IFNA(_xlfn.XLOOKUP(C1444,Table_Tarikan_Warkah[Nomor Sertipikat],Table_Tarikan_Warkah[Nomor Tiket]),"")</f>
        <v/>
      </c>
      <c r="E1444" s="20" t="str">
        <f t="array" ref="E1444">IFNA(_xlfn.XLOOKUP(D1444,Table_Tarikan_Warkah[Nomor Tiket],Table_Tarikan_Warkah[Tanggal diserahkan kepada Validator]),"")</f>
        <v/>
      </c>
      <c r="F1444" s="20" t="str">
        <f t="array" ref="F1444">IFNA(_xlfn.XLOOKUP(D1444,Table_Tarikan_Warkah[Nomor Tiket],Table_Tarikan_Warkah[Nama Petugas Warkah]),"")</f>
        <v/>
      </c>
      <c r="G1444" s="21" t="str">
        <f t="array" ref="G1444">IFNA(_xlfn.XLOOKUP(D1444,Table_Tarikan_Warkah[Nomor Tiket],Table_Tarikan_Warkah[Jenis Permohonan]),"")</f>
        <v/>
      </c>
      <c r="H1444" s="26"/>
      <c r="I1444" s="26"/>
      <c r="J1444" s="20" t="str">
        <f t="shared" si="29"/>
        <v/>
      </c>
      <c r="K1444" s="26"/>
      <c r="L1444" s="26"/>
      <c r="M1444" s="20" t="str">
        <f t="shared" si="30"/>
        <v/>
      </c>
      <c r="N1444" s="8" t="str">
        <f t="shared" si="3"/>
        <v/>
      </c>
      <c r="O1444" s="21" t="str">
        <f t="shared" si="22"/>
        <v/>
      </c>
      <c r="P1444" s="24" t="b">
        <v>0</v>
      </c>
      <c r="Q1444" s="20" t="str">
        <f t="shared" si="31"/>
        <v/>
      </c>
      <c r="R1444" s="24" t="b">
        <v>0</v>
      </c>
      <c r="S1444" s="7" t="str">
        <f t="shared" si="6"/>
        <v/>
      </c>
      <c r="T1444" s="7"/>
    </row>
    <row r="1445" ht="22.5" hidden="1" customHeight="1">
      <c r="B1445" s="7">
        <f t="shared" si="7"/>
        <v>1439</v>
      </c>
      <c r="C1445" s="40"/>
      <c r="D1445" s="19" t="str">
        <f t="array" ref="D1445">IFNA(_xlfn.XLOOKUP(C1445,Table_Tarikan_Warkah[Nomor Sertipikat],Table_Tarikan_Warkah[Nomor Tiket]),"")</f>
        <v/>
      </c>
      <c r="E1445" s="20" t="str">
        <f t="array" ref="E1445">IFNA(_xlfn.XLOOKUP(D1445,Table_Tarikan_Warkah[Nomor Tiket],Table_Tarikan_Warkah[Tanggal diserahkan kepada Validator]),"")</f>
        <v/>
      </c>
      <c r="F1445" s="20" t="str">
        <f t="array" ref="F1445">IFNA(_xlfn.XLOOKUP(D1445,Table_Tarikan_Warkah[Nomor Tiket],Table_Tarikan_Warkah[Nama Petugas Warkah]),"")</f>
        <v/>
      </c>
      <c r="G1445" s="21" t="str">
        <f t="array" ref="G1445">IFNA(_xlfn.XLOOKUP(D1445,Table_Tarikan_Warkah[Nomor Tiket],Table_Tarikan_Warkah[Jenis Permohonan]),"")</f>
        <v/>
      </c>
      <c r="H1445" s="26"/>
      <c r="I1445" s="26"/>
      <c r="J1445" s="20" t="str">
        <f t="shared" si="29"/>
        <v/>
      </c>
      <c r="K1445" s="26"/>
      <c r="L1445" s="26"/>
      <c r="M1445" s="20" t="str">
        <f t="shared" si="30"/>
        <v/>
      </c>
      <c r="N1445" s="8" t="str">
        <f t="shared" si="3"/>
        <v/>
      </c>
      <c r="O1445" s="21" t="str">
        <f t="shared" si="22"/>
        <v/>
      </c>
      <c r="P1445" s="24" t="b">
        <v>0</v>
      </c>
      <c r="Q1445" s="20" t="str">
        <f t="shared" si="31"/>
        <v/>
      </c>
      <c r="R1445" s="24" t="b">
        <v>0</v>
      </c>
      <c r="S1445" s="7" t="str">
        <f t="shared" si="6"/>
        <v/>
      </c>
      <c r="T1445" s="7"/>
    </row>
    <row r="1446" ht="22.5" hidden="1" customHeight="1">
      <c r="B1446" s="7">
        <f t="shared" si="7"/>
        <v>1440</v>
      </c>
      <c r="C1446" s="40"/>
      <c r="D1446" s="19" t="str">
        <f t="array" ref="D1446">IFNA(_xlfn.XLOOKUP(C1446,Table_Tarikan_Warkah[Nomor Sertipikat],Table_Tarikan_Warkah[Nomor Tiket]),"")</f>
        <v/>
      </c>
      <c r="E1446" s="20" t="str">
        <f t="array" ref="E1446">IFNA(_xlfn.XLOOKUP(D1446,Table_Tarikan_Warkah[Nomor Tiket],Table_Tarikan_Warkah[Tanggal diserahkan kepada Validator]),"")</f>
        <v/>
      </c>
      <c r="F1446" s="20" t="str">
        <f t="array" ref="F1446">IFNA(_xlfn.XLOOKUP(D1446,Table_Tarikan_Warkah[Nomor Tiket],Table_Tarikan_Warkah[Nama Petugas Warkah]),"")</f>
        <v/>
      </c>
      <c r="G1446" s="21" t="str">
        <f t="array" ref="G1446">IFNA(_xlfn.XLOOKUP(D1446,Table_Tarikan_Warkah[Nomor Tiket],Table_Tarikan_Warkah[Jenis Permohonan]),"")</f>
        <v/>
      </c>
      <c r="H1446" s="26"/>
      <c r="I1446" s="26"/>
      <c r="J1446" s="20" t="str">
        <f t="shared" si="29"/>
        <v/>
      </c>
      <c r="K1446" s="26"/>
      <c r="L1446" s="26"/>
      <c r="M1446" s="20" t="str">
        <f t="shared" si="30"/>
        <v/>
      </c>
      <c r="N1446" s="8" t="str">
        <f t="shared" si="3"/>
        <v/>
      </c>
      <c r="O1446" s="21" t="str">
        <f t="shared" si="22"/>
        <v/>
      </c>
      <c r="P1446" s="24" t="b">
        <v>0</v>
      </c>
      <c r="Q1446" s="20" t="str">
        <f t="shared" si="31"/>
        <v/>
      </c>
      <c r="R1446" s="24" t="b">
        <v>0</v>
      </c>
      <c r="S1446" s="7" t="str">
        <f t="shared" si="6"/>
        <v/>
      </c>
      <c r="T1446" s="7"/>
    </row>
    <row r="1447" ht="22.5" hidden="1" customHeight="1">
      <c r="B1447" s="7">
        <f t="shared" si="7"/>
        <v>1441</v>
      </c>
      <c r="C1447" s="40"/>
      <c r="D1447" s="19" t="str">
        <f t="array" ref="D1447">IFNA(_xlfn.XLOOKUP(C1447,Table_Tarikan_Warkah[Nomor Sertipikat],Table_Tarikan_Warkah[Nomor Tiket]),"")</f>
        <v/>
      </c>
      <c r="E1447" s="20" t="str">
        <f t="array" ref="E1447">IFNA(_xlfn.XLOOKUP(D1447,Table_Tarikan_Warkah[Nomor Tiket],Table_Tarikan_Warkah[Tanggal diserahkan kepada Validator]),"")</f>
        <v/>
      </c>
      <c r="F1447" s="20" t="str">
        <f t="array" ref="F1447">IFNA(_xlfn.XLOOKUP(D1447,Table_Tarikan_Warkah[Nomor Tiket],Table_Tarikan_Warkah[Nama Petugas Warkah]),"")</f>
        <v/>
      </c>
      <c r="G1447" s="21" t="str">
        <f t="array" ref="G1447">IFNA(_xlfn.XLOOKUP(D1447,Table_Tarikan_Warkah[Nomor Tiket],Table_Tarikan_Warkah[Jenis Permohonan]),"")</f>
        <v/>
      </c>
      <c r="H1447" s="26"/>
      <c r="I1447" s="26"/>
      <c r="J1447" s="20" t="str">
        <f t="shared" si="29"/>
        <v/>
      </c>
      <c r="K1447" s="26"/>
      <c r="L1447" s="26"/>
      <c r="M1447" s="20" t="str">
        <f t="shared" si="30"/>
        <v/>
      </c>
      <c r="N1447" s="8" t="str">
        <f t="shared" si="3"/>
        <v/>
      </c>
      <c r="O1447" s="21" t="str">
        <f t="shared" si="22"/>
        <v/>
      </c>
      <c r="P1447" s="24" t="b">
        <v>0</v>
      </c>
      <c r="Q1447" s="20" t="str">
        <f t="shared" si="31"/>
        <v/>
      </c>
      <c r="R1447" s="24" t="b">
        <v>0</v>
      </c>
      <c r="S1447" s="7" t="str">
        <f t="shared" si="6"/>
        <v/>
      </c>
      <c r="T1447" s="7"/>
    </row>
    <row r="1448" ht="22.5" hidden="1" customHeight="1">
      <c r="B1448" s="7">
        <f t="shared" si="7"/>
        <v>1442</v>
      </c>
      <c r="C1448" s="40"/>
      <c r="D1448" s="19" t="str">
        <f t="array" ref="D1448">IFNA(_xlfn.XLOOKUP(C1448,Table_Tarikan_Warkah[Nomor Sertipikat],Table_Tarikan_Warkah[Nomor Tiket]),"")</f>
        <v/>
      </c>
      <c r="E1448" s="20" t="str">
        <f t="array" ref="E1448">IFNA(_xlfn.XLOOKUP(D1448,Table_Tarikan_Warkah[Nomor Tiket],Table_Tarikan_Warkah[Tanggal diserahkan kepada Validator]),"")</f>
        <v/>
      </c>
      <c r="F1448" s="20" t="str">
        <f t="array" ref="F1448">IFNA(_xlfn.XLOOKUP(D1448,Table_Tarikan_Warkah[Nomor Tiket],Table_Tarikan_Warkah[Nama Petugas Warkah]),"")</f>
        <v/>
      </c>
      <c r="G1448" s="21" t="str">
        <f t="array" ref="G1448">IFNA(_xlfn.XLOOKUP(D1448,Table_Tarikan_Warkah[Nomor Tiket],Table_Tarikan_Warkah[Jenis Permohonan]),"")</f>
        <v/>
      </c>
      <c r="H1448" s="26"/>
      <c r="I1448" s="26"/>
      <c r="J1448" s="20" t="str">
        <f t="shared" si="29"/>
        <v/>
      </c>
      <c r="K1448" s="26"/>
      <c r="L1448" s="26"/>
      <c r="M1448" s="20" t="str">
        <f t="shared" si="30"/>
        <v/>
      </c>
      <c r="N1448" s="8" t="str">
        <f t="shared" si="3"/>
        <v/>
      </c>
      <c r="O1448" s="21" t="str">
        <f t="shared" si="22"/>
        <v/>
      </c>
      <c r="P1448" s="24" t="b">
        <v>0</v>
      </c>
      <c r="Q1448" s="20" t="str">
        <f t="shared" si="31"/>
        <v/>
      </c>
      <c r="R1448" s="24" t="b">
        <v>0</v>
      </c>
      <c r="S1448" s="7" t="str">
        <f t="shared" si="6"/>
        <v/>
      </c>
      <c r="T1448" s="7"/>
    </row>
    <row r="1449" ht="22.5" hidden="1" customHeight="1">
      <c r="B1449" s="7">
        <f t="shared" si="7"/>
        <v>1443</v>
      </c>
      <c r="C1449" s="40"/>
      <c r="D1449" s="19" t="str">
        <f t="array" ref="D1449">IFNA(_xlfn.XLOOKUP(C1449,Table_Tarikan_Warkah[Nomor Sertipikat],Table_Tarikan_Warkah[Nomor Tiket]),"")</f>
        <v/>
      </c>
      <c r="E1449" s="20" t="str">
        <f t="array" ref="E1449">IFNA(_xlfn.XLOOKUP(D1449,Table_Tarikan_Warkah[Nomor Tiket],Table_Tarikan_Warkah[Tanggal diserahkan kepada Validator]),"")</f>
        <v/>
      </c>
      <c r="F1449" s="20" t="str">
        <f t="array" ref="F1449">IFNA(_xlfn.XLOOKUP(D1449,Table_Tarikan_Warkah[Nomor Tiket],Table_Tarikan_Warkah[Nama Petugas Warkah]),"")</f>
        <v/>
      </c>
      <c r="G1449" s="21" t="str">
        <f t="array" ref="G1449">IFNA(_xlfn.XLOOKUP(D1449,Table_Tarikan_Warkah[Nomor Tiket],Table_Tarikan_Warkah[Jenis Permohonan]),"")</f>
        <v/>
      </c>
      <c r="H1449" s="26"/>
      <c r="I1449" s="26"/>
      <c r="J1449" s="20" t="str">
        <f t="shared" si="29"/>
        <v/>
      </c>
      <c r="K1449" s="26"/>
      <c r="L1449" s="26"/>
      <c r="M1449" s="20" t="str">
        <f t="shared" si="30"/>
        <v/>
      </c>
      <c r="N1449" s="8" t="str">
        <f t="shared" si="3"/>
        <v/>
      </c>
      <c r="O1449" s="21" t="str">
        <f t="shared" si="22"/>
        <v/>
      </c>
      <c r="P1449" s="24" t="b">
        <v>0</v>
      </c>
      <c r="Q1449" s="20" t="str">
        <f t="shared" si="31"/>
        <v/>
      </c>
      <c r="R1449" s="24" t="b">
        <v>0</v>
      </c>
      <c r="S1449" s="7" t="str">
        <f t="shared" si="6"/>
        <v/>
      </c>
      <c r="T1449" s="7"/>
    </row>
    <row r="1450" ht="22.5" hidden="1" customHeight="1">
      <c r="B1450" s="7">
        <f t="shared" si="7"/>
        <v>1444</v>
      </c>
      <c r="C1450" s="40"/>
      <c r="D1450" s="19" t="str">
        <f t="array" ref="D1450">IFNA(_xlfn.XLOOKUP(C1450,Table_Tarikan_Warkah[Nomor Sertipikat],Table_Tarikan_Warkah[Nomor Tiket]),"")</f>
        <v/>
      </c>
      <c r="E1450" s="20" t="str">
        <f t="array" ref="E1450">IFNA(_xlfn.XLOOKUP(D1450,Table_Tarikan_Warkah[Nomor Tiket],Table_Tarikan_Warkah[Tanggal diserahkan kepada Validator]),"")</f>
        <v/>
      </c>
      <c r="F1450" s="20" t="str">
        <f t="array" ref="F1450">IFNA(_xlfn.XLOOKUP(D1450,Table_Tarikan_Warkah[Nomor Tiket],Table_Tarikan_Warkah[Nama Petugas Warkah]),"")</f>
        <v/>
      </c>
      <c r="G1450" s="21" t="str">
        <f t="array" ref="G1450">IFNA(_xlfn.XLOOKUP(D1450,Table_Tarikan_Warkah[Nomor Tiket],Table_Tarikan_Warkah[Jenis Permohonan]),"")</f>
        <v/>
      </c>
      <c r="H1450" s="26"/>
      <c r="I1450" s="26"/>
      <c r="J1450" s="20" t="str">
        <f t="shared" si="29"/>
        <v/>
      </c>
      <c r="K1450" s="26"/>
      <c r="L1450" s="26"/>
      <c r="M1450" s="20" t="str">
        <f t="shared" si="30"/>
        <v/>
      </c>
      <c r="N1450" s="8" t="str">
        <f t="shared" si="3"/>
        <v/>
      </c>
      <c r="O1450" s="21" t="str">
        <f t="shared" si="22"/>
        <v/>
      </c>
      <c r="P1450" s="24" t="b">
        <v>0</v>
      </c>
      <c r="Q1450" s="20" t="str">
        <f t="shared" si="31"/>
        <v/>
      </c>
      <c r="R1450" s="24" t="b">
        <v>0</v>
      </c>
      <c r="S1450" s="7" t="str">
        <f t="shared" si="6"/>
        <v/>
      </c>
      <c r="T1450" s="7"/>
    </row>
    <row r="1451" ht="22.5" hidden="1" customHeight="1">
      <c r="B1451" s="7">
        <f t="shared" si="7"/>
        <v>1445</v>
      </c>
      <c r="C1451" s="40"/>
      <c r="D1451" s="19" t="str">
        <f t="array" ref="D1451">IFNA(_xlfn.XLOOKUP(C1451,Table_Tarikan_Warkah[Nomor Sertipikat],Table_Tarikan_Warkah[Nomor Tiket]),"")</f>
        <v/>
      </c>
      <c r="E1451" s="20" t="str">
        <f t="array" ref="E1451">IFNA(_xlfn.XLOOKUP(D1451,Table_Tarikan_Warkah[Nomor Tiket],Table_Tarikan_Warkah[Tanggal diserahkan kepada Validator]),"")</f>
        <v/>
      </c>
      <c r="F1451" s="20" t="str">
        <f t="array" ref="F1451">IFNA(_xlfn.XLOOKUP(D1451,Table_Tarikan_Warkah[Nomor Tiket],Table_Tarikan_Warkah[Nama Petugas Warkah]),"")</f>
        <v/>
      </c>
      <c r="G1451" s="21" t="str">
        <f t="array" ref="G1451">IFNA(_xlfn.XLOOKUP(D1451,Table_Tarikan_Warkah[Nomor Tiket],Table_Tarikan_Warkah[Jenis Permohonan]),"")</f>
        <v/>
      </c>
      <c r="H1451" s="26"/>
      <c r="I1451" s="26"/>
      <c r="J1451" s="20" t="str">
        <f t="shared" si="29"/>
        <v/>
      </c>
      <c r="K1451" s="26"/>
      <c r="L1451" s="26"/>
      <c r="M1451" s="20" t="str">
        <f t="shared" si="30"/>
        <v/>
      </c>
      <c r="N1451" s="8" t="str">
        <f t="shared" si="3"/>
        <v/>
      </c>
      <c r="O1451" s="21" t="str">
        <f t="shared" si="22"/>
        <v/>
      </c>
      <c r="P1451" s="24" t="b">
        <v>0</v>
      </c>
      <c r="Q1451" s="20" t="str">
        <f t="shared" si="31"/>
        <v/>
      </c>
      <c r="R1451" s="24" t="b">
        <v>0</v>
      </c>
      <c r="S1451" s="7" t="str">
        <f t="shared" si="6"/>
        <v/>
      </c>
      <c r="T1451" s="7"/>
    </row>
    <row r="1452" ht="22.5" hidden="1" customHeight="1">
      <c r="B1452" s="7">
        <f t="shared" si="7"/>
        <v>1446</v>
      </c>
      <c r="C1452" s="40"/>
      <c r="D1452" s="19" t="str">
        <f t="array" ref="D1452">IFNA(_xlfn.XLOOKUP(C1452,Table_Tarikan_Warkah[Nomor Sertipikat],Table_Tarikan_Warkah[Nomor Tiket]),"")</f>
        <v/>
      </c>
      <c r="E1452" s="20" t="str">
        <f t="array" ref="E1452">IFNA(_xlfn.XLOOKUP(D1452,Table_Tarikan_Warkah[Nomor Tiket],Table_Tarikan_Warkah[Tanggal diserahkan kepada Validator]),"")</f>
        <v/>
      </c>
      <c r="F1452" s="20" t="str">
        <f t="array" ref="F1452">IFNA(_xlfn.XLOOKUP(D1452,Table_Tarikan_Warkah[Nomor Tiket],Table_Tarikan_Warkah[Nama Petugas Warkah]),"")</f>
        <v/>
      </c>
      <c r="G1452" s="21" t="str">
        <f t="array" ref="G1452">IFNA(_xlfn.XLOOKUP(D1452,Table_Tarikan_Warkah[Nomor Tiket],Table_Tarikan_Warkah[Jenis Permohonan]),"")</f>
        <v/>
      </c>
      <c r="H1452" s="26"/>
      <c r="I1452" s="26"/>
      <c r="J1452" s="20" t="str">
        <f t="shared" si="29"/>
        <v/>
      </c>
      <c r="K1452" s="26"/>
      <c r="L1452" s="26"/>
      <c r="M1452" s="20" t="str">
        <f t="shared" si="30"/>
        <v/>
      </c>
      <c r="N1452" s="8" t="str">
        <f t="shared" si="3"/>
        <v/>
      </c>
      <c r="O1452" s="21" t="str">
        <f t="shared" si="22"/>
        <v/>
      </c>
      <c r="P1452" s="24" t="b">
        <v>0</v>
      </c>
      <c r="Q1452" s="20" t="str">
        <f t="shared" si="31"/>
        <v/>
      </c>
      <c r="R1452" s="24" t="b">
        <v>0</v>
      </c>
      <c r="S1452" s="7" t="str">
        <f t="shared" si="6"/>
        <v/>
      </c>
      <c r="T1452" s="7"/>
    </row>
    <row r="1453" ht="22.5" hidden="1" customHeight="1">
      <c r="B1453" s="7">
        <f t="shared" si="7"/>
        <v>1447</v>
      </c>
      <c r="C1453" s="40"/>
      <c r="D1453" s="19" t="str">
        <f t="array" ref="D1453">IFNA(_xlfn.XLOOKUP(C1453,Table_Tarikan_Warkah[Nomor Sertipikat],Table_Tarikan_Warkah[Nomor Tiket]),"")</f>
        <v/>
      </c>
      <c r="E1453" s="20" t="str">
        <f t="array" ref="E1453">IFNA(_xlfn.XLOOKUP(D1453,Table_Tarikan_Warkah[Nomor Tiket],Table_Tarikan_Warkah[Tanggal diserahkan kepada Validator]),"")</f>
        <v/>
      </c>
      <c r="F1453" s="20" t="str">
        <f t="array" ref="F1453">IFNA(_xlfn.XLOOKUP(D1453,Table_Tarikan_Warkah[Nomor Tiket],Table_Tarikan_Warkah[Nama Petugas Warkah]),"")</f>
        <v/>
      </c>
      <c r="G1453" s="21" t="str">
        <f t="array" ref="G1453">IFNA(_xlfn.XLOOKUP(D1453,Table_Tarikan_Warkah[Nomor Tiket],Table_Tarikan_Warkah[Jenis Permohonan]),"")</f>
        <v/>
      </c>
      <c r="H1453" s="26"/>
      <c r="I1453" s="26"/>
      <c r="J1453" s="20" t="str">
        <f t="shared" si="29"/>
        <v/>
      </c>
      <c r="K1453" s="26"/>
      <c r="L1453" s="26"/>
      <c r="M1453" s="20" t="str">
        <f t="shared" si="30"/>
        <v/>
      </c>
      <c r="N1453" s="8" t="str">
        <f t="shared" si="3"/>
        <v/>
      </c>
      <c r="O1453" s="21" t="str">
        <f t="shared" si="22"/>
        <v/>
      </c>
      <c r="P1453" s="24" t="b">
        <v>0</v>
      </c>
      <c r="Q1453" s="20" t="str">
        <f t="shared" si="31"/>
        <v/>
      </c>
      <c r="R1453" s="24" t="b">
        <v>0</v>
      </c>
      <c r="S1453" s="7" t="str">
        <f t="shared" si="6"/>
        <v/>
      </c>
      <c r="T1453" s="7"/>
    </row>
    <row r="1454" ht="22.5" hidden="1" customHeight="1">
      <c r="B1454" s="7">
        <f t="shared" si="7"/>
        <v>1448</v>
      </c>
      <c r="C1454" s="40"/>
      <c r="D1454" s="19" t="str">
        <f t="array" ref="D1454">IFNA(_xlfn.XLOOKUP(C1454,Table_Tarikan_Warkah[Nomor Sertipikat],Table_Tarikan_Warkah[Nomor Tiket]),"")</f>
        <v/>
      </c>
      <c r="E1454" s="20" t="str">
        <f t="array" ref="E1454">IFNA(_xlfn.XLOOKUP(D1454,Table_Tarikan_Warkah[Nomor Tiket],Table_Tarikan_Warkah[Tanggal diserahkan kepada Validator]),"")</f>
        <v/>
      </c>
      <c r="F1454" s="20" t="str">
        <f t="array" ref="F1454">IFNA(_xlfn.XLOOKUP(D1454,Table_Tarikan_Warkah[Nomor Tiket],Table_Tarikan_Warkah[Nama Petugas Warkah]),"")</f>
        <v/>
      </c>
      <c r="G1454" s="21" t="str">
        <f t="array" ref="G1454">IFNA(_xlfn.XLOOKUP(D1454,Table_Tarikan_Warkah[Nomor Tiket],Table_Tarikan_Warkah[Jenis Permohonan]),"")</f>
        <v/>
      </c>
      <c r="H1454" s="26"/>
      <c r="I1454" s="26"/>
      <c r="J1454" s="20" t="str">
        <f t="shared" si="29"/>
        <v/>
      </c>
      <c r="K1454" s="26"/>
      <c r="L1454" s="26"/>
      <c r="M1454" s="20" t="str">
        <f t="shared" si="30"/>
        <v/>
      </c>
      <c r="N1454" s="8" t="str">
        <f t="shared" si="3"/>
        <v/>
      </c>
      <c r="O1454" s="21" t="str">
        <f t="shared" si="22"/>
        <v/>
      </c>
      <c r="P1454" s="24" t="b">
        <v>0</v>
      </c>
      <c r="Q1454" s="20" t="str">
        <f t="shared" si="31"/>
        <v/>
      </c>
      <c r="R1454" s="24" t="b">
        <v>0</v>
      </c>
      <c r="S1454" s="7" t="str">
        <f t="shared" si="6"/>
        <v/>
      </c>
      <c r="T1454" s="7"/>
    </row>
    <row r="1455" ht="22.5" hidden="1" customHeight="1">
      <c r="B1455" s="7">
        <f t="shared" si="7"/>
        <v>1449</v>
      </c>
      <c r="C1455" s="40"/>
      <c r="D1455" s="19" t="str">
        <f t="array" ref="D1455">IFNA(_xlfn.XLOOKUP(C1455,Table_Tarikan_Warkah[Nomor Sertipikat],Table_Tarikan_Warkah[Nomor Tiket]),"")</f>
        <v/>
      </c>
      <c r="E1455" s="20" t="str">
        <f t="array" ref="E1455">IFNA(_xlfn.XLOOKUP(D1455,Table_Tarikan_Warkah[Nomor Tiket],Table_Tarikan_Warkah[Tanggal diserahkan kepada Validator]),"")</f>
        <v/>
      </c>
      <c r="F1455" s="20" t="str">
        <f t="array" ref="F1455">IFNA(_xlfn.XLOOKUP(D1455,Table_Tarikan_Warkah[Nomor Tiket],Table_Tarikan_Warkah[Nama Petugas Warkah]),"")</f>
        <v/>
      </c>
      <c r="G1455" s="21" t="str">
        <f t="array" ref="G1455">IFNA(_xlfn.XLOOKUP(D1455,Table_Tarikan_Warkah[Nomor Tiket],Table_Tarikan_Warkah[Jenis Permohonan]),"")</f>
        <v/>
      </c>
      <c r="H1455" s="26"/>
      <c r="I1455" s="26"/>
      <c r="J1455" s="20" t="str">
        <f t="shared" si="29"/>
        <v/>
      </c>
      <c r="K1455" s="26"/>
      <c r="L1455" s="26"/>
      <c r="M1455" s="20" t="str">
        <f t="shared" si="30"/>
        <v/>
      </c>
      <c r="N1455" s="8" t="str">
        <f t="shared" si="3"/>
        <v/>
      </c>
      <c r="O1455" s="21" t="str">
        <f t="shared" si="22"/>
        <v/>
      </c>
      <c r="P1455" s="24" t="b">
        <v>0</v>
      </c>
      <c r="Q1455" s="20" t="str">
        <f t="shared" si="31"/>
        <v/>
      </c>
      <c r="R1455" s="24" t="b">
        <v>0</v>
      </c>
      <c r="S1455" s="7" t="str">
        <f t="shared" si="6"/>
        <v/>
      </c>
      <c r="T1455" s="7"/>
    </row>
    <row r="1456" ht="22.5" hidden="1" customHeight="1">
      <c r="B1456" s="7">
        <f t="shared" si="7"/>
        <v>1450</v>
      </c>
      <c r="C1456" s="40"/>
      <c r="D1456" s="19" t="str">
        <f t="array" ref="D1456">IFNA(_xlfn.XLOOKUP(C1456,Table_Tarikan_Warkah[Nomor Sertipikat],Table_Tarikan_Warkah[Nomor Tiket]),"")</f>
        <v/>
      </c>
      <c r="E1456" s="20" t="str">
        <f t="array" ref="E1456">IFNA(_xlfn.XLOOKUP(D1456,Table_Tarikan_Warkah[Nomor Tiket],Table_Tarikan_Warkah[Tanggal diserahkan kepada Validator]),"")</f>
        <v/>
      </c>
      <c r="F1456" s="20" t="str">
        <f t="array" ref="F1456">IFNA(_xlfn.XLOOKUP(D1456,Table_Tarikan_Warkah[Nomor Tiket],Table_Tarikan_Warkah[Nama Petugas Warkah]),"")</f>
        <v/>
      </c>
      <c r="G1456" s="21" t="str">
        <f t="array" ref="G1456">IFNA(_xlfn.XLOOKUP(D1456,Table_Tarikan_Warkah[Nomor Tiket],Table_Tarikan_Warkah[Jenis Permohonan]),"")</f>
        <v/>
      </c>
      <c r="H1456" s="26"/>
      <c r="I1456" s="26"/>
      <c r="J1456" s="20" t="str">
        <f t="shared" si="29"/>
        <v/>
      </c>
      <c r="K1456" s="26"/>
      <c r="L1456" s="26"/>
      <c r="M1456" s="20" t="str">
        <f t="shared" si="30"/>
        <v/>
      </c>
      <c r="N1456" s="8" t="str">
        <f t="shared" si="3"/>
        <v/>
      </c>
      <c r="O1456" s="21" t="str">
        <f t="shared" si="22"/>
        <v/>
      </c>
      <c r="P1456" s="24" t="b">
        <v>0</v>
      </c>
      <c r="Q1456" s="20" t="str">
        <f t="shared" si="31"/>
        <v/>
      </c>
      <c r="R1456" s="24" t="b">
        <v>0</v>
      </c>
      <c r="S1456" s="7" t="str">
        <f t="shared" si="6"/>
        <v/>
      </c>
      <c r="T1456" s="7"/>
    </row>
    <row r="1457" ht="22.5" hidden="1" customHeight="1">
      <c r="B1457" s="7">
        <f t="shared" si="7"/>
        <v>1451</v>
      </c>
      <c r="C1457" s="40"/>
      <c r="D1457" s="19" t="str">
        <f t="array" ref="D1457">IFNA(_xlfn.XLOOKUP(C1457,Table_Tarikan_Warkah[Nomor Sertipikat],Table_Tarikan_Warkah[Nomor Tiket]),"")</f>
        <v/>
      </c>
      <c r="E1457" s="20" t="str">
        <f t="array" ref="E1457">IFNA(_xlfn.XLOOKUP(D1457,Table_Tarikan_Warkah[Nomor Tiket],Table_Tarikan_Warkah[Tanggal diserahkan kepada Validator]),"")</f>
        <v/>
      </c>
      <c r="F1457" s="20" t="str">
        <f t="array" ref="F1457">IFNA(_xlfn.XLOOKUP(D1457,Table_Tarikan_Warkah[Nomor Tiket],Table_Tarikan_Warkah[Nama Petugas Warkah]),"")</f>
        <v/>
      </c>
      <c r="G1457" s="21" t="str">
        <f t="array" ref="G1457">IFNA(_xlfn.XLOOKUP(D1457,Table_Tarikan_Warkah[Nomor Tiket],Table_Tarikan_Warkah[Jenis Permohonan]),"")</f>
        <v/>
      </c>
      <c r="H1457" s="26"/>
      <c r="I1457" s="26"/>
      <c r="J1457" s="20" t="str">
        <f t="shared" si="29"/>
        <v/>
      </c>
      <c r="K1457" s="26"/>
      <c r="L1457" s="26"/>
      <c r="M1457" s="20" t="str">
        <f t="shared" si="30"/>
        <v/>
      </c>
      <c r="N1457" s="8" t="str">
        <f t="shared" si="3"/>
        <v/>
      </c>
      <c r="O1457" s="21" t="str">
        <f t="shared" si="22"/>
        <v/>
      </c>
      <c r="P1457" s="24" t="b">
        <v>0</v>
      </c>
      <c r="Q1457" s="20" t="str">
        <f t="shared" si="31"/>
        <v/>
      </c>
      <c r="R1457" s="24" t="b">
        <v>0</v>
      </c>
      <c r="S1457" s="7" t="str">
        <f t="shared" si="6"/>
        <v/>
      </c>
      <c r="T1457" s="7"/>
    </row>
    <row r="1458" ht="22.5" hidden="1" customHeight="1">
      <c r="B1458" s="7">
        <f t="shared" si="7"/>
        <v>1452</v>
      </c>
      <c r="C1458" s="40"/>
      <c r="D1458" s="19" t="str">
        <f t="array" ref="D1458">IFNA(_xlfn.XLOOKUP(C1458,Table_Tarikan_Warkah[Nomor Sertipikat],Table_Tarikan_Warkah[Nomor Tiket]),"")</f>
        <v/>
      </c>
      <c r="E1458" s="20" t="str">
        <f t="array" ref="E1458">IFNA(_xlfn.XLOOKUP(D1458,Table_Tarikan_Warkah[Nomor Tiket],Table_Tarikan_Warkah[Tanggal diserahkan kepada Validator]),"")</f>
        <v/>
      </c>
      <c r="F1458" s="20" t="str">
        <f t="array" ref="F1458">IFNA(_xlfn.XLOOKUP(D1458,Table_Tarikan_Warkah[Nomor Tiket],Table_Tarikan_Warkah[Nama Petugas Warkah]),"")</f>
        <v/>
      </c>
      <c r="G1458" s="21" t="str">
        <f t="array" ref="G1458">IFNA(_xlfn.XLOOKUP(D1458,Table_Tarikan_Warkah[Nomor Tiket],Table_Tarikan_Warkah[Jenis Permohonan]),"")</f>
        <v/>
      </c>
      <c r="H1458" s="26"/>
      <c r="I1458" s="26"/>
      <c r="J1458" s="20" t="str">
        <f t="shared" si="29"/>
        <v/>
      </c>
      <c r="K1458" s="26"/>
      <c r="L1458" s="26"/>
      <c r="M1458" s="20" t="str">
        <f t="shared" si="30"/>
        <v/>
      </c>
      <c r="N1458" s="8" t="str">
        <f t="shared" si="3"/>
        <v/>
      </c>
      <c r="O1458" s="21" t="str">
        <f t="shared" si="22"/>
        <v/>
      </c>
      <c r="P1458" s="24" t="b">
        <v>0</v>
      </c>
      <c r="Q1458" s="20" t="str">
        <f t="shared" si="31"/>
        <v/>
      </c>
      <c r="R1458" s="24" t="b">
        <v>0</v>
      </c>
      <c r="S1458" s="7" t="str">
        <f t="shared" si="6"/>
        <v/>
      </c>
      <c r="T1458" s="7"/>
    </row>
    <row r="1459" ht="22.5" hidden="1" customHeight="1">
      <c r="B1459" s="7">
        <f t="shared" si="7"/>
        <v>1453</v>
      </c>
      <c r="C1459" s="40"/>
      <c r="D1459" s="19" t="str">
        <f t="array" ref="D1459">IFNA(_xlfn.XLOOKUP(C1459,Table_Tarikan_Warkah[Nomor Sertipikat],Table_Tarikan_Warkah[Nomor Tiket]),"")</f>
        <v/>
      </c>
      <c r="E1459" s="20" t="str">
        <f t="array" ref="E1459">IFNA(_xlfn.XLOOKUP(D1459,Table_Tarikan_Warkah[Nomor Tiket],Table_Tarikan_Warkah[Tanggal diserahkan kepada Validator]),"")</f>
        <v/>
      </c>
      <c r="F1459" s="20" t="str">
        <f t="array" ref="F1459">IFNA(_xlfn.XLOOKUP(D1459,Table_Tarikan_Warkah[Nomor Tiket],Table_Tarikan_Warkah[Nama Petugas Warkah]),"")</f>
        <v/>
      </c>
      <c r="G1459" s="21" t="str">
        <f t="array" ref="G1459">IFNA(_xlfn.XLOOKUP(D1459,Table_Tarikan_Warkah[Nomor Tiket],Table_Tarikan_Warkah[Jenis Permohonan]),"")</f>
        <v/>
      </c>
      <c r="H1459" s="26"/>
      <c r="I1459" s="26"/>
      <c r="J1459" s="20" t="str">
        <f t="shared" si="29"/>
        <v/>
      </c>
      <c r="K1459" s="26"/>
      <c r="L1459" s="26"/>
      <c r="M1459" s="20" t="str">
        <f t="shared" si="30"/>
        <v/>
      </c>
      <c r="N1459" s="8" t="str">
        <f t="shared" si="3"/>
        <v/>
      </c>
      <c r="O1459" s="21" t="str">
        <f t="shared" si="22"/>
        <v/>
      </c>
      <c r="P1459" s="24" t="b">
        <v>0</v>
      </c>
      <c r="Q1459" s="20" t="str">
        <f t="shared" si="31"/>
        <v/>
      </c>
      <c r="R1459" s="24" t="b">
        <v>0</v>
      </c>
      <c r="S1459" s="7" t="str">
        <f t="shared" si="6"/>
        <v/>
      </c>
      <c r="T1459" s="7"/>
    </row>
    <row r="1460" ht="22.5" hidden="1" customHeight="1">
      <c r="B1460" s="7">
        <f t="shared" si="7"/>
        <v>1454</v>
      </c>
      <c r="C1460" s="40"/>
      <c r="D1460" s="19" t="str">
        <f t="array" ref="D1460">IFNA(_xlfn.XLOOKUP(C1460,Table_Tarikan_Warkah[Nomor Sertipikat],Table_Tarikan_Warkah[Nomor Tiket]),"")</f>
        <v/>
      </c>
      <c r="E1460" s="20" t="str">
        <f t="array" ref="E1460">IFNA(_xlfn.XLOOKUP(D1460,Table_Tarikan_Warkah[Nomor Tiket],Table_Tarikan_Warkah[Tanggal diserahkan kepada Validator]),"")</f>
        <v/>
      </c>
      <c r="F1460" s="20" t="str">
        <f t="array" ref="F1460">IFNA(_xlfn.XLOOKUP(D1460,Table_Tarikan_Warkah[Nomor Tiket],Table_Tarikan_Warkah[Nama Petugas Warkah]),"")</f>
        <v/>
      </c>
      <c r="G1460" s="21" t="str">
        <f t="array" ref="G1460">IFNA(_xlfn.XLOOKUP(D1460,Table_Tarikan_Warkah[Nomor Tiket],Table_Tarikan_Warkah[Jenis Permohonan]),"")</f>
        <v/>
      </c>
      <c r="H1460" s="26"/>
      <c r="I1460" s="26"/>
      <c r="J1460" s="20" t="str">
        <f t="shared" si="29"/>
        <v/>
      </c>
      <c r="K1460" s="26"/>
      <c r="L1460" s="26"/>
      <c r="M1460" s="20" t="str">
        <f t="shared" si="30"/>
        <v/>
      </c>
      <c r="N1460" s="8" t="str">
        <f t="shared" si="3"/>
        <v/>
      </c>
      <c r="O1460" s="21" t="str">
        <f t="shared" si="22"/>
        <v/>
      </c>
      <c r="P1460" s="24" t="b">
        <v>0</v>
      </c>
      <c r="Q1460" s="20" t="str">
        <f t="shared" si="31"/>
        <v/>
      </c>
      <c r="R1460" s="24" t="b">
        <v>0</v>
      </c>
      <c r="S1460" s="7" t="str">
        <f t="shared" si="6"/>
        <v/>
      </c>
      <c r="T1460" s="7"/>
    </row>
    <row r="1461" ht="22.5" hidden="1" customHeight="1">
      <c r="B1461" s="7">
        <f t="shared" si="7"/>
        <v>1455</v>
      </c>
      <c r="C1461" s="40"/>
      <c r="D1461" s="19" t="str">
        <f t="array" ref="D1461">IFNA(_xlfn.XLOOKUP(C1461,Table_Tarikan_Warkah[Nomor Sertipikat],Table_Tarikan_Warkah[Nomor Tiket]),"")</f>
        <v/>
      </c>
      <c r="E1461" s="20" t="str">
        <f t="array" ref="E1461">IFNA(_xlfn.XLOOKUP(D1461,Table_Tarikan_Warkah[Nomor Tiket],Table_Tarikan_Warkah[Tanggal diserahkan kepada Validator]),"")</f>
        <v/>
      </c>
      <c r="F1461" s="20" t="str">
        <f t="array" ref="F1461">IFNA(_xlfn.XLOOKUP(D1461,Table_Tarikan_Warkah[Nomor Tiket],Table_Tarikan_Warkah[Nama Petugas Warkah]),"")</f>
        <v/>
      </c>
      <c r="G1461" s="21" t="str">
        <f t="array" ref="G1461">IFNA(_xlfn.XLOOKUP(D1461,Table_Tarikan_Warkah[Nomor Tiket],Table_Tarikan_Warkah[Jenis Permohonan]),"")</f>
        <v/>
      </c>
      <c r="H1461" s="26"/>
      <c r="I1461" s="26"/>
      <c r="J1461" s="20" t="str">
        <f t="shared" si="29"/>
        <v/>
      </c>
      <c r="K1461" s="26"/>
      <c r="L1461" s="26"/>
      <c r="M1461" s="20" t="str">
        <f t="shared" si="30"/>
        <v/>
      </c>
      <c r="N1461" s="8" t="str">
        <f t="shared" si="3"/>
        <v/>
      </c>
      <c r="O1461" s="21" t="str">
        <f t="shared" si="22"/>
        <v/>
      </c>
      <c r="P1461" s="24" t="b">
        <v>0</v>
      </c>
      <c r="Q1461" s="20" t="str">
        <f t="shared" si="31"/>
        <v/>
      </c>
      <c r="R1461" s="24" t="b">
        <v>0</v>
      </c>
      <c r="S1461" s="7" t="str">
        <f t="shared" si="6"/>
        <v/>
      </c>
      <c r="T1461" s="7"/>
    </row>
    <row r="1462" ht="22.5" hidden="1" customHeight="1">
      <c r="B1462" s="7">
        <f t="shared" si="7"/>
        <v>1456</v>
      </c>
      <c r="C1462" s="40"/>
      <c r="D1462" s="19" t="str">
        <f t="array" ref="D1462">IFNA(_xlfn.XLOOKUP(C1462,Table_Tarikan_Warkah[Nomor Sertipikat],Table_Tarikan_Warkah[Nomor Tiket]),"")</f>
        <v/>
      </c>
      <c r="E1462" s="20" t="str">
        <f t="array" ref="E1462">IFNA(_xlfn.XLOOKUP(D1462,Table_Tarikan_Warkah[Nomor Tiket],Table_Tarikan_Warkah[Tanggal diserahkan kepada Validator]),"")</f>
        <v/>
      </c>
      <c r="F1462" s="20" t="str">
        <f t="array" ref="F1462">IFNA(_xlfn.XLOOKUP(D1462,Table_Tarikan_Warkah[Nomor Tiket],Table_Tarikan_Warkah[Nama Petugas Warkah]),"")</f>
        <v/>
      </c>
      <c r="G1462" s="21" t="str">
        <f t="array" ref="G1462">IFNA(_xlfn.XLOOKUP(D1462,Table_Tarikan_Warkah[Nomor Tiket],Table_Tarikan_Warkah[Jenis Permohonan]),"")</f>
        <v/>
      </c>
      <c r="H1462" s="26"/>
      <c r="I1462" s="26"/>
      <c r="J1462" s="20" t="str">
        <f t="shared" si="29"/>
        <v/>
      </c>
      <c r="K1462" s="26"/>
      <c r="L1462" s="26"/>
      <c r="M1462" s="20" t="str">
        <f t="shared" si="30"/>
        <v/>
      </c>
      <c r="N1462" s="8" t="str">
        <f t="shared" si="3"/>
        <v/>
      </c>
      <c r="O1462" s="21" t="str">
        <f t="shared" si="22"/>
        <v/>
      </c>
      <c r="P1462" s="24" t="b">
        <v>0</v>
      </c>
      <c r="Q1462" s="20" t="str">
        <f t="shared" si="31"/>
        <v/>
      </c>
      <c r="R1462" s="24" t="b">
        <v>0</v>
      </c>
      <c r="S1462" s="7" t="str">
        <f t="shared" si="6"/>
        <v/>
      </c>
      <c r="T1462" s="7"/>
    </row>
    <row r="1463" ht="22.5" hidden="1" customHeight="1">
      <c r="B1463" s="7">
        <f t="shared" si="7"/>
        <v>1457</v>
      </c>
      <c r="C1463" s="40"/>
      <c r="D1463" s="19" t="str">
        <f t="array" ref="D1463">IFNA(_xlfn.XLOOKUP(C1463,Table_Tarikan_Warkah[Nomor Sertipikat],Table_Tarikan_Warkah[Nomor Tiket]),"")</f>
        <v/>
      </c>
      <c r="E1463" s="20" t="str">
        <f t="array" ref="E1463">IFNA(_xlfn.XLOOKUP(D1463,Table_Tarikan_Warkah[Nomor Tiket],Table_Tarikan_Warkah[Tanggal diserahkan kepada Validator]),"")</f>
        <v/>
      </c>
      <c r="F1463" s="20" t="str">
        <f t="array" ref="F1463">IFNA(_xlfn.XLOOKUP(D1463,Table_Tarikan_Warkah[Nomor Tiket],Table_Tarikan_Warkah[Nama Petugas Warkah]),"")</f>
        <v/>
      </c>
      <c r="G1463" s="21" t="str">
        <f t="array" ref="G1463">IFNA(_xlfn.XLOOKUP(D1463,Table_Tarikan_Warkah[Nomor Tiket],Table_Tarikan_Warkah[Jenis Permohonan]),"")</f>
        <v/>
      </c>
      <c r="H1463" s="26"/>
      <c r="I1463" s="26"/>
      <c r="J1463" s="20" t="str">
        <f t="shared" si="29"/>
        <v/>
      </c>
      <c r="K1463" s="26"/>
      <c r="L1463" s="26"/>
      <c r="M1463" s="20" t="str">
        <f t="shared" si="30"/>
        <v/>
      </c>
      <c r="N1463" s="8" t="str">
        <f t="shared" si="3"/>
        <v/>
      </c>
      <c r="O1463" s="21" t="str">
        <f t="shared" si="22"/>
        <v/>
      </c>
      <c r="P1463" s="24" t="b">
        <v>0</v>
      </c>
      <c r="Q1463" s="20" t="str">
        <f t="shared" si="31"/>
        <v/>
      </c>
      <c r="R1463" s="24" t="b">
        <v>0</v>
      </c>
      <c r="S1463" s="7" t="str">
        <f t="shared" si="6"/>
        <v/>
      </c>
      <c r="T1463" s="7"/>
    </row>
    <row r="1464" ht="22.5" hidden="1" customHeight="1">
      <c r="B1464" s="7">
        <f t="shared" si="7"/>
        <v>1458</v>
      </c>
      <c r="C1464" s="40"/>
      <c r="D1464" s="19" t="str">
        <f t="array" ref="D1464">IFNA(_xlfn.XLOOKUP(C1464,Table_Tarikan_Warkah[Nomor Sertipikat],Table_Tarikan_Warkah[Nomor Tiket]),"")</f>
        <v/>
      </c>
      <c r="E1464" s="20" t="str">
        <f t="array" ref="E1464">IFNA(_xlfn.XLOOKUP(D1464,Table_Tarikan_Warkah[Nomor Tiket],Table_Tarikan_Warkah[Tanggal diserahkan kepada Validator]),"")</f>
        <v/>
      </c>
      <c r="F1464" s="20" t="str">
        <f t="array" ref="F1464">IFNA(_xlfn.XLOOKUP(D1464,Table_Tarikan_Warkah[Nomor Tiket],Table_Tarikan_Warkah[Nama Petugas Warkah]),"")</f>
        <v/>
      </c>
      <c r="G1464" s="21" t="str">
        <f t="array" ref="G1464">IFNA(_xlfn.XLOOKUP(D1464,Table_Tarikan_Warkah[Nomor Tiket],Table_Tarikan_Warkah[Jenis Permohonan]),"")</f>
        <v/>
      </c>
      <c r="H1464" s="26"/>
      <c r="I1464" s="26"/>
      <c r="J1464" s="20" t="str">
        <f t="shared" si="29"/>
        <v/>
      </c>
      <c r="K1464" s="26"/>
      <c r="L1464" s="26"/>
      <c r="M1464" s="20" t="str">
        <f t="shared" si="30"/>
        <v/>
      </c>
      <c r="N1464" s="8" t="str">
        <f t="shared" si="3"/>
        <v/>
      </c>
      <c r="O1464" s="21" t="str">
        <f t="shared" si="22"/>
        <v/>
      </c>
      <c r="P1464" s="24" t="b">
        <v>0</v>
      </c>
      <c r="Q1464" s="20" t="str">
        <f t="shared" si="31"/>
        <v/>
      </c>
      <c r="R1464" s="24" t="b">
        <v>0</v>
      </c>
      <c r="S1464" s="7" t="str">
        <f t="shared" si="6"/>
        <v/>
      </c>
      <c r="T1464" s="7"/>
    </row>
    <row r="1465" ht="22.5" hidden="1" customHeight="1">
      <c r="B1465" s="7">
        <f t="shared" si="7"/>
        <v>1459</v>
      </c>
      <c r="C1465" s="40"/>
      <c r="D1465" s="19" t="str">
        <f t="array" ref="D1465">IFNA(_xlfn.XLOOKUP(C1465,Table_Tarikan_Warkah[Nomor Sertipikat],Table_Tarikan_Warkah[Nomor Tiket]),"")</f>
        <v/>
      </c>
      <c r="E1465" s="20" t="str">
        <f t="array" ref="E1465">IFNA(_xlfn.XLOOKUP(D1465,Table_Tarikan_Warkah[Nomor Tiket],Table_Tarikan_Warkah[Tanggal diserahkan kepada Validator]),"")</f>
        <v/>
      </c>
      <c r="F1465" s="20" t="str">
        <f t="array" ref="F1465">IFNA(_xlfn.XLOOKUP(D1465,Table_Tarikan_Warkah[Nomor Tiket],Table_Tarikan_Warkah[Nama Petugas Warkah]),"")</f>
        <v/>
      </c>
      <c r="G1465" s="21" t="str">
        <f t="array" ref="G1465">IFNA(_xlfn.XLOOKUP(D1465,Table_Tarikan_Warkah[Nomor Tiket],Table_Tarikan_Warkah[Jenis Permohonan]),"")</f>
        <v/>
      </c>
      <c r="H1465" s="26"/>
      <c r="I1465" s="26"/>
      <c r="J1465" s="20" t="str">
        <f t="shared" si="29"/>
        <v/>
      </c>
      <c r="K1465" s="26"/>
      <c r="L1465" s="26"/>
      <c r="M1465" s="20" t="str">
        <f t="shared" si="30"/>
        <v/>
      </c>
      <c r="N1465" s="8" t="str">
        <f t="shared" si="3"/>
        <v/>
      </c>
      <c r="O1465" s="21" t="str">
        <f t="shared" si="22"/>
        <v/>
      </c>
      <c r="P1465" s="24" t="b">
        <v>0</v>
      </c>
      <c r="Q1465" s="20" t="str">
        <f t="shared" si="31"/>
        <v/>
      </c>
      <c r="R1465" s="24" t="b">
        <v>0</v>
      </c>
      <c r="S1465" s="7" t="str">
        <f t="shared" si="6"/>
        <v/>
      </c>
      <c r="T1465" s="7"/>
    </row>
    <row r="1466" ht="22.5" hidden="1" customHeight="1">
      <c r="B1466" s="7">
        <f t="shared" si="7"/>
        <v>1460</v>
      </c>
      <c r="C1466" s="40"/>
      <c r="D1466" s="19" t="str">
        <f t="array" ref="D1466">IFNA(_xlfn.XLOOKUP(C1466,Table_Tarikan_Warkah[Nomor Sertipikat],Table_Tarikan_Warkah[Nomor Tiket]),"")</f>
        <v/>
      </c>
      <c r="E1466" s="20" t="str">
        <f t="array" ref="E1466">IFNA(_xlfn.XLOOKUP(D1466,Table_Tarikan_Warkah[Nomor Tiket],Table_Tarikan_Warkah[Tanggal diserahkan kepada Validator]),"")</f>
        <v/>
      </c>
      <c r="F1466" s="20" t="str">
        <f t="array" ref="F1466">IFNA(_xlfn.XLOOKUP(D1466,Table_Tarikan_Warkah[Nomor Tiket],Table_Tarikan_Warkah[Nama Petugas Warkah]),"")</f>
        <v/>
      </c>
      <c r="G1466" s="21" t="str">
        <f t="array" ref="G1466">IFNA(_xlfn.XLOOKUP(D1466,Table_Tarikan_Warkah[Nomor Tiket],Table_Tarikan_Warkah[Jenis Permohonan]),"")</f>
        <v/>
      </c>
      <c r="H1466" s="26"/>
      <c r="I1466" s="26"/>
      <c r="J1466" s="20" t="str">
        <f t="shared" si="29"/>
        <v/>
      </c>
      <c r="K1466" s="26"/>
      <c r="L1466" s="26"/>
      <c r="M1466" s="20" t="str">
        <f t="shared" si="30"/>
        <v/>
      </c>
      <c r="N1466" s="8" t="str">
        <f t="shared" si="3"/>
        <v/>
      </c>
      <c r="O1466" s="21" t="str">
        <f t="shared" si="22"/>
        <v/>
      </c>
      <c r="P1466" s="24" t="b">
        <v>0</v>
      </c>
      <c r="Q1466" s="20" t="str">
        <f t="shared" si="31"/>
        <v/>
      </c>
      <c r="R1466" s="24" t="b">
        <v>0</v>
      </c>
      <c r="S1466" s="7" t="str">
        <f t="shared" si="6"/>
        <v/>
      </c>
      <c r="T1466" s="7"/>
    </row>
    <row r="1467" ht="22.5" hidden="1" customHeight="1">
      <c r="B1467" s="7">
        <f t="shared" si="7"/>
        <v>1461</v>
      </c>
      <c r="C1467" s="40"/>
      <c r="D1467" s="19" t="str">
        <f t="array" ref="D1467">IFNA(_xlfn.XLOOKUP(C1467,Table_Tarikan_Warkah[Nomor Sertipikat],Table_Tarikan_Warkah[Nomor Tiket]),"")</f>
        <v/>
      </c>
      <c r="E1467" s="20" t="str">
        <f t="array" ref="E1467">IFNA(_xlfn.XLOOKUP(D1467,Table_Tarikan_Warkah[Nomor Tiket],Table_Tarikan_Warkah[Tanggal diserahkan kepada Validator]),"")</f>
        <v/>
      </c>
      <c r="F1467" s="20" t="str">
        <f t="array" ref="F1467">IFNA(_xlfn.XLOOKUP(D1467,Table_Tarikan_Warkah[Nomor Tiket],Table_Tarikan_Warkah[Nama Petugas Warkah]),"")</f>
        <v/>
      </c>
      <c r="G1467" s="21" t="str">
        <f t="array" ref="G1467">IFNA(_xlfn.XLOOKUP(D1467,Table_Tarikan_Warkah[Nomor Tiket],Table_Tarikan_Warkah[Jenis Permohonan]),"")</f>
        <v/>
      </c>
      <c r="H1467" s="26"/>
      <c r="I1467" s="26"/>
      <c r="J1467" s="20" t="str">
        <f t="shared" si="29"/>
        <v/>
      </c>
      <c r="K1467" s="26"/>
      <c r="L1467" s="26"/>
      <c r="M1467" s="20" t="str">
        <f t="shared" si="30"/>
        <v/>
      </c>
      <c r="N1467" s="8" t="str">
        <f t="shared" si="3"/>
        <v/>
      </c>
      <c r="O1467" s="21" t="str">
        <f t="shared" si="22"/>
        <v/>
      </c>
      <c r="P1467" s="24" t="b">
        <v>0</v>
      </c>
      <c r="Q1467" s="20" t="str">
        <f t="shared" si="31"/>
        <v/>
      </c>
      <c r="R1467" s="24" t="b">
        <v>0</v>
      </c>
      <c r="S1467" s="7" t="str">
        <f t="shared" si="6"/>
        <v/>
      </c>
      <c r="T1467" s="7"/>
    </row>
    <row r="1468" ht="22.5" hidden="1" customHeight="1">
      <c r="B1468" s="7">
        <f t="shared" si="7"/>
        <v>1462</v>
      </c>
      <c r="C1468" s="40"/>
      <c r="D1468" s="19" t="str">
        <f t="array" ref="D1468">IFNA(_xlfn.XLOOKUP(C1468,Table_Tarikan_Warkah[Nomor Sertipikat],Table_Tarikan_Warkah[Nomor Tiket]),"")</f>
        <v/>
      </c>
      <c r="E1468" s="20" t="str">
        <f t="array" ref="E1468">IFNA(_xlfn.XLOOKUP(D1468,Table_Tarikan_Warkah[Nomor Tiket],Table_Tarikan_Warkah[Tanggal diserahkan kepada Validator]),"")</f>
        <v/>
      </c>
      <c r="F1468" s="20" t="str">
        <f t="array" ref="F1468">IFNA(_xlfn.XLOOKUP(D1468,Table_Tarikan_Warkah[Nomor Tiket],Table_Tarikan_Warkah[Nama Petugas Warkah]),"")</f>
        <v/>
      </c>
      <c r="G1468" s="21" t="str">
        <f t="array" ref="G1468">IFNA(_xlfn.XLOOKUP(D1468,Table_Tarikan_Warkah[Nomor Tiket],Table_Tarikan_Warkah[Jenis Permohonan]),"")</f>
        <v/>
      </c>
      <c r="H1468" s="26"/>
      <c r="I1468" s="26"/>
      <c r="J1468" s="20" t="str">
        <f t="shared" si="29"/>
        <v/>
      </c>
      <c r="K1468" s="26"/>
      <c r="L1468" s="26"/>
      <c r="M1468" s="20" t="str">
        <f t="shared" si="30"/>
        <v/>
      </c>
      <c r="N1468" s="8" t="str">
        <f t="shared" si="3"/>
        <v/>
      </c>
      <c r="O1468" s="21" t="str">
        <f t="shared" si="22"/>
        <v/>
      </c>
      <c r="P1468" s="24" t="b">
        <v>0</v>
      </c>
      <c r="Q1468" s="20" t="str">
        <f t="shared" si="31"/>
        <v/>
      </c>
      <c r="R1468" s="24" t="b">
        <v>0</v>
      </c>
      <c r="S1468" s="7" t="str">
        <f t="shared" si="6"/>
        <v/>
      </c>
      <c r="T1468" s="7"/>
    </row>
    <row r="1469" ht="22.5" hidden="1" customHeight="1">
      <c r="B1469" s="7">
        <f t="shared" si="7"/>
        <v>1463</v>
      </c>
      <c r="C1469" s="40"/>
      <c r="D1469" s="19" t="str">
        <f t="array" ref="D1469">IFNA(_xlfn.XLOOKUP(C1469,Table_Tarikan_Warkah[Nomor Sertipikat],Table_Tarikan_Warkah[Nomor Tiket]),"")</f>
        <v/>
      </c>
      <c r="E1469" s="20" t="str">
        <f t="array" ref="E1469">IFNA(_xlfn.XLOOKUP(D1469,Table_Tarikan_Warkah[Nomor Tiket],Table_Tarikan_Warkah[Tanggal diserahkan kepada Validator]),"")</f>
        <v/>
      </c>
      <c r="F1469" s="20" t="str">
        <f t="array" ref="F1469">IFNA(_xlfn.XLOOKUP(D1469,Table_Tarikan_Warkah[Nomor Tiket],Table_Tarikan_Warkah[Nama Petugas Warkah]),"")</f>
        <v/>
      </c>
      <c r="G1469" s="21" t="str">
        <f t="array" ref="G1469">IFNA(_xlfn.XLOOKUP(D1469,Table_Tarikan_Warkah[Nomor Tiket],Table_Tarikan_Warkah[Jenis Permohonan]),"")</f>
        <v/>
      </c>
      <c r="H1469" s="26"/>
      <c r="I1469" s="26"/>
      <c r="J1469" s="20" t="str">
        <f t="shared" si="29"/>
        <v/>
      </c>
      <c r="K1469" s="26"/>
      <c r="L1469" s="26"/>
      <c r="M1469" s="20" t="str">
        <f t="shared" si="30"/>
        <v/>
      </c>
      <c r="N1469" s="8" t="str">
        <f t="shared" si="3"/>
        <v/>
      </c>
      <c r="O1469" s="21" t="str">
        <f t="shared" si="22"/>
        <v/>
      </c>
      <c r="P1469" s="24" t="b">
        <v>0</v>
      </c>
      <c r="Q1469" s="20" t="str">
        <f t="shared" si="31"/>
        <v/>
      </c>
      <c r="R1469" s="24" t="b">
        <v>0</v>
      </c>
      <c r="S1469" s="7" t="str">
        <f t="shared" si="6"/>
        <v/>
      </c>
      <c r="T1469" s="7"/>
    </row>
    <row r="1470" ht="22.5" hidden="1" customHeight="1">
      <c r="B1470" s="7">
        <f t="shared" si="7"/>
        <v>1464</v>
      </c>
      <c r="C1470" s="40"/>
      <c r="D1470" s="19" t="str">
        <f t="array" ref="D1470">IFNA(_xlfn.XLOOKUP(C1470,Table_Tarikan_Warkah[Nomor Sertipikat],Table_Tarikan_Warkah[Nomor Tiket]),"")</f>
        <v/>
      </c>
      <c r="E1470" s="20" t="str">
        <f t="array" ref="E1470">IFNA(_xlfn.XLOOKUP(D1470,Table_Tarikan_Warkah[Nomor Tiket],Table_Tarikan_Warkah[Tanggal diserahkan kepada Validator]),"")</f>
        <v/>
      </c>
      <c r="F1470" s="20" t="str">
        <f t="array" ref="F1470">IFNA(_xlfn.XLOOKUP(D1470,Table_Tarikan_Warkah[Nomor Tiket],Table_Tarikan_Warkah[Nama Petugas Warkah]),"")</f>
        <v/>
      </c>
      <c r="G1470" s="21" t="str">
        <f t="array" ref="G1470">IFNA(_xlfn.XLOOKUP(D1470,Table_Tarikan_Warkah[Nomor Tiket],Table_Tarikan_Warkah[Jenis Permohonan]),"")</f>
        <v/>
      </c>
      <c r="H1470" s="26"/>
      <c r="I1470" s="26"/>
      <c r="J1470" s="20" t="str">
        <f t="shared" si="29"/>
        <v/>
      </c>
      <c r="K1470" s="26"/>
      <c r="L1470" s="26"/>
      <c r="M1470" s="20" t="str">
        <f t="shared" si="30"/>
        <v/>
      </c>
      <c r="N1470" s="8" t="str">
        <f t="shared" si="3"/>
        <v/>
      </c>
      <c r="O1470" s="21" t="str">
        <f t="shared" si="22"/>
        <v/>
      </c>
      <c r="P1470" s="24" t="b">
        <v>0</v>
      </c>
      <c r="Q1470" s="20" t="str">
        <f t="shared" si="31"/>
        <v/>
      </c>
      <c r="R1470" s="24" t="b">
        <v>0</v>
      </c>
      <c r="S1470" s="7" t="str">
        <f t="shared" si="6"/>
        <v/>
      </c>
      <c r="T1470" s="7"/>
    </row>
    <row r="1471" ht="22.5" hidden="1" customHeight="1">
      <c r="B1471" s="7">
        <f t="shared" si="7"/>
        <v>1465</v>
      </c>
      <c r="C1471" s="40"/>
      <c r="D1471" s="19" t="str">
        <f t="array" ref="D1471">IFNA(_xlfn.XLOOKUP(C1471,Table_Tarikan_Warkah[Nomor Sertipikat],Table_Tarikan_Warkah[Nomor Tiket]),"")</f>
        <v/>
      </c>
      <c r="E1471" s="20" t="str">
        <f t="array" ref="E1471">IFNA(_xlfn.XLOOKUP(D1471,Table_Tarikan_Warkah[Nomor Tiket],Table_Tarikan_Warkah[Tanggal diserahkan kepada Validator]),"")</f>
        <v/>
      </c>
      <c r="F1471" s="20" t="str">
        <f t="array" ref="F1471">IFNA(_xlfn.XLOOKUP(D1471,Table_Tarikan_Warkah[Nomor Tiket],Table_Tarikan_Warkah[Nama Petugas Warkah]),"")</f>
        <v/>
      </c>
      <c r="G1471" s="21" t="str">
        <f t="array" ref="G1471">IFNA(_xlfn.XLOOKUP(D1471,Table_Tarikan_Warkah[Nomor Tiket],Table_Tarikan_Warkah[Jenis Permohonan]),"")</f>
        <v/>
      </c>
      <c r="H1471" s="26"/>
      <c r="I1471" s="26"/>
      <c r="J1471" s="20" t="str">
        <f t="shared" si="29"/>
        <v/>
      </c>
      <c r="K1471" s="26"/>
      <c r="L1471" s="26"/>
      <c r="M1471" s="20" t="str">
        <f t="shared" si="30"/>
        <v/>
      </c>
      <c r="N1471" s="8" t="str">
        <f t="shared" si="3"/>
        <v/>
      </c>
      <c r="O1471" s="21" t="str">
        <f t="shared" si="22"/>
        <v/>
      </c>
      <c r="P1471" s="24" t="b">
        <v>0</v>
      </c>
      <c r="Q1471" s="20" t="str">
        <f t="shared" si="31"/>
        <v/>
      </c>
      <c r="R1471" s="24" t="b">
        <v>0</v>
      </c>
      <c r="S1471" s="7" t="str">
        <f t="shared" si="6"/>
        <v/>
      </c>
      <c r="T1471" s="7"/>
    </row>
    <row r="1472" ht="22.5" hidden="1" customHeight="1">
      <c r="B1472" s="7">
        <f t="shared" si="7"/>
        <v>1466</v>
      </c>
      <c r="C1472" s="40"/>
      <c r="D1472" s="19" t="str">
        <f t="array" ref="D1472">IFNA(_xlfn.XLOOKUP(C1472,Table_Tarikan_Warkah[Nomor Sertipikat],Table_Tarikan_Warkah[Nomor Tiket]),"")</f>
        <v/>
      </c>
      <c r="E1472" s="20" t="str">
        <f t="array" ref="E1472">IFNA(_xlfn.XLOOKUP(D1472,Table_Tarikan_Warkah[Nomor Tiket],Table_Tarikan_Warkah[Tanggal diserahkan kepada Validator]),"")</f>
        <v/>
      </c>
      <c r="F1472" s="20" t="str">
        <f t="array" ref="F1472">IFNA(_xlfn.XLOOKUP(D1472,Table_Tarikan_Warkah[Nomor Tiket],Table_Tarikan_Warkah[Nama Petugas Warkah]),"")</f>
        <v/>
      </c>
      <c r="G1472" s="21" t="str">
        <f t="array" ref="G1472">IFNA(_xlfn.XLOOKUP(D1472,Table_Tarikan_Warkah[Nomor Tiket],Table_Tarikan_Warkah[Jenis Permohonan]),"")</f>
        <v/>
      </c>
      <c r="H1472" s="26"/>
      <c r="I1472" s="26"/>
      <c r="J1472" s="20" t="str">
        <f t="shared" si="29"/>
        <v/>
      </c>
      <c r="K1472" s="26"/>
      <c r="L1472" s="26"/>
      <c r="M1472" s="20" t="str">
        <f t="shared" si="30"/>
        <v/>
      </c>
      <c r="N1472" s="8" t="str">
        <f t="shared" si="3"/>
        <v/>
      </c>
      <c r="O1472" s="21" t="str">
        <f t="shared" si="22"/>
        <v/>
      </c>
      <c r="P1472" s="24" t="b">
        <v>0</v>
      </c>
      <c r="Q1472" s="20" t="str">
        <f t="shared" si="31"/>
        <v/>
      </c>
      <c r="R1472" s="24" t="b">
        <v>0</v>
      </c>
      <c r="S1472" s="7" t="str">
        <f t="shared" si="6"/>
        <v/>
      </c>
      <c r="T1472" s="7"/>
    </row>
    <row r="1473" ht="22.5" hidden="1" customHeight="1">
      <c r="B1473" s="7">
        <f t="shared" si="7"/>
        <v>1467</v>
      </c>
      <c r="C1473" s="40"/>
      <c r="D1473" s="19" t="str">
        <f t="array" ref="D1473">IFNA(_xlfn.XLOOKUP(C1473,Table_Tarikan_Warkah[Nomor Sertipikat],Table_Tarikan_Warkah[Nomor Tiket]),"")</f>
        <v/>
      </c>
      <c r="E1473" s="20" t="str">
        <f t="array" ref="E1473">IFNA(_xlfn.XLOOKUP(D1473,Table_Tarikan_Warkah[Nomor Tiket],Table_Tarikan_Warkah[Tanggal diserahkan kepada Validator]),"")</f>
        <v/>
      </c>
      <c r="F1473" s="20" t="str">
        <f t="array" ref="F1473">IFNA(_xlfn.XLOOKUP(D1473,Table_Tarikan_Warkah[Nomor Tiket],Table_Tarikan_Warkah[Nama Petugas Warkah]),"")</f>
        <v/>
      </c>
      <c r="G1473" s="21" t="str">
        <f t="array" ref="G1473">IFNA(_xlfn.XLOOKUP(D1473,Table_Tarikan_Warkah[Nomor Tiket],Table_Tarikan_Warkah[Jenis Permohonan]),"")</f>
        <v/>
      </c>
      <c r="H1473" s="26"/>
      <c r="I1473" s="26"/>
      <c r="J1473" s="20" t="str">
        <f t="shared" si="29"/>
        <v/>
      </c>
      <c r="K1473" s="26"/>
      <c r="L1473" s="26"/>
      <c r="M1473" s="20" t="str">
        <f t="shared" si="30"/>
        <v/>
      </c>
      <c r="N1473" s="8" t="str">
        <f t="shared" si="3"/>
        <v/>
      </c>
      <c r="O1473" s="21" t="str">
        <f t="shared" si="22"/>
        <v/>
      </c>
      <c r="P1473" s="24" t="b">
        <v>0</v>
      </c>
      <c r="Q1473" s="20" t="str">
        <f t="shared" si="31"/>
        <v/>
      </c>
      <c r="R1473" s="24" t="b">
        <v>0</v>
      </c>
      <c r="S1473" s="7" t="str">
        <f t="shared" si="6"/>
        <v/>
      </c>
      <c r="T1473" s="7"/>
    </row>
    <row r="1474" ht="22.5" hidden="1" customHeight="1">
      <c r="B1474" s="7">
        <f t="shared" si="7"/>
        <v>1468</v>
      </c>
      <c r="C1474" s="40"/>
      <c r="D1474" s="19" t="str">
        <f t="array" ref="D1474">IFNA(_xlfn.XLOOKUP(C1474,Table_Tarikan_Warkah[Nomor Sertipikat],Table_Tarikan_Warkah[Nomor Tiket]),"")</f>
        <v/>
      </c>
      <c r="E1474" s="20" t="str">
        <f t="array" ref="E1474">IFNA(_xlfn.XLOOKUP(D1474,Table_Tarikan_Warkah[Nomor Tiket],Table_Tarikan_Warkah[Tanggal diserahkan kepada Validator]),"")</f>
        <v/>
      </c>
      <c r="F1474" s="20" t="str">
        <f t="array" ref="F1474">IFNA(_xlfn.XLOOKUP(D1474,Table_Tarikan_Warkah[Nomor Tiket],Table_Tarikan_Warkah[Nama Petugas Warkah]),"")</f>
        <v/>
      </c>
      <c r="G1474" s="21" t="str">
        <f t="array" ref="G1474">IFNA(_xlfn.XLOOKUP(D1474,Table_Tarikan_Warkah[Nomor Tiket],Table_Tarikan_Warkah[Jenis Permohonan]),"")</f>
        <v/>
      </c>
      <c r="H1474" s="26"/>
      <c r="I1474" s="26"/>
      <c r="J1474" s="20" t="str">
        <f t="shared" si="29"/>
        <v/>
      </c>
      <c r="K1474" s="26"/>
      <c r="L1474" s="26"/>
      <c r="M1474" s="20" t="str">
        <f t="shared" si="30"/>
        <v/>
      </c>
      <c r="N1474" s="8" t="str">
        <f t="shared" si="3"/>
        <v/>
      </c>
      <c r="O1474" s="21" t="str">
        <f t="shared" si="22"/>
        <v/>
      </c>
      <c r="P1474" s="24" t="b">
        <v>0</v>
      </c>
      <c r="Q1474" s="20" t="str">
        <f t="shared" si="31"/>
        <v/>
      </c>
      <c r="R1474" s="24" t="b">
        <v>0</v>
      </c>
      <c r="S1474" s="7" t="str">
        <f t="shared" si="6"/>
        <v/>
      </c>
      <c r="T1474" s="7"/>
    </row>
    <row r="1475" ht="22.5" hidden="1" customHeight="1">
      <c r="B1475" s="7">
        <f t="shared" si="7"/>
        <v>1469</v>
      </c>
      <c r="C1475" s="40"/>
      <c r="D1475" s="19" t="str">
        <f t="array" ref="D1475">IFNA(_xlfn.XLOOKUP(C1475,Table_Tarikan_Warkah[Nomor Sertipikat],Table_Tarikan_Warkah[Nomor Tiket]),"")</f>
        <v/>
      </c>
      <c r="E1475" s="20" t="str">
        <f t="array" ref="E1475">IFNA(_xlfn.XLOOKUP(D1475,Table_Tarikan_Warkah[Nomor Tiket],Table_Tarikan_Warkah[Tanggal diserahkan kepada Validator]),"")</f>
        <v/>
      </c>
      <c r="F1475" s="20" t="str">
        <f t="array" ref="F1475">IFNA(_xlfn.XLOOKUP(D1475,Table_Tarikan_Warkah[Nomor Tiket],Table_Tarikan_Warkah[Nama Petugas Warkah]),"")</f>
        <v/>
      </c>
      <c r="G1475" s="21" t="str">
        <f t="array" ref="G1475">IFNA(_xlfn.XLOOKUP(D1475,Table_Tarikan_Warkah[Nomor Tiket],Table_Tarikan_Warkah[Jenis Permohonan]),"")</f>
        <v/>
      </c>
      <c r="H1475" s="26"/>
      <c r="I1475" s="26"/>
      <c r="J1475" s="20" t="str">
        <f t="shared" si="29"/>
        <v/>
      </c>
      <c r="K1475" s="26"/>
      <c r="L1475" s="26"/>
      <c r="M1475" s="20" t="str">
        <f t="shared" si="30"/>
        <v/>
      </c>
      <c r="N1475" s="8" t="str">
        <f t="shared" si="3"/>
        <v/>
      </c>
      <c r="O1475" s="21" t="str">
        <f t="shared" si="22"/>
        <v/>
      </c>
      <c r="P1475" s="24" t="b">
        <v>0</v>
      </c>
      <c r="Q1475" s="20" t="str">
        <f t="shared" si="31"/>
        <v/>
      </c>
      <c r="R1475" s="24" t="b">
        <v>0</v>
      </c>
      <c r="S1475" s="7" t="str">
        <f t="shared" si="6"/>
        <v/>
      </c>
      <c r="T1475" s="7"/>
    </row>
    <row r="1476" ht="22.5" hidden="1" customHeight="1">
      <c r="B1476" s="7">
        <f t="shared" si="7"/>
        <v>1470</v>
      </c>
      <c r="C1476" s="40"/>
      <c r="D1476" s="19" t="str">
        <f t="array" ref="D1476">IFNA(_xlfn.XLOOKUP(C1476,Table_Tarikan_Warkah[Nomor Sertipikat],Table_Tarikan_Warkah[Nomor Tiket]),"")</f>
        <v/>
      </c>
      <c r="E1476" s="20" t="str">
        <f t="array" ref="E1476">IFNA(_xlfn.XLOOKUP(D1476,Table_Tarikan_Warkah[Nomor Tiket],Table_Tarikan_Warkah[Tanggal diserahkan kepada Validator]),"")</f>
        <v/>
      </c>
      <c r="F1476" s="20" t="str">
        <f t="array" ref="F1476">IFNA(_xlfn.XLOOKUP(D1476,Table_Tarikan_Warkah[Nomor Tiket],Table_Tarikan_Warkah[Nama Petugas Warkah]),"")</f>
        <v/>
      </c>
      <c r="G1476" s="21" t="str">
        <f t="array" ref="G1476">IFNA(_xlfn.XLOOKUP(D1476,Table_Tarikan_Warkah[Nomor Tiket],Table_Tarikan_Warkah[Jenis Permohonan]),"")</f>
        <v/>
      </c>
      <c r="H1476" s="26"/>
      <c r="I1476" s="26"/>
      <c r="J1476" s="20" t="str">
        <f t="shared" si="29"/>
        <v/>
      </c>
      <c r="K1476" s="26"/>
      <c r="L1476" s="26"/>
      <c r="M1476" s="20" t="str">
        <f t="shared" si="30"/>
        <v/>
      </c>
      <c r="N1476" s="8" t="str">
        <f t="shared" si="3"/>
        <v/>
      </c>
      <c r="O1476" s="21" t="str">
        <f t="shared" si="22"/>
        <v/>
      </c>
      <c r="P1476" s="24" t="b">
        <v>0</v>
      </c>
      <c r="Q1476" s="20" t="str">
        <f t="shared" si="31"/>
        <v/>
      </c>
      <c r="R1476" s="24" t="b">
        <v>0</v>
      </c>
      <c r="S1476" s="7" t="str">
        <f t="shared" si="6"/>
        <v/>
      </c>
      <c r="T1476" s="7"/>
    </row>
    <row r="1477" ht="22.5" hidden="1" customHeight="1">
      <c r="B1477" s="7">
        <f t="shared" si="7"/>
        <v>1471</v>
      </c>
      <c r="C1477" s="40"/>
      <c r="D1477" s="19" t="str">
        <f t="array" ref="D1477">IFNA(_xlfn.XLOOKUP(C1477,Table_Tarikan_Warkah[Nomor Sertipikat],Table_Tarikan_Warkah[Nomor Tiket]),"")</f>
        <v/>
      </c>
      <c r="E1477" s="20" t="str">
        <f t="array" ref="E1477">IFNA(_xlfn.XLOOKUP(D1477,Table_Tarikan_Warkah[Nomor Tiket],Table_Tarikan_Warkah[Tanggal diserahkan kepada Validator]),"")</f>
        <v/>
      </c>
      <c r="F1477" s="20" t="str">
        <f t="array" ref="F1477">IFNA(_xlfn.XLOOKUP(D1477,Table_Tarikan_Warkah[Nomor Tiket],Table_Tarikan_Warkah[Nama Petugas Warkah]),"")</f>
        <v/>
      </c>
      <c r="G1477" s="21" t="str">
        <f t="array" ref="G1477">IFNA(_xlfn.XLOOKUP(D1477,Table_Tarikan_Warkah[Nomor Tiket],Table_Tarikan_Warkah[Jenis Permohonan]),"")</f>
        <v/>
      </c>
      <c r="H1477" s="26"/>
      <c r="I1477" s="26"/>
      <c r="J1477" s="20" t="str">
        <f t="shared" si="29"/>
        <v/>
      </c>
      <c r="K1477" s="26"/>
      <c r="L1477" s="26"/>
      <c r="M1477" s="20" t="str">
        <f t="shared" si="30"/>
        <v/>
      </c>
      <c r="N1477" s="8" t="str">
        <f t="shared" si="3"/>
        <v/>
      </c>
      <c r="O1477" s="21" t="str">
        <f t="shared" si="22"/>
        <v/>
      </c>
      <c r="P1477" s="24" t="b">
        <v>0</v>
      </c>
      <c r="Q1477" s="20" t="str">
        <f t="shared" si="31"/>
        <v/>
      </c>
      <c r="R1477" s="24" t="b">
        <v>0</v>
      </c>
      <c r="S1477" s="7" t="str">
        <f t="shared" si="6"/>
        <v/>
      </c>
      <c r="T1477" s="7"/>
    </row>
    <row r="1478" ht="22.5" hidden="1" customHeight="1">
      <c r="B1478" s="7">
        <f t="shared" si="7"/>
        <v>1472</v>
      </c>
      <c r="C1478" s="40"/>
      <c r="D1478" s="19" t="str">
        <f t="array" ref="D1478">IFNA(_xlfn.XLOOKUP(C1478,Table_Tarikan_Warkah[Nomor Sertipikat],Table_Tarikan_Warkah[Nomor Tiket]),"")</f>
        <v/>
      </c>
      <c r="E1478" s="20" t="str">
        <f t="array" ref="E1478">IFNA(_xlfn.XLOOKUP(D1478,Table_Tarikan_Warkah[Nomor Tiket],Table_Tarikan_Warkah[Tanggal diserahkan kepada Validator]),"")</f>
        <v/>
      </c>
      <c r="F1478" s="20" t="str">
        <f t="array" ref="F1478">IFNA(_xlfn.XLOOKUP(D1478,Table_Tarikan_Warkah[Nomor Tiket],Table_Tarikan_Warkah[Nama Petugas Warkah]),"")</f>
        <v/>
      </c>
      <c r="G1478" s="21" t="str">
        <f t="array" ref="G1478">IFNA(_xlfn.XLOOKUP(D1478,Table_Tarikan_Warkah[Nomor Tiket],Table_Tarikan_Warkah[Jenis Permohonan]),"")</f>
        <v/>
      </c>
      <c r="H1478" s="26"/>
      <c r="I1478" s="26"/>
      <c r="J1478" s="20" t="str">
        <f t="shared" si="29"/>
        <v/>
      </c>
      <c r="K1478" s="26"/>
      <c r="L1478" s="26"/>
      <c r="M1478" s="20" t="str">
        <f t="shared" si="30"/>
        <v/>
      </c>
      <c r="N1478" s="8" t="str">
        <f t="shared" si="3"/>
        <v/>
      </c>
      <c r="O1478" s="21" t="str">
        <f t="shared" si="22"/>
        <v/>
      </c>
      <c r="P1478" s="24" t="b">
        <v>0</v>
      </c>
      <c r="Q1478" s="20" t="str">
        <f t="shared" si="31"/>
        <v/>
      </c>
      <c r="R1478" s="24" t="b">
        <v>0</v>
      </c>
      <c r="S1478" s="7" t="str">
        <f t="shared" si="6"/>
        <v/>
      </c>
      <c r="T1478" s="7"/>
    </row>
    <row r="1479" ht="22.5" hidden="1" customHeight="1">
      <c r="B1479" s="7">
        <f t="shared" si="7"/>
        <v>1473</v>
      </c>
      <c r="C1479" s="40"/>
      <c r="D1479" s="19" t="str">
        <f t="array" ref="D1479">IFNA(_xlfn.XLOOKUP(C1479,Table_Tarikan_Warkah[Nomor Sertipikat],Table_Tarikan_Warkah[Nomor Tiket]),"")</f>
        <v/>
      </c>
      <c r="E1479" s="20" t="str">
        <f t="array" ref="E1479">IFNA(_xlfn.XLOOKUP(D1479,Table_Tarikan_Warkah[Nomor Tiket],Table_Tarikan_Warkah[Tanggal diserahkan kepada Validator]),"")</f>
        <v/>
      </c>
      <c r="F1479" s="20" t="str">
        <f t="array" ref="F1479">IFNA(_xlfn.XLOOKUP(D1479,Table_Tarikan_Warkah[Nomor Tiket],Table_Tarikan_Warkah[Nama Petugas Warkah]),"")</f>
        <v/>
      </c>
      <c r="G1479" s="21" t="str">
        <f t="array" ref="G1479">IFNA(_xlfn.XLOOKUP(D1479,Table_Tarikan_Warkah[Nomor Tiket],Table_Tarikan_Warkah[Jenis Permohonan]),"")</f>
        <v/>
      </c>
      <c r="H1479" s="26"/>
      <c r="I1479" s="26"/>
      <c r="J1479" s="20" t="str">
        <f t="shared" si="29"/>
        <v/>
      </c>
      <c r="K1479" s="26"/>
      <c r="L1479" s="26"/>
      <c r="M1479" s="20" t="str">
        <f t="shared" si="30"/>
        <v/>
      </c>
      <c r="N1479" s="8" t="str">
        <f t="shared" si="3"/>
        <v/>
      </c>
      <c r="O1479" s="21" t="str">
        <f t="shared" si="22"/>
        <v/>
      </c>
      <c r="P1479" s="24" t="b">
        <v>0</v>
      </c>
      <c r="Q1479" s="20" t="str">
        <f t="shared" si="31"/>
        <v/>
      </c>
      <c r="R1479" s="24" t="b">
        <v>0</v>
      </c>
      <c r="S1479" s="7" t="str">
        <f t="shared" si="6"/>
        <v/>
      </c>
      <c r="T1479" s="7"/>
    </row>
    <row r="1480" ht="22.5" hidden="1" customHeight="1">
      <c r="B1480" s="7">
        <f t="shared" si="7"/>
        <v>1474</v>
      </c>
      <c r="C1480" s="40"/>
      <c r="D1480" s="19" t="str">
        <f t="array" ref="D1480">IFNA(_xlfn.XLOOKUP(C1480,Table_Tarikan_Warkah[Nomor Sertipikat],Table_Tarikan_Warkah[Nomor Tiket]),"")</f>
        <v/>
      </c>
      <c r="E1480" s="20" t="str">
        <f t="array" ref="E1480">IFNA(_xlfn.XLOOKUP(D1480,Table_Tarikan_Warkah[Nomor Tiket],Table_Tarikan_Warkah[Tanggal diserahkan kepada Validator]),"")</f>
        <v/>
      </c>
      <c r="F1480" s="20" t="str">
        <f t="array" ref="F1480">IFNA(_xlfn.XLOOKUP(D1480,Table_Tarikan_Warkah[Nomor Tiket],Table_Tarikan_Warkah[Nama Petugas Warkah]),"")</f>
        <v/>
      </c>
      <c r="G1480" s="21" t="str">
        <f t="array" ref="G1480">IFNA(_xlfn.XLOOKUP(D1480,Table_Tarikan_Warkah[Nomor Tiket],Table_Tarikan_Warkah[Jenis Permohonan]),"")</f>
        <v/>
      </c>
      <c r="H1480" s="26"/>
      <c r="I1480" s="26"/>
      <c r="J1480" s="20" t="str">
        <f t="shared" si="29"/>
        <v/>
      </c>
      <c r="K1480" s="26"/>
      <c r="L1480" s="26"/>
      <c r="M1480" s="20" t="str">
        <f t="shared" si="30"/>
        <v/>
      </c>
      <c r="N1480" s="8" t="str">
        <f t="shared" si="3"/>
        <v/>
      </c>
      <c r="O1480" s="21" t="str">
        <f t="shared" si="22"/>
        <v/>
      </c>
      <c r="P1480" s="24" t="b">
        <v>0</v>
      </c>
      <c r="Q1480" s="20" t="str">
        <f t="shared" si="31"/>
        <v/>
      </c>
      <c r="R1480" s="24" t="b">
        <v>0</v>
      </c>
      <c r="S1480" s="7" t="str">
        <f t="shared" si="6"/>
        <v/>
      </c>
      <c r="T1480" s="7"/>
    </row>
    <row r="1481" ht="22.5" hidden="1" customHeight="1">
      <c r="B1481" s="7">
        <f t="shared" si="7"/>
        <v>1475</v>
      </c>
      <c r="C1481" s="40"/>
      <c r="D1481" s="19" t="str">
        <f t="array" ref="D1481">IFNA(_xlfn.XLOOKUP(C1481,Table_Tarikan_Warkah[Nomor Sertipikat],Table_Tarikan_Warkah[Nomor Tiket]),"")</f>
        <v/>
      </c>
      <c r="E1481" s="20" t="str">
        <f t="array" ref="E1481">IFNA(_xlfn.XLOOKUP(D1481,Table_Tarikan_Warkah[Nomor Tiket],Table_Tarikan_Warkah[Tanggal diserahkan kepada Validator]),"")</f>
        <v/>
      </c>
      <c r="F1481" s="20" t="str">
        <f t="array" ref="F1481">IFNA(_xlfn.XLOOKUP(D1481,Table_Tarikan_Warkah[Nomor Tiket],Table_Tarikan_Warkah[Nama Petugas Warkah]),"")</f>
        <v/>
      </c>
      <c r="G1481" s="21" t="str">
        <f t="array" ref="G1481">IFNA(_xlfn.XLOOKUP(D1481,Table_Tarikan_Warkah[Nomor Tiket],Table_Tarikan_Warkah[Jenis Permohonan]),"")</f>
        <v/>
      </c>
      <c r="H1481" s="26"/>
      <c r="I1481" s="26"/>
      <c r="J1481" s="20" t="str">
        <f t="shared" si="29"/>
        <v/>
      </c>
      <c r="K1481" s="26"/>
      <c r="L1481" s="26"/>
      <c r="M1481" s="20" t="str">
        <f t="shared" si="30"/>
        <v/>
      </c>
      <c r="N1481" s="8" t="str">
        <f t="shared" si="3"/>
        <v/>
      </c>
      <c r="O1481" s="21" t="str">
        <f t="shared" si="22"/>
        <v/>
      </c>
      <c r="P1481" s="24" t="b">
        <v>0</v>
      </c>
      <c r="Q1481" s="20" t="str">
        <f t="shared" si="31"/>
        <v/>
      </c>
      <c r="R1481" s="24" t="b">
        <v>0</v>
      </c>
      <c r="S1481" s="7" t="str">
        <f t="shared" si="6"/>
        <v/>
      </c>
      <c r="T1481" s="7"/>
    </row>
    <row r="1482" ht="22.5" hidden="1" customHeight="1">
      <c r="B1482" s="7">
        <f t="shared" si="7"/>
        <v>1476</v>
      </c>
      <c r="C1482" s="40"/>
      <c r="D1482" s="19" t="str">
        <f t="array" ref="D1482">IFNA(_xlfn.XLOOKUP(C1482,Table_Tarikan_Warkah[Nomor Sertipikat],Table_Tarikan_Warkah[Nomor Tiket]),"")</f>
        <v/>
      </c>
      <c r="E1482" s="20" t="str">
        <f t="array" ref="E1482">IFNA(_xlfn.XLOOKUP(D1482,Table_Tarikan_Warkah[Nomor Tiket],Table_Tarikan_Warkah[Tanggal diserahkan kepada Validator]),"")</f>
        <v/>
      </c>
      <c r="F1482" s="20" t="str">
        <f t="array" ref="F1482">IFNA(_xlfn.XLOOKUP(D1482,Table_Tarikan_Warkah[Nomor Tiket],Table_Tarikan_Warkah[Nama Petugas Warkah]),"")</f>
        <v/>
      </c>
      <c r="G1482" s="21" t="str">
        <f t="array" ref="G1482">IFNA(_xlfn.XLOOKUP(D1482,Table_Tarikan_Warkah[Nomor Tiket],Table_Tarikan_Warkah[Jenis Permohonan]),"")</f>
        <v/>
      </c>
      <c r="H1482" s="26"/>
      <c r="I1482" s="26"/>
      <c r="J1482" s="20" t="str">
        <f t="shared" si="29"/>
        <v/>
      </c>
      <c r="K1482" s="26"/>
      <c r="L1482" s="26"/>
      <c r="M1482" s="20" t="str">
        <f t="shared" si="30"/>
        <v/>
      </c>
      <c r="N1482" s="8" t="str">
        <f t="shared" si="3"/>
        <v/>
      </c>
      <c r="O1482" s="21" t="str">
        <f t="shared" si="22"/>
        <v/>
      </c>
      <c r="P1482" s="24" t="b">
        <v>0</v>
      </c>
      <c r="Q1482" s="20" t="str">
        <f t="shared" si="31"/>
        <v/>
      </c>
      <c r="R1482" s="24" t="b">
        <v>0</v>
      </c>
      <c r="S1482" s="7" t="str">
        <f t="shared" si="6"/>
        <v/>
      </c>
      <c r="T1482" s="7"/>
    </row>
    <row r="1483" ht="22.5" hidden="1" customHeight="1">
      <c r="B1483" s="7">
        <f t="shared" si="7"/>
        <v>1477</v>
      </c>
      <c r="C1483" s="40"/>
      <c r="D1483" s="19" t="str">
        <f t="array" ref="D1483">IFNA(_xlfn.XLOOKUP(C1483,Table_Tarikan_Warkah[Nomor Sertipikat],Table_Tarikan_Warkah[Nomor Tiket]),"")</f>
        <v/>
      </c>
      <c r="E1483" s="20" t="str">
        <f t="array" ref="E1483">IFNA(_xlfn.XLOOKUP(D1483,Table_Tarikan_Warkah[Nomor Tiket],Table_Tarikan_Warkah[Tanggal diserahkan kepada Validator]),"")</f>
        <v/>
      </c>
      <c r="F1483" s="20" t="str">
        <f t="array" ref="F1483">IFNA(_xlfn.XLOOKUP(D1483,Table_Tarikan_Warkah[Nomor Tiket],Table_Tarikan_Warkah[Nama Petugas Warkah]),"")</f>
        <v/>
      </c>
      <c r="G1483" s="21" t="str">
        <f t="array" ref="G1483">IFNA(_xlfn.XLOOKUP(D1483,Table_Tarikan_Warkah[Nomor Tiket],Table_Tarikan_Warkah[Jenis Permohonan]),"")</f>
        <v/>
      </c>
      <c r="H1483" s="26"/>
      <c r="I1483" s="26"/>
      <c r="J1483" s="20" t="str">
        <f t="shared" si="29"/>
        <v/>
      </c>
      <c r="K1483" s="26"/>
      <c r="L1483" s="26"/>
      <c r="M1483" s="20" t="str">
        <f t="shared" si="30"/>
        <v/>
      </c>
      <c r="N1483" s="8" t="str">
        <f t="shared" si="3"/>
        <v/>
      </c>
      <c r="O1483" s="21" t="str">
        <f t="shared" si="22"/>
        <v/>
      </c>
      <c r="P1483" s="24" t="b">
        <v>0</v>
      </c>
      <c r="Q1483" s="20" t="str">
        <f t="shared" si="31"/>
        <v/>
      </c>
      <c r="R1483" s="24" t="b">
        <v>0</v>
      </c>
      <c r="S1483" s="7" t="str">
        <f t="shared" si="6"/>
        <v/>
      </c>
      <c r="T1483" s="7"/>
    </row>
    <row r="1484" ht="22.5" hidden="1" customHeight="1">
      <c r="B1484" s="7">
        <f t="shared" si="7"/>
        <v>1478</v>
      </c>
      <c r="C1484" s="40"/>
      <c r="D1484" s="19" t="str">
        <f t="array" ref="D1484">IFNA(_xlfn.XLOOKUP(C1484,Table_Tarikan_Warkah[Nomor Sertipikat],Table_Tarikan_Warkah[Nomor Tiket]),"")</f>
        <v/>
      </c>
      <c r="E1484" s="20" t="str">
        <f t="array" ref="E1484">IFNA(_xlfn.XLOOKUP(D1484,Table_Tarikan_Warkah[Nomor Tiket],Table_Tarikan_Warkah[Tanggal diserahkan kepada Validator]),"")</f>
        <v/>
      </c>
      <c r="F1484" s="20" t="str">
        <f t="array" ref="F1484">IFNA(_xlfn.XLOOKUP(D1484,Table_Tarikan_Warkah[Nomor Tiket],Table_Tarikan_Warkah[Nama Petugas Warkah]),"")</f>
        <v/>
      </c>
      <c r="G1484" s="21" t="str">
        <f t="array" ref="G1484">IFNA(_xlfn.XLOOKUP(D1484,Table_Tarikan_Warkah[Nomor Tiket],Table_Tarikan_Warkah[Jenis Permohonan]),"")</f>
        <v/>
      </c>
      <c r="H1484" s="26"/>
      <c r="I1484" s="26"/>
      <c r="J1484" s="20" t="str">
        <f t="shared" si="29"/>
        <v/>
      </c>
      <c r="K1484" s="26"/>
      <c r="L1484" s="26"/>
      <c r="M1484" s="20" t="str">
        <f t="shared" si="30"/>
        <v/>
      </c>
      <c r="N1484" s="8" t="str">
        <f t="shared" si="3"/>
        <v/>
      </c>
      <c r="O1484" s="21" t="str">
        <f t="shared" si="22"/>
        <v/>
      </c>
      <c r="P1484" s="24" t="b">
        <v>0</v>
      </c>
      <c r="Q1484" s="20" t="str">
        <f t="shared" si="31"/>
        <v/>
      </c>
      <c r="R1484" s="24" t="b">
        <v>0</v>
      </c>
      <c r="S1484" s="7" t="str">
        <f t="shared" si="6"/>
        <v/>
      </c>
      <c r="T1484" s="7"/>
    </row>
    <row r="1485" ht="22.5" hidden="1" customHeight="1">
      <c r="B1485" s="7">
        <f t="shared" si="7"/>
        <v>1479</v>
      </c>
      <c r="C1485" s="40"/>
      <c r="D1485" s="19" t="str">
        <f t="array" ref="D1485">IFNA(_xlfn.XLOOKUP(C1485,Table_Tarikan_Warkah[Nomor Sertipikat],Table_Tarikan_Warkah[Nomor Tiket]),"")</f>
        <v/>
      </c>
      <c r="E1485" s="20" t="str">
        <f t="array" ref="E1485">IFNA(_xlfn.XLOOKUP(D1485,Table_Tarikan_Warkah[Nomor Tiket],Table_Tarikan_Warkah[Tanggal diserahkan kepada Validator]),"")</f>
        <v/>
      </c>
      <c r="F1485" s="20" t="str">
        <f t="array" ref="F1485">IFNA(_xlfn.XLOOKUP(D1485,Table_Tarikan_Warkah[Nomor Tiket],Table_Tarikan_Warkah[Nama Petugas Warkah]),"")</f>
        <v/>
      </c>
      <c r="G1485" s="21" t="str">
        <f t="array" ref="G1485">IFNA(_xlfn.XLOOKUP(D1485,Table_Tarikan_Warkah[Nomor Tiket],Table_Tarikan_Warkah[Jenis Permohonan]),"")</f>
        <v/>
      </c>
      <c r="H1485" s="26"/>
      <c r="I1485" s="26"/>
      <c r="J1485" s="20" t="str">
        <f t="shared" si="29"/>
        <v/>
      </c>
      <c r="K1485" s="26"/>
      <c r="L1485" s="26"/>
      <c r="M1485" s="20" t="str">
        <f t="shared" si="30"/>
        <v/>
      </c>
      <c r="N1485" s="8" t="str">
        <f t="shared" si="3"/>
        <v/>
      </c>
      <c r="O1485" s="21" t="str">
        <f t="shared" si="22"/>
        <v/>
      </c>
      <c r="P1485" s="24" t="b">
        <v>0</v>
      </c>
      <c r="Q1485" s="20" t="str">
        <f t="shared" si="31"/>
        <v/>
      </c>
      <c r="R1485" s="24" t="b">
        <v>0</v>
      </c>
      <c r="S1485" s="7" t="str">
        <f t="shared" si="6"/>
        <v/>
      </c>
      <c r="T1485" s="7"/>
    </row>
    <row r="1486" ht="22.5" hidden="1" customHeight="1">
      <c r="B1486" s="7">
        <f t="shared" si="7"/>
        <v>1480</v>
      </c>
      <c r="C1486" s="40"/>
      <c r="D1486" s="19" t="str">
        <f t="array" ref="D1486">IFNA(_xlfn.XLOOKUP(C1486,Table_Tarikan_Warkah[Nomor Sertipikat],Table_Tarikan_Warkah[Nomor Tiket]),"")</f>
        <v/>
      </c>
      <c r="E1486" s="20" t="str">
        <f t="array" ref="E1486">IFNA(_xlfn.XLOOKUP(D1486,Table_Tarikan_Warkah[Nomor Tiket],Table_Tarikan_Warkah[Tanggal diserahkan kepada Validator]),"")</f>
        <v/>
      </c>
      <c r="F1486" s="20" t="str">
        <f t="array" ref="F1486">IFNA(_xlfn.XLOOKUP(D1486,Table_Tarikan_Warkah[Nomor Tiket],Table_Tarikan_Warkah[Nama Petugas Warkah]),"")</f>
        <v/>
      </c>
      <c r="G1486" s="21" t="str">
        <f t="array" ref="G1486">IFNA(_xlfn.XLOOKUP(D1486,Table_Tarikan_Warkah[Nomor Tiket],Table_Tarikan_Warkah[Jenis Permohonan]),"")</f>
        <v/>
      </c>
      <c r="H1486" s="26"/>
      <c r="I1486" s="26"/>
      <c r="J1486" s="20" t="str">
        <f t="shared" si="29"/>
        <v/>
      </c>
      <c r="K1486" s="26"/>
      <c r="L1486" s="26"/>
      <c r="M1486" s="20" t="str">
        <f t="shared" si="30"/>
        <v/>
      </c>
      <c r="N1486" s="8" t="str">
        <f t="shared" si="3"/>
        <v/>
      </c>
      <c r="O1486" s="21" t="str">
        <f t="shared" si="22"/>
        <v/>
      </c>
      <c r="P1486" s="24" t="b">
        <v>0</v>
      </c>
      <c r="Q1486" s="20" t="str">
        <f t="shared" si="31"/>
        <v/>
      </c>
      <c r="R1486" s="24" t="b">
        <v>0</v>
      </c>
      <c r="S1486" s="7" t="str">
        <f t="shared" si="6"/>
        <v/>
      </c>
      <c r="T1486" s="7"/>
    </row>
    <row r="1487" ht="22.5" hidden="1" customHeight="1">
      <c r="B1487" s="7">
        <f t="shared" si="7"/>
        <v>1481</v>
      </c>
      <c r="C1487" s="40"/>
      <c r="D1487" s="19" t="str">
        <f t="array" ref="D1487">IFNA(_xlfn.XLOOKUP(C1487,Table_Tarikan_Warkah[Nomor Sertipikat],Table_Tarikan_Warkah[Nomor Tiket]),"")</f>
        <v/>
      </c>
      <c r="E1487" s="20" t="str">
        <f t="array" ref="E1487">IFNA(_xlfn.XLOOKUP(D1487,Table_Tarikan_Warkah[Nomor Tiket],Table_Tarikan_Warkah[Tanggal diserahkan kepada Validator]),"")</f>
        <v/>
      </c>
      <c r="F1487" s="20" t="str">
        <f t="array" ref="F1487">IFNA(_xlfn.XLOOKUP(D1487,Table_Tarikan_Warkah[Nomor Tiket],Table_Tarikan_Warkah[Nama Petugas Warkah]),"")</f>
        <v/>
      </c>
      <c r="G1487" s="21" t="str">
        <f t="array" ref="G1487">IFNA(_xlfn.XLOOKUP(D1487,Table_Tarikan_Warkah[Nomor Tiket],Table_Tarikan_Warkah[Jenis Permohonan]),"")</f>
        <v/>
      </c>
      <c r="H1487" s="26"/>
      <c r="I1487" s="26"/>
      <c r="J1487" s="20" t="str">
        <f t="shared" si="29"/>
        <v/>
      </c>
      <c r="K1487" s="26"/>
      <c r="L1487" s="26"/>
      <c r="M1487" s="20" t="str">
        <f t="shared" si="30"/>
        <v/>
      </c>
      <c r="N1487" s="8" t="str">
        <f t="shared" si="3"/>
        <v/>
      </c>
      <c r="O1487" s="21" t="str">
        <f t="shared" si="22"/>
        <v/>
      </c>
      <c r="P1487" s="24" t="b">
        <v>0</v>
      </c>
      <c r="Q1487" s="20" t="str">
        <f t="shared" si="31"/>
        <v/>
      </c>
      <c r="R1487" s="24" t="b">
        <v>0</v>
      </c>
      <c r="S1487" s="7" t="str">
        <f t="shared" si="6"/>
        <v/>
      </c>
      <c r="T1487" s="7"/>
    </row>
    <row r="1488" ht="22.5" hidden="1" customHeight="1">
      <c r="B1488" s="7">
        <f t="shared" si="7"/>
        <v>1482</v>
      </c>
      <c r="C1488" s="40"/>
      <c r="D1488" s="19" t="str">
        <f t="array" ref="D1488">IFNA(_xlfn.XLOOKUP(C1488,Table_Tarikan_Warkah[Nomor Sertipikat],Table_Tarikan_Warkah[Nomor Tiket]),"")</f>
        <v/>
      </c>
      <c r="E1488" s="20" t="str">
        <f t="array" ref="E1488">IFNA(_xlfn.XLOOKUP(D1488,Table_Tarikan_Warkah[Nomor Tiket],Table_Tarikan_Warkah[Tanggal diserahkan kepada Validator]),"")</f>
        <v/>
      </c>
      <c r="F1488" s="20" t="str">
        <f t="array" ref="F1488">IFNA(_xlfn.XLOOKUP(D1488,Table_Tarikan_Warkah[Nomor Tiket],Table_Tarikan_Warkah[Nama Petugas Warkah]),"")</f>
        <v/>
      </c>
      <c r="G1488" s="21" t="str">
        <f t="array" ref="G1488">IFNA(_xlfn.XLOOKUP(D1488,Table_Tarikan_Warkah[Nomor Tiket],Table_Tarikan_Warkah[Jenis Permohonan]),"")</f>
        <v/>
      </c>
      <c r="H1488" s="26"/>
      <c r="I1488" s="26"/>
      <c r="J1488" s="20" t="str">
        <f t="shared" si="29"/>
        <v/>
      </c>
      <c r="K1488" s="26"/>
      <c r="L1488" s="26"/>
      <c r="M1488" s="20" t="str">
        <f t="shared" si="30"/>
        <v/>
      </c>
      <c r="N1488" s="8" t="str">
        <f t="shared" si="3"/>
        <v/>
      </c>
      <c r="O1488" s="21" t="str">
        <f t="shared" si="22"/>
        <v/>
      </c>
      <c r="P1488" s="24" t="b">
        <v>0</v>
      </c>
      <c r="Q1488" s="20" t="str">
        <f t="shared" si="31"/>
        <v/>
      </c>
      <c r="R1488" s="24" t="b">
        <v>0</v>
      </c>
      <c r="S1488" s="7" t="str">
        <f t="shared" si="6"/>
        <v/>
      </c>
      <c r="T1488" s="7"/>
    </row>
    <row r="1489" ht="22.5" hidden="1" customHeight="1">
      <c r="B1489" s="7">
        <f t="shared" si="7"/>
        <v>1483</v>
      </c>
      <c r="C1489" s="40"/>
      <c r="D1489" s="19" t="str">
        <f t="array" ref="D1489">IFNA(_xlfn.XLOOKUP(C1489,Table_Tarikan_Warkah[Nomor Sertipikat],Table_Tarikan_Warkah[Nomor Tiket]),"")</f>
        <v/>
      </c>
      <c r="E1489" s="20" t="str">
        <f t="array" ref="E1489">IFNA(_xlfn.XLOOKUP(D1489,Table_Tarikan_Warkah[Nomor Tiket],Table_Tarikan_Warkah[Tanggal diserahkan kepada Validator]),"")</f>
        <v/>
      </c>
      <c r="F1489" s="20" t="str">
        <f t="array" ref="F1489">IFNA(_xlfn.XLOOKUP(D1489,Table_Tarikan_Warkah[Nomor Tiket],Table_Tarikan_Warkah[Nama Petugas Warkah]),"")</f>
        <v/>
      </c>
      <c r="G1489" s="21" t="str">
        <f t="array" ref="G1489">IFNA(_xlfn.XLOOKUP(D1489,Table_Tarikan_Warkah[Nomor Tiket],Table_Tarikan_Warkah[Jenis Permohonan]),"")</f>
        <v/>
      </c>
      <c r="H1489" s="26"/>
      <c r="I1489" s="26"/>
      <c r="J1489" s="20" t="str">
        <f t="shared" si="29"/>
        <v/>
      </c>
      <c r="K1489" s="26"/>
      <c r="L1489" s="26"/>
      <c r="M1489" s="20" t="str">
        <f t="shared" si="30"/>
        <v/>
      </c>
      <c r="N1489" s="8" t="str">
        <f t="shared" si="3"/>
        <v/>
      </c>
      <c r="O1489" s="21" t="str">
        <f t="shared" si="22"/>
        <v/>
      </c>
      <c r="P1489" s="24" t="b">
        <v>0</v>
      </c>
      <c r="Q1489" s="20" t="str">
        <f t="shared" si="31"/>
        <v/>
      </c>
      <c r="R1489" s="24" t="b">
        <v>0</v>
      </c>
      <c r="S1489" s="7" t="str">
        <f t="shared" si="6"/>
        <v/>
      </c>
      <c r="T1489" s="7"/>
    </row>
    <row r="1490" ht="22.5" hidden="1" customHeight="1">
      <c r="B1490" s="7">
        <f t="shared" si="7"/>
        <v>1484</v>
      </c>
      <c r="C1490" s="40"/>
      <c r="D1490" s="19" t="str">
        <f t="array" ref="D1490">IFNA(_xlfn.XLOOKUP(C1490,Table_Tarikan_Warkah[Nomor Sertipikat],Table_Tarikan_Warkah[Nomor Tiket]),"")</f>
        <v/>
      </c>
      <c r="E1490" s="20" t="str">
        <f t="array" ref="E1490">IFNA(_xlfn.XLOOKUP(D1490,Table_Tarikan_Warkah[Nomor Tiket],Table_Tarikan_Warkah[Tanggal diserahkan kepada Validator]),"")</f>
        <v/>
      </c>
      <c r="F1490" s="20" t="str">
        <f t="array" ref="F1490">IFNA(_xlfn.XLOOKUP(D1490,Table_Tarikan_Warkah[Nomor Tiket],Table_Tarikan_Warkah[Nama Petugas Warkah]),"")</f>
        <v/>
      </c>
      <c r="G1490" s="21" t="str">
        <f t="array" ref="G1490">IFNA(_xlfn.XLOOKUP(D1490,Table_Tarikan_Warkah[Nomor Tiket],Table_Tarikan_Warkah[Jenis Permohonan]),"")</f>
        <v/>
      </c>
      <c r="H1490" s="26"/>
      <c r="I1490" s="26"/>
      <c r="J1490" s="20" t="str">
        <f t="shared" si="29"/>
        <v/>
      </c>
      <c r="K1490" s="26"/>
      <c r="L1490" s="26"/>
      <c r="M1490" s="20" t="str">
        <f t="shared" si="30"/>
        <v/>
      </c>
      <c r="N1490" s="8" t="str">
        <f t="shared" si="3"/>
        <v/>
      </c>
      <c r="O1490" s="21" t="str">
        <f t="shared" si="22"/>
        <v/>
      </c>
      <c r="P1490" s="24" t="b">
        <v>0</v>
      </c>
      <c r="Q1490" s="20" t="str">
        <f t="shared" si="31"/>
        <v/>
      </c>
      <c r="R1490" s="24" t="b">
        <v>0</v>
      </c>
      <c r="S1490" s="7" t="str">
        <f t="shared" si="6"/>
        <v/>
      </c>
      <c r="T1490" s="7"/>
    </row>
    <row r="1491" ht="22.5" hidden="1" customHeight="1">
      <c r="B1491" s="7">
        <f t="shared" si="7"/>
        <v>1485</v>
      </c>
      <c r="C1491" s="40"/>
      <c r="D1491" s="19" t="str">
        <f t="array" ref="D1491">IFNA(_xlfn.XLOOKUP(C1491,Table_Tarikan_Warkah[Nomor Sertipikat],Table_Tarikan_Warkah[Nomor Tiket]),"")</f>
        <v/>
      </c>
      <c r="E1491" s="20" t="str">
        <f t="array" ref="E1491">IFNA(_xlfn.XLOOKUP(D1491,Table_Tarikan_Warkah[Nomor Tiket],Table_Tarikan_Warkah[Tanggal diserahkan kepada Validator]),"")</f>
        <v/>
      </c>
      <c r="F1491" s="20" t="str">
        <f t="array" ref="F1491">IFNA(_xlfn.XLOOKUP(D1491,Table_Tarikan_Warkah[Nomor Tiket],Table_Tarikan_Warkah[Nama Petugas Warkah]),"")</f>
        <v/>
      </c>
      <c r="G1491" s="21" t="str">
        <f t="array" ref="G1491">IFNA(_xlfn.XLOOKUP(D1491,Table_Tarikan_Warkah[Nomor Tiket],Table_Tarikan_Warkah[Jenis Permohonan]),"")</f>
        <v/>
      </c>
      <c r="H1491" s="26"/>
      <c r="I1491" s="26"/>
      <c r="J1491" s="20" t="str">
        <f t="shared" si="29"/>
        <v/>
      </c>
      <c r="K1491" s="26"/>
      <c r="L1491" s="26"/>
      <c r="M1491" s="20" t="str">
        <f t="shared" si="30"/>
        <v/>
      </c>
      <c r="N1491" s="8" t="str">
        <f t="shared" si="3"/>
        <v/>
      </c>
      <c r="O1491" s="21" t="str">
        <f t="shared" si="22"/>
        <v/>
      </c>
      <c r="P1491" s="24" t="b">
        <v>0</v>
      </c>
      <c r="Q1491" s="20" t="str">
        <f t="shared" si="31"/>
        <v/>
      </c>
      <c r="R1491" s="24" t="b">
        <v>0</v>
      </c>
      <c r="S1491" s="7" t="str">
        <f t="shared" si="6"/>
        <v/>
      </c>
      <c r="T1491" s="7"/>
    </row>
    <row r="1492" ht="22.5" hidden="1" customHeight="1">
      <c r="B1492" s="7">
        <f t="shared" si="7"/>
        <v>1486</v>
      </c>
      <c r="C1492" s="40"/>
      <c r="D1492" s="19" t="str">
        <f t="array" ref="D1492">IFNA(_xlfn.XLOOKUP(C1492,Table_Tarikan_Warkah[Nomor Sertipikat],Table_Tarikan_Warkah[Nomor Tiket]),"")</f>
        <v/>
      </c>
      <c r="E1492" s="20" t="str">
        <f t="array" ref="E1492">IFNA(_xlfn.XLOOKUP(D1492,Table_Tarikan_Warkah[Nomor Tiket],Table_Tarikan_Warkah[Tanggal diserahkan kepada Validator]),"")</f>
        <v/>
      </c>
      <c r="F1492" s="20" t="str">
        <f t="array" ref="F1492">IFNA(_xlfn.XLOOKUP(D1492,Table_Tarikan_Warkah[Nomor Tiket],Table_Tarikan_Warkah[Nama Petugas Warkah]),"")</f>
        <v/>
      </c>
      <c r="G1492" s="21" t="str">
        <f t="array" ref="G1492">IFNA(_xlfn.XLOOKUP(D1492,Table_Tarikan_Warkah[Nomor Tiket],Table_Tarikan_Warkah[Jenis Permohonan]),"")</f>
        <v/>
      </c>
      <c r="H1492" s="26"/>
      <c r="I1492" s="26"/>
      <c r="J1492" s="20" t="str">
        <f t="shared" si="29"/>
        <v/>
      </c>
      <c r="K1492" s="26"/>
      <c r="L1492" s="26"/>
      <c r="M1492" s="20" t="str">
        <f t="shared" si="30"/>
        <v/>
      </c>
      <c r="N1492" s="8" t="str">
        <f t="shared" si="3"/>
        <v/>
      </c>
      <c r="O1492" s="21" t="str">
        <f t="shared" si="22"/>
        <v/>
      </c>
      <c r="P1492" s="24" t="b">
        <v>0</v>
      </c>
      <c r="Q1492" s="20" t="str">
        <f t="shared" si="31"/>
        <v/>
      </c>
      <c r="R1492" s="24" t="b">
        <v>0</v>
      </c>
      <c r="S1492" s="7" t="str">
        <f t="shared" si="6"/>
        <v/>
      </c>
      <c r="T1492" s="7"/>
    </row>
    <row r="1493" ht="22.5" hidden="1" customHeight="1">
      <c r="B1493" s="7">
        <f t="shared" si="7"/>
        <v>1487</v>
      </c>
      <c r="C1493" s="40"/>
      <c r="D1493" s="19" t="str">
        <f t="array" ref="D1493">IFNA(_xlfn.XLOOKUP(C1493,Table_Tarikan_Warkah[Nomor Sertipikat],Table_Tarikan_Warkah[Nomor Tiket]),"")</f>
        <v/>
      </c>
      <c r="E1493" s="20" t="str">
        <f t="array" ref="E1493">IFNA(_xlfn.XLOOKUP(D1493,Table_Tarikan_Warkah[Nomor Tiket],Table_Tarikan_Warkah[Tanggal diserahkan kepada Validator]),"")</f>
        <v/>
      </c>
      <c r="F1493" s="20" t="str">
        <f t="array" ref="F1493">IFNA(_xlfn.XLOOKUP(D1493,Table_Tarikan_Warkah[Nomor Tiket],Table_Tarikan_Warkah[Nama Petugas Warkah]),"")</f>
        <v/>
      </c>
      <c r="G1493" s="21" t="str">
        <f t="array" ref="G1493">IFNA(_xlfn.XLOOKUP(D1493,Table_Tarikan_Warkah[Nomor Tiket],Table_Tarikan_Warkah[Jenis Permohonan]),"")</f>
        <v/>
      </c>
      <c r="H1493" s="26"/>
      <c r="I1493" s="26"/>
      <c r="J1493" s="20" t="str">
        <f t="shared" si="29"/>
        <v/>
      </c>
      <c r="K1493" s="26"/>
      <c r="L1493" s="26"/>
      <c r="M1493" s="20" t="str">
        <f t="shared" si="30"/>
        <v/>
      </c>
      <c r="N1493" s="8" t="str">
        <f t="shared" si="3"/>
        <v/>
      </c>
      <c r="O1493" s="21" t="str">
        <f t="shared" si="22"/>
        <v/>
      </c>
      <c r="P1493" s="24" t="b">
        <v>0</v>
      </c>
      <c r="Q1493" s="20" t="str">
        <f t="shared" si="31"/>
        <v/>
      </c>
      <c r="R1493" s="24" t="b">
        <v>0</v>
      </c>
      <c r="S1493" s="7" t="str">
        <f t="shared" si="6"/>
        <v/>
      </c>
      <c r="T1493" s="7"/>
    </row>
    <row r="1494" ht="22.5" hidden="1" customHeight="1">
      <c r="B1494" s="7">
        <f t="shared" si="7"/>
        <v>1488</v>
      </c>
      <c r="C1494" s="40"/>
      <c r="D1494" s="19" t="str">
        <f t="array" ref="D1494">IFNA(_xlfn.XLOOKUP(C1494,Table_Tarikan_Warkah[Nomor Sertipikat],Table_Tarikan_Warkah[Nomor Tiket]),"")</f>
        <v/>
      </c>
      <c r="E1494" s="20" t="str">
        <f t="array" ref="E1494">IFNA(_xlfn.XLOOKUP(D1494,Table_Tarikan_Warkah[Nomor Tiket],Table_Tarikan_Warkah[Tanggal diserahkan kepada Validator]),"")</f>
        <v/>
      </c>
      <c r="F1494" s="20" t="str">
        <f t="array" ref="F1494">IFNA(_xlfn.XLOOKUP(D1494,Table_Tarikan_Warkah[Nomor Tiket],Table_Tarikan_Warkah[Nama Petugas Warkah]),"")</f>
        <v/>
      </c>
      <c r="G1494" s="21" t="str">
        <f t="array" ref="G1494">IFNA(_xlfn.XLOOKUP(D1494,Table_Tarikan_Warkah[Nomor Tiket],Table_Tarikan_Warkah[Jenis Permohonan]),"")</f>
        <v/>
      </c>
      <c r="H1494" s="26"/>
      <c r="I1494" s="26"/>
      <c r="J1494" s="20" t="str">
        <f t="shared" si="29"/>
        <v/>
      </c>
      <c r="K1494" s="26"/>
      <c r="L1494" s="26"/>
      <c r="M1494" s="20" t="str">
        <f t="shared" si="30"/>
        <v/>
      </c>
      <c r="N1494" s="8" t="str">
        <f t="shared" si="3"/>
        <v/>
      </c>
      <c r="O1494" s="21" t="str">
        <f t="shared" si="22"/>
        <v/>
      </c>
      <c r="P1494" s="24" t="b">
        <v>0</v>
      </c>
      <c r="Q1494" s="20" t="str">
        <f t="shared" si="31"/>
        <v/>
      </c>
      <c r="R1494" s="24" t="b">
        <v>0</v>
      </c>
      <c r="S1494" s="7" t="str">
        <f t="shared" si="6"/>
        <v/>
      </c>
      <c r="T1494" s="7"/>
    </row>
    <row r="1495" ht="22.5" hidden="1" customHeight="1">
      <c r="B1495" s="7">
        <f t="shared" si="7"/>
        <v>1489</v>
      </c>
      <c r="C1495" s="40"/>
      <c r="D1495" s="19" t="str">
        <f t="array" ref="D1495">IFNA(_xlfn.XLOOKUP(C1495,Table_Tarikan_Warkah[Nomor Sertipikat],Table_Tarikan_Warkah[Nomor Tiket]),"")</f>
        <v/>
      </c>
      <c r="E1495" s="20" t="str">
        <f t="array" ref="E1495">IFNA(_xlfn.XLOOKUP(D1495,Table_Tarikan_Warkah[Nomor Tiket],Table_Tarikan_Warkah[Tanggal diserahkan kepada Validator]),"")</f>
        <v/>
      </c>
      <c r="F1495" s="20" t="str">
        <f t="array" ref="F1495">IFNA(_xlfn.XLOOKUP(D1495,Table_Tarikan_Warkah[Nomor Tiket],Table_Tarikan_Warkah[Nama Petugas Warkah]),"")</f>
        <v/>
      </c>
      <c r="G1495" s="21" t="str">
        <f t="array" ref="G1495">IFNA(_xlfn.XLOOKUP(D1495,Table_Tarikan_Warkah[Nomor Tiket],Table_Tarikan_Warkah[Jenis Permohonan]),"")</f>
        <v/>
      </c>
      <c r="H1495" s="26"/>
      <c r="I1495" s="26"/>
      <c r="J1495" s="20" t="str">
        <f t="shared" si="29"/>
        <v/>
      </c>
      <c r="K1495" s="26"/>
      <c r="L1495" s="26"/>
      <c r="M1495" s="20" t="str">
        <f t="shared" si="30"/>
        <v/>
      </c>
      <c r="N1495" s="8" t="str">
        <f t="shared" si="3"/>
        <v/>
      </c>
      <c r="O1495" s="21" t="str">
        <f t="shared" si="22"/>
        <v/>
      </c>
      <c r="P1495" s="24" t="b">
        <v>0</v>
      </c>
      <c r="Q1495" s="20" t="str">
        <f t="shared" si="31"/>
        <v/>
      </c>
      <c r="R1495" s="24" t="b">
        <v>0</v>
      </c>
      <c r="S1495" s="7" t="str">
        <f t="shared" si="6"/>
        <v/>
      </c>
      <c r="T1495" s="7"/>
    </row>
    <row r="1496" ht="22.5" hidden="1" customHeight="1">
      <c r="B1496" s="7">
        <f t="shared" si="7"/>
        <v>1490</v>
      </c>
      <c r="C1496" s="40"/>
      <c r="D1496" s="19" t="str">
        <f t="array" ref="D1496">IFNA(_xlfn.XLOOKUP(C1496,Table_Tarikan_Warkah[Nomor Sertipikat],Table_Tarikan_Warkah[Nomor Tiket]),"")</f>
        <v/>
      </c>
      <c r="E1496" s="20" t="str">
        <f t="array" ref="E1496">IFNA(_xlfn.XLOOKUP(D1496,Table_Tarikan_Warkah[Nomor Tiket],Table_Tarikan_Warkah[Tanggal diserahkan kepada Validator]),"")</f>
        <v/>
      </c>
      <c r="F1496" s="20" t="str">
        <f t="array" ref="F1496">IFNA(_xlfn.XLOOKUP(D1496,Table_Tarikan_Warkah[Nomor Tiket],Table_Tarikan_Warkah[Nama Petugas Warkah]),"")</f>
        <v/>
      </c>
      <c r="G1496" s="21" t="str">
        <f t="array" ref="G1496">IFNA(_xlfn.XLOOKUP(D1496,Table_Tarikan_Warkah[Nomor Tiket],Table_Tarikan_Warkah[Jenis Permohonan]),"")</f>
        <v/>
      </c>
      <c r="H1496" s="26"/>
      <c r="I1496" s="26"/>
      <c r="J1496" s="20" t="str">
        <f t="shared" si="29"/>
        <v/>
      </c>
      <c r="K1496" s="26"/>
      <c r="L1496" s="26"/>
      <c r="M1496" s="20" t="str">
        <f t="shared" si="30"/>
        <v/>
      </c>
      <c r="N1496" s="8" t="str">
        <f t="shared" si="3"/>
        <v/>
      </c>
      <c r="O1496" s="21" t="str">
        <f t="shared" si="22"/>
        <v/>
      </c>
      <c r="P1496" s="24" t="b">
        <v>0</v>
      </c>
      <c r="Q1496" s="20" t="str">
        <f t="shared" si="31"/>
        <v/>
      </c>
      <c r="R1496" s="24" t="b">
        <v>0</v>
      </c>
      <c r="S1496" s="7" t="str">
        <f t="shared" si="6"/>
        <v/>
      </c>
      <c r="T1496" s="7"/>
    </row>
    <row r="1497" ht="22.5" hidden="1" customHeight="1">
      <c r="B1497" s="7">
        <f t="shared" si="7"/>
        <v>1491</v>
      </c>
      <c r="C1497" s="40"/>
      <c r="D1497" s="19" t="str">
        <f t="array" ref="D1497">IFNA(_xlfn.XLOOKUP(C1497,Table_Tarikan_Warkah[Nomor Sertipikat],Table_Tarikan_Warkah[Nomor Tiket]),"")</f>
        <v/>
      </c>
      <c r="E1497" s="20" t="str">
        <f t="array" ref="E1497">IFNA(_xlfn.XLOOKUP(D1497,Table_Tarikan_Warkah[Nomor Tiket],Table_Tarikan_Warkah[Tanggal diserahkan kepada Validator]),"")</f>
        <v/>
      </c>
      <c r="F1497" s="20" t="str">
        <f t="array" ref="F1497">IFNA(_xlfn.XLOOKUP(D1497,Table_Tarikan_Warkah[Nomor Tiket],Table_Tarikan_Warkah[Nama Petugas Warkah]),"")</f>
        <v/>
      </c>
      <c r="G1497" s="21" t="str">
        <f t="array" ref="G1497">IFNA(_xlfn.XLOOKUP(D1497,Table_Tarikan_Warkah[Nomor Tiket],Table_Tarikan_Warkah[Jenis Permohonan]),"")</f>
        <v/>
      </c>
      <c r="H1497" s="26"/>
      <c r="I1497" s="26"/>
      <c r="J1497" s="20" t="str">
        <f t="shared" si="29"/>
        <v/>
      </c>
      <c r="K1497" s="26"/>
      <c r="L1497" s="26"/>
      <c r="M1497" s="20" t="str">
        <f t="shared" si="30"/>
        <v/>
      </c>
      <c r="N1497" s="8" t="str">
        <f t="shared" si="3"/>
        <v/>
      </c>
      <c r="O1497" s="21" t="str">
        <f t="shared" si="22"/>
        <v/>
      </c>
      <c r="P1497" s="24" t="b">
        <v>0</v>
      </c>
      <c r="Q1497" s="20" t="str">
        <f t="shared" si="31"/>
        <v/>
      </c>
      <c r="R1497" s="24" t="b">
        <v>0</v>
      </c>
      <c r="S1497" s="7" t="str">
        <f t="shared" si="6"/>
        <v/>
      </c>
      <c r="T1497" s="7"/>
    </row>
    <row r="1498" ht="22.5" hidden="1" customHeight="1">
      <c r="B1498" s="7">
        <f t="shared" si="7"/>
        <v>1492</v>
      </c>
      <c r="C1498" s="40"/>
      <c r="D1498" s="19" t="str">
        <f t="array" ref="D1498">IFNA(_xlfn.XLOOKUP(C1498,Table_Tarikan_Warkah[Nomor Sertipikat],Table_Tarikan_Warkah[Nomor Tiket]),"")</f>
        <v/>
      </c>
      <c r="E1498" s="20" t="str">
        <f t="array" ref="E1498">IFNA(_xlfn.XLOOKUP(D1498,Table_Tarikan_Warkah[Nomor Tiket],Table_Tarikan_Warkah[Tanggal diserahkan kepada Validator]),"")</f>
        <v/>
      </c>
      <c r="F1498" s="20" t="str">
        <f t="array" ref="F1498">IFNA(_xlfn.XLOOKUP(D1498,Table_Tarikan_Warkah[Nomor Tiket],Table_Tarikan_Warkah[Nama Petugas Warkah]),"")</f>
        <v/>
      </c>
      <c r="G1498" s="21" t="str">
        <f t="array" ref="G1498">IFNA(_xlfn.XLOOKUP(D1498,Table_Tarikan_Warkah[Nomor Tiket],Table_Tarikan_Warkah[Jenis Permohonan]),"")</f>
        <v/>
      </c>
      <c r="H1498" s="26"/>
      <c r="I1498" s="26"/>
      <c r="J1498" s="20" t="str">
        <f t="shared" si="29"/>
        <v/>
      </c>
      <c r="K1498" s="26"/>
      <c r="L1498" s="26"/>
      <c r="M1498" s="20" t="str">
        <f t="shared" si="30"/>
        <v/>
      </c>
      <c r="N1498" s="8" t="str">
        <f t="shared" si="3"/>
        <v/>
      </c>
      <c r="O1498" s="21" t="str">
        <f t="shared" si="22"/>
        <v/>
      </c>
      <c r="P1498" s="24" t="b">
        <v>0</v>
      </c>
      <c r="Q1498" s="20" t="str">
        <f t="shared" si="31"/>
        <v/>
      </c>
      <c r="R1498" s="24" t="b">
        <v>0</v>
      </c>
      <c r="S1498" s="7" t="str">
        <f t="shared" si="6"/>
        <v/>
      </c>
      <c r="T1498" s="7"/>
    </row>
    <row r="1499" ht="22.5" hidden="1" customHeight="1">
      <c r="B1499" s="7">
        <f t="shared" si="7"/>
        <v>1493</v>
      </c>
      <c r="C1499" s="40"/>
      <c r="D1499" s="19" t="str">
        <f t="array" ref="D1499">IFNA(_xlfn.XLOOKUP(C1499,Table_Tarikan_Warkah[Nomor Sertipikat],Table_Tarikan_Warkah[Nomor Tiket]),"")</f>
        <v/>
      </c>
      <c r="E1499" s="20" t="str">
        <f t="array" ref="E1499">IFNA(_xlfn.XLOOKUP(D1499,Table_Tarikan_Warkah[Nomor Tiket],Table_Tarikan_Warkah[Tanggal diserahkan kepada Validator]),"")</f>
        <v/>
      </c>
      <c r="F1499" s="20" t="str">
        <f t="array" ref="F1499">IFNA(_xlfn.XLOOKUP(D1499,Table_Tarikan_Warkah[Nomor Tiket],Table_Tarikan_Warkah[Nama Petugas Warkah]),"")</f>
        <v/>
      </c>
      <c r="G1499" s="21" t="str">
        <f t="array" ref="G1499">IFNA(_xlfn.XLOOKUP(D1499,Table_Tarikan_Warkah[Nomor Tiket],Table_Tarikan_Warkah[Jenis Permohonan]),"")</f>
        <v/>
      </c>
      <c r="H1499" s="26"/>
      <c r="I1499" s="26"/>
      <c r="J1499" s="20" t="str">
        <f t="shared" si="29"/>
        <v/>
      </c>
      <c r="K1499" s="26"/>
      <c r="L1499" s="26"/>
      <c r="M1499" s="20" t="str">
        <f t="shared" si="30"/>
        <v/>
      </c>
      <c r="N1499" s="8" t="str">
        <f t="shared" si="3"/>
        <v/>
      </c>
      <c r="O1499" s="21" t="str">
        <f t="shared" si="22"/>
        <v/>
      </c>
      <c r="P1499" s="24" t="b">
        <v>0</v>
      </c>
      <c r="Q1499" s="20" t="str">
        <f t="shared" si="31"/>
        <v/>
      </c>
      <c r="R1499" s="24" t="b">
        <v>0</v>
      </c>
      <c r="S1499" s="7" t="str">
        <f t="shared" si="6"/>
        <v/>
      </c>
      <c r="T1499" s="7"/>
    </row>
    <row r="1500" ht="22.5" hidden="1" customHeight="1">
      <c r="B1500" s="7">
        <f t="shared" si="7"/>
        <v>1494</v>
      </c>
      <c r="C1500" s="40"/>
      <c r="D1500" s="19" t="str">
        <f t="array" ref="D1500">IFNA(_xlfn.XLOOKUP(C1500,Table_Tarikan_Warkah[Nomor Sertipikat],Table_Tarikan_Warkah[Nomor Tiket]),"")</f>
        <v/>
      </c>
      <c r="E1500" s="20" t="str">
        <f t="array" ref="E1500">IFNA(_xlfn.XLOOKUP(D1500,Table_Tarikan_Warkah[Nomor Tiket],Table_Tarikan_Warkah[Tanggal diserahkan kepada Validator]),"")</f>
        <v/>
      </c>
      <c r="F1500" s="20" t="str">
        <f t="array" ref="F1500">IFNA(_xlfn.XLOOKUP(D1500,Table_Tarikan_Warkah[Nomor Tiket],Table_Tarikan_Warkah[Nama Petugas Warkah]),"")</f>
        <v/>
      </c>
      <c r="G1500" s="21" t="str">
        <f t="array" ref="G1500">IFNA(_xlfn.XLOOKUP(D1500,Table_Tarikan_Warkah[Nomor Tiket],Table_Tarikan_Warkah[Jenis Permohonan]),"")</f>
        <v/>
      </c>
      <c r="H1500" s="26"/>
      <c r="I1500" s="26"/>
      <c r="J1500" s="20" t="str">
        <f t="shared" si="29"/>
        <v/>
      </c>
      <c r="K1500" s="26"/>
      <c r="L1500" s="26"/>
      <c r="M1500" s="20" t="str">
        <f t="shared" si="30"/>
        <v/>
      </c>
      <c r="N1500" s="8" t="str">
        <f t="shared" si="3"/>
        <v/>
      </c>
      <c r="O1500" s="21" t="str">
        <f t="shared" si="22"/>
        <v/>
      </c>
      <c r="P1500" s="24" t="b">
        <v>0</v>
      </c>
      <c r="Q1500" s="20" t="str">
        <f t="shared" si="31"/>
        <v/>
      </c>
      <c r="R1500" s="24" t="b">
        <v>0</v>
      </c>
      <c r="S1500" s="7" t="str">
        <f t="shared" si="6"/>
        <v/>
      </c>
      <c r="T1500" s="7"/>
    </row>
    <row r="1501" ht="22.5" hidden="1" customHeight="1">
      <c r="B1501" s="7">
        <f t="shared" si="7"/>
        <v>1495</v>
      </c>
      <c r="C1501" s="40"/>
      <c r="D1501" s="19" t="str">
        <f t="array" ref="D1501">IFNA(_xlfn.XLOOKUP(C1501,Table_Tarikan_Warkah[Nomor Sertipikat],Table_Tarikan_Warkah[Nomor Tiket]),"")</f>
        <v/>
      </c>
      <c r="E1501" s="20" t="str">
        <f t="array" ref="E1501">IFNA(_xlfn.XLOOKUP(D1501,Table_Tarikan_Warkah[Nomor Tiket],Table_Tarikan_Warkah[Tanggal diserahkan kepada Validator]),"")</f>
        <v/>
      </c>
      <c r="F1501" s="20" t="str">
        <f t="array" ref="F1501">IFNA(_xlfn.XLOOKUP(D1501,Table_Tarikan_Warkah[Nomor Tiket],Table_Tarikan_Warkah[Nama Petugas Warkah]),"")</f>
        <v/>
      </c>
      <c r="G1501" s="21" t="str">
        <f t="array" ref="G1501">IFNA(_xlfn.XLOOKUP(D1501,Table_Tarikan_Warkah[Nomor Tiket],Table_Tarikan_Warkah[Jenis Permohonan]),"")</f>
        <v/>
      </c>
      <c r="H1501" s="26"/>
      <c r="I1501" s="26"/>
      <c r="J1501" s="20" t="str">
        <f t="shared" si="29"/>
        <v/>
      </c>
      <c r="K1501" s="26"/>
      <c r="L1501" s="26"/>
      <c r="M1501" s="20" t="str">
        <f t="shared" si="30"/>
        <v/>
      </c>
      <c r="N1501" s="8" t="str">
        <f t="shared" si="3"/>
        <v/>
      </c>
      <c r="O1501" s="21" t="str">
        <f t="shared" si="22"/>
        <v/>
      </c>
      <c r="P1501" s="24" t="b">
        <v>0</v>
      </c>
      <c r="Q1501" s="20" t="str">
        <f t="shared" si="31"/>
        <v/>
      </c>
      <c r="R1501" s="24" t="b">
        <v>0</v>
      </c>
      <c r="S1501" s="7" t="str">
        <f t="shared" si="6"/>
        <v/>
      </c>
      <c r="T1501" s="7"/>
    </row>
    <row r="1502" ht="22.5" hidden="1" customHeight="1">
      <c r="B1502" s="7">
        <f t="shared" si="7"/>
        <v>1496</v>
      </c>
      <c r="C1502" s="40"/>
      <c r="D1502" s="19" t="str">
        <f t="array" ref="D1502">IFNA(_xlfn.XLOOKUP(C1502,Table_Tarikan_Warkah[Nomor Sertipikat],Table_Tarikan_Warkah[Nomor Tiket]),"")</f>
        <v/>
      </c>
      <c r="E1502" s="20" t="str">
        <f t="array" ref="E1502">IFNA(_xlfn.XLOOKUP(D1502,Table_Tarikan_Warkah[Nomor Tiket],Table_Tarikan_Warkah[Tanggal diserahkan kepada Validator]),"")</f>
        <v/>
      </c>
      <c r="F1502" s="20" t="str">
        <f t="array" ref="F1502">IFNA(_xlfn.XLOOKUP(D1502,Table_Tarikan_Warkah[Nomor Tiket],Table_Tarikan_Warkah[Nama Petugas Warkah]),"")</f>
        <v/>
      </c>
      <c r="G1502" s="21" t="str">
        <f t="array" ref="G1502">IFNA(_xlfn.XLOOKUP(D1502,Table_Tarikan_Warkah[Nomor Tiket],Table_Tarikan_Warkah[Jenis Permohonan]),"")</f>
        <v/>
      </c>
      <c r="H1502" s="26"/>
      <c r="I1502" s="26"/>
      <c r="J1502" s="20" t="str">
        <f t="shared" si="29"/>
        <v/>
      </c>
      <c r="K1502" s="26"/>
      <c r="L1502" s="26"/>
      <c r="M1502" s="20" t="str">
        <f t="shared" si="30"/>
        <v/>
      </c>
      <c r="N1502" s="8" t="str">
        <f t="shared" si="3"/>
        <v/>
      </c>
      <c r="O1502" s="21" t="str">
        <f t="shared" si="22"/>
        <v/>
      </c>
      <c r="P1502" s="24" t="b">
        <v>0</v>
      </c>
      <c r="Q1502" s="20" t="str">
        <f t="shared" si="31"/>
        <v/>
      </c>
      <c r="R1502" s="24" t="b">
        <v>0</v>
      </c>
      <c r="S1502" s="7" t="str">
        <f t="shared" si="6"/>
        <v/>
      </c>
      <c r="T1502" s="7"/>
    </row>
    <row r="1503" ht="22.5" hidden="1" customHeight="1">
      <c r="B1503" s="7">
        <f t="shared" si="7"/>
        <v>1497</v>
      </c>
      <c r="C1503" s="40"/>
      <c r="D1503" s="19" t="str">
        <f t="array" ref="D1503">IFNA(_xlfn.XLOOKUP(C1503,Table_Tarikan_Warkah[Nomor Sertipikat],Table_Tarikan_Warkah[Nomor Tiket]),"")</f>
        <v/>
      </c>
      <c r="E1503" s="20" t="str">
        <f t="array" ref="E1503">IFNA(_xlfn.XLOOKUP(D1503,Table_Tarikan_Warkah[Nomor Tiket],Table_Tarikan_Warkah[Tanggal diserahkan kepada Validator]),"")</f>
        <v/>
      </c>
      <c r="F1503" s="20" t="str">
        <f t="array" ref="F1503">IFNA(_xlfn.XLOOKUP(D1503,Table_Tarikan_Warkah[Nomor Tiket],Table_Tarikan_Warkah[Nama Petugas Warkah]),"")</f>
        <v/>
      </c>
      <c r="G1503" s="21" t="str">
        <f t="array" ref="G1503">IFNA(_xlfn.XLOOKUP(D1503,Table_Tarikan_Warkah[Nomor Tiket],Table_Tarikan_Warkah[Jenis Permohonan]),"")</f>
        <v/>
      </c>
      <c r="H1503" s="26"/>
      <c r="I1503" s="26"/>
      <c r="J1503" s="20" t="str">
        <f t="shared" si="29"/>
        <v/>
      </c>
      <c r="K1503" s="26"/>
      <c r="L1503" s="26"/>
      <c r="M1503" s="20" t="str">
        <f t="shared" si="30"/>
        <v/>
      </c>
      <c r="N1503" s="8" t="str">
        <f t="shared" si="3"/>
        <v/>
      </c>
      <c r="O1503" s="21" t="str">
        <f t="shared" si="22"/>
        <v/>
      </c>
      <c r="P1503" s="24" t="b">
        <v>0</v>
      </c>
      <c r="Q1503" s="20" t="str">
        <f t="shared" si="31"/>
        <v/>
      </c>
      <c r="R1503" s="24" t="b">
        <v>0</v>
      </c>
      <c r="S1503" s="7" t="str">
        <f t="shared" si="6"/>
        <v/>
      </c>
      <c r="T1503" s="7"/>
    </row>
    <row r="1504" ht="22.5" hidden="1" customHeight="1">
      <c r="B1504" s="7">
        <f t="shared" si="7"/>
        <v>1498</v>
      </c>
      <c r="C1504" s="40"/>
      <c r="D1504" s="19" t="str">
        <f t="array" ref="D1504">IFNA(_xlfn.XLOOKUP(C1504,Table_Tarikan_Warkah[Nomor Sertipikat],Table_Tarikan_Warkah[Nomor Tiket]),"")</f>
        <v/>
      </c>
      <c r="E1504" s="20" t="str">
        <f t="array" ref="E1504">IFNA(_xlfn.XLOOKUP(D1504,Table_Tarikan_Warkah[Nomor Tiket],Table_Tarikan_Warkah[Tanggal diserahkan kepada Validator]),"")</f>
        <v/>
      </c>
      <c r="F1504" s="20" t="str">
        <f t="array" ref="F1504">IFNA(_xlfn.XLOOKUP(D1504,Table_Tarikan_Warkah[Nomor Tiket],Table_Tarikan_Warkah[Nama Petugas Warkah]),"")</f>
        <v/>
      </c>
      <c r="G1504" s="21" t="str">
        <f t="array" ref="G1504">IFNA(_xlfn.XLOOKUP(D1504,Table_Tarikan_Warkah[Nomor Tiket],Table_Tarikan_Warkah[Jenis Permohonan]),"")</f>
        <v/>
      </c>
      <c r="H1504" s="26"/>
      <c r="I1504" s="26"/>
      <c r="J1504" s="20" t="str">
        <f t="shared" si="29"/>
        <v/>
      </c>
      <c r="K1504" s="26"/>
      <c r="L1504" s="26"/>
      <c r="M1504" s="20" t="str">
        <f t="shared" si="30"/>
        <v/>
      </c>
      <c r="N1504" s="8" t="str">
        <f t="shared" si="3"/>
        <v/>
      </c>
      <c r="O1504" s="21" t="str">
        <f t="shared" si="22"/>
        <v/>
      </c>
      <c r="P1504" s="24" t="b">
        <v>0</v>
      </c>
      <c r="Q1504" s="20" t="str">
        <f t="shared" si="31"/>
        <v/>
      </c>
      <c r="R1504" s="24" t="b">
        <v>0</v>
      </c>
      <c r="S1504" s="7" t="str">
        <f t="shared" si="6"/>
        <v/>
      </c>
      <c r="T1504" s="7"/>
    </row>
    <row r="1505" ht="22.5" hidden="1" customHeight="1">
      <c r="B1505" s="7">
        <f t="shared" si="7"/>
        <v>1499</v>
      </c>
      <c r="C1505" s="40"/>
      <c r="D1505" s="19" t="str">
        <f t="array" ref="D1505">IFNA(_xlfn.XLOOKUP(C1505,Table_Tarikan_Warkah[Nomor Sertipikat],Table_Tarikan_Warkah[Nomor Tiket]),"")</f>
        <v/>
      </c>
      <c r="E1505" s="20" t="str">
        <f t="array" ref="E1505">IFNA(_xlfn.XLOOKUP(D1505,Table_Tarikan_Warkah[Nomor Tiket],Table_Tarikan_Warkah[Tanggal diserahkan kepada Validator]),"")</f>
        <v/>
      </c>
      <c r="F1505" s="20" t="str">
        <f t="array" ref="F1505">IFNA(_xlfn.XLOOKUP(D1505,Table_Tarikan_Warkah[Nomor Tiket],Table_Tarikan_Warkah[Nama Petugas Warkah]),"")</f>
        <v/>
      </c>
      <c r="G1505" s="21" t="str">
        <f t="array" ref="G1505">IFNA(_xlfn.XLOOKUP(D1505,Table_Tarikan_Warkah[Nomor Tiket],Table_Tarikan_Warkah[Jenis Permohonan]),"")</f>
        <v/>
      </c>
      <c r="H1505" s="26"/>
      <c r="I1505" s="26"/>
      <c r="J1505" s="20" t="str">
        <f t="shared" si="29"/>
        <v/>
      </c>
      <c r="K1505" s="26"/>
      <c r="L1505" s="26"/>
      <c r="M1505" s="20" t="str">
        <f t="shared" si="30"/>
        <v/>
      </c>
      <c r="N1505" s="8" t="str">
        <f t="shared" si="3"/>
        <v/>
      </c>
      <c r="O1505" s="21" t="str">
        <f t="shared" si="22"/>
        <v/>
      </c>
      <c r="P1505" s="24" t="b">
        <v>0</v>
      </c>
      <c r="Q1505" s="20" t="str">
        <f t="shared" si="31"/>
        <v/>
      </c>
      <c r="R1505" s="24" t="b">
        <v>0</v>
      </c>
      <c r="S1505" s="7" t="str">
        <f t="shared" si="6"/>
        <v/>
      </c>
      <c r="T1505" s="7"/>
    </row>
    <row r="1506" ht="22.5" hidden="1" customHeight="1">
      <c r="B1506" s="7">
        <f t="shared" si="7"/>
        <v>1500</v>
      </c>
      <c r="C1506" s="40"/>
      <c r="D1506" s="19" t="str">
        <f t="array" ref="D1506">IFNA(_xlfn.XLOOKUP(C1506,Table_Tarikan_Warkah[Nomor Sertipikat],Table_Tarikan_Warkah[Nomor Tiket]),"")</f>
        <v/>
      </c>
      <c r="E1506" s="20" t="str">
        <f t="array" ref="E1506">IFNA(_xlfn.XLOOKUP(D1506,Table_Tarikan_Warkah[Nomor Tiket],Table_Tarikan_Warkah[Tanggal diserahkan kepada Validator]),"")</f>
        <v/>
      </c>
      <c r="F1506" s="20" t="str">
        <f t="array" ref="F1506">IFNA(_xlfn.XLOOKUP(D1506,Table_Tarikan_Warkah[Nomor Tiket],Table_Tarikan_Warkah[Nama Petugas Warkah]),"")</f>
        <v/>
      </c>
      <c r="G1506" s="21" t="str">
        <f t="array" ref="G1506">IFNA(_xlfn.XLOOKUP(D1506,Table_Tarikan_Warkah[Nomor Tiket],Table_Tarikan_Warkah[Jenis Permohonan]),"")</f>
        <v/>
      </c>
      <c r="H1506" s="26"/>
      <c r="I1506" s="26"/>
      <c r="J1506" s="20" t="str">
        <f t="shared" si="29"/>
        <v/>
      </c>
      <c r="K1506" s="26"/>
      <c r="L1506" s="26"/>
      <c r="M1506" s="20" t="str">
        <f t="shared" si="30"/>
        <v/>
      </c>
      <c r="N1506" s="8" t="str">
        <f t="shared" si="3"/>
        <v/>
      </c>
      <c r="O1506" s="21" t="str">
        <f t="shared" si="22"/>
        <v/>
      </c>
      <c r="P1506" s="24" t="b">
        <v>0</v>
      </c>
      <c r="Q1506" s="20" t="str">
        <f t="shared" si="31"/>
        <v/>
      </c>
      <c r="R1506" s="24" t="b">
        <v>0</v>
      </c>
      <c r="S1506" s="7" t="str">
        <f t="shared" si="6"/>
        <v/>
      </c>
      <c r="T1506" s="7"/>
    </row>
    <row r="1507" ht="22.5" hidden="1" customHeight="1">
      <c r="B1507" s="7">
        <f t="shared" si="7"/>
        <v>1501</v>
      </c>
      <c r="C1507" s="40"/>
      <c r="D1507" s="19" t="str">
        <f t="array" ref="D1507">IFNA(_xlfn.XLOOKUP(C1507,Table_Tarikan_Warkah[Nomor Sertipikat],Table_Tarikan_Warkah[Nomor Tiket]),"")</f>
        <v/>
      </c>
      <c r="E1507" s="20" t="str">
        <f t="array" ref="E1507">IFNA(_xlfn.XLOOKUP(D1507,Table_Tarikan_Warkah[Nomor Tiket],Table_Tarikan_Warkah[Tanggal diserahkan kepada Validator]),"")</f>
        <v/>
      </c>
      <c r="F1507" s="20" t="str">
        <f t="array" ref="F1507">IFNA(_xlfn.XLOOKUP(D1507,Table_Tarikan_Warkah[Nomor Tiket],Table_Tarikan_Warkah[Nama Petugas Warkah]),"")</f>
        <v/>
      </c>
      <c r="G1507" s="21" t="str">
        <f t="array" ref="G1507">IFNA(_xlfn.XLOOKUP(D1507,Table_Tarikan_Warkah[Nomor Tiket],Table_Tarikan_Warkah[Jenis Permohonan]),"")</f>
        <v/>
      </c>
      <c r="H1507" s="26"/>
      <c r="I1507" s="26"/>
      <c r="J1507" s="20" t="str">
        <f t="shared" si="29"/>
        <v/>
      </c>
      <c r="K1507" s="26"/>
      <c r="L1507" s="26"/>
      <c r="M1507" s="20" t="str">
        <f t="shared" si="30"/>
        <v/>
      </c>
      <c r="N1507" s="8" t="str">
        <f t="shared" si="3"/>
        <v/>
      </c>
      <c r="O1507" s="21" t="str">
        <f t="shared" si="22"/>
        <v/>
      </c>
      <c r="P1507" s="24" t="b">
        <v>0</v>
      </c>
      <c r="Q1507" s="20" t="str">
        <f t="shared" si="31"/>
        <v/>
      </c>
      <c r="R1507" s="24" t="b">
        <v>0</v>
      </c>
      <c r="S1507" s="7" t="str">
        <f t="shared" si="6"/>
        <v/>
      </c>
      <c r="T1507" s="7"/>
    </row>
    <row r="1508" ht="22.5" hidden="1" customHeight="1">
      <c r="B1508" s="7">
        <f t="shared" si="7"/>
        <v>1502</v>
      </c>
      <c r="C1508" s="40"/>
      <c r="D1508" s="19" t="str">
        <f t="array" ref="D1508">IFNA(_xlfn.XLOOKUP(C1508,Table_Tarikan_Warkah[Nomor Sertipikat],Table_Tarikan_Warkah[Nomor Tiket]),"")</f>
        <v/>
      </c>
      <c r="E1508" s="20" t="str">
        <f t="array" ref="E1508">IFNA(_xlfn.XLOOKUP(D1508,Table_Tarikan_Warkah[Nomor Tiket],Table_Tarikan_Warkah[Tanggal diserahkan kepada Validator]),"")</f>
        <v/>
      </c>
      <c r="F1508" s="20" t="str">
        <f t="array" ref="F1508">IFNA(_xlfn.XLOOKUP(D1508,Table_Tarikan_Warkah[Nomor Tiket],Table_Tarikan_Warkah[Nama Petugas Warkah]),"")</f>
        <v/>
      </c>
      <c r="G1508" s="21" t="str">
        <f t="array" ref="G1508">IFNA(_xlfn.XLOOKUP(D1508,Table_Tarikan_Warkah[Nomor Tiket],Table_Tarikan_Warkah[Jenis Permohonan]),"")</f>
        <v/>
      </c>
      <c r="H1508" s="26"/>
      <c r="I1508" s="26"/>
      <c r="J1508" s="20" t="str">
        <f t="shared" si="29"/>
        <v/>
      </c>
      <c r="K1508" s="26"/>
      <c r="L1508" s="26"/>
      <c r="M1508" s="20" t="str">
        <f t="shared" si="30"/>
        <v/>
      </c>
      <c r="N1508" s="8" t="str">
        <f t="shared" si="3"/>
        <v/>
      </c>
      <c r="O1508" s="21" t="str">
        <f t="shared" si="22"/>
        <v/>
      </c>
      <c r="P1508" s="24" t="b">
        <v>0</v>
      </c>
      <c r="Q1508" s="20" t="str">
        <f t="shared" si="31"/>
        <v/>
      </c>
      <c r="R1508" s="24" t="b">
        <v>0</v>
      </c>
      <c r="S1508" s="7" t="str">
        <f t="shared" si="6"/>
        <v/>
      </c>
      <c r="T1508" s="7"/>
    </row>
    <row r="1509" ht="22.5" hidden="1" customHeight="1">
      <c r="B1509" s="7">
        <f t="shared" si="7"/>
        <v>1503</v>
      </c>
      <c r="C1509" s="40"/>
      <c r="D1509" s="19" t="str">
        <f t="array" ref="D1509">IFNA(_xlfn.XLOOKUP(C1509,Table_Tarikan_Warkah[Nomor Sertipikat],Table_Tarikan_Warkah[Nomor Tiket]),"")</f>
        <v/>
      </c>
      <c r="E1509" s="20" t="str">
        <f t="array" ref="E1509">IFNA(_xlfn.XLOOKUP(D1509,Table_Tarikan_Warkah[Nomor Tiket],Table_Tarikan_Warkah[Tanggal diserahkan kepada Validator]),"")</f>
        <v/>
      </c>
      <c r="F1509" s="20" t="str">
        <f t="array" ref="F1509">IFNA(_xlfn.XLOOKUP(D1509,Table_Tarikan_Warkah[Nomor Tiket],Table_Tarikan_Warkah[Nama Petugas Warkah]),"")</f>
        <v/>
      </c>
      <c r="G1509" s="21" t="str">
        <f t="array" ref="G1509">IFNA(_xlfn.XLOOKUP(D1509,Table_Tarikan_Warkah[Nomor Tiket],Table_Tarikan_Warkah[Jenis Permohonan]),"")</f>
        <v/>
      </c>
      <c r="H1509" s="26"/>
      <c r="I1509" s="26"/>
      <c r="J1509" s="20" t="str">
        <f t="shared" si="29"/>
        <v/>
      </c>
      <c r="K1509" s="26"/>
      <c r="L1509" s="26"/>
      <c r="M1509" s="20" t="str">
        <f t="shared" si="30"/>
        <v/>
      </c>
      <c r="N1509" s="8" t="str">
        <f t="shared" si="3"/>
        <v/>
      </c>
      <c r="O1509" s="21" t="str">
        <f t="shared" si="22"/>
        <v/>
      </c>
      <c r="P1509" s="24" t="b">
        <v>0</v>
      </c>
      <c r="Q1509" s="20" t="str">
        <f t="shared" si="31"/>
        <v/>
      </c>
      <c r="R1509" s="24" t="b">
        <v>0</v>
      </c>
      <c r="S1509" s="7" t="str">
        <f t="shared" si="6"/>
        <v/>
      </c>
      <c r="T1509" s="7"/>
    </row>
    <row r="1510" ht="22.5" hidden="1" customHeight="1">
      <c r="B1510" s="7">
        <f t="shared" si="7"/>
        <v>1504</v>
      </c>
      <c r="C1510" s="40"/>
      <c r="D1510" s="19" t="str">
        <f t="array" ref="D1510">IFNA(_xlfn.XLOOKUP(C1510,Table_Tarikan_Warkah[Nomor Sertipikat],Table_Tarikan_Warkah[Nomor Tiket]),"")</f>
        <v/>
      </c>
      <c r="E1510" s="20" t="str">
        <f t="array" ref="E1510">IFNA(_xlfn.XLOOKUP(D1510,Table_Tarikan_Warkah[Nomor Tiket],Table_Tarikan_Warkah[Tanggal diserahkan kepada Validator]),"")</f>
        <v/>
      </c>
      <c r="F1510" s="20" t="str">
        <f t="array" ref="F1510">IFNA(_xlfn.XLOOKUP(D1510,Table_Tarikan_Warkah[Nomor Tiket],Table_Tarikan_Warkah[Nama Petugas Warkah]),"")</f>
        <v/>
      </c>
      <c r="G1510" s="21" t="str">
        <f t="array" ref="G1510">IFNA(_xlfn.XLOOKUP(D1510,Table_Tarikan_Warkah[Nomor Tiket],Table_Tarikan_Warkah[Jenis Permohonan]),"")</f>
        <v/>
      </c>
      <c r="H1510" s="26"/>
      <c r="I1510" s="26"/>
      <c r="J1510" s="20" t="str">
        <f t="shared" si="29"/>
        <v/>
      </c>
      <c r="K1510" s="26"/>
      <c r="L1510" s="26"/>
      <c r="M1510" s="20" t="str">
        <f t="shared" si="30"/>
        <v/>
      </c>
      <c r="N1510" s="8" t="str">
        <f t="shared" si="3"/>
        <v/>
      </c>
      <c r="O1510" s="21" t="str">
        <f t="shared" si="22"/>
        <v/>
      </c>
      <c r="P1510" s="24" t="b">
        <v>0</v>
      </c>
      <c r="Q1510" s="20" t="str">
        <f t="shared" si="31"/>
        <v/>
      </c>
      <c r="R1510" s="24" t="b">
        <v>0</v>
      </c>
      <c r="S1510" s="7" t="str">
        <f t="shared" si="6"/>
        <v/>
      </c>
      <c r="T1510" s="7"/>
    </row>
    <row r="1511" ht="22.5" hidden="1" customHeight="1">
      <c r="B1511" s="7">
        <f t="shared" si="7"/>
        <v>1505</v>
      </c>
      <c r="C1511" s="40"/>
      <c r="D1511" s="19" t="str">
        <f t="array" ref="D1511">IFNA(_xlfn.XLOOKUP(C1511,Table_Tarikan_Warkah[Nomor Sertipikat],Table_Tarikan_Warkah[Nomor Tiket]),"")</f>
        <v/>
      </c>
      <c r="E1511" s="20" t="str">
        <f t="array" ref="E1511">IFNA(_xlfn.XLOOKUP(D1511,Table_Tarikan_Warkah[Nomor Tiket],Table_Tarikan_Warkah[Tanggal diserahkan kepada Validator]),"")</f>
        <v/>
      </c>
      <c r="F1511" s="20" t="str">
        <f t="array" ref="F1511">IFNA(_xlfn.XLOOKUP(D1511,Table_Tarikan_Warkah[Nomor Tiket],Table_Tarikan_Warkah[Nama Petugas Warkah]),"")</f>
        <v/>
      </c>
      <c r="G1511" s="21" t="str">
        <f t="array" ref="G1511">IFNA(_xlfn.XLOOKUP(D1511,Table_Tarikan_Warkah[Nomor Tiket],Table_Tarikan_Warkah[Jenis Permohonan]),"")</f>
        <v/>
      </c>
      <c r="H1511" s="26"/>
      <c r="I1511" s="26"/>
      <c r="J1511" s="20" t="str">
        <f t="shared" si="29"/>
        <v/>
      </c>
      <c r="K1511" s="26"/>
      <c r="L1511" s="26"/>
      <c r="M1511" s="20" t="str">
        <f t="shared" si="30"/>
        <v/>
      </c>
      <c r="N1511" s="8" t="str">
        <f t="shared" si="3"/>
        <v/>
      </c>
      <c r="O1511" s="21" t="str">
        <f t="shared" si="22"/>
        <v/>
      </c>
      <c r="P1511" s="24" t="b">
        <v>0</v>
      </c>
      <c r="Q1511" s="20" t="str">
        <f t="shared" si="31"/>
        <v/>
      </c>
      <c r="R1511" s="24" t="b">
        <v>0</v>
      </c>
      <c r="S1511" s="7" t="str">
        <f t="shared" si="6"/>
        <v/>
      </c>
      <c r="T1511" s="7"/>
    </row>
    <row r="1512" ht="22.5" hidden="1" customHeight="1">
      <c r="B1512" s="7">
        <f t="shared" si="7"/>
        <v>1506</v>
      </c>
      <c r="C1512" s="40"/>
      <c r="D1512" s="19" t="str">
        <f t="array" ref="D1512">IFNA(_xlfn.XLOOKUP(C1512,Table_Tarikan_Warkah[Nomor Sertipikat],Table_Tarikan_Warkah[Nomor Tiket]),"")</f>
        <v/>
      </c>
      <c r="E1512" s="20" t="str">
        <f t="array" ref="E1512">IFNA(_xlfn.XLOOKUP(D1512,Table_Tarikan_Warkah[Nomor Tiket],Table_Tarikan_Warkah[Tanggal diserahkan kepada Validator]),"")</f>
        <v/>
      </c>
      <c r="F1512" s="20" t="str">
        <f t="array" ref="F1512">IFNA(_xlfn.XLOOKUP(D1512,Table_Tarikan_Warkah[Nomor Tiket],Table_Tarikan_Warkah[Nama Petugas Warkah]),"")</f>
        <v/>
      </c>
      <c r="G1512" s="21" t="str">
        <f t="array" ref="G1512">IFNA(_xlfn.XLOOKUP(D1512,Table_Tarikan_Warkah[Nomor Tiket],Table_Tarikan_Warkah[Jenis Permohonan]),"")</f>
        <v/>
      </c>
      <c r="H1512" s="26"/>
      <c r="I1512" s="26"/>
      <c r="J1512" s="20" t="str">
        <f t="shared" si="29"/>
        <v/>
      </c>
      <c r="K1512" s="26"/>
      <c r="L1512" s="26"/>
      <c r="M1512" s="20" t="str">
        <f t="shared" si="30"/>
        <v/>
      </c>
      <c r="N1512" s="8" t="str">
        <f t="shared" si="3"/>
        <v/>
      </c>
      <c r="O1512" s="21" t="str">
        <f t="shared" si="22"/>
        <v/>
      </c>
      <c r="P1512" s="24" t="b">
        <v>0</v>
      </c>
      <c r="Q1512" s="20" t="str">
        <f t="shared" si="31"/>
        <v/>
      </c>
      <c r="R1512" s="24" t="b">
        <v>0</v>
      </c>
      <c r="S1512" s="7" t="str">
        <f t="shared" si="6"/>
        <v/>
      </c>
      <c r="T1512" s="7"/>
    </row>
    <row r="1513" ht="22.5" hidden="1" customHeight="1">
      <c r="B1513" s="7">
        <f t="shared" si="7"/>
        <v>1507</v>
      </c>
      <c r="C1513" s="40"/>
      <c r="D1513" s="19" t="str">
        <f t="array" ref="D1513">IFNA(_xlfn.XLOOKUP(C1513,Table_Tarikan_Warkah[Nomor Sertipikat],Table_Tarikan_Warkah[Nomor Tiket]),"")</f>
        <v/>
      </c>
      <c r="E1513" s="20" t="str">
        <f t="array" ref="E1513">IFNA(_xlfn.XLOOKUP(D1513,Table_Tarikan_Warkah[Nomor Tiket],Table_Tarikan_Warkah[Tanggal diserahkan kepada Validator]),"")</f>
        <v/>
      </c>
      <c r="F1513" s="20" t="str">
        <f t="array" ref="F1513">IFNA(_xlfn.XLOOKUP(D1513,Table_Tarikan_Warkah[Nomor Tiket],Table_Tarikan_Warkah[Nama Petugas Warkah]),"")</f>
        <v/>
      </c>
      <c r="G1513" s="21" t="str">
        <f t="array" ref="G1513">IFNA(_xlfn.XLOOKUP(D1513,Table_Tarikan_Warkah[Nomor Tiket],Table_Tarikan_Warkah[Jenis Permohonan]),"")</f>
        <v/>
      </c>
      <c r="H1513" s="26"/>
      <c r="I1513" s="26"/>
      <c r="J1513" s="20" t="str">
        <f t="shared" si="29"/>
        <v/>
      </c>
      <c r="K1513" s="26"/>
      <c r="L1513" s="26"/>
      <c r="M1513" s="20" t="str">
        <f t="shared" si="30"/>
        <v/>
      </c>
      <c r="N1513" s="8" t="str">
        <f t="shared" si="3"/>
        <v/>
      </c>
      <c r="O1513" s="21" t="str">
        <f t="shared" si="22"/>
        <v/>
      </c>
      <c r="P1513" s="24" t="b">
        <v>0</v>
      </c>
      <c r="Q1513" s="20" t="str">
        <f t="shared" si="31"/>
        <v/>
      </c>
      <c r="R1513" s="24" t="b">
        <v>0</v>
      </c>
      <c r="S1513" s="7" t="str">
        <f t="shared" si="6"/>
        <v/>
      </c>
      <c r="T1513" s="7"/>
    </row>
    <row r="1514" ht="22.5" hidden="1" customHeight="1">
      <c r="B1514" s="7">
        <f t="shared" si="7"/>
        <v>1508</v>
      </c>
      <c r="C1514" s="40"/>
      <c r="D1514" s="19" t="str">
        <f t="array" ref="D1514">IFNA(_xlfn.XLOOKUP(C1514,Table_Tarikan_Warkah[Nomor Sertipikat],Table_Tarikan_Warkah[Nomor Tiket]),"")</f>
        <v/>
      </c>
      <c r="E1514" s="20" t="str">
        <f t="array" ref="E1514">IFNA(_xlfn.XLOOKUP(D1514,Table_Tarikan_Warkah[Nomor Tiket],Table_Tarikan_Warkah[Tanggal diserahkan kepada Validator]),"")</f>
        <v/>
      </c>
      <c r="F1514" s="20" t="str">
        <f t="array" ref="F1514">IFNA(_xlfn.XLOOKUP(D1514,Table_Tarikan_Warkah[Nomor Tiket],Table_Tarikan_Warkah[Nama Petugas Warkah]),"")</f>
        <v/>
      </c>
      <c r="G1514" s="21" t="str">
        <f t="array" ref="G1514">IFNA(_xlfn.XLOOKUP(D1514,Table_Tarikan_Warkah[Nomor Tiket],Table_Tarikan_Warkah[Jenis Permohonan]),"")</f>
        <v/>
      </c>
      <c r="H1514" s="26"/>
      <c r="I1514" s="26"/>
      <c r="J1514" s="20" t="str">
        <f t="shared" si="29"/>
        <v/>
      </c>
      <c r="K1514" s="26"/>
      <c r="L1514" s="26"/>
      <c r="M1514" s="20" t="str">
        <f t="shared" si="30"/>
        <v/>
      </c>
      <c r="N1514" s="8" t="str">
        <f t="shared" si="3"/>
        <v/>
      </c>
      <c r="O1514" s="21" t="str">
        <f t="shared" si="22"/>
        <v/>
      </c>
      <c r="P1514" s="24" t="b">
        <v>0</v>
      </c>
      <c r="Q1514" s="20" t="str">
        <f t="shared" si="31"/>
        <v/>
      </c>
      <c r="R1514" s="24" t="b">
        <v>0</v>
      </c>
      <c r="S1514" s="7" t="str">
        <f t="shared" si="6"/>
        <v/>
      </c>
      <c r="T1514" s="7"/>
    </row>
    <row r="1515" ht="22.5" hidden="1" customHeight="1">
      <c r="B1515" s="7">
        <f t="shared" si="7"/>
        <v>1509</v>
      </c>
      <c r="C1515" s="40"/>
      <c r="D1515" s="19" t="str">
        <f t="array" ref="D1515">IFNA(_xlfn.XLOOKUP(C1515,Table_Tarikan_Warkah[Nomor Sertipikat],Table_Tarikan_Warkah[Nomor Tiket]),"")</f>
        <v/>
      </c>
      <c r="E1515" s="20" t="str">
        <f t="array" ref="E1515">IFNA(_xlfn.XLOOKUP(D1515,Table_Tarikan_Warkah[Nomor Tiket],Table_Tarikan_Warkah[Tanggal diserahkan kepada Validator]),"")</f>
        <v/>
      </c>
      <c r="F1515" s="20" t="str">
        <f t="array" ref="F1515">IFNA(_xlfn.XLOOKUP(D1515,Table_Tarikan_Warkah[Nomor Tiket],Table_Tarikan_Warkah[Nama Petugas Warkah]),"")</f>
        <v/>
      </c>
      <c r="G1515" s="21" t="str">
        <f t="array" ref="G1515">IFNA(_xlfn.XLOOKUP(D1515,Table_Tarikan_Warkah[Nomor Tiket],Table_Tarikan_Warkah[Jenis Permohonan]),"")</f>
        <v/>
      </c>
      <c r="H1515" s="26"/>
      <c r="I1515" s="26"/>
      <c r="J1515" s="20" t="str">
        <f t="shared" si="29"/>
        <v/>
      </c>
      <c r="K1515" s="26"/>
      <c r="L1515" s="26"/>
      <c r="M1515" s="20" t="str">
        <f t="shared" si="30"/>
        <v/>
      </c>
      <c r="N1515" s="8" t="str">
        <f t="shared" si="3"/>
        <v/>
      </c>
      <c r="O1515" s="21" t="str">
        <f t="shared" si="22"/>
        <v/>
      </c>
      <c r="P1515" s="24" t="b">
        <v>0</v>
      </c>
      <c r="Q1515" s="20" t="str">
        <f t="shared" si="31"/>
        <v/>
      </c>
      <c r="R1515" s="24" t="b">
        <v>0</v>
      </c>
      <c r="S1515" s="7" t="str">
        <f t="shared" si="6"/>
        <v/>
      </c>
      <c r="T1515" s="7"/>
    </row>
    <row r="1516" ht="22.5" hidden="1" customHeight="1">
      <c r="B1516" s="7">
        <f t="shared" si="7"/>
        <v>1510</v>
      </c>
      <c r="C1516" s="40"/>
      <c r="D1516" s="19" t="str">
        <f t="array" ref="D1516">IFNA(_xlfn.XLOOKUP(C1516,Table_Tarikan_Warkah[Nomor Sertipikat],Table_Tarikan_Warkah[Nomor Tiket]),"")</f>
        <v/>
      </c>
      <c r="E1516" s="20" t="str">
        <f t="array" ref="E1516">IFNA(_xlfn.XLOOKUP(D1516,Table_Tarikan_Warkah[Nomor Tiket],Table_Tarikan_Warkah[Tanggal diserahkan kepada Validator]),"")</f>
        <v/>
      </c>
      <c r="F1516" s="20" t="str">
        <f t="array" ref="F1516">IFNA(_xlfn.XLOOKUP(D1516,Table_Tarikan_Warkah[Nomor Tiket],Table_Tarikan_Warkah[Nama Petugas Warkah]),"")</f>
        <v/>
      </c>
      <c r="G1516" s="21" t="str">
        <f t="array" ref="G1516">IFNA(_xlfn.XLOOKUP(D1516,Table_Tarikan_Warkah[Nomor Tiket],Table_Tarikan_Warkah[Jenis Permohonan]),"")</f>
        <v/>
      </c>
      <c r="H1516" s="26"/>
      <c r="I1516" s="26"/>
      <c r="J1516" s="20" t="str">
        <f t="shared" si="29"/>
        <v/>
      </c>
      <c r="K1516" s="26"/>
      <c r="L1516" s="26"/>
      <c r="M1516" s="20" t="str">
        <f t="shared" si="30"/>
        <v/>
      </c>
      <c r="N1516" s="8" t="str">
        <f t="shared" si="3"/>
        <v/>
      </c>
      <c r="O1516" s="21" t="str">
        <f t="shared" si="22"/>
        <v/>
      </c>
      <c r="P1516" s="24" t="b">
        <v>0</v>
      </c>
      <c r="Q1516" s="20" t="str">
        <f t="shared" si="31"/>
        <v/>
      </c>
      <c r="R1516" s="24" t="b">
        <v>0</v>
      </c>
      <c r="S1516" s="7" t="str">
        <f t="shared" si="6"/>
        <v/>
      </c>
      <c r="T1516" s="7"/>
    </row>
    <row r="1517" ht="22.5" hidden="1" customHeight="1">
      <c r="B1517" s="7">
        <f t="shared" si="7"/>
        <v>1511</v>
      </c>
      <c r="C1517" s="40"/>
      <c r="D1517" s="19" t="str">
        <f t="array" ref="D1517">IFNA(_xlfn.XLOOKUP(C1517,Table_Tarikan_Warkah[Nomor Sertipikat],Table_Tarikan_Warkah[Nomor Tiket]),"")</f>
        <v/>
      </c>
      <c r="E1517" s="20" t="str">
        <f t="array" ref="E1517">IFNA(_xlfn.XLOOKUP(D1517,Table_Tarikan_Warkah[Nomor Tiket],Table_Tarikan_Warkah[Tanggal diserahkan kepada Validator]),"")</f>
        <v/>
      </c>
      <c r="F1517" s="20" t="str">
        <f t="array" ref="F1517">IFNA(_xlfn.XLOOKUP(D1517,Table_Tarikan_Warkah[Nomor Tiket],Table_Tarikan_Warkah[Nama Petugas Warkah]),"")</f>
        <v/>
      </c>
      <c r="G1517" s="21" t="str">
        <f t="array" ref="G1517">IFNA(_xlfn.XLOOKUP(D1517,Table_Tarikan_Warkah[Nomor Tiket],Table_Tarikan_Warkah[Jenis Permohonan]),"")</f>
        <v/>
      </c>
      <c r="H1517" s="26"/>
      <c r="I1517" s="26"/>
      <c r="J1517" s="20" t="str">
        <f t="shared" si="29"/>
        <v/>
      </c>
      <c r="K1517" s="26"/>
      <c r="L1517" s="26"/>
      <c r="M1517" s="20" t="str">
        <f t="shared" si="30"/>
        <v/>
      </c>
      <c r="N1517" s="8" t="str">
        <f t="shared" si="3"/>
        <v/>
      </c>
      <c r="O1517" s="21" t="str">
        <f t="shared" si="22"/>
        <v/>
      </c>
      <c r="P1517" s="24" t="b">
        <v>0</v>
      </c>
      <c r="Q1517" s="20" t="str">
        <f t="shared" si="31"/>
        <v/>
      </c>
      <c r="R1517" s="24" t="b">
        <v>0</v>
      </c>
      <c r="S1517" s="7" t="str">
        <f t="shared" si="6"/>
        <v/>
      </c>
      <c r="T1517" s="7"/>
    </row>
    <row r="1518" ht="22.5" hidden="1" customHeight="1">
      <c r="B1518" s="7">
        <f t="shared" si="7"/>
        <v>1512</v>
      </c>
      <c r="C1518" s="40"/>
      <c r="D1518" s="19" t="str">
        <f t="array" ref="D1518">IFNA(_xlfn.XLOOKUP(C1518,Table_Tarikan_Warkah[Nomor Sertipikat],Table_Tarikan_Warkah[Nomor Tiket]),"")</f>
        <v/>
      </c>
      <c r="E1518" s="20" t="str">
        <f t="array" ref="E1518">IFNA(_xlfn.XLOOKUP(D1518,Table_Tarikan_Warkah[Nomor Tiket],Table_Tarikan_Warkah[Tanggal diserahkan kepada Validator]),"")</f>
        <v/>
      </c>
      <c r="F1518" s="20" t="str">
        <f t="array" ref="F1518">IFNA(_xlfn.XLOOKUP(D1518,Table_Tarikan_Warkah[Nomor Tiket],Table_Tarikan_Warkah[Nama Petugas Warkah]),"")</f>
        <v/>
      </c>
      <c r="G1518" s="21" t="str">
        <f t="array" ref="G1518">IFNA(_xlfn.XLOOKUP(D1518,Table_Tarikan_Warkah[Nomor Tiket],Table_Tarikan_Warkah[Jenis Permohonan]),"")</f>
        <v/>
      </c>
      <c r="H1518" s="26"/>
      <c r="I1518" s="26"/>
      <c r="J1518" s="20" t="str">
        <f t="shared" si="29"/>
        <v/>
      </c>
      <c r="K1518" s="26"/>
      <c r="L1518" s="26"/>
      <c r="M1518" s="20" t="str">
        <f t="shared" si="30"/>
        <v/>
      </c>
      <c r="N1518" s="8" t="str">
        <f t="shared" si="3"/>
        <v/>
      </c>
      <c r="O1518" s="21" t="str">
        <f t="shared" si="22"/>
        <v/>
      </c>
      <c r="P1518" s="24" t="b">
        <v>0</v>
      </c>
      <c r="Q1518" s="20" t="str">
        <f t="shared" si="31"/>
        <v/>
      </c>
      <c r="R1518" s="24" t="b">
        <v>0</v>
      </c>
      <c r="S1518" s="7" t="str">
        <f t="shared" si="6"/>
        <v/>
      </c>
      <c r="T1518" s="7"/>
    </row>
    <row r="1519" ht="22.5" hidden="1" customHeight="1">
      <c r="B1519" s="7">
        <f t="shared" si="7"/>
        <v>1513</v>
      </c>
      <c r="C1519" s="40"/>
      <c r="D1519" s="19" t="str">
        <f t="array" ref="D1519">IFNA(_xlfn.XLOOKUP(C1519,Table_Tarikan_Warkah[Nomor Sertipikat],Table_Tarikan_Warkah[Nomor Tiket]),"")</f>
        <v/>
      </c>
      <c r="E1519" s="20" t="str">
        <f t="array" ref="E1519">IFNA(_xlfn.XLOOKUP(D1519,Table_Tarikan_Warkah[Nomor Tiket],Table_Tarikan_Warkah[Tanggal diserahkan kepada Validator]),"")</f>
        <v/>
      </c>
      <c r="F1519" s="20" t="str">
        <f t="array" ref="F1519">IFNA(_xlfn.XLOOKUP(D1519,Table_Tarikan_Warkah[Nomor Tiket],Table_Tarikan_Warkah[Nama Petugas Warkah]),"")</f>
        <v/>
      </c>
      <c r="G1519" s="21" t="str">
        <f t="array" ref="G1519">IFNA(_xlfn.XLOOKUP(D1519,Table_Tarikan_Warkah[Nomor Tiket],Table_Tarikan_Warkah[Jenis Permohonan]),"")</f>
        <v/>
      </c>
      <c r="H1519" s="26"/>
      <c r="I1519" s="26"/>
      <c r="J1519" s="20" t="str">
        <f t="shared" si="29"/>
        <v/>
      </c>
      <c r="K1519" s="26"/>
      <c r="L1519" s="26"/>
      <c r="M1519" s="20" t="str">
        <f t="shared" si="30"/>
        <v/>
      </c>
      <c r="N1519" s="8" t="str">
        <f t="shared" si="3"/>
        <v/>
      </c>
      <c r="O1519" s="21" t="str">
        <f t="shared" si="22"/>
        <v/>
      </c>
      <c r="P1519" s="24" t="b">
        <v>0</v>
      </c>
      <c r="Q1519" s="20" t="str">
        <f t="shared" si="31"/>
        <v/>
      </c>
      <c r="R1519" s="24" t="b">
        <v>0</v>
      </c>
      <c r="S1519" s="7" t="str">
        <f t="shared" si="6"/>
        <v/>
      </c>
      <c r="T1519" s="7"/>
    </row>
    <row r="1520" ht="22.5" hidden="1" customHeight="1">
      <c r="B1520" s="7">
        <f t="shared" si="7"/>
        <v>1514</v>
      </c>
      <c r="C1520" s="40"/>
      <c r="D1520" s="19" t="str">
        <f t="array" ref="D1520">IFNA(_xlfn.XLOOKUP(C1520,Table_Tarikan_Warkah[Nomor Sertipikat],Table_Tarikan_Warkah[Nomor Tiket]),"")</f>
        <v/>
      </c>
      <c r="E1520" s="20" t="str">
        <f t="array" ref="E1520">IFNA(_xlfn.XLOOKUP(D1520,Table_Tarikan_Warkah[Nomor Tiket],Table_Tarikan_Warkah[Tanggal diserahkan kepada Validator]),"")</f>
        <v/>
      </c>
      <c r="F1520" s="20" t="str">
        <f t="array" ref="F1520">IFNA(_xlfn.XLOOKUP(D1520,Table_Tarikan_Warkah[Nomor Tiket],Table_Tarikan_Warkah[Nama Petugas Warkah]),"")</f>
        <v/>
      </c>
      <c r="G1520" s="21" t="str">
        <f t="array" ref="G1520">IFNA(_xlfn.XLOOKUP(D1520,Table_Tarikan_Warkah[Nomor Tiket],Table_Tarikan_Warkah[Jenis Permohonan]),"")</f>
        <v/>
      </c>
      <c r="H1520" s="26"/>
      <c r="I1520" s="26"/>
      <c r="J1520" s="20" t="str">
        <f t="shared" si="29"/>
        <v/>
      </c>
      <c r="K1520" s="26"/>
      <c r="L1520" s="26"/>
      <c r="M1520" s="20" t="str">
        <f t="shared" si="30"/>
        <v/>
      </c>
      <c r="N1520" s="8" t="str">
        <f t="shared" si="3"/>
        <v/>
      </c>
      <c r="O1520" s="21" t="str">
        <f t="shared" si="22"/>
        <v/>
      </c>
      <c r="P1520" s="24" t="b">
        <v>0</v>
      </c>
      <c r="Q1520" s="20" t="str">
        <f t="shared" si="31"/>
        <v/>
      </c>
      <c r="R1520" s="24" t="b">
        <v>0</v>
      </c>
      <c r="S1520" s="7" t="str">
        <f t="shared" si="6"/>
        <v/>
      </c>
      <c r="T1520" s="7"/>
    </row>
    <row r="1521" ht="22.5" hidden="1" customHeight="1">
      <c r="B1521" s="7">
        <f t="shared" si="7"/>
        <v>1515</v>
      </c>
      <c r="C1521" s="40"/>
      <c r="D1521" s="19" t="str">
        <f t="array" ref="D1521">IFNA(_xlfn.XLOOKUP(C1521,Table_Tarikan_Warkah[Nomor Sertipikat],Table_Tarikan_Warkah[Nomor Tiket]),"")</f>
        <v/>
      </c>
      <c r="E1521" s="20" t="str">
        <f t="array" ref="E1521">IFNA(_xlfn.XLOOKUP(D1521,Table_Tarikan_Warkah[Nomor Tiket],Table_Tarikan_Warkah[Tanggal diserahkan kepada Validator]),"")</f>
        <v/>
      </c>
      <c r="F1521" s="20" t="str">
        <f t="array" ref="F1521">IFNA(_xlfn.XLOOKUP(D1521,Table_Tarikan_Warkah[Nomor Tiket],Table_Tarikan_Warkah[Nama Petugas Warkah]),"")</f>
        <v/>
      </c>
      <c r="G1521" s="21" t="str">
        <f t="array" ref="G1521">IFNA(_xlfn.XLOOKUP(D1521,Table_Tarikan_Warkah[Nomor Tiket],Table_Tarikan_Warkah[Jenis Permohonan]),"")</f>
        <v/>
      </c>
      <c r="H1521" s="26"/>
      <c r="I1521" s="26"/>
      <c r="J1521" s="20" t="str">
        <f t="shared" si="29"/>
        <v/>
      </c>
      <c r="K1521" s="26"/>
      <c r="L1521" s="26"/>
      <c r="M1521" s="20" t="str">
        <f t="shared" si="30"/>
        <v/>
      </c>
      <c r="N1521" s="8" t="str">
        <f t="shared" si="3"/>
        <v/>
      </c>
      <c r="O1521" s="21" t="str">
        <f t="shared" si="22"/>
        <v/>
      </c>
      <c r="P1521" s="24" t="b">
        <v>0</v>
      </c>
      <c r="Q1521" s="20" t="str">
        <f t="shared" si="31"/>
        <v/>
      </c>
      <c r="R1521" s="24" t="b">
        <v>0</v>
      </c>
      <c r="S1521" s="7" t="str">
        <f t="shared" si="6"/>
        <v/>
      </c>
      <c r="T1521" s="7"/>
    </row>
    <row r="1522" ht="22.5" hidden="1" customHeight="1">
      <c r="B1522" s="7">
        <f t="shared" si="7"/>
        <v>1516</v>
      </c>
      <c r="C1522" s="40"/>
      <c r="D1522" s="19" t="str">
        <f t="array" ref="D1522">IFNA(_xlfn.XLOOKUP(C1522,Table_Tarikan_Warkah[Nomor Sertipikat],Table_Tarikan_Warkah[Nomor Tiket]),"")</f>
        <v/>
      </c>
      <c r="E1522" s="20" t="str">
        <f t="array" ref="E1522">IFNA(_xlfn.XLOOKUP(D1522,Table_Tarikan_Warkah[Nomor Tiket],Table_Tarikan_Warkah[Tanggal diserahkan kepada Validator]),"")</f>
        <v/>
      </c>
      <c r="F1522" s="20" t="str">
        <f t="array" ref="F1522">IFNA(_xlfn.XLOOKUP(D1522,Table_Tarikan_Warkah[Nomor Tiket],Table_Tarikan_Warkah[Nama Petugas Warkah]),"")</f>
        <v/>
      </c>
      <c r="G1522" s="21" t="str">
        <f t="array" ref="G1522">IFNA(_xlfn.XLOOKUP(D1522,Table_Tarikan_Warkah[Nomor Tiket],Table_Tarikan_Warkah[Jenis Permohonan]),"")</f>
        <v/>
      </c>
      <c r="H1522" s="26"/>
      <c r="I1522" s="26"/>
      <c r="J1522" s="20" t="str">
        <f t="shared" si="29"/>
        <v/>
      </c>
      <c r="K1522" s="26"/>
      <c r="L1522" s="26"/>
      <c r="M1522" s="20" t="str">
        <f t="shared" si="30"/>
        <v/>
      </c>
      <c r="N1522" s="8" t="str">
        <f t="shared" si="3"/>
        <v/>
      </c>
      <c r="O1522" s="21" t="str">
        <f t="shared" si="22"/>
        <v/>
      </c>
      <c r="P1522" s="24" t="b">
        <v>0</v>
      </c>
      <c r="Q1522" s="20" t="str">
        <f t="shared" si="31"/>
        <v/>
      </c>
      <c r="R1522" s="24" t="b">
        <v>0</v>
      </c>
      <c r="S1522" s="7" t="str">
        <f t="shared" si="6"/>
        <v/>
      </c>
      <c r="T1522" s="7"/>
    </row>
    <row r="1523" ht="22.5" hidden="1" customHeight="1">
      <c r="B1523" s="7">
        <f t="shared" si="7"/>
        <v>1517</v>
      </c>
      <c r="C1523" s="40"/>
      <c r="D1523" s="19" t="str">
        <f t="array" ref="D1523">IFNA(_xlfn.XLOOKUP(C1523,Table_Tarikan_Warkah[Nomor Sertipikat],Table_Tarikan_Warkah[Nomor Tiket]),"")</f>
        <v/>
      </c>
      <c r="E1523" s="20" t="str">
        <f t="array" ref="E1523">IFNA(_xlfn.XLOOKUP(D1523,Table_Tarikan_Warkah[Nomor Tiket],Table_Tarikan_Warkah[Tanggal diserahkan kepada Validator]),"")</f>
        <v/>
      </c>
      <c r="F1523" s="20" t="str">
        <f t="array" ref="F1523">IFNA(_xlfn.XLOOKUP(D1523,Table_Tarikan_Warkah[Nomor Tiket],Table_Tarikan_Warkah[Nama Petugas Warkah]),"")</f>
        <v/>
      </c>
      <c r="G1523" s="21" t="str">
        <f t="array" ref="G1523">IFNA(_xlfn.XLOOKUP(D1523,Table_Tarikan_Warkah[Nomor Tiket],Table_Tarikan_Warkah[Jenis Permohonan]),"")</f>
        <v/>
      </c>
      <c r="H1523" s="26"/>
      <c r="I1523" s="26"/>
      <c r="J1523" s="20" t="str">
        <f t="shared" si="29"/>
        <v/>
      </c>
      <c r="K1523" s="26"/>
      <c r="L1523" s="26"/>
      <c r="M1523" s="20" t="str">
        <f t="shared" si="30"/>
        <v/>
      </c>
      <c r="N1523" s="8" t="str">
        <f t="shared" si="3"/>
        <v/>
      </c>
      <c r="O1523" s="21" t="str">
        <f t="shared" si="22"/>
        <v/>
      </c>
      <c r="P1523" s="24" t="b">
        <v>0</v>
      </c>
      <c r="Q1523" s="20" t="str">
        <f t="shared" si="31"/>
        <v/>
      </c>
      <c r="R1523" s="24" t="b">
        <v>0</v>
      </c>
      <c r="S1523" s="7" t="str">
        <f t="shared" si="6"/>
        <v/>
      </c>
      <c r="T1523" s="7"/>
    </row>
    <row r="1524" ht="22.5" hidden="1" customHeight="1">
      <c r="B1524" s="7">
        <f t="shared" si="7"/>
        <v>1518</v>
      </c>
      <c r="C1524" s="40"/>
      <c r="D1524" s="19" t="str">
        <f t="array" ref="D1524">IFNA(_xlfn.XLOOKUP(C1524,Table_Tarikan_Warkah[Nomor Sertipikat],Table_Tarikan_Warkah[Nomor Tiket]),"")</f>
        <v/>
      </c>
      <c r="E1524" s="20" t="str">
        <f t="array" ref="E1524">IFNA(_xlfn.XLOOKUP(D1524,Table_Tarikan_Warkah[Nomor Tiket],Table_Tarikan_Warkah[Tanggal diserahkan kepada Validator]),"")</f>
        <v/>
      </c>
      <c r="F1524" s="20" t="str">
        <f t="array" ref="F1524">IFNA(_xlfn.XLOOKUP(D1524,Table_Tarikan_Warkah[Nomor Tiket],Table_Tarikan_Warkah[Nama Petugas Warkah]),"")</f>
        <v/>
      </c>
      <c r="G1524" s="21" t="str">
        <f t="array" ref="G1524">IFNA(_xlfn.XLOOKUP(D1524,Table_Tarikan_Warkah[Nomor Tiket],Table_Tarikan_Warkah[Jenis Permohonan]),"")</f>
        <v/>
      </c>
      <c r="H1524" s="26"/>
      <c r="I1524" s="26"/>
      <c r="J1524" s="20" t="str">
        <f t="shared" si="29"/>
        <v/>
      </c>
      <c r="K1524" s="26"/>
      <c r="L1524" s="26"/>
      <c r="M1524" s="20" t="str">
        <f t="shared" si="30"/>
        <v/>
      </c>
      <c r="N1524" s="8" t="str">
        <f t="shared" si="3"/>
        <v/>
      </c>
      <c r="O1524" s="21" t="str">
        <f t="shared" si="22"/>
        <v/>
      </c>
      <c r="P1524" s="24" t="b">
        <v>0</v>
      </c>
      <c r="Q1524" s="20" t="str">
        <f t="shared" si="31"/>
        <v/>
      </c>
      <c r="R1524" s="24" t="b">
        <v>0</v>
      </c>
      <c r="S1524" s="7" t="str">
        <f t="shared" si="6"/>
        <v/>
      </c>
      <c r="T1524" s="7"/>
    </row>
    <row r="1525" ht="22.5" hidden="1" customHeight="1">
      <c r="B1525" s="7">
        <f t="shared" si="7"/>
        <v>1519</v>
      </c>
      <c r="C1525" s="40"/>
      <c r="D1525" s="19" t="str">
        <f t="array" ref="D1525">IFNA(_xlfn.XLOOKUP(C1525,Table_Tarikan_Warkah[Nomor Sertipikat],Table_Tarikan_Warkah[Nomor Tiket]),"")</f>
        <v/>
      </c>
      <c r="E1525" s="20" t="str">
        <f t="array" ref="E1525">IFNA(_xlfn.XLOOKUP(D1525,Table_Tarikan_Warkah[Nomor Tiket],Table_Tarikan_Warkah[Tanggal diserahkan kepada Validator]),"")</f>
        <v/>
      </c>
      <c r="F1525" s="20" t="str">
        <f t="array" ref="F1525">IFNA(_xlfn.XLOOKUP(D1525,Table_Tarikan_Warkah[Nomor Tiket],Table_Tarikan_Warkah[Nama Petugas Warkah]),"")</f>
        <v/>
      </c>
      <c r="G1525" s="21" t="str">
        <f t="array" ref="G1525">IFNA(_xlfn.XLOOKUP(D1525,Table_Tarikan_Warkah[Nomor Tiket],Table_Tarikan_Warkah[Jenis Permohonan]),"")</f>
        <v/>
      </c>
      <c r="H1525" s="26"/>
      <c r="I1525" s="26"/>
      <c r="J1525" s="20" t="str">
        <f t="shared" si="29"/>
        <v/>
      </c>
      <c r="K1525" s="26"/>
      <c r="L1525" s="26"/>
      <c r="M1525" s="20" t="str">
        <f t="shared" si="30"/>
        <v/>
      </c>
      <c r="N1525" s="8" t="str">
        <f t="shared" si="3"/>
        <v/>
      </c>
      <c r="O1525" s="21" t="str">
        <f t="shared" si="22"/>
        <v/>
      </c>
      <c r="P1525" s="24" t="b">
        <v>0</v>
      </c>
      <c r="Q1525" s="20" t="str">
        <f t="shared" si="31"/>
        <v/>
      </c>
      <c r="R1525" s="24" t="b">
        <v>0</v>
      </c>
      <c r="S1525" s="7" t="str">
        <f t="shared" si="6"/>
        <v/>
      </c>
      <c r="T1525" s="7"/>
    </row>
    <row r="1526" ht="22.5" hidden="1" customHeight="1">
      <c r="B1526" s="7">
        <f t="shared" si="7"/>
        <v>1520</v>
      </c>
      <c r="C1526" s="40"/>
      <c r="D1526" s="19" t="str">
        <f t="array" ref="D1526">IFNA(_xlfn.XLOOKUP(C1526,Table_Tarikan_Warkah[Nomor Sertipikat],Table_Tarikan_Warkah[Nomor Tiket]),"")</f>
        <v/>
      </c>
      <c r="E1526" s="20" t="str">
        <f t="array" ref="E1526">IFNA(_xlfn.XLOOKUP(D1526,Table_Tarikan_Warkah[Nomor Tiket],Table_Tarikan_Warkah[Tanggal diserahkan kepada Validator]),"")</f>
        <v/>
      </c>
      <c r="F1526" s="20" t="str">
        <f t="array" ref="F1526">IFNA(_xlfn.XLOOKUP(D1526,Table_Tarikan_Warkah[Nomor Tiket],Table_Tarikan_Warkah[Nama Petugas Warkah]),"")</f>
        <v/>
      </c>
      <c r="G1526" s="21" t="str">
        <f t="array" ref="G1526">IFNA(_xlfn.XLOOKUP(D1526,Table_Tarikan_Warkah[Nomor Tiket],Table_Tarikan_Warkah[Jenis Permohonan]),"")</f>
        <v/>
      </c>
      <c r="H1526" s="26"/>
      <c r="I1526" s="26"/>
      <c r="J1526" s="20" t="str">
        <f t="shared" si="29"/>
        <v/>
      </c>
      <c r="K1526" s="26"/>
      <c r="L1526" s="26"/>
      <c r="M1526" s="20" t="str">
        <f t="shared" si="30"/>
        <v/>
      </c>
      <c r="N1526" s="8" t="str">
        <f t="shared" si="3"/>
        <v/>
      </c>
      <c r="O1526" s="21" t="str">
        <f t="shared" si="22"/>
        <v/>
      </c>
      <c r="P1526" s="24" t="b">
        <v>0</v>
      </c>
      <c r="Q1526" s="20" t="str">
        <f t="shared" si="31"/>
        <v/>
      </c>
      <c r="R1526" s="24" t="b">
        <v>0</v>
      </c>
      <c r="S1526" s="7" t="str">
        <f t="shared" si="6"/>
        <v/>
      </c>
      <c r="T1526" s="7"/>
    </row>
    <row r="1527" ht="22.5" hidden="1" customHeight="1">
      <c r="B1527" s="7">
        <f t="shared" si="7"/>
        <v>1521</v>
      </c>
      <c r="C1527" s="40"/>
      <c r="D1527" s="19" t="str">
        <f t="array" ref="D1527">IFNA(_xlfn.XLOOKUP(C1527,Table_Tarikan_Warkah[Nomor Sertipikat],Table_Tarikan_Warkah[Nomor Tiket]),"")</f>
        <v/>
      </c>
      <c r="E1527" s="20" t="str">
        <f t="array" ref="E1527">IFNA(_xlfn.XLOOKUP(D1527,Table_Tarikan_Warkah[Nomor Tiket],Table_Tarikan_Warkah[Tanggal diserahkan kepada Validator]),"")</f>
        <v/>
      </c>
      <c r="F1527" s="20" t="str">
        <f t="array" ref="F1527">IFNA(_xlfn.XLOOKUP(D1527,Table_Tarikan_Warkah[Nomor Tiket],Table_Tarikan_Warkah[Nama Petugas Warkah]),"")</f>
        <v/>
      </c>
      <c r="G1527" s="21" t="str">
        <f t="array" ref="G1527">IFNA(_xlfn.XLOOKUP(D1527,Table_Tarikan_Warkah[Nomor Tiket],Table_Tarikan_Warkah[Jenis Permohonan]),"")</f>
        <v/>
      </c>
      <c r="H1527" s="26"/>
      <c r="I1527" s="26"/>
      <c r="J1527" s="20" t="str">
        <f t="shared" si="29"/>
        <v/>
      </c>
      <c r="K1527" s="26"/>
      <c r="L1527" s="26"/>
      <c r="M1527" s="20" t="str">
        <f t="shared" si="30"/>
        <v/>
      </c>
      <c r="N1527" s="8" t="str">
        <f t="shared" si="3"/>
        <v/>
      </c>
      <c r="O1527" s="21" t="str">
        <f t="shared" si="22"/>
        <v/>
      </c>
      <c r="P1527" s="24" t="b">
        <v>0</v>
      </c>
      <c r="Q1527" s="20" t="str">
        <f t="shared" si="31"/>
        <v/>
      </c>
      <c r="R1527" s="24" t="b">
        <v>0</v>
      </c>
      <c r="S1527" s="7" t="str">
        <f t="shared" si="6"/>
        <v/>
      </c>
      <c r="T1527" s="7"/>
    </row>
    <row r="1528" ht="22.5" hidden="1" customHeight="1">
      <c r="B1528" s="7">
        <f t="shared" si="7"/>
        <v>1522</v>
      </c>
      <c r="C1528" s="40"/>
      <c r="D1528" s="19" t="str">
        <f t="array" ref="D1528">IFNA(_xlfn.XLOOKUP(C1528,Table_Tarikan_Warkah[Nomor Sertipikat],Table_Tarikan_Warkah[Nomor Tiket]),"")</f>
        <v/>
      </c>
      <c r="E1528" s="20" t="str">
        <f t="array" ref="E1528">IFNA(_xlfn.XLOOKUP(D1528,Table_Tarikan_Warkah[Nomor Tiket],Table_Tarikan_Warkah[Tanggal diserahkan kepada Validator]),"")</f>
        <v/>
      </c>
      <c r="F1528" s="20" t="str">
        <f t="array" ref="F1528">IFNA(_xlfn.XLOOKUP(D1528,Table_Tarikan_Warkah[Nomor Tiket],Table_Tarikan_Warkah[Nama Petugas Warkah]),"")</f>
        <v/>
      </c>
      <c r="G1528" s="21" t="str">
        <f t="array" ref="G1528">IFNA(_xlfn.XLOOKUP(D1528,Table_Tarikan_Warkah[Nomor Tiket],Table_Tarikan_Warkah[Jenis Permohonan]),"")</f>
        <v/>
      </c>
      <c r="H1528" s="26"/>
      <c r="I1528" s="26"/>
      <c r="J1528" s="20" t="str">
        <f t="shared" si="29"/>
        <v/>
      </c>
      <c r="K1528" s="26"/>
      <c r="L1528" s="26"/>
      <c r="M1528" s="20" t="str">
        <f t="shared" si="30"/>
        <v/>
      </c>
      <c r="N1528" s="8" t="str">
        <f t="shared" si="3"/>
        <v/>
      </c>
      <c r="O1528" s="21" t="str">
        <f t="shared" si="22"/>
        <v/>
      </c>
      <c r="P1528" s="24" t="b">
        <v>0</v>
      </c>
      <c r="Q1528" s="20" t="str">
        <f t="shared" si="31"/>
        <v/>
      </c>
      <c r="R1528" s="24" t="b">
        <v>0</v>
      </c>
      <c r="S1528" s="7" t="str">
        <f t="shared" si="6"/>
        <v/>
      </c>
      <c r="T1528" s="7"/>
    </row>
    <row r="1529" ht="22.5" hidden="1" customHeight="1">
      <c r="B1529" s="7">
        <f t="shared" si="7"/>
        <v>1523</v>
      </c>
      <c r="C1529" s="40"/>
      <c r="D1529" s="19" t="str">
        <f t="array" ref="D1529">IFNA(_xlfn.XLOOKUP(C1529,Table_Tarikan_Warkah[Nomor Sertipikat],Table_Tarikan_Warkah[Nomor Tiket]),"")</f>
        <v/>
      </c>
      <c r="E1529" s="20" t="str">
        <f t="array" ref="E1529">IFNA(_xlfn.XLOOKUP(D1529,Table_Tarikan_Warkah[Nomor Tiket],Table_Tarikan_Warkah[Tanggal diserahkan kepada Validator]),"")</f>
        <v/>
      </c>
      <c r="F1529" s="20" t="str">
        <f t="array" ref="F1529">IFNA(_xlfn.XLOOKUP(D1529,Table_Tarikan_Warkah[Nomor Tiket],Table_Tarikan_Warkah[Nama Petugas Warkah]),"")</f>
        <v/>
      </c>
      <c r="G1529" s="21" t="str">
        <f t="array" ref="G1529">IFNA(_xlfn.XLOOKUP(D1529,Table_Tarikan_Warkah[Nomor Tiket],Table_Tarikan_Warkah[Jenis Permohonan]),"")</f>
        <v/>
      </c>
      <c r="H1529" s="26"/>
      <c r="I1529" s="26"/>
      <c r="J1529" s="20" t="str">
        <f t="shared" si="29"/>
        <v/>
      </c>
      <c r="K1529" s="26"/>
      <c r="L1529" s="26"/>
      <c r="M1529" s="20" t="str">
        <f t="shared" si="30"/>
        <v/>
      </c>
      <c r="N1529" s="8" t="str">
        <f t="shared" si="3"/>
        <v/>
      </c>
      <c r="O1529" s="21" t="str">
        <f t="shared" si="22"/>
        <v/>
      </c>
      <c r="P1529" s="24" t="b">
        <v>0</v>
      </c>
      <c r="Q1529" s="20" t="str">
        <f t="shared" si="31"/>
        <v/>
      </c>
      <c r="R1529" s="24" t="b">
        <v>0</v>
      </c>
      <c r="S1529" s="7" t="str">
        <f t="shared" si="6"/>
        <v/>
      </c>
      <c r="T1529" s="7"/>
    </row>
    <row r="1530" ht="22.5" hidden="1" customHeight="1">
      <c r="B1530" s="7">
        <f t="shared" si="7"/>
        <v>1524</v>
      </c>
      <c r="C1530" s="40"/>
      <c r="D1530" s="19" t="str">
        <f t="array" ref="D1530">IFNA(_xlfn.XLOOKUP(C1530,Table_Tarikan_Warkah[Nomor Sertipikat],Table_Tarikan_Warkah[Nomor Tiket]),"")</f>
        <v/>
      </c>
      <c r="E1530" s="20" t="str">
        <f t="array" ref="E1530">IFNA(_xlfn.XLOOKUP(D1530,Table_Tarikan_Warkah[Nomor Tiket],Table_Tarikan_Warkah[Tanggal diserahkan kepada Validator]),"")</f>
        <v/>
      </c>
      <c r="F1530" s="20" t="str">
        <f t="array" ref="F1530">IFNA(_xlfn.XLOOKUP(D1530,Table_Tarikan_Warkah[Nomor Tiket],Table_Tarikan_Warkah[Nama Petugas Warkah]),"")</f>
        <v/>
      </c>
      <c r="G1530" s="21" t="str">
        <f t="array" ref="G1530">IFNA(_xlfn.XLOOKUP(D1530,Table_Tarikan_Warkah[Nomor Tiket],Table_Tarikan_Warkah[Jenis Permohonan]),"")</f>
        <v/>
      </c>
      <c r="H1530" s="26"/>
      <c r="I1530" s="26"/>
      <c r="J1530" s="20" t="str">
        <f t="shared" si="29"/>
        <v/>
      </c>
      <c r="K1530" s="26"/>
      <c r="L1530" s="26"/>
      <c r="M1530" s="20" t="str">
        <f t="shared" si="30"/>
        <v/>
      </c>
      <c r="N1530" s="8" t="str">
        <f t="shared" si="3"/>
        <v/>
      </c>
      <c r="O1530" s="21" t="str">
        <f t="shared" si="22"/>
        <v/>
      </c>
      <c r="P1530" s="24" t="b">
        <v>0</v>
      </c>
      <c r="Q1530" s="20" t="str">
        <f t="shared" si="31"/>
        <v/>
      </c>
      <c r="R1530" s="24" t="b">
        <v>0</v>
      </c>
      <c r="S1530" s="7" t="str">
        <f t="shared" si="6"/>
        <v/>
      </c>
      <c r="T1530" s="7"/>
    </row>
    <row r="1531" ht="22.5" hidden="1" customHeight="1">
      <c r="B1531" s="7">
        <f t="shared" si="7"/>
        <v>1525</v>
      </c>
      <c r="C1531" s="40"/>
      <c r="D1531" s="19" t="str">
        <f t="array" ref="D1531">IFNA(_xlfn.XLOOKUP(C1531,Table_Tarikan_Warkah[Nomor Sertipikat],Table_Tarikan_Warkah[Nomor Tiket]),"")</f>
        <v/>
      </c>
      <c r="E1531" s="20" t="str">
        <f t="array" ref="E1531">IFNA(_xlfn.XLOOKUP(D1531,Table_Tarikan_Warkah[Nomor Tiket],Table_Tarikan_Warkah[Tanggal diserahkan kepada Validator]),"")</f>
        <v/>
      </c>
      <c r="F1531" s="20" t="str">
        <f t="array" ref="F1531">IFNA(_xlfn.XLOOKUP(D1531,Table_Tarikan_Warkah[Nomor Tiket],Table_Tarikan_Warkah[Nama Petugas Warkah]),"")</f>
        <v/>
      </c>
      <c r="G1531" s="21" t="str">
        <f t="array" ref="G1531">IFNA(_xlfn.XLOOKUP(D1531,Table_Tarikan_Warkah[Nomor Tiket],Table_Tarikan_Warkah[Jenis Permohonan]),"")</f>
        <v/>
      </c>
      <c r="H1531" s="26"/>
      <c r="I1531" s="26"/>
      <c r="J1531" s="20" t="str">
        <f t="shared" si="29"/>
        <v/>
      </c>
      <c r="K1531" s="26"/>
      <c r="L1531" s="26"/>
      <c r="M1531" s="20" t="str">
        <f t="shared" si="30"/>
        <v/>
      </c>
      <c r="N1531" s="8" t="str">
        <f t="shared" si="3"/>
        <v/>
      </c>
      <c r="O1531" s="21" t="str">
        <f t="shared" si="22"/>
        <v/>
      </c>
      <c r="P1531" s="24" t="b">
        <v>0</v>
      </c>
      <c r="Q1531" s="20" t="str">
        <f t="shared" si="31"/>
        <v/>
      </c>
      <c r="R1531" s="24" t="b">
        <v>0</v>
      </c>
      <c r="S1531" s="7" t="str">
        <f t="shared" si="6"/>
        <v/>
      </c>
      <c r="T1531" s="7"/>
    </row>
    <row r="1532" ht="22.5" hidden="1" customHeight="1">
      <c r="B1532" s="7">
        <f t="shared" si="7"/>
        <v>1526</v>
      </c>
      <c r="C1532" s="40"/>
      <c r="D1532" s="19" t="str">
        <f t="array" ref="D1532">IFNA(_xlfn.XLOOKUP(C1532,Table_Tarikan_Warkah[Nomor Sertipikat],Table_Tarikan_Warkah[Nomor Tiket]),"")</f>
        <v/>
      </c>
      <c r="E1532" s="20" t="str">
        <f t="array" ref="E1532">IFNA(_xlfn.XLOOKUP(D1532,Table_Tarikan_Warkah[Nomor Tiket],Table_Tarikan_Warkah[Tanggal diserahkan kepada Validator]),"")</f>
        <v/>
      </c>
      <c r="F1532" s="20" t="str">
        <f t="array" ref="F1532">IFNA(_xlfn.XLOOKUP(D1532,Table_Tarikan_Warkah[Nomor Tiket],Table_Tarikan_Warkah[Nama Petugas Warkah]),"")</f>
        <v/>
      </c>
      <c r="G1532" s="21" t="str">
        <f t="array" ref="G1532">IFNA(_xlfn.XLOOKUP(D1532,Table_Tarikan_Warkah[Nomor Tiket],Table_Tarikan_Warkah[Jenis Permohonan]),"")</f>
        <v/>
      </c>
      <c r="H1532" s="26"/>
      <c r="I1532" s="26"/>
      <c r="J1532" s="20" t="str">
        <f t="shared" si="29"/>
        <v/>
      </c>
      <c r="K1532" s="26"/>
      <c r="L1532" s="26"/>
      <c r="M1532" s="20" t="str">
        <f t="shared" si="30"/>
        <v/>
      </c>
      <c r="N1532" s="8" t="str">
        <f t="shared" si="3"/>
        <v/>
      </c>
      <c r="O1532" s="21" t="str">
        <f t="shared" si="22"/>
        <v/>
      </c>
      <c r="P1532" s="24" t="b">
        <v>0</v>
      </c>
      <c r="Q1532" s="20" t="str">
        <f t="shared" si="31"/>
        <v/>
      </c>
      <c r="R1532" s="24" t="b">
        <v>0</v>
      </c>
      <c r="S1532" s="7" t="str">
        <f t="shared" si="6"/>
        <v/>
      </c>
      <c r="T1532" s="7"/>
    </row>
    <row r="1533" ht="22.5" hidden="1" customHeight="1">
      <c r="B1533" s="7">
        <f t="shared" si="7"/>
        <v>1527</v>
      </c>
      <c r="C1533" s="40"/>
      <c r="D1533" s="19" t="str">
        <f t="array" ref="D1533">IFNA(_xlfn.XLOOKUP(C1533,Table_Tarikan_Warkah[Nomor Sertipikat],Table_Tarikan_Warkah[Nomor Tiket]),"")</f>
        <v/>
      </c>
      <c r="E1533" s="20" t="str">
        <f t="array" ref="E1533">IFNA(_xlfn.XLOOKUP(D1533,Table_Tarikan_Warkah[Nomor Tiket],Table_Tarikan_Warkah[Tanggal diserahkan kepada Validator]),"")</f>
        <v/>
      </c>
      <c r="F1533" s="20" t="str">
        <f t="array" ref="F1533">IFNA(_xlfn.XLOOKUP(D1533,Table_Tarikan_Warkah[Nomor Tiket],Table_Tarikan_Warkah[Nama Petugas Warkah]),"")</f>
        <v/>
      </c>
      <c r="G1533" s="21" t="str">
        <f t="array" ref="G1533">IFNA(_xlfn.XLOOKUP(D1533,Table_Tarikan_Warkah[Nomor Tiket],Table_Tarikan_Warkah[Jenis Permohonan]),"")</f>
        <v/>
      </c>
      <c r="H1533" s="26"/>
      <c r="I1533" s="26"/>
      <c r="J1533" s="20" t="str">
        <f t="shared" si="29"/>
        <v/>
      </c>
      <c r="K1533" s="26"/>
      <c r="L1533" s="26"/>
      <c r="M1533" s="20" t="str">
        <f t="shared" si="30"/>
        <v/>
      </c>
      <c r="N1533" s="8" t="str">
        <f t="shared" si="3"/>
        <v/>
      </c>
      <c r="O1533" s="21" t="str">
        <f t="shared" si="22"/>
        <v/>
      </c>
      <c r="P1533" s="24" t="b">
        <v>0</v>
      </c>
      <c r="Q1533" s="20" t="str">
        <f t="shared" si="31"/>
        <v/>
      </c>
      <c r="R1533" s="24" t="b">
        <v>0</v>
      </c>
      <c r="S1533" s="7" t="str">
        <f t="shared" si="6"/>
        <v/>
      </c>
      <c r="T1533" s="7"/>
    </row>
    <row r="1534" ht="22.5" hidden="1" customHeight="1">
      <c r="B1534" s="7">
        <f t="shared" si="7"/>
        <v>1528</v>
      </c>
      <c r="C1534" s="40"/>
      <c r="D1534" s="19" t="str">
        <f t="array" ref="D1534">IFNA(_xlfn.XLOOKUP(C1534,Table_Tarikan_Warkah[Nomor Sertipikat],Table_Tarikan_Warkah[Nomor Tiket]),"")</f>
        <v/>
      </c>
      <c r="E1534" s="20" t="str">
        <f t="array" ref="E1534">IFNA(_xlfn.XLOOKUP(D1534,Table_Tarikan_Warkah[Nomor Tiket],Table_Tarikan_Warkah[Tanggal diserahkan kepada Validator]),"")</f>
        <v/>
      </c>
      <c r="F1534" s="20" t="str">
        <f t="array" ref="F1534">IFNA(_xlfn.XLOOKUP(D1534,Table_Tarikan_Warkah[Nomor Tiket],Table_Tarikan_Warkah[Nama Petugas Warkah]),"")</f>
        <v/>
      </c>
      <c r="G1534" s="21" t="str">
        <f t="array" ref="G1534">IFNA(_xlfn.XLOOKUP(D1534,Table_Tarikan_Warkah[Nomor Tiket],Table_Tarikan_Warkah[Jenis Permohonan]),"")</f>
        <v/>
      </c>
      <c r="H1534" s="26"/>
      <c r="I1534" s="26"/>
      <c r="J1534" s="20" t="str">
        <f t="shared" si="29"/>
        <v/>
      </c>
      <c r="K1534" s="26"/>
      <c r="L1534" s="26"/>
      <c r="M1534" s="20" t="str">
        <f t="shared" si="30"/>
        <v/>
      </c>
      <c r="N1534" s="8" t="str">
        <f t="shared" si="3"/>
        <v/>
      </c>
      <c r="O1534" s="21" t="str">
        <f t="shared" si="22"/>
        <v/>
      </c>
      <c r="P1534" s="24" t="b">
        <v>0</v>
      </c>
      <c r="Q1534" s="20" t="str">
        <f t="shared" si="31"/>
        <v/>
      </c>
      <c r="R1534" s="24" t="b">
        <v>0</v>
      </c>
      <c r="S1534" s="7" t="str">
        <f t="shared" si="6"/>
        <v/>
      </c>
      <c r="T1534" s="7"/>
    </row>
    <row r="1535" ht="22.5" hidden="1" customHeight="1">
      <c r="B1535" s="7">
        <f t="shared" si="7"/>
        <v>1529</v>
      </c>
      <c r="C1535" s="40"/>
      <c r="D1535" s="19" t="str">
        <f t="array" ref="D1535">IFNA(_xlfn.XLOOKUP(C1535,Table_Tarikan_Warkah[Nomor Sertipikat],Table_Tarikan_Warkah[Nomor Tiket]),"")</f>
        <v/>
      </c>
      <c r="E1535" s="20" t="str">
        <f t="array" ref="E1535">IFNA(_xlfn.XLOOKUP(D1535,Table_Tarikan_Warkah[Nomor Tiket],Table_Tarikan_Warkah[Tanggal diserahkan kepada Validator]),"")</f>
        <v/>
      </c>
      <c r="F1535" s="20" t="str">
        <f t="array" ref="F1535">IFNA(_xlfn.XLOOKUP(D1535,Table_Tarikan_Warkah[Nomor Tiket],Table_Tarikan_Warkah[Nama Petugas Warkah]),"")</f>
        <v/>
      </c>
      <c r="G1535" s="21" t="str">
        <f t="array" ref="G1535">IFNA(_xlfn.XLOOKUP(D1535,Table_Tarikan_Warkah[Nomor Tiket],Table_Tarikan_Warkah[Jenis Permohonan]),"")</f>
        <v/>
      </c>
      <c r="H1535" s="26"/>
      <c r="I1535" s="26"/>
      <c r="J1535" s="20" t="str">
        <f t="shared" si="29"/>
        <v/>
      </c>
      <c r="K1535" s="26"/>
      <c r="L1535" s="26"/>
      <c r="M1535" s="20" t="str">
        <f t="shared" si="30"/>
        <v/>
      </c>
      <c r="N1535" s="8" t="str">
        <f t="shared" si="3"/>
        <v/>
      </c>
      <c r="O1535" s="21" t="str">
        <f t="shared" si="22"/>
        <v/>
      </c>
      <c r="P1535" s="24" t="b">
        <v>0</v>
      </c>
      <c r="Q1535" s="20" t="str">
        <f t="shared" si="31"/>
        <v/>
      </c>
      <c r="R1535" s="24" t="b">
        <v>0</v>
      </c>
      <c r="S1535" s="7" t="str">
        <f t="shared" si="6"/>
        <v/>
      </c>
      <c r="T1535" s="7"/>
    </row>
    <row r="1536" ht="22.5" hidden="1" customHeight="1">
      <c r="B1536" s="7">
        <f t="shared" si="7"/>
        <v>1530</v>
      </c>
      <c r="C1536" s="40"/>
      <c r="D1536" s="19" t="str">
        <f t="array" ref="D1536">IFNA(_xlfn.XLOOKUP(C1536,Table_Tarikan_Warkah[Nomor Sertipikat],Table_Tarikan_Warkah[Nomor Tiket]),"")</f>
        <v/>
      </c>
      <c r="E1536" s="20" t="str">
        <f t="array" ref="E1536">IFNA(_xlfn.XLOOKUP(D1536,Table_Tarikan_Warkah[Nomor Tiket],Table_Tarikan_Warkah[Tanggal diserahkan kepada Validator]),"")</f>
        <v/>
      </c>
      <c r="F1536" s="20" t="str">
        <f t="array" ref="F1536">IFNA(_xlfn.XLOOKUP(D1536,Table_Tarikan_Warkah[Nomor Tiket],Table_Tarikan_Warkah[Nama Petugas Warkah]),"")</f>
        <v/>
      </c>
      <c r="G1536" s="21" t="str">
        <f t="array" ref="G1536">IFNA(_xlfn.XLOOKUP(D1536,Table_Tarikan_Warkah[Nomor Tiket],Table_Tarikan_Warkah[Jenis Permohonan]),"")</f>
        <v/>
      </c>
      <c r="H1536" s="26"/>
      <c r="I1536" s="26"/>
      <c r="J1536" s="20" t="str">
        <f t="shared" si="29"/>
        <v/>
      </c>
      <c r="K1536" s="26"/>
      <c r="L1536" s="26"/>
      <c r="M1536" s="20" t="str">
        <f t="shared" si="30"/>
        <v/>
      </c>
      <c r="N1536" s="8" t="str">
        <f t="shared" si="3"/>
        <v/>
      </c>
      <c r="O1536" s="21" t="str">
        <f t="shared" si="22"/>
        <v/>
      </c>
      <c r="P1536" s="24" t="b">
        <v>0</v>
      </c>
      <c r="Q1536" s="20" t="str">
        <f t="shared" si="31"/>
        <v/>
      </c>
      <c r="R1536" s="24" t="b">
        <v>0</v>
      </c>
      <c r="S1536" s="7" t="str">
        <f t="shared" si="6"/>
        <v/>
      </c>
      <c r="T1536" s="7"/>
    </row>
    <row r="1537" ht="22.5" hidden="1" customHeight="1">
      <c r="B1537" s="7">
        <f t="shared" si="7"/>
        <v>1531</v>
      </c>
      <c r="C1537" s="40"/>
      <c r="D1537" s="19" t="str">
        <f t="array" ref="D1537">IFNA(_xlfn.XLOOKUP(C1537,Table_Tarikan_Warkah[Nomor Sertipikat],Table_Tarikan_Warkah[Nomor Tiket]),"")</f>
        <v/>
      </c>
      <c r="E1537" s="20" t="str">
        <f t="array" ref="E1537">IFNA(_xlfn.XLOOKUP(D1537,Table_Tarikan_Warkah[Nomor Tiket],Table_Tarikan_Warkah[Tanggal diserahkan kepada Validator]),"")</f>
        <v/>
      </c>
      <c r="F1537" s="20" t="str">
        <f t="array" ref="F1537">IFNA(_xlfn.XLOOKUP(D1537,Table_Tarikan_Warkah[Nomor Tiket],Table_Tarikan_Warkah[Nama Petugas Warkah]),"")</f>
        <v/>
      </c>
      <c r="G1537" s="21" t="str">
        <f t="array" ref="G1537">IFNA(_xlfn.XLOOKUP(D1537,Table_Tarikan_Warkah[Nomor Tiket],Table_Tarikan_Warkah[Jenis Permohonan]),"")</f>
        <v/>
      </c>
      <c r="H1537" s="26"/>
      <c r="I1537" s="26"/>
      <c r="J1537" s="20" t="str">
        <f t="shared" si="29"/>
        <v/>
      </c>
      <c r="K1537" s="26"/>
      <c r="L1537" s="26"/>
      <c r="M1537" s="20" t="str">
        <f t="shared" si="30"/>
        <v/>
      </c>
      <c r="N1537" s="8" t="str">
        <f t="shared" si="3"/>
        <v/>
      </c>
      <c r="O1537" s="21" t="str">
        <f t="shared" si="22"/>
        <v/>
      </c>
      <c r="P1537" s="24" t="b">
        <v>0</v>
      </c>
      <c r="Q1537" s="20" t="str">
        <f t="shared" si="31"/>
        <v/>
      </c>
      <c r="R1537" s="24" t="b">
        <v>0</v>
      </c>
      <c r="S1537" s="7" t="str">
        <f t="shared" si="6"/>
        <v/>
      </c>
      <c r="T1537" s="7"/>
    </row>
    <row r="1538" ht="22.5" hidden="1" customHeight="1">
      <c r="B1538" s="7">
        <f t="shared" si="7"/>
        <v>1532</v>
      </c>
      <c r="C1538" s="40"/>
      <c r="D1538" s="19" t="str">
        <f t="array" ref="D1538">IFNA(_xlfn.XLOOKUP(C1538,Table_Tarikan_Warkah[Nomor Sertipikat],Table_Tarikan_Warkah[Nomor Tiket]),"")</f>
        <v/>
      </c>
      <c r="E1538" s="20" t="str">
        <f t="array" ref="E1538">IFNA(_xlfn.XLOOKUP(D1538,Table_Tarikan_Warkah[Nomor Tiket],Table_Tarikan_Warkah[Tanggal diserahkan kepada Validator]),"")</f>
        <v/>
      </c>
      <c r="F1538" s="20" t="str">
        <f t="array" ref="F1538">IFNA(_xlfn.XLOOKUP(D1538,Table_Tarikan_Warkah[Nomor Tiket],Table_Tarikan_Warkah[Nama Petugas Warkah]),"")</f>
        <v/>
      </c>
      <c r="G1538" s="21" t="str">
        <f t="array" ref="G1538">IFNA(_xlfn.XLOOKUP(D1538,Table_Tarikan_Warkah[Nomor Tiket],Table_Tarikan_Warkah[Jenis Permohonan]),"")</f>
        <v/>
      </c>
      <c r="H1538" s="26"/>
      <c r="I1538" s="26"/>
      <c r="J1538" s="20" t="str">
        <f t="shared" si="29"/>
        <v/>
      </c>
      <c r="K1538" s="26"/>
      <c r="L1538" s="26"/>
      <c r="M1538" s="20" t="str">
        <f t="shared" si="30"/>
        <v/>
      </c>
      <c r="N1538" s="8" t="str">
        <f t="shared" si="3"/>
        <v/>
      </c>
      <c r="O1538" s="21" t="str">
        <f t="shared" si="22"/>
        <v/>
      </c>
      <c r="P1538" s="24" t="b">
        <v>0</v>
      </c>
      <c r="Q1538" s="20" t="str">
        <f t="shared" si="31"/>
        <v/>
      </c>
      <c r="R1538" s="24" t="b">
        <v>0</v>
      </c>
      <c r="S1538" s="7" t="str">
        <f t="shared" si="6"/>
        <v/>
      </c>
      <c r="T1538" s="7"/>
    </row>
    <row r="1539" ht="22.5" hidden="1" customHeight="1">
      <c r="B1539" s="7">
        <f t="shared" si="7"/>
        <v>1533</v>
      </c>
      <c r="C1539" s="40"/>
      <c r="D1539" s="19" t="str">
        <f t="array" ref="D1539">IFNA(_xlfn.XLOOKUP(C1539,Table_Tarikan_Warkah[Nomor Sertipikat],Table_Tarikan_Warkah[Nomor Tiket]),"")</f>
        <v/>
      </c>
      <c r="E1539" s="20" t="str">
        <f t="array" ref="E1539">IFNA(_xlfn.XLOOKUP(D1539,Table_Tarikan_Warkah[Nomor Tiket],Table_Tarikan_Warkah[Tanggal diserahkan kepada Validator]),"")</f>
        <v/>
      </c>
      <c r="F1539" s="20" t="str">
        <f t="array" ref="F1539">IFNA(_xlfn.XLOOKUP(D1539,Table_Tarikan_Warkah[Nomor Tiket],Table_Tarikan_Warkah[Nama Petugas Warkah]),"")</f>
        <v/>
      </c>
      <c r="G1539" s="21" t="str">
        <f t="array" ref="G1539">IFNA(_xlfn.XLOOKUP(D1539,Table_Tarikan_Warkah[Nomor Tiket],Table_Tarikan_Warkah[Jenis Permohonan]),"")</f>
        <v/>
      </c>
      <c r="H1539" s="26"/>
      <c r="I1539" s="26"/>
      <c r="J1539" s="20" t="str">
        <f t="shared" si="29"/>
        <v/>
      </c>
      <c r="K1539" s="26"/>
      <c r="L1539" s="26"/>
      <c r="M1539" s="20" t="str">
        <f t="shared" si="30"/>
        <v/>
      </c>
      <c r="N1539" s="8" t="str">
        <f t="shared" si="3"/>
        <v/>
      </c>
      <c r="O1539" s="21" t="str">
        <f t="shared" si="22"/>
        <v/>
      </c>
      <c r="P1539" s="24" t="b">
        <v>0</v>
      </c>
      <c r="Q1539" s="20" t="str">
        <f t="shared" si="31"/>
        <v/>
      </c>
      <c r="R1539" s="24" t="b">
        <v>0</v>
      </c>
      <c r="S1539" s="7" t="str">
        <f t="shared" si="6"/>
        <v/>
      </c>
      <c r="T1539" s="7"/>
    </row>
    <row r="1540" ht="22.5" hidden="1" customHeight="1">
      <c r="B1540" s="7">
        <f t="shared" si="7"/>
        <v>1534</v>
      </c>
      <c r="C1540" s="40"/>
      <c r="D1540" s="19" t="str">
        <f t="array" ref="D1540">IFNA(_xlfn.XLOOKUP(C1540,Table_Tarikan_Warkah[Nomor Sertipikat],Table_Tarikan_Warkah[Nomor Tiket]),"")</f>
        <v/>
      </c>
      <c r="E1540" s="20" t="str">
        <f t="array" ref="E1540">IFNA(_xlfn.XLOOKUP(D1540,Table_Tarikan_Warkah[Nomor Tiket],Table_Tarikan_Warkah[Tanggal diserahkan kepada Validator]),"")</f>
        <v/>
      </c>
      <c r="F1540" s="20" t="str">
        <f t="array" ref="F1540">IFNA(_xlfn.XLOOKUP(D1540,Table_Tarikan_Warkah[Nomor Tiket],Table_Tarikan_Warkah[Nama Petugas Warkah]),"")</f>
        <v/>
      </c>
      <c r="G1540" s="21" t="str">
        <f t="array" ref="G1540">IFNA(_xlfn.XLOOKUP(D1540,Table_Tarikan_Warkah[Nomor Tiket],Table_Tarikan_Warkah[Jenis Permohonan]),"")</f>
        <v/>
      </c>
      <c r="H1540" s="26"/>
      <c r="I1540" s="26"/>
      <c r="J1540" s="20" t="str">
        <f t="shared" si="29"/>
        <v/>
      </c>
      <c r="K1540" s="26"/>
      <c r="L1540" s="26"/>
      <c r="M1540" s="20" t="str">
        <f t="shared" si="30"/>
        <v/>
      </c>
      <c r="N1540" s="8" t="str">
        <f t="shared" si="3"/>
        <v/>
      </c>
      <c r="O1540" s="21" t="str">
        <f t="shared" si="22"/>
        <v/>
      </c>
      <c r="P1540" s="24" t="b">
        <v>0</v>
      </c>
      <c r="Q1540" s="20" t="str">
        <f t="shared" si="31"/>
        <v/>
      </c>
      <c r="R1540" s="24" t="b">
        <v>0</v>
      </c>
      <c r="S1540" s="7" t="str">
        <f t="shared" si="6"/>
        <v/>
      </c>
      <c r="T1540" s="7"/>
    </row>
    <row r="1541" ht="22.5" hidden="1" customHeight="1">
      <c r="B1541" s="7">
        <f t="shared" si="7"/>
        <v>1535</v>
      </c>
      <c r="C1541" s="40"/>
      <c r="D1541" s="19" t="str">
        <f t="array" ref="D1541">IFNA(_xlfn.XLOOKUP(C1541,Table_Tarikan_Warkah[Nomor Sertipikat],Table_Tarikan_Warkah[Nomor Tiket]),"")</f>
        <v/>
      </c>
      <c r="E1541" s="20" t="str">
        <f t="array" ref="E1541">IFNA(_xlfn.XLOOKUP(D1541,Table_Tarikan_Warkah[Nomor Tiket],Table_Tarikan_Warkah[Tanggal diserahkan kepada Validator]),"")</f>
        <v/>
      </c>
      <c r="F1541" s="20" t="str">
        <f t="array" ref="F1541">IFNA(_xlfn.XLOOKUP(D1541,Table_Tarikan_Warkah[Nomor Tiket],Table_Tarikan_Warkah[Nama Petugas Warkah]),"")</f>
        <v/>
      </c>
      <c r="G1541" s="21" t="str">
        <f t="array" ref="G1541">IFNA(_xlfn.XLOOKUP(D1541,Table_Tarikan_Warkah[Nomor Tiket],Table_Tarikan_Warkah[Jenis Permohonan]),"")</f>
        <v/>
      </c>
      <c r="H1541" s="26"/>
      <c r="I1541" s="26"/>
      <c r="J1541" s="20" t="str">
        <f t="shared" si="29"/>
        <v/>
      </c>
      <c r="K1541" s="26"/>
      <c r="L1541" s="26"/>
      <c r="M1541" s="20" t="str">
        <f t="shared" si="30"/>
        <v/>
      </c>
      <c r="N1541" s="8" t="str">
        <f t="shared" si="3"/>
        <v/>
      </c>
      <c r="O1541" s="21" t="str">
        <f t="shared" si="22"/>
        <v/>
      </c>
      <c r="P1541" s="24" t="b">
        <v>0</v>
      </c>
      <c r="Q1541" s="20" t="str">
        <f t="shared" si="31"/>
        <v/>
      </c>
      <c r="R1541" s="24" t="b">
        <v>0</v>
      </c>
      <c r="S1541" s="7" t="str">
        <f t="shared" si="6"/>
        <v/>
      </c>
      <c r="T1541" s="7"/>
    </row>
    <row r="1542" ht="22.5" hidden="1" customHeight="1">
      <c r="B1542" s="7">
        <f t="shared" si="7"/>
        <v>1536</v>
      </c>
      <c r="C1542" s="40"/>
      <c r="D1542" s="19" t="str">
        <f t="array" ref="D1542">IFNA(_xlfn.XLOOKUP(C1542,Table_Tarikan_Warkah[Nomor Sertipikat],Table_Tarikan_Warkah[Nomor Tiket]),"")</f>
        <v/>
      </c>
      <c r="E1542" s="20" t="str">
        <f t="array" ref="E1542">IFNA(_xlfn.XLOOKUP(D1542,Table_Tarikan_Warkah[Nomor Tiket],Table_Tarikan_Warkah[Tanggal diserahkan kepada Validator]),"")</f>
        <v/>
      </c>
      <c r="F1542" s="20" t="str">
        <f t="array" ref="F1542">IFNA(_xlfn.XLOOKUP(D1542,Table_Tarikan_Warkah[Nomor Tiket],Table_Tarikan_Warkah[Nama Petugas Warkah]),"")</f>
        <v/>
      </c>
      <c r="G1542" s="21" t="str">
        <f t="array" ref="G1542">IFNA(_xlfn.XLOOKUP(D1542,Table_Tarikan_Warkah[Nomor Tiket],Table_Tarikan_Warkah[Jenis Permohonan]),"")</f>
        <v/>
      </c>
      <c r="H1542" s="26"/>
      <c r="I1542" s="26"/>
      <c r="J1542" s="20" t="str">
        <f t="shared" si="29"/>
        <v/>
      </c>
      <c r="K1542" s="26"/>
      <c r="L1542" s="26"/>
      <c r="M1542" s="20" t="str">
        <f t="shared" si="30"/>
        <v/>
      </c>
      <c r="N1542" s="8" t="str">
        <f t="shared" si="3"/>
        <v/>
      </c>
      <c r="O1542" s="21" t="str">
        <f t="shared" si="22"/>
        <v/>
      </c>
      <c r="P1542" s="24" t="b">
        <v>0</v>
      </c>
      <c r="Q1542" s="20" t="str">
        <f t="shared" si="31"/>
        <v/>
      </c>
      <c r="R1542" s="24" t="b">
        <v>0</v>
      </c>
      <c r="S1542" s="7" t="str">
        <f t="shared" si="6"/>
        <v/>
      </c>
      <c r="T1542" s="7"/>
    </row>
    <row r="1543" ht="22.5" hidden="1" customHeight="1">
      <c r="B1543" s="7">
        <f t="shared" si="7"/>
        <v>1537</v>
      </c>
      <c r="C1543" s="40"/>
      <c r="D1543" s="19" t="str">
        <f t="array" ref="D1543">IFNA(_xlfn.XLOOKUP(C1543,Table_Tarikan_Warkah[Nomor Sertipikat],Table_Tarikan_Warkah[Nomor Tiket]),"")</f>
        <v/>
      </c>
      <c r="E1543" s="20" t="str">
        <f t="array" ref="E1543">IFNA(_xlfn.XLOOKUP(D1543,Table_Tarikan_Warkah[Nomor Tiket],Table_Tarikan_Warkah[Tanggal diserahkan kepada Validator]),"")</f>
        <v/>
      </c>
      <c r="F1543" s="20" t="str">
        <f t="array" ref="F1543">IFNA(_xlfn.XLOOKUP(D1543,Table_Tarikan_Warkah[Nomor Tiket],Table_Tarikan_Warkah[Nama Petugas Warkah]),"")</f>
        <v/>
      </c>
      <c r="G1543" s="21" t="str">
        <f t="array" ref="G1543">IFNA(_xlfn.XLOOKUP(D1543,Table_Tarikan_Warkah[Nomor Tiket],Table_Tarikan_Warkah[Jenis Permohonan]),"")</f>
        <v/>
      </c>
      <c r="H1543" s="26"/>
      <c r="I1543" s="26"/>
      <c r="J1543" s="20" t="str">
        <f t="shared" si="29"/>
        <v/>
      </c>
      <c r="K1543" s="26"/>
      <c r="L1543" s="26"/>
      <c r="M1543" s="20" t="str">
        <f t="shared" si="30"/>
        <v/>
      </c>
      <c r="N1543" s="8" t="str">
        <f t="shared" si="3"/>
        <v/>
      </c>
      <c r="O1543" s="21" t="str">
        <f t="shared" si="22"/>
        <v/>
      </c>
      <c r="P1543" s="24" t="b">
        <v>0</v>
      </c>
      <c r="Q1543" s="20" t="str">
        <f t="shared" si="31"/>
        <v/>
      </c>
      <c r="R1543" s="24" t="b">
        <v>0</v>
      </c>
      <c r="S1543" s="7" t="str">
        <f t="shared" si="6"/>
        <v/>
      </c>
      <c r="T1543" s="7"/>
    </row>
    <row r="1544" ht="22.5" hidden="1" customHeight="1">
      <c r="B1544" s="7">
        <f t="shared" si="7"/>
        <v>1538</v>
      </c>
      <c r="C1544" s="40"/>
      <c r="D1544" s="19" t="str">
        <f t="array" ref="D1544">IFNA(_xlfn.XLOOKUP(C1544,Table_Tarikan_Warkah[Nomor Sertipikat],Table_Tarikan_Warkah[Nomor Tiket]),"")</f>
        <v/>
      </c>
      <c r="E1544" s="20" t="str">
        <f t="array" ref="E1544">IFNA(_xlfn.XLOOKUP(D1544,Table_Tarikan_Warkah[Nomor Tiket],Table_Tarikan_Warkah[Tanggal diserahkan kepada Validator]),"")</f>
        <v/>
      </c>
      <c r="F1544" s="20" t="str">
        <f t="array" ref="F1544">IFNA(_xlfn.XLOOKUP(D1544,Table_Tarikan_Warkah[Nomor Tiket],Table_Tarikan_Warkah[Nama Petugas Warkah]),"")</f>
        <v/>
      </c>
      <c r="G1544" s="21" t="str">
        <f t="array" ref="G1544">IFNA(_xlfn.XLOOKUP(D1544,Table_Tarikan_Warkah[Nomor Tiket],Table_Tarikan_Warkah[Jenis Permohonan]),"")</f>
        <v/>
      </c>
      <c r="H1544" s="26"/>
      <c r="I1544" s="26"/>
      <c r="J1544" s="20" t="str">
        <f t="shared" si="29"/>
        <v/>
      </c>
      <c r="K1544" s="26"/>
      <c r="L1544" s="26"/>
      <c r="M1544" s="20" t="str">
        <f t="shared" si="30"/>
        <v/>
      </c>
      <c r="N1544" s="8" t="str">
        <f t="shared" si="3"/>
        <v/>
      </c>
      <c r="O1544" s="21" t="str">
        <f t="shared" si="22"/>
        <v/>
      </c>
      <c r="P1544" s="24" t="b">
        <v>0</v>
      </c>
      <c r="Q1544" s="20" t="str">
        <f t="shared" si="31"/>
        <v/>
      </c>
      <c r="R1544" s="24" t="b">
        <v>0</v>
      </c>
      <c r="S1544" s="7" t="str">
        <f t="shared" si="6"/>
        <v/>
      </c>
      <c r="T1544" s="7"/>
    </row>
    <row r="1545" ht="22.5" hidden="1" customHeight="1">
      <c r="B1545" s="7">
        <f t="shared" si="7"/>
        <v>1539</v>
      </c>
      <c r="C1545" s="40"/>
      <c r="D1545" s="19" t="str">
        <f t="array" ref="D1545">IFNA(_xlfn.XLOOKUP(C1545,Table_Tarikan_Warkah[Nomor Sertipikat],Table_Tarikan_Warkah[Nomor Tiket]),"")</f>
        <v/>
      </c>
      <c r="E1545" s="20" t="str">
        <f t="array" ref="E1545">IFNA(_xlfn.XLOOKUP(D1545,Table_Tarikan_Warkah[Nomor Tiket],Table_Tarikan_Warkah[Tanggal diserahkan kepada Validator]),"")</f>
        <v/>
      </c>
      <c r="F1545" s="20" t="str">
        <f t="array" ref="F1545">IFNA(_xlfn.XLOOKUP(D1545,Table_Tarikan_Warkah[Nomor Tiket],Table_Tarikan_Warkah[Nama Petugas Warkah]),"")</f>
        <v/>
      </c>
      <c r="G1545" s="21" t="str">
        <f t="array" ref="G1545">IFNA(_xlfn.XLOOKUP(D1545,Table_Tarikan_Warkah[Nomor Tiket],Table_Tarikan_Warkah[Jenis Permohonan]),"")</f>
        <v/>
      </c>
      <c r="H1545" s="26"/>
      <c r="I1545" s="26"/>
      <c r="J1545" s="20" t="str">
        <f t="shared" si="29"/>
        <v/>
      </c>
      <c r="K1545" s="26"/>
      <c r="L1545" s="26"/>
      <c r="M1545" s="20" t="str">
        <f t="shared" si="30"/>
        <v/>
      </c>
      <c r="N1545" s="8" t="str">
        <f t="shared" si="3"/>
        <v/>
      </c>
      <c r="O1545" s="21" t="str">
        <f t="shared" si="22"/>
        <v/>
      </c>
      <c r="P1545" s="24" t="b">
        <v>0</v>
      </c>
      <c r="Q1545" s="20" t="str">
        <f t="shared" si="31"/>
        <v/>
      </c>
      <c r="R1545" s="24" t="b">
        <v>0</v>
      </c>
      <c r="S1545" s="7" t="str">
        <f t="shared" si="6"/>
        <v/>
      </c>
      <c r="T1545" s="7"/>
    </row>
    <row r="1546" ht="22.5" hidden="1" customHeight="1">
      <c r="B1546" s="7">
        <f t="shared" si="7"/>
        <v>1540</v>
      </c>
      <c r="C1546" s="40"/>
      <c r="D1546" s="19" t="str">
        <f t="array" ref="D1546">IFNA(_xlfn.XLOOKUP(C1546,Table_Tarikan_Warkah[Nomor Sertipikat],Table_Tarikan_Warkah[Nomor Tiket]),"")</f>
        <v/>
      </c>
      <c r="E1546" s="20" t="str">
        <f t="array" ref="E1546">IFNA(_xlfn.XLOOKUP(D1546,Table_Tarikan_Warkah[Nomor Tiket],Table_Tarikan_Warkah[Tanggal diserahkan kepada Validator]),"")</f>
        <v/>
      </c>
      <c r="F1546" s="20" t="str">
        <f t="array" ref="F1546">IFNA(_xlfn.XLOOKUP(D1546,Table_Tarikan_Warkah[Nomor Tiket],Table_Tarikan_Warkah[Nama Petugas Warkah]),"")</f>
        <v/>
      </c>
      <c r="G1546" s="21" t="str">
        <f t="array" ref="G1546">IFNA(_xlfn.XLOOKUP(D1546,Table_Tarikan_Warkah[Nomor Tiket],Table_Tarikan_Warkah[Jenis Permohonan]),"")</f>
        <v/>
      </c>
      <c r="H1546" s="26"/>
      <c r="I1546" s="26"/>
      <c r="J1546" s="20" t="str">
        <f t="shared" si="29"/>
        <v/>
      </c>
      <c r="K1546" s="26"/>
      <c r="L1546" s="26"/>
      <c r="M1546" s="20" t="str">
        <f t="shared" si="30"/>
        <v/>
      </c>
      <c r="N1546" s="8" t="str">
        <f t="shared" si="3"/>
        <v/>
      </c>
      <c r="O1546" s="21" t="str">
        <f t="shared" si="22"/>
        <v/>
      </c>
      <c r="P1546" s="24" t="b">
        <v>0</v>
      </c>
      <c r="Q1546" s="20" t="str">
        <f t="shared" si="31"/>
        <v/>
      </c>
      <c r="R1546" s="24" t="b">
        <v>0</v>
      </c>
      <c r="S1546" s="7" t="str">
        <f t="shared" si="6"/>
        <v/>
      </c>
      <c r="T1546" s="7"/>
    </row>
    <row r="1547" ht="22.5" hidden="1" customHeight="1">
      <c r="B1547" s="7">
        <f t="shared" si="7"/>
        <v>1541</v>
      </c>
      <c r="C1547" s="40"/>
      <c r="D1547" s="19" t="str">
        <f t="array" ref="D1547">IFNA(_xlfn.XLOOKUP(C1547,Table_Tarikan_Warkah[Nomor Sertipikat],Table_Tarikan_Warkah[Nomor Tiket]),"")</f>
        <v/>
      </c>
      <c r="E1547" s="20" t="str">
        <f t="array" ref="E1547">IFNA(_xlfn.XLOOKUP(D1547,Table_Tarikan_Warkah[Nomor Tiket],Table_Tarikan_Warkah[Tanggal diserahkan kepada Validator]),"")</f>
        <v/>
      </c>
      <c r="F1547" s="20" t="str">
        <f t="array" ref="F1547">IFNA(_xlfn.XLOOKUP(D1547,Table_Tarikan_Warkah[Nomor Tiket],Table_Tarikan_Warkah[Nama Petugas Warkah]),"")</f>
        <v/>
      </c>
      <c r="G1547" s="21" t="str">
        <f t="array" ref="G1547">IFNA(_xlfn.XLOOKUP(D1547,Table_Tarikan_Warkah[Nomor Tiket],Table_Tarikan_Warkah[Jenis Permohonan]),"")</f>
        <v/>
      </c>
      <c r="H1547" s="26"/>
      <c r="I1547" s="26"/>
      <c r="J1547" s="20" t="str">
        <f t="shared" si="29"/>
        <v/>
      </c>
      <c r="K1547" s="26"/>
      <c r="L1547" s="26"/>
      <c r="M1547" s="20" t="str">
        <f t="shared" si="30"/>
        <v/>
      </c>
      <c r="N1547" s="8" t="str">
        <f t="shared" si="3"/>
        <v/>
      </c>
      <c r="O1547" s="21" t="str">
        <f t="shared" si="22"/>
        <v/>
      </c>
      <c r="P1547" s="24" t="b">
        <v>0</v>
      </c>
      <c r="Q1547" s="20" t="str">
        <f t="shared" si="31"/>
        <v/>
      </c>
      <c r="R1547" s="24" t="b">
        <v>0</v>
      </c>
      <c r="S1547" s="7" t="str">
        <f t="shared" si="6"/>
        <v/>
      </c>
      <c r="T1547" s="7"/>
    </row>
    <row r="1548" ht="22.5" hidden="1" customHeight="1">
      <c r="B1548" s="7">
        <f t="shared" si="7"/>
        <v>1542</v>
      </c>
      <c r="C1548" s="40"/>
      <c r="D1548" s="19" t="str">
        <f t="array" ref="D1548">IFNA(_xlfn.XLOOKUP(C1548,Table_Tarikan_Warkah[Nomor Sertipikat],Table_Tarikan_Warkah[Nomor Tiket]),"")</f>
        <v/>
      </c>
      <c r="E1548" s="20" t="str">
        <f t="array" ref="E1548">IFNA(_xlfn.XLOOKUP(D1548,Table_Tarikan_Warkah[Nomor Tiket],Table_Tarikan_Warkah[Tanggal diserahkan kepada Validator]),"")</f>
        <v/>
      </c>
      <c r="F1548" s="20" t="str">
        <f t="array" ref="F1548">IFNA(_xlfn.XLOOKUP(D1548,Table_Tarikan_Warkah[Nomor Tiket],Table_Tarikan_Warkah[Nama Petugas Warkah]),"")</f>
        <v/>
      </c>
      <c r="G1548" s="21" t="str">
        <f t="array" ref="G1548">IFNA(_xlfn.XLOOKUP(D1548,Table_Tarikan_Warkah[Nomor Tiket],Table_Tarikan_Warkah[Jenis Permohonan]),"")</f>
        <v/>
      </c>
      <c r="H1548" s="26"/>
      <c r="I1548" s="26"/>
      <c r="J1548" s="20" t="str">
        <f t="shared" si="29"/>
        <v/>
      </c>
      <c r="K1548" s="26"/>
      <c r="L1548" s="26"/>
      <c r="M1548" s="20" t="str">
        <f t="shared" si="30"/>
        <v/>
      </c>
      <c r="N1548" s="8" t="str">
        <f t="shared" si="3"/>
        <v/>
      </c>
      <c r="O1548" s="21" t="str">
        <f t="shared" si="22"/>
        <v/>
      </c>
      <c r="P1548" s="24" t="b">
        <v>0</v>
      </c>
      <c r="Q1548" s="20" t="str">
        <f t="shared" si="31"/>
        <v/>
      </c>
      <c r="R1548" s="24" t="b">
        <v>0</v>
      </c>
      <c r="S1548" s="7" t="str">
        <f t="shared" si="6"/>
        <v/>
      </c>
      <c r="T1548" s="7"/>
    </row>
    <row r="1549" ht="22.5" hidden="1" customHeight="1">
      <c r="B1549" s="7">
        <f t="shared" si="7"/>
        <v>1543</v>
      </c>
      <c r="C1549" s="40"/>
      <c r="D1549" s="19" t="str">
        <f t="array" ref="D1549">IFNA(_xlfn.XLOOKUP(C1549,Table_Tarikan_Warkah[Nomor Sertipikat],Table_Tarikan_Warkah[Nomor Tiket]),"")</f>
        <v/>
      </c>
      <c r="E1549" s="20" t="str">
        <f t="array" ref="E1549">IFNA(_xlfn.XLOOKUP(D1549,Table_Tarikan_Warkah[Nomor Tiket],Table_Tarikan_Warkah[Tanggal diserahkan kepada Validator]),"")</f>
        <v/>
      </c>
      <c r="F1549" s="20" t="str">
        <f t="array" ref="F1549">IFNA(_xlfn.XLOOKUP(D1549,Table_Tarikan_Warkah[Nomor Tiket],Table_Tarikan_Warkah[Nama Petugas Warkah]),"")</f>
        <v/>
      </c>
      <c r="G1549" s="21" t="str">
        <f t="array" ref="G1549">IFNA(_xlfn.XLOOKUP(D1549,Table_Tarikan_Warkah[Nomor Tiket],Table_Tarikan_Warkah[Jenis Permohonan]),"")</f>
        <v/>
      </c>
      <c r="H1549" s="26"/>
      <c r="I1549" s="26"/>
      <c r="J1549" s="20" t="str">
        <f t="shared" si="29"/>
        <v/>
      </c>
      <c r="K1549" s="26"/>
      <c r="L1549" s="26"/>
      <c r="M1549" s="20" t="str">
        <f t="shared" si="30"/>
        <v/>
      </c>
      <c r="N1549" s="8" t="str">
        <f t="shared" si="3"/>
        <v/>
      </c>
      <c r="O1549" s="21" t="str">
        <f t="shared" si="22"/>
        <v/>
      </c>
      <c r="P1549" s="24" t="b">
        <v>0</v>
      </c>
      <c r="Q1549" s="20" t="str">
        <f t="shared" si="31"/>
        <v/>
      </c>
      <c r="R1549" s="24" t="b">
        <v>0</v>
      </c>
      <c r="S1549" s="7" t="str">
        <f t="shared" si="6"/>
        <v/>
      </c>
      <c r="T1549" s="7"/>
    </row>
    <row r="1550" ht="22.5" hidden="1" customHeight="1">
      <c r="B1550" s="7">
        <f t="shared" si="7"/>
        <v>1544</v>
      </c>
      <c r="C1550" s="40"/>
      <c r="D1550" s="19" t="str">
        <f t="array" ref="D1550">IFNA(_xlfn.XLOOKUP(C1550,Table_Tarikan_Warkah[Nomor Sertipikat],Table_Tarikan_Warkah[Nomor Tiket]),"")</f>
        <v/>
      </c>
      <c r="E1550" s="20" t="str">
        <f t="array" ref="E1550">IFNA(_xlfn.XLOOKUP(D1550,Table_Tarikan_Warkah[Nomor Tiket],Table_Tarikan_Warkah[Tanggal diserahkan kepada Validator]),"")</f>
        <v/>
      </c>
      <c r="F1550" s="20" t="str">
        <f t="array" ref="F1550">IFNA(_xlfn.XLOOKUP(D1550,Table_Tarikan_Warkah[Nomor Tiket],Table_Tarikan_Warkah[Nama Petugas Warkah]),"")</f>
        <v/>
      </c>
      <c r="G1550" s="21" t="str">
        <f t="array" ref="G1550">IFNA(_xlfn.XLOOKUP(D1550,Table_Tarikan_Warkah[Nomor Tiket],Table_Tarikan_Warkah[Jenis Permohonan]),"")</f>
        <v/>
      </c>
      <c r="H1550" s="26"/>
      <c r="I1550" s="26"/>
      <c r="J1550" s="20" t="str">
        <f t="shared" si="29"/>
        <v/>
      </c>
      <c r="K1550" s="26"/>
      <c r="L1550" s="26"/>
      <c r="M1550" s="20" t="str">
        <f t="shared" si="30"/>
        <v/>
      </c>
      <c r="N1550" s="8" t="str">
        <f t="shared" si="3"/>
        <v/>
      </c>
      <c r="O1550" s="21" t="str">
        <f t="shared" si="22"/>
        <v/>
      </c>
      <c r="P1550" s="24" t="b">
        <v>0</v>
      </c>
      <c r="Q1550" s="20" t="str">
        <f t="shared" si="31"/>
        <v/>
      </c>
      <c r="R1550" s="24" t="b">
        <v>0</v>
      </c>
      <c r="S1550" s="7" t="str">
        <f t="shared" si="6"/>
        <v/>
      </c>
      <c r="T1550" s="7"/>
    </row>
    <row r="1551" ht="22.5" hidden="1" customHeight="1">
      <c r="B1551" s="7">
        <f t="shared" si="7"/>
        <v>1545</v>
      </c>
      <c r="C1551" s="40"/>
      <c r="D1551" s="19" t="str">
        <f t="array" ref="D1551">IFNA(_xlfn.XLOOKUP(C1551,Table_Tarikan_Warkah[Nomor Sertipikat],Table_Tarikan_Warkah[Nomor Tiket]),"")</f>
        <v/>
      </c>
      <c r="E1551" s="20" t="str">
        <f t="array" ref="E1551">IFNA(_xlfn.XLOOKUP(D1551,Table_Tarikan_Warkah[Nomor Tiket],Table_Tarikan_Warkah[Tanggal diserahkan kepada Validator]),"")</f>
        <v/>
      </c>
      <c r="F1551" s="20" t="str">
        <f t="array" ref="F1551">IFNA(_xlfn.XLOOKUP(D1551,Table_Tarikan_Warkah[Nomor Tiket],Table_Tarikan_Warkah[Nama Petugas Warkah]),"")</f>
        <v/>
      </c>
      <c r="G1551" s="21" t="str">
        <f t="array" ref="G1551">IFNA(_xlfn.XLOOKUP(D1551,Table_Tarikan_Warkah[Nomor Tiket],Table_Tarikan_Warkah[Jenis Permohonan]),"")</f>
        <v/>
      </c>
      <c r="H1551" s="26"/>
      <c r="I1551" s="26"/>
      <c r="J1551" s="20" t="str">
        <f t="shared" si="29"/>
        <v/>
      </c>
      <c r="K1551" s="26"/>
      <c r="L1551" s="26"/>
      <c r="M1551" s="20" t="str">
        <f t="shared" si="30"/>
        <v/>
      </c>
      <c r="N1551" s="8" t="str">
        <f t="shared" si="3"/>
        <v/>
      </c>
      <c r="O1551" s="21" t="str">
        <f t="shared" si="22"/>
        <v/>
      </c>
      <c r="P1551" s="24" t="b">
        <v>0</v>
      </c>
      <c r="Q1551" s="20" t="str">
        <f t="shared" si="31"/>
        <v/>
      </c>
      <c r="R1551" s="24" t="b">
        <v>0</v>
      </c>
      <c r="S1551" s="7" t="str">
        <f t="shared" si="6"/>
        <v/>
      </c>
      <c r="T1551" s="7"/>
    </row>
    <row r="1552" ht="22.5" hidden="1" customHeight="1">
      <c r="B1552" s="7">
        <f t="shared" si="7"/>
        <v>1546</v>
      </c>
      <c r="C1552" s="40"/>
      <c r="D1552" s="19" t="str">
        <f t="array" ref="D1552">IFNA(_xlfn.XLOOKUP(C1552,Table_Tarikan_Warkah[Nomor Sertipikat],Table_Tarikan_Warkah[Nomor Tiket]),"")</f>
        <v/>
      </c>
      <c r="E1552" s="20" t="str">
        <f t="array" ref="E1552">IFNA(_xlfn.XLOOKUP(D1552,Table_Tarikan_Warkah[Nomor Tiket],Table_Tarikan_Warkah[Tanggal diserahkan kepada Validator]),"")</f>
        <v/>
      </c>
      <c r="F1552" s="20" t="str">
        <f t="array" ref="F1552">IFNA(_xlfn.XLOOKUP(D1552,Table_Tarikan_Warkah[Nomor Tiket],Table_Tarikan_Warkah[Nama Petugas Warkah]),"")</f>
        <v/>
      </c>
      <c r="G1552" s="21" t="str">
        <f t="array" ref="G1552">IFNA(_xlfn.XLOOKUP(D1552,Table_Tarikan_Warkah[Nomor Tiket],Table_Tarikan_Warkah[Jenis Permohonan]),"")</f>
        <v/>
      </c>
      <c r="H1552" s="26"/>
      <c r="I1552" s="26"/>
      <c r="J1552" s="20" t="str">
        <f t="shared" si="29"/>
        <v/>
      </c>
      <c r="K1552" s="26"/>
      <c r="L1552" s="26"/>
      <c r="M1552" s="20" t="str">
        <f t="shared" si="30"/>
        <v/>
      </c>
      <c r="N1552" s="8" t="str">
        <f t="shared" si="3"/>
        <v/>
      </c>
      <c r="O1552" s="21" t="str">
        <f t="shared" si="22"/>
        <v/>
      </c>
      <c r="P1552" s="24" t="b">
        <v>0</v>
      </c>
      <c r="Q1552" s="20" t="str">
        <f t="shared" si="31"/>
        <v/>
      </c>
      <c r="R1552" s="24" t="b">
        <v>0</v>
      </c>
      <c r="S1552" s="7" t="str">
        <f t="shared" si="6"/>
        <v/>
      </c>
      <c r="T1552" s="7"/>
    </row>
    <row r="1553" ht="22.5" hidden="1" customHeight="1">
      <c r="B1553" s="7">
        <f t="shared" si="7"/>
        <v>1547</v>
      </c>
      <c r="C1553" s="40"/>
      <c r="D1553" s="19" t="str">
        <f t="array" ref="D1553">IFNA(_xlfn.XLOOKUP(C1553,Table_Tarikan_Warkah[Nomor Sertipikat],Table_Tarikan_Warkah[Nomor Tiket]),"")</f>
        <v/>
      </c>
      <c r="E1553" s="20" t="str">
        <f t="array" ref="E1553">IFNA(_xlfn.XLOOKUP(D1553,Table_Tarikan_Warkah[Nomor Tiket],Table_Tarikan_Warkah[Tanggal diserahkan kepada Validator]),"")</f>
        <v/>
      </c>
      <c r="F1553" s="20" t="str">
        <f t="array" ref="F1553">IFNA(_xlfn.XLOOKUP(D1553,Table_Tarikan_Warkah[Nomor Tiket],Table_Tarikan_Warkah[Nama Petugas Warkah]),"")</f>
        <v/>
      </c>
      <c r="G1553" s="21" t="str">
        <f t="array" ref="G1553">IFNA(_xlfn.XLOOKUP(D1553,Table_Tarikan_Warkah[Nomor Tiket],Table_Tarikan_Warkah[Jenis Permohonan]),"")</f>
        <v/>
      </c>
      <c r="H1553" s="26"/>
      <c r="I1553" s="26"/>
      <c r="J1553" s="20" t="str">
        <f t="shared" si="29"/>
        <v/>
      </c>
      <c r="K1553" s="26"/>
      <c r="L1553" s="26"/>
      <c r="M1553" s="20" t="str">
        <f t="shared" si="30"/>
        <v/>
      </c>
      <c r="N1553" s="8" t="str">
        <f t="shared" si="3"/>
        <v/>
      </c>
      <c r="O1553" s="21" t="str">
        <f t="shared" si="22"/>
        <v/>
      </c>
      <c r="P1553" s="24" t="b">
        <v>0</v>
      </c>
      <c r="Q1553" s="20" t="str">
        <f t="shared" si="31"/>
        <v/>
      </c>
      <c r="R1553" s="24" t="b">
        <v>0</v>
      </c>
      <c r="S1553" s="7" t="str">
        <f t="shared" si="6"/>
        <v/>
      </c>
      <c r="T1553" s="7"/>
    </row>
    <row r="1554" ht="22.5" hidden="1" customHeight="1">
      <c r="B1554" s="7">
        <f t="shared" si="7"/>
        <v>1548</v>
      </c>
      <c r="C1554" s="40"/>
      <c r="D1554" s="19" t="str">
        <f t="array" ref="D1554">IFNA(_xlfn.XLOOKUP(C1554,Table_Tarikan_Warkah[Nomor Sertipikat],Table_Tarikan_Warkah[Nomor Tiket]),"")</f>
        <v/>
      </c>
      <c r="E1554" s="20" t="str">
        <f t="array" ref="E1554">IFNA(_xlfn.XLOOKUP(D1554,Table_Tarikan_Warkah[Nomor Tiket],Table_Tarikan_Warkah[Tanggal diserahkan kepada Validator]),"")</f>
        <v/>
      </c>
      <c r="F1554" s="20" t="str">
        <f t="array" ref="F1554">IFNA(_xlfn.XLOOKUP(D1554,Table_Tarikan_Warkah[Nomor Tiket],Table_Tarikan_Warkah[Nama Petugas Warkah]),"")</f>
        <v/>
      </c>
      <c r="G1554" s="21" t="str">
        <f t="array" ref="G1554">IFNA(_xlfn.XLOOKUP(D1554,Table_Tarikan_Warkah[Nomor Tiket],Table_Tarikan_Warkah[Jenis Permohonan]),"")</f>
        <v/>
      </c>
      <c r="H1554" s="26"/>
      <c r="I1554" s="26"/>
      <c r="J1554" s="20" t="str">
        <f t="shared" si="29"/>
        <v/>
      </c>
      <c r="K1554" s="26"/>
      <c r="L1554" s="26"/>
      <c r="M1554" s="20" t="str">
        <f t="shared" si="30"/>
        <v/>
      </c>
      <c r="N1554" s="8" t="str">
        <f t="shared" si="3"/>
        <v/>
      </c>
      <c r="O1554" s="21" t="str">
        <f t="shared" si="22"/>
        <v/>
      </c>
      <c r="P1554" s="24" t="b">
        <v>0</v>
      </c>
      <c r="Q1554" s="20" t="str">
        <f t="shared" si="31"/>
        <v/>
      </c>
      <c r="R1554" s="24" t="b">
        <v>0</v>
      </c>
      <c r="S1554" s="7" t="str">
        <f t="shared" si="6"/>
        <v/>
      </c>
      <c r="T1554" s="7"/>
    </row>
    <row r="1555" ht="22.5" hidden="1" customHeight="1">
      <c r="B1555" s="7">
        <f t="shared" si="7"/>
        <v>1549</v>
      </c>
      <c r="C1555" s="40"/>
      <c r="D1555" s="19" t="str">
        <f t="array" ref="D1555">IFNA(_xlfn.XLOOKUP(C1555,Table_Tarikan_Warkah[Nomor Sertipikat],Table_Tarikan_Warkah[Nomor Tiket]),"")</f>
        <v/>
      </c>
      <c r="E1555" s="20" t="str">
        <f t="array" ref="E1555">IFNA(_xlfn.XLOOKUP(D1555,Table_Tarikan_Warkah[Nomor Tiket],Table_Tarikan_Warkah[Tanggal diserahkan kepada Validator]),"")</f>
        <v/>
      </c>
      <c r="F1555" s="20" t="str">
        <f t="array" ref="F1555">IFNA(_xlfn.XLOOKUP(D1555,Table_Tarikan_Warkah[Nomor Tiket],Table_Tarikan_Warkah[Nama Petugas Warkah]),"")</f>
        <v/>
      </c>
      <c r="G1555" s="21" t="str">
        <f t="array" ref="G1555">IFNA(_xlfn.XLOOKUP(D1555,Table_Tarikan_Warkah[Nomor Tiket],Table_Tarikan_Warkah[Jenis Permohonan]),"")</f>
        <v/>
      </c>
      <c r="H1555" s="26"/>
      <c r="I1555" s="26"/>
      <c r="J1555" s="20" t="str">
        <f t="shared" si="29"/>
        <v/>
      </c>
      <c r="K1555" s="26"/>
      <c r="L1555" s="26"/>
      <c r="M1555" s="20" t="str">
        <f t="shared" si="30"/>
        <v/>
      </c>
      <c r="N1555" s="8" t="str">
        <f t="shared" si="3"/>
        <v/>
      </c>
      <c r="O1555" s="21" t="str">
        <f t="shared" si="22"/>
        <v/>
      </c>
      <c r="P1555" s="24" t="b">
        <v>0</v>
      </c>
      <c r="Q1555" s="20" t="str">
        <f t="shared" si="31"/>
        <v/>
      </c>
      <c r="R1555" s="24" t="b">
        <v>0</v>
      </c>
      <c r="S1555" s="7" t="str">
        <f t="shared" si="6"/>
        <v/>
      </c>
      <c r="T1555" s="7"/>
    </row>
    <row r="1556" ht="22.5" hidden="1" customHeight="1">
      <c r="B1556" s="7">
        <f t="shared" si="7"/>
        <v>1550</v>
      </c>
      <c r="C1556" s="40"/>
      <c r="D1556" s="19" t="str">
        <f t="array" ref="D1556">IFNA(_xlfn.XLOOKUP(C1556,Table_Tarikan_Warkah[Nomor Sertipikat],Table_Tarikan_Warkah[Nomor Tiket]),"")</f>
        <v/>
      </c>
      <c r="E1556" s="20" t="str">
        <f t="array" ref="E1556">IFNA(_xlfn.XLOOKUP(D1556,Table_Tarikan_Warkah[Nomor Tiket],Table_Tarikan_Warkah[Tanggal diserahkan kepada Validator]),"")</f>
        <v/>
      </c>
      <c r="F1556" s="20" t="str">
        <f t="array" ref="F1556">IFNA(_xlfn.XLOOKUP(D1556,Table_Tarikan_Warkah[Nomor Tiket],Table_Tarikan_Warkah[Nama Petugas Warkah]),"")</f>
        <v/>
      </c>
      <c r="G1556" s="21" t="str">
        <f t="array" ref="G1556">IFNA(_xlfn.XLOOKUP(D1556,Table_Tarikan_Warkah[Nomor Tiket],Table_Tarikan_Warkah[Jenis Permohonan]),"")</f>
        <v/>
      </c>
      <c r="H1556" s="26"/>
      <c r="I1556" s="26"/>
      <c r="J1556" s="20" t="str">
        <f t="shared" si="29"/>
        <v/>
      </c>
      <c r="K1556" s="26"/>
      <c r="L1556" s="26"/>
      <c r="M1556" s="20" t="str">
        <f t="shared" si="30"/>
        <v/>
      </c>
      <c r="N1556" s="8" t="str">
        <f t="shared" si="3"/>
        <v/>
      </c>
      <c r="O1556" s="21" t="str">
        <f t="shared" si="22"/>
        <v/>
      </c>
      <c r="P1556" s="24" t="b">
        <v>0</v>
      </c>
      <c r="Q1556" s="20" t="str">
        <f t="shared" si="31"/>
        <v/>
      </c>
      <c r="R1556" s="24" t="b">
        <v>0</v>
      </c>
      <c r="S1556" s="7" t="str">
        <f t="shared" si="6"/>
        <v/>
      </c>
      <c r="T1556" s="7"/>
    </row>
    <row r="1557" ht="22.5" hidden="1" customHeight="1">
      <c r="B1557" s="7">
        <f t="shared" si="7"/>
        <v>1551</v>
      </c>
      <c r="C1557" s="40"/>
      <c r="D1557" s="19" t="str">
        <f t="array" ref="D1557">IFNA(_xlfn.XLOOKUP(C1557,Table_Tarikan_Warkah[Nomor Sertipikat],Table_Tarikan_Warkah[Nomor Tiket]),"")</f>
        <v/>
      </c>
      <c r="E1557" s="20" t="str">
        <f t="array" ref="E1557">IFNA(_xlfn.XLOOKUP(D1557,Table_Tarikan_Warkah[Nomor Tiket],Table_Tarikan_Warkah[Tanggal diserahkan kepada Validator]),"")</f>
        <v/>
      </c>
      <c r="F1557" s="20" t="str">
        <f t="array" ref="F1557">IFNA(_xlfn.XLOOKUP(D1557,Table_Tarikan_Warkah[Nomor Tiket],Table_Tarikan_Warkah[Nama Petugas Warkah]),"")</f>
        <v/>
      </c>
      <c r="G1557" s="21" t="str">
        <f t="array" ref="G1557">IFNA(_xlfn.XLOOKUP(D1557,Table_Tarikan_Warkah[Nomor Tiket],Table_Tarikan_Warkah[Jenis Permohonan]),"")</f>
        <v/>
      </c>
      <c r="H1557" s="26"/>
      <c r="I1557" s="26"/>
      <c r="J1557" s="20" t="str">
        <f t="shared" si="29"/>
        <v/>
      </c>
      <c r="K1557" s="26"/>
      <c r="L1557" s="26"/>
      <c r="M1557" s="20" t="str">
        <f t="shared" si="30"/>
        <v/>
      </c>
      <c r="N1557" s="8" t="str">
        <f t="shared" si="3"/>
        <v/>
      </c>
      <c r="O1557" s="21" t="str">
        <f t="shared" si="22"/>
        <v/>
      </c>
      <c r="P1557" s="24" t="b">
        <v>0</v>
      </c>
      <c r="Q1557" s="20" t="str">
        <f t="shared" si="31"/>
        <v/>
      </c>
      <c r="R1557" s="24" t="b">
        <v>0</v>
      </c>
      <c r="S1557" s="7" t="str">
        <f t="shared" si="6"/>
        <v/>
      </c>
      <c r="T1557" s="7"/>
    </row>
    <row r="1558" ht="22.5" hidden="1" customHeight="1">
      <c r="B1558" s="7">
        <f t="shared" si="7"/>
        <v>1552</v>
      </c>
      <c r="C1558" s="40"/>
      <c r="D1558" s="19" t="str">
        <f t="array" ref="D1558">IFNA(_xlfn.XLOOKUP(C1558,Table_Tarikan_Warkah[Nomor Sertipikat],Table_Tarikan_Warkah[Nomor Tiket]),"")</f>
        <v/>
      </c>
      <c r="E1558" s="20" t="str">
        <f t="array" ref="E1558">IFNA(_xlfn.XLOOKUP(D1558,Table_Tarikan_Warkah[Nomor Tiket],Table_Tarikan_Warkah[Tanggal diserahkan kepada Validator]),"")</f>
        <v/>
      </c>
      <c r="F1558" s="20" t="str">
        <f t="array" ref="F1558">IFNA(_xlfn.XLOOKUP(D1558,Table_Tarikan_Warkah[Nomor Tiket],Table_Tarikan_Warkah[Nama Petugas Warkah]),"")</f>
        <v/>
      </c>
      <c r="G1558" s="21" t="str">
        <f t="array" ref="G1558">IFNA(_xlfn.XLOOKUP(D1558,Table_Tarikan_Warkah[Nomor Tiket],Table_Tarikan_Warkah[Jenis Permohonan]),"")</f>
        <v/>
      </c>
      <c r="H1558" s="26"/>
      <c r="I1558" s="26"/>
      <c r="J1558" s="20" t="str">
        <f t="shared" si="29"/>
        <v/>
      </c>
      <c r="K1558" s="26"/>
      <c r="L1558" s="26"/>
      <c r="M1558" s="20" t="str">
        <f t="shared" si="30"/>
        <v/>
      </c>
      <c r="N1558" s="8" t="str">
        <f t="shared" si="3"/>
        <v/>
      </c>
      <c r="O1558" s="21" t="str">
        <f t="shared" si="22"/>
        <v/>
      </c>
      <c r="P1558" s="24" t="b">
        <v>0</v>
      </c>
      <c r="Q1558" s="20" t="str">
        <f t="shared" si="31"/>
        <v/>
      </c>
      <c r="R1558" s="24" t="b">
        <v>0</v>
      </c>
      <c r="S1558" s="7" t="str">
        <f t="shared" si="6"/>
        <v/>
      </c>
      <c r="T1558" s="7"/>
    </row>
    <row r="1559" ht="22.5" hidden="1" customHeight="1">
      <c r="B1559" s="7">
        <f t="shared" si="7"/>
        <v>1553</v>
      </c>
      <c r="C1559" s="40"/>
      <c r="D1559" s="19" t="str">
        <f t="array" ref="D1559">IFNA(_xlfn.XLOOKUP(C1559,Table_Tarikan_Warkah[Nomor Sertipikat],Table_Tarikan_Warkah[Nomor Tiket]),"")</f>
        <v/>
      </c>
      <c r="E1559" s="20" t="str">
        <f t="array" ref="E1559">IFNA(_xlfn.XLOOKUP(D1559,Table_Tarikan_Warkah[Nomor Tiket],Table_Tarikan_Warkah[Tanggal diserahkan kepada Validator]),"")</f>
        <v/>
      </c>
      <c r="F1559" s="20" t="str">
        <f t="array" ref="F1559">IFNA(_xlfn.XLOOKUP(D1559,Table_Tarikan_Warkah[Nomor Tiket],Table_Tarikan_Warkah[Nama Petugas Warkah]),"")</f>
        <v/>
      </c>
      <c r="G1559" s="21" t="str">
        <f t="array" ref="G1559">IFNA(_xlfn.XLOOKUP(D1559,Table_Tarikan_Warkah[Nomor Tiket],Table_Tarikan_Warkah[Jenis Permohonan]),"")</f>
        <v/>
      </c>
      <c r="H1559" s="26"/>
      <c r="I1559" s="26"/>
      <c r="J1559" s="20" t="str">
        <f t="shared" si="29"/>
        <v/>
      </c>
      <c r="K1559" s="26"/>
      <c r="L1559" s="26"/>
      <c r="M1559" s="20" t="str">
        <f t="shared" si="30"/>
        <v/>
      </c>
      <c r="N1559" s="8" t="str">
        <f t="shared" si="3"/>
        <v/>
      </c>
      <c r="O1559" s="21" t="str">
        <f t="shared" si="22"/>
        <v/>
      </c>
      <c r="P1559" s="24" t="b">
        <v>0</v>
      </c>
      <c r="Q1559" s="20" t="str">
        <f t="shared" si="31"/>
        <v/>
      </c>
      <c r="R1559" s="24" t="b">
        <v>0</v>
      </c>
      <c r="S1559" s="7" t="str">
        <f t="shared" si="6"/>
        <v/>
      </c>
      <c r="T1559" s="7"/>
    </row>
    <row r="1560" ht="22.5" hidden="1" customHeight="1">
      <c r="B1560" s="7">
        <f t="shared" si="7"/>
        <v>1554</v>
      </c>
      <c r="C1560" s="40"/>
      <c r="D1560" s="19" t="str">
        <f t="array" ref="D1560">IFNA(_xlfn.XLOOKUP(C1560,Table_Tarikan_Warkah[Nomor Sertipikat],Table_Tarikan_Warkah[Nomor Tiket]),"")</f>
        <v/>
      </c>
      <c r="E1560" s="20" t="str">
        <f t="array" ref="E1560">IFNA(_xlfn.XLOOKUP(D1560,Table_Tarikan_Warkah[Nomor Tiket],Table_Tarikan_Warkah[Tanggal diserahkan kepada Validator]),"")</f>
        <v/>
      </c>
      <c r="F1560" s="20" t="str">
        <f t="array" ref="F1560">IFNA(_xlfn.XLOOKUP(D1560,Table_Tarikan_Warkah[Nomor Tiket],Table_Tarikan_Warkah[Nama Petugas Warkah]),"")</f>
        <v/>
      </c>
      <c r="G1560" s="21" t="str">
        <f t="array" ref="G1560">IFNA(_xlfn.XLOOKUP(D1560,Table_Tarikan_Warkah[Nomor Tiket],Table_Tarikan_Warkah[Jenis Permohonan]),"")</f>
        <v/>
      </c>
      <c r="H1560" s="26"/>
      <c r="I1560" s="26"/>
      <c r="J1560" s="20" t="str">
        <f t="shared" si="29"/>
        <v/>
      </c>
      <c r="K1560" s="26"/>
      <c r="L1560" s="26"/>
      <c r="M1560" s="20" t="str">
        <f t="shared" si="30"/>
        <v/>
      </c>
      <c r="N1560" s="8" t="str">
        <f t="shared" si="3"/>
        <v/>
      </c>
      <c r="O1560" s="21" t="str">
        <f t="shared" si="22"/>
        <v/>
      </c>
      <c r="P1560" s="24" t="b">
        <v>0</v>
      </c>
      <c r="Q1560" s="20" t="str">
        <f t="shared" si="31"/>
        <v/>
      </c>
      <c r="R1560" s="24" t="b">
        <v>0</v>
      </c>
      <c r="S1560" s="7" t="str">
        <f t="shared" si="6"/>
        <v/>
      </c>
      <c r="T1560" s="7"/>
    </row>
    <row r="1561" ht="22.5" hidden="1" customHeight="1">
      <c r="B1561" s="7">
        <f t="shared" si="7"/>
        <v>1555</v>
      </c>
      <c r="C1561" s="40"/>
      <c r="D1561" s="19" t="str">
        <f t="array" ref="D1561">IFNA(_xlfn.XLOOKUP(C1561,Table_Tarikan_Warkah[Nomor Sertipikat],Table_Tarikan_Warkah[Nomor Tiket]),"")</f>
        <v/>
      </c>
      <c r="E1561" s="20" t="str">
        <f t="array" ref="E1561">IFNA(_xlfn.XLOOKUP(D1561,Table_Tarikan_Warkah[Nomor Tiket],Table_Tarikan_Warkah[Tanggal diserahkan kepada Validator]),"")</f>
        <v/>
      </c>
      <c r="F1561" s="20" t="str">
        <f t="array" ref="F1561">IFNA(_xlfn.XLOOKUP(D1561,Table_Tarikan_Warkah[Nomor Tiket],Table_Tarikan_Warkah[Nama Petugas Warkah]),"")</f>
        <v/>
      </c>
      <c r="G1561" s="21" t="str">
        <f t="array" ref="G1561">IFNA(_xlfn.XLOOKUP(D1561,Table_Tarikan_Warkah[Nomor Tiket],Table_Tarikan_Warkah[Jenis Permohonan]),"")</f>
        <v/>
      </c>
      <c r="H1561" s="26"/>
      <c r="I1561" s="26"/>
      <c r="J1561" s="20" t="str">
        <f t="shared" si="29"/>
        <v/>
      </c>
      <c r="K1561" s="26"/>
      <c r="L1561" s="26"/>
      <c r="M1561" s="20" t="str">
        <f t="shared" si="30"/>
        <v/>
      </c>
      <c r="N1561" s="8" t="str">
        <f t="shared" si="3"/>
        <v/>
      </c>
      <c r="O1561" s="21" t="str">
        <f t="shared" si="22"/>
        <v/>
      </c>
      <c r="P1561" s="24" t="b">
        <v>0</v>
      </c>
      <c r="Q1561" s="20" t="str">
        <f t="shared" si="31"/>
        <v/>
      </c>
      <c r="R1561" s="24" t="b">
        <v>0</v>
      </c>
      <c r="S1561" s="7" t="str">
        <f t="shared" si="6"/>
        <v/>
      </c>
      <c r="T1561" s="7"/>
    </row>
    <row r="1562" ht="22.5" hidden="1" customHeight="1">
      <c r="B1562" s="7">
        <f t="shared" si="7"/>
        <v>1556</v>
      </c>
      <c r="C1562" s="40"/>
      <c r="D1562" s="19" t="str">
        <f t="array" ref="D1562">IFNA(_xlfn.XLOOKUP(C1562,Table_Tarikan_Warkah[Nomor Sertipikat],Table_Tarikan_Warkah[Nomor Tiket]),"")</f>
        <v/>
      </c>
      <c r="E1562" s="20" t="str">
        <f t="array" ref="E1562">IFNA(_xlfn.XLOOKUP(D1562,Table_Tarikan_Warkah[Nomor Tiket],Table_Tarikan_Warkah[Tanggal diserahkan kepada Validator]),"")</f>
        <v/>
      </c>
      <c r="F1562" s="20" t="str">
        <f t="array" ref="F1562">IFNA(_xlfn.XLOOKUP(D1562,Table_Tarikan_Warkah[Nomor Tiket],Table_Tarikan_Warkah[Nama Petugas Warkah]),"")</f>
        <v/>
      </c>
      <c r="G1562" s="21" t="str">
        <f t="array" ref="G1562">IFNA(_xlfn.XLOOKUP(D1562,Table_Tarikan_Warkah[Nomor Tiket],Table_Tarikan_Warkah[Jenis Permohonan]),"")</f>
        <v/>
      </c>
      <c r="H1562" s="26"/>
      <c r="I1562" s="26"/>
      <c r="J1562" s="20" t="str">
        <f t="shared" si="29"/>
        <v/>
      </c>
      <c r="K1562" s="26"/>
      <c r="L1562" s="26"/>
      <c r="M1562" s="20" t="str">
        <f t="shared" si="30"/>
        <v/>
      </c>
      <c r="N1562" s="8" t="str">
        <f t="shared" si="3"/>
        <v/>
      </c>
      <c r="O1562" s="21" t="str">
        <f t="shared" si="22"/>
        <v/>
      </c>
      <c r="P1562" s="24" t="b">
        <v>0</v>
      </c>
      <c r="Q1562" s="20" t="str">
        <f t="shared" si="31"/>
        <v/>
      </c>
      <c r="R1562" s="24" t="b">
        <v>0</v>
      </c>
      <c r="S1562" s="7" t="str">
        <f t="shared" si="6"/>
        <v/>
      </c>
      <c r="T1562" s="7"/>
    </row>
    <row r="1563" ht="22.5" hidden="1" customHeight="1">
      <c r="B1563" s="7">
        <f t="shared" si="7"/>
        <v>1557</v>
      </c>
      <c r="C1563" s="40"/>
      <c r="D1563" s="19" t="str">
        <f t="array" ref="D1563">IFNA(_xlfn.XLOOKUP(C1563,Table_Tarikan_Warkah[Nomor Sertipikat],Table_Tarikan_Warkah[Nomor Tiket]),"")</f>
        <v/>
      </c>
      <c r="E1563" s="20" t="str">
        <f t="array" ref="E1563">IFNA(_xlfn.XLOOKUP(D1563,Table_Tarikan_Warkah[Nomor Tiket],Table_Tarikan_Warkah[Tanggal diserahkan kepada Validator]),"")</f>
        <v/>
      </c>
      <c r="F1563" s="20" t="str">
        <f t="array" ref="F1563">IFNA(_xlfn.XLOOKUP(D1563,Table_Tarikan_Warkah[Nomor Tiket],Table_Tarikan_Warkah[Nama Petugas Warkah]),"")</f>
        <v/>
      </c>
      <c r="G1563" s="21" t="str">
        <f t="array" ref="G1563">IFNA(_xlfn.XLOOKUP(D1563,Table_Tarikan_Warkah[Nomor Tiket],Table_Tarikan_Warkah[Jenis Permohonan]),"")</f>
        <v/>
      </c>
      <c r="H1563" s="26"/>
      <c r="I1563" s="26"/>
      <c r="J1563" s="20" t="str">
        <f t="shared" si="29"/>
        <v/>
      </c>
      <c r="K1563" s="26"/>
      <c r="L1563" s="26"/>
      <c r="M1563" s="20" t="str">
        <f t="shared" si="30"/>
        <v/>
      </c>
      <c r="N1563" s="8" t="str">
        <f t="shared" si="3"/>
        <v/>
      </c>
      <c r="O1563" s="21" t="str">
        <f t="shared" si="22"/>
        <v/>
      </c>
      <c r="P1563" s="24" t="b">
        <v>0</v>
      </c>
      <c r="Q1563" s="20" t="str">
        <f t="shared" si="31"/>
        <v/>
      </c>
      <c r="R1563" s="24" t="b">
        <v>0</v>
      </c>
      <c r="S1563" s="7" t="str">
        <f t="shared" si="6"/>
        <v/>
      </c>
      <c r="T1563" s="7"/>
    </row>
    <row r="1564" ht="22.5" hidden="1" customHeight="1">
      <c r="B1564" s="7">
        <f t="shared" si="7"/>
        <v>1558</v>
      </c>
      <c r="C1564" s="40"/>
      <c r="D1564" s="19" t="str">
        <f t="array" ref="D1564">IFNA(_xlfn.XLOOKUP(C1564,Table_Tarikan_Warkah[Nomor Sertipikat],Table_Tarikan_Warkah[Nomor Tiket]),"")</f>
        <v/>
      </c>
      <c r="E1564" s="20" t="str">
        <f t="array" ref="E1564">IFNA(_xlfn.XLOOKUP(D1564,Table_Tarikan_Warkah[Nomor Tiket],Table_Tarikan_Warkah[Tanggal diserahkan kepada Validator]),"")</f>
        <v/>
      </c>
      <c r="F1564" s="20" t="str">
        <f t="array" ref="F1564">IFNA(_xlfn.XLOOKUP(D1564,Table_Tarikan_Warkah[Nomor Tiket],Table_Tarikan_Warkah[Nama Petugas Warkah]),"")</f>
        <v/>
      </c>
      <c r="G1564" s="21" t="str">
        <f t="array" ref="G1564">IFNA(_xlfn.XLOOKUP(D1564,Table_Tarikan_Warkah[Nomor Tiket],Table_Tarikan_Warkah[Jenis Permohonan]),"")</f>
        <v/>
      </c>
      <c r="H1564" s="26"/>
      <c r="I1564" s="26"/>
      <c r="J1564" s="20" t="str">
        <f t="shared" si="29"/>
        <v/>
      </c>
      <c r="K1564" s="26"/>
      <c r="L1564" s="26"/>
      <c r="M1564" s="20" t="str">
        <f t="shared" si="30"/>
        <v/>
      </c>
      <c r="N1564" s="8" t="str">
        <f t="shared" si="3"/>
        <v/>
      </c>
      <c r="O1564" s="21" t="str">
        <f t="shared" si="22"/>
        <v/>
      </c>
      <c r="P1564" s="24" t="b">
        <v>0</v>
      </c>
      <c r="Q1564" s="20" t="str">
        <f t="shared" si="31"/>
        <v/>
      </c>
      <c r="R1564" s="24" t="b">
        <v>0</v>
      </c>
      <c r="S1564" s="7" t="str">
        <f t="shared" si="6"/>
        <v/>
      </c>
      <c r="T1564" s="7"/>
    </row>
    <row r="1565" ht="22.5" hidden="1" customHeight="1">
      <c r="B1565" s="7">
        <f t="shared" si="7"/>
        <v>1559</v>
      </c>
      <c r="C1565" s="40"/>
      <c r="D1565" s="19" t="str">
        <f t="array" ref="D1565">IFNA(_xlfn.XLOOKUP(C1565,Table_Tarikan_Warkah[Nomor Sertipikat],Table_Tarikan_Warkah[Nomor Tiket]),"")</f>
        <v/>
      </c>
      <c r="E1565" s="20" t="str">
        <f t="array" ref="E1565">IFNA(_xlfn.XLOOKUP(D1565,Table_Tarikan_Warkah[Nomor Tiket],Table_Tarikan_Warkah[Tanggal diserahkan kepada Validator]),"")</f>
        <v/>
      </c>
      <c r="F1565" s="20" t="str">
        <f t="array" ref="F1565">IFNA(_xlfn.XLOOKUP(D1565,Table_Tarikan_Warkah[Nomor Tiket],Table_Tarikan_Warkah[Nama Petugas Warkah]),"")</f>
        <v/>
      </c>
      <c r="G1565" s="21" t="str">
        <f t="array" ref="G1565">IFNA(_xlfn.XLOOKUP(D1565,Table_Tarikan_Warkah[Nomor Tiket],Table_Tarikan_Warkah[Jenis Permohonan]),"")</f>
        <v/>
      </c>
      <c r="H1565" s="26"/>
      <c r="I1565" s="26"/>
      <c r="J1565" s="20" t="str">
        <f t="shared" si="29"/>
        <v/>
      </c>
      <c r="K1565" s="26"/>
      <c r="L1565" s="26"/>
      <c r="M1565" s="20" t="str">
        <f t="shared" si="30"/>
        <v/>
      </c>
      <c r="N1565" s="8" t="str">
        <f t="shared" si="3"/>
        <v/>
      </c>
      <c r="O1565" s="21" t="str">
        <f t="shared" si="22"/>
        <v/>
      </c>
      <c r="P1565" s="24" t="b">
        <v>0</v>
      </c>
      <c r="Q1565" s="20" t="str">
        <f t="shared" si="31"/>
        <v/>
      </c>
      <c r="R1565" s="24" t="b">
        <v>0</v>
      </c>
      <c r="S1565" s="7" t="str">
        <f t="shared" si="6"/>
        <v/>
      </c>
      <c r="T1565" s="7"/>
    </row>
    <row r="1566" ht="22.5" hidden="1" customHeight="1">
      <c r="B1566" s="7">
        <f t="shared" si="7"/>
        <v>1560</v>
      </c>
      <c r="C1566" s="40"/>
      <c r="D1566" s="19" t="str">
        <f t="array" ref="D1566">IFNA(_xlfn.XLOOKUP(C1566,Table_Tarikan_Warkah[Nomor Sertipikat],Table_Tarikan_Warkah[Nomor Tiket]),"")</f>
        <v/>
      </c>
      <c r="E1566" s="20" t="str">
        <f t="array" ref="E1566">IFNA(_xlfn.XLOOKUP(D1566,Table_Tarikan_Warkah[Nomor Tiket],Table_Tarikan_Warkah[Tanggal diserahkan kepada Validator]),"")</f>
        <v/>
      </c>
      <c r="F1566" s="20" t="str">
        <f t="array" ref="F1566">IFNA(_xlfn.XLOOKUP(D1566,Table_Tarikan_Warkah[Nomor Tiket],Table_Tarikan_Warkah[Nama Petugas Warkah]),"")</f>
        <v/>
      </c>
      <c r="G1566" s="21" t="str">
        <f t="array" ref="G1566">IFNA(_xlfn.XLOOKUP(D1566,Table_Tarikan_Warkah[Nomor Tiket],Table_Tarikan_Warkah[Jenis Permohonan]),"")</f>
        <v/>
      </c>
      <c r="H1566" s="26"/>
      <c r="I1566" s="26"/>
      <c r="J1566" s="20" t="str">
        <f t="shared" si="29"/>
        <v/>
      </c>
      <c r="K1566" s="26"/>
      <c r="L1566" s="26"/>
      <c r="M1566" s="20" t="str">
        <f t="shared" si="30"/>
        <v/>
      </c>
      <c r="N1566" s="8" t="str">
        <f t="shared" si="3"/>
        <v/>
      </c>
      <c r="O1566" s="21" t="str">
        <f t="shared" si="22"/>
        <v/>
      </c>
      <c r="P1566" s="24" t="b">
        <v>0</v>
      </c>
      <c r="Q1566" s="20" t="str">
        <f t="shared" si="31"/>
        <v/>
      </c>
      <c r="R1566" s="24" t="b">
        <v>0</v>
      </c>
      <c r="S1566" s="7" t="str">
        <f t="shared" si="6"/>
        <v/>
      </c>
      <c r="T1566" s="7"/>
    </row>
    <row r="1567" ht="22.5" hidden="1" customHeight="1">
      <c r="B1567" s="7">
        <f t="shared" si="7"/>
        <v>1561</v>
      </c>
      <c r="C1567" s="40"/>
      <c r="D1567" s="19" t="str">
        <f t="array" ref="D1567">IFNA(_xlfn.XLOOKUP(C1567,Table_Tarikan_Warkah[Nomor Sertipikat],Table_Tarikan_Warkah[Nomor Tiket]),"")</f>
        <v/>
      </c>
      <c r="E1567" s="20" t="str">
        <f t="array" ref="E1567">IFNA(_xlfn.XLOOKUP(D1567,Table_Tarikan_Warkah[Nomor Tiket],Table_Tarikan_Warkah[Tanggal diserahkan kepada Validator]),"")</f>
        <v/>
      </c>
      <c r="F1567" s="20" t="str">
        <f t="array" ref="F1567">IFNA(_xlfn.XLOOKUP(D1567,Table_Tarikan_Warkah[Nomor Tiket],Table_Tarikan_Warkah[Nama Petugas Warkah]),"")</f>
        <v/>
      </c>
      <c r="G1567" s="21" t="str">
        <f t="array" ref="G1567">IFNA(_xlfn.XLOOKUP(D1567,Table_Tarikan_Warkah[Nomor Tiket],Table_Tarikan_Warkah[Jenis Permohonan]),"")</f>
        <v/>
      </c>
      <c r="H1567" s="26"/>
      <c r="I1567" s="26"/>
      <c r="J1567" s="20" t="str">
        <f t="shared" si="29"/>
        <v/>
      </c>
      <c r="K1567" s="26"/>
      <c r="L1567" s="26"/>
      <c r="M1567" s="20" t="str">
        <f t="shared" si="30"/>
        <v/>
      </c>
      <c r="N1567" s="8" t="str">
        <f t="shared" si="3"/>
        <v/>
      </c>
      <c r="O1567" s="21" t="str">
        <f t="shared" si="22"/>
        <v/>
      </c>
      <c r="P1567" s="24" t="b">
        <v>0</v>
      </c>
      <c r="Q1567" s="20" t="str">
        <f t="shared" si="31"/>
        <v/>
      </c>
      <c r="R1567" s="24" t="b">
        <v>0</v>
      </c>
      <c r="S1567" s="7" t="str">
        <f t="shared" si="6"/>
        <v/>
      </c>
      <c r="T1567" s="7"/>
    </row>
    <row r="1568" ht="22.5" hidden="1" customHeight="1">
      <c r="B1568" s="7">
        <f t="shared" si="7"/>
        <v>1562</v>
      </c>
      <c r="C1568" s="40"/>
      <c r="D1568" s="19" t="str">
        <f t="array" ref="D1568">IFNA(_xlfn.XLOOKUP(C1568,Table_Tarikan_Warkah[Nomor Sertipikat],Table_Tarikan_Warkah[Nomor Tiket]),"")</f>
        <v/>
      </c>
      <c r="E1568" s="20" t="str">
        <f t="array" ref="E1568">IFNA(_xlfn.XLOOKUP(D1568,Table_Tarikan_Warkah[Nomor Tiket],Table_Tarikan_Warkah[Tanggal diserahkan kepada Validator]),"")</f>
        <v/>
      </c>
      <c r="F1568" s="20" t="str">
        <f t="array" ref="F1568">IFNA(_xlfn.XLOOKUP(D1568,Table_Tarikan_Warkah[Nomor Tiket],Table_Tarikan_Warkah[Nama Petugas Warkah]),"")</f>
        <v/>
      </c>
      <c r="G1568" s="21" t="str">
        <f t="array" ref="G1568">IFNA(_xlfn.XLOOKUP(D1568,Table_Tarikan_Warkah[Nomor Tiket],Table_Tarikan_Warkah[Jenis Permohonan]),"")</f>
        <v/>
      </c>
      <c r="H1568" s="26"/>
      <c r="I1568" s="26"/>
      <c r="J1568" s="20" t="str">
        <f t="shared" si="29"/>
        <v/>
      </c>
      <c r="K1568" s="26"/>
      <c r="L1568" s="26"/>
      <c r="M1568" s="20" t="str">
        <f t="shared" si="30"/>
        <v/>
      </c>
      <c r="N1568" s="8" t="str">
        <f t="shared" si="3"/>
        <v/>
      </c>
      <c r="O1568" s="21" t="str">
        <f t="shared" si="22"/>
        <v/>
      </c>
      <c r="P1568" s="24" t="b">
        <v>0</v>
      </c>
      <c r="Q1568" s="20" t="str">
        <f t="shared" si="31"/>
        <v/>
      </c>
      <c r="R1568" s="24" t="b">
        <v>0</v>
      </c>
      <c r="S1568" s="7" t="str">
        <f t="shared" si="6"/>
        <v/>
      </c>
      <c r="T1568" s="7"/>
    </row>
    <row r="1569" ht="22.5" hidden="1" customHeight="1">
      <c r="B1569" s="7">
        <f t="shared" si="7"/>
        <v>1563</v>
      </c>
      <c r="C1569" s="40"/>
      <c r="D1569" s="19" t="str">
        <f t="array" ref="D1569">IFNA(_xlfn.XLOOKUP(C1569,Table_Tarikan_Warkah[Nomor Sertipikat],Table_Tarikan_Warkah[Nomor Tiket]),"")</f>
        <v/>
      </c>
      <c r="E1569" s="20" t="str">
        <f t="array" ref="E1569">IFNA(_xlfn.XLOOKUP(D1569,Table_Tarikan_Warkah[Nomor Tiket],Table_Tarikan_Warkah[Tanggal diserahkan kepada Validator]),"")</f>
        <v/>
      </c>
      <c r="F1569" s="20" t="str">
        <f t="array" ref="F1569">IFNA(_xlfn.XLOOKUP(D1569,Table_Tarikan_Warkah[Nomor Tiket],Table_Tarikan_Warkah[Nama Petugas Warkah]),"")</f>
        <v/>
      </c>
      <c r="G1569" s="21" t="str">
        <f t="array" ref="G1569">IFNA(_xlfn.XLOOKUP(D1569,Table_Tarikan_Warkah[Nomor Tiket],Table_Tarikan_Warkah[Jenis Permohonan]),"")</f>
        <v/>
      </c>
      <c r="H1569" s="26"/>
      <c r="I1569" s="26"/>
      <c r="J1569" s="20" t="str">
        <f t="shared" si="29"/>
        <v/>
      </c>
      <c r="K1569" s="26"/>
      <c r="L1569" s="26"/>
      <c r="M1569" s="20" t="str">
        <f t="shared" si="30"/>
        <v/>
      </c>
      <c r="N1569" s="8" t="str">
        <f t="shared" si="3"/>
        <v/>
      </c>
      <c r="O1569" s="21" t="str">
        <f t="shared" si="22"/>
        <v/>
      </c>
      <c r="P1569" s="24" t="b">
        <v>0</v>
      </c>
      <c r="Q1569" s="20" t="str">
        <f t="shared" si="31"/>
        <v/>
      </c>
      <c r="R1569" s="24" t="b">
        <v>0</v>
      </c>
      <c r="S1569" s="7" t="str">
        <f t="shared" si="6"/>
        <v/>
      </c>
      <c r="T1569" s="7"/>
    </row>
    <row r="1570" ht="22.5" hidden="1" customHeight="1">
      <c r="B1570" s="7">
        <f t="shared" si="7"/>
        <v>1564</v>
      </c>
      <c r="C1570" s="40"/>
      <c r="D1570" s="19" t="str">
        <f t="array" ref="D1570">IFNA(_xlfn.XLOOKUP(C1570,Table_Tarikan_Warkah[Nomor Sertipikat],Table_Tarikan_Warkah[Nomor Tiket]),"")</f>
        <v/>
      </c>
      <c r="E1570" s="20" t="str">
        <f t="array" ref="E1570">IFNA(_xlfn.XLOOKUP(D1570,Table_Tarikan_Warkah[Nomor Tiket],Table_Tarikan_Warkah[Tanggal diserahkan kepada Validator]),"")</f>
        <v/>
      </c>
      <c r="F1570" s="20" t="str">
        <f t="array" ref="F1570">IFNA(_xlfn.XLOOKUP(D1570,Table_Tarikan_Warkah[Nomor Tiket],Table_Tarikan_Warkah[Nama Petugas Warkah]),"")</f>
        <v/>
      </c>
      <c r="G1570" s="21" t="str">
        <f t="array" ref="G1570">IFNA(_xlfn.XLOOKUP(D1570,Table_Tarikan_Warkah[Nomor Tiket],Table_Tarikan_Warkah[Jenis Permohonan]),"")</f>
        <v/>
      </c>
      <c r="H1570" s="26"/>
      <c r="I1570" s="26"/>
      <c r="J1570" s="20" t="str">
        <f t="shared" si="29"/>
        <v/>
      </c>
      <c r="K1570" s="26"/>
      <c r="L1570" s="26"/>
      <c r="M1570" s="20" t="str">
        <f t="shared" si="30"/>
        <v/>
      </c>
      <c r="N1570" s="8" t="str">
        <f t="shared" si="3"/>
        <v/>
      </c>
      <c r="O1570" s="21" t="str">
        <f t="shared" si="22"/>
        <v/>
      </c>
      <c r="P1570" s="24" t="b">
        <v>0</v>
      </c>
      <c r="Q1570" s="20" t="str">
        <f t="shared" si="31"/>
        <v/>
      </c>
      <c r="R1570" s="24" t="b">
        <v>0</v>
      </c>
      <c r="S1570" s="7" t="str">
        <f t="shared" si="6"/>
        <v/>
      </c>
      <c r="T1570" s="7"/>
    </row>
    <row r="1571" ht="22.5" hidden="1" customHeight="1">
      <c r="B1571" s="7">
        <f t="shared" si="7"/>
        <v>1565</v>
      </c>
      <c r="C1571" s="40"/>
      <c r="D1571" s="19" t="str">
        <f t="array" ref="D1571">IFNA(_xlfn.XLOOKUP(C1571,Table_Tarikan_Warkah[Nomor Sertipikat],Table_Tarikan_Warkah[Nomor Tiket]),"")</f>
        <v/>
      </c>
      <c r="E1571" s="20" t="str">
        <f t="array" ref="E1571">IFNA(_xlfn.XLOOKUP(D1571,Table_Tarikan_Warkah[Nomor Tiket],Table_Tarikan_Warkah[Tanggal diserahkan kepada Validator]),"")</f>
        <v/>
      </c>
      <c r="F1571" s="20" t="str">
        <f t="array" ref="F1571">IFNA(_xlfn.XLOOKUP(D1571,Table_Tarikan_Warkah[Nomor Tiket],Table_Tarikan_Warkah[Nama Petugas Warkah]),"")</f>
        <v/>
      </c>
      <c r="G1571" s="21" t="str">
        <f t="array" ref="G1571">IFNA(_xlfn.XLOOKUP(D1571,Table_Tarikan_Warkah[Nomor Tiket],Table_Tarikan_Warkah[Jenis Permohonan]),"")</f>
        <v/>
      </c>
      <c r="H1571" s="26"/>
      <c r="I1571" s="26"/>
      <c r="J1571" s="20" t="str">
        <f t="shared" si="29"/>
        <v/>
      </c>
      <c r="K1571" s="26"/>
      <c r="L1571" s="26"/>
      <c r="M1571" s="20" t="str">
        <f t="shared" si="30"/>
        <v/>
      </c>
      <c r="N1571" s="8" t="str">
        <f t="shared" si="3"/>
        <v/>
      </c>
      <c r="O1571" s="21" t="str">
        <f t="shared" si="22"/>
        <v/>
      </c>
      <c r="P1571" s="24" t="b">
        <v>0</v>
      </c>
      <c r="Q1571" s="20" t="str">
        <f t="shared" si="31"/>
        <v/>
      </c>
      <c r="R1571" s="24" t="b">
        <v>0</v>
      </c>
      <c r="S1571" s="7" t="str">
        <f t="shared" si="6"/>
        <v/>
      </c>
      <c r="T1571" s="7"/>
    </row>
    <row r="1572" ht="22.5" hidden="1" customHeight="1">
      <c r="B1572" s="7">
        <f t="shared" si="7"/>
        <v>1566</v>
      </c>
      <c r="C1572" s="40"/>
      <c r="D1572" s="19" t="str">
        <f t="array" ref="D1572">IFNA(_xlfn.XLOOKUP(C1572,Table_Tarikan_Warkah[Nomor Sertipikat],Table_Tarikan_Warkah[Nomor Tiket]),"")</f>
        <v/>
      </c>
      <c r="E1572" s="20" t="str">
        <f t="array" ref="E1572">IFNA(_xlfn.XLOOKUP(D1572,Table_Tarikan_Warkah[Nomor Tiket],Table_Tarikan_Warkah[Tanggal diserahkan kepada Validator]),"")</f>
        <v/>
      </c>
      <c r="F1572" s="20" t="str">
        <f t="array" ref="F1572">IFNA(_xlfn.XLOOKUP(D1572,Table_Tarikan_Warkah[Nomor Tiket],Table_Tarikan_Warkah[Nama Petugas Warkah]),"")</f>
        <v/>
      </c>
      <c r="G1572" s="21" t="str">
        <f t="array" ref="G1572">IFNA(_xlfn.XLOOKUP(D1572,Table_Tarikan_Warkah[Nomor Tiket],Table_Tarikan_Warkah[Jenis Permohonan]),"")</f>
        <v/>
      </c>
      <c r="H1572" s="26"/>
      <c r="I1572" s="26"/>
      <c r="J1572" s="20" t="str">
        <f t="shared" si="29"/>
        <v/>
      </c>
      <c r="K1572" s="26"/>
      <c r="L1572" s="26"/>
      <c r="M1572" s="20" t="str">
        <f t="shared" si="30"/>
        <v/>
      </c>
      <c r="N1572" s="8" t="str">
        <f t="shared" si="3"/>
        <v/>
      </c>
      <c r="O1572" s="21" t="str">
        <f t="shared" si="22"/>
        <v/>
      </c>
      <c r="P1572" s="24" t="b">
        <v>0</v>
      </c>
      <c r="Q1572" s="20" t="str">
        <f t="shared" si="31"/>
        <v/>
      </c>
      <c r="R1572" s="24" t="b">
        <v>0</v>
      </c>
      <c r="S1572" s="7" t="str">
        <f t="shared" si="6"/>
        <v/>
      </c>
      <c r="T1572" s="7"/>
    </row>
    <row r="1573" ht="22.5" hidden="1" customHeight="1">
      <c r="B1573" s="7">
        <f t="shared" si="7"/>
        <v>1567</v>
      </c>
      <c r="C1573" s="40"/>
      <c r="D1573" s="19" t="str">
        <f t="array" ref="D1573">IFNA(_xlfn.XLOOKUP(C1573,Table_Tarikan_Warkah[Nomor Sertipikat],Table_Tarikan_Warkah[Nomor Tiket]),"")</f>
        <v/>
      </c>
      <c r="E1573" s="20" t="str">
        <f t="array" ref="E1573">IFNA(_xlfn.XLOOKUP(D1573,Table_Tarikan_Warkah[Nomor Tiket],Table_Tarikan_Warkah[Tanggal diserahkan kepada Validator]),"")</f>
        <v/>
      </c>
      <c r="F1573" s="20" t="str">
        <f t="array" ref="F1573">IFNA(_xlfn.XLOOKUP(D1573,Table_Tarikan_Warkah[Nomor Tiket],Table_Tarikan_Warkah[Nama Petugas Warkah]),"")</f>
        <v/>
      </c>
      <c r="G1573" s="21" t="str">
        <f t="array" ref="G1573">IFNA(_xlfn.XLOOKUP(D1573,Table_Tarikan_Warkah[Nomor Tiket],Table_Tarikan_Warkah[Jenis Permohonan]),"")</f>
        <v/>
      </c>
      <c r="H1573" s="26"/>
      <c r="I1573" s="26"/>
      <c r="J1573" s="20" t="str">
        <f t="shared" si="29"/>
        <v/>
      </c>
      <c r="K1573" s="26"/>
      <c r="L1573" s="26"/>
      <c r="M1573" s="20" t="str">
        <f t="shared" si="30"/>
        <v/>
      </c>
      <c r="N1573" s="8" t="str">
        <f t="shared" si="3"/>
        <v/>
      </c>
      <c r="O1573" s="21" t="str">
        <f t="shared" si="22"/>
        <v/>
      </c>
      <c r="P1573" s="24" t="b">
        <v>0</v>
      </c>
      <c r="Q1573" s="20" t="str">
        <f t="shared" si="31"/>
        <v/>
      </c>
      <c r="R1573" s="24" t="b">
        <v>0</v>
      </c>
      <c r="S1573" s="7" t="str">
        <f t="shared" si="6"/>
        <v/>
      </c>
      <c r="T1573" s="7"/>
    </row>
    <row r="1574" ht="22.5" hidden="1" customHeight="1">
      <c r="B1574" s="7">
        <f t="shared" si="7"/>
        <v>1568</v>
      </c>
      <c r="C1574" s="40"/>
      <c r="D1574" s="19" t="str">
        <f t="array" ref="D1574">IFNA(_xlfn.XLOOKUP(C1574,Table_Tarikan_Warkah[Nomor Sertipikat],Table_Tarikan_Warkah[Nomor Tiket]),"")</f>
        <v/>
      </c>
      <c r="E1574" s="20" t="str">
        <f t="array" ref="E1574">IFNA(_xlfn.XLOOKUP(D1574,Table_Tarikan_Warkah[Nomor Tiket],Table_Tarikan_Warkah[Tanggal diserahkan kepada Validator]),"")</f>
        <v/>
      </c>
      <c r="F1574" s="20" t="str">
        <f t="array" ref="F1574">IFNA(_xlfn.XLOOKUP(D1574,Table_Tarikan_Warkah[Nomor Tiket],Table_Tarikan_Warkah[Nama Petugas Warkah]),"")</f>
        <v/>
      </c>
      <c r="G1574" s="21" t="str">
        <f t="array" ref="G1574">IFNA(_xlfn.XLOOKUP(D1574,Table_Tarikan_Warkah[Nomor Tiket],Table_Tarikan_Warkah[Jenis Permohonan]),"")</f>
        <v/>
      </c>
      <c r="H1574" s="26"/>
      <c r="I1574" s="26"/>
      <c r="J1574" s="20" t="str">
        <f t="shared" si="29"/>
        <v/>
      </c>
      <c r="K1574" s="26"/>
      <c r="L1574" s="26"/>
      <c r="M1574" s="20" t="str">
        <f t="shared" si="30"/>
        <v/>
      </c>
      <c r="N1574" s="8" t="str">
        <f t="shared" si="3"/>
        <v/>
      </c>
      <c r="O1574" s="21" t="str">
        <f t="shared" si="22"/>
        <v/>
      </c>
      <c r="P1574" s="24" t="b">
        <v>0</v>
      </c>
      <c r="Q1574" s="20" t="str">
        <f t="shared" si="31"/>
        <v/>
      </c>
      <c r="R1574" s="24" t="b">
        <v>0</v>
      </c>
      <c r="S1574" s="7" t="str">
        <f t="shared" si="6"/>
        <v/>
      </c>
      <c r="T1574" s="7"/>
    </row>
    <row r="1575" ht="22.5" hidden="1" customHeight="1">
      <c r="B1575" s="7">
        <f t="shared" si="7"/>
        <v>1569</v>
      </c>
      <c r="C1575" s="40"/>
      <c r="D1575" s="19" t="str">
        <f t="array" ref="D1575">IFNA(_xlfn.XLOOKUP(C1575,Table_Tarikan_Warkah[Nomor Sertipikat],Table_Tarikan_Warkah[Nomor Tiket]),"")</f>
        <v/>
      </c>
      <c r="E1575" s="20" t="str">
        <f t="array" ref="E1575">IFNA(_xlfn.XLOOKUP(D1575,Table_Tarikan_Warkah[Nomor Tiket],Table_Tarikan_Warkah[Tanggal diserahkan kepada Validator]),"")</f>
        <v/>
      </c>
      <c r="F1575" s="20" t="str">
        <f t="array" ref="F1575">IFNA(_xlfn.XLOOKUP(D1575,Table_Tarikan_Warkah[Nomor Tiket],Table_Tarikan_Warkah[Nama Petugas Warkah]),"")</f>
        <v/>
      </c>
      <c r="G1575" s="21" t="str">
        <f t="array" ref="G1575">IFNA(_xlfn.XLOOKUP(D1575,Table_Tarikan_Warkah[Nomor Tiket],Table_Tarikan_Warkah[Jenis Permohonan]),"")</f>
        <v/>
      </c>
      <c r="H1575" s="26"/>
      <c r="I1575" s="26"/>
      <c r="J1575" s="20" t="str">
        <f t="shared" si="29"/>
        <v/>
      </c>
      <c r="K1575" s="26"/>
      <c r="L1575" s="26"/>
      <c r="M1575" s="20" t="str">
        <f t="shared" si="30"/>
        <v/>
      </c>
      <c r="N1575" s="8" t="str">
        <f t="shared" si="3"/>
        <v/>
      </c>
      <c r="O1575" s="21" t="str">
        <f t="shared" si="22"/>
        <v/>
      </c>
      <c r="P1575" s="24" t="b">
        <v>0</v>
      </c>
      <c r="Q1575" s="20" t="str">
        <f t="shared" si="31"/>
        <v/>
      </c>
      <c r="R1575" s="24" t="b">
        <v>0</v>
      </c>
      <c r="S1575" s="7" t="str">
        <f t="shared" si="6"/>
        <v/>
      </c>
      <c r="T1575" s="7"/>
    </row>
    <row r="1576" ht="22.5" hidden="1" customHeight="1">
      <c r="B1576" s="7">
        <f t="shared" si="7"/>
        <v>1570</v>
      </c>
      <c r="C1576" s="40"/>
      <c r="D1576" s="19" t="str">
        <f t="array" ref="D1576">IFNA(_xlfn.XLOOKUP(C1576,Table_Tarikan_Warkah[Nomor Sertipikat],Table_Tarikan_Warkah[Nomor Tiket]),"")</f>
        <v/>
      </c>
      <c r="E1576" s="20" t="str">
        <f t="array" ref="E1576">IFNA(_xlfn.XLOOKUP(D1576,Table_Tarikan_Warkah[Nomor Tiket],Table_Tarikan_Warkah[Tanggal diserahkan kepada Validator]),"")</f>
        <v/>
      </c>
      <c r="F1576" s="20" t="str">
        <f t="array" ref="F1576">IFNA(_xlfn.XLOOKUP(D1576,Table_Tarikan_Warkah[Nomor Tiket],Table_Tarikan_Warkah[Nama Petugas Warkah]),"")</f>
        <v/>
      </c>
      <c r="G1576" s="21" t="str">
        <f t="array" ref="G1576">IFNA(_xlfn.XLOOKUP(D1576,Table_Tarikan_Warkah[Nomor Tiket],Table_Tarikan_Warkah[Jenis Permohonan]),"")</f>
        <v/>
      </c>
      <c r="H1576" s="26"/>
      <c r="I1576" s="26"/>
      <c r="J1576" s="20" t="str">
        <f t="shared" si="29"/>
        <v/>
      </c>
      <c r="K1576" s="26"/>
      <c r="L1576" s="26"/>
      <c r="M1576" s="20" t="str">
        <f t="shared" si="30"/>
        <v/>
      </c>
      <c r="N1576" s="8" t="str">
        <f t="shared" si="3"/>
        <v/>
      </c>
      <c r="O1576" s="21" t="str">
        <f t="shared" si="22"/>
        <v/>
      </c>
      <c r="P1576" s="24" t="b">
        <v>0</v>
      </c>
      <c r="Q1576" s="20" t="str">
        <f t="shared" si="31"/>
        <v/>
      </c>
      <c r="R1576" s="24" t="b">
        <v>0</v>
      </c>
      <c r="S1576" s="7" t="str">
        <f t="shared" si="6"/>
        <v/>
      </c>
      <c r="T1576" s="7"/>
    </row>
    <row r="1577" ht="22.5" hidden="1" customHeight="1">
      <c r="B1577" s="7">
        <f t="shared" si="7"/>
        <v>1571</v>
      </c>
      <c r="C1577" s="40"/>
      <c r="D1577" s="19" t="str">
        <f t="array" ref="D1577">IFNA(_xlfn.XLOOKUP(C1577,Table_Tarikan_Warkah[Nomor Sertipikat],Table_Tarikan_Warkah[Nomor Tiket]),"")</f>
        <v/>
      </c>
      <c r="E1577" s="20" t="str">
        <f t="array" ref="E1577">IFNA(_xlfn.XLOOKUP(D1577,Table_Tarikan_Warkah[Nomor Tiket],Table_Tarikan_Warkah[Tanggal diserahkan kepada Validator]),"")</f>
        <v/>
      </c>
      <c r="F1577" s="20" t="str">
        <f t="array" ref="F1577">IFNA(_xlfn.XLOOKUP(D1577,Table_Tarikan_Warkah[Nomor Tiket],Table_Tarikan_Warkah[Nama Petugas Warkah]),"")</f>
        <v/>
      </c>
      <c r="G1577" s="21" t="str">
        <f t="array" ref="G1577">IFNA(_xlfn.XLOOKUP(D1577,Table_Tarikan_Warkah[Nomor Tiket],Table_Tarikan_Warkah[Jenis Permohonan]),"")</f>
        <v/>
      </c>
      <c r="H1577" s="26"/>
      <c r="I1577" s="26"/>
      <c r="J1577" s="20" t="str">
        <f t="shared" si="29"/>
        <v/>
      </c>
      <c r="K1577" s="26"/>
      <c r="L1577" s="26"/>
      <c r="M1577" s="20" t="str">
        <f t="shared" si="30"/>
        <v/>
      </c>
      <c r="N1577" s="8" t="str">
        <f t="shared" si="3"/>
        <v/>
      </c>
      <c r="O1577" s="21" t="str">
        <f t="shared" si="22"/>
        <v/>
      </c>
      <c r="P1577" s="24" t="b">
        <v>0</v>
      </c>
      <c r="Q1577" s="20" t="str">
        <f t="shared" si="31"/>
        <v/>
      </c>
      <c r="R1577" s="24" t="b">
        <v>0</v>
      </c>
      <c r="S1577" s="7" t="str">
        <f t="shared" si="6"/>
        <v/>
      </c>
      <c r="T1577" s="7"/>
    </row>
    <row r="1578" ht="22.5" hidden="1" customHeight="1">
      <c r="B1578" s="7">
        <f t="shared" si="7"/>
        <v>1572</v>
      </c>
      <c r="C1578" s="40"/>
      <c r="D1578" s="19" t="str">
        <f t="array" ref="D1578">IFNA(_xlfn.XLOOKUP(C1578,Table_Tarikan_Warkah[Nomor Sertipikat],Table_Tarikan_Warkah[Nomor Tiket]),"")</f>
        <v/>
      </c>
      <c r="E1578" s="20" t="str">
        <f t="array" ref="E1578">IFNA(_xlfn.XLOOKUP(D1578,Table_Tarikan_Warkah[Nomor Tiket],Table_Tarikan_Warkah[Tanggal diserahkan kepada Validator]),"")</f>
        <v/>
      </c>
      <c r="F1578" s="20" t="str">
        <f t="array" ref="F1578">IFNA(_xlfn.XLOOKUP(D1578,Table_Tarikan_Warkah[Nomor Tiket],Table_Tarikan_Warkah[Nama Petugas Warkah]),"")</f>
        <v/>
      </c>
      <c r="G1578" s="21" t="str">
        <f t="array" ref="G1578">IFNA(_xlfn.XLOOKUP(D1578,Table_Tarikan_Warkah[Nomor Tiket],Table_Tarikan_Warkah[Jenis Permohonan]),"")</f>
        <v/>
      </c>
      <c r="H1578" s="26"/>
      <c r="I1578" s="26"/>
      <c r="J1578" s="20" t="str">
        <f t="shared" si="29"/>
        <v/>
      </c>
      <c r="K1578" s="26"/>
      <c r="L1578" s="26"/>
      <c r="M1578" s="20" t="str">
        <f t="shared" si="30"/>
        <v/>
      </c>
      <c r="N1578" s="8" t="str">
        <f t="shared" si="3"/>
        <v/>
      </c>
      <c r="O1578" s="21" t="str">
        <f t="shared" si="22"/>
        <v/>
      </c>
      <c r="P1578" s="24" t="b">
        <v>0</v>
      </c>
      <c r="Q1578" s="20" t="str">
        <f t="shared" si="31"/>
        <v/>
      </c>
      <c r="R1578" s="24" t="b">
        <v>0</v>
      </c>
      <c r="S1578" s="7" t="str">
        <f t="shared" si="6"/>
        <v/>
      </c>
      <c r="T1578" s="7"/>
    </row>
    <row r="1579" ht="22.5" hidden="1" customHeight="1">
      <c r="B1579" s="7">
        <f t="shared" si="7"/>
        <v>1573</v>
      </c>
      <c r="C1579" s="40"/>
      <c r="D1579" s="19" t="str">
        <f t="array" ref="D1579">IFNA(_xlfn.XLOOKUP(C1579,Table_Tarikan_Warkah[Nomor Sertipikat],Table_Tarikan_Warkah[Nomor Tiket]),"")</f>
        <v/>
      </c>
      <c r="E1579" s="20" t="str">
        <f t="array" ref="E1579">IFNA(_xlfn.XLOOKUP(D1579,Table_Tarikan_Warkah[Nomor Tiket],Table_Tarikan_Warkah[Tanggal diserahkan kepada Validator]),"")</f>
        <v/>
      </c>
      <c r="F1579" s="20" t="str">
        <f t="array" ref="F1579">IFNA(_xlfn.XLOOKUP(D1579,Table_Tarikan_Warkah[Nomor Tiket],Table_Tarikan_Warkah[Nama Petugas Warkah]),"")</f>
        <v/>
      </c>
      <c r="G1579" s="21" t="str">
        <f t="array" ref="G1579">IFNA(_xlfn.XLOOKUP(D1579,Table_Tarikan_Warkah[Nomor Tiket],Table_Tarikan_Warkah[Jenis Permohonan]),"")</f>
        <v/>
      </c>
      <c r="H1579" s="26"/>
      <c r="I1579" s="26"/>
      <c r="J1579" s="20" t="str">
        <f t="shared" si="29"/>
        <v/>
      </c>
      <c r="K1579" s="26"/>
      <c r="L1579" s="26"/>
      <c r="M1579" s="20" t="str">
        <f t="shared" si="30"/>
        <v/>
      </c>
      <c r="N1579" s="8" t="str">
        <f t="shared" si="3"/>
        <v/>
      </c>
      <c r="O1579" s="21" t="str">
        <f t="shared" si="22"/>
        <v/>
      </c>
      <c r="P1579" s="24" t="b">
        <v>0</v>
      </c>
      <c r="Q1579" s="20" t="str">
        <f t="shared" si="31"/>
        <v/>
      </c>
      <c r="R1579" s="24" t="b">
        <v>0</v>
      </c>
      <c r="S1579" s="7" t="str">
        <f t="shared" si="6"/>
        <v/>
      </c>
      <c r="T1579" s="7"/>
    </row>
    <row r="1580" ht="22.5" hidden="1" customHeight="1">
      <c r="B1580" s="7">
        <f t="shared" si="7"/>
        <v>1574</v>
      </c>
      <c r="C1580" s="40"/>
      <c r="D1580" s="19" t="str">
        <f t="array" ref="D1580">IFNA(_xlfn.XLOOKUP(C1580,Table_Tarikan_Warkah[Nomor Sertipikat],Table_Tarikan_Warkah[Nomor Tiket]),"")</f>
        <v/>
      </c>
      <c r="E1580" s="20" t="str">
        <f t="array" ref="E1580">IFNA(_xlfn.XLOOKUP(D1580,Table_Tarikan_Warkah[Nomor Tiket],Table_Tarikan_Warkah[Tanggal diserahkan kepada Validator]),"")</f>
        <v/>
      </c>
      <c r="F1580" s="20" t="str">
        <f t="array" ref="F1580">IFNA(_xlfn.XLOOKUP(D1580,Table_Tarikan_Warkah[Nomor Tiket],Table_Tarikan_Warkah[Nama Petugas Warkah]),"")</f>
        <v/>
      </c>
      <c r="G1580" s="21" t="str">
        <f t="array" ref="G1580">IFNA(_xlfn.XLOOKUP(D1580,Table_Tarikan_Warkah[Nomor Tiket],Table_Tarikan_Warkah[Jenis Permohonan]),"")</f>
        <v/>
      </c>
      <c r="H1580" s="26"/>
      <c r="I1580" s="26"/>
      <c r="J1580" s="20" t="str">
        <f t="shared" si="29"/>
        <v/>
      </c>
      <c r="K1580" s="26"/>
      <c r="L1580" s="26"/>
      <c r="M1580" s="20" t="str">
        <f t="shared" si="30"/>
        <v/>
      </c>
      <c r="N1580" s="8" t="str">
        <f t="shared" si="3"/>
        <v/>
      </c>
      <c r="O1580" s="21" t="str">
        <f t="shared" si="22"/>
        <v/>
      </c>
      <c r="P1580" s="24" t="b">
        <v>0</v>
      </c>
      <c r="Q1580" s="20" t="str">
        <f t="shared" si="31"/>
        <v/>
      </c>
      <c r="R1580" s="24" t="b">
        <v>0</v>
      </c>
      <c r="S1580" s="7" t="str">
        <f t="shared" si="6"/>
        <v/>
      </c>
      <c r="T1580" s="7"/>
    </row>
    <row r="1581" ht="22.5" hidden="1" customHeight="1">
      <c r="B1581" s="7">
        <f t="shared" si="7"/>
        <v>1575</v>
      </c>
      <c r="C1581" s="40"/>
      <c r="D1581" s="19" t="str">
        <f t="array" ref="D1581">IFNA(_xlfn.XLOOKUP(C1581,Table_Tarikan_Warkah[Nomor Sertipikat],Table_Tarikan_Warkah[Nomor Tiket]),"")</f>
        <v/>
      </c>
      <c r="E1581" s="20" t="str">
        <f t="array" ref="E1581">IFNA(_xlfn.XLOOKUP(D1581,Table_Tarikan_Warkah[Nomor Tiket],Table_Tarikan_Warkah[Tanggal diserahkan kepada Validator]),"")</f>
        <v/>
      </c>
      <c r="F1581" s="20" t="str">
        <f t="array" ref="F1581">IFNA(_xlfn.XLOOKUP(D1581,Table_Tarikan_Warkah[Nomor Tiket],Table_Tarikan_Warkah[Nama Petugas Warkah]),"")</f>
        <v/>
      </c>
      <c r="G1581" s="21" t="str">
        <f t="array" ref="G1581">IFNA(_xlfn.XLOOKUP(D1581,Table_Tarikan_Warkah[Nomor Tiket],Table_Tarikan_Warkah[Jenis Permohonan]),"")</f>
        <v/>
      </c>
      <c r="H1581" s="26"/>
      <c r="I1581" s="26"/>
      <c r="J1581" s="20" t="str">
        <f t="shared" si="29"/>
        <v/>
      </c>
      <c r="K1581" s="26"/>
      <c r="L1581" s="26"/>
      <c r="M1581" s="20" t="str">
        <f t="shared" si="30"/>
        <v/>
      </c>
      <c r="N1581" s="8" t="str">
        <f t="shared" si="3"/>
        <v/>
      </c>
      <c r="O1581" s="21" t="str">
        <f t="shared" si="22"/>
        <v/>
      </c>
      <c r="P1581" s="24" t="b">
        <v>0</v>
      </c>
      <c r="Q1581" s="20" t="str">
        <f t="shared" si="31"/>
        <v/>
      </c>
      <c r="R1581" s="24" t="b">
        <v>0</v>
      </c>
      <c r="S1581" s="7" t="str">
        <f t="shared" si="6"/>
        <v/>
      </c>
      <c r="T1581" s="7"/>
    </row>
    <row r="1582" ht="22.5" hidden="1" customHeight="1">
      <c r="B1582" s="7">
        <f t="shared" si="7"/>
        <v>1576</v>
      </c>
      <c r="C1582" s="40"/>
      <c r="D1582" s="19" t="str">
        <f t="array" ref="D1582">IFNA(_xlfn.XLOOKUP(C1582,Table_Tarikan_Warkah[Nomor Sertipikat],Table_Tarikan_Warkah[Nomor Tiket]),"")</f>
        <v/>
      </c>
      <c r="E1582" s="20" t="str">
        <f t="array" ref="E1582">IFNA(_xlfn.XLOOKUP(D1582,Table_Tarikan_Warkah[Nomor Tiket],Table_Tarikan_Warkah[Tanggal diserahkan kepada Validator]),"")</f>
        <v/>
      </c>
      <c r="F1582" s="20" t="str">
        <f t="array" ref="F1582">IFNA(_xlfn.XLOOKUP(D1582,Table_Tarikan_Warkah[Nomor Tiket],Table_Tarikan_Warkah[Nama Petugas Warkah]),"")</f>
        <v/>
      </c>
      <c r="G1582" s="21" t="str">
        <f t="array" ref="G1582">IFNA(_xlfn.XLOOKUP(D1582,Table_Tarikan_Warkah[Nomor Tiket],Table_Tarikan_Warkah[Jenis Permohonan]),"")</f>
        <v/>
      </c>
      <c r="H1582" s="26"/>
      <c r="I1582" s="26"/>
      <c r="J1582" s="20" t="str">
        <f t="shared" si="29"/>
        <v/>
      </c>
      <c r="K1582" s="26"/>
      <c r="L1582" s="26"/>
      <c r="M1582" s="20" t="str">
        <f t="shared" si="30"/>
        <v/>
      </c>
      <c r="N1582" s="8" t="str">
        <f t="shared" si="3"/>
        <v/>
      </c>
      <c r="O1582" s="21" t="str">
        <f t="shared" si="22"/>
        <v/>
      </c>
      <c r="P1582" s="24" t="b">
        <v>0</v>
      </c>
      <c r="Q1582" s="20" t="str">
        <f t="shared" si="31"/>
        <v/>
      </c>
      <c r="R1582" s="24" t="b">
        <v>0</v>
      </c>
      <c r="S1582" s="7" t="str">
        <f t="shared" si="6"/>
        <v/>
      </c>
      <c r="T1582" s="7"/>
    </row>
    <row r="1583" ht="22.5" hidden="1" customHeight="1">
      <c r="B1583" s="7">
        <f t="shared" si="7"/>
        <v>1577</v>
      </c>
      <c r="C1583" s="40"/>
      <c r="D1583" s="19" t="str">
        <f t="array" ref="D1583">IFNA(_xlfn.XLOOKUP(C1583,Table_Tarikan_Warkah[Nomor Sertipikat],Table_Tarikan_Warkah[Nomor Tiket]),"")</f>
        <v/>
      </c>
      <c r="E1583" s="20" t="str">
        <f t="array" ref="E1583">IFNA(_xlfn.XLOOKUP(D1583,Table_Tarikan_Warkah[Nomor Tiket],Table_Tarikan_Warkah[Tanggal diserahkan kepada Validator]),"")</f>
        <v/>
      </c>
      <c r="F1583" s="20" t="str">
        <f t="array" ref="F1583">IFNA(_xlfn.XLOOKUP(D1583,Table_Tarikan_Warkah[Nomor Tiket],Table_Tarikan_Warkah[Nama Petugas Warkah]),"")</f>
        <v/>
      </c>
      <c r="G1583" s="21" t="str">
        <f t="array" ref="G1583">IFNA(_xlfn.XLOOKUP(D1583,Table_Tarikan_Warkah[Nomor Tiket],Table_Tarikan_Warkah[Jenis Permohonan]),"")</f>
        <v/>
      </c>
      <c r="H1583" s="26"/>
      <c r="I1583" s="26"/>
      <c r="J1583" s="20" t="str">
        <f t="shared" si="29"/>
        <v/>
      </c>
      <c r="K1583" s="26"/>
      <c r="L1583" s="26"/>
      <c r="M1583" s="20" t="str">
        <f t="shared" si="30"/>
        <v/>
      </c>
      <c r="N1583" s="8" t="str">
        <f t="shared" si="3"/>
        <v/>
      </c>
      <c r="O1583" s="21" t="str">
        <f t="shared" si="22"/>
        <v/>
      </c>
      <c r="P1583" s="24" t="b">
        <v>0</v>
      </c>
      <c r="Q1583" s="20" t="str">
        <f t="shared" si="31"/>
        <v/>
      </c>
      <c r="R1583" s="24" t="b">
        <v>0</v>
      </c>
      <c r="S1583" s="7" t="str">
        <f t="shared" si="6"/>
        <v/>
      </c>
      <c r="T1583" s="7"/>
    </row>
    <row r="1584" ht="22.5" hidden="1" customHeight="1">
      <c r="B1584" s="7">
        <f t="shared" si="7"/>
        <v>1578</v>
      </c>
      <c r="C1584" s="40"/>
      <c r="D1584" s="19" t="str">
        <f t="array" ref="D1584">IFNA(_xlfn.XLOOKUP(C1584,Table_Tarikan_Warkah[Nomor Sertipikat],Table_Tarikan_Warkah[Nomor Tiket]),"")</f>
        <v/>
      </c>
      <c r="E1584" s="20" t="str">
        <f t="array" ref="E1584">IFNA(_xlfn.XLOOKUP(D1584,Table_Tarikan_Warkah[Nomor Tiket],Table_Tarikan_Warkah[Tanggal diserahkan kepada Validator]),"")</f>
        <v/>
      </c>
      <c r="F1584" s="20" t="str">
        <f t="array" ref="F1584">IFNA(_xlfn.XLOOKUP(D1584,Table_Tarikan_Warkah[Nomor Tiket],Table_Tarikan_Warkah[Nama Petugas Warkah]),"")</f>
        <v/>
      </c>
      <c r="G1584" s="21" t="str">
        <f t="array" ref="G1584">IFNA(_xlfn.XLOOKUP(D1584,Table_Tarikan_Warkah[Nomor Tiket],Table_Tarikan_Warkah[Jenis Permohonan]),"")</f>
        <v/>
      </c>
      <c r="H1584" s="26"/>
      <c r="I1584" s="26"/>
      <c r="J1584" s="20" t="str">
        <f t="shared" si="29"/>
        <v/>
      </c>
      <c r="K1584" s="26"/>
      <c r="L1584" s="26"/>
      <c r="M1584" s="20" t="str">
        <f t="shared" si="30"/>
        <v/>
      </c>
      <c r="N1584" s="8" t="str">
        <f t="shared" si="3"/>
        <v/>
      </c>
      <c r="O1584" s="21" t="str">
        <f t="shared" si="22"/>
        <v/>
      </c>
      <c r="P1584" s="24" t="b">
        <v>0</v>
      </c>
      <c r="Q1584" s="20" t="str">
        <f t="shared" si="31"/>
        <v/>
      </c>
      <c r="R1584" s="24" t="b">
        <v>0</v>
      </c>
      <c r="S1584" s="7" t="str">
        <f t="shared" si="6"/>
        <v/>
      </c>
      <c r="T1584" s="7"/>
    </row>
    <row r="1585" ht="22.5" hidden="1" customHeight="1">
      <c r="B1585" s="7">
        <f t="shared" si="7"/>
        <v>1579</v>
      </c>
      <c r="C1585" s="40"/>
      <c r="D1585" s="19" t="str">
        <f t="array" ref="D1585">IFNA(_xlfn.XLOOKUP(C1585,Table_Tarikan_Warkah[Nomor Sertipikat],Table_Tarikan_Warkah[Nomor Tiket]),"")</f>
        <v/>
      </c>
      <c r="E1585" s="20" t="str">
        <f t="array" ref="E1585">IFNA(_xlfn.XLOOKUP(D1585,Table_Tarikan_Warkah[Nomor Tiket],Table_Tarikan_Warkah[Tanggal diserahkan kepada Validator]),"")</f>
        <v/>
      </c>
      <c r="F1585" s="20" t="str">
        <f t="array" ref="F1585">IFNA(_xlfn.XLOOKUP(D1585,Table_Tarikan_Warkah[Nomor Tiket],Table_Tarikan_Warkah[Nama Petugas Warkah]),"")</f>
        <v/>
      </c>
      <c r="G1585" s="21" t="str">
        <f t="array" ref="G1585">IFNA(_xlfn.XLOOKUP(D1585,Table_Tarikan_Warkah[Nomor Tiket],Table_Tarikan_Warkah[Jenis Permohonan]),"")</f>
        <v/>
      </c>
      <c r="H1585" s="26"/>
      <c r="I1585" s="26"/>
      <c r="J1585" s="20" t="str">
        <f t="shared" si="29"/>
        <v/>
      </c>
      <c r="K1585" s="26"/>
      <c r="L1585" s="26"/>
      <c r="M1585" s="20" t="str">
        <f t="shared" si="30"/>
        <v/>
      </c>
      <c r="N1585" s="8" t="str">
        <f t="shared" si="3"/>
        <v/>
      </c>
      <c r="O1585" s="21" t="str">
        <f t="shared" si="22"/>
        <v/>
      </c>
      <c r="P1585" s="24" t="b">
        <v>0</v>
      </c>
      <c r="Q1585" s="20" t="str">
        <f t="shared" si="31"/>
        <v/>
      </c>
      <c r="R1585" s="24" t="b">
        <v>0</v>
      </c>
      <c r="S1585" s="7" t="str">
        <f t="shared" si="6"/>
        <v/>
      </c>
      <c r="T1585" s="7"/>
    </row>
    <row r="1586" ht="22.5" hidden="1" customHeight="1">
      <c r="B1586" s="7">
        <f t="shared" si="7"/>
        <v>1580</v>
      </c>
      <c r="C1586" s="40"/>
      <c r="D1586" s="19" t="str">
        <f t="array" ref="D1586">IFNA(_xlfn.XLOOKUP(C1586,Table_Tarikan_Warkah[Nomor Sertipikat],Table_Tarikan_Warkah[Nomor Tiket]),"")</f>
        <v/>
      </c>
      <c r="E1586" s="20" t="str">
        <f t="array" ref="E1586">IFNA(_xlfn.XLOOKUP(D1586,Table_Tarikan_Warkah[Nomor Tiket],Table_Tarikan_Warkah[Tanggal diserahkan kepada Validator]),"")</f>
        <v/>
      </c>
      <c r="F1586" s="20" t="str">
        <f t="array" ref="F1586">IFNA(_xlfn.XLOOKUP(D1586,Table_Tarikan_Warkah[Nomor Tiket],Table_Tarikan_Warkah[Nama Petugas Warkah]),"")</f>
        <v/>
      </c>
      <c r="G1586" s="21" t="str">
        <f t="array" ref="G1586">IFNA(_xlfn.XLOOKUP(D1586,Table_Tarikan_Warkah[Nomor Tiket],Table_Tarikan_Warkah[Jenis Permohonan]),"")</f>
        <v/>
      </c>
      <c r="H1586" s="26"/>
      <c r="I1586" s="26"/>
      <c r="J1586" s="20" t="str">
        <f t="shared" si="29"/>
        <v/>
      </c>
      <c r="K1586" s="26"/>
      <c r="L1586" s="26"/>
      <c r="M1586" s="20" t="str">
        <f t="shared" si="30"/>
        <v/>
      </c>
      <c r="N1586" s="8" t="str">
        <f t="shared" si="3"/>
        <v/>
      </c>
      <c r="O1586" s="21" t="str">
        <f t="shared" si="22"/>
        <v/>
      </c>
      <c r="P1586" s="24" t="b">
        <v>0</v>
      </c>
      <c r="Q1586" s="20" t="str">
        <f t="shared" si="31"/>
        <v/>
      </c>
      <c r="R1586" s="24" t="b">
        <v>0</v>
      </c>
      <c r="S1586" s="7" t="str">
        <f t="shared" si="6"/>
        <v/>
      </c>
      <c r="T1586" s="7"/>
    </row>
    <row r="1587" ht="22.5" hidden="1" customHeight="1">
      <c r="B1587" s="7">
        <f t="shared" si="7"/>
        <v>1581</v>
      </c>
      <c r="C1587" s="40"/>
      <c r="D1587" s="19" t="str">
        <f t="array" ref="D1587">IFNA(_xlfn.XLOOKUP(C1587,Table_Tarikan_Warkah[Nomor Sertipikat],Table_Tarikan_Warkah[Nomor Tiket]),"")</f>
        <v/>
      </c>
      <c r="E1587" s="20" t="str">
        <f t="array" ref="E1587">IFNA(_xlfn.XLOOKUP(D1587,Table_Tarikan_Warkah[Nomor Tiket],Table_Tarikan_Warkah[Tanggal diserahkan kepada Validator]),"")</f>
        <v/>
      </c>
      <c r="F1587" s="20" t="str">
        <f t="array" ref="F1587">IFNA(_xlfn.XLOOKUP(D1587,Table_Tarikan_Warkah[Nomor Tiket],Table_Tarikan_Warkah[Nama Petugas Warkah]),"")</f>
        <v/>
      </c>
      <c r="G1587" s="21" t="str">
        <f t="array" ref="G1587">IFNA(_xlfn.XLOOKUP(D1587,Table_Tarikan_Warkah[Nomor Tiket],Table_Tarikan_Warkah[Jenis Permohonan]),"")</f>
        <v/>
      </c>
      <c r="H1587" s="26"/>
      <c r="I1587" s="26"/>
      <c r="J1587" s="20" t="str">
        <f t="shared" si="29"/>
        <v/>
      </c>
      <c r="K1587" s="26"/>
      <c r="L1587" s="26"/>
      <c r="M1587" s="20" t="str">
        <f t="shared" si="30"/>
        <v/>
      </c>
      <c r="N1587" s="8" t="str">
        <f t="shared" si="3"/>
        <v/>
      </c>
      <c r="O1587" s="21" t="str">
        <f t="shared" si="22"/>
        <v/>
      </c>
      <c r="P1587" s="24" t="b">
        <v>0</v>
      </c>
      <c r="Q1587" s="20" t="str">
        <f t="shared" si="31"/>
        <v/>
      </c>
      <c r="R1587" s="24" t="b">
        <v>0</v>
      </c>
      <c r="S1587" s="7" t="str">
        <f t="shared" si="6"/>
        <v/>
      </c>
      <c r="T1587" s="7"/>
    </row>
    <row r="1588" ht="22.5" hidden="1" customHeight="1">
      <c r="B1588" s="7">
        <f t="shared" si="7"/>
        <v>1582</v>
      </c>
      <c r="C1588" s="40"/>
      <c r="D1588" s="19" t="str">
        <f t="array" ref="D1588">IFNA(_xlfn.XLOOKUP(C1588,Table_Tarikan_Warkah[Nomor Sertipikat],Table_Tarikan_Warkah[Nomor Tiket]),"")</f>
        <v/>
      </c>
      <c r="E1588" s="20" t="str">
        <f t="array" ref="E1588">IFNA(_xlfn.XLOOKUP(D1588,Table_Tarikan_Warkah[Nomor Tiket],Table_Tarikan_Warkah[Tanggal diserahkan kepada Validator]),"")</f>
        <v/>
      </c>
      <c r="F1588" s="20" t="str">
        <f t="array" ref="F1588">IFNA(_xlfn.XLOOKUP(D1588,Table_Tarikan_Warkah[Nomor Tiket],Table_Tarikan_Warkah[Nama Petugas Warkah]),"")</f>
        <v/>
      </c>
      <c r="G1588" s="21" t="str">
        <f t="array" ref="G1588">IFNA(_xlfn.XLOOKUP(D1588,Table_Tarikan_Warkah[Nomor Tiket],Table_Tarikan_Warkah[Jenis Permohonan]),"")</f>
        <v/>
      </c>
      <c r="H1588" s="26"/>
      <c r="I1588" s="26"/>
      <c r="J1588" s="20" t="str">
        <f t="shared" si="29"/>
        <v/>
      </c>
      <c r="K1588" s="26"/>
      <c r="L1588" s="26"/>
      <c r="M1588" s="20" t="str">
        <f t="shared" si="30"/>
        <v/>
      </c>
      <c r="N1588" s="8" t="str">
        <f t="shared" si="3"/>
        <v/>
      </c>
      <c r="O1588" s="21" t="str">
        <f t="shared" si="22"/>
        <v/>
      </c>
      <c r="P1588" s="24" t="b">
        <v>0</v>
      </c>
      <c r="Q1588" s="20" t="str">
        <f t="shared" si="31"/>
        <v/>
      </c>
      <c r="R1588" s="24" t="b">
        <v>0</v>
      </c>
      <c r="S1588" s="7" t="str">
        <f t="shared" si="6"/>
        <v/>
      </c>
      <c r="T1588" s="7"/>
    </row>
    <row r="1589" ht="22.5" hidden="1" customHeight="1">
      <c r="B1589" s="7">
        <f t="shared" si="7"/>
        <v>1583</v>
      </c>
      <c r="C1589" s="40"/>
      <c r="D1589" s="19" t="str">
        <f t="array" ref="D1589">IFNA(_xlfn.XLOOKUP(C1589,Table_Tarikan_Warkah[Nomor Sertipikat],Table_Tarikan_Warkah[Nomor Tiket]),"")</f>
        <v/>
      </c>
      <c r="E1589" s="20" t="str">
        <f t="array" ref="E1589">IFNA(_xlfn.XLOOKUP(D1589,Table_Tarikan_Warkah[Nomor Tiket],Table_Tarikan_Warkah[Tanggal diserahkan kepada Validator]),"")</f>
        <v/>
      </c>
      <c r="F1589" s="20" t="str">
        <f t="array" ref="F1589">IFNA(_xlfn.XLOOKUP(D1589,Table_Tarikan_Warkah[Nomor Tiket],Table_Tarikan_Warkah[Nama Petugas Warkah]),"")</f>
        <v/>
      </c>
      <c r="G1589" s="21" t="str">
        <f t="array" ref="G1589">IFNA(_xlfn.XLOOKUP(D1589,Table_Tarikan_Warkah[Nomor Tiket],Table_Tarikan_Warkah[Jenis Permohonan]),"")</f>
        <v/>
      </c>
      <c r="H1589" s="26"/>
      <c r="I1589" s="26"/>
      <c r="J1589" s="20" t="str">
        <f t="shared" si="29"/>
        <v/>
      </c>
      <c r="K1589" s="26"/>
      <c r="L1589" s="26"/>
      <c r="M1589" s="20" t="str">
        <f t="shared" si="30"/>
        <v/>
      </c>
      <c r="N1589" s="8" t="str">
        <f t="shared" si="3"/>
        <v/>
      </c>
      <c r="O1589" s="21" t="str">
        <f t="shared" si="22"/>
        <v/>
      </c>
      <c r="P1589" s="24" t="b">
        <v>0</v>
      </c>
      <c r="Q1589" s="20" t="str">
        <f t="shared" si="31"/>
        <v/>
      </c>
      <c r="R1589" s="24" t="b">
        <v>0</v>
      </c>
      <c r="S1589" s="7" t="str">
        <f t="shared" si="6"/>
        <v/>
      </c>
      <c r="T1589" s="7"/>
    </row>
    <row r="1590" ht="22.5" hidden="1" customHeight="1">
      <c r="B1590" s="7">
        <f t="shared" si="7"/>
        <v>1584</v>
      </c>
      <c r="C1590" s="40"/>
      <c r="D1590" s="19" t="str">
        <f t="array" ref="D1590">IFNA(_xlfn.XLOOKUP(C1590,Table_Tarikan_Warkah[Nomor Sertipikat],Table_Tarikan_Warkah[Nomor Tiket]),"")</f>
        <v/>
      </c>
      <c r="E1590" s="20" t="str">
        <f t="array" ref="E1590">IFNA(_xlfn.XLOOKUP(D1590,Table_Tarikan_Warkah[Nomor Tiket],Table_Tarikan_Warkah[Tanggal diserahkan kepada Validator]),"")</f>
        <v/>
      </c>
      <c r="F1590" s="20" t="str">
        <f t="array" ref="F1590">IFNA(_xlfn.XLOOKUP(D1590,Table_Tarikan_Warkah[Nomor Tiket],Table_Tarikan_Warkah[Nama Petugas Warkah]),"")</f>
        <v/>
      </c>
      <c r="G1590" s="21" t="str">
        <f t="array" ref="G1590">IFNA(_xlfn.XLOOKUP(D1590,Table_Tarikan_Warkah[Nomor Tiket],Table_Tarikan_Warkah[Jenis Permohonan]),"")</f>
        <v/>
      </c>
      <c r="H1590" s="26"/>
      <c r="I1590" s="26"/>
      <c r="J1590" s="20" t="str">
        <f t="shared" si="29"/>
        <v/>
      </c>
      <c r="K1590" s="26"/>
      <c r="L1590" s="26"/>
      <c r="M1590" s="20" t="str">
        <f t="shared" si="30"/>
        <v/>
      </c>
      <c r="N1590" s="8" t="str">
        <f t="shared" si="3"/>
        <v/>
      </c>
      <c r="O1590" s="21" t="str">
        <f t="shared" si="22"/>
        <v/>
      </c>
      <c r="P1590" s="24" t="b">
        <v>0</v>
      </c>
      <c r="Q1590" s="20" t="str">
        <f t="shared" si="31"/>
        <v/>
      </c>
      <c r="R1590" s="24" t="b">
        <v>0</v>
      </c>
      <c r="S1590" s="7" t="str">
        <f t="shared" si="6"/>
        <v/>
      </c>
      <c r="T1590" s="7"/>
    </row>
    <row r="1591" ht="22.5" hidden="1" customHeight="1">
      <c r="B1591" s="7">
        <f t="shared" si="7"/>
        <v>1585</v>
      </c>
      <c r="C1591" s="40"/>
      <c r="D1591" s="19" t="str">
        <f t="array" ref="D1591">IFNA(_xlfn.XLOOKUP(C1591,Table_Tarikan_Warkah[Nomor Sertipikat],Table_Tarikan_Warkah[Nomor Tiket]),"")</f>
        <v/>
      </c>
      <c r="E1591" s="20" t="str">
        <f t="array" ref="E1591">IFNA(_xlfn.XLOOKUP(D1591,Table_Tarikan_Warkah[Nomor Tiket],Table_Tarikan_Warkah[Tanggal diserahkan kepada Validator]),"")</f>
        <v/>
      </c>
      <c r="F1591" s="20" t="str">
        <f t="array" ref="F1591">IFNA(_xlfn.XLOOKUP(D1591,Table_Tarikan_Warkah[Nomor Tiket],Table_Tarikan_Warkah[Nama Petugas Warkah]),"")</f>
        <v/>
      </c>
      <c r="G1591" s="21" t="str">
        <f t="array" ref="G1591">IFNA(_xlfn.XLOOKUP(D1591,Table_Tarikan_Warkah[Nomor Tiket],Table_Tarikan_Warkah[Jenis Permohonan]),"")</f>
        <v/>
      </c>
      <c r="H1591" s="26"/>
      <c r="I1591" s="26"/>
      <c r="J1591" s="20" t="str">
        <f t="shared" si="29"/>
        <v/>
      </c>
      <c r="K1591" s="26"/>
      <c r="L1591" s="26"/>
      <c r="M1591" s="20" t="str">
        <f t="shared" si="30"/>
        <v/>
      </c>
      <c r="N1591" s="8" t="str">
        <f t="shared" si="3"/>
        <v/>
      </c>
      <c r="O1591" s="21" t="str">
        <f t="shared" si="22"/>
        <v/>
      </c>
      <c r="P1591" s="24" t="b">
        <v>0</v>
      </c>
      <c r="Q1591" s="20" t="str">
        <f t="shared" si="31"/>
        <v/>
      </c>
      <c r="R1591" s="24" t="b">
        <v>0</v>
      </c>
      <c r="S1591" s="7" t="str">
        <f t="shared" si="6"/>
        <v/>
      </c>
      <c r="T1591" s="7"/>
    </row>
    <row r="1592" ht="22.5" hidden="1" customHeight="1">
      <c r="B1592" s="7">
        <f t="shared" si="7"/>
        <v>1586</v>
      </c>
      <c r="C1592" s="40"/>
      <c r="D1592" s="19" t="str">
        <f t="array" ref="D1592">IFNA(_xlfn.XLOOKUP(C1592,Table_Tarikan_Warkah[Nomor Sertipikat],Table_Tarikan_Warkah[Nomor Tiket]),"")</f>
        <v/>
      </c>
      <c r="E1592" s="20" t="str">
        <f t="array" ref="E1592">IFNA(_xlfn.XLOOKUP(D1592,Table_Tarikan_Warkah[Nomor Tiket],Table_Tarikan_Warkah[Tanggal diserahkan kepada Validator]),"")</f>
        <v/>
      </c>
      <c r="F1592" s="20" t="str">
        <f t="array" ref="F1592">IFNA(_xlfn.XLOOKUP(D1592,Table_Tarikan_Warkah[Nomor Tiket],Table_Tarikan_Warkah[Nama Petugas Warkah]),"")</f>
        <v/>
      </c>
      <c r="G1592" s="21" t="str">
        <f t="array" ref="G1592">IFNA(_xlfn.XLOOKUP(D1592,Table_Tarikan_Warkah[Nomor Tiket],Table_Tarikan_Warkah[Jenis Permohonan]),"")</f>
        <v/>
      </c>
      <c r="H1592" s="26"/>
      <c r="I1592" s="26"/>
      <c r="J1592" s="20" t="str">
        <f t="shared" si="29"/>
        <v/>
      </c>
      <c r="K1592" s="26"/>
      <c r="L1592" s="26"/>
      <c r="M1592" s="20" t="str">
        <f t="shared" si="30"/>
        <v/>
      </c>
      <c r="N1592" s="8" t="str">
        <f t="shared" si="3"/>
        <v/>
      </c>
      <c r="O1592" s="21" t="str">
        <f t="shared" si="22"/>
        <v/>
      </c>
      <c r="P1592" s="24" t="b">
        <v>0</v>
      </c>
      <c r="Q1592" s="20" t="str">
        <f t="shared" si="31"/>
        <v/>
      </c>
      <c r="R1592" s="24" t="b">
        <v>0</v>
      </c>
      <c r="S1592" s="7" t="str">
        <f t="shared" si="6"/>
        <v/>
      </c>
      <c r="T1592" s="7"/>
    </row>
    <row r="1593" ht="22.5" hidden="1" customHeight="1">
      <c r="B1593" s="7">
        <f t="shared" si="7"/>
        <v>1587</v>
      </c>
      <c r="C1593" s="40"/>
      <c r="D1593" s="19" t="str">
        <f t="array" ref="D1593">IFNA(_xlfn.XLOOKUP(C1593,Table_Tarikan_Warkah[Nomor Sertipikat],Table_Tarikan_Warkah[Nomor Tiket]),"")</f>
        <v/>
      </c>
      <c r="E1593" s="20" t="str">
        <f t="array" ref="E1593">IFNA(_xlfn.XLOOKUP(D1593,Table_Tarikan_Warkah[Nomor Tiket],Table_Tarikan_Warkah[Tanggal diserahkan kepada Validator]),"")</f>
        <v/>
      </c>
      <c r="F1593" s="20" t="str">
        <f t="array" ref="F1593">IFNA(_xlfn.XLOOKUP(D1593,Table_Tarikan_Warkah[Nomor Tiket],Table_Tarikan_Warkah[Nama Petugas Warkah]),"")</f>
        <v/>
      </c>
      <c r="G1593" s="21" t="str">
        <f t="array" ref="G1593">IFNA(_xlfn.XLOOKUP(D1593,Table_Tarikan_Warkah[Nomor Tiket],Table_Tarikan_Warkah[Jenis Permohonan]),"")</f>
        <v/>
      </c>
      <c r="H1593" s="26"/>
      <c r="I1593" s="26"/>
      <c r="J1593" s="20" t="str">
        <f t="shared" si="29"/>
        <v/>
      </c>
      <c r="K1593" s="26"/>
      <c r="L1593" s="26"/>
      <c r="M1593" s="20" t="str">
        <f t="shared" si="30"/>
        <v/>
      </c>
      <c r="N1593" s="8" t="str">
        <f t="shared" si="3"/>
        <v/>
      </c>
      <c r="O1593" s="21" t="str">
        <f t="shared" si="22"/>
        <v/>
      </c>
      <c r="P1593" s="24" t="b">
        <v>0</v>
      </c>
      <c r="Q1593" s="20" t="str">
        <f t="shared" si="31"/>
        <v/>
      </c>
      <c r="R1593" s="24" t="b">
        <v>0</v>
      </c>
      <c r="S1593" s="7" t="str">
        <f t="shared" si="6"/>
        <v/>
      </c>
      <c r="T1593" s="7"/>
    </row>
    <row r="1594" ht="22.5" hidden="1" customHeight="1">
      <c r="B1594" s="7">
        <f t="shared" si="7"/>
        <v>1588</v>
      </c>
      <c r="C1594" s="40"/>
      <c r="D1594" s="19" t="str">
        <f t="array" ref="D1594">IFNA(_xlfn.XLOOKUP(C1594,Table_Tarikan_Warkah[Nomor Sertipikat],Table_Tarikan_Warkah[Nomor Tiket]),"")</f>
        <v/>
      </c>
      <c r="E1594" s="20" t="str">
        <f t="array" ref="E1594">IFNA(_xlfn.XLOOKUP(D1594,Table_Tarikan_Warkah[Nomor Tiket],Table_Tarikan_Warkah[Tanggal diserahkan kepada Validator]),"")</f>
        <v/>
      </c>
      <c r="F1594" s="20" t="str">
        <f t="array" ref="F1594">IFNA(_xlfn.XLOOKUP(D1594,Table_Tarikan_Warkah[Nomor Tiket],Table_Tarikan_Warkah[Nama Petugas Warkah]),"")</f>
        <v/>
      </c>
      <c r="G1594" s="21" t="str">
        <f t="array" ref="G1594">IFNA(_xlfn.XLOOKUP(D1594,Table_Tarikan_Warkah[Nomor Tiket],Table_Tarikan_Warkah[Jenis Permohonan]),"")</f>
        <v/>
      </c>
      <c r="H1594" s="26"/>
      <c r="I1594" s="26"/>
      <c r="J1594" s="20" t="str">
        <f t="shared" si="29"/>
        <v/>
      </c>
      <c r="K1594" s="26"/>
      <c r="L1594" s="26"/>
      <c r="M1594" s="20" t="str">
        <f t="shared" si="30"/>
        <v/>
      </c>
      <c r="N1594" s="8" t="str">
        <f t="shared" si="3"/>
        <v/>
      </c>
      <c r="O1594" s="21" t="str">
        <f t="shared" si="22"/>
        <v/>
      </c>
      <c r="P1594" s="24" t="b">
        <v>0</v>
      </c>
      <c r="Q1594" s="20" t="str">
        <f t="shared" si="31"/>
        <v/>
      </c>
      <c r="R1594" s="24" t="b">
        <v>0</v>
      </c>
      <c r="S1594" s="7" t="str">
        <f t="shared" si="6"/>
        <v/>
      </c>
      <c r="T1594" s="7"/>
    </row>
    <row r="1595" ht="22.5" hidden="1" customHeight="1">
      <c r="B1595" s="7">
        <f t="shared" si="7"/>
        <v>1589</v>
      </c>
      <c r="C1595" s="40"/>
      <c r="D1595" s="19" t="str">
        <f t="array" ref="D1595">IFNA(_xlfn.XLOOKUP(C1595,Table_Tarikan_Warkah[Nomor Sertipikat],Table_Tarikan_Warkah[Nomor Tiket]),"")</f>
        <v/>
      </c>
      <c r="E1595" s="20" t="str">
        <f t="array" ref="E1595">IFNA(_xlfn.XLOOKUP(D1595,Table_Tarikan_Warkah[Nomor Tiket],Table_Tarikan_Warkah[Tanggal diserahkan kepada Validator]),"")</f>
        <v/>
      </c>
      <c r="F1595" s="20" t="str">
        <f t="array" ref="F1595">IFNA(_xlfn.XLOOKUP(D1595,Table_Tarikan_Warkah[Nomor Tiket],Table_Tarikan_Warkah[Nama Petugas Warkah]),"")</f>
        <v/>
      </c>
      <c r="G1595" s="21" t="str">
        <f t="array" ref="G1595">IFNA(_xlfn.XLOOKUP(D1595,Table_Tarikan_Warkah[Nomor Tiket],Table_Tarikan_Warkah[Jenis Permohonan]),"")</f>
        <v/>
      </c>
      <c r="H1595" s="26"/>
      <c r="I1595" s="26"/>
      <c r="J1595" s="20" t="str">
        <f t="shared" si="29"/>
        <v/>
      </c>
      <c r="K1595" s="26"/>
      <c r="L1595" s="26"/>
      <c r="M1595" s="20" t="str">
        <f t="shared" si="30"/>
        <v/>
      </c>
      <c r="N1595" s="8" t="str">
        <f t="shared" si="3"/>
        <v/>
      </c>
      <c r="O1595" s="21" t="str">
        <f t="shared" si="22"/>
        <v/>
      </c>
      <c r="P1595" s="24" t="b">
        <v>0</v>
      </c>
      <c r="Q1595" s="20" t="str">
        <f t="shared" si="31"/>
        <v/>
      </c>
      <c r="R1595" s="24" t="b">
        <v>0</v>
      </c>
      <c r="S1595" s="7" t="str">
        <f t="shared" si="6"/>
        <v/>
      </c>
      <c r="T1595" s="7"/>
    </row>
    <row r="1596" ht="22.5" hidden="1" customHeight="1">
      <c r="B1596" s="7">
        <f t="shared" si="7"/>
        <v>1590</v>
      </c>
      <c r="C1596" s="40"/>
      <c r="D1596" s="19" t="str">
        <f t="array" ref="D1596">IFNA(_xlfn.XLOOKUP(C1596,Table_Tarikan_Warkah[Nomor Sertipikat],Table_Tarikan_Warkah[Nomor Tiket]),"")</f>
        <v/>
      </c>
      <c r="E1596" s="20" t="str">
        <f t="array" ref="E1596">IFNA(_xlfn.XLOOKUP(D1596,Table_Tarikan_Warkah[Nomor Tiket],Table_Tarikan_Warkah[Tanggal diserahkan kepada Validator]),"")</f>
        <v/>
      </c>
      <c r="F1596" s="20" t="str">
        <f t="array" ref="F1596">IFNA(_xlfn.XLOOKUP(D1596,Table_Tarikan_Warkah[Nomor Tiket],Table_Tarikan_Warkah[Nama Petugas Warkah]),"")</f>
        <v/>
      </c>
      <c r="G1596" s="21" t="str">
        <f t="array" ref="G1596">IFNA(_xlfn.XLOOKUP(D1596,Table_Tarikan_Warkah[Nomor Tiket],Table_Tarikan_Warkah[Jenis Permohonan]),"")</f>
        <v/>
      </c>
      <c r="H1596" s="26"/>
      <c r="I1596" s="26"/>
      <c r="J1596" s="20" t="str">
        <f t="shared" si="29"/>
        <v/>
      </c>
      <c r="K1596" s="26"/>
      <c r="L1596" s="26"/>
      <c r="M1596" s="20" t="str">
        <f t="shared" si="30"/>
        <v/>
      </c>
      <c r="N1596" s="8" t="str">
        <f t="shared" si="3"/>
        <v/>
      </c>
      <c r="O1596" s="21" t="str">
        <f t="shared" si="22"/>
        <v/>
      </c>
      <c r="P1596" s="24" t="b">
        <v>0</v>
      </c>
      <c r="Q1596" s="20" t="str">
        <f t="shared" si="31"/>
        <v/>
      </c>
      <c r="R1596" s="24" t="b">
        <v>0</v>
      </c>
      <c r="S1596" s="7" t="str">
        <f t="shared" si="6"/>
        <v/>
      </c>
      <c r="T1596" s="7"/>
    </row>
    <row r="1597" ht="22.5" hidden="1" customHeight="1">
      <c r="B1597" s="7">
        <f t="shared" si="7"/>
        <v>1591</v>
      </c>
      <c r="C1597" s="40"/>
      <c r="D1597" s="19" t="str">
        <f t="array" ref="D1597">IFNA(_xlfn.XLOOKUP(C1597,Table_Tarikan_Warkah[Nomor Sertipikat],Table_Tarikan_Warkah[Nomor Tiket]),"")</f>
        <v/>
      </c>
      <c r="E1597" s="20" t="str">
        <f t="array" ref="E1597">IFNA(_xlfn.XLOOKUP(D1597,Table_Tarikan_Warkah[Nomor Tiket],Table_Tarikan_Warkah[Tanggal diserahkan kepada Validator]),"")</f>
        <v/>
      </c>
      <c r="F1597" s="20" t="str">
        <f t="array" ref="F1597">IFNA(_xlfn.XLOOKUP(D1597,Table_Tarikan_Warkah[Nomor Tiket],Table_Tarikan_Warkah[Nama Petugas Warkah]),"")</f>
        <v/>
      </c>
      <c r="G1597" s="21" t="str">
        <f t="array" ref="G1597">IFNA(_xlfn.XLOOKUP(D1597,Table_Tarikan_Warkah[Nomor Tiket],Table_Tarikan_Warkah[Jenis Permohonan]),"")</f>
        <v/>
      </c>
      <c r="H1597" s="26"/>
      <c r="I1597" s="26"/>
      <c r="J1597" s="20" t="str">
        <f t="shared" si="29"/>
        <v/>
      </c>
      <c r="K1597" s="26"/>
      <c r="L1597" s="26"/>
      <c r="M1597" s="20" t="str">
        <f t="shared" si="30"/>
        <v/>
      </c>
      <c r="N1597" s="8" t="str">
        <f t="shared" si="3"/>
        <v/>
      </c>
      <c r="O1597" s="21" t="str">
        <f t="shared" si="22"/>
        <v/>
      </c>
      <c r="P1597" s="24" t="b">
        <v>0</v>
      </c>
      <c r="Q1597" s="20" t="str">
        <f t="shared" si="31"/>
        <v/>
      </c>
      <c r="R1597" s="24" t="b">
        <v>0</v>
      </c>
      <c r="S1597" s="7" t="str">
        <f t="shared" si="6"/>
        <v/>
      </c>
      <c r="T1597" s="7"/>
    </row>
    <row r="1598" ht="22.5" hidden="1" customHeight="1">
      <c r="B1598" s="7">
        <f t="shared" si="7"/>
        <v>1592</v>
      </c>
      <c r="C1598" s="40"/>
      <c r="D1598" s="19" t="str">
        <f t="array" ref="D1598">IFNA(_xlfn.XLOOKUP(C1598,Table_Tarikan_Warkah[Nomor Sertipikat],Table_Tarikan_Warkah[Nomor Tiket]),"")</f>
        <v/>
      </c>
      <c r="E1598" s="20" t="str">
        <f t="array" ref="E1598">IFNA(_xlfn.XLOOKUP(D1598,Table_Tarikan_Warkah[Nomor Tiket],Table_Tarikan_Warkah[Tanggal diserahkan kepada Validator]),"")</f>
        <v/>
      </c>
      <c r="F1598" s="20" t="str">
        <f t="array" ref="F1598">IFNA(_xlfn.XLOOKUP(D1598,Table_Tarikan_Warkah[Nomor Tiket],Table_Tarikan_Warkah[Nama Petugas Warkah]),"")</f>
        <v/>
      </c>
      <c r="G1598" s="21" t="str">
        <f t="array" ref="G1598">IFNA(_xlfn.XLOOKUP(D1598,Table_Tarikan_Warkah[Nomor Tiket],Table_Tarikan_Warkah[Jenis Permohonan]),"")</f>
        <v/>
      </c>
      <c r="H1598" s="26"/>
      <c r="I1598" s="26"/>
      <c r="J1598" s="20" t="str">
        <f t="shared" si="29"/>
        <v/>
      </c>
      <c r="K1598" s="26"/>
      <c r="L1598" s="26"/>
      <c r="M1598" s="20" t="str">
        <f t="shared" si="30"/>
        <v/>
      </c>
      <c r="N1598" s="8" t="str">
        <f t="shared" si="3"/>
        <v/>
      </c>
      <c r="O1598" s="21" t="str">
        <f t="shared" si="22"/>
        <v/>
      </c>
      <c r="P1598" s="24" t="b">
        <v>0</v>
      </c>
      <c r="Q1598" s="20" t="str">
        <f t="shared" si="31"/>
        <v/>
      </c>
      <c r="R1598" s="24" t="b">
        <v>0</v>
      </c>
      <c r="S1598" s="7" t="str">
        <f t="shared" si="6"/>
        <v/>
      </c>
      <c r="T1598" s="7"/>
    </row>
    <row r="1599" ht="22.5" hidden="1" customHeight="1">
      <c r="B1599" s="7">
        <f t="shared" si="7"/>
        <v>1593</v>
      </c>
      <c r="C1599" s="40"/>
      <c r="D1599" s="19" t="str">
        <f t="array" ref="D1599">IFNA(_xlfn.XLOOKUP(C1599,Table_Tarikan_Warkah[Nomor Sertipikat],Table_Tarikan_Warkah[Nomor Tiket]),"")</f>
        <v/>
      </c>
      <c r="E1599" s="20" t="str">
        <f t="array" ref="E1599">IFNA(_xlfn.XLOOKUP(D1599,Table_Tarikan_Warkah[Nomor Tiket],Table_Tarikan_Warkah[Tanggal diserahkan kepada Validator]),"")</f>
        <v/>
      </c>
      <c r="F1599" s="20" t="str">
        <f t="array" ref="F1599">IFNA(_xlfn.XLOOKUP(D1599,Table_Tarikan_Warkah[Nomor Tiket],Table_Tarikan_Warkah[Nama Petugas Warkah]),"")</f>
        <v/>
      </c>
      <c r="G1599" s="21" t="str">
        <f t="array" ref="G1599">IFNA(_xlfn.XLOOKUP(D1599,Table_Tarikan_Warkah[Nomor Tiket],Table_Tarikan_Warkah[Jenis Permohonan]),"")</f>
        <v/>
      </c>
      <c r="H1599" s="26"/>
      <c r="I1599" s="26"/>
      <c r="J1599" s="20" t="str">
        <f t="shared" si="29"/>
        <v/>
      </c>
      <c r="K1599" s="26"/>
      <c r="L1599" s="26"/>
      <c r="M1599" s="20" t="str">
        <f t="shared" si="30"/>
        <v/>
      </c>
      <c r="N1599" s="8" t="str">
        <f t="shared" si="3"/>
        <v/>
      </c>
      <c r="O1599" s="21" t="str">
        <f t="shared" si="22"/>
        <v/>
      </c>
      <c r="P1599" s="24" t="b">
        <v>0</v>
      </c>
      <c r="Q1599" s="20" t="str">
        <f t="shared" si="31"/>
        <v/>
      </c>
      <c r="R1599" s="24" t="b">
        <v>0</v>
      </c>
      <c r="S1599" s="7" t="str">
        <f t="shared" si="6"/>
        <v/>
      </c>
      <c r="T1599" s="7"/>
    </row>
    <row r="1600" ht="22.5" hidden="1" customHeight="1">
      <c r="B1600" s="7">
        <f t="shared" si="7"/>
        <v>1594</v>
      </c>
      <c r="C1600" s="40"/>
      <c r="D1600" s="19" t="str">
        <f t="array" ref="D1600">IFNA(_xlfn.XLOOKUP(C1600,Table_Tarikan_Warkah[Nomor Sertipikat],Table_Tarikan_Warkah[Nomor Tiket]),"")</f>
        <v/>
      </c>
      <c r="E1600" s="20" t="str">
        <f t="array" ref="E1600">IFNA(_xlfn.XLOOKUP(D1600,Table_Tarikan_Warkah[Nomor Tiket],Table_Tarikan_Warkah[Tanggal diserahkan kepada Validator]),"")</f>
        <v/>
      </c>
      <c r="F1600" s="20" t="str">
        <f t="array" ref="F1600">IFNA(_xlfn.XLOOKUP(D1600,Table_Tarikan_Warkah[Nomor Tiket],Table_Tarikan_Warkah[Nama Petugas Warkah]),"")</f>
        <v/>
      </c>
      <c r="G1600" s="21" t="str">
        <f t="array" ref="G1600">IFNA(_xlfn.XLOOKUP(D1600,Table_Tarikan_Warkah[Nomor Tiket],Table_Tarikan_Warkah[Jenis Permohonan]),"")</f>
        <v/>
      </c>
      <c r="H1600" s="26"/>
      <c r="I1600" s="26"/>
      <c r="J1600" s="20" t="str">
        <f t="shared" si="29"/>
        <v/>
      </c>
      <c r="K1600" s="26"/>
      <c r="L1600" s="26"/>
      <c r="M1600" s="20" t="str">
        <f t="shared" si="30"/>
        <v/>
      </c>
      <c r="N1600" s="8" t="str">
        <f t="shared" si="3"/>
        <v/>
      </c>
      <c r="O1600" s="21" t="str">
        <f t="shared" si="22"/>
        <v/>
      </c>
      <c r="P1600" s="24" t="b">
        <v>0</v>
      </c>
      <c r="Q1600" s="20" t="str">
        <f t="shared" si="31"/>
        <v/>
      </c>
      <c r="R1600" s="24" t="b">
        <v>0</v>
      </c>
      <c r="S1600" s="7" t="str">
        <f t="shared" si="6"/>
        <v/>
      </c>
      <c r="T1600" s="7"/>
    </row>
    <row r="1601" ht="22.5" hidden="1" customHeight="1">
      <c r="B1601" s="7">
        <f t="shared" si="7"/>
        <v>1595</v>
      </c>
      <c r="C1601" s="40"/>
      <c r="D1601" s="19" t="str">
        <f t="array" ref="D1601">IFNA(_xlfn.XLOOKUP(C1601,Table_Tarikan_Warkah[Nomor Sertipikat],Table_Tarikan_Warkah[Nomor Tiket]),"")</f>
        <v/>
      </c>
      <c r="E1601" s="20" t="str">
        <f t="array" ref="E1601">IFNA(_xlfn.XLOOKUP(D1601,Table_Tarikan_Warkah[Nomor Tiket],Table_Tarikan_Warkah[Tanggal diserahkan kepada Validator]),"")</f>
        <v/>
      </c>
      <c r="F1601" s="20" t="str">
        <f t="array" ref="F1601">IFNA(_xlfn.XLOOKUP(D1601,Table_Tarikan_Warkah[Nomor Tiket],Table_Tarikan_Warkah[Nama Petugas Warkah]),"")</f>
        <v/>
      </c>
      <c r="G1601" s="21" t="str">
        <f t="array" ref="G1601">IFNA(_xlfn.XLOOKUP(D1601,Table_Tarikan_Warkah[Nomor Tiket],Table_Tarikan_Warkah[Jenis Permohonan]),"")</f>
        <v/>
      </c>
      <c r="H1601" s="26"/>
      <c r="I1601" s="26"/>
      <c r="J1601" s="20" t="str">
        <f t="shared" si="29"/>
        <v/>
      </c>
      <c r="K1601" s="26"/>
      <c r="L1601" s="26"/>
      <c r="M1601" s="20" t="str">
        <f t="shared" si="30"/>
        <v/>
      </c>
      <c r="N1601" s="8" t="str">
        <f t="shared" si="3"/>
        <v/>
      </c>
      <c r="O1601" s="21" t="str">
        <f t="shared" si="22"/>
        <v/>
      </c>
      <c r="P1601" s="24" t="b">
        <v>0</v>
      </c>
      <c r="Q1601" s="20" t="str">
        <f t="shared" si="31"/>
        <v/>
      </c>
      <c r="R1601" s="24" t="b">
        <v>0</v>
      </c>
      <c r="S1601" s="7" t="str">
        <f t="shared" si="6"/>
        <v/>
      </c>
      <c r="T1601" s="7"/>
    </row>
    <row r="1602" ht="22.5" hidden="1" customHeight="1">
      <c r="B1602" s="7">
        <f t="shared" si="7"/>
        <v>1596</v>
      </c>
      <c r="C1602" s="40"/>
      <c r="D1602" s="19" t="str">
        <f t="array" ref="D1602">IFNA(_xlfn.XLOOKUP(C1602,Table_Tarikan_Warkah[Nomor Sertipikat],Table_Tarikan_Warkah[Nomor Tiket]),"")</f>
        <v/>
      </c>
      <c r="E1602" s="20" t="str">
        <f t="array" ref="E1602">IFNA(_xlfn.XLOOKUP(D1602,Table_Tarikan_Warkah[Nomor Tiket],Table_Tarikan_Warkah[Tanggal diserahkan kepada Validator]),"")</f>
        <v/>
      </c>
      <c r="F1602" s="20" t="str">
        <f t="array" ref="F1602">IFNA(_xlfn.XLOOKUP(D1602,Table_Tarikan_Warkah[Nomor Tiket],Table_Tarikan_Warkah[Nama Petugas Warkah]),"")</f>
        <v/>
      </c>
      <c r="G1602" s="21" t="str">
        <f t="array" ref="G1602">IFNA(_xlfn.XLOOKUP(D1602,Table_Tarikan_Warkah[Nomor Tiket],Table_Tarikan_Warkah[Jenis Permohonan]),"")</f>
        <v/>
      </c>
      <c r="H1602" s="26"/>
      <c r="I1602" s="26"/>
      <c r="J1602" s="20" t="str">
        <f t="shared" si="29"/>
        <v/>
      </c>
      <c r="K1602" s="26"/>
      <c r="L1602" s="26"/>
      <c r="M1602" s="20" t="str">
        <f t="shared" si="30"/>
        <v/>
      </c>
      <c r="N1602" s="8" t="str">
        <f t="shared" si="3"/>
        <v/>
      </c>
      <c r="O1602" s="21" t="str">
        <f t="shared" si="22"/>
        <v/>
      </c>
      <c r="P1602" s="24" t="b">
        <v>0</v>
      </c>
      <c r="Q1602" s="20" t="str">
        <f t="shared" si="31"/>
        <v/>
      </c>
      <c r="R1602" s="24" t="b">
        <v>0</v>
      </c>
      <c r="S1602" s="7" t="str">
        <f t="shared" si="6"/>
        <v/>
      </c>
      <c r="T1602" s="7"/>
    </row>
    <row r="1603" ht="22.5" hidden="1" customHeight="1">
      <c r="B1603" s="7">
        <f t="shared" si="7"/>
        <v>1597</v>
      </c>
      <c r="C1603" s="40"/>
      <c r="D1603" s="19" t="str">
        <f t="array" ref="D1603">IFNA(_xlfn.XLOOKUP(C1603,Table_Tarikan_Warkah[Nomor Sertipikat],Table_Tarikan_Warkah[Nomor Tiket]),"")</f>
        <v/>
      </c>
      <c r="E1603" s="20" t="str">
        <f t="array" ref="E1603">IFNA(_xlfn.XLOOKUP(D1603,Table_Tarikan_Warkah[Nomor Tiket],Table_Tarikan_Warkah[Tanggal diserahkan kepada Validator]),"")</f>
        <v/>
      </c>
      <c r="F1603" s="20" t="str">
        <f t="array" ref="F1603">IFNA(_xlfn.XLOOKUP(D1603,Table_Tarikan_Warkah[Nomor Tiket],Table_Tarikan_Warkah[Nama Petugas Warkah]),"")</f>
        <v/>
      </c>
      <c r="G1603" s="21" t="str">
        <f t="array" ref="G1603">IFNA(_xlfn.XLOOKUP(D1603,Table_Tarikan_Warkah[Nomor Tiket],Table_Tarikan_Warkah[Jenis Permohonan]),"")</f>
        <v/>
      </c>
      <c r="H1603" s="26"/>
      <c r="I1603" s="26"/>
      <c r="J1603" s="20" t="str">
        <f t="shared" si="29"/>
        <v/>
      </c>
      <c r="K1603" s="26"/>
      <c r="L1603" s="26"/>
      <c r="M1603" s="20" t="str">
        <f t="shared" si="30"/>
        <v/>
      </c>
      <c r="N1603" s="8" t="str">
        <f t="shared" si="3"/>
        <v/>
      </c>
      <c r="O1603" s="21" t="str">
        <f t="shared" si="22"/>
        <v/>
      </c>
      <c r="P1603" s="24" t="b">
        <v>0</v>
      </c>
      <c r="Q1603" s="20" t="str">
        <f t="shared" si="31"/>
        <v/>
      </c>
      <c r="R1603" s="24" t="b">
        <v>0</v>
      </c>
      <c r="S1603" s="7" t="str">
        <f t="shared" si="6"/>
        <v/>
      </c>
      <c r="T1603" s="7"/>
    </row>
    <row r="1604" ht="22.5" hidden="1" customHeight="1">
      <c r="B1604" s="7">
        <f t="shared" si="7"/>
        <v>1598</v>
      </c>
      <c r="C1604" s="40"/>
      <c r="D1604" s="19" t="str">
        <f t="array" ref="D1604">IFNA(_xlfn.XLOOKUP(C1604,Table_Tarikan_Warkah[Nomor Sertipikat],Table_Tarikan_Warkah[Nomor Tiket]),"")</f>
        <v/>
      </c>
      <c r="E1604" s="20" t="str">
        <f t="array" ref="E1604">IFNA(_xlfn.XLOOKUP(D1604,Table_Tarikan_Warkah[Nomor Tiket],Table_Tarikan_Warkah[Tanggal diserahkan kepada Validator]),"")</f>
        <v/>
      </c>
      <c r="F1604" s="20" t="str">
        <f t="array" ref="F1604">IFNA(_xlfn.XLOOKUP(D1604,Table_Tarikan_Warkah[Nomor Tiket],Table_Tarikan_Warkah[Nama Petugas Warkah]),"")</f>
        <v/>
      </c>
      <c r="G1604" s="21" t="str">
        <f t="array" ref="G1604">IFNA(_xlfn.XLOOKUP(D1604,Table_Tarikan_Warkah[Nomor Tiket],Table_Tarikan_Warkah[Jenis Permohonan]),"")</f>
        <v/>
      </c>
      <c r="H1604" s="26"/>
      <c r="I1604" s="26"/>
      <c r="J1604" s="20" t="str">
        <f t="shared" si="29"/>
        <v/>
      </c>
      <c r="K1604" s="26"/>
      <c r="L1604" s="26"/>
      <c r="M1604" s="20" t="str">
        <f t="shared" si="30"/>
        <v/>
      </c>
      <c r="N1604" s="8" t="str">
        <f t="shared" si="3"/>
        <v/>
      </c>
      <c r="O1604" s="21" t="str">
        <f t="shared" si="22"/>
        <v/>
      </c>
      <c r="P1604" s="24" t="b">
        <v>0</v>
      </c>
      <c r="Q1604" s="20" t="str">
        <f t="shared" si="31"/>
        <v/>
      </c>
      <c r="R1604" s="24" t="b">
        <v>0</v>
      </c>
      <c r="S1604" s="7" t="str">
        <f t="shared" si="6"/>
        <v/>
      </c>
      <c r="T1604" s="7"/>
    </row>
    <row r="1605" ht="22.5" hidden="1" customHeight="1">
      <c r="B1605" s="7">
        <f t="shared" si="7"/>
        <v>1599</v>
      </c>
      <c r="C1605" s="40"/>
      <c r="D1605" s="19" t="str">
        <f t="array" ref="D1605">IFNA(_xlfn.XLOOKUP(C1605,Table_Tarikan_Warkah[Nomor Sertipikat],Table_Tarikan_Warkah[Nomor Tiket]),"")</f>
        <v/>
      </c>
      <c r="E1605" s="20" t="str">
        <f t="array" ref="E1605">IFNA(_xlfn.XLOOKUP(D1605,Table_Tarikan_Warkah[Nomor Tiket],Table_Tarikan_Warkah[Tanggal diserahkan kepada Validator]),"")</f>
        <v/>
      </c>
      <c r="F1605" s="20" t="str">
        <f t="array" ref="F1605">IFNA(_xlfn.XLOOKUP(D1605,Table_Tarikan_Warkah[Nomor Tiket],Table_Tarikan_Warkah[Nama Petugas Warkah]),"")</f>
        <v/>
      </c>
      <c r="G1605" s="21" t="str">
        <f t="array" ref="G1605">IFNA(_xlfn.XLOOKUP(D1605,Table_Tarikan_Warkah[Nomor Tiket],Table_Tarikan_Warkah[Jenis Permohonan]),"")</f>
        <v/>
      </c>
      <c r="H1605" s="26"/>
      <c r="I1605" s="26"/>
      <c r="J1605" s="20" t="str">
        <f t="shared" si="29"/>
        <v/>
      </c>
      <c r="K1605" s="26"/>
      <c r="L1605" s="26"/>
      <c r="M1605" s="20" t="str">
        <f t="shared" si="30"/>
        <v/>
      </c>
      <c r="N1605" s="8" t="str">
        <f t="shared" si="3"/>
        <v/>
      </c>
      <c r="O1605" s="21" t="str">
        <f t="shared" si="22"/>
        <v/>
      </c>
      <c r="P1605" s="24" t="b">
        <v>0</v>
      </c>
      <c r="Q1605" s="20" t="str">
        <f t="shared" si="31"/>
        <v/>
      </c>
      <c r="R1605" s="24" t="b">
        <v>0</v>
      </c>
      <c r="S1605" s="7" t="str">
        <f t="shared" si="6"/>
        <v/>
      </c>
      <c r="T1605" s="7"/>
    </row>
    <row r="1606" ht="22.5" hidden="1" customHeight="1">
      <c r="B1606" s="7">
        <f t="shared" si="7"/>
        <v>1600</v>
      </c>
      <c r="C1606" s="40"/>
      <c r="D1606" s="19" t="str">
        <f t="array" ref="D1606">IFNA(_xlfn.XLOOKUP(C1606,Table_Tarikan_Warkah[Nomor Sertipikat],Table_Tarikan_Warkah[Nomor Tiket]),"")</f>
        <v/>
      </c>
      <c r="E1606" s="20" t="str">
        <f t="array" ref="E1606">IFNA(_xlfn.XLOOKUP(D1606,Table_Tarikan_Warkah[Nomor Tiket],Table_Tarikan_Warkah[Tanggal diserahkan kepada Validator]),"")</f>
        <v/>
      </c>
      <c r="F1606" s="20" t="str">
        <f t="array" ref="F1606">IFNA(_xlfn.XLOOKUP(D1606,Table_Tarikan_Warkah[Nomor Tiket],Table_Tarikan_Warkah[Nama Petugas Warkah]),"")</f>
        <v/>
      </c>
      <c r="G1606" s="21" t="str">
        <f t="array" ref="G1606">IFNA(_xlfn.XLOOKUP(D1606,Table_Tarikan_Warkah[Nomor Tiket],Table_Tarikan_Warkah[Jenis Permohonan]),"")</f>
        <v/>
      </c>
      <c r="H1606" s="26"/>
      <c r="I1606" s="26"/>
      <c r="J1606" s="20" t="str">
        <f t="shared" si="29"/>
        <v/>
      </c>
      <c r="K1606" s="26"/>
      <c r="L1606" s="26"/>
      <c r="M1606" s="20" t="str">
        <f t="shared" si="30"/>
        <v/>
      </c>
      <c r="N1606" s="8" t="str">
        <f t="shared" si="3"/>
        <v/>
      </c>
      <c r="O1606" s="21" t="str">
        <f t="shared" si="22"/>
        <v/>
      </c>
      <c r="P1606" s="24" t="b">
        <v>0</v>
      </c>
      <c r="Q1606" s="20" t="str">
        <f t="shared" si="31"/>
        <v/>
      </c>
      <c r="R1606" s="24" t="b">
        <v>0</v>
      </c>
      <c r="S1606" s="7" t="str">
        <f t="shared" si="6"/>
        <v/>
      </c>
      <c r="T1606" s="7"/>
    </row>
    <row r="1607" ht="22.5" hidden="1" customHeight="1">
      <c r="B1607" s="7">
        <f t="shared" si="7"/>
        <v>1601</v>
      </c>
      <c r="C1607" s="40"/>
      <c r="D1607" s="19" t="str">
        <f t="array" ref="D1607">IFNA(_xlfn.XLOOKUP(C1607,Table_Tarikan_Warkah[Nomor Sertipikat],Table_Tarikan_Warkah[Nomor Tiket]),"")</f>
        <v/>
      </c>
      <c r="E1607" s="20" t="str">
        <f t="array" ref="E1607">IFNA(_xlfn.XLOOKUP(D1607,Table_Tarikan_Warkah[Nomor Tiket],Table_Tarikan_Warkah[Tanggal diserahkan kepada Validator]),"")</f>
        <v/>
      </c>
      <c r="F1607" s="20" t="str">
        <f t="array" ref="F1607">IFNA(_xlfn.XLOOKUP(D1607,Table_Tarikan_Warkah[Nomor Tiket],Table_Tarikan_Warkah[Nama Petugas Warkah]),"")</f>
        <v/>
      </c>
      <c r="G1607" s="21" t="str">
        <f t="array" ref="G1607">IFNA(_xlfn.XLOOKUP(D1607,Table_Tarikan_Warkah[Nomor Tiket],Table_Tarikan_Warkah[Jenis Permohonan]),"")</f>
        <v/>
      </c>
      <c r="H1607" s="26"/>
      <c r="I1607" s="26"/>
      <c r="J1607" s="20" t="str">
        <f t="shared" si="29"/>
        <v/>
      </c>
      <c r="K1607" s="26"/>
      <c r="L1607" s="26"/>
      <c r="M1607" s="20" t="str">
        <f t="shared" si="30"/>
        <v/>
      </c>
      <c r="N1607" s="8" t="str">
        <f t="shared" si="3"/>
        <v/>
      </c>
      <c r="O1607" s="21" t="str">
        <f t="shared" si="22"/>
        <v/>
      </c>
      <c r="P1607" s="24" t="b">
        <v>0</v>
      </c>
      <c r="Q1607" s="20" t="str">
        <f t="shared" si="31"/>
        <v/>
      </c>
      <c r="R1607" s="24" t="b">
        <v>0</v>
      </c>
      <c r="S1607" s="7" t="str">
        <f t="shared" si="6"/>
        <v/>
      </c>
      <c r="T1607" s="7"/>
    </row>
    <row r="1608" ht="22.5" hidden="1" customHeight="1">
      <c r="B1608" s="7">
        <f t="shared" si="7"/>
        <v>1602</v>
      </c>
      <c r="C1608" s="40"/>
      <c r="D1608" s="19" t="str">
        <f t="array" ref="D1608">IFNA(_xlfn.XLOOKUP(C1608,Table_Tarikan_Warkah[Nomor Sertipikat],Table_Tarikan_Warkah[Nomor Tiket]),"")</f>
        <v/>
      </c>
      <c r="E1608" s="20" t="str">
        <f t="array" ref="E1608">IFNA(_xlfn.XLOOKUP(D1608,Table_Tarikan_Warkah[Nomor Tiket],Table_Tarikan_Warkah[Tanggal diserahkan kepada Validator]),"")</f>
        <v/>
      </c>
      <c r="F1608" s="20" t="str">
        <f t="array" ref="F1608">IFNA(_xlfn.XLOOKUP(D1608,Table_Tarikan_Warkah[Nomor Tiket],Table_Tarikan_Warkah[Nama Petugas Warkah]),"")</f>
        <v/>
      </c>
      <c r="G1608" s="21" t="str">
        <f t="array" ref="G1608">IFNA(_xlfn.XLOOKUP(D1608,Table_Tarikan_Warkah[Nomor Tiket],Table_Tarikan_Warkah[Jenis Permohonan]),"")</f>
        <v/>
      </c>
      <c r="H1608" s="26"/>
      <c r="I1608" s="26"/>
      <c r="J1608" s="20" t="str">
        <f t="shared" si="29"/>
        <v/>
      </c>
      <c r="K1608" s="26"/>
      <c r="L1608" s="26"/>
      <c r="M1608" s="20" t="str">
        <f t="shared" si="30"/>
        <v/>
      </c>
      <c r="N1608" s="8" t="str">
        <f t="shared" si="3"/>
        <v/>
      </c>
      <c r="O1608" s="21" t="str">
        <f t="shared" si="22"/>
        <v/>
      </c>
      <c r="P1608" s="24" t="b">
        <v>0</v>
      </c>
      <c r="Q1608" s="20" t="str">
        <f t="shared" si="31"/>
        <v/>
      </c>
      <c r="R1608" s="24" t="b">
        <v>0</v>
      </c>
      <c r="S1608" s="7" t="str">
        <f t="shared" si="6"/>
        <v/>
      </c>
      <c r="T1608" s="7"/>
    </row>
    <row r="1609" ht="22.5" hidden="1" customHeight="1">
      <c r="B1609" s="7">
        <f t="shared" si="7"/>
        <v>1603</v>
      </c>
      <c r="C1609" s="40"/>
      <c r="D1609" s="19" t="str">
        <f t="array" ref="D1609">IFNA(_xlfn.XLOOKUP(C1609,Table_Tarikan_Warkah[Nomor Sertipikat],Table_Tarikan_Warkah[Nomor Tiket]),"")</f>
        <v/>
      </c>
      <c r="E1609" s="20" t="str">
        <f t="array" ref="E1609">IFNA(_xlfn.XLOOKUP(D1609,Table_Tarikan_Warkah[Nomor Tiket],Table_Tarikan_Warkah[Tanggal diserahkan kepada Validator]),"")</f>
        <v/>
      </c>
      <c r="F1609" s="20" t="str">
        <f t="array" ref="F1609">IFNA(_xlfn.XLOOKUP(D1609,Table_Tarikan_Warkah[Nomor Tiket],Table_Tarikan_Warkah[Nama Petugas Warkah]),"")</f>
        <v/>
      </c>
      <c r="G1609" s="21" t="str">
        <f t="array" ref="G1609">IFNA(_xlfn.XLOOKUP(D1609,Table_Tarikan_Warkah[Nomor Tiket],Table_Tarikan_Warkah[Jenis Permohonan]),"")</f>
        <v/>
      </c>
      <c r="H1609" s="26"/>
      <c r="I1609" s="26"/>
      <c r="J1609" s="20" t="str">
        <f t="shared" si="29"/>
        <v/>
      </c>
      <c r="K1609" s="26"/>
      <c r="L1609" s="26"/>
      <c r="M1609" s="20" t="str">
        <f t="shared" si="30"/>
        <v/>
      </c>
      <c r="N1609" s="8" t="str">
        <f t="shared" si="3"/>
        <v/>
      </c>
      <c r="O1609" s="21" t="str">
        <f t="shared" si="22"/>
        <v/>
      </c>
      <c r="P1609" s="24" t="b">
        <v>0</v>
      </c>
      <c r="Q1609" s="20" t="str">
        <f t="shared" si="31"/>
        <v/>
      </c>
      <c r="R1609" s="24" t="b">
        <v>0</v>
      </c>
      <c r="S1609" s="7" t="str">
        <f t="shared" si="6"/>
        <v/>
      </c>
      <c r="T1609" s="7"/>
    </row>
    <row r="1610" ht="22.5" hidden="1" customHeight="1">
      <c r="B1610" s="7">
        <f t="shared" si="7"/>
        <v>1604</v>
      </c>
      <c r="C1610" s="40"/>
      <c r="D1610" s="19" t="str">
        <f t="array" ref="D1610">IFNA(_xlfn.XLOOKUP(C1610,Table_Tarikan_Warkah[Nomor Sertipikat],Table_Tarikan_Warkah[Nomor Tiket]),"")</f>
        <v/>
      </c>
      <c r="E1610" s="20" t="str">
        <f t="array" ref="E1610">IFNA(_xlfn.XLOOKUP(D1610,Table_Tarikan_Warkah[Nomor Tiket],Table_Tarikan_Warkah[Tanggal diserahkan kepada Validator]),"")</f>
        <v/>
      </c>
      <c r="F1610" s="20" t="str">
        <f t="array" ref="F1610">IFNA(_xlfn.XLOOKUP(D1610,Table_Tarikan_Warkah[Nomor Tiket],Table_Tarikan_Warkah[Nama Petugas Warkah]),"")</f>
        <v/>
      </c>
      <c r="G1610" s="21" t="str">
        <f t="array" ref="G1610">IFNA(_xlfn.XLOOKUP(D1610,Table_Tarikan_Warkah[Nomor Tiket],Table_Tarikan_Warkah[Jenis Permohonan]),"")</f>
        <v/>
      </c>
      <c r="H1610" s="26"/>
      <c r="I1610" s="26"/>
      <c r="J1610" s="20" t="str">
        <f t="shared" si="29"/>
        <v/>
      </c>
      <c r="K1610" s="26"/>
      <c r="L1610" s="26"/>
      <c r="M1610" s="20" t="str">
        <f t="shared" si="30"/>
        <v/>
      </c>
      <c r="N1610" s="8" t="str">
        <f t="shared" si="3"/>
        <v/>
      </c>
      <c r="O1610" s="21" t="str">
        <f t="shared" si="22"/>
        <v/>
      </c>
      <c r="P1610" s="24" t="b">
        <v>0</v>
      </c>
      <c r="Q1610" s="20" t="str">
        <f t="shared" si="31"/>
        <v/>
      </c>
      <c r="R1610" s="24" t="b">
        <v>0</v>
      </c>
      <c r="S1610" s="7" t="str">
        <f t="shared" si="6"/>
        <v/>
      </c>
      <c r="T1610" s="7"/>
    </row>
    <row r="1611" ht="22.5" hidden="1" customHeight="1">
      <c r="B1611" s="7">
        <f t="shared" si="7"/>
        <v>1605</v>
      </c>
      <c r="C1611" s="40"/>
      <c r="D1611" s="19" t="str">
        <f t="array" ref="D1611">IFNA(_xlfn.XLOOKUP(C1611,Table_Tarikan_Warkah[Nomor Sertipikat],Table_Tarikan_Warkah[Nomor Tiket]),"")</f>
        <v/>
      </c>
      <c r="E1611" s="20" t="str">
        <f t="array" ref="E1611">IFNA(_xlfn.XLOOKUP(D1611,Table_Tarikan_Warkah[Nomor Tiket],Table_Tarikan_Warkah[Tanggal diserahkan kepada Validator]),"")</f>
        <v/>
      </c>
      <c r="F1611" s="20" t="str">
        <f t="array" ref="F1611">IFNA(_xlfn.XLOOKUP(D1611,Table_Tarikan_Warkah[Nomor Tiket],Table_Tarikan_Warkah[Nama Petugas Warkah]),"")</f>
        <v/>
      </c>
      <c r="G1611" s="21" t="str">
        <f t="array" ref="G1611">IFNA(_xlfn.XLOOKUP(D1611,Table_Tarikan_Warkah[Nomor Tiket],Table_Tarikan_Warkah[Jenis Permohonan]),"")</f>
        <v/>
      </c>
      <c r="H1611" s="26"/>
      <c r="I1611" s="26"/>
      <c r="J1611" s="20" t="str">
        <f t="shared" si="29"/>
        <v/>
      </c>
      <c r="K1611" s="26"/>
      <c r="L1611" s="26"/>
      <c r="M1611" s="20" t="str">
        <f t="shared" si="30"/>
        <v/>
      </c>
      <c r="N1611" s="8" t="str">
        <f t="shared" si="3"/>
        <v/>
      </c>
      <c r="O1611" s="21" t="str">
        <f t="shared" si="22"/>
        <v/>
      </c>
      <c r="P1611" s="24" t="b">
        <v>0</v>
      </c>
      <c r="Q1611" s="20" t="str">
        <f t="shared" si="31"/>
        <v/>
      </c>
      <c r="R1611" s="24" t="b">
        <v>0</v>
      </c>
      <c r="S1611" s="7" t="str">
        <f t="shared" si="6"/>
        <v/>
      </c>
      <c r="T1611" s="7"/>
    </row>
    <row r="1612" ht="22.5" hidden="1" customHeight="1">
      <c r="B1612" s="7">
        <f t="shared" si="7"/>
        <v>1606</v>
      </c>
      <c r="C1612" s="40"/>
      <c r="D1612" s="19" t="str">
        <f t="array" ref="D1612">IFNA(_xlfn.XLOOKUP(C1612,Table_Tarikan_Warkah[Nomor Sertipikat],Table_Tarikan_Warkah[Nomor Tiket]),"")</f>
        <v/>
      </c>
      <c r="E1612" s="20" t="str">
        <f t="array" ref="E1612">IFNA(_xlfn.XLOOKUP(D1612,Table_Tarikan_Warkah[Nomor Tiket],Table_Tarikan_Warkah[Tanggal diserahkan kepada Validator]),"")</f>
        <v/>
      </c>
      <c r="F1612" s="20" t="str">
        <f t="array" ref="F1612">IFNA(_xlfn.XLOOKUP(D1612,Table_Tarikan_Warkah[Nomor Tiket],Table_Tarikan_Warkah[Nama Petugas Warkah]),"")</f>
        <v/>
      </c>
      <c r="G1612" s="21" t="str">
        <f t="array" ref="G1612">IFNA(_xlfn.XLOOKUP(D1612,Table_Tarikan_Warkah[Nomor Tiket],Table_Tarikan_Warkah[Jenis Permohonan]),"")</f>
        <v/>
      </c>
      <c r="H1612" s="26"/>
      <c r="I1612" s="26"/>
      <c r="J1612" s="20" t="str">
        <f t="shared" si="29"/>
        <v/>
      </c>
      <c r="K1612" s="26"/>
      <c r="L1612" s="26"/>
      <c r="M1612" s="20" t="str">
        <f t="shared" si="30"/>
        <v/>
      </c>
      <c r="N1612" s="8" t="str">
        <f t="shared" si="3"/>
        <v/>
      </c>
      <c r="O1612" s="21" t="str">
        <f t="shared" si="22"/>
        <v/>
      </c>
      <c r="P1612" s="24" t="b">
        <v>0</v>
      </c>
      <c r="Q1612" s="20" t="str">
        <f t="shared" si="31"/>
        <v/>
      </c>
      <c r="R1612" s="24" t="b">
        <v>0</v>
      </c>
      <c r="S1612" s="7" t="str">
        <f t="shared" si="6"/>
        <v/>
      </c>
      <c r="T1612" s="7"/>
    </row>
    <row r="1613" ht="22.5" hidden="1" customHeight="1">
      <c r="B1613" s="7">
        <f t="shared" si="7"/>
        <v>1607</v>
      </c>
      <c r="C1613" s="40"/>
      <c r="D1613" s="19" t="str">
        <f t="array" ref="D1613">IFNA(_xlfn.XLOOKUP(C1613,Table_Tarikan_Warkah[Nomor Sertipikat],Table_Tarikan_Warkah[Nomor Tiket]),"")</f>
        <v/>
      </c>
      <c r="E1613" s="20" t="str">
        <f t="array" ref="E1613">IFNA(_xlfn.XLOOKUP(D1613,Table_Tarikan_Warkah[Nomor Tiket],Table_Tarikan_Warkah[Tanggal diserahkan kepada Validator]),"")</f>
        <v/>
      </c>
      <c r="F1613" s="20" t="str">
        <f t="array" ref="F1613">IFNA(_xlfn.XLOOKUP(D1613,Table_Tarikan_Warkah[Nomor Tiket],Table_Tarikan_Warkah[Nama Petugas Warkah]),"")</f>
        <v/>
      </c>
      <c r="G1613" s="21" t="str">
        <f t="array" ref="G1613">IFNA(_xlfn.XLOOKUP(D1613,Table_Tarikan_Warkah[Nomor Tiket],Table_Tarikan_Warkah[Jenis Permohonan]),"")</f>
        <v/>
      </c>
      <c r="H1613" s="26"/>
      <c r="I1613" s="26"/>
      <c r="J1613" s="20" t="str">
        <f t="shared" si="29"/>
        <v/>
      </c>
      <c r="K1613" s="26"/>
      <c r="L1613" s="26"/>
      <c r="M1613" s="20" t="str">
        <f t="shared" si="30"/>
        <v/>
      </c>
      <c r="N1613" s="8" t="str">
        <f t="shared" si="3"/>
        <v/>
      </c>
      <c r="O1613" s="21" t="str">
        <f t="shared" si="22"/>
        <v/>
      </c>
      <c r="P1613" s="24" t="b">
        <v>0</v>
      </c>
      <c r="Q1613" s="20" t="str">
        <f t="shared" si="31"/>
        <v/>
      </c>
      <c r="R1613" s="24" t="b">
        <v>0</v>
      </c>
      <c r="S1613" s="7" t="str">
        <f t="shared" si="6"/>
        <v/>
      </c>
      <c r="T1613" s="7"/>
    </row>
    <row r="1614" ht="22.5" hidden="1" customHeight="1">
      <c r="B1614" s="7">
        <f t="shared" si="7"/>
        <v>1608</v>
      </c>
      <c r="C1614" s="40"/>
      <c r="D1614" s="19" t="str">
        <f t="array" ref="D1614">IFNA(_xlfn.XLOOKUP(C1614,Table_Tarikan_Warkah[Nomor Sertipikat],Table_Tarikan_Warkah[Nomor Tiket]),"")</f>
        <v/>
      </c>
      <c r="E1614" s="20" t="str">
        <f t="array" ref="E1614">IFNA(_xlfn.XLOOKUP(D1614,Table_Tarikan_Warkah[Nomor Tiket],Table_Tarikan_Warkah[Tanggal diserahkan kepada Validator]),"")</f>
        <v/>
      </c>
      <c r="F1614" s="20" t="str">
        <f t="array" ref="F1614">IFNA(_xlfn.XLOOKUP(D1614,Table_Tarikan_Warkah[Nomor Tiket],Table_Tarikan_Warkah[Nama Petugas Warkah]),"")</f>
        <v/>
      </c>
      <c r="G1614" s="21" t="str">
        <f t="array" ref="G1614">IFNA(_xlfn.XLOOKUP(D1614,Table_Tarikan_Warkah[Nomor Tiket],Table_Tarikan_Warkah[Jenis Permohonan]),"")</f>
        <v/>
      </c>
      <c r="H1614" s="26"/>
      <c r="I1614" s="26"/>
      <c r="J1614" s="20" t="str">
        <f t="shared" si="29"/>
        <v/>
      </c>
      <c r="K1614" s="26"/>
      <c r="L1614" s="26"/>
      <c r="M1614" s="20" t="str">
        <f t="shared" si="30"/>
        <v/>
      </c>
      <c r="N1614" s="8" t="str">
        <f t="shared" si="3"/>
        <v/>
      </c>
      <c r="O1614" s="21" t="str">
        <f t="shared" si="22"/>
        <v/>
      </c>
      <c r="P1614" s="24" t="b">
        <v>0</v>
      </c>
      <c r="Q1614" s="20" t="str">
        <f t="shared" si="31"/>
        <v/>
      </c>
      <c r="R1614" s="24" t="b">
        <v>0</v>
      </c>
      <c r="S1614" s="7" t="str">
        <f t="shared" si="6"/>
        <v/>
      </c>
      <c r="T1614" s="7"/>
    </row>
    <row r="1615" ht="22.5" hidden="1" customHeight="1">
      <c r="B1615" s="7">
        <f t="shared" si="7"/>
        <v>1609</v>
      </c>
      <c r="C1615" s="40"/>
      <c r="D1615" s="19" t="str">
        <f t="array" ref="D1615">IFNA(_xlfn.XLOOKUP(C1615,Table_Tarikan_Warkah[Nomor Sertipikat],Table_Tarikan_Warkah[Nomor Tiket]),"")</f>
        <v/>
      </c>
      <c r="E1615" s="20" t="str">
        <f t="array" ref="E1615">IFNA(_xlfn.XLOOKUP(D1615,Table_Tarikan_Warkah[Nomor Tiket],Table_Tarikan_Warkah[Tanggal diserahkan kepada Validator]),"")</f>
        <v/>
      </c>
      <c r="F1615" s="20" t="str">
        <f t="array" ref="F1615">IFNA(_xlfn.XLOOKUP(D1615,Table_Tarikan_Warkah[Nomor Tiket],Table_Tarikan_Warkah[Nama Petugas Warkah]),"")</f>
        <v/>
      </c>
      <c r="G1615" s="21" t="str">
        <f t="array" ref="G1615">IFNA(_xlfn.XLOOKUP(D1615,Table_Tarikan_Warkah[Nomor Tiket],Table_Tarikan_Warkah[Jenis Permohonan]),"")</f>
        <v/>
      </c>
      <c r="H1615" s="26"/>
      <c r="I1615" s="26"/>
      <c r="J1615" s="20" t="str">
        <f t="shared" si="29"/>
        <v/>
      </c>
      <c r="K1615" s="26"/>
      <c r="L1615" s="26"/>
      <c r="M1615" s="20" t="str">
        <f t="shared" si="30"/>
        <v/>
      </c>
      <c r="N1615" s="8" t="str">
        <f t="shared" si="3"/>
        <v/>
      </c>
      <c r="O1615" s="21" t="str">
        <f t="shared" si="22"/>
        <v/>
      </c>
      <c r="P1615" s="24" t="b">
        <v>0</v>
      </c>
      <c r="Q1615" s="20" t="str">
        <f t="shared" si="31"/>
        <v/>
      </c>
      <c r="R1615" s="24" t="b">
        <v>0</v>
      </c>
      <c r="S1615" s="7" t="str">
        <f t="shared" si="6"/>
        <v/>
      </c>
      <c r="T1615" s="7"/>
    </row>
    <row r="1616" ht="22.5" hidden="1" customHeight="1">
      <c r="B1616" s="7">
        <f t="shared" si="7"/>
        <v>1610</v>
      </c>
      <c r="C1616" s="40"/>
      <c r="D1616" s="19" t="str">
        <f t="array" ref="D1616">IFNA(_xlfn.XLOOKUP(C1616,Table_Tarikan_Warkah[Nomor Sertipikat],Table_Tarikan_Warkah[Nomor Tiket]),"")</f>
        <v/>
      </c>
      <c r="E1616" s="20" t="str">
        <f t="array" ref="E1616">IFNA(_xlfn.XLOOKUP(D1616,Table_Tarikan_Warkah[Nomor Tiket],Table_Tarikan_Warkah[Tanggal diserahkan kepada Validator]),"")</f>
        <v/>
      </c>
      <c r="F1616" s="20" t="str">
        <f t="array" ref="F1616">IFNA(_xlfn.XLOOKUP(D1616,Table_Tarikan_Warkah[Nomor Tiket],Table_Tarikan_Warkah[Nama Petugas Warkah]),"")</f>
        <v/>
      </c>
      <c r="G1616" s="21" t="str">
        <f t="array" ref="G1616">IFNA(_xlfn.XLOOKUP(D1616,Table_Tarikan_Warkah[Nomor Tiket],Table_Tarikan_Warkah[Jenis Permohonan]),"")</f>
        <v/>
      </c>
      <c r="H1616" s="26"/>
      <c r="I1616" s="26"/>
      <c r="J1616" s="20" t="str">
        <f t="shared" si="29"/>
        <v/>
      </c>
      <c r="K1616" s="26"/>
      <c r="L1616" s="26"/>
      <c r="M1616" s="20" t="str">
        <f t="shared" si="30"/>
        <v/>
      </c>
      <c r="N1616" s="8" t="str">
        <f t="shared" si="3"/>
        <v/>
      </c>
      <c r="O1616" s="21" t="str">
        <f t="shared" si="22"/>
        <v/>
      </c>
      <c r="P1616" s="24" t="b">
        <v>0</v>
      </c>
      <c r="Q1616" s="20" t="str">
        <f t="shared" si="31"/>
        <v/>
      </c>
      <c r="R1616" s="24" t="b">
        <v>0</v>
      </c>
      <c r="S1616" s="7" t="str">
        <f t="shared" si="6"/>
        <v/>
      </c>
      <c r="T1616" s="7"/>
    </row>
    <row r="1617" ht="22.5" hidden="1" customHeight="1">
      <c r="B1617" s="7">
        <f t="shared" si="7"/>
        <v>1611</v>
      </c>
      <c r="C1617" s="40"/>
      <c r="D1617" s="19" t="str">
        <f t="array" ref="D1617">IFNA(_xlfn.XLOOKUP(C1617,Table_Tarikan_Warkah[Nomor Sertipikat],Table_Tarikan_Warkah[Nomor Tiket]),"")</f>
        <v/>
      </c>
      <c r="E1617" s="20" t="str">
        <f t="array" ref="E1617">IFNA(_xlfn.XLOOKUP(D1617,Table_Tarikan_Warkah[Nomor Tiket],Table_Tarikan_Warkah[Tanggal diserahkan kepada Validator]),"")</f>
        <v/>
      </c>
      <c r="F1617" s="20" t="str">
        <f t="array" ref="F1617">IFNA(_xlfn.XLOOKUP(D1617,Table_Tarikan_Warkah[Nomor Tiket],Table_Tarikan_Warkah[Nama Petugas Warkah]),"")</f>
        <v/>
      </c>
      <c r="G1617" s="21" t="str">
        <f t="array" ref="G1617">IFNA(_xlfn.XLOOKUP(D1617,Table_Tarikan_Warkah[Nomor Tiket],Table_Tarikan_Warkah[Jenis Permohonan]),"")</f>
        <v/>
      </c>
      <c r="H1617" s="26"/>
      <c r="I1617" s="26"/>
      <c r="J1617" s="20" t="str">
        <f t="shared" si="29"/>
        <v/>
      </c>
      <c r="K1617" s="26"/>
      <c r="L1617" s="26"/>
      <c r="M1617" s="20" t="str">
        <f t="shared" si="30"/>
        <v/>
      </c>
      <c r="N1617" s="8" t="str">
        <f t="shared" si="3"/>
        <v/>
      </c>
      <c r="O1617" s="21" t="str">
        <f t="shared" si="22"/>
        <v/>
      </c>
      <c r="P1617" s="24" t="b">
        <v>0</v>
      </c>
      <c r="Q1617" s="20" t="str">
        <f t="shared" si="31"/>
        <v/>
      </c>
      <c r="R1617" s="24" t="b">
        <v>0</v>
      </c>
      <c r="S1617" s="7" t="str">
        <f t="shared" si="6"/>
        <v/>
      </c>
      <c r="T1617" s="7"/>
    </row>
    <row r="1618" ht="22.5" hidden="1" customHeight="1">
      <c r="B1618" s="7">
        <f t="shared" si="7"/>
        <v>1612</v>
      </c>
      <c r="C1618" s="40"/>
      <c r="D1618" s="19" t="str">
        <f t="array" ref="D1618">IFNA(_xlfn.XLOOKUP(C1618,Table_Tarikan_Warkah[Nomor Sertipikat],Table_Tarikan_Warkah[Nomor Tiket]),"")</f>
        <v/>
      </c>
      <c r="E1618" s="20" t="str">
        <f t="array" ref="E1618">IFNA(_xlfn.XLOOKUP(D1618,Table_Tarikan_Warkah[Nomor Tiket],Table_Tarikan_Warkah[Tanggal diserahkan kepada Validator]),"")</f>
        <v/>
      </c>
      <c r="F1618" s="20" t="str">
        <f t="array" ref="F1618">IFNA(_xlfn.XLOOKUP(D1618,Table_Tarikan_Warkah[Nomor Tiket],Table_Tarikan_Warkah[Nama Petugas Warkah]),"")</f>
        <v/>
      </c>
      <c r="G1618" s="21" t="str">
        <f t="array" ref="G1618">IFNA(_xlfn.XLOOKUP(D1618,Table_Tarikan_Warkah[Nomor Tiket],Table_Tarikan_Warkah[Jenis Permohonan]),"")</f>
        <v/>
      </c>
      <c r="H1618" s="26"/>
      <c r="I1618" s="26"/>
      <c r="J1618" s="20" t="str">
        <f t="shared" si="29"/>
        <v/>
      </c>
      <c r="K1618" s="26"/>
      <c r="L1618" s="26"/>
      <c r="M1618" s="20" t="str">
        <f t="shared" si="30"/>
        <v/>
      </c>
      <c r="N1618" s="8" t="str">
        <f t="shared" si="3"/>
        <v/>
      </c>
      <c r="O1618" s="21" t="str">
        <f t="shared" si="22"/>
        <v/>
      </c>
      <c r="P1618" s="24" t="b">
        <v>0</v>
      </c>
      <c r="Q1618" s="20" t="str">
        <f t="shared" si="31"/>
        <v/>
      </c>
      <c r="R1618" s="24" t="b">
        <v>0</v>
      </c>
      <c r="S1618" s="7" t="str">
        <f t="shared" si="6"/>
        <v/>
      </c>
      <c r="T1618" s="7"/>
    </row>
    <row r="1619" ht="22.5" hidden="1" customHeight="1">
      <c r="B1619" s="7">
        <f t="shared" si="7"/>
        <v>1613</v>
      </c>
      <c r="C1619" s="40"/>
      <c r="D1619" s="19" t="str">
        <f t="array" ref="D1619">IFNA(_xlfn.XLOOKUP(C1619,Table_Tarikan_Warkah[Nomor Sertipikat],Table_Tarikan_Warkah[Nomor Tiket]),"")</f>
        <v/>
      </c>
      <c r="E1619" s="20" t="str">
        <f t="array" ref="E1619">IFNA(_xlfn.XLOOKUP(D1619,Table_Tarikan_Warkah[Nomor Tiket],Table_Tarikan_Warkah[Tanggal diserahkan kepada Validator]),"")</f>
        <v/>
      </c>
      <c r="F1619" s="20" t="str">
        <f t="array" ref="F1619">IFNA(_xlfn.XLOOKUP(D1619,Table_Tarikan_Warkah[Nomor Tiket],Table_Tarikan_Warkah[Nama Petugas Warkah]),"")</f>
        <v/>
      </c>
      <c r="G1619" s="21" t="str">
        <f t="array" ref="G1619">IFNA(_xlfn.XLOOKUP(D1619,Table_Tarikan_Warkah[Nomor Tiket],Table_Tarikan_Warkah[Jenis Permohonan]),"")</f>
        <v/>
      </c>
      <c r="H1619" s="26"/>
      <c r="I1619" s="26"/>
      <c r="J1619" s="20" t="str">
        <f t="shared" si="29"/>
        <v/>
      </c>
      <c r="K1619" s="26"/>
      <c r="L1619" s="26"/>
      <c r="M1619" s="20" t="str">
        <f t="shared" si="30"/>
        <v/>
      </c>
      <c r="N1619" s="8" t="str">
        <f t="shared" si="3"/>
        <v/>
      </c>
      <c r="O1619" s="21" t="str">
        <f t="shared" si="22"/>
        <v/>
      </c>
      <c r="P1619" s="24" t="b">
        <v>0</v>
      </c>
      <c r="Q1619" s="20" t="str">
        <f t="shared" si="31"/>
        <v/>
      </c>
      <c r="R1619" s="24" t="b">
        <v>0</v>
      </c>
      <c r="S1619" s="7" t="str">
        <f t="shared" si="6"/>
        <v/>
      </c>
      <c r="T1619" s="7"/>
    </row>
    <row r="1620" ht="22.5" hidden="1" customHeight="1">
      <c r="B1620" s="7">
        <f t="shared" si="7"/>
        <v>1614</v>
      </c>
      <c r="C1620" s="40"/>
      <c r="D1620" s="19" t="str">
        <f t="array" ref="D1620">IFNA(_xlfn.XLOOKUP(C1620,Table_Tarikan_Warkah[Nomor Sertipikat],Table_Tarikan_Warkah[Nomor Tiket]),"")</f>
        <v/>
      </c>
      <c r="E1620" s="20" t="str">
        <f t="array" ref="E1620">IFNA(_xlfn.XLOOKUP(D1620,Table_Tarikan_Warkah[Nomor Tiket],Table_Tarikan_Warkah[Tanggal diserahkan kepada Validator]),"")</f>
        <v/>
      </c>
      <c r="F1620" s="20" t="str">
        <f t="array" ref="F1620">IFNA(_xlfn.XLOOKUP(D1620,Table_Tarikan_Warkah[Nomor Tiket],Table_Tarikan_Warkah[Nama Petugas Warkah]),"")</f>
        <v/>
      </c>
      <c r="G1620" s="21" t="str">
        <f t="array" ref="G1620">IFNA(_xlfn.XLOOKUP(D1620,Table_Tarikan_Warkah[Nomor Tiket],Table_Tarikan_Warkah[Jenis Permohonan]),"")</f>
        <v/>
      </c>
      <c r="H1620" s="26"/>
      <c r="I1620" s="26"/>
      <c r="J1620" s="20" t="str">
        <f t="shared" si="29"/>
        <v/>
      </c>
      <c r="K1620" s="26"/>
      <c r="L1620" s="26"/>
      <c r="M1620" s="20" t="str">
        <f t="shared" si="30"/>
        <v/>
      </c>
      <c r="N1620" s="8" t="str">
        <f t="shared" si="3"/>
        <v/>
      </c>
      <c r="O1620" s="21" t="str">
        <f t="shared" si="22"/>
        <v/>
      </c>
      <c r="P1620" s="24" t="b">
        <v>0</v>
      </c>
      <c r="Q1620" s="20" t="str">
        <f t="shared" si="31"/>
        <v/>
      </c>
      <c r="R1620" s="24" t="b">
        <v>0</v>
      </c>
      <c r="S1620" s="7" t="str">
        <f t="shared" si="6"/>
        <v/>
      </c>
      <c r="T1620" s="7"/>
    </row>
    <row r="1621" ht="22.5" hidden="1" customHeight="1">
      <c r="B1621" s="7">
        <f t="shared" si="7"/>
        <v>1615</v>
      </c>
      <c r="C1621" s="40"/>
      <c r="D1621" s="19" t="str">
        <f t="array" ref="D1621">IFNA(_xlfn.XLOOKUP(C1621,Table_Tarikan_Warkah[Nomor Sertipikat],Table_Tarikan_Warkah[Nomor Tiket]),"")</f>
        <v/>
      </c>
      <c r="E1621" s="20" t="str">
        <f t="array" ref="E1621">IFNA(_xlfn.XLOOKUP(D1621,Table_Tarikan_Warkah[Nomor Tiket],Table_Tarikan_Warkah[Tanggal diserahkan kepada Validator]),"")</f>
        <v/>
      </c>
      <c r="F1621" s="20" t="str">
        <f t="array" ref="F1621">IFNA(_xlfn.XLOOKUP(D1621,Table_Tarikan_Warkah[Nomor Tiket],Table_Tarikan_Warkah[Nama Petugas Warkah]),"")</f>
        <v/>
      </c>
      <c r="G1621" s="21" t="str">
        <f t="array" ref="G1621">IFNA(_xlfn.XLOOKUP(D1621,Table_Tarikan_Warkah[Nomor Tiket],Table_Tarikan_Warkah[Jenis Permohonan]),"")</f>
        <v/>
      </c>
      <c r="H1621" s="26"/>
      <c r="I1621" s="26"/>
      <c r="J1621" s="20" t="str">
        <f t="shared" si="29"/>
        <v/>
      </c>
      <c r="K1621" s="26"/>
      <c r="L1621" s="26"/>
      <c r="M1621" s="20" t="str">
        <f t="shared" si="30"/>
        <v/>
      </c>
      <c r="N1621" s="8" t="str">
        <f t="shared" si="3"/>
        <v/>
      </c>
      <c r="O1621" s="21" t="str">
        <f t="shared" si="22"/>
        <v/>
      </c>
      <c r="P1621" s="24" t="b">
        <v>0</v>
      </c>
      <c r="Q1621" s="20" t="str">
        <f t="shared" si="31"/>
        <v/>
      </c>
      <c r="R1621" s="24" t="b">
        <v>0</v>
      </c>
      <c r="S1621" s="7" t="str">
        <f t="shared" si="6"/>
        <v/>
      </c>
      <c r="T1621" s="7"/>
    </row>
    <row r="1622" ht="22.5" hidden="1" customHeight="1">
      <c r="B1622" s="7">
        <f t="shared" si="7"/>
        <v>1616</v>
      </c>
      <c r="C1622" s="40"/>
      <c r="D1622" s="19" t="str">
        <f t="array" ref="D1622">IFNA(_xlfn.XLOOKUP(C1622,Table_Tarikan_Warkah[Nomor Sertipikat],Table_Tarikan_Warkah[Nomor Tiket]),"")</f>
        <v/>
      </c>
      <c r="E1622" s="20" t="str">
        <f t="array" ref="E1622">IFNA(_xlfn.XLOOKUP(D1622,Table_Tarikan_Warkah[Nomor Tiket],Table_Tarikan_Warkah[Tanggal diserahkan kepada Validator]),"")</f>
        <v/>
      </c>
      <c r="F1622" s="20" t="str">
        <f t="array" ref="F1622">IFNA(_xlfn.XLOOKUP(D1622,Table_Tarikan_Warkah[Nomor Tiket],Table_Tarikan_Warkah[Nama Petugas Warkah]),"")</f>
        <v/>
      </c>
      <c r="G1622" s="21" t="str">
        <f t="array" ref="G1622">IFNA(_xlfn.XLOOKUP(D1622,Table_Tarikan_Warkah[Nomor Tiket],Table_Tarikan_Warkah[Jenis Permohonan]),"")</f>
        <v/>
      </c>
      <c r="H1622" s="26"/>
      <c r="I1622" s="26"/>
      <c r="J1622" s="20" t="str">
        <f t="shared" si="29"/>
        <v/>
      </c>
      <c r="K1622" s="26"/>
      <c r="L1622" s="26"/>
      <c r="M1622" s="20" t="str">
        <f t="shared" si="30"/>
        <v/>
      </c>
      <c r="N1622" s="8" t="str">
        <f t="shared" si="3"/>
        <v/>
      </c>
      <c r="O1622" s="21" t="str">
        <f t="shared" si="22"/>
        <v/>
      </c>
      <c r="P1622" s="24" t="b">
        <v>0</v>
      </c>
      <c r="Q1622" s="20" t="str">
        <f t="shared" si="31"/>
        <v/>
      </c>
      <c r="R1622" s="24" t="b">
        <v>0</v>
      </c>
      <c r="S1622" s="7" t="str">
        <f t="shared" si="6"/>
        <v/>
      </c>
      <c r="T1622" s="7"/>
    </row>
    <row r="1623" ht="22.5" hidden="1" customHeight="1">
      <c r="B1623" s="7">
        <f t="shared" si="7"/>
        <v>1617</v>
      </c>
      <c r="C1623" s="40"/>
      <c r="D1623" s="19" t="str">
        <f t="array" ref="D1623">IFNA(_xlfn.XLOOKUP(C1623,Table_Tarikan_Warkah[Nomor Sertipikat],Table_Tarikan_Warkah[Nomor Tiket]),"")</f>
        <v/>
      </c>
      <c r="E1623" s="20" t="str">
        <f t="array" ref="E1623">IFNA(_xlfn.XLOOKUP(D1623,Table_Tarikan_Warkah[Nomor Tiket],Table_Tarikan_Warkah[Tanggal diserahkan kepada Validator]),"")</f>
        <v/>
      </c>
      <c r="F1623" s="20" t="str">
        <f t="array" ref="F1623">IFNA(_xlfn.XLOOKUP(D1623,Table_Tarikan_Warkah[Nomor Tiket],Table_Tarikan_Warkah[Nama Petugas Warkah]),"")</f>
        <v/>
      </c>
      <c r="G1623" s="21" t="str">
        <f t="array" ref="G1623">IFNA(_xlfn.XLOOKUP(D1623,Table_Tarikan_Warkah[Nomor Tiket],Table_Tarikan_Warkah[Jenis Permohonan]),"")</f>
        <v/>
      </c>
      <c r="H1623" s="26"/>
      <c r="I1623" s="26"/>
      <c r="J1623" s="20" t="str">
        <f t="shared" si="29"/>
        <v/>
      </c>
      <c r="K1623" s="26"/>
      <c r="L1623" s="26"/>
      <c r="M1623" s="20" t="str">
        <f t="shared" si="30"/>
        <v/>
      </c>
      <c r="N1623" s="8" t="str">
        <f t="shared" si="3"/>
        <v/>
      </c>
      <c r="O1623" s="21" t="str">
        <f t="shared" si="22"/>
        <v/>
      </c>
      <c r="P1623" s="24" t="b">
        <v>0</v>
      </c>
      <c r="Q1623" s="20" t="str">
        <f t="shared" si="31"/>
        <v/>
      </c>
      <c r="R1623" s="24" t="b">
        <v>0</v>
      </c>
      <c r="S1623" s="7" t="str">
        <f t="shared" si="6"/>
        <v/>
      </c>
      <c r="T1623" s="7"/>
    </row>
    <row r="1624" ht="22.5" hidden="1" customHeight="1">
      <c r="B1624" s="7">
        <f t="shared" si="7"/>
        <v>1618</v>
      </c>
      <c r="C1624" s="40"/>
      <c r="D1624" s="19" t="str">
        <f t="array" ref="D1624">IFNA(_xlfn.XLOOKUP(C1624,Table_Tarikan_Warkah[Nomor Sertipikat],Table_Tarikan_Warkah[Nomor Tiket]),"")</f>
        <v/>
      </c>
      <c r="E1624" s="20" t="str">
        <f t="array" ref="E1624">IFNA(_xlfn.XLOOKUP(D1624,Table_Tarikan_Warkah[Nomor Tiket],Table_Tarikan_Warkah[Tanggal diserahkan kepada Validator]),"")</f>
        <v/>
      </c>
      <c r="F1624" s="20" t="str">
        <f t="array" ref="F1624">IFNA(_xlfn.XLOOKUP(D1624,Table_Tarikan_Warkah[Nomor Tiket],Table_Tarikan_Warkah[Nama Petugas Warkah]),"")</f>
        <v/>
      </c>
      <c r="G1624" s="21" t="str">
        <f t="array" ref="G1624">IFNA(_xlfn.XLOOKUP(D1624,Table_Tarikan_Warkah[Nomor Tiket],Table_Tarikan_Warkah[Jenis Permohonan]),"")</f>
        <v/>
      </c>
      <c r="H1624" s="26"/>
      <c r="I1624" s="26"/>
      <c r="J1624" s="20" t="str">
        <f t="shared" si="29"/>
        <v/>
      </c>
      <c r="K1624" s="26"/>
      <c r="L1624" s="26"/>
      <c r="M1624" s="20" t="str">
        <f t="shared" si="30"/>
        <v/>
      </c>
      <c r="N1624" s="8" t="str">
        <f t="shared" si="3"/>
        <v/>
      </c>
      <c r="O1624" s="21" t="str">
        <f t="shared" si="22"/>
        <v/>
      </c>
      <c r="P1624" s="24" t="b">
        <v>0</v>
      </c>
      <c r="Q1624" s="20" t="str">
        <f t="shared" si="31"/>
        <v/>
      </c>
      <c r="R1624" s="24" t="b">
        <v>0</v>
      </c>
      <c r="S1624" s="7" t="str">
        <f t="shared" si="6"/>
        <v/>
      </c>
      <c r="T1624" s="7"/>
    </row>
    <row r="1625" ht="22.5" hidden="1" customHeight="1">
      <c r="B1625" s="7">
        <f t="shared" si="7"/>
        <v>1619</v>
      </c>
      <c r="C1625" s="40"/>
      <c r="D1625" s="19" t="str">
        <f t="array" ref="D1625">IFNA(_xlfn.XLOOKUP(C1625,Table_Tarikan_Warkah[Nomor Sertipikat],Table_Tarikan_Warkah[Nomor Tiket]),"")</f>
        <v/>
      </c>
      <c r="E1625" s="20" t="str">
        <f t="array" ref="E1625">IFNA(_xlfn.XLOOKUP(D1625,Table_Tarikan_Warkah[Nomor Tiket],Table_Tarikan_Warkah[Tanggal diserahkan kepada Validator]),"")</f>
        <v/>
      </c>
      <c r="F1625" s="20" t="str">
        <f t="array" ref="F1625">IFNA(_xlfn.XLOOKUP(D1625,Table_Tarikan_Warkah[Nomor Tiket],Table_Tarikan_Warkah[Nama Petugas Warkah]),"")</f>
        <v/>
      </c>
      <c r="G1625" s="21" t="str">
        <f t="array" ref="G1625">IFNA(_xlfn.XLOOKUP(D1625,Table_Tarikan_Warkah[Nomor Tiket],Table_Tarikan_Warkah[Jenis Permohonan]),"")</f>
        <v/>
      </c>
      <c r="H1625" s="26"/>
      <c r="I1625" s="26"/>
      <c r="J1625" s="20" t="str">
        <f t="shared" si="29"/>
        <v/>
      </c>
      <c r="K1625" s="26"/>
      <c r="L1625" s="26"/>
      <c r="M1625" s="20" t="str">
        <f t="shared" si="30"/>
        <v/>
      </c>
      <c r="N1625" s="8" t="str">
        <f t="shared" si="3"/>
        <v/>
      </c>
      <c r="O1625" s="21" t="str">
        <f t="shared" si="22"/>
        <v/>
      </c>
      <c r="P1625" s="24" t="b">
        <v>0</v>
      </c>
      <c r="Q1625" s="20" t="str">
        <f t="shared" si="31"/>
        <v/>
      </c>
      <c r="R1625" s="24" t="b">
        <v>0</v>
      </c>
      <c r="S1625" s="7" t="str">
        <f t="shared" si="6"/>
        <v/>
      </c>
      <c r="T1625" s="7"/>
    </row>
    <row r="1626" ht="22.5" hidden="1" customHeight="1">
      <c r="B1626" s="7">
        <f t="shared" si="7"/>
        <v>1620</v>
      </c>
      <c r="C1626" s="40"/>
      <c r="D1626" s="19" t="str">
        <f t="array" ref="D1626">IFNA(_xlfn.XLOOKUP(C1626,Table_Tarikan_Warkah[Nomor Sertipikat],Table_Tarikan_Warkah[Nomor Tiket]),"")</f>
        <v/>
      </c>
      <c r="E1626" s="20" t="str">
        <f t="array" ref="E1626">IFNA(_xlfn.XLOOKUP(D1626,Table_Tarikan_Warkah[Nomor Tiket],Table_Tarikan_Warkah[Tanggal diserahkan kepada Validator]),"")</f>
        <v/>
      </c>
      <c r="F1626" s="20" t="str">
        <f t="array" ref="F1626">IFNA(_xlfn.XLOOKUP(D1626,Table_Tarikan_Warkah[Nomor Tiket],Table_Tarikan_Warkah[Nama Petugas Warkah]),"")</f>
        <v/>
      </c>
      <c r="G1626" s="21" t="str">
        <f t="array" ref="G1626">IFNA(_xlfn.XLOOKUP(D1626,Table_Tarikan_Warkah[Nomor Tiket],Table_Tarikan_Warkah[Jenis Permohonan]),"")</f>
        <v/>
      </c>
      <c r="H1626" s="26"/>
      <c r="I1626" s="26"/>
      <c r="J1626" s="20" t="str">
        <f t="shared" si="29"/>
        <v/>
      </c>
      <c r="K1626" s="26"/>
      <c r="L1626" s="26"/>
      <c r="M1626" s="20" t="str">
        <f t="shared" si="30"/>
        <v/>
      </c>
      <c r="N1626" s="8" t="str">
        <f t="shared" si="3"/>
        <v/>
      </c>
      <c r="O1626" s="21" t="str">
        <f t="shared" si="22"/>
        <v/>
      </c>
      <c r="P1626" s="24" t="b">
        <v>0</v>
      </c>
      <c r="Q1626" s="20" t="str">
        <f t="shared" si="31"/>
        <v/>
      </c>
      <c r="R1626" s="24" t="b">
        <v>0</v>
      </c>
      <c r="S1626" s="7" t="str">
        <f t="shared" si="6"/>
        <v/>
      </c>
      <c r="T1626" s="7"/>
    </row>
    <row r="1627" ht="22.5" hidden="1" customHeight="1">
      <c r="B1627" s="7">
        <f t="shared" si="7"/>
        <v>1621</v>
      </c>
      <c r="C1627" s="40"/>
      <c r="D1627" s="19" t="str">
        <f t="array" ref="D1627">IFNA(_xlfn.XLOOKUP(C1627,Table_Tarikan_Warkah[Nomor Sertipikat],Table_Tarikan_Warkah[Nomor Tiket]),"")</f>
        <v/>
      </c>
      <c r="E1627" s="20" t="str">
        <f t="array" ref="E1627">IFNA(_xlfn.XLOOKUP(D1627,Table_Tarikan_Warkah[Nomor Tiket],Table_Tarikan_Warkah[Tanggal diserahkan kepada Validator]),"")</f>
        <v/>
      </c>
      <c r="F1627" s="20" t="str">
        <f t="array" ref="F1627">IFNA(_xlfn.XLOOKUP(D1627,Table_Tarikan_Warkah[Nomor Tiket],Table_Tarikan_Warkah[Nama Petugas Warkah]),"")</f>
        <v/>
      </c>
      <c r="G1627" s="21" t="str">
        <f t="array" ref="G1627">IFNA(_xlfn.XLOOKUP(D1627,Table_Tarikan_Warkah[Nomor Tiket],Table_Tarikan_Warkah[Jenis Permohonan]),"")</f>
        <v/>
      </c>
      <c r="H1627" s="26"/>
      <c r="I1627" s="26"/>
      <c r="J1627" s="20" t="str">
        <f t="shared" si="29"/>
        <v/>
      </c>
      <c r="K1627" s="26"/>
      <c r="L1627" s="26"/>
      <c r="M1627" s="20" t="str">
        <f t="shared" si="30"/>
        <v/>
      </c>
      <c r="N1627" s="8" t="str">
        <f t="shared" si="3"/>
        <v/>
      </c>
      <c r="O1627" s="21" t="str">
        <f t="shared" si="22"/>
        <v/>
      </c>
      <c r="P1627" s="24" t="b">
        <v>0</v>
      </c>
      <c r="Q1627" s="20" t="str">
        <f t="shared" si="31"/>
        <v/>
      </c>
      <c r="R1627" s="24" t="b">
        <v>0</v>
      </c>
      <c r="S1627" s="7" t="str">
        <f t="shared" si="6"/>
        <v/>
      </c>
      <c r="T1627" s="7"/>
    </row>
    <row r="1628" ht="22.5" hidden="1" customHeight="1">
      <c r="B1628" s="7">
        <f t="shared" si="7"/>
        <v>1622</v>
      </c>
      <c r="C1628" s="40"/>
      <c r="D1628" s="19" t="str">
        <f t="array" ref="D1628">IFNA(_xlfn.XLOOKUP(C1628,Table_Tarikan_Warkah[Nomor Sertipikat],Table_Tarikan_Warkah[Nomor Tiket]),"")</f>
        <v/>
      </c>
      <c r="E1628" s="20" t="str">
        <f t="array" ref="E1628">IFNA(_xlfn.XLOOKUP(D1628,Table_Tarikan_Warkah[Nomor Tiket],Table_Tarikan_Warkah[Tanggal diserahkan kepada Validator]),"")</f>
        <v/>
      </c>
      <c r="F1628" s="20" t="str">
        <f t="array" ref="F1628">IFNA(_xlfn.XLOOKUP(D1628,Table_Tarikan_Warkah[Nomor Tiket],Table_Tarikan_Warkah[Nama Petugas Warkah]),"")</f>
        <v/>
      </c>
      <c r="G1628" s="21" t="str">
        <f t="array" ref="G1628">IFNA(_xlfn.XLOOKUP(D1628,Table_Tarikan_Warkah[Nomor Tiket],Table_Tarikan_Warkah[Jenis Permohonan]),"")</f>
        <v/>
      </c>
      <c r="H1628" s="26"/>
      <c r="I1628" s="26"/>
      <c r="J1628" s="20" t="str">
        <f t="shared" si="29"/>
        <v/>
      </c>
      <c r="K1628" s="26"/>
      <c r="L1628" s="26"/>
      <c r="M1628" s="20" t="str">
        <f t="shared" si="30"/>
        <v/>
      </c>
      <c r="N1628" s="8" t="str">
        <f t="shared" si="3"/>
        <v/>
      </c>
      <c r="O1628" s="21" t="str">
        <f t="shared" si="22"/>
        <v/>
      </c>
      <c r="P1628" s="24" t="b">
        <v>0</v>
      </c>
      <c r="Q1628" s="20" t="str">
        <f t="shared" si="31"/>
        <v/>
      </c>
      <c r="R1628" s="24" t="b">
        <v>0</v>
      </c>
      <c r="S1628" s="7" t="str">
        <f t="shared" si="6"/>
        <v/>
      </c>
      <c r="T1628" s="7"/>
    </row>
    <row r="1629" ht="22.5" hidden="1" customHeight="1">
      <c r="B1629" s="7">
        <f t="shared" si="7"/>
        <v>1623</v>
      </c>
      <c r="C1629" s="40"/>
      <c r="D1629" s="19" t="str">
        <f t="array" ref="D1629">IFNA(_xlfn.XLOOKUP(C1629,Table_Tarikan_Warkah[Nomor Sertipikat],Table_Tarikan_Warkah[Nomor Tiket]),"")</f>
        <v/>
      </c>
      <c r="E1629" s="20" t="str">
        <f t="array" ref="E1629">IFNA(_xlfn.XLOOKUP(D1629,Table_Tarikan_Warkah[Nomor Tiket],Table_Tarikan_Warkah[Tanggal diserahkan kepada Validator]),"")</f>
        <v/>
      </c>
      <c r="F1629" s="20" t="str">
        <f t="array" ref="F1629">IFNA(_xlfn.XLOOKUP(D1629,Table_Tarikan_Warkah[Nomor Tiket],Table_Tarikan_Warkah[Nama Petugas Warkah]),"")</f>
        <v/>
      </c>
      <c r="G1629" s="21" t="str">
        <f t="array" ref="G1629">IFNA(_xlfn.XLOOKUP(D1629,Table_Tarikan_Warkah[Nomor Tiket],Table_Tarikan_Warkah[Jenis Permohonan]),"")</f>
        <v/>
      </c>
      <c r="H1629" s="26"/>
      <c r="I1629" s="26"/>
      <c r="J1629" s="20" t="str">
        <f t="shared" si="29"/>
        <v/>
      </c>
      <c r="K1629" s="26"/>
      <c r="L1629" s="26"/>
      <c r="M1629" s="20" t="str">
        <f t="shared" si="30"/>
        <v/>
      </c>
      <c r="N1629" s="8" t="str">
        <f t="shared" si="3"/>
        <v/>
      </c>
      <c r="O1629" s="21" t="str">
        <f t="shared" si="22"/>
        <v/>
      </c>
      <c r="P1629" s="24" t="b">
        <v>0</v>
      </c>
      <c r="Q1629" s="20" t="str">
        <f t="shared" si="31"/>
        <v/>
      </c>
      <c r="R1629" s="24" t="b">
        <v>0</v>
      </c>
      <c r="S1629" s="7" t="str">
        <f t="shared" si="6"/>
        <v/>
      </c>
      <c r="T1629" s="7"/>
    </row>
    <row r="1630" ht="22.5" hidden="1" customHeight="1">
      <c r="B1630" s="7">
        <f t="shared" si="7"/>
        <v>1624</v>
      </c>
      <c r="C1630" s="40"/>
      <c r="D1630" s="19" t="str">
        <f t="array" ref="D1630">IFNA(_xlfn.XLOOKUP(C1630,Table_Tarikan_Warkah[Nomor Sertipikat],Table_Tarikan_Warkah[Nomor Tiket]),"")</f>
        <v/>
      </c>
      <c r="E1630" s="20" t="str">
        <f t="array" ref="E1630">IFNA(_xlfn.XLOOKUP(D1630,Table_Tarikan_Warkah[Nomor Tiket],Table_Tarikan_Warkah[Tanggal diserahkan kepada Validator]),"")</f>
        <v/>
      </c>
      <c r="F1630" s="20" t="str">
        <f t="array" ref="F1630">IFNA(_xlfn.XLOOKUP(D1630,Table_Tarikan_Warkah[Nomor Tiket],Table_Tarikan_Warkah[Nama Petugas Warkah]),"")</f>
        <v/>
      </c>
      <c r="G1630" s="21" t="str">
        <f t="array" ref="G1630">IFNA(_xlfn.XLOOKUP(D1630,Table_Tarikan_Warkah[Nomor Tiket],Table_Tarikan_Warkah[Jenis Permohonan]),"")</f>
        <v/>
      </c>
      <c r="H1630" s="26"/>
      <c r="I1630" s="26"/>
      <c r="J1630" s="20" t="str">
        <f t="shared" si="29"/>
        <v/>
      </c>
      <c r="K1630" s="26"/>
      <c r="L1630" s="26"/>
      <c r="M1630" s="20" t="str">
        <f t="shared" si="30"/>
        <v/>
      </c>
      <c r="N1630" s="8" t="str">
        <f t="shared" si="3"/>
        <v/>
      </c>
      <c r="O1630" s="21" t="str">
        <f t="shared" si="22"/>
        <v/>
      </c>
      <c r="P1630" s="24" t="b">
        <v>0</v>
      </c>
      <c r="Q1630" s="20" t="str">
        <f t="shared" si="31"/>
        <v/>
      </c>
      <c r="R1630" s="24" t="b">
        <v>0</v>
      </c>
      <c r="S1630" s="7" t="str">
        <f t="shared" si="6"/>
        <v/>
      </c>
      <c r="T1630" s="7"/>
    </row>
    <row r="1631" ht="22.5" hidden="1" customHeight="1">
      <c r="B1631" s="7">
        <f t="shared" si="7"/>
        <v>1625</v>
      </c>
      <c r="C1631" s="40"/>
      <c r="D1631" s="19" t="str">
        <f t="array" ref="D1631">IFNA(_xlfn.XLOOKUP(C1631,Table_Tarikan_Warkah[Nomor Sertipikat],Table_Tarikan_Warkah[Nomor Tiket]),"")</f>
        <v/>
      </c>
      <c r="E1631" s="20" t="str">
        <f t="array" ref="E1631">IFNA(_xlfn.XLOOKUP(D1631,Table_Tarikan_Warkah[Nomor Tiket],Table_Tarikan_Warkah[Tanggal diserahkan kepada Validator]),"")</f>
        <v/>
      </c>
      <c r="F1631" s="20" t="str">
        <f t="array" ref="F1631">IFNA(_xlfn.XLOOKUP(D1631,Table_Tarikan_Warkah[Nomor Tiket],Table_Tarikan_Warkah[Nama Petugas Warkah]),"")</f>
        <v/>
      </c>
      <c r="G1631" s="21" t="str">
        <f t="array" ref="G1631">IFNA(_xlfn.XLOOKUP(D1631,Table_Tarikan_Warkah[Nomor Tiket],Table_Tarikan_Warkah[Jenis Permohonan]),"")</f>
        <v/>
      </c>
      <c r="H1631" s="26"/>
      <c r="I1631" s="26"/>
      <c r="J1631" s="20" t="str">
        <f t="shared" si="29"/>
        <v/>
      </c>
      <c r="K1631" s="26"/>
      <c r="L1631" s="26"/>
      <c r="M1631" s="20" t="str">
        <f t="shared" si="30"/>
        <v/>
      </c>
      <c r="N1631" s="8" t="str">
        <f t="shared" si="3"/>
        <v/>
      </c>
      <c r="O1631" s="21" t="str">
        <f t="shared" si="22"/>
        <v/>
      </c>
      <c r="P1631" s="24" t="b">
        <v>0</v>
      </c>
      <c r="Q1631" s="20" t="str">
        <f t="shared" si="31"/>
        <v/>
      </c>
      <c r="R1631" s="24" t="b">
        <v>0</v>
      </c>
      <c r="S1631" s="7" t="str">
        <f t="shared" si="6"/>
        <v/>
      </c>
      <c r="T1631" s="7"/>
    </row>
    <row r="1632" ht="22.5" hidden="1" customHeight="1">
      <c r="B1632" s="7">
        <f t="shared" si="7"/>
        <v>1626</v>
      </c>
      <c r="C1632" s="40"/>
      <c r="D1632" s="19" t="str">
        <f t="array" ref="D1632">IFNA(_xlfn.XLOOKUP(C1632,Table_Tarikan_Warkah[Nomor Sertipikat],Table_Tarikan_Warkah[Nomor Tiket]),"")</f>
        <v/>
      </c>
      <c r="E1632" s="20" t="str">
        <f t="array" ref="E1632">IFNA(_xlfn.XLOOKUP(D1632,Table_Tarikan_Warkah[Nomor Tiket],Table_Tarikan_Warkah[Tanggal diserahkan kepada Validator]),"")</f>
        <v/>
      </c>
      <c r="F1632" s="20" t="str">
        <f t="array" ref="F1632">IFNA(_xlfn.XLOOKUP(D1632,Table_Tarikan_Warkah[Nomor Tiket],Table_Tarikan_Warkah[Nama Petugas Warkah]),"")</f>
        <v/>
      </c>
      <c r="G1632" s="21" t="str">
        <f t="array" ref="G1632">IFNA(_xlfn.XLOOKUP(D1632,Table_Tarikan_Warkah[Nomor Tiket],Table_Tarikan_Warkah[Jenis Permohonan]),"")</f>
        <v/>
      </c>
      <c r="H1632" s="26"/>
      <c r="I1632" s="26"/>
      <c r="J1632" s="20" t="str">
        <f t="shared" si="29"/>
        <v/>
      </c>
      <c r="K1632" s="26"/>
      <c r="L1632" s="26"/>
      <c r="M1632" s="20" t="str">
        <f t="shared" si="30"/>
        <v/>
      </c>
      <c r="N1632" s="8" t="str">
        <f t="shared" si="3"/>
        <v/>
      </c>
      <c r="O1632" s="21" t="str">
        <f t="shared" si="22"/>
        <v/>
      </c>
      <c r="P1632" s="24" t="b">
        <v>0</v>
      </c>
      <c r="Q1632" s="20" t="str">
        <f t="shared" si="31"/>
        <v/>
      </c>
      <c r="R1632" s="24" t="b">
        <v>0</v>
      </c>
      <c r="S1632" s="7" t="str">
        <f t="shared" si="6"/>
        <v/>
      </c>
      <c r="T1632" s="7"/>
    </row>
    <row r="1633" ht="22.5" hidden="1" customHeight="1">
      <c r="B1633" s="7">
        <f t="shared" si="7"/>
        <v>1627</v>
      </c>
      <c r="C1633" s="40"/>
      <c r="D1633" s="19" t="str">
        <f t="array" ref="D1633">IFNA(_xlfn.XLOOKUP(C1633,Table_Tarikan_Warkah[Nomor Sertipikat],Table_Tarikan_Warkah[Nomor Tiket]),"")</f>
        <v/>
      </c>
      <c r="E1633" s="20" t="str">
        <f t="array" ref="E1633">IFNA(_xlfn.XLOOKUP(D1633,Table_Tarikan_Warkah[Nomor Tiket],Table_Tarikan_Warkah[Tanggal diserahkan kepada Validator]),"")</f>
        <v/>
      </c>
      <c r="F1633" s="20" t="str">
        <f t="array" ref="F1633">IFNA(_xlfn.XLOOKUP(D1633,Table_Tarikan_Warkah[Nomor Tiket],Table_Tarikan_Warkah[Nama Petugas Warkah]),"")</f>
        <v/>
      </c>
      <c r="G1633" s="21" t="str">
        <f t="array" ref="G1633">IFNA(_xlfn.XLOOKUP(D1633,Table_Tarikan_Warkah[Nomor Tiket],Table_Tarikan_Warkah[Jenis Permohonan]),"")</f>
        <v/>
      </c>
      <c r="H1633" s="26"/>
      <c r="I1633" s="26"/>
      <c r="J1633" s="20" t="str">
        <f t="shared" si="29"/>
        <v/>
      </c>
      <c r="K1633" s="26"/>
      <c r="L1633" s="26"/>
      <c r="M1633" s="20" t="str">
        <f t="shared" si="30"/>
        <v/>
      </c>
      <c r="N1633" s="8" t="str">
        <f t="shared" si="3"/>
        <v/>
      </c>
      <c r="O1633" s="21" t="str">
        <f t="shared" si="22"/>
        <v/>
      </c>
      <c r="P1633" s="24" t="b">
        <v>0</v>
      </c>
      <c r="Q1633" s="20" t="str">
        <f t="shared" si="31"/>
        <v/>
      </c>
      <c r="R1633" s="24" t="b">
        <v>0</v>
      </c>
      <c r="S1633" s="7" t="str">
        <f t="shared" si="6"/>
        <v/>
      </c>
      <c r="T1633" s="7"/>
    </row>
    <row r="1634" ht="22.5" hidden="1" customHeight="1">
      <c r="B1634" s="7">
        <f t="shared" si="7"/>
        <v>1628</v>
      </c>
      <c r="C1634" s="40"/>
      <c r="D1634" s="19" t="str">
        <f t="array" ref="D1634">IFNA(_xlfn.XLOOKUP(C1634,Table_Tarikan_Warkah[Nomor Sertipikat],Table_Tarikan_Warkah[Nomor Tiket]),"")</f>
        <v/>
      </c>
      <c r="E1634" s="20" t="str">
        <f t="array" ref="E1634">IFNA(_xlfn.XLOOKUP(D1634,Table_Tarikan_Warkah[Nomor Tiket],Table_Tarikan_Warkah[Tanggal diserahkan kepada Validator]),"")</f>
        <v/>
      </c>
      <c r="F1634" s="20" t="str">
        <f t="array" ref="F1634">IFNA(_xlfn.XLOOKUP(D1634,Table_Tarikan_Warkah[Nomor Tiket],Table_Tarikan_Warkah[Nama Petugas Warkah]),"")</f>
        <v/>
      </c>
      <c r="G1634" s="21" t="str">
        <f t="array" ref="G1634">IFNA(_xlfn.XLOOKUP(D1634,Table_Tarikan_Warkah[Nomor Tiket],Table_Tarikan_Warkah[Jenis Permohonan]),"")</f>
        <v/>
      </c>
      <c r="H1634" s="26"/>
      <c r="I1634" s="26"/>
      <c r="J1634" s="20" t="str">
        <f t="shared" si="29"/>
        <v/>
      </c>
      <c r="K1634" s="26"/>
      <c r="L1634" s="26"/>
      <c r="M1634" s="20" t="str">
        <f t="shared" si="30"/>
        <v/>
      </c>
      <c r="N1634" s="8" t="str">
        <f t="shared" si="3"/>
        <v/>
      </c>
      <c r="O1634" s="21" t="str">
        <f t="shared" si="22"/>
        <v/>
      </c>
      <c r="P1634" s="24" t="b">
        <v>0</v>
      </c>
      <c r="Q1634" s="20" t="str">
        <f t="shared" si="31"/>
        <v/>
      </c>
      <c r="R1634" s="24" t="b">
        <v>0</v>
      </c>
      <c r="S1634" s="7" t="str">
        <f t="shared" si="6"/>
        <v/>
      </c>
      <c r="T1634" s="7"/>
    </row>
    <row r="1635" ht="22.5" hidden="1" customHeight="1">
      <c r="B1635" s="7">
        <f t="shared" si="7"/>
        <v>1629</v>
      </c>
      <c r="C1635" s="40"/>
      <c r="D1635" s="19" t="str">
        <f t="array" ref="D1635">IFNA(_xlfn.XLOOKUP(C1635,Table_Tarikan_Warkah[Nomor Sertipikat],Table_Tarikan_Warkah[Nomor Tiket]),"")</f>
        <v/>
      </c>
      <c r="E1635" s="20" t="str">
        <f t="array" ref="E1635">IFNA(_xlfn.XLOOKUP(D1635,Table_Tarikan_Warkah[Nomor Tiket],Table_Tarikan_Warkah[Tanggal diserahkan kepada Validator]),"")</f>
        <v/>
      </c>
      <c r="F1635" s="20" t="str">
        <f t="array" ref="F1635">IFNA(_xlfn.XLOOKUP(D1635,Table_Tarikan_Warkah[Nomor Tiket],Table_Tarikan_Warkah[Nama Petugas Warkah]),"")</f>
        <v/>
      </c>
      <c r="G1635" s="21" t="str">
        <f t="array" ref="G1635">IFNA(_xlfn.XLOOKUP(D1635,Table_Tarikan_Warkah[Nomor Tiket],Table_Tarikan_Warkah[Jenis Permohonan]),"")</f>
        <v/>
      </c>
      <c r="H1635" s="26"/>
      <c r="I1635" s="26"/>
      <c r="J1635" s="20" t="str">
        <f t="shared" si="29"/>
        <v/>
      </c>
      <c r="K1635" s="26"/>
      <c r="L1635" s="26"/>
      <c r="M1635" s="20" t="str">
        <f t="shared" si="30"/>
        <v/>
      </c>
      <c r="N1635" s="8" t="str">
        <f t="shared" si="3"/>
        <v/>
      </c>
      <c r="O1635" s="21" t="str">
        <f t="shared" si="22"/>
        <v/>
      </c>
      <c r="P1635" s="24" t="b">
        <v>0</v>
      </c>
      <c r="Q1635" s="20" t="str">
        <f t="shared" si="31"/>
        <v/>
      </c>
      <c r="R1635" s="24" t="b">
        <v>0</v>
      </c>
      <c r="S1635" s="7" t="str">
        <f t="shared" si="6"/>
        <v/>
      </c>
      <c r="T1635" s="7"/>
    </row>
    <row r="1636" ht="22.5" hidden="1" customHeight="1">
      <c r="B1636" s="7">
        <f t="shared" si="7"/>
        <v>1630</v>
      </c>
      <c r="C1636" s="40"/>
      <c r="D1636" s="19" t="str">
        <f t="array" ref="D1636">IFNA(_xlfn.XLOOKUP(C1636,Table_Tarikan_Warkah[Nomor Sertipikat],Table_Tarikan_Warkah[Nomor Tiket]),"")</f>
        <v/>
      </c>
      <c r="E1636" s="20" t="str">
        <f t="array" ref="E1636">IFNA(_xlfn.XLOOKUP(D1636,Table_Tarikan_Warkah[Nomor Tiket],Table_Tarikan_Warkah[Tanggal diserahkan kepada Validator]),"")</f>
        <v/>
      </c>
      <c r="F1636" s="20" t="str">
        <f t="array" ref="F1636">IFNA(_xlfn.XLOOKUP(D1636,Table_Tarikan_Warkah[Nomor Tiket],Table_Tarikan_Warkah[Nama Petugas Warkah]),"")</f>
        <v/>
      </c>
      <c r="G1636" s="21" t="str">
        <f t="array" ref="G1636">IFNA(_xlfn.XLOOKUP(D1636,Table_Tarikan_Warkah[Nomor Tiket],Table_Tarikan_Warkah[Jenis Permohonan]),"")</f>
        <v/>
      </c>
      <c r="H1636" s="26"/>
      <c r="I1636" s="26"/>
      <c r="J1636" s="20" t="str">
        <f t="shared" si="29"/>
        <v/>
      </c>
      <c r="K1636" s="26"/>
      <c r="L1636" s="26"/>
      <c r="M1636" s="20" t="str">
        <f t="shared" si="30"/>
        <v/>
      </c>
      <c r="N1636" s="8" t="str">
        <f t="shared" si="3"/>
        <v/>
      </c>
      <c r="O1636" s="21" t="str">
        <f t="shared" si="22"/>
        <v/>
      </c>
      <c r="P1636" s="24" t="b">
        <v>0</v>
      </c>
      <c r="Q1636" s="20" t="str">
        <f t="shared" si="31"/>
        <v/>
      </c>
      <c r="R1636" s="24" t="b">
        <v>0</v>
      </c>
      <c r="S1636" s="7" t="str">
        <f t="shared" si="6"/>
        <v/>
      </c>
      <c r="T1636" s="7"/>
    </row>
    <row r="1637" ht="22.5" hidden="1" customHeight="1">
      <c r="B1637" s="7">
        <f t="shared" si="7"/>
        <v>1631</v>
      </c>
      <c r="C1637" s="40"/>
      <c r="D1637" s="19" t="str">
        <f t="array" ref="D1637">IFNA(_xlfn.XLOOKUP(C1637,Table_Tarikan_Warkah[Nomor Sertipikat],Table_Tarikan_Warkah[Nomor Tiket]),"")</f>
        <v/>
      </c>
      <c r="E1637" s="20" t="str">
        <f t="array" ref="E1637">IFNA(_xlfn.XLOOKUP(D1637,Table_Tarikan_Warkah[Nomor Tiket],Table_Tarikan_Warkah[Tanggal diserahkan kepada Validator]),"")</f>
        <v/>
      </c>
      <c r="F1637" s="20" t="str">
        <f t="array" ref="F1637">IFNA(_xlfn.XLOOKUP(D1637,Table_Tarikan_Warkah[Nomor Tiket],Table_Tarikan_Warkah[Nama Petugas Warkah]),"")</f>
        <v/>
      </c>
      <c r="G1637" s="21" t="str">
        <f t="array" ref="G1637">IFNA(_xlfn.XLOOKUP(D1637,Table_Tarikan_Warkah[Nomor Tiket],Table_Tarikan_Warkah[Jenis Permohonan]),"")</f>
        <v/>
      </c>
      <c r="H1637" s="26"/>
      <c r="I1637" s="26"/>
      <c r="J1637" s="20" t="str">
        <f t="shared" si="29"/>
        <v/>
      </c>
      <c r="K1637" s="26"/>
      <c r="L1637" s="26"/>
      <c r="M1637" s="20" t="str">
        <f t="shared" si="30"/>
        <v/>
      </c>
      <c r="N1637" s="8" t="str">
        <f t="shared" si="3"/>
        <v/>
      </c>
      <c r="O1637" s="21" t="str">
        <f t="shared" si="22"/>
        <v/>
      </c>
      <c r="P1637" s="24" t="b">
        <v>0</v>
      </c>
      <c r="Q1637" s="20" t="str">
        <f t="shared" si="31"/>
        <v/>
      </c>
      <c r="R1637" s="24" t="b">
        <v>0</v>
      </c>
      <c r="S1637" s="7" t="str">
        <f t="shared" si="6"/>
        <v/>
      </c>
      <c r="T1637" s="7"/>
    </row>
    <row r="1638" ht="22.5" hidden="1" customHeight="1">
      <c r="B1638" s="7">
        <f t="shared" si="7"/>
        <v>1632</v>
      </c>
      <c r="C1638" s="40"/>
      <c r="D1638" s="19" t="str">
        <f t="array" ref="D1638">IFNA(_xlfn.XLOOKUP(C1638,Table_Tarikan_Warkah[Nomor Sertipikat],Table_Tarikan_Warkah[Nomor Tiket]),"")</f>
        <v/>
      </c>
      <c r="E1638" s="20" t="str">
        <f t="array" ref="E1638">IFNA(_xlfn.XLOOKUP(D1638,Table_Tarikan_Warkah[Nomor Tiket],Table_Tarikan_Warkah[Tanggal diserahkan kepada Validator]),"")</f>
        <v/>
      </c>
      <c r="F1638" s="20" t="str">
        <f t="array" ref="F1638">IFNA(_xlfn.XLOOKUP(D1638,Table_Tarikan_Warkah[Nomor Tiket],Table_Tarikan_Warkah[Nama Petugas Warkah]),"")</f>
        <v/>
      </c>
      <c r="G1638" s="21" t="str">
        <f t="array" ref="G1638">IFNA(_xlfn.XLOOKUP(D1638,Table_Tarikan_Warkah[Nomor Tiket],Table_Tarikan_Warkah[Jenis Permohonan]),"")</f>
        <v/>
      </c>
      <c r="H1638" s="26"/>
      <c r="I1638" s="26"/>
      <c r="J1638" s="20" t="str">
        <f t="shared" si="29"/>
        <v/>
      </c>
      <c r="K1638" s="26"/>
      <c r="L1638" s="26"/>
      <c r="M1638" s="20" t="str">
        <f t="shared" si="30"/>
        <v/>
      </c>
      <c r="N1638" s="8" t="str">
        <f t="shared" si="3"/>
        <v/>
      </c>
      <c r="O1638" s="21" t="str">
        <f t="shared" si="22"/>
        <v/>
      </c>
      <c r="P1638" s="24" t="b">
        <v>0</v>
      </c>
      <c r="Q1638" s="20" t="str">
        <f t="shared" si="31"/>
        <v/>
      </c>
      <c r="R1638" s="24" t="b">
        <v>0</v>
      </c>
      <c r="S1638" s="7" t="str">
        <f t="shared" si="6"/>
        <v/>
      </c>
      <c r="T1638" s="7"/>
    </row>
    <row r="1639" ht="22.5" hidden="1" customHeight="1">
      <c r="B1639" s="7">
        <f t="shared" si="7"/>
        <v>1633</v>
      </c>
      <c r="C1639" s="40"/>
      <c r="D1639" s="19" t="str">
        <f t="array" ref="D1639">IFNA(_xlfn.XLOOKUP(C1639,Table_Tarikan_Warkah[Nomor Sertipikat],Table_Tarikan_Warkah[Nomor Tiket]),"")</f>
        <v/>
      </c>
      <c r="E1639" s="20" t="str">
        <f t="array" ref="E1639">IFNA(_xlfn.XLOOKUP(D1639,Table_Tarikan_Warkah[Nomor Tiket],Table_Tarikan_Warkah[Tanggal diserahkan kepada Validator]),"")</f>
        <v/>
      </c>
      <c r="F1639" s="20" t="str">
        <f t="array" ref="F1639">IFNA(_xlfn.XLOOKUP(D1639,Table_Tarikan_Warkah[Nomor Tiket],Table_Tarikan_Warkah[Nama Petugas Warkah]),"")</f>
        <v/>
      </c>
      <c r="G1639" s="21" t="str">
        <f t="array" ref="G1639">IFNA(_xlfn.XLOOKUP(D1639,Table_Tarikan_Warkah[Nomor Tiket],Table_Tarikan_Warkah[Jenis Permohonan]),"")</f>
        <v/>
      </c>
      <c r="H1639" s="26"/>
      <c r="I1639" s="26"/>
      <c r="J1639" s="20" t="str">
        <f t="shared" si="29"/>
        <v/>
      </c>
      <c r="K1639" s="26"/>
      <c r="L1639" s="26"/>
      <c r="M1639" s="20" t="str">
        <f t="shared" si="30"/>
        <v/>
      </c>
      <c r="N1639" s="8" t="str">
        <f t="shared" si="3"/>
        <v/>
      </c>
      <c r="O1639" s="21" t="str">
        <f t="shared" si="22"/>
        <v/>
      </c>
      <c r="P1639" s="24" t="b">
        <v>0</v>
      </c>
      <c r="Q1639" s="20" t="str">
        <f t="shared" si="31"/>
        <v/>
      </c>
      <c r="R1639" s="24" t="b">
        <v>0</v>
      </c>
      <c r="S1639" s="7" t="str">
        <f t="shared" si="6"/>
        <v/>
      </c>
      <c r="T1639" s="7"/>
    </row>
    <row r="1640" ht="22.5" hidden="1" customHeight="1">
      <c r="B1640" s="7">
        <f t="shared" si="7"/>
        <v>1634</v>
      </c>
      <c r="C1640" s="40"/>
      <c r="D1640" s="19" t="str">
        <f t="array" ref="D1640">IFNA(_xlfn.XLOOKUP(C1640,Table_Tarikan_Warkah[Nomor Sertipikat],Table_Tarikan_Warkah[Nomor Tiket]),"")</f>
        <v/>
      </c>
      <c r="E1640" s="20" t="str">
        <f t="array" ref="E1640">IFNA(_xlfn.XLOOKUP(D1640,Table_Tarikan_Warkah[Nomor Tiket],Table_Tarikan_Warkah[Tanggal diserahkan kepada Validator]),"")</f>
        <v/>
      </c>
      <c r="F1640" s="20" t="str">
        <f t="array" ref="F1640">IFNA(_xlfn.XLOOKUP(D1640,Table_Tarikan_Warkah[Nomor Tiket],Table_Tarikan_Warkah[Nama Petugas Warkah]),"")</f>
        <v/>
      </c>
      <c r="G1640" s="21" t="str">
        <f t="array" ref="G1640">IFNA(_xlfn.XLOOKUP(D1640,Table_Tarikan_Warkah[Nomor Tiket],Table_Tarikan_Warkah[Jenis Permohonan]),"")</f>
        <v/>
      </c>
      <c r="H1640" s="26"/>
      <c r="I1640" s="26"/>
      <c r="J1640" s="20" t="str">
        <f t="shared" si="29"/>
        <v/>
      </c>
      <c r="K1640" s="26"/>
      <c r="L1640" s="26"/>
      <c r="M1640" s="20" t="str">
        <f t="shared" si="30"/>
        <v/>
      </c>
      <c r="N1640" s="8" t="str">
        <f t="shared" si="3"/>
        <v/>
      </c>
      <c r="O1640" s="21" t="str">
        <f t="shared" si="22"/>
        <v/>
      </c>
      <c r="P1640" s="24" t="b">
        <v>0</v>
      </c>
      <c r="Q1640" s="20" t="str">
        <f t="shared" si="31"/>
        <v/>
      </c>
      <c r="R1640" s="24" t="b">
        <v>0</v>
      </c>
      <c r="S1640" s="7" t="str">
        <f t="shared" si="6"/>
        <v/>
      </c>
      <c r="T1640" s="7"/>
    </row>
    <row r="1641" ht="22.5" hidden="1" customHeight="1">
      <c r="B1641" s="7">
        <f t="shared" si="7"/>
        <v>1635</v>
      </c>
      <c r="C1641" s="40"/>
      <c r="D1641" s="19" t="str">
        <f t="array" ref="D1641">IFNA(_xlfn.XLOOKUP(C1641,Table_Tarikan_Warkah[Nomor Sertipikat],Table_Tarikan_Warkah[Nomor Tiket]),"")</f>
        <v/>
      </c>
      <c r="E1641" s="20" t="str">
        <f t="array" ref="E1641">IFNA(_xlfn.XLOOKUP(D1641,Table_Tarikan_Warkah[Nomor Tiket],Table_Tarikan_Warkah[Tanggal diserahkan kepada Validator]),"")</f>
        <v/>
      </c>
      <c r="F1641" s="20" t="str">
        <f t="array" ref="F1641">IFNA(_xlfn.XLOOKUP(D1641,Table_Tarikan_Warkah[Nomor Tiket],Table_Tarikan_Warkah[Nama Petugas Warkah]),"")</f>
        <v/>
      </c>
      <c r="G1641" s="21" t="str">
        <f t="array" ref="G1641">IFNA(_xlfn.XLOOKUP(D1641,Table_Tarikan_Warkah[Nomor Tiket],Table_Tarikan_Warkah[Jenis Permohonan]),"")</f>
        <v/>
      </c>
      <c r="H1641" s="26"/>
      <c r="I1641" s="26"/>
      <c r="J1641" s="20" t="str">
        <f t="shared" si="29"/>
        <v/>
      </c>
      <c r="K1641" s="26"/>
      <c r="L1641" s="26"/>
      <c r="M1641" s="20" t="str">
        <f t="shared" si="30"/>
        <v/>
      </c>
      <c r="N1641" s="8" t="str">
        <f t="shared" si="3"/>
        <v/>
      </c>
      <c r="O1641" s="21" t="str">
        <f t="shared" si="22"/>
        <v/>
      </c>
      <c r="P1641" s="24" t="b">
        <v>0</v>
      </c>
      <c r="Q1641" s="20" t="str">
        <f t="shared" si="31"/>
        <v/>
      </c>
      <c r="R1641" s="24" t="b">
        <v>0</v>
      </c>
      <c r="S1641" s="7" t="str">
        <f t="shared" si="6"/>
        <v/>
      </c>
      <c r="T1641" s="7"/>
    </row>
    <row r="1642" ht="22.5" hidden="1" customHeight="1">
      <c r="B1642" s="7">
        <f t="shared" si="7"/>
        <v>1636</v>
      </c>
      <c r="C1642" s="40"/>
      <c r="D1642" s="19" t="str">
        <f t="array" ref="D1642">IFNA(_xlfn.XLOOKUP(C1642,Table_Tarikan_Warkah[Nomor Sertipikat],Table_Tarikan_Warkah[Nomor Tiket]),"")</f>
        <v/>
      </c>
      <c r="E1642" s="20" t="str">
        <f t="array" ref="E1642">IFNA(_xlfn.XLOOKUP(D1642,Table_Tarikan_Warkah[Nomor Tiket],Table_Tarikan_Warkah[Tanggal diserahkan kepada Validator]),"")</f>
        <v/>
      </c>
      <c r="F1642" s="20" t="str">
        <f t="array" ref="F1642">IFNA(_xlfn.XLOOKUP(D1642,Table_Tarikan_Warkah[Nomor Tiket],Table_Tarikan_Warkah[Nama Petugas Warkah]),"")</f>
        <v/>
      </c>
      <c r="G1642" s="21" t="str">
        <f t="array" ref="G1642">IFNA(_xlfn.XLOOKUP(D1642,Table_Tarikan_Warkah[Nomor Tiket],Table_Tarikan_Warkah[Jenis Permohonan]),"")</f>
        <v/>
      </c>
      <c r="H1642" s="26"/>
      <c r="I1642" s="26"/>
      <c r="J1642" s="20" t="str">
        <f t="shared" si="29"/>
        <v/>
      </c>
      <c r="K1642" s="26"/>
      <c r="L1642" s="26"/>
      <c r="M1642" s="20" t="str">
        <f t="shared" si="30"/>
        <v/>
      </c>
      <c r="N1642" s="8" t="str">
        <f t="shared" si="3"/>
        <v/>
      </c>
      <c r="O1642" s="21" t="str">
        <f t="shared" si="22"/>
        <v/>
      </c>
      <c r="P1642" s="24" t="b">
        <v>0</v>
      </c>
      <c r="Q1642" s="20" t="str">
        <f t="shared" si="31"/>
        <v/>
      </c>
      <c r="R1642" s="24" t="b">
        <v>0</v>
      </c>
      <c r="S1642" s="7" t="str">
        <f t="shared" si="6"/>
        <v/>
      </c>
      <c r="T1642" s="7"/>
    </row>
    <row r="1643" ht="22.5" hidden="1" customHeight="1">
      <c r="B1643" s="7">
        <f t="shared" si="7"/>
        <v>1637</v>
      </c>
      <c r="C1643" s="40"/>
      <c r="D1643" s="19" t="str">
        <f t="array" ref="D1643">IFNA(_xlfn.XLOOKUP(C1643,Table_Tarikan_Warkah[Nomor Sertipikat],Table_Tarikan_Warkah[Nomor Tiket]),"")</f>
        <v/>
      </c>
      <c r="E1643" s="20" t="str">
        <f t="array" ref="E1643">IFNA(_xlfn.XLOOKUP(D1643,Table_Tarikan_Warkah[Nomor Tiket],Table_Tarikan_Warkah[Tanggal diserahkan kepada Validator]),"")</f>
        <v/>
      </c>
      <c r="F1643" s="20" t="str">
        <f t="array" ref="F1643">IFNA(_xlfn.XLOOKUP(D1643,Table_Tarikan_Warkah[Nomor Tiket],Table_Tarikan_Warkah[Nama Petugas Warkah]),"")</f>
        <v/>
      </c>
      <c r="G1643" s="21" t="str">
        <f t="array" ref="G1643">IFNA(_xlfn.XLOOKUP(D1643,Table_Tarikan_Warkah[Nomor Tiket],Table_Tarikan_Warkah[Jenis Permohonan]),"")</f>
        <v/>
      </c>
      <c r="H1643" s="26"/>
      <c r="I1643" s="26"/>
      <c r="J1643" s="20" t="str">
        <f t="shared" si="29"/>
        <v/>
      </c>
      <c r="K1643" s="26"/>
      <c r="L1643" s="26"/>
      <c r="M1643" s="20" t="str">
        <f t="shared" si="30"/>
        <v/>
      </c>
      <c r="N1643" s="8" t="str">
        <f t="shared" si="3"/>
        <v/>
      </c>
      <c r="O1643" s="21" t="str">
        <f t="shared" si="22"/>
        <v/>
      </c>
      <c r="P1643" s="24" t="b">
        <v>0</v>
      </c>
      <c r="Q1643" s="20" t="str">
        <f t="shared" si="31"/>
        <v/>
      </c>
      <c r="R1643" s="24" t="b">
        <v>0</v>
      </c>
      <c r="S1643" s="7" t="str">
        <f t="shared" si="6"/>
        <v/>
      </c>
      <c r="T1643" s="7"/>
    </row>
    <row r="1644" ht="22.5" hidden="1" customHeight="1">
      <c r="B1644" s="7">
        <f t="shared" si="7"/>
        <v>1638</v>
      </c>
      <c r="C1644" s="40"/>
      <c r="D1644" s="19" t="str">
        <f t="array" ref="D1644">IFNA(_xlfn.XLOOKUP(C1644,Table_Tarikan_Warkah[Nomor Sertipikat],Table_Tarikan_Warkah[Nomor Tiket]),"")</f>
        <v/>
      </c>
      <c r="E1644" s="20" t="str">
        <f t="array" ref="E1644">IFNA(_xlfn.XLOOKUP(D1644,Table_Tarikan_Warkah[Nomor Tiket],Table_Tarikan_Warkah[Tanggal diserahkan kepada Validator]),"")</f>
        <v/>
      </c>
      <c r="F1644" s="20" t="str">
        <f t="array" ref="F1644">IFNA(_xlfn.XLOOKUP(D1644,Table_Tarikan_Warkah[Nomor Tiket],Table_Tarikan_Warkah[Nama Petugas Warkah]),"")</f>
        <v/>
      </c>
      <c r="G1644" s="21" t="str">
        <f t="array" ref="G1644">IFNA(_xlfn.XLOOKUP(D1644,Table_Tarikan_Warkah[Nomor Tiket],Table_Tarikan_Warkah[Jenis Permohonan]),"")</f>
        <v/>
      </c>
      <c r="H1644" s="26"/>
      <c r="I1644" s="26"/>
      <c r="J1644" s="20" t="str">
        <f t="shared" si="29"/>
        <v/>
      </c>
      <c r="K1644" s="26"/>
      <c r="L1644" s="26"/>
      <c r="M1644" s="20" t="str">
        <f t="shared" si="30"/>
        <v/>
      </c>
      <c r="N1644" s="8" t="str">
        <f t="shared" si="3"/>
        <v/>
      </c>
      <c r="O1644" s="21" t="str">
        <f t="shared" si="22"/>
        <v/>
      </c>
      <c r="P1644" s="24" t="b">
        <v>0</v>
      </c>
      <c r="Q1644" s="20" t="str">
        <f t="shared" si="31"/>
        <v/>
      </c>
      <c r="R1644" s="24" t="b">
        <v>0</v>
      </c>
      <c r="S1644" s="7" t="str">
        <f t="shared" si="6"/>
        <v/>
      </c>
      <c r="T1644" s="7"/>
    </row>
    <row r="1645" ht="22.5" hidden="1" customHeight="1">
      <c r="B1645" s="7">
        <f t="shared" si="7"/>
        <v>1639</v>
      </c>
      <c r="C1645" s="40"/>
      <c r="D1645" s="19" t="str">
        <f t="array" ref="D1645">IFNA(_xlfn.XLOOKUP(C1645,Table_Tarikan_Warkah[Nomor Sertipikat],Table_Tarikan_Warkah[Nomor Tiket]),"")</f>
        <v/>
      </c>
      <c r="E1645" s="20" t="str">
        <f t="array" ref="E1645">IFNA(_xlfn.XLOOKUP(D1645,Table_Tarikan_Warkah[Nomor Tiket],Table_Tarikan_Warkah[Tanggal diserahkan kepada Validator]),"")</f>
        <v/>
      </c>
      <c r="F1645" s="20" t="str">
        <f t="array" ref="F1645">IFNA(_xlfn.XLOOKUP(D1645,Table_Tarikan_Warkah[Nomor Tiket],Table_Tarikan_Warkah[Nama Petugas Warkah]),"")</f>
        <v/>
      </c>
      <c r="G1645" s="21" t="str">
        <f t="array" ref="G1645">IFNA(_xlfn.XLOOKUP(D1645,Table_Tarikan_Warkah[Nomor Tiket],Table_Tarikan_Warkah[Jenis Permohonan]),"")</f>
        <v/>
      </c>
      <c r="H1645" s="26"/>
      <c r="I1645" s="26"/>
      <c r="J1645" s="20" t="str">
        <f t="shared" si="29"/>
        <v/>
      </c>
      <c r="K1645" s="26"/>
      <c r="L1645" s="26"/>
      <c r="M1645" s="20" t="str">
        <f t="shared" si="30"/>
        <v/>
      </c>
      <c r="N1645" s="8" t="str">
        <f t="shared" si="3"/>
        <v/>
      </c>
      <c r="O1645" s="21" t="str">
        <f t="shared" si="22"/>
        <v/>
      </c>
      <c r="P1645" s="24" t="b">
        <v>0</v>
      </c>
      <c r="Q1645" s="20" t="str">
        <f t="shared" si="31"/>
        <v/>
      </c>
      <c r="R1645" s="24" t="b">
        <v>0</v>
      </c>
      <c r="S1645" s="7" t="str">
        <f t="shared" si="6"/>
        <v/>
      </c>
      <c r="T1645" s="7"/>
    </row>
    <row r="1646" ht="22.5" hidden="1" customHeight="1">
      <c r="B1646" s="7">
        <f t="shared" si="7"/>
        <v>1640</v>
      </c>
      <c r="C1646" s="40"/>
      <c r="D1646" s="19" t="str">
        <f t="array" ref="D1646">IFNA(_xlfn.XLOOKUP(C1646,Table_Tarikan_Warkah[Nomor Sertipikat],Table_Tarikan_Warkah[Nomor Tiket]),"")</f>
        <v/>
      </c>
      <c r="E1646" s="20" t="str">
        <f t="array" ref="E1646">IFNA(_xlfn.XLOOKUP(D1646,Table_Tarikan_Warkah[Nomor Tiket],Table_Tarikan_Warkah[Tanggal diserahkan kepada Validator]),"")</f>
        <v/>
      </c>
      <c r="F1646" s="20" t="str">
        <f t="array" ref="F1646">IFNA(_xlfn.XLOOKUP(D1646,Table_Tarikan_Warkah[Nomor Tiket],Table_Tarikan_Warkah[Nama Petugas Warkah]),"")</f>
        <v/>
      </c>
      <c r="G1646" s="21" t="str">
        <f t="array" ref="G1646">IFNA(_xlfn.XLOOKUP(D1646,Table_Tarikan_Warkah[Nomor Tiket],Table_Tarikan_Warkah[Jenis Permohonan]),"")</f>
        <v/>
      </c>
      <c r="H1646" s="26"/>
      <c r="I1646" s="26"/>
      <c r="J1646" s="20" t="str">
        <f t="shared" si="29"/>
        <v/>
      </c>
      <c r="K1646" s="26"/>
      <c r="L1646" s="26"/>
      <c r="M1646" s="20" t="str">
        <f t="shared" si="30"/>
        <v/>
      </c>
      <c r="N1646" s="8" t="str">
        <f t="shared" si="3"/>
        <v/>
      </c>
      <c r="O1646" s="21" t="str">
        <f t="shared" si="22"/>
        <v/>
      </c>
      <c r="P1646" s="24" t="b">
        <v>0</v>
      </c>
      <c r="Q1646" s="20" t="str">
        <f t="shared" si="31"/>
        <v/>
      </c>
      <c r="R1646" s="24" t="b">
        <v>0</v>
      </c>
      <c r="S1646" s="7" t="str">
        <f t="shared" si="6"/>
        <v/>
      </c>
      <c r="T1646" s="7"/>
    </row>
    <row r="1647" ht="22.5" hidden="1" customHeight="1">
      <c r="B1647" s="7">
        <f t="shared" si="7"/>
        <v>1641</v>
      </c>
      <c r="C1647" s="40"/>
      <c r="D1647" s="19" t="str">
        <f t="array" ref="D1647">IFNA(_xlfn.XLOOKUP(C1647,Table_Tarikan_Warkah[Nomor Sertipikat],Table_Tarikan_Warkah[Nomor Tiket]),"")</f>
        <v/>
      </c>
      <c r="E1647" s="20" t="str">
        <f t="array" ref="E1647">IFNA(_xlfn.XLOOKUP(D1647,Table_Tarikan_Warkah[Nomor Tiket],Table_Tarikan_Warkah[Tanggal diserahkan kepada Validator]),"")</f>
        <v/>
      </c>
      <c r="F1647" s="20" t="str">
        <f t="array" ref="F1647">IFNA(_xlfn.XLOOKUP(D1647,Table_Tarikan_Warkah[Nomor Tiket],Table_Tarikan_Warkah[Nama Petugas Warkah]),"")</f>
        <v/>
      </c>
      <c r="G1647" s="21" t="str">
        <f t="array" ref="G1647">IFNA(_xlfn.XLOOKUP(D1647,Table_Tarikan_Warkah[Nomor Tiket],Table_Tarikan_Warkah[Jenis Permohonan]),"")</f>
        <v/>
      </c>
      <c r="H1647" s="26"/>
      <c r="I1647" s="26"/>
      <c r="J1647" s="20" t="str">
        <f t="shared" si="29"/>
        <v/>
      </c>
      <c r="K1647" s="26"/>
      <c r="L1647" s="26"/>
      <c r="M1647" s="20" t="str">
        <f t="shared" si="30"/>
        <v/>
      </c>
      <c r="N1647" s="8" t="str">
        <f t="shared" si="3"/>
        <v/>
      </c>
      <c r="O1647" s="21" t="str">
        <f t="shared" si="22"/>
        <v/>
      </c>
      <c r="P1647" s="24" t="b">
        <v>0</v>
      </c>
      <c r="Q1647" s="20" t="str">
        <f t="shared" si="31"/>
        <v/>
      </c>
      <c r="R1647" s="24" t="b">
        <v>0</v>
      </c>
      <c r="S1647" s="7" t="str">
        <f t="shared" si="6"/>
        <v/>
      </c>
      <c r="T1647" s="7"/>
    </row>
    <row r="1648" ht="22.5" hidden="1" customHeight="1">
      <c r="B1648" s="7">
        <f t="shared" si="7"/>
        <v>1642</v>
      </c>
      <c r="C1648" s="40"/>
      <c r="D1648" s="19" t="str">
        <f t="array" ref="D1648">IFNA(_xlfn.XLOOKUP(C1648,Table_Tarikan_Warkah[Nomor Sertipikat],Table_Tarikan_Warkah[Nomor Tiket]),"")</f>
        <v/>
      </c>
      <c r="E1648" s="20" t="str">
        <f t="array" ref="E1648">IFNA(_xlfn.XLOOKUP(D1648,Table_Tarikan_Warkah[Nomor Tiket],Table_Tarikan_Warkah[Tanggal diserahkan kepada Validator]),"")</f>
        <v/>
      </c>
      <c r="F1648" s="20" t="str">
        <f t="array" ref="F1648">IFNA(_xlfn.XLOOKUP(D1648,Table_Tarikan_Warkah[Nomor Tiket],Table_Tarikan_Warkah[Nama Petugas Warkah]),"")</f>
        <v/>
      </c>
      <c r="G1648" s="21" t="str">
        <f t="array" ref="G1648">IFNA(_xlfn.XLOOKUP(D1648,Table_Tarikan_Warkah[Nomor Tiket],Table_Tarikan_Warkah[Jenis Permohonan]),"")</f>
        <v/>
      </c>
      <c r="H1648" s="26"/>
      <c r="I1648" s="26"/>
      <c r="J1648" s="20" t="str">
        <f t="shared" si="29"/>
        <v/>
      </c>
      <c r="K1648" s="26"/>
      <c r="L1648" s="26"/>
      <c r="M1648" s="20" t="str">
        <f t="shared" si="30"/>
        <v/>
      </c>
      <c r="N1648" s="8" t="str">
        <f t="shared" si="3"/>
        <v/>
      </c>
      <c r="O1648" s="21" t="str">
        <f t="shared" si="22"/>
        <v/>
      </c>
      <c r="P1648" s="24" t="b">
        <v>0</v>
      </c>
      <c r="Q1648" s="20" t="str">
        <f t="shared" si="31"/>
        <v/>
      </c>
      <c r="R1648" s="24" t="b">
        <v>0</v>
      </c>
      <c r="S1648" s="7" t="str">
        <f t="shared" si="6"/>
        <v/>
      </c>
      <c r="T1648" s="7"/>
    </row>
    <row r="1649" ht="22.5" hidden="1" customHeight="1">
      <c r="B1649" s="7">
        <f t="shared" si="7"/>
        <v>1643</v>
      </c>
      <c r="C1649" s="40"/>
      <c r="D1649" s="19" t="str">
        <f t="array" ref="D1649">IFNA(_xlfn.XLOOKUP(C1649,Table_Tarikan_Warkah[Nomor Sertipikat],Table_Tarikan_Warkah[Nomor Tiket]),"")</f>
        <v/>
      </c>
      <c r="E1649" s="20" t="str">
        <f t="array" ref="E1649">IFNA(_xlfn.XLOOKUP(D1649,Table_Tarikan_Warkah[Nomor Tiket],Table_Tarikan_Warkah[Tanggal diserahkan kepada Validator]),"")</f>
        <v/>
      </c>
      <c r="F1649" s="20" t="str">
        <f t="array" ref="F1649">IFNA(_xlfn.XLOOKUP(D1649,Table_Tarikan_Warkah[Nomor Tiket],Table_Tarikan_Warkah[Nama Petugas Warkah]),"")</f>
        <v/>
      </c>
      <c r="G1649" s="21" t="str">
        <f t="array" ref="G1649">IFNA(_xlfn.XLOOKUP(D1649,Table_Tarikan_Warkah[Nomor Tiket],Table_Tarikan_Warkah[Jenis Permohonan]),"")</f>
        <v/>
      </c>
      <c r="H1649" s="26"/>
      <c r="I1649" s="26"/>
      <c r="J1649" s="20" t="str">
        <f t="shared" si="29"/>
        <v/>
      </c>
      <c r="K1649" s="26"/>
      <c r="L1649" s="26"/>
      <c r="M1649" s="20" t="str">
        <f t="shared" si="30"/>
        <v/>
      </c>
      <c r="N1649" s="8" t="str">
        <f t="shared" si="3"/>
        <v/>
      </c>
      <c r="O1649" s="21" t="str">
        <f t="shared" si="22"/>
        <v/>
      </c>
      <c r="P1649" s="24" t="b">
        <v>0</v>
      </c>
      <c r="Q1649" s="20" t="str">
        <f t="shared" si="31"/>
        <v/>
      </c>
      <c r="R1649" s="24" t="b">
        <v>0</v>
      </c>
      <c r="S1649" s="7" t="str">
        <f t="shared" si="6"/>
        <v/>
      </c>
      <c r="T1649" s="7"/>
    </row>
    <row r="1650" ht="22.5" hidden="1" customHeight="1">
      <c r="B1650" s="7">
        <f t="shared" si="7"/>
        <v>1644</v>
      </c>
      <c r="C1650" s="40"/>
      <c r="D1650" s="19" t="str">
        <f t="array" ref="D1650">IFNA(_xlfn.XLOOKUP(C1650,Table_Tarikan_Warkah[Nomor Sertipikat],Table_Tarikan_Warkah[Nomor Tiket]),"")</f>
        <v/>
      </c>
      <c r="E1650" s="20" t="str">
        <f t="array" ref="E1650">IFNA(_xlfn.XLOOKUP(D1650,Table_Tarikan_Warkah[Nomor Tiket],Table_Tarikan_Warkah[Tanggal diserahkan kepada Validator]),"")</f>
        <v/>
      </c>
      <c r="F1650" s="20" t="str">
        <f t="array" ref="F1650">IFNA(_xlfn.XLOOKUP(D1650,Table_Tarikan_Warkah[Nomor Tiket],Table_Tarikan_Warkah[Nama Petugas Warkah]),"")</f>
        <v/>
      </c>
      <c r="G1650" s="21" t="str">
        <f t="array" ref="G1650">IFNA(_xlfn.XLOOKUP(D1650,Table_Tarikan_Warkah[Nomor Tiket],Table_Tarikan_Warkah[Jenis Permohonan]),"")</f>
        <v/>
      </c>
      <c r="H1650" s="26"/>
      <c r="I1650" s="26"/>
      <c r="J1650" s="20" t="str">
        <f t="shared" si="29"/>
        <v/>
      </c>
      <c r="K1650" s="26"/>
      <c r="L1650" s="26"/>
      <c r="M1650" s="20" t="str">
        <f t="shared" si="30"/>
        <v/>
      </c>
      <c r="N1650" s="8" t="str">
        <f t="shared" si="3"/>
        <v/>
      </c>
      <c r="O1650" s="21" t="str">
        <f t="shared" si="22"/>
        <v/>
      </c>
      <c r="P1650" s="24" t="b">
        <v>0</v>
      </c>
      <c r="Q1650" s="20" t="str">
        <f t="shared" si="31"/>
        <v/>
      </c>
      <c r="R1650" s="24" t="b">
        <v>0</v>
      </c>
      <c r="S1650" s="7" t="str">
        <f t="shared" si="6"/>
        <v/>
      </c>
      <c r="T1650" s="7"/>
    </row>
    <row r="1651" ht="22.5" hidden="1" customHeight="1">
      <c r="B1651" s="7">
        <f t="shared" si="7"/>
        <v>1645</v>
      </c>
      <c r="C1651" s="40"/>
      <c r="D1651" s="19" t="str">
        <f t="array" ref="D1651">IFNA(_xlfn.XLOOKUP(C1651,Table_Tarikan_Warkah[Nomor Sertipikat],Table_Tarikan_Warkah[Nomor Tiket]),"")</f>
        <v/>
      </c>
      <c r="E1651" s="20" t="str">
        <f t="array" ref="E1651">IFNA(_xlfn.XLOOKUP(D1651,Table_Tarikan_Warkah[Nomor Tiket],Table_Tarikan_Warkah[Tanggal diserahkan kepada Validator]),"")</f>
        <v/>
      </c>
      <c r="F1651" s="20" t="str">
        <f t="array" ref="F1651">IFNA(_xlfn.XLOOKUP(D1651,Table_Tarikan_Warkah[Nomor Tiket],Table_Tarikan_Warkah[Nama Petugas Warkah]),"")</f>
        <v/>
      </c>
      <c r="G1651" s="21" t="str">
        <f t="array" ref="G1651">IFNA(_xlfn.XLOOKUP(D1651,Table_Tarikan_Warkah[Nomor Tiket],Table_Tarikan_Warkah[Jenis Permohonan]),"")</f>
        <v/>
      </c>
      <c r="H1651" s="26"/>
      <c r="I1651" s="26"/>
      <c r="J1651" s="20" t="str">
        <f t="shared" si="29"/>
        <v/>
      </c>
      <c r="K1651" s="26"/>
      <c r="L1651" s="26"/>
      <c r="M1651" s="20" t="str">
        <f t="shared" si="30"/>
        <v/>
      </c>
      <c r="N1651" s="8" t="str">
        <f t="shared" si="3"/>
        <v/>
      </c>
      <c r="O1651" s="21" t="str">
        <f t="shared" si="22"/>
        <v/>
      </c>
      <c r="P1651" s="24" t="b">
        <v>0</v>
      </c>
      <c r="Q1651" s="20" t="str">
        <f t="shared" si="31"/>
        <v/>
      </c>
      <c r="R1651" s="24" t="b">
        <v>0</v>
      </c>
      <c r="S1651" s="7" t="str">
        <f t="shared" si="6"/>
        <v/>
      </c>
      <c r="T1651" s="7"/>
    </row>
    <row r="1652" ht="22.5" hidden="1" customHeight="1">
      <c r="B1652" s="7">
        <f t="shared" si="7"/>
        <v>1646</v>
      </c>
      <c r="C1652" s="40"/>
      <c r="D1652" s="19" t="str">
        <f t="array" ref="D1652">IFNA(_xlfn.XLOOKUP(C1652,Table_Tarikan_Warkah[Nomor Sertipikat],Table_Tarikan_Warkah[Nomor Tiket]),"")</f>
        <v/>
      </c>
      <c r="E1652" s="20" t="str">
        <f t="array" ref="E1652">IFNA(_xlfn.XLOOKUP(D1652,Table_Tarikan_Warkah[Nomor Tiket],Table_Tarikan_Warkah[Tanggal diserahkan kepada Validator]),"")</f>
        <v/>
      </c>
      <c r="F1652" s="20" t="str">
        <f t="array" ref="F1652">IFNA(_xlfn.XLOOKUP(D1652,Table_Tarikan_Warkah[Nomor Tiket],Table_Tarikan_Warkah[Nama Petugas Warkah]),"")</f>
        <v/>
      </c>
      <c r="G1652" s="21" t="str">
        <f t="array" ref="G1652">IFNA(_xlfn.XLOOKUP(D1652,Table_Tarikan_Warkah[Nomor Tiket],Table_Tarikan_Warkah[Jenis Permohonan]),"")</f>
        <v/>
      </c>
      <c r="H1652" s="26"/>
      <c r="I1652" s="26"/>
      <c r="J1652" s="20" t="str">
        <f t="shared" si="29"/>
        <v/>
      </c>
      <c r="K1652" s="26"/>
      <c r="L1652" s="26"/>
      <c r="M1652" s="20" t="str">
        <f t="shared" si="30"/>
        <v/>
      </c>
      <c r="N1652" s="8" t="str">
        <f t="shared" si="3"/>
        <v/>
      </c>
      <c r="O1652" s="21" t="str">
        <f t="shared" si="22"/>
        <v/>
      </c>
      <c r="P1652" s="24" t="b">
        <v>0</v>
      </c>
      <c r="Q1652" s="20" t="str">
        <f t="shared" si="31"/>
        <v/>
      </c>
      <c r="R1652" s="24" t="b">
        <v>0</v>
      </c>
      <c r="S1652" s="7" t="str">
        <f t="shared" si="6"/>
        <v/>
      </c>
      <c r="T1652" s="7"/>
    </row>
    <row r="1653" ht="22.5" hidden="1" customHeight="1">
      <c r="B1653" s="7">
        <f t="shared" si="7"/>
        <v>1647</v>
      </c>
      <c r="C1653" s="40"/>
      <c r="D1653" s="19" t="str">
        <f t="array" ref="D1653">IFNA(_xlfn.XLOOKUP(C1653,Table_Tarikan_Warkah[Nomor Sertipikat],Table_Tarikan_Warkah[Nomor Tiket]),"")</f>
        <v/>
      </c>
      <c r="E1653" s="20" t="str">
        <f t="array" ref="E1653">IFNA(_xlfn.XLOOKUP(D1653,Table_Tarikan_Warkah[Nomor Tiket],Table_Tarikan_Warkah[Tanggal diserahkan kepada Validator]),"")</f>
        <v/>
      </c>
      <c r="F1653" s="20" t="str">
        <f t="array" ref="F1653">IFNA(_xlfn.XLOOKUP(D1653,Table_Tarikan_Warkah[Nomor Tiket],Table_Tarikan_Warkah[Nama Petugas Warkah]),"")</f>
        <v/>
      </c>
      <c r="G1653" s="21" t="str">
        <f t="array" ref="G1653">IFNA(_xlfn.XLOOKUP(D1653,Table_Tarikan_Warkah[Nomor Tiket],Table_Tarikan_Warkah[Jenis Permohonan]),"")</f>
        <v/>
      </c>
      <c r="H1653" s="26"/>
      <c r="I1653" s="26"/>
      <c r="J1653" s="20" t="str">
        <f t="shared" si="29"/>
        <v/>
      </c>
      <c r="K1653" s="26"/>
      <c r="L1653" s="26"/>
      <c r="M1653" s="20" t="str">
        <f t="shared" si="30"/>
        <v/>
      </c>
      <c r="N1653" s="8" t="str">
        <f t="shared" si="3"/>
        <v/>
      </c>
      <c r="O1653" s="21" t="str">
        <f t="shared" si="22"/>
        <v/>
      </c>
      <c r="P1653" s="24" t="b">
        <v>0</v>
      </c>
      <c r="Q1653" s="20" t="str">
        <f t="shared" si="31"/>
        <v/>
      </c>
      <c r="R1653" s="24" t="b">
        <v>0</v>
      </c>
      <c r="S1653" s="7" t="str">
        <f t="shared" si="6"/>
        <v/>
      </c>
      <c r="T1653" s="7"/>
    </row>
    <row r="1654" ht="22.5" hidden="1" customHeight="1">
      <c r="B1654" s="7">
        <f t="shared" si="7"/>
        <v>1648</v>
      </c>
      <c r="C1654" s="40"/>
      <c r="D1654" s="19" t="str">
        <f t="array" ref="D1654">IFNA(_xlfn.XLOOKUP(C1654,Table_Tarikan_Warkah[Nomor Sertipikat],Table_Tarikan_Warkah[Nomor Tiket]),"")</f>
        <v/>
      </c>
      <c r="E1654" s="20" t="str">
        <f t="array" ref="E1654">IFNA(_xlfn.XLOOKUP(D1654,Table_Tarikan_Warkah[Nomor Tiket],Table_Tarikan_Warkah[Tanggal diserahkan kepada Validator]),"")</f>
        <v/>
      </c>
      <c r="F1654" s="20" t="str">
        <f t="array" ref="F1654">IFNA(_xlfn.XLOOKUP(D1654,Table_Tarikan_Warkah[Nomor Tiket],Table_Tarikan_Warkah[Nama Petugas Warkah]),"")</f>
        <v/>
      </c>
      <c r="G1654" s="21" t="str">
        <f t="array" ref="G1654">IFNA(_xlfn.XLOOKUP(D1654,Table_Tarikan_Warkah[Nomor Tiket],Table_Tarikan_Warkah[Jenis Permohonan]),"")</f>
        <v/>
      </c>
      <c r="H1654" s="26"/>
      <c r="I1654" s="26"/>
      <c r="J1654" s="20" t="str">
        <f t="shared" si="29"/>
        <v/>
      </c>
      <c r="K1654" s="26"/>
      <c r="L1654" s="26"/>
      <c r="M1654" s="20" t="str">
        <f t="shared" si="30"/>
        <v/>
      </c>
      <c r="N1654" s="8" t="str">
        <f t="shared" si="3"/>
        <v/>
      </c>
      <c r="O1654" s="21" t="str">
        <f t="shared" si="22"/>
        <v/>
      </c>
      <c r="P1654" s="24" t="b">
        <v>0</v>
      </c>
      <c r="Q1654" s="20" t="str">
        <f t="shared" si="31"/>
        <v/>
      </c>
      <c r="R1654" s="24" t="b">
        <v>0</v>
      </c>
      <c r="S1654" s="7" t="str">
        <f t="shared" si="6"/>
        <v/>
      </c>
      <c r="T1654" s="7"/>
    </row>
    <row r="1655" ht="22.5" hidden="1" customHeight="1">
      <c r="B1655" s="7">
        <f t="shared" si="7"/>
        <v>1649</v>
      </c>
      <c r="C1655" s="40"/>
      <c r="D1655" s="19" t="str">
        <f t="array" ref="D1655">IFNA(_xlfn.XLOOKUP(C1655,Table_Tarikan_Warkah[Nomor Sertipikat],Table_Tarikan_Warkah[Nomor Tiket]),"")</f>
        <v/>
      </c>
      <c r="E1655" s="20" t="str">
        <f t="array" ref="E1655">IFNA(_xlfn.XLOOKUP(D1655,Table_Tarikan_Warkah[Nomor Tiket],Table_Tarikan_Warkah[Tanggal diserahkan kepada Validator]),"")</f>
        <v/>
      </c>
      <c r="F1655" s="20" t="str">
        <f t="array" ref="F1655">IFNA(_xlfn.XLOOKUP(D1655,Table_Tarikan_Warkah[Nomor Tiket],Table_Tarikan_Warkah[Nama Petugas Warkah]),"")</f>
        <v/>
      </c>
      <c r="G1655" s="21" t="str">
        <f t="array" ref="G1655">IFNA(_xlfn.XLOOKUP(D1655,Table_Tarikan_Warkah[Nomor Tiket],Table_Tarikan_Warkah[Jenis Permohonan]),"")</f>
        <v/>
      </c>
      <c r="H1655" s="26"/>
      <c r="I1655" s="26"/>
      <c r="J1655" s="20" t="str">
        <f t="shared" si="29"/>
        <v/>
      </c>
      <c r="K1655" s="26"/>
      <c r="L1655" s="26"/>
      <c r="M1655" s="20" t="str">
        <f t="shared" si="30"/>
        <v/>
      </c>
      <c r="N1655" s="8" t="str">
        <f t="shared" si="3"/>
        <v/>
      </c>
      <c r="O1655" s="21" t="str">
        <f t="shared" si="22"/>
        <v/>
      </c>
      <c r="P1655" s="24" t="b">
        <v>0</v>
      </c>
      <c r="Q1655" s="20" t="str">
        <f t="shared" si="31"/>
        <v/>
      </c>
      <c r="R1655" s="24" t="b">
        <v>0</v>
      </c>
      <c r="S1655" s="7" t="str">
        <f t="shared" si="6"/>
        <v/>
      </c>
      <c r="T1655" s="7"/>
    </row>
    <row r="1656" ht="22.5" hidden="1" customHeight="1">
      <c r="B1656" s="7">
        <f t="shared" si="7"/>
        <v>1650</v>
      </c>
      <c r="C1656" s="40"/>
      <c r="D1656" s="19" t="str">
        <f t="array" ref="D1656">IFNA(_xlfn.XLOOKUP(C1656,Table_Tarikan_Warkah[Nomor Sertipikat],Table_Tarikan_Warkah[Nomor Tiket]),"")</f>
        <v/>
      </c>
      <c r="E1656" s="20" t="str">
        <f t="array" ref="E1656">IFNA(_xlfn.XLOOKUP(D1656,Table_Tarikan_Warkah[Nomor Tiket],Table_Tarikan_Warkah[Tanggal diserahkan kepada Validator]),"")</f>
        <v/>
      </c>
      <c r="F1656" s="20" t="str">
        <f t="array" ref="F1656">IFNA(_xlfn.XLOOKUP(D1656,Table_Tarikan_Warkah[Nomor Tiket],Table_Tarikan_Warkah[Nama Petugas Warkah]),"")</f>
        <v/>
      </c>
      <c r="G1656" s="21" t="str">
        <f t="array" ref="G1656">IFNA(_xlfn.XLOOKUP(D1656,Table_Tarikan_Warkah[Nomor Tiket],Table_Tarikan_Warkah[Jenis Permohonan]),"")</f>
        <v/>
      </c>
      <c r="H1656" s="26"/>
      <c r="I1656" s="26"/>
      <c r="J1656" s="20" t="str">
        <f t="shared" si="29"/>
        <v/>
      </c>
      <c r="K1656" s="26"/>
      <c r="L1656" s="26"/>
      <c r="M1656" s="20" t="str">
        <f t="shared" si="30"/>
        <v/>
      </c>
      <c r="N1656" s="8" t="str">
        <f t="shared" si="3"/>
        <v/>
      </c>
      <c r="O1656" s="21" t="str">
        <f t="shared" si="22"/>
        <v/>
      </c>
      <c r="P1656" s="24" t="b">
        <v>0</v>
      </c>
      <c r="Q1656" s="20" t="str">
        <f t="shared" si="31"/>
        <v/>
      </c>
      <c r="R1656" s="24" t="b">
        <v>0</v>
      </c>
      <c r="S1656" s="7" t="str">
        <f t="shared" si="6"/>
        <v/>
      </c>
      <c r="T1656" s="7"/>
    </row>
    <row r="1657" ht="22.5" hidden="1" customHeight="1">
      <c r="B1657" s="7">
        <f t="shared" si="7"/>
        <v>1651</v>
      </c>
      <c r="C1657" s="40"/>
      <c r="D1657" s="19" t="str">
        <f t="array" ref="D1657">IFNA(_xlfn.XLOOKUP(C1657,Table_Tarikan_Warkah[Nomor Sertipikat],Table_Tarikan_Warkah[Nomor Tiket]),"")</f>
        <v/>
      </c>
      <c r="E1657" s="20" t="str">
        <f t="array" ref="E1657">IFNA(_xlfn.XLOOKUP(D1657,Table_Tarikan_Warkah[Nomor Tiket],Table_Tarikan_Warkah[Tanggal diserahkan kepada Validator]),"")</f>
        <v/>
      </c>
      <c r="F1657" s="20" t="str">
        <f t="array" ref="F1657">IFNA(_xlfn.XLOOKUP(D1657,Table_Tarikan_Warkah[Nomor Tiket],Table_Tarikan_Warkah[Nama Petugas Warkah]),"")</f>
        <v/>
      </c>
      <c r="G1657" s="21" t="str">
        <f t="array" ref="G1657">IFNA(_xlfn.XLOOKUP(D1657,Table_Tarikan_Warkah[Nomor Tiket],Table_Tarikan_Warkah[Jenis Permohonan]),"")</f>
        <v/>
      </c>
      <c r="H1657" s="26"/>
      <c r="I1657" s="26"/>
      <c r="J1657" s="20" t="str">
        <f t="shared" si="29"/>
        <v/>
      </c>
      <c r="K1657" s="26"/>
      <c r="L1657" s="26"/>
      <c r="M1657" s="20" t="str">
        <f t="shared" si="30"/>
        <v/>
      </c>
      <c r="N1657" s="8" t="str">
        <f t="shared" si="3"/>
        <v/>
      </c>
      <c r="O1657" s="21" t="str">
        <f t="shared" si="22"/>
        <v/>
      </c>
      <c r="P1657" s="24" t="b">
        <v>0</v>
      </c>
      <c r="Q1657" s="20" t="str">
        <f t="shared" si="31"/>
        <v/>
      </c>
      <c r="R1657" s="24" t="b">
        <v>0</v>
      </c>
      <c r="S1657" s="7" t="str">
        <f t="shared" si="6"/>
        <v/>
      </c>
      <c r="T1657" s="7"/>
    </row>
    <row r="1658" ht="22.5" hidden="1" customHeight="1">
      <c r="B1658" s="7">
        <f t="shared" si="7"/>
        <v>1652</v>
      </c>
      <c r="C1658" s="40"/>
      <c r="D1658" s="19" t="str">
        <f t="array" ref="D1658">IFNA(_xlfn.XLOOKUP(C1658,Table_Tarikan_Warkah[Nomor Sertipikat],Table_Tarikan_Warkah[Nomor Tiket]),"")</f>
        <v/>
      </c>
      <c r="E1658" s="20" t="str">
        <f t="array" ref="E1658">IFNA(_xlfn.XLOOKUP(D1658,Table_Tarikan_Warkah[Nomor Tiket],Table_Tarikan_Warkah[Tanggal diserahkan kepada Validator]),"")</f>
        <v/>
      </c>
      <c r="F1658" s="20" t="str">
        <f t="array" ref="F1658">IFNA(_xlfn.XLOOKUP(D1658,Table_Tarikan_Warkah[Nomor Tiket],Table_Tarikan_Warkah[Nama Petugas Warkah]),"")</f>
        <v/>
      </c>
      <c r="G1658" s="21" t="str">
        <f t="array" ref="G1658">IFNA(_xlfn.XLOOKUP(D1658,Table_Tarikan_Warkah[Nomor Tiket],Table_Tarikan_Warkah[Jenis Permohonan]),"")</f>
        <v/>
      </c>
      <c r="H1658" s="26"/>
      <c r="I1658" s="26"/>
      <c r="J1658" s="20" t="str">
        <f t="shared" si="29"/>
        <v/>
      </c>
      <c r="K1658" s="26"/>
      <c r="L1658" s="26"/>
      <c r="M1658" s="20" t="str">
        <f t="shared" si="30"/>
        <v/>
      </c>
      <c r="N1658" s="8" t="str">
        <f t="shared" si="3"/>
        <v/>
      </c>
      <c r="O1658" s="21" t="str">
        <f t="shared" si="22"/>
        <v/>
      </c>
      <c r="P1658" s="24" t="b">
        <v>0</v>
      </c>
      <c r="Q1658" s="20" t="str">
        <f t="shared" si="31"/>
        <v/>
      </c>
      <c r="R1658" s="24" t="b">
        <v>0</v>
      </c>
      <c r="S1658" s="7" t="str">
        <f t="shared" si="6"/>
        <v/>
      </c>
      <c r="T1658" s="7"/>
    </row>
    <row r="1659" ht="22.5" hidden="1" customHeight="1">
      <c r="B1659" s="7">
        <f t="shared" si="7"/>
        <v>1653</v>
      </c>
      <c r="C1659" s="40"/>
      <c r="D1659" s="19" t="str">
        <f t="array" ref="D1659">IFNA(_xlfn.XLOOKUP(C1659,Table_Tarikan_Warkah[Nomor Sertipikat],Table_Tarikan_Warkah[Nomor Tiket]),"")</f>
        <v/>
      </c>
      <c r="E1659" s="20" t="str">
        <f t="array" ref="E1659">IFNA(_xlfn.XLOOKUP(D1659,Table_Tarikan_Warkah[Nomor Tiket],Table_Tarikan_Warkah[Tanggal diserahkan kepada Validator]),"")</f>
        <v/>
      </c>
      <c r="F1659" s="20" t="str">
        <f t="array" ref="F1659">IFNA(_xlfn.XLOOKUP(D1659,Table_Tarikan_Warkah[Nomor Tiket],Table_Tarikan_Warkah[Nama Petugas Warkah]),"")</f>
        <v/>
      </c>
      <c r="G1659" s="21" t="str">
        <f t="array" ref="G1659">IFNA(_xlfn.XLOOKUP(D1659,Table_Tarikan_Warkah[Nomor Tiket],Table_Tarikan_Warkah[Jenis Permohonan]),"")</f>
        <v/>
      </c>
      <c r="H1659" s="26"/>
      <c r="I1659" s="26"/>
      <c r="J1659" s="20" t="str">
        <f t="shared" si="29"/>
        <v/>
      </c>
      <c r="K1659" s="26"/>
      <c r="L1659" s="26"/>
      <c r="M1659" s="20" t="str">
        <f t="shared" si="30"/>
        <v/>
      </c>
      <c r="N1659" s="8" t="str">
        <f t="shared" si="3"/>
        <v/>
      </c>
      <c r="O1659" s="21" t="str">
        <f t="shared" si="22"/>
        <v/>
      </c>
      <c r="P1659" s="24" t="b">
        <v>0</v>
      </c>
      <c r="Q1659" s="20" t="str">
        <f t="shared" si="31"/>
        <v/>
      </c>
      <c r="R1659" s="24" t="b">
        <v>0</v>
      </c>
      <c r="S1659" s="7" t="str">
        <f t="shared" si="6"/>
        <v/>
      </c>
      <c r="T1659" s="7"/>
    </row>
    <row r="1660" ht="22.5" hidden="1" customHeight="1">
      <c r="B1660" s="7">
        <f t="shared" si="7"/>
        <v>1654</v>
      </c>
      <c r="C1660" s="40"/>
      <c r="D1660" s="19" t="str">
        <f t="array" ref="D1660">IFNA(_xlfn.XLOOKUP(C1660,Table_Tarikan_Warkah[Nomor Sertipikat],Table_Tarikan_Warkah[Nomor Tiket]),"")</f>
        <v/>
      </c>
      <c r="E1660" s="20" t="str">
        <f t="array" ref="E1660">IFNA(_xlfn.XLOOKUP(D1660,Table_Tarikan_Warkah[Nomor Tiket],Table_Tarikan_Warkah[Tanggal diserahkan kepada Validator]),"")</f>
        <v/>
      </c>
      <c r="F1660" s="20" t="str">
        <f t="array" ref="F1660">IFNA(_xlfn.XLOOKUP(D1660,Table_Tarikan_Warkah[Nomor Tiket],Table_Tarikan_Warkah[Nama Petugas Warkah]),"")</f>
        <v/>
      </c>
      <c r="G1660" s="21" t="str">
        <f t="array" ref="G1660">IFNA(_xlfn.XLOOKUP(D1660,Table_Tarikan_Warkah[Nomor Tiket],Table_Tarikan_Warkah[Jenis Permohonan]),"")</f>
        <v/>
      </c>
      <c r="H1660" s="26"/>
      <c r="I1660" s="26"/>
      <c r="J1660" s="20" t="str">
        <f t="shared" si="29"/>
        <v/>
      </c>
      <c r="K1660" s="26"/>
      <c r="L1660" s="26"/>
      <c r="M1660" s="20" t="str">
        <f t="shared" si="30"/>
        <v/>
      </c>
      <c r="N1660" s="8" t="str">
        <f t="shared" si="3"/>
        <v/>
      </c>
      <c r="O1660" s="21" t="str">
        <f t="shared" si="22"/>
        <v/>
      </c>
      <c r="P1660" s="24" t="b">
        <v>0</v>
      </c>
      <c r="Q1660" s="20" t="str">
        <f t="shared" si="31"/>
        <v/>
      </c>
      <c r="R1660" s="24" t="b">
        <v>0</v>
      </c>
      <c r="S1660" s="7" t="str">
        <f t="shared" si="6"/>
        <v/>
      </c>
      <c r="T1660" s="7"/>
    </row>
    <row r="1661" ht="22.5" hidden="1" customHeight="1">
      <c r="B1661" s="7">
        <f t="shared" si="7"/>
        <v>1655</v>
      </c>
      <c r="C1661" s="40"/>
      <c r="D1661" s="19" t="str">
        <f t="array" ref="D1661">IFNA(_xlfn.XLOOKUP(C1661,Table_Tarikan_Warkah[Nomor Sertipikat],Table_Tarikan_Warkah[Nomor Tiket]),"")</f>
        <v/>
      </c>
      <c r="E1661" s="20" t="str">
        <f t="array" ref="E1661">IFNA(_xlfn.XLOOKUP(D1661,Table_Tarikan_Warkah[Nomor Tiket],Table_Tarikan_Warkah[Tanggal diserahkan kepada Validator]),"")</f>
        <v/>
      </c>
      <c r="F1661" s="20" t="str">
        <f t="array" ref="F1661">IFNA(_xlfn.XLOOKUP(D1661,Table_Tarikan_Warkah[Nomor Tiket],Table_Tarikan_Warkah[Nama Petugas Warkah]),"")</f>
        <v/>
      </c>
      <c r="G1661" s="21" t="str">
        <f t="array" ref="G1661">IFNA(_xlfn.XLOOKUP(D1661,Table_Tarikan_Warkah[Nomor Tiket],Table_Tarikan_Warkah[Jenis Permohonan]),"")</f>
        <v/>
      </c>
      <c r="H1661" s="26"/>
      <c r="I1661" s="26"/>
      <c r="J1661" s="20" t="str">
        <f t="shared" si="29"/>
        <v/>
      </c>
      <c r="K1661" s="26"/>
      <c r="L1661" s="26"/>
      <c r="M1661" s="20" t="str">
        <f t="shared" si="30"/>
        <v/>
      </c>
      <c r="N1661" s="8" t="str">
        <f t="shared" si="3"/>
        <v/>
      </c>
      <c r="O1661" s="21" t="str">
        <f t="shared" si="22"/>
        <v/>
      </c>
      <c r="P1661" s="24" t="b">
        <v>0</v>
      </c>
      <c r="Q1661" s="20" t="str">
        <f t="shared" si="31"/>
        <v/>
      </c>
      <c r="R1661" s="24" t="b">
        <v>0</v>
      </c>
      <c r="S1661" s="7" t="str">
        <f t="shared" si="6"/>
        <v/>
      </c>
      <c r="T1661" s="7"/>
    </row>
    <row r="1662" ht="22.5" hidden="1" customHeight="1">
      <c r="B1662" s="7">
        <f t="shared" si="7"/>
        <v>1656</v>
      </c>
      <c r="C1662" s="40"/>
      <c r="D1662" s="19" t="str">
        <f t="array" ref="D1662">IFNA(_xlfn.XLOOKUP(C1662,Table_Tarikan_Warkah[Nomor Sertipikat],Table_Tarikan_Warkah[Nomor Tiket]),"")</f>
        <v/>
      </c>
      <c r="E1662" s="20" t="str">
        <f t="array" ref="E1662">IFNA(_xlfn.XLOOKUP(D1662,Table_Tarikan_Warkah[Nomor Tiket],Table_Tarikan_Warkah[Tanggal diserahkan kepada Validator]),"")</f>
        <v/>
      </c>
      <c r="F1662" s="20" t="str">
        <f t="array" ref="F1662">IFNA(_xlfn.XLOOKUP(D1662,Table_Tarikan_Warkah[Nomor Tiket],Table_Tarikan_Warkah[Nama Petugas Warkah]),"")</f>
        <v/>
      </c>
      <c r="G1662" s="21" t="str">
        <f t="array" ref="G1662">IFNA(_xlfn.XLOOKUP(D1662,Table_Tarikan_Warkah[Nomor Tiket],Table_Tarikan_Warkah[Jenis Permohonan]),"")</f>
        <v/>
      </c>
      <c r="H1662" s="26"/>
      <c r="I1662" s="26"/>
      <c r="J1662" s="20" t="str">
        <f t="shared" si="29"/>
        <v/>
      </c>
      <c r="K1662" s="26"/>
      <c r="L1662" s="26"/>
      <c r="M1662" s="20" t="str">
        <f t="shared" si="30"/>
        <v/>
      </c>
      <c r="N1662" s="8" t="str">
        <f t="shared" si="3"/>
        <v/>
      </c>
      <c r="O1662" s="21" t="str">
        <f t="shared" si="22"/>
        <v/>
      </c>
      <c r="P1662" s="24" t="b">
        <v>0</v>
      </c>
      <c r="Q1662" s="20" t="str">
        <f t="shared" si="31"/>
        <v/>
      </c>
      <c r="R1662" s="24" t="b">
        <v>0</v>
      </c>
      <c r="S1662" s="7" t="str">
        <f t="shared" si="6"/>
        <v/>
      </c>
      <c r="T1662" s="7"/>
    </row>
    <row r="1663" ht="22.5" hidden="1" customHeight="1">
      <c r="B1663" s="7">
        <f t="shared" si="7"/>
        <v>1657</v>
      </c>
      <c r="C1663" s="40"/>
      <c r="D1663" s="19" t="str">
        <f t="array" ref="D1663">IFNA(_xlfn.XLOOKUP(C1663,Table_Tarikan_Warkah[Nomor Sertipikat],Table_Tarikan_Warkah[Nomor Tiket]),"")</f>
        <v/>
      </c>
      <c r="E1663" s="20" t="str">
        <f t="array" ref="E1663">IFNA(_xlfn.XLOOKUP(D1663,Table_Tarikan_Warkah[Nomor Tiket],Table_Tarikan_Warkah[Tanggal diserahkan kepada Validator]),"")</f>
        <v/>
      </c>
      <c r="F1663" s="20" t="str">
        <f t="array" ref="F1663">IFNA(_xlfn.XLOOKUP(D1663,Table_Tarikan_Warkah[Nomor Tiket],Table_Tarikan_Warkah[Nama Petugas Warkah]),"")</f>
        <v/>
      </c>
      <c r="G1663" s="21" t="str">
        <f t="array" ref="G1663">IFNA(_xlfn.XLOOKUP(D1663,Table_Tarikan_Warkah[Nomor Tiket],Table_Tarikan_Warkah[Jenis Permohonan]),"")</f>
        <v/>
      </c>
      <c r="H1663" s="26"/>
      <c r="I1663" s="26"/>
      <c r="J1663" s="20" t="str">
        <f t="shared" si="29"/>
        <v/>
      </c>
      <c r="K1663" s="26"/>
      <c r="L1663" s="26"/>
      <c r="M1663" s="20" t="str">
        <f t="shared" si="30"/>
        <v/>
      </c>
      <c r="N1663" s="8" t="str">
        <f t="shared" si="3"/>
        <v/>
      </c>
      <c r="O1663" s="21" t="str">
        <f t="shared" si="22"/>
        <v/>
      </c>
      <c r="P1663" s="24" t="b">
        <v>0</v>
      </c>
      <c r="Q1663" s="20" t="str">
        <f t="shared" si="31"/>
        <v/>
      </c>
      <c r="R1663" s="24" t="b">
        <v>0</v>
      </c>
      <c r="S1663" s="7" t="str">
        <f t="shared" si="6"/>
        <v/>
      </c>
      <c r="T1663" s="7"/>
    </row>
    <row r="1664" ht="22.5" hidden="1" customHeight="1">
      <c r="B1664" s="7">
        <f t="shared" si="7"/>
        <v>1658</v>
      </c>
      <c r="C1664" s="40"/>
      <c r="D1664" s="19" t="str">
        <f t="array" ref="D1664">IFNA(_xlfn.XLOOKUP(C1664,Table_Tarikan_Warkah[Nomor Sertipikat],Table_Tarikan_Warkah[Nomor Tiket]),"")</f>
        <v/>
      </c>
      <c r="E1664" s="20" t="str">
        <f t="array" ref="E1664">IFNA(_xlfn.XLOOKUP(D1664,Table_Tarikan_Warkah[Nomor Tiket],Table_Tarikan_Warkah[Tanggal diserahkan kepada Validator]),"")</f>
        <v/>
      </c>
      <c r="F1664" s="20" t="str">
        <f t="array" ref="F1664">IFNA(_xlfn.XLOOKUP(D1664,Table_Tarikan_Warkah[Nomor Tiket],Table_Tarikan_Warkah[Nama Petugas Warkah]),"")</f>
        <v/>
      </c>
      <c r="G1664" s="21" t="str">
        <f t="array" ref="G1664">IFNA(_xlfn.XLOOKUP(D1664,Table_Tarikan_Warkah[Nomor Tiket],Table_Tarikan_Warkah[Jenis Permohonan]),"")</f>
        <v/>
      </c>
      <c r="H1664" s="26"/>
      <c r="I1664" s="26"/>
      <c r="J1664" s="20" t="str">
        <f t="shared" si="29"/>
        <v/>
      </c>
      <c r="K1664" s="26"/>
      <c r="L1664" s="26"/>
      <c r="M1664" s="20" t="str">
        <f t="shared" si="30"/>
        <v/>
      </c>
      <c r="N1664" s="8" t="str">
        <f t="shared" si="3"/>
        <v/>
      </c>
      <c r="O1664" s="21" t="str">
        <f t="shared" si="22"/>
        <v/>
      </c>
      <c r="P1664" s="24" t="b">
        <v>0</v>
      </c>
      <c r="Q1664" s="20" t="str">
        <f t="shared" si="31"/>
        <v/>
      </c>
      <c r="R1664" s="24" t="b">
        <v>0</v>
      </c>
      <c r="S1664" s="7" t="str">
        <f t="shared" si="6"/>
        <v/>
      </c>
      <c r="T1664" s="7"/>
    </row>
    <row r="1665" ht="22.5" hidden="1" customHeight="1">
      <c r="B1665" s="7">
        <f t="shared" si="7"/>
        <v>1659</v>
      </c>
      <c r="C1665" s="40"/>
      <c r="D1665" s="19" t="str">
        <f t="array" ref="D1665">IFNA(_xlfn.XLOOKUP(C1665,Table_Tarikan_Warkah[Nomor Sertipikat],Table_Tarikan_Warkah[Nomor Tiket]),"")</f>
        <v/>
      </c>
      <c r="E1665" s="20" t="str">
        <f t="array" ref="E1665">IFNA(_xlfn.XLOOKUP(D1665,Table_Tarikan_Warkah[Nomor Tiket],Table_Tarikan_Warkah[Tanggal diserahkan kepada Validator]),"")</f>
        <v/>
      </c>
      <c r="F1665" s="20" t="str">
        <f t="array" ref="F1665">IFNA(_xlfn.XLOOKUP(D1665,Table_Tarikan_Warkah[Nomor Tiket],Table_Tarikan_Warkah[Nama Petugas Warkah]),"")</f>
        <v/>
      </c>
      <c r="G1665" s="21" t="str">
        <f t="array" ref="G1665">IFNA(_xlfn.XLOOKUP(D1665,Table_Tarikan_Warkah[Nomor Tiket],Table_Tarikan_Warkah[Jenis Permohonan]),"")</f>
        <v/>
      </c>
      <c r="H1665" s="26"/>
      <c r="I1665" s="26"/>
      <c r="J1665" s="20" t="str">
        <f t="shared" si="29"/>
        <v/>
      </c>
      <c r="K1665" s="26"/>
      <c r="L1665" s="26"/>
      <c r="M1665" s="20" t="str">
        <f t="shared" si="30"/>
        <v/>
      </c>
      <c r="N1665" s="8" t="str">
        <f t="shared" si="3"/>
        <v/>
      </c>
      <c r="O1665" s="21" t="str">
        <f t="shared" si="22"/>
        <v/>
      </c>
      <c r="P1665" s="24" t="b">
        <v>0</v>
      </c>
      <c r="Q1665" s="20" t="str">
        <f t="shared" si="31"/>
        <v/>
      </c>
      <c r="R1665" s="24" t="b">
        <v>0</v>
      </c>
      <c r="S1665" s="7" t="str">
        <f t="shared" si="6"/>
        <v/>
      </c>
      <c r="T1665" s="7"/>
    </row>
    <row r="1666" ht="22.5" hidden="1" customHeight="1">
      <c r="B1666" s="7">
        <f t="shared" si="7"/>
        <v>1660</v>
      </c>
      <c r="C1666" s="40"/>
      <c r="D1666" s="19" t="str">
        <f t="array" ref="D1666">IFNA(_xlfn.XLOOKUP(C1666,Table_Tarikan_Warkah[Nomor Sertipikat],Table_Tarikan_Warkah[Nomor Tiket]),"")</f>
        <v/>
      </c>
      <c r="E1666" s="20" t="str">
        <f t="array" ref="E1666">IFNA(_xlfn.XLOOKUP(D1666,Table_Tarikan_Warkah[Nomor Tiket],Table_Tarikan_Warkah[Tanggal diserahkan kepada Validator]),"")</f>
        <v/>
      </c>
      <c r="F1666" s="20" t="str">
        <f t="array" ref="F1666">IFNA(_xlfn.XLOOKUP(D1666,Table_Tarikan_Warkah[Nomor Tiket],Table_Tarikan_Warkah[Nama Petugas Warkah]),"")</f>
        <v/>
      </c>
      <c r="G1666" s="21" t="str">
        <f t="array" ref="G1666">IFNA(_xlfn.XLOOKUP(D1666,Table_Tarikan_Warkah[Nomor Tiket],Table_Tarikan_Warkah[Jenis Permohonan]),"")</f>
        <v/>
      </c>
      <c r="H1666" s="26"/>
      <c r="I1666" s="26"/>
      <c r="J1666" s="20" t="str">
        <f t="shared" si="29"/>
        <v/>
      </c>
      <c r="K1666" s="26"/>
      <c r="L1666" s="26"/>
      <c r="M1666" s="20" t="str">
        <f t="shared" si="30"/>
        <v/>
      </c>
      <c r="N1666" s="8" t="str">
        <f t="shared" si="3"/>
        <v/>
      </c>
      <c r="O1666" s="21" t="str">
        <f t="shared" si="22"/>
        <v/>
      </c>
      <c r="P1666" s="24" t="b">
        <v>0</v>
      </c>
      <c r="Q1666" s="20" t="str">
        <f t="shared" si="31"/>
        <v/>
      </c>
      <c r="R1666" s="24" t="b">
        <v>0</v>
      </c>
      <c r="S1666" s="7" t="str">
        <f t="shared" si="6"/>
        <v/>
      </c>
      <c r="T1666" s="7"/>
    </row>
    <row r="1667" ht="22.5" hidden="1" customHeight="1">
      <c r="B1667" s="7">
        <f t="shared" si="7"/>
        <v>1661</v>
      </c>
      <c r="C1667" s="40"/>
      <c r="D1667" s="19" t="str">
        <f t="array" ref="D1667">IFNA(_xlfn.XLOOKUP(C1667,Table_Tarikan_Warkah[Nomor Sertipikat],Table_Tarikan_Warkah[Nomor Tiket]),"")</f>
        <v/>
      </c>
      <c r="E1667" s="20" t="str">
        <f t="array" ref="E1667">IFNA(_xlfn.XLOOKUP(D1667,Table_Tarikan_Warkah[Nomor Tiket],Table_Tarikan_Warkah[Tanggal diserahkan kepada Validator]),"")</f>
        <v/>
      </c>
      <c r="F1667" s="20" t="str">
        <f t="array" ref="F1667">IFNA(_xlfn.XLOOKUP(D1667,Table_Tarikan_Warkah[Nomor Tiket],Table_Tarikan_Warkah[Nama Petugas Warkah]),"")</f>
        <v/>
      </c>
      <c r="G1667" s="21" t="str">
        <f t="array" ref="G1667">IFNA(_xlfn.XLOOKUP(D1667,Table_Tarikan_Warkah[Nomor Tiket],Table_Tarikan_Warkah[Jenis Permohonan]),"")</f>
        <v/>
      </c>
      <c r="H1667" s="26"/>
      <c r="I1667" s="26"/>
      <c r="J1667" s="20" t="str">
        <f t="shared" si="29"/>
        <v/>
      </c>
      <c r="K1667" s="26"/>
      <c r="L1667" s="26"/>
      <c r="M1667" s="20" t="str">
        <f t="shared" si="30"/>
        <v/>
      </c>
      <c r="N1667" s="8" t="str">
        <f t="shared" si="3"/>
        <v/>
      </c>
      <c r="O1667" s="21" t="str">
        <f t="shared" si="22"/>
        <v/>
      </c>
      <c r="P1667" s="24" t="b">
        <v>0</v>
      </c>
      <c r="Q1667" s="20" t="str">
        <f t="shared" si="31"/>
        <v/>
      </c>
      <c r="R1667" s="24" t="b">
        <v>0</v>
      </c>
      <c r="S1667" s="7" t="str">
        <f t="shared" si="6"/>
        <v/>
      </c>
      <c r="T1667" s="7"/>
    </row>
    <row r="1668" ht="22.5" hidden="1" customHeight="1">
      <c r="B1668" s="7">
        <f t="shared" si="7"/>
        <v>1662</v>
      </c>
      <c r="C1668" s="40"/>
      <c r="D1668" s="19" t="str">
        <f t="array" ref="D1668">IFNA(_xlfn.XLOOKUP(C1668,Table_Tarikan_Warkah[Nomor Sertipikat],Table_Tarikan_Warkah[Nomor Tiket]),"")</f>
        <v/>
      </c>
      <c r="E1668" s="20" t="str">
        <f t="array" ref="E1668">IFNA(_xlfn.XLOOKUP(D1668,Table_Tarikan_Warkah[Nomor Tiket],Table_Tarikan_Warkah[Tanggal diserahkan kepada Validator]),"")</f>
        <v/>
      </c>
      <c r="F1668" s="20" t="str">
        <f t="array" ref="F1668">IFNA(_xlfn.XLOOKUP(D1668,Table_Tarikan_Warkah[Nomor Tiket],Table_Tarikan_Warkah[Nama Petugas Warkah]),"")</f>
        <v/>
      </c>
      <c r="G1668" s="21" t="str">
        <f t="array" ref="G1668">IFNA(_xlfn.XLOOKUP(D1668,Table_Tarikan_Warkah[Nomor Tiket],Table_Tarikan_Warkah[Jenis Permohonan]),"")</f>
        <v/>
      </c>
      <c r="H1668" s="26"/>
      <c r="I1668" s="26"/>
      <c r="J1668" s="20" t="str">
        <f t="shared" si="29"/>
        <v/>
      </c>
      <c r="K1668" s="26"/>
      <c r="L1668" s="26"/>
      <c r="M1668" s="20" t="str">
        <f t="shared" si="30"/>
        <v/>
      </c>
      <c r="N1668" s="8" t="str">
        <f t="shared" si="3"/>
        <v/>
      </c>
      <c r="O1668" s="21" t="str">
        <f t="shared" si="22"/>
        <v/>
      </c>
      <c r="P1668" s="24" t="b">
        <v>0</v>
      </c>
      <c r="Q1668" s="20" t="str">
        <f t="shared" si="31"/>
        <v/>
      </c>
      <c r="R1668" s="24" t="b">
        <v>0</v>
      </c>
      <c r="S1668" s="7" t="str">
        <f t="shared" si="6"/>
        <v/>
      </c>
      <c r="T1668" s="7"/>
    </row>
    <row r="1669" ht="22.5" hidden="1" customHeight="1">
      <c r="B1669" s="7">
        <f t="shared" si="7"/>
        <v>1663</v>
      </c>
      <c r="C1669" s="40"/>
      <c r="D1669" s="19" t="str">
        <f t="array" ref="D1669">IFNA(_xlfn.XLOOKUP(C1669,Table_Tarikan_Warkah[Nomor Sertipikat],Table_Tarikan_Warkah[Nomor Tiket]),"")</f>
        <v/>
      </c>
      <c r="E1669" s="20" t="str">
        <f t="array" ref="E1669">IFNA(_xlfn.XLOOKUP(D1669,Table_Tarikan_Warkah[Nomor Tiket],Table_Tarikan_Warkah[Tanggal diserahkan kepada Validator]),"")</f>
        <v/>
      </c>
      <c r="F1669" s="20" t="str">
        <f t="array" ref="F1669">IFNA(_xlfn.XLOOKUP(D1669,Table_Tarikan_Warkah[Nomor Tiket],Table_Tarikan_Warkah[Nama Petugas Warkah]),"")</f>
        <v/>
      </c>
      <c r="G1669" s="21" t="str">
        <f t="array" ref="G1669">IFNA(_xlfn.XLOOKUP(D1669,Table_Tarikan_Warkah[Nomor Tiket],Table_Tarikan_Warkah[Jenis Permohonan]),"")</f>
        <v/>
      </c>
      <c r="H1669" s="26"/>
      <c r="I1669" s="26"/>
      <c r="J1669" s="20" t="str">
        <f t="shared" si="29"/>
        <v/>
      </c>
      <c r="K1669" s="26"/>
      <c r="L1669" s="26"/>
      <c r="M1669" s="20" t="str">
        <f t="shared" si="30"/>
        <v/>
      </c>
      <c r="N1669" s="8" t="str">
        <f t="shared" si="3"/>
        <v/>
      </c>
      <c r="O1669" s="21" t="str">
        <f t="shared" si="22"/>
        <v/>
      </c>
      <c r="P1669" s="24" t="b">
        <v>0</v>
      </c>
      <c r="Q1669" s="20" t="str">
        <f t="shared" si="31"/>
        <v/>
      </c>
      <c r="R1669" s="24" t="b">
        <v>0</v>
      </c>
      <c r="S1669" s="7" t="str">
        <f t="shared" si="6"/>
        <v/>
      </c>
      <c r="T1669" s="7"/>
    </row>
    <row r="1670" ht="22.5" hidden="1" customHeight="1">
      <c r="B1670" s="7">
        <f t="shared" si="7"/>
        <v>1664</v>
      </c>
      <c r="C1670" s="40"/>
      <c r="D1670" s="19" t="str">
        <f t="array" ref="D1670">IFNA(_xlfn.XLOOKUP(C1670,Table_Tarikan_Warkah[Nomor Sertipikat],Table_Tarikan_Warkah[Nomor Tiket]),"")</f>
        <v/>
      </c>
      <c r="E1670" s="20" t="str">
        <f t="array" ref="E1670">IFNA(_xlfn.XLOOKUP(D1670,Table_Tarikan_Warkah[Nomor Tiket],Table_Tarikan_Warkah[Tanggal diserahkan kepada Validator]),"")</f>
        <v/>
      </c>
      <c r="F1670" s="20" t="str">
        <f t="array" ref="F1670">IFNA(_xlfn.XLOOKUP(D1670,Table_Tarikan_Warkah[Nomor Tiket],Table_Tarikan_Warkah[Nama Petugas Warkah]),"")</f>
        <v/>
      </c>
      <c r="G1670" s="21" t="str">
        <f t="array" ref="G1670">IFNA(_xlfn.XLOOKUP(D1670,Table_Tarikan_Warkah[Nomor Tiket],Table_Tarikan_Warkah[Jenis Permohonan]),"")</f>
        <v/>
      </c>
      <c r="H1670" s="26"/>
      <c r="I1670" s="26"/>
      <c r="J1670" s="20" t="str">
        <f t="shared" si="29"/>
        <v/>
      </c>
      <c r="K1670" s="26"/>
      <c r="L1670" s="26"/>
      <c r="M1670" s="20" t="str">
        <f t="shared" si="30"/>
        <v/>
      </c>
      <c r="N1670" s="8" t="str">
        <f t="shared" si="3"/>
        <v/>
      </c>
      <c r="O1670" s="21" t="str">
        <f t="shared" si="22"/>
        <v/>
      </c>
      <c r="P1670" s="24" t="b">
        <v>0</v>
      </c>
      <c r="Q1670" s="20" t="str">
        <f t="shared" si="31"/>
        <v/>
      </c>
      <c r="R1670" s="24" t="b">
        <v>0</v>
      </c>
      <c r="S1670" s="7" t="str">
        <f t="shared" si="6"/>
        <v/>
      </c>
      <c r="T1670" s="7"/>
    </row>
    <row r="1671" ht="22.5" hidden="1" customHeight="1">
      <c r="B1671" s="7">
        <f t="shared" si="7"/>
        <v>1665</v>
      </c>
      <c r="C1671" s="40"/>
      <c r="D1671" s="19" t="str">
        <f t="array" ref="D1671">IFNA(_xlfn.XLOOKUP(C1671,Table_Tarikan_Warkah[Nomor Sertipikat],Table_Tarikan_Warkah[Nomor Tiket]),"")</f>
        <v/>
      </c>
      <c r="E1671" s="20" t="str">
        <f t="array" ref="E1671">IFNA(_xlfn.XLOOKUP(D1671,Table_Tarikan_Warkah[Nomor Tiket],Table_Tarikan_Warkah[Tanggal diserahkan kepada Validator]),"")</f>
        <v/>
      </c>
      <c r="F1671" s="20" t="str">
        <f t="array" ref="F1671">IFNA(_xlfn.XLOOKUP(D1671,Table_Tarikan_Warkah[Nomor Tiket],Table_Tarikan_Warkah[Nama Petugas Warkah]),"")</f>
        <v/>
      </c>
      <c r="G1671" s="21" t="str">
        <f t="array" ref="G1671">IFNA(_xlfn.XLOOKUP(D1671,Table_Tarikan_Warkah[Nomor Tiket],Table_Tarikan_Warkah[Jenis Permohonan]),"")</f>
        <v/>
      </c>
      <c r="H1671" s="26"/>
      <c r="I1671" s="26"/>
      <c r="J1671" s="20" t="str">
        <f t="shared" si="29"/>
        <v/>
      </c>
      <c r="K1671" s="26"/>
      <c r="L1671" s="26"/>
      <c r="M1671" s="20" t="str">
        <f t="shared" si="30"/>
        <v/>
      </c>
      <c r="N1671" s="8" t="str">
        <f t="shared" si="3"/>
        <v/>
      </c>
      <c r="O1671" s="21" t="str">
        <f t="shared" si="22"/>
        <v/>
      </c>
      <c r="P1671" s="24" t="b">
        <v>0</v>
      </c>
      <c r="Q1671" s="20" t="str">
        <f t="shared" si="31"/>
        <v/>
      </c>
      <c r="R1671" s="24" t="b">
        <v>0</v>
      </c>
      <c r="S1671" s="7" t="str">
        <f t="shared" si="6"/>
        <v/>
      </c>
      <c r="T1671" s="7"/>
    </row>
    <row r="1672" ht="22.5" hidden="1" customHeight="1">
      <c r="B1672" s="7">
        <f t="shared" si="7"/>
        <v>1666</v>
      </c>
      <c r="C1672" s="40"/>
      <c r="D1672" s="19" t="str">
        <f t="array" ref="D1672">IFNA(_xlfn.XLOOKUP(C1672,Table_Tarikan_Warkah[Nomor Sertipikat],Table_Tarikan_Warkah[Nomor Tiket]),"")</f>
        <v/>
      </c>
      <c r="E1672" s="20" t="str">
        <f t="array" ref="E1672">IFNA(_xlfn.XLOOKUP(D1672,Table_Tarikan_Warkah[Nomor Tiket],Table_Tarikan_Warkah[Tanggal diserahkan kepada Validator]),"")</f>
        <v/>
      </c>
      <c r="F1672" s="20" t="str">
        <f t="array" ref="F1672">IFNA(_xlfn.XLOOKUP(D1672,Table_Tarikan_Warkah[Nomor Tiket],Table_Tarikan_Warkah[Nama Petugas Warkah]),"")</f>
        <v/>
      </c>
      <c r="G1672" s="21" t="str">
        <f t="array" ref="G1672">IFNA(_xlfn.XLOOKUP(D1672,Table_Tarikan_Warkah[Nomor Tiket],Table_Tarikan_Warkah[Jenis Permohonan]),"")</f>
        <v/>
      </c>
      <c r="H1672" s="26"/>
      <c r="I1672" s="26"/>
      <c r="J1672" s="20" t="str">
        <f t="shared" si="29"/>
        <v/>
      </c>
      <c r="K1672" s="26"/>
      <c r="L1672" s="26"/>
      <c r="M1672" s="20" t="str">
        <f t="shared" si="30"/>
        <v/>
      </c>
      <c r="N1672" s="8" t="str">
        <f t="shared" si="3"/>
        <v/>
      </c>
      <c r="O1672" s="21" t="str">
        <f t="shared" si="22"/>
        <v/>
      </c>
      <c r="P1672" s="24" t="b">
        <v>0</v>
      </c>
      <c r="Q1672" s="20" t="str">
        <f t="shared" si="31"/>
        <v/>
      </c>
      <c r="R1672" s="24" t="b">
        <v>0</v>
      </c>
      <c r="S1672" s="7" t="str">
        <f t="shared" si="6"/>
        <v/>
      </c>
      <c r="T1672" s="7"/>
    </row>
    <row r="1673" ht="22.5" hidden="1" customHeight="1">
      <c r="B1673" s="7">
        <f t="shared" si="7"/>
        <v>1667</v>
      </c>
      <c r="C1673" s="40"/>
      <c r="D1673" s="19" t="str">
        <f t="array" ref="D1673">IFNA(_xlfn.XLOOKUP(C1673,Table_Tarikan_Warkah[Nomor Sertipikat],Table_Tarikan_Warkah[Nomor Tiket]),"")</f>
        <v/>
      </c>
      <c r="E1673" s="20" t="str">
        <f t="array" ref="E1673">IFNA(_xlfn.XLOOKUP(D1673,Table_Tarikan_Warkah[Nomor Tiket],Table_Tarikan_Warkah[Tanggal diserahkan kepada Validator]),"")</f>
        <v/>
      </c>
      <c r="F1673" s="20" t="str">
        <f t="array" ref="F1673">IFNA(_xlfn.XLOOKUP(D1673,Table_Tarikan_Warkah[Nomor Tiket],Table_Tarikan_Warkah[Nama Petugas Warkah]),"")</f>
        <v/>
      </c>
      <c r="G1673" s="21" t="str">
        <f t="array" ref="G1673">IFNA(_xlfn.XLOOKUP(D1673,Table_Tarikan_Warkah[Nomor Tiket],Table_Tarikan_Warkah[Jenis Permohonan]),"")</f>
        <v/>
      </c>
      <c r="H1673" s="26"/>
      <c r="I1673" s="26"/>
      <c r="J1673" s="20" t="str">
        <f t="shared" si="29"/>
        <v/>
      </c>
      <c r="K1673" s="26"/>
      <c r="L1673" s="26"/>
      <c r="M1673" s="20" t="str">
        <f t="shared" si="30"/>
        <v/>
      </c>
      <c r="N1673" s="8" t="str">
        <f t="shared" si="3"/>
        <v/>
      </c>
      <c r="O1673" s="21" t="str">
        <f t="shared" si="22"/>
        <v/>
      </c>
      <c r="P1673" s="24" t="b">
        <v>0</v>
      </c>
      <c r="Q1673" s="20" t="str">
        <f t="shared" si="31"/>
        <v/>
      </c>
      <c r="R1673" s="24" t="b">
        <v>0</v>
      </c>
      <c r="S1673" s="7" t="str">
        <f t="shared" si="6"/>
        <v/>
      </c>
      <c r="T1673" s="7"/>
    </row>
    <row r="1674" ht="22.5" hidden="1" customHeight="1">
      <c r="B1674" s="7">
        <f t="shared" si="7"/>
        <v>1668</v>
      </c>
      <c r="C1674" s="40"/>
      <c r="D1674" s="19" t="str">
        <f t="array" ref="D1674">IFNA(_xlfn.XLOOKUP(C1674,Table_Tarikan_Warkah[Nomor Sertipikat],Table_Tarikan_Warkah[Nomor Tiket]),"")</f>
        <v/>
      </c>
      <c r="E1674" s="20" t="str">
        <f t="array" ref="E1674">IFNA(_xlfn.XLOOKUP(D1674,Table_Tarikan_Warkah[Nomor Tiket],Table_Tarikan_Warkah[Tanggal diserahkan kepada Validator]),"")</f>
        <v/>
      </c>
      <c r="F1674" s="20" t="str">
        <f t="array" ref="F1674">IFNA(_xlfn.XLOOKUP(D1674,Table_Tarikan_Warkah[Nomor Tiket],Table_Tarikan_Warkah[Nama Petugas Warkah]),"")</f>
        <v/>
      </c>
      <c r="G1674" s="21" t="str">
        <f t="array" ref="G1674">IFNA(_xlfn.XLOOKUP(D1674,Table_Tarikan_Warkah[Nomor Tiket],Table_Tarikan_Warkah[Jenis Permohonan]),"")</f>
        <v/>
      </c>
      <c r="H1674" s="26"/>
      <c r="I1674" s="26"/>
      <c r="J1674" s="20" t="str">
        <f t="shared" si="29"/>
        <v/>
      </c>
      <c r="K1674" s="26"/>
      <c r="L1674" s="26"/>
      <c r="M1674" s="20" t="str">
        <f t="shared" si="30"/>
        <v/>
      </c>
      <c r="N1674" s="8" t="str">
        <f t="shared" si="3"/>
        <v/>
      </c>
      <c r="O1674" s="21" t="str">
        <f t="shared" si="22"/>
        <v/>
      </c>
      <c r="P1674" s="24" t="b">
        <v>0</v>
      </c>
      <c r="Q1674" s="20" t="str">
        <f t="shared" si="31"/>
        <v/>
      </c>
      <c r="R1674" s="24" t="b">
        <v>0</v>
      </c>
      <c r="S1674" s="7" t="str">
        <f t="shared" si="6"/>
        <v/>
      </c>
      <c r="T1674" s="7"/>
    </row>
    <row r="1675" ht="22.5" hidden="1" customHeight="1">
      <c r="B1675" s="7">
        <f t="shared" si="7"/>
        <v>1669</v>
      </c>
      <c r="C1675" s="40"/>
      <c r="D1675" s="19" t="str">
        <f t="array" ref="D1675">IFNA(_xlfn.XLOOKUP(C1675,Table_Tarikan_Warkah[Nomor Sertipikat],Table_Tarikan_Warkah[Nomor Tiket]),"")</f>
        <v/>
      </c>
      <c r="E1675" s="20" t="str">
        <f t="array" ref="E1675">IFNA(_xlfn.XLOOKUP(D1675,Table_Tarikan_Warkah[Nomor Tiket],Table_Tarikan_Warkah[Tanggal diserahkan kepada Validator]),"")</f>
        <v/>
      </c>
      <c r="F1675" s="20" t="str">
        <f t="array" ref="F1675">IFNA(_xlfn.XLOOKUP(D1675,Table_Tarikan_Warkah[Nomor Tiket],Table_Tarikan_Warkah[Nama Petugas Warkah]),"")</f>
        <v/>
      </c>
      <c r="G1675" s="21" t="str">
        <f t="array" ref="G1675">IFNA(_xlfn.XLOOKUP(D1675,Table_Tarikan_Warkah[Nomor Tiket],Table_Tarikan_Warkah[Jenis Permohonan]),"")</f>
        <v/>
      </c>
      <c r="H1675" s="26"/>
      <c r="I1675" s="26"/>
      <c r="J1675" s="20" t="str">
        <f t="shared" si="29"/>
        <v/>
      </c>
      <c r="K1675" s="26"/>
      <c r="L1675" s="26"/>
      <c r="M1675" s="20" t="str">
        <f t="shared" si="30"/>
        <v/>
      </c>
      <c r="N1675" s="8" t="str">
        <f t="shared" si="3"/>
        <v/>
      </c>
      <c r="O1675" s="21" t="str">
        <f t="shared" si="22"/>
        <v/>
      </c>
      <c r="P1675" s="24" t="b">
        <v>0</v>
      </c>
      <c r="Q1675" s="20" t="str">
        <f t="shared" si="31"/>
        <v/>
      </c>
      <c r="R1675" s="24" t="b">
        <v>0</v>
      </c>
      <c r="S1675" s="7" t="str">
        <f t="shared" si="6"/>
        <v/>
      </c>
      <c r="T1675" s="7"/>
    </row>
    <row r="1676" ht="22.5" hidden="1" customHeight="1">
      <c r="B1676" s="7">
        <f t="shared" si="7"/>
        <v>1670</v>
      </c>
      <c r="C1676" s="40"/>
      <c r="D1676" s="19" t="str">
        <f t="array" ref="D1676">IFNA(_xlfn.XLOOKUP(C1676,Table_Tarikan_Warkah[Nomor Sertipikat],Table_Tarikan_Warkah[Nomor Tiket]),"")</f>
        <v/>
      </c>
      <c r="E1676" s="20" t="str">
        <f t="array" ref="E1676">IFNA(_xlfn.XLOOKUP(D1676,Table_Tarikan_Warkah[Nomor Tiket],Table_Tarikan_Warkah[Tanggal diserahkan kepada Validator]),"")</f>
        <v/>
      </c>
      <c r="F1676" s="20" t="str">
        <f t="array" ref="F1676">IFNA(_xlfn.XLOOKUP(D1676,Table_Tarikan_Warkah[Nomor Tiket],Table_Tarikan_Warkah[Nama Petugas Warkah]),"")</f>
        <v/>
      </c>
      <c r="G1676" s="21" t="str">
        <f t="array" ref="G1676">IFNA(_xlfn.XLOOKUP(D1676,Table_Tarikan_Warkah[Nomor Tiket],Table_Tarikan_Warkah[Jenis Permohonan]),"")</f>
        <v/>
      </c>
      <c r="H1676" s="26"/>
      <c r="I1676" s="26"/>
      <c r="J1676" s="20" t="str">
        <f t="shared" si="29"/>
        <v/>
      </c>
      <c r="K1676" s="26"/>
      <c r="L1676" s="26"/>
      <c r="M1676" s="20" t="str">
        <f t="shared" si="30"/>
        <v/>
      </c>
      <c r="N1676" s="8" t="str">
        <f t="shared" si="3"/>
        <v/>
      </c>
      <c r="O1676" s="21" t="str">
        <f t="shared" si="22"/>
        <v/>
      </c>
      <c r="P1676" s="24" t="b">
        <v>0</v>
      </c>
      <c r="Q1676" s="20" t="str">
        <f t="shared" si="31"/>
        <v/>
      </c>
      <c r="R1676" s="24" t="b">
        <v>0</v>
      </c>
      <c r="S1676" s="7" t="str">
        <f t="shared" si="6"/>
        <v/>
      </c>
      <c r="T1676" s="7"/>
    </row>
    <row r="1677" ht="22.5" hidden="1" customHeight="1">
      <c r="B1677" s="7">
        <f t="shared" si="7"/>
        <v>1671</v>
      </c>
      <c r="C1677" s="40"/>
      <c r="D1677" s="19" t="str">
        <f t="array" ref="D1677">IFNA(_xlfn.XLOOKUP(C1677,Table_Tarikan_Warkah[Nomor Sertipikat],Table_Tarikan_Warkah[Nomor Tiket]),"")</f>
        <v/>
      </c>
      <c r="E1677" s="20" t="str">
        <f t="array" ref="E1677">IFNA(_xlfn.XLOOKUP(D1677,Table_Tarikan_Warkah[Nomor Tiket],Table_Tarikan_Warkah[Tanggal diserahkan kepada Validator]),"")</f>
        <v/>
      </c>
      <c r="F1677" s="20" t="str">
        <f t="array" ref="F1677">IFNA(_xlfn.XLOOKUP(D1677,Table_Tarikan_Warkah[Nomor Tiket],Table_Tarikan_Warkah[Nama Petugas Warkah]),"")</f>
        <v/>
      </c>
      <c r="G1677" s="21" t="str">
        <f t="array" ref="G1677">IFNA(_xlfn.XLOOKUP(D1677,Table_Tarikan_Warkah[Nomor Tiket],Table_Tarikan_Warkah[Jenis Permohonan]),"")</f>
        <v/>
      </c>
      <c r="H1677" s="26"/>
      <c r="I1677" s="26"/>
      <c r="J1677" s="20" t="str">
        <f t="shared" si="29"/>
        <v/>
      </c>
      <c r="K1677" s="26"/>
      <c r="L1677" s="26"/>
      <c r="M1677" s="20" t="str">
        <f t="shared" si="30"/>
        <v/>
      </c>
      <c r="N1677" s="8" t="str">
        <f t="shared" si="3"/>
        <v/>
      </c>
      <c r="O1677" s="21" t="str">
        <f t="shared" si="22"/>
        <v/>
      </c>
      <c r="P1677" s="24" t="b">
        <v>0</v>
      </c>
      <c r="Q1677" s="20" t="str">
        <f t="shared" si="31"/>
        <v/>
      </c>
      <c r="R1677" s="24" t="b">
        <v>0</v>
      </c>
      <c r="S1677" s="7" t="str">
        <f t="shared" si="6"/>
        <v/>
      </c>
      <c r="T1677" s="7"/>
    </row>
    <row r="1678" ht="22.5" hidden="1" customHeight="1">
      <c r="B1678" s="7">
        <f t="shared" si="7"/>
        <v>1672</v>
      </c>
      <c r="C1678" s="40"/>
      <c r="D1678" s="19" t="str">
        <f t="array" ref="D1678">IFNA(_xlfn.XLOOKUP(C1678,Table_Tarikan_Warkah[Nomor Sertipikat],Table_Tarikan_Warkah[Nomor Tiket]),"")</f>
        <v/>
      </c>
      <c r="E1678" s="20" t="str">
        <f t="array" ref="E1678">IFNA(_xlfn.XLOOKUP(D1678,Table_Tarikan_Warkah[Nomor Tiket],Table_Tarikan_Warkah[Tanggal diserahkan kepada Validator]),"")</f>
        <v/>
      </c>
      <c r="F1678" s="20" t="str">
        <f t="array" ref="F1678">IFNA(_xlfn.XLOOKUP(D1678,Table_Tarikan_Warkah[Nomor Tiket],Table_Tarikan_Warkah[Nama Petugas Warkah]),"")</f>
        <v/>
      </c>
      <c r="G1678" s="21" t="str">
        <f t="array" ref="G1678">IFNA(_xlfn.XLOOKUP(D1678,Table_Tarikan_Warkah[Nomor Tiket],Table_Tarikan_Warkah[Jenis Permohonan]),"")</f>
        <v/>
      </c>
      <c r="H1678" s="26"/>
      <c r="I1678" s="26"/>
      <c r="J1678" s="20" t="str">
        <f t="shared" si="29"/>
        <v/>
      </c>
      <c r="K1678" s="26"/>
      <c r="L1678" s="26"/>
      <c r="M1678" s="20" t="str">
        <f t="shared" si="30"/>
        <v/>
      </c>
      <c r="N1678" s="8" t="str">
        <f t="shared" si="3"/>
        <v/>
      </c>
      <c r="O1678" s="21" t="str">
        <f t="shared" si="22"/>
        <v/>
      </c>
      <c r="P1678" s="24" t="b">
        <v>0</v>
      </c>
      <c r="Q1678" s="20" t="str">
        <f t="shared" si="31"/>
        <v/>
      </c>
      <c r="R1678" s="24" t="b">
        <v>0</v>
      </c>
      <c r="S1678" s="7" t="str">
        <f t="shared" si="6"/>
        <v/>
      </c>
      <c r="T1678" s="7"/>
    </row>
    <row r="1679" ht="22.5" hidden="1" customHeight="1">
      <c r="B1679" s="7">
        <f t="shared" si="7"/>
        <v>1673</v>
      </c>
      <c r="C1679" s="40"/>
      <c r="D1679" s="19" t="str">
        <f t="array" ref="D1679">IFNA(_xlfn.XLOOKUP(C1679,Table_Tarikan_Warkah[Nomor Sertipikat],Table_Tarikan_Warkah[Nomor Tiket]),"")</f>
        <v/>
      </c>
      <c r="E1679" s="20" t="str">
        <f t="array" ref="E1679">IFNA(_xlfn.XLOOKUP(D1679,Table_Tarikan_Warkah[Nomor Tiket],Table_Tarikan_Warkah[Tanggal diserahkan kepada Validator]),"")</f>
        <v/>
      </c>
      <c r="F1679" s="20" t="str">
        <f t="array" ref="F1679">IFNA(_xlfn.XLOOKUP(D1679,Table_Tarikan_Warkah[Nomor Tiket],Table_Tarikan_Warkah[Nama Petugas Warkah]),"")</f>
        <v/>
      </c>
      <c r="G1679" s="21" t="str">
        <f t="array" ref="G1679">IFNA(_xlfn.XLOOKUP(D1679,Table_Tarikan_Warkah[Nomor Tiket],Table_Tarikan_Warkah[Jenis Permohonan]),"")</f>
        <v/>
      </c>
      <c r="H1679" s="26"/>
      <c r="I1679" s="26"/>
      <c r="J1679" s="20" t="str">
        <f t="shared" si="29"/>
        <v/>
      </c>
      <c r="K1679" s="26"/>
      <c r="L1679" s="26"/>
      <c r="M1679" s="20" t="str">
        <f t="shared" si="30"/>
        <v/>
      </c>
      <c r="N1679" s="8" t="str">
        <f t="shared" si="3"/>
        <v/>
      </c>
      <c r="O1679" s="21" t="str">
        <f t="shared" si="22"/>
        <v/>
      </c>
      <c r="P1679" s="24" t="b">
        <v>0</v>
      </c>
      <c r="Q1679" s="20" t="str">
        <f t="shared" si="31"/>
        <v/>
      </c>
      <c r="R1679" s="24" t="b">
        <v>0</v>
      </c>
      <c r="S1679" s="7" t="str">
        <f t="shared" si="6"/>
        <v/>
      </c>
      <c r="T1679" s="7"/>
    </row>
    <row r="1680" ht="22.5" hidden="1" customHeight="1">
      <c r="B1680" s="7">
        <f t="shared" si="7"/>
        <v>1674</v>
      </c>
      <c r="C1680" s="40"/>
      <c r="D1680" s="19" t="str">
        <f t="array" ref="D1680">IFNA(_xlfn.XLOOKUP(C1680,Table_Tarikan_Warkah[Nomor Sertipikat],Table_Tarikan_Warkah[Nomor Tiket]),"")</f>
        <v/>
      </c>
      <c r="E1680" s="20" t="str">
        <f t="array" ref="E1680">IFNA(_xlfn.XLOOKUP(D1680,Table_Tarikan_Warkah[Nomor Tiket],Table_Tarikan_Warkah[Tanggal diserahkan kepada Validator]),"")</f>
        <v/>
      </c>
      <c r="F1680" s="20" t="str">
        <f t="array" ref="F1680">IFNA(_xlfn.XLOOKUP(D1680,Table_Tarikan_Warkah[Nomor Tiket],Table_Tarikan_Warkah[Nama Petugas Warkah]),"")</f>
        <v/>
      </c>
      <c r="G1680" s="21" t="str">
        <f t="array" ref="G1680">IFNA(_xlfn.XLOOKUP(D1680,Table_Tarikan_Warkah[Nomor Tiket],Table_Tarikan_Warkah[Jenis Permohonan]),"")</f>
        <v/>
      </c>
      <c r="H1680" s="26"/>
      <c r="I1680" s="26"/>
      <c r="J1680" s="20" t="str">
        <f t="shared" si="29"/>
        <v/>
      </c>
      <c r="K1680" s="26"/>
      <c r="L1680" s="26"/>
      <c r="M1680" s="20" t="str">
        <f t="shared" si="30"/>
        <v/>
      </c>
      <c r="N1680" s="8" t="str">
        <f t="shared" si="3"/>
        <v/>
      </c>
      <c r="O1680" s="21" t="str">
        <f t="shared" si="22"/>
        <v/>
      </c>
      <c r="P1680" s="24" t="b">
        <v>0</v>
      </c>
      <c r="Q1680" s="20" t="str">
        <f t="shared" si="31"/>
        <v/>
      </c>
      <c r="R1680" s="24" t="b">
        <v>0</v>
      </c>
      <c r="S1680" s="7" t="str">
        <f t="shared" si="6"/>
        <v/>
      </c>
      <c r="T1680" s="7"/>
    </row>
    <row r="1681" ht="22.5" hidden="1" customHeight="1">
      <c r="B1681" s="7">
        <f t="shared" si="7"/>
        <v>1675</v>
      </c>
      <c r="C1681" s="40"/>
      <c r="D1681" s="19" t="str">
        <f t="array" ref="D1681">IFNA(_xlfn.XLOOKUP(C1681,Table_Tarikan_Warkah[Nomor Sertipikat],Table_Tarikan_Warkah[Nomor Tiket]),"")</f>
        <v/>
      </c>
      <c r="E1681" s="20" t="str">
        <f t="array" ref="E1681">IFNA(_xlfn.XLOOKUP(D1681,Table_Tarikan_Warkah[Nomor Tiket],Table_Tarikan_Warkah[Tanggal diserahkan kepada Validator]),"")</f>
        <v/>
      </c>
      <c r="F1681" s="20" t="str">
        <f t="array" ref="F1681">IFNA(_xlfn.XLOOKUP(D1681,Table_Tarikan_Warkah[Nomor Tiket],Table_Tarikan_Warkah[Nama Petugas Warkah]),"")</f>
        <v/>
      </c>
      <c r="G1681" s="21" t="str">
        <f t="array" ref="G1681">IFNA(_xlfn.XLOOKUP(D1681,Table_Tarikan_Warkah[Nomor Tiket],Table_Tarikan_Warkah[Jenis Permohonan]),"")</f>
        <v/>
      </c>
      <c r="H1681" s="26"/>
      <c r="I1681" s="26"/>
      <c r="J1681" s="20" t="str">
        <f t="shared" si="29"/>
        <v/>
      </c>
      <c r="K1681" s="26"/>
      <c r="L1681" s="26"/>
      <c r="M1681" s="20" t="str">
        <f t="shared" si="30"/>
        <v/>
      </c>
      <c r="N1681" s="8" t="str">
        <f t="shared" si="3"/>
        <v/>
      </c>
      <c r="O1681" s="21" t="str">
        <f t="shared" si="22"/>
        <v/>
      </c>
      <c r="P1681" s="24" t="b">
        <v>0</v>
      </c>
      <c r="Q1681" s="20" t="str">
        <f t="shared" si="31"/>
        <v/>
      </c>
      <c r="R1681" s="24" t="b">
        <v>0</v>
      </c>
      <c r="S1681" s="7" t="str">
        <f t="shared" si="6"/>
        <v/>
      </c>
      <c r="T1681" s="7"/>
    </row>
    <row r="1682" ht="22.5" hidden="1" customHeight="1">
      <c r="B1682" s="7">
        <f t="shared" si="7"/>
        <v>1676</v>
      </c>
      <c r="C1682" s="40"/>
      <c r="D1682" s="19" t="str">
        <f t="array" ref="D1682">IFNA(_xlfn.XLOOKUP(C1682,Table_Tarikan_Warkah[Nomor Sertipikat],Table_Tarikan_Warkah[Nomor Tiket]),"")</f>
        <v/>
      </c>
      <c r="E1682" s="20" t="str">
        <f t="array" ref="E1682">IFNA(_xlfn.XLOOKUP(D1682,Table_Tarikan_Warkah[Nomor Tiket],Table_Tarikan_Warkah[Tanggal diserahkan kepada Validator]),"")</f>
        <v/>
      </c>
      <c r="F1682" s="20" t="str">
        <f t="array" ref="F1682">IFNA(_xlfn.XLOOKUP(D1682,Table_Tarikan_Warkah[Nomor Tiket],Table_Tarikan_Warkah[Nama Petugas Warkah]),"")</f>
        <v/>
      </c>
      <c r="G1682" s="21" t="str">
        <f t="array" ref="G1682">IFNA(_xlfn.XLOOKUP(D1682,Table_Tarikan_Warkah[Nomor Tiket],Table_Tarikan_Warkah[Jenis Permohonan]),"")</f>
        <v/>
      </c>
      <c r="H1682" s="26"/>
      <c r="I1682" s="26"/>
      <c r="J1682" s="20" t="str">
        <f t="shared" si="29"/>
        <v/>
      </c>
      <c r="K1682" s="26"/>
      <c r="L1682" s="26"/>
      <c r="M1682" s="20" t="str">
        <f t="shared" si="30"/>
        <v/>
      </c>
      <c r="N1682" s="8" t="str">
        <f t="shared" si="3"/>
        <v/>
      </c>
      <c r="O1682" s="21" t="str">
        <f t="shared" si="22"/>
        <v/>
      </c>
      <c r="P1682" s="24" t="b">
        <v>0</v>
      </c>
      <c r="Q1682" s="20" t="str">
        <f t="shared" si="31"/>
        <v/>
      </c>
      <c r="R1682" s="24" t="b">
        <v>0</v>
      </c>
      <c r="S1682" s="7" t="str">
        <f t="shared" si="6"/>
        <v/>
      </c>
      <c r="T1682" s="7"/>
    </row>
    <row r="1683" ht="22.5" hidden="1" customHeight="1">
      <c r="B1683" s="7">
        <f t="shared" si="7"/>
        <v>1677</v>
      </c>
      <c r="C1683" s="40"/>
      <c r="D1683" s="19" t="str">
        <f t="array" ref="D1683">IFNA(_xlfn.XLOOKUP(C1683,Table_Tarikan_Warkah[Nomor Sertipikat],Table_Tarikan_Warkah[Nomor Tiket]),"")</f>
        <v/>
      </c>
      <c r="E1683" s="20" t="str">
        <f t="array" ref="E1683">IFNA(_xlfn.XLOOKUP(D1683,Table_Tarikan_Warkah[Nomor Tiket],Table_Tarikan_Warkah[Tanggal diserahkan kepada Validator]),"")</f>
        <v/>
      </c>
      <c r="F1683" s="20" t="str">
        <f t="array" ref="F1683">IFNA(_xlfn.XLOOKUP(D1683,Table_Tarikan_Warkah[Nomor Tiket],Table_Tarikan_Warkah[Nama Petugas Warkah]),"")</f>
        <v/>
      </c>
      <c r="G1683" s="21" t="str">
        <f t="array" ref="G1683">IFNA(_xlfn.XLOOKUP(D1683,Table_Tarikan_Warkah[Nomor Tiket],Table_Tarikan_Warkah[Jenis Permohonan]),"")</f>
        <v/>
      </c>
      <c r="H1683" s="26"/>
      <c r="I1683" s="26"/>
      <c r="J1683" s="20" t="str">
        <f t="shared" si="29"/>
        <v/>
      </c>
      <c r="K1683" s="26"/>
      <c r="L1683" s="26"/>
      <c r="M1683" s="20" t="str">
        <f t="shared" si="30"/>
        <v/>
      </c>
      <c r="N1683" s="8" t="str">
        <f t="shared" si="3"/>
        <v/>
      </c>
      <c r="O1683" s="21" t="str">
        <f t="shared" si="22"/>
        <v/>
      </c>
      <c r="P1683" s="24" t="b">
        <v>0</v>
      </c>
      <c r="Q1683" s="20" t="str">
        <f t="shared" si="31"/>
        <v/>
      </c>
      <c r="R1683" s="24" t="b">
        <v>0</v>
      </c>
      <c r="S1683" s="7" t="str">
        <f t="shared" si="6"/>
        <v/>
      </c>
      <c r="T1683" s="7"/>
    </row>
    <row r="1684" ht="22.5" hidden="1" customHeight="1">
      <c r="B1684" s="7">
        <f t="shared" si="7"/>
        <v>1678</v>
      </c>
      <c r="C1684" s="40"/>
      <c r="D1684" s="19" t="str">
        <f t="array" ref="D1684">IFNA(_xlfn.XLOOKUP(C1684,Table_Tarikan_Warkah[Nomor Sertipikat],Table_Tarikan_Warkah[Nomor Tiket]),"")</f>
        <v/>
      </c>
      <c r="E1684" s="20" t="str">
        <f t="array" ref="E1684">IFNA(_xlfn.XLOOKUP(D1684,Table_Tarikan_Warkah[Nomor Tiket],Table_Tarikan_Warkah[Tanggal diserahkan kepada Validator]),"")</f>
        <v/>
      </c>
      <c r="F1684" s="20" t="str">
        <f t="array" ref="F1684">IFNA(_xlfn.XLOOKUP(D1684,Table_Tarikan_Warkah[Nomor Tiket],Table_Tarikan_Warkah[Nama Petugas Warkah]),"")</f>
        <v/>
      </c>
      <c r="G1684" s="21" t="str">
        <f t="array" ref="G1684">IFNA(_xlfn.XLOOKUP(D1684,Table_Tarikan_Warkah[Nomor Tiket],Table_Tarikan_Warkah[Jenis Permohonan]),"")</f>
        <v/>
      </c>
      <c r="H1684" s="26"/>
      <c r="I1684" s="26"/>
      <c r="J1684" s="20" t="str">
        <f t="shared" si="29"/>
        <v/>
      </c>
      <c r="K1684" s="26"/>
      <c r="L1684" s="26"/>
      <c r="M1684" s="20" t="str">
        <f t="shared" si="30"/>
        <v/>
      </c>
      <c r="N1684" s="8" t="str">
        <f t="shared" si="3"/>
        <v/>
      </c>
      <c r="O1684" s="21" t="str">
        <f t="shared" si="22"/>
        <v/>
      </c>
      <c r="P1684" s="24" t="b">
        <v>0</v>
      </c>
      <c r="Q1684" s="20" t="str">
        <f t="shared" si="31"/>
        <v/>
      </c>
      <c r="R1684" s="24" t="b">
        <v>0</v>
      </c>
      <c r="S1684" s="7" t="str">
        <f t="shared" si="6"/>
        <v/>
      </c>
      <c r="T1684" s="7"/>
    </row>
    <row r="1685" ht="22.5" hidden="1" customHeight="1">
      <c r="B1685" s="7">
        <f t="shared" si="7"/>
        <v>1679</v>
      </c>
      <c r="C1685" s="40"/>
      <c r="D1685" s="19" t="str">
        <f t="array" ref="D1685">IFNA(_xlfn.XLOOKUP(C1685,Table_Tarikan_Warkah[Nomor Sertipikat],Table_Tarikan_Warkah[Nomor Tiket]),"")</f>
        <v/>
      </c>
      <c r="E1685" s="20" t="str">
        <f t="array" ref="E1685">IFNA(_xlfn.XLOOKUP(D1685,Table_Tarikan_Warkah[Nomor Tiket],Table_Tarikan_Warkah[Tanggal diserahkan kepada Validator]),"")</f>
        <v/>
      </c>
      <c r="F1685" s="20" t="str">
        <f t="array" ref="F1685">IFNA(_xlfn.XLOOKUP(D1685,Table_Tarikan_Warkah[Nomor Tiket],Table_Tarikan_Warkah[Nama Petugas Warkah]),"")</f>
        <v/>
      </c>
      <c r="G1685" s="21" t="str">
        <f t="array" ref="G1685">IFNA(_xlfn.XLOOKUP(D1685,Table_Tarikan_Warkah[Nomor Tiket],Table_Tarikan_Warkah[Jenis Permohonan]),"")</f>
        <v/>
      </c>
      <c r="H1685" s="26"/>
      <c r="I1685" s="26"/>
      <c r="J1685" s="20" t="str">
        <f t="shared" si="29"/>
        <v/>
      </c>
      <c r="K1685" s="26"/>
      <c r="L1685" s="26"/>
      <c r="M1685" s="20" t="str">
        <f t="shared" si="30"/>
        <v/>
      </c>
      <c r="N1685" s="8" t="str">
        <f t="shared" si="3"/>
        <v/>
      </c>
      <c r="O1685" s="21" t="str">
        <f t="shared" si="22"/>
        <v/>
      </c>
      <c r="P1685" s="24" t="b">
        <v>0</v>
      </c>
      <c r="Q1685" s="20" t="str">
        <f t="shared" si="31"/>
        <v/>
      </c>
      <c r="R1685" s="24" t="b">
        <v>0</v>
      </c>
      <c r="S1685" s="7" t="str">
        <f t="shared" si="6"/>
        <v/>
      </c>
      <c r="T1685" s="7"/>
    </row>
    <row r="1686" ht="22.5" hidden="1" customHeight="1">
      <c r="B1686" s="7">
        <f t="shared" si="7"/>
        <v>1680</v>
      </c>
      <c r="C1686" s="40"/>
      <c r="D1686" s="19" t="str">
        <f t="array" ref="D1686">IFNA(_xlfn.XLOOKUP(C1686,Table_Tarikan_Warkah[Nomor Sertipikat],Table_Tarikan_Warkah[Nomor Tiket]),"")</f>
        <v/>
      </c>
      <c r="E1686" s="20" t="str">
        <f t="array" ref="E1686">IFNA(_xlfn.XLOOKUP(D1686,Table_Tarikan_Warkah[Nomor Tiket],Table_Tarikan_Warkah[Tanggal diserahkan kepada Validator]),"")</f>
        <v/>
      </c>
      <c r="F1686" s="20" t="str">
        <f t="array" ref="F1686">IFNA(_xlfn.XLOOKUP(D1686,Table_Tarikan_Warkah[Nomor Tiket],Table_Tarikan_Warkah[Nama Petugas Warkah]),"")</f>
        <v/>
      </c>
      <c r="G1686" s="21" t="str">
        <f t="array" ref="G1686">IFNA(_xlfn.XLOOKUP(D1686,Table_Tarikan_Warkah[Nomor Tiket],Table_Tarikan_Warkah[Jenis Permohonan]),"")</f>
        <v/>
      </c>
      <c r="H1686" s="26"/>
      <c r="I1686" s="26"/>
      <c r="J1686" s="20" t="str">
        <f t="shared" si="29"/>
        <v/>
      </c>
      <c r="K1686" s="26"/>
      <c r="L1686" s="26"/>
      <c r="M1686" s="20" t="str">
        <f t="shared" si="30"/>
        <v/>
      </c>
      <c r="N1686" s="8" t="str">
        <f t="shared" si="3"/>
        <v/>
      </c>
      <c r="O1686" s="21" t="str">
        <f t="shared" si="22"/>
        <v/>
      </c>
      <c r="P1686" s="24" t="b">
        <v>0</v>
      </c>
      <c r="Q1686" s="20" t="str">
        <f t="shared" si="31"/>
        <v/>
      </c>
      <c r="R1686" s="24" t="b">
        <v>0</v>
      </c>
      <c r="S1686" s="7" t="str">
        <f t="shared" si="6"/>
        <v/>
      </c>
      <c r="T1686" s="7"/>
    </row>
    <row r="1687" ht="22.5" hidden="1" customHeight="1">
      <c r="B1687" s="7">
        <f t="shared" si="7"/>
        <v>1681</v>
      </c>
      <c r="C1687" s="40"/>
      <c r="D1687" s="19" t="str">
        <f t="array" ref="D1687">IFNA(_xlfn.XLOOKUP(C1687,Table_Tarikan_Warkah[Nomor Sertipikat],Table_Tarikan_Warkah[Nomor Tiket]),"")</f>
        <v/>
      </c>
      <c r="E1687" s="20" t="str">
        <f t="array" ref="E1687">IFNA(_xlfn.XLOOKUP(D1687,Table_Tarikan_Warkah[Nomor Tiket],Table_Tarikan_Warkah[Tanggal diserahkan kepada Validator]),"")</f>
        <v/>
      </c>
      <c r="F1687" s="20" t="str">
        <f t="array" ref="F1687">IFNA(_xlfn.XLOOKUP(D1687,Table_Tarikan_Warkah[Nomor Tiket],Table_Tarikan_Warkah[Nama Petugas Warkah]),"")</f>
        <v/>
      </c>
      <c r="G1687" s="21" t="str">
        <f t="array" ref="G1687">IFNA(_xlfn.XLOOKUP(D1687,Table_Tarikan_Warkah[Nomor Tiket],Table_Tarikan_Warkah[Jenis Permohonan]),"")</f>
        <v/>
      </c>
      <c r="H1687" s="26"/>
      <c r="I1687" s="26"/>
      <c r="J1687" s="20" t="str">
        <f t="shared" si="29"/>
        <v/>
      </c>
      <c r="K1687" s="26"/>
      <c r="L1687" s="26"/>
      <c r="M1687" s="20" t="str">
        <f t="shared" si="30"/>
        <v/>
      </c>
      <c r="N1687" s="8" t="str">
        <f t="shared" si="3"/>
        <v/>
      </c>
      <c r="O1687" s="21" t="str">
        <f t="shared" si="22"/>
        <v/>
      </c>
      <c r="P1687" s="24" t="b">
        <v>0</v>
      </c>
      <c r="Q1687" s="20" t="str">
        <f t="shared" si="31"/>
        <v/>
      </c>
      <c r="R1687" s="24" t="b">
        <v>0</v>
      </c>
      <c r="S1687" s="7" t="str">
        <f t="shared" si="6"/>
        <v/>
      </c>
      <c r="T1687" s="7"/>
    </row>
    <row r="1688" ht="22.5" hidden="1" customHeight="1">
      <c r="B1688" s="7">
        <f t="shared" si="7"/>
        <v>1682</v>
      </c>
      <c r="C1688" s="40"/>
      <c r="D1688" s="19" t="str">
        <f t="array" ref="D1688">IFNA(_xlfn.XLOOKUP(C1688,Table_Tarikan_Warkah[Nomor Sertipikat],Table_Tarikan_Warkah[Nomor Tiket]),"")</f>
        <v/>
      </c>
      <c r="E1688" s="20" t="str">
        <f t="array" ref="E1688">IFNA(_xlfn.XLOOKUP(D1688,Table_Tarikan_Warkah[Nomor Tiket],Table_Tarikan_Warkah[Tanggal diserahkan kepada Validator]),"")</f>
        <v/>
      </c>
      <c r="F1688" s="20" t="str">
        <f t="array" ref="F1688">IFNA(_xlfn.XLOOKUP(D1688,Table_Tarikan_Warkah[Nomor Tiket],Table_Tarikan_Warkah[Nama Petugas Warkah]),"")</f>
        <v/>
      </c>
      <c r="G1688" s="21" t="str">
        <f t="array" ref="G1688">IFNA(_xlfn.XLOOKUP(D1688,Table_Tarikan_Warkah[Nomor Tiket],Table_Tarikan_Warkah[Jenis Permohonan]),"")</f>
        <v/>
      </c>
      <c r="H1688" s="26"/>
      <c r="I1688" s="26"/>
      <c r="J1688" s="20" t="str">
        <f t="shared" si="29"/>
        <v/>
      </c>
      <c r="K1688" s="26"/>
      <c r="L1688" s="26"/>
      <c r="M1688" s="20" t="str">
        <f t="shared" si="30"/>
        <v/>
      </c>
      <c r="N1688" s="8" t="str">
        <f t="shared" si="3"/>
        <v/>
      </c>
      <c r="O1688" s="21" t="str">
        <f t="shared" si="22"/>
        <v/>
      </c>
      <c r="P1688" s="24" t="b">
        <v>0</v>
      </c>
      <c r="Q1688" s="20" t="str">
        <f t="shared" si="31"/>
        <v/>
      </c>
      <c r="R1688" s="24" t="b">
        <v>0</v>
      </c>
      <c r="S1688" s="7" t="str">
        <f t="shared" si="6"/>
        <v/>
      </c>
      <c r="T1688" s="7"/>
    </row>
    <row r="1689" ht="22.5" hidden="1" customHeight="1">
      <c r="B1689" s="7">
        <f t="shared" si="7"/>
        <v>1683</v>
      </c>
      <c r="C1689" s="40"/>
      <c r="D1689" s="19" t="str">
        <f t="array" ref="D1689">IFNA(_xlfn.XLOOKUP(C1689,Table_Tarikan_Warkah[Nomor Sertipikat],Table_Tarikan_Warkah[Nomor Tiket]),"")</f>
        <v/>
      </c>
      <c r="E1689" s="20" t="str">
        <f t="array" ref="E1689">IFNA(_xlfn.XLOOKUP(D1689,Table_Tarikan_Warkah[Nomor Tiket],Table_Tarikan_Warkah[Tanggal diserahkan kepada Validator]),"")</f>
        <v/>
      </c>
      <c r="F1689" s="20" t="str">
        <f t="array" ref="F1689">IFNA(_xlfn.XLOOKUP(D1689,Table_Tarikan_Warkah[Nomor Tiket],Table_Tarikan_Warkah[Nama Petugas Warkah]),"")</f>
        <v/>
      </c>
      <c r="G1689" s="21" t="str">
        <f t="array" ref="G1689">IFNA(_xlfn.XLOOKUP(D1689,Table_Tarikan_Warkah[Nomor Tiket],Table_Tarikan_Warkah[Jenis Permohonan]),"")</f>
        <v/>
      </c>
      <c r="H1689" s="26"/>
      <c r="I1689" s="26"/>
      <c r="J1689" s="20" t="str">
        <f t="shared" si="29"/>
        <v/>
      </c>
      <c r="K1689" s="26"/>
      <c r="L1689" s="26"/>
      <c r="M1689" s="20" t="str">
        <f t="shared" si="30"/>
        <v/>
      </c>
      <c r="N1689" s="8" t="str">
        <f t="shared" si="3"/>
        <v/>
      </c>
      <c r="O1689" s="21" t="str">
        <f t="shared" si="22"/>
        <v/>
      </c>
      <c r="P1689" s="24" t="b">
        <v>0</v>
      </c>
      <c r="Q1689" s="20" t="str">
        <f t="shared" si="31"/>
        <v/>
      </c>
      <c r="R1689" s="24" t="b">
        <v>0</v>
      </c>
      <c r="S1689" s="7" t="str">
        <f t="shared" si="6"/>
        <v/>
      </c>
      <c r="T1689" s="7"/>
    </row>
    <row r="1690" ht="22.5" hidden="1" customHeight="1">
      <c r="B1690" s="7">
        <f t="shared" si="7"/>
        <v>1684</v>
      </c>
      <c r="C1690" s="40"/>
      <c r="D1690" s="19" t="str">
        <f t="array" ref="D1690">IFNA(_xlfn.XLOOKUP(C1690,Table_Tarikan_Warkah[Nomor Sertipikat],Table_Tarikan_Warkah[Nomor Tiket]),"")</f>
        <v/>
      </c>
      <c r="E1690" s="20" t="str">
        <f t="array" ref="E1690">IFNA(_xlfn.XLOOKUP(D1690,Table_Tarikan_Warkah[Nomor Tiket],Table_Tarikan_Warkah[Tanggal diserahkan kepada Validator]),"")</f>
        <v/>
      </c>
      <c r="F1690" s="20" t="str">
        <f t="array" ref="F1690">IFNA(_xlfn.XLOOKUP(D1690,Table_Tarikan_Warkah[Nomor Tiket],Table_Tarikan_Warkah[Nama Petugas Warkah]),"")</f>
        <v/>
      </c>
      <c r="G1690" s="21" t="str">
        <f t="array" ref="G1690">IFNA(_xlfn.XLOOKUP(D1690,Table_Tarikan_Warkah[Nomor Tiket],Table_Tarikan_Warkah[Jenis Permohonan]),"")</f>
        <v/>
      </c>
      <c r="H1690" s="26"/>
      <c r="I1690" s="26"/>
      <c r="J1690" s="20" t="str">
        <f t="shared" si="29"/>
        <v/>
      </c>
      <c r="K1690" s="26"/>
      <c r="L1690" s="26"/>
      <c r="M1690" s="20" t="str">
        <f t="shared" si="30"/>
        <v/>
      </c>
      <c r="N1690" s="8" t="str">
        <f t="shared" si="3"/>
        <v/>
      </c>
      <c r="O1690" s="21" t="str">
        <f t="shared" si="22"/>
        <v/>
      </c>
      <c r="P1690" s="24" t="b">
        <v>0</v>
      </c>
      <c r="Q1690" s="20" t="str">
        <f t="shared" si="31"/>
        <v/>
      </c>
      <c r="R1690" s="24" t="b">
        <v>0</v>
      </c>
      <c r="S1690" s="7" t="str">
        <f t="shared" si="6"/>
        <v/>
      </c>
      <c r="T1690" s="7"/>
    </row>
    <row r="1691" ht="22.5" hidden="1" customHeight="1">
      <c r="B1691" s="7">
        <f t="shared" si="7"/>
        <v>1685</v>
      </c>
      <c r="C1691" s="40"/>
      <c r="D1691" s="19" t="str">
        <f t="array" ref="D1691">IFNA(_xlfn.XLOOKUP(C1691,Table_Tarikan_Warkah[Nomor Sertipikat],Table_Tarikan_Warkah[Nomor Tiket]),"")</f>
        <v/>
      </c>
      <c r="E1691" s="20" t="str">
        <f t="array" ref="E1691">IFNA(_xlfn.XLOOKUP(D1691,Table_Tarikan_Warkah[Nomor Tiket],Table_Tarikan_Warkah[Tanggal diserahkan kepada Validator]),"")</f>
        <v/>
      </c>
      <c r="F1691" s="20" t="str">
        <f t="array" ref="F1691">IFNA(_xlfn.XLOOKUP(D1691,Table_Tarikan_Warkah[Nomor Tiket],Table_Tarikan_Warkah[Nama Petugas Warkah]),"")</f>
        <v/>
      </c>
      <c r="G1691" s="21" t="str">
        <f t="array" ref="G1691">IFNA(_xlfn.XLOOKUP(D1691,Table_Tarikan_Warkah[Nomor Tiket],Table_Tarikan_Warkah[Jenis Permohonan]),"")</f>
        <v/>
      </c>
      <c r="H1691" s="26"/>
      <c r="I1691" s="26"/>
      <c r="J1691" s="20" t="str">
        <f t="shared" si="29"/>
        <v/>
      </c>
      <c r="K1691" s="26"/>
      <c r="L1691" s="26"/>
      <c r="M1691" s="20" t="str">
        <f t="shared" si="30"/>
        <v/>
      </c>
      <c r="N1691" s="8" t="str">
        <f t="shared" si="3"/>
        <v/>
      </c>
      <c r="O1691" s="21" t="str">
        <f t="shared" si="22"/>
        <v/>
      </c>
      <c r="P1691" s="24" t="b">
        <v>0</v>
      </c>
      <c r="Q1691" s="20" t="str">
        <f t="shared" si="31"/>
        <v/>
      </c>
      <c r="R1691" s="24" t="b">
        <v>0</v>
      </c>
      <c r="S1691" s="7" t="str">
        <f t="shared" si="6"/>
        <v/>
      </c>
      <c r="T1691" s="7"/>
    </row>
    <row r="1692" ht="22.5" hidden="1" customHeight="1">
      <c r="B1692" s="7">
        <f t="shared" si="7"/>
        <v>1686</v>
      </c>
      <c r="C1692" s="40"/>
      <c r="D1692" s="19" t="str">
        <f t="array" ref="D1692">IFNA(_xlfn.XLOOKUP(C1692,Table_Tarikan_Warkah[Nomor Sertipikat],Table_Tarikan_Warkah[Nomor Tiket]),"")</f>
        <v/>
      </c>
      <c r="E1692" s="20" t="str">
        <f t="array" ref="E1692">IFNA(_xlfn.XLOOKUP(D1692,Table_Tarikan_Warkah[Nomor Tiket],Table_Tarikan_Warkah[Tanggal diserahkan kepada Validator]),"")</f>
        <v/>
      </c>
      <c r="F1692" s="20" t="str">
        <f t="array" ref="F1692">IFNA(_xlfn.XLOOKUP(D1692,Table_Tarikan_Warkah[Nomor Tiket],Table_Tarikan_Warkah[Nama Petugas Warkah]),"")</f>
        <v/>
      </c>
      <c r="G1692" s="21" t="str">
        <f t="array" ref="G1692">IFNA(_xlfn.XLOOKUP(D1692,Table_Tarikan_Warkah[Nomor Tiket],Table_Tarikan_Warkah[Jenis Permohonan]),"")</f>
        <v/>
      </c>
      <c r="H1692" s="26"/>
      <c r="I1692" s="26"/>
      <c r="J1692" s="20" t="str">
        <f t="shared" si="29"/>
        <v/>
      </c>
      <c r="K1692" s="26"/>
      <c r="L1692" s="26"/>
      <c r="M1692" s="20" t="str">
        <f t="shared" si="30"/>
        <v/>
      </c>
      <c r="N1692" s="8" t="str">
        <f t="shared" si="3"/>
        <v/>
      </c>
      <c r="O1692" s="21" t="str">
        <f t="shared" si="22"/>
        <v/>
      </c>
      <c r="P1692" s="24" t="b">
        <v>0</v>
      </c>
      <c r="Q1692" s="20" t="str">
        <f t="shared" si="31"/>
        <v/>
      </c>
      <c r="R1692" s="24" t="b">
        <v>0</v>
      </c>
      <c r="S1692" s="7" t="str">
        <f t="shared" si="6"/>
        <v/>
      </c>
      <c r="T1692" s="7"/>
    </row>
    <row r="1693" ht="22.5" hidden="1" customHeight="1">
      <c r="B1693" s="7">
        <f t="shared" si="7"/>
        <v>1687</v>
      </c>
      <c r="C1693" s="40"/>
      <c r="D1693" s="19" t="str">
        <f t="array" ref="D1693">IFNA(_xlfn.XLOOKUP(C1693,Table_Tarikan_Warkah[Nomor Sertipikat],Table_Tarikan_Warkah[Nomor Tiket]),"")</f>
        <v/>
      </c>
      <c r="E1693" s="20" t="str">
        <f t="array" ref="E1693">IFNA(_xlfn.XLOOKUP(D1693,Table_Tarikan_Warkah[Nomor Tiket],Table_Tarikan_Warkah[Tanggal diserahkan kepada Validator]),"")</f>
        <v/>
      </c>
      <c r="F1693" s="20" t="str">
        <f t="array" ref="F1693">IFNA(_xlfn.XLOOKUP(D1693,Table_Tarikan_Warkah[Nomor Tiket],Table_Tarikan_Warkah[Nama Petugas Warkah]),"")</f>
        <v/>
      </c>
      <c r="G1693" s="21" t="str">
        <f t="array" ref="G1693">IFNA(_xlfn.XLOOKUP(D1693,Table_Tarikan_Warkah[Nomor Tiket],Table_Tarikan_Warkah[Jenis Permohonan]),"")</f>
        <v/>
      </c>
      <c r="H1693" s="26"/>
      <c r="I1693" s="26"/>
      <c r="J1693" s="20" t="str">
        <f t="shared" si="29"/>
        <v/>
      </c>
      <c r="K1693" s="26"/>
      <c r="L1693" s="26"/>
      <c r="M1693" s="20" t="str">
        <f t="shared" si="30"/>
        <v/>
      </c>
      <c r="N1693" s="8" t="str">
        <f t="shared" si="3"/>
        <v/>
      </c>
      <c r="O1693" s="21" t="str">
        <f t="shared" si="22"/>
        <v/>
      </c>
      <c r="P1693" s="24" t="b">
        <v>0</v>
      </c>
      <c r="Q1693" s="20" t="str">
        <f t="shared" si="31"/>
        <v/>
      </c>
      <c r="R1693" s="24" t="b">
        <v>0</v>
      </c>
      <c r="S1693" s="7" t="str">
        <f t="shared" si="6"/>
        <v/>
      </c>
      <c r="T1693" s="7"/>
    </row>
    <row r="1694" ht="22.5" hidden="1" customHeight="1">
      <c r="B1694" s="7">
        <f t="shared" si="7"/>
        <v>1688</v>
      </c>
      <c r="C1694" s="40"/>
      <c r="D1694" s="19" t="str">
        <f t="array" ref="D1694">IFNA(_xlfn.XLOOKUP(C1694,Table_Tarikan_Warkah[Nomor Sertipikat],Table_Tarikan_Warkah[Nomor Tiket]),"")</f>
        <v/>
      </c>
      <c r="E1694" s="20" t="str">
        <f t="array" ref="E1694">IFNA(_xlfn.XLOOKUP(D1694,Table_Tarikan_Warkah[Nomor Tiket],Table_Tarikan_Warkah[Tanggal diserahkan kepada Validator]),"")</f>
        <v/>
      </c>
      <c r="F1694" s="20" t="str">
        <f t="array" ref="F1694">IFNA(_xlfn.XLOOKUP(D1694,Table_Tarikan_Warkah[Nomor Tiket],Table_Tarikan_Warkah[Nama Petugas Warkah]),"")</f>
        <v/>
      </c>
      <c r="G1694" s="21" t="str">
        <f t="array" ref="G1694">IFNA(_xlfn.XLOOKUP(D1694,Table_Tarikan_Warkah[Nomor Tiket],Table_Tarikan_Warkah[Jenis Permohonan]),"")</f>
        <v/>
      </c>
      <c r="H1694" s="26"/>
      <c r="I1694" s="26"/>
      <c r="J1694" s="20" t="str">
        <f t="shared" si="29"/>
        <v/>
      </c>
      <c r="K1694" s="26"/>
      <c r="L1694" s="26"/>
      <c r="M1694" s="20" t="str">
        <f t="shared" si="30"/>
        <v/>
      </c>
      <c r="N1694" s="8" t="str">
        <f t="shared" si="3"/>
        <v/>
      </c>
      <c r="O1694" s="21" t="str">
        <f t="shared" si="22"/>
        <v/>
      </c>
      <c r="P1694" s="24" t="b">
        <v>0</v>
      </c>
      <c r="Q1694" s="20" t="str">
        <f t="shared" si="31"/>
        <v/>
      </c>
      <c r="R1694" s="24" t="b">
        <v>0</v>
      </c>
      <c r="S1694" s="7" t="str">
        <f t="shared" si="6"/>
        <v/>
      </c>
      <c r="T1694" s="7"/>
    </row>
    <row r="1695" ht="22.5" hidden="1" customHeight="1">
      <c r="B1695" s="7">
        <f t="shared" si="7"/>
        <v>1689</v>
      </c>
      <c r="C1695" s="40"/>
      <c r="D1695" s="19" t="str">
        <f t="array" ref="D1695">IFNA(_xlfn.XLOOKUP(C1695,Table_Tarikan_Warkah[Nomor Sertipikat],Table_Tarikan_Warkah[Nomor Tiket]),"")</f>
        <v/>
      </c>
      <c r="E1695" s="20" t="str">
        <f t="array" ref="E1695">IFNA(_xlfn.XLOOKUP(D1695,Table_Tarikan_Warkah[Nomor Tiket],Table_Tarikan_Warkah[Tanggal diserahkan kepada Validator]),"")</f>
        <v/>
      </c>
      <c r="F1695" s="20" t="str">
        <f t="array" ref="F1695">IFNA(_xlfn.XLOOKUP(D1695,Table_Tarikan_Warkah[Nomor Tiket],Table_Tarikan_Warkah[Nama Petugas Warkah]),"")</f>
        <v/>
      </c>
      <c r="G1695" s="21" t="str">
        <f t="array" ref="G1695">IFNA(_xlfn.XLOOKUP(D1695,Table_Tarikan_Warkah[Nomor Tiket],Table_Tarikan_Warkah[Jenis Permohonan]),"")</f>
        <v/>
      </c>
      <c r="H1695" s="26"/>
      <c r="I1695" s="26"/>
      <c r="J1695" s="20" t="str">
        <f t="shared" si="29"/>
        <v/>
      </c>
      <c r="K1695" s="26"/>
      <c r="L1695" s="26"/>
      <c r="M1695" s="20" t="str">
        <f t="shared" si="30"/>
        <v/>
      </c>
      <c r="N1695" s="8" t="str">
        <f t="shared" si="3"/>
        <v/>
      </c>
      <c r="O1695" s="21" t="str">
        <f t="shared" si="22"/>
        <v/>
      </c>
      <c r="P1695" s="24" t="b">
        <v>0</v>
      </c>
      <c r="Q1695" s="20" t="str">
        <f t="shared" si="31"/>
        <v/>
      </c>
      <c r="R1695" s="24" t="b">
        <v>0</v>
      </c>
      <c r="S1695" s="7" t="str">
        <f t="shared" si="6"/>
        <v/>
      </c>
      <c r="T1695" s="7"/>
    </row>
    <row r="1696" ht="22.5" hidden="1" customHeight="1">
      <c r="B1696" s="7">
        <f t="shared" si="7"/>
        <v>1690</v>
      </c>
      <c r="C1696" s="40"/>
      <c r="D1696" s="19" t="str">
        <f t="array" ref="D1696">IFNA(_xlfn.XLOOKUP(C1696,Table_Tarikan_Warkah[Nomor Sertipikat],Table_Tarikan_Warkah[Nomor Tiket]),"")</f>
        <v/>
      </c>
      <c r="E1696" s="20" t="str">
        <f t="array" ref="E1696">IFNA(_xlfn.XLOOKUP(D1696,Table_Tarikan_Warkah[Nomor Tiket],Table_Tarikan_Warkah[Tanggal diserahkan kepada Validator]),"")</f>
        <v/>
      </c>
      <c r="F1696" s="20" t="str">
        <f t="array" ref="F1696">IFNA(_xlfn.XLOOKUP(D1696,Table_Tarikan_Warkah[Nomor Tiket],Table_Tarikan_Warkah[Nama Petugas Warkah]),"")</f>
        <v/>
      </c>
      <c r="G1696" s="21" t="str">
        <f t="array" ref="G1696">IFNA(_xlfn.XLOOKUP(D1696,Table_Tarikan_Warkah[Nomor Tiket],Table_Tarikan_Warkah[Jenis Permohonan]),"")</f>
        <v/>
      </c>
      <c r="H1696" s="26"/>
      <c r="I1696" s="26"/>
      <c r="J1696" s="20" t="str">
        <f t="shared" si="29"/>
        <v/>
      </c>
      <c r="K1696" s="26"/>
      <c r="L1696" s="26"/>
      <c r="M1696" s="20" t="str">
        <f t="shared" si="30"/>
        <v/>
      </c>
      <c r="N1696" s="8" t="str">
        <f t="shared" si="3"/>
        <v/>
      </c>
      <c r="O1696" s="21" t="str">
        <f t="shared" si="22"/>
        <v/>
      </c>
      <c r="P1696" s="24" t="b">
        <v>0</v>
      </c>
      <c r="Q1696" s="20" t="str">
        <f t="shared" si="31"/>
        <v/>
      </c>
      <c r="R1696" s="24" t="b">
        <v>0</v>
      </c>
      <c r="S1696" s="7" t="str">
        <f t="shared" si="6"/>
        <v/>
      </c>
      <c r="T1696" s="7"/>
    </row>
    <row r="1697" ht="22.5" hidden="1" customHeight="1">
      <c r="B1697" s="7">
        <f t="shared" si="7"/>
        <v>1691</v>
      </c>
      <c r="C1697" s="40"/>
      <c r="D1697" s="19" t="str">
        <f t="array" ref="D1697">IFNA(_xlfn.XLOOKUP(C1697,Table_Tarikan_Warkah[Nomor Sertipikat],Table_Tarikan_Warkah[Nomor Tiket]),"")</f>
        <v/>
      </c>
      <c r="E1697" s="20" t="str">
        <f t="array" ref="E1697">IFNA(_xlfn.XLOOKUP(D1697,Table_Tarikan_Warkah[Nomor Tiket],Table_Tarikan_Warkah[Tanggal diserahkan kepada Validator]),"")</f>
        <v/>
      </c>
      <c r="F1697" s="20" t="str">
        <f t="array" ref="F1697">IFNA(_xlfn.XLOOKUP(D1697,Table_Tarikan_Warkah[Nomor Tiket],Table_Tarikan_Warkah[Nama Petugas Warkah]),"")</f>
        <v/>
      </c>
      <c r="G1697" s="21" t="str">
        <f t="array" ref="G1697">IFNA(_xlfn.XLOOKUP(D1697,Table_Tarikan_Warkah[Nomor Tiket],Table_Tarikan_Warkah[Jenis Permohonan]),"")</f>
        <v/>
      </c>
      <c r="H1697" s="26"/>
      <c r="I1697" s="26"/>
      <c r="J1697" s="20" t="str">
        <f t="shared" si="29"/>
        <v/>
      </c>
      <c r="K1697" s="26"/>
      <c r="L1697" s="26"/>
      <c r="M1697" s="20" t="str">
        <f t="shared" si="30"/>
        <v/>
      </c>
      <c r="N1697" s="8" t="str">
        <f t="shared" si="3"/>
        <v/>
      </c>
      <c r="O1697" s="21" t="str">
        <f t="shared" si="22"/>
        <v/>
      </c>
      <c r="P1697" s="24" t="b">
        <v>0</v>
      </c>
      <c r="Q1697" s="20" t="str">
        <f t="shared" si="31"/>
        <v/>
      </c>
      <c r="R1697" s="24" t="b">
        <v>0</v>
      </c>
      <c r="S1697" s="7" t="str">
        <f t="shared" si="6"/>
        <v/>
      </c>
      <c r="T1697" s="7"/>
    </row>
    <row r="1698" ht="22.5" hidden="1" customHeight="1">
      <c r="B1698" s="7">
        <f t="shared" si="7"/>
        <v>1692</v>
      </c>
      <c r="C1698" s="40"/>
      <c r="D1698" s="19" t="str">
        <f t="array" ref="D1698">IFNA(_xlfn.XLOOKUP(C1698,Table_Tarikan_Warkah[Nomor Sertipikat],Table_Tarikan_Warkah[Nomor Tiket]),"")</f>
        <v/>
      </c>
      <c r="E1698" s="20" t="str">
        <f t="array" ref="E1698">IFNA(_xlfn.XLOOKUP(D1698,Table_Tarikan_Warkah[Nomor Tiket],Table_Tarikan_Warkah[Tanggal diserahkan kepada Validator]),"")</f>
        <v/>
      </c>
      <c r="F1698" s="20" t="str">
        <f t="array" ref="F1698">IFNA(_xlfn.XLOOKUP(D1698,Table_Tarikan_Warkah[Nomor Tiket],Table_Tarikan_Warkah[Nama Petugas Warkah]),"")</f>
        <v/>
      </c>
      <c r="G1698" s="21" t="str">
        <f t="array" ref="G1698">IFNA(_xlfn.XLOOKUP(D1698,Table_Tarikan_Warkah[Nomor Tiket],Table_Tarikan_Warkah[Jenis Permohonan]),"")</f>
        <v/>
      </c>
      <c r="H1698" s="26"/>
      <c r="I1698" s="26"/>
      <c r="J1698" s="20" t="str">
        <f t="shared" si="29"/>
        <v/>
      </c>
      <c r="K1698" s="26"/>
      <c r="L1698" s="26"/>
      <c r="M1698" s="20" t="str">
        <f t="shared" si="30"/>
        <v/>
      </c>
      <c r="N1698" s="8" t="str">
        <f t="shared" si="3"/>
        <v/>
      </c>
      <c r="O1698" s="21" t="str">
        <f t="shared" si="22"/>
        <v/>
      </c>
      <c r="P1698" s="24" t="b">
        <v>0</v>
      </c>
      <c r="Q1698" s="20" t="str">
        <f t="shared" si="31"/>
        <v/>
      </c>
      <c r="R1698" s="24" t="b">
        <v>0</v>
      </c>
      <c r="S1698" s="7" t="str">
        <f t="shared" si="6"/>
        <v/>
      </c>
      <c r="T1698" s="7"/>
    </row>
    <row r="1699" ht="22.5" hidden="1" customHeight="1">
      <c r="B1699" s="7">
        <f t="shared" si="7"/>
        <v>1693</v>
      </c>
      <c r="C1699" s="40"/>
      <c r="D1699" s="19" t="str">
        <f t="array" ref="D1699">IFNA(_xlfn.XLOOKUP(C1699,Table_Tarikan_Warkah[Nomor Sertipikat],Table_Tarikan_Warkah[Nomor Tiket]),"")</f>
        <v/>
      </c>
      <c r="E1699" s="20" t="str">
        <f t="array" ref="E1699">IFNA(_xlfn.XLOOKUP(D1699,Table_Tarikan_Warkah[Nomor Tiket],Table_Tarikan_Warkah[Tanggal diserahkan kepada Validator]),"")</f>
        <v/>
      </c>
      <c r="F1699" s="20" t="str">
        <f t="array" ref="F1699">IFNA(_xlfn.XLOOKUP(D1699,Table_Tarikan_Warkah[Nomor Tiket],Table_Tarikan_Warkah[Nama Petugas Warkah]),"")</f>
        <v/>
      </c>
      <c r="G1699" s="21" t="str">
        <f t="array" ref="G1699">IFNA(_xlfn.XLOOKUP(D1699,Table_Tarikan_Warkah[Nomor Tiket],Table_Tarikan_Warkah[Jenis Permohonan]),"")</f>
        <v/>
      </c>
      <c r="H1699" s="26"/>
      <c r="I1699" s="26"/>
      <c r="J1699" s="20" t="str">
        <f t="shared" si="29"/>
        <v/>
      </c>
      <c r="K1699" s="26"/>
      <c r="L1699" s="26"/>
      <c r="M1699" s="20" t="str">
        <f t="shared" si="30"/>
        <v/>
      </c>
      <c r="N1699" s="8" t="str">
        <f t="shared" si="3"/>
        <v/>
      </c>
      <c r="O1699" s="21" t="str">
        <f t="shared" si="22"/>
        <v/>
      </c>
      <c r="P1699" s="24" t="b">
        <v>0</v>
      </c>
      <c r="Q1699" s="20" t="str">
        <f t="shared" si="31"/>
        <v/>
      </c>
      <c r="R1699" s="24" t="b">
        <v>0</v>
      </c>
      <c r="S1699" s="7" t="str">
        <f t="shared" si="6"/>
        <v/>
      </c>
      <c r="T1699" s="7"/>
    </row>
    <row r="1700" ht="22.5" hidden="1" customHeight="1">
      <c r="B1700" s="7">
        <f t="shared" si="7"/>
        <v>1694</v>
      </c>
      <c r="C1700" s="40"/>
      <c r="D1700" s="19" t="str">
        <f t="array" ref="D1700">IFNA(_xlfn.XLOOKUP(C1700,Table_Tarikan_Warkah[Nomor Sertipikat],Table_Tarikan_Warkah[Nomor Tiket]),"")</f>
        <v/>
      </c>
      <c r="E1700" s="20" t="str">
        <f t="array" ref="E1700">IFNA(_xlfn.XLOOKUP(D1700,Table_Tarikan_Warkah[Nomor Tiket],Table_Tarikan_Warkah[Tanggal diserahkan kepada Validator]),"")</f>
        <v/>
      </c>
      <c r="F1700" s="20" t="str">
        <f t="array" ref="F1700">IFNA(_xlfn.XLOOKUP(D1700,Table_Tarikan_Warkah[Nomor Tiket],Table_Tarikan_Warkah[Nama Petugas Warkah]),"")</f>
        <v/>
      </c>
      <c r="G1700" s="21" t="str">
        <f t="array" ref="G1700">IFNA(_xlfn.XLOOKUP(D1700,Table_Tarikan_Warkah[Nomor Tiket],Table_Tarikan_Warkah[Jenis Permohonan]),"")</f>
        <v/>
      </c>
      <c r="H1700" s="26"/>
      <c r="I1700" s="26"/>
      <c r="J1700" s="20" t="str">
        <f t="shared" si="29"/>
        <v/>
      </c>
      <c r="K1700" s="26"/>
      <c r="L1700" s="26"/>
      <c r="M1700" s="20" t="str">
        <f t="shared" si="30"/>
        <v/>
      </c>
      <c r="N1700" s="8" t="str">
        <f t="shared" si="3"/>
        <v/>
      </c>
      <c r="O1700" s="21" t="str">
        <f t="shared" si="22"/>
        <v/>
      </c>
      <c r="P1700" s="24" t="b">
        <v>0</v>
      </c>
      <c r="Q1700" s="20" t="str">
        <f t="shared" si="31"/>
        <v/>
      </c>
      <c r="R1700" s="24" t="b">
        <v>0</v>
      </c>
      <c r="S1700" s="7" t="str">
        <f t="shared" si="6"/>
        <v/>
      </c>
      <c r="T1700" s="7"/>
    </row>
    <row r="1701" ht="22.5" hidden="1" customHeight="1">
      <c r="B1701" s="7">
        <f t="shared" si="7"/>
        <v>1695</v>
      </c>
      <c r="C1701" s="40"/>
      <c r="D1701" s="19" t="str">
        <f t="array" ref="D1701">IFNA(_xlfn.XLOOKUP(C1701,Table_Tarikan_Warkah[Nomor Sertipikat],Table_Tarikan_Warkah[Nomor Tiket]),"")</f>
        <v/>
      </c>
      <c r="E1701" s="20" t="str">
        <f t="array" ref="E1701">IFNA(_xlfn.XLOOKUP(D1701,Table_Tarikan_Warkah[Nomor Tiket],Table_Tarikan_Warkah[Tanggal diserahkan kepada Validator]),"")</f>
        <v/>
      </c>
      <c r="F1701" s="20" t="str">
        <f t="array" ref="F1701">IFNA(_xlfn.XLOOKUP(D1701,Table_Tarikan_Warkah[Nomor Tiket],Table_Tarikan_Warkah[Nama Petugas Warkah]),"")</f>
        <v/>
      </c>
      <c r="G1701" s="21" t="str">
        <f t="array" ref="G1701">IFNA(_xlfn.XLOOKUP(D1701,Table_Tarikan_Warkah[Nomor Tiket],Table_Tarikan_Warkah[Jenis Permohonan]),"")</f>
        <v/>
      </c>
      <c r="H1701" s="26"/>
      <c r="I1701" s="26"/>
      <c r="J1701" s="20" t="str">
        <f t="shared" si="29"/>
        <v/>
      </c>
      <c r="K1701" s="26"/>
      <c r="L1701" s="26"/>
      <c r="M1701" s="20" t="str">
        <f t="shared" si="30"/>
        <v/>
      </c>
      <c r="N1701" s="8" t="str">
        <f t="shared" si="3"/>
        <v/>
      </c>
      <c r="O1701" s="21" t="str">
        <f t="shared" si="22"/>
        <v/>
      </c>
      <c r="P1701" s="24" t="b">
        <v>0</v>
      </c>
      <c r="Q1701" s="20" t="str">
        <f t="shared" si="31"/>
        <v/>
      </c>
      <c r="R1701" s="24" t="b">
        <v>0</v>
      </c>
      <c r="S1701" s="7" t="str">
        <f t="shared" si="6"/>
        <v/>
      </c>
      <c r="T1701" s="7"/>
    </row>
    <row r="1702" ht="22.5" hidden="1" customHeight="1">
      <c r="B1702" s="7">
        <f t="shared" si="7"/>
        <v>1696</v>
      </c>
      <c r="C1702" s="40"/>
      <c r="D1702" s="19" t="str">
        <f t="array" ref="D1702">IFNA(_xlfn.XLOOKUP(C1702,Table_Tarikan_Warkah[Nomor Sertipikat],Table_Tarikan_Warkah[Nomor Tiket]),"")</f>
        <v/>
      </c>
      <c r="E1702" s="20" t="str">
        <f t="array" ref="E1702">IFNA(_xlfn.XLOOKUP(D1702,Table_Tarikan_Warkah[Nomor Tiket],Table_Tarikan_Warkah[Tanggal diserahkan kepada Validator]),"")</f>
        <v/>
      </c>
      <c r="F1702" s="20" t="str">
        <f t="array" ref="F1702">IFNA(_xlfn.XLOOKUP(D1702,Table_Tarikan_Warkah[Nomor Tiket],Table_Tarikan_Warkah[Nama Petugas Warkah]),"")</f>
        <v/>
      </c>
      <c r="G1702" s="21" t="str">
        <f t="array" ref="G1702">IFNA(_xlfn.XLOOKUP(D1702,Table_Tarikan_Warkah[Nomor Tiket],Table_Tarikan_Warkah[Jenis Permohonan]),"")</f>
        <v/>
      </c>
      <c r="H1702" s="26"/>
      <c r="I1702" s="26"/>
      <c r="J1702" s="20" t="str">
        <f t="shared" si="29"/>
        <v/>
      </c>
      <c r="K1702" s="26"/>
      <c r="L1702" s="26"/>
      <c r="M1702" s="20" t="str">
        <f t="shared" si="30"/>
        <v/>
      </c>
      <c r="N1702" s="8" t="str">
        <f t="shared" si="3"/>
        <v/>
      </c>
      <c r="O1702" s="21" t="str">
        <f t="shared" si="22"/>
        <v/>
      </c>
      <c r="P1702" s="24" t="b">
        <v>0</v>
      </c>
      <c r="Q1702" s="20" t="str">
        <f t="shared" si="31"/>
        <v/>
      </c>
      <c r="R1702" s="24" t="b">
        <v>0</v>
      </c>
      <c r="S1702" s="7" t="str">
        <f t="shared" si="6"/>
        <v/>
      </c>
      <c r="T1702" s="7"/>
    </row>
    <row r="1703" ht="22.5" hidden="1" customHeight="1">
      <c r="B1703" s="7">
        <f t="shared" si="7"/>
        <v>1697</v>
      </c>
      <c r="C1703" s="40"/>
      <c r="D1703" s="19" t="str">
        <f t="array" ref="D1703">IFNA(_xlfn.XLOOKUP(C1703,Table_Tarikan_Warkah[Nomor Sertipikat],Table_Tarikan_Warkah[Nomor Tiket]),"")</f>
        <v/>
      </c>
      <c r="E1703" s="20" t="str">
        <f t="array" ref="E1703">IFNA(_xlfn.XLOOKUP(D1703,Table_Tarikan_Warkah[Nomor Tiket],Table_Tarikan_Warkah[Tanggal diserahkan kepada Validator]),"")</f>
        <v/>
      </c>
      <c r="F1703" s="20" t="str">
        <f t="array" ref="F1703">IFNA(_xlfn.XLOOKUP(D1703,Table_Tarikan_Warkah[Nomor Tiket],Table_Tarikan_Warkah[Nama Petugas Warkah]),"")</f>
        <v/>
      </c>
      <c r="G1703" s="21" t="str">
        <f t="array" ref="G1703">IFNA(_xlfn.XLOOKUP(D1703,Table_Tarikan_Warkah[Nomor Tiket],Table_Tarikan_Warkah[Jenis Permohonan]),"")</f>
        <v/>
      </c>
      <c r="H1703" s="26"/>
      <c r="I1703" s="26"/>
      <c r="J1703" s="20" t="str">
        <f t="shared" si="29"/>
        <v/>
      </c>
      <c r="K1703" s="26"/>
      <c r="L1703" s="26"/>
      <c r="M1703" s="20" t="str">
        <f t="shared" si="30"/>
        <v/>
      </c>
      <c r="N1703" s="8" t="str">
        <f t="shared" si="3"/>
        <v/>
      </c>
      <c r="O1703" s="21" t="str">
        <f t="shared" si="22"/>
        <v/>
      </c>
      <c r="P1703" s="24" t="b">
        <v>0</v>
      </c>
      <c r="Q1703" s="20" t="str">
        <f t="shared" si="31"/>
        <v/>
      </c>
      <c r="R1703" s="24" t="b">
        <v>0</v>
      </c>
      <c r="S1703" s="7" t="str">
        <f t="shared" si="6"/>
        <v/>
      </c>
      <c r="T1703" s="7"/>
    </row>
    <row r="1704" ht="22.5" hidden="1" customHeight="1">
      <c r="B1704" s="7">
        <f t="shared" si="7"/>
        <v>1698</v>
      </c>
      <c r="C1704" s="40"/>
      <c r="D1704" s="19" t="str">
        <f t="array" ref="D1704">IFNA(_xlfn.XLOOKUP(C1704,Table_Tarikan_Warkah[Nomor Sertipikat],Table_Tarikan_Warkah[Nomor Tiket]),"")</f>
        <v/>
      </c>
      <c r="E1704" s="20" t="str">
        <f t="array" ref="E1704">IFNA(_xlfn.XLOOKUP(D1704,Table_Tarikan_Warkah[Nomor Tiket],Table_Tarikan_Warkah[Tanggal diserahkan kepada Validator]),"")</f>
        <v/>
      </c>
      <c r="F1704" s="20" t="str">
        <f t="array" ref="F1704">IFNA(_xlfn.XLOOKUP(D1704,Table_Tarikan_Warkah[Nomor Tiket],Table_Tarikan_Warkah[Nama Petugas Warkah]),"")</f>
        <v/>
      </c>
      <c r="G1704" s="21" t="str">
        <f t="array" ref="G1704">IFNA(_xlfn.XLOOKUP(D1704,Table_Tarikan_Warkah[Nomor Tiket],Table_Tarikan_Warkah[Jenis Permohonan]),"")</f>
        <v/>
      </c>
      <c r="H1704" s="26"/>
      <c r="I1704" s="26"/>
      <c r="J1704" s="20" t="str">
        <f t="shared" si="29"/>
        <v/>
      </c>
      <c r="K1704" s="26"/>
      <c r="L1704" s="26"/>
      <c r="M1704" s="20" t="str">
        <f t="shared" si="30"/>
        <v/>
      </c>
      <c r="N1704" s="8" t="str">
        <f t="shared" si="3"/>
        <v/>
      </c>
      <c r="O1704" s="21" t="str">
        <f t="shared" si="22"/>
        <v/>
      </c>
      <c r="P1704" s="24" t="b">
        <v>0</v>
      </c>
      <c r="Q1704" s="20" t="str">
        <f t="shared" si="31"/>
        <v/>
      </c>
      <c r="R1704" s="24" t="b">
        <v>0</v>
      </c>
      <c r="S1704" s="7" t="str">
        <f t="shared" si="6"/>
        <v/>
      </c>
      <c r="T1704" s="7"/>
    </row>
    <row r="1705" ht="22.5" hidden="1" customHeight="1">
      <c r="B1705" s="7">
        <f t="shared" si="7"/>
        <v>1699</v>
      </c>
      <c r="C1705" s="40"/>
      <c r="D1705" s="19" t="str">
        <f t="array" ref="D1705">IFNA(_xlfn.XLOOKUP(C1705,Table_Tarikan_Warkah[Nomor Sertipikat],Table_Tarikan_Warkah[Nomor Tiket]),"")</f>
        <v/>
      </c>
      <c r="E1705" s="20" t="str">
        <f t="array" ref="E1705">IFNA(_xlfn.XLOOKUP(D1705,Table_Tarikan_Warkah[Nomor Tiket],Table_Tarikan_Warkah[Tanggal diserahkan kepada Validator]),"")</f>
        <v/>
      </c>
      <c r="F1705" s="20" t="str">
        <f t="array" ref="F1705">IFNA(_xlfn.XLOOKUP(D1705,Table_Tarikan_Warkah[Nomor Tiket],Table_Tarikan_Warkah[Nama Petugas Warkah]),"")</f>
        <v/>
      </c>
      <c r="G1705" s="21" t="str">
        <f t="array" ref="G1705">IFNA(_xlfn.XLOOKUP(D1705,Table_Tarikan_Warkah[Nomor Tiket],Table_Tarikan_Warkah[Jenis Permohonan]),"")</f>
        <v/>
      </c>
      <c r="H1705" s="26"/>
      <c r="I1705" s="26"/>
      <c r="J1705" s="20" t="str">
        <f t="shared" si="29"/>
        <v/>
      </c>
      <c r="K1705" s="26"/>
      <c r="L1705" s="26"/>
      <c r="M1705" s="20" t="str">
        <f t="shared" si="30"/>
        <v/>
      </c>
      <c r="N1705" s="8" t="str">
        <f t="shared" si="3"/>
        <v/>
      </c>
      <c r="O1705" s="21" t="str">
        <f t="shared" si="22"/>
        <v/>
      </c>
      <c r="P1705" s="24" t="b">
        <v>0</v>
      </c>
      <c r="Q1705" s="20" t="str">
        <f t="shared" si="31"/>
        <v/>
      </c>
      <c r="R1705" s="24" t="b">
        <v>0</v>
      </c>
      <c r="S1705" s="7" t="str">
        <f t="shared" si="6"/>
        <v/>
      </c>
      <c r="T1705" s="7"/>
    </row>
    <row r="1706" ht="22.5" hidden="1" customHeight="1">
      <c r="B1706" s="7">
        <f t="shared" si="7"/>
        <v>1700</v>
      </c>
      <c r="C1706" s="40"/>
      <c r="D1706" s="19" t="str">
        <f t="array" ref="D1706">IFNA(_xlfn.XLOOKUP(C1706,Table_Tarikan_Warkah[Nomor Sertipikat],Table_Tarikan_Warkah[Nomor Tiket]),"")</f>
        <v/>
      </c>
      <c r="E1706" s="20" t="str">
        <f t="array" ref="E1706">IFNA(_xlfn.XLOOKUP(D1706,Table_Tarikan_Warkah[Nomor Tiket],Table_Tarikan_Warkah[Tanggal diserahkan kepada Validator]),"")</f>
        <v/>
      </c>
      <c r="F1706" s="20" t="str">
        <f t="array" ref="F1706">IFNA(_xlfn.XLOOKUP(D1706,Table_Tarikan_Warkah[Nomor Tiket],Table_Tarikan_Warkah[Nama Petugas Warkah]),"")</f>
        <v/>
      </c>
      <c r="G1706" s="21" t="str">
        <f t="array" ref="G1706">IFNA(_xlfn.XLOOKUP(D1706,Table_Tarikan_Warkah[Nomor Tiket],Table_Tarikan_Warkah[Jenis Permohonan]),"")</f>
        <v/>
      </c>
      <c r="H1706" s="26"/>
      <c r="I1706" s="26"/>
      <c r="J1706" s="20" t="str">
        <f t="shared" si="29"/>
        <v/>
      </c>
      <c r="K1706" s="26"/>
      <c r="L1706" s="26"/>
      <c r="M1706" s="20" t="str">
        <f t="shared" si="30"/>
        <v/>
      </c>
      <c r="N1706" s="8" t="str">
        <f t="shared" si="3"/>
        <v/>
      </c>
      <c r="O1706" s="21" t="str">
        <f t="shared" si="22"/>
        <v/>
      </c>
      <c r="P1706" s="24" t="b">
        <v>0</v>
      </c>
      <c r="Q1706" s="20" t="str">
        <f t="shared" si="31"/>
        <v/>
      </c>
      <c r="R1706" s="24" t="b">
        <v>0</v>
      </c>
      <c r="S1706" s="7" t="str">
        <f t="shared" si="6"/>
        <v/>
      </c>
      <c r="T1706" s="7"/>
    </row>
    <row r="1707" ht="22.5" hidden="1" customHeight="1">
      <c r="B1707" s="7">
        <f t="shared" si="7"/>
        <v>1701</v>
      </c>
      <c r="C1707" s="40"/>
      <c r="D1707" s="19" t="str">
        <f t="array" ref="D1707">IFNA(_xlfn.XLOOKUP(C1707,Table_Tarikan_Warkah[Nomor Sertipikat],Table_Tarikan_Warkah[Nomor Tiket]),"")</f>
        <v/>
      </c>
      <c r="E1707" s="20" t="str">
        <f t="array" ref="E1707">IFNA(_xlfn.XLOOKUP(D1707,Table_Tarikan_Warkah[Nomor Tiket],Table_Tarikan_Warkah[Tanggal diserahkan kepada Validator]),"")</f>
        <v/>
      </c>
      <c r="F1707" s="20" t="str">
        <f t="array" ref="F1707">IFNA(_xlfn.XLOOKUP(D1707,Table_Tarikan_Warkah[Nomor Tiket],Table_Tarikan_Warkah[Nama Petugas Warkah]),"")</f>
        <v/>
      </c>
      <c r="G1707" s="21" t="str">
        <f t="array" ref="G1707">IFNA(_xlfn.XLOOKUP(D1707,Table_Tarikan_Warkah[Nomor Tiket],Table_Tarikan_Warkah[Jenis Permohonan]),"")</f>
        <v/>
      </c>
      <c r="H1707" s="26"/>
      <c r="I1707" s="26"/>
      <c r="J1707" s="20" t="str">
        <f t="shared" si="29"/>
        <v/>
      </c>
      <c r="K1707" s="26"/>
      <c r="L1707" s="26"/>
      <c r="M1707" s="20" t="str">
        <f t="shared" si="30"/>
        <v/>
      </c>
      <c r="N1707" s="8" t="str">
        <f t="shared" si="3"/>
        <v/>
      </c>
      <c r="O1707" s="21" t="str">
        <f t="shared" si="22"/>
        <v/>
      </c>
      <c r="P1707" s="24" t="b">
        <v>0</v>
      </c>
      <c r="Q1707" s="20" t="str">
        <f t="shared" si="31"/>
        <v/>
      </c>
      <c r="R1707" s="24" t="b">
        <v>0</v>
      </c>
      <c r="S1707" s="7" t="str">
        <f t="shared" si="6"/>
        <v/>
      </c>
      <c r="T1707" s="7"/>
    </row>
    <row r="1708" ht="22.5" hidden="1" customHeight="1">
      <c r="B1708" s="7">
        <f t="shared" si="7"/>
        <v>1702</v>
      </c>
      <c r="C1708" s="40"/>
      <c r="D1708" s="19" t="str">
        <f t="array" ref="D1708">IFNA(_xlfn.XLOOKUP(C1708,Table_Tarikan_Warkah[Nomor Sertipikat],Table_Tarikan_Warkah[Nomor Tiket]),"")</f>
        <v/>
      </c>
      <c r="E1708" s="20" t="str">
        <f t="array" ref="E1708">IFNA(_xlfn.XLOOKUP(D1708,Table_Tarikan_Warkah[Nomor Tiket],Table_Tarikan_Warkah[Tanggal diserahkan kepada Validator]),"")</f>
        <v/>
      </c>
      <c r="F1708" s="20" t="str">
        <f t="array" ref="F1708">IFNA(_xlfn.XLOOKUP(D1708,Table_Tarikan_Warkah[Nomor Tiket],Table_Tarikan_Warkah[Nama Petugas Warkah]),"")</f>
        <v/>
      </c>
      <c r="G1708" s="21" t="str">
        <f t="array" ref="G1708">IFNA(_xlfn.XLOOKUP(D1708,Table_Tarikan_Warkah[Nomor Tiket],Table_Tarikan_Warkah[Jenis Permohonan]),"")</f>
        <v/>
      </c>
      <c r="H1708" s="26"/>
      <c r="I1708" s="26"/>
      <c r="J1708" s="20" t="str">
        <f t="shared" si="29"/>
        <v/>
      </c>
      <c r="K1708" s="26"/>
      <c r="L1708" s="26"/>
      <c r="M1708" s="20" t="str">
        <f t="shared" si="30"/>
        <v/>
      </c>
      <c r="N1708" s="8" t="str">
        <f t="shared" si="3"/>
        <v/>
      </c>
      <c r="O1708" s="21" t="str">
        <f t="shared" si="22"/>
        <v/>
      </c>
      <c r="P1708" s="24" t="b">
        <v>0</v>
      </c>
      <c r="Q1708" s="20" t="str">
        <f t="shared" si="31"/>
        <v/>
      </c>
      <c r="R1708" s="24" t="b">
        <v>0</v>
      </c>
      <c r="S1708" s="7" t="str">
        <f t="shared" si="6"/>
        <v/>
      </c>
      <c r="T1708" s="7"/>
    </row>
    <row r="1709" ht="22.5" hidden="1" customHeight="1">
      <c r="B1709" s="7">
        <f t="shared" si="7"/>
        <v>1703</v>
      </c>
      <c r="C1709" s="40"/>
      <c r="D1709" s="19" t="str">
        <f t="array" ref="D1709">IFNA(_xlfn.XLOOKUP(C1709,Table_Tarikan_Warkah[Nomor Sertipikat],Table_Tarikan_Warkah[Nomor Tiket]),"")</f>
        <v/>
      </c>
      <c r="E1709" s="20" t="str">
        <f t="array" ref="E1709">IFNA(_xlfn.XLOOKUP(D1709,Table_Tarikan_Warkah[Nomor Tiket],Table_Tarikan_Warkah[Tanggal diserahkan kepada Validator]),"")</f>
        <v/>
      </c>
      <c r="F1709" s="20" t="str">
        <f t="array" ref="F1709">IFNA(_xlfn.XLOOKUP(D1709,Table_Tarikan_Warkah[Nomor Tiket],Table_Tarikan_Warkah[Nama Petugas Warkah]),"")</f>
        <v/>
      </c>
      <c r="G1709" s="21" t="str">
        <f t="array" ref="G1709">IFNA(_xlfn.XLOOKUP(D1709,Table_Tarikan_Warkah[Nomor Tiket],Table_Tarikan_Warkah[Jenis Permohonan]),"")</f>
        <v/>
      </c>
      <c r="H1709" s="26"/>
      <c r="I1709" s="26"/>
      <c r="J1709" s="20" t="str">
        <f t="shared" si="29"/>
        <v/>
      </c>
      <c r="K1709" s="26"/>
      <c r="L1709" s="26"/>
      <c r="M1709" s="20" t="str">
        <f t="shared" si="30"/>
        <v/>
      </c>
      <c r="N1709" s="8" t="str">
        <f t="shared" si="3"/>
        <v/>
      </c>
      <c r="O1709" s="21" t="str">
        <f t="shared" si="22"/>
        <v/>
      </c>
      <c r="P1709" s="24" t="b">
        <v>0</v>
      </c>
      <c r="Q1709" s="20" t="str">
        <f t="shared" si="31"/>
        <v/>
      </c>
      <c r="R1709" s="24" t="b">
        <v>0</v>
      </c>
      <c r="S1709" s="7" t="str">
        <f t="shared" si="6"/>
        <v/>
      </c>
      <c r="T1709" s="7"/>
    </row>
    <row r="1710" ht="22.5" hidden="1" customHeight="1">
      <c r="B1710" s="7">
        <f t="shared" si="7"/>
        <v>1704</v>
      </c>
      <c r="C1710" s="40"/>
      <c r="D1710" s="19" t="str">
        <f t="array" ref="D1710">IFNA(_xlfn.XLOOKUP(C1710,Table_Tarikan_Warkah[Nomor Sertipikat],Table_Tarikan_Warkah[Nomor Tiket]),"")</f>
        <v/>
      </c>
      <c r="E1710" s="20" t="str">
        <f t="array" ref="E1710">IFNA(_xlfn.XLOOKUP(D1710,Table_Tarikan_Warkah[Nomor Tiket],Table_Tarikan_Warkah[Tanggal diserahkan kepada Validator]),"")</f>
        <v/>
      </c>
      <c r="F1710" s="20" t="str">
        <f t="array" ref="F1710">IFNA(_xlfn.XLOOKUP(D1710,Table_Tarikan_Warkah[Nomor Tiket],Table_Tarikan_Warkah[Nama Petugas Warkah]),"")</f>
        <v/>
      </c>
      <c r="G1710" s="21" t="str">
        <f t="array" ref="G1710">IFNA(_xlfn.XLOOKUP(D1710,Table_Tarikan_Warkah[Nomor Tiket],Table_Tarikan_Warkah[Jenis Permohonan]),"")</f>
        <v/>
      </c>
      <c r="H1710" s="26"/>
      <c r="I1710" s="26"/>
      <c r="J1710" s="20" t="str">
        <f t="shared" si="29"/>
        <v/>
      </c>
      <c r="K1710" s="26"/>
      <c r="L1710" s="26"/>
      <c r="M1710" s="20" t="str">
        <f t="shared" si="30"/>
        <v/>
      </c>
      <c r="N1710" s="8" t="str">
        <f t="shared" si="3"/>
        <v/>
      </c>
      <c r="O1710" s="21" t="str">
        <f t="shared" si="22"/>
        <v/>
      </c>
      <c r="P1710" s="24" t="b">
        <v>0</v>
      </c>
      <c r="Q1710" s="20" t="str">
        <f t="shared" si="31"/>
        <v/>
      </c>
      <c r="R1710" s="24" t="b">
        <v>0</v>
      </c>
      <c r="S1710" s="7" t="str">
        <f t="shared" si="6"/>
        <v/>
      </c>
      <c r="T1710" s="7"/>
    </row>
    <row r="1711" ht="22.5" hidden="1" customHeight="1">
      <c r="B1711" s="7">
        <f t="shared" si="7"/>
        <v>1705</v>
      </c>
      <c r="C1711" s="40"/>
      <c r="D1711" s="19" t="str">
        <f t="array" ref="D1711">IFNA(_xlfn.XLOOKUP(C1711,Table_Tarikan_Warkah[Nomor Sertipikat],Table_Tarikan_Warkah[Nomor Tiket]),"")</f>
        <v/>
      </c>
      <c r="E1711" s="20" t="str">
        <f t="array" ref="E1711">IFNA(_xlfn.XLOOKUP(D1711,Table_Tarikan_Warkah[Nomor Tiket],Table_Tarikan_Warkah[Tanggal diserahkan kepada Validator]),"")</f>
        <v/>
      </c>
      <c r="F1711" s="20" t="str">
        <f t="array" ref="F1711">IFNA(_xlfn.XLOOKUP(D1711,Table_Tarikan_Warkah[Nomor Tiket],Table_Tarikan_Warkah[Nama Petugas Warkah]),"")</f>
        <v/>
      </c>
      <c r="G1711" s="21" t="str">
        <f t="array" ref="G1711">IFNA(_xlfn.XLOOKUP(D1711,Table_Tarikan_Warkah[Nomor Tiket],Table_Tarikan_Warkah[Jenis Permohonan]),"")</f>
        <v/>
      </c>
      <c r="H1711" s="26"/>
      <c r="I1711" s="26"/>
      <c r="J1711" s="20" t="str">
        <f t="shared" si="29"/>
        <v/>
      </c>
      <c r="K1711" s="26"/>
      <c r="L1711" s="26"/>
      <c r="M1711" s="20" t="str">
        <f t="shared" si="30"/>
        <v/>
      </c>
      <c r="N1711" s="8" t="str">
        <f t="shared" si="3"/>
        <v/>
      </c>
      <c r="O1711" s="21" t="str">
        <f t="shared" si="22"/>
        <v/>
      </c>
      <c r="P1711" s="24" t="b">
        <v>0</v>
      </c>
      <c r="Q1711" s="20" t="str">
        <f t="shared" si="31"/>
        <v/>
      </c>
      <c r="R1711" s="24" t="b">
        <v>0</v>
      </c>
      <c r="S1711" s="7" t="str">
        <f t="shared" si="6"/>
        <v/>
      </c>
      <c r="T1711" s="7"/>
    </row>
    <row r="1712" ht="22.5" hidden="1" customHeight="1">
      <c r="B1712" s="7">
        <f t="shared" si="7"/>
        <v>1706</v>
      </c>
      <c r="C1712" s="40"/>
      <c r="D1712" s="19" t="str">
        <f t="array" ref="D1712">IFNA(_xlfn.XLOOKUP(C1712,Table_Tarikan_Warkah[Nomor Sertipikat],Table_Tarikan_Warkah[Nomor Tiket]),"")</f>
        <v/>
      </c>
      <c r="E1712" s="20" t="str">
        <f t="array" ref="E1712">IFNA(_xlfn.XLOOKUP(D1712,Table_Tarikan_Warkah[Nomor Tiket],Table_Tarikan_Warkah[Tanggal diserahkan kepada Validator]),"")</f>
        <v/>
      </c>
      <c r="F1712" s="20" t="str">
        <f t="array" ref="F1712">IFNA(_xlfn.XLOOKUP(D1712,Table_Tarikan_Warkah[Nomor Tiket],Table_Tarikan_Warkah[Nama Petugas Warkah]),"")</f>
        <v/>
      </c>
      <c r="G1712" s="21" t="str">
        <f t="array" ref="G1712">IFNA(_xlfn.XLOOKUP(D1712,Table_Tarikan_Warkah[Nomor Tiket],Table_Tarikan_Warkah[Jenis Permohonan]),"")</f>
        <v/>
      </c>
      <c r="H1712" s="26"/>
      <c r="I1712" s="26"/>
      <c r="J1712" s="20" t="str">
        <f t="shared" si="29"/>
        <v/>
      </c>
      <c r="K1712" s="26"/>
      <c r="L1712" s="26"/>
      <c r="M1712" s="20" t="str">
        <f t="shared" si="30"/>
        <v/>
      </c>
      <c r="N1712" s="8" t="str">
        <f t="shared" si="3"/>
        <v/>
      </c>
      <c r="O1712" s="21" t="str">
        <f t="shared" si="22"/>
        <v/>
      </c>
      <c r="P1712" s="24" t="b">
        <v>0</v>
      </c>
      <c r="Q1712" s="20" t="str">
        <f t="shared" si="31"/>
        <v/>
      </c>
      <c r="R1712" s="24" t="b">
        <v>0</v>
      </c>
      <c r="S1712" s="7" t="str">
        <f t="shared" si="6"/>
        <v/>
      </c>
      <c r="T1712" s="7"/>
    </row>
    <row r="1713" ht="22.5" hidden="1" customHeight="1">
      <c r="B1713" s="7">
        <f t="shared" si="7"/>
        <v>1707</v>
      </c>
      <c r="C1713" s="40"/>
      <c r="D1713" s="19" t="str">
        <f t="array" ref="D1713">IFNA(_xlfn.XLOOKUP(C1713,Table_Tarikan_Warkah[Nomor Sertipikat],Table_Tarikan_Warkah[Nomor Tiket]),"")</f>
        <v/>
      </c>
      <c r="E1713" s="20" t="str">
        <f t="array" ref="E1713">IFNA(_xlfn.XLOOKUP(D1713,Table_Tarikan_Warkah[Nomor Tiket],Table_Tarikan_Warkah[Tanggal diserahkan kepada Validator]),"")</f>
        <v/>
      </c>
      <c r="F1713" s="20" t="str">
        <f t="array" ref="F1713">IFNA(_xlfn.XLOOKUP(D1713,Table_Tarikan_Warkah[Nomor Tiket],Table_Tarikan_Warkah[Nama Petugas Warkah]),"")</f>
        <v/>
      </c>
      <c r="G1713" s="21" t="str">
        <f t="array" ref="G1713">IFNA(_xlfn.XLOOKUP(D1713,Table_Tarikan_Warkah[Nomor Tiket],Table_Tarikan_Warkah[Jenis Permohonan]),"")</f>
        <v/>
      </c>
      <c r="H1713" s="26"/>
      <c r="I1713" s="26"/>
      <c r="J1713" s="20" t="str">
        <f t="shared" si="29"/>
        <v/>
      </c>
      <c r="K1713" s="26"/>
      <c r="L1713" s="26"/>
      <c r="M1713" s="20" t="str">
        <f t="shared" si="30"/>
        <v/>
      </c>
      <c r="N1713" s="8" t="str">
        <f t="shared" si="3"/>
        <v/>
      </c>
      <c r="O1713" s="21" t="str">
        <f t="shared" si="22"/>
        <v/>
      </c>
      <c r="P1713" s="24" t="b">
        <v>0</v>
      </c>
      <c r="Q1713" s="20" t="str">
        <f t="shared" si="31"/>
        <v/>
      </c>
      <c r="R1713" s="24" t="b">
        <v>0</v>
      </c>
      <c r="S1713" s="7" t="str">
        <f t="shared" si="6"/>
        <v/>
      </c>
      <c r="T1713" s="7"/>
    </row>
    <row r="1714" ht="22.5" hidden="1" customHeight="1">
      <c r="B1714" s="7">
        <f t="shared" si="7"/>
        <v>1708</v>
      </c>
      <c r="C1714" s="40"/>
      <c r="D1714" s="19" t="str">
        <f t="array" ref="D1714">IFNA(_xlfn.XLOOKUP(C1714,Table_Tarikan_Warkah[Nomor Sertipikat],Table_Tarikan_Warkah[Nomor Tiket]),"")</f>
        <v/>
      </c>
      <c r="E1714" s="20" t="str">
        <f t="array" ref="E1714">IFNA(_xlfn.XLOOKUP(D1714,Table_Tarikan_Warkah[Nomor Tiket],Table_Tarikan_Warkah[Tanggal diserahkan kepada Validator]),"")</f>
        <v/>
      </c>
      <c r="F1714" s="20" t="str">
        <f t="array" ref="F1714">IFNA(_xlfn.XLOOKUP(D1714,Table_Tarikan_Warkah[Nomor Tiket],Table_Tarikan_Warkah[Nama Petugas Warkah]),"")</f>
        <v/>
      </c>
      <c r="G1714" s="21" t="str">
        <f t="array" ref="G1714">IFNA(_xlfn.XLOOKUP(D1714,Table_Tarikan_Warkah[Nomor Tiket],Table_Tarikan_Warkah[Jenis Permohonan]),"")</f>
        <v/>
      </c>
      <c r="H1714" s="26"/>
      <c r="I1714" s="26"/>
      <c r="J1714" s="20" t="str">
        <f t="shared" si="29"/>
        <v/>
      </c>
      <c r="K1714" s="26"/>
      <c r="L1714" s="26"/>
      <c r="M1714" s="20" t="str">
        <f t="shared" si="30"/>
        <v/>
      </c>
      <c r="N1714" s="8" t="str">
        <f t="shared" si="3"/>
        <v/>
      </c>
      <c r="O1714" s="21" t="str">
        <f t="shared" si="22"/>
        <v/>
      </c>
      <c r="P1714" s="24" t="b">
        <v>0</v>
      </c>
      <c r="Q1714" s="20" t="str">
        <f t="shared" si="31"/>
        <v/>
      </c>
      <c r="R1714" s="24" t="b">
        <v>0</v>
      </c>
      <c r="S1714" s="7" t="str">
        <f t="shared" si="6"/>
        <v/>
      </c>
      <c r="T1714" s="7"/>
    </row>
    <row r="1715" ht="22.5" hidden="1" customHeight="1">
      <c r="B1715" s="7">
        <f t="shared" si="7"/>
        <v>1709</v>
      </c>
      <c r="C1715" s="40"/>
      <c r="D1715" s="19" t="str">
        <f t="array" ref="D1715">IFNA(_xlfn.XLOOKUP(C1715,Table_Tarikan_Warkah[Nomor Sertipikat],Table_Tarikan_Warkah[Nomor Tiket]),"")</f>
        <v/>
      </c>
      <c r="E1715" s="20" t="str">
        <f t="array" ref="E1715">IFNA(_xlfn.XLOOKUP(D1715,Table_Tarikan_Warkah[Nomor Tiket],Table_Tarikan_Warkah[Tanggal diserahkan kepada Validator]),"")</f>
        <v/>
      </c>
      <c r="F1715" s="20" t="str">
        <f t="array" ref="F1715">IFNA(_xlfn.XLOOKUP(D1715,Table_Tarikan_Warkah[Nomor Tiket],Table_Tarikan_Warkah[Nama Petugas Warkah]),"")</f>
        <v/>
      </c>
      <c r="G1715" s="21" t="str">
        <f t="array" ref="G1715">IFNA(_xlfn.XLOOKUP(D1715,Table_Tarikan_Warkah[Nomor Tiket],Table_Tarikan_Warkah[Jenis Permohonan]),"")</f>
        <v/>
      </c>
      <c r="H1715" s="26"/>
      <c r="I1715" s="26"/>
      <c r="J1715" s="20" t="str">
        <f t="shared" si="29"/>
        <v/>
      </c>
      <c r="K1715" s="26"/>
      <c r="L1715" s="26"/>
      <c r="M1715" s="20" t="str">
        <f t="shared" si="30"/>
        <v/>
      </c>
      <c r="N1715" s="8" t="str">
        <f t="shared" si="3"/>
        <v/>
      </c>
      <c r="O1715" s="21" t="str">
        <f t="shared" si="22"/>
        <v/>
      </c>
      <c r="P1715" s="24" t="b">
        <v>0</v>
      </c>
      <c r="Q1715" s="20" t="str">
        <f t="shared" si="31"/>
        <v/>
      </c>
      <c r="R1715" s="24" t="b">
        <v>0</v>
      </c>
      <c r="S1715" s="7" t="str">
        <f t="shared" si="6"/>
        <v/>
      </c>
      <c r="T1715" s="7"/>
    </row>
    <row r="1716" ht="22.5" hidden="1" customHeight="1">
      <c r="B1716" s="7">
        <f t="shared" si="7"/>
        <v>1710</v>
      </c>
      <c r="C1716" s="40"/>
      <c r="D1716" s="19" t="str">
        <f t="array" ref="D1716">IFNA(_xlfn.XLOOKUP(C1716,Table_Tarikan_Warkah[Nomor Sertipikat],Table_Tarikan_Warkah[Nomor Tiket]),"")</f>
        <v/>
      </c>
      <c r="E1716" s="20" t="str">
        <f t="array" ref="E1716">IFNA(_xlfn.XLOOKUP(D1716,Table_Tarikan_Warkah[Nomor Tiket],Table_Tarikan_Warkah[Tanggal diserahkan kepada Validator]),"")</f>
        <v/>
      </c>
      <c r="F1716" s="20" t="str">
        <f t="array" ref="F1716">IFNA(_xlfn.XLOOKUP(D1716,Table_Tarikan_Warkah[Nomor Tiket],Table_Tarikan_Warkah[Nama Petugas Warkah]),"")</f>
        <v/>
      </c>
      <c r="G1716" s="21" t="str">
        <f t="array" ref="G1716">IFNA(_xlfn.XLOOKUP(D1716,Table_Tarikan_Warkah[Nomor Tiket],Table_Tarikan_Warkah[Jenis Permohonan]),"")</f>
        <v/>
      </c>
      <c r="H1716" s="26"/>
      <c r="I1716" s="26"/>
      <c r="J1716" s="20" t="str">
        <f t="shared" si="29"/>
        <v/>
      </c>
      <c r="K1716" s="26"/>
      <c r="L1716" s="26"/>
      <c r="M1716" s="20" t="str">
        <f t="shared" si="30"/>
        <v/>
      </c>
      <c r="N1716" s="8" t="str">
        <f t="shared" si="3"/>
        <v/>
      </c>
      <c r="O1716" s="21" t="str">
        <f t="shared" si="22"/>
        <v/>
      </c>
      <c r="P1716" s="24" t="b">
        <v>0</v>
      </c>
      <c r="Q1716" s="20" t="str">
        <f t="shared" si="31"/>
        <v/>
      </c>
      <c r="R1716" s="24" t="b">
        <v>0</v>
      </c>
      <c r="S1716" s="7" t="str">
        <f t="shared" si="6"/>
        <v/>
      </c>
      <c r="T1716" s="7"/>
    </row>
    <row r="1717" ht="22.5" hidden="1" customHeight="1">
      <c r="B1717" s="7">
        <f t="shared" si="7"/>
        <v>1711</v>
      </c>
      <c r="C1717" s="40"/>
      <c r="D1717" s="19" t="str">
        <f t="array" ref="D1717">IFNA(_xlfn.XLOOKUP(C1717,Table_Tarikan_Warkah[Nomor Sertipikat],Table_Tarikan_Warkah[Nomor Tiket]),"")</f>
        <v/>
      </c>
      <c r="E1717" s="20" t="str">
        <f t="array" ref="E1717">IFNA(_xlfn.XLOOKUP(D1717,Table_Tarikan_Warkah[Nomor Tiket],Table_Tarikan_Warkah[Tanggal diserahkan kepada Validator]),"")</f>
        <v/>
      </c>
      <c r="F1717" s="20" t="str">
        <f t="array" ref="F1717">IFNA(_xlfn.XLOOKUP(D1717,Table_Tarikan_Warkah[Nomor Tiket],Table_Tarikan_Warkah[Nama Petugas Warkah]),"")</f>
        <v/>
      </c>
      <c r="G1717" s="21" t="str">
        <f t="array" ref="G1717">IFNA(_xlfn.XLOOKUP(D1717,Table_Tarikan_Warkah[Nomor Tiket],Table_Tarikan_Warkah[Jenis Permohonan]),"")</f>
        <v/>
      </c>
      <c r="H1717" s="26"/>
      <c r="I1717" s="26"/>
      <c r="J1717" s="20" t="str">
        <f t="shared" si="29"/>
        <v/>
      </c>
      <c r="K1717" s="26"/>
      <c r="L1717" s="26"/>
      <c r="M1717" s="20" t="str">
        <f t="shared" si="30"/>
        <v/>
      </c>
      <c r="N1717" s="8" t="str">
        <f t="shared" si="3"/>
        <v/>
      </c>
      <c r="O1717" s="21" t="str">
        <f t="shared" si="22"/>
        <v/>
      </c>
      <c r="P1717" s="24" t="b">
        <v>0</v>
      </c>
      <c r="Q1717" s="20" t="str">
        <f t="shared" si="31"/>
        <v/>
      </c>
      <c r="R1717" s="24" t="b">
        <v>0</v>
      </c>
      <c r="S1717" s="7" t="str">
        <f t="shared" si="6"/>
        <v/>
      </c>
      <c r="T1717" s="7"/>
    </row>
    <row r="1718" ht="22.5" hidden="1" customHeight="1">
      <c r="B1718" s="7">
        <f t="shared" si="7"/>
        <v>1712</v>
      </c>
      <c r="C1718" s="40"/>
      <c r="D1718" s="19" t="str">
        <f t="array" ref="D1718">IFNA(_xlfn.XLOOKUP(C1718,Table_Tarikan_Warkah[Nomor Sertipikat],Table_Tarikan_Warkah[Nomor Tiket]),"")</f>
        <v/>
      </c>
      <c r="E1718" s="20" t="str">
        <f t="array" ref="E1718">IFNA(_xlfn.XLOOKUP(D1718,Table_Tarikan_Warkah[Nomor Tiket],Table_Tarikan_Warkah[Tanggal diserahkan kepada Validator]),"")</f>
        <v/>
      </c>
      <c r="F1718" s="20" t="str">
        <f t="array" ref="F1718">IFNA(_xlfn.XLOOKUP(D1718,Table_Tarikan_Warkah[Nomor Tiket],Table_Tarikan_Warkah[Nama Petugas Warkah]),"")</f>
        <v/>
      </c>
      <c r="G1718" s="21" t="str">
        <f t="array" ref="G1718">IFNA(_xlfn.XLOOKUP(D1718,Table_Tarikan_Warkah[Nomor Tiket],Table_Tarikan_Warkah[Jenis Permohonan]),"")</f>
        <v/>
      </c>
      <c r="H1718" s="26"/>
      <c r="I1718" s="26"/>
      <c r="J1718" s="20" t="str">
        <f t="shared" si="29"/>
        <v/>
      </c>
      <c r="K1718" s="26"/>
      <c r="L1718" s="26"/>
      <c r="M1718" s="20" t="str">
        <f t="shared" si="30"/>
        <v/>
      </c>
      <c r="N1718" s="8" t="str">
        <f t="shared" si="3"/>
        <v/>
      </c>
      <c r="O1718" s="21" t="str">
        <f t="shared" si="22"/>
        <v/>
      </c>
      <c r="P1718" s="24" t="b">
        <v>0</v>
      </c>
      <c r="Q1718" s="20" t="str">
        <f t="shared" si="31"/>
        <v/>
      </c>
      <c r="R1718" s="24" t="b">
        <v>0</v>
      </c>
      <c r="S1718" s="7" t="str">
        <f t="shared" si="6"/>
        <v/>
      </c>
      <c r="T1718" s="7"/>
    </row>
    <row r="1719" ht="22.5" hidden="1" customHeight="1">
      <c r="B1719" s="7">
        <f t="shared" si="7"/>
        <v>1713</v>
      </c>
      <c r="C1719" s="40"/>
      <c r="D1719" s="19" t="str">
        <f t="array" ref="D1719">IFNA(_xlfn.XLOOKUP(C1719,Table_Tarikan_Warkah[Nomor Sertipikat],Table_Tarikan_Warkah[Nomor Tiket]),"")</f>
        <v/>
      </c>
      <c r="E1719" s="20" t="str">
        <f t="array" ref="E1719">IFNA(_xlfn.XLOOKUP(D1719,Table_Tarikan_Warkah[Nomor Tiket],Table_Tarikan_Warkah[Tanggal diserahkan kepada Validator]),"")</f>
        <v/>
      </c>
      <c r="F1719" s="20" t="str">
        <f t="array" ref="F1719">IFNA(_xlfn.XLOOKUP(D1719,Table_Tarikan_Warkah[Nomor Tiket],Table_Tarikan_Warkah[Nama Petugas Warkah]),"")</f>
        <v/>
      </c>
      <c r="G1719" s="21" t="str">
        <f t="array" ref="G1719">IFNA(_xlfn.XLOOKUP(D1719,Table_Tarikan_Warkah[Nomor Tiket],Table_Tarikan_Warkah[Jenis Permohonan]),"")</f>
        <v/>
      </c>
      <c r="H1719" s="26"/>
      <c r="I1719" s="26"/>
      <c r="J1719" s="20" t="str">
        <f t="shared" si="29"/>
        <v/>
      </c>
      <c r="K1719" s="26"/>
      <c r="L1719" s="26"/>
      <c r="M1719" s="20" t="str">
        <f t="shared" si="30"/>
        <v/>
      </c>
      <c r="N1719" s="8" t="str">
        <f t="shared" si="3"/>
        <v/>
      </c>
      <c r="O1719" s="21" t="str">
        <f t="shared" si="22"/>
        <v/>
      </c>
      <c r="P1719" s="24" t="b">
        <v>0</v>
      </c>
      <c r="Q1719" s="20" t="str">
        <f t="shared" si="31"/>
        <v/>
      </c>
      <c r="R1719" s="24" t="b">
        <v>0</v>
      </c>
      <c r="S1719" s="7" t="str">
        <f t="shared" si="6"/>
        <v/>
      </c>
      <c r="T1719" s="7"/>
    </row>
    <row r="1720" ht="22.5" hidden="1" customHeight="1">
      <c r="B1720" s="7">
        <f t="shared" si="7"/>
        <v>1714</v>
      </c>
      <c r="C1720" s="40"/>
      <c r="D1720" s="19" t="str">
        <f t="array" ref="D1720">IFNA(_xlfn.XLOOKUP(C1720,Table_Tarikan_Warkah[Nomor Sertipikat],Table_Tarikan_Warkah[Nomor Tiket]),"")</f>
        <v/>
      </c>
      <c r="E1720" s="20" t="str">
        <f t="array" ref="E1720">IFNA(_xlfn.XLOOKUP(D1720,Table_Tarikan_Warkah[Nomor Tiket],Table_Tarikan_Warkah[Tanggal diserahkan kepada Validator]),"")</f>
        <v/>
      </c>
      <c r="F1720" s="20" t="str">
        <f t="array" ref="F1720">IFNA(_xlfn.XLOOKUP(D1720,Table_Tarikan_Warkah[Nomor Tiket],Table_Tarikan_Warkah[Nama Petugas Warkah]),"")</f>
        <v/>
      </c>
      <c r="G1720" s="21" t="str">
        <f t="array" ref="G1720">IFNA(_xlfn.XLOOKUP(D1720,Table_Tarikan_Warkah[Nomor Tiket],Table_Tarikan_Warkah[Jenis Permohonan]),"")</f>
        <v/>
      </c>
      <c r="H1720" s="26"/>
      <c r="I1720" s="26"/>
      <c r="J1720" s="20" t="str">
        <f t="shared" si="29"/>
        <v/>
      </c>
      <c r="K1720" s="26"/>
      <c r="L1720" s="26"/>
      <c r="M1720" s="20" t="str">
        <f t="shared" si="30"/>
        <v/>
      </c>
      <c r="N1720" s="8" t="str">
        <f t="shared" si="3"/>
        <v/>
      </c>
      <c r="O1720" s="21" t="str">
        <f t="shared" si="22"/>
        <v/>
      </c>
      <c r="P1720" s="24" t="b">
        <v>0</v>
      </c>
      <c r="Q1720" s="20" t="str">
        <f t="shared" si="31"/>
        <v/>
      </c>
      <c r="R1720" s="24" t="b">
        <v>0</v>
      </c>
      <c r="S1720" s="7" t="str">
        <f t="shared" si="6"/>
        <v/>
      </c>
      <c r="T1720" s="7"/>
    </row>
    <row r="1721" ht="22.5" hidden="1" customHeight="1">
      <c r="B1721" s="7">
        <f t="shared" si="7"/>
        <v>1715</v>
      </c>
      <c r="C1721" s="40"/>
      <c r="D1721" s="19" t="str">
        <f t="array" ref="D1721">IFNA(_xlfn.XLOOKUP(C1721,Table_Tarikan_Warkah[Nomor Sertipikat],Table_Tarikan_Warkah[Nomor Tiket]),"")</f>
        <v/>
      </c>
      <c r="E1721" s="20" t="str">
        <f t="array" ref="E1721">IFNA(_xlfn.XLOOKUP(D1721,Table_Tarikan_Warkah[Nomor Tiket],Table_Tarikan_Warkah[Tanggal diserahkan kepada Validator]),"")</f>
        <v/>
      </c>
      <c r="F1721" s="20" t="str">
        <f t="array" ref="F1721">IFNA(_xlfn.XLOOKUP(D1721,Table_Tarikan_Warkah[Nomor Tiket],Table_Tarikan_Warkah[Nama Petugas Warkah]),"")</f>
        <v/>
      </c>
      <c r="G1721" s="21" t="str">
        <f t="array" ref="G1721">IFNA(_xlfn.XLOOKUP(D1721,Table_Tarikan_Warkah[Nomor Tiket],Table_Tarikan_Warkah[Jenis Permohonan]),"")</f>
        <v/>
      </c>
      <c r="H1721" s="26"/>
      <c r="I1721" s="26"/>
      <c r="J1721" s="20" t="str">
        <f t="shared" si="29"/>
        <v/>
      </c>
      <c r="K1721" s="26"/>
      <c r="L1721" s="26"/>
      <c r="M1721" s="20" t="str">
        <f t="shared" si="30"/>
        <v/>
      </c>
      <c r="N1721" s="8" t="str">
        <f t="shared" si="3"/>
        <v/>
      </c>
      <c r="O1721" s="21" t="str">
        <f t="shared" si="22"/>
        <v/>
      </c>
      <c r="P1721" s="24" t="b">
        <v>0</v>
      </c>
      <c r="Q1721" s="20" t="str">
        <f t="shared" si="31"/>
        <v/>
      </c>
      <c r="R1721" s="24" t="b">
        <v>0</v>
      </c>
      <c r="S1721" s="7" t="str">
        <f t="shared" si="6"/>
        <v/>
      </c>
      <c r="T1721" s="7"/>
    </row>
    <row r="1722" ht="22.5" hidden="1" customHeight="1">
      <c r="B1722" s="7">
        <f t="shared" si="7"/>
        <v>1716</v>
      </c>
      <c r="C1722" s="40"/>
      <c r="D1722" s="19" t="str">
        <f t="array" ref="D1722">IFNA(_xlfn.XLOOKUP(C1722,Table_Tarikan_Warkah[Nomor Sertipikat],Table_Tarikan_Warkah[Nomor Tiket]),"")</f>
        <v/>
      </c>
      <c r="E1722" s="20" t="str">
        <f t="array" ref="E1722">IFNA(_xlfn.XLOOKUP(D1722,Table_Tarikan_Warkah[Nomor Tiket],Table_Tarikan_Warkah[Tanggal diserahkan kepada Validator]),"")</f>
        <v/>
      </c>
      <c r="F1722" s="20" t="str">
        <f t="array" ref="F1722">IFNA(_xlfn.XLOOKUP(D1722,Table_Tarikan_Warkah[Nomor Tiket],Table_Tarikan_Warkah[Nama Petugas Warkah]),"")</f>
        <v/>
      </c>
      <c r="G1722" s="21" t="str">
        <f t="array" ref="G1722">IFNA(_xlfn.XLOOKUP(D1722,Table_Tarikan_Warkah[Nomor Tiket],Table_Tarikan_Warkah[Jenis Permohonan]),"")</f>
        <v/>
      </c>
      <c r="H1722" s="26"/>
      <c r="I1722" s="26"/>
      <c r="J1722" s="20" t="str">
        <f t="shared" si="29"/>
        <v/>
      </c>
      <c r="K1722" s="26"/>
      <c r="L1722" s="26"/>
      <c r="M1722" s="20" t="str">
        <f t="shared" si="30"/>
        <v/>
      </c>
      <c r="N1722" s="8" t="str">
        <f t="shared" si="3"/>
        <v/>
      </c>
      <c r="O1722" s="21" t="str">
        <f t="shared" si="22"/>
        <v/>
      </c>
      <c r="P1722" s="24" t="b">
        <v>0</v>
      </c>
      <c r="Q1722" s="20" t="str">
        <f t="shared" si="31"/>
        <v/>
      </c>
      <c r="R1722" s="24" t="b">
        <v>0</v>
      </c>
      <c r="S1722" s="7" t="str">
        <f t="shared" si="6"/>
        <v/>
      </c>
      <c r="T1722" s="7"/>
    </row>
    <row r="1723" ht="22.5" hidden="1" customHeight="1">
      <c r="B1723" s="7">
        <f t="shared" si="7"/>
        <v>1717</v>
      </c>
      <c r="C1723" s="40"/>
      <c r="D1723" s="19" t="str">
        <f t="array" ref="D1723">IFNA(_xlfn.XLOOKUP(C1723,Table_Tarikan_Warkah[Nomor Sertipikat],Table_Tarikan_Warkah[Nomor Tiket]),"")</f>
        <v/>
      </c>
      <c r="E1723" s="20" t="str">
        <f t="array" ref="E1723">IFNA(_xlfn.XLOOKUP(D1723,Table_Tarikan_Warkah[Nomor Tiket],Table_Tarikan_Warkah[Tanggal diserahkan kepada Validator]),"")</f>
        <v/>
      </c>
      <c r="F1723" s="20" t="str">
        <f t="array" ref="F1723">IFNA(_xlfn.XLOOKUP(D1723,Table_Tarikan_Warkah[Nomor Tiket],Table_Tarikan_Warkah[Nama Petugas Warkah]),"")</f>
        <v/>
      </c>
      <c r="G1723" s="21" t="str">
        <f t="array" ref="G1723">IFNA(_xlfn.XLOOKUP(D1723,Table_Tarikan_Warkah[Nomor Tiket],Table_Tarikan_Warkah[Jenis Permohonan]),"")</f>
        <v/>
      </c>
      <c r="H1723" s="26"/>
      <c r="I1723" s="26"/>
      <c r="J1723" s="20" t="str">
        <f t="shared" si="29"/>
        <v/>
      </c>
      <c r="K1723" s="26"/>
      <c r="L1723" s="26"/>
      <c r="M1723" s="20" t="str">
        <f t="shared" si="30"/>
        <v/>
      </c>
      <c r="N1723" s="8" t="str">
        <f t="shared" si="3"/>
        <v/>
      </c>
      <c r="O1723" s="21" t="str">
        <f t="shared" si="22"/>
        <v/>
      </c>
      <c r="P1723" s="24" t="b">
        <v>0</v>
      </c>
      <c r="Q1723" s="20" t="str">
        <f t="shared" si="31"/>
        <v/>
      </c>
      <c r="R1723" s="24" t="b">
        <v>0</v>
      </c>
      <c r="S1723" s="7" t="str">
        <f t="shared" si="6"/>
        <v/>
      </c>
      <c r="T1723" s="7"/>
    </row>
    <row r="1724" ht="22.5" hidden="1" customHeight="1">
      <c r="B1724" s="7">
        <f t="shared" si="7"/>
        <v>1718</v>
      </c>
      <c r="C1724" s="40"/>
      <c r="D1724" s="19" t="str">
        <f t="array" ref="D1724">IFNA(_xlfn.XLOOKUP(C1724,Table_Tarikan_Warkah[Nomor Sertipikat],Table_Tarikan_Warkah[Nomor Tiket]),"")</f>
        <v/>
      </c>
      <c r="E1724" s="20" t="str">
        <f t="array" ref="E1724">IFNA(_xlfn.XLOOKUP(D1724,Table_Tarikan_Warkah[Nomor Tiket],Table_Tarikan_Warkah[Tanggal diserahkan kepada Validator]),"")</f>
        <v/>
      </c>
      <c r="F1724" s="20" t="str">
        <f t="array" ref="F1724">IFNA(_xlfn.XLOOKUP(D1724,Table_Tarikan_Warkah[Nomor Tiket],Table_Tarikan_Warkah[Nama Petugas Warkah]),"")</f>
        <v/>
      </c>
      <c r="G1724" s="21" t="str">
        <f t="array" ref="G1724">IFNA(_xlfn.XLOOKUP(D1724,Table_Tarikan_Warkah[Nomor Tiket],Table_Tarikan_Warkah[Jenis Permohonan]),"")</f>
        <v/>
      </c>
      <c r="H1724" s="26"/>
      <c r="I1724" s="26"/>
      <c r="J1724" s="20" t="str">
        <f t="shared" si="29"/>
        <v/>
      </c>
      <c r="K1724" s="26"/>
      <c r="L1724" s="26"/>
      <c r="M1724" s="20" t="str">
        <f t="shared" si="30"/>
        <v/>
      </c>
      <c r="N1724" s="8" t="str">
        <f t="shared" si="3"/>
        <v/>
      </c>
      <c r="O1724" s="21" t="str">
        <f t="shared" si="22"/>
        <v/>
      </c>
      <c r="P1724" s="24" t="b">
        <v>0</v>
      </c>
      <c r="Q1724" s="20" t="str">
        <f t="shared" si="31"/>
        <v/>
      </c>
      <c r="R1724" s="24" t="b">
        <v>0</v>
      </c>
      <c r="S1724" s="7" t="str">
        <f t="shared" si="6"/>
        <v/>
      </c>
      <c r="T1724" s="7"/>
    </row>
    <row r="1725" ht="22.5" hidden="1" customHeight="1">
      <c r="B1725" s="7">
        <f t="shared" si="7"/>
        <v>1719</v>
      </c>
      <c r="C1725" s="40"/>
      <c r="D1725" s="19" t="str">
        <f t="array" ref="D1725">IFNA(_xlfn.XLOOKUP(C1725,Table_Tarikan_Warkah[Nomor Sertipikat],Table_Tarikan_Warkah[Nomor Tiket]),"")</f>
        <v/>
      </c>
      <c r="E1725" s="20" t="str">
        <f t="array" ref="E1725">IFNA(_xlfn.XLOOKUP(D1725,Table_Tarikan_Warkah[Nomor Tiket],Table_Tarikan_Warkah[Tanggal diserahkan kepada Validator]),"")</f>
        <v/>
      </c>
      <c r="F1725" s="20" t="str">
        <f t="array" ref="F1725">IFNA(_xlfn.XLOOKUP(D1725,Table_Tarikan_Warkah[Nomor Tiket],Table_Tarikan_Warkah[Nama Petugas Warkah]),"")</f>
        <v/>
      </c>
      <c r="G1725" s="21" t="str">
        <f t="array" ref="G1725">IFNA(_xlfn.XLOOKUP(D1725,Table_Tarikan_Warkah[Nomor Tiket],Table_Tarikan_Warkah[Jenis Permohonan]),"")</f>
        <v/>
      </c>
      <c r="H1725" s="26"/>
      <c r="I1725" s="26"/>
      <c r="J1725" s="20" t="str">
        <f t="shared" si="29"/>
        <v/>
      </c>
      <c r="K1725" s="26"/>
      <c r="L1725" s="26"/>
      <c r="M1725" s="20" t="str">
        <f t="shared" si="30"/>
        <v/>
      </c>
      <c r="N1725" s="8" t="str">
        <f t="shared" si="3"/>
        <v/>
      </c>
      <c r="O1725" s="21" t="str">
        <f t="shared" si="22"/>
        <v/>
      </c>
      <c r="P1725" s="24" t="b">
        <v>0</v>
      </c>
      <c r="Q1725" s="20" t="str">
        <f t="shared" si="31"/>
        <v/>
      </c>
      <c r="R1725" s="24" t="b">
        <v>0</v>
      </c>
      <c r="S1725" s="7" t="str">
        <f t="shared" si="6"/>
        <v/>
      </c>
      <c r="T1725" s="7"/>
    </row>
    <row r="1726" ht="22.5" hidden="1" customHeight="1">
      <c r="B1726" s="7">
        <f t="shared" si="7"/>
        <v>1720</v>
      </c>
      <c r="C1726" s="40"/>
      <c r="D1726" s="19" t="str">
        <f t="array" ref="D1726">IFNA(_xlfn.XLOOKUP(C1726,Table_Tarikan_Warkah[Nomor Sertipikat],Table_Tarikan_Warkah[Nomor Tiket]),"")</f>
        <v/>
      </c>
      <c r="E1726" s="20" t="str">
        <f t="array" ref="E1726">IFNA(_xlfn.XLOOKUP(D1726,Table_Tarikan_Warkah[Nomor Tiket],Table_Tarikan_Warkah[Tanggal diserahkan kepada Validator]),"")</f>
        <v/>
      </c>
      <c r="F1726" s="20" t="str">
        <f t="array" ref="F1726">IFNA(_xlfn.XLOOKUP(D1726,Table_Tarikan_Warkah[Nomor Tiket],Table_Tarikan_Warkah[Nama Petugas Warkah]),"")</f>
        <v/>
      </c>
      <c r="G1726" s="21" t="str">
        <f t="array" ref="G1726">IFNA(_xlfn.XLOOKUP(D1726,Table_Tarikan_Warkah[Nomor Tiket],Table_Tarikan_Warkah[Jenis Permohonan]),"")</f>
        <v/>
      </c>
      <c r="H1726" s="26"/>
      <c r="I1726" s="26"/>
      <c r="J1726" s="20" t="str">
        <f t="shared" si="29"/>
        <v/>
      </c>
      <c r="K1726" s="26"/>
      <c r="L1726" s="26"/>
      <c r="M1726" s="20" t="str">
        <f t="shared" si="30"/>
        <v/>
      </c>
      <c r="N1726" s="8" t="str">
        <f t="shared" si="3"/>
        <v/>
      </c>
      <c r="O1726" s="21" t="str">
        <f t="shared" si="22"/>
        <v/>
      </c>
      <c r="P1726" s="24" t="b">
        <v>0</v>
      </c>
      <c r="Q1726" s="20" t="str">
        <f t="shared" si="31"/>
        <v/>
      </c>
      <c r="R1726" s="24" t="b">
        <v>0</v>
      </c>
      <c r="S1726" s="7" t="str">
        <f t="shared" si="6"/>
        <v/>
      </c>
      <c r="T1726" s="7"/>
    </row>
    <row r="1727" ht="22.5" hidden="1" customHeight="1">
      <c r="B1727" s="7">
        <f t="shared" si="7"/>
        <v>1721</v>
      </c>
      <c r="C1727" s="40"/>
      <c r="D1727" s="19" t="str">
        <f t="array" ref="D1727">IFNA(_xlfn.XLOOKUP(C1727,Table_Tarikan_Warkah[Nomor Sertipikat],Table_Tarikan_Warkah[Nomor Tiket]),"")</f>
        <v/>
      </c>
      <c r="E1727" s="20" t="str">
        <f t="array" ref="E1727">IFNA(_xlfn.XLOOKUP(D1727,Table_Tarikan_Warkah[Nomor Tiket],Table_Tarikan_Warkah[Tanggal diserahkan kepada Validator]),"")</f>
        <v/>
      </c>
      <c r="F1727" s="20" t="str">
        <f t="array" ref="F1727">IFNA(_xlfn.XLOOKUP(D1727,Table_Tarikan_Warkah[Nomor Tiket],Table_Tarikan_Warkah[Nama Petugas Warkah]),"")</f>
        <v/>
      </c>
      <c r="G1727" s="21" t="str">
        <f t="array" ref="G1727">IFNA(_xlfn.XLOOKUP(D1727,Table_Tarikan_Warkah[Nomor Tiket],Table_Tarikan_Warkah[Jenis Permohonan]),"")</f>
        <v/>
      </c>
      <c r="H1727" s="26"/>
      <c r="I1727" s="26"/>
      <c r="J1727" s="20" t="str">
        <f t="shared" si="29"/>
        <v/>
      </c>
      <c r="K1727" s="26"/>
      <c r="L1727" s="26"/>
      <c r="M1727" s="20" t="str">
        <f t="shared" si="30"/>
        <v/>
      </c>
      <c r="N1727" s="8" t="str">
        <f t="shared" si="3"/>
        <v/>
      </c>
      <c r="O1727" s="21" t="str">
        <f t="shared" si="22"/>
        <v/>
      </c>
      <c r="P1727" s="24" t="b">
        <v>0</v>
      </c>
      <c r="Q1727" s="20" t="str">
        <f t="shared" si="31"/>
        <v/>
      </c>
      <c r="R1727" s="24" t="b">
        <v>0</v>
      </c>
      <c r="S1727" s="7" t="str">
        <f t="shared" si="6"/>
        <v/>
      </c>
      <c r="T1727" s="7"/>
    </row>
    <row r="1728" ht="22.5" hidden="1" customHeight="1">
      <c r="B1728" s="7">
        <f t="shared" si="7"/>
        <v>1722</v>
      </c>
      <c r="C1728" s="40"/>
      <c r="D1728" s="19" t="str">
        <f t="array" ref="D1728">IFNA(_xlfn.XLOOKUP(C1728,Table_Tarikan_Warkah[Nomor Sertipikat],Table_Tarikan_Warkah[Nomor Tiket]),"")</f>
        <v/>
      </c>
      <c r="E1728" s="20" t="str">
        <f t="array" ref="E1728">IFNA(_xlfn.XLOOKUP(D1728,Table_Tarikan_Warkah[Nomor Tiket],Table_Tarikan_Warkah[Tanggal diserahkan kepada Validator]),"")</f>
        <v/>
      </c>
      <c r="F1728" s="20" t="str">
        <f t="array" ref="F1728">IFNA(_xlfn.XLOOKUP(D1728,Table_Tarikan_Warkah[Nomor Tiket],Table_Tarikan_Warkah[Nama Petugas Warkah]),"")</f>
        <v/>
      </c>
      <c r="G1728" s="21" t="str">
        <f t="array" ref="G1728">IFNA(_xlfn.XLOOKUP(D1728,Table_Tarikan_Warkah[Nomor Tiket],Table_Tarikan_Warkah[Jenis Permohonan]),"")</f>
        <v/>
      </c>
      <c r="H1728" s="26"/>
      <c r="I1728" s="26"/>
      <c r="J1728" s="20" t="str">
        <f t="shared" si="29"/>
        <v/>
      </c>
      <c r="K1728" s="26"/>
      <c r="L1728" s="26"/>
      <c r="M1728" s="20" t="str">
        <f t="shared" si="30"/>
        <v/>
      </c>
      <c r="N1728" s="8" t="str">
        <f t="shared" si="3"/>
        <v/>
      </c>
      <c r="O1728" s="21" t="str">
        <f t="shared" si="22"/>
        <v/>
      </c>
      <c r="P1728" s="24" t="b">
        <v>0</v>
      </c>
      <c r="Q1728" s="20" t="str">
        <f t="shared" si="31"/>
        <v/>
      </c>
      <c r="R1728" s="24" t="b">
        <v>0</v>
      </c>
      <c r="S1728" s="7" t="str">
        <f t="shared" si="6"/>
        <v/>
      </c>
      <c r="T1728" s="7"/>
    </row>
    <row r="1729" ht="22.5" hidden="1" customHeight="1">
      <c r="B1729" s="7">
        <f t="shared" si="7"/>
        <v>1723</v>
      </c>
      <c r="C1729" s="40"/>
      <c r="D1729" s="19" t="str">
        <f t="array" ref="D1729">IFNA(_xlfn.XLOOKUP(C1729,Table_Tarikan_Warkah[Nomor Sertipikat],Table_Tarikan_Warkah[Nomor Tiket]),"")</f>
        <v/>
      </c>
      <c r="E1729" s="20" t="str">
        <f t="array" ref="E1729">IFNA(_xlfn.XLOOKUP(D1729,Table_Tarikan_Warkah[Nomor Tiket],Table_Tarikan_Warkah[Tanggal diserahkan kepada Validator]),"")</f>
        <v/>
      </c>
      <c r="F1729" s="20" t="str">
        <f t="array" ref="F1729">IFNA(_xlfn.XLOOKUP(D1729,Table_Tarikan_Warkah[Nomor Tiket],Table_Tarikan_Warkah[Nama Petugas Warkah]),"")</f>
        <v/>
      </c>
      <c r="G1729" s="21" t="str">
        <f t="array" ref="G1729">IFNA(_xlfn.XLOOKUP(D1729,Table_Tarikan_Warkah[Nomor Tiket],Table_Tarikan_Warkah[Jenis Permohonan]),"")</f>
        <v/>
      </c>
      <c r="H1729" s="26"/>
      <c r="I1729" s="26"/>
      <c r="J1729" s="20" t="str">
        <f t="shared" si="29"/>
        <v/>
      </c>
      <c r="K1729" s="26"/>
      <c r="L1729" s="26"/>
      <c r="M1729" s="20" t="str">
        <f t="shared" si="30"/>
        <v/>
      </c>
      <c r="N1729" s="8" t="str">
        <f t="shared" si="3"/>
        <v/>
      </c>
      <c r="O1729" s="21" t="str">
        <f t="shared" si="22"/>
        <v/>
      </c>
      <c r="P1729" s="24" t="b">
        <v>0</v>
      </c>
      <c r="Q1729" s="20" t="str">
        <f t="shared" si="31"/>
        <v/>
      </c>
      <c r="R1729" s="24" t="b">
        <v>0</v>
      </c>
      <c r="S1729" s="7" t="str">
        <f t="shared" si="6"/>
        <v/>
      </c>
      <c r="T1729" s="7"/>
    </row>
    <row r="1730" ht="22.5" hidden="1" customHeight="1">
      <c r="B1730" s="7">
        <f t="shared" si="7"/>
        <v>1724</v>
      </c>
      <c r="C1730" s="40"/>
      <c r="D1730" s="19" t="str">
        <f t="array" ref="D1730">IFNA(_xlfn.XLOOKUP(C1730,Table_Tarikan_Warkah[Nomor Sertipikat],Table_Tarikan_Warkah[Nomor Tiket]),"")</f>
        <v/>
      </c>
      <c r="E1730" s="20" t="str">
        <f t="array" ref="E1730">IFNA(_xlfn.XLOOKUP(D1730,Table_Tarikan_Warkah[Nomor Tiket],Table_Tarikan_Warkah[Tanggal diserahkan kepada Validator]),"")</f>
        <v/>
      </c>
      <c r="F1730" s="20" t="str">
        <f t="array" ref="F1730">IFNA(_xlfn.XLOOKUP(D1730,Table_Tarikan_Warkah[Nomor Tiket],Table_Tarikan_Warkah[Nama Petugas Warkah]),"")</f>
        <v/>
      </c>
      <c r="G1730" s="21" t="str">
        <f t="array" ref="G1730">IFNA(_xlfn.XLOOKUP(D1730,Table_Tarikan_Warkah[Nomor Tiket],Table_Tarikan_Warkah[Jenis Permohonan]),"")</f>
        <v/>
      </c>
      <c r="H1730" s="26"/>
      <c r="I1730" s="26"/>
      <c r="J1730" s="20" t="str">
        <f t="shared" si="29"/>
        <v/>
      </c>
      <c r="K1730" s="26"/>
      <c r="L1730" s="26"/>
      <c r="M1730" s="20" t="str">
        <f t="shared" si="30"/>
        <v/>
      </c>
      <c r="N1730" s="8" t="str">
        <f t="shared" si="3"/>
        <v/>
      </c>
      <c r="O1730" s="21" t="str">
        <f t="shared" si="22"/>
        <v/>
      </c>
      <c r="P1730" s="24" t="b">
        <v>0</v>
      </c>
      <c r="Q1730" s="20" t="str">
        <f t="shared" si="31"/>
        <v/>
      </c>
      <c r="R1730" s="24" t="b">
        <v>0</v>
      </c>
      <c r="S1730" s="7" t="str">
        <f t="shared" si="6"/>
        <v/>
      </c>
      <c r="T1730" s="7"/>
    </row>
    <row r="1731" ht="22.5" hidden="1" customHeight="1">
      <c r="B1731" s="7">
        <f t="shared" si="7"/>
        <v>1725</v>
      </c>
      <c r="C1731" s="40"/>
      <c r="D1731" s="19" t="str">
        <f t="array" ref="D1731">IFNA(_xlfn.XLOOKUP(C1731,Table_Tarikan_Warkah[Nomor Sertipikat],Table_Tarikan_Warkah[Nomor Tiket]),"")</f>
        <v/>
      </c>
      <c r="E1731" s="20" t="str">
        <f t="array" ref="E1731">IFNA(_xlfn.XLOOKUP(D1731,Table_Tarikan_Warkah[Nomor Tiket],Table_Tarikan_Warkah[Tanggal diserahkan kepada Validator]),"")</f>
        <v/>
      </c>
      <c r="F1731" s="20" t="str">
        <f t="array" ref="F1731">IFNA(_xlfn.XLOOKUP(D1731,Table_Tarikan_Warkah[Nomor Tiket],Table_Tarikan_Warkah[Nama Petugas Warkah]),"")</f>
        <v/>
      </c>
      <c r="G1731" s="21" t="str">
        <f t="array" ref="G1731">IFNA(_xlfn.XLOOKUP(D1731,Table_Tarikan_Warkah[Nomor Tiket],Table_Tarikan_Warkah[Jenis Permohonan]),"")</f>
        <v/>
      </c>
      <c r="H1731" s="26"/>
      <c r="I1731" s="26"/>
      <c r="J1731" s="20" t="str">
        <f t="shared" si="29"/>
        <v/>
      </c>
      <c r="K1731" s="26"/>
      <c r="L1731" s="26"/>
      <c r="M1731" s="20" t="str">
        <f t="shared" si="30"/>
        <v/>
      </c>
      <c r="N1731" s="8" t="str">
        <f t="shared" si="3"/>
        <v/>
      </c>
      <c r="O1731" s="21" t="str">
        <f t="shared" si="22"/>
        <v/>
      </c>
      <c r="P1731" s="24" t="b">
        <v>0</v>
      </c>
      <c r="Q1731" s="20" t="str">
        <f t="shared" si="31"/>
        <v/>
      </c>
      <c r="R1731" s="24" t="b">
        <v>0</v>
      </c>
      <c r="S1731" s="7" t="str">
        <f t="shared" si="6"/>
        <v/>
      </c>
      <c r="T1731" s="7"/>
    </row>
    <row r="1732" ht="22.5" hidden="1" customHeight="1">
      <c r="B1732" s="7">
        <f t="shared" si="7"/>
        <v>1726</v>
      </c>
      <c r="C1732" s="40"/>
      <c r="D1732" s="19" t="str">
        <f t="array" ref="D1732">IFNA(_xlfn.XLOOKUP(C1732,Table_Tarikan_Warkah[Nomor Sertipikat],Table_Tarikan_Warkah[Nomor Tiket]),"")</f>
        <v/>
      </c>
      <c r="E1732" s="20" t="str">
        <f t="array" ref="E1732">IFNA(_xlfn.XLOOKUP(D1732,Table_Tarikan_Warkah[Nomor Tiket],Table_Tarikan_Warkah[Tanggal diserahkan kepada Validator]),"")</f>
        <v/>
      </c>
      <c r="F1732" s="20" t="str">
        <f t="array" ref="F1732">IFNA(_xlfn.XLOOKUP(D1732,Table_Tarikan_Warkah[Nomor Tiket],Table_Tarikan_Warkah[Nama Petugas Warkah]),"")</f>
        <v/>
      </c>
      <c r="G1732" s="21" t="str">
        <f t="array" ref="G1732">IFNA(_xlfn.XLOOKUP(D1732,Table_Tarikan_Warkah[Nomor Tiket],Table_Tarikan_Warkah[Jenis Permohonan]),"")</f>
        <v/>
      </c>
      <c r="H1732" s="26"/>
      <c r="I1732" s="26"/>
      <c r="J1732" s="20" t="str">
        <f t="shared" si="29"/>
        <v/>
      </c>
      <c r="K1732" s="26"/>
      <c r="L1732" s="26"/>
      <c r="M1732" s="20" t="str">
        <f t="shared" si="30"/>
        <v/>
      </c>
      <c r="N1732" s="8" t="str">
        <f t="shared" si="3"/>
        <v/>
      </c>
      <c r="O1732" s="21" t="str">
        <f t="shared" si="22"/>
        <v/>
      </c>
      <c r="P1732" s="24" t="b">
        <v>0</v>
      </c>
      <c r="Q1732" s="20" t="str">
        <f t="shared" si="31"/>
        <v/>
      </c>
      <c r="R1732" s="24" t="b">
        <v>0</v>
      </c>
      <c r="S1732" s="7" t="str">
        <f t="shared" si="6"/>
        <v/>
      </c>
      <c r="T1732" s="7"/>
    </row>
    <row r="1733" ht="22.5" hidden="1" customHeight="1">
      <c r="B1733" s="7">
        <f t="shared" si="7"/>
        <v>1727</v>
      </c>
      <c r="C1733" s="40"/>
      <c r="D1733" s="19" t="str">
        <f t="array" ref="D1733">IFNA(_xlfn.XLOOKUP(C1733,Table_Tarikan_Warkah[Nomor Sertipikat],Table_Tarikan_Warkah[Nomor Tiket]),"")</f>
        <v/>
      </c>
      <c r="E1733" s="20" t="str">
        <f t="array" ref="E1733">IFNA(_xlfn.XLOOKUP(D1733,Table_Tarikan_Warkah[Nomor Tiket],Table_Tarikan_Warkah[Tanggal diserahkan kepada Validator]),"")</f>
        <v/>
      </c>
      <c r="F1733" s="20" t="str">
        <f t="array" ref="F1733">IFNA(_xlfn.XLOOKUP(D1733,Table_Tarikan_Warkah[Nomor Tiket],Table_Tarikan_Warkah[Nama Petugas Warkah]),"")</f>
        <v/>
      </c>
      <c r="G1733" s="21" t="str">
        <f t="array" ref="G1733">IFNA(_xlfn.XLOOKUP(D1733,Table_Tarikan_Warkah[Nomor Tiket],Table_Tarikan_Warkah[Jenis Permohonan]),"")</f>
        <v/>
      </c>
      <c r="H1733" s="26"/>
      <c r="I1733" s="26"/>
      <c r="J1733" s="20" t="str">
        <f t="shared" si="29"/>
        <v/>
      </c>
      <c r="K1733" s="26"/>
      <c r="L1733" s="26"/>
      <c r="M1733" s="20" t="str">
        <f t="shared" si="30"/>
        <v/>
      </c>
      <c r="N1733" s="8" t="str">
        <f t="shared" si="3"/>
        <v/>
      </c>
      <c r="O1733" s="21" t="str">
        <f t="shared" si="22"/>
        <v/>
      </c>
      <c r="P1733" s="24" t="b">
        <v>0</v>
      </c>
      <c r="Q1733" s="20" t="str">
        <f t="shared" si="31"/>
        <v/>
      </c>
      <c r="R1733" s="24" t="b">
        <v>0</v>
      </c>
      <c r="S1733" s="7" t="str">
        <f t="shared" si="6"/>
        <v/>
      </c>
      <c r="T1733" s="7"/>
    </row>
    <row r="1734" ht="22.5" hidden="1" customHeight="1">
      <c r="B1734" s="7">
        <f t="shared" si="7"/>
        <v>1728</v>
      </c>
      <c r="C1734" s="40"/>
      <c r="D1734" s="19" t="str">
        <f t="array" ref="D1734">IFNA(_xlfn.XLOOKUP(C1734,Table_Tarikan_Warkah[Nomor Sertipikat],Table_Tarikan_Warkah[Nomor Tiket]),"")</f>
        <v/>
      </c>
      <c r="E1734" s="20" t="str">
        <f t="array" ref="E1734">IFNA(_xlfn.XLOOKUP(D1734,Table_Tarikan_Warkah[Nomor Tiket],Table_Tarikan_Warkah[Tanggal diserahkan kepada Validator]),"")</f>
        <v/>
      </c>
      <c r="F1734" s="20" t="str">
        <f t="array" ref="F1734">IFNA(_xlfn.XLOOKUP(D1734,Table_Tarikan_Warkah[Nomor Tiket],Table_Tarikan_Warkah[Nama Petugas Warkah]),"")</f>
        <v/>
      </c>
      <c r="G1734" s="21" t="str">
        <f t="array" ref="G1734">IFNA(_xlfn.XLOOKUP(D1734,Table_Tarikan_Warkah[Nomor Tiket],Table_Tarikan_Warkah[Jenis Permohonan]),"")</f>
        <v/>
      </c>
      <c r="H1734" s="26"/>
      <c r="I1734" s="26"/>
      <c r="J1734" s="20" t="str">
        <f t="shared" si="29"/>
        <v/>
      </c>
      <c r="K1734" s="26"/>
      <c r="L1734" s="26"/>
      <c r="M1734" s="20" t="str">
        <f t="shared" si="30"/>
        <v/>
      </c>
      <c r="N1734" s="8" t="str">
        <f t="shared" si="3"/>
        <v/>
      </c>
      <c r="O1734" s="21" t="str">
        <f t="shared" si="22"/>
        <v/>
      </c>
      <c r="P1734" s="24" t="b">
        <v>0</v>
      </c>
      <c r="Q1734" s="20" t="str">
        <f t="shared" si="31"/>
        <v/>
      </c>
      <c r="R1734" s="24" t="b">
        <v>0</v>
      </c>
      <c r="S1734" s="7" t="str">
        <f t="shared" si="6"/>
        <v/>
      </c>
      <c r="T1734" s="7"/>
    </row>
    <row r="1735" ht="22.5" hidden="1" customHeight="1">
      <c r="B1735" s="7">
        <f t="shared" si="7"/>
        <v>1729</v>
      </c>
      <c r="C1735" s="40"/>
      <c r="D1735" s="19" t="str">
        <f t="array" ref="D1735">IFNA(_xlfn.XLOOKUP(C1735,Table_Tarikan_Warkah[Nomor Sertipikat],Table_Tarikan_Warkah[Nomor Tiket]),"")</f>
        <v/>
      </c>
      <c r="E1735" s="20" t="str">
        <f t="array" ref="E1735">IFNA(_xlfn.XLOOKUP(D1735,Table_Tarikan_Warkah[Nomor Tiket],Table_Tarikan_Warkah[Tanggal diserahkan kepada Validator]),"")</f>
        <v/>
      </c>
      <c r="F1735" s="20" t="str">
        <f t="array" ref="F1735">IFNA(_xlfn.XLOOKUP(D1735,Table_Tarikan_Warkah[Nomor Tiket],Table_Tarikan_Warkah[Nama Petugas Warkah]),"")</f>
        <v/>
      </c>
      <c r="G1735" s="21" t="str">
        <f t="array" ref="G1735">IFNA(_xlfn.XLOOKUP(D1735,Table_Tarikan_Warkah[Nomor Tiket],Table_Tarikan_Warkah[Jenis Permohonan]),"")</f>
        <v/>
      </c>
      <c r="H1735" s="26"/>
      <c r="I1735" s="26"/>
      <c r="J1735" s="20" t="str">
        <f t="shared" si="29"/>
        <v/>
      </c>
      <c r="K1735" s="26"/>
      <c r="L1735" s="26"/>
      <c r="M1735" s="20" t="str">
        <f t="shared" si="30"/>
        <v/>
      </c>
      <c r="N1735" s="8" t="str">
        <f t="shared" si="3"/>
        <v/>
      </c>
      <c r="O1735" s="21" t="str">
        <f t="shared" si="22"/>
        <v/>
      </c>
      <c r="P1735" s="24" t="b">
        <v>0</v>
      </c>
      <c r="Q1735" s="20" t="str">
        <f t="shared" si="31"/>
        <v/>
      </c>
      <c r="R1735" s="24" t="b">
        <v>0</v>
      </c>
      <c r="S1735" s="7" t="str">
        <f t="shared" si="6"/>
        <v/>
      </c>
      <c r="T1735" s="7"/>
    </row>
    <row r="1736" ht="22.5" hidden="1" customHeight="1">
      <c r="B1736" s="7">
        <f t="shared" si="7"/>
        <v>1730</v>
      </c>
      <c r="C1736" s="40"/>
      <c r="D1736" s="19" t="str">
        <f t="array" ref="D1736">IFNA(_xlfn.XLOOKUP(C1736,Table_Tarikan_Warkah[Nomor Sertipikat],Table_Tarikan_Warkah[Nomor Tiket]),"")</f>
        <v/>
      </c>
      <c r="E1736" s="20" t="str">
        <f t="array" ref="E1736">IFNA(_xlfn.XLOOKUP(D1736,Table_Tarikan_Warkah[Nomor Tiket],Table_Tarikan_Warkah[Tanggal diserahkan kepada Validator]),"")</f>
        <v/>
      </c>
      <c r="F1736" s="20" t="str">
        <f t="array" ref="F1736">IFNA(_xlfn.XLOOKUP(D1736,Table_Tarikan_Warkah[Nomor Tiket],Table_Tarikan_Warkah[Nama Petugas Warkah]),"")</f>
        <v/>
      </c>
      <c r="G1736" s="21" t="str">
        <f t="array" ref="G1736">IFNA(_xlfn.XLOOKUP(D1736,Table_Tarikan_Warkah[Nomor Tiket],Table_Tarikan_Warkah[Jenis Permohonan]),"")</f>
        <v/>
      </c>
      <c r="H1736" s="26"/>
      <c r="I1736" s="26"/>
      <c r="J1736" s="20" t="str">
        <f t="shared" si="29"/>
        <v/>
      </c>
      <c r="K1736" s="26"/>
      <c r="L1736" s="26"/>
      <c r="M1736" s="20" t="str">
        <f t="shared" si="30"/>
        <v/>
      </c>
      <c r="N1736" s="8" t="str">
        <f t="shared" si="3"/>
        <v/>
      </c>
      <c r="O1736" s="21" t="str">
        <f t="shared" si="22"/>
        <v/>
      </c>
      <c r="P1736" s="24" t="b">
        <v>0</v>
      </c>
      <c r="Q1736" s="20" t="str">
        <f t="shared" si="31"/>
        <v/>
      </c>
      <c r="R1736" s="24" t="b">
        <v>0</v>
      </c>
      <c r="S1736" s="7" t="str">
        <f t="shared" si="6"/>
        <v/>
      </c>
      <c r="T1736" s="7"/>
    </row>
    <row r="1737" ht="22.5" hidden="1" customHeight="1">
      <c r="B1737" s="7">
        <f t="shared" si="7"/>
        <v>1731</v>
      </c>
      <c r="C1737" s="40"/>
      <c r="D1737" s="19" t="str">
        <f t="array" ref="D1737">IFNA(_xlfn.XLOOKUP(C1737,Table_Tarikan_Warkah[Nomor Sertipikat],Table_Tarikan_Warkah[Nomor Tiket]),"")</f>
        <v/>
      </c>
      <c r="E1737" s="20" t="str">
        <f t="array" ref="E1737">IFNA(_xlfn.XLOOKUP(D1737,Table_Tarikan_Warkah[Nomor Tiket],Table_Tarikan_Warkah[Tanggal diserahkan kepada Validator]),"")</f>
        <v/>
      </c>
      <c r="F1737" s="20" t="str">
        <f t="array" ref="F1737">IFNA(_xlfn.XLOOKUP(D1737,Table_Tarikan_Warkah[Nomor Tiket],Table_Tarikan_Warkah[Nama Petugas Warkah]),"")</f>
        <v/>
      </c>
      <c r="G1737" s="21" t="str">
        <f t="array" ref="G1737">IFNA(_xlfn.XLOOKUP(D1737,Table_Tarikan_Warkah[Nomor Tiket],Table_Tarikan_Warkah[Jenis Permohonan]),"")</f>
        <v/>
      </c>
      <c r="H1737" s="26"/>
      <c r="I1737" s="26"/>
      <c r="J1737" s="20" t="str">
        <f t="shared" si="29"/>
        <v/>
      </c>
      <c r="K1737" s="26"/>
      <c r="L1737" s="26"/>
      <c r="M1737" s="20" t="str">
        <f t="shared" si="30"/>
        <v/>
      </c>
      <c r="N1737" s="8" t="str">
        <f t="shared" si="3"/>
        <v/>
      </c>
      <c r="O1737" s="21" t="str">
        <f t="shared" si="22"/>
        <v/>
      </c>
      <c r="P1737" s="24" t="b">
        <v>0</v>
      </c>
      <c r="Q1737" s="20" t="str">
        <f t="shared" si="31"/>
        <v/>
      </c>
      <c r="R1737" s="24" t="b">
        <v>0</v>
      </c>
      <c r="S1737" s="7" t="str">
        <f t="shared" si="6"/>
        <v/>
      </c>
      <c r="T1737" s="7"/>
    </row>
    <row r="1738" ht="22.5" hidden="1" customHeight="1">
      <c r="B1738" s="7">
        <f t="shared" si="7"/>
        <v>1732</v>
      </c>
      <c r="C1738" s="40"/>
      <c r="D1738" s="19" t="str">
        <f t="array" ref="D1738">IFNA(_xlfn.XLOOKUP(C1738,Table_Tarikan_Warkah[Nomor Sertipikat],Table_Tarikan_Warkah[Nomor Tiket]),"")</f>
        <v/>
      </c>
      <c r="E1738" s="20" t="str">
        <f t="array" ref="E1738">IFNA(_xlfn.XLOOKUP(D1738,Table_Tarikan_Warkah[Nomor Tiket],Table_Tarikan_Warkah[Tanggal diserahkan kepada Validator]),"")</f>
        <v/>
      </c>
      <c r="F1738" s="20" t="str">
        <f t="array" ref="F1738">IFNA(_xlfn.XLOOKUP(D1738,Table_Tarikan_Warkah[Nomor Tiket],Table_Tarikan_Warkah[Nama Petugas Warkah]),"")</f>
        <v/>
      </c>
      <c r="G1738" s="21" t="str">
        <f t="array" ref="G1738">IFNA(_xlfn.XLOOKUP(D1738,Table_Tarikan_Warkah[Nomor Tiket],Table_Tarikan_Warkah[Jenis Permohonan]),"")</f>
        <v/>
      </c>
      <c r="H1738" s="26"/>
      <c r="I1738" s="26"/>
      <c r="J1738" s="20" t="str">
        <f t="shared" si="29"/>
        <v/>
      </c>
      <c r="K1738" s="26"/>
      <c r="L1738" s="26"/>
      <c r="M1738" s="20" t="str">
        <f t="shared" si="30"/>
        <v/>
      </c>
      <c r="N1738" s="8" t="str">
        <f t="shared" si="3"/>
        <v/>
      </c>
      <c r="O1738" s="21" t="str">
        <f t="shared" si="22"/>
        <v/>
      </c>
      <c r="P1738" s="24" t="b">
        <v>0</v>
      </c>
      <c r="Q1738" s="20" t="str">
        <f t="shared" si="31"/>
        <v/>
      </c>
      <c r="R1738" s="24" t="b">
        <v>0</v>
      </c>
      <c r="S1738" s="7" t="str">
        <f t="shared" si="6"/>
        <v/>
      </c>
      <c r="T1738" s="7"/>
    </row>
    <row r="1739" ht="22.5" hidden="1" customHeight="1">
      <c r="B1739" s="7">
        <f t="shared" si="7"/>
        <v>1733</v>
      </c>
      <c r="C1739" s="40"/>
      <c r="D1739" s="19" t="str">
        <f t="array" ref="D1739">IFNA(_xlfn.XLOOKUP(C1739,Table_Tarikan_Warkah[Nomor Sertipikat],Table_Tarikan_Warkah[Nomor Tiket]),"")</f>
        <v/>
      </c>
      <c r="E1739" s="20" t="str">
        <f t="array" ref="E1739">IFNA(_xlfn.XLOOKUP(D1739,Table_Tarikan_Warkah[Nomor Tiket],Table_Tarikan_Warkah[Tanggal diserahkan kepada Validator]),"")</f>
        <v/>
      </c>
      <c r="F1739" s="20" t="str">
        <f t="array" ref="F1739">IFNA(_xlfn.XLOOKUP(D1739,Table_Tarikan_Warkah[Nomor Tiket],Table_Tarikan_Warkah[Nama Petugas Warkah]),"")</f>
        <v/>
      </c>
      <c r="G1739" s="21" t="str">
        <f t="array" ref="G1739">IFNA(_xlfn.XLOOKUP(D1739,Table_Tarikan_Warkah[Nomor Tiket],Table_Tarikan_Warkah[Jenis Permohonan]),"")</f>
        <v/>
      </c>
      <c r="H1739" s="26"/>
      <c r="I1739" s="26"/>
      <c r="J1739" s="20" t="str">
        <f t="shared" si="29"/>
        <v/>
      </c>
      <c r="K1739" s="26"/>
      <c r="L1739" s="26"/>
      <c r="M1739" s="20" t="str">
        <f t="shared" si="30"/>
        <v/>
      </c>
      <c r="N1739" s="8" t="str">
        <f t="shared" si="3"/>
        <v/>
      </c>
      <c r="O1739" s="21" t="str">
        <f t="shared" si="22"/>
        <v/>
      </c>
      <c r="P1739" s="24" t="b">
        <v>0</v>
      </c>
      <c r="Q1739" s="20" t="str">
        <f t="shared" si="31"/>
        <v/>
      </c>
      <c r="R1739" s="24" t="b">
        <v>0</v>
      </c>
      <c r="S1739" s="7" t="str">
        <f t="shared" si="6"/>
        <v/>
      </c>
      <c r="T1739" s="7"/>
    </row>
    <row r="1740" ht="22.5" hidden="1" customHeight="1">
      <c r="B1740" s="7">
        <f t="shared" si="7"/>
        <v>1734</v>
      </c>
      <c r="C1740" s="40"/>
      <c r="D1740" s="19" t="str">
        <f t="array" ref="D1740">IFNA(_xlfn.XLOOKUP(C1740,Table_Tarikan_Warkah[Nomor Sertipikat],Table_Tarikan_Warkah[Nomor Tiket]),"")</f>
        <v/>
      </c>
      <c r="E1740" s="20" t="str">
        <f t="array" ref="E1740">IFNA(_xlfn.XLOOKUP(D1740,Table_Tarikan_Warkah[Nomor Tiket],Table_Tarikan_Warkah[Tanggal diserahkan kepada Validator]),"")</f>
        <v/>
      </c>
      <c r="F1740" s="20" t="str">
        <f t="array" ref="F1740">IFNA(_xlfn.XLOOKUP(D1740,Table_Tarikan_Warkah[Nomor Tiket],Table_Tarikan_Warkah[Nama Petugas Warkah]),"")</f>
        <v/>
      </c>
      <c r="G1740" s="21" t="str">
        <f t="array" ref="G1740">IFNA(_xlfn.XLOOKUP(D1740,Table_Tarikan_Warkah[Nomor Tiket],Table_Tarikan_Warkah[Jenis Permohonan]),"")</f>
        <v/>
      </c>
      <c r="H1740" s="26"/>
      <c r="I1740" s="26"/>
      <c r="J1740" s="20" t="str">
        <f t="shared" si="29"/>
        <v/>
      </c>
      <c r="K1740" s="26"/>
      <c r="L1740" s="26"/>
      <c r="M1740" s="20" t="str">
        <f t="shared" si="30"/>
        <v/>
      </c>
      <c r="N1740" s="8" t="str">
        <f t="shared" si="3"/>
        <v/>
      </c>
      <c r="O1740" s="21" t="str">
        <f t="shared" si="22"/>
        <v/>
      </c>
      <c r="P1740" s="24" t="b">
        <v>0</v>
      </c>
      <c r="Q1740" s="20" t="str">
        <f t="shared" si="31"/>
        <v/>
      </c>
      <c r="R1740" s="24" t="b">
        <v>0</v>
      </c>
      <c r="S1740" s="7" t="str">
        <f t="shared" si="6"/>
        <v/>
      </c>
      <c r="T1740" s="7"/>
    </row>
    <row r="1741" ht="22.5" hidden="1" customHeight="1">
      <c r="B1741" s="7">
        <f t="shared" si="7"/>
        <v>1735</v>
      </c>
      <c r="C1741" s="40"/>
      <c r="D1741" s="19" t="str">
        <f t="array" ref="D1741">IFNA(_xlfn.XLOOKUP(C1741,Table_Tarikan_Warkah[Nomor Sertipikat],Table_Tarikan_Warkah[Nomor Tiket]),"")</f>
        <v/>
      </c>
      <c r="E1741" s="20" t="str">
        <f t="array" ref="E1741">IFNA(_xlfn.XLOOKUP(D1741,Table_Tarikan_Warkah[Nomor Tiket],Table_Tarikan_Warkah[Tanggal diserahkan kepada Validator]),"")</f>
        <v/>
      </c>
      <c r="F1741" s="20" t="str">
        <f t="array" ref="F1741">IFNA(_xlfn.XLOOKUP(D1741,Table_Tarikan_Warkah[Nomor Tiket],Table_Tarikan_Warkah[Nama Petugas Warkah]),"")</f>
        <v/>
      </c>
      <c r="G1741" s="21" t="str">
        <f t="array" ref="G1741">IFNA(_xlfn.XLOOKUP(D1741,Table_Tarikan_Warkah[Nomor Tiket],Table_Tarikan_Warkah[Jenis Permohonan]),"")</f>
        <v/>
      </c>
      <c r="H1741" s="26"/>
      <c r="I1741" s="26"/>
      <c r="J1741" s="20" t="str">
        <f t="shared" si="29"/>
        <v/>
      </c>
      <c r="K1741" s="26"/>
      <c r="L1741" s="26"/>
      <c r="M1741" s="20" t="str">
        <f t="shared" si="30"/>
        <v/>
      </c>
      <c r="N1741" s="8" t="str">
        <f t="shared" si="3"/>
        <v/>
      </c>
      <c r="O1741" s="21" t="str">
        <f t="shared" si="22"/>
        <v/>
      </c>
      <c r="P1741" s="24" t="b">
        <v>0</v>
      </c>
      <c r="Q1741" s="20" t="str">
        <f t="shared" si="31"/>
        <v/>
      </c>
      <c r="R1741" s="24" t="b">
        <v>0</v>
      </c>
      <c r="S1741" s="7" t="str">
        <f t="shared" si="6"/>
        <v/>
      </c>
      <c r="T1741" s="7"/>
    </row>
    <row r="1742" ht="22.5" hidden="1" customHeight="1">
      <c r="B1742" s="7">
        <f t="shared" si="7"/>
        <v>1736</v>
      </c>
      <c r="C1742" s="40"/>
      <c r="D1742" s="19" t="str">
        <f t="array" ref="D1742">IFNA(_xlfn.XLOOKUP(C1742,Table_Tarikan_Warkah[Nomor Sertipikat],Table_Tarikan_Warkah[Nomor Tiket]),"")</f>
        <v/>
      </c>
      <c r="E1742" s="20" t="str">
        <f t="array" ref="E1742">IFNA(_xlfn.XLOOKUP(D1742,Table_Tarikan_Warkah[Nomor Tiket],Table_Tarikan_Warkah[Tanggal diserahkan kepada Validator]),"")</f>
        <v/>
      </c>
      <c r="F1742" s="20" t="str">
        <f t="array" ref="F1742">IFNA(_xlfn.XLOOKUP(D1742,Table_Tarikan_Warkah[Nomor Tiket],Table_Tarikan_Warkah[Nama Petugas Warkah]),"")</f>
        <v/>
      </c>
      <c r="G1742" s="21" t="str">
        <f t="array" ref="G1742">IFNA(_xlfn.XLOOKUP(D1742,Table_Tarikan_Warkah[Nomor Tiket],Table_Tarikan_Warkah[Jenis Permohonan]),"")</f>
        <v/>
      </c>
      <c r="H1742" s="26"/>
      <c r="I1742" s="26"/>
      <c r="J1742" s="20" t="str">
        <f t="shared" si="29"/>
        <v/>
      </c>
      <c r="K1742" s="26"/>
      <c r="L1742" s="26"/>
      <c r="M1742" s="20" t="str">
        <f t="shared" si="30"/>
        <v/>
      </c>
      <c r="N1742" s="8" t="str">
        <f t="shared" si="3"/>
        <v/>
      </c>
      <c r="O1742" s="21" t="str">
        <f t="shared" si="22"/>
        <v/>
      </c>
      <c r="P1742" s="24" t="b">
        <v>0</v>
      </c>
      <c r="Q1742" s="20" t="str">
        <f t="shared" si="31"/>
        <v/>
      </c>
      <c r="R1742" s="24" t="b">
        <v>0</v>
      </c>
      <c r="S1742" s="7" t="str">
        <f t="shared" si="6"/>
        <v/>
      </c>
      <c r="T1742" s="7"/>
    </row>
    <row r="1743" ht="22.5" hidden="1" customHeight="1">
      <c r="B1743" s="7">
        <f t="shared" si="7"/>
        <v>1737</v>
      </c>
      <c r="C1743" s="40"/>
      <c r="D1743" s="19" t="str">
        <f t="array" ref="D1743">IFNA(_xlfn.XLOOKUP(C1743,Table_Tarikan_Warkah[Nomor Sertipikat],Table_Tarikan_Warkah[Nomor Tiket]),"")</f>
        <v/>
      </c>
      <c r="E1743" s="20" t="str">
        <f t="array" ref="E1743">IFNA(_xlfn.XLOOKUP(D1743,Table_Tarikan_Warkah[Nomor Tiket],Table_Tarikan_Warkah[Tanggal diserahkan kepada Validator]),"")</f>
        <v/>
      </c>
      <c r="F1743" s="20" t="str">
        <f t="array" ref="F1743">IFNA(_xlfn.XLOOKUP(D1743,Table_Tarikan_Warkah[Nomor Tiket],Table_Tarikan_Warkah[Nama Petugas Warkah]),"")</f>
        <v/>
      </c>
      <c r="G1743" s="21" t="str">
        <f t="array" ref="G1743">IFNA(_xlfn.XLOOKUP(D1743,Table_Tarikan_Warkah[Nomor Tiket],Table_Tarikan_Warkah[Jenis Permohonan]),"")</f>
        <v/>
      </c>
      <c r="H1743" s="26"/>
      <c r="I1743" s="26"/>
      <c r="J1743" s="20" t="str">
        <f t="shared" si="29"/>
        <v/>
      </c>
      <c r="K1743" s="26"/>
      <c r="L1743" s="26"/>
      <c r="M1743" s="20" t="str">
        <f t="shared" si="30"/>
        <v/>
      </c>
      <c r="N1743" s="8" t="str">
        <f t="shared" si="3"/>
        <v/>
      </c>
      <c r="O1743" s="21" t="str">
        <f t="shared" si="22"/>
        <v/>
      </c>
      <c r="P1743" s="24" t="b">
        <v>0</v>
      </c>
      <c r="Q1743" s="20" t="str">
        <f t="shared" si="31"/>
        <v/>
      </c>
      <c r="R1743" s="24" t="b">
        <v>0</v>
      </c>
      <c r="S1743" s="7" t="str">
        <f t="shared" si="6"/>
        <v/>
      </c>
      <c r="T1743" s="7"/>
    </row>
    <row r="1744" ht="22.5" hidden="1" customHeight="1">
      <c r="B1744" s="7">
        <f t="shared" si="7"/>
        <v>1738</v>
      </c>
      <c r="C1744" s="40"/>
      <c r="D1744" s="19" t="str">
        <f t="array" ref="D1744">IFNA(_xlfn.XLOOKUP(C1744,Table_Tarikan_Warkah[Nomor Sertipikat],Table_Tarikan_Warkah[Nomor Tiket]),"")</f>
        <v/>
      </c>
      <c r="E1744" s="20" t="str">
        <f t="array" ref="E1744">IFNA(_xlfn.XLOOKUP(D1744,Table_Tarikan_Warkah[Nomor Tiket],Table_Tarikan_Warkah[Tanggal diserahkan kepada Validator]),"")</f>
        <v/>
      </c>
      <c r="F1744" s="20" t="str">
        <f t="array" ref="F1744">IFNA(_xlfn.XLOOKUP(D1744,Table_Tarikan_Warkah[Nomor Tiket],Table_Tarikan_Warkah[Nama Petugas Warkah]),"")</f>
        <v/>
      </c>
      <c r="G1744" s="21" t="str">
        <f t="array" ref="G1744">IFNA(_xlfn.XLOOKUP(D1744,Table_Tarikan_Warkah[Nomor Tiket],Table_Tarikan_Warkah[Jenis Permohonan]),"")</f>
        <v/>
      </c>
      <c r="H1744" s="26"/>
      <c r="I1744" s="26"/>
      <c r="J1744" s="20" t="str">
        <f t="shared" si="29"/>
        <v/>
      </c>
      <c r="K1744" s="26"/>
      <c r="L1744" s="26"/>
      <c r="M1744" s="20" t="str">
        <f t="shared" si="30"/>
        <v/>
      </c>
      <c r="N1744" s="8" t="str">
        <f t="shared" si="3"/>
        <v/>
      </c>
      <c r="O1744" s="21" t="str">
        <f t="shared" si="22"/>
        <v/>
      </c>
      <c r="P1744" s="24" t="b">
        <v>0</v>
      </c>
      <c r="Q1744" s="20" t="str">
        <f t="shared" si="31"/>
        <v/>
      </c>
      <c r="R1744" s="24" t="b">
        <v>0</v>
      </c>
      <c r="S1744" s="7" t="str">
        <f t="shared" si="6"/>
        <v/>
      </c>
      <c r="T1744" s="7"/>
    </row>
    <row r="1745" ht="22.5" hidden="1" customHeight="1">
      <c r="B1745" s="7">
        <f t="shared" si="7"/>
        <v>1739</v>
      </c>
      <c r="C1745" s="40"/>
      <c r="D1745" s="19" t="str">
        <f t="array" ref="D1745">IFNA(_xlfn.XLOOKUP(C1745,Table_Tarikan_Warkah[Nomor Sertipikat],Table_Tarikan_Warkah[Nomor Tiket]),"")</f>
        <v/>
      </c>
      <c r="E1745" s="20" t="str">
        <f t="array" ref="E1745">IFNA(_xlfn.XLOOKUP(D1745,Table_Tarikan_Warkah[Nomor Tiket],Table_Tarikan_Warkah[Tanggal diserahkan kepada Validator]),"")</f>
        <v/>
      </c>
      <c r="F1745" s="20" t="str">
        <f t="array" ref="F1745">IFNA(_xlfn.XLOOKUP(D1745,Table_Tarikan_Warkah[Nomor Tiket],Table_Tarikan_Warkah[Nama Petugas Warkah]),"")</f>
        <v/>
      </c>
      <c r="G1745" s="21" t="str">
        <f t="array" ref="G1745">IFNA(_xlfn.XLOOKUP(D1745,Table_Tarikan_Warkah[Nomor Tiket],Table_Tarikan_Warkah[Jenis Permohonan]),"")</f>
        <v/>
      </c>
      <c r="H1745" s="26"/>
      <c r="I1745" s="26"/>
      <c r="J1745" s="20" t="str">
        <f t="shared" si="29"/>
        <v/>
      </c>
      <c r="K1745" s="26"/>
      <c r="L1745" s="26"/>
      <c r="M1745" s="20" t="str">
        <f t="shared" si="30"/>
        <v/>
      </c>
      <c r="N1745" s="8" t="str">
        <f t="shared" si="3"/>
        <v/>
      </c>
      <c r="O1745" s="21" t="str">
        <f t="shared" si="22"/>
        <v/>
      </c>
      <c r="P1745" s="24" t="b">
        <v>0</v>
      </c>
      <c r="Q1745" s="20" t="str">
        <f t="shared" si="31"/>
        <v/>
      </c>
      <c r="R1745" s="24" t="b">
        <v>0</v>
      </c>
      <c r="S1745" s="7" t="str">
        <f t="shared" si="6"/>
        <v/>
      </c>
      <c r="T1745" s="7"/>
    </row>
    <row r="1746" ht="22.5" hidden="1" customHeight="1">
      <c r="B1746" s="7">
        <f t="shared" si="7"/>
        <v>1740</v>
      </c>
      <c r="C1746" s="40"/>
      <c r="D1746" s="19" t="str">
        <f t="array" ref="D1746">IFNA(_xlfn.XLOOKUP(C1746,Table_Tarikan_Warkah[Nomor Sertipikat],Table_Tarikan_Warkah[Nomor Tiket]),"")</f>
        <v/>
      </c>
      <c r="E1746" s="20" t="str">
        <f t="array" ref="E1746">IFNA(_xlfn.XLOOKUP(D1746,Table_Tarikan_Warkah[Nomor Tiket],Table_Tarikan_Warkah[Tanggal diserahkan kepada Validator]),"")</f>
        <v/>
      </c>
      <c r="F1746" s="20" t="str">
        <f t="array" ref="F1746">IFNA(_xlfn.XLOOKUP(D1746,Table_Tarikan_Warkah[Nomor Tiket],Table_Tarikan_Warkah[Nama Petugas Warkah]),"")</f>
        <v/>
      </c>
      <c r="G1746" s="21" t="str">
        <f t="array" ref="G1746">IFNA(_xlfn.XLOOKUP(D1746,Table_Tarikan_Warkah[Nomor Tiket],Table_Tarikan_Warkah[Jenis Permohonan]),"")</f>
        <v/>
      </c>
      <c r="H1746" s="26"/>
      <c r="I1746" s="26"/>
      <c r="J1746" s="20" t="str">
        <f t="shared" si="29"/>
        <v/>
      </c>
      <c r="K1746" s="26"/>
      <c r="L1746" s="26"/>
      <c r="M1746" s="20" t="str">
        <f t="shared" si="30"/>
        <v/>
      </c>
      <c r="N1746" s="8" t="str">
        <f t="shared" si="3"/>
        <v/>
      </c>
      <c r="O1746" s="21" t="str">
        <f t="shared" si="22"/>
        <v/>
      </c>
      <c r="P1746" s="24" t="b">
        <v>0</v>
      </c>
      <c r="Q1746" s="20" t="str">
        <f t="shared" si="31"/>
        <v/>
      </c>
      <c r="R1746" s="24" t="b">
        <v>0</v>
      </c>
      <c r="S1746" s="7" t="str">
        <f t="shared" si="6"/>
        <v/>
      </c>
      <c r="T1746" s="7"/>
    </row>
    <row r="1747" ht="22.5" hidden="1" customHeight="1">
      <c r="B1747" s="7">
        <f t="shared" si="7"/>
        <v>1741</v>
      </c>
      <c r="C1747" s="40"/>
      <c r="D1747" s="19" t="str">
        <f t="array" ref="D1747">IFNA(_xlfn.XLOOKUP(C1747,Table_Tarikan_Warkah[Nomor Sertipikat],Table_Tarikan_Warkah[Nomor Tiket]),"")</f>
        <v/>
      </c>
      <c r="E1747" s="20" t="str">
        <f t="array" ref="E1747">IFNA(_xlfn.XLOOKUP(D1747,Table_Tarikan_Warkah[Nomor Tiket],Table_Tarikan_Warkah[Tanggal diserahkan kepada Validator]),"")</f>
        <v/>
      </c>
      <c r="F1747" s="20" t="str">
        <f t="array" ref="F1747">IFNA(_xlfn.XLOOKUP(D1747,Table_Tarikan_Warkah[Nomor Tiket],Table_Tarikan_Warkah[Nama Petugas Warkah]),"")</f>
        <v/>
      </c>
      <c r="G1747" s="21" t="str">
        <f t="array" ref="G1747">IFNA(_xlfn.XLOOKUP(D1747,Table_Tarikan_Warkah[Nomor Tiket],Table_Tarikan_Warkah[Jenis Permohonan]),"")</f>
        <v/>
      </c>
      <c r="H1747" s="26"/>
      <c r="I1747" s="26"/>
      <c r="J1747" s="20" t="str">
        <f t="shared" si="29"/>
        <v/>
      </c>
      <c r="K1747" s="26"/>
      <c r="L1747" s="26"/>
      <c r="M1747" s="20" t="str">
        <f t="shared" si="30"/>
        <v/>
      </c>
      <c r="N1747" s="8" t="str">
        <f t="shared" si="3"/>
        <v/>
      </c>
      <c r="O1747" s="21" t="str">
        <f t="shared" si="22"/>
        <v/>
      </c>
      <c r="P1747" s="24" t="b">
        <v>0</v>
      </c>
      <c r="Q1747" s="20" t="str">
        <f t="shared" si="31"/>
        <v/>
      </c>
      <c r="R1747" s="24" t="b">
        <v>0</v>
      </c>
      <c r="S1747" s="7" t="str">
        <f t="shared" si="6"/>
        <v/>
      </c>
      <c r="T1747" s="7"/>
    </row>
    <row r="1748" ht="22.5" hidden="1" customHeight="1">
      <c r="B1748" s="7">
        <f t="shared" si="7"/>
        <v>1742</v>
      </c>
      <c r="C1748" s="40"/>
      <c r="D1748" s="19" t="str">
        <f t="array" ref="D1748">IFNA(_xlfn.XLOOKUP(C1748,Table_Tarikan_Warkah[Nomor Sertipikat],Table_Tarikan_Warkah[Nomor Tiket]),"")</f>
        <v/>
      </c>
      <c r="E1748" s="20" t="str">
        <f t="array" ref="E1748">IFNA(_xlfn.XLOOKUP(D1748,Table_Tarikan_Warkah[Nomor Tiket],Table_Tarikan_Warkah[Tanggal diserahkan kepada Validator]),"")</f>
        <v/>
      </c>
      <c r="F1748" s="20" t="str">
        <f t="array" ref="F1748">IFNA(_xlfn.XLOOKUP(D1748,Table_Tarikan_Warkah[Nomor Tiket],Table_Tarikan_Warkah[Nama Petugas Warkah]),"")</f>
        <v/>
      </c>
      <c r="G1748" s="21" t="str">
        <f t="array" ref="G1748">IFNA(_xlfn.XLOOKUP(D1748,Table_Tarikan_Warkah[Nomor Tiket],Table_Tarikan_Warkah[Jenis Permohonan]),"")</f>
        <v/>
      </c>
      <c r="H1748" s="26"/>
      <c r="I1748" s="26"/>
      <c r="J1748" s="20" t="str">
        <f t="shared" si="29"/>
        <v/>
      </c>
      <c r="K1748" s="26"/>
      <c r="L1748" s="26"/>
      <c r="M1748" s="20" t="str">
        <f t="shared" si="30"/>
        <v/>
      </c>
      <c r="N1748" s="8" t="str">
        <f t="shared" si="3"/>
        <v/>
      </c>
      <c r="O1748" s="21" t="str">
        <f t="shared" si="22"/>
        <v/>
      </c>
      <c r="P1748" s="24" t="b">
        <v>0</v>
      </c>
      <c r="Q1748" s="20" t="str">
        <f t="shared" si="31"/>
        <v/>
      </c>
      <c r="R1748" s="24" t="b">
        <v>0</v>
      </c>
      <c r="S1748" s="7" t="str">
        <f t="shared" si="6"/>
        <v/>
      </c>
      <c r="T1748" s="7"/>
    </row>
    <row r="1749" ht="22.5" hidden="1" customHeight="1">
      <c r="B1749" s="7">
        <f t="shared" si="7"/>
        <v>1743</v>
      </c>
      <c r="C1749" s="40"/>
      <c r="D1749" s="19" t="str">
        <f t="array" ref="D1749">IFNA(_xlfn.XLOOKUP(C1749,Table_Tarikan_Warkah[Nomor Sertipikat],Table_Tarikan_Warkah[Nomor Tiket]),"")</f>
        <v/>
      </c>
      <c r="E1749" s="20" t="str">
        <f t="array" ref="E1749">IFNA(_xlfn.XLOOKUP(D1749,Table_Tarikan_Warkah[Nomor Tiket],Table_Tarikan_Warkah[Tanggal diserahkan kepada Validator]),"")</f>
        <v/>
      </c>
      <c r="F1749" s="20" t="str">
        <f t="array" ref="F1749">IFNA(_xlfn.XLOOKUP(D1749,Table_Tarikan_Warkah[Nomor Tiket],Table_Tarikan_Warkah[Nama Petugas Warkah]),"")</f>
        <v/>
      </c>
      <c r="G1749" s="21" t="str">
        <f t="array" ref="G1749">IFNA(_xlfn.XLOOKUP(D1749,Table_Tarikan_Warkah[Nomor Tiket],Table_Tarikan_Warkah[Jenis Permohonan]),"")</f>
        <v/>
      </c>
      <c r="H1749" s="26"/>
      <c r="I1749" s="26"/>
      <c r="J1749" s="20" t="str">
        <f t="shared" si="29"/>
        <v/>
      </c>
      <c r="K1749" s="26"/>
      <c r="L1749" s="26"/>
      <c r="M1749" s="20" t="str">
        <f t="shared" si="30"/>
        <v/>
      </c>
      <c r="N1749" s="8" t="str">
        <f t="shared" si="3"/>
        <v/>
      </c>
      <c r="O1749" s="21" t="str">
        <f t="shared" si="22"/>
        <v/>
      </c>
      <c r="P1749" s="24" t="b">
        <v>0</v>
      </c>
      <c r="Q1749" s="20" t="str">
        <f t="shared" si="31"/>
        <v/>
      </c>
      <c r="R1749" s="24" t="b">
        <v>0</v>
      </c>
      <c r="S1749" s="7" t="str">
        <f t="shared" si="6"/>
        <v/>
      </c>
      <c r="T1749" s="7"/>
    </row>
    <row r="1750" ht="22.5" hidden="1" customHeight="1">
      <c r="B1750" s="7">
        <f t="shared" si="7"/>
        <v>1744</v>
      </c>
      <c r="C1750" s="40"/>
      <c r="D1750" s="19" t="str">
        <f t="array" ref="D1750">IFNA(_xlfn.XLOOKUP(C1750,Table_Tarikan_Warkah[Nomor Sertipikat],Table_Tarikan_Warkah[Nomor Tiket]),"")</f>
        <v/>
      </c>
      <c r="E1750" s="20" t="str">
        <f t="array" ref="E1750">IFNA(_xlfn.XLOOKUP(D1750,Table_Tarikan_Warkah[Nomor Tiket],Table_Tarikan_Warkah[Tanggal diserahkan kepada Validator]),"")</f>
        <v/>
      </c>
      <c r="F1750" s="20" t="str">
        <f t="array" ref="F1750">IFNA(_xlfn.XLOOKUP(D1750,Table_Tarikan_Warkah[Nomor Tiket],Table_Tarikan_Warkah[Nama Petugas Warkah]),"")</f>
        <v/>
      </c>
      <c r="G1750" s="21" t="str">
        <f t="array" ref="G1750">IFNA(_xlfn.XLOOKUP(D1750,Table_Tarikan_Warkah[Nomor Tiket],Table_Tarikan_Warkah[Jenis Permohonan]),"")</f>
        <v/>
      </c>
      <c r="H1750" s="26"/>
      <c r="I1750" s="26"/>
      <c r="J1750" s="20" t="str">
        <f t="shared" si="29"/>
        <v/>
      </c>
      <c r="K1750" s="26"/>
      <c r="L1750" s="26"/>
      <c r="M1750" s="20" t="str">
        <f t="shared" si="30"/>
        <v/>
      </c>
      <c r="N1750" s="8" t="str">
        <f t="shared" si="3"/>
        <v/>
      </c>
      <c r="O1750" s="21" t="str">
        <f t="shared" si="22"/>
        <v/>
      </c>
      <c r="P1750" s="24" t="b">
        <v>0</v>
      </c>
      <c r="Q1750" s="20" t="str">
        <f t="shared" si="31"/>
        <v/>
      </c>
      <c r="R1750" s="24" t="b">
        <v>0</v>
      </c>
      <c r="S1750" s="7" t="str">
        <f t="shared" si="6"/>
        <v/>
      </c>
      <c r="T1750" s="7"/>
    </row>
    <row r="1751" ht="22.5" hidden="1" customHeight="1">
      <c r="B1751" s="7">
        <f t="shared" si="7"/>
        <v>1745</v>
      </c>
      <c r="C1751" s="40"/>
      <c r="D1751" s="19" t="str">
        <f t="array" ref="D1751">IFNA(_xlfn.XLOOKUP(C1751,Table_Tarikan_Warkah[Nomor Sertipikat],Table_Tarikan_Warkah[Nomor Tiket]),"")</f>
        <v/>
      </c>
      <c r="E1751" s="20" t="str">
        <f t="array" ref="E1751">IFNA(_xlfn.XLOOKUP(D1751,Table_Tarikan_Warkah[Nomor Tiket],Table_Tarikan_Warkah[Tanggal diserahkan kepada Validator]),"")</f>
        <v/>
      </c>
      <c r="F1751" s="20" t="str">
        <f t="array" ref="F1751">IFNA(_xlfn.XLOOKUP(D1751,Table_Tarikan_Warkah[Nomor Tiket],Table_Tarikan_Warkah[Nama Petugas Warkah]),"")</f>
        <v/>
      </c>
      <c r="G1751" s="21" t="str">
        <f t="array" ref="G1751">IFNA(_xlfn.XLOOKUP(D1751,Table_Tarikan_Warkah[Nomor Tiket],Table_Tarikan_Warkah[Jenis Permohonan]),"")</f>
        <v/>
      </c>
      <c r="H1751" s="26"/>
      <c r="I1751" s="26"/>
      <c r="J1751" s="20" t="str">
        <f t="shared" si="29"/>
        <v/>
      </c>
      <c r="K1751" s="26"/>
      <c r="L1751" s="26"/>
      <c r="M1751" s="20" t="str">
        <f t="shared" si="30"/>
        <v/>
      </c>
      <c r="N1751" s="8" t="str">
        <f t="shared" si="3"/>
        <v/>
      </c>
      <c r="O1751" s="21" t="str">
        <f t="shared" si="22"/>
        <v/>
      </c>
      <c r="P1751" s="24" t="b">
        <v>0</v>
      </c>
      <c r="Q1751" s="20" t="str">
        <f t="shared" si="31"/>
        <v/>
      </c>
      <c r="R1751" s="24" t="b">
        <v>0</v>
      </c>
      <c r="S1751" s="7" t="str">
        <f t="shared" si="6"/>
        <v/>
      </c>
      <c r="T1751" s="7"/>
    </row>
    <row r="1752" ht="22.5" hidden="1" customHeight="1">
      <c r="B1752" s="7">
        <f t="shared" si="7"/>
        <v>1746</v>
      </c>
      <c r="C1752" s="40"/>
      <c r="D1752" s="19" t="str">
        <f t="array" ref="D1752">IFNA(_xlfn.XLOOKUP(C1752,Table_Tarikan_Warkah[Nomor Sertipikat],Table_Tarikan_Warkah[Nomor Tiket]),"")</f>
        <v/>
      </c>
      <c r="E1752" s="20" t="str">
        <f t="array" ref="E1752">IFNA(_xlfn.XLOOKUP(D1752,Table_Tarikan_Warkah[Nomor Tiket],Table_Tarikan_Warkah[Tanggal diserahkan kepada Validator]),"")</f>
        <v/>
      </c>
      <c r="F1752" s="20" t="str">
        <f t="array" ref="F1752">IFNA(_xlfn.XLOOKUP(D1752,Table_Tarikan_Warkah[Nomor Tiket],Table_Tarikan_Warkah[Nama Petugas Warkah]),"")</f>
        <v/>
      </c>
      <c r="G1752" s="21" t="str">
        <f t="array" ref="G1752">IFNA(_xlfn.XLOOKUP(D1752,Table_Tarikan_Warkah[Nomor Tiket],Table_Tarikan_Warkah[Jenis Permohonan]),"")</f>
        <v/>
      </c>
      <c r="H1752" s="26"/>
      <c r="I1752" s="26"/>
      <c r="J1752" s="20" t="str">
        <f t="shared" si="29"/>
        <v/>
      </c>
      <c r="K1752" s="26"/>
      <c r="L1752" s="26"/>
      <c r="M1752" s="20" t="str">
        <f t="shared" si="30"/>
        <v/>
      </c>
      <c r="N1752" s="8" t="str">
        <f t="shared" si="3"/>
        <v/>
      </c>
      <c r="O1752" s="21" t="str">
        <f t="shared" si="22"/>
        <v/>
      </c>
      <c r="P1752" s="24" t="b">
        <v>0</v>
      </c>
      <c r="Q1752" s="20" t="str">
        <f t="shared" si="31"/>
        <v/>
      </c>
      <c r="R1752" s="24" t="b">
        <v>0</v>
      </c>
      <c r="S1752" s="7" t="str">
        <f t="shared" si="6"/>
        <v/>
      </c>
      <c r="T1752" s="7"/>
    </row>
    <row r="1753" ht="22.5" hidden="1" customHeight="1">
      <c r="B1753" s="7">
        <f t="shared" si="7"/>
        <v>1747</v>
      </c>
      <c r="C1753" s="40"/>
      <c r="D1753" s="19" t="str">
        <f t="array" ref="D1753">IFNA(_xlfn.XLOOKUP(C1753,Table_Tarikan_Warkah[Nomor Sertipikat],Table_Tarikan_Warkah[Nomor Tiket]),"")</f>
        <v/>
      </c>
      <c r="E1753" s="20" t="str">
        <f t="array" ref="E1753">IFNA(_xlfn.XLOOKUP(D1753,Table_Tarikan_Warkah[Nomor Tiket],Table_Tarikan_Warkah[Tanggal diserahkan kepada Validator]),"")</f>
        <v/>
      </c>
      <c r="F1753" s="20" t="str">
        <f t="array" ref="F1753">IFNA(_xlfn.XLOOKUP(D1753,Table_Tarikan_Warkah[Nomor Tiket],Table_Tarikan_Warkah[Nama Petugas Warkah]),"")</f>
        <v/>
      </c>
      <c r="G1753" s="21" t="str">
        <f t="array" ref="G1753">IFNA(_xlfn.XLOOKUP(D1753,Table_Tarikan_Warkah[Nomor Tiket],Table_Tarikan_Warkah[Jenis Permohonan]),"")</f>
        <v/>
      </c>
      <c r="H1753" s="26"/>
      <c r="I1753" s="26"/>
      <c r="J1753" s="20" t="str">
        <f t="shared" si="29"/>
        <v/>
      </c>
      <c r="K1753" s="26"/>
      <c r="L1753" s="26"/>
      <c r="M1753" s="20" t="str">
        <f t="shared" si="30"/>
        <v/>
      </c>
      <c r="N1753" s="8" t="str">
        <f t="shared" si="3"/>
        <v/>
      </c>
      <c r="O1753" s="21" t="str">
        <f t="shared" si="22"/>
        <v/>
      </c>
      <c r="P1753" s="24" t="b">
        <v>0</v>
      </c>
      <c r="Q1753" s="20" t="str">
        <f t="shared" si="31"/>
        <v/>
      </c>
      <c r="R1753" s="24" t="b">
        <v>0</v>
      </c>
      <c r="S1753" s="7" t="str">
        <f t="shared" si="6"/>
        <v/>
      </c>
      <c r="T1753" s="7"/>
    </row>
    <row r="1754" ht="22.5" hidden="1" customHeight="1">
      <c r="B1754" s="7">
        <f t="shared" si="7"/>
        <v>1748</v>
      </c>
      <c r="C1754" s="40"/>
      <c r="D1754" s="19" t="str">
        <f t="array" ref="D1754">IFNA(_xlfn.XLOOKUP(C1754,Table_Tarikan_Warkah[Nomor Sertipikat],Table_Tarikan_Warkah[Nomor Tiket]),"")</f>
        <v/>
      </c>
      <c r="E1754" s="20" t="str">
        <f t="array" ref="E1754">IFNA(_xlfn.XLOOKUP(D1754,Table_Tarikan_Warkah[Nomor Tiket],Table_Tarikan_Warkah[Tanggal diserahkan kepada Validator]),"")</f>
        <v/>
      </c>
      <c r="F1754" s="20" t="str">
        <f t="array" ref="F1754">IFNA(_xlfn.XLOOKUP(D1754,Table_Tarikan_Warkah[Nomor Tiket],Table_Tarikan_Warkah[Nama Petugas Warkah]),"")</f>
        <v/>
      </c>
      <c r="G1754" s="21" t="str">
        <f t="array" ref="G1754">IFNA(_xlfn.XLOOKUP(D1754,Table_Tarikan_Warkah[Nomor Tiket],Table_Tarikan_Warkah[Jenis Permohonan]),"")</f>
        <v/>
      </c>
      <c r="H1754" s="26"/>
      <c r="I1754" s="26"/>
      <c r="J1754" s="20" t="str">
        <f t="shared" si="29"/>
        <v/>
      </c>
      <c r="K1754" s="26"/>
      <c r="L1754" s="26"/>
      <c r="M1754" s="20" t="str">
        <f t="shared" si="30"/>
        <v/>
      </c>
      <c r="N1754" s="8" t="str">
        <f t="shared" si="3"/>
        <v/>
      </c>
      <c r="O1754" s="21" t="str">
        <f t="shared" si="22"/>
        <v/>
      </c>
      <c r="P1754" s="24" t="b">
        <v>0</v>
      </c>
      <c r="Q1754" s="20" t="str">
        <f t="shared" si="31"/>
        <v/>
      </c>
      <c r="R1754" s="24" t="b">
        <v>0</v>
      </c>
      <c r="S1754" s="7" t="str">
        <f t="shared" si="6"/>
        <v/>
      </c>
      <c r="T1754" s="7"/>
    </row>
    <row r="1755" ht="22.5" hidden="1" customHeight="1">
      <c r="B1755" s="7">
        <f t="shared" si="7"/>
        <v>1749</v>
      </c>
      <c r="C1755" s="40"/>
      <c r="D1755" s="19" t="str">
        <f t="array" ref="D1755">IFNA(_xlfn.XLOOKUP(C1755,Table_Tarikan_Warkah[Nomor Sertipikat],Table_Tarikan_Warkah[Nomor Tiket]),"")</f>
        <v/>
      </c>
      <c r="E1755" s="20" t="str">
        <f t="array" ref="E1755">IFNA(_xlfn.XLOOKUP(D1755,Table_Tarikan_Warkah[Nomor Tiket],Table_Tarikan_Warkah[Tanggal diserahkan kepada Validator]),"")</f>
        <v/>
      </c>
      <c r="F1755" s="20" t="str">
        <f t="array" ref="F1755">IFNA(_xlfn.XLOOKUP(D1755,Table_Tarikan_Warkah[Nomor Tiket],Table_Tarikan_Warkah[Nama Petugas Warkah]),"")</f>
        <v/>
      </c>
      <c r="G1755" s="21" t="str">
        <f t="array" ref="G1755">IFNA(_xlfn.XLOOKUP(D1755,Table_Tarikan_Warkah[Nomor Tiket],Table_Tarikan_Warkah[Jenis Permohonan]),"")</f>
        <v/>
      </c>
      <c r="H1755" s="26"/>
      <c r="I1755" s="26"/>
      <c r="J1755" s="20" t="str">
        <f t="shared" si="29"/>
        <v/>
      </c>
      <c r="K1755" s="26"/>
      <c r="L1755" s="26"/>
      <c r="M1755" s="20" t="str">
        <f t="shared" si="30"/>
        <v/>
      </c>
      <c r="N1755" s="8" t="str">
        <f t="shared" si="3"/>
        <v/>
      </c>
      <c r="O1755" s="21" t="str">
        <f t="shared" si="22"/>
        <v/>
      </c>
      <c r="P1755" s="24" t="b">
        <v>0</v>
      </c>
      <c r="Q1755" s="20" t="str">
        <f t="shared" si="31"/>
        <v/>
      </c>
      <c r="R1755" s="24" t="b">
        <v>0</v>
      </c>
      <c r="S1755" s="7" t="str">
        <f t="shared" si="6"/>
        <v/>
      </c>
      <c r="T1755" s="7"/>
    </row>
    <row r="1756" ht="22.5" hidden="1" customHeight="1">
      <c r="B1756" s="7">
        <f t="shared" si="7"/>
        <v>1750</v>
      </c>
      <c r="C1756" s="40"/>
      <c r="D1756" s="19" t="str">
        <f t="array" ref="D1756">IFNA(_xlfn.XLOOKUP(C1756,Table_Tarikan_Warkah[Nomor Sertipikat],Table_Tarikan_Warkah[Nomor Tiket]),"")</f>
        <v/>
      </c>
      <c r="E1756" s="20" t="str">
        <f t="array" ref="E1756">IFNA(_xlfn.XLOOKUP(D1756,Table_Tarikan_Warkah[Nomor Tiket],Table_Tarikan_Warkah[Tanggal diserahkan kepada Validator]),"")</f>
        <v/>
      </c>
      <c r="F1756" s="20" t="str">
        <f t="array" ref="F1756">IFNA(_xlfn.XLOOKUP(D1756,Table_Tarikan_Warkah[Nomor Tiket],Table_Tarikan_Warkah[Nama Petugas Warkah]),"")</f>
        <v/>
      </c>
      <c r="G1756" s="21" t="str">
        <f t="array" ref="G1756">IFNA(_xlfn.XLOOKUP(D1756,Table_Tarikan_Warkah[Nomor Tiket],Table_Tarikan_Warkah[Jenis Permohonan]),"")</f>
        <v/>
      </c>
      <c r="H1756" s="26"/>
      <c r="I1756" s="26"/>
      <c r="J1756" s="20" t="str">
        <f t="shared" si="29"/>
        <v/>
      </c>
      <c r="K1756" s="26"/>
      <c r="L1756" s="26"/>
      <c r="M1756" s="20" t="str">
        <f t="shared" si="30"/>
        <v/>
      </c>
      <c r="N1756" s="8" t="str">
        <f t="shared" si="3"/>
        <v/>
      </c>
      <c r="O1756" s="21" t="str">
        <f t="shared" si="22"/>
        <v/>
      </c>
      <c r="P1756" s="24" t="b">
        <v>0</v>
      </c>
      <c r="Q1756" s="20" t="str">
        <f t="shared" si="31"/>
        <v/>
      </c>
      <c r="R1756" s="24" t="b">
        <v>0</v>
      </c>
      <c r="S1756" s="7" t="str">
        <f t="shared" si="6"/>
        <v/>
      </c>
      <c r="T1756" s="7"/>
    </row>
    <row r="1757" ht="22.5" hidden="1" customHeight="1">
      <c r="B1757" s="7">
        <f t="shared" si="7"/>
        <v>1751</v>
      </c>
      <c r="C1757" s="40"/>
      <c r="D1757" s="19" t="str">
        <f t="array" ref="D1757">IFNA(_xlfn.XLOOKUP(C1757,Table_Tarikan_Warkah[Nomor Sertipikat],Table_Tarikan_Warkah[Nomor Tiket]),"")</f>
        <v/>
      </c>
      <c r="E1757" s="20" t="str">
        <f t="array" ref="E1757">IFNA(_xlfn.XLOOKUP(D1757,Table_Tarikan_Warkah[Nomor Tiket],Table_Tarikan_Warkah[Tanggal diserahkan kepada Validator]),"")</f>
        <v/>
      </c>
      <c r="F1757" s="20" t="str">
        <f t="array" ref="F1757">IFNA(_xlfn.XLOOKUP(D1757,Table_Tarikan_Warkah[Nomor Tiket],Table_Tarikan_Warkah[Nama Petugas Warkah]),"")</f>
        <v/>
      </c>
      <c r="G1757" s="21" t="str">
        <f t="array" ref="G1757">IFNA(_xlfn.XLOOKUP(D1757,Table_Tarikan_Warkah[Nomor Tiket],Table_Tarikan_Warkah[Jenis Permohonan]),"")</f>
        <v/>
      </c>
      <c r="H1757" s="26"/>
      <c r="I1757" s="26"/>
      <c r="J1757" s="20" t="str">
        <f t="shared" si="29"/>
        <v/>
      </c>
      <c r="K1757" s="26"/>
      <c r="L1757" s="26"/>
      <c r="M1757" s="20" t="str">
        <f t="shared" si="30"/>
        <v/>
      </c>
      <c r="N1757" s="8" t="str">
        <f t="shared" si="3"/>
        <v/>
      </c>
      <c r="O1757" s="21" t="str">
        <f t="shared" si="22"/>
        <v/>
      </c>
      <c r="P1757" s="24" t="b">
        <v>0</v>
      </c>
      <c r="Q1757" s="20" t="str">
        <f t="shared" si="31"/>
        <v/>
      </c>
      <c r="R1757" s="24" t="b">
        <v>0</v>
      </c>
      <c r="S1757" s="7" t="str">
        <f t="shared" si="6"/>
        <v/>
      </c>
      <c r="T1757" s="7"/>
    </row>
    <row r="1758" ht="22.5" hidden="1" customHeight="1">
      <c r="B1758" s="7">
        <f t="shared" si="7"/>
        <v>1752</v>
      </c>
      <c r="C1758" s="40"/>
      <c r="D1758" s="19" t="str">
        <f t="array" ref="D1758">IFNA(_xlfn.XLOOKUP(C1758,Table_Tarikan_Warkah[Nomor Sertipikat],Table_Tarikan_Warkah[Nomor Tiket]),"")</f>
        <v/>
      </c>
      <c r="E1758" s="20" t="str">
        <f t="array" ref="E1758">IFNA(_xlfn.XLOOKUP(D1758,Table_Tarikan_Warkah[Nomor Tiket],Table_Tarikan_Warkah[Tanggal diserahkan kepada Validator]),"")</f>
        <v/>
      </c>
      <c r="F1758" s="20" t="str">
        <f t="array" ref="F1758">IFNA(_xlfn.XLOOKUP(D1758,Table_Tarikan_Warkah[Nomor Tiket],Table_Tarikan_Warkah[Nama Petugas Warkah]),"")</f>
        <v/>
      </c>
      <c r="G1758" s="21" t="str">
        <f t="array" ref="G1758">IFNA(_xlfn.XLOOKUP(D1758,Table_Tarikan_Warkah[Nomor Tiket],Table_Tarikan_Warkah[Jenis Permohonan]),"")</f>
        <v/>
      </c>
      <c r="H1758" s="26"/>
      <c r="I1758" s="26"/>
      <c r="J1758" s="20" t="str">
        <f t="shared" si="29"/>
        <v/>
      </c>
      <c r="K1758" s="26"/>
      <c r="L1758" s="26"/>
      <c r="M1758" s="20" t="str">
        <f t="shared" si="30"/>
        <v/>
      </c>
      <c r="N1758" s="8" t="str">
        <f t="shared" si="3"/>
        <v/>
      </c>
      <c r="O1758" s="21" t="str">
        <f t="shared" si="22"/>
        <v/>
      </c>
      <c r="P1758" s="24" t="b">
        <v>0</v>
      </c>
      <c r="Q1758" s="20" t="str">
        <f t="shared" si="31"/>
        <v/>
      </c>
      <c r="R1758" s="24" t="b">
        <v>0</v>
      </c>
      <c r="S1758" s="7" t="str">
        <f t="shared" si="6"/>
        <v/>
      </c>
      <c r="T1758" s="7"/>
    </row>
    <row r="1759" ht="22.5" hidden="1" customHeight="1">
      <c r="B1759" s="7">
        <f t="shared" si="7"/>
        <v>1753</v>
      </c>
      <c r="C1759" s="40"/>
      <c r="D1759" s="19" t="str">
        <f t="array" ref="D1759">IFNA(_xlfn.XLOOKUP(C1759,Table_Tarikan_Warkah[Nomor Sertipikat],Table_Tarikan_Warkah[Nomor Tiket]),"")</f>
        <v/>
      </c>
      <c r="E1759" s="20" t="str">
        <f t="array" ref="E1759">IFNA(_xlfn.XLOOKUP(D1759,Table_Tarikan_Warkah[Nomor Tiket],Table_Tarikan_Warkah[Tanggal diserahkan kepada Validator]),"")</f>
        <v/>
      </c>
      <c r="F1759" s="20" t="str">
        <f t="array" ref="F1759">IFNA(_xlfn.XLOOKUP(D1759,Table_Tarikan_Warkah[Nomor Tiket],Table_Tarikan_Warkah[Nama Petugas Warkah]),"")</f>
        <v/>
      </c>
      <c r="G1759" s="21" t="str">
        <f t="array" ref="G1759">IFNA(_xlfn.XLOOKUP(D1759,Table_Tarikan_Warkah[Nomor Tiket],Table_Tarikan_Warkah[Jenis Permohonan]),"")</f>
        <v/>
      </c>
      <c r="H1759" s="26"/>
      <c r="I1759" s="26"/>
      <c r="J1759" s="20" t="str">
        <f t="shared" si="29"/>
        <v/>
      </c>
      <c r="K1759" s="26"/>
      <c r="L1759" s="26"/>
      <c r="M1759" s="20" t="str">
        <f t="shared" si="30"/>
        <v/>
      </c>
      <c r="N1759" s="8" t="str">
        <f t="shared" si="3"/>
        <v/>
      </c>
      <c r="O1759" s="21" t="str">
        <f t="shared" si="22"/>
        <v/>
      </c>
      <c r="P1759" s="24" t="b">
        <v>0</v>
      </c>
      <c r="Q1759" s="20" t="str">
        <f t="shared" si="31"/>
        <v/>
      </c>
      <c r="R1759" s="24" t="b">
        <v>0</v>
      </c>
      <c r="S1759" s="7" t="str">
        <f t="shared" si="6"/>
        <v/>
      </c>
      <c r="T1759" s="7"/>
    </row>
    <row r="1760" ht="22.5" hidden="1" customHeight="1">
      <c r="B1760" s="7">
        <f t="shared" si="7"/>
        <v>1754</v>
      </c>
      <c r="C1760" s="40"/>
      <c r="D1760" s="19" t="str">
        <f t="array" ref="D1760">IFNA(_xlfn.XLOOKUP(C1760,Table_Tarikan_Warkah[Nomor Sertipikat],Table_Tarikan_Warkah[Nomor Tiket]),"")</f>
        <v/>
      </c>
      <c r="E1760" s="20" t="str">
        <f t="array" ref="E1760">IFNA(_xlfn.XLOOKUP(D1760,Table_Tarikan_Warkah[Nomor Tiket],Table_Tarikan_Warkah[Tanggal diserahkan kepada Validator]),"")</f>
        <v/>
      </c>
      <c r="F1760" s="20" t="str">
        <f t="array" ref="F1760">IFNA(_xlfn.XLOOKUP(D1760,Table_Tarikan_Warkah[Nomor Tiket],Table_Tarikan_Warkah[Nama Petugas Warkah]),"")</f>
        <v/>
      </c>
      <c r="G1760" s="21" t="str">
        <f t="array" ref="G1760">IFNA(_xlfn.XLOOKUP(D1760,Table_Tarikan_Warkah[Nomor Tiket],Table_Tarikan_Warkah[Jenis Permohonan]),"")</f>
        <v/>
      </c>
      <c r="H1760" s="26"/>
      <c r="I1760" s="26"/>
      <c r="J1760" s="20" t="str">
        <f t="shared" si="29"/>
        <v/>
      </c>
      <c r="K1760" s="26"/>
      <c r="L1760" s="26"/>
      <c r="M1760" s="20" t="str">
        <f t="shared" si="30"/>
        <v/>
      </c>
      <c r="N1760" s="8" t="str">
        <f t="shared" si="3"/>
        <v/>
      </c>
      <c r="O1760" s="21" t="str">
        <f t="shared" si="22"/>
        <v/>
      </c>
      <c r="P1760" s="24" t="b">
        <v>0</v>
      </c>
      <c r="Q1760" s="20" t="str">
        <f t="shared" si="31"/>
        <v/>
      </c>
      <c r="R1760" s="24" t="b">
        <v>0</v>
      </c>
      <c r="S1760" s="7" t="str">
        <f t="shared" si="6"/>
        <v/>
      </c>
      <c r="T1760" s="7"/>
    </row>
    <row r="1761" ht="22.5" hidden="1" customHeight="1">
      <c r="B1761" s="7">
        <f t="shared" si="7"/>
        <v>1755</v>
      </c>
      <c r="C1761" s="40"/>
      <c r="D1761" s="19" t="str">
        <f t="array" ref="D1761">IFNA(_xlfn.XLOOKUP(C1761,Table_Tarikan_Warkah[Nomor Sertipikat],Table_Tarikan_Warkah[Nomor Tiket]),"")</f>
        <v/>
      </c>
      <c r="E1761" s="20" t="str">
        <f t="array" ref="E1761">IFNA(_xlfn.XLOOKUP(D1761,Table_Tarikan_Warkah[Nomor Tiket],Table_Tarikan_Warkah[Tanggal diserahkan kepada Validator]),"")</f>
        <v/>
      </c>
      <c r="F1761" s="20" t="str">
        <f t="array" ref="F1761">IFNA(_xlfn.XLOOKUP(D1761,Table_Tarikan_Warkah[Nomor Tiket],Table_Tarikan_Warkah[Nama Petugas Warkah]),"")</f>
        <v/>
      </c>
      <c r="G1761" s="21" t="str">
        <f t="array" ref="G1761">IFNA(_xlfn.XLOOKUP(D1761,Table_Tarikan_Warkah[Nomor Tiket],Table_Tarikan_Warkah[Jenis Permohonan]),"")</f>
        <v/>
      </c>
      <c r="H1761" s="26"/>
      <c r="I1761" s="26"/>
      <c r="J1761" s="20" t="str">
        <f t="shared" si="29"/>
        <v/>
      </c>
      <c r="K1761" s="26"/>
      <c r="L1761" s="26"/>
      <c r="M1761" s="20" t="str">
        <f t="shared" si="30"/>
        <v/>
      </c>
      <c r="N1761" s="8" t="str">
        <f t="shared" si="3"/>
        <v/>
      </c>
      <c r="O1761" s="21" t="str">
        <f t="shared" si="22"/>
        <v/>
      </c>
      <c r="P1761" s="24" t="b">
        <v>0</v>
      </c>
      <c r="Q1761" s="20" t="str">
        <f t="shared" si="31"/>
        <v/>
      </c>
      <c r="R1761" s="24" t="b">
        <v>0</v>
      </c>
      <c r="S1761" s="7" t="str">
        <f t="shared" si="6"/>
        <v/>
      </c>
      <c r="T1761" s="7"/>
    </row>
    <row r="1762" ht="22.5" hidden="1" customHeight="1">
      <c r="B1762" s="7">
        <f t="shared" si="7"/>
        <v>1756</v>
      </c>
      <c r="C1762" s="40"/>
      <c r="D1762" s="19" t="str">
        <f t="array" ref="D1762">IFNA(_xlfn.XLOOKUP(C1762,Table_Tarikan_Warkah[Nomor Sertipikat],Table_Tarikan_Warkah[Nomor Tiket]),"")</f>
        <v/>
      </c>
      <c r="E1762" s="20" t="str">
        <f t="array" ref="E1762">IFNA(_xlfn.XLOOKUP(D1762,Table_Tarikan_Warkah[Nomor Tiket],Table_Tarikan_Warkah[Tanggal diserahkan kepada Validator]),"")</f>
        <v/>
      </c>
      <c r="F1762" s="20" t="str">
        <f t="array" ref="F1762">IFNA(_xlfn.XLOOKUP(D1762,Table_Tarikan_Warkah[Nomor Tiket],Table_Tarikan_Warkah[Nama Petugas Warkah]),"")</f>
        <v/>
      </c>
      <c r="G1762" s="21" t="str">
        <f t="array" ref="G1762">IFNA(_xlfn.XLOOKUP(D1762,Table_Tarikan_Warkah[Nomor Tiket],Table_Tarikan_Warkah[Jenis Permohonan]),"")</f>
        <v/>
      </c>
      <c r="H1762" s="26"/>
      <c r="I1762" s="26"/>
      <c r="J1762" s="20" t="str">
        <f t="shared" si="29"/>
        <v/>
      </c>
      <c r="K1762" s="26"/>
      <c r="L1762" s="26"/>
      <c r="M1762" s="20" t="str">
        <f t="shared" si="30"/>
        <v/>
      </c>
      <c r="N1762" s="8" t="str">
        <f t="shared" si="3"/>
        <v/>
      </c>
      <c r="O1762" s="21" t="str">
        <f t="shared" si="22"/>
        <v/>
      </c>
      <c r="P1762" s="24" t="b">
        <v>0</v>
      </c>
      <c r="Q1762" s="20" t="str">
        <f t="shared" si="31"/>
        <v/>
      </c>
      <c r="R1762" s="24" t="b">
        <v>0</v>
      </c>
      <c r="S1762" s="7" t="str">
        <f t="shared" si="6"/>
        <v/>
      </c>
      <c r="T1762" s="7"/>
    </row>
    <row r="1763" ht="22.5" hidden="1" customHeight="1">
      <c r="B1763" s="7">
        <f t="shared" si="7"/>
        <v>1757</v>
      </c>
      <c r="C1763" s="40"/>
      <c r="D1763" s="19" t="str">
        <f t="array" ref="D1763">IFNA(_xlfn.XLOOKUP(C1763,Table_Tarikan_Warkah[Nomor Sertipikat],Table_Tarikan_Warkah[Nomor Tiket]),"")</f>
        <v/>
      </c>
      <c r="E1763" s="20" t="str">
        <f t="array" ref="E1763">IFNA(_xlfn.XLOOKUP(D1763,Table_Tarikan_Warkah[Nomor Tiket],Table_Tarikan_Warkah[Tanggal diserahkan kepada Validator]),"")</f>
        <v/>
      </c>
      <c r="F1763" s="20" t="str">
        <f t="array" ref="F1763">IFNA(_xlfn.XLOOKUP(D1763,Table_Tarikan_Warkah[Nomor Tiket],Table_Tarikan_Warkah[Nama Petugas Warkah]),"")</f>
        <v/>
      </c>
      <c r="G1763" s="21" t="str">
        <f t="array" ref="G1763">IFNA(_xlfn.XLOOKUP(D1763,Table_Tarikan_Warkah[Nomor Tiket],Table_Tarikan_Warkah[Jenis Permohonan]),"")</f>
        <v/>
      </c>
      <c r="H1763" s="26"/>
      <c r="I1763" s="26"/>
      <c r="J1763" s="20" t="str">
        <f t="shared" si="29"/>
        <v/>
      </c>
      <c r="K1763" s="26"/>
      <c r="L1763" s="26"/>
      <c r="M1763" s="20" t="str">
        <f t="shared" si="30"/>
        <v/>
      </c>
      <c r="N1763" s="8" t="str">
        <f t="shared" si="3"/>
        <v/>
      </c>
      <c r="O1763" s="21" t="str">
        <f t="shared" si="22"/>
        <v/>
      </c>
      <c r="P1763" s="24" t="b">
        <v>0</v>
      </c>
      <c r="Q1763" s="20" t="str">
        <f t="shared" si="31"/>
        <v/>
      </c>
      <c r="R1763" s="24" t="b">
        <v>0</v>
      </c>
      <c r="S1763" s="7" t="str">
        <f t="shared" si="6"/>
        <v/>
      </c>
      <c r="T1763" s="7"/>
    </row>
    <row r="1764" ht="22.5" hidden="1" customHeight="1">
      <c r="B1764" s="7">
        <f t="shared" si="7"/>
        <v>1758</v>
      </c>
      <c r="C1764" s="40"/>
      <c r="D1764" s="19" t="str">
        <f t="array" ref="D1764">IFNA(_xlfn.XLOOKUP(C1764,Table_Tarikan_Warkah[Nomor Sertipikat],Table_Tarikan_Warkah[Nomor Tiket]),"")</f>
        <v/>
      </c>
      <c r="E1764" s="20" t="str">
        <f t="array" ref="E1764">IFNA(_xlfn.XLOOKUP(D1764,Table_Tarikan_Warkah[Nomor Tiket],Table_Tarikan_Warkah[Tanggal diserahkan kepada Validator]),"")</f>
        <v/>
      </c>
      <c r="F1764" s="20" t="str">
        <f t="array" ref="F1764">IFNA(_xlfn.XLOOKUP(D1764,Table_Tarikan_Warkah[Nomor Tiket],Table_Tarikan_Warkah[Nama Petugas Warkah]),"")</f>
        <v/>
      </c>
      <c r="G1764" s="21" t="str">
        <f t="array" ref="G1764">IFNA(_xlfn.XLOOKUP(D1764,Table_Tarikan_Warkah[Nomor Tiket],Table_Tarikan_Warkah[Jenis Permohonan]),"")</f>
        <v/>
      </c>
      <c r="H1764" s="26"/>
      <c r="I1764" s="26"/>
      <c r="J1764" s="20" t="str">
        <f t="shared" si="29"/>
        <v/>
      </c>
      <c r="K1764" s="26"/>
      <c r="L1764" s="26"/>
      <c r="M1764" s="20" t="str">
        <f t="shared" si="30"/>
        <v/>
      </c>
      <c r="N1764" s="8" t="str">
        <f t="shared" si="3"/>
        <v/>
      </c>
      <c r="O1764" s="21" t="str">
        <f t="shared" si="22"/>
        <v/>
      </c>
      <c r="P1764" s="24" t="b">
        <v>0</v>
      </c>
      <c r="Q1764" s="20" t="str">
        <f t="shared" si="31"/>
        <v/>
      </c>
      <c r="R1764" s="24" t="b">
        <v>0</v>
      </c>
      <c r="S1764" s="7" t="str">
        <f t="shared" si="6"/>
        <v/>
      </c>
      <c r="T1764" s="7"/>
    </row>
    <row r="1765" ht="22.5" hidden="1" customHeight="1">
      <c r="B1765" s="7">
        <f t="shared" si="7"/>
        <v>1759</v>
      </c>
      <c r="C1765" s="40"/>
      <c r="D1765" s="19" t="str">
        <f t="array" ref="D1765">IFNA(_xlfn.XLOOKUP(C1765,Table_Tarikan_Warkah[Nomor Sertipikat],Table_Tarikan_Warkah[Nomor Tiket]),"")</f>
        <v/>
      </c>
      <c r="E1765" s="20" t="str">
        <f t="array" ref="E1765">IFNA(_xlfn.XLOOKUP(D1765,Table_Tarikan_Warkah[Nomor Tiket],Table_Tarikan_Warkah[Tanggal diserahkan kepada Validator]),"")</f>
        <v/>
      </c>
      <c r="F1765" s="20" t="str">
        <f t="array" ref="F1765">IFNA(_xlfn.XLOOKUP(D1765,Table_Tarikan_Warkah[Nomor Tiket],Table_Tarikan_Warkah[Nama Petugas Warkah]),"")</f>
        <v/>
      </c>
      <c r="G1765" s="21" t="str">
        <f t="array" ref="G1765">IFNA(_xlfn.XLOOKUP(D1765,Table_Tarikan_Warkah[Nomor Tiket],Table_Tarikan_Warkah[Jenis Permohonan]),"")</f>
        <v/>
      </c>
      <c r="H1765" s="26"/>
      <c r="I1765" s="26"/>
      <c r="J1765" s="20" t="str">
        <f t="shared" si="29"/>
        <v/>
      </c>
      <c r="K1765" s="26"/>
      <c r="L1765" s="26"/>
      <c r="M1765" s="20" t="str">
        <f t="shared" si="30"/>
        <v/>
      </c>
      <c r="N1765" s="8" t="str">
        <f t="shared" si="3"/>
        <v/>
      </c>
      <c r="O1765" s="21" t="str">
        <f t="shared" si="22"/>
        <v/>
      </c>
      <c r="P1765" s="24" t="b">
        <v>0</v>
      </c>
      <c r="Q1765" s="20" t="str">
        <f t="shared" si="31"/>
        <v/>
      </c>
      <c r="R1765" s="24" t="b">
        <v>0</v>
      </c>
      <c r="S1765" s="7" t="str">
        <f t="shared" si="6"/>
        <v/>
      </c>
      <c r="T1765" s="7"/>
    </row>
    <row r="1766" ht="22.5" hidden="1" customHeight="1">
      <c r="B1766" s="7">
        <f t="shared" si="7"/>
        <v>1760</v>
      </c>
      <c r="C1766" s="40"/>
      <c r="D1766" s="19" t="str">
        <f t="array" ref="D1766">IFNA(_xlfn.XLOOKUP(C1766,Table_Tarikan_Warkah[Nomor Sertipikat],Table_Tarikan_Warkah[Nomor Tiket]),"")</f>
        <v/>
      </c>
      <c r="E1766" s="20" t="str">
        <f t="array" ref="E1766">IFNA(_xlfn.XLOOKUP(D1766,Table_Tarikan_Warkah[Nomor Tiket],Table_Tarikan_Warkah[Tanggal diserahkan kepada Validator]),"")</f>
        <v/>
      </c>
      <c r="F1766" s="20" t="str">
        <f t="array" ref="F1766">IFNA(_xlfn.XLOOKUP(D1766,Table_Tarikan_Warkah[Nomor Tiket],Table_Tarikan_Warkah[Nama Petugas Warkah]),"")</f>
        <v/>
      </c>
      <c r="G1766" s="21" t="str">
        <f t="array" ref="G1766">IFNA(_xlfn.XLOOKUP(D1766,Table_Tarikan_Warkah[Nomor Tiket],Table_Tarikan_Warkah[Jenis Permohonan]),"")</f>
        <v/>
      </c>
      <c r="H1766" s="26"/>
      <c r="I1766" s="26"/>
      <c r="J1766" s="20" t="str">
        <f t="shared" si="29"/>
        <v/>
      </c>
      <c r="K1766" s="26"/>
      <c r="L1766" s="26"/>
      <c r="M1766" s="20" t="str">
        <f t="shared" si="30"/>
        <v/>
      </c>
      <c r="N1766" s="8" t="str">
        <f t="shared" si="3"/>
        <v/>
      </c>
      <c r="O1766" s="21" t="str">
        <f t="shared" si="22"/>
        <v/>
      </c>
      <c r="P1766" s="24" t="b">
        <v>0</v>
      </c>
      <c r="Q1766" s="20" t="str">
        <f t="shared" si="31"/>
        <v/>
      </c>
      <c r="R1766" s="24" t="b">
        <v>0</v>
      </c>
      <c r="S1766" s="7" t="str">
        <f t="shared" si="6"/>
        <v/>
      </c>
      <c r="T1766" s="7"/>
    </row>
    <row r="1767" ht="22.5" hidden="1" customHeight="1">
      <c r="B1767" s="7">
        <f t="shared" si="7"/>
        <v>1761</v>
      </c>
      <c r="C1767" s="40"/>
      <c r="D1767" s="19" t="str">
        <f t="array" ref="D1767">IFNA(_xlfn.XLOOKUP(C1767,Table_Tarikan_Warkah[Nomor Sertipikat],Table_Tarikan_Warkah[Nomor Tiket]),"")</f>
        <v/>
      </c>
      <c r="E1767" s="20" t="str">
        <f t="array" ref="E1767">IFNA(_xlfn.XLOOKUP(D1767,Table_Tarikan_Warkah[Nomor Tiket],Table_Tarikan_Warkah[Tanggal diserahkan kepada Validator]),"")</f>
        <v/>
      </c>
      <c r="F1767" s="20" t="str">
        <f t="array" ref="F1767">IFNA(_xlfn.XLOOKUP(D1767,Table_Tarikan_Warkah[Nomor Tiket],Table_Tarikan_Warkah[Nama Petugas Warkah]),"")</f>
        <v/>
      </c>
      <c r="G1767" s="21" t="str">
        <f t="array" ref="G1767">IFNA(_xlfn.XLOOKUP(D1767,Table_Tarikan_Warkah[Nomor Tiket],Table_Tarikan_Warkah[Jenis Permohonan]),"")</f>
        <v/>
      </c>
      <c r="H1767" s="26"/>
      <c r="I1767" s="26"/>
      <c r="J1767" s="20" t="str">
        <f t="shared" si="29"/>
        <v/>
      </c>
      <c r="K1767" s="26"/>
      <c r="L1767" s="26"/>
      <c r="M1767" s="20" t="str">
        <f t="shared" si="30"/>
        <v/>
      </c>
      <c r="N1767" s="8" t="str">
        <f t="shared" si="3"/>
        <v/>
      </c>
      <c r="O1767" s="21" t="str">
        <f t="shared" si="22"/>
        <v/>
      </c>
      <c r="P1767" s="24" t="b">
        <v>0</v>
      </c>
      <c r="Q1767" s="20" t="str">
        <f t="shared" si="31"/>
        <v/>
      </c>
      <c r="R1767" s="24" t="b">
        <v>0</v>
      </c>
      <c r="S1767" s="7" t="str">
        <f t="shared" si="6"/>
        <v/>
      </c>
      <c r="T1767" s="7"/>
    </row>
    <row r="1768" ht="22.5" hidden="1" customHeight="1">
      <c r="B1768" s="7">
        <f t="shared" si="7"/>
        <v>1762</v>
      </c>
      <c r="C1768" s="40"/>
      <c r="D1768" s="19" t="str">
        <f t="array" ref="D1768">IFNA(_xlfn.XLOOKUP(C1768,Table_Tarikan_Warkah[Nomor Sertipikat],Table_Tarikan_Warkah[Nomor Tiket]),"")</f>
        <v/>
      </c>
      <c r="E1768" s="20" t="str">
        <f t="array" ref="E1768">IFNA(_xlfn.XLOOKUP(D1768,Table_Tarikan_Warkah[Nomor Tiket],Table_Tarikan_Warkah[Tanggal diserahkan kepada Validator]),"")</f>
        <v/>
      </c>
      <c r="F1768" s="20" t="str">
        <f t="array" ref="F1768">IFNA(_xlfn.XLOOKUP(D1768,Table_Tarikan_Warkah[Nomor Tiket],Table_Tarikan_Warkah[Nama Petugas Warkah]),"")</f>
        <v/>
      </c>
      <c r="G1768" s="21" t="str">
        <f t="array" ref="G1768">IFNA(_xlfn.XLOOKUP(D1768,Table_Tarikan_Warkah[Nomor Tiket],Table_Tarikan_Warkah[Jenis Permohonan]),"")</f>
        <v/>
      </c>
      <c r="H1768" s="26"/>
      <c r="I1768" s="26"/>
      <c r="J1768" s="20" t="str">
        <f t="shared" si="29"/>
        <v/>
      </c>
      <c r="K1768" s="26"/>
      <c r="L1768" s="26"/>
      <c r="M1768" s="20" t="str">
        <f t="shared" si="30"/>
        <v/>
      </c>
      <c r="N1768" s="8" t="str">
        <f t="shared" si="3"/>
        <v/>
      </c>
      <c r="O1768" s="21" t="str">
        <f t="shared" si="22"/>
        <v/>
      </c>
      <c r="P1768" s="24" t="b">
        <v>0</v>
      </c>
      <c r="Q1768" s="20" t="str">
        <f t="shared" si="31"/>
        <v/>
      </c>
      <c r="R1768" s="24" t="b">
        <v>0</v>
      </c>
      <c r="S1768" s="7" t="str">
        <f t="shared" si="6"/>
        <v/>
      </c>
      <c r="T1768" s="7"/>
    </row>
    <row r="1769" ht="22.5" hidden="1" customHeight="1">
      <c r="B1769" s="7">
        <f t="shared" si="7"/>
        <v>1763</v>
      </c>
      <c r="C1769" s="40"/>
      <c r="D1769" s="19" t="str">
        <f t="array" ref="D1769">IFNA(_xlfn.XLOOKUP(C1769,Table_Tarikan_Warkah[Nomor Sertipikat],Table_Tarikan_Warkah[Nomor Tiket]),"")</f>
        <v/>
      </c>
      <c r="E1769" s="20" t="str">
        <f t="array" ref="E1769">IFNA(_xlfn.XLOOKUP(D1769,Table_Tarikan_Warkah[Nomor Tiket],Table_Tarikan_Warkah[Tanggal diserahkan kepada Validator]),"")</f>
        <v/>
      </c>
      <c r="F1769" s="20" t="str">
        <f t="array" ref="F1769">IFNA(_xlfn.XLOOKUP(D1769,Table_Tarikan_Warkah[Nomor Tiket],Table_Tarikan_Warkah[Nama Petugas Warkah]),"")</f>
        <v/>
      </c>
      <c r="G1769" s="21" t="str">
        <f t="array" ref="G1769">IFNA(_xlfn.XLOOKUP(D1769,Table_Tarikan_Warkah[Nomor Tiket],Table_Tarikan_Warkah[Jenis Permohonan]),"")</f>
        <v/>
      </c>
      <c r="H1769" s="26"/>
      <c r="I1769" s="26"/>
      <c r="J1769" s="20" t="str">
        <f t="shared" si="29"/>
        <v/>
      </c>
      <c r="K1769" s="26"/>
      <c r="L1769" s="26"/>
      <c r="M1769" s="20" t="str">
        <f t="shared" si="30"/>
        <v/>
      </c>
      <c r="N1769" s="8" t="str">
        <f t="shared" si="3"/>
        <v/>
      </c>
      <c r="O1769" s="21" t="str">
        <f t="shared" si="22"/>
        <v/>
      </c>
      <c r="P1769" s="24" t="b">
        <v>0</v>
      </c>
      <c r="Q1769" s="20" t="str">
        <f t="shared" si="31"/>
        <v/>
      </c>
      <c r="R1769" s="24" t="b">
        <v>0</v>
      </c>
      <c r="S1769" s="7" t="str">
        <f t="shared" si="6"/>
        <v/>
      </c>
      <c r="T1769" s="7"/>
    </row>
    <row r="1770" ht="22.5" hidden="1" customHeight="1">
      <c r="B1770" s="7">
        <f t="shared" si="7"/>
        <v>1764</v>
      </c>
      <c r="C1770" s="40"/>
      <c r="D1770" s="19" t="str">
        <f t="array" ref="D1770">IFNA(_xlfn.XLOOKUP(C1770,Table_Tarikan_Warkah[Nomor Sertipikat],Table_Tarikan_Warkah[Nomor Tiket]),"")</f>
        <v/>
      </c>
      <c r="E1770" s="20" t="str">
        <f t="array" ref="E1770">IFNA(_xlfn.XLOOKUP(D1770,Table_Tarikan_Warkah[Nomor Tiket],Table_Tarikan_Warkah[Tanggal diserahkan kepada Validator]),"")</f>
        <v/>
      </c>
      <c r="F1770" s="20" t="str">
        <f t="array" ref="F1770">IFNA(_xlfn.XLOOKUP(D1770,Table_Tarikan_Warkah[Nomor Tiket],Table_Tarikan_Warkah[Nama Petugas Warkah]),"")</f>
        <v/>
      </c>
      <c r="G1770" s="21" t="str">
        <f t="array" ref="G1770">IFNA(_xlfn.XLOOKUP(D1770,Table_Tarikan_Warkah[Nomor Tiket],Table_Tarikan_Warkah[Jenis Permohonan]),"")</f>
        <v/>
      </c>
      <c r="H1770" s="26"/>
      <c r="I1770" s="26"/>
      <c r="J1770" s="20" t="str">
        <f t="shared" si="29"/>
        <v/>
      </c>
      <c r="K1770" s="26"/>
      <c r="L1770" s="26"/>
      <c r="M1770" s="20" t="str">
        <f t="shared" si="30"/>
        <v/>
      </c>
      <c r="N1770" s="8" t="str">
        <f t="shared" si="3"/>
        <v/>
      </c>
      <c r="O1770" s="21" t="str">
        <f t="shared" si="22"/>
        <v/>
      </c>
      <c r="P1770" s="24" t="b">
        <v>0</v>
      </c>
      <c r="Q1770" s="20" t="str">
        <f t="shared" si="31"/>
        <v/>
      </c>
      <c r="R1770" s="24" t="b">
        <v>0</v>
      </c>
      <c r="S1770" s="7" t="str">
        <f t="shared" si="6"/>
        <v/>
      </c>
      <c r="T1770" s="7"/>
    </row>
    <row r="1771" ht="22.5" hidden="1" customHeight="1">
      <c r="B1771" s="7">
        <f t="shared" si="7"/>
        <v>1765</v>
      </c>
      <c r="C1771" s="40"/>
      <c r="D1771" s="19" t="str">
        <f t="array" ref="D1771">IFNA(_xlfn.XLOOKUP(C1771,Table_Tarikan_Warkah[Nomor Sertipikat],Table_Tarikan_Warkah[Nomor Tiket]),"")</f>
        <v/>
      </c>
      <c r="E1771" s="20" t="str">
        <f t="array" ref="E1771">IFNA(_xlfn.XLOOKUP(D1771,Table_Tarikan_Warkah[Nomor Tiket],Table_Tarikan_Warkah[Tanggal diserahkan kepada Validator]),"")</f>
        <v/>
      </c>
      <c r="F1771" s="20" t="str">
        <f t="array" ref="F1771">IFNA(_xlfn.XLOOKUP(D1771,Table_Tarikan_Warkah[Nomor Tiket],Table_Tarikan_Warkah[Nama Petugas Warkah]),"")</f>
        <v/>
      </c>
      <c r="G1771" s="21" t="str">
        <f t="array" ref="G1771">IFNA(_xlfn.XLOOKUP(D1771,Table_Tarikan_Warkah[Nomor Tiket],Table_Tarikan_Warkah[Jenis Permohonan]),"")</f>
        <v/>
      </c>
      <c r="H1771" s="26"/>
      <c r="I1771" s="26"/>
      <c r="J1771" s="20" t="str">
        <f t="shared" si="29"/>
        <v/>
      </c>
      <c r="K1771" s="26"/>
      <c r="L1771" s="26"/>
      <c r="M1771" s="20" t="str">
        <f t="shared" si="30"/>
        <v/>
      </c>
      <c r="N1771" s="8" t="str">
        <f t="shared" si="3"/>
        <v/>
      </c>
      <c r="O1771" s="21" t="str">
        <f t="shared" si="22"/>
        <v/>
      </c>
      <c r="P1771" s="24" t="b">
        <v>0</v>
      </c>
      <c r="Q1771" s="20" t="str">
        <f t="shared" si="31"/>
        <v/>
      </c>
      <c r="R1771" s="24" t="b">
        <v>0</v>
      </c>
      <c r="S1771" s="7" t="str">
        <f t="shared" si="6"/>
        <v/>
      </c>
      <c r="T1771" s="7"/>
    </row>
    <row r="1772" ht="22.5" hidden="1" customHeight="1">
      <c r="B1772" s="7">
        <f t="shared" si="7"/>
        <v>1766</v>
      </c>
      <c r="C1772" s="40"/>
      <c r="D1772" s="19" t="str">
        <f t="array" ref="D1772">IFNA(_xlfn.XLOOKUP(C1772,Table_Tarikan_Warkah[Nomor Sertipikat],Table_Tarikan_Warkah[Nomor Tiket]),"")</f>
        <v/>
      </c>
      <c r="E1772" s="20" t="str">
        <f t="array" ref="E1772">IFNA(_xlfn.XLOOKUP(D1772,Table_Tarikan_Warkah[Nomor Tiket],Table_Tarikan_Warkah[Tanggal diserahkan kepada Validator]),"")</f>
        <v/>
      </c>
      <c r="F1772" s="20" t="str">
        <f t="array" ref="F1772">IFNA(_xlfn.XLOOKUP(D1772,Table_Tarikan_Warkah[Nomor Tiket],Table_Tarikan_Warkah[Nama Petugas Warkah]),"")</f>
        <v/>
      </c>
      <c r="G1772" s="21" t="str">
        <f t="array" ref="G1772">IFNA(_xlfn.XLOOKUP(D1772,Table_Tarikan_Warkah[Nomor Tiket],Table_Tarikan_Warkah[Jenis Permohonan]),"")</f>
        <v/>
      </c>
      <c r="H1772" s="26"/>
      <c r="I1772" s="26"/>
      <c r="J1772" s="20" t="str">
        <f t="shared" si="29"/>
        <v/>
      </c>
      <c r="K1772" s="26"/>
      <c r="L1772" s="26"/>
      <c r="M1772" s="20" t="str">
        <f t="shared" si="30"/>
        <v/>
      </c>
      <c r="N1772" s="8" t="str">
        <f t="shared" si="3"/>
        <v/>
      </c>
      <c r="O1772" s="21" t="str">
        <f t="shared" si="22"/>
        <v/>
      </c>
      <c r="P1772" s="24" t="b">
        <v>0</v>
      </c>
      <c r="Q1772" s="20" t="str">
        <f t="shared" si="31"/>
        <v/>
      </c>
      <c r="R1772" s="24" t="b">
        <v>0</v>
      </c>
      <c r="S1772" s="7" t="str">
        <f t="shared" si="6"/>
        <v/>
      </c>
      <c r="T1772" s="7"/>
    </row>
    <row r="1773" ht="22.5" hidden="1" customHeight="1">
      <c r="B1773" s="7">
        <f t="shared" si="7"/>
        <v>1767</v>
      </c>
      <c r="C1773" s="40"/>
      <c r="D1773" s="19" t="str">
        <f t="array" ref="D1773">IFNA(_xlfn.XLOOKUP(C1773,Table_Tarikan_Warkah[Nomor Sertipikat],Table_Tarikan_Warkah[Nomor Tiket]),"")</f>
        <v/>
      </c>
      <c r="E1773" s="20" t="str">
        <f t="array" ref="E1773">IFNA(_xlfn.XLOOKUP(D1773,Table_Tarikan_Warkah[Nomor Tiket],Table_Tarikan_Warkah[Tanggal diserahkan kepada Validator]),"")</f>
        <v/>
      </c>
      <c r="F1773" s="20" t="str">
        <f t="array" ref="F1773">IFNA(_xlfn.XLOOKUP(D1773,Table_Tarikan_Warkah[Nomor Tiket],Table_Tarikan_Warkah[Nama Petugas Warkah]),"")</f>
        <v/>
      </c>
      <c r="G1773" s="21" t="str">
        <f t="array" ref="G1773">IFNA(_xlfn.XLOOKUP(D1773,Table_Tarikan_Warkah[Nomor Tiket],Table_Tarikan_Warkah[Jenis Permohonan]),"")</f>
        <v/>
      </c>
      <c r="H1773" s="26"/>
      <c r="I1773" s="26"/>
      <c r="J1773" s="20" t="str">
        <f t="shared" si="29"/>
        <v/>
      </c>
      <c r="K1773" s="26"/>
      <c r="L1773" s="26"/>
      <c r="M1773" s="20" t="str">
        <f t="shared" si="30"/>
        <v/>
      </c>
      <c r="N1773" s="8" t="str">
        <f t="shared" si="3"/>
        <v/>
      </c>
      <c r="O1773" s="21" t="str">
        <f t="shared" si="22"/>
        <v/>
      </c>
      <c r="P1773" s="24" t="b">
        <v>0</v>
      </c>
      <c r="Q1773" s="20" t="str">
        <f t="shared" si="31"/>
        <v/>
      </c>
      <c r="R1773" s="24" t="b">
        <v>0</v>
      </c>
      <c r="S1773" s="7" t="str">
        <f t="shared" si="6"/>
        <v/>
      </c>
      <c r="T1773" s="7"/>
    </row>
    <row r="1774" ht="22.5" hidden="1" customHeight="1">
      <c r="B1774" s="7">
        <f t="shared" si="7"/>
        <v>1768</v>
      </c>
      <c r="C1774" s="40"/>
      <c r="D1774" s="19" t="str">
        <f t="array" ref="D1774">IFNA(_xlfn.XLOOKUP(C1774,Table_Tarikan_Warkah[Nomor Sertipikat],Table_Tarikan_Warkah[Nomor Tiket]),"")</f>
        <v/>
      </c>
      <c r="E1774" s="20" t="str">
        <f t="array" ref="E1774">IFNA(_xlfn.XLOOKUP(D1774,Table_Tarikan_Warkah[Nomor Tiket],Table_Tarikan_Warkah[Tanggal diserahkan kepada Validator]),"")</f>
        <v/>
      </c>
      <c r="F1774" s="20" t="str">
        <f t="array" ref="F1774">IFNA(_xlfn.XLOOKUP(D1774,Table_Tarikan_Warkah[Nomor Tiket],Table_Tarikan_Warkah[Nama Petugas Warkah]),"")</f>
        <v/>
      </c>
      <c r="G1774" s="21" t="str">
        <f t="array" ref="G1774">IFNA(_xlfn.XLOOKUP(D1774,Table_Tarikan_Warkah[Nomor Tiket],Table_Tarikan_Warkah[Jenis Permohonan]),"")</f>
        <v/>
      </c>
      <c r="H1774" s="26"/>
      <c r="I1774" s="26"/>
      <c r="J1774" s="20" t="str">
        <f t="shared" si="29"/>
        <v/>
      </c>
      <c r="K1774" s="26"/>
      <c r="L1774" s="26"/>
      <c r="M1774" s="20" t="str">
        <f t="shared" si="30"/>
        <v/>
      </c>
      <c r="N1774" s="8" t="str">
        <f t="shared" si="3"/>
        <v/>
      </c>
      <c r="O1774" s="21" t="str">
        <f t="shared" si="22"/>
        <v/>
      </c>
      <c r="P1774" s="24" t="b">
        <v>0</v>
      </c>
      <c r="Q1774" s="20" t="str">
        <f t="shared" si="31"/>
        <v/>
      </c>
      <c r="R1774" s="24" t="b">
        <v>0</v>
      </c>
      <c r="S1774" s="7" t="str">
        <f t="shared" si="6"/>
        <v/>
      </c>
      <c r="T1774" s="7"/>
    </row>
    <row r="1775" ht="22.5" hidden="1" customHeight="1">
      <c r="B1775" s="7">
        <f t="shared" si="7"/>
        <v>1769</v>
      </c>
      <c r="C1775" s="40"/>
      <c r="D1775" s="19" t="str">
        <f t="array" ref="D1775">IFNA(_xlfn.XLOOKUP(C1775,Table_Tarikan_Warkah[Nomor Sertipikat],Table_Tarikan_Warkah[Nomor Tiket]),"")</f>
        <v/>
      </c>
      <c r="E1775" s="20" t="str">
        <f t="array" ref="E1775">IFNA(_xlfn.XLOOKUP(D1775,Table_Tarikan_Warkah[Nomor Tiket],Table_Tarikan_Warkah[Tanggal diserahkan kepada Validator]),"")</f>
        <v/>
      </c>
      <c r="F1775" s="20" t="str">
        <f t="array" ref="F1775">IFNA(_xlfn.XLOOKUP(D1775,Table_Tarikan_Warkah[Nomor Tiket],Table_Tarikan_Warkah[Nama Petugas Warkah]),"")</f>
        <v/>
      </c>
      <c r="G1775" s="21" t="str">
        <f t="array" ref="G1775">IFNA(_xlfn.XLOOKUP(D1775,Table_Tarikan_Warkah[Nomor Tiket],Table_Tarikan_Warkah[Jenis Permohonan]),"")</f>
        <v/>
      </c>
      <c r="H1775" s="26"/>
      <c r="I1775" s="26"/>
      <c r="J1775" s="20" t="str">
        <f t="shared" si="29"/>
        <v/>
      </c>
      <c r="K1775" s="26"/>
      <c r="L1775" s="26"/>
      <c r="M1775" s="20" t="str">
        <f t="shared" si="30"/>
        <v/>
      </c>
      <c r="N1775" s="8" t="str">
        <f t="shared" si="3"/>
        <v/>
      </c>
      <c r="O1775" s="21" t="str">
        <f t="shared" si="22"/>
        <v/>
      </c>
      <c r="P1775" s="24" t="b">
        <v>0</v>
      </c>
      <c r="Q1775" s="20" t="str">
        <f t="shared" si="31"/>
        <v/>
      </c>
      <c r="R1775" s="24" t="b">
        <v>0</v>
      </c>
      <c r="S1775" s="7" t="str">
        <f t="shared" si="6"/>
        <v/>
      </c>
      <c r="T1775" s="7"/>
    </row>
    <row r="1776" ht="22.5" hidden="1" customHeight="1">
      <c r="B1776" s="7">
        <f t="shared" si="7"/>
        <v>1770</v>
      </c>
      <c r="C1776" s="40"/>
      <c r="D1776" s="19" t="str">
        <f t="array" ref="D1776">IFNA(_xlfn.XLOOKUP(C1776,Table_Tarikan_Warkah[Nomor Sertipikat],Table_Tarikan_Warkah[Nomor Tiket]),"")</f>
        <v/>
      </c>
      <c r="E1776" s="20" t="str">
        <f t="array" ref="E1776">IFNA(_xlfn.XLOOKUP(D1776,Table_Tarikan_Warkah[Nomor Tiket],Table_Tarikan_Warkah[Tanggal diserahkan kepada Validator]),"")</f>
        <v/>
      </c>
      <c r="F1776" s="20" t="str">
        <f t="array" ref="F1776">IFNA(_xlfn.XLOOKUP(D1776,Table_Tarikan_Warkah[Nomor Tiket],Table_Tarikan_Warkah[Nama Petugas Warkah]),"")</f>
        <v/>
      </c>
      <c r="G1776" s="21" t="str">
        <f t="array" ref="G1776">IFNA(_xlfn.XLOOKUP(D1776,Table_Tarikan_Warkah[Nomor Tiket],Table_Tarikan_Warkah[Jenis Permohonan]),"")</f>
        <v/>
      </c>
      <c r="H1776" s="26"/>
      <c r="I1776" s="26"/>
      <c r="J1776" s="20" t="str">
        <f t="shared" si="29"/>
        <v/>
      </c>
      <c r="K1776" s="26"/>
      <c r="L1776" s="26"/>
      <c r="M1776" s="20" t="str">
        <f t="shared" si="30"/>
        <v/>
      </c>
      <c r="N1776" s="8" t="str">
        <f t="shared" si="3"/>
        <v/>
      </c>
      <c r="O1776" s="21" t="str">
        <f t="shared" si="22"/>
        <v/>
      </c>
      <c r="P1776" s="24" t="b">
        <v>0</v>
      </c>
      <c r="Q1776" s="20" t="str">
        <f t="shared" si="31"/>
        <v/>
      </c>
      <c r="R1776" s="24" t="b">
        <v>0</v>
      </c>
      <c r="S1776" s="7" t="str">
        <f t="shared" si="6"/>
        <v/>
      </c>
      <c r="T1776" s="7"/>
    </row>
    <row r="1777" ht="22.5" hidden="1" customHeight="1">
      <c r="B1777" s="7">
        <f t="shared" si="7"/>
        <v>1771</v>
      </c>
      <c r="C1777" s="40"/>
      <c r="D1777" s="19" t="str">
        <f t="array" ref="D1777">IFNA(_xlfn.XLOOKUP(C1777,Table_Tarikan_Warkah[Nomor Sertipikat],Table_Tarikan_Warkah[Nomor Tiket]),"")</f>
        <v/>
      </c>
      <c r="E1777" s="20" t="str">
        <f t="array" ref="E1777">IFNA(_xlfn.XLOOKUP(D1777,Table_Tarikan_Warkah[Nomor Tiket],Table_Tarikan_Warkah[Tanggal diserahkan kepada Validator]),"")</f>
        <v/>
      </c>
      <c r="F1777" s="20" t="str">
        <f t="array" ref="F1777">IFNA(_xlfn.XLOOKUP(D1777,Table_Tarikan_Warkah[Nomor Tiket],Table_Tarikan_Warkah[Nama Petugas Warkah]),"")</f>
        <v/>
      </c>
      <c r="G1777" s="21" t="str">
        <f t="array" ref="G1777">IFNA(_xlfn.XLOOKUP(D1777,Table_Tarikan_Warkah[Nomor Tiket],Table_Tarikan_Warkah[Jenis Permohonan]),"")</f>
        <v/>
      </c>
      <c r="H1777" s="26"/>
      <c r="I1777" s="26"/>
      <c r="J1777" s="20" t="str">
        <f t="shared" si="29"/>
        <v/>
      </c>
      <c r="K1777" s="26"/>
      <c r="L1777" s="26"/>
      <c r="M1777" s="20" t="str">
        <f t="shared" si="30"/>
        <v/>
      </c>
      <c r="N1777" s="8" t="str">
        <f t="shared" si="3"/>
        <v/>
      </c>
      <c r="O1777" s="21" t="str">
        <f t="shared" si="22"/>
        <v/>
      </c>
      <c r="P1777" s="24" t="b">
        <v>0</v>
      </c>
      <c r="Q1777" s="20" t="str">
        <f t="shared" si="31"/>
        <v/>
      </c>
      <c r="R1777" s="24" t="b">
        <v>0</v>
      </c>
      <c r="S1777" s="7" t="str">
        <f t="shared" si="6"/>
        <v/>
      </c>
      <c r="T1777" s="7"/>
    </row>
    <row r="1778" ht="22.5" hidden="1" customHeight="1">
      <c r="B1778" s="7">
        <f t="shared" si="7"/>
        <v>1772</v>
      </c>
      <c r="C1778" s="40"/>
      <c r="D1778" s="19" t="str">
        <f t="array" ref="D1778">IFNA(_xlfn.XLOOKUP(C1778,Table_Tarikan_Warkah[Nomor Sertipikat],Table_Tarikan_Warkah[Nomor Tiket]),"")</f>
        <v/>
      </c>
      <c r="E1778" s="20" t="str">
        <f t="array" ref="E1778">IFNA(_xlfn.XLOOKUP(D1778,Table_Tarikan_Warkah[Nomor Tiket],Table_Tarikan_Warkah[Tanggal diserahkan kepada Validator]),"")</f>
        <v/>
      </c>
      <c r="F1778" s="20" t="str">
        <f t="array" ref="F1778">IFNA(_xlfn.XLOOKUP(D1778,Table_Tarikan_Warkah[Nomor Tiket],Table_Tarikan_Warkah[Nama Petugas Warkah]),"")</f>
        <v/>
      </c>
      <c r="G1778" s="21" t="str">
        <f t="array" ref="G1778">IFNA(_xlfn.XLOOKUP(D1778,Table_Tarikan_Warkah[Nomor Tiket],Table_Tarikan_Warkah[Jenis Permohonan]),"")</f>
        <v/>
      </c>
      <c r="H1778" s="26"/>
      <c r="I1778" s="26"/>
      <c r="J1778" s="20" t="str">
        <f t="shared" si="29"/>
        <v/>
      </c>
      <c r="K1778" s="26"/>
      <c r="L1778" s="26"/>
      <c r="M1778" s="20" t="str">
        <f t="shared" si="30"/>
        <v/>
      </c>
      <c r="N1778" s="8" t="str">
        <f t="shared" si="3"/>
        <v/>
      </c>
      <c r="O1778" s="21" t="str">
        <f t="shared" si="22"/>
        <v/>
      </c>
      <c r="P1778" s="24" t="b">
        <v>0</v>
      </c>
      <c r="Q1778" s="20" t="str">
        <f t="shared" si="31"/>
        <v/>
      </c>
      <c r="R1778" s="24" t="b">
        <v>0</v>
      </c>
      <c r="S1778" s="7" t="str">
        <f t="shared" si="6"/>
        <v/>
      </c>
      <c r="T1778" s="7"/>
    </row>
    <row r="1779" ht="22.5" hidden="1" customHeight="1">
      <c r="B1779" s="7">
        <f t="shared" si="7"/>
        <v>1773</v>
      </c>
      <c r="C1779" s="40"/>
      <c r="D1779" s="19" t="str">
        <f t="array" ref="D1779">IFNA(_xlfn.XLOOKUP(C1779,Table_Tarikan_Warkah[Nomor Sertipikat],Table_Tarikan_Warkah[Nomor Tiket]),"")</f>
        <v/>
      </c>
      <c r="E1779" s="20" t="str">
        <f t="array" ref="E1779">IFNA(_xlfn.XLOOKUP(D1779,Table_Tarikan_Warkah[Nomor Tiket],Table_Tarikan_Warkah[Tanggal diserahkan kepada Validator]),"")</f>
        <v/>
      </c>
      <c r="F1779" s="20" t="str">
        <f t="array" ref="F1779">IFNA(_xlfn.XLOOKUP(D1779,Table_Tarikan_Warkah[Nomor Tiket],Table_Tarikan_Warkah[Nama Petugas Warkah]),"")</f>
        <v/>
      </c>
      <c r="G1779" s="21" t="str">
        <f t="array" ref="G1779">IFNA(_xlfn.XLOOKUP(D1779,Table_Tarikan_Warkah[Nomor Tiket],Table_Tarikan_Warkah[Jenis Permohonan]),"")</f>
        <v/>
      </c>
      <c r="H1779" s="26"/>
      <c r="I1779" s="26"/>
      <c r="J1779" s="20" t="str">
        <f t="shared" si="29"/>
        <v/>
      </c>
      <c r="K1779" s="26"/>
      <c r="L1779" s="26"/>
      <c r="M1779" s="20" t="str">
        <f t="shared" si="30"/>
        <v/>
      </c>
      <c r="N1779" s="8" t="str">
        <f t="shared" si="3"/>
        <v/>
      </c>
      <c r="O1779" s="21" t="str">
        <f t="shared" si="22"/>
        <v/>
      </c>
      <c r="P1779" s="24" t="b">
        <v>0</v>
      </c>
      <c r="Q1779" s="20" t="str">
        <f t="shared" si="31"/>
        <v/>
      </c>
      <c r="R1779" s="24" t="b">
        <v>0</v>
      </c>
      <c r="S1779" s="7" t="str">
        <f t="shared" si="6"/>
        <v/>
      </c>
      <c r="T1779" s="7"/>
    </row>
    <row r="1780" ht="22.5" hidden="1" customHeight="1">
      <c r="B1780" s="7">
        <f t="shared" si="7"/>
        <v>1774</v>
      </c>
      <c r="C1780" s="40"/>
      <c r="D1780" s="19" t="str">
        <f t="array" ref="D1780">IFNA(_xlfn.XLOOKUP(C1780,Table_Tarikan_Warkah[Nomor Sertipikat],Table_Tarikan_Warkah[Nomor Tiket]),"")</f>
        <v/>
      </c>
      <c r="E1780" s="20" t="str">
        <f t="array" ref="E1780">IFNA(_xlfn.XLOOKUP(D1780,Table_Tarikan_Warkah[Nomor Tiket],Table_Tarikan_Warkah[Tanggal diserahkan kepada Validator]),"")</f>
        <v/>
      </c>
      <c r="F1780" s="20" t="str">
        <f t="array" ref="F1780">IFNA(_xlfn.XLOOKUP(D1780,Table_Tarikan_Warkah[Nomor Tiket],Table_Tarikan_Warkah[Nama Petugas Warkah]),"")</f>
        <v/>
      </c>
      <c r="G1780" s="21" t="str">
        <f t="array" ref="G1780">IFNA(_xlfn.XLOOKUP(D1780,Table_Tarikan_Warkah[Nomor Tiket],Table_Tarikan_Warkah[Jenis Permohonan]),"")</f>
        <v/>
      </c>
      <c r="H1780" s="26"/>
      <c r="I1780" s="26"/>
      <c r="J1780" s="20" t="str">
        <f t="shared" si="29"/>
        <v/>
      </c>
      <c r="K1780" s="26"/>
      <c r="L1780" s="26"/>
      <c r="M1780" s="20" t="str">
        <f t="shared" si="30"/>
        <v/>
      </c>
      <c r="N1780" s="8" t="str">
        <f t="shared" si="3"/>
        <v/>
      </c>
      <c r="O1780" s="21" t="str">
        <f t="shared" si="22"/>
        <v/>
      </c>
      <c r="P1780" s="24" t="b">
        <v>0</v>
      </c>
      <c r="Q1780" s="20" t="str">
        <f t="shared" si="31"/>
        <v/>
      </c>
      <c r="R1780" s="24" t="b">
        <v>0</v>
      </c>
      <c r="S1780" s="7" t="str">
        <f t="shared" si="6"/>
        <v/>
      </c>
      <c r="T1780" s="7"/>
    </row>
    <row r="1781" ht="22.5" hidden="1" customHeight="1">
      <c r="B1781" s="7">
        <f t="shared" si="7"/>
        <v>1775</v>
      </c>
      <c r="C1781" s="40"/>
      <c r="D1781" s="19" t="str">
        <f t="array" ref="D1781">IFNA(_xlfn.XLOOKUP(C1781,Table_Tarikan_Warkah[Nomor Sertipikat],Table_Tarikan_Warkah[Nomor Tiket]),"")</f>
        <v/>
      </c>
      <c r="E1781" s="20" t="str">
        <f t="array" ref="E1781">IFNA(_xlfn.XLOOKUP(D1781,Table_Tarikan_Warkah[Nomor Tiket],Table_Tarikan_Warkah[Tanggal diserahkan kepada Validator]),"")</f>
        <v/>
      </c>
      <c r="F1781" s="20" t="str">
        <f t="array" ref="F1781">IFNA(_xlfn.XLOOKUP(D1781,Table_Tarikan_Warkah[Nomor Tiket],Table_Tarikan_Warkah[Nama Petugas Warkah]),"")</f>
        <v/>
      </c>
      <c r="G1781" s="21" t="str">
        <f t="array" ref="G1781">IFNA(_xlfn.XLOOKUP(D1781,Table_Tarikan_Warkah[Nomor Tiket],Table_Tarikan_Warkah[Jenis Permohonan]),"")</f>
        <v/>
      </c>
      <c r="H1781" s="26"/>
      <c r="I1781" s="26"/>
      <c r="J1781" s="20" t="str">
        <f t="shared" si="29"/>
        <v/>
      </c>
      <c r="K1781" s="26"/>
      <c r="L1781" s="26"/>
      <c r="M1781" s="20" t="str">
        <f t="shared" si="30"/>
        <v/>
      </c>
      <c r="N1781" s="8" t="str">
        <f t="shared" si="3"/>
        <v/>
      </c>
      <c r="O1781" s="21" t="str">
        <f t="shared" si="22"/>
        <v/>
      </c>
      <c r="P1781" s="24" t="b">
        <v>0</v>
      </c>
      <c r="Q1781" s="20" t="str">
        <f t="shared" si="31"/>
        <v/>
      </c>
      <c r="R1781" s="24" t="b">
        <v>0</v>
      </c>
      <c r="S1781" s="7" t="str">
        <f t="shared" si="6"/>
        <v/>
      </c>
      <c r="T1781" s="7"/>
    </row>
    <row r="1782" ht="22.5" hidden="1" customHeight="1">
      <c r="B1782" s="7">
        <f t="shared" si="7"/>
        <v>1776</v>
      </c>
      <c r="C1782" s="40"/>
      <c r="D1782" s="19" t="str">
        <f t="array" ref="D1782">IFNA(_xlfn.XLOOKUP(C1782,Table_Tarikan_Warkah[Nomor Sertipikat],Table_Tarikan_Warkah[Nomor Tiket]),"")</f>
        <v/>
      </c>
      <c r="E1782" s="20" t="str">
        <f t="array" ref="E1782">IFNA(_xlfn.XLOOKUP(D1782,Table_Tarikan_Warkah[Nomor Tiket],Table_Tarikan_Warkah[Tanggal diserahkan kepada Validator]),"")</f>
        <v/>
      </c>
      <c r="F1782" s="20" t="str">
        <f t="array" ref="F1782">IFNA(_xlfn.XLOOKUP(D1782,Table_Tarikan_Warkah[Nomor Tiket],Table_Tarikan_Warkah[Nama Petugas Warkah]),"")</f>
        <v/>
      </c>
      <c r="G1782" s="21" t="str">
        <f t="array" ref="G1782">IFNA(_xlfn.XLOOKUP(D1782,Table_Tarikan_Warkah[Nomor Tiket],Table_Tarikan_Warkah[Jenis Permohonan]),"")</f>
        <v/>
      </c>
      <c r="H1782" s="26"/>
      <c r="I1782" s="26"/>
      <c r="J1782" s="20" t="str">
        <f t="shared" si="29"/>
        <v/>
      </c>
      <c r="K1782" s="26"/>
      <c r="L1782" s="26"/>
      <c r="M1782" s="20" t="str">
        <f t="shared" si="30"/>
        <v/>
      </c>
      <c r="N1782" s="8" t="str">
        <f t="shared" si="3"/>
        <v/>
      </c>
      <c r="O1782" s="21" t="str">
        <f t="shared" si="22"/>
        <v/>
      </c>
      <c r="P1782" s="24" t="b">
        <v>0</v>
      </c>
      <c r="Q1782" s="20" t="str">
        <f t="shared" si="31"/>
        <v/>
      </c>
      <c r="R1782" s="24" t="b">
        <v>0</v>
      </c>
      <c r="S1782" s="7" t="str">
        <f t="shared" si="6"/>
        <v/>
      </c>
      <c r="T1782" s="7"/>
    </row>
    <row r="1783" ht="22.5" hidden="1" customHeight="1">
      <c r="B1783" s="7">
        <f t="shared" si="7"/>
        <v>1777</v>
      </c>
      <c r="C1783" s="40"/>
      <c r="D1783" s="19" t="str">
        <f t="array" ref="D1783">IFNA(_xlfn.XLOOKUP(C1783,Table_Tarikan_Warkah[Nomor Sertipikat],Table_Tarikan_Warkah[Nomor Tiket]),"")</f>
        <v/>
      </c>
      <c r="E1783" s="20" t="str">
        <f t="array" ref="E1783">IFNA(_xlfn.XLOOKUP(D1783,Table_Tarikan_Warkah[Nomor Tiket],Table_Tarikan_Warkah[Tanggal diserahkan kepada Validator]),"")</f>
        <v/>
      </c>
      <c r="F1783" s="20" t="str">
        <f t="array" ref="F1783">IFNA(_xlfn.XLOOKUP(D1783,Table_Tarikan_Warkah[Nomor Tiket],Table_Tarikan_Warkah[Nama Petugas Warkah]),"")</f>
        <v/>
      </c>
      <c r="G1783" s="21" t="str">
        <f t="array" ref="G1783">IFNA(_xlfn.XLOOKUP(D1783,Table_Tarikan_Warkah[Nomor Tiket],Table_Tarikan_Warkah[Jenis Permohonan]),"")</f>
        <v/>
      </c>
      <c r="H1783" s="26"/>
      <c r="I1783" s="26"/>
      <c r="J1783" s="20" t="str">
        <f t="shared" si="29"/>
        <v/>
      </c>
      <c r="K1783" s="26"/>
      <c r="L1783" s="26"/>
      <c r="M1783" s="20" t="str">
        <f t="shared" si="30"/>
        <v/>
      </c>
      <c r="N1783" s="8" t="str">
        <f t="shared" si="3"/>
        <v/>
      </c>
      <c r="O1783" s="21" t="str">
        <f t="shared" si="22"/>
        <v/>
      </c>
      <c r="P1783" s="24" t="b">
        <v>0</v>
      </c>
      <c r="Q1783" s="20" t="str">
        <f t="shared" si="31"/>
        <v/>
      </c>
      <c r="R1783" s="24" t="b">
        <v>0</v>
      </c>
      <c r="S1783" s="7" t="str">
        <f t="shared" si="6"/>
        <v/>
      </c>
      <c r="T1783" s="7"/>
    </row>
    <row r="1784" ht="22.5" hidden="1" customHeight="1">
      <c r="B1784" s="7">
        <f t="shared" si="7"/>
        <v>1778</v>
      </c>
      <c r="C1784" s="40"/>
      <c r="D1784" s="19" t="str">
        <f t="array" ref="D1784">IFNA(_xlfn.XLOOKUP(C1784,Table_Tarikan_Warkah[Nomor Sertipikat],Table_Tarikan_Warkah[Nomor Tiket]),"")</f>
        <v/>
      </c>
      <c r="E1784" s="20" t="str">
        <f t="array" ref="E1784">IFNA(_xlfn.XLOOKUP(D1784,Table_Tarikan_Warkah[Nomor Tiket],Table_Tarikan_Warkah[Tanggal diserahkan kepada Validator]),"")</f>
        <v/>
      </c>
      <c r="F1784" s="20" t="str">
        <f t="array" ref="F1784">IFNA(_xlfn.XLOOKUP(D1784,Table_Tarikan_Warkah[Nomor Tiket],Table_Tarikan_Warkah[Nama Petugas Warkah]),"")</f>
        <v/>
      </c>
      <c r="G1784" s="21" t="str">
        <f t="array" ref="G1784">IFNA(_xlfn.XLOOKUP(D1784,Table_Tarikan_Warkah[Nomor Tiket],Table_Tarikan_Warkah[Jenis Permohonan]),"")</f>
        <v/>
      </c>
      <c r="H1784" s="26"/>
      <c r="I1784" s="26"/>
      <c r="J1784" s="20" t="str">
        <f t="shared" si="29"/>
        <v/>
      </c>
      <c r="K1784" s="26"/>
      <c r="L1784" s="26"/>
      <c r="M1784" s="20" t="str">
        <f t="shared" si="30"/>
        <v/>
      </c>
      <c r="N1784" s="8" t="str">
        <f t="shared" si="3"/>
        <v/>
      </c>
      <c r="O1784" s="21" t="str">
        <f t="shared" si="22"/>
        <v/>
      </c>
      <c r="P1784" s="24" t="b">
        <v>0</v>
      </c>
      <c r="Q1784" s="20" t="str">
        <f t="shared" si="31"/>
        <v/>
      </c>
      <c r="R1784" s="24" t="b">
        <v>0</v>
      </c>
      <c r="S1784" s="7" t="str">
        <f t="shared" si="6"/>
        <v/>
      </c>
      <c r="T1784" s="7"/>
    </row>
    <row r="1785" ht="22.5" hidden="1" customHeight="1">
      <c r="B1785" s="7">
        <f t="shared" si="7"/>
        <v>1779</v>
      </c>
      <c r="C1785" s="40"/>
      <c r="D1785" s="19" t="str">
        <f t="array" ref="D1785">IFNA(_xlfn.XLOOKUP(C1785,Table_Tarikan_Warkah[Nomor Sertipikat],Table_Tarikan_Warkah[Nomor Tiket]),"")</f>
        <v/>
      </c>
      <c r="E1785" s="20" t="str">
        <f t="array" ref="E1785">IFNA(_xlfn.XLOOKUP(D1785,Table_Tarikan_Warkah[Nomor Tiket],Table_Tarikan_Warkah[Tanggal diserahkan kepada Validator]),"")</f>
        <v/>
      </c>
      <c r="F1785" s="20" t="str">
        <f t="array" ref="F1785">IFNA(_xlfn.XLOOKUP(D1785,Table_Tarikan_Warkah[Nomor Tiket],Table_Tarikan_Warkah[Nama Petugas Warkah]),"")</f>
        <v/>
      </c>
      <c r="G1785" s="21" t="str">
        <f t="array" ref="G1785">IFNA(_xlfn.XLOOKUP(D1785,Table_Tarikan_Warkah[Nomor Tiket],Table_Tarikan_Warkah[Jenis Permohonan]),"")</f>
        <v/>
      </c>
      <c r="H1785" s="26"/>
      <c r="I1785" s="26"/>
      <c r="J1785" s="20" t="str">
        <f t="shared" si="29"/>
        <v/>
      </c>
      <c r="K1785" s="26"/>
      <c r="L1785" s="26"/>
      <c r="M1785" s="20" t="str">
        <f t="shared" si="30"/>
        <v/>
      </c>
      <c r="N1785" s="8" t="str">
        <f t="shared" si="3"/>
        <v/>
      </c>
      <c r="O1785" s="21" t="str">
        <f t="shared" si="22"/>
        <v/>
      </c>
      <c r="P1785" s="24" t="b">
        <v>0</v>
      </c>
      <c r="Q1785" s="20" t="str">
        <f t="shared" si="31"/>
        <v/>
      </c>
      <c r="R1785" s="24" t="b">
        <v>0</v>
      </c>
      <c r="S1785" s="7" t="str">
        <f t="shared" si="6"/>
        <v/>
      </c>
      <c r="T1785" s="7"/>
    </row>
    <row r="1786" ht="22.5" hidden="1" customHeight="1">
      <c r="B1786" s="7">
        <f t="shared" si="7"/>
        <v>1780</v>
      </c>
      <c r="C1786" s="40"/>
      <c r="D1786" s="19" t="str">
        <f t="array" ref="D1786">IFNA(_xlfn.XLOOKUP(C1786,Table_Tarikan_Warkah[Nomor Sertipikat],Table_Tarikan_Warkah[Nomor Tiket]),"")</f>
        <v/>
      </c>
      <c r="E1786" s="20" t="str">
        <f t="array" ref="E1786">IFNA(_xlfn.XLOOKUP(D1786,Table_Tarikan_Warkah[Nomor Tiket],Table_Tarikan_Warkah[Tanggal diserahkan kepada Validator]),"")</f>
        <v/>
      </c>
      <c r="F1786" s="20" t="str">
        <f t="array" ref="F1786">IFNA(_xlfn.XLOOKUP(D1786,Table_Tarikan_Warkah[Nomor Tiket],Table_Tarikan_Warkah[Nama Petugas Warkah]),"")</f>
        <v/>
      </c>
      <c r="G1786" s="21" t="str">
        <f t="array" ref="G1786">IFNA(_xlfn.XLOOKUP(D1786,Table_Tarikan_Warkah[Nomor Tiket],Table_Tarikan_Warkah[Jenis Permohonan]),"")</f>
        <v/>
      </c>
      <c r="H1786" s="26"/>
      <c r="I1786" s="26"/>
      <c r="J1786" s="20" t="str">
        <f t="shared" si="29"/>
        <v/>
      </c>
      <c r="K1786" s="26"/>
      <c r="L1786" s="26"/>
      <c r="M1786" s="20" t="str">
        <f t="shared" si="30"/>
        <v/>
      </c>
      <c r="N1786" s="8" t="str">
        <f t="shared" si="3"/>
        <v/>
      </c>
      <c r="O1786" s="21" t="str">
        <f t="shared" si="22"/>
        <v/>
      </c>
      <c r="P1786" s="24" t="b">
        <v>0</v>
      </c>
      <c r="Q1786" s="20" t="str">
        <f t="shared" si="31"/>
        <v/>
      </c>
      <c r="R1786" s="24" t="b">
        <v>0</v>
      </c>
      <c r="S1786" s="7" t="str">
        <f t="shared" si="6"/>
        <v/>
      </c>
      <c r="T1786" s="7"/>
    </row>
    <row r="1787" ht="22.5" hidden="1" customHeight="1">
      <c r="B1787" s="7">
        <f t="shared" si="7"/>
        <v>1781</v>
      </c>
      <c r="C1787" s="40"/>
      <c r="D1787" s="19" t="str">
        <f t="array" ref="D1787">IFNA(_xlfn.XLOOKUP(C1787,Table_Tarikan_Warkah[Nomor Sertipikat],Table_Tarikan_Warkah[Nomor Tiket]),"")</f>
        <v/>
      </c>
      <c r="E1787" s="20" t="str">
        <f t="array" ref="E1787">IFNA(_xlfn.XLOOKUP(D1787,Table_Tarikan_Warkah[Nomor Tiket],Table_Tarikan_Warkah[Tanggal diserahkan kepada Validator]),"")</f>
        <v/>
      </c>
      <c r="F1787" s="20" t="str">
        <f t="array" ref="F1787">IFNA(_xlfn.XLOOKUP(D1787,Table_Tarikan_Warkah[Nomor Tiket],Table_Tarikan_Warkah[Nama Petugas Warkah]),"")</f>
        <v/>
      </c>
      <c r="G1787" s="21" t="str">
        <f t="array" ref="G1787">IFNA(_xlfn.XLOOKUP(D1787,Table_Tarikan_Warkah[Nomor Tiket],Table_Tarikan_Warkah[Jenis Permohonan]),"")</f>
        <v/>
      </c>
      <c r="H1787" s="26"/>
      <c r="I1787" s="26"/>
      <c r="J1787" s="20" t="str">
        <f t="shared" si="29"/>
        <v/>
      </c>
      <c r="K1787" s="26"/>
      <c r="L1787" s="26"/>
      <c r="M1787" s="20" t="str">
        <f t="shared" si="30"/>
        <v/>
      </c>
      <c r="N1787" s="8" t="str">
        <f t="shared" si="3"/>
        <v/>
      </c>
      <c r="O1787" s="21" t="str">
        <f t="shared" si="22"/>
        <v/>
      </c>
      <c r="P1787" s="24" t="b">
        <v>0</v>
      </c>
      <c r="Q1787" s="20" t="str">
        <f t="shared" si="31"/>
        <v/>
      </c>
      <c r="R1787" s="24" t="b">
        <v>0</v>
      </c>
      <c r="S1787" s="7" t="str">
        <f t="shared" si="6"/>
        <v/>
      </c>
      <c r="T1787" s="7"/>
    </row>
    <row r="1788" ht="22.5" hidden="1" customHeight="1">
      <c r="B1788" s="7">
        <f t="shared" si="7"/>
        <v>1782</v>
      </c>
      <c r="C1788" s="40"/>
      <c r="D1788" s="19" t="str">
        <f t="array" ref="D1788">IFNA(_xlfn.XLOOKUP(C1788,Table_Tarikan_Warkah[Nomor Sertipikat],Table_Tarikan_Warkah[Nomor Tiket]),"")</f>
        <v/>
      </c>
      <c r="E1788" s="20" t="str">
        <f t="array" ref="E1788">IFNA(_xlfn.XLOOKUP(D1788,Table_Tarikan_Warkah[Nomor Tiket],Table_Tarikan_Warkah[Tanggal diserahkan kepada Validator]),"")</f>
        <v/>
      </c>
      <c r="F1788" s="20" t="str">
        <f t="array" ref="F1788">IFNA(_xlfn.XLOOKUP(D1788,Table_Tarikan_Warkah[Nomor Tiket],Table_Tarikan_Warkah[Nama Petugas Warkah]),"")</f>
        <v/>
      </c>
      <c r="G1788" s="21" t="str">
        <f t="array" ref="G1788">IFNA(_xlfn.XLOOKUP(D1788,Table_Tarikan_Warkah[Nomor Tiket],Table_Tarikan_Warkah[Jenis Permohonan]),"")</f>
        <v/>
      </c>
      <c r="H1788" s="26"/>
      <c r="I1788" s="26"/>
      <c r="J1788" s="20" t="str">
        <f t="shared" si="29"/>
        <v/>
      </c>
      <c r="K1788" s="26"/>
      <c r="L1788" s="26"/>
      <c r="M1788" s="20" t="str">
        <f t="shared" si="30"/>
        <v/>
      </c>
      <c r="N1788" s="8" t="str">
        <f t="shared" si="3"/>
        <v/>
      </c>
      <c r="O1788" s="21" t="str">
        <f t="shared" si="22"/>
        <v/>
      </c>
      <c r="P1788" s="24" t="b">
        <v>0</v>
      </c>
      <c r="Q1788" s="20" t="str">
        <f t="shared" si="31"/>
        <v/>
      </c>
      <c r="R1788" s="24" t="b">
        <v>0</v>
      </c>
      <c r="S1788" s="7" t="str">
        <f t="shared" si="6"/>
        <v/>
      </c>
      <c r="T1788" s="7"/>
    </row>
    <row r="1789" ht="22.5" hidden="1" customHeight="1">
      <c r="B1789" s="7">
        <f t="shared" si="7"/>
        <v>1783</v>
      </c>
      <c r="C1789" s="40"/>
      <c r="D1789" s="19" t="str">
        <f t="array" ref="D1789">IFNA(_xlfn.XLOOKUP(C1789,Table_Tarikan_Warkah[Nomor Sertipikat],Table_Tarikan_Warkah[Nomor Tiket]),"")</f>
        <v/>
      </c>
      <c r="E1789" s="20" t="str">
        <f t="array" ref="E1789">IFNA(_xlfn.XLOOKUP(D1789,Table_Tarikan_Warkah[Nomor Tiket],Table_Tarikan_Warkah[Tanggal diserahkan kepada Validator]),"")</f>
        <v/>
      </c>
      <c r="F1789" s="20" t="str">
        <f t="array" ref="F1789">IFNA(_xlfn.XLOOKUP(D1789,Table_Tarikan_Warkah[Nomor Tiket],Table_Tarikan_Warkah[Nama Petugas Warkah]),"")</f>
        <v/>
      </c>
      <c r="G1789" s="21" t="str">
        <f t="array" ref="G1789">IFNA(_xlfn.XLOOKUP(D1789,Table_Tarikan_Warkah[Nomor Tiket],Table_Tarikan_Warkah[Jenis Permohonan]),"")</f>
        <v/>
      </c>
      <c r="H1789" s="26"/>
      <c r="I1789" s="26"/>
      <c r="J1789" s="20" t="str">
        <f t="shared" si="29"/>
        <v/>
      </c>
      <c r="K1789" s="26"/>
      <c r="L1789" s="26"/>
      <c r="M1789" s="20" t="str">
        <f t="shared" si="30"/>
        <v/>
      </c>
      <c r="N1789" s="8" t="str">
        <f t="shared" si="3"/>
        <v/>
      </c>
      <c r="O1789" s="21" t="str">
        <f t="shared" si="22"/>
        <v/>
      </c>
      <c r="P1789" s="24" t="b">
        <v>0</v>
      </c>
      <c r="Q1789" s="20" t="str">
        <f t="shared" si="31"/>
        <v/>
      </c>
      <c r="R1789" s="24" t="b">
        <v>0</v>
      </c>
      <c r="S1789" s="7" t="str">
        <f t="shared" si="6"/>
        <v/>
      </c>
      <c r="T1789" s="7"/>
    </row>
    <row r="1790" ht="22.5" hidden="1" customHeight="1">
      <c r="B1790" s="7">
        <f t="shared" si="7"/>
        <v>1784</v>
      </c>
      <c r="C1790" s="40"/>
      <c r="D1790" s="19" t="str">
        <f t="array" ref="D1790">IFNA(_xlfn.XLOOKUP(C1790,Table_Tarikan_Warkah[Nomor Sertipikat],Table_Tarikan_Warkah[Nomor Tiket]),"")</f>
        <v/>
      </c>
      <c r="E1790" s="20" t="str">
        <f t="array" ref="E1790">IFNA(_xlfn.XLOOKUP(D1790,Table_Tarikan_Warkah[Nomor Tiket],Table_Tarikan_Warkah[Tanggal diserahkan kepada Validator]),"")</f>
        <v/>
      </c>
      <c r="F1790" s="20" t="str">
        <f t="array" ref="F1790">IFNA(_xlfn.XLOOKUP(D1790,Table_Tarikan_Warkah[Nomor Tiket],Table_Tarikan_Warkah[Nama Petugas Warkah]),"")</f>
        <v/>
      </c>
      <c r="G1790" s="21" t="str">
        <f t="array" ref="G1790">IFNA(_xlfn.XLOOKUP(D1790,Table_Tarikan_Warkah[Nomor Tiket],Table_Tarikan_Warkah[Jenis Permohonan]),"")</f>
        <v/>
      </c>
      <c r="H1790" s="26"/>
      <c r="I1790" s="26"/>
      <c r="J1790" s="20" t="str">
        <f t="shared" si="29"/>
        <v/>
      </c>
      <c r="K1790" s="26"/>
      <c r="L1790" s="26"/>
      <c r="M1790" s="20" t="str">
        <f t="shared" si="30"/>
        <v/>
      </c>
      <c r="N1790" s="8" t="str">
        <f t="shared" si="3"/>
        <v/>
      </c>
      <c r="O1790" s="21" t="str">
        <f t="shared" si="22"/>
        <v/>
      </c>
      <c r="P1790" s="24" t="b">
        <v>0</v>
      </c>
      <c r="Q1790" s="20" t="str">
        <f t="shared" si="31"/>
        <v/>
      </c>
      <c r="R1790" s="24" t="b">
        <v>0</v>
      </c>
      <c r="S1790" s="7" t="str">
        <f t="shared" si="6"/>
        <v/>
      </c>
      <c r="T1790" s="7"/>
    </row>
    <row r="1791" ht="22.5" hidden="1" customHeight="1">
      <c r="B1791" s="7">
        <f t="shared" si="7"/>
        <v>1785</v>
      </c>
      <c r="C1791" s="40"/>
      <c r="D1791" s="19" t="str">
        <f t="array" ref="D1791">IFNA(_xlfn.XLOOKUP(C1791,Table_Tarikan_Warkah[Nomor Sertipikat],Table_Tarikan_Warkah[Nomor Tiket]),"")</f>
        <v/>
      </c>
      <c r="E1791" s="20" t="str">
        <f t="array" ref="E1791">IFNA(_xlfn.XLOOKUP(D1791,Table_Tarikan_Warkah[Nomor Tiket],Table_Tarikan_Warkah[Tanggal diserahkan kepada Validator]),"")</f>
        <v/>
      </c>
      <c r="F1791" s="20" t="str">
        <f t="array" ref="F1791">IFNA(_xlfn.XLOOKUP(D1791,Table_Tarikan_Warkah[Nomor Tiket],Table_Tarikan_Warkah[Nama Petugas Warkah]),"")</f>
        <v/>
      </c>
      <c r="G1791" s="21" t="str">
        <f t="array" ref="G1791">IFNA(_xlfn.XLOOKUP(D1791,Table_Tarikan_Warkah[Nomor Tiket],Table_Tarikan_Warkah[Jenis Permohonan]),"")</f>
        <v/>
      </c>
      <c r="H1791" s="26"/>
      <c r="I1791" s="26"/>
      <c r="J1791" s="20" t="str">
        <f t="shared" si="29"/>
        <v/>
      </c>
      <c r="K1791" s="26"/>
      <c r="L1791" s="26"/>
      <c r="M1791" s="20" t="str">
        <f t="shared" si="30"/>
        <v/>
      </c>
      <c r="N1791" s="8" t="str">
        <f t="shared" si="3"/>
        <v/>
      </c>
      <c r="O1791" s="21" t="str">
        <f t="shared" si="22"/>
        <v/>
      </c>
      <c r="P1791" s="24" t="b">
        <v>0</v>
      </c>
      <c r="Q1791" s="20" t="str">
        <f t="shared" si="31"/>
        <v/>
      </c>
      <c r="R1791" s="24" t="b">
        <v>0</v>
      </c>
      <c r="S1791" s="7" t="str">
        <f t="shared" si="6"/>
        <v/>
      </c>
      <c r="T1791" s="7"/>
    </row>
    <row r="1792" ht="22.5" hidden="1" customHeight="1">
      <c r="B1792" s="7">
        <f t="shared" si="7"/>
        <v>1786</v>
      </c>
      <c r="C1792" s="40"/>
      <c r="D1792" s="19" t="str">
        <f t="array" ref="D1792">IFNA(_xlfn.XLOOKUP(C1792,Table_Tarikan_Warkah[Nomor Sertipikat],Table_Tarikan_Warkah[Nomor Tiket]),"")</f>
        <v/>
      </c>
      <c r="E1792" s="20" t="str">
        <f t="array" ref="E1792">IFNA(_xlfn.XLOOKUP(D1792,Table_Tarikan_Warkah[Nomor Tiket],Table_Tarikan_Warkah[Tanggal diserahkan kepada Validator]),"")</f>
        <v/>
      </c>
      <c r="F1792" s="20" t="str">
        <f t="array" ref="F1792">IFNA(_xlfn.XLOOKUP(D1792,Table_Tarikan_Warkah[Nomor Tiket],Table_Tarikan_Warkah[Nama Petugas Warkah]),"")</f>
        <v/>
      </c>
      <c r="G1792" s="21" t="str">
        <f t="array" ref="G1792">IFNA(_xlfn.XLOOKUP(D1792,Table_Tarikan_Warkah[Nomor Tiket],Table_Tarikan_Warkah[Jenis Permohonan]),"")</f>
        <v/>
      </c>
      <c r="H1792" s="26"/>
      <c r="I1792" s="26"/>
      <c r="J1792" s="20" t="str">
        <f t="shared" si="29"/>
        <v/>
      </c>
      <c r="K1792" s="26"/>
      <c r="L1792" s="26"/>
      <c r="M1792" s="20" t="str">
        <f t="shared" si="30"/>
        <v/>
      </c>
      <c r="N1792" s="8" t="str">
        <f t="shared" si="3"/>
        <v/>
      </c>
      <c r="O1792" s="21" t="str">
        <f t="shared" si="22"/>
        <v/>
      </c>
      <c r="P1792" s="24" t="b">
        <v>0</v>
      </c>
      <c r="Q1792" s="20" t="str">
        <f t="shared" si="31"/>
        <v/>
      </c>
      <c r="R1792" s="24" t="b">
        <v>0</v>
      </c>
      <c r="S1792" s="7" t="str">
        <f t="shared" si="6"/>
        <v/>
      </c>
      <c r="T1792" s="7"/>
    </row>
    <row r="1793" ht="22.5" hidden="1" customHeight="1">
      <c r="B1793" s="7">
        <f t="shared" si="7"/>
        <v>1787</v>
      </c>
      <c r="C1793" s="40"/>
      <c r="D1793" s="19" t="str">
        <f t="array" ref="D1793">IFNA(_xlfn.XLOOKUP(C1793,Table_Tarikan_Warkah[Nomor Sertipikat],Table_Tarikan_Warkah[Nomor Tiket]),"")</f>
        <v/>
      </c>
      <c r="E1793" s="20" t="str">
        <f t="array" ref="E1793">IFNA(_xlfn.XLOOKUP(D1793,Table_Tarikan_Warkah[Nomor Tiket],Table_Tarikan_Warkah[Tanggal diserahkan kepada Validator]),"")</f>
        <v/>
      </c>
      <c r="F1793" s="20" t="str">
        <f t="array" ref="F1793">IFNA(_xlfn.XLOOKUP(D1793,Table_Tarikan_Warkah[Nomor Tiket],Table_Tarikan_Warkah[Nama Petugas Warkah]),"")</f>
        <v/>
      </c>
      <c r="G1793" s="21" t="str">
        <f t="array" ref="G1793">IFNA(_xlfn.XLOOKUP(D1793,Table_Tarikan_Warkah[Nomor Tiket],Table_Tarikan_Warkah[Jenis Permohonan]),"")</f>
        <v/>
      </c>
      <c r="H1793" s="26"/>
      <c r="I1793" s="26"/>
      <c r="J1793" s="20" t="str">
        <f t="shared" si="29"/>
        <v/>
      </c>
      <c r="K1793" s="26"/>
      <c r="L1793" s="26"/>
      <c r="M1793" s="20" t="str">
        <f t="shared" si="30"/>
        <v/>
      </c>
      <c r="N1793" s="8" t="str">
        <f t="shared" si="3"/>
        <v/>
      </c>
      <c r="O1793" s="21" t="str">
        <f t="shared" si="22"/>
        <v/>
      </c>
      <c r="P1793" s="24" t="b">
        <v>0</v>
      </c>
      <c r="Q1793" s="20" t="str">
        <f t="shared" si="31"/>
        <v/>
      </c>
      <c r="R1793" s="24" t="b">
        <v>0</v>
      </c>
      <c r="S1793" s="7" t="str">
        <f t="shared" si="6"/>
        <v/>
      </c>
      <c r="T1793" s="7"/>
    </row>
    <row r="1794" ht="22.5" hidden="1" customHeight="1">
      <c r="B1794" s="7">
        <f t="shared" si="7"/>
        <v>1788</v>
      </c>
      <c r="C1794" s="40"/>
      <c r="D1794" s="19" t="str">
        <f t="array" ref="D1794">IFNA(_xlfn.XLOOKUP(C1794,Table_Tarikan_Warkah[Nomor Sertipikat],Table_Tarikan_Warkah[Nomor Tiket]),"")</f>
        <v/>
      </c>
      <c r="E1794" s="20" t="str">
        <f t="array" ref="E1794">IFNA(_xlfn.XLOOKUP(D1794,Table_Tarikan_Warkah[Nomor Tiket],Table_Tarikan_Warkah[Tanggal diserahkan kepada Validator]),"")</f>
        <v/>
      </c>
      <c r="F1794" s="20" t="str">
        <f t="array" ref="F1794">IFNA(_xlfn.XLOOKUP(D1794,Table_Tarikan_Warkah[Nomor Tiket],Table_Tarikan_Warkah[Nama Petugas Warkah]),"")</f>
        <v/>
      </c>
      <c r="G1794" s="21" t="str">
        <f t="array" ref="G1794">IFNA(_xlfn.XLOOKUP(D1794,Table_Tarikan_Warkah[Nomor Tiket],Table_Tarikan_Warkah[Jenis Permohonan]),"")</f>
        <v/>
      </c>
      <c r="H1794" s="26"/>
      <c r="I1794" s="26"/>
      <c r="J1794" s="20" t="str">
        <f t="shared" si="29"/>
        <v/>
      </c>
      <c r="K1794" s="26"/>
      <c r="L1794" s="26"/>
      <c r="M1794" s="20" t="str">
        <f t="shared" si="30"/>
        <v/>
      </c>
      <c r="N1794" s="8" t="str">
        <f t="shared" si="3"/>
        <v/>
      </c>
      <c r="O1794" s="21" t="str">
        <f t="shared" si="22"/>
        <v/>
      </c>
      <c r="P1794" s="24" t="b">
        <v>0</v>
      </c>
      <c r="Q1794" s="20" t="str">
        <f t="shared" si="31"/>
        <v/>
      </c>
      <c r="R1794" s="24" t="b">
        <v>0</v>
      </c>
      <c r="S1794" s="7" t="str">
        <f t="shared" si="6"/>
        <v/>
      </c>
      <c r="T1794" s="7"/>
    </row>
    <row r="1795" ht="22.5" hidden="1" customHeight="1">
      <c r="B1795" s="7">
        <f t="shared" si="7"/>
        <v>1789</v>
      </c>
      <c r="C1795" s="40"/>
      <c r="D1795" s="19" t="str">
        <f t="array" ref="D1795">IFNA(_xlfn.XLOOKUP(C1795,Table_Tarikan_Warkah[Nomor Sertipikat],Table_Tarikan_Warkah[Nomor Tiket]),"")</f>
        <v/>
      </c>
      <c r="E1795" s="20" t="str">
        <f t="array" ref="E1795">IFNA(_xlfn.XLOOKUP(D1795,Table_Tarikan_Warkah[Nomor Tiket],Table_Tarikan_Warkah[Tanggal diserahkan kepada Validator]),"")</f>
        <v/>
      </c>
      <c r="F1795" s="20" t="str">
        <f t="array" ref="F1795">IFNA(_xlfn.XLOOKUP(D1795,Table_Tarikan_Warkah[Nomor Tiket],Table_Tarikan_Warkah[Nama Petugas Warkah]),"")</f>
        <v/>
      </c>
      <c r="G1795" s="21" t="str">
        <f t="array" ref="G1795">IFNA(_xlfn.XLOOKUP(D1795,Table_Tarikan_Warkah[Nomor Tiket],Table_Tarikan_Warkah[Jenis Permohonan]),"")</f>
        <v/>
      </c>
      <c r="H1795" s="26"/>
      <c r="I1795" s="26"/>
      <c r="J1795" s="20" t="str">
        <f t="shared" si="29"/>
        <v/>
      </c>
      <c r="K1795" s="26"/>
      <c r="L1795" s="26"/>
      <c r="M1795" s="20" t="str">
        <f t="shared" si="30"/>
        <v/>
      </c>
      <c r="N1795" s="8" t="str">
        <f t="shared" si="3"/>
        <v/>
      </c>
      <c r="O1795" s="21" t="str">
        <f t="shared" si="22"/>
        <v/>
      </c>
      <c r="P1795" s="24" t="b">
        <v>0</v>
      </c>
      <c r="Q1795" s="20" t="str">
        <f t="shared" si="31"/>
        <v/>
      </c>
      <c r="R1795" s="24" t="b">
        <v>0</v>
      </c>
      <c r="S1795" s="7" t="str">
        <f t="shared" si="6"/>
        <v/>
      </c>
      <c r="T1795" s="7"/>
    </row>
    <row r="1796" ht="22.5" hidden="1" customHeight="1">
      <c r="B1796" s="7">
        <f t="shared" si="7"/>
        <v>1790</v>
      </c>
      <c r="C1796" s="40"/>
      <c r="D1796" s="19" t="str">
        <f t="array" ref="D1796">IFNA(_xlfn.XLOOKUP(C1796,Table_Tarikan_Warkah[Nomor Sertipikat],Table_Tarikan_Warkah[Nomor Tiket]),"")</f>
        <v/>
      </c>
      <c r="E1796" s="20" t="str">
        <f t="array" ref="E1796">IFNA(_xlfn.XLOOKUP(D1796,Table_Tarikan_Warkah[Nomor Tiket],Table_Tarikan_Warkah[Tanggal diserahkan kepada Validator]),"")</f>
        <v/>
      </c>
      <c r="F1796" s="20" t="str">
        <f t="array" ref="F1796">IFNA(_xlfn.XLOOKUP(D1796,Table_Tarikan_Warkah[Nomor Tiket],Table_Tarikan_Warkah[Nama Petugas Warkah]),"")</f>
        <v/>
      </c>
      <c r="G1796" s="21" t="str">
        <f t="array" ref="G1796">IFNA(_xlfn.XLOOKUP(D1796,Table_Tarikan_Warkah[Nomor Tiket],Table_Tarikan_Warkah[Jenis Permohonan]),"")</f>
        <v/>
      </c>
      <c r="H1796" s="26"/>
      <c r="I1796" s="26"/>
      <c r="J1796" s="20" t="str">
        <f t="shared" si="29"/>
        <v/>
      </c>
      <c r="K1796" s="26"/>
      <c r="L1796" s="26"/>
      <c r="M1796" s="20" t="str">
        <f t="shared" si="30"/>
        <v/>
      </c>
      <c r="N1796" s="8" t="str">
        <f t="shared" si="3"/>
        <v/>
      </c>
      <c r="O1796" s="21" t="str">
        <f t="shared" si="22"/>
        <v/>
      </c>
      <c r="P1796" s="24" t="b">
        <v>0</v>
      </c>
      <c r="Q1796" s="20" t="str">
        <f t="shared" si="31"/>
        <v/>
      </c>
      <c r="R1796" s="24" t="b">
        <v>0</v>
      </c>
      <c r="S1796" s="7" t="str">
        <f t="shared" si="6"/>
        <v/>
      </c>
      <c r="T1796" s="7"/>
    </row>
    <row r="1797" ht="22.5" hidden="1" customHeight="1">
      <c r="B1797" s="7">
        <f t="shared" si="7"/>
        <v>1791</v>
      </c>
      <c r="C1797" s="40"/>
      <c r="D1797" s="19" t="str">
        <f t="array" ref="D1797">IFNA(_xlfn.XLOOKUP(C1797,Table_Tarikan_Warkah[Nomor Sertipikat],Table_Tarikan_Warkah[Nomor Tiket]),"")</f>
        <v/>
      </c>
      <c r="E1797" s="20" t="str">
        <f t="array" ref="E1797">IFNA(_xlfn.XLOOKUP(D1797,Table_Tarikan_Warkah[Nomor Tiket],Table_Tarikan_Warkah[Tanggal diserahkan kepada Validator]),"")</f>
        <v/>
      </c>
      <c r="F1797" s="20" t="str">
        <f t="array" ref="F1797">IFNA(_xlfn.XLOOKUP(D1797,Table_Tarikan_Warkah[Nomor Tiket],Table_Tarikan_Warkah[Nama Petugas Warkah]),"")</f>
        <v/>
      </c>
      <c r="G1797" s="21" t="str">
        <f t="array" ref="G1797">IFNA(_xlfn.XLOOKUP(D1797,Table_Tarikan_Warkah[Nomor Tiket],Table_Tarikan_Warkah[Jenis Permohonan]),"")</f>
        <v/>
      </c>
      <c r="H1797" s="26"/>
      <c r="I1797" s="26"/>
      <c r="J1797" s="20" t="str">
        <f t="shared" si="29"/>
        <v/>
      </c>
      <c r="K1797" s="26"/>
      <c r="L1797" s="26"/>
      <c r="M1797" s="20" t="str">
        <f t="shared" si="30"/>
        <v/>
      </c>
      <c r="N1797" s="8" t="str">
        <f t="shared" si="3"/>
        <v/>
      </c>
      <c r="O1797" s="21" t="str">
        <f t="shared" si="22"/>
        <v/>
      </c>
      <c r="P1797" s="24" t="b">
        <v>0</v>
      </c>
      <c r="Q1797" s="20" t="str">
        <f t="shared" si="31"/>
        <v/>
      </c>
      <c r="R1797" s="24" t="b">
        <v>0</v>
      </c>
      <c r="S1797" s="7" t="str">
        <f t="shared" si="6"/>
        <v/>
      </c>
      <c r="T1797" s="7"/>
    </row>
    <row r="1798" ht="22.5" hidden="1" customHeight="1">
      <c r="B1798" s="7">
        <f t="shared" si="7"/>
        <v>1792</v>
      </c>
      <c r="C1798" s="40"/>
      <c r="D1798" s="19" t="str">
        <f t="array" ref="D1798">IFNA(_xlfn.XLOOKUP(C1798,Table_Tarikan_Warkah[Nomor Sertipikat],Table_Tarikan_Warkah[Nomor Tiket]),"")</f>
        <v/>
      </c>
      <c r="E1798" s="20" t="str">
        <f t="array" ref="E1798">IFNA(_xlfn.XLOOKUP(D1798,Table_Tarikan_Warkah[Nomor Tiket],Table_Tarikan_Warkah[Tanggal diserahkan kepada Validator]),"")</f>
        <v/>
      </c>
      <c r="F1798" s="20" t="str">
        <f t="array" ref="F1798">IFNA(_xlfn.XLOOKUP(D1798,Table_Tarikan_Warkah[Nomor Tiket],Table_Tarikan_Warkah[Nama Petugas Warkah]),"")</f>
        <v/>
      </c>
      <c r="G1798" s="21" t="str">
        <f t="array" ref="G1798">IFNA(_xlfn.XLOOKUP(D1798,Table_Tarikan_Warkah[Nomor Tiket],Table_Tarikan_Warkah[Jenis Permohonan]),"")</f>
        <v/>
      </c>
      <c r="H1798" s="26"/>
      <c r="I1798" s="26"/>
      <c r="J1798" s="20" t="str">
        <f t="shared" si="29"/>
        <v/>
      </c>
      <c r="K1798" s="26"/>
      <c r="L1798" s="26"/>
      <c r="M1798" s="20" t="str">
        <f t="shared" si="30"/>
        <v/>
      </c>
      <c r="N1798" s="8" t="str">
        <f t="shared" si="3"/>
        <v/>
      </c>
      <c r="O1798" s="21" t="str">
        <f t="shared" si="22"/>
        <v/>
      </c>
      <c r="P1798" s="24" t="b">
        <v>0</v>
      </c>
      <c r="Q1798" s="20" t="str">
        <f t="shared" si="31"/>
        <v/>
      </c>
      <c r="R1798" s="24" t="b">
        <v>0</v>
      </c>
      <c r="S1798" s="7" t="str">
        <f t="shared" si="6"/>
        <v/>
      </c>
      <c r="T1798" s="7"/>
    </row>
    <row r="1799" ht="22.5" hidden="1" customHeight="1">
      <c r="B1799" s="7">
        <f t="shared" si="7"/>
        <v>1793</v>
      </c>
      <c r="C1799" s="40"/>
      <c r="D1799" s="19" t="str">
        <f t="array" ref="D1799">IFNA(_xlfn.XLOOKUP(C1799,Table_Tarikan_Warkah[Nomor Sertipikat],Table_Tarikan_Warkah[Nomor Tiket]),"")</f>
        <v/>
      </c>
      <c r="E1799" s="20" t="str">
        <f t="array" ref="E1799">IFNA(_xlfn.XLOOKUP(D1799,Table_Tarikan_Warkah[Nomor Tiket],Table_Tarikan_Warkah[Tanggal diserahkan kepada Validator]),"")</f>
        <v/>
      </c>
      <c r="F1799" s="20" t="str">
        <f t="array" ref="F1799">IFNA(_xlfn.XLOOKUP(D1799,Table_Tarikan_Warkah[Nomor Tiket],Table_Tarikan_Warkah[Nama Petugas Warkah]),"")</f>
        <v/>
      </c>
      <c r="G1799" s="21" t="str">
        <f t="array" ref="G1799">IFNA(_xlfn.XLOOKUP(D1799,Table_Tarikan_Warkah[Nomor Tiket],Table_Tarikan_Warkah[Jenis Permohonan]),"")</f>
        <v/>
      </c>
      <c r="H1799" s="26"/>
      <c r="I1799" s="26"/>
      <c r="J1799" s="20" t="str">
        <f t="shared" si="29"/>
        <v/>
      </c>
      <c r="K1799" s="26"/>
      <c r="L1799" s="26"/>
      <c r="M1799" s="20" t="str">
        <f t="shared" si="30"/>
        <v/>
      </c>
      <c r="N1799" s="8" t="str">
        <f t="shared" si="3"/>
        <v/>
      </c>
      <c r="O1799" s="21" t="str">
        <f t="shared" si="22"/>
        <v/>
      </c>
      <c r="P1799" s="24" t="b">
        <v>0</v>
      </c>
      <c r="Q1799" s="20" t="str">
        <f t="shared" si="31"/>
        <v/>
      </c>
      <c r="R1799" s="24" t="b">
        <v>0</v>
      </c>
      <c r="S1799" s="7" t="str">
        <f t="shared" si="6"/>
        <v/>
      </c>
      <c r="T1799" s="7"/>
    </row>
    <row r="1800" ht="22.5" hidden="1" customHeight="1">
      <c r="B1800" s="7">
        <f t="shared" si="7"/>
        <v>1794</v>
      </c>
      <c r="C1800" s="40"/>
      <c r="D1800" s="19" t="str">
        <f t="array" ref="D1800">IFNA(_xlfn.XLOOKUP(C1800,Table_Tarikan_Warkah[Nomor Sertipikat],Table_Tarikan_Warkah[Nomor Tiket]),"")</f>
        <v/>
      </c>
      <c r="E1800" s="20" t="str">
        <f t="array" ref="E1800">IFNA(_xlfn.XLOOKUP(D1800,Table_Tarikan_Warkah[Nomor Tiket],Table_Tarikan_Warkah[Tanggal diserahkan kepada Validator]),"")</f>
        <v/>
      </c>
      <c r="F1800" s="20" t="str">
        <f t="array" ref="F1800">IFNA(_xlfn.XLOOKUP(D1800,Table_Tarikan_Warkah[Nomor Tiket],Table_Tarikan_Warkah[Nama Petugas Warkah]),"")</f>
        <v/>
      </c>
      <c r="G1800" s="21" t="str">
        <f t="array" ref="G1800">IFNA(_xlfn.XLOOKUP(D1800,Table_Tarikan_Warkah[Nomor Tiket],Table_Tarikan_Warkah[Jenis Permohonan]),"")</f>
        <v/>
      </c>
      <c r="H1800" s="26"/>
      <c r="I1800" s="26"/>
      <c r="J1800" s="20" t="str">
        <f t="shared" si="29"/>
        <v/>
      </c>
      <c r="K1800" s="26"/>
      <c r="L1800" s="26"/>
      <c r="M1800" s="20" t="str">
        <f t="shared" si="30"/>
        <v/>
      </c>
      <c r="N1800" s="8" t="str">
        <f t="shared" si="3"/>
        <v/>
      </c>
      <c r="O1800" s="21" t="str">
        <f t="shared" si="22"/>
        <v/>
      </c>
      <c r="P1800" s="24" t="b">
        <v>0</v>
      </c>
      <c r="Q1800" s="20" t="str">
        <f t="shared" si="31"/>
        <v/>
      </c>
      <c r="R1800" s="24" t="b">
        <v>0</v>
      </c>
      <c r="S1800" s="7" t="str">
        <f t="shared" si="6"/>
        <v/>
      </c>
      <c r="T1800" s="7"/>
    </row>
    <row r="1801" ht="22.5" hidden="1" customHeight="1">
      <c r="B1801" s="7">
        <f t="shared" si="7"/>
        <v>1795</v>
      </c>
      <c r="C1801" s="40"/>
      <c r="D1801" s="19" t="str">
        <f t="array" ref="D1801">IFNA(_xlfn.XLOOKUP(C1801,Table_Tarikan_Warkah[Nomor Sertipikat],Table_Tarikan_Warkah[Nomor Tiket]),"")</f>
        <v/>
      </c>
      <c r="E1801" s="20" t="str">
        <f t="array" ref="E1801">IFNA(_xlfn.XLOOKUP(D1801,Table_Tarikan_Warkah[Nomor Tiket],Table_Tarikan_Warkah[Tanggal diserahkan kepada Validator]),"")</f>
        <v/>
      </c>
      <c r="F1801" s="20" t="str">
        <f t="array" ref="F1801">IFNA(_xlfn.XLOOKUP(D1801,Table_Tarikan_Warkah[Nomor Tiket],Table_Tarikan_Warkah[Nama Petugas Warkah]),"")</f>
        <v/>
      </c>
      <c r="G1801" s="21" t="str">
        <f t="array" ref="G1801">IFNA(_xlfn.XLOOKUP(D1801,Table_Tarikan_Warkah[Nomor Tiket],Table_Tarikan_Warkah[Jenis Permohonan]),"")</f>
        <v/>
      </c>
      <c r="H1801" s="26"/>
      <c r="I1801" s="26"/>
      <c r="J1801" s="20" t="str">
        <f t="shared" si="29"/>
        <v/>
      </c>
      <c r="K1801" s="26"/>
      <c r="L1801" s="26"/>
      <c r="M1801" s="20" t="str">
        <f t="shared" si="30"/>
        <v/>
      </c>
      <c r="N1801" s="8" t="str">
        <f t="shared" si="3"/>
        <v/>
      </c>
      <c r="O1801" s="21" t="str">
        <f t="shared" si="22"/>
        <v/>
      </c>
      <c r="P1801" s="24" t="b">
        <v>0</v>
      </c>
      <c r="Q1801" s="20" t="str">
        <f t="shared" si="31"/>
        <v/>
      </c>
      <c r="R1801" s="24" t="b">
        <v>0</v>
      </c>
      <c r="S1801" s="7" t="str">
        <f t="shared" si="6"/>
        <v/>
      </c>
      <c r="T1801" s="7"/>
    </row>
    <row r="1802" ht="22.5" hidden="1" customHeight="1">
      <c r="B1802" s="7">
        <f t="shared" si="7"/>
        <v>1796</v>
      </c>
      <c r="C1802" s="40"/>
      <c r="D1802" s="19" t="str">
        <f t="array" ref="D1802">IFNA(_xlfn.XLOOKUP(C1802,Table_Tarikan_Warkah[Nomor Sertipikat],Table_Tarikan_Warkah[Nomor Tiket]),"")</f>
        <v/>
      </c>
      <c r="E1802" s="20" t="str">
        <f t="array" ref="E1802">IFNA(_xlfn.XLOOKUP(D1802,Table_Tarikan_Warkah[Nomor Tiket],Table_Tarikan_Warkah[Tanggal diserahkan kepada Validator]),"")</f>
        <v/>
      </c>
      <c r="F1802" s="20" t="str">
        <f t="array" ref="F1802">IFNA(_xlfn.XLOOKUP(D1802,Table_Tarikan_Warkah[Nomor Tiket],Table_Tarikan_Warkah[Nama Petugas Warkah]),"")</f>
        <v/>
      </c>
      <c r="G1802" s="21" t="str">
        <f t="array" ref="G1802">IFNA(_xlfn.XLOOKUP(D1802,Table_Tarikan_Warkah[Nomor Tiket],Table_Tarikan_Warkah[Jenis Permohonan]),"")</f>
        <v/>
      </c>
      <c r="H1802" s="26"/>
      <c r="I1802" s="26"/>
      <c r="J1802" s="20" t="str">
        <f t="shared" si="29"/>
        <v/>
      </c>
      <c r="K1802" s="26"/>
      <c r="L1802" s="26"/>
      <c r="M1802" s="20" t="str">
        <f t="shared" si="30"/>
        <v/>
      </c>
      <c r="N1802" s="8" t="str">
        <f t="shared" si="3"/>
        <v/>
      </c>
      <c r="O1802" s="21" t="str">
        <f t="shared" si="22"/>
        <v/>
      </c>
      <c r="P1802" s="24" t="b">
        <v>0</v>
      </c>
      <c r="Q1802" s="20" t="str">
        <f t="shared" si="31"/>
        <v/>
      </c>
      <c r="R1802" s="24" t="b">
        <v>0</v>
      </c>
      <c r="S1802" s="7" t="str">
        <f t="shared" si="6"/>
        <v/>
      </c>
      <c r="T1802" s="7"/>
    </row>
    <row r="1803" ht="22.5" hidden="1" customHeight="1">
      <c r="B1803" s="7">
        <f t="shared" si="7"/>
        <v>1797</v>
      </c>
      <c r="C1803" s="40"/>
      <c r="D1803" s="19" t="str">
        <f t="array" ref="D1803">IFNA(_xlfn.XLOOKUP(C1803,Table_Tarikan_Warkah[Nomor Sertipikat],Table_Tarikan_Warkah[Nomor Tiket]),"")</f>
        <v/>
      </c>
      <c r="E1803" s="20" t="str">
        <f t="array" ref="E1803">IFNA(_xlfn.XLOOKUP(D1803,Table_Tarikan_Warkah[Nomor Tiket],Table_Tarikan_Warkah[Tanggal diserahkan kepada Validator]),"")</f>
        <v/>
      </c>
      <c r="F1803" s="20" t="str">
        <f t="array" ref="F1803">IFNA(_xlfn.XLOOKUP(D1803,Table_Tarikan_Warkah[Nomor Tiket],Table_Tarikan_Warkah[Nama Petugas Warkah]),"")</f>
        <v/>
      </c>
      <c r="G1803" s="21" t="str">
        <f t="array" ref="G1803">IFNA(_xlfn.XLOOKUP(D1803,Table_Tarikan_Warkah[Nomor Tiket],Table_Tarikan_Warkah[Jenis Permohonan]),"")</f>
        <v/>
      </c>
      <c r="H1803" s="26"/>
      <c r="I1803" s="26"/>
      <c r="J1803" s="20" t="str">
        <f t="shared" si="29"/>
        <v/>
      </c>
      <c r="K1803" s="26"/>
      <c r="L1803" s="26"/>
      <c r="M1803" s="20" t="str">
        <f t="shared" si="30"/>
        <v/>
      </c>
      <c r="N1803" s="8" t="str">
        <f t="shared" si="3"/>
        <v/>
      </c>
      <c r="O1803" s="21" t="str">
        <f t="shared" si="22"/>
        <v/>
      </c>
      <c r="P1803" s="24" t="b">
        <v>0</v>
      </c>
      <c r="Q1803" s="20" t="str">
        <f t="shared" si="31"/>
        <v/>
      </c>
      <c r="R1803" s="24" t="b">
        <v>0</v>
      </c>
      <c r="S1803" s="7" t="str">
        <f t="shared" si="6"/>
        <v/>
      </c>
      <c r="T1803" s="7"/>
    </row>
    <row r="1804" ht="22.5" hidden="1" customHeight="1">
      <c r="B1804" s="7">
        <f t="shared" si="7"/>
        <v>1798</v>
      </c>
      <c r="C1804" s="40"/>
      <c r="D1804" s="19" t="str">
        <f t="array" ref="D1804">IFNA(_xlfn.XLOOKUP(C1804,Table_Tarikan_Warkah[Nomor Sertipikat],Table_Tarikan_Warkah[Nomor Tiket]),"")</f>
        <v/>
      </c>
      <c r="E1804" s="20" t="str">
        <f t="array" ref="E1804">IFNA(_xlfn.XLOOKUP(D1804,Table_Tarikan_Warkah[Nomor Tiket],Table_Tarikan_Warkah[Tanggal diserahkan kepada Validator]),"")</f>
        <v/>
      </c>
      <c r="F1804" s="20" t="str">
        <f t="array" ref="F1804">IFNA(_xlfn.XLOOKUP(D1804,Table_Tarikan_Warkah[Nomor Tiket],Table_Tarikan_Warkah[Nama Petugas Warkah]),"")</f>
        <v/>
      </c>
      <c r="G1804" s="21" t="str">
        <f t="array" ref="G1804">IFNA(_xlfn.XLOOKUP(D1804,Table_Tarikan_Warkah[Nomor Tiket],Table_Tarikan_Warkah[Jenis Permohonan]),"")</f>
        <v/>
      </c>
      <c r="H1804" s="26"/>
      <c r="I1804" s="26"/>
      <c r="J1804" s="20" t="str">
        <f t="shared" si="29"/>
        <v/>
      </c>
      <c r="K1804" s="26"/>
      <c r="L1804" s="26"/>
      <c r="M1804" s="20" t="str">
        <f t="shared" si="30"/>
        <v/>
      </c>
      <c r="N1804" s="8" t="str">
        <f t="shared" si="3"/>
        <v/>
      </c>
      <c r="O1804" s="21" t="str">
        <f t="shared" si="22"/>
        <v/>
      </c>
      <c r="P1804" s="24" t="b">
        <v>0</v>
      </c>
      <c r="Q1804" s="20" t="str">
        <f t="shared" si="31"/>
        <v/>
      </c>
      <c r="R1804" s="24" t="b">
        <v>0</v>
      </c>
      <c r="S1804" s="7" t="str">
        <f t="shared" si="6"/>
        <v/>
      </c>
      <c r="T1804" s="7"/>
    </row>
    <row r="1805" ht="22.5" hidden="1" customHeight="1">
      <c r="B1805" s="7">
        <f t="shared" si="7"/>
        <v>1799</v>
      </c>
      <c r="C1805" s="40"/>
      <c r="D1805" s="19" t="str">
        <f t="array" ref="D1805">IFNA(_xlfn.XLOOKUP(C1805,Table_Tarikan_Warkah[Nomor Sertipikat],Table_Tarikan_Warkah[Nomor Tiket]),"")</f>
        <v/>
      </c>
      <c r="E1805" s="20" t="str">
        <f t="array" ref="E1805">IFNA(_xlfn.XLOOKUP(D1805,Table_Tarikan_Warkah[Nomor Tiket],Table_Tarikan_Warkah[Tanggal diserahkan kepada Validator]),"")</f>
        <v/>
      </c>
      <c r="F1805" s="20" t="str">
        <f t="array" ref="F1805">IFNA(_xlfn.XLOOKUP(D1805,Table_Tarikan_Warkah[Nomor Tiket],Table_Tarikan_Warkah[Nama Petugas Warkah]),"")</f>
        <v/>
      </c>
      <c r="G1805" s="21" t="str">
        <f t="array" ref="G1805">IFNA(_xlfn.XLOOKUP(D1805,Table_Tarikan_Warkah[Nomor Tiket],Table_Tarikan_Warkah[Jenis Permohonan]),"")</f>
        <v/>
      </c>
      <c r="H1805" s="26"/>
      <c r="I1805" s="26"/>
      <c r="J1805" s="20" t="str">
        <f t="shared" si="29"/>
        <v/>
      </c>
      <c r="K1805" s="26"/>
      <c r="L1805" s="26"/>
      <c r="M1805" s="20" t="str">
        <f t="shared" si="30"/>
        <v/>
      </c>
      <c r="N1805" s="8" t="str">
        <f t="shared" si="3"/>
        <v/>
      </c>
      <c r="O1805" s="21" t="str">
        <f t="shared" si="22"/>
        <v/>
      </c>
      <c r="P1805" s="24" t="b">
        <v>0</v>
      </c>
      <c r="Q1805" s="20" t="str">
        <f t="shared" si="31"/>
        <v/>
      </c>
      <c r="R1805" s="24" t="b">
        <v>0</v>
      </c>
      <c r="S1805" s="7" t="str">
        <f t="shared" si="6"/>
        <v/>
      </c>
      <c r="T1805" s="7"/>
    </row>
    <row r="1806" ht="22.5" hidden="1" customHeight="1">
      <c r="B1806" s="7">
        <f t="shared" si="7"/>
        <v>1800</v>
      </c>
      <c r="C1806" s="40"/>
      <c r="D1806" s="19" t="str">
        <f t="array" ref="D1806">IFNA(_xlfn.XLOOKUP(C1806,Table_Tarikan_Warkah[Nomor Sertipikat],Table_Tarikan_Warkah[Nomor Tiket]),"")</f>
        <v/>
      </c>
      <c r="E1806" s="20" t="str">
        <f t="array" ref="E1806">IFNA(_xlfn.XLOOKUP(D1806,Table_Tarikan_Warkah[Nomor Tiket],Table_Tarikan_Warkah[Tanggal diserahkan kepada Validator]),"")</f>
        <v/>
      </c>
      <c r="F1806" s="20" t="str">
        <f t="array" ref="F1806">IFNA(_xlfn.XLOOKUP(D1806,Table_Tarikan_Warkah[Nomor Tiket],Table_Tarikan_Warkah[Nama Petugas Warkah]),"")</f>
        <v/>
      </c>
      <c r="G1806" s="21" t="str">
        <f t="array" ref="G1806">IFNA(_xlfn.XLOOKUP(D1806,Table_Tarikan_Warkah[Nomor Tiket],Table_Tarikan_Warkah[Jenis Permohonan]),"")</f>
        <v/>
      </c>
      <c r="H1806" s="26"/>
      <c r="I1806" s="26"/>
      <c r="J1806" s="20" t="str">
        <f t="shared" si="29"/>
        <v/>
      </c>
      <c r="K1806" s="26"/>
      <c r="L1806" s="26"/>
      <c r="M1806" s="20" t="str">
        <f t="shared" si="30"/>
        <v/>
      </c>
      <c r="N1806" s="8" t="str">
        <f t="shared" si="3"/>
        <v/>
      </c>
      <c r="O1806" s="21" t="str">
        <f t="shared" si="22"/>
        <v/>
      </c>
      <c r="P1806" s="24" t="b">
        <v>0</v>
      </c>
      <c r="Q1806" s="20" t="str">
        <f t="shared" si="31"/>
        <v/>
      </c>
      <c r="R1806" s="24" t="b">
        <v>0</v>
      </c>
      <c r="S1806" s="7" t="str">
        <f t="shared" si="6"/>
        <v/>
      </c>
      <c r="T1806" s="7"/>
    </row>
    <row r="1807" ht="22.5" hidden="1" customHeight="1">
      <c r="B1807" s="7">
        <f t="shared" si="7"/>
        <v>1801</v>
      </c>
      <c r="C1807" s="40"/>
      <c r="D1807" s="19" t="str">
        <f t="array" ref="D1807">IFNA(_xlfn.XLOOKUP(C1807,Table_Tarikan_Warkah[Nomor Sertipikat],Table_Tarikan_Warkah[Nomor Tiket]),"")</f>
        <v/>
      </c>
      <c r="E1807" s="20" t="str">
        <f t="array" ref="E1807">IFNA(_xlfn.XLOOKUP(D1807,Table_Tarikan_Warkah[Nomor Tiket],Table_Tarikan_Warkah[Tanggal diserahkan kepada Validator]),"")</f>
        <v/>
      </c>
      <c r="F1807" s="20" t="str">
        <f t="array" ref="F1807">IFNA(_xlfn.XLOOKUP(D1807,Table_Tarikan_Warkah[Nomor Tiket],Table_Tarikan_Warkah[Nama Petugas Warkah]),"")</f>
        <v/>
      </c>
      <c r="G1807" s="21" t="str">
        <f t="array" ref="G1807">IFNA(_xlfn.XLOOKUP(D1807,Table_Tarikan_Warkah[Nomor Tiket],Table_Tarikan_Warkah[Jenis Permohonan]),"")</f>
        <v/>
      </c>
      <c r="H1807" s="26"/>
      <c r="I1807" s="26"/>
      <c r="J1807" s="20" t="str">
        <f t="shared" si="29"/>
        <v/>
      </c>
      <c r="K1807" s="26"/>
      <c r="L1807" s="26"/>
      <c r="M1807" s="20" t="str">
        <f t="shared" si="30"/>
        <v/>
      </c>
      <c r="N1807" s="8" t="str">
        <f t="shared" si="3"/>
        <v/>
      </c>
      <c r="O1807" s="21" t="str">
        <f t="shared" si="22"/>
        <v/>
      </c>
      <c r="P1807" s="24" t="b">
        <v>0</v>
      </c>
      <c r="Q1807" s="20" t="str">
        <f t="shared" si="31"/>
        <v/>
      </c>
      <c r="R1807" s="24" t="b">
        <v>0</v>
      </c>
      <c r="S1807" s="7" t="str">
        <f t="shared" si="6"/>
        <v/>
      </c>
      <c r="T1807" s="7"/>
    </row>
    <row r="1808" ht="22.5" hidden="1" customHeight="1">
      <c r="B1808" s="7">
        <f t="shared" si="7"/>
        <v>1802</v>
      </c>
      <c r="C1808" s="40"/>
      <c r="D1808" s="19" t="str">
        <f t="array" ref="D1808">IFNA(_xlfn.XLOOKUP(C1808,Table_Tarikan_Warkah[Nomor Sertipikat],Table_Tarikan_Warkah[Nomor Tiket]),"")</f>
        <v/>
      </c>
      <c r="E1808" s="20" t="str">
        <f t="array" ref="E1808">IFNA(_xlfn.XLOOKUP(D1808,Table_Tarikan_Warkah[Nomor Tiket],Table_Tarikan_Warkah[Tanggal diserahkan kepada Validator]),"")</f>
        <v/>
      </c>
      <c r="F1808" s="20" t="str">
        <f t="array" ref="F1808">IFNA(_xlfn.XLOOKUP(D1808,Table_Tarikan_Warkah[Nomor Tiket],Table_Tarikan_Warkah[Nama Petugas Warkah]),"")</f>
        <v/>
      </c>
      <c r="G1808" s="21" t="str">
        <f t="array" ref="G1808">IFNA(_xlfn.XLOOKUP(D1808,Table_Tarikan_Warkah[Nomor Tiket],Table_Tarikan_Warkah[Jenis Permohonan]),"")</f>
        <v/>
      </c>
      <c r="H1808" s="26"/>
      <c r="I1808" s="26"/>
      <c r="J1808" s="20" t="str">
        <f t="shared" si="29"/>
        <v/>
      </c>
      <c r="K1808" s="26"/>
      <c r="L1808" s="26"/>
      <c r="M1808" s="20" t="str">
        <f t="shared" si="30"/>
        <v/>
      </c>
      <c r="N1808" s="8" t="str">
        <f t="shared" si="3"/>
        <v/>
      </c>
      <c r="O1808" s="21" t="str">
        <f t="shared" si="22"/>
        <v/>
      </c>
      <c r="P1808" s="24" t="b">
        <v>0</v>
      </c>
      <c r="Q1808" s="20" t="str">
        <f t="shared" si="31"/>
        <v/>
      </c>
      <c r="R1808" s="24" t="b">
        <v>0</v>
      </c>
      <c r="S1808" s="7" t="str">
        <f t="shared" si="6"/>
        <v/>
      </c>
      <c r="T1808" s="7"/>
    </row>
    <row r="1809" ht="22.5" hidden="1" customHeight="1">
      <c r="B1809" s="7">
        <f t="shared" si="7"/>
        <v>1803</v>
      </c>
      <c r="C1809" s="40"/>
      <c r="D1809" s="19" t="str">
        <f t="array" ref="D1809">IFNA(_xlfn.XLOOKUP(C1809,Table_Tarikan_Warkah[Nomor Sertipikat],Table_Tarikan_Warkah[Nomor Tiket]),"")</f>
        <v/>
      </c>
      <c r="E1809" s="20" t="str">
        <f t="array" ref="E1809">IFNA(_xlfn.XLOOKUP(D1809,Table_Tarikan_Warkah[Nomor Tiket],Table_Tarikan_Warkah[Tanggal diserahkan kepada Validator]),"")</f>
        <v/>
      </c>
      <c r="F1809" s="20" t="str">
        <f t="array" ref="F1809">IFNA(_xlfn.XLOOKUP(D1809,Table_Tarikan_Warkah[Nomor Tiket],Table_Tarikan_Warkah[Nama Petugas Warkah]),"")</f>
        <v/>
      </c>
      <c r="G1809" s="21" t="str">
        <f t="array" ref="G1809">IFNA(_xlfn.XLOOKUP(D1809,Table_Tarikan_Warkah[Nomor Tiket],Table_Tarikan_Warkah[Jenis Permohonan]),"")</f>
        <v/>
      </c>
      <c r="H1809" s="26"/>
      <c r="I1809" s="26"/>
      <c r="J1809" s="20" t="str">
        <f t="shared" si="29"/>
        <v/>
      </c>
      <c r="K1809" s="26"/>
      <c r="L1809" s="26"/>
      <c r="M1809" s="20" t="str">
        <f t="shared" si="30"/>
        <v/>
      </c>
      <c r="N1809" s="8" t="str">
        <f t="shared" si="3"/>
        <v/>
      </c>
      <c r="O1809" s="21" t="str">
        <f t="shared" si="22"/>
        <v/>
      </c>
      <c r="P1809" s="24" t="b">
        <v>0</v>
      </c>
      <c r="Q1809" s="20" t="str">
        <f t="shared" si="31"/>
        <v/>
      </c>
      <c r="R1809" s="24" t="b">
        <v>0</v>
      </c>
      <c r="S1809" s="7" t="str">
        <f t="shared" si="6"/>
        <v/>
      </c>
      <c r="T1809" s="7"/>
    </row>
    <row r="1810" ht="22.5" hidden="1" customHeight="1">
      <c r="B1810" s="7">
        <f t="shared" si="7"/>
        <v>1804</v>
      </c>
      <c r="C1810" s="40"/>
      <c r="D1810" s="19" t="str">
        <f t="array" ref="D1810">IFNA(_xlfn.XLOOKUP(C1810,Table_Tarikan_Warkah[Nomor Sertipikat],Table_Tarikan_Warkah[Nomor Tiket]),"")</f>
        <v/>
      </c>
      <c r="E1810" s="20" t="str">
        <f t="array" ref="E1810">IFNA(_xlfn.XLOOKUP(D1810,Table_Tarikan_Warkah[Nomor Tiket],Table_Tarikan_Warkah[Tanggal diserahkan kepada Validator]),"")</f>
        <v/>
      </c>
      <c r="F1810" s="20" t="str">
        <f t="array" ref="F1810">IFNA(_xlfn.XLOOKUP(D1810,Table_Tarikan_Warkah[Nomor Tiket],Table_Tarikan_Warkah[Nama Petugas Warkah]),"")</f>
        <v/>
      </c>
      <c r="G1810" s="21" t="str">
        <f t="array" ref="G1810">IFNA(_xlfn.XLOOKUP(D1810,Table_Tarikan_Warkah[Nomor Tiket],Table_Tarikan_Warkah[Jenis Permohonan]),"")</f>
        <v/>
      </c>
      <c r="H1810" s="26"/>
      <c r="I1810" s="26"/>
      <c r="J1810" s="20" t="str">
        <f t="shared" si="29"/>
        <v/>
      </c>
      <c r="K1810" s="26"/>
      <c r="L1810" s="26"/>
      <c r="M1810" s="20" t="str">
        <f t="shared" si="30"/>
        <v/>
      </c>
      <c r="N1810" s="8" t="str">
        <f t="shared" si="3"/>
        <v/>
      </c>
      <c r="O1810" s="21" t="str">
        <f t="shared" si="22"/>
        <v/>
      </c>
      <c r="P1810" s="24" t="b">
        <v>0</v>
      </c>
      <c r="Q1810" s="20" t="str">
        <f t="shared" si="31"/>
        <v/>
      </c>
      <c r="R1810" s="24" t="b">
        <v>0</v>
      </c>
      <c r="S1810" s="7" t="str">
        <f t="shared" si="6"/>
        <v/>
      </c>
      <c r="T1810" s="7"/>
    </row>
    <row r="1811" ht="22.5" hidden="1" customHeight="1">
      <c r="B1811" s="7">
        <f t="shared" si="7"/>
        <v>1805</v>
      </c>
      <c r="C1811" s="40"/>
      <c r="D1811" s="19" t="str">
        <f t="array" ref="D1811">IFNA(_xlfn.XLOOKUP(C1811,Table_Tarikan_Warkah[Nomor Sertipikat],Table_Tarikan_Warkah[Nomor Tiket]),"")</f>
        <v/>
      </c>
      <c r="E1811" s="20" t="str">
        <f t="array" ref="E1811">IFNA(_xlfn.XLOOKUP(D1811,Table_Tarikan_Warkah[Nomor Tiket],Table_Tarikan_Warkah[Tanggal diserahkan kepada Validator]),"")</f>
        <v/>
      </c>
      <c r="F1811" s="20" t="str">
        <f t="array" ref="F1811">IFNA(_xlfn.XLOOKUP(D1811,Table_Tarikan_Warkah[Nomor Tiket],Table_Tarikan_Warkah[Nama Petugas Warkah]),"")</f>
        <v/>
      </c>
      <c r="G1811" s="21" t="str">
        <f t="array" ref="G1811">IFNA(_xlfn.XLOOKUP(D1811,Table_Tarikan_Warkah[Nomor Tiket],Table_Tarikan_Warkah[Jenis Permohonan]),"")</f>
        <v/>
      </c>
      <c r="H1811" s="26"/>
      <c r="I1811" s="26"/>
      <c r="J1811" s="20" t="str">
        <f t="shared" si="29"/>
        <v/>
      </c>
      <c r="K1811" s="26"/>
      <c r="L1811" s="26"/>
      <c r="M1811" s="20" t="str">
        <f t="shared" si="30"/>
        <v/>
      </c>
      <c r="N1811" s="8" t="str">
        <f t="shared" si="3"/>
        <v/>
      </c>
      <c r="O1811" s="21" t="str">
        <f t="shared" si="22"/>
        <v/>
      </c>
      <c r="P1811" s="24" t="b">
        <v>0</v>
      </c>
      <c r="Q1811" s="20" t="str">
        <f t="shared" si="31"/>
        <v/>
      </c>
      <c r="R1811" s="24" t="b">
        <v>0</v>
      </c>
      <c r="S1811" s="7" t="str">
        <f t="shared" si="6"/>
        <v/>
      </c>
      <c r="T1811" s="7"/>
    </row>
    <row r="1812" ht="22.5" hidden="1" customHeight="1">
      <c r="B1812" s="7">
        <f t="shared" si="7"/>
        <v>1806</v>
      </c>
      <c r="C1812" s="40"/>
      <c r="D1812" s="19" t="str">
        <f t="array" ref="D1812">IFNA(_xlfn.XLOOKUP(C1812,Table_Tarikan_Warkah[Nomor Sertipikat],Table_Tarikan_Warkah[Nomor Tiket]),"")</f>
        <v/>
      </c>
      <c r="E1812" s="20" t="str">
        <f t="array" ref="E1812">IFNA(_xlfn.XLOOKUP(D1812,Table_Tarikan_Warkah[Nomor Tiket],Table_Tarikan_Warkah[Tanggal diserahkan kepada Validator]),"")</f>
        <v/>
      </c>
      <c r="F1812" s="20" t="str">
        <f t="array" ref="F1812">IFNA(_xlfn.XLOOKUP(D1812,Table_Tarikan_Warkah[Nomor Tiket],Table_Tarikan_Warkah[Nama Petugas Warkah]),"")</f>
        <v/>
      </c>
      <c r="G1812" s="21" t="str">
        <f t="array" ref="G1812">IFNA(_xlfn.XLOOKUP(D1812,Table_Tarikan_Warkah[Nomor Tiket],Table_Tarikan_Warkah[Jenis Permohonan]),"")</f>
        <v/>
      </c>
      <c r="H1812" s="26"/>
      <c r="I1812" s="26"/>
      <c r="J1812" s="20" t="str">
        <f t="shared" si="29"/>
        <v/>
      </c>
      <c r="K1812" s="26"/>
      <c r="L1812" s="26"/>
      <c r="M1812" s="20" t="str">
        <f t="shared" si="30"/>
        <v/>
      </c>
      <c r="N1812" s="8" t="str">
        <f t="shared" si="3"/>
        <v/>
      </c>
      <c r="O1812" s="21" t="str">
        <f t="shared" si="22"/>
        <v/>
      </c>
      <c r="P1812" s="24" t="b">
        <v>0</v>
      </c>
      <c r="Q1812" s="20" t="str">
        <f t="shared" si="31"/>
        <v/>
      </c>
      <c r="R1812" s="24" t="b">
        <v>0</v>
      </c>
      <c r="S1812" s="7" t="str">
        <f t="shared" si="6"/>
        <v/>
      </c>
      <c r="T1812" s="7"/>
    </row>
    <row r="1813" ht="22.5" hidden="1" customHeight="1">
      <c r="B1813" s="7">
        <f t="shared" si="7"/>
        <v>1807</v>
      </c>
      <c r="C1813" s="40"/>
      <c r="D1813" s="19" t="str">
        <f t="array" ref="D1813">IFNA(_xlfn.XLOOKUP(C1813,Table_Tarikan_Warkah[Nomor Sertipikat],Table_Tarikan_Warkah[Nomor Tiket]),"")</f>
        <v/>
      </c>
      <c r="E1813" s="20" t="str">
        <f t="array" ref="E1813">IFNA(_xlfn.XLOOKUP(D1813,Table_Tarikan_Warkah[Nomor Tiket],Table_Tarikan_Warkah[Tanggal diserahkan kepada Validator]),"")</f>
        <v/>
      </c>
      <c r="F1813" s="20" t="str">
        <f t="array" ref="F1813">IFNA(_xlfn.XLOOKUP(D1813,Table_Tarikan_Warkah[Nomor Tiket],Table_Tarikan_Warkah[Nama Petugas Warkah]),"")</f>
        <v/>
      </c>
      <c r="G1813" s="21" t="str">
        <f t="array" ref="G1813">IFNA(_xlfn.XLOOKUP(D1813,Table_Tarikan_Warkah[Nomor Tiket],Table_Tarikan_Warkah[Jenis Permohonan]),"")</f>
        <v/>
      </c>
      <c r="H1813" s="26"/>
      <c r="I1813" s="26"/>
      <c r="J1813" s="20" t="str">
        <f t="shared" si="29"/>
        <v/>
      </c>
      <c r="K1813" s="26"/>
      <c r="L1813" s="26"/>
      <c r="M1813" s="20" t="str">
        <f t="shared" si="30"/>
        <v/>
      </c>
      <c r="N1813" s="8" t="str">
        <f t="shared" si="3"/>
        <v/>
      </c>
      <c r="O1813" s="21" t="str">
        <f t="shared" si="22"/>
        <v/>
      </c>
      <c r="P1813" s="24" t="b">
        <v>0</v>
      </c>
      <c r="Q1813" s="20" t="str">
        <f t="shared" si="31"/>
        <v/>
      </c>
      <c r="R1813" s="24" t="b">
        <v>0</v>
      </c>
      <c r="S1813" s="7" t="str">
        <f t="shared" si="6"/>
        <v/>
      </c>
      <c r="T1813" s="7"/>
    </row>
    <row r="1814" ht="22.5" hidden="1" customHeight="1">
      <c r="B1814" s="7">
        <f t="shared" si="7"/>
        <v>1808</v>
      </c>
      <c r="C1814" s="40"/>
      <c r="D1814" s="19" t="str">
        <f t="array" ref="D1814">IFNA(_xlfn.XLOOKUP(C1814,Table_Tarikan_Warkah[Nomor Sertipikat],Table_Tarikan_Warkah[Nomor Tiket]),"")</f>
        <v/>
      </c>
      <c r="E1814" s="20" t="str">
        <f t="array" ref="E1814">IFNA(_xlfn.XLOOKUP(D1814,Table_Tarikan_Warkah[Nomor Tiket],Table_Tarikan_Warkah[Tanggal diserahkan kepada Validator]),"")</f>
        <v/>
      </c>
      <c r="F1814" s="20" t="str">
        <f t="array" ref="F1814">IFNA(_xlfn.XLOOKUP(D1814,Table_Tarikan_Warkah[Nomor Tiket],Table_Tarikan_Warkah[Nama Petugas Warkah]),"")</f>
        <v/>
      </c>
      <c r="G1814" s="21" t="str">
        <f t="array" ref="G1814">IFNA(_xlfn.XLOOKUP(D1814,Table_Tarikan_Warkah[Nomor Tiket],Table_Tarikan_Warkah[Jenis Permohonan]),"")</f>
        <v/>
      </c>
      <c r="H1814" s="26"/>
      <c r="I1814" s="26"/>
      <c r="J1814" s="20" t="str">
        <f t="shared" si="29"/>
        <v/>
      </c>
      <c r="K1814" s="26"/>
      <c r="L1814" s="26"/>
      <c r="M1814" s="20" t="str">
        <f t="shared" si="30"/>
        <v/>
      </c>
      <c r="N1814" s="8" t="str">
        <f t="shared" si="3"/>
        <v/>
      </c>
      <c r="O1814" s="21" t="str">
        <f t="shared" si="22"/>
        <v/>
      </c>
      <c r="P1814" s="24" t="b">
        <v>0</v>
      </c>
      <c r="Q1814" s="20" t="str">
        <f t="shared" si="31"/>
        <v/>
      </c>
      <c r="R1814" s="24" t="b">
        <v>0</v>
      </c>
      <c r="S1814" s="7" t="str">
        <f t="shared" si="6"/>
        <v/>
      </c>
      <c r="T1814" s="7"/>
    </row>
    <row r="1815" ht="22.5" hidden="1" customHeight="1">
      <c r="B1815" s="7">
        <f t="shared" si="7"/>
        <v>1809</v>
      </c>
      <c r="C1815" s="40"/>
      <c r="D1815" s="19" t="str">
        <f t="array" ref="D1815">IFNA(_xlfn.XLOOKUP(C1815,Table_Tarikan_Warkah[Nomor Sertipikat],Table_Tarikan_Warkah[Nomor Tiket]),"")</f>
        <v/>
      </c>
      <c r="E1815" s="20" t="str">
        <f t="array" ref="E1815">IFNA(_xlfn.XLOOKUP(D1815,Table_Tarikan_Warkah[Nomor Tiket],Table_Tarikan_Warkah[Tanggal diserahkan kepada Validator]),"")</f>
        <v/>
      </c>
      <c r="F1815" s="20" t="str">
        <f t="array" ref="F1815">IFNA(_xlfn.XLOOKUP(D1815,Table_Tarikan_Warkah[Nomor Tiket],Table_Tarikan_Warkah[Nama Petugas Warkah]),"")</f>
        <v/>
      </c>
      <c r="G1815" s="21" t="str">
        <f t="array" ref="G1815">IFNA(_xlfn.XLOOKUP(D1815,Table_Tarikan_Warkah[Nomor Tiket],Table_Tarikan_Warkah[Jenis Permohonan]),"")</f>
        <v/>
      </c>
      <c r="H1815" s="26"/>
      <c r="I1815" s="26"/>
      <c r="J1815" s="20" t="str">
        <f t="shared" si="29"/>
        <v/>
      </c>
      <c r="K1815" s="26"/>
      <c r="L1815" s="26"/>
      <c r="M1815" s="20" t="str">
        <f t="shared" si="30"/>
        <v/>
      </c>
      <c r="N1815" s="8" t="str">
        <f t="shared" si="3"/>
        <v/>
      </c>
      <c r="O1815" s="21" t="str">
        <f t="shared" si="22"/>
        <v/>
      </c>
      <c r="P1815" s="24" t="b">
        <v>0</v>
      </c>
      <c r="Q1815" s="20" t="str">
        <f t="shared" si="31"/>
        <v/>
      </c>
      <c r="R1815" s="24" t="b">
        <v>0</v>
      </c>
      <c r="S1815" s="7" t="str">
        <f t="shared" si="6"/>
        <v/>
      </c>
      <c r="T1815" s="7"/>
    </row>
    <row r="1816" ht="22.5" hidden="1" customHeight="1">
      <c r="B1816" s="7">
        <f t="shared" si="7"/>
        <v>1810</v>
      </c>
      <c r="C1816" s="40"/>
      <c r="D1816" s="19" t="str">
        <f t="array" ref="D1816">IFNA(_xlfn.XLOOKUP(C1816,Table_Tarikan_Warkah[Nomor Sertipikat],Table_Tarikan_Warkah[Nomor Tiket]),"")</f>
        <v/>
      </c>
      <c r="E1816" s="20" t="str">
        <f t="array" ref="E1816">IFNA(_xlfn.XLOOKUP(D1816,Table_Tarikan_Warkah[Nomor Tiket],Table_Tarikan_Warkah[Tanggal diserahkan kepada Validator]),"")</f>
        <v/>
      </c>
      <c r="F1816" s="20" t="str">
        <f t="array" ref="F1816">IFNA(_xlfn.XLOOKUP(D1816,Table_Tarikan_Warkah[Nomor Tiket],Table_Tarikan_Warkah[Nama Petugas Warkah]),"")</f>
        <v/>
      </c>
      <c r="G1816" s="21" t="str">
        <f t="array" ref="G1816">IFNA(_xlfn.XLOOKUP(D1816,Table_Tarikan_Warkah[Nomor Tiket],Table_Tarikan_Warkah[Jenis Permohonan]),"")</f>
        <v/>
      </c>
      <c r="H1816" s="26"/>
      <c r="I1816" s="26"/>
      <c r="J1816" s="20" t="str">
        <f t="shared" si="29"/>
        <v/>
      </c>
      <c r="K1816" s="26"/>
      <c r="L1816" s="26"/>
      <c r="M1816" s="20" t="str">
        <f t="shared" si="30"/>
        <v/>
      </c>
      <c r="N1816" s="8" t="str">
        <f t="shared" si="3"/>
        <v/>
      </c>
      <c r="O1816" s="21" t="str">
        <f t="shared" si="22"/>
        <v/>
      </c>
      <c r="P1816" s="24" t="b">
        <v>0</v>
      </c>
      <c r="Q1816" s="20" t="str">
        <f t="shared" si="31"/>
        <v/>
      </c>
      <c r="R1816" s="24" t="b">
        <v>0</v>
      </c>
      <c r="S1816" s="7" t="str">
        <f t="shared" si="6"/>
        <v/>
      </c>
      <c r="T1816" s="7"/>
    </row>
    <row r="1817" ht="22.5" hidden="1" customHeight="1">
      <c r="B1817" s="7">
        <f t="shared" si="7"/>
        <v>1811</v>
      </c>
      <c r="C1817" s="40"/>
      <c r="D1817" s="19" t="str">
        <f t="array" ref="D1817">IFNA(_xlfn.XLOOKUP(C1817,Table_Tarikan_Warkah[Nomor Sertipikat],Table_Tarikan_Warkah[Nomor Tiket]),"")</f>
        <v/>
      </c>
      <c r="E1817" s="20" t="str">
        <f t="array" ref="E1817">IFNA(_xlfn.XLOOKUP(D1817,Table_Tarikan_Warkah[Nomor Tiket],Table_Tarikan_Warkah[Tanggal diserahkan kepada Validator]),"")</f>
        <v/>
      </c>
      <c r="F1817" s="20" t="str">
        <f t="array" ref="F1817">IFNA(_xlfn.XLOOKUP(D1817,Table_Tarikan_Warkah[Nomor Tiket],Table_Tarikan_Warkah[Nama Petugas Warkah]),"")</f>
        <v/>
      </c>
      <c r="G1817" s="21" t="str">
        <f t="array" ref="G1817">IFNA(_xlfn.XLOOKUP(D1817,Table_Tarikan_Warkah[Nomor Tiket],Table_Tarikan_Warkah[Jenis Permohonan]),"")</f>
        <v/>
      </c>
      <c r="H1817" s="26"/>
      <c r="I1817" s="26"/>
      <c r="J1817" s="20" t="str">
        <f t="shared" si="29"/>
        <v/>
      </c>
      <c r="K1817" s="26"/>
      <c r="L1817" s="26"/>
      <c r="M1817" s="20" t="str">
        <f t="shared" si="30"/>
        <v/>
      </c>
      <c r="N1817" s="8" t="str">
        <f t="shared" si="3"/>
        <v/>
      </c>
      <c r="O1817" s="21" t="str">
        <f t="shared" si="22"/>
        <v/>
      </c>
      <c r="P1817" s="24" t="b">
        <v>0</v>
      </c>
      <c r="Q1817" s="20" t="str">
        <f t="shared" si="31"/>
        <v/>
      </c>
      <c r="R1817" s="24" t="b">
        <v>0</v>
      </c>
      <c r="S1817" s="7" t="str">
        <f t="shared" si="6"/>
        <v/>
      </c>
      <c r="T1817" s="7"/>
    </row>
    <row r="1818" ht="22.5" hidden="1" customHeight="1">
      <c r="B1818" s="7">
        <f t="shared" si="7"/>
        <v>1812</v>
      </c>
      <c r="C1818" s="40"/>
      <c r="D1818" s="19" t="str">
        <f t="array" ref="D1818">IFNA(_xlfn.XLOOKUP(C1818,Table_Tarikan_Warkah[Nomor Sertipikat],Table_Tarikan_Warkah[Nomor Tiket]),"")</f>
        <v/>
      </c>
      <c r="E1818" s="20" t="str">
        <f t="array" ref="E1818">IFNA(_xlfn.XLOOKUP(D1818,Table_Tarikan_Warkah[Nomor Tiket],Table_Tarikan_Warkah[Tanggal diserahkan kepada Validator]),"")</f>
        <v/>
      </c>
      <c r="F1818" s="20" t="str">
        <f t="array" ref="F1818">IFNA(_xlfn.XLOOKUP(D1818,Table_Tarikan_Warkah[Nomor Tiket],Table_Tarikan_Warkah[Nama Petugas Warkah]),"")</f>
        <v/>
      </c>
      <c r="G1818" s="21" t="str">
        <f t="array" ref="G1818">IFNA(_xlfn.XLOOKUP(D1818,Table_Tarikan_Warkah[Nomor Tiket],Table_Tarikan_Warkah[Jenis Permohonan]),"")</f>
        <v/>
      </c>
      <c r="H1818" s="26"/>
      <c r="I1818" s="26"/>
      <c r="J1818" s="20" t="str">
        <f t="shared" si="29"/>
        <v/>
      </c>
      <c r="K1818" s="26"/>
      <c r="L1818" s="26"/>
      <c r="M1818" s="20" t="str">
        <f t="shared" si="30"/>
        <v/>
      </c>
      <c r="N1818" s="8" t="str">
        <f t="shared" si="3"/>
        <v/>
      </c>
      <c r="O1818" s="21" t="str">
        <f t="shared" si="22"/>
        <v/>
      </c>
      <c r="P1818" s="24" t="b">
        <v>0</v>
      </c>
      <c r="Q1818" s="20" t="str">
        <f t="shared" si="31"/>
        <v/>
      </c>
      <c r="R1818" s="24" t="b">
        <v>0</v>
      </c>
      <c r="S1818" s="7" t="str">
        <f t="shared" si="6"/>
        <v/>
      </c>
      <c r="T1818" s="7"/>
    </row>
    <row r="1819" ht="22.5" hidden="1" customHeight="1">
      <c r="B1819" s="7">
        <f t="shared" si="7"/>
        <v>1813</v>
      </c>
      <c r="C1819" s="40"/>
      <c r="D1819" s="19" t="str">
        <f t="array" ref="D1819">IFNA(_xlfn.XLOOKUP(C1819,Table_Tarikan_Warkah[Nomor Sertipikat],Table_Tarikan_Warkah[Nomor Tiket]),"")</f>
        <v/>
      </c>
      <c r="E1819" s="20" t="str">
        <f t="array" ref="E1819">IFNA(_xlfn.XLOOKUP(D1819,Table_Tarikan_Warkah[Nomor Tiket],Table_Tarikan_Warkah[Tanggal diserahkan kepada Validator]),"")</f>
        <v/>
      </c>
      <c r="F1819" s="20" t="str">
        <f t="array" ref="F1819">IFNA(_xlfn.XLOOKUP(D1819,Table_Tarikan_Warkah[Nomor Tiket],Table_Tarikan_Warkah[Nama Petugas Warkah]),"")</f>
        <v/>
      </c>
      <c r="G1819" s="21" t="str">
        <f t="array" ref="G1819">IFNA(_xlfn.XLOOKUP(D1819,Table_Tarikan_Warkah[Nomor Tiket],Table_Tarikan_Warkah[Jenis Permohonan]),"")</f>
        <v/>
      </c>
      <c r="H1819" s="26"/>
      <c r="I1819" s="26"/>
      <c r="J1819" s="20" t="str">
        <f t="shared" si="29"/>
        <v/>
      </c>
      <c r="K1819" s="26"/>
      <c r="L1819" s="26"/>
      <c r="M1819" s="20" t="str">
        <f t="shared" si="30"/>
        <v/>
      </c>
      <c r="N1819" s="8" t="str">
        <f t="shared" si="3"/>
        <v/>
      </c>
      <c r="O1819" s="21" t="str">
        <f t="shared" si="22"/>
        <v/>
      </c>
      <c r="P1819" s="24" t="b">
        <v>0</v>
      </c>
      <c r="Q1819" s="20" t="str">
        <f t="shared" si="31"/>
        <v/>
      </c>
      <c r="R1819" s="24" t="b">
        <v>0</v>
      </c>
      <c r="S1819" s="7" t="str">
        <f t="shared" si="6"/>
        <v/>
      </c>
      <c r="T1819" s="7"/>
    </row>
    <row r="1820" ht="22.5" hidden="1" customHeight="1">
      <c r="B1820" s="7">
        <f t="shared" si="7"/>
        <v>1814</v>
      </c>
      <c r="C1820" s="40"/>
      <c r="D1820" s="19" t="str">
        <f t="array" ref="D1820">IFNA(_xlfn.XLOOKUP(C1820,Table_Tarikan_Warkah[Nomor Sertipikat],Table_Tarikan_Warkah[Nomor Tiket]),"")</f>
        <v/>
      </c>
      <c r="E1820" s="20" t="str">
        <f t="array" ref="E1820">IFNA(_xlfn.XLOOKUP(D1820,Table_Tarikan_Warkah[Nomor Tiket],Table_Tarikan_Warkah[Tanggal diserahkan kepada Validator]),"")</f>
        <v/>
      </c>
      <c r="F1820" s="20" t="str">
        <f t="array" ref="F1820">IFNA(_xlfn.XLOOKUP(D1820,Table_Tarikan_Warkah[Nomor Tiket],Table_Tarikan_Warkah[Nama Petugas Warkah]),"")</f>
        <v/>
      </c>
      <c r="G1820" s="21" t="str">
        <f t="array" ref="G1820">IFNA(_xlfn.XLOOKUP(D1820,Table_Tarikan_Warkah[Nomor Tiket],Table_Tarikan_Warkah[Jenis Permohonan]),"")</f>
        <v/>
      </c>
      <c r="H1820" s="26"/>
      <c r="I1820" s="26"/>
      <c r="J1820" s="20" t="str">
        <f t="shared" si="29"/>
        <v/>
      </c>
      <c r="K1820" s="26"/>
      <c r="L1820" s="26"/>
      <c r="M1820" s="20" t="str">
        <f t="shared" si="30"/>
        <v/>
      </c>
      <c r="N1820" s="8" t="str">
        <f t="shared" si="3"/>
        <v/>
      </c>
      <c r="O1820" s="21" t="str">
        <f t="shared" si="22"/>
        <v/>
      </c>
      <c r="P1820" s="24" t="b">
        <v>0</v>
      </c>
      <c r="Q1820" s="20" t="str">
        <f t="shared" si="31"/>
        <v/>
      </c>
      <c r="R1820" s="24" t="b">
        <v>0</v>
      </c>
      <c r="S1820" s="7" t="str">
        <f t="shared" si="6"/>
        <v/>
      </c>
      <c r="T1820" s="7"/>
    </row>
    <row r="1821" ht="22.5" hidden="1" customHeight="1">
      <c r="B1821" s="7">
        <f t="shared" si="7"/>
        <v>1815</v>
      </c>
      <c r="C1821" s="40"/>
      <c r="D1821" s="19" t="str">
        <f t="array" ref="D1821">IFNA(_xlfn.XLOOKUP(C1821,Table_Tarikan_Warkah[Nomor Sertipikat],Table_Tarikan_Warkah[Nomor Tiket]),"")</f>
        <v/>
      </c>
      <c r="E1821" s="20" t="str">
        <f t="array" ref="E1821">IFNA(_xlfn.XLOOKUP(D1821,Table_Tarikan_Warkah[Nomor Tiket],Table_Tarikan_Warkah[Tanggal diserahkan kepada Validator]),"")</f>
        <v/>
      </c>
      <c r="F1821" s="20" t="str">
        <f t="array" ref="F1821">IFNA(_xlfn.XLOOKUP(D1821,Table_Tarikan_Warkah[Nomor Tiket],Table_Tarikan_Warkah[Nama Petugas Warkah]),"")</f>
        <v/>
      </c>
      <c r="G1821" s="21" t="str">
        <f t="array" ref="G1821">IFNA(_xlfn.XLOOKUP(D1821,Table_Tarikan_Warkah[Nomor Tiket],Table_Tarikan_Warkah[Jenis Permohonan]),"")</f>
        <v/>
      </c>
      <c r="H1821" s="26"/>
      <c r="I1821" s="26"/>
      <c r="J1821" s="20" t="str">
        <f t="shared" si="29"/>
        <v/>
      </c>
      <c r="K1821" s="26"/>
      <c r="L1821" s="26"/>
      <c r="M1821" s="20" t="str">
        <f t="shared" si="30"/>
        <v/>
      </c>
      <c r="N1821" s="8" t="str">
        <f t="shared" si="3"/>
        <v/>
      </c>
      <c r="O1821" s="21" t="str">
        <f t="shared" si="22"/>
        <v/>
      </c>
      <c r="P1821" s="24" t="b">
        <v>0</v>
      </c>
      <c r="Q1821" s="20" t="str">
        <f t="shared" si="31"/>
        <v/>
      </c>
      <c r="R1821" s="24" t="b">
        <v>0</v>
      </c>
      <c r="S1821" s="7" t="str">
        <f t="shared" si="6"/>
        <v/>
      </c>
      <c r="T1821" s="7"/>
    </row>
    <row r="1822" ht="22.5" hidden="1" customHeight="1">
      <c r="B1822" s="7">
        <f t="shared" si="7"/>
        <v>1816</v>
      </c>
      <c r="C1822" s="40"/>
      <c r="D1822" s="19" t="str">
        <f t="array" ref="D1822">IFNA(_xlfn.XLOOKUP(C1822,Table_Tarikan_Warkah[Nomor Sertipikat],Table_Tarikan_Warkah[Nomor Tiket]),"")</f>
        <v/>
      </c>
      <c r="E1822" s="20" t="str">
        <f t="array" ref="E1822">IFNA(_xlfn.XLOOKUP(D1822,Table_Tarikan_Warkah[Nomor Tiket],Table_Tarikan_Warkah[Tanggal diserahkan kepada Validator]),"")</f>
        <v/>
      </c>
      <c r="F1822" s="20" t="str">
        <f t="array" ref="F1822">IFNA(_xlfn.XLOOKUP(D1822,Table_Tarikan_Warkah[Nomor Tiket],Table_Tarikan_Warkah[Nama Petugas Warkah]),"")</f>
        <v/>
      </c>
      <c r="G1822" s="21" t="str">
        <f t="array" ref="G1822">IFNA(_xlfn.XLOOKUP(D1822,Table_Tarikan_Warkah[Nomor Tiket],Table_Tarikan_Warkah[Jenis Permohonan]),"")</f>
        <v/>
      </c>
      <c r="H1822" s="26"/>
      <c r="I1822" s="26"/>
      <c r="J1822" s="20" t="str">
        <f t="shared" si="29"/>
        <v/>
      </c>
      <c r="K1822" s="26"/>
      <c r="L1822" s="26"/>
      <c r="M1822" s="20" t="str">
        <f t="shared" si="30"/>
        <v/>
      </c>
      <c r="N1822" s="8" t="str">
        <f t="shared" si="3"/>
        <v/>
      </c>
      <c r="O1822" s="21" t="str">
        <f t="shared" si="22"/>
        <v/>
      </c>
      <c r="P1822" s="24" t="b">
        <v>0</v>
      </c>
      <c r="Q1822" s="20" t="str">
        <f t="shared" si="31"/>
        <v/>
      </c>
      <c r="R1822" s="24" t="b">
        <v>0</v>
      </c>
      <c r="S1822" s="7" t="str">
        <f t="shared" si="6"/>
        <v/>
      </c>
      <c r="T1822" s="7"/>
    </row>
    <row r="1823" ht="22.5" hidden="1" customHeight="1">
      <c r="B1823" s="7">
        <f t="shared" si="7"/>
        <v>1817</v>
      </c>
      <c r="C1823" s="40"/>
      <c r="D1823" s="19" t="str">
        <f t="array" ref="D1823">IFNA(_xlfn.XLOOKUP(C1823,Table_Tarikan_Warkah[Nomor Sertipikat],Table_Tarikan_Warkah[Nomor Tiket]),"")</f>
        <v/>
      </c>
      <c r="E1823" s="20" t="str">
        <f t="array" ref="E1823">IFNA(_xlfn.XLOOKUP(D1823,Table_Tarikan_Warkah[Nomor Tiket],Table_Tarikan_Warkah[Tanggal diserahkan kepada Validator]),"")</f>
        <v/>
      </c>
      <c r="F1823" s="20" t="str">
        <f t="array" ref="F1823">IFNA(_xlfn.XLOOKUP(D1823,Table_Tarikan_Warkah[Nomor Tiket],Table_Tarikan_Warkah[Nama Petugas Warkah]),"")</f>
        <v/>
      </c>
      <c r="G1823" s="21" t="str">
        <f t="array" ref="G1823">IFNA(_xlfn.XLOOKUP(D1823,Table_Tarikan_Warkah[Nomor Tiket],Table_Tarikan_Warkah[Jenis Permohonan]),"")</f>
        <v/>
      </c>
      <c r="H1823" s="26"/>
      <c r="I1823" s="26"/>
      <c r="J1823" s="20" t="str">
        <f t="shared" si="29"/>
        <v/>
      </c>
      <c r="K1823" s="26"/>
      <c r="L1823" s="26"/>
      <c r="M1823" s="20" t="str">
        <f t="shared" si="30"/>
        <v/>
      </c>
      <c r="N1823" s="8" t="str">
        <f t="shared" si="3"/>
        <v/>
      </c>
      <c r="O1823" s="21" t="str">
        <f t="shared" si="22"/>
        <v/>
      </c>
      <c r="P1823" s="24" t="b">
        <v>0</v>
      </c>
      <c r="Q1823" s="20" t="str">
        <f t="shared" si="31"/>
        <v/>
      </c>
      <c r="R1823" s="24" t="b">
        <v>0</v>
      </c>
      <c r="S1823" s="7" t="str">
        <f t="shared" si="6"/>
        <v/>
      </c>
      <c r="T1823" s="7"/>
    </row>
    <row r="1824" ht="22.5" hidden="1" customHeight="1">
      <c r="B1824" s="7">
        <f t="shared" si="7"/>
        <v>1818</v>
      </c>
      <c r="C1824" s="40"/>
      <c r="D1824" s="19" t="str">
        <f t="array" ref="D1824">IFNA(_xlfn.XLOOKUP(C1824,Table_Tarikan_Warkah[Nomor Sertipikat],Table_Tarikan_Warkah[Nomor Tiket]),"")</f>
        <v/>
      </c>
      <c r="E1824" s="20" t="str">
        <f t="array" ref="E1824">IFNA(_xlfn.XLOOKUP(D1824,Table_Tarikan_Warkah[Nomor Tiket],Table_Tarikan_Warkah[Tanggal diserahkan kepada Validator]),"")</f>
        <v/>
      </c>
      <c r="F1824" s="20" t="str">
        <f t="array" ref="F1824">IFNA(_xlfn.XLOOKUP(D1824,Table_Tarikan_Warkah[Nomor Tiket],Table_Tarikan_Warkah[Nama Petugas Warkah]),"")</f>
        <v/>
      </c>
      <c r="G1824" s="21" t="str">
        <f t="array" ref="G1824">IFNA(_xlfn.XLOOKUP(D1824,Table_Tarikan_Warkah[Nomor Tiket],Table_Tarikan_Warkah[Jenis Permohonan]),"")</f>
        <v/>
      </c>
      <c r="H1824" s="26"/>
      <c r="I1824" s="26"/>
      <c r="J1824" s="20" t="str">
        <f t="shared" si="29"/>
        <v/>
      </c>
      <c r="K1824" s="26"/>
      <c r="L1824" s="26"/>
      <c r="M1824" s="20" t="str">
        <f t="shared" si="30"/>
        <v/>
      </c>
      <c r="N1824" s="8" t="str">
        <f t="shared" si="3"/>
        <v/>
      </c>
      <c r="O1824" s="21" t="str">
        <f t="shared" si="22"/>
        <v/>
      </c>
      <c r="P1824" s="24" t="b">
        <v>0</v>
      </c>
      <c r="Q1824" s="20" t="str">
        <f t="shared" si="31"/>
        <v/>
      </c>
      <c r="R1824" s="24" t="b">
        <v>0</v>
      </c>
      <c r="S1824" s="7" t="str">
        <f t="shared" si="6"/>
        <v/>
      </c>
      <c r="T1824" s="7"/>
    </row>
    <row r="1825" ht="22.5" hidden="1" customHeight="1">
      <c r="B1825" s="7">
        <f t="shared" si="7"/>
        <v>1819</v>
      </c>
      <c r="C1825" s="40"/>
      <c r="D1825" s="19" t="str">
        <f t="array" ref="D1825">IFNA(_xlfn.XLOOKUP(C1825,Table_Tarikan_Warkah[Nomor Sertipikat],Table_Tarikan_Warkah[Nomor Tiket]),"")</f>
        <v/>
      </c>
      <c r="E1825" s="20" t="str">
        <f t="array" ref="E1825">IFNA(_xlfn.XLOOKUP(D1825,Table_Tarikan_Warkah[Nomor Tiket],Table_Tarikan_Warkah[Tanggal diserahkan kepada Validator]),"")</f>
        <v/>
      </c>
      <c r="F1825" s="20" t="str">
        <f t="array" ref="F1825">IFNA(_xlfn.XLOOKUP(D1825,Table_Tarikan_Warkah[Nomor Tiket],Table_Tarikan_Warkah[Nama Petugas Warkah]),"")</f>
        <v/>
      </c>
      <c r="G1825" s="21" t="str">
        <f t="array" ref="G1825">IFNA(_xlfn.XLOOKUP(D1825,Table_Tarikan_Warkah[Nomor Tiket],Table_Tarikan_Warkah[Jenis Permohonan]),"")</f>
        <v/>
      </c>
      <c r="H1825" s="26"/>
      <c r="I1825" s="26"/>
      <c r="J1825" s="20" t="str">
        <f t="shared" si="29"/>
        <v/>
      </c>
      <c r="K1825" s="26"/>
      <c r="L1825" s="26"/>
      <c r="M1825" s="20" t="str">
        <f t="shared" si="30"/>
        <v/>
      </c>
      <c r="N1825" s="8" t="str">
        <f t="shared" si="3"/>
        <v/>
      </c>
      <c r="O1825" s="21" t="str">
        <f t="shared" si="22"/>
        <v/>
      </c>
      <c r="P1825" s="24" t="b">
        <v>0</v>
      </c>
      <c r="Q1825" s="20" t="str">
        <f t="shared" si="31"/>
        <v/>
      </c>
      <c r="R1825" s="24" t="b">
        <v>0</v>
      </c>
      <c r="S1825" s="7" t="str">
        <f t="shared" si="6"/>
        <v/>
      </c>
      <c r="T1825" s="7"/>
    </row>
    <row r="1826" ht="22.5" hidden="1" customHeight="1">
      <c r="B1826" s="7">
        <f t="shared" si="7"/>
        <v>1820</v>
      </c>
      <c r="C1826" s="40"/>
      <c r="D1826" s="19" t="str">
        <f t="array" ref="D1826">IFNA(_xlfn.XLOOKUP(C1826,Table_Tarikan_Warkah[Nomor Sertipikat],Table_Tarikan_Warkah[Nomor Tiket]),"")</f>
        <v/>
      </c>
      <c r="E1826" s="20" t="str">
        <f t="array" ref="E1826">IFNA(_xlfn.XLOOKUP(D1826,Table_Tarikan_Warkah[Nomor Tiket],Table_Tarikan_Warkah[Tanggal diserahkan kepada Validator]),"")</f>
        <v/>
      </c>
      <c r="F1826" s="20" t="str">
        <f t="array" ref="F1826">IFNA(_xlfn.XLOOKUP(D1826,Table_Tarikan_Warkah[Nomor Tiket],Table_Tarikan_Warkah[Nama Petugas Warkah]),"")</f>
        <v/>
      </c>
      <c r="G1826" s="21" t="str">
        <f t="array" ref="G1826">IFNA(_xlfn.XLOOKUP(D1826,Table_Tarikan_Warkah[Nomor Tiket],Table_Tarikan_Warkah[Jenis Permohonan]),"")</f>
        <v/>
      </c>
      <c r="H1826" s="26"/>
      <c r="I1826" s="26"/>
      <c r="J1826" s="20" t="str">
        <f t="shared" si="29"/>
        <v/>
      </c>
      <c r="K1826" s="26"/>
      <c r="L1826" s="26"/>
      <c r="M1826" s="20" t="str">
        <f t="shared" si="30"/>
        <v/>
      </c>
      <c r="N1826" s="8" t="str">
        <f t="shared" si="3"/>
        <v/>
      </c>
      <c r="O1826" s="21" t="str">
        <f t="shared" si="22"/>
        <v/>
      </c>
      <c r="P1826" s="24" t="b">
        <v>0</v>
      </c>
      <c r="Q1826" s="20" t="str">
        <f t="shared" si="31"/>
        <v/>
      </c>
      <c r="R1826" s="24" t="b">
        <v>0</v>
      </c>
      <c r="S1826" s="7" t="str">
        <f t="shared" si="6"/>
        <v/>
      </c>
      <c r="T1826" s="7"/>
    </row>
    <row r="1827" ht="22.5" hidden="1" customHeight="1">
      <c r="B1827" s="7">
        <f t="shared" si="7"/>
        <v>1821</v>
      </c>
      <c r="C1827" s="40"/>
      <c r="D1827" s="19" t="str">
        <f t="array" ref="D1827">IFNA(_xlfn.XLOOKUP(C1827,Table_Tarikan_Warkah[Nomor Sertipikat],Table_Tarikan_Warkah[Nomor Tiket]),"")</f>
        <v/>
      </c>
      <c r="E1827" s="20" t="str">
        <f t="array" ref="E1827">IFNA(_xlfn.XLOOKUP(D1827,Table_Tarikan_Warkah[Nomor Tiket],Table_Tarikan_Warkah[Tanggal diserahkan kepada Validator]),"")</f>
        <v/>
      </c>
      <c r="F1827" s="20" t="str">
        <f t="array" ref="F1827">IFNA(_xlfn.XLOOKUP(D1827,Table_Tarikan_Warkah[Nomor Tiket],Table_Tarikan_Warkah[Nama Petugas Warkah]),"")</f>
        <v/>
      </c>
      <c r="G1827" s="21" t="str">
        <f t="array" ref="G1827">IFNA(_xlfn.XLOOKUP(D1827,Table_Tarikan_Warkah[Nomor Tiket],Table_Tarikan_Warkah[Jenis Permohonan]),"")</f>
        <v/>
      </c>
      <c r="H1827" s="26"/>
      <c r="I1827" s="26"/>
      <c r="J1827" s="20" t="str">
        <f t="shared" si="29"/>
        <v/>
      </c>
      <c r="K1827" s="26"/>
      <c r="L1827" s="26"/>
      <c r="M1827" s="20" t="str">
        <f t="shared" si="30"/>
        <v/>
      </c>
      <c r="N1827" s="8" t="str">
        <f t="shared" si="3"/>
        <v/>
      </c>
      <c r="O1827" s="21" t="str">
        <f t="shared" si="22"/>
        <v/>
      </c>
      <c r="P1827" s="24" t="b">
        <v>0</v>
      </c>
      <c r="Q1827" s="20" t="str">
        <f t="shared" si="31"/>
        <v/>
      </c>
      <c r="R1827" s="24" t="b">
        <v>0</v>
      </c>
      <c r="S1827" s="7" t="str">
        <f t="shared" si="6"/>
        <v/>
      </c>
      <c r="T1827" s="7"/>
    </row>
    <row r="1828" ht="22.5" hidden="1" customHeight="1">
      <c r="B1828" s="7">
        <f t="shared" si="7"/>
        <v>1822</v>
      </c>
      <c r="C1828" s="40"/>
      <c r="D1828" s="19" t="str">
        <f t="array" ref="D1828">IFNA(_xlfn.XLOOKUP(C1828,Table_Tarikan_Warkah[Nomor Sertipikat],Table_Tarikan_Warkah[Nomor Tiket]),"")</f>
        <v/>
      </c>
      <c r="E1828" s="20" t="str">
        <f t="array" ref="E1828">IFNA(_xlfn.XLOOKUP(D1828,Table_Tarikan_Warkah[Nomor Tiket],Table_Tarikan_Warkah[Tanggal diserahkan kepada Validator]),"")</f>
        <v/>
      </c>
      <c r="F1828" s="20" t="str">
        <f t="array" ref="F1828">IFNA(_xlfn.XLOOKUP(D1828,Table_Tarikan_Warkah[Nomor Tiket],Table_Tarikan_Warkah[Nama Petugas Warkah]),"")</f>
        <v/>
      </c>
      <c r="G1828" s="21" t="str">
        <f t="array" ref="G1828">IFNA(_xlfn.XLOOKUP(D1828,Table_Tarikan_Warkah[Nomor Tiket],Table_Tarikan_Warkah[Jenis Permohonan]),"")</f>
        <v/>
      </c>
      <c r="H1828" s="26"/>
      <c r="I1828" s="26"/>
      <c r="J1828" s="20" t="str">
        <f t="shared" si="29"/>
        <v/>
      </c>
      <c r="K1828" s="26"/>
      <c r="L1828" s="26"/>
      <c r="M1828" s="20" t="str">
        <f t="shared" si="30"/>
        <v/>
      </c>
      <c r="N1828" s="8" t="str">
        <f t="shared" si="3"/>
        <v/>
      </c>
      <c r="O1828" s="21" t="str">
        <f t="shared" si="22"/>
        <v/>
      </c>
      <c r="P1828" s="24" t="b">
        <v>0</v>
      </c>
      <c r="Q1828" s="20" t="str">
        <f t="shared" si="31"/>
        <v/>
      </c>
      <c r="R1828" s="24" t="b">
        <v>0</v>
      </c>
      <c r="S1828" s="7" t="str">
        <f t="shared" si="6"/>
        <v/>
      </c>
      <c r="T1828" s="7"/>
    </row>
    <row r="1829" ht="22.5" hidden="1" customHeight="1">
      <c r="B1829" s="7">
        <f t="shared" si="7"/>
        <v>1823</v>
      </c>
      <c r="C1829" s="40"/>
      <c r="D1829" s="19" t="str">
        <f t="array" ref="D1829">IFNA(_xlfn.XLOOKUP(C1829,Table_Tarikan_Warkah[Nomor Sertipikat],Table_Tarikan_Warkah[Nomor Tiket]),"")</f>
        <v/>
      </c>
      <c r="E1829" s="20" t="str">
        <f t="array" ref="E1829">IFNA(_xlfn.XLOOKUP(D1829,Table_Tarikan_Warkah[Nomor Tiket],Table_Tarikan_Warkah[Tanggal diserahkan kepada Validator]),"")</f>
        <v/>
      </c>
      <c r="F1829" s="20" t="str">
        <f t="array" ref="F1829">IFNA(_xlfn.XLOOKUP(D1829,Table_Tarikan_Warkah[Nomor Tiket],Table_Tarikan_Warkah[Nama Petugas Warkah]),"")</f>
        <v/>
      </c>
      <c r="G1829" s="21" t="str">
        <f t="array" ref="G1829">IFNA(_xlfn.XLOOKUP(D1829,Table_Tarikan_Warkah[Nomor Tiket],Table_Tarikan_Warkah[Jenis Permohonan]),"")</f>
        <v/>
      </c>
      <c r="H1829" s="26"/>
      <c r="I1829" s="26"/>
      <c r="J1829" s="20" t="str">
        <f t="shared" si="29"/>
        <v/>
      </c>
      <c r="K1829" s="26"/>
      <c r="L1829" s="26"/>
      <c r="M1829" s="20" t="str">
        <f t="shared" si="30"/>
        <v/>
      </c>
      <c r="N1829" s="8" t="str">
        <f t="shared" si="3"/>
        <v/>
      </c>
      <c r="O1829" s="21" t="str">
        <f t="shared" si="22"/>
        <v/>
      </c>
      <c r="P1829" s="24" t="b">
        <v>0</v>
      </c>
      <c r="Q1829" s="20" t="str">
        <f t="shared" si="31"/>
        <v/>
      </c>
      <c r="R1829" s="24" t="b">
        <v>0</v>
      </c>
      <c r="S1829" s="7" t="str">
        <f t="shared" si="6"/>
        <v/>
      </c>
      <c r="T1829" s="7"/>
    </row>
    <row r="1830" ht="22.5" hidden="1" customHeight="1">
      <c r="B1830" s="7">
        <f t="shared" si="7"/>
        <v>1824</v>
      </c>
      <c r="C1830" s="40"/>
      <c r="D1830" s="19" t="str">
        <f t="array" ref="D1830">IFNA(_xlfn.XLOOKUP(C1830,Table_Tarikan_Warkah[Nomor Sertipikat],Table_Tarikan_Warkah[Nomor Tiket]),"")</f>
        <v/>
      </c>
      <c r="E1830" s="20" t="str">
        <f t="array" ref="E1830">IFNA(_xlfn.XLOOKUP(D1830,Table_Tarikan_Warkah[Nomor Tiket],Table_Tarikan_Warkah[Tanggal diserahkan kepada Validator]),"")</f>
        <v/>
      </c>
      <c r="F1830" s="20" t="str">
        <f t="array" ref="F1830">IFNA(_xlfn.XLOOKUP(D1830,Table_Tarikan_Warkah[Nomor Tiket],Table_Tarikan_Warkah[Nama Petugas Warkah]),"")</f>
        <v/>
      </c>
      <c r="G1830" s="21" t="str">
        <f t="array" ref="G1830">IFNA(_xlfn.XLOOKUP(D1830,Table_Tarikan_Warkah[Nomor Tiket],Table_Tarikan_Warkah[Jenis Permohonan]),"")</f>
        <v/>
      </c>
      <c r="H1830" s="26"/>
      <c r="I1830" s="26"/>
      <c r="J1830" s="20" t="str">
        <f t="shared" si="29"/>
        <v/>
      </c>
      <c r="K1830" s="26"/>
      <c r="L1830" s="26"/>
      <c r="M1830" s="20" t="str">
        <f t="shared" si="30"/>
        <v/>
      </c>
      <c r="N1830" s="8" t="str">
        <f t="shared" si="3"/>
        <v/>
      </c>
      <c r="O1830" s="21" t="str">
        <f t="shared" si="22"/>
        <v/>
      </c>
      <c r="P1830" s="24" t="b">
        <v>0</v>
      </c>
      <c r="Q1830" s="20" t="str">
        <f t="shared" si="31"/>
        <v/>
      </c>
      <c r="R1830" s="24" t="b">
        <v>0</v>
      </c>
      <c r="S1830" s="7" t="str">
        <f t="shared" si="6"/>
        <v/>
      </c>
      <c r="T1830" s="7"/>
    </row>
    <row r="1831" ht="22.5" hidden="1" customHeight="1">
      <c r="B1831" s="7">
        <f t="shared" si="7"/>
        <v>1825</v>
      </c>
      <c r="C1831" s="40"/>
      <c r="D1831" s="19" t="str">
        <f t="array" ref="D1831">IFNA(_xlfn.XLOOKUP(C1831,Table_Tarikan_Warkah[Nomor Sertipikat],Table_Tarikan_Warkah[Nomor Tiket]),"")</f>
        <v/>
      </c>
      <c r="E1831" s="20" t="str">
        <f t="array" ref="E1831">IFNA(_xlfn.XLOOKUP(D1831,Table_Tarikan_Warkah[Nomor Tiket],Table_Tarikan_Warkah[Tanggal diserahkan kepada Validator]),"")</f>
        <v/>
      </c>
      <c r="F1831" s="20" t="str">
        <f t="array" ref="F1831">IFNA(_xlfn.XLOOKUP(D1831,Table_Tarikan_Warkah[Nomor Tiket],Table_Tarikan_Warkah[Nama Petugas Warkah]),"")</f>
        <v/>
      </c>
      <c r="G1831" s="21" t="str">
        <f t="array" ref="G1831">IFNA(_xlfn.XLOOKUP(D1831,Table_Tarikan_Warkah[Nomor Tiket],Table_Tarikan_Warkah[Jenis Permohonan]),"")</f>
        <v/>
      </c>
      <c r="H1831" s="26"/>
      <c r="I1831" s="26"/>
      <c r="J1831" s="20" t="str">
        <f t="shared" si="29"/>
        <v/>
      </c>
      <c r="K1831" s="26"/>
      <c r="L1831" s="26"/>
      <c r="M1831" s="20" t="str">
        <f t="shared" si="30"/>
        <v/>
      </c>
      <c r="N1831" s="8" t="str">
        <f t="shared" si="3"/>
        <v/>
      </c>
      <c r="O1831" s="21" t="str">
        <f t="shared" si="22"/>
        <v/>
      </c>
      <c r="P1831" s="24" t="b">
        <v>0</v>
      </c>
      <c r="Q1831" s="20" t="str">
        <f t="shared" si="31"/>
        <v/>
      </c>
      <c r="R1831" s="24" t="b">
        <v>0</v>
      </c>
      <c r="S1831" s="7" t="str">
        <f t="shared" si="6"/>
        <v/>
      </c>
      <c r="T1831" s="7"/>
    </row>
    <row r="1832" ht="22.5" hidden="1" customHeight="1">
      <c r="B1832" s="7">
        <f t="shared" si="7"/>
        <v>1826</v>
      </c>
      <c r="C1832" s="40"/>
      <c r="D1832" s="19" t="str">
        <f t="array" ref="D1832">IFNA(_xlfn.XLOOKUP(C1832,Table_Tarikan_Warkah[Nomor Sertipikat],Table_Tarikan_Warkah[Nomor Tiket]),"")</f>
        <v/>
      </c>
      <c r="E1832" s="20" t="str">
        <f t="array" ref="E1832">IFNA(_xlfn.XLOOKUP(D1832,Table_Tarikan_Warkah[Nomor Tiket],Table_Tarikan_Warkah[Tanggal diserahkan kepada Validator]),"")</f>
        <v/>
      </c>
      <c r="F1832" s="20" t="str">
        <f t="array" ref="F1832">IFNA(_xlfn.XLOOKUP(D1832,Table_Tarikan_Warkah[Nomor Tiket],Table_Tarikan_Warkah[Nama Petugas Warkah]),"")</f>
        <v/>
      </c>
      <c r="G1832" s="21" t="str">
        <f t="array" ref="G1832">IFNA(_xlfn.XLOOKUP(D1832,Table_Tarikan_Warkah[Nomor Tiket],Table_Tarikan_Warkah[Jenis Permohonan]),"")</f>
        <v/>
      </c>
      <c r="H1832" s="26"/>
      <c r="I1832" s="26"/>
      <c r="J1832" s="20" t="str">
        <f t="shared" si="29"/>
        <v/>
      </c>
      <c r="K1832" s="26"/>
      <c r="L1832" s="26"/>
      <c r="M1832" s="20" t="str">
        <f t="shared" si="30"/>
        <v/>
      </c>
      <c r="N1832" s="8" t="str">
        <f t="shared" si="3"/>
        <v/>
      </c>
      <c r="O1832" s="21" t="str">
        <f t="shared" si="22"/>
        <v/>
      </c>
      <c r="P1832" s="24" t="b">
        <v>0</v>
      </c>
      <c r="Q1832" s="20" t="str">
        <f t="shared" si="31"/>
        <v/>
      </c>
      <c r="R1832" s="24" t="b">
        <v>0</v>
      </c>
      <c r="S1832" s="7" t="str">
        <f t="shared" si="6"/>
        <v/>
      </c>
      <c r="T1832" s="7"/>
    </row>
    <row r="1833" ht="22.5" hidden="1" customHeight="1">
      <c r="B1833" s="7">
        <f t="shared" si="7"/>
        <v>1827</v>
      </c>
      <c r="C1833" s="40"/>
      <c r="D1833" s="19" t="str">
        <f t="array" ref="D1833">IFNA(_xlfn.XLOOKUP(C1833,Table_Tarikan_Warkah[Nomor Sertipikat],Table_Tarikan_Warkah[Nomor Tiket]),"")</f>
        <v/>
      </c>
      <c r="E1833" s="20" t="str">
        <f t="array" ref="E1833">IFNA(_xlfn.XLOOKUP(D1833,Table_Tarikan_Warkah[Nomor Tiket],Table_Tarikan_Warkah[Tanggal diserahkan kepada Validator]),"")</f>
        <v/>
      </c>
      <c r="F1833" s="20" t="str">
        <f t="array" ref="F1833">IFNA(_xlfn.XLOOKUP(D1833,Table_Tarikan_Warkah[Nomor Tiket],Table_Tarikan_Warkah[Nama Petugas Warkah]),"")</f>
        <v/>
      </c>
      <c r="G1833" s="21" t="str">
        <f t="array" ref="G1833">IFNA(_xlfn.XLOOKUP(D1833,Table_Tarikan_Warkah[Nomor Tiket],Table_Tarikan_Warkah[Jenis Permohonan]),"")</f>
        <v/>
      </c>
      <c r="H1833" s="26"/>
      <c r="I1833" s="26"/>
      <c r="J1833" s="20" t="str">
        <f t="shared" si="29"/>
        <v/>
      </c>
      <c r="K1833" s="26"/>
      <c r="L1833" s="26"/>
      <c r="M1833" s="20" t="str">
        <f t="shared" si="30"/>
        <v/>
      </c>
      <c r="N1833" s="8" t="str">
        <f t="shared" si="3"/>
        <v/>
      </c>
      <c r="O1833" s="21" t="str">
        <f t="shared" si="22"/>
        <v/>
      </c>
      <c r="P1833" s="24" t="b">
        <v>0</v>
      </c>
      <c r="Q1833" s="20" t="str">
        <f t="shared" si="31"/>
        <v/>
      </c>
      <c r="R1833" s="24" t="b">
        <v>0</v>
      </c>
      <c r="S1833" s="7" t="str">
        <f t="shared" si="6"/>
        <v/>
      </c>
      <c r="T1833" s="7"/>
    </row>
    <row r="1834" ht="22.5" hidden="1" customHeight="1">
      <c r="B1834" s="7">
        <f t="shared" si="7"/>
        <v>1828</v>
      </c>
      <c r="C1834" s="40"/>
      <c r="D1834" s="19" t="str">
        <f t="array" ref="D1834">IFNA(_xlfn.XLOOKUP(C1834,Table_Tarikan_Warkah[Nomor Sertipikat],Table_Tarikan_Warkah[Nomor Tiket]),"")</f>
        <v/>
      </c>
      <c r="E1834" s="20" t="str">
        <f t="array" ref="E1834">IFNA(_xlfn.XLOOKUP(D1834,Table_Tarikan_Warkah[Nomor Tiket],Table_Tarikan_Warkah[Tanggal diserahkan kepada Validator]),"")</f>
        <v/>
      </c>
      <c r="F1834" s="20" t="str">
        <f t="array" ref="F1834">IFNA(_xlfn.XLOOKUP(D1834,Table_Tarikan_Warkah[Nomor Tiket],Table_Tarikan_Warkah[Nama Petugas Warkah]),"")</f>
        <v/>
      </c>
      <c r="G1834" s="21" t="str">
        <f t="array" ref="G1834">IFNA(_xlfn.XLOOKUP(D1834,Table_Tarikan_Warkah[Nomor Tiket],Table_Tarikan_Warkah[Jenis Permohonan]),"")</f>
        <v/>
      </c>
      <c r="H1834" s="26"/>
      <c r="I1834" s="26"/>
      <c r="J1834" s="20" t="str">
        <f t="shared" si="29"/>
        <v/>
      </c>
      <c r="K1834" s="26"/>
      <c r="L1834" s="26"/>
      <c r="M1834" s="20" t="str">
        <f t="shared" si="30"/>
        <v/>
      </c>
      <c r="N1834" s="8" t="str">
        <f t="shared" si="3"/>
        <v/>
      </c>
      <c r="O1834" s="21" t="str">
        <f t="shared" si="22"/>
        <v/>
      </c>
      <c r="P1834" s="24" t="b">
        <v>0</v>
      </c>
      <c r="Q1834" s="20" t="str">
        <f t="shared" si="31"/>
        <v/>
      </c>
      <c r="R1834" s="24" t="b">
        <v>0</v>
      </c>
      <c r="S1834" s="7" t="str">
        <f t="shared" si="6"/>
        <v/>
      </c>
      <c r="T1834" s="7"/>
    </row>
    <row r="1835" ht="22.5" hidden="1" customHeight="1">
      <c r="B1835" s="7">
        <f t="shared" si="7"/>
        <v>1829</v>
      </c>
      <c r="C1835" s="40"/>
      <c r="D1835" s="19" t="str">
        <f t="array" ref="D1835">IFNA(_xlfn.XLOOKUP(C1835,Table_Tarikan_Warkah[Nomor Sertipikat],Table_Tarikan_Warkah[Nomor Tiket]),"")</f>
        <v/>
      </c>
      <c r="E1835" s="20" t="str">
        <f t="array" ref="E1835">IFNA(_xlfn.XLOOKUP(D1835,Table_Tarikan_Warkah[Nomor Tiket],Table_Tarikan_Warkah[Tanggal diserahkan kepada Validator]),"")</f>
        <v/>
      </c>
      <c r="F1835" s="20" t="str">
        <f t="array" ref="F1835">IFNA(_xlfn.XLOOKUP(D1835,Table_Tarikan_Warkah[Nomor Tiket],Table_Tarikan_Warkah[Nama Petugas Warkah]),"")</f>
        <v/>
      </c>
      <c r="G1835" s="21" t="str">
        <f t="array" ref="G1835">IFNA(_xlfn.XLOOKUP(D1835,Table_Tarikan_Warkah[Nomor Tiket],Table_Tarikan_Warkah[Jenis Permohonan]),"")</f>
        <v/>
      </c>
      <c r="H1835" s="26"/>
      <c r="I1835" s="26"/>
      <c r="J1835" s="20" t="str">
        <f t="shared" si="29"/>
        <v/>
      </c>
      <c r="K1835" s="26"/>
      <c r="L1835" s="26"/>
      <c r="M1835" s="20" t="str">
        <f t="shared" si="30"/>
        <v/>
      </c>
      <c r="N1835" s="8" t="str">
        <f t="shared" si="3"/>
        <v/>
      </c>
      <c r="O1835" s="21" t="str">
        <f t="shared" si="22"/>
        <v/>
      </c>
      <c r="P1835" s="24" t="b">
        <v>0</v>
      </c>
      <c r="Q1835" s="20" t="str">
        <f t="shared" si="31"/>
        <v/>
      </c>
      <c r="R1835" s="24" t="b">
        <v>0</v>
      </c>
      <c r="S1835" s="7" t="str">
        <f t="shared" si="6"/>
        <v/>
      </c>
      <c r="T1835" s="7"/>
    </row>
    <row r="1836" ht="22.5" hidden="1" customHeight="1">
      <c r="B1836" s="7">
        <f t="shared" si="7"/>
        <v>1830</v>
      </c>
      <c r="C1836" s="40"/>
      <c r="D1836" s="19" t="str">
        <f t="array" ref="D1836">IFNA(_xlfn.XLOOKUP(C1836,Table_Tarikan_Warkah[Nomor Sertipikat],Table_Tarikan_Warkah[Nomor Tiket]),"")</f>
        <v/>
      </c>
      <c r="E1836" s="20" t="str">
        <f t="array" ref="E1836">IFNA(_xlfn.XLOOKUP(D1836,Table_Tarikan_Warkah[Nomor Tiket],Table_Tarikan_Warkah[Tanggal diserahkan kepada Validator]),"")</f>
        <v/>
      </c>
      <c r="F1836" s="20" t="str">
        <f t="array" ref="F1836">IFNA(_xlfn.XLOOKUP(D1836,Table_Tarikan_Warkah[Nomor Tiket],Table_Tarikan_Warkah[Nama Petugas Warkah]),"")</f>
        <v/>
      </c>
      <c r="G1836" s="21" t="str">
        <f t="array" ref="G1836">IFNA(_xlfn.XLOOKUP(D1836,Table_Tarikan_Warkah[Nomor Tiket],Table_Tarikan_Warkah[Jenis Permohonan]),"")</f>
        <v/>
      </c>
      <c r="H1836" s="26"/>
      <c r="I1836" s="26"/>
      <c r="J1836" s="20" t="str">
        <f t="shared" si="29"/>
        <v/>
      </c>
      <c r="K1836" s="26"/>
      <c r="L1836" s="26"/>
      <c r="M1836" s="20" t="str">
        <f t="shared" si="30"/>
        <v/>
      </c>
      <c r="N1836" s="8" t="str">
        <f t="shared" si="3"/>
        <v/>
      </c>
      <c r="O1836" s="21" t="str">
        <f t="shared" si="22"/>
        <v/>
      </c>
      <c r="P1836" s="24" t="b">
        <v>0</v>
      </c>
      <c r="Q1836" s="20" t="str">
        <f t="shared" si="31"/>
        <v/>
      </c>
      <c r="R1836" s="24" t="b">
        <v>0</v>
      </c>
      <c r="S1836" s="7" t="str">
        <f t="shared" si="6"/>
        <v/>
      </c>
      <c r="T1836" s="7"/>
    </row>
    <row r="1837" ht="22.5" hidden="1" customHeight="1">
      <c r="B1837" s="7">
        <f t="shared" si="7"/>
        <v>1831</v>
      </c>
      <c r="C1837" s="40"/>
      <c r="D1837" s="19" t="str">
        <f t="array" ref="D1837">IFNA(_xlfn.XLOOKUP(C1837,Table_Tarikan_Warkah[Nomor Sertipikat],Table_Tarikan_Warkah[Nomor Tiket]),"")</f>
        <v/>
      </c>
      <c r="E1837" s="20" t="str">
        <f t="array" ref="E1837">IFNA(_xlfn.XLOOKUP(D1837,Table_Tarikan_Warkah[Nomor Tiket],Table_Tarikan_Warkah[Tanggal diserahkan kepada Validator]),"")</f>
        <v/>
      </c>
      <c r="F1837" s="20" t="str">
        <f t="array" ref="F1837">IFNA(_xlfn.XLOOKUP(D1837,Table_Tarikan_Warkah[Nomor Tiket],Table_Tarikan_Warkah[Nama Petugas Warkah]),"")</f>
        <v/>
      </c>
      <c r="G1837" s="21" t="str">
        <f t="array" ref="G1837">IFNA(_xlfn.XLOOKUP(D1837,Table_Tarikan_Warkah[Nomor Tiket],Table_Tarikan_Warkah[Jenis Permohonan]),"")</f>
        <v/>
      </c>
      <c r="H1837" s="26"/>
      <c r="I1837" s="26"/>
      <c r="J1837" s="20" t="str">
        <f t="shared" si="29"/>
        <v/>
      </c>
      <c r="K1837" s="26"/>
      <c r="L1837" s="26"/>
      <c r="M1837" s="20" t="str">
        <f t="shared" si="30"/>
        <v/>
      </c>
      <c r="N1837" s="8" t="str">
        <f t="shared" si="3"/>
        <v/>
      </c>
      <c r="O1837" s="21" t="str">
        <f t="shared" si="22"/>
        <v/>
      </c>
      <c r="P1837" s="24" t="b">
        <v>0</v>
      </c>
      <c r="Q1837" s="20" t="str">
        <f t="shared" si="31"/>
        <v/>
      </c>
      <c r="R1837" s="24" t="b">
        <v>0</v>
      </c>
      <c r="S1837" s="7" t="str">
        <f t="shared" si="6"/>
        <v/>
      </c>
      <c r="T1837" s="7"/>
    </row>
    <row r="1838" ht="22.5" hidden="1" customHeight="1">
      <c r="B1838" s="7">
        <f t="shared" si="7"/>
        <v>1832</v>
      </c>
      <c r="C1838" s="40"/>
      <c r="D1838" s="19" t="str">
        <f t="array" ref="D1838">IFNA(_xlfn.XLOOKUP(C1838,Table_Tarikan_Warkah[Nomor Sertipikat],Table_Tarikan_Warkah[Nomor Tiket]),"")</f>
        <v/>
      </c>
      <c r="E1838" s="20" t="str">
        <f t="array" ref="E1838">IFNA(_xlfn.XLOOKUP(D1838,Table_Tarikan_Warkah[Nomor Tiket],Table_Tarikan_Warkah[Tanggal diserahkan kepada Validator]),"")</f>
        <v/>
      </c>
      <c r="F1838" s="20" t="str">
        <f t="array" ref="F1838">IFNA(_xlfn.XLOOKUP(D1838,Table_Tarikan_Warkah[Nomor Tiket],Table_Tarikan_Warkah[Nama Petugas Warkah]),"")</f>
        <v/>
      </c>
      <c r="G1838" s="21" t="str">
        <f t="array" ref="G1838">IFNA(_xlfn.XLOOKUP(D1838,Table_Tarikan_Warkah[Nomor Tiket],Table_Tarikan_Warkah[Jenis Permohonan]),"")</f>
        <v/>
      </c>
      <c r="H1838" s="26"/>
      <c r="I1838" s="26"/>
      <c r="J1838" s="20" t="str">
        <f t="shared" si="29"/>
        <v/>
      </c>
      <c r="K1838" s="26"/>
      <c r="L1838" s="26"/>
      <c r="M1838" s="20" t="str">
        <f t="shared" si="30"/>
        <v/>
      </c>
      <c r="N1838" s="8" t="str">
        <f t="shared" si="3"/>
        <v/>
      </c>
      <c r="O1838" s="21" t="str">
        <f t="shared" si="22"/>
        <v/>
      </c>
      <c r="P1838" s="24" t="b">
        <v>0</v>
      </c>
      <c r="Q1838" s="20" t="str">
        <f t="shared" si="31"/>
        <v/>
      </c>
      <c r="R1838" s="24" t="b">
        <v>0</v>
      </c>
      <c r="S1838" s="7" t="str">
        <f t="shared" si="6"/>
        <v/>
      </c>
      <c r="T1838" s="7"/>
    </row>
    <row r="1839" ht="22.5" hidden="1" customHeight="1">
      <c r="B1839" s="7">
        <f t="shared" si="7"/>
        <v>1833</v>
      </c>
      <c r="C1839" s="40"/>
      <c r="D1839" s="19" t="str">
        <f t="array" ref="D1839">IFNA(_xlfn.XLOOKUP(C1839,Table_Tarikan_Warkah[Nomor Sertipikat],Table_Tarikan_Warkah[Nomor Tiket]),"")</f>
        <v/>
      </c>
      <c r="E1839" s="20" t="str">
        <f t="array" ref="E1839">IFNA(_xlfn.XLOOKUP(D1839,Table_Tarikan_Warkah[Nomor Tiket],Table_Tarikan_Warkah[Tanggal diserahkan kepada Validator]),"")</f>
        <v/>
      </c>
      <c r="F1839" s="20" t="str">
        <f t="array" ref="F1839">IFNA(_xlfn.XLOOKUP(D1839,Table_Tarikan_Warkah[Nomor Tiket],Table_Tarikan_Warkah[Nama Petugas Warkah]),"")</f>
        <v/>
      </c>
      <c r="G1839" s="21" t="str">
        <f t="array" ref="G1839">IFNA(_xlfn.XLOOKUP(D1839,Table_Tarikan_Warkah[Nomor Tiket],Table_Tarikan_Warkah[Jenis Permohonan]),"")</f>
        <v/>
      </c>
      <c r="H1839" s="26"/>
      <c r="I1839" s="26"/>
      <c r="J1839" s="20" t="str">
        <f t="shared" si="29"/>
        <v/>
      </c>
      <c r="K1839" s="26"/>
      <c r="L1839" s="26"/>
      <c r="M1839" s="20" t="str">
        <f t="shared" si="30"/>
        <v/>
      </c>
      <c r="N1839" s="8" t="str">
        <f t="shared" si="3"/>
        <v/>
      </c>
      <c r="O1839" s="21" t="str">
        <f t="shared" si="22"/>
        <v/>
      </c>
      <c r="P1839" s="24" t="b">
        <v>0</v>
      </c>
      <c r="Q1839" s="20" t="str">
        <f t="shared" si="31"/>
        <v/>
      </c>
      <c r="R1839" s="24" t="b">
        <v>0</v>
      </c>
      <c r="S1839" s="7" t="str">
        <f t="shared" si="6"/>
        <v/>
      </c>
      <c r="T1839" s="7"/>
    </row>
    <row r="1840" ht="22.5" hidden="1" customHeight="1">
      <c r="B1840" s="7">
        <f t="shared" si="7"/>
        <v>1834</v>
      </c>
      <c r="C1840" s="40"/>
      <c r="D1840" s="19" t="str">
        <f t="array" ref="D1840">IFNA(_xlfn.XLOOKUP(C1840,Table_Tarikan_Warkah[Nomor Sertipikat],Table_Tarikan_Warkah[Nomor Tiket]),"")</f>
        <v/>
      </c>
      <c r="E1840" s="20" t="str">
        <f t="array" ref="E1840">IFNA(_xlfn.XLOOKUP(D1840,Table_Tarikan_Warkah[Nomor Tiket],Table_Tarikan_Warkah[Tanggal diserahkan kepada Validator]),"")</f>
        <v/>
      </c>
      <c r="F1840" s="20" t="str">
        <f t="array" ref="F1840">IFNA(_xlfn.XLOOKUP(D1840,Table_Tarikan_Warkah[Nomor Tiket],Table_Tarikan_Warkah[Nama Petugas Warkah]),"")</f>
        <v/>
      </c>
      <c r="G1840" s="21" t="str">
        <f t="array" ref="G1840">IFNA(_xlfn.XLOOKUP(D1840,Table_Tarikan_Warkah[Nomor Tiket],Table_Tarikan_Warkah[Jenis Permohonan]),"")</f>
        <v/>
      </c>
      <c r="H1840" s="26"/>
      <c r="I1840" s="26"/>
      <c r="J1840" s="20" t="str">
        <f t="shared" si="29"/>
        <v/>
      </c>
      <c r="K1840" s="26"/>
      <c r="L1840" s="26"/>
      <c r="M1840" s="20" t="str">
        <f t="shared" si="30"/>
        <v/>
      </c>
      <c r="N1840" s="8" t="str">
        <f t="shared" si="3"/>
        <v/>
      </c>
      <c r="O1840" s="21" t="str">
        <f t="shared" si="22"/>
        <v/>
      </c>
      <c r="P1840" s="24" t="b">
        <v>0</v>
      </c>
      <c r="Q1840" s="20" t="str">
        <f t="shared" si="31"/>
        <v/>
      </c>
      <c r="R1840" s="24" t="b">
        <v>0</v>
      </c>
      <c r="S1840" s="7" t="str">
        <f t="shared" si="6"/>
        <v/>
      </c>
      <c r="T1840" s="7"/>
    </row>
    <row r="1841" ht="22.5" hidden="1" customHeight="1">
      <c r="B1841" s="7">
        <f t="shared" si="7"/>
        <v>1835</v>
      </c>
      <c r="C1841" s="40"/>
      <c r="D1841" s="19" t="str">
        <f t="array" ref="D1841">IFNA(_xlfn.XLOOKUP(C1841,Table_Tarikan_Warkah[Nomor Sertipikat],Table_Tarikan_Warkah[Nomor Tiket]),"")</f>
        <v/>
      </c>
      <c r="E1841" s="20" t="str">
        <f t="array" ref="E1841">IFNA(_xlfn.XLOOKUP(D1841,Table_Tarikan_Warkah[Nomor Tiket],Table_Tarikan_Warkah[Tanggal diserahkan kepada Validator]),"")</f>
        <v/>
      </c>
      <c r="F1841" s="20" t="str">
        <f t="array" ref="F1841">IFNA(_xlfn.XLOOKUP(D1841,Table_Tarikan_Warkah[Nomor Tiket],Table_Tarikan_Warkah[Nama Petugas Warkah]),"")</f>
        <v/>
      </c>
      <c r="G1841" s="21" t="str">
        <f t="array" ref="G1841">IFNA(_xlfn.XLOOKUP(D1841,Table_Tarikan_Warkah[Nomor Tiket],Table_Tarikan_Warkah[Jenis Permohonan]),"")</f>
        <v/>
      </c>
      <c r="H1841" s="26"/>
      <c r="I1841" s="26"/>
      <c r="J1841" s="20" t="str">
        <f t="shared" si="29"/>
        <v/>
      </c>
      <c r="K1841" s="26"/>
      <c r="L1841" s="26"/>
      <c r="M1841" s="20" t="str">
        <f t="shared" si="30"/>
        <v/>
      </c>
      <c r="N1841" s="8" t="str">
        <f t="shared" si="3"/>
        <v/>
      </c>
      <c r="O1841" s="21" t="str">
        <f t="shared" si="22"/>
        <v/>
      </c>
      <c r="P1841" s="24" t="b">
        <v>0</v>
      </c>
      <c r="Q1841" s="20" t="str">
        <f t="shared" si="31"/>
        <v/>
      </c>
      <c r="R1841" s="24" t="b">
        <v>0</v>
      </c>
      <c r="S1841" s="7" t="str">
        <f t="shared" si="6"/>
        <v/>
      </c>
      <c r="T1841" s="7"/>
    </row>
    <row r="1842" ht="22.5" hidden="1" customHeight="1">
      <c r="B1842" s="7">
        <f t="shared" si="7"/>
        <v>1836</v>
      </c>
      <c r="C1842" s="40"/>
      <c r="D1842" s="19" t="str">
        <f t="array" ref="D1842">IFNA(_xlfn.XLOOKUP(C1842,Table_Tarikan_Warkah[Nomor Sertipikat],Table_Tarikan_Warkah[Nomor Tiket]),"")</f>
        <v/>
      </c>
      <c r="E1842" s="20" t="str">
        <f t="array" ref="E1842">IFNA(_xlfn.XLOOKUP(D1842,Table_Tarikan_Warkah[Nomor Tiket],Table_Tarikan_Warkah[Tanggal diserahkan kepada Validator]),"")</f>
        <v/>
      </c>
      <c r="F1842" s="20" t="str">
        <f t="array" ref="F1842">IFNA(_xlfn.XLOOKUP(D1842,Table_Tarikan_Warkah[Nomor Tiket],Table_Tarikan_Warkah[Nama Petugas Warkah]),"")</f>
        <v/>
      </c>
      <c r="G1842" s="21" t="str">
        <f t="array" ref="G1842">IFNA(_xlfn.XLOOKUP(D1842,Table_Tarikan_Warkah[Nomor Tiket],Table_Tarikan_Warkah[Jenis Permohonan]),"")</f>
        <v/>
      </c>
      <c r="H1842" s="26"/>
      <c r="I1842" s="26"/>
      <c r="J1842" s="20" t="str">
        <f t="shared" si="29"/>
        <v/>
      </c>
      <c r="K1842" s="26"/>
      <c r="L1842" s="26"/>
      <c r="M1842" s="20" t="str">
        <f t="shared" si="30"/>
        <v/>
      </c>
      <c r="N1842" s="8" t="str">
        <f t="shared" si="3"/>
        <v/>
      </c>
      <c r="O1842" s="21" t="str">
        <f t="shared" si="22"/>
        <v/>
      </c>
      <c r="P1842" s="24" t="b">
        <v>0</v>
      </c>
      <c r="Q1842" s="20" t="str">
        <f t="shared" si="31"/>
        <v/>
      </c>
      <c r="R1842" s="24" t="b">
        <v>0</v>
      </c>
      <c r="S1842" s="7" t="str">
        <f t="shared" si="6"/>
        <v/>
      </c>
      <c r="T1842" s="7"/>
    </row>
    <row r="1843" ht="22.5" hidden="1" customHeight="1">
      <c r="B1843" s="7">
        <f t="shared" si="7"/>
        <v>1837</v>
      </c>
      <c r="C1843" s="40"/>
      <c r="D1843" s="19" t="str">
        <f t="array" ref="D1843">IFNA(_xlfn.XLOOKUP(C1843,Table_Tarikan_Warkah[Nomor Sertipikat],Table_Tarikan_Warkah[Nomor Tiket]),"")</f>
        <v/>
      </c>
      <c r="E1843" s="20" t="str">
        <f t="array" ref="E1843">IFNA(_xlfn.XLOOKUP(D1843,Table_Tarikan_Warkah[Nomor Tiket],Table_Tarikan_Warkah[Tanggal diserahkan kepada Validator]),"")</f>
        <v/>
      </c>
      <c r="F1843" s="20" t="str">
        <f t="array" ref="F1843">IFNA(_xlfn.XLOOKUP(D1843,Table_Tarikan_Warkah[Nomor Tiket],Table_Tarikan_Warkah[Nama Petugas Warkah]),"")</f>
        <v/>
      </c>
      <c r="G1843" s="21" t="str">
        <f t="array" ref="G1843">IFNA(_xlfn.XLOOKUP(D1843,Table_Tarikan_Warkah[Nomor Tiket],Table_Tarikan_Warkah[Jenis Permohonan]),"")</f>
        <v/>
      </c>
      <c r="H1843" s="26"/>
      <c r="I1843" s="26"/>
      <c r="J1843" s="20" t="str">
        <f t="shared" si="29"/>
        <v/>
      </c>
      <c r="K1843" s="26"/>
      <c r="L1843" s="26"/>
      <c r="M1843" s="20" t="str">
        <f t="shared" si="30"/>
        <v/>
      </c>
      <c r="N1843" s="8" t="str">
        <f t="shared" si="3"/>
        <v/>
      </c>
      <c r="O1843" s="21" t="str">
        <f t="shared" si="22"/>
        <v/>
      </c>
      <c r="P1843" s="24" t="b">
        <v>0</v>
      </c>
      <c r="Q1843" s="20" t="str">
        <f t="shared" si="31"/>
        <v/>
      </c>
      <c r="R1843" s="24" t="b">
        <v>0</v>
      </c>
      <c r="S1843" s="7" t="str">
        <f t="shared" si="6"/>
        <v/>
      </c>
      <c r="T1843" s="7"/>
    </row>
    <row r="1844" ht="22.5" hidden="1" customHeight="1">
      <c r="B1844" s="7">
        <f t="shared" si="7"/>
        <v>1838</v>
      </c>
      <c r="C1844" s="40"/>
      <c r="D1844" s="19" t="str">
        <f t="array" ref="D1844">IFNA(_xlfn.XLOOKUP(C1844,Table_Tarikan_Warkah[Nomor Sertipikat],Table_Tarikan_Warkah[Nomor Tiket]),"")</f>
        <v/>
      </c>
      <c r="E1844" s="20" t="str">
        <f t="array" ref="E1844">IFNA(_xlfn.XLOOKUP(D1844,Table_Tarikan_Warkah[Nomor Tiket],Table_Tarikan_Warkah[Tanggal diserahkan kepada Validator]),"")</f>
        <v/>
      </c>
      <c r="F1844" s="20" t="str">
        <f t="array" ref="F1844">IFNA(_xlfn.XLOOKUP(D1844,Table_Tarikan_Warkah[Nomor Tiket],Table_Tarikan_Warkah[Nama Petugas Warkah]),"")</f>
        <v/>
      </c>
      <c r="G1844" s="21" t="str">
        <f t="array" ref="G1844">IFNA(_xlfn.XLOOKUP(D1844,Table_Tarikan_Warkah[Nomor Tiket],Table_Tarikan_Warkah[Jenis Permohonan]),"")</f>
        <v/>
      </c>
      <c r="H1844" s="26"/>
      <c r="I1844" s="26"/>
      <c r="J1844" s="20" t="str">
        <f t="shared" si="29"/>
        <v/>
      </c>
      <c r="K1844" s="26"/>
      <c r="L1844" s="26"/>
      <c r="M1844" s="20" t="str">
        <f t="shared" si="30"/>
        <v/>
      </c>
      <c r="N1844" s="8" t="str">
        <f t="shared" si="3"/>
        <v/>
      </c>
      <c r="O1844" s="21" t="str">
        <f t="shared" si="22"/>
        <v/>
      </c>
      <c r="P1844" s="24" t="b">
        <v>0</v>
      </c>
      <c r="Q1844" s="20" t="str">
        <f t="shared" si="31"/>
        <v/>
      </c>
      <c r="R1844" s="24" t="b">
        <v>0</v>
      </c>
      <c r="S1844" s="7" t="str">
        <f t="shared" si="6"/>
        <v/>
      </c>
      <c r="T1844" s="7"/>
    </row>
    <row r="1845" ht="22.5" hidden="1" customHeight="1">
      <c r="B1845" s="7">
        <f t="shared" si="7"/>
        <v>1839</v>
      </c>
      <c r="C1845" s="40"/>
      <c r="D1845" s="19" t="str">
        <f t="array" ref="D1845">IFNA(_xlfn.XLOOKUP(C1845,Table_Tarikan_Warkah[Nomor Sertipikat],Table_Tarikan_Warkah[Nomor Tiket]),"")</f>
        <v/>
      </c>
      <c r="E1845" s="20" t="str">
        <f t="array" ref="E1845">IFNA(_xlfn.XLOOKUP(D1845,Table_Tarikan_Warkah[Nomor Tiket],Table_Tarikan_Warkah[Tanggal diserahkan kepada Validator]),"")</f>
        <v/>
      </c>
      <c r="F1845" s="20" t="str">
        <f t="array" ref="F1845">IFNA(_xlfn.XLOOKUP(D1845,Table_Tarikan_Warkah[Nomor Tiket],Table_Tarikan_Warkah[Nama Petugas Warkah]),"")</f>
        <v/>
      </c>
      <c r="G1845" s="21" t="str">
        <f t="array" ref="G1845">IFNA(_xlfn.XLOOKUP(D1845,Table_Tarikan_Warkah[Nomor Tiket],Table_Tarikan_Warkah[Jenis Permohonan]),"")</f>
        <v/>
      </c>
      <c r="H1845" s="26"/>
      <c r="I1845" s="26"/>
      <c r="J1845" s="20" t="str">
        <f t="shared" si="29"/>
        <v/>
      </c>
      <c r="K1845" s="26"/>
      <c r="L1845" s="26"/>
      <c r="M1845" s="20" t="str">
        <f t="shared" si="30"/>
        <v/>
      </c>
      <c r="N1845" s="8" t="str">
        <f t="shared" si="3"/>
        <v/>
      </c>
      <c r="O1845" s="21" t="str">
        <f t="shared" si="22"/>
        <v/>
      </c>
      <c r="P1845" s="24" t="b">
        <v>0</v>
      </c>
      <c r="Q1845" s="20" t="str">
        <f t="shared" si="31"/>
        <v/>
      </c>
      <c r="R1845" s="24" t="b">
        <v>0</v>
      </c>
      <c r="S1845" s="7" t="str">
        <f t="shared" si="6"/>
        <v/>
      </c>
      <c r="T1845" s="7"/>
    </row>
    <row r="1846" ht="22.5" hidden="1" customHeight="1">
      <c r="B1846" s="7">
        <f t="shared" si="7"/>
        <v>1840</v>
      </c>
      <c r="C1846" s="40"/>
      <c r="D1846" s="19" t="str">
        <f t="array" ref="D1846">IFNA(_xlfn.XLOOKUP(C1846,Table_Tarikan_Warkah[Nomor Sertipikat],Table_Tarikan_Warkah[Nomor Tiket]),"")</f>
        <v/>
      </c>
      <c r="E1846" s="20" t="str">
        <f t="array" ref="E1846">IFNA(_xlfn.XLOOKUP(D1846,Table_Tarikan_Warkah[Nomor Tiket],Table_Tarikan_Warkah[Tanggal diserahkan kepada Validator]),"")</f>
        <v/>
      </c>
      <c r="F1846" s="20" t="str">
        <f t="array" ref="F1846">IFNA(_xlfn.XLOOKUP(D1846,Table_Tarikan_Warkah[Nomor Tiket],Table_Tarikan_Warkah[Nama Petugas Warkah]),"")</f>
        <v/>
      </c>
      <c r="G1846" s="21" t="str">
        <f t="array" ref="G1846">IFNA(_xlfn.XLOOKUP(D1846,Table_Tarikan_Warkah[Nomor Tiket],Table_Tarikan_Warkah[Jenis Permohonan]),"")</f>
        <v/>
      </c>
      <c r="H1846" s="26"/>
      <c r="I1846" s="26"/>
      <c r="J1846" s="20" t="str">
        <f t="shared" si="29"/>
        <v/>
      </c>
      <c r="K1846" s="26"/>
      <c r="L1846" s="26"/>
      <c r="M1846" s="20" t="str">
        <f t="shared" si="30"/>
        <v/>
      </c>
      <c r="N1846" s="8" t="str">
        <f t="shared" si="3"/>
        <v/>
      </c>
      <c r="O1846" s="21" t="str">
        <f t="shared" si="22"/>
        <v/>
      </c>
      <c r="P1846" s="24" t="b">
        <v>0</v>
      </c>
      <c r="Q1846" s="20" t="str">
        <f t="shared" si="31"/>
        <v/>
      </c>
      <c r="R1846" s="24" t="b">
        <v>0</v>
      </c>
      <c r="S1846" s="7" t="str">
        <f t="shared" si="6"/>
        <v/>
      </c>
      <c r="T1846" s="7"/>
    </row>
    <row r="1847" ht="22.5" hidden="1" customHeight="1">
      <c r="B1847" s="7">
        <f t="shared" si="7"/>
        <v>1841</v>
      </c>
      <c r="C1847" s="40"/>
      <c r="D1847" s="19" t="str">
        <f t="array" ref="D1847">IFNA(_xlfn.XLOOKUP(C1847,Table_Tarikan_Warkah[Nomor Sertipikat],Table_Tarikan_Warkah[Nomor Tiket]),"")</f>
        <v/>
      </c>
      <c r="E1847" s="20" t="str">
        <f t="array" ref="E1847">IFNA(_xlfn.XLOOKUP(D1847,Table_Tarikan_Warkah[Nomor Tiket],Table_Tarikan_Warkah[Tanggal diserahkan kepada Validator]),"")</f>
        <v/>
      </c>
      <c r="F1847" s="20" t="str">
        <f t="array" ref="F1847">IFNA(_xlfn.XLOOKUP(D1847,Table_Tarikan_Warkah[Nomor Tiket],Table_Tarikan_Warkah[Nama Petugas Warkah]),"")</f>
        <v/>
      </c>
      <c r="G1847" s="21" t="str">
        <f t="array" ref="G1847">IFNA(_xlfn.XLOOKUP(D1847,Table_Tarikan_Warkah[Nomor Tiket],Table_Tarikan_Warkah[Jenis Permohonan]),"")</f>
        <v/>
      </c>
      <c r="H1847" s="26"/>
      <c r="I1847" s="26"/>
      <c r="J1847" s="20" t="str">
        <f t="shared" si="29"/>
        <v/>
      </c>
      <c r="K1847" s="26"/>
      <c r="L1847" s="26"/>
      <c r="M1847" s="20" t="str">
        <f t="shared" si="30"/>
        <v/>
      </c>
      <c r="N1847" s="8" t="str">
        <f t="shared" si="3"/>
        <v/>
      </c>
      <c r="O1847" s="21" t="str">
        <f t="shared" si="22"/>
        <v/>
      </c>
      <c r="P1847" s="24" t="b">
        <v>0</v>
      </c>
      <c r="Q1847" s="20" t="str">
        <f t="shared" si="31"/>
        <v/>
      </c>
      <c r="R1847" s="24" t="b">
        <v>0</v>
      </c>
      <c r="S1847" s="7" t="str">
        <f t="shared" si="6"/>
        <v/>
      </c>
      <c r="T1847" s="7"/>
    </row>
    <row r="1848" ht="22.5" hidden="1" customHeight="1">
      <c r="B1848" s="7">
        <f t="shared" si="7"/>
        <v>1842</v>
      </c>
      <c r="C1848" s="40"/>
      <c r="D1848" s="19" t="str">
        <f t="array" ref="D1848">IFNA(_xlfn.XLOOKUP(C1848,Table_Tarikan_Warkah[Nomor Sertipikat],Table_Tarikan_Warkah[Nomor Tiket]),"")</f>
        <v/>
      </c>
      <c r="E1848" s="20" t="str">
        <f t="array" ref="E1848">IFNA(_xlfn.XLOOKUP(D1848,Table_Tarikan_Warkah[Nomor Tiket],Table_Tarikan_Warkah[Tanggal diserahkan kepada Validator]),"")</f>
        <v/>
      </c>
      <c r="F1848" s="20" t="str">
        <f t="array" ref="F1848">IFNA(_xlfn.XLOOKUP(D1848,Table_Tarikan_Warkah[Nomor Tiket],Table_Tarikan_Warkah[Nama Petugas Warkah]),"")</f>
        <v/>
      </c>
      <c r="G1848" s="21" t="str">
        <f t="array" ref="G1848">IFNA(_xlfn.XLOOKUP(D1848,Table_Tarikan_Warkah[Nomor Tiket],Table_Tarikan_Warkah[Jenis Permohonan]),"")</f>
        <v/>
      </c>
      <c r="H1848" s="26"/>
      <c r="I1848" s="26"/>
      <c r="J1848" s="20" t="str">
        <f t="shared" si="29"/>
        <v/>
      </c>
      <c r="K1848" s="26"/>
      <c r="L1848" s="26"/>
      <c r="M1848" s="20" t="str">
        <f t="shared" si="30"/>
        <v/>
      </c>
      <c r="N1848" s="8" t="str">
        <f t="shared" si="3"/>
        <v/>
      </c>
      <c r="O1848" s="21" t="str">
        <f t="shared" si="22"/>
        <v/>
      </c>
      <c r="P1848" s="24" t="b">
        <v>0</v>
      </c>
      <c r="Q1848" s="20" t="str">
        <f t="shared" si="31"/>
        <v/>
      </c>
      <c r="R1848" s="24" t="b">
        <v>0</v>
      </c>
      <c r="S1848" s="7" t="str">
        <f t="shared" si="6"/>
        <v/>
      </c>
      <c r="T1848" s="7"/>
    </row>
    <row r="1849" ht="22.5" hidden="1" customHeight="1">
      <c r="B1849" s="7">
        <f t="shared" si="7"/>
        <v>1843</v>
      </c>
      <c r="C1849" s="40"/>
      <c r="D1849" s="19" t="str">
        <f t="array" ref="D1849">IFNA(_xlfn.XLOOKUP(C1849,Table_Tarikan_Warkah[Nomor Sertipikat],Table_Tarikan_Warkah[Nomor Tiket]),"")</f>
        <v/>
      </c>
      <c r="E1849" s="20" t="str">
        <f t="array" ref="E1849">IFNA(_xlfn.XLOOKUP(D1849,Table_Tarikan_Warkah[Nomor Tiket],Table_Tarikan_Warkah[Tanggal diserahkan kepada Validator]),"")</f>
        <v/>
      </c>
      <c r="F1849" s="20" t="str">
        <f t="array" ref="F1849">IFNA(_xlfn.XLOOKUP(D1849,Table_Tarikan_Warkah[Nomor Tiket],Table_Tarikan_Warkah[Nama Petugas Warkah]),"")</f>
        <v/>
      </c>
      <c r="G1849" s="21" t="str">
        <f t="array" ref="G1849">IFNA(_xlfn.XLOOKUP(D1849,Table_Tarikan_Warkah[Nomor Tiket],Table_Tarikan_Warkah[Jenis Permohonan]),"")</f>
        <v/>
      </c>
      <c r="H1849" s="26"/>
      <c r="I1849" s="26"/>
      <c r="J1849" s="20" t="str">
        <f t="shared" si="29"/>
        <v/>
      </c>
      <c r="K1849" s="26"/>
      <c r="L1849" s="26"/>
      <c r="M1849" s="20" t="str">
        <f t="shared" si="30"/>
        <v/>
      </c>
      <c r="N1849" s="8" t="str">
        <f t="shared" si="3"/>
        <v/>
      </c>
      <c r="O1849" s="21" t="str">
        <f t="shared" si="22"/>
        <v/>
      </c>
      <c r="P1849" s="24" t="b">
        <v>0</v>
      </c>
      <c r="Q1849" s="20" t="str">
        <f t="shared" si="31"/>
        <v/>
      </c>
      <c r="R1849" s="24" t="b">
        <v>0</v>
      </c>
      <c r="S1849" s="7" t="str">
        <f t="shared" si="6"/>
        <v/>
      </c>
      <c r="T1849" s="7"/>
    </row>
    <row r="1850" ht="22.5" hidden="1" customHeight="1">
      <c r="B1850" s="7">
        <f t="shared" si="7"/>
        <v>1844</v>
      </c>
      <c r="C1850" s="40"/>
      <c r="D1850" s="19" t="str">
        <f t="array" ref="D1850">IFNA(_xlfn.XLOOKUP(C1850,Table_Tarikan_Warkah[Nomor Sertipikat],Table_Tarikan_Warkah[Nomor Tiket]),"")</f>
        <v/>
      </c>
      <c r="E1850" s="20" t="str">
        <f t="array" ref="E1850">IFNA(_xlfn.XLOOKUP(D1850,Table_Tarikan_Warkah[Nomor Tiket],Table_Tarikan_Warkah[Tanggal diserahkan kepada Validator]),"")</f>
        <v/>
      </c>
      <c r="F1850" s="20" t="str">
        <f t="array" ref="F1850">IFNA(_xlfn.XLOOKUP(D1850,Table_Tarikan_Warkah[Nomor Tiket],Table_Tarikan_Warkah[Nama Petugas Warkah]),"")</f>
        <v/>
      </c>
      <c r="G1850" s="21" t="str">
        <f t="array" ref="G1850">IFNA(_xlfn.XLOOKUP(D1850,Table_Tarikan_Warkah[Nomor Tiket],Table_Tarikan_Warkah[Jenis Permohonan]),"")</f>
        <v/>
      </c>
      <c r="H1850" s="26"/>
      <c r="I1850" s="26"/>
      <c r="J1850" s="20" t="str">
        <f t="shared" si="29"/>
        <v/>
      </c>
      <c r="K1850" s="26"/>
      <c r="L1850" s="26"/>
      <c r="M1850" s="20" t="str">
        <f t="shared" si="30"/>
        <v/>
      </c>
      <c r="N1850" s="8" t="str">
        <f t="shared" si="3"/>
        <v/>
      </c>
      <c r="O1850" s="21" t="str">
        <f t="shared" si="22"/>
        <v/>
      </c>
      <c r="P1850" s="24" t="b">
        <v>0</v>
      </c>
      <c r="Q1850" s="20" t="str">
        <f t="shared" si="31"/>
        <v/>
      </c>
      <c r="R1850" s="24" t="b">
        <v>0</v>
      </c>
      <c r="S1850" s="7" t="str">
        <f t="shared" si="6"/>
        <v/>
      </c>
      <c r="T1850" s="7"/>
    </row>
    <row r="1851" ht="22.5" hidden="1" customHeight="1">
      <c r="B1851" s="7">
        <f t="shared" si="7"/>
        <v>1845</v>
      </c>
      <c r="C1851" s="40"/>
      <c r="D1851" s="19" t="str">
        <f t="array" ref="D1851">IFNA(_xlfn.XLOOKUP(C1851,Table_Tarikan_Warkah[Nomor Sertipikat],Table_Tarikan_Warkah[Nomor Tiket]),"")</f>
        <v/>
      </c>
      <c r="E1851" s="20" t="str">
        <f t="array" ref="E1851">IFNA(_xlfn.XLOOKUP(D1851,Table_Tarikan_Warkah[Nomor Tiket],Table_Tarikan_Warkah[Tanggal diserahkan kepada Validator]),"")</f>
        <v/>
      </c>
      <c r="F1851" s="20" t="str">
        <f t="array" ref="F1851">IFNA(_xlfn.XLOOKUP(D1851,Table_Tarikan_Warkah[Nomor Tiket],Table_Tarikan_Warkah[Nama Petugas Warkah]),"")</f>
        <v/>
      </c>
      <c r="G1851" s="21" t="str">
        <f t="array" ref="G1851">IFNA(_xlfn.XLOOKUP(D1851,Table_Tarikan_Warkah[Nomor Tiket],Table_Tarikan_Warkah[Jenis Permohonan]),"")</f>
        <v/>
      </c>
      <c r="H1851" s="26"/>
      <c r="I1851" s="26"/>
      <c r="J1851" s="20" t="str">
        <f t="shared" si="29"/>
        <v/>
      </c>
      <c r="K1851" s="26"/>
      <c r="L1851" s="26"/>
      <c r="M1851" s="20" t="str">
        <f t="shared" si="30"/>
        <v/>
      </c>
      <c r="N1851" s="8" t="str">
        <f t="shared" si="3"/>
        <v/>
      </c>
      <c r="O1851" s="21" t="str">
        <f t="shared" si="22"/>
        <v/>
      </c>
      <c r="P1851" s="24" t="b">
        <v>0</v>
      </c>
      <c r="Q1851" s="20" t="str">
        <f t="shared" si="31"/>
        <v/>
      </c>
      <c r="R1851" s="24" t="b">
        <v>0</v>
      </c>
      <c r="S1851" s="7" t="str">
        <f t="shared" si="6"/>
        <v/>
      </c>
      <c r="T1851" s="7"/>
    </row>
    <row r="1852" ht="22.5" hidden="1" customHeight="1">
      <c r="B1852" s="7">
        <f t="shared" si="7"/>
        <v>1846</v>
      </c>
      <c r="C1852" s="40"/>
      <c r="D1852" s="19" t="str">
        <f t="array" ref="D1852">IFNA(_xlfn.XLOOKUP(C1852,Table_Tarikan_Warkah[Nomor Sertipikat],Table_Tarikan_Warkah[Nomor Tiket]),"")</f>
        <v/>
      </c>
      <c r="E1852" s="20" t="str">
        <f t="array" ref="E1852">IFNA(_xlfn.XLOOKUP(D1852,Table_Tarikan_Warkah[Nomor Tiket],Table_Tarikan_Warkah[Tanggal diserahkan kepada Validator]),"")</f>
        <v/>
      </c>
      <c r="F1852" s="20" t="str">
        <f t="array" ref="F1852">IFNA(_xlfn.XLOOKUP(D1852,Table_Tarikan_Warkah[Nomor Tiket],Table_Tarikan_Warkah[Nama Petugas Warkah]),"")</f>
        <v/>
      </c>
      <c r="G1852" s="21" t="str">
        <f t="array" ref="G1852">IFNA(_xlfn.XLOOKUP(D1852,Table_Tarikan_Warkah[Nomor Tiket],Table_Tarikan_Warkah[Jenis Permohonan]),"")</f>
        <v/>
      </c>
      <c r="H1852" s="26"/>
      <c r="I1852" s="26"/>
      <c r="J1852" s="20" t="str">
        <f t="shared" si="29"/>
        <v/>
      </c>
      <c r="K1852" s="26"/>
      <c r="L1852" s="26"/>
      <c r="M1852" s="20" t="str">
        <f t="shared" si="30"/>
        <v/>
      </c>
      <c r="N1852" s="8" t="str">
        <f t="shared" si="3"/>
        <v/>
      </c>
      <c r="O1852" s="21" t="str">
        <f t="shared" si="22"/>
        <v/>
      </c>
      <c r="P1852" s="24" t="b">
        <v>0</v>
      </c>
      <c r="Q1852" s="20" t="str">
        <f t="shared" si="31"/>
        <v/>
      </c>
      <c r="R1852" s="24" t="b">
        <v>0</v>
      </c>
      <c r="S1852" s="7" t="str">
        <f t="shared" si="6"/>
        <v/>
      </c>
      <c r="T1852" s="7"/>
    </row>
    <row r="1853" ht="22.5" hidden="1" customHeight="1">
      <c r="B1853" s="7">
        <f t="shared" si="7"/>
        <v>1847</v>
      </c>
      <c r="C1853" s="40"/>
      <c r="D1853" s="19" t="str">
        <f t="array" ref="D1853">IFNA(_xlfn.XLOOKUP(C1853,Table_Tarikan_Warkah[Nomor Sertipikat],Table_Tarikan_Warkah[Nomor Tiket]),"")</f>
        <v/>
      </c>
      <c r="E1853" s="20" t="str">
        <f t="array" ref="E1853">IFNA(_xlfn.XLOOKUP(D1853,Table_Tarikan_Warkah[Nomor Tiket],Table_Tarikan_Warkah[Tanggal diserahkan kepada Validator]),"")</f>
        <v/>
      </c>
      <c r="F1853" s="20" t="str">
        <f t="array" ref="F1853">IFNA(_xlfn.XLOOKUP(D1853,Table_Tarikan_Warkah[Nomor Tiket],Table_Tarikan_Warkah[Nama Petugas Warkah]),"")</f>
        <v/>
      </c>
      <c r="G1853" s="21" t="str">
        <f t="array" ref="G1853">IFNA(_xlfn.XLOOKUP(D1853,Table_Tarikan_Warkah[Nomor Tiket],Table_Tarikan_Warkah[Jenis Permohonan]),"")</f>
        <v/>
      </c>
      <c r="H1853" s="26"/>
      <c r="I1853" s="26"/>
      <c r="J1853" s="20" t="str">
        <f t="shared" si="29"/>
        <v/>
      </c>
      <c r="K1853" s="26"/>
      <c r="L1853" s="26"/>
      <c r="M1853" s="20" t="str">
        <f t="shared" si="30"/>
        <v/>
      </c>
      <c r="N1853" s="8" t="str">
        <f t="shared" si="3"/>
        <v/>
      </c>
      <c r="O1853" s="21" t="str">
        <f t="shared" si="22"/>
        <v/>
      </c>
      <c r="P1853" s="24" t="b">
        <v>0</v>
      </c>
      <c r="Q1853" s="20" t="str">
        <f t="shared" si="31"/>
        <v/>
      </c>
      <c r="R1853" s="24" t="b">
        <v>0</v>
      </c>
      <c r="S1853" s="7" t="str">
        <f t="shared" si="6"/>
        <v/>
      </c>
      <c r="T1853" s="7"/>
    </row>
    <row r="1854" ht="22.5" hidden="1" customHeight="1">
      <c r="B1854" s="7">
        <f t="shared" si="7"/>
        <v>1848</v>
      </c>
      <c r="C1854" s="40"/>
      <c r="D1854" s="19" t="str">
        <f t="array" ref="D1854">IFNA(_xlfn.XLOOKUP(C1854,Table_Tarikan_Warkah[Nomor Sertipikat],Table_Tarikan_Warkah[Nomor Tiket]),"")</f>
        <v/>
      </c>
      <c r="E1854" s="20" t="str">
        <f t="array" ref="E1854">IFNA(_xlfn.XLOOKUP(D1854,Table_Tarikan_Warkah[Nomor Tiket],Table_Tarikan_Warkah[Tanggal diserahkan kepada Validator]),"")</f>
        <v/>
      </c>
      <c r="F1854" s="20" t="str">
        <f t="array" ref="F1854">IFNA(_xlfn.XLOOKUP(D1854,Table_Tarikan_Warkah[Nomor Tiket],Table_Tarikan_Warkah[Nama Petugas Warkah]),"")</f>
        <v/>
      </c>
      <c r="G1854" s="21" t="str">
        <f t="array" ref="G1854">IFNA(_xlfn.XLOOKUP(D1854,Table_Tarikan_Warkah[Nomor Tiket],Table_Tarikan_Warkah[Jenis Permohonan]),"")</f>
        <v/>
      </c>
      <c r="H1854" s="26"/>
      <c r="I1854" s="26"/>
      <c r="J1854" s="20" t="str">
        <f t="shared" si="29"/>
        <v/>
      </c>
      <c r="K1854" s="26"/>
      <c r="L1854" s="26"/>
      <c r="M1854" s="20" t="str">
        <f t="shared" si="30"/>
        <v/>
      </c>
      <c r="N1854" s="8" t="str">
        <f t="shared" si="3"/>
        <v/>
      </c>
      <c r="O1854" s="21" t="str">
        <f t="shared" si="22"/>
        <v/>
      </c>
      <c r="P1854" s="24" t="b">
        <v>0</v>
      </c>
      <c r="Q1854" s="20" t="str">
        <f t="shared" si="31"/>
        <v/>
      </c>
      <c r="R1854" s="24" t="b">
        <v>0</v>
      </c>
      <c r="S1854" s="7" t="str">
        <f t="shared" si="6"/>
        <v/>
      </c>
      <c r="T1854" s="7"/>
    </row>
    <row r="1855" ht="22.5" hidden="1" customHeight="1">
      <c r="B1855" s="7">
        <f t="shared" si="7"/>
        <v>1849</v>
      </c>
      <c r="C1855" s="40"/>
      <c r="D1855" s="19" t="str">
        <f t="array" ref="D1855">IFNA(_xlfn.XLOOKUP(C1855,Table_Tarikan_Warkah[Nomor Sertipikat],Table_Tarikan_Warkah[Nomor Tiket]),"")</f>
        <v/>
      </c>
      <c r="E1855" s="20" t="str">
        <f t="array" ref="E1855">IFNA(_xlfn.XLOOKUP(D1855,Table_Tarikan_Warkah[Nomor Tiket],Table_Tarikan_Warkah[Tanggal diserahkan kepada Validator]),"")</f>
        <v/>
      </c>
      <c r="F1855" s="20" t="str">
        <f t="array" ref="F1855">IFNA(_xlfn.XLOOKUP(D1855,Table_Tarikan_Warkah[Nomor Tiket],Table_Tarikan_Warkah[Nama Petugas Warkah]),"")</f>
        <v/>
      </c>
      <c r="G1855" s="21" t="str">
        <f t="array" ref="G1855">IFNA(_xlfn.XLOOKUP(D1855,Table_Tarikan_Warkah[Nomor Tiket],Table_Tarikan_Warkah[Jenis Permohonan]),"")</f>
        <v/>
      </c>
      <c r="H1855" s="26"/>
      <c r="I1855" s="26"/>
      <c r="J1855" s="20" t="str">
        <f t="shared" si="29"/>
        <v/>
      </c>
      <c r="K1855" s="26"/>
      <c r="L1855" s="26"/>
      <c r="M1855" s="20" t="str">
        <f t="shared" si="30"/>
        <v/>
      </c>
      <c r="N1855" s="8" t="str">
        <f t="shared" si="3"/>
        <v/>
      </c>
      <c r="O1855" s="21" t="str">
        <f t="shared" si="22"/>
        <v/>
      </c>
      <c r="P1855" s="24" t="b">
        <v>0</v>
      </c>
      <c r="Q1855" s="20" t="str">
        <f t="shared" si="31"/>
        <v/>
      </c>
      <c r="R1855" s="24" t="b">
        <v>0</v>
      </c>
      <c r="S1855" s="7" t="str">
        <f t="shared" si="6"/>
        <v/>
      </c>
      <c r="T1855" s="7"/>
    </row>
    <row r="1856" ht="22.5" hidden="1" customHeight="1">
      <c r="B1856" s="7">
        <f t="shared" si="7"/>
        <v>1850</v>
      </c>
      <c r="C1856" s="40"/>
      <c r="D1856" s="19" t="str">
        <f t="array" ref="D1856">IFNA(_xlfn.XLOOKUP(C1856,Table_Tarikan_Warkah[Nomor Sertipikat],Table_Tarikan_Warkah[Nomor Tiket]),"")</f>
        <v/>
      </c>
      <c r="E1856" s="20" t="str">
        <f t="array" ref="E1856">IFNA(_xlfn.XLOOKUP(D1856,Table_Tarikan_Warkah[Nomor Tiket],Table_Tarikan_Warkah[Tanggal diserahkan kepada Validator]),"")</f>
        <v/>
      </c>
      <c r="F1856" s="20" t="str">
        <f t="array" ref="F1856">IFNA(_xlfn.XLOOKUP(D1856,Table_Tarikan_Warkah[Nomor Tiket],Table_Tarikan_Warkah[Nama Petugas Warkah]),"")</f>
        <v/>
      </c>
      <c r="G1856" s="21" t="str">
        <f t="array" ref="G1856">IFNA(_xlfn.XLOOKUP(D1856,Table_Tarikan_Warkah[Nomor Tiket],Table_Tarikan_Warkah[Jenis Permohonan]),"")</f>
        <v/>
      </c>
      <c r="H1856" s="26"/>
      <c r="I1856" s="26"/>
      <c r="J1856" s="20" t="str">
        <f t="shared" si="29"/>
        <v/>
      </c>
      <c r="K1856" s="26"/>
      <c r="L1856" s="26"/>
      <c r="M1856" s="20" t="str">
        <f t="shared" si="30"/>
        <v/>
      </c>
      <c r="N1856" s="8" t="str">
        <f t="shared" si="3"/>
        <v/>
      </c>
      <c r="O1856" s="21" t="str">
        <f t="shared" si="22"/>
        <v/>
      </c>
      <c r="P1856" s="24" t="b">
        <v>0</v>
      </c>
      <c r="Q1856" s="20" t="str">
        <f t="shared" si="31"/>
        <v/>
      </c>
      <c r="R1856" s="24" t="b">
        <v>0</v>
      </c>
      <c r="S1856" s="7" t="str">
        <f t="shared" si="6"/>
        <v/>
      </c>
      <c r="T1856" s="7"/>
    </row>
    <row r="1857" ht="22.5" hidden="1" customHeight="1">
      <c r="B1857" s="7">
        <f t="shared" si="7"/>
        <v>1851</v>
      </c>
      <c r="C1857" s="40"/>
      <c r="D1857" s="19" t="str">
        <f t="array" ref="D1857">IFNA(_xlfn.XLOOKUP(C1857,Table_Tarikan_Warkah[Nomor Sertipikat],Table_Tarikan_Warkah[Nomor Tiket]),"")</f>
        <v/>
      </c>
      <c r="E1857" s="20" t="str">
        <f t="array" ref="E1857">IFNA(_xlfn.XLOOKUP(D1857,Table_Tarikan_Warkah[Nomor Tiket],Table_Tarikan_Warkah[Tanggal diserahkan kepada Validator]),"")</f>
        <v/>
      </c>
      <c r="F1857" s="20" t="str">
        <f t="array" ref="F1857">IFNA(_xlfn.XLOOKUP(D1857,Table_Tarikan_Warkah[Nomor Tiket],Table_Tarikan_Warkah[Nama Petugas Warkah]),"")</f>
        <v/>
      </c>
      <c r="G1857" s="21" t="str">
        <f t="array" ref="G1857">IFNA(_xlfn.XLOOKUP(D1857,Table_Tarikan_Warkah[Nomor Tiket],Table_Tarikan_Warkah[Jenis Permohonan]),"")</f>
        <v/>
      </c>
      <c r="H1857" s="26"/>
      <c r="I1857" s="26"/>
      <c r="J1857" s="20" t="str">
        <f t="shared" si="29"/>
        <v/>
      </c>
      <c r="K1857" s="26"/>
      <c r="L1857" s="26"/>
      <c r="M1857" s="20" t="str">
        <f t="shared" si="30"/>
        <v/>
      </c>
      <c r="N1857" s="8" t="str">
        <f t="shared" si="3"/>
        <v/>
      </c>
      <c r="O1857" s="21" t="str">
        <f t="shared" si="22"/>
        <v/>
      </c>
      <c r="P1857" s="24" t="b">
        <v>0</v>
      </c>
      <c r="Q1857" s="20" t="str">
        <f t="shared" si="31"/>
        <v/>
      </c>
      <c r="R1857" s="24" t="b">
        <v>0</v>
      </c>
      <c r="S1857" s="7" t="str">
        <f t="shared" si="6"/>
        <v/>
      </c>
      <c r="T1857" s="7"/>
    </row>
    <row r="1858" ht="22.5" hidden="1" customHeight="1">
      <c r="B1858" s="7">
        <f t="shared" si="7"/>
        <v>1852</v>
      </c>
      <c r="C1858" s="40"/>
      <c r="D1858" s="19" t="str">
        <f t="array" ref="D1858">IFNA(_xlfn.XLOOKUP(C1858,Table_Tarikan_Warkah[Nomor Sertipikat],Table_Tarikan_Warkah[Nomor Tiket]),"")</f>
        <v/>
      </c>
      <c r="E1858" s="20" t="str">
        <f t="array" ref="E1858">IFNA(_xlfn.XLOOKUP(D1858,Table_Tarikan_Warkah[Nomor Tiket],Table_Tarikan_Warkah[Tanggal diserahkan kepada Validator]),"")</f>
        <v/>
      </c>
      <c r="F1858" s="20" t="str">
        <f t="array" ref="F1858">IFNA(_xlfn.XLOOKUP(D1858,Table_Tarikan_Warkah[Nomor Tiket],Table_Tarikan_Warkah[Nama Petugas Warkah]),"")</f>
        <v/>
      </c>
      <c r="G1858" s="21" t="str">
        <f t="array" ref="G1858">IFNA(_xlfn.XLOOKUP(D1858,Table_Tarikan_Warkah[Nomor Tiket],Table_Tarikan_Warkah[Jenis Permohonan]),"")</f>
        <v/>
      </c>
      <c r="H1858" s="26"/>
      <c r="I1858" s="26"/>
      <c r="J1858" s="20" t="str">
        <f t="shared" si="29"/>
        <v/>
      </c>
      <c r="K1858" s="26"/>
      <c r="L1858" s="26"/>
      <c r="M1858" s="20" t="str">
        <f t="shared" si="30"/>
        <v/>
      </c>
      <c r="N1858" s="8" t="str">
        <f t="shared" si="3"/>
        <v/>
      </c>
      <c r="O1858" s="21" t="str">
        <f t="shared" si="22"/>
        <v/>
      </c>
      <c r="P1858" s="24" t="b">
        <v>0</v>
      </c>
      <c r="Q1858" s="20" t="str">
        <f t="shared" si="31"/>
        <v/>
      </c>
      <c r="R1858" s="24" t="b">
        <v>0</v>
      </c>
      <c r="S1858" s="7" t="str">
        <f t="shared" si="6"/>
        <v/>
      </c>
      <c r="T1858" s="7"/>
    </row>
    <row r="1859" ht="22.5" hidden="1" customHeight="1">
      <c r="B1859" s="7">
        <f t="shared" si="7"/>
        <v>1853</v>
      </c>
      <c r="C1859" s="40"/>
      <c r="D1859" s="19" t="str">
        <f t="array" ref="D1859">IFNA(_xlfn.XLOOKUP(C1859,Table_Tarikan_Warkah[Nomor Sertipikat],Table_Tarikan_Warkah[Nomor Tiket]),"")</f>
        <v/>
      </c>
      <c r="E1859" s="20" t="str">
        <f t="array" ref="E1859">IFNA(_xlfn.XLOOKUP(D1859,Table_Tarikan_Warkah[Nomor Tiket],Table_Tarikan_Warkah[Tanggal diserahkan kepada Validator]),"")</f>
        <v/>
      </c>
      <c r="F1859" s="20" t="str">
        <f t="array" ref="F1859">IFNA(_xlfn.XLOOKUP(D1859,Table_Tarikan_Warkah[Nomor Tiket],Table_Tarikan_Warkah[Nama Petugas Warkah]),"")</f>
        <v/>
      </c>
      <c r="G1859" s="21" t="str">
        <f t="array" ref="G1859">IFNA(_xlfn.XLOOKUP(D1859,Table_Tarikan_Warkah[Nomor Tiket],Table_Tarikan_Warkah[Jenis Permohonan]),"")</f>
        <v/>
      </c>
      <c r="H1859" s="26"/>
      <c r="I1859" s="26"/>
      <c r="J1859" s="20" t="str">
        <f t="shared" si="29"/>
        <v/>
      </c>
      <c r="K1859" s="26"/>
      <c r="L1859" s="26"/>
      <c r="M1859" s="20" t="str">
        <f t="shared" si="30"/>
        <v/>
      </c>
      <c r="N1859" s="8" t="str">
        <f t="shared" si="3"/>
        <v/>
      </c>
      <c r="O1859" s="21" t="str">
        <f t="shared" si="22"/>
        <v/>
      </c>
      <c r="P1859" s="24" t="b">
        <v>0</v>
      </c>
      <c r="Q1859" s="20" t="str">
        <f t="shared" si="31"/>
        <v/>
      </c>
      <c r="R1859" s="24" t="b">
        <v>0</v>
      </c>
      <c r="S1859" s="7" t="str">
        <f t="shared" si="6"/>
        <v/>
      </c>
      <c r="T1859" s="7"/>
    </row>
    <row r="1860" ht="22.5" hidden="1" customHeight="1">
      <c r="B1860" s="7">
        <f t="shared" si="7"/>
        <v>1854</v>
      </c>
      <c r="C1860" s="40"/>
      <c r="D1860" s="19" t="str">
        <f t="array" ref="D1860">IFNA(_xlfn.XLOOKUP(C1860,Table_Tarikan_Warkah[Nomor Sertipikat],Table_Tarikan_Warkah[Nomor Tiket]),"")</f>
        <v/>
      </c>
      <c r="E1860" s="20" t="str">
        <f t="array" ref="E1860">IFNA(_xlfn.XLOOKUP(D1860,Table_Tarikan_Warkah[Nomor Tiket],Table_Tarikan_Warkah[Tanggal diserahkan kepada Validator]),"")</f>
        <v/>
      </c>
      <c r="F1860" s="20" t="str">
        <f t="array" ref="F1860">IFNA(_xlfn.XLOOKUP(D1860,Table_Tarikan_Warkah[Nomor Tiket],Table_Tarikan_Warkah[Nama Petugas Warkah]),"")</f>
        <v/>
      </c>
      <c r="G1860" s="21" t="str">
        <f t="array" ref="G1860">IFNA(_xlfn.XLOOKUP(D1860,Table_Tarikan_Warkah[Nomor Tiket],Table_Tarikan_Warkah[Jenis Permohonan]),"")</f>
        <v/>
      </c>
      <c r="H1860" s="26"/>
      <c r="I1860" s="26"/>
      <c r="J1860" s="20" t="str">
        <f t="shared" si="29"/>
        <v/>
      </c>
      <c r="K1860" s="26"/>
      <c r="L1860" s="26"/>
      <c r="M1860" s="20" t="str">
        <f t="shared" si="30"/>
        <v/>
      </c>
      <c r="N1860" s="8" t="str">
        <f t="shared" si="3"/>
        <v/>
      </c>
      <c r="O1860" s="21" t="str">
        <f t="shared" si="22"/>
        <v/>
      </c>
      <c r="P1860" s="24" t="b">
        <v>0</v>
      </c>
      <c r="Q1860" s="20" t="str">
        <f t="shared" si="31"/>
        <v/>
      </c>
      <c r="R1860" s="24" t="b">
        <v>0</v>
      </c>
      <c r="S1860" s="7" t="str">
        <f t="shared" si="6"/>
        <v/>
      </c>
      <c r="T1860" s="7"/>
    </row>
    <row r="1861" ht="22.5" hidden="1" customHeight="1">
      <c r="B1861" s="7">
        <f t="shared" si="7"/>
        <v>1855</v>
      </c>
      <c r="C1861" s="40"/>
      <c r="D1861" s="19" t="str">
        <f t="array" ref="D1861">IFNA(_xlfn.XLOOKUP(C1861,Table_Tarikan_Warkah[Nomor Sertipikat],Table_Tarikan_Warkah[Nomor Tiket]),"")</f>
        <v/>
      </c>
      <c r="E1861" s="20" t="str">
        <f t="array" ref="E1861">IFNA(_xlfn.XLOOKUP(D1861,Table_Tarikan_Warkah[Nomor Tiket],Table_Tarikan_Warkah[Tanggal diserahkan kepada Validator]),"")</f>
        <v/>
      </c>
      <c r="F1861" s="20" t="str">
        <f t="array" ref="F1861">IFNA(_xlfn.XLOOKUP(D1861,Table_Tarikan_Warkah[Nomor Tiket],Table_Tarikan_Warkah[Nama Petugas Warkah]),"")</f>
        <v/>
      </c>
      <c r="G1861" s="21" t="str">
        <f t="array" ref="G1861">IFNA(_xlfn.XLOOKUP(D1861,Table_Tarikan_Warkah[Nomor Tiket],Table_Tarikan_Warkah[Jenis Permohonan]),"")</f>
        <v/>
      </c>
      <c r="H1861" s="26"/>
      <c r="I1861" s="26"/>
      <c r="J1861" s="20" t="str">
        <f t="shared" si="29"/>
        <v/>
      </c>
      <c r="K1861" s="26"/>
      <c r="L1861" s="26"/>
      <c r="M1861" s="20" t="str">
        <f t="shared" si="30"/>
        <v/>
      </c>
      <c r="N1861" s="8" t="str">
        <f t="shared" si="3"/>
        <v/>
      </c>
      <c r="O1861" s="21" t="str">
        <f t="shared" si="22"/>
        <v/>
      </c>
      <c r="P1861" s="24" t="b">
        <v>0</v>
      </c>
      <c r="Q1861" s="20" t="str">
        <f t="shared" si="31"/>
        <v/>
      </c>
      <c r="R1861" s="24" t="b">
        <v>0</v>
      </c>
      <c r="S1861" s="7" t="str">
        <f t="shared" si="6"/>
        <v/>
      </c>
      <c r="T1861" s="7"/>
    </row>
    <row r="1862" ht="22.5" hidden="1" customHeight="1">
      <c r="B1862" s="7">
        <f t="shared" si="7"/>
        <v>1856</v>
      </c>
      <c r="C1862" s="40"/>
      <c r="D1862" s="19" t="str">
        <f t="array" ref="D1862">IFNA(_xlfn.XLOOKUP(C1862,Table_Tarikan_Warkah[Nomor Sertipikat],Table_Tarikan_Warkah[Nomor Tiket]),"")</f>
        <v/>
      </c>
      <c r="E1862" s="20" t="str">
        <f t="array" ref="E1862">IFNA(_xlfn.XLOOKUP(D1862,Table_Tarikan_Warkah[Nomor Tiket],Table_Tarikan_Warkah[Tanggal diserahkan kepada Validator]),"")</f>
        <v/>
      </c>
      <c r="F1862" s="20" t="str">
        <f t="array" ref="F1862">IFNA(_xlfn.XLOOKUP(D1862,Table_Tarikan_Warkah[Nomor Tiket],Table_Tarikan_Warkah[Nama Petugas Warkah]),"")</f>
        <v/>
      </c>
      <c r="G1862" s="21" t="str">
        <f t="array" ref="G1862">IFNA(_xlfn.XLOOKUP(D1862,Table_Tarikan_Warkah[Nomor Tiket],Table_Tarikan_Warkah[Jenis Permohonan]),"")</f>
        <v/>
      </c>
      <c r="H1862" s="26"/>
      <c r="I1862" s="26"/>
      <c r="J1862" s="20" t="str">
        <f t="shared" si="29"/>
        <v/>
      </c>
      <c r="K1862" s="26"/>
      <c r="L1862" s="26"/>
      <c r="M1862" s="20" t="str">
        <f t="shared" si="30"/>
        <v/>
      </c>
      <c r="N1862" s="8" t="str">
        <f t="shared" si="3"/>
        <v/>
      </c>
      <c r="O1862" s="21" t="str">
        <f t="shared" si="22"/>
        <v/>
      </c>
      <c r="P1862" s="24" t="b">
        <v>0</v>
      </c>
      <c r="Q1862" s="20" t="str">
        <f t="shared" si="31"/>
        <v/>
      </c>
      <c r="R1862" s="24" t="b">
        <v>0</v>
      </c>
      <c r="S1862" s="7" t="str">
        <f t="shared" si="6"/>
        <v/>
      </c>
      <c r="T1862" s="7"/>
    </row>
    <row r="1863" ht="22.5" hidden="1" customHeight="1">
      <c r="B1863" s="7">
        <f t="shared" si="7"/>
        <v>1857</v>
      </c>
      <c r="C1863" s="40"/>
      <c r="D1863" s="19" t="str">
        <f t="array" ref="D1863">IFNA(_xlfn.XLOOKUP(C1863,Table_Tarikan_Warkah[Nomor Sertipikat],Table_Tarikan_Warkah[Nomor Tiket]),"")</f>
        <v/>
      </c>
      <c r="E1863" s="20" t="str">
        <f t="array" ref="E1863">IFNA(_xlfn.XLOOKUP(D1863,Table_Tarikan_Warkah[Nomor Tiket],Table_Tarikan_Warkah[Tanggal diserahkan kepada Validator]),"")</f>
        <v/>
      </c>
      <c r="F1863" s="20" t="str">
        <f t="array" ref="F1863">IFNA(_xlfn.XLOOKUP(D1863,Table_Tarikan_Warkah[Nomor Tiket],Table_Tarikan_Warkah[Nama Petugas Warkah]),"")</f>
        <v/>
      </c>
      <c r="G1863" s="21" t="str">
        <f t="array" ref="G1863">IFNA(_xlfn.XLOOKUP(D1863,Table_Tarikan_Warkah[Nomor Tiket],Table_Tarikan_Warkah[Jenis Permohonan]),"")</f>
        <v/>
      </c>
      <c r="H1863" s="26"/>
      <c r="I1863" s="26"/>
      <c r="J1863" s="20" t="str">
        <f t="shared" si="29"/>
        <v/>
      </c>
      <c r="K1863" s="26"/>
      <c r="L1863" s="26"/>
      <c r="M1863" s="20" t="str">
        <f t="shared" si="30"/>
        <v/>
      </c>
      <c r="N1863" s="8" t="str">
        <f t="shared" si="3"/>
        <v/>
      </c>
      <c r="O1863" s="21" t="str">
        <f t="shared" si="22"/>
        <v/>
      </c>
      <c r="P1863" s="24" t="b">
        <v>0</v>
      </c>
      <c r="Q1863" s="20" t="str">
        <f t="shared" si="31"/>
        <v/>
      </c>
      <c r="R1863" s="24" t="b">
        <v>0</v>
      </c>
      <c r="S1863" s="7" t="str">
        <f t="shared" si="6"/>
        <v/>
      </c>
      <c r="T1863" s="7"/>
    </row>
    <row r="1864" ht="22.5" hidden="1" customHeight="1">
      <c r="B1864" s="7">
        <f t="shared" si="7"/>
        <v>1858</v>
      </c>
      <c r="C1864" s="40"/>
      <c r="D1864" s="19" t="str">
        <f t="array" ref="D1864">IFNA(_xlfn.XLOOKUP(C1864,Table_Tarikan_Warkah[Nomor Sertipikat],Table_Tarikan_Warkah[Nomor Tiket]),"")</f>
        <v/>
      </c>
      <c r="E1864" s="20" t="str">
        <f t="array" ref="E1864">IFNA(_xlfn.XLOOKUP(D1864,Table_Tarikan_Warkah[Nomor Tiket],Table_Tarikan_Warkah[Tanggal diserahkan kepada Validator]),"")</f>
        <v/>
      </c>
      <c r="F1864" s="20" t="str">
        <f t="array" ref="F1864">IFNA(_xlfn.XLOOKUP(D1864,Table_Tarikan_Warkah[Nomor Tiket],Table_Tarikan_Warkah[Nama Petugas Warkah]),"")</f>
        <v/>
      </c>
      <c r="G1864" s="21" t="str">
        <f t="array" ref="G1864">IFNA(_xlfn.XLOOKUP(D1864,Table_Tarikan_Warkah[Nomor Tiket],Table_Tarikan_Warkah[Jenis Permohonan]),"")</f>
        <v/>
      </c>
      <c r="H1864" s="26"/>
      <c r="I1864" s="26"/>
      <c r="J1864" s="20" t="str">
        <f t="shared" si="29"/>
        <v/>
      </c>
      <c r="K1864" s="26"/>
      <c r="L1864" s="26"/>
      <c r="M1864" s="20" t="str">
        <f t="shared" si="30"/>
        <v/>
      </c>
      <c r="N1864" s="8" t="str">
        <f t="shared" si="3"/>
        <v/>
      </c>
      <c r="O1864" s="21" t="str">
        <f t="shared" si="22"/>
        <v/>
      </c>
      <c r="P1864" s="24" t="b">
        <v>0</v>
      </c>
      <c r="Q1864" s="20" t="str">
        <f t="shared" si="31"/>
        <v/>
      </c>
      <c r="R1864" s="24" t="b">
        <v>0</v>
      </c>
      <c r="S1864" s="7" t="str">
        <f t="shared" si="6"/>
        <v/>
      </c>
      <c r="T1864" s="7"/>
    </row>
    <row r="1865" ht="22.5" hidden="1" customHeight="1">
      <c r="B1865" s="7">
        <f t="shared" si="7"/>
        <v>1859</v>
      </c>
      <c r="C1865" s="40"/>
      <c r="D1865" s="19" t="str">
        <f t="array" ref="D1865">IFNA(_xlfn.XLOOKUP(C1865,Table_Tarikan_Warkah[Nomor Sertipikat],Table_Tarikan_Warkah[Nomor Tiket]),"")</f>
        <v/>
      </c>
      <c r="E1865" s="20" t="str">
        <f t="array" ref="E1865">IFNA(_xlfn.XLOOKUP(D1865,Table_Tarikan_Warkah[Nomor Tiket],Table_Tarikan_Warkah[Tanggal diserahkan kepada Validator]),"")</f>
        <v/>
      </c>
      <c r="F1865" s="20" t="str">
        <f t="array" ref="F1865">IFNA(_xlfn.XLOOKUP(D1865,Table_Tarikan_Warkah[Nomor Tiket],Table_Tarikan_Warkah[Nama Petugas Warkah]),"")</f>
        <v/>
      </c>
      <c r="G1865" s="21" t="str">
        <f t="array" ref="G1865">IFNA(_xlfn.XLOOKUP(D1865,Table_Tarikan_Warkah[Nomor Tiket],Table_Tarikan_Warkah[Jenis Permohonan]),"")</f>
        <v/>
      </c>
      <c r="H1865" s="26"/>
      <c r="I1865" s="26"/>
      <c r="J1865" s="20" t="str">
        <f t="shared" si="29"/>
        <v/>
      </c>
      <c r="K1865" s="26"/>
      <c r="L1865" s="26"/>
      <c r="M1865" s="20" t="str">
        <f t="shared" si="30"/>
        <v/>
      </c>
      <c r="N1865" s="8" t="str">
        <f t="shared" si="3"/>
        <v/>
      </c>
      <c r="O1865" s="21" t="str">
        <f t="shared" si="22"/>
        <v/>
      </c>
      <c r="P1865" s="24" t="b">
        <v>0</v>
      </c>
      <c r="Q1865" s="20" t="str">
        <f t="shared" si="31"/>
        <v/>
      </c>
      <c r="R1865" s="24" t="b">
        <v>0</v>
      </c>
      <c r="S1865" s="7" t="str">
        <f t="shared" si="6"/>
        <v/>
      </c>
      <c r="T1865" s="7"/>
    </row>
    <row r="1866" ht="22.5" hidden="1" customHeight="1">
      <c r="B1866" s="7">
        <f t="shared" si="7"/>
        <v>1860</v>
      </c>
      <c r="C1866" s="40"/>
      <c r="D1866" s="19" t="str">
        <f t="array" ref="D1866">IFNA(_xlfn.XLOOKUP(C1866,Table_Tarikan_Warkah[Nomor Sertipikat],Table_Tarikan_Warkah[Nomor Tiket]),"")</f>
        <v/>
      </c>
      <c r="E1866" s="20" t="str">
        <f t="array" ref="E1866">IFNA(_xlfn.XLOOKUP(D1866,Table_Tarikan_Warkah[Nomor Tiket],Table_Tarikan_Warkah[Tanggal diserahkan kepada Validator]),"")</f>
        <v/>
      </c>
      <c r="F1866" s="20" t="str">
        <f t="array" ref="F1866">IFNA(_xlfn.XLOOKUP(D1866,Table_Tarikan_Warkah[Nomor Tiket],Table_Tarikan_Warkah[Nama Petugas Warkah]),"")</f>
        <v/>
      </c>
      <c r="G1866" s="21" t="str">
        <f t="array" ref="G1866">IFNA(_xlfn.XLOOKUP(D1866,Table_Tarikan_Warkah[Nomor Tiket],Table_Tarikan_Warkah[Jenis Permohonan]),"")</f>
        <v/>
      </c>
      <c r="H1866" s="26"/>
      <c r="I1866" s="26"/>
      <c r="J1866" s="20" t="str">
        <f t="shared" si="29"/>
        <v/>
      </c>
      <c r="K1866" s="26"/>
      <c r="L1866" s="26"/>
      <c r="M1866" s="20" t="str">
        <f t="shared" si="30"/>
        <v/>
      </c>
      <c r="N1866" s="8" t="str">
        <f t="shared" si="3"/>
        <v/>
      </c>
      <c r="O1866" s="21" t="str">
        <f t="shared" si="22"/>
        <v/>
      </c>
      <c r="P1866" s="24" t="b">
        <v>0</v>
      </c>
      <c r="Q1866" s="20" t="str">
        <f t="shared" si="31"/>
        <v/>
      </c>
      <c r="R1866" s="24" t="b">
        <v>0</v>
      </c>
      <c r="S1866" s="7" t="str">
        <f t="shared" si="6"/>
        <v/>
      </c>
      <c r="T1866" s="7"/>
    </row>
    <row r="1867" ht="22.5" hidden="1" customHeight="1">
      <c r="B1867" s="7">
        <f t="shared" si="7"/>
        <v>1861</v>
      </c>
      <c r="C1867" s="40"/>
      <c r="D1867" s="19" t="str">
        <f t="array" ref="D1867">IFNA(_xlfn.XLOOKUP(C1867,Table_Tarikan_Warkah[Nomor Sertipikat],Table_Tarikan_Warkah[Nomor Tiket]),"")</f>
        <v/>
      </c>
      <c r="E1867" s="20" t="str">
        <f t="array" ref="E1867">IFNA(_xlfn.XLOOKUP(D1867,Table_Tarikan_Warkah[Nomor Tiket],Table_Tarikan_Warkah[Tanggal diserahkan kepada Validator]),"")</f>
        <v/>
      </c>
      <c r="F1867" s="20" t="str">
        <f t="array" ref="F1867">IFNA(_xlfn.XLOOKUP(D1867,Table_Tarikan_Warkah[Nomor Tiket],Table_Tarikan_Warkah[Nama Petugas Warkah]),"")</f>
        <v/>
      </c>
      <c r="G1867" s="21" t="str">
        <f t="array" ref="G1867">IFNA(_xlfn.XLOOKUP(D1867,Table_Tarikan_Warkah[Nomor Tiket],Table_Tarikan_Warkah[Jenis Permohonan]),"")</f>
        <v/>
      </c>
      <c r="H1867" s="26"/>
      <c r="I1867" s="26"/>
      <c r="J1867" s="20" t="str">
        <f t="shared" si="29"/>
        <v/>
      </c>
      <c r="K1867" s="26"/>
      <c r="L1867" s="26"/>
      <c r="M1867" s="20" t="str">
        <f t="shared" si="30"/>
        <v/>
      </c>
      <c r="N1867" s="8" t="str">
        <f t="shared" si="3"/>
        <v/>
      </c>
      <c r="O1867" s="21" t="str">
        <f t="shared" si="22"/>
        <v/>
      </c>
      <c r="P1867" s="24" t="b">
        <v>0</v>
      </c>
      <c r="Q1867" s="20" t="str">
        <f t="shared" si="31"/>
        <v/>
      </c>
      <c r="R1867" s="24" t="b">
        <v>0</v>
      </c>
      <c r="S1867" s="7" t="str">
        <f t="shared" si="6"/>
        <v/>
      </c>
      <c r="T1867" s="7"/>
    </row>
    <row r="1868" ht="22.5" hidden="1" customHeight="1">
      <c r="B1868" s="7">
        <f t="shared" si="7"/>
        <v>1862</v>
      </c>
      <c r="C1868" s="40"/>
      <c r="D1868" s="19" t="str">
        <f t="array" ref="D1868">IFNA(_xlfn.XLOOKUP(C1868,Table_Tarikan_Warkah[Nomor Sertipikat],Table_Tarikan_Warkah[Nomor Tiket]),"")</f>
        <v/>
      </c>
      <c r="E1868" s="20" t="str">
        <f t="array" ref="E1868">IFNA(_xlfn.XLOOKUP(D1868,Table_Tarikan_Warkah[Nomor Tiket],Table_Tarikan_Warkah[Tanggal diserahkan kepada Validator]),"")</f>
        <v/>
      </c>
      <c r="F1868" s="20" t="str">
        <f t="array" ref="F1868">IFNA(_xlfn.XLOOKUP(D1868,Table_Tarikan_Warkah[Nomor Tiket],Table_Tarikan_Warkah[Nama Petugas Warkah]),"")</f>
        <v/>
      </c>
      <c r="G1868" s="21" t="str">
        <f t="array" ref="G1868">IFNA(_xlfn.XLOOKUP(D1868,Table_Tarikan_Warkah[Nomor Tiket],Table_Tarikan_Warkah[Jenis Permohonan]),"")</f>
        <v/>
      </c>
      <c r="H1868" s="26"/>
      <c r="I1868" s="26"/>
      <c r="J1868" s="20" t="str">
        <f t="shared" si="29"/>
        <v/>
      </c>
      <c r="K1868" s="26"/>
      <c r="L1868" s="26"/>
      <c r="M1868" s="20" t="str">
        <f t="shared" si="30"/>
        <v/>
      </c>
      <c r="N1868" s="8" t="str">
        <f t="shared" si="3"/>
        <v/>
      </c>
      <c r="O1868" s="21" t="str">
        <f t="shared" si="22"/>
        <v/>
      </c>
      <c r="P1868" s="24" t="b">
        <v>0</v>
      </c>
      <c r="Q1868" s="20" t="str">
        <f t="shared" si="31"/>
        <v/>
      </c>
      <c r="R1868" s="24" t="b">
        <v>0</v>
      </c>
      <c r="S1868" s="7" t="str">
        <f t="shared" si="6"/>
        <v/>
      </c>
      <c r="T1868" s="7"/>
    </row>
    <row r="1869" ht="22.5" hidden="1" customHeight="1">
      <c r="B1869" s="7">
        <f t="shared" si="7"/>
        <v>1863</v>
      </c>
      <c r="C1869" s="40"/>
      <c r="D1869" s="19" t="str">
        <f t="array" ref="D1869">IFNA(_xlfn.XLOOKUP(C1869,Table_Tarikan_Warkah[Nomor Sertipikat],Table_Tarikan_Warkah[Nomor Tiket]),"")</f>
        <v/>
      </c>
      <c r="E1869" s="20" t="str">
        <f t="array" ref="E1869">IFNA(_xlfn.XLOOKUP(D1869,Table_Tarikan_Warkah[Nomor Tiket],Table_Tarikan_Warkah[Tanggal diserahkan kepada Validator]),"")</f>
        <v/>
      </c>
      <c r="F1869" s="20" t="str">
        <f t="array" ref="F1869">IFNA(_xlfn.XLOOKUP(D1869,Table_Tarikan_Warkah[Nomor Tiket],Table_Tarikan_Warkah[Nama Petugas Warkah]),"")</f>
        <v/>
      </c>
      <c r="G1869" s="21" t="str">
        <f t="array" ref="G1869">IFNA(_xlfn.XLOOKUP(D1869,Table_Tarikan_Warkah[Nomor Tiket],Table_Tarikan_Warkah[Jenis Permohonan]),"")</f>
        <v/>
      </c>
      <c r="H1869" s="26"/>
      <c r="I1869" s="26"/>
      <c r="J1869" s="20" t="str">
        <f t="shared" si="29"/>
        <v/>
      </c>
      <c r="K1869" s="26"/>
      <c r="L1869" s="26"/>
      <c r="M1869" s="20" t="str">
        <f t="shared" si="30"/>
        <v/>
      </c>
      <c r="N1869" s="8" t="str">
        <f t="shared" si="3"/>
        <v/>
      </c>
      <c r="O1869" s="21" t="str">
        <f t="shared" si="22"/>
        <v/>
      </c>
      <c r="P1869" s="24" t="b">
        <v>0</v>
      </c>
      <c r="Q1869" s="20" t="str">
        <f t="shared" si="31"/>
        <v/>
      </c>
      <c r="R1869" s="24" t="b">
        <v>0</v>
      </c>
      <c r="S1869" s="7" t="str">
        <f t="shared" si="6"/>
        <v/>
      </c>
      <c r="T1869" s="7"/>
    </row>
    <row r="1870" ht="22.5" hidden="1" customHeight="1">
      <c r="B1870" s="7">
        <f t="shared" si="7"/>
        <v>1864</v>
      </c>
      <c r="C1870" s="40"/>
      <c r="D1870" s="19" t="str">
        <f t="array" ref="D1870">IFNA(_xlfn.XLOOKUP(C1870,Table_Tarikan_Warkah[Nomor Sertipikat],Table_Tarikan_Warkah[Nomor Tiket]),"")</f>
        <v/>
      </c>
      <c r="E1870" s="20" t="str">
        <f t="array" ref="E1870">IFNA(_xlfn.XLOOKUP(D1870,Table_Tarikan_Warkah[Nomor Tiket],Table_Tarikan_Warkah[Tanggal diserahkan kepada Validator]),"")</f>
        <v/>
      </c>
      <c r="F1870" s="20" t="str">
        <f t="array" ref="F1870">IFNA(_xlfn.XLOOKUP(D1870,Table_Tarikan_Warkah[Nomor Tiket],Table_Tarikan_Warkah[Nama Petugas Warkah]),"")</f>
        <v/>
      </c>
      <c r="G1870" s="21" t="str">
        <f t="array" ref="G1870">IFNA(_xlfn.XLOOKUP(D1870,Table_Tarikan_Warkah[Nomor Tiket],Table_Tarikan_Warkah[Jenis Permohonan]),"")</f>
        <v/>
      </c>
      <c r="H1870" s="26"/>
      <c r="I1870" s="26"/>
      <c r="J1870" s="20" t="str">
        <f t="shared" si="29"/>
        <v/>
      </c>
      <c r="K1870" s="26"/>
      <c r="L1870" s="26"/>
      <c r="M1870" s="20" t="str">
        <f t="shared" si="30"/>
        <v/>
      </c>
      <c r="N1870" s="8" t="str">
        <f t="shared" si="3"/>
        <v/>
      </c>
      <c r="O1870" s="21" t="str">
        <f t="shared" si="22"/>
        <v/>
      </c>
      <c r="P1870" s="24" t="b">
        <v>0</v>
      </c>
      <c r="Q1870" s="20" t="str">
        <f t="shared" si="31"/>
        <v/>
      </c>
      <c r="R1870" s="24" t="b">
        <v>0</v>
      </c>
      <c r="S1870" s="7" t="str">
        <f t="shared" si="6"/>
        <v/>
      </c>
      <c r="T1870" s="7"/>
    </row>
    <row r="1871" ht="22.5" hidden="1" customHeight="1">
      <c r="B1871" s="7">
        <f t="shared" si="7"/>
        <v>1865</v>
      </c>
      <c r="C1871" s="40"/>
      <c r="D1871" s="19" t="str">
        <f t="array" ref="D1871">IFNA(_xlfn.XLOOKUP(C1871,Table_Tarikan_Warkah[Nomor Sertipikat],Table_Tarikan_Warkah[Nomor Tiket]),"")</f>
        <v/>
      </c>
      <c r="E1871" s="20" t="str">
        <f t="array" ref="E1871">IFNA(_xlfn.XLOOKUP(D1871,Table_Tarikan_Warkah[Nomor Tiket],Table_Tarikan_Warkah[Tanggal diserahkan kepada Validator]),"")</f>
        <v/>
      </c>
      <c r="F1871" s="20" t="str">
        <f t="array" ref="F1871">IFNA(_xlfn.XLOOKUP(D1871,Table_Tarikan_Warkah[Nomor Tiket],Table_Tarikan_Warkah[Nama Petugas Warkah]),"")</f>
        <v/>
      </c>
      <c r="G1871" s="21" t="str">
        <f t="array" ref="G1871">IFNA(_xlfn.XLOOKUP(D1871,Table_Tarikan_Warkah[Nomor Tiket],Table_Tarikan_Warkah[Jenis Permohonan]),"")</f>
        <v/>
      </c>
      <c r="H1871" s="26"/>
      <c r="I1871" s="26"/>
      <c r="J1871" s="20" t="str">
        <f t="shared" si="29"/>
        <v/>
      </c>
      <c r="K1871" s="26"/>
      <c r="L1871" s="26"/>
      <c r="M1871" s="20" t="str">
        <f t="shared" si="30"/>
        <v/>
      </c>
      <c r="N1871" s="8" t="str">
        <f t="shared" si="3"/>
        <v/>
      </c>
      <c r="O1871" s="21" t="str">
        <f t="shared" si="22"/>
        <v/>
      </c>
      <c r="P1871" s="24" t="b">
        <v>0</v>
      </c>
      <c r="Q1871" s="20" t="str">
        <f t="shared" si="31"/>
        <v/>
      </c>
      <c r="R1871" s="24" t="b">
        <v>0</v>
      </c>
      <c r="S1871" s="7" t="str">
        <f t="shared" si="6"/>
        <v/>
      </c>
      <c r="T1871" s="7"/>
    </row>
    <row r="1872" ht="22.5" hidden="1" customHeight="1">
      <c r="B1872" s="7">
        <f t="shared" si="7"/>
        <v>1866</v>
      </c>
      <c r="C1872" s="40"/>
      <c r="D1872" s="19" t="str">
        <f t="array" ref="D1872">IFNA(_xlfn.XLOOKUP(C1872,Table_Tarikan_Warkah[Nomor Sertipikat],Table_Tarikan_Warkah[Nomor Tiket]),"")</f>
        <v/>
      </c>
      <c r="E1872" s="20" t="str">
        <f t="array" ref="E1872">IFNA(_xlfn.XLOOKUP(D1872,Table_Tarikan_Warkah[Nomor Tiket],Table_Tarikan_Warkah[Tanggal diserahkan kepada Validator]),"")</f>
        <v/>
      </c>
      <c r="F1872" s="20" t="str">
        <f t="array" ref="F1872">IFNA(_xlfn.XLOOKUP(D1872,Table_Tarikan_Warkah[Nomor Tiket],Table_Tarikan_Warkah[Nama Petugas Warkah]),"")</f>
        <v/>
      </c>
      <c r="G1872" s="21" t="str">
        <f t="array" ref="G1872">IFNA(_xlfn.XLOOKUP(D1872,Table_Tarikan_Warkah[Nomor Tiket],Table_Tarikan_Warkah[Jenis Permohonan]),"")</f>
        <v/>
      </c>
      <c r="H1872" s="26"/>
      <c r="I1872" s="26"/>
      <c r="J1872" s="20" t="str">
        <f t="shared" si="29"/>
        <v/>
      </c>
      <c r="K1872" s="26"/>
      <c r="L1872" s="26"/>
      <c r="M1872" s="20" t="str">
        <f t="shared" si="30"/>
        <v/>
      </c>
      <c r="N1872" s="8" t="str">
        <f t="shared" si="3"/>
        <v/>
      </c>
      <c r="O1872" s="21" t="str">
        <f t="shared" si="22"/>
        <v/>
      </c>
      <c r="P1872" s="24" t="b">
        <v>0</v>
      </c>
      <c r="Q1872" s="20" t="str">
        <f t="shared" si="31"/>
        <v/>
      </c>
      <c r="R1872" s="24" t="b">
        <v>0</v>
      </c>
      <c r="S1872" s="7" t="str">
        <f t="shared" si="6"/>
        <v/>
      </c>
      <c r="T1872" s="7"/>
    </row>
    <row r="1873" ht="22.5" hidden="1" customHeight="1">
      <c r="B1873" s="7">
        <f t="shared" si="7"/>
        <v>1867</v>
      </c>
      <c r="C1873" s="40"/>
      <c r="D1873" s="19" t="str">
        <f t="array" ref="D1873">IFNA(_xlfn.XLOOKUP(C1873,Table_Tarikan_Warkah[Nomor Sertipikat],Table_Tarikan_Warkah[Nomor Tiket]),"")</f>
        <v/>
      </c>
      <c r="E1873" s="20" t="str">
        <f t="array" ref="E1873">IFNA(_xlfn.XLOOKUP(D1873,Table_Tarikan_Warkah[Nomor Tiket],Table_Tarikan_Warkah[Tanggal diserahkan kepada Validator]),"")</f>
        <v/>
      </c>
      <c r="F1873" s="20" t="str">
        <f t="array" ref="F1873">IFNA(_xlfn.XLOOKUP(D1873,Table_Tarikan_Warkah[Nomor Tiket],Table_Tarikan_Warkah[Nama Petugas Warkah]),"")</f>
        <v/>
      </c>
      <c r="G1873" s="21" t="str">
        <f t="array" ref="G1873">IFNA(_xlfn.XLOOKUP(D1873,Table_Tarikan_Warkah[Nomor Tiket],Table_Tarikan_Warkah[Jenis Permohonan]),"")</f>
        <v/>
      </c>
      <c r="H1873" s="26"/>
      <c r="I1873" s="26"/>
      <c r="J1873" s="20" t="str">
        <f t="shared" si="29"/>
        <v/>
      </c>
      <c r="K1873" s="26"/>
      <c r="L1873" s="26"/>
      <c r="M1873" s="20" t="str">
        <f t="shared" si="30"/>
        <v/>
      </c>
      <c r="N1873" s="8" t="str">
        <f t="shared" si="3"/>
        <v/>
      </c>
      <c r="O1873" s="21" t="str">
        <f t="shared" si="22"/>
        <v/>
      </c>
      <c r="P1873" s="24" t="b">
        <v>0</v>
      </c>
      <c r="Q1873" s="20" t="str">
        <f t="shared" si="31"/>
        <v/>
      </c>
      <c r="R1873" s="24" t="b">
        <v>0</v>
      </c>
      <c r="S1873" s="7" t="str">
        <f t="shared" si="6"/>
        <v/>
      </c>
      <c r="T1873" s="7"/>
    </row>
    <row r="1874" ht="22.5" hidden="1" customHeight="1">
      <c r="B1874" s="7">
        <f t="shared" si="7"/>
        <v>1868</v>
      </c>
      <c r="C1874" s="40"/>
      <c r="D1874" s="19" t="str">
        <f t="array" ref="D1874">IFNA(_xlfn.XLOOKUP(C1874,Table_Tarikan_Warkah[Nomor Sertipikat],Table_Tarikan_Warkah[Nomor Tiket]),"")</f>
        <v/>
      </c>
      <c r="E1874" s="20" t="str">
        <f t="array" ref="E1874">IFNA(_xlfn.XLOOKUP(D1874,Table_Tarikan_Warkah[Nomor Tiket],Table_Tarikan_Warkah[Tanggal diserahkan kepada Validator]),"")</f>
        <v/>
      </c>
      <c r="F1874" s="20" t="str">
        <f t="array" ref="F1874">IFNA(_xlfn.XLOOKUP(D1874,Table_Tarikan_Warkah[Nomor Tiket],Table_Tarikan_Warkah[Nama Petugas Warkah]),"")</f>
        <v/>
      </c>
      <c r="G1874" s="21" t="str">
        <f t="array" ref="G1874">IFNA(_xlfn.XLOOKUP(D1874,Table_Tarikan_Warkah[Nomor Tiket],Table_Tarikan_Warkah[Jenis Permohonan]),"")</f>
        <v/>
      </c>
      <c r="H1874" s="26"/>
      <c r="I1874" s="26"/>
      <c r="J1874" s="20" t="str">
        <f t="shared" si="29"/>
        <v/>
      </c>
      <c r="K1874" s="26"/>
      <c r="L1874" s="26"/>
      <c r="M1874" s="20" t="str">
        <f t="shared" si="30"/>
        <v/>
      </c>
      <c r="N1874" s="8" t="str">
        <f t="shared" si="3"/>
        <v/>
      </c>
      <c r="O1874" s="21" t="str">
        <f t="shared" si="22"/>
        <v/>
      </c>
      <c r="P1874" s="24" t="b">
        <v>0</v>
      </c>
      <c r="Q1874" s="20" t="str">
        <f t="shared" si="31"/>
        <v/>
      </c>
      <c r="R1874" s="24" t="b">
        <v>0</v>
      </c>
      <c r="S1874" s="7" t="str">
        <f t="shared" si="6"/>
        <v/>
      </c>
      <c r="T1874" s="7"/>
    </row>
    <row r="1875" ht="22.5" hidden="1" customHeight="1">
      <c r="B1875" s="7">
        <f t="shared" si="7"/>
        <v>1869</v>
      </c>
      <c r="C1875" s="40"/>
      <c r="D1875" s="19" t="str">
        <f t="array" ref="D1875">IFNA(_xlfn.XLOOKUP(C1875,Table_Tarikan_Warkah[Nomor Sertipikat],Table_Tarikan_Warkah[Nomor Tiket]),"")</f>
        <v/>
      </c>
      <c r="E1875" s="20" t="str">
        <f t="array" ref="E1875">IFNA(_xlfn.XLOOKUP(D1875,Table_Tarikan_Warkah[Nomor Tiket],Table_Tarikan_Warkah[Tanggal diserahkan kepada Validator]),"")</f>
        <v/>
      </c>
      <c r="F1875" s="20" t="str">
        <f t="array" ref="F1875">IFNA(_xlfn.XLOOKUP(D1875,Table_Tarikan_Warkah[Nomor Tiket],Table_Tarikan_Warkah[Nama Petugas Warkah]),"")</f>
        <v/>
      </c>
      <c r="G1875" s="21" t="str">
        <f t="array" ref="G1875">IFNA(_xlfn.XLOOKUP(D1875,Table_Tarikan_Warkah[Nomor Tiket],Table_Tarikan_Warkah[Jenis Permohonan]),"")</f>
        <v/>
      </c>
      <c r="H1875" s="26"/>
      <c r="I1875" s="26"/>
      <c r="J1875" s="20" t="str">
        <f t="shared" si="29"/>
        <v/>
      </c>
      <c r="K1875" s="26"/>
      <c r="L1875" s="26"/>
      <c r="M1875" s="20" t="str">
        <f t="shared" si="30"/>
        <v/>
      </c>
      <c r="N1875" s="8" t="str">
        <f t="shared" si="3"/>
        <v/>
      </c>
      <c r="O1875" s="21" t="str">
        <f t="shared" si="22"/>
        <v/>
      </c>
      <c r="P1875" s="24" t="b">
        <v>0</v>
      </c>
      <c r="Q1875" s="20" t="str">
        <f t="shared" si="31"/>
        <v/>
      </c>
      <c r="R1875" s="24" t="b">
        <v>0</v>
      </c>
      <c r="S1875" s="7" t="str">
        <f t="shared" si="6"/>
        <v/>
      </c>
      <c r="T1875" s="7"/>
    </row>
    <row r="1876" ht="22.5" hidden="1" customHeight="1">
      <c r="B1876" s="7">
        <f t="shared" si="7"/>
        <v>1870</v>
      </c>
      <c r="C1876" s="40"/>
      <c r="D1876" s="19" t="str">
        <f t="array" ref="D1876">IFNA(_xlfn.XLOOKUP(C1876,Table_Tarikan_Warkah[Nomor Sertipikat],Table_Tarikan_Warkah[Nomor Tiket]),"")</f>
        <v/>
      </c>
      <c r="E1876" s="20" t="str">
        <f t="array" ref="E1876">IFNA(_xlfn.XLOOKUP(D1876,Table_Tarikan_Warkah[Nomor Tiket],Table_Tarikan_Warkah[Tanggal diserahkan kepada Validator]),"")</f>
        <v/>
      </c>
      <c r="F1876" s="20" t="str">
        <f t="array" ref="F1876">IFNA(_xlfn.XLOOKUP(D1876,Table_Tarikan_Warkah[Nomor Tiket],Table_Tarikan_Warkah[Nama Petugas Warkah]),"")</f>
        <v/>
      </c>
      <c r="G1876" s="21" t="str">
        <f t="array" ref="G1876">IFNA(_xlfn.XLOOKUP(D1876,Table_Tarikan_Warkah[Nomor Tiket],Table_Tarikan_Warkah[Jenis Permohonan]),"")</f>
        <v/>
      </c>
      <c r="H1876" s="26"/>
      <c r="I1876" s="26"/>
      <c r="J1876" s="20" t="str">
        <f t="shared" si="29"/>
        <v/>
      </c>
      <c r="K1876" s="26"/>
      <c r="L1876" s="26"/>
      <c r="M1876" s="20" t="str">
        <f t="shared" si="30"/>
        <v/>
      </c>
      <c r="N1876" s="8" t="str">
        <f t="shared" si="3"/>
        <v/>
      </c>
      <c r="O1876" s="21" t="str">
        <f t="shared" si="22"/>
        <v/>
      </c>
      <c r="P1876" s="24" t="b">
        <v>0</v>
      </c>
      <c r="Q1876" s="20" t="str">
        <f t="shared" si="31"/>
        <v/>
      </c>
      <c r="R1876" s="24" t="b">
        <v>0</v>
      </c>
      <c r="S1876" s="7" t="str">
        <f t="shared" si="6"/>
        <v/>
      </c>
      <c r="T1876" s="7"/>
    </row>
    <row r="1877" ht="22.5" hidden="1" customHeight="1">
      <c r="B1877" s="7">
        <f t="shared" si="7"/>
        <v>1871</v>
      </c>
      <c r="C1877" s="40"/>
      <c r="D1877" s="19" t="str">
        <f t="array" ref="D1877">IFNA(_xlfn.XLOOKUP(C1877,Table_Tarikan_Warkah[Nomor Sertipikat],Table_Tarikan_Warkah[Nomor Tiket]),"")</f>
        <v/>
      </c>
      <c r="E1877" s="20" t="str">
        <f t="array" ref="E1877">IFNA(_xlfn.XLOOKUP(D1877,Table_Tarikan_Warkah[Nomor Tiket],Table_Tarikan_Warkah[Tanggal diserahkan kepada Validator]),"")</f>
        <v/>
      </c>
      <c r="F1877" s="20" t="str">
        <f t="array" ref="F1877">IFNA(_xlfn.XLOOKUP(D1877,Table_Tarikan_Warkah[Nomor Tiket],Table_Tarikan_Warkah[Nama Petugas Warkah]),"")</f>
        <v/>
      </c>
      <c r="G1877" s="21" t="str">
        <f t="array" ref="G1877">IFNA(_xlfn.XLOOKUP(D1877,Table_Tarikan_Warkah[Nomor Tiket],Table_Tarikan_Warkah[Jenis Permohonan]),"")</f>
        <v/>
      </c>
      <c r="H1877" s="26"/>
      <c r="I1877" s="26"/>
      <c r="J1877" s="20" t="str">
        <f t="shared" si="29"/>
        <v/>
      </c>
      <c r="K1877" s="26"/>
      <c r="L1877" s="26"/>
      <c r="M1877" s="20" t="str">
        <f t="shared" si="30"/>
        <v/>
      </c>
      <c r="N1877" s="8" t="str">
        <f t="shared" si="3"/>
        <v/>
      </c>
      <c r="O1877" s="21" t="str">
        <f t="shared" si="22"/>
        <v/>
      </c>
      <c r="P1877" s="24" t="b">
        <v>0</v>
      </c>
      <c r="Q1877" s="20" t="str">
        <f t="shared" si="31"/>
        <v/>
      </c>
      <c r="R1877" s="24" t="b">
        <v>0</v>
      </c>
      <c r="S1877" s="7" t="str">
        <f t="shared" si="6"/>
        <v/>
      </c>
      <c r="T1877" s="7"/>
    </row>
    <row r="1878" ht="22.5" hidden="1" customHeight="1">
      <c r="B1878" s="7">
        <f t="shared" si="7"/>
        <v>1872</v>
      </c>
      <c r="C1878" s="40"/>
      <c r="D1878" s="19" t="str">
        <f t="array" ref="D1878">IFNA(_xlfn.XLOOKUP(C1878,Table_Tarikan_Warkah[Nomor Sertipikat],Table_Tarikan_Warkah[Nomor Tiket]),"")</f>
        <v/>
      </c>
      <c r="E1878" s="20" t="str">
        <f t="array" ref="E1878">IFNA(_xlfn.XLOOKUP(D1878,Table_Tarikan_Warkah[Nomor Tiket],Table_Tarikan_Warkah[Tanggal diserahkan kepada Validator]),"")</f>
        <v/>
      </c>
      <c r="F1878" s="20" t="str">
        <f t="array" ref="F1878">IFNA(_xlfn.XLOOKUP(D1878,Table_Tarikan_Warkah[Nomor Tiket],Table_Tarikan_Warkah[Nama Petugas Warkah]),"")</f>
        <v/>
      </c>
      <c r="G1878" s="21" t="str">
        <f t="array" ref="G1878">IFNA(_xlfn.XLOOKUP(D1878,Table_Tarikan_Warkah[Nomor Tiket],Table_Tarikan_Warkah[Jenis Permohonan]),"")</f>
        <v/>
      </c>
      <c r="H1878" s="26"/>
      <c r="I1878" s="26"/>
      <c r="J1878" s="20" t="str">
        <f t="shared" si="29"/>
        <v/>
      </c>
      <c r="K1878" s="26"/>
      <c r="L1878" s="26"/>
      <c r="M1878" s="20" t="str">
        <f t="shared" si="30"/>
        <v/>
      </c>
      <c r="N1878" s="8" t="str">
        <f t="shared" si="3"/>
        <v/>
      </c>
      <c r="O1878" s="21" t="str">
        <f t="shared" si="22"/>
        <v/>
      </c>
      <c r="P1878" s="24" t="b">
        <v>0</v>
      </c>
      <c r="Q1878" s="20" t="str">
        <f t="shared" si="31"/>
        <v/>
      </c>
      <c r="R1878" s="24" t="b">
        <v>0</v>
      </c>
      <c r="S1878" s="7" t="str">
        <f t="shared" si="6"/>
        <v/>
      </c>
      <c r="T1878" s="7"/>
    </row>
    <row r="1879" ht="22.5" hidden="1" customHeight="1">
      <c r="B1879" s="7">
        <f t="shared" si="7"/>
        <v>1873</v>
      </c>
      <c r="C1879" s="40"/>
      <c r="D1879" s="19" t="str">
        <f t="array" ref="D1879">IFNA(_xlfn.XLOOKUP(C1879,Table_Tarikan_Warkah[Nomor Sertipikat],Table_Tarikan_Warkah[Nomor Tiket]),"")</f>
        <v/>
      </c>
      <c r="E1879" s="20" t="str">
        <f t="array" ref="E1879">IFNA(_xlfn.XLOOKUP(D1879,Table_Tarikan_Warkah[Nomor Tiket],Table_Tarikan_Warkah[Tanggal diserahkan kepada Validator]),"")</f>
        <v/>
      </c>
      <c r="F1879" s="20" t="str">
        <f t="array" ref="F1879">IFNA(_xlfn.XLOOKUP(D1879,Table_Tarikan_Warkah[Nomor Tiket],Table_Tarikan_Warkah[Nama Petugas Warkah]),"")</f>
        <v/>
      </c>
      <c r="G1879" s="21" t="str">
        <f t="array" ref="G1879">IFNA(_xlfn.XLOOKUP(D1879,Table_Tarikan_Warkah[Nomor Tiket],Table_Tarikan_Warkah[Jenis Permohonan]),"")</f>
        <v/>
      </c>
      <c r="H1879" s="26"/>
      <c r="I1879" s="26"/>
      <c r="J1879" s="20" t="str">
        <f t="shared" si="29"/>
        <v/>
      </c>
      <c r="K1879" s="26"/>
      <c r="L1879" s="26"/>
      <c r="M1879" s="20" t="str">
        <f t="shared" si="30"/>
        <v/>
      </c>
      <c r="N1879" s="8" t="str">
        <f t="shared" si="3"/>
        <v/>
      </c>
      <c r="O1879" s="21" t="str">
        <f t="shared" si="22"/>
        <v/>
      </c>
      <c r="P1879" s="24" t="b">
        <v>0</v>
      </c>
      <c r="Q1879" s="20" t="str">
        <f t="shared" si="31"/>
        <v/>
      </c>
      <c r="R1879" s="24" t="b">
        <v>0</v>
      </c>
      <c r="S1879" s="7" t="str">
        <f t="shared" si="6"/>
        <v/>
      </c>
      <c r="T1879" s="7"/>
    </row>
    <row r="1880" ht="22.5" hidden="1" customHeight="1">
      <c r="B1880" s="7">
        <f t="shared" si="7"/>
        <v>1874</v>
      </c>
      <c r="C1880" s="40"/>
      <c r="D1880" s="19" t="str">
        <f t="array" ref="D1880">IFNA(_xlfn.XLOOKUP(C1880,Table_Tarikan_Warkah[Nomor Sertipikat],Table_Tarikan_Warkah[Nomor Tiket]),"")</f>
        <v/>
      </c>
      <c r="E1880" s="20" t="str">
        <f t="array" ref="E1880">IFNA(_xlfn.XLOOKUP(D1880,Table_Tarikan_Warkah[Nomor Tiket],Table_Tarikan_Warkah[Tanggal diserahkan kepada Validator]),"")</f>
        <v/>
      </c>
      <c r="F1880" s="20" t="str">
        <f t="array" ref="F1880">IFNA(_xlfn.XLOOKUP(D1880,Table_Tarikan_Warkah[Nomor Tiket],Table_Tarikan_Warkah[Nama Petugas Warkah]),"")</f>
        <v/>
      </c>
      <c r="G1880" s="21" t="str">
        <f t="array" ref="G1880">IFNA(_xlfn.XLOOKUP(D1880,Table_Tarikan_Warkah[Nomor Tiket],Table_Tarikan_Warkah[Jenis Permohonan]),"")</f>
        <v/>
      </c>
      <c r="H1880" s="26"/>
      <c r="I1880" s="26"/>
      <c r="J1880" s="20" t="str">
        <f t="shared" si="29"/>
        <v/>
      </c>
      <c r="K1880" s="26"/>
      <c r="L1880" s="26"/>
      <c r="M1880" s="20" t="str">
        <f t="shared" si="30"/>
        <v/>
      </c>
      <c r="N1880" s="8" t="str">
        <f t="shared" si="3"/>
        <v/>
      </c>
      <c r="O1880" s="21" t="str">
        <f t="shared" si="22"/>
        <v/>
      </c>
      <c r="P1880" s="24" t="b">
        <v>0</v>
      </c>
      <c r="Q1880" s="20" t="str">
        <f t="shared" si="31"/>
        <v/>
      </c>
      <c r="R1880" s="24" t="b">
        <v>0</v>
      </c>
      <c r="S1880" s="7" t="str">
        <f t="shared" si="6"/>
        <v/>
      </c>
      <c r="T1880" s="7"/>
    </row>
    <row r="1881" ht="22.5" hidden="1" customHeight="1">
      <c r="B1881" s="7">
        <f t="shared" si="7"/>
        <v>1875</v>
      </c>
      <c r="C1881" s="40"/>
      <c r="D1881" s="19" t="str">
        <f t="array" ref="D1881">IFNA(_xlfn.XLOOKUP(C1881,Table_Tarikan_Warkah[Nomor Sertipikat],Table_Tarikan_Warkah[Nomor Tiket]),"")</f>
        <v/>
      </c>
      <c r="E1881" s="20" t="str">
        <f t="array" ref="E1881">IFNA(_xlfn.XLOOKUP(D1881,Table_Tarikan_Warkah[Nomor Tiket],Table_Tarikan_Warkah[Tanggal diserahkan kepada Validator]),"")</f>
        <v/>
      </c>
      <c r="F1881" s="20" t="str">
        <f t="array" ref="F1881">IFNA(_xlfn.XLOOKUP(D1881,Table_Tarikan_Warkah[Nomor Tiket],Table_Tarikan_Warkah[Nama Petugas Warkah]),"")</f>
        <v/>
      </c>
      <c r="G1881" s="21" t="str">
        <f t="array" ref="G1881">IFNA(_xlfn.XLOOKUP(D1881,Table_Tarikan_Warkah[Nomor Tiket],Table_Tarikan_Warkah[Jenis Permohonan]),"")</f>
        <v/>
      </c>
      <c r="H1881" s="26"/>
      <c r="I1881" s="26"/>
      <c r="J1881" s="20" t="str">
        <f t="shared" si="29"/>
        <v/>
      </c>
      <c r="K1881" s="26"/>
      <c r="L1881" s="26"/>
      <c r="M1881" s="20" t="str">
        <f t="shared" si="30"/>
        <v/>
      </c>
      <c r="N1881" s="8" t="str">
        <f t="shared" si="3"/>
        <v/>
      </c>
      <c r="O1881" s="21" t="str">
        <f t="shared" si="22"/>
        <v/>
      </c>
      <c r="P1881" s="24" t="b">
        <v>0</v>
      </c>
      <c r="Q1881" s="20" t="str">
        <f t="shared" si="31"/>
        <v/>
      </c>
      <c r="R1881" s="24" t="b">
        <v>0</v>
      </c>
      <c r="S1881" s="7" t="str">
        <f t="shared" si="6"/>
        <v/>
      </c>
      <c r="T1881" s="7"/>
    </row>
    <row r="1882" ht="22.5" hidden="1" customHeight="1">
      <c r="B1882" s="7">
        <f t="shared" si="7"/>
        <v>1876</v>
      </c>
      <c r="C1882" s="40"/>
      <c r="D1882" s="19" t="str">
        <f t="array" ref="D1882">IFNA(_xlfn.XLOOKUP(C1882,Table_Tarikan_Warkah[Nomor Sertipikat],Table_Tarikan_Warkah[Nomor Tiket]),"")</f>
        <v/>
      </c>
      <c r="E1882" s="20" t="str">
        <f t="array" ref="E1882">IFNA(_xlfn.XLOOKUP(D1882,Table_Tarikan_Warkah[Nomor Tiket],Table_Tarikan_Warkah[Tanggal diserahkan kepada Validator]),"")</f>
        <v/>
      </c>
      <c r="F1882" s="20" t="str">
        <f t="array" ref="F1882">IFNA(_xlfn.XLOOKUP(D1882,Table_Tarikan_Warkah[Nomor Tiket],Table_Tarikan_Warkah[Nama Petugas Warkah]),"")</f>
        <v/>
      </c>
      <c r="G1882" s="21" t="str">
        <f t="array" ref="G1882">IFNA(_xlfn.XLOOKUP(D1882,Table_Tarikan_Warkah[Nomor Tiket],Table_Tarikan_Warkah[Jenis Permohonan]),"")</f>
        <v/>
      </c>
      <c r="H1882" s="26"/>
      <c r="I1882" s="26"/>
      <c r="J1882" s="20" t="str">
        <f t="shared" si="29"/>
        <v/>
      </c>
      <c r="K1882" s="26"/>
      <c r="L1882" s="26"/>
      <c r="M1882" s="20" t="str">
        <f t="shared" si="30"/>
        <v/>
      </c>
      <c r="N1882" s="8" t="str">
        <f t="shared" si="3"/>
        <v/>
      </c>
      <c r="O1882" s="21" t="str">
        <f t="shared" si="22"/>
        <v/>
      </c>
      <c r="P1882" s="24" t="b">
        <v>0</v>
      </c>
      <c r="Q1882" s="20" t="str">
        <f t="shared" si="31"/>
        <v/>
      </c>
      <c r="R1882" s="24" t="b">
        <v>0</v>
      </c>
      <c r="S1882" s="7" t="str">
        <f t="shared" si="6"/>
        <v/>
      </c>
      <c r="T1882" s="7"/>
    </row>
    <row r="1883" ht="22.5" hidden="1" customHeight="1">
      <c r="B1883" s="7">
        <f t="shared" si="7"/>
        <v>1877</v>
      </c>
      <c r="C1883" s="40"/>
      <c r="D1883" s="19" t="str">
        <f t="array" ref="D1883">IFNA(_xlfn.XLOOKUP(C1883,Table_Tarikan_Warkah[Nomor Sertipikat],Table_Tarikan_Warkah[Nomor Tiket]),"")</f>
        <v/>
      </c>
      <c r="E1883" s="20" t="str">
        <f t="array" ref="E1883">IFNA(_xlfn.XLOOKUP(D1883,Table_Tarikan_Warkah[Nomor Tiket],Table_Tarikan_Warkah[Tanggal diserahkan kepada Validator]),"")</f>
        <v/>
      </c>
      <c r="F1883" s="20" t="str">
        <f t="array" ref="F1883">IFNA(_xlfn.XLOOKUP(D1883,Table_Tarikan_Warkah[Nomor Tiket],Table_Tarikan_Warkah[Nama Petugas Warkah]),"")</f>
        <v/>
      </c>
      <c r="G1883" s="21" t="str">
        <f t="array" ref="G1883">IFNA(_xlfn.XLOOKUP(D1883,Table_Tarikan_Warkah[Nomor Tiket],Table_Tarikan_Warkah[Jenis Permohonan]),"")</f>
        <v/>
      </c>
      <c r="H1883" s="26"/>
      <c r="I1883" s="26"/>
      <c r="J1883" s="20" t="str">
        <f t="shared" si="29"/>
        <v/>
      </c>
      <c r="K1883" s="26"/>
      <c r="L1883" s="26"/>
      <c r="M1883" s="20" t="str">
        <f t="shared" si="30"/>
        <v/>
      </c>
      <c r="N1883" s="8" t="str">
        <f t="shared" si="3"/>
        <v/>
      </c>
      <c r="O1883" s="21" t="str">
        <f t="shared" si="22"/>
        <v/>
      </c>
      <c r="P1883" s="24" t="b">
        <v>0</v>
      </c>
      <c r="Q1883" s="20" t="str">
        <f t="shared" si="31"/>
        <v/>
      </c>
      <c r="R1883" s="24" t="b">
        <v>0</v>
      </c>
      <c r="S1883" s="7" t="str">
        <f t="shared" si="6"/>
        <v/>
      </c>
      <c r="T1883" s="7"/>
    </row>
    <row r="1884" ht="22.5" hidden="1" customHeight="1">
      <c r="B1884" s="7">
        <f t="shared" si="7"/>
        <v>1878</v>
      </c>
      <c r="C1884" s="40"/>
      <c r="D1884" s="19" t="str">
        <f t="array" ref="D1884">IFNA(_xlfn.XLOOKUP(C1884,Table_Tarikan_Warkah[Nomor Sertipikat],Table_Tarikan_Warkah[Nomor Tiket]),"")</f>
        <v/>
      </c>
      <c r="E1884" s="20" t="str">
        <f t="array" ref="E1884">IFNA(_xlfn.XLOOKUP(D1884,Table_Tarikan_Warkah[Nomor Tiket],Table_Tarikan_Warkah[Tanggal diserahkan kepada Validator]),"")</f>
        <v/>
      </c>
      <c r="F1884" s="20" t="str">
        <f t="array" ref="F1884">IFNA(_xlfn.XLOOKUP(D1884,Table_Tarikan_Warkah[Nomor Tiket],Table_Tarikan_Warkah[Nama Petugas Warkah]),"")</f>
        <v/>
      </c>
      <c r="G1884" s="21" t="str">
        <f t="array" ref="G1884">IFNA(_xlfn.XLOOKUP(D1884,Table_Tarikan_Warkah[Nomor Tiket],Table_Tarikan_Warkah[Jenis Permohonan]),"")</f>
        <v/>
      </c>
      <c r="H1884" s="26"/>
      <c r="I1884" s="26"/>
      <c r="J1884" s="20" t="str">
        <f t="shared" si="29"/>
        <v/>
      </c>
      <c r="K1884" s="26"/>
      <c r="L1884" s="26"/>
      <c r="M1884" s="20" t="str">
        <f t="shared" si="30"/>
        <v/>
      </c>
      <c r="N1884" s="8" t="str">
        <f t="shared" si="3"/>
        <v/>
      </c>
      <c r="O1884" s="21" t="str">
        <f t="shared" si="22"/>
        <v/>
      </c>
      <c r="P1884" s="24" t="b">
        <v>0</v>
      </c>
      <c r="Q1884" s="20" t="str">
        <f t="shared" si="31"/>
        <v/>
      </c>
      <c r="R1884" s="24" t="b">
        <v>0</v>
      </c>
      <c r="S1884" s="7" t="str">
        <f t="shared" si="6"/>
        <v/>
      </c>
      <c r="T1884" s="7"/>
    </row>
    <row r="1885" ht="22.5" hidden="1" customHeight="1">
      <c r="B1885" s="7">
        <f t="shared" si="7"/>
        <v>1879</v>
      </c>
      <c r="C1885" s="40"/>
      <c r="D1885" s="19" t="str">
        <f t="array" ref="D1885">IFNA(_xlfn.XLOOKUP(C1885,Table_Tarikan_Warkah[Nomor Sertipikat],Table_Tarikan_Warkah[Nomor Tiket]),"")</f>
        <v/>
      </c>
      <c r="E1885" s="20" t="str">
        <f t="array" ref="E1885">IFNA(_xlfn.XLOOKUP(D1885,Table_Tarikan_Warkah[Nomor Tiket],Table_Tarikan_Warkah[Tanggal diserahkan kepada Validator]),"")</f>
        <v/>
      </c>
      <c r="F1885" s="20" t="str">
        <f t="array" ref="F1885">IFNA(_xlfn.XLOOKUP(D1885,Table_Tarikan_Warkah[Nomor Tiket],Table_Tarikan_Warkah[Nama Petugas Warkah]),"")</f>
        <v/>
      </c>
      <c r="G1885" s="21" t="str">
        <f t="array" ref="G1885">IFNA(_xlfn.XLOOKUP(D1885,Table_Tarikan_Warkah[Nomor Tiket],Table_Tarikan_Warkah[Jenis Permohonan]),"")</f>
        <v/>
      </c>
      <c r="H1885" s="26"/>
      <c r="I1885" s="26"/>
      <c r="J1885" s="20" t="str">
        <f t="shared" si="29"/>
        <v/>
      </c>
      <c r="K1885" s="26"/>
      <c r="L1885" s="26"/>
      <c r="M1885" s="20" t="str">
        <f t="shared" si="30"/>
        <v/>
      </c>
      <c r="N1885" s="8" t="str">
        <f t="shared" si="3"/>
        <v/>
      </c>
      <c r="O1885" s="21" t="str">
        <f t="shared" si="22"/>
        <v/>
      </c>
      <c r="P1885" s="24" t="b">
        <v>0</v>
      </c>
      <c r="Q1885" s="20" t="str">
        <f t="shared" si="31"/>
        <v/>
      </c>
      <c r="R1885" s="24" t="b">
        <v>0</v>
      </c>
      <c r="S1885" s="7" t="str">
        <f t="shared" si="6"/>
        <v/>
      </c>
      <c r="T1885" s="7"/>
    </row>
    <row r="1886" ht="22.5" hidden="1" customHeight="1">
      <c r="B1886" s="7">
        <f t="shared" si="7"/>
        <v>1880</v>
      </c>
      <c r="C1886" s="40"/>
      <c r="D1886" s="19" t="str">
        <f t="array" ref="D1886">IFNA(_xlfn.XLOOKUP(C1886,Table_Tarikan_Warkah[Nomor Sertipikat],Table_Tarikan_Warkah[Nomor Tiket]),"")</f>
        <v/>
      </c>
      <c r="E1886" s="20" t="str">
        <f t="array" ref="E1886">IFNA(_xlfn.XLOOKUP(D1886,Table_Tarikan_Warkah[Nomor Tiket],Table_Tarikan_Warkah[Tanggal diserahkan kepada Validator]),"")</f>
        <v/>
      </c>
      <c r="F1886" s="20" t="str">
        <f t="array" ref="F1886">IFNA(_xlfn.XLOOKUP(D1886,Table_Tarikan_Warkah[Nomor Tiket],Table_Tarikan_Warkah[Nama Petugas Warkah]),"")</f>
        <v/>
      </c>
      <c r="G1886" s="21" t="str">
        <f t="array" ref="G1886">IFNA(_xlfn.XLOOKUP(D1886,Table_Tarikan_Warkah[Nomor Tiket],Table_Tarikan_Warkah[Jenis Permohonan]),"")</f>
        <v/>
      </c>
      <c r="H1886" s="26"/>
      <c r="I1886" s="26"/>
      <c r="J1886" s="20" t="str">
        <f t="shared" si="29"/>
        <v/>
      </c>
      <c r="K1886" s="26"/>
      <c r="L1886" s="26"/>
      <c r="M1886" s="20" t="str">
        <f t="shared" si="30"/>
        <v/>
      </c>
      <c r="N1886" s="8" t="str">
        <f t="shared" si="3"/>
        <v/>
      </c>
      <c r="O1886" s="21" t="str">
        <f t="shared" si="22"/>
        <v/>
      </c>
      <c r="P1886" s="24" t="b">
        <v>0</v>
      </c>
      <c r="Q1886" s="20" t="str">
        <f t="shared" si="31"/>
        <v/>
      </c>
      <c r="R1886" s="24" t="b">
        <v>0</v>
      </c>
      <c r="S1886" s="7" t="str">
        <f t="shared" si="6"/>
        <v/>
      </c>
      <c r="T1886" s="7"/>
    </row>
    <row r="1887" ht="22.5" hidden="1" customHeight="1">
      <c r="B1887" s="7">
        <f t="shared" si="7"/>
        <v>1881</v>
      </c>
      <c r="C1887" s="40"/>
      <c r="D1887" s="19" t="str">
        <f t="array" ref="D1887">IFNA(_xlfn.XLOOKUP(C1887,Table_Tarikan_Warkah[Nomor Sertipikat],Table_Tarikan_Warkah[Nomor Tiket]),"")</f>
        <v/>
      </c>
      <c r="E1887" s="20" t="str">
        <f t="array" ref="E1887">IFNA(_xlfn.XLOOKUP(D1887,Table_Tarikan_Warkah[Nomor Tiket],Table_Tarikan_Warkah[Tanggal diserahkan kepada Validator]),"")</f>
        <v/>
      </c>
      <c r="F1887" s="20" t="str">
        <f t="array" ref="F1887">IFNA(_xlfn.XLOOKUP(D1887,Table_Tarikan_Warkah[Nomor Tiket],Table_Tarikan_Warkah[Nama Petugas Warkah]),"")</f>
        <v/>
      </c>
      <c r="G1887" s="21" t="str">
        <f t="array" ref="G1887">IFNA(_xlfn.XLOOKUP(D1887,Table_Tarikan_Warkah[Nomor Tiket],Table_Tarikan_Warkah[Jenis Permohonan]),"")</f>
        <v/>
      </c>
      <c r="H1887" s="26"/>
      <c r="I1887" s="26"/>
      <c r="J1887" s="20" t="str">
        <f t="shared" si="29"/>
        <v/>
      </c>
      <c r="K1887" s="26"/>
      <c r="L1887" s="26"/>
      <c r="M1887" s="20" t="str">
        <f t="shared" si="30"/>
        <v/>
      </c>
      <c r="N1887" s="8" t="str">
        <f t="shared" si="3"/>
        <v/>
      </c>
      <c r="O1887" s="21" t="str">
        <f t="shared" si="22"/>
        <v/>
      </c>
      <c r="P1887" s="24" t="b">
        <v>0</v>
      </c>
      <c r="Q1887" s="20" t="str">
        <f t="shared" si="31"/>
        <v/>
      </c>
      <c r="R1887" s="24" t="b">
        <v>0</v>
      </c>
      <c r="S1887" s="7" t="str">
        <f t="shared" si="6"/>
        <v/>
      </c>
      <c r="T1887" s="7"/>
    </row>
    <row r="1888" ht="22.5" hidden="1" customHeight="1">
      <c r="B1888" s="7">
        <f t="shared" si="7"/>
        <v>1882</v>
      </c>
      <c r="C1888" s="40"/>
      <c r="D1888" s="19" t="str">
        <f t="array" ref="D1888">IFNA(_xlfn.XLOOKUP(C1888,Table_Tarikan_Warkah[Nomor Sertipikat],Table_Tarikan_Warkah[Nomor Tiket]),"")</f>
        <v/>
      </c>
      <c r="E1888" s="20" t="str">
        <f t="array" ref="E1888">IFNA(_xlfn.XLOOKUP(D1888,Table_Tarikan_Warkah[Nomor Tiket],Table_Tarikan_Warkah[Tanggal diserahkan kepada Validator]),"")</f>
        <v/>
      </c>
      <c r="F1888" s="20" t="str">
        <f t="array" ref="F1888">IFNA(_xlfn.XLOOKUP(D1888,Table_Tarikan_Warkah[Nomor Tiket],Table_Tarikan_Warkah[Nama Petugas Warkah]),"")</f>
        <v/>
      </c>
      <c r="G1888" s="21" t="str">
        <f t="array" ref="G1888">IFNA(_xlfn.XLOOKUP(D1888,Table_Tarikan_Warkah[Nomor Tiket],Table_Tarikan_Warkah[Jenis Permohonan]),"")</f>
        <v/>
      </c>
      <c r="H1888" s="26"/>
      <c r="I1888" s="26"/>
      <c r="J1888" s="20" t="str">
        <f t="shared" si="29"/>
        <v/>
      </c>
      <c r="K1888" s="26"/>
      <c r="L1888" s="26"/>
      <c r="M1888" s="20" t="str">
        <f t="shared" si="30"/>
        <v/>
      </c>
      <c r="N1888" s="8" t="str">
        <f t="shared" si="3"/>
        <v/>
      </c>
      <c r="O1888" s="21" t="str">
        <f t="shared" si="22"/>
        <v/>
      </c>
      <c r="P1888" s="24" t="b">
        <v>0</v>
      </c>
      <c r="Q1888" s="20" t="str">
        <f t="shared" si="31"/>
        <v/>
      </c>
      <c r="R1888" s="24" t="b">
        <v>0</v>
      </c>
      <c r="S1888" s="7" t="str">
        <f t="shared" si="6"/>
        <v/>
      </c>
      <c r="T1888" s="7"/>
    </row>
    <row r="1889" ht="22.5" hidden="1" customHeight="1">
      <c r="B1889" s="7">
        <f t="shared" si="7"/>
        <v>1883</v>
      </c>
      <c r="C1889" s="40"/>
      <c r="D1889" s="19" t="str">
        <f t="array" ref="D1889">IFNA(_xlfn.XLOOKUP(C1889,Table_Tarikan_Warkah[Nomor Sertipikat],Table_Tarikan_Warkah[Nomor Tiket]),"")</f>
        <v/>
      </c>
      <c r="E1889" s="20" t="str">
        <f t="array" ref="E1889">IFNA(_xlfn.XLOOKUP(D1889,Table_Tarikan_Warkah[Nomor Tiket],Table_Tarikan_Warkah[Tanggal diserahkan kepada Validator]),"")</f>
        <v/>
      </c>
      <c r="F1889" s="20" t="str">
        <f t="array" ref="F1889">IFNA(_xlfn.XLOOKUP(D1889,Table_Tarikan_Warkah[Nomor Tiket],Table_Tarikan_Warkah[Nama Petugas Warkah]),"")</f>
        <v/>
      </c>
      <c r="G1889" s="21" t="str">
        <f t="array" ref="G1889">IFNA(_xlfn.XLOOKUP(D1889,Table_Tarikan_Warkah[Nomor Tiket],Table_Tarikan_Warkah[Jenis Permohonan]),"")</f>
        <v/>
      </c>
      <c r="H1889" s="26"/>
      <c r="I1889" s="26"/>
      <c r="J1889" s="20" t="str">
        <f t="shared" si="29"/>
        <v/>
      </c>
      <c r="K1889" s="26"/>
      <c r="L1889" s="26"/>
      <c r="M1889" s="20" t="str">
        <f t="shared" si="30"/>
        <v/>
      </c>
      <c r="N1889" s="8" t="str">
        <f t="shared" si="3"/>
        <v/>
      </c>
      <c r="O1889" s="21" t="str">
        <f t="shared" si="22"/>
        <v/>
      </c>
      <c r="P1889" s="24" t="b">
        <v>0</v>
      </c>
      <c r="Q1889" s="20" t="str">
        <f t="shared" si="31"/>
        <v/>
      </c>
      <c r="R1889" s="24" t="b">
        <v>0</v>
      </c>
      <c r="S1889" s="7" t="str">
        <f t="shared" si="6"/>
        <v/>
      </c>
      <c r="T1889" s="7"/>
    </row>
    <row r="1890" ht="22.5" hidden="1" customHeight="1">
      <c r="B1890" s="7">
        <f t="shared" si="7"/>
        <v>1884</v>
      </c>
      <c r="C1890" s="40"/>
      <c r="D1890" s="19" t="str">
        <f t="array" ref="D1890">IFNA(_xlfn.XLOOKUP(C1890,Table_Tarikan_Warkah[Nomor Sertipikat],Table_Tarikan_Warkah[Nomor Tiket]),"")</f>
        <v/>
      </c>
      <c r="E1890" s="20" t="str">
        <f t="array" ref="E1890">IFNA(_xlfn.XLOOKUP(D1890,Table_Tarikan_Warkah[Nomor Tiket],Table_Tarikan_Warkah[Tanggal diserahkan kepada Validator]),"")</f>
        <v/>
      </c>
      <c r="F1890" s="20" t="str">
        <f t="array" ref="F1890">IFNA(_xlfn.XLOOKUP(D1890,Table_Tarikan_Warkah[Nomor Tiket],Table_Tarikan_Warkah[Nama Petugas Warkah]),"")</f>
        <v/>
      </c>
      <c r="G1890" s="21" t="str">
        <f t="array" ref="G1890">IFNA(_xlfn.XLOOKUP(D1890,Table_Tarikan_Warkah[Nomor Tiket],Table_Tarikan_Warkah[Jenis Permohonan]),"")</f>
        <v/>
      </c>
      <c r="H1890" s="26"/>
      <c r="I1890" s="26"/>
      <c r="J1890" s="20" t="str">
        <f t="shared" si="29"/>
        <v/>
      </c>
      <c r="K1890" s="26"/>
      <c r="L1890" s="26"/>
      <c r="M1890" s="20" t="str">
        <f t="shared" si="30"/>
        <v/>
      </c>
      <c r="N1890" s="8" t="str">
        <f t="shared" si="3"/>
        <v/>
      </c>
      <c r="O1890" s="21" t="str">
        <f t="shared" si="22"/>
        <v/>
      </c>
      <c r="P1890" s="24" t="b">
        <v>0</v>
      </c>
      <c r="Q1890" s="20" t="str">
        <f t="shared" si="31"/>
        <v/>
      </c>
      <c r="R1890" s="24" t="b">
        <v>0</v>
      </c>
      <c r="S1890" s="7" t="str">
        <f t="shared" si="6"/>
        <v/>
      </c>
      <c r="T1890" s="7"/>
    </row>
    <row r="1891" ht="22.5" hidden="1" customHeight="1">
      <c r="B1891" s="7">
        <f t="shared" si="7"/>
        <v>1885</v>
      </c>
      <c r="C1891" s="40"/>
      <c r="D1891" s="19" t="str">
        <f t="array" ref="D1891">IFNA(_xlfn.XLOOKUP(C1891,Table_Tarikan_Warkah[Nomor Sertipikat],Table_Tarikan_Warkah[Nomor Tiket]),"")</f>
        <v/>
      </c>
      <c r="E1891" s="20" t="str">
        <f t="array" ref="E1891">IFNA(_xlfn.XLOOKUP(D1891,Table_Tarikan_Warkah[Nomor Tiket],Table_Tarikan_Warkah[Tanggal diserahkan kepada Validator]),"")</f>
        <v/>
      </c>
      <c r="F1891" s="20" t="str">
        <f t="array" ref="F1891">IFNA(_xlfn.XLOOKUP(D1891,Table_Tarikan_Warkah[Nomor Tiket],Table_Tarikan_Warkah[Nama Petugas Warkah]),"")</f>
        <v/>
      </c>
      <c r="G1891" s="21" t="str">
        <f t="array" ref="G1891">IFNA(_xlfn.XLOOKUP(D1891,Table_Tarikan_Warkah[Nomor Tiket],Table_Tarikan_Warkah[Jenis Permohonan]),"")</f>
        <v/>
      </c>
      <c r="H1891" s="26"/>
      <c r="I1891" s="26"/>
      <c r="J1891" s="20" t="str">
        <f t="shared" si="29"/>
        <v/>
      </c>
      <c r="K1891" s="26"/>
      <c r="L1891" s="26"/>
      <c r="M1891" s="20" t="str">
        <f t="shared" si="30"/>
        <v/>
      </c>
      <c r="N1891" s="8" t="str">
        <f t="shared" si="3"/>
        <v/>
      </c>
      <c r="O1891" s="21" t="str">
        <f t="shared" si="22"/>
        <v/>
      </c>
      <c r="P1891" s="24" t="b">
        <v>0</v>
      </c>
      <c r="Q1891" s="20" t="str">
        <f t="shared" si="31"/>
        <v/>
      </c>
      <c r="R1891" s="24" t="b">
        <v>0</v>
      </c>
      <c r="S1891" s="7" t="str">
        <f t="shared" si="6"/>
        <v/>
      </c>
      <c r="T1891" s="7"/>
    </row>
    <row r="1892" ht="22.5" hidden="1" customHeight="1">
      <c r="B1892" s="7">
        <f t="shared" si="7"/>
        <v>1886</v>
      </c>
      <c r="C1892" s="40"/>
      <c r="D1892" s="19" t="str">
        <f t="array" ref="D1892">IFNA(_xlfn.XLOOKUP(C1892,Table_Tarikan_Warkah[Nomor Sertipikat],Table_Tarikan_Warkah[Nomor Tiket]),"")</f>
        <v/>
      </c>
      <c r="E1892" s="20" t="str">
        <f t="array" ref="E1892">IFNA(_xlfn.XLOOKUP(D1892,Table_Tarikan_Warkah[Nomor Tiket],Table_Tarikan_Warkah[Tanggal diserahkan kepada Validator]),"")</f>
        <v/>
      </c>
      <c r="F1892" s="20" t="str">
        <f t="array" ref="F1892">IFNA(_xlfn.XLOOKUP(D1892,Table_Tarikan_Warkah[Nomor Tiket],Table_Tarikan_Warkah[Nama Petugas Warkah]),"")</f>
        <v/>
      </c>
      <c r="G1892" s="21" t="str">
        <f t="array" ref="G1892">IFNA(_xlfn.XLOOKUP(D1892,Table_Tarikan_Warkah[Nomor Tiket],Table_Tarikan_Warkah[Jenis Permohonan]),"")</f>
        <v/>
      </c>
      <c r="H1892" s="26"/>
      <c r="I1892" s="26"/>
      <c r="J1892" s="20" t="str">
        <f t="shared" si="29"/>
        <v/>
      </c>
      <c r="K1892" s="26"/>
      <c r="L1892" s="26"/>
      <c r="M1892" s="20" t="str">
        <f t="shared" si="30"/>
        <v/>
      </c>
      <c r="N1892" s="8" t="str">
        <f t="shared" si="3"/>
        <v/>
      </c>
      <c r="O1892" s="21" t="str">
        <f t="shared" si="22"/>
        <v/>
      </c>
      <c r="P1892" s="24" t="b">
        <v>0</v>
      </c>
      <c r="Q1892" s="20" t="str">
        <f t="shared" si="31"/>
        <v/>
      </c>
      <c r="R1892" s="24" t="b">
        <v>0</v>
      </c>
      <c r="S1892" s="7" t="str">
        <f t="shared" si="6"/>
        <v/>
      </c>
      <c r="T1892" s="7"/>
    </row>
    <row r="1893" ht="22.5" hidden="1" customHeight="1">
      <c r="B1893" s="7">
        <f t="shared" si="7"/>
        <v>1887</v>
      </c>
      <c r="C1893" s="40"/>
      <c r="D1893" s="19" t="str">
        <f t="array" ref="D1893">IFNA(_xlfn.XLOOKUP(C1893,Table_Tarikan_Warkah[Nomor Sertipikat],Table_Tarikan_Warkah[Nomor Tiket]),"")</f>
        <v/>
      </c>
      <c r="E1893" s="20" t="str">
        <f t="array" ref="E1893">IFNA(_xlfn.XLOOKUP(D1893,Table_Tarikan_Warkah[Nomor Tiket],Table_Tarikan_Warkah[Tanggal diserahkan kepada Validator]),"")</f>
        <v/>
      </c>
      <c r="F1893" s="20" t="str">
        <f t="array" ref="F1893">IFNA(_xlfn.XLOOKUP(D1893,Table_Tarikan_Warkah[Nomor Tiket],Table_Tarikan_Warkah[Nama Petugas Warkah]),"")</f>
        <v/>
      </c>
      <c r="G1893" s="21" t="str">
        <f t="array" ref="G1893">IFNA(_xlfn.XLOOKUP(D1893,Table_Tarikan_Warkah[Nomor Tiket],Table_Tarikan_Warkah[Jenis Permohonan]),"")</f>
        <v/>
      </c>
      <c r="H1893" s="26"/>
      <c r="I1893" s="26"/>
      <c r="J1893" s="20" t="str">
        <f t="shared" si="29"/>
        <v/>
      </c>
      <c r="K1893" s="26"/>
      <c r="L1893" s="26"/>
      <c r="M1893" s="20" t="str">
        <f t="shared" si="30"/>
        <v/>
      </c>
      <c r="N1893" s="8" t="str">
        <f t="shared" si="3"/>
        <v/>
      </c>
      <c r="O1893" s="21" t="str">
        <f t="shared" si="22"/>
        <v/>
      </c>
      <c r="P1893" s="24" t="b">
        <v>0</v>
      </c>
      <c r="Q1893" s="20" t="str">
        <f t="shared" si="31"/>
        <v/>
      </c>
      <c r="R1893" s="24" t="b">
        <v>0</v>
      </c>
      <c r="S1893" s="7" t="str">
        <f t="shared" si="6"/>
        <v/>
      </c>
      <c r="T1893" s="7"/>
    </row>
    <row r="1894" ht="22.5" hidden="1" customHeight="1">
      <c r="B1894" s="7">
        <f t="shared" si="7"/>
        <v>1888</v>
      </c>
      <c r="C1894" s="40"/>
      <c r="D1894" s="19" t="str">
        <f t="array" ref="D1894">IFNA(_xlfn.XLOOKUP(C1894,Table_Tarikan_Warkah[Nomor Sertipikat],Table_Tarikan_Warkah[Nomor Tiket]),"")</f>
        <v/>
      </c>
      <c r="E1894" s="20" t="str">
        <f t="array" ref="E1894">IFNA(_xlfn.XLOOKUP(D1894,Table_Tarikan_Warkah[Nomor Tiket],Table_Tarikan_Warkah[Tanggal diserahkan kepada Validator]),"")</f>
        <v/>
      </c>
      <c r="F1894" s="20" t="str">
        <f t="array" ref="F1894">IFNA(_xlfn.XLOOKUP(D1894,Table_Tarikan_Warkah[Nomor Tiket],Table_Tarikan_Warkah[Nama Petugas Warkah]),"")</f>
        <v/>
      </c>
      <c r="G1894" s="21" t="str">
        <f t="array" ref="G1894">IFNA(_xlfn.XLOOKUP(D1894,Table_Tarikan_Warkah[Nomor Tiket],Table_Tarikan_Warkah[Jenis Permohonan]),"")</f>
        <v/>
      </c>
      <c r="H1894" s="26"/>
      <c r="I1894" s="26"/>
      <c r="J1894" s="20" t="str">
        <f t="shared" si="29"/>
        <v/>
      </c>
      <c r="K1894" s="26"/>
      <c r="L1894" s="26"/>
      <c r="M1894" s="20" t="str">
        <f t="shared" si="30"/>
        <v/>
      </c>
      <c r="N1894" s="8" t="str">
        <f t="shared" si="3"/>
        <v/>
      </c>
      <c r="O1894" s="21" t="str">
        <f t="shared" si="22"/>
        <v/>
      </c>
      <c r="P1894" s="24" t="b">
        <v>0</v>
      </c>
      <c r="Q1894" s="20" t="str">
        <f t="shared" si="31"/>
        <v/>
      </c>
      <c r="R1894" s="24" t="b">
        <v>0</v>
      </c>
      <c r="S1894" s="7" t="str">
        <f t="shared" si="6"/>
        <v/>
      </c>
      <c r="T1894" s="7"/>
    </row>
    <row r="1895" ht="22.5" hidden="1" customHeight="1">
      <c r="B1895" s="7">
        <f t="shared" si="7"/>
        <v>1889</v>
      </c>
      <c r="C1895" s="40"/>
      <c r="D1895" s="19" t="str">
        <f t="array" ref="D1895">IFNA(_xlfn.XLOOKUP(C1895,Table_Tarikan_Warkah[Nomor Sertipikat],Table_Tarikan_Warkah[Nomor Tiket]),"")</f>
        <v/>
      </c>
      <c r="E1895" s="20" t="str">
        <f t="array" ref="E1895">IFNA(_xlfn.XLOOKUP(D1895,Table_Tarikan_Warkah[Nomor Tiket],Table_Tarikan_Warkah[Tanggal diserahkan kepada Validator]),"")</f>
        <v/>
      </c>
      <c r="F1895" s="20" t="str">
        <f t="array" ref="F1895">IFNA(_xlfn.XLOOKUP(D1895,Table_Tarikan_Warkah[Nomor Tiket],Table_Tarikan_Warkah[Nama Petugas Warkah]),"")</f>
        <v/>
      </c>
      <c r="G1895" s="21" t="str">
        <f t="array" ref="G1895">IFNA(_xlfn.XLOOKUP(D1895,Table_Tarikan_Warkah[Nomor Tiket],Table_Tarikan_Warkah[Jenis Permohonan]),"")</f>
        <v/>
      </c>
      <c r="H1895" s="26"/>
      <c r="I1895" s="26"/>
      <c r="J1895" s="20" t="str">
        <f t="shared" si="29"/>
        <v/>
      </c>
      <c r="K1895" s="26"/>
      <c r="L1895" s="26"/>
      <c r="M1895" s="20" t="str">
        <f t="shared" si="30"/>
        <v/>
      </c>
      <c r="N1895" s="8" t="str">
        <f t="shared" si="3"/>
        <v/>
      </c>
      <c r="O1895" s="21" t="str">
        <f t="shared" si="22"/>
        <v/>
      </c>
      <c r="P1895" s="24" t="b">
        <v>0</v>
      </c>
      <c r="Q1895" s="20" t="str">
        <f t="shared" si="31"/>
        <v/>
      </c>
      <c r="R1895" s="24" t="b">
        <v>0</v>
      </c>
      <c r="S1895" s="7" t="str">
        <f t="shared" si="6"/>
        <v/>
      </c>
      <c r="T1895" s="7"/>
    </row>
    <row r="1896" ht="22.5" hidden="1" customHeight="1">
      <c r="B1896" s="7">
        <f t="shared" si="7"/>
        <v>1890</v>
      </c>
      <c r="C1896" s="40"/>
      <c r="D1896" s="19" t="str">
        <f t="array" ref="D1896">IFNA(_xlfn.XLOOKUP(C1896,Table_Tarikan_Warkah[Nomor Sertipikat],Table_Tarikan_Warkah[Nomor Tiket]),"")</f>
        <v/>
      </c>
      <c r="E1896" s="20" t="str">
        <f t="array" ref="E1896">IFNA(_xlfn.XLOOKUP(D1896,Table_Tarikan_Warkah[Nomor Tiket],Table_Tarikan_Warkah[Tanggal diserahkan kepada Validator]),"")</f>
        <v/>
      </c>
      <c r="F1896" s="20" t="str">
        <f t="array" ref="F1896">IFNA(_xlfn.XLOOKUP(D1896,Table_Tarikan_Warkah[Nomor Tiket],Table_Tarikan_Warkah[Nama Petugas Warkah]),"")</f>
        <v/>
      </c>
      <c r="G1896" s="21" t="str">
        <f t="array" ref="G1896">IFNA(_xlfn.XLOOKUP(D1896,Table_Tarikan_Warkah[Nomor Tiket],Table_Tarikan_Warkah[Jenis Permohonan]),"")</f>
        <v/>
      </c>
      <c r="H1896" s="26"/>
      <c r="I1896" s="26"/>
      <c r="J1896" s="20" t="str">
        <f t="shared" si="29"/>
        <v/>
      </c>
      <c r="K1896" s="26"/>
      <c r="L1896" s="26"/>
      <c r="M1896" s="20" t="str">
        <f t="shared" si="30"/>
        <v/>
      </c>
      <c r="N1896" s="8" t="str">
        <f t="shared" si="3"/>
        <v/>
      </c>
      <c r="O1896" s="21" t="str">
        <f t="shared" si="22"/>
        <v/>
      </c>
      <c r="P1896" s="24" t="b">
        <v>0</v>
      </c>
      <c r="Q1896" s="20" t="str">
        <f t="shared" si="31"/>
        <v/>
      </c>
      <c r="R1896" s="24" t="b">
        <v>0</v>
      </c>
      <c r="S1896" s="7" t="str">
        <f t="shared" si="6"/>
        <v/>
      </c>
      <c r="T1896" s="7"/>
    </row>
    <row r="1897" ht="22.5" hidden="1" customHeight="1">
      <c r="B1897" s="7">
        <f t="shared" si="7"/>
        <v>1891</v>
      </c>
      <c r="C1897" s="40"/>
      <c r="D1897" s="19" t="str">
        <f t="array" ref="D1897">IFNA(_xlfn.XLOOKUP(C1897,Table_Tarikan_Warkah[Nomor Sertipikat],Table_Tarikan_Warkah[Nomor Tiket]),"")</f>
        <v/>
      </c>
      <c r="E1897" s="20" t="str">
        <f t="array" ref="E1897">IFNA(_xlfn.XLOOKUP(D1897,Table_Tarikan_Warkah[Nomor Tiket],Table_Tarikan_Warkah[Tanggal diserahkan kepada Validator]),"")</f>
        <v/>
      </c>
      <c r="F1897" s="20" t="str">
        <f t="array" ref="F1897">IFNA(_xlfn.XLOOKUP(D1897,Table_Tarikan_Warkah[Nomor Tiket],Table_Tarikan_Warkah[Nama Petugas Warkah]),"")</f>
        <v/>
      </c>
      <c r="G1897" s="21" t="str">
        <f t="array" ref="G1897">IFNA(_xlfn.XLOOKUP(D1897,Table_Tarikan_Warkah[Nomor Tiket],Table_Tarikan_Warkah[Jenis Permohonan]),"")</f>
        <v/>
      </c>
      <c r="H1897" s="26"/>
      <c r="I1897" s="26"/>
      <c r="J1897" s="20" t="str">
        <f t="shared" si="29"/>
        <v/>
      </c>
      <c r="K1897" s="26"/>
      <c r="L1897" s="26"/>
      <c r="M1897" s="20" t="str">
        <f t="shared" si="30"/>
        <v/>
      </c>
      <c r="N1897" s="8" t="str">
        <f t="shared" si="3"/>
        <v/>
      </c>
      <c r="O1897" s="21" t="str">
        <f t="shared" si="22"/>
        <v/>
      </c>
      <c r="P1897" s="24" t="b">
        <v>0</v>
      </c>
      <c r="Q1897" s="20" t="str">
        <f t="shared" si="31"/>
        <v/>
      </c>
      <c r="R1897" s="24" t="b">
        <v>0</v>
      </c>
      <c r="S1897" s="7" t="str">
        <f t="shared" si="6"/>
        <v/>
      </c>
      <c r="T1897" s="7"/>
    </row>
    <row r="1898" ht="22.5" hidden="1" customHeight="1">
      <c r="B1898" s="7">
        <f t="shared" si="7"/>
        <v>1892</v>
      </c>
      <c r="C1898" s="40"/>
      <c r="D1898" s="19" t="str">
        <f t="array" ref="D1898">IFNA(_xlfn.XLOOKUP(C1898,Table_Tarikan_Warkah[Nomor Sertipikat],Table_Tarikan_Warkah[Nomor Tiket]),"")</f>
        <v/>
      </c>
      <c r="E1898" s="20" t="str">
        <f t="array" ref="E1898">IFNA(_xlfn.XLOOKUP(D1898,Table_Tarikan_Warkah[Nomor Tiket],Table_Tarikan_Warkah[Tanggal diserahkan kepada Validator]),"")</f>
        <v/>
      </c>
      <c r="F1898" s="20" t="str">
        <f t="array" ref="F1898">IFNA(_xlfn.XLOOKUP(D1898,Table_Tarikan_Warkah[Nomor Tiket],Table_Tarikan_Warkah[Nama Petugas Warkah]),"")</f>
        <v/>
      </c>
      <c r="G1898" s="21" t="str">
        <f t="array" ref="G1898">IFNA(_xlfn.XLOOKUP(D1898,Table_Tarikan_Warkah[Nomor Tiket],Table_Tarikan_Warkah[Jenis Permohonan]),"")</f>
        <v/>
      </c>
      <c r="H1898" s="26"/>
      <c r="I1898" s="26"/>
      <c r="J1898" s="20" t="str">
        <f t="shared" si="29"/>
        <v/>
      </c>
      <c r="K1898" s="26"/>
      <c r="L1898" s="26"/>
      <c r="M1898" s="20" t="str">
        <f t="shared" si="30"/>
        <v/>
      </c>
      <c r="N1898" s="8" t="str">
        <f t="shared" si="3"/>
        <v/>
      </c>
      <c r="O1898" s="21" t="str">
        <f t="shared" si="22"/>
        <v/>
      </c>
      <c r="P1898" s="24" t="b">
        <v>0</v>
      </c>
      <c r="Q1898" s="20" t="str">
        <f t="shared" si="31"/>
        <v/>
      </c>
      <c r="R1898" s="24" t="b">
        <v>0</v>
      </c>
      <c r="S1898" s="7" t="str">
        <f t="shared" si="6"/>
        <v/>
      </c>
      <c r="T1898" s="7"/>
    </row>
    <row r="1899" ht="22.5" hidden="1" customHeight="1">
      <c r="B1899" s="7">
        <f t="shared" si="7"/>
        <v>1893</v>
      </c>
      <c r="C1899" s="40"/>
      <c r="D1899" s="19" t="str">
        <f t="array" ref="D1899">IFNA(_xlfn.XLOOKUP(C1899,Table_Tarikan_Warkah[Nomor Sertipikat],Table_Tarikan_Warkah[Nomor Tiket]),"")</f>
        <v/>
      </c>
      <c r="E1899" s="20" t="str">
        <f t="array" ref="E1899">IFNA(_xlfn.XLOOKUP(D1899,Table_Tarikan_Warkah[Nomor Tiket],Table_Tarikan_Warkah[Tanggal diserahkan kepada Validator]),"")</f>
        <v/>
      </c>
      <c r="F1899" s="20" t="str">
        <f t="array" ref="F1899">IFNA(_xlfn.XLOOKUP(D1899,Table_Tarikan_Warkah[Nomor Tiket],Table_Tarikan_Warkah[Nama Petugas Warkah]),"")</f>
        <v/>
      </c>
      <c r="G1899" s="21" t="str">
        <f t="array" ref="G1899">IFNA(_xlfn.XLOOKUP(D1899,Table_Tarikan_Warkah[Nomor Tiket],Table_Tarikan_Warkah[Jenis Permohonan]),"")</f>
        <v/>
      </c>
      <c r="H1899" s="26"/>
      <c r="I1899" s="26"/>
      <c r="J1899" s="20" t="str">
        <f t="shared" si="29"/>
        <v/>
      </c>
      <c r="K1899" s="26"/>
      <c r="L1899" s="26"/>
      <c r="M1899" s="20" t="str">
        <f t="shared" si="30"/>
        <v/>
      </c>
      <c r="N1899" s="8" t="str">
        <f t="shared" si="3"/>
        <v/>
      </c>
      <c r="O1899" s="21" t="str">
        <f t="shared" si="22"/>
        <v/>
      </c>
      <c r="P1899" s="24" t="b">
        <v>0</v>
      </c>
      <c r="Q1899" s="20" t="str">
        <f t="shared" si="31"/>
        <v/>
      </c>
      <c r="R1899" s="24" t="b">
        <v>0</v>
      </c>
      <c r="S1899" s="7" t="str">
        <f t="shared" si="6"/>
        <v/>
      </c>
      <c r="T1899" s="7"/>
    </row>
    <row r="1900" ht="22.5" hidden="1" customHeight="1">
      <c r="B1900" s="7">
        <f t="shared" si="7"/>
        <v>1894</v>
      </c>
      <c r="C1900" s="40"/>
      <c r="D1900" s="19" t="str">
        <f t="array" ref="D1900">IFNA(_xlfn.XLOOKUP(C1900,Table_Tarikan_Warkah[Nomor Sertipikat],Table_Tarikan_Warkah[Nomor Tiket]),"")</f>
        <v/>
      </c>
      <c r="E1900" s="20" t="str">
        <f t="array" ref="E1900">IFNA(_xlfn.XLOOKUP(D1900,Table_Tarikan_Warkah[Nomor Tiket],Table_Tarikan_Warkah[Tanggal diserahkan kepada Validator]),"")</f>
        <v/>
      </c>
      <c r="F1900" s="20" t="str">
        <f t="array" ref="F1900">IFNA(_xlfn.XLOOKUP(D1900,Table_Tarikan_Warkah[Nomor Tiket],Table_Tarikan_Warkah[Nama Petugas Warkah]),"")</f>
        <v/>
      </c>
      <c r="G1900" s="21" t="str">
        <f t="array" ref="G1900">IFNA(_xlfn.XLOOKUP(D1900,Table_Tarikan_Warkah[Nomor Tiket],Table_Tarikan_Warkah[Jenis Permohonan]),"")</f>
        <v/>
      </c>
      <c r="H1900" s="26"/>
      <c r="I1900" s="26"/>
      <c r="J1900" s="20" t="str">
        <f t="shared" si="29"/>
        <v/>
      </c>
      <c r="K1900" s="26"/>
      <c r="L1900" s="26"/>
      <c r="M1900" s="20" t="str">
        <f t="shared" si="30"/>
        <v/>
      </c>
      <c r="N1900" s="8" t="str">
        <f t="shared" si="3"/>
        <v/>
      </c>
      <c r="O1900" s="21" t="str">
        <f t="shared" si="22"/>
        <v/>
      </c>
      <c r="P1900" s="24" t="b">
        <v>0</v>
      </c>
      <c r="Q1900" s="20" t="str">
        <f t="shared" si="31"/>
        <v/>
      </c>
      <c r="R1900" s="24" t="b">
        <v>0</v>
      </c>
      <c r="S1900" s="7" t="str">
        <f t="shared" si="6"/>
        <v/>
      </c>
      <c r="T1900" s="7"/>
    </row>
    <row r="1901" ht="22.5" hidden="1" customHeight="1">
      <c r="B1901" s="7">
        <f t="shared" si="7"/>
        <v>1895</v>
      </c>
      <c r="C1901" s="40"/>
      <c r="D1901" s="19" t="str">
        <f t="array" ref="D1901">IFNA(_xlfn.XLOOKUP(C1901,Table_Tarikan_Warkah[Nomor Sertipikat],Table_Tarikan_Warkah[Nomor Tiket]),"")</f>
        <v/>
      </c>
      <c r="E1901" s="20" t="str">
        <f t="array" ref="E1901">IFNA(_xlfn.XLOOKUP(D1901,Table_Tarikan_Warkah[Nomor Tiket],Table_Tarikan_Warkah[Tanggal diserahkan kepada Validator]),"")</f>
        <v/>
      </c>
      <c r="F1901" s="20" t="str">
        <f t="array" ref="F1901">IFNA(_xlfn.XLOOKUP(D1901,Table_Tarikan_Warkah[Nomor Tiket],Table_Tarikan_Warkah[Nama Petugas Warkah]),"")</f>
        <v/>
      </c>
      <c r="G1901" s="21" t="str">
        <f t="array" ref="G1901">IFNA(_xlfn.XLOOKUP(D1901,Table_Tarikan_Warkah[Nomor Tiket],Table_Tarikan_Warkah[Jenis Permohonan]),"")</f>
        <v/>
      </c>
      <c r="H1901" s="26"/>
      <c r="I1901" s="26"/>
      <c r="J1901" s="20" t="str">
        <f t="shared" si="29"/>
        <v/>
      </c>
      <c r="K1901" s="26"/>
      <c r="L1901" s="26"/>
      <c r="M1901" s="20" t="str">
        <f t="shared" si="30"/>
        <v/>
      </c>
      <c r="N1901" s="8" t="str">
        <f t="shared" si="3"/>
        <v/>
      </c>
      <c r="O1901" s="21" t="str">
        <f t="shared" si="22"/>
        <v/>
      </c>
      <c r="P1901" s="24" t="b">
        <v>0</v>
      </c>
      <c r="Q1901" s="20" t="str">
        <f t="shared" si="31"/>
        <v/>
      </c>
      <c r="R1901" s="24" t="b">
        <v>0</v>
      </c>
      <c r="S1901" s="7" t="str">
        <f t="shared" si="6"/>
        <v/>
      </c>
      <c r="T1901" s="7"/>
    </row>
    <row r="1902" ht="22.5" hidden="1" customHeight="1">
      <c r="B1902" s="7">
        <f t="shared" si="7"/>
        <v>1896</v>
      </c>
      <c r="C1902" s="40"/>
      <c r="D1902" s="19" t="str">
        <f t="array" ref="D1902">IFNA(_xlfn.XLOOKUP(C1902,Table_Tarikan_Warkah[Nomor Sertipikat],Table_Tarikan_Warkah[Nomor Tiket]),"")</f>
        <v/>
      </c>
      <c r="E1902" s="20" t="str">
        <f t="array" ref="E1902">IFNA(_xlfn.XLOOKUP(D1902,Table_Tarikan_Warkah[Nomor Tiket],Table_Tarikan_Warkah[Tanggal diserahkan kepada Validator]),"")</f>
        <v/>
      </c>
      <c r="F1902" s="20" t="str">
        <f t="array" ref="F1902">IFNA(_xlfn.XLOOKUP(D1902,Table_Tarikan_Warkah[Nomor Tiket],Table_Tarikan_Warkah[Nama Petugas Warkah]),"")</f>
        <v/>
      </c>
      <c r="G1902" s="21" t="str">
        <f t="array" ref="G1902">IFNA(_xlfn.XLOOKUP(D1902,Table_Tarikan_Warkah[Nomor Tiket],Table_Tarikan_Warkah[Jenis Permohonan]),"")</f>
        <v/>
      </c>
      <c r="H1902" s="26"/>
      <c r="I1902" s="26"/>
      <c r="J1902" s="20" t="str">
        <f t="shared" si="29"/>
        <v/>
      </c>
      <c r="K1902" s="26"/>
      <c r="L1902" s="26"/>
      <c r="M1902" s="20" t="str">
        <f t="shared" si="30"/>
        <v/>
      </c>
      <c r="N1902" s="8" t="str">
        <f t="shared" si="3"/>
        <v/>
      </c>
      <c r="O1902" s="21" t="str">
        <f t="shared" si="22"/>
        <v/>
      </c>
      <c r="P1902" s="24" t="b">
        <v>0</v>
      </c>
      <c r="Q1902" s="20" t="str">
        <f t="shared" si="31"/>
        <v/>
      </c>
      <c r="R1902" s="24" t="b">
        <v>0</v>
      </c>
      <c r="S1902" s="7" t="str">
        <f t="shared" si="6"/>
        <v/>
      </c>
      <c r="T1902" s="7"/>
    </row>
    <row r="1903" ht="22.5" hidden="1" customHeight="1">
      <c r="B1903" s="7">
        <f t="shared" si="7"/>
        <v>1897</v>
      </c>
      <c r="C1903" s="40"/>
      <c r="D1903" s="19" t="str">
        <f t="array" ref="D1903">IFNA(_xlfn.XLOOKUP(C1903,Table_Tarikan_Warkah[Nomor Sertipikat],Table_Tarikan_Warkah[Nomor Tiket]),"")</f>
        <v/>
      </c>
      <c r="E1903" s="20" t="str">
        <f t="array" ref="E1903">IFNA(_xlfn.XLOOKUP(D1903,Table_Tarikan_Warkah[Nomor Tiket],Table_Tarikan_Warkah[Tanggal diserahkan kepada Validator]),"")</f>
        <v/>
      </c>
      <c r="F1903" s="20" t="str">
        <f t="array" ref="F1903">IFNA(_xlfn.XLOOKUP(D1903,Table_Tarikan_Warkah[Nomor Tiket],Table_Tarikan_Warkah[Nama Petugas Warkah]),"")</f>
        <v/>
      </c>
      <c r="G1903" s="21" t="str">
        <f t="array" ref="G1903">IFNA(_xlfn.XLOOKUP(D1903,Table_Tarikan_Warkah[Nomor Tiket],Table_Tarikan_Warkah[Jenis Permohonan]),"")</f>
        <v/>
      </c>
      <c r="H1903" s="26"/>
      <c r="I1903" s="26"/>
      <c r="J1903" s="20" t="str">
        <f t="shared" si="29"/>
        <v/>
      </c>
      <c r="K1903" s="26"/>
      <c r="L1903" s="26"/>
      <c r="M1903" s="20" t="str">
        <f t="shared" si="30"/>
        <v/>
      </c>
      <c r="N1903" s="8" t="str">
        <f t="shared" si="3"/>
        <v/>
      </c>
      <c r="O1903" s="21" t="str">
        <f t="shared" si="22"/>
        <v/>
      </c>
      <c r="P1903" s="24" t="b">
        <v>0</v>
      </c>
      <c r="Q1903" s="20" t="str">
        <f t="shared" si="31"/>
        <v/>
      </c>
      <c r="R1903" s="24" t="b">
        <v>0</v>
      </c>
      <c r="S1903" s="7" t="str">
        <f t="shared" si="6"/>
        <v/>
      </c>
      <c r="T1903" s="7"/>
    </row>
    <row r="1904" ht="22.5" hidden="1" customHeight="1">
      <c r="B1904" s="7">
        <f t="shared" si="7"/>
        <v>1898</v>
      </c>
      <c r="C1904" s="40"/>
      <c r="D1904" s="19" t="str">
        <f t="array" ref="D1904">IFNA(_xlfn.XLOOKUP(C1904,Table_Tarikan_Warkah[Nomor Sertipikat],Table_Tarikan_Warkah[Nomor Tiket]),"")</f>
        <v/>
      </c>
      <c r="E1904" s="20" t="str">
        <f t="array" ref="E1904">IFNA(_xlfn.XLOOKUP(D1904,Table_Tarikan_Warkah[Nomor Tiket],Table_Tarikan_Warkah[Tanggal diserahkan kepada Validator]),"")</f>
        <v/>
      </c>
      <c r="F1904" s="20" t="str">
        <f t="array" ref="F1904">IFNA(_xlfn.XLOOKUP(D1904,Table_Tarikan_Warkah[Nomor Tiket],Table_Tarikan_Warkah[Nama Petugas Warkah]),"")</f>
        <v/>
      </c>
      <c r="G1904" s="21" t="str">
        <f t="array" ref="G1904">IFNA(_xlfn.XLOOKUP(D1904,Table_Tarikan_Warkah[Nomor Tiket],Table_Tarikan_Warkah[Jenis Permohonan]),"")</f>
        <v/>
      </c>
      <c r="H1904" s="26"/>
      <c r="I1904" s="26"/>
      <c r="J1904" s="20" t="str">
        <f t="shared" si="29"/>
        <v/>
      </c>
      <c r="K1904" s="26"/>
      <c r="L1904" s="26"/>
      <c r="M1904" s="20" t="str">
        <f t="shared" si="30"/>
        <v/>
      </c>
      <c r="N1904" s="8" t="str">
        <f t="shared" si="3"/>
        <v/>
      </c>
      <c r="O1904" s="21" t="str">
        <f t="shared" si="22"/>
        <v/>
      </c>
      <c r="P1904" s="24" t="b">
        <v>0</v>
      </c>
      <c r="Q1904" s="20" t="str">
        <f t="shared" si="31"/>
        <v/>
      </c>
      <c r="R1904" s="24" t="b">
        <v>0</v>
      </c>
      <c r="S1904" s="7" t="str">
        <f t="shared" si="6"/>
        <v/>
      </c>
      <c r="T1904" s="7"/>
    </row>
    <row r="1905" ht="22.5" hidden="1" customHeight="1">
      <c r="B1905" s="7">
        <f t="shared" si="7"/>
        <v>1899</v>
      </c>
      <c r="C1905" s="40"/>
      <c r="D1905" s="19" t="str">
        <f t="array" ref="D1905">IFNA(_xlfn.XLOOKUP(C1905,Table_Tarikan_Warkah[Nomor Sertipikat],Table_Tarikan_Warkah[Nomor Tiket]),"")</f>
        <v/>
      </c>
      <c r="E1905" s="20" t="str">
        <f t="array" ref="E1905">IFNA(_xlfn.XLOOKUP(D1905,Table_Tarikan_Warkah[Nomor Tiket],Table_Tarikan_Warkah[Tanggal diserahkan kepada Validator]),"")</f>
        <v/>
      </c>
      <c r="F1905" s="20" t="str">
        <f t="array" ref="F1905">IFNA(_xlfn.XLOOKUP(D1905,Table_Tarikan_Warkah[Nomor Tiket],Table_Tarikan_Warkah[Nama Petugas Warkah]),"")</f>
        <v/>
      </c>
      <c r="G1905" s="21" t="str">
        <f t="array" ref="G1905">IFNA(_xlfn.XLOOKUP(D1905,Table_Tarikan_Warkah[Nomor Tiket],Table_Tarikan_Warkah[Jenis Permohonan]),"")</f>
        <v/>
      </c>
      <c r="H1905" s="26"/>
      <c r="I1905" s="26"/>
      <c r="J1905" s="20" t="str">
        <f t="shared" si="29"/>
        <v/>
      </c>
      <c r="K1905" s="26"/>
      <c r="L1905" s="26"/>
      <c r="M1905" s="20" t="str">
        <f t="shared" si="30"/>
        <v/>
      </c>
      <c r="N1905" s="8" t="str">
        <f t="shared" si="3"/>
        <v/>
      </c>
      <c r="O1905" s="21" t="str">
        <f t="shared" si="22"/>
        <v/>
      </c>
      <c r="P1905" s="24" t="b">
        <v>0</v>
      </c>
      <c r="Q1905" s="20" t="str">
        <f t="shared" si="31"/>
        <v/>
      </c>
      <c r="R1905" s="24" t="b">
        <v>0</v>
      </c>
      <c r="S1905" s="7" t="str">
        <f t="shared" si="6"/>
        <v/>
      </c>
      <c r="T1905" s="7"/>
    </row>
    <row r="1906" ht="22.5" hidden="1" customHeight="1">
      <c r="B1906" s="7">
        <f t="shared" si="7"/>
        <v>1900</v>
      </c>
      <c r="C1906" s="40"/>
      <c r="D1906" s="19" t="str">
        <f t="array" ref="D1906">IFNA(_xlfn.XLOOKUP(C1906,Table_Tarikan_Warkah[Nomor Sertipikat],Table_Tarikan_Warkah[Nomor Tiket]),"")</f>
        <v/>
      </c>
      <c r="E1906" s="20" t="str">
        <f t="array" ref="E1906">IFNA(_xlfn.XLOOKUP(D1906,Table_Tarikan_Warkah[Nomor Tiket],Table_Tarikan_Warkah[Tanggal diserahkan kepada Validator]),"")</f>
        <v/>
      </c>
      <c r="F1906" s="20" t="str">
        <f t="array" ref="F1906">IFNA(_xlfn.XLOOKUP(D1906,Table_Tarikan_Warkah[Nomor Tiket],Table_Tarikan_Warkah[Nama Petugas Warkah]),"")</f>
        <v/>
      </c>
      <c r="G1906" s="21" t="str">
        <f t="array" ref="G1906">IFNA(_xlfn.XLOOKUP(D1906,Table_Tarikan_Warkah[Nomor Tiket],Table_Tarikan_Warkah[Jenis Permohonan]),"")</f>
        <v/>
      </c>
      <c r="H1906" s="26"/>
      <c r="I1906" s="26"/>
      <c r="J1906" s="20" t="str">
        <f t="shared" si="29"/>
        <v/>
      </c>
      <c r="K1906" s="26"/>
      <c r="L1906" s="26"/>
      <c r="M1906" s="20" t="str">
        <f t="shared" si="30"/>
        <v/>
      </c>
      <c r="N1906" s="8" t="str">
        <f t="shared" si="3"/>
        <v/>
      </c>
      <c r="O1906" s="21" t="str">
        <f t="shared" si="22"/>
        <v/>
      </c>
      <c r="P1906" s="24" t="b">
        <v>0</v>
      </c>
      <c r="Q1906" s="20" t="str">
        <f t="shared" si="31"/>
        <v/>
      </c>
      <c r="R1906" s="24" t="b">
        <v>0</v>
      </c>
      <c r="S1906" s="7" t="str">
        <f t="shared" si="6"/>
        <v/>
      </c>
      <c r="T1906" s="7"/>
    </row>
    <row r="1907" ht="22.5" hidden="1" customHeight="1">
      <c r="B1907" s="7">
        <f t="shared" si="7"/>
        <v>1901</v>
      </c>
      <c r="C1907" s="40"/>
      <c r="D1907" s="19" t="str">
        <f t="array" ref="D1907">IFNA(_xlfn.XLOOKUP(C1907,Table_Tarikan_Warkah[Nomor Sertipikat],Table_Tarikan_Warkah[Nomor Tiket]),"")</f>
        <v/>
      </c>
      <c r="E1907" s="20" t="str">
        <f t="array" ref="E1907">IFNA(_xlfn.XLOOKUP(D1907,Table_Tarikan_Warkah[Nomor Tiket],Table_Tarikan_Warkah[Tanggal diserahkan kepada Validator]),"")</f>
        <v/>
      </c>
      <c r="F1907" s="20" t="str">
        <f t="array" ref="F1907">IFNA(_xlfn.XLOOKUP(D1907,Table_Tarikan_Warkah[Nomor Tiket],Table_Tarikan_Warkah[Nama Petugas Warkah]),"")</f>
        <v/>
      </c>
      <c r="G1907" s="21" t="str">
        <f t="array" ref="G1907">IFNA(_xlfn.XLOOKUP(D1907,Table_Tarikan_Warkah[Nomor Tiket],Table_Tarikan_Warkah[Jenis Permohonan]),"")</f>
        <v/>
      </c>
      <c r="H1907" s="26"/>
      <c r="I1907" s="26"/>
      <c r="J1907" s="20" t="str">
        <f t="shared" si="29"/>
        <v/>
      </c>
      <c r="K1907" s="26"/>
      <c r="L1907" s="26"/>
      <c r="M1907" s="20" t="str">
        <f t="shared" si="30"/>
        <v/>
      </c>
      <c r="N1907" s="8" t="str">
        <f t="shared" si="3"/>
        <v/>
      </c>
      <c r="O1907" s="21" t="str">
        <f t="shared" si="22"/>
        <v/>
      </c>
      <c r="P1907" s="24" t="b">
        <v>0</v>
      </c>
      <c r="Q1907" s="20" t="str">
        <f t="shared" si="31"/>
        <v/>
      </c>
      <c r="R1907" s="24" t="b">
        <v>0</v>
      </c>
      <c r="S1907" s="7" t="str">
        <f t="shared" si="6"/>
        <v/>
      </c>
      <c r="T1907" s="7"/>
    </row>
    <row r="1908" ht="22.5" hidden="1" customHeight="1">
      <c r="B1908" s="7">
        <f t="shared" si="7"/>
        <v>1902</v>
      </c>
      <c r="C1908" s="40"/>
      <c r="D1908" s="19" t="str">
        <f t="array" ref="D1908">IFNA(_xlfn.XLOOKUP(C1908,Table_Tarikan_Warkah[Nomor Sertipikat],Table_Tarikan_Warkah[Nomor Tiket]),"")</f>
        <v/>
      </c>
      <c r="E1908" s="20" t="str">
        <f t="array" ref="E1908">IFNA(_xlfn.XLOOKUP(D1908,Table_Tarikan_Warkah[Nomor Tiket],Table_Tarikan_Warkah[Tanggal diserahkan kepada Validator]),"")</f>
        <v/>
      </c>
      <c r="F1908" s="20" t="str">
        <f t="array" ref="F1908">IFNA(_xlfn.XLOOKUP(D1908,Table_Tarikan_Warkah[Nomor Tiket],Table_Tarikan_Warkah[Nama Petugas Warkah]),"")</f>
        <v/>
      </c>
      <c r="G1908" s="21" t="str">
        <f t="array" ref="G1908">IFNA(_xlfn.XLOOKUP(D1908,Table_Tarikan_Warkah[Nomor Tiket],Table_Tarikan_Warkah[Jenis Permohonan]),"")</f>
        <v/>
      </c>
      <c r="H1908" s="26"/>
      <c r="I1908" s="26"/>
      <c r="J1908" s="20" t="str">
        <f t="shared" si="29"/>
        <v/>
      </c>
      <c r="K1908" s="26"/>
      <c r="L1908" s="26"/>
      <c r="M1908" s="20" t="str">
        <f t="shared" si="30"/>
        <v/>
      </c>
      <c r="N1908" s="8" t="str">
        <f t="shared" si="3"/>
        <v/>
      </c>
      <c r="O1908" s="21" t="str">
        <f t="shared" si="22"/>
        <v/>
      </c>
      <c r="P1908" s="24" t="b">
        <v>0</v>
      </c>
      <c r="Q1908" s="20" t="str">
        <f t="shared" si="31"/>
        <v/>
      </c>
      <c r="R1908" s="24" t="b">
        <v>0</v>
      </c>
      <c r="S1908" s="7" t="str">
        <f t="shared" si="6"/>
        <v/>
      </c>
      <c r="T1908" s="7"/>
    </row>
    <row r="1909" ht="22.5" hidden="1" customHeight="1">
      <c r="B1909" s="7">
        <f t="shared" si="7"/>
        <v>1903</v>
      </c>
      <c r="C1909" s="40"/>
      <c r="D1909" s="19" t="str">
        <f t="array" ref="D1909">IFNA(_xlfn.XLOOKUP(C1909,Table_Tarikan_Warkah[Nomor Sertipikat],Table_Tarikan_Warkah[Nomor Tiket]),"")</f>
        <v/>
      </c>
      <c r="E1909" s="20" t="str">
        <f t="array" ref="E1909">IFNA(_xlfn.XLOOKUP(D1909,Table_Tarikan_Warkah[Nomor Tiket],Table_Tarikan_Warkah[Tanggal diserahkan kepada Validator]),"")</f>
        <v/>
      </c>
      <c r="F1909" s="20" t="str">
        <f t="array" ref="F1909">IFNA(_xlfn.XLOOKUP(D1909,Table_Tarikan_Warkah[Nomor Tiket],Table_Tarikan_Warkah[Nama Petugas Warkah]),"")</f>
        <v/>
      </c>
      <c r="G1909" s="21" t="str">
        <f t="array" ref="G1909">IFNA(_xlfn.XLOOKUP(D1909,Table_Tarikan_Warkah[Nomor Tiket],Table_Tarikan_Warkah[Jenis Permohonan]),"")</f>
        <v/>
      </c>
      <c r="H1909" s="26"/>
      <c r="I1909" s="26"/>
      <c r="J1909" s="20" t="str">
        <f t="shared" si="29"/>
        <v/>
      </c>
      <c r="K1909" s="26"/>
      <c r="L1909" s="26"/>
      <c r="M1909" s="20" t="str">
        <f t="shared" si="30"/>
        <v/>
      </c>
      <c r="N1909" s="8" t="str">
        <f t="shared" si="3"/>
        <v/>
      </c>
      <c r="O1909" s="21" t="str">
        <f t="shared" si="22"/>
        <v/>
      </c>
      <c r="P1909" s="24" t="b">
        <v>0</v>
      </c>
      <c r="Q1909" s="20" t="str">
        <f t="shared" si="31"/>
        <v/>
      </c>
      <c r="R1909" s="24" t="b">
        <v>0</v>
      </c>
      <c r="S1909" s="7" t="str">
        <f t="shared" si="6"/>
        <v/>
      </c>
      <c r="T1909" s="7"/>
    </row>
    <row r="1910" ht="22.5" hidden="1" customHeight="1">
      <c r="B1910" s="7">
        <f t="shared" si="7"/>
        <v>1904</v>
      </c>
      <c r="C1910" s="40"/>
      <c r="D1910" s="19" t="str">
        <f t="array" ref="D1910">IFNA(_xlfn.XLOOKUP(C1910,Table_Tarikan_Warkah[Nomor Sertipikat],Table_Tarikan_Warkah[Nomor Tiket]),"")</f>
        <v/>
      </c>
      <c r="E1910" s="20" t="str">
        <f t="array" ref="E1910">IFNA(_xlfn.XLOOKUP(D1910,Table_Tarikan_Warkah[Nomor Tiket],Table_Tarikan_Warkah[Tanggal diserahkan kepada Validator]),"")</f>
        <v/>
      </c>
      <c r="F1910" s="20" t="str">
        <f t="array" ref="F1910">IFNA(_xlfn.XLOOKUP(D1910,Table_Tarikan_Warkah[Nomor Tiket],Table_Tarikan_Warkah[Nama Petugas Warkah]),"")</f>
        <v/>
      </c>
      <c r="G1910" s="21" t="str">
        <f t="array" ref="G1910">IFNA(_xlfn.XLOOKUP(D1910,Table_Tarikan_Warkah[Nomor Tiket],Table_Tarikan_Warkah[Jenis Permohonan]),"")</f>
        <v/>
      </c>
      <c r="H1910" s="26"/>
      <c r="I1910" s="26"/>
      <c r="J1910" s="20" t="str">
        <f t="shared" si="29"/>
        <v/>
      </c>
      <c r="K1910" s="26"/>
      <c r="L1910" s="26"/>
      <c r="M1910" s="20" t="str">
        <f t="shared" si="30"/>
        <v/>
      </c>
      <c r="N1910" s="8" t="str">
        <f t="shared" si="3"/>
        <v/>
      </c>
      <c r="O1910" s="21" t="str">
        <f t="shared" si="22"/>
        <v/>
      </c>
      <c r="P1910" s="24" t="b">
        <v>0</v>
      </c>
      <c r="Q1910" s="20" t="str">
        <f t="shared" si="31"/>
        <v/>
      </c>
      <c r="R1910" s="24" t="b">
        <v>0</v>
      </c>
      <c r="S1910" s="7" t="str">
        <f t="shared" si="6"/>
        <v/>
      </c>
      <c r="T1910" s="7"/>
    </row>
    <row r="1911" ht="22.5" hidden="1" customHeight="1">
      <c r="B1911" s="7">
        <f t="shared" si="7"/>
        <v>1905</v>
      </c>
      <c r="C1911" s="40"/>
      <c r="D1911" s="19" t="str">
        <f t="array" ref="D1911">IFNA(_xlfn.XLOOKUP(C1911,Table_Tarikan_Warkah[Nomor Sertipikat],Table_Tarikan_Warkah[Nomor Tiket]),"")</f>
        <v/>
      </c>
      <c r="E1911" s="20" t="str">
        <f t="array" ref="E1911">IFNA(_xlfn.XLOOKUP(D1911,Table_Tarikan_Warkah[Nomor Tiket],Table_Tarikan_Warkah[Tanggal diserahkan kepada Validator]),"")</f>
        <v/>
      </c>
      <c r="F1911" s="20" t="str">
        <f t="array" ref="F1911">IFNA(_xlfn.XLOOKUP(D1911,Table_Tarikan_Warkah[Nomor Tiket],Table_Tarikan_Warkah[Nama Petugas Warkah]),"")</f>
        <v/>
      </c>
      <c r="G1911" s="21" t="str">
        <f t="array" ref="G1911">IFNA(_xlfn.XLOOKUP(D1911,Table_Tarikan_Warkah[Nomor Tiket],Table_Tarikan_Warkah[Jenis Permohonan]),"")</f>
        <v/>
      </c>
      <c r="H1911" s="26"/>
      <c r="I1911" s="26"/>
      <c r="J1911" s="20" t="str">
        <f t="shared" si="29"/>
        <v/>
      </c>
      <c r="K1911" s="26"/>
      <c r="L1911" s="26"/>
      <c r="M1911" s="20" t="str">
        <f t="shared" si="30"/>
        <v/>
      </c>
      <c r="N1911" s="8" t="str">
        <f t="shared" si="3"/>
        <v/>
      </c>
      <c r="O1911" s="21" t="str">
        <f t="shared" si="22"/>
        <v/>
      </c>
      <c r="P1911" s="24" t="b">
        <v>0</v>
      </c>
      <c r="Q1911" s="20" t="str">
        <f t="shared" si="31"/>
        <v/>
      </c>
      <c r="R1911" s="24" t="b">
        <v>0</v>
      </c>
      <c r="S1911" s="7" t="str">
        <f t="shared" si="6"/>
        <v/>
      </c>
      <c r="T1911" s="7"/>
    </row>
    <row r="1912" ht="22.5" hidden="1" customHeight="1">
      <c r="B1912" s="7">
        <f t="shared" si="7"/>
        <v>1906</v>
      </c>
      <c r="C1912" s="40"/>
      <c r="D1912" s="19" t="str">
        <f t="array" ref="D1912">IFNA(_xlfn.XLOOKUP(C1912,Table_Tarikan_Warkah[Nomor Sertipikat],Table_Tarikan_Warkah[Nomor Tiket]),"")</f>
        <v/>
      </c>
      <c r="E1912" s="20" t="str">
        <f t="array" ref="E1912">IFNA(_xlfn.XLOOKUP(D1912,Table_Tarikan_Warkah[Nomor Tiket],Table_Tarikan_Warkah[Tanggal diserahkan kepada Validator]),"")</f>
        <v/>
      </c>
      <c r="F1912" s="20" t="str">
        <f t="array" ref="F1912">IFNA(_xlfn.XLOOKUP(D1912,Table_Tarikan_Warkah[Nomor Tiket],Table_Tarikan_Warkah[Nama Petugas Warkah]),"")</f>
        <v/>
      </c>
      <c r="G1912" s="21" t="str">
        <f t="array" ref="G1912">IFNA(_xlfn.XLOOKUP(D1912,Table_Tarikan_Warkah[Nomor Tiket],Table_Tarikan_Warkah[Jenis Permohonan]),"")</f>
        <v/>
      </c>
      <c r="H1912" s="26"/>
      <c r="I1912" s="26"/>
      <c r="J1912" s="20" t="str">
        <f t="shared" si="29"/>
        <v/>
      </c>
      <c r="K1912" s="26"/>
      <c r="L1912" s="26"/>
      <c r="M1912" s="20" t="str">
        <f t="shared" si="30"/>
        <v/>
      </c>
      <c r="N1912" s="8" t="str">
        <f t="shared" si="3"/>
        <v/>
      </c>
      <c r="O1912" s="21" t="str">
        <f t="shared" si="22"/>
        <v/>
      </c>
      <c r="P1912" s="24" t="b">
        <v>0</v>
      </c>
      <c r="Q1912" s="20" t="str">
        <f t="shared" si="31"/>
        <v/>
      </c>
      <c r="R1912" s="24" t="b">
        <v>0</v>
      </c>
      <c r="S1912" s="7" t="str">
        <f t="shared" si="6"/>
        <v/>
      </c>
      <c r="T1912" s="7"/>
    </row>
    <row r="1913" ht="22.5" hidden="1" customHeight="1">
      <c r="B1913" s="7">
        <f t="shared" si="7"/>
        <v>1907</v>
      </c>
      <c r="C1913" s="40"/>
      <c r="D1913" s="19" t="str">
        <f t="array" ref="D1913">IFNA(_xlfn.XLOOKUP(C1913,Table_Tarikan_Warkah[Nomor Sertipikat],Table_Tarikan_Warkah[Nomor Tiket]),"")</f>
        <v/>
      </c>
      <c r="E1913" s="20" t="str">
        <f t="array" ref="E1913">IFNA(_xlfn.XLOOKUP(D1913,Table_Tarikan_Warkah[Nomor Tiket],Table_Tarikan_Warkah[Tanggal diserahkan kepada Validator]),"")</f>
        <v/>
      </c>
      <c r="F1913" s="20" t="str">
        <f t="array" ref="F1913">IFNA(_xlfn.XLOOKUP(D1913,Table_Tarikan_Warkah[Nomor Tiket],Table_Tarikan_Warkah[Nama Petugas Warkah]),"")</f>
        <v/>
      </c>
      <c r="G1913" s="21" t="str">
        <f t="array" ref="G1913">IFNA(_xlfn.XLOOKUP(D1913,Table_Tarikan_Warkah[Nomor Tiket],Table_Tarikan_Warkah[Jenis Permohonan]),"")</f>
        <v/>
      </c>
      <c r="H1913" s="26"/>
      <c r="I1913" s="26"/>
      <c r="J1913" s="20" t="str">
        <f t="shared" si="29"/>
        <v/>
      </c>
      <c r="K1913" s="26"/>
      <c r="L1913" s="26"/>
      <c r="M1913" s="20" t="str">
        <f t="shared" si="30"/>
        <v/>
      </c>
      <c r="N1913" s="8" t="str">
        <f t="shared" si="3"/>
        <v/>
      </c>
      <c r="O1913" s="21" t="str">
        <f t="shared" si="22"/>
        <v/>
      </c>
      <c r="P1913" s="24" t="b">
        <v>0</v>
      </c>
      <c r="Q1913" s="20" t="str">
        <f t="shared" si="31"/>
        <v/>
      </c>
      <c r="R1913" s="24" t="b">
        <v>0</v>
      </c>
      <c r="S1913" s="7" t="str">
        <f t="shared" si="6"/>
        <v/>
      </c>
      <c r="T1913" s="7"/>
    </row>
    <row r="1914" ht="22.5" hidden="1" customHeight="1">
      <c r="B1914" s="7">
        <f t="shared" si="7"/>
        <v>1908</v>
      </c>
      <c r="C1914" s="40"/>
      <c r="D1914" s="19" t="str">
        <f t="array" ref="D1914">IFNA(_xlfn.XLOOKUP(C1914,Table_Tarikan_Warkah[Nomor Sertipikat],Table_Tarikan_Warkah[Nomor Tiket]),"")</f>
        <v/>
      </c>
      <c r="E1914" s="20" t="str">
        <f t="array" ref="E1914">IFNA(_xlfn.XLOOKUP(D1914,Table_Tarikan_Warkah[Nomor Tiket],Table_Tarikan_Warkah[Tanggal diserahkan kepada Validator]),"")</f>
        <v/>
      </c>
      <c r="F1914" s="20" t="str">
        <f t="array" ref="F1914">IFNA(_xlfn.XLOOKUP(D1914,Table_Tarikan_Warkah[Nomor Tiket],Table_Tarikan_Warkah[Nama Petugas Warkah]),"")</f>
        <v/>
      </c>
      <c r="G1914" s="21" t="str">
        <f t="array" ref="G1914">IFNA(_xlfn.XLOOKUP(D1914,Table_Tarikan_Warkah[Nomor Tiket],Table_Tarikan_Warkah[Jenis Permohonan]),"")</f>
        <v/>
      </c>
      <c r="H1914" s="26"/>
      <c r="I1914" s="26"/>
      <c r="J1914" s="20" t="str">
        <f t="shared" si="29"/>
        <v/>
      </c>
      <c r="K1914" s="26"/>
      <c r="L1914" s="26"/>
      <c r="M1914" s="20" t="str">
        <f t="shared" si="30"/>
        <v/>
      </c>
      <c r="N1914" s="8" t="str">
        <f t="shared" si="3"/>
        <v/>
      </c>
      <c r="O1914" s="21" t="str">
        <f t="shared" si="22"/>
        <v/>
      </c>
      <c r="P1914" s="24" t="b">
        <v>0</v>
      </c>
      <c r="Q1914" s="20" t="str">
        <f t="shared" si="31"/>
        <v/>
      </c>
      <c r="R1914" s="24" t="b">
        <v>0</v>
      </c>
      <c r="S1914" s="7" t="str">
        <f t="shared" si="6"/>
        <v/>
      </c>
      <c r="T1914" s="7"/>
    </row>
    <row r="1915" ht="22.5" hidden="1" customHeight="1">
      <c r="B1915" s="7">
        <f t="shared" si="7"/>
        <v>1909</v>
      </c>
      <c r="C1915" s="40"/>
      <c r="D1915" s="19" t="str">
        <f t="array" ref="D1915">IFNA(_xlfn.XLOOKUP(C1915,Table_Tarikan_Warkah[Nomor Sertipikat],Table_Tarikan_Warkah[Nomor Tiket]),"")</f>
        <v/>
      </c>
      <c r="E1915" s="20" t="str">
        <f t="array" ref="E1915">IFNA(_xlfn.XLOOKUP(D1915,Table_Tarikan_Warkah[Nomor Tiket],Table_Tarikan_Warkah[Tanggal diserahkan kepada Validator]),"")</f>
        <v/>
      </c>
      <c r="F1915" s="20" t="str">
        <f t="array" ref="F1915">IFNA(_xlfn.XLOOKUP(D1915,Table_Tarikan_Warkah[Nomor Tiket],Table_Tarikan_Warkah[Nama Petugas Warkah]),"")</f>
        <v/>
      </c>
      <c r="G1915" s="21" t="str">
        <f t="array" ref="G1915">IFNA(_xlfn.XLOOKUP(D1915,Table_Tarikan_Warkah[Nomor Tiket],Table_Tarikan_Warkah[Jenis Permohonan]),"")</f>
        <v/>
      </c>
      <c r="H1915" s="26"/>
      <c r="I1915" s="26"/>
      <c r="J1915" s="20" t="str">
        <f t="shared" si="29"/>
        <v/>
      </c>
      <c r="K1915" s="26"/>
      <c r="L1915" s="26"/>
      <c r="M1915" s="20" t="str">
        <f t="shared" si="30"/>
        <v/>
      </c>
      <c r="N1915" s="8" t="str">
        <f t="shared" si="3"/>
        <v/>
      </c>
      <c r="O1915" s="21" t="str">
        <f t="shared" si="22"/>
        <v/>
      </c>
      <c r="P1915" s="24" t="b">
        <v>0</v>
      </c>
      <c r="Q1915" s="20" t="str">
        <f t="shared" si="31"/>
        <v/>
      </c>
      <c r="R1915" s="24" t="b">
        <v>0</v>
      </c>
      <c r="S1915" s="7" t="str">
        <f t="shared" si="6"/>
        <v/>
      </c>
      <c r="T1915" s="7"/>
    </row>
    <row r="1916" ht="22.5" hidden="1" customHeight="1">
      <c r="B1916" s="7">
        <f t="shared" si="7"/>
        <v>1910</v>
      </c>
      <c r="C1916" s="40"/>
      <c r="D1916" s="19" t="str">
        <f t="array" ref="D1916">IFNA(_xlfn.XLOOKUP(C1916,Table_Tarikan_Warkah[Nomor Sertipikat],Table_Tarikan_Warkah[Nomor Tiket]),"")</f>
        <v/>
      </c>
      <c r="E1916" s="20" t="str">
        <f t="array" ref="E1916">IFNA(_xlfn.XLOOKUP(D1916,Table_Tarikan_Warkah[Nomor Tiket],Table_Tarikan_Warkah[Tanggal diserahkan kepada Validator]),"")</f>
        <v/>
      </c>
      <c r="F1916" s="20" t="str">
        <f t="array" ref="F1916">IFNA(_xlfn.XLOOKUP(D1916,Table_Tarikan_Warkah[Nomor Tiket],Table_Tarikan_Warkah[Nama Petugas Warkah]),"")</f>
        <v/>
      </c>
      <c r="G1916" s="21" t="str">
        <f t="array" ref="G1916">IFNA(_xlfn.XLOOKUP(D1916,Table_Tarikan_Warkah[Nomor Tiket],Table_Tarikan_Warkah[Jenis Permohonan]),"")</f>
        <v/>
      </c>
      <c r="H1916" s="26"/>
      <c r="I1916" s="26"/>
      <c r="J1916" s="20" t="str">
        <f t="shared" si="29"/>
        <v/>
      </c>
      <c r="K1916" s="26"/>
      <c r="L1916" s="26"/>
      <c r="M1916" s="20" t="str">
        <f t="shared" si="30"/>
        <v/>
      </c>
      <c r="N1916" s="8" t="str">
        <f t="shared" si="3"/>
        <v/>
      </c>
      <c r="O1916" s="21" t="str">
        <f t="shared" si="22"/>
        <v/>
      </c>
      <c r="P1916" s="24" t="b">
        <v>0</v>
      </c>
      <c r="Q1916" s="20" t="str">
        <f t="shared" si="31"/>
        <v/>
      </c>
      <c r="R1916" s="24" t="b">
        <v>0</v>
      </c>
      <c r="S1916" s="7" t="str">
        <f t="shared" si="6"/>
        <v/>
      </c>
      <c r="T1916" s="7"/>
    </row>
    <row r="1917" ht="22.5" hidden="1" customHeight="1">
      <c r="B1917" s="7">
        <f t="shared" si="7"/>
        <v>1911</v>
      </c>
      <c r="C1917" s="40"/>
      <c r="D1917" s="19" t="str">
        <f t="array" ref="D1917">IFNA(_xlfn.XLOOKUP(C1917,Table_Tarikan_Warkah[Nomor Sertipikat],Table_Tarikan_Warkah[Nomor Tiket]),"")</f>
        <v/>
      </c>
      <c r="E1917" s="20" t="str">
        <f t="array" ref="E1917">IFNA(_xlfn.XLOOKUP(D1917,Table_Tarikan_Warkah[Nomor Tiket],Table_Tarikan_Warkah[Tanggal diserahkan kepada Validator]),"")</f>
        <v/>
      </c>
      <c r="F1917" s="20" t="str">
        <f t="array" ref="F1917">IFNA(_xlfn.XLOOKUP(D1917,Table_Tarikan_Warkah[Nomor Tiket],Table_Tarikan_Warkah[Nama Petugas Warkah]),"")</f>
        <v/>
      </c>
      <c r="G1917" s="21" t="str">
        <f t="array" ref="G1917">IFNA(_xlfn.XLOOKUP(D1917,Table_Tarikan_Warkah[Nomor Tiket],Table_Tarikan_Warkah[Jenis Permohonan]),"")</f>
        <v/>
      </c>
      <c r="H1917" s="26"/>
      <c r="I1917" s="26"/>
      <c r="J1917" s="20" t="str">
        <f t="shared" si="29"/>
        <v/>
      </c>
      <c r="K1917" s="26"/>
      <c r="L1917" s="26"/>
      <c r="M1917" s="20" t="str">
        <f t="shared" si="30"/>
        <v/>
      </c>
      <c r="N1917" s="8" t="str">
        <f t="shared" si="3"/>
        <v/>
      </c>
      <c r="O1917" s="21" t="str">
        <f t="shared" si="22"/>
        <v/>
      </c>
      <c r="P1917" s="24" t="b">
        <v>0</v>
      </c>
      <c r="Q1917" s="20" t="str">
        <f t="shared" si="31"/>
        <v/>
      </c>
      <c r="R1917" s="24" t="b">
        <v>0</v>
      </c>
      <c r="S1917" s="7" t="str">
        <f t="shared" si="6"/>
        <v/>
      </c>
      <c r="T1917" s="7"/>
    </row>
    <row r="1918" ht="22.5" hidden="1" customHeight="1">
      <c r="B1918" s="7">
        <f t="shared" si="7"/>
        <v>1912</v>
      </c>
      <c r="C1918" s="40"/>
      <c r="D1918" s="19" t="str">
        <f t="array" ref="D1918">IFNA(_xlfn.XLOOKUP(C1918,Table_Tarikan_Warkah[Nomor Sertipikat],Table_Tarikan_Warkah[Nomor Tiket]),"")</f>
        <v/>
      </c>
      <c r="E1918" s="20" t="str">
        <f t="array" ref="E1918">IFNA(_xlfn.XLOOKUP(D1918,Table_Tarikan_Warkah[Nomor Tiket],Table_Tarikan_Warkah[Tanggal diserahkan kepada Validator]),"")</f>
        <v/>
      </c>
      <c r="F1918" s="20" t="str">
        <f t="array" ref="F1918">IFNA(_xlfn.XLOOKUP(D1918,Table_Tarikan_Warkah[Nomor Tiket],Table_Tarikan_Warkah[Nama Petugas Warkah]),"")</f>
        <v/>
      </c>
      <c r="G1918" s="21" t="str">
        <f t="array" ref="G1918">IFNA(_xlfn.XLOOKUP(D1918,Table_Tarikan_Warkah[Nomor Tiket],Table_Tarikan_Warkah[Jenis Permohonan]),"")</f>
        <v/>
      </c>
      <c r="H1918" s="26"/>
      <c r="I1918" s="26"/>
      <c r="J1918" s="20" t="str">
        <f t="shared" si="29"/>
        <v/>
      </c>
      <c r="K1918" s="26"/>
      <c r="L1918" s="26"/>
      <c r="M1918" s="20" t="str">
        <f t="shared" si="30"/>
        <v/>
      </c>
      <c r="N1918" s="8" t="str">
        <f t="shared" si="3"/>
        <v/>
      </c>
      <c r="O1918" s="21" t="str">
        <f t="shared" si="22"/>
        <v/>
      </c>
      <c r="P1918" s="24" t="b">
        <v>0</v>
      </c>
      <c r="Q1918" s="20" t="str">
        <f t="shared" si="31"/>
        <v/>
      </c>
      <c r="R1918" s="24" t="b">
        <v>0</v>
      </c>
      <c r="S1918" s="7" t="str">
        <f t="shared" si="6"/>
        <v/>
      </c>
      <c r="T1918" s="7"/>
    </row>
    <row r="1919" ht="22.5" hidden="1" customHeight="1">
      <c r="B1919" s="7">
        <f t="shared" si="7"/>
        <v>1913</v>
      </c>
      <c r="C1919" s="40"/>
      <c r="D1919" s="19" t="str">
        <f t="array" ref="D1919">IFNA(_xlfn.XLOOKUP(C1919,Table_Tarikan_Warkah[Nomor Sertipikat],Table_Tarikan_Warkah[Nomor Tiket]),"")</f>
        <v/>
      </c>
      <c r="E1919" s="20" t="str">
        <f t="array" ref="E1919">IFNA(_xlfn.XLOOKUP(D1919,Table_Tarikan_Warkah[Nomor Tiket],Table_Tarikan_Warkah[Tanggal diserahkan kepada Validator]),"")</f>
        <v/>
      </c>
      <c r="F1919" s="20" t="str">
        <f t="array" ref="F1919">IFNA(_xlfn.XLOOKUP(D1919,Table_Tarikan_Warkah[Nomor Tiket],Table_Tarikan_Warkah[Nama Petugas Warkah]),"")</f>
        <v/>
      </c>
      <c r="G1919" s="21" t="str">
        <f t="array" ref="G1919">IFNA(_xlfn.XLOOKUP(D1919,Table_Tarikan_Warkah[Nomor Tiket],Table_Tarikan_Warkah[Jenis Permohonan]),"")</f>
        <v/>
      </c>
      <c r="H1919" s="26"/>
      <c r="I1919" s="26"/>
      <c r="J1919" s="20" t="str">
        <f t="shared" si="29"/>
        <v/>
      </c>
      <c r="K1919" s="26"/>
      <c r="L1919" s="26"/>
      <c r="M1919" s="20" t="str">
        <f t="shared" si="30"/>
        <v/>
      </c>
      <c r="N1919" s="8" t="str">
        <f t="shared" si="3"/>
        <v/>
      </c>
      <c r="O1919" s="21" t="str">
        <f t="shared" si="22"/>
        <v/>
      </c>
      <c r="P1919" s="24" t="b">
        <v>0</v>
      </c>
      <c r="Q1919" s="20" t="str">
        <f t="shared" si="31"/>
        <v/>
      </c>
      <c r="R1919" s="24" t="b">
        <v>0</v>
      </c>
      <c r="S1919" s="7" t="str">
        <f t="shared" si="6"/>
        <v/>
      </c>
      <c r="T1919" s="7"/>
    </row>
    <row r="1920" ht="22.5" hidden="1" customHeight="1">
      <c r="B1920" s="7">
        <f t="shared" si="7"/>
        <v>1914</v>
      </c>
      <c r="C1920" s="40"/>
      <c r="D1920" s="19" t="str">
        <f t="array" ref="D1920">IFNA(_xlfn.XLOOKUP(C1920,Table_Tarikan_Warkah[Nomor Sertipikat],Table_Tarikan_Warkah[Nomor Tiket]),"")</f>
        <v/>
      </c>
      <c r="E1920" s="20" t="str">
        <f t="array" ref="E1920">IFNA(_xlfn.XLOOKUP(D1920,Table_Tarikan_Warkah[Nomor Tiket],Table_Tarikan_Warkah[Tanggal diserahkan kepada Validator]),"")</f>
        <v/>
      </c>
      <c r="F1920" s="20" t="str">
        <f t="array" ref="F1920">IFNA(_xlfn.XLOOKUP(D1920,Table_Tarikan_Warkah[Nomor Tiket],Table_Tarikan_Warkah[Nama Petugas Warkah]),"")</f>
        <v/>
      </c>
      <c r="G1920" s="21" t="str">
        <f t="array" ref="G1920">IFNA(_xlfn.XLOOKUP(D1920,Table_Tarikan_Warkah[Nomor Tiket],Table_Tarikan_Warkah[Jenis Permohonan]),"")</f>
        <v/>
      </c>
      <c r="H1920" s="26"/>
      <c r="I1920" s="26"/>
      <c r="J1920" s="20" t="str">
        <f t="shared" si="29"/>
        <v/>
      </c>
      <c r="K1920" s="26"/>
      <c r="L1920" s="26"/>
      <c r="M1920" s="20" t="str">
        <f t="shared" si="30"/>
        <v/>
      </c>
      <c r="N1920" s="8" t="str">
        <f t="shared" si="3"/>
        <v/>
      </c>
      <c r="O1920" s="21" t="str">
        <f t="shared" si="22"/>
        <v/>
      </c>
      <c r="P1920" s="24" t="b">
        <v>0</v>
      </c>
      <c r="Q1920" s="20" t="str">
        <f t="shared" si="31"/>
        <v/>
      </c>
      <c r="R1920" s="24" t="b">
        <v>0</v>
      </c>
      <c r="S1920" s="7" t="str">
        <f t="shared" si="6"/>
        <v/>
      </c>
      <c r="T1920" s="7"/>
    </row>
    <row r="1921" ht="22.5" hidden="1" customHeight="1">
      <c r="B1921" s="7">
        <f t="shared" si="7"/>
        <v>1915</v>
      </c>
      <c r="C1921" s="40"/>
      <c r="D1921" s="19" t="str">
        <f t="array" ref="D1921">IFNA(_xlfn.XLOOKUP(C1921,Table_Tarikan_Warkah[Nomor Sertipikat],Table_Tarikan_Warkah[Nomor Tiket]),"")</f>
        <v/>
      </c>
      <c r="E1921" s="20" t="str">
        <f t="array" ref="E1921">IFNA(_xlfn.XLOOKUP(D1921,Table_Tarikan_Warkah[Nomor Tiket],Table_Tarikan_Warkah[Tanggal diserahkan kepada Validator]),"")</f>
        <v/>
      </c>
      <c r="F1921" s="20" t="str">
        <f t="array" ref="F1921">IFNA(_xlfn.XLOOKUP(D1921,Table_Tarikan_Warkah[Nomor Tiket],Table_Tarikan_Warkah[Nama Petugas Warkah]),"")</f>
        <v/>
      </c>
      <c r="G1921" s="21" t="str">
        <f t="array" ref="G1921">IFNA(_xlfn.XLOOKUP(D1921,Table_Tarikan_Warkah[Nomor Tiket],Table_Tarikan_Warkah[Jenis Permohonan]),"")</f>
        <v/>
      </c>
      <c r="H1921" s="26"/>
      <c r="I1921" s="26"/>
      <c r="J1921" s="20" t="str">
        <f t="shared" si="29"/>
        <v/>
      </c>
      <c r="K1921" s="26"/>
      <c r="L1921" s="26"/>
      <c r="M1921" s="20" t="str">
        <f t="shared" si="30"/>
        <v/>
      </c>
      <c r="N1921" s="8" t="str">
        <f t="shared" si="3"/>
        <v/>
      </c>
      <c r="O1921" s="21" t="str">
        <f t="shared" si="22"/>
        <v/>
      </c>
      <c r="P1921" s="24" t="b">
        <v>0</v>
      </c>
      <c r="Q1921" s="20" t="str">
        <f t="shared" si="31"/>
        <v/>
      </c>
      <c r="R1921" s="24" t="b">
        <v>0</v>
      </c>
      <c r="S1921" s="7" t="str">
        <f t="shared" si="6"/>
        <v/>
      </c>
      <c r="T1921" s="7"/>
    </row>
    <row r="1922" ht="22.5" hidden="1" customHeight="1">
      <c r="B1922" s="7">
        <f t="shared" si="7"/>
        <v>1916</v>
      </c>
      <c r="C1922" s="40"/>
      <c r="D1922" s="19" t="str">
        <f t="array" ref="D1922">IFNA(_xlfn.XLOOKUP(C1922,Table_Tarikan_Warkah[Nomor Sertipikat],Table_Tarikan_Warkah[Nomor Tiket]),"")</f>
        <v/>
      </c>
      <c r="E1922" s="20" t="str">
        <f t="array" ref="E1922">IFNA(_xlfn.XLOOKUP(D1922,Table_Tarikan_Warkah[Nomor Tiket],Table_Tarikan_Warkah[Tanggal diserahkan kepada Validator]),"")</f>
        <v/>
      </c>
      <c r="F1922" s="20" t="str">
        <f t="array" ref="F1922">IFNA(_xlfn.XLOOKUP(D1922,Table_Tarikan_Warkah[Nomor Tiket],Table_Tarikan_Warkah[Nama Petugas Warkah]),"")</f>
        <v/>
      </c>
      <c r="G1922" s="21" t="str">
        <f t="array" ref="G1922">IFNA(_xlfn.XLOOKUP(D1922,Table_Tarikan_Warkah[Nomor Tiket],Table_Tarikan_Warkah[Jenis Permohonan]),"")</f>
        <v/>
      </c>
      <c r="H1922" s="26"/>
      <c r="I1922" s="26"/>
      <c r="J1922" s="20" t="str">
        <f t="shared" si="29"/>
        <v/>
      </c>
      <c r="K1922" s="26"/>
      <c r="L1922" s="26"/>
      <c r="M1922" s="20" t="str">
        <f t="shared" si="30"/>
        <v/>
      </c>
      <c r="N1922" s="8" t="str">
        <f t="shared" si="3"/>
        <v/>
      </c>
      <c r="O1922" s="21" t="str">
        <f t="shared" si="22"/>
        <v/>
      </c>
      <c r="P1922" s="24" t="b">
        <v>0</v>
      </c>
      <c r="Q1922" s="20" t="str">
        <f t="shared" si="31"/>
        <v/>
      </c>
      <c r="R1922" s="24" t="b">
        <v>0</v>
      </c>
      <c r="S1922" s="7" t="str">
        <f t="shared" si="6"/>
        <v/>
      </c>
      <c r="T1922" s="7"/>
    </row>
    <row r="1923" ht="22.5" hidden="1" customHeight="1">
      <c r="B1923" s="7">
        <f t="shared" si="7"/>
        <v>1917</v>
      </c>
      <c r="C1923" s="40"/>
      <c r="D1923" s="19" t="str">
        <f t="array" ref="D1923">IFNA(_xlfn.XLOOKUP(C1923,Table_Tarikan_Warkah[Nomor Sertipikat],Table_Tarikan_Warkah[Nomor Tiket]),"")</f>
        <v/>
      </c>
      <c r="E1923" s="20" t="str">
        <f t="array" ref="E1923">IFNA(_xlfn.XLOOKUP(D1923,Table_Tarikan_Warkah[Nomor Tiket],Table_Tarikan_Warkah[Tanggal diserahkan kepada Validator]),"")</f>
        <v/>
      </c>
      <c r="F1923" s="20" t="str">
        <f t="array" ref="F1923">IFNA(_xlfn.XLOOKUP(D1923,Table_Tarikan_Warkah[Nomor Tiket],Table_Tarikan_Warkah[Nama Petugas Warkah]),"")</f>
        <v/>
      </c>
      <c r="G1923" s="21" t="str">
        <f t="array" ref="G1923">IFNA(_xlfn.XLOOKUP(D1923,Table_Tarikan_Warkah[Nomor Tiket],Table_Tarikan_Warkah[Jenis Permohonan]),"")</f>
        <v/>
      </c>
      <c r="H1923" s="26"/>
      <c r="I1923" s="26"/>
      <c r="J1923" s="20" t="str">
        <f t="shared" si="29"/>
        <v/>
      </c>
      <c r="K1923" s="26"/>
      <c r="L1923" s="26"/>
      <c r="M1923" s="20" t="str">
        <f t="shared" si="30"/>
        <v/>
      </c>
      <c r="N1923" s="8" t="str">
        <f t="shared" si="3"/>
        <v/>
      </c>
      <c r="O1923" s="21" t="str">
        <f t="shared" si="22"/>
        <v/>
      </c>
      <c r="P1923" s="24" t="b">
        <v>0</v>
      </c>
      <c r="Q1923" s="20" t="str">
        <f t="shared" si="31"/>
        <v/>
      </c>
      <c r="R1923" s="24" t="b">
        <v>0</v>
      </c>
      <c r="S1923" s="7" t="str">
        <f t="shared" si="6"/>
        <v/>
      </c>
      <c r="T1923" s="7"/>
    </row>
    <row r="1924" ht="22.5" hidden="1" customHeight="1">
      <c r="B1924" s="7">
        <f t="shared" si="7"/>
        <v>1918</v>
      </c>
      <c r="C1924" s="40"/>
      <c r="D1924" s="19" t="str">
        <f t="array" ref="D1924">IFNA(_xlfn.XLOOKUP(C1924,Table_Tarikan_Warkah[Nomor Sertipikat],Table_Tarikan_Warkah[Nomor Tiket]),"")</f>
        <v/>
      </c>
      <c r="E1924" s="20" t="str">
        <f t="array" ref="E1924">IFNA(_xlfn.XLOOKUP(D1924,Table_Tarikan_Warkah[Nomor Tiket],Table_Tarikan_Warkah[Tanggal diserahkan kepada Validator]),"")</f>
        <v/>
      </c>
      <c r="F1924" s="20" t="str">
        <f t="array" ref="F1924">IFNA(_xlfn.XLOOKUP(D1924,Table_Tarikan_Warkah[Nomor Tiket],Table_Tarikan_Warkah[Nama Petugas Warkah]),"")</f>
        <v/>
      </c>
      <c r="G1924" s="21" t="str">
        <f t="array" ref="G1924">IFNA(_xlfn.XLOOKUP(D1924,Table_Tarikan_Warkah[Nomor Tiket],Table_Tarikan_Warkah[Jenis Permohonan]),"")</f>
        <v/>
      </c>
      <c r="H1924" s="26"/>
      <c r="I1924" s="26"/>
      <c r="J1924" s="20" t="str">
        <f t="shared" si="29"/>
        <v/>
      </c>
      <c r="K1924" s="26"/>
      <c r="L1924" s="26"/>
      <c r="M1924" s="20" t="str">
        <f t="shared" si="30"/>
        <v/>
      </c>
      <c r="N1924" s="8" t="str">
        <f t="shared" si="3"/>
        <v/>
      </c>
      <c r="O1924" s="21" t="str">
        <f t="shared" si="22"/>
        <v/>
      </c>
      <c r="P1924" s="24" t="b">
        <v>0</v>
      </c>
      <c r="Q1924" s="20" t="str">
        <f t="shared" si="31"/>
        <v/>
      </c>
      <c r="R1924" s="24" t="b">
        <v>0</v>
      </c>
      <c r="S1924" s="7" t="str">
        <f t="shared" si="6"/>
        <v/>
      </c>
      <c r="T1924" s="7"/>
    </row>
    <row r="1925" ht="22.5" hidden="1" customHeight="1">
      <c r="B1925" s="7">
        <f t="shared" si="7"/>
        <v>1919</v>
      </c>
      <c r="C1925" s="40"/>
      <c r="D1925" s="19" t="str">
        <f t="array" ref="D1925">IFNA(_xlfn.XLOOKUP(C1925,Table_Tarikan_Warkah[Nomor Sertipikat],Table_Tarikan_Warkah[Nomor Tiket]),"")</f>
        <v/>
      </c>
      <c r="E1925" s="20" t="str">
        <f t="array" ref="E1925">IFNA(_xlfn.XLOOKUP(D1925,Table_Tarikan_Warkah[Nomor Tiket],Table_Tarikan_Warkah[Tanggal diserahkan kepada Validator]),"")</f>
        <v/>
      </c>
      <c r="F1925" s="20" t="str">
        <f t="array" ref="F1925">IFNA(_xlfn.XLOOKUP(D1925,Table_Tarikan_Warkah[Nomor Tiket],Table_Tarikan_Warkah[Nama Petugas Warkah]),"")</f>
        <v/>
      </c>
      <c r="G1925" s="21" t="str">
        <f t="array" ref="G1925">IFNA(_xlfn.XLOOKUP(D1925,Table_Tarikan_Warkah[Nomor Tiket],Table_Tarikan_Warkah[Jenis Permohonan]),"")</f>
        <v/>
      </c>
      <c r="H1925" s="26"/>
      <c r="I1925" s="26"/>
      <c r="J1925" s="20" t="str">
        <f t="shared" si="29"/>
        <v/>
      </c>
      <c r="K1925" s="26"/>
      <c r="L1925" s="26"/>
      <c r="M1925" s="20" t="str">
        <f t="shared" si="30"/>
        <v/>
      </c>
      <c r="N1925" s="8" t="str">
        <f t="shared" si="3"/>
        <v/>
      </c>
      <c r="O1925" s="21" t="str">
        <f t="shared" si="22"/>
        <v/>
      </c>
      <c r="P1925" s="24" t="b">
        <v>0</v>
      </c>
      <c r="Q1925" s="20" t="str">
        <f t="shared" si="31"/>
        <v/>
      </c>
      <c r="R1925" s="24" t="b">
        <v>0</v>
      </c>
      <c r="S1925" s="7" t="str">
        <f t="shared" si="6"/>
        <v/>
      </c>
      <c r="T1925" s="7"/>
    </row>
    <row r="1926" ht="22.5" hidden="1" customHeight="1">
      <c r="B1926" s="7">
        <f t="shared" si="7"/>
        <v>1920</v>
      </c>
      <c r="C1926" s="40"/>
      <c r="D1926" s="19" t="str">
        <f t="array" ref="D1926">IFNA(_xlfn.XLOOKUP(C1926,Table_Tarikan_Warkah[Nomor Sertipikat],Table_Tarikan_Warkah[Nomor Tiket]),"")</f>
        <v/>
      </c>
      <c r="E1926" s="20" t="str">
        <f t="array" ref="E1926">IFNA(_xlfn.XLOOKUP(D1926,Table_Tarikan_Warkah[Nomor Tiket],Table_Tarikan_Warkah[Tanggal diserahkan kepada Validator]),"")</f>
        <v/>
      </c>
      <c r="F1926" s="20" t="str">
        <f t="array" ref="F1926">IFNA(_xlfn.XLOOKUP(D1926,Table_Tarikan_Warkah[Nomor Tiket],Table_Tarikan_Warkah[Nama Petugas Warkah]),"")</f>
        <v/>
      </c>
      <c r="G1926" s="21" t="str">
        <f t="array" ref="G1926">IFNA(_xlfn.XLOOKUP(D1926,Table_Tarikan_Warkah[Nomor Tiket],Table_Tarikan_Warkah[Jenis Permohonan]),"")</f>
        <v/>
      </c>
      <c r="H1926" s="26"/>
      <c r="I1926" s="26"/>
      <c r="J1926" s="20" t="str">
        <f t="shared" si="29"/>
        <v/>
      </c>
      <c r="K1926" s="26"/>
      <c r="L1926" s="26"/>
      <c r="M1926" s="20" t="str">
        <f t="shared" si="30"/>
        <v/>
      </c>
      <c r="N1926" s="8" t="str">
        <f t="shared" si="3"/>
        <v/>
      </c>
      <c r="O1926" s="21" t="str">
        <f t="shared" si="22"/>
        <v/>
      </c>
      <c r="P1926" s="24" t="b">
        <v>0</v>
      </c>
      <c r="Q1926" s="20" t="str">
        <f t="shared" si="31"/>
        <v/>
      </c>
      <c r="R1926" s="24" t="b">
        <v>0</v>
      </c>
      <c r="S1926" s="7" t="str">
        <f t="shared" si="6"/>
        <v/>
      </c>
      <c r="T1926" s="7"/>
    </row>
    <row r="1927" ht="22.5" hidden="1" customHeight="1">
      <c r="B1927" s="7">
        <f t="shared" si="7"/>
        <v>1921</v>
      </c>
      <c r="C1927" s="40"/>
      <c r="D1927" s="19" t="str">
        <f t="array" ref="D1927">IFNA(_xlfn.XLOOKUP(C1927,Table_Tarikan_Warkah[Nomor Sertipikat],Table_Tarikan_Warkah[Nomor Tiket]),"")</f>
        <v/>
      </c>
      <c r="E1927" s="20" t="str">
        <f t="array" ref="E1927">IFNA(_xlfn.XLOOKUP(D1927,Table_Tarikan_Warkah[Nomor Tiket],Table_Tarikan_Warkah[Tanggal diserahkan kepada Validator]),"")</f>
        <v/>
      </c>
      <c r="F1927" s="20" t="str">
        <f t="array" ref="F1927">IFNA(_xlfn.XLOOKUP(D1927,Table_Tarikan_Warkah[Nomor Tiket],Table_Tarikan_Warkah[Nama Petugas Warkah]),"")</f>
        <v/>
      </c>
      <c r="G1927" s="21" t="str">
        <f t="array" ref="G1927">IFNA(_xlfn.XLOOKUP(D1927,Table_Tarikan_Warkah[Nomor Tiket],Table_Tarikan_Warkah[Jenis Permohonan]),"")</f>
        <v/>
      </c>
      <c r="H1927" s="26"/>
      <c r="I1927" s="26"/>
      <c r="J1927" s="20" t="str">
        <f t="shared" si="29"/>
        <v/>
      </c>
      <c r="K1927" s="26"/>
      <c r="L1927" s="26"/>
      <c r="M1927" s="20" t="str">
        <f t="shared" si="30"/>
        <v/>
      </c>
      <c r="N1927" s="8" t="str">
        <f t="shared" si="3"/>
        <v/>
      </c>
      <c r="O1927" s="21" t="str">
        <f t="shared" si="22"/>
        <v/>
      </c>
      <c r="P1927" s="24" t="b">
        <v>0</v>
      </c>
      <c r="Q1927" s="20" t="str">
        <f t="shared" si="31"/>
        <v/>
      </c>
      <c r="R1927" s="24" t="b">
        <v>0</v>
      </c>
      <c r="S1927" s="7" t="str">
        <f t="shared" si="6"/>
        <v/>
      </c>
      <c r="T1927" s="7"/>
    </row>
    <row r="1928" ht="22.5" hidden="1" customHeight="1">
      <c r="B1928" s="7">
        <f t="shared" si="7"/>
        <v>1922</v>
      </c>
      <c r="C1928" s="40"/>
      <c r="D1928" s="19" t="str">
        <f t="array" ref="D1928">IFNA(_xlfn.XLOOKUP(C1928,Table_Tarikan_Warkah[Nomor Sertipikat],Table_Tarikan_Warkah[Nomor Tiket]),"")</f>
        <v/>
      </c>
      <c r="E1928" s="20" t="str">
        <f t="array" ref="E1928">IFNA(_xlfn.XLOOKUP(D1928,Table_Tarikan_Warkah[Nomor Tiket],Table_Tarikan_Warkah[Tanggal diserahkan kepada Validator]),"")</f>
        <v/>
      </c>
      <c r="F1928" s="20" t="str">
        <f t="array" ref="F1928">IFNA(_xlfn.XLOOKUP(D1928,Table_Tarikan_Warkah[Nomor Tiket],Table_Tarikan_Warkah[Nama Petugas Warkah]),"")</f>
        <v/>
      </c>
      <c r="G1928" s="21" t="str">
        <f t="array" ref="G1928">IFNA(_xlfn.XLOOKUP(D1928,Table_Tarikan_Warkah[Nomor Tiket],Table_Tarikan_Warkah[Jenis Permohonan]),"")</f>
        <v/>
      </c>
      <c r="H1928" s="26"/>
      <c r="I1928" s="26"/>
      <c r="J1928" s="20" t="str">
        <f t="shared" si="29"/>
        <v/>
      </c>
      <c r="K1928" s="26"/>
      <c r="L1928" s="26"/>
      <c r="M1928" s="20" t="str">
        <f t="shared" si="30"/>
        <v/>
      </c>
      <c r="N1928" s="8" t="str">
        <f t="shared" si="3"/>
        <v/>
      </c>
      <c r="O1928" s="21" t="str">
        <f t="shared" si="22"/>
        <v/>
      </c>
      <c r="P1928" s="24" t="b">
        <v>0</v>
      </c>
      <c r="Q1928" s="20" t="str">
        <f t="shared" si="31"/>
        <v/>
      </c>
      <c r="R1928" s="24" t="b">
        <v>0</v>
      </c>
      <c r="S1928" s="7" t="str">
        <f t="shared" si="6"/>
        <v/>
      </c>
      <c r="T1928" s="7"/>
    </row>
    <row r="1929" ht="22.5" hidden="1" customHeight="1">
      <c r="B1929" s="7">
        <f t="shared" si="7"/>
        <v>1923</v>
      </c>
      <c r="C1929" s="40"/>
      <c r="D1929" s="19" t="str">
        <f t="array" ref="D1929">IFNA(_xlfn.XLOOKUP(C1929,Table_Tarikan_Warkah[Nomor Sertipikat],Table_Tarikan_Warkah[Nomor Tiket]),"")</f>
        <v/>
      </c>
      <c r="E1929" s="20" t="str">
        <f t="array" ref="E1929">IFNA(_xlfn.XLOOKUP(D1929,Table_Tarikan_Warkah[Nomor Tiket],Table_Tarikan_Warkah[Tanggal diserahkan kepada Validator]),"")</f>
        <v/>
      </c>
      <c r="F1929" s="20" t="str">
        <f t="array" ref="F1929">IFNA(_xlfn.XLOOKUP(D1929,Table_Tarikan_Warkah[Nomor Tiket],Table_Tarikan_Warkah[Nama Petugas Warkah]),"")</f>
        <v/>
      </c>
      <c r="G1929" s="21" t="str">
        <f t="array" ref="G1929">IFNA(_xlfn.XLOOKUP(D1929,Table_Tarikan_Warkah[Nomor Tiket],Table_Tarikan_Warkah[Jenis Permohonan]),"")</f>
        <v/>
      </c>
      <c r="H1929" s="26"/>
      <c r="I1929" s="26"/>
      <c r="J1929" s="20" t="str">
        <f t="shared" si="29"/>
        <v/>
      </c>
      <c r="K1929" s="26"/>
      <c r="L1929" s="26"/>
      <c r="M1929" s="20" t="str">
        <f t="shared" si="30"/>
        <v/>
      </c>
      <c r="N1929" s="8" t="str">
        <f t="shared" si="3"/>
        <v/>
      </c>
      <c r="O1929" s="21" t="str">
        <f t="shared" si="22"/>
        <v/>
      </c>
      <c r="P1929" s="24" t="b">
        <v>0</v>
      </c>
      <c r="Q1929" s="20" t="str">
        <f t="shared" si="31"/>
        <v/>
      </c>
      <c r="R1929" s="24" t="b">
        <v>0</v>
      </c>
      <c r="S1929" s="7" t="str">
        <f t="shared" si="6"/>
        <v/>
      </c>
      <c r="T1929" s="7"/>
    </row>
    <row r="1930" ht="22.5" hidden="1" customHeight="1">
      <c r="B1930" s="7">
        <f t="shared" si="7"/>
        <v>1924</v>
      </c>
      <c r="C1930" s="40"/>
      <c r="D1930" s="19" t="str">
        <f t="array" ref="D1930">IFNA(_xlfn.XLOOKUP(C1930,Table_Tarikan_Warkah[Nomor Sertipikat],Table_Tarikan_Warkah[Nomor Tiket]),"")</f>
        <v/>
      </c>
      <c r="E1930" s="20" t="str">
        <f t="array" ref="E1930">IFNA(_xlfn.XLOOKUP(D1930,Table_Tarikan_Warkah[Nomor Tiket],Table_Tarikan_Warkah[Tanggal diserahkan kepada Validator]),"")</f>
        <v/>
      </c>
      <c r="F1930" s="20" t="str">
        <f t="array" ref="F1930">IFNA(_xlfn.XLOOKUP(D1930,Table_Tarikan_Warkah[Nomor Tiket],Table_Tarikan_Warkah[Nama Petugas Warkah]),"")</f>
        <v/>
      </c>
      <c r="G1930" s="21" t="str">
        <f t="array" ref="G1930">IFNA(_xlfn.XLOOKUP(D1930,Table_Tarikan_Warkah[Nomor Tiket],Table_Tarikan_Warkah[Jenis Permohonan]),"")</f>
        <v/>
      </c>
      <c r="H1930" s="26"/>
      <c r="I1930" s="26"/>
      <c r="J1930" s="20" t="str">
        <f t="shared" si="29"/>
        <v/>
      </c>
      <c r="K1930" s="26"/>
      <c r="L1930" s="26"/>
      <c r="M1930" s="20" t="str">
        <f t="shared" si="30"/>
        <v/>
      </c>
      <c r="N1930" s="8" t="str">
        <f t="shared" si="3"/>
        <v/>
      </c>
      <c r="O1930" s="21" t="str">
        <f t="shared" si="22"/>
        <v/>
      </c>
      <c r="P1930" s="24" t="b">
        <v>0</v>
      </c>
      <c r="Q1930" s="20" t="str">
        <f t="shared" si="31"/>
        <v/>
      </c>
      <c r="R1930" s="24" t="b">
        <v>0</v>
      </c>
      <c r="S1930" s="7" t="str">
        <f t="shared" si="6"/>
        <v/>
      </c>
      <c r="T1930" s="7"/>
    </row>
    <row r="1931" ht="22.5" hidden="1" customHeight="1">
      <c r="B1931" s="7">
        <f t="shared" si="7"/>
        <v>1925</v>
      </c>
      <c r="C1931" s="40"/>
      <c r="D1931" s="19" t="str">
        <f t="array" ref="D1931">IFNA(_xlfn.XLOOKUP(C1931,Table_Tarikan_Warkah[Nomor Sertipikat],Table_Tarikan_Warkah[Nomor Tiket]),"")</f>
        <v/>
      </c>
      <c r="E1931" s="20" t="str">
        <f t="array" ref="E1931">IFNA(_xlfn.XLOOKUP(D1931,Table_Tarikan_Warkah[Nomor Tiket],Table_Tarikan_Warkah[Tanggal diserahkan kepada Validator]),"")</f>
        <v/>
      </c>
      <c r="F1931" s="20" t="str">
        <f t="array" ref="F1931">IFNA(_xlfn.XLOOKUP(D1931,Table_Tarikan_Warkah[Nomor Tiket],Table_Tarikan_Warkah[Nama Petugas Warkah]),"")</f>
        <v/>
      </c>
      <c r="G1931" s="21" t="str">
        <f t="array" ref="G1931">IFNA(_xlfn.XLOOKUP(D1931,Table_Tarikan_Warkah[Nomor Tiket],Table_Tarikan_Warkah[Jenis Permohonan]),"")</f>
        <v/>
      </c>
      <c r="H1931" s="26"/>
      <c r="I1931" s="26"/>
      <c r="J1931" s="20" t="str">
        <f t="shared" si="29"/>
        <v/>
      </c>
      <c r="K1931" s="26"/>
      <c r="L1931" s="26"/>
      <c r="M1931" s="20" t="str">
        <f t="shared" si="30"/>
        <v/>
      </c>
      <c r="N1931" s="8" t="str">
        <f t="shared" si="3"/>
        <v/>
      </c>
      <c r="O1931" s="21" t="str">
        <f t="shared" si="22"/>
        <v/>
      </c>
      <c r="P1931" s="24" t="b">
        <v>0</v>
      </c>
      <c r="Q1931" s="20" t="str">
        <f t="shared" si="31"/>
        <v/>
      </c>
      <c r="R1931" s="24" t="b">
        <v>0</v>
      </c>
      <c r="S1931" s="7" t="str">
        <f t="shared" si="6"/>
        <v/>
      </c>
      <c r="T1931" s="7"/>
    </row>
    <row r="1932" ht="22.5" hidden="1" customHeight="1">
      <c r="B1932" s="7">
        <f t="shared" si="7"/>
        <v>1926</v>
      </c>
      <c r="C1932" s="40"/>
      <c r="D1932" s="19" t="str">
        <f t="array" ref="D1932">IFNA(_xlfn.XLOOKUP(C1932,Table_Tarikan_Warkah[Nomor Sertipikat],Table_Tarikan_Warkah[Nomor Tiket]),"")</f>
        <v/>
      </c>
      <c r="E1932" s="20" t="str">
        <f t="array" ref="E1932">IFNA(_xlfn.XLOOKUP(D1932,Table_Tarikan_Warkah[Nomor Tiket],Table_Tarikan_Warkah[Tanggal diserahkan kepada Validator]),"")</f>
        <v/>
      </c>
      <c r="F1932" s="20" t="str">
        <f t="array" ref="F1932">IFNA(_xlfn.XLOOKUP(D1932,Table_Tarikan_Warkah[Nomor Tiket],Table_Tarikan_Warkah[Nama Petugas Warkah]),"")</f>
        <v/>
      </c>
      <c r="G1932" s="21" t="str">
        <f t="array" ref="G1932">IFNA(_xlfn.XLOOKUP(D1932,Table_Tarikan_Warkah[Nomor Tiket],Table_Tarikan_Warkah[Jenis Permohonan]),"")</f>
        <v/>
      </c>
      <c r="H1932" s="26"/>
      <c r="I1932" s="26"/>
      <c r="J1932" s="20" t="str">
        <f t="shared" si="29"/>
        <v/>
      </c>
      <c r="K1932" s="26"/>
      <c r="L1932" s="26"/>
      <c r="M1932" s="20" t="str">
        <f t="shared" si="30"/>
        <v/>
      </c>
      <c r="N1932" s="8" t="str">
        <f t="shared" si="3"/>
        <v/>
      </c>
      <c r="O1932" s="21" t="str">
        <f t="shared" si="22"/>
        <v/>
      </c>
      <c r="P1932" s="24" t="b">
        <v>0</v>
      </c>
      <c r="Q1932" s="20" t="str">
        <f t="shared" si="31"/>
        <v/>
      </c>
      <c r="R1932" s="24" t="b">
        <v>0</v>
      </c>
      <c r="S1932" s="7" t="str">
        <f t="shared" si="6"/>
        <v/>
      </c>
      <c r="T1932" s="7"/>
    </row>
    <row r="1933" ht="22.5" hidden="1" customHeight="1">
      <c r="B1933" s="7">
        <f t="shared" si="7"/>
        <v>1927</v>
      </c>
      <c r="C1933" s="40"/>
      <c r="D1933" s="19" t="str">
        <f t="array" ref="D1933">IFNA(_xlfn.XLOOKUP(C1933,Table_Tarikan_Warkah[Nomor Sertipikat],Table_Tarikan_Warkah[Nomor Tiket]),"")</f>
        <v/>
      </c>
      <c r="E1933" s="20" t="str">
        <f t="array" ref="E1933">IFNA(_xlfn.XLOOKUP(D1933,Table_Tarikan_Warkah[Nomor Tiket],Table_Tarikan_Warkah[Tanggal diserahkan kepada Validator]),"")</f>
        <v/>
      </c>
      <c r="F1933" s="20" t="str">
        <f t="array" ref="F1933">IFNA(_xlfn.XLOOKUP(D1933,Table_Tarikan_Warkah[Nomor Tiket],Table_Tarikan_Warkah[Nama Petugas Warkah]),"")</f>
        <v/>
      </c>
      <c r="G1933" s="21" t="str">
        <f t="array" ref="G1933">IFNA(_xlfn.XLOOKUP(D1933,Table_Tarikan_Warkah[Nomor Tiket],Table_Tarikan_Warkah[Jenis Permohonan]),"")</f>
        <v/>
      </c>
      <c r="H1933" s="26"/>
      <c r="I1933" s="26"/>
      <c r="J1933" s="20" t="str">
        <f t="shared" si="29"/>
        <v/>
      </c>
      <c r="K1933" s="26"/>
      <c r="L1933" s="26"/>
      <c r="M1933" s="20" t="str">
        <f t="shared" si="30"/>
        <v/>
      </c>
      <c r="N1933" s="8" t="str">
        <f t="shared" si="3"/>
        <v/>
      </c>
      <c r="O1933" s="21" t="str">
        <f t="shared" si="22"/>
        <v/>
      </c>
      <c r="P1933" s="24" t="b">
        <v>0</v>
      </c>
      <c r="Q1933" s="20" t="str">
        <f t="shared" si="31"/>
        <v/>
      </c>
      <c r="R1933" s="24" t="b">
        <v>0</v>
      </c>
      <c r="S1933" s="7" t="str">
        <f t="shared" si="6"/>
        <v/>
      </c>
      <c r="T1933" s="7"/>
    </row>
    <row r="1934" ht="22.5" hidden="1" customHeight="1">
      <c r="B1934" s="7">
        <f t="shared" si="7"/>
        <v>1928</v>
      </c>
      <c r="C1934" s="40"/>
      <c r="D1934" s="19" t="str">
        <f t="array" ref="D1934">IFNA(_xlfn.XLOOKUP(C1934,Table_Tarikan_Warkah[Nomor Sertipikat],Table_Tarikan_Warkah[Nomor Tiket]),"")</f>
        <v/>
      </c>
      <c r="E1934" s="20" t="str">
        <f t="array" ref="E1934">IFNA(_xlfn.XLOOKUP(D1934,Table_Tarikan_Warkah[Nomor Tiket],Table_Tarikan_Warkah[Tanggal diserahkan kepada Validator]),"")</f>
        <v/>
      </c>
      <c r="F1934" s="20" t="str">
        <f t="array" ref="F1934">IFNA(_xlfn.XLOOKUP(D1934,Table_Tarikan_Warkah[Nomor Tiket],Table_Tarikan_Warkah[Nama Petugas Warkah]),"")</f>
        <v/>
      </c>
      <c r="G1934" s="21" t="str">
        <f t="array" ref="G1934">IFNA(_xlfn.XLOOKUP(D1934,Table_Tarikan_Warkah[Nomor Tiket],Table_Tarikan_Warkah[Jenis Permohonan]),"")</f>
        <v/>
      </c>
      <c r="H1934" s="26"/>
      <c r="I1934" s="26"/>
      <c r="J1934" s="20" t="str">
        <f t="shared" si="29"/>
        <v/>
      </c>
      <c r="K1934" s="26"/>
      <c r="L1934" s="26"/>
      <c r="M1934" s="20" t="str">
        <f t="shared" si="30"/>
        <v/>
      </c>
      <c r="N1934" s="8" t="str">
        <f t="shared" si="3"/>
        <v/>
      </c>
      <c r="O1934" s="21" t="str">
        <f t="shared" si="22"/>
        <v/>
      </c>
      <c r="P1934" s="24" t="b">
        <v>0</v>
      </c>
      <c r="Q1934" s="20" t="str">
        <f t="shared" si="31"/>
        <v/>
      </c>
      <c r="R1934" s="24" t="b">
        <v>0</v>
      </c>
      <c r="S1934" s="7" t="str">
        <f t="shared" si="6"/>
        <v/>
      </c>
      <c r="T1934" s="7"/>
    </row>
    <row r="1935" ht="22.5" hidden="1" customHeight="1">
      <c r="B1935" s="7">
        <f t="shared" si="7"/>
        <v>1929</v>
      </c>
      <c r="C1935" s="40"/>
      <c r="D1935" s="19" t="str">
        <f t="array" ref="D1935">IFNA(_xlfn.XLOOKUP(C1935,Table_Tarikan_Warkah[Nomor Sertipikat],Table_Tarikan_Warkah[Nomor Tiket]),"")</f>
        <v/>
      </c>
      <c r="E1935" s="20" t="str">
        <f t="array" ref="E1935">IFNA(_xlfn.XLOOKUP(D1935,Table_Tarikan_Warkah[Nomor Tiket],Table_Tarikan_Warkah[Tanggal diserahkan kepada Validator]),"")</f>
        <v/>
      </c>
      <c r="F1935" s="20" t="str">
        <f t="array" ref="F1935">IFNA(_xlfn.XLOOKUP(D1935,Table_Tarikan_Warkah[Nomor Tiket],Table_Tarikan_Warkah[Nama Petugas Warkah]),"")</f>
        <v/>
      </c>
      <c r="G1935" s="21" t="str">
        <f t="array" ref="G1935">IFNA(_xlfn.XLOOKUP(D1935,Table_Tarikan_Warkah[Nomor Tiket],Table_Tarikan_Warkah[Jenis Permohonan]),"")</f>
        <v/>
      </c>
      <c r="H1935" s="26"/>
      <c r="I1935" s="26"/>
      <c r="J1935" s="20" t="str">
        <f t="shared" si="29"/>
        <v/>
      </c>
      <c r="K1935" s="26"/>
      <c r="L1935" s="26"/>
      <c r="M1935" s="20" t="str">
        <f t="shared" si="30"/>
        <v/>
      </c>
      <c r="N1935" s="8" t="str">
        <f t="shared" si="3"/>
        <v/>
      </c>
      <c r="O1935" s="21" t="str">
        <f t="shared" si="22"/>
        <v/>
      </c>
      <c r="P1935" s="24" t="b">
        <v>0</v>
      </c>
      <c r="Q1935" s="20" t="str">
        <f t="shared" si="31"/>
        <v/>
      </c>
      <c r="R1935" s="24" t="b">
        <v>0</v>
      </c>
      <c r="S1935" s="7" t="str">
        <f t="shared" si="6"/>
        <v/>
      </c>
      <c r="T1935" s="7"/>
    </row>
    <row r="1936" ht="22.5" hidden="1" customHeight="1">
      <c r="B1936" s="7">
        <f t="shared" si="7"/>
        <v>1930</v>
      </c>
      <c r="C1936" s="40"/>
      <c r="D1936" s="19" t="str">
        <f t="array" ref="D1936">IFNA(_xlfn.XLOOKUP(C1936,Table_Tarikan_Warkah[Nomor Sertipikat],Table_Tarikan_Warkah[Nomor Tiket]),"")</f>
        <v/>
      </c>
      <c r="E1936" s="20" t="str">
        <f t="array" ref="E1936">IFNA(_xlfn.XLOOKUP(D1936,Table_Tarikan_Warkah[Nomor Tiket],Table_Tarikan_Warkah[Tanggal diserahkan kepada Validator]),"")</f>
        <v/>
      </c>
      <c r="F1936" s="20" t="str">
        <f t="array" ref="F1936">IFNA(_xlfn.XLOOKUP(D1936,Table_Tarikan_Warkah[Nomor Tiket],Table_Tarikan_Warkah[Nama Petugas Warkah]),"")</f>
        <v/>
      </c>
      <c r="G1936" s="21" t="str">
        <f t="array" ref="G1936">IFNA(_xlfn.XLOOKUP(D1936,Table_Tarikan_Warkah[Nomor Tiket],Table_Tarikan_Warkah[Jenis Permohonan]),"")</f>
        <v/>
      </c>
      <c r="H1936" s="26"/>
      <c r="I1936" s="26"/>
      <c r="J1936" s="20" t="str">
        <f t="shared" si="29"/>
        <v/>
      </c>
      <c r="K1936" s="26"/>
      <c r="L1936" s="26"/>
      <c r="M1936" s="20" t="str">
        <f t="shared" si="30"/>
        <v/>
      </c>
      <c r="N1936" s="8" t="str">
        <f t="shared" si="3"/>
        <v/>
      </c>
      <c r="O1936" s="21" t="str">
        <f t="shared" si="22"/>
        <v/>
      </c>
      <c r="P1936" s="24" t="b">
        <v>0</v>
      </c>
      <c r="Q1936" s="20" t="str">
        <f t="shared" si="31"/>
        <v/>
      </c>
      <c r="R1936" s="24" t="b">
        <v>0</v>
      </c>
      <c r="S1936" s="7" t="str">
        <f t="shared" si="6"/>
        <v/>
      </c>
      <c r="T1936" s="7"/>
    </row>
    <row r="1937" ht="22.5" hidden="1" customHeight="1">
      <c r="B1937" s="7">
        <f t="shared" si="7"/>
        <v>1931</v>
      </c>
      <c r="C1937" s="40"/>
      <c r="D1937" s="19" t="str">
        <f t="array" ref="D1937">IFNA(_xlfn.XLOOKUP(C1937,Table_Tarikan_Warkah[Nomor Sertipikat],Table_Tarikan_Warkah[Nomor Tiket]),"")</f>
        <v/>
      </c>
      <c r="E1937" s="20" t="str">
        <f t="array" ref="E1937">IFNA(_xlfn.XLOOKUP(D1937,Table_Tarikan_Warkah[Nomor Tiket],Table_Tarikan_Warkah[Tanggal diserahkan kepada Validator]),"")</f>
        <v/>
      </c>
      <c r="F1937" s="20" t="str">
        <f t="array" ref="F1937">IFNA(_xlfn.XLOOKUP(D1937,Table_Tarikan_Warkah[Nomor Tiket],Table_Tarikan_Warkah[Nama Petugas Warkah]),"")</f>
        <v/>
      </c>
      <c r="G1937" s="21" t="str">
        <f t="array" ref="G1937">IFNA(_xlfn.XLOOKUP(D1937,Table_Tarikan_Warkah[Nomor Tiket],Table_Tarikan_Warkah[Jenis Permohonan]),"")</f>
        <v/>
      </c>
      <c r="H1937" s="26"/>
      <c r="I1937" s="26"/>
      <c r="J1937" s="20" t="str">
        <f t="shared" si="29"/>
        <v/>
      </c>
      <c r="K1937" s="26"/>
      <c r="L1937" s="26"/>
      <c r="M1937" s="20" t="str">
        <f t="shared" si="30"/>
        <v/>
      </c>
      <c r="N1937" s="8" t="str">
        <f t="shared" si="3"/>
        <v/>
      </c>
      <c r="O1937" s="21" t="str">
        <f t="shared" si="22"/>
        <v/>
      </c>
      <c r="P1937" s="24" t="b">
        <v>0</v>
      </c>
      <c r="Q1937" s="20" t="str">
        <f t="shared" si="31"/>
        <v/>
      </c>
      <c r="R1937" s="24" t="b">
        <v>0</v>
      </c>
      <c r="S1937" s="7" t="str">
        <f t="shared" si="6"/>
        <v/>
      </c>
      <c r="T1937" s="7"/>
    </row>
    <row r="1938" ht="22.5" hidden="1" customHeight="1">
      <c r="B1938" s="7">
        <f t="shared" si="7"/>
        <v>1932</v>
      </c>
      <c r="C1938" s="40"/>
      <c r="D1938" s="19" t="str">
        <f t="array" ref="D1938">IFNA(_xlfn.XLOOKUP(C1938,Table_Tarikan_Warkah[Nomor Sertipikat],Table_Tarikan_Warkah[Nomor Tiket]),"")</f>
        <v/>
      </c>
      <c r="E1938" s="20" t="str">
        <f t="array" ref="E1938">IFNA(_xlfn.XLOOKUP(D1938,Table_Tarikan_Warkah[Nomor Tiket],Table_Tarikan_Warkah[Tanggal diserahkan kepada Validator]),"")</f>
        <v/>
      </c>
      <c r="F1938" s="20" t="str">
        <f t="array" ref="F1938">IFNA(_xlfn.XLOOKUP(D1938,Table_Tarikan_Warkah[Nomor Tiket],Table_Tarikan_Warkah[Nama Petugas Warkah]),"")</f>
        <v/>
      </c>
      <c r="G1938" s="21" t="str">
        <f t="array" ref="G1938">IFNA(_xlfn.XLOOKUP(D1938,Table_Tarikan_Warkah[Nomor Tiket],Table_Tarikan_Warkah[Jenis Permohonan]),"")</f>
        <v/>
      </c>
      <c r="H1938" s="26"/>
      <c r="I1938" s="26"/>
      <c r="J1938" s="20" t="str">
        <f t="shared" si="29"/>
        <v/>
      </c>
      <c r="K1938" s="26"/>
      <c r="L1938" s="26"/>
      <c r="M1938" s="20" t="str">
        <f t="shared" si="30"/>
        <v/>
      </c>
      <c r="N1938" s="8" t="str">
        <f t="shared" si="3"/>
        <v/>
      </c>
      <c r="O1938" s="21" t="str">
        <f t="shared" si="22"/>
        <v/>
      </c>
      <c r="P1938" s="24" t="b">
        <v>0</v>
      </c>
      <c r="Q1938" s="20" t="str">
        <f t="shared" si="31"/>
        <v/>
      </c>
      <c r="R1938" s="24" t="b">
        <v>0</v>
      </c>
      <c r="S1938" s="7" t="str">
        <f t="shared" si="6"/>
        <v/>
      </c>
      <c r="T1938" s="7"/>
    </row>
    <row r="1939" ht="22.5" hidden="1" customHeight="1">
      <c r="B1939" s="7">
        <f t="shared" si="7"/>
        <v>1933</v>
      </c>
      <c r="C1939" s="40"/>
      <c r="D1939" s="19" t="str">
        <f t="array" ref="D1939">IFNA(_xlfn.XLOOKUP(C1939,Table_Tarikan_Warkah[Nomor Sertipikat],Table_Tarikan_Warkah[Nomor Tiket]),"")</f>
        <v/>
      </c>
      <c r="E1939" s="20" t="str">
        <f t="array" ref="E1939">IFNA(_xlfn.XLOOKUP(D1939,Table_Tarikan_Warkah[Nomor Tiket],Table_Tarikan_Warkah[Tanggal diserahkan kepada Validator]),"")</f>
        <v/>
      </c>
      <c r="F1939" s="20" t="str">
        <f t="array" ref="F1939">IFNA(_xlfn.XLOOKUP(D1939,Table_Tarikan_Warkah[Nomor Tiket],Table_Tarikan_Warkah[Nama Petugas Warkah]),"")</f>
        <v/>
      </c>
      <c r="G1939" s="21" t="str">
        <f t="array" ref="G1939">IFNA(_xlfn.XLOOKUP(D1939,Table_Tarikan_Warkah[Nomor Tiket],Table_Tarikan_Warkah[Jenis Permohonan]),"")</f>
        <v/>
      </c>
      <c r="H1939" s="26"/>
      <c r="I1939" s="26"/>
      <c r="J1939" s="20" t="str">
        <f t="shared" si="29"/>
        <v/>
      </c>
      <c r="K1939" s="26"/>
      <c r="L1939" s="26"/>
      <c r="M1939" s="20" t="str">
        <f t="shared" si="30"/>
        <v/>
      </c>
      <c r="N1939" s="8" t="str">
        <f t="shared" si="3"/>
        <v/>
      </c>
      <c r="O1939" s="21" t="str">
        <f t="shared" si="22"/>
        <v/>
      </c>
      <c r="P1939" s="24" t="b">
        <v>0</v>
      </c>
      <c r="Q1939" s="20" t="str">
        <f t="shared" si="31"/>
        <v/>
      </c>
      <c r="R1939" s="24" t="b">
        <v>0</v>
      </c>
      <c r="S1939" s="7" t="str">
        <f t="shared" si="6"/>
        <v/>
      </c>
      <c r="T1939" s="7"/>
    </row>
    <row r="1940" ht="22.5" hidden="1" customHeight="1">
      <c r="B1940" s="7">
        <f t="shared" si="7"/>
        <v>1934</v>
      </c>
      <c r="C1940" s="40"/>
      <c r="D1940" s="19" t="str">
        <f t="array" ref="D1940">IFNA(_xlfn.XLOOKUP(C1940,Table_Tarikan_Warkah[Nomor Sertipikat],Table_Tarikan_Warkah[Nomor Tiket]),"")</f>
        <v/>
      </c>
      <c r="E1940" s="20" t="str">
        <f t="array" ref="E1940">IFNA(_xlfn.XLOOKUP(D1940,Table_Tarikan_Warkah[Nomor Tiket],Table_Tarikan_Warkah[Tanggal diserahkan kepada Validator]),"")</f>
        <v/>
      </c>
      <c r="F1940" s="20" t="str">
        <f t="array" ref="F1940">IFNA(_xlfn.XLOOKUP(D1940,Table_Tarikan_Warkah[Nomor Tiket],Table_Tarikan_Warkah[Nama Petugas Warkah]),"")</f>
        <v/>
      </c>
      <c r="G1940" s="21" t="str">
        <f t="array" ref="G1940">IFNA(_xlfn.XLOOKUP(D1940,Table_Tarikan_Warkah[Nomor Tiket],Table_Tarikan_Warkah[Jenis Permohonan]),"")</f>
        <v/>
      </c>
      <c r="H1940" s="26"/>
      <c r="I1940" s="26"/>
      <c r="J1940" s="20" t="str">
        <f t="shared" si="29"/>
        <v/>
      </c>
      <c r="K1940" s="26"/>
      <c r="L1940" s="26"/>
      <c r="M1940" s="20" t="str">
        <f t="shared" si="30"/>
        <v/>
      </c>
      <c r="N1940" s="8" t="str">
        <f t="shared" si="3"/>
        <v/>
      </c>
      <c r="O1940" s="21" t="str">
        <f t="shared" si="22"/>
        <v/>
      </c>
      <c r="P1940" s="24" t="b">
        <v>0</v>
      </c>
      <c r="Q1940" s="20" t="str">
        <f t="shared" si="31"/>
        <v/>
      </c>
      <c r="R1940" s="24" t="b">
        <v>0</v>
      </c>
      <c r="S1940" s="7" t="str">
        <f t="shared" si="6"/>
        <v/>
      </c>
      <c r="T1940" s="7"/>
    </row>
    <row r="1941" ht="22.5" hidden="1" customHeight="1">
      <c r="B1941" s="7">
        <f t="shared" si="7"/>
        <v>1935</v>
      </c>
      <c r="C1941" s="40"/>
      <c r="D1941" s="19" t="str">
        <f t="array" ref="D1941">IFNA(_xlfn.XLOOKUP(C1941,Table_Tarikan_Warkah[Nomor Sertipikat],Table_Tarikan_Warkah[Nomor Tiket]),"")</f>
        <v/>
      </c>
      <c r="E1941" s="20" t="str">
        <f t="array" ref="E1941">IFNA(_xlfn.XLOOKUP(D1941,Table_Tarikan_Warkah[Nomor Tiket],Table_Tarikan_Warkah[Tanggal diserahkan kepada Validator]),"")</f>
        <v/>
      </c>
      <c r="F1941" s="20" t="str">
        <f t="array" ref="F1941">IFNA(_xlfn.XLOOKUP(D1941,Table_Tarikan_Warkah[Nomor Tiket],Table_Tarikan_Warkah[Nama Petugas Warkah]),"")</f>
        <v/>
      </c>
      <c r="G1941" s="21" t="str">
        <f t="array" ref="G1941">IFNA(_xlfn.XLOOKUP(D1941,Table_Tarikan_Warkah[Nomor Tiket],Table_Tarikan_Warkah[Jenis Permohonan]),"")</f>
        <v/>
      </c>
      <c r="H1941" s="26"/>
      <c r="I1941" s="26"/>
      <c r="J1941" s="20" t="str">
        <f t="shared" si="29"/>
        <v/>
      </c>
      <c r="K1941" s="26"/>
      <c r="L1941" s="26"/>
      <c r="M1941" s="20" t="str">
        <f t="shared" si="30"/>
        <v/>
      </c>
      <c r="N1941" s="8" t="str">
        <f t="shared" si="3"/>
        <v/>
      </c>
      <c r="O1941" s="21" t="str">
        <f t="shared" si="22"/>
        <v/>
      </c>
      <c r="P1941" s="24" t="b">
        <v>0</v>
      </c>
      <c r="Q1941" s="20" t="str">
        <f t="shared" si="31"/>
        <v/>
      </c>
      <c r="R1941" s="24" t="b">
        <v>0</v>
      </c>
      <c r="S1941" s="7" t="str">
        <f t="shared" si="6"/>
        <v/>
      </c>
      <c r="T1941" s="7"/>
    </row>
    <row r="1942" ht="22.5" hidden="1" customHeight="1">
      <c r="B1942" s="7">
        <f t="shared" si="7"/>
        <v>1936</v>
      </c>
      <c r="C1942" s="40"/>
      <c r="D1942" s="19" t="str">
        <f t="array" ref="D1942">IFNA(_xlfn.XLOOKUP(C1942,Table_Tarikan_Warkah[Nomor Sertipikat],Table_Tarikan_Warkah[Nomor Tiket]),"")</f>
        <v/>
      </c>
      <c r="E1942" s="20" t="str">
        <f t="array" ref="E1942">IFNA(_xlfn.XLOOKUP(D1942,Table_Tarikan_Warkah[Nomor Tiket],Table_Tarikan_Warkah[Tanggal diserahkan kepada Validator]),"")</f>
        <v/>
      </c>
      <c r="F1942" s="20" t="str">
        <f t="array" ref="F1942">IFNA(_xlfn.XLOOKUP(D1942,Table_Tarikan_Warkah[Nomor Tiket],Table_Tarikan_Warkah[Nama Petugas Warkah]),"")</f>
        <v/>
      </c>
      <c r="G1942" s="21" t="str">
        <f t="array" ref="G1942">IFNA(_xlfn.XLOOKUP(D1942,Table_Tarikan_Warkah[Nomor Tiket],Table_Tarikan_Warkah[Jenis Permohonan]),"")</f>
        <v/>
      </c>
      <c r="H1942" s="26"/>
      <c r="I1942" s="26"/>
      <c r="J1942" s="20" t="str">
        <f t="shared" si="29"/>
        <v/>
      </c>
      <c r="K1942" s="26"/>
      <c r="L1942" s="26"/>
      <c r="M1942" s="20" t="str">
        <f t="shared" si="30"/>
        <v/>
      </c>
      <c r="N1942" s="8" t="str">
        <f t="shared" si="3"/>
        <v/>
      </c>
      <c r="O1942" s="21" t="str">
        <f t="shared" si="22"/>
        <v/>
      </c>
      <c r="P1942" s="24" t="b">
        <v>0</v>
      </c>
      <c r="Q1942" s="20" t="str">
        <f t="shared" si="31"/>
        <v/>
      </c>
      <c r="R1942" s="24" t="b">
        <v>0</v>
      </c>
      <c r="S1942" s="7" t="str">
        <f t="shared" si="6"/>
        <v/>
      </c>
      <c r="T1942" s="7"/>
    </row>
    <row r="1943" ht="22.5" hidden="1" customHeight="1">
      <c r="B1943" s="7">
        <f t="shared" si="7"/>
        <v>1937</v>
      </c>
      <c r="C1943" s="40"/>
      <c r="D1943" s="19" t="str">
        <f t="array" ref="D1943">IFNA(_xlfn.XLOOKUP(C1943,Table_Tarikan_Warkah[Nomor Sertipikat],Table_Tarikan_Warkah[Nomor Tiket]),"")</f>
        <v/>
      </c>
      <c r="E1943" s="20" t="str">
        <f t="array" ref="E1943">IFNA(_xlfn.XLOOKUP(D1943,Table_Tarikan_Warkah[Nomor Tiket],Table_Tarikan_Warkah[Tanggal diserahkan kepada Validator]),"")</f>
        <v/>
      </c>
      <c r="F1943" s="20" t="str">
        <f t="array" ref="F1943">IFNA(_xlfn.XLOOKUP(D1943,Table_Tarikan_Warkah[Nomor Tiket],Table_Tarikan_Warkah[Nama Petugas Warkah]),"")</f>
        <v/>
      </c>
      <c r="G1943" s="21" t="str">
        <f t="array" ref="G1943">IFNA(_xlfn.XLOOKUP(D1943,Table_Tarikan_Warkah[Nomor Tiket],Table_Tarikan_Warkah[Jenis Permohonan]),"")</f>
        <v/>
      </c>
      <c r="H1943" s="26"/>
      <c r="I1943" s="26"/>
      <c r="J1943" s="20" t="str">
        <f t="shared" si="29"/>
        <v/>
      </c>
      <c r="K1943" s="26"/>
      <c r="L1943" s="26"/>
      <c r="M1943" s="20" t="str">
        <f t="shared" si="30"/>
        <v/>
      </c>
      <c r="N1943" s="8" t="str">
        <f t="shared" si="3"/>
        <v/>
      </c>
      <c r="O1943" s="21" t="str">
        <f t="shared" si="22"/>
        <v/>
      </c>
      <c r="P1943" s="24" t="b">
        <v>0</v>
      </c>
      <c r="Q1943" s="20" t="str">
        <f t="shared" si="31"/>
        <v/>
      </c>
      <c r="R1943" s="24" t="b">
        <v>0</v>
      </c>
      <c r="S1943" s="7" t="str">
        <f t="shared" si="6"/>
        <v/>
      </c>
      <c r="T1943" s="7"/>
    </row>
    <row r="1944" ht="22.5" hidden="1" customHeight="1">
      <c r="B1944" s="7">
        <f t="shared" si="7"/>
        <v>1938</v>
      </c>
      <c r="C1944" s="40"/>
      <c r="D1944" s="19" t="str">
        <f t="array" ref="D1944">IFNA(_xlfn.XLOOKUP(C1944,Table_Tarikan_Warkah[Nomor Sertipikat],Table_Tarikan_Warkah[Nomor Tiket]),"")</f>
        <v/>
      </c>
      <c r="E1944" s="20" t="str">
        <f t="array" ref="E1944">IFNA(_xlfn.XLOOKUP(D1944,Table_Tarikan_Warkah[Nomor Tiket],Table_Tarikan_Warkah[Tanggal diserahkan kepada Validator]),"")</f>
        <v/>
      </c>
      <c r="F1944" s="20" t="str">
        <f t="array" ref="F1944">IFNA(_xlfn.XLOOKUP(D1944,Table_Tarikan_Warkah[Nomor Tiket],Table_Tarikan_Warkah[Nama Petugas Warkah]),"")</f>
        <v/>
      </c>
      <c r="G1944" s="21" t="str">
        <f t="array" ref="G1944">IFNA(_xlfn.XLOOKUP(D1944,Table_Tarikan_Warkah[Nomor Tiket],Table_Tarikan_Warkah[Jenis Permohonan]),"")</f>
        <v/>
      </c>
      <c r="H1944" s="26"/>
      <c r="I1944" s="26"/>
      <c r="J1944" s="20" t="str">
        <f t="shared" si="29"/>
        <v/>
      </c>
      <c r="K1944" s="26"/>
      <c r="L1944" s="26"/>
      <c r="M1944" s="20" t="str">
        <f t="shared" si="30"/>
        <v/>
      </c>
      <c r="N1944" s="8" t="str">
        <f t="shared" si="3"/>
        <v/>
      </c>
      <c r="O1944" s="21" t="str">
        <f t="shared" si="22"/>
        <v/>
      </c>
      <c r="P1944" s="24" t="b">
        <v>0</v>
      </c>
      <c r="Q1944" s="20" t="str">
        <f t="shared" si="31"/>
        <v/>
      </c>
      <c r="R1944" s="24" t="b">
        <v>0</v>
      </c>
      <c r="S1944" s="7" t="str">
        <f t="shared" si="6"/>
        <v/>
      </c>
      <c r="T1944" s="7"/>
    </row>
    <row r="1945" ht="22.5" hidden="1" customHeight="1">
      <c r="B1945" s="7">
        <f t="shared" si="7"/>
        <v>1939</v>
      </c>
      <c r="C1945" s="40"/>
      <c r="D1945" s="19" t="str">
        <f t="array" ref="D1945">IFNA(_xlfn.XLOOKUP(C1945,Table_Tarikan_Warkah[Nomor Sertipikat],Table_Tarikan_Warkah[Nomor Tiket]),"")</f>
        <v/>
      </c>
      <c r="E1945" s="20" t="str">
        <f t="array" ref="E1945">IFNA(_xlfn.XLOOKUP(D1945,Table_Tarikan_Warkah[Nomor Tiket],Table_Tarikan_Warkah[Tanggal diserahkan kepada Validator]),"")</f>
        <v/>
      </c>
      <c r="F1945" s="20" t="str">
        <f t="array" ref="F1945">IFNA(_xlfn.XLOOKUP(D1945,Table_Tarikan_Warkah[Nomor Tiket],Table_Tarikan_Warkah[Nama Petugas Warkah]),"")</f>
        <v/>
      </c>
      <c r="G1945" s="21" t="str">
        <f t="array" ref="G1945">IFNA(_xlfn.XLOOKUP(D1945,Table_Tarikan_Warkah[Nomor Tiket],Table_Tarikan_Warkah[Jenis Permohonan]),"")</f>
        <v/>
      </c>
      <c r="H1945" s="26"/>
      <c r="I1945" s="26"/>
      <c r="J1945" s="20" t="str">
        <f t="shared" si="29"/>
        <v/>
      </c>
      <c r="K1945" s="26"/>
      <c r="L1945" s="26"/>
      <c r="M1945" s="20" t="str">
        <f t="shared" si="30"/>
        <v/>
      </c>
      <c r="N1945" s="8" t="str">
        <f t="shared" si="3"/>
        <v/>
      </c>
      <c r="O1945" s="21" t="str">
        <f t="shared" si="22"/>
        <v/>
      </c>
      <c r="P1945" s="24" t="b">
        <v>0</v>
      </c>
      <c r="Q1945" s="20" t="str">
        <f t="shared" si="31"/>
        <v/>
      </c>
      <c r="R1945" s="24" t="b">
        <v>0</v>
      </c>
      <c r="S1945" s="7" t="str">
        <f t="shared" si="6"/>
        <v/>
      </c>
      <c r="T1945" s="7"/>
    </row>
    <row r="1946" ht="22.5" hidden="1" customHeight="1">
      <c r="B1946" s="7">
        <f t="shared" si="7"/>
        <v>1940</v>
      </c>
      <c r="C1946" s="40"/>
      <c r="D1946" s="19" t="str">
        <f t="array" ref="D1946">IFNA(_xlfn.XLOOKUP(C1946,Table_Tarikan_Warkah[Nomor Sertipikat],Table_Tarikan_Warkah[Nomor Tiket]),"")</f>
        <v/>
      </c>
      <c r="E1946" s="20" t="str">
        <f t="array" ref="E1946">IFNA(_xlfn.XLOOKUP(D1946,Table_Tarikan_Warkah[Nomor Tiket],Table_Tarikan_Warkah[Tanggal diserahkan kepada Validator]),"")</f>
        <v/>
      </c>
      <c r="F1946" s="20" t="str">
        <f t="array" ref="F1946">IFNA(_xlfn.XLOOKUP(D1946,Table_Tarikan_Warkah[Nomor Tiket],Table_Tarikan_Warkah[Nama Petugas Warkah]),"")</f>
        <v/>
      </c>
      <c r="G1946" s="21" t="str">
        <f t="array" ref="G1946">IFNA(_xlfn.XLOOKUP(D1946,Table_Tarikan_Warkah[Nomor Tiket],Table_Tarikan_Warkah[Jenis Permohonan]),"")</f>
        <v/>
      </c>
      <c r="H1946" s="26"/>
      <c r="I1946" s="26"/>
      <c r="J1946" s="20" t="str">
        <f t="shared" si="29"/>
        <v/>
      </c>
      <c r="K1946" s="26"/>
      <c r="L1946" s="26"/>
      <c r="M1946" s="20" t="str">
        <f t="shared" si="30"/>
        <v/>
      </c>
      <c r="N1946" s="8" t="str">
        <f t="shared" si="3"/>
        <v/>
      </c>
      <c r="O1946" s="21" t="str">
        <f t="shared" si="22"/>
        <v/>
      </c>
      <c r="P1946" s="24" t="b">
        <v>0</v>
      </c>
      <c r="Q1946" s="20" t="str">
        <f t="shared" si="31"/>
        <v/>
      </c>
      <c r="R1946" s="24" t="b">
        <v>0</v>
      </c>
      <c r="S1946" s="7" t="str">
        <f t="shared" si="6"/>
        <v/>
      </c>
      <c r="T1946" s="7"/>
    </row>
    <row r="1947" ht="22.5" hidden="1" customHeight="1">
      <c r="B1947" s="7">
        <f t="shared" si="7"/>
        <v>1941</v>
      </c>
      <c r="C1947" s="40"/>
      <c r="D1947" s="19" t="str">
        <f t="array" ref="D1947">IFNA(_xlfn.XLOOKUP(C1947,Table_Tarikan_Warkah[Nomor Sertipikat],Table_Tarikan_Warkah[Nomor Tiket]),"")</f>
        <v/>
      </c>
      <c r="E1947" s="20" t="str">
        <f t="array" ref="E1947">IFNA(_xlfn.XLOOKUP(D1947,Table_Tarikan_Warkah[Nomor Tiket],Table_Tarikan_Warkah[Tanggal diserahkan kepada Validator]),"")</f>
        <v/>
      </c>
      <c r="F1947" s="20" t="str">
        <f t="array" ref="F1947">IFNA(_xlfn.XLOOKUP(D1947,Table_Tarikan_Warkah[Nomor Tiket],Table_Tarikan_Warkah[Nama Petugas Warkah]),"")</f>
        <v/>
      </c>
      <c r="G1947" s="21" t="str">
        <f t="array" ref="G1947">IFNA(_xlfn.XLOOKUP(D1947,Table_Tarikan_Warkah[Nomor Tiket],Table_Tarikan_Warkah[Jenis Permohonan]),"")</f>
        <v/>
      </c>
      <c r="H1947" s="26"/>
      <c r="I1947" s="26"/>
      <c r="J1947" s="20" t="str">
        <f t="shared" si="29"/>
        <v/>
      </c>
      <c r="K1947" s="26"/>
      <c r="L1947" s="26"/>
      <c r="M1947" s="20" t="str">
        <f t="shared" si="30"/>
        <v/>
      </c>
      <c r="N1947" s="8" t="str">
        <f t="shared" si="3"/>
        <v/>
      </c>
      <c r="O1947" s="21" t="str">
        <f t="shared" si="22"/>
        <v/>
      </c>
      <c r="P1947" s="24" t="b">
        <v>0</v>
      </c>
      <c r="Q1947" s="20" t="str">
        <f t="shared" si="31"/>
        <v/>
      </c>
      <c r="R1947" s="24" t="b">
        <v>0</v>
      </c>
      <c r="S1947" s="7" t="str">
        <f t="shared" si="6"/>
        <v/>
      </c>
      <c r="T1947" s="7"/>
    </row>
    <row r="1948" ht="22.5" hidden="1" customHeight="1">
      <c r="B1948" s="7">
        <f t="shared" si="7"/>
        <v>1942</v>
      </c>
      <c r="C1948" s="40"/>
      <c r="D1948" s="19" t="str">
        <f t="array" ref="D1948">IFNA(_xlfn.XLOOKUP(C1948,Table_Tarikan_Warkah[Nomor Sertipikat],Table_Tarikan_Warkah[Nomor Tiket]),"")</f>
        <v/>
      </c>
      <c r="E1948" s="20" t="str">
        <f t="array" ref="E1948">IFNA(_xlfn.XLOOKUP(D1948,Table_Tarikan_Warkah[Nomor Tiket],Table_Tarikan_Warkah[Tanggal diserahkan kepada Validator]),"")</f>
        <v/>
      </c>
      <c r="F1948" s="20" t="str">
        <f t="array" ref="F1948">IFNA(_xlfn.XLOOKUP(D1948,Table_Tarikan_Warkah[Nomor Tiket],Table_Tarikan_Warkah[Nama Petugas Warkah]),"")</f>
        <v/>
      </c>
      <c r="G1948" s="21" t="str">
        <f t="array" ref="G1948">IFNA(_xlfn.XLOOKUP(D1948,Table_Tarikan_Warkah[Nomor Tiket],Table_Tarikan_Warkah[Jenis Permohonan]),"")</f>
        <v/>
      </c>
      <c r="H1948" s="26"/>
      <c r="I1948" s="26"/>
      <c r="J1948" s="20" t="str">
        <f t="shared" si="29"/>
        <v/>
      </c>
      <c r="K1948" s="26"/>
      <c r="L1948" s="26"/>
      <c r="M1948" s="20" t="str">
        <f t="shared" si="30"/>
        <v/>
      </c>
      <c r="N1948" s="8" t="str">
        <f t="shared" si="3"/>
        <v/>
      </c>
      <c r="O1948" s="21" t="str">
        <f t="shared" si="22"/>
        <v/>
      </c>
      <c r="P1948" s="24" t="b">
        <v>0</v>
      </c>
      <c r="Q1948" s="20" t="str">
        <f t="shared" si="31"/>
        <v/>
      </c>
      <c r="R1948" s="24" t="b">
        <v>0</v>
      </c>
      <c r="S1948" s="7" t="str">
        <f t="shared" si="6"/>
        <v/>
      </c>
      <c r="T1948" s="7"/>
    </row>
    <row r="1949" ht="22.5" hidden="1" customHeight="1">
      <c r="B1949" s="7">
        <f t="shared" si="7"/>
        <v>1943</v>
      </c>
      <c r="C1949" s="40"/>
      <c r="D1949" s="19" t="str">
        <f t="array" ref="D1949">IFNA(_xlfn.XLOOKUP(C1949,Table_Tarikan_Warkah[Nomor Sertipikat],Table_Tarikan_Warkah[Nomor Tiket]),"")</f>
        <v/>
      </c>
      <c r="E1949" s="20" t="str">
        <f t="array" ref="E1949">IFNA(_xlfn.XLOOKUP(D1949,Table_Tarikan_Warkah[Nomor Tiket],Table_Tarikan_Warkah[Tanggal diserahkan kepada Validator]),"")</f>
        <v/>
      </c>
      <c r="F1949" s="20" t="str">
        <f t="array" ref="F1949">IFNA(_xlfn.XLOOKUP(D1949,Table_Tarikan_Warkah[Nomor Tiket],Table_Tarikan_Warkah[Nama Petugas Warkah]),"")</f>
        <v/>
      </c>
      <c r="G1949" s="21" t="str">
        <f t="array" ref="G1949">IFNA(_xlfn.XLOOKUP(D1949,Table_Tarikan_Warkah[Nomor Tiket],Table_Tarikan_Warkah[Jenis Permohonan]),"")</f>
        <v/>
      </c>
      <c r="H1949" s="26"/>
      <c r="I1949" s="26"/>
      <c r="J1949" s="20" t="str">
        <f t="shared" si="29"/>
        <v/>
      </c>
      <c r="K1949" s="26"/>
      <c r="L1949" s="26"/>
      <c r="M1949" s="20" t="str">
        <f t="shared" si="30"/>
        <v/>
      </c>
      <c r="N1949" s="8" t="str">
        <f t="shared" si="3"/>
        <v/>
      </c>
      <c r="O1949" s="21" t="str">
        <f t="shared" si="22"/>
        <v/>
      </c>
      <c r="P1949" s="24" t="b">
        <v>0</v>
      </c>
      <c r="Q1949" s="20" t="str">
        <f t="shared" si="31"/>
        <v/>
      </c>
      <c r="R1949" s="24" t="b">
        <v>0</v>
      </c>
      <c r="S1949" s="7" t="str">
        <f t="shared" si="6"/>
        <v/>
      </c>
      <c r="T1949" s="7"/>
    </row>
    <row r="1950" ht="22.5" hidden="1" customHeight="1">
      <c r="B1950" s="7">
        <f t="shared" si="7"/>
        <v>1944</v>
      </c>
      <c r="C1950" s="40"/>
      <c r="D1950" s="19" t="str">
        <f t="array" ref="D1950">IFNA(_xlfn.XLOOKUP(C1950,Table_Tarikan_Warkah[Nomor Sertipikat],Table_Tarikan_Warkah[Nomor Tiket]),"")</f>
        <v/>
      </c>
      <c r="E1950" s="20" t="str">
        <f t="array" ref="E1950">IFNA(_xlfn.XLOOKUP(D1950,Table_Tarikan_Warkah[Nomor Tiket],Table_Tarikan_Warkah[Tanggal diserahkan kepada Validator]),"")</f>
        <v/>
      </c>
      <c r="F1950" s="20" t="str">
        <f t="array" ref="F1950">IFNA(_xlfn.XLOOKUP(D1950,Table_Tarikan_Warkah[Nomor Tiket],Table_Tarikan_Warkah[Nama Petugas Warkah]),"")</f>
        <v/>
      </c>
      <c r="G1950" s="21" t="str">
        <f t="array" ref="G1950">IFNA(_xlfn.XLOOKUP(D1950,Table_Tarikan_Warkah[Nomor Tiket],Table_Tarikan_Warkah[Jenis Permohonan]),"")</f>
        <v/>
      </c>
      <c r="H1950" s="26"/>
      <c r="I1950" s="26"/>
      <c r="J1950" s="20" t="str">
        <f t="shared" si="29"/>
        <v/>
      </c>
      <c r="K1950" s="26"/>
      <c r="L1950" s="26"/>
      <c r="M1950" s="20" t="str">
        <f t="shared" si="30"/>
        <v/>
      </c>
      <c r="N1950" s="8" t="str">
        <f t="shared" si="3"/>
        <v/>
      </c>
      <c r="O1950" s="21" t="str">
        <f t="shared" si="22"/>
        <v/>
      </c>
      <c r="P1950" s="24" t="b">
        <v>0</v>
      </c>
      <c r="Q1950" s="20" t="str">
        <f t="shared" si="31"/>
        <v/>
      </c>
      <c r="R1950" s="24" t="b">
        <v>0</v>
      </c>
      <c r="S1950" s="7" t="str">
        <f t="shared" si="6"/>
        <v/>
      </c>
      <c r="T1950" s="7"/>
    </row>
    <row r="1951" ht="22.5" hidden="1" customHeight="1">
      <c r="B1951" s="7">
        <f t="shared" si="7"/>
        <v>1945</v>
      </c>
      <c r="C1951" s="40"/>
      <c r="D1951" s="19" t="str">
        <f t="array" ref="D1951">IFNA(_xlfn.XLOOKUP(C1951,Table_Tarikan_Warkah[Nomor Sertipikat],Table_Tarikan_Warkah[Nomor Tiket]),"")</f>
        <v/>
      </c>
      <c r="E1951" s="20" t="str">
        <f t="array" ref="E1951">IFNA(_xlfn.XLOOKUP(D1951,Table_Tarikan_Warkah[Nomor Tiket],Table_Tarikan_Warkah[Tanggal diserahkan kepada Validator]),"")</f>
        <v/>
      </c>
      <c r="F1951" s="20" t="str">
        <f t="array" ref="F1951">IFNA(_xlfn.XLOOKUP(D1951,Table_Tarikan_Warkah[Nomor Tiket],Table_Tarikan_Warkah[Nama Petugas Warkah]),"")</f>
        <v/>
      </c>
      <c r="G1951" s="21" t="str">
        <f t="array" ref="G1951">IFNA(_xlfn.XLOOKUP(D1951,Table_Tarikan_Warkah[Nomor Tiket],Table_Tarikan_Warkah[Jenis Permohonan]),"")</f>
        <v/>
      </c>
      <c r="H1951" s="26"/>
      <c r="I1951" s="26"/>
      <c r="J1951" s="20" t="str">
        <f t="shared" si="29"/>
        <v/>
      </c>
      <c r="K1951" s="26"/>
      <c r="L1951" s="26"/>
      <c r="M1951" s="20" t="str">
        <f t="shared" si="30"/>
        <v/>
      </c>
      <c r="N1951" s="8" t="str">
        <f t="shared" si="3"/>
        <v/>
      </c>
      <c r="O1951" s="21" t="str">
        <f t="shared" si="22"/>
        <v/>
      </c>
      <c r="P1951" s="24" t="b">
        <v>0</v>
      </c>
      <c r="Q1951" s="20" t="str">
        <f t="shared" si="31"/>
        <v/>
      </c>
      <c r="R1951" s="24" t="b">
        <v>0</v>
      </c>
      <c r="S1951" s="7" t="str">
        <f t="shared" si="6"/>
        <v/>
      </c>
      <c r="T1951" s="7"/>
    </row>
    <row r="1952" ht="22.5" hidden="1" customHeight="1">
      <c r="B1952" s="7">
        <f t="shared" si="7"/>
        <v>1946</v>
      </c>
      <c r="C1952" s="40"/>
      <c r="D1952" s="19" t="str">
        <f t="array" ref="D1952">IFNA(_xlfn.XLOOKUP(C1952,Table_Tarikan_Warkah[Nomor Sertipikat],Table_Tarikan_Warkah[Nomor Tiket]),"")</f>
        <v/>
      </c>
      <c r="E1952" s="20" t="str">
        <f t="array" ref="E1952">IFNA(_xlfn.XLOOKUP(D1952,Table_Tarikan_Warkah[Nomor Tiket],Table_Tarikan_Warkah[Tanggal diserahkan kepada Validator]),"")</f>
        <v/>
      </c>
      <c r="F1952" s="20" t="str">
        <f t="array" ref="F1952">IFNA(_xlfn.XLOOKUP(D1952,Table_Tarikan_Warkah[Nomor Tiket],Table_Tarikan_Warkah[Nama Petugas Warkah]),"")</f>
        <v/>
      </c>
      <c r="G1952" s="21" t="str">
        <f t="array" ref="G1952">IFNA(_xlfn.XLOOKUP(D1952,Table_Tarikan_Warkah[Nomor Tiket],Table_Tarikan_Warkah[Jenis Permohonan]),"")</f>
        <v/>
      </c>
      <c r="H1952" s="26"/>
      <c r="I1952" s="26"/>
      <c r="J1952" s="20" t="str">
        <f t="shared" si="29"/>
        <v/>
      </c>
      <c r="K1952" s="26"/>
      <c r="L1952" s="26"/>
      <c r="M1952" s="20" t="str">
        <f t="shared" si="30"/>
        <v/>
      </c>
      <c r="N1952" s="8" t="str">
        <f t="shared" si="3"/>
        <v/>
      </c>
      <c r="O1952" s="21" t="str">
        <f t="shared" si="22"/>
        <v/>
      </c>
      <c r="P1952" s="24" t="b">
        <v>0</v>
      </c>
      <c r="Q1952" s="20" t="str">
        <f t="shared" si="31"/>
        <v/>
      </c>
      <c r="R1952" s="24" t="b">
        <v>0</v>
      </c>
      <c r="S1952" s="7" t="str">
        <f t="shared" si="6"/>
        <v/>
      </c>
      <c r="T1952" s="7"/>
    </row>
    <row r="1953" ht="22.5" hidden="1" customHeight="1">
      <c r="B1953" s="7">
        <f t="shared" si="7"/>
        <v>1947</v>
      </c>
      <c r="C1953" s="40"/>
      <c r="D1953" s="19" t="str">
        <f t="array" ref="D1953">IFNA(_xlfn.XLOOKUP(C1953,Table_Tarikan_Warkah[Nomor Sertipikat],Table_Tarikan_Warkah[Nomor Tiket]),"")</f>
        <v/>
      </c>
      <c r="E1953" s="20" t="str">
        <f t="array" ref="E1953">IFNA(_xlfn.XLOOKUP(D1953,Table_Tarikan_Warkah[Nomor Tiket],Table_Tarikan_Warkah[Tanggal diserahkan kepada Validator]),"")</f>
        <v/>
      </c>
      <c r="F1953" s="20" t="str">
        <f t="array" ref="F1953">IFNA(_xlfn.XLOOKUP(D1953,Table_Tarikan_Warkah[Nomor Tiket],Table_Tarikan_Warkah[Nama Petugas Warkah]),"")</f>
        <v/>
      </c>
      <c r="G1953" s="21" t="str">
        <f t="array" ref="G1953">IFNA(_xlfn.XLOOKUP(D1953,Table_Tarikan_Warkah[Nomor Tiket],Table_Tarikan_Warkah[Jenis Permohonan]),"")</f>
        <v/>
      </c>
      <c r="H1953" s="26"/>
      <c r="I1953" s="26"/>
      <c r="J1953" s="20" t="str">
        <f t="shared" si="29"/>
        <v/>
      </c>
      <c r="K1953" s="26"/>
      <c r="L1953" s="26"/>
      <c r="M1953" s="20" t="str">
        <f t="shared" si="30"/>
        <v/>
      </c>
      <c r="N1953" s="8" t="str">
        <f t="shared" si="3"/>
        <v/>
      </c>
      <c r="O1953" s="21" t="str">
        <f t="shared" si="22"/>
        <v/>
      </c>
      <c r="P1953" s="24" t="b">
        <v>0</v>
      </c>
      <c r="Q1953" s="20" t="str">
        <f t="shared" si="31"/>
        <v/>
      </c>
      <c r="R1953" s="24" t="b">
        <v>0</v>
      </c>
      <c r="S1953" s="7" t="str">
        <f t="shared" si="6"/>
        <v/>
      </c>
      <c r="T1953" s="7"/>
    </row>
    <row r="1954" ht="22.5" hidden="1" customHeight="1">
      <c r="B1954" s="7">
        <f t="shared" si="7"/>
        <v>1948</v>
      </c>
      <c r="C1954" s="40"/>
      <c r="D1954" s="19" t="str">
        <f t="array" ref="D1954">IFNA(_xlfn.XLOOKUP(C1954,Table_Tarikan_Warkah[Nomor Sertipikat],Table_Tarikan_Warkah[Nomor Tiket]),"")</f>
        <v/>
      </c>
      <c r="E1954" s="20" t="str">
        <f t="array" ref="E1954">IFNA(_xlfn.XLOOKUP(D1954,Table_Tarikan_Warkah[Nomor Tiket],Table_Tarikan_Warkah[Tanggal diserahkan kepada Validator]),"")</f>
        <v/>
      </c>
      <c r="F1954" s="20" t="str">
        <f t="array" ref="F1954">IFNA(_xlfn.XLOOKUP(D1954,Table_Tarikan_Warkah[Nomor Tiket],Table_Tarikan_Warkah[Nama Petugas Warkah]),"")</f>
        <v/>
      </c>
      <c r="G1954" s="21" t="str">
        <f t="array" ref="G1954">IFNA(_xlfn.XLOOKUP(D1954,Table_Tarikan_Warkah[Nomor Tiket],Table_Tarikan_Warkah[Jenis Permohonan]),"")</f>
        <v/>
      </c>
      <c r="H1954" s="26"/>
      <c r="I1954" s="26"/>
      <c r="J1954" s="20" t="str">
        <f t="shared" si="29"/>
        <v/>
      </c>
      <c r="K1954" s="26"/>
      <c r="L1954" s="26"/>
      <c r="M1954" s="20" t="str">
        <f t="shared" si="30"/>
        <v/>
      </c>
      <c r="N1954" s="8" t="str">
        <f t="shared" si="3"/>
        <v/>
      </c>
      <c r="O1954" s="21" t="str">
        <f t="shared" si="22"/>
        <v/>
      </c>
      <c r="P1954" s="24" t="b">
        <v>0</v>
      </c>
      <c r="Q1954" s="20" t="str">
        <f t="shared" si="31"/>
        <v/>
      </c>
      <c r="R1954" s="24" t="b">
        <v>0</v>
      </c>
      <c r="S1954" s="7" t="str">
        <f t="shared" si="6"/>
        <v/>
      </c>
      <c r="T1954" s="7"/>
    </row>
    <row r="1955" ht="22.5" hidden="1" customHeight="1">
      <c r="B1955" s="7">
        <f t="shared" si="7"/>
        <v>1949</v>
      </c>
      <c r="C1955" s="40"/>
      <c r="D1955" s="19" t="str">
        <f t="array" ref="D1955">IFNA(_xlfn.XLOOKUP(C1955,Table_Tarikan_Warkah[Nomor Sertipikat],Table_Tarikan_Warkah[Nomor Tiket]),"")</f>
        <v/>
      </c>
      <c r="E1955" s="20" t="str">
        <f t="array" ref="E1955">IFNA(_xlfn.XLOOKUP(D1955,Table_Tarikan_Warkah[Nomor Tiket],Table_Tarikan_Warkah[Tanggal diserahkan kepada Validator]),"")</f>
        <v/>
      </c>
      <c r="F1955" s="20" t="str">
        <f t="array" ref="F1955">IFNA(_xlfn.XLOOKUP(D1955,Table_Tarikan_Warkah[Nomor Tiket],Table_Tarikan_Warkah[Nama Petugas Warkah]),"")</f>
        <v/>
      </c>
      <c r="G1955" s="21" t="str">
        <f t="array" ref="G1955">IFNA(_xlfn.XLOOKUP(D1955,Table_Tarikan_Warkah[Nomor Tiket],Table_Tarikan_Warkah[Jenis Permohonan]),"")</f>
        <v/>
      </c>
      <c r="H1955" s="26"/>
      <c r="I1955" s="26"/>
      <c r="J1955" s="20" t="str">
        <f t="shared" si="29"/>
        <v/>
      </c>
      <c r="K1955" s="26"/>
      <c r="L1955" s="26"/>
      <c r="M1955" s="20" t="str">
        <f t="shared" si="30"/>
        <v/>
      </c>
      <c r="N1955" s="8" t="str">
        <f t="shared" si="3"/>
        <v/>
      </c>
      <c r="O1955" s="21" t="str">
        <f t="shared" si="22"/>
        <v/>
      </c>
      <c r="P1955" s="24" t="b">
        <v>0</v>
      </c>
      <c r="Q1955" s="20" t="str">
        <f t="shared" si="31"/>
        <v/>
      </c>
      <c r="R1955" s="24" t="b">
        <v>0</v>
      </c>
      <c r="S1955" s="7" t="str">
        <f t="shared" si="6"/>
        <v/>
      </c>
      <c r="T1955" s="7"/>
    </row>
    <row r="1956" ht="22.5" hidden="1" customHeight="1">
      <c r="B1956" s="7">
        <f t="shared" si="7"/>
        <v>1950</v>
      </c>
      <c r="C1956" s="40"/>
      <c r="D1956" s="19" t="str">
        <f t="array" ref="D1956">IFNA(_xlfn.XLOOKUP(C1956,Table_Tarikan_Warkah[Nomor Sertipikat],Table_Tarikan_Warkah[Nomor Tiket]),"")</f>
        <v/>
      </c>
      <c r="E1956" s="20" t="str">
        <f t="array" ref="E1956">IFNA(_xlfn.XLOOKUP(D1956,Table_Tarikan_Warkah[Nomor Tiket],Table_Tarikan_Warkah[Tanggal diserahkan kepada Validator]),"")</f>
        <v/>
      </c>
      <c r="F1956" s="20" t="str">
        <f t="array" ref="F1956">IFNA(_xlfn.XLOOKUP(D1956,Table_Tarikan_Warkah[Nomor Tiket],Table_Tarikan_Warkah[Nama Petugas Warkah]),"")</f>
        <v/>
      </c>
      <c r="G1956" s="21" t="str">
        <f t="array" ref="G1956">IFNA(_xlfn.XLOOKUP(D1956,Table_Tarikan_Warkah[Nomor Tiket],Table_Tarikan_Warkah[Jenis Permohonan]),"")</f>
        <v/>
      </c>
      <c r="H1956" s="26"/>
      <c r="I1956" s="26"/>
      <c r="J1956" s="20" t="str">
        <f t="shared" si="29"/>
        <v/>
      </c>
      <c r="K1956" s="26"/>
      <c r="L1956" s="26"/>
      <c r="M1956" s="20" t="str">
        <f t="shared" si="30"/>
        <v/>
      </c>
      <c r="N1956" s="8" t="str">
        <f t="shared" si="3"/>
        <v/>
      </c>
      <c r="O1956" s="21" t="str">
        <f t="shared" si="22"/>
        <v/>
      </c>
      <c r="P1956" s="24" t="b">
        <v>0</v>
      </c>
      <c r="Q1956" s="20" t="str">
        <f t="shared" si="31"/>
        <v/>
      </c>
      <c r="R1956" s="24" t="b">
        <v>0</v>
      </c>
      <c r="S1956" s="7" t="str">
        <f t="shared" si="6"/>
        <v/>
      </c>
      <c r="T1956" s="7"/>
    </row>
    <row r="1957" ht="22.5" hidden="1" customHeight="1">
      <c r="B1957" s="7">
        <f t="shared" si="7"/>
        <v>1951</v>
      </c>
      <c r="C1957" s="40"/>
      <c r="D1957" s="19" t="str">
        <f t="array" ref="D1957">IFNA(_xlfn.XLOOKUP(C1957,Table_Tarikan_Warkah[Nomor Sertipikat],Table_Tarikan_Warkah[Nomor Tiket]),"")</f>
        <v/>
      </c>
      <c r="E1957" s="20" t="str">
        <f t="array" ref="E1957">IFNA(_xlfn.XLOOKUP(D1957,Table_Tarikan_Warkah[Nomor Tiket],Table_Tarikan_Warkah[Tanggal diserahkan kepada Validator]),"")</f>
        <v/>
      </c>
      <c r="F1957" s="20" t="str">
        <f t="array" ref="F1957">IFNA(_xlfn.XLOOKUP(D1957,Table_Tarikan_Warkah[Nomor Tiket],Table_Tarikan_Warkah[Nama Petugas Warkah]),"")</f>
        <v/>
      </c>
      <c r="G1957" s="21" t="str">
        <f t="array" ref="G1957">IFNA(_xlfn.XLOOKUP(D1957,Table_Tarikan_Warkah[Nomor Tiket],Table_Tarikan_Warkah[Jenis Permohonan]),"")</f>
        <v/>
      </c>
      <c r="H1957" s="26"/>
      <c r="I1957" s="26"/>
      <c r="J1957" s="20" t="str">
        <f t="shared" si="29"/>
        <v/>
      </c>
      <c r="K1957" s="26"/>
      <c r="L1957" s="26"/>
      <c r="M1957" s="20" t="str">
        <f t="shared" si="30"/>
        <v/>
      </c>
      <c r="N1957" s="8" t="str">
        <f t="shared" si="3"/>
        <v/>
      </c>
      <c r="O1957" s="21" t="str">
        <f t="shared" si="22"/>
        <v/>
      </c>
      <c r="P1957" s="24" t="b">
        <v>0</v>
      </c>
      <c r="Q1957" s="20" t="str">
        <f t="shared" si="31"/>
        <v/>
      </c>
      <c r="R1957" s="24" t="b">
        <v>0</v>
      </c>
      <c r="S1957" s="7" t="str">
        <f t="shared" si="6"/>
        <v/>
      </c>
      <c r="T1957" s="7"/>
    </row>
    <row r="1958" ht="22.5" hidden="1" customHeight="1">
      <c r="B1958" s="7">
        <f t="shared" si="7"/>
        <v>1952</v>
      </c>
      <c r="C1958" s="40"/>
      <c r="D1958" s="19" t="str">
        <f t="array" ref="D1958">IFNA(_xlfn.XLOOKUP(C1958,Table_Tarikan_Warkah[Nomor Sertipikat],Table_Tarikan_Warkah[Nomor Tiket]),"")</f>
        <v/>
      </c>
      <c r="E1958" s="20" t="str">
        <f t="array" ref="E1958">IFNA(_xlfn.XLOOKUP(D1958,Table_Tarikan_Warkah[Nomor Tiket],Table_Tarikan_Warkah[Tanggal diserahkan kepada Validator]),"")</f>
        <v/>
      </c>
      <c r="F1958" s="20" t="str">
        <f t="array" ref="F1958">IFNA(_xlfn.XLOOKUP(D1958,Table_Tarikan_Warkah[Nomor Tiket],Table_Tarikan_Warkah[Nama Petugas Warkah]),"")</f>
        <v/>
      </c>
      <c r="G1958" s="21" t="str">
        <f t="array" ref="G1958">IFNA(_xlfn.XLOOKUP(D1958,Table_Tarikan_Warkah[Nomor Tiket],Table_Tarikan_Warkah[Jenis Permohonan]),"")</f>
        <v/>
      </c>
      <c r="H1958" s="26"/>
      <c r="I1958" s="26"/>
      <c r="J1958" s="20" t="str">
        <f t="shared" si="29"/>
        <v/>
      </c>
      <c r="K1958" s="26"/>
      <c r="L1958" s="26"/>
      <c r="M1958" s="20" t="str">
        <f t="shared" si="30"/>
        <v/>
      </c>
      <c r="N1958" s="8" t="str">
        <f t="shared" si="3"/>
        <v/>
      </c>
      <c r="O1958" s="21" t="str">
        <f t="shared" si="22"/>
        <v/>
      </c>
      <c r="P1958" s="24" t="b">
        <v>0</v>
      </c>
      <c r="Q1958" s="20" t="str">
        <f t="shared" si="31"/>
        <v/>
      </c>
      <c r="R1958" s="24" t="b">
        <v>0</v>
      </c>
      <c r="S1958" s="7" t="str">
        <f t="shared" si="6"/>
        <v/>
      </c>
      <c r="T1958" s="7"/>
    </row>
    <row r="1959" ht="22.5" hidden="1" customHeight="1">
      <c r="B1959" s="7">
        <f t="shared" si="7"/>
        <v>1953</v>
      </c>
      <c r="C1959" s="40"/>
      <c r="D1959" s="19" t="str">
        <f t="array" ref="D1959">IFNA(_xlfn.XLOOKUP(C1959,Table_Tarikan_Warkah[Nomor Sertipikat],Table_Tarikan_Warkah[Nomor Tiket]),"")</f>
        <v/>
      </c>
      <c r="E1959" s="20" t="str">
        <f t="array" ref="E1959">IFNA(_xlfn.XLOOKUP(D1959,Table_Tarikan_Warkah[Nomor Tiket],Table_Tarikan_Warkah[Tanggal diserahkan kepada Validator]),"")</f>
        <v/>
      </c>
      <c r="F1959" s="20" t="str">
        <f t="array" ref="F1959">IFNA(_xlfn.XLOOKUP(D1959,Table_Tarikan_Warkah[Nomor Tiket],Table_Tarikan_Warkah[Nama Petugas Warkah]),"")</f>
        <v/>
      </c>
      <c r="G1959" s="21" t="str">
        <f t="array" ref="G1959">IFNA(_xlfn.XLOOKUP(D1959,Table_Tarikan_Warkah[Nomor Tiket],Table_Tarikan_Warkah[Jenis Permohonan]),"")</f>
        <v/>
      </c>
      <c r="H1959" s="26"/>
      <c r="I1959" s="26"/>
      <c r="J1959" s="20" t="str">
        <f t="shared" si="29"/>
        <v/>
      </c>
      <c r="K1959" s="26"/>
      <c r="L1959" s="26"/>
      <c r="M1959" s="20" t="str">
        <f t="shared" si="30"/>
        <v/>
      </c>
      <c r="N1959" s="8" t="str">
        <f t="shared" si="3"/>
        <v/>
      </c>
      <c r="O1959" s="21" t="str">
        <f t="shared" si="22"/>
        <v/>
      </c>
      <c r="P1959" s="24" t="b">
        <v>0</v>
      </c>
      <c r="Q1959" s="20" t="str">
        <f t="shared" si="31"/>
        <v/>
      </c>
      <c r="R1959" s="24" t="b">
        <v>0</v>
      </c>
      <c r="S1959" s="7" t="str">
        <f t="shared" si="6"/>
        <v/>
      </c>
      <c r="T1959" s="7"/>
    </row>
    <row r="1960" ht="22.5" hidden="1" customHeight="1">
      <c r="B1960" s="7">
        <f t="shared" si="7"/>
        <v>1954</v>
      </c>
      <c r="C1960" s="40"/>
      <c r="D1960" s="19" t="str">
        <f t="array" ref="D1960">IFNA(_xlfn.XLOOKUP(C1960,Table_Tarikan_Warkah[Nomor Sertipikat],Table_Tarikan_Warkah[Nomor Tiket]),"")</f>
        <v/>
      </c>
      <c r="E1960" s="20" t="str">
        <f t="array" ref="E1960">IFNA(_xlfn.XLOOKUP(D1960,Table_Tarikan_Warkah[Nomor Tiket],Table_Tarikan_Warkah[Tanggal diserahkan kepada Validator]),"")</f>
        <v/>
      </c>
      <c r="F1960" s="20" t="str">
        <f t="array" ref="F1960">IFNA(_xlfn.XLOOKUP(D1960,Table_Tarikan_Warkah[Nomor Tiket],Table_Tarikan_Warkah[Nama Petugas Warkah]),"")</f>
        <v/>
      </c>
      <c r="G1960" s="21" t="str">
        <f t="array" ref="G1960">IFNA(_xlfn.XLOOKUP(D1960,Table_Tarikan_Warkah[Nomor Tiket],Table_Tarikan_Warkah[Jenis Permohonan]),"")</f>
        <v/>
      </c>
      <c r="H1960" s="26"/>
      <c r="I1960" s="26"/>
      <c r="J1960" s="20" t="str">
        <f t="shared" si="29"/>
        <v/>
      </c>
      <c r="K1960" s="26"/>
      <c r="L1960" s="26"/>
      <c r="M1960" s="20" t="str">
        <f t="shared" si="30"/>
        <v/>
      </c>
      <c r="N1960" s="8" t="str">
        <f t="shared" si="3"/>
        <v/>
      </c>
      <c r="O1960" s="21" t="str">
        <f t="shared" si="22"/>
        <v/>
      </c>
      <c r="P1960" s="24" t="b">
        <v>0</v>
      </c>
      <c r="Q1960" s="20" t="str">
        <f t="shared" si="31"/>
        <v/>
      </c>
      <c r="R1960" s="24" t="b">
        <v>0</v>
      </c>
      <c r="S1960" s="7" t="str">
        <f t="shared" si="6"/>
        <v/>
      </c>
      <c r="T1960" s="7"/>
    </row>
    <row r="1961" ht="22.5" hidden="1" customHeight="1">
      <c r="B1961" s="7">
        <f t="shared" si="7"/>
        <v>1955</v>
      </c>
      <c r="C1961" s="40"/>
      <c r="D1961" s="19" t="str">
        <f t="array" ref="D1961">IFNA(_xlfn.XLOOKUP(C1961,Table_Tarikan_Warkah[Nomor Sertipikat],Table_Tarikan_Warkah[Nomor Tiket]),"")</f>
        <v/>
      </c>
      <c r="E1961" s="20" t="str">
        <f t="array" ref="E1961">IFNA(_xlfn.XLOOKUP(D1961,Table_Tarikan_Warkah[Nomor Tiket],Table_Tarikan_Warkah[Tanggal diserahkan kepada Validator]),"")</f>
        <v/>
      </c>
      <c r="F1961" s="20" t="str">
        <f t="array" ref="F1961">IFNA(_xlfn.XLOOKUP(D1961,Table_Tarikan_Warkah[Nomor Tiket],Table_Tarikan_Warkah[Nama Petugas Warkah]),"")</f>
        <v/>
      </c>
      <c r="G1961" s="21" t="str">
        <f t="array" ref="G1961">IFNA(_xlfn.XLOOKUP(D1961,Table_Tarikan_Warkah[Nomor Tiket],Table_Tarikan_Warkah[Jenis Permohonan]),"")</f>
        <v/>
      </c>
      <c r="H1961" s="26"/>
      <c r="I1961" s="26"/>
      <c r="J1961" s="20" t="str">
        <f t="shared" si="29"/>
        <v/>
      </c>
      <c r="K1961" s="26"/>
      <c r="L1961" s="26"/>
      <c r="M1961" s="20" t="str">
        <f t="shared" si="30"/>
        <v/>
      </c>
      <c r="N1961" s="8" t="str">
        <f t="shared" si="3"/>
        <v/>
      </c>
      <c r="O1961" s="21" t="str">
        <f t="shared" si="22"/>
        <v/>
      </c>
      <c r="P1961" s="24" t="b">
        <v>0</v>
      </c>
      <c r="Q1961" s="20" t="str">
        <f t="shared" si="31"/>
        <v/>
      </c>
      <c r="R1961" s="24" t="b">
        <v>0</v>
      </c>
      <c r="S1961" s="7" t="str">
        <f t="shared" si="6"/>
        <v/>
      </c>
      <c r="T1961" s="7"/>
    </row>
    <row r="1962" ht="22.5" hidden="1" customHeight="1">
      <c r="B1962" s="7">
        <f t="shared" si="7"/>
        <v>1956</v>
      </c>
      <c r="C1962" s="40"/>
      <c r="D1962" s="19" t="str">
        <f t="array" ref="D1962">IFNA(_xlfn.XLOOKUP(C1962,Table_Tarikan_Warkah[Nomor Sertipikat],Table_Tarikan_Warkah[Nomor Tiket]),"")</f>
        <v/>
      </c>
      <c r="E1962" s="20" t="str">
        <f t="array" ref="E1962">IFNA(_xlfn.XLOOKUP(D1962,Table_Tarikan_Warkah[Nomor Tiket],Table_Tarikan_Warkah[Tanggal diserahkan kepada Validator]),"")</f>
        <v/>
      </c>
      <c r="F1962" s="20" t="str">
        <f t="array" ref="F1962">IFNA(_xlfn.XLOOKUP(D1962,Table_Tarikan_Warkah[Nomor Tiket],Table_Tarikan_Warkah[Nama Petugas Warkah]),"")</f>
        <v/>
      </c>
      <c r="G1962" s="21" t="str">
        <f t="array" ref="G1962">IFNA(_xlfn.XLOOKUP(D1962,Table_Tarikan_Warkah[Nomor Tiket],Table_Tarikan_Warkah[Jenis Permohonan]),"")</f>
        <v/>
      </c>
      <c r="H1962" s="26"/>
      <c r="I1962" s="26"/>
      <c r="J1962" s="20" t="str">
        <f t="shared" si="29"/>
        <v/>
      </c>
      <c r="K1962" s="26"/>
      <c r="L1962" s="26"/>
      <c r="M1962" s="20" t="str">
        <f t="shared" si="30"/>
        <v/>
      </c>
      <c r="N1962" s="8" t="str">
        <f t="shared" si="3"/>
        <v/>
      </c>
      <c r="O1962" s="21" t="str">
        <f t="shared" si="22"/>
        <v/>
      </c>
      <c r="P1962" s="24" t="b">
        <v>0</v>
      </c>
      <c r="Q1962" s="20" t="str">
        <f t="shared" si="31"/>
        <v/>
      </c>
      <c r="R1962" s="24" t="b">
        <v>0</v>
      </c>
      <c r="S1962" s="7" t="str">
        <f t="shared" si="6"/>
        <v/>
      </c>
      <c r="T1962" s="7"/>
    </row>
    <row r="1963" ht="22.5" hidden="1" customHeight="1">
      <c r="B1963" s="7">
        <f t="shared" si="7"/>
        <v>1957</v>
      </c>
      <c r="C1963" s="40"/>
      <c r="D1963" s="19" t="str">
        <f t="array" ref="D1963">IFNA(_xlfn.XLOOKUP(C1963,Table_Tarikan_Warkah[Nomor Sertipikat],Table_Tarikan_Warkah[Nomor Tiket]),"")</f>
        <v/>
      </c>
      <c r="E1963" s="20" t="str">
        <f t="array" ref="E1963">IFNA(_xlfn.XLOOKUP(D1963,Table_Tarikan_Warkah[Nomor Tiket],Table_Tarikan_Warkah[Tanggal diserahkan kepada Validator]),"")</f>
        <v/>
      </c>
      <c r="F1963" s="20" t="str">
        <f t="array" ref="F1963">IFNA(_xlfn.XLOOKUP(D1963,Table_Tarikan_Warkah[Nomor Tiket],Table_Tarikan_Warkah[Nama Petugas Warkah]),"")</f>
        <v/>
      </c>
      <c r="G1963" s="21" t="str">
        <f t="array" ref="G1963">IFNA(_xlfn.XLOOKUP(D1963,Table_Tarikan_Warkah[Nomor Tiket],Table_Tarikan_Warkah[Jenis Permohonan]),"")</f>
        <v/>
      </c>
      <c r="H1963" s="26"/>
      <c r="I1963" s="26"/>
      <c r="J1963" s="20" t="str">
        <f t="shared" si="29"/>
        <v/>
      </c>
      <c r="K1963" s="26"/>
      <c r="L1963" s="26"/>
      <c r="M1963" s="20" t="str">
        <f t="shared" si="30"/>
        <v/>
      </c>
      <c r="N1963" s="8" t="str">
        <f t="shared" si="3"/>
        <v/>
      </c>
      <c r="O1963" s="21" t="str">
        <f t="shared" si="22"/>
        <v/>
      </c>
      <c r="P1963" s="24" t="b">
        <v>0</v>
      </c>
      <c r="Q1963" s="20" t="str">
        <f t="shared" si="31"/>
        <v/>
      </c>
      <c r="R1963" s="24" t="b">
        <v>0</v>
      </c>
      <c r="S1963" s="7" t="str">
        <f t="shared" si="6"/>
        <v/>
      </c>
      <c r="T1963" s="7"/>
    </row>
    <row r="1964" ht="22.5" hidden="1" customHeight="1">
      <c r="B1964" s="7">
        <f t="shared" si="7"/>
        <v>1958</v>
      </c>
      <c r="C1964" s="40"/>
      <c r="D1964" s="19" t="str">
        <f t="array" ref="D1964">IFNA(_xlfn.XLOOKUP(C1964,Table_Tarikan_Warkah[Nomor Sertipikat],Table_Tarikan_Warkah[Nomor Tiket]),"")</f>
        <v/>
      </c>
      <c r="E1964" s="20" t="str">
        <f t="array" ref="E1964">IFNA(_xlfn.XLOOKUP(D1964,Table_Tarikan_Warkah[Nomor Tiket],Table_Tarikan_Warkah[Tanggal diserahkan kepada Validator]),"")</f>
        <v/>
      </c>
      <c r="F1964" s="20" t="str">
        <f t="array" ref="F1964">IFNA(_xlfn.XLOOKUP(D1964,Table_Tarikan_Warkah[Nomor Tiket],Table_Tarikan_Warkah[Nama Petugas Warkah]),"")</f>
        <v/>
      </c>
      <c r="G1964" s="21" t="str">
        <f t="array" ref="G1964">IFNA(_xlfn.XLOOKUP(D1964,Table_Tarikan_Warkah[Nomor Tiket],Table_Tarikan_Warkah[Jenis Permohonan]),"")</f>
        <v/>
      </c>
      <c r="H1964" s="26"/>
      <c r="I1964" s="26"/>
      <c r="J1964" s="20" t="str">
        <f t="shared" si="29"/>
        <v/>
      </c>
      <c r="K1964" s="26"/>
      <c r="L1964" s="26"/>
      <c r="M1964" s="20" t="str">
        <f t="shared" si="30"/>
        <v/>
      </c>
      <c r="N1964" s="8" t="str">
        <f t="shared" si="3"/>
        <v/>
      </c>
      <c r="O1964" s="21" t="str">
        <f t="shared" si="22"/>
        <v/>
      </c>
      <c r="P1964" s="24" t="b">
        <v>0</v>
      </c>
      <c r="Q1964" s="20" t="str">
        <f t="shared" si="31"/>
        <v/>
      </c>
      <c r="R1964" s="24" t="b">
        <v>0</v>
      </c>
      <c r="S1964" s="7" t="str">
        <f t="shared" si="6"/>
        <v/>
      </c>
      <c r="T1964" s="7"/>
    </row>
    <row r="1965" ht="22.5" hidden="1" customHeight="1">
      <c r="B1965" s="7">
        <f t="shared" si="7"/>
        <v>1959</v>
      </c>
      <c r="C1965" s="40"/>
      <c r="D1965" s="19" t="str">
        <f t="array" ref="D1965">IFNA(_xlfn.XLOOKUP(C1965,Table_Tarikan_Warkah[Nomor Sertipikat],Table_Tarikan_Warkah[Nomor Tiket]),"")</f>
        <v/>
      </c>
      <c r="E1965" s="20" t="str">
        <f t="array" ref="E1965">IFNA(_xlfn.XLOOKUP(D1965,Table_Tarikan_Warkah[Nomor Tiket],Table_Tarikan_Warkah[Tanggal diserahkan kepada Validator]),"")</f>
        <v/>
      </c>
      <c r="F1965" s="20" t="str">
        <f t="array" ref="F1965">IFNA(_xlfn.XLOOKUP(D1965,Table_Tarikan_Warkah[Nomor Tiket],Table_Tarikan_Warkah[Nama Petugas Warkah]),"")</f>
        <v/>
      </c>
      <c r="G1965" s="21" t="str">
        <f t="array" ref="G1965">IFNA(_xlfn.XLOOKUP(D1965,Table_Tarikan_Warkah[Nomor Tiket],Table_Tarikan_Warkah[Jenis Permohonan]),"")</f>
        <v/>
      </c>
      <c r="H1965" s="26"/>
      <c r="I1965" s="26"/>
      <c r="J1965" s="20" t="str">
        <f t="shared" si="29"/>
        <v/>
      </c>
      <c r="K1965" s="26"/>
      <c r="L1965" s="26"/>
      <c r="M1965" s="20" t="str">
        <f t="shared" si="30"/>
        <v/>
      </c>
      <c r="N1965" s="8" t="str">
        <f t="shared" si="3"/>
        <v/>
      </c>
      <c r="O1965" s="21" t="str">
        <f t="shared" si="22"/>
        <v/>
      </c>
      <c r="P1965" s="24" t="b">
        <v>0</v>
      </c>
      <c r="Q1965" s="20" t="str">
        <f t="shared" si="31"/>
        <v/>
      </c>
      <c r="R1965" s="24" t="b">
        <v>0</v>
      </c>
      <c r="S1965" s="7" t="str">
        <f t="shared" si="6"/>
        <v/>
      </c>
      <c r="T1965" s="7"/>
    </row>
    <row r="1966" ht="22.5" hidden="1" customHeight="1">
      <c r="B1966" s="7">
        <f t="shared" si="7"/>
        <v>1960</v>
      </c>
      <c r="C1966" s="40"/>
      <c r="D1966" s="19" t="str">
        <f t="array" ref="D1966">IFNA(_xlfn.XLOOKUP(C1966,Table_Tarikan_Warkah[Nomor Sertipikat],Table_Tarikan_Warkah[Nomor Tiket]),"")</f>
        <v/>
      </c>
      <c r="E1966" s="20" t="str">
        <f t="array" ref="E1966">IFNA(_xlfn.XLOOKUP(D1966,Table_Tarikan_Warkah[Nomor Tiket],Table_Tarikan_Warkah[Tanggal diserahkan kepada Validator]),"")</f>
        <v/>
      </c>
      <c r="F1966" s="20" t="str">
        <f t="array" ref="F1966">IFNA(_xlfn.XLOOKUP(D1966,Table_Tarikan_Warkah[Nomor Tiket],Table_Tarikan_Warkah[Nama Petugas Warkah]),"")</f>
        <v/>
      </c>
      <c r="G1966" s="21" t="str">
        <f t="array" ref="G1966">IFNA(_xlfn.XLOOKUP(D1966,Table_Tarikan_Warkah[Nomor Tiket],Table_Tarikan_Warkah[Jenis Permohonan]),"")</f>
        <v/>
      </c>
      <c r="H1966" s="26"/>
      <c r="I1966" s="26"/>
      <c r="J1966" s="20" t="str">
        <f t="shared" si="29"/>
        <v/>
      </c>
      <c r="K1966" s="26"/>
      <c r="L1966" s="26"/>
      <c r="M1966" s="20" t="str">
        <f t="shared" si="30"/>
        <v/>
      </c>
      <c r="N1966" s="8" t="str">
        <f t="shared" si="3"/>
        <v/>
      </c>
      <c r="O1966" s="21" t="str">
        <f t="shared" si="22"/>
        <v/>
      </c>
      <c r="P1966" s="24" t="b">
        <v>0</v>
      </c>
      <c r="Q1966" s="20" t="str">
        <f t="shared" si="31"/>
        <v/>
      </c>
      <c r="R1966" s="24" t="b">
        <v>0</v>
      </c>
      <c r="S1966" s="7" t="str">
        <f t="shared" si="6"/>
        <v/>
      </c>
      <c r="T1966" s="7"/>
    </row>
    <row r="1967" ht="22.5" hidden="1" customHeight="1">
      <c r="B1967" s="7">
        <f t="shared" si="7"/>
        <v>1961</v>
      </c>
      <c r="C1967" s="40"/>
      <c r="D1967" s="19" t="str">
        <f t="array" ref="D1967">IFNA(_xlfn.XLOOKUP(C1967,Table_Tarikan_Warkah[Nomor Sertipikat],Table_Tarikan_Warkah[Nomor Tiket]),"")</f>
        <v/>
      </c>
      <c r="E1967" s="20" t="str">
        <f t="array" ref="E1967">IFNA(_xlfn.XLOOKUP(D1967,Table_Tarikan_Warkah[Nomor Tiket],Table_Tarikan_Warkah[Tanggal diserahkan kepada Validator]),"")</f>
        <v/>
      </c>
      <c r="F1967" s="20" t="str">
        <f t="array" ref="F1967">IFNA(_xlfn.XLOOKUP(D1967,Table_Tarikan_Warkah[Nomor Tiket],Table_Tarikan_Warkah[Nama Petugas Warkah]),"")</f>
        <v/>
      </c>
      <c r="G1967" s="21" t="str">
        <f t="array" ref="G1967">IFNA(_xlfn.XLOOKUP(D1967,Table_Tarikan_Warkah[Nomor Tiket],Table_Tarikan_Warkah[Jenis Permohonan]),"")</f>
        <v/>
      </c>
      <c r="H1967" s="26"/>
      <c r="I1967" s="26"/>
      <c r="J1967" s="20" t="str">
        <f t="shared" si="29"/>
        <v/>
      </c>
      <c r="K1967" s="26"/>
      <c r="L1967" s="26"/>
      <c r="M1967" s="20" t="str">
        <f t="shared" si="30"/>
        <v/>
      </c>
      <c r="N1967" s="8" t="str">
        <f t="shared" si="3"/>
        <v/>
      </c>
      <c r="O1967" s="21" t="str">
        <f t="shared" si="22"/>
        <v/>
      </c>
      <c r="P1967" s="24" t="b">
        <v>0</v>
      </c>
      <c r="Q1967" s="20" t="str">
        <f t="shared" si="31"/>
        <v/>
      </c>
      <c r="R1967" s="24" t="b">
        <v>0</v>
      </c>
      <c r="S1967" s="7" t="str">
        <f t="shared" si="6"/>
        <v/>
      </c>
      <c r="T1967" s="7"/>
    </row>
    <row r="1968" ht="22.5" hidden="1" customHeight="1">
      <c r="B1968" s="7">
        <f t="shared" si="7"/>
        <v>1962</v>
      </c>
      <c r="C1968" s="40"/>
      <c r="D1968" s="19" t="str">
        <f t="array" ref="D1968">IFNA(_xlfn.XLOOKUP(C1968,Table_Tarikan_Warkah[Nomor Sertipikat],Table_Tarikan_Warkah[Nomor Tiket]),"")</f>
        <v/>
      </c>
      <c r="E1968" s="20" t="str">
        <f t="array" ref="E1968">IFNA(_xlfn.XLOOKUP(D1968,Table_Tarikan_Warkah[Nomor Tiket],Table_Tarikan_Warkah[Tanggal diserahkan kepada Validator]),"")</f>
        <v/>
      </c>
      <c r="F1968" s="20" t="str">
        <f t="array" ref="F1968">IFNA(_xlfn.XLOOKUP(D1968,Table_Tarikan_Warkah[Nomor Tiket],Table_Tarikan_Warkah[Nama Petugas Warkah]),"")</f>
        <v/>
      </c>
      <c r="G1968" s="21" t="str">
        <f t="array" ref="G1968">IFNA(_xlfn.XLOOKUP(D1968,Table_Tarikan_Warkah[Nomor Tiket],Table_Tarikan_Warkah[Jenis Permohonan]),"")</f>
        <v/>
      </c>
      <c r="H1968" s="26"/>
      <c r="I1968" s="26"/>
      <c r="J1968" s="20" t="str">
        <f t="shared" si="29"/>
        <v/>
      </c>
      <c r="K1968" s="26"/>
      <c r="L1968" s="26"/>
      <c r="M1968" s="20" t="str">
        <f t="shared" si="30"/>
        <v/>
      </c>
      <c r="N1968" s="8" t="str">
        <f t="shared" si="3"/>
        <v/>
      </c>
      <c r="O1968" s="21" t="str">
        <f t="shared" si="22"/>
        <v/>
      </c>
      <c r="P1968" s="24" t="b">
        <v>0</v>
      </c>
      <c r="Q1968" s="20" t="str">
        <f t="shared" si="31"/>
        <v/>
      </c>
      <c r="R1968" s="24" t="b">
        <v>0</v>
      </c>
      <c r="S1968" s="7" t="str">
        <f t="shared" si="6"/>
        <v/>
      </c>
      <c r="T1968" s="7"/>
    </row>
    <row r="1969" ht="22.5" hidden="1" customHeight="1">
      <c r="B1969" s="7">
        <f t="shared" si="7"/>
        <v>1963</v>
      </c>
      <c r="C1969" s="40"/>
      <c r="D1969" s="19" t="str">
        <f t="array" ref="D1969">IFNA(_xlfn.XLOOKUP(C1969,Table_Tarikan_Warkah[Nomor Sertipikat],Table_Tarikan_Warkah[Nomor Tiket]),"")</f>
        <v/>
      </c>
      <c r="E1969" s="20" t="str">
        <f t="array" ref="E1969">IFNA(_xlfn.XLOOKUP(D1969,Table_Tarikan_Warkah[Nomor Tiket],Table_Tarikan_Warkah[Tanggal diserahkan kepada Validator]),"")</f>
        <v/>
      </c>
      <c r="F1969" s="20" t="str">
        <f t="array" ref="F1969">IFNA(_xlfn.XLOOKUP(D1969,Table_Tarikan_Warkah[Nomor Tiket],Table_Tarikan_Warkah[Nama Petugas Warkah]),"")</f>
        <v/>
      </c>
      <c r="G1969" s="21" t="str">
        <f t="array" ref="G1969">IFNA(_xlfn.XLOOKUP(D1969,Table_Tarikan_Warkah[Nomor Tiket],Table_Tarikan_Warkah[Jenis Permohonan]),"")</f>
        <v/>
      </c>
      <c r="H1969" s="26"/>
      <c r="I1969" s="26"/>
      <c r="J1969" s="20" t="str">
        <f t="shared" si="29"/>
        <v/>
      </c>
      <c r="K1969" s="26"/>
      <c r="L1969" s="26"/>
      <c r="M1969" s="20" t="str">
        <f t="shared" si="30"/>
        <v/>
      </c>
      <c r="N1969" s="8" t="str">
        <f t="shared" si="3"/>
        <v/>
      </c>
      <c r="O1969" s="21" t="str">
        <f t="shared" si="22"/>
        <v/>
      </c>
      <c r="P1969" s="24" t="b">
        <v>0</v>
      </c>
      <c r="Q1969" s="20" t="str">
        <f t="shared" si="31"/>
        <v/>
      </c>
      <c r="R1969" s="24" t="b">
        <v>0</v>
      </c>
      <c r="S1969" s="7" t="str">
        <f t="shared" si="6"/>
        <v/>
      </c>
      <c r="T1969" s="7"/>
    </row>
    <row r="1970" ht="22.5" hidden="1" customHeight="1">
      <c r="B1970" s="7">
        <f t="shared" si="7"/>
        <v>1964</v>
      </c>
      <c r="C1970" s="40"/>
      <c r="D1970" s="19" t="str">
        <f t="array" ref="D1970">IFNA(_xlfn.XLOOKUP(C1970,Table_Tarikan_Warkah[Nomor Sertipikat],Table_Tarikan_Warkah[Nomor Tiket]),"")</f>
        <v/>
      </c>
      <c r="E1970" s="20" t="str">
        <f t="array" ref="E1970">IFNA(_xlfn.XLOOKUP(D1970,Table_Tarikan_Warkah[Nomor Tiket],Table_Tarikan_Warkah[Tanggal diserahkan kepada Validator]),"")</f>
        <v/>
      </c>
      <c r="F1970" s="20" t="str">
        <f t="array" ref="F1970">IFNA(_xlfn.XLOOKUP(D1970,Table_Tarikan_Warkah[Nomor Tiket],Table_Tarikan_Warkah[Nama Petugas Warkah]),"")</f>
        <v/>
      </c>
      <c r="G1970" s="21" t="str">
        <f t="array" ref="G1970">IFNA(_xlfn.XLOOKUP(D1970,Table_Tarikan_Warkah[Nomor Tiket],Table_Tarikan_Warkah[Jenis Permohonan]),"")</f>
        <v/>
      </c>
      <c r="H1970" s="26"/>
      <c r="I1970" s="26"/>
      <c r="J1970" s="20" t="str">
        <f t="shared" si="29"/>
        <v/>
      </c>
      <c r="K1970" s="26"/>
      <c r="L1970" s="26"/>
      <c r="M1970" s="20" t="str">
        <f t="shared" si="30"/>
        <v/>
      </c>
      <c r="N1970" s="8" t="str">
        <f t="shared" si="3"/>
        <v/>
      </c>
      <c r="O1970" s="21" t="str">
        <f t="shared" si="22"/>
        <v/>
      </c>
      <c r="P1970" s="24" t="b">
        <v>0</v>
      </c>
      <c r="Q1970" s="20" t="str">
        <f t="shared" si="31"/>
        <v/>
      </c>
      <c r="R1970" s="24" t="b">
        <v>0</v>
      </c>
      <c r="S1970" s="7" t="str">
        <f t="shared" si="6"/>
        <v/>
      </c>
      <c r="T1970" s="7"/>
    </row>
    <row r="1971" ht="22.5" hidden="1" customHeight="1">
      <c r="B1971" s="7">
        <f t="shared" si="7"/>
        <v>1965</v>
      </c>
      <c r="C1971" s="40"/>
      <c r="D1971" s="19" t="str">
        <f t="array" ref="D1971">IFNA(_xlfn.XLOOKUP(C1971,Table_Tarikan_Warkah[Nomor Sertipikat],Table_Tarikan_Warkah[Nomor Tiket]),"")</f>
        <v/>
      </c>
      <c r="E1971" s="20" t="str">
        <f t="array" ref="E1971">IFNA(_xlfn.XLOOKUP(D1971,Table_Tarikan_Warkah[Nomor Tiket],Table_Tarikan_Warkah[Tanggal diserahkan kepada Validator]),"")</f>
        <v/>
      </c>
      <c r="F1971" s="20" t="str">
        <f t="array" ref="F1971">IFNA(_xlfn.XLOOKUP(D1971,Table_Tarikan_Warkah[Nomor Tiket],Table_Tarikan_Warkah[Nama Petugas Warkah]),"")</f>
        <v/>
      </c>
      <c r="G1971" s="21" t="str">
        <f t="array" ref="G1971">IFNA(_xlfn.XLOOKUP(D1971,Table_Tarikan_Warkah[Nomor Tiket],Table_Tarikan_Warkah[Jenis Permohonan]),"")</f>
        <v/>
      </c>
      <c r="H1971" s="26"/>
      <c r="I1971" s="26"/>
      <c r="J1971" s="20" t="str">
        <f t="shared" si="29"/>
        <v/>
      </c>
      <c r="K1971" s="26"/>
      <c r="L1971" s="26"/>
      <c r="M1971" s="20" t="str">
        <f t="shared" si="30"/>
        <v/>
      </c>
      <c r="N1971" s="8" t="str">
        <f t="shared" si="3"/>
        <v/>
      </c>
      <c r="O1971" s="21" t="str">
        <f t="shared" si="22"/>
        <v/>
      </c>
      <c r="P1971" s="24" t="b">
        <v>0</v>
      </c>
      <c r="Q1971" s="20" t="str">
        <f t="shared" si="31"/>
        <v/>
      </c>
      <c r="R1971" s="24" t="b">
        <v>0</v>
      </c>
      <c r="S1971" s="7" t="str">
        <f t="shared" si="6"/>
        <v/>
      </c>
      <c r="T1971" s="7"/>
    </row>
    <row r="1972" ht="22.5" hidden="1" customHeight="1">
      <c r="B1972" s="7">
        <f t="shared" si="7"/>
        <v>1966</v>
      </c>
      <c r="C1972" s="40"/>
      <c r="D1972" s="19" t="str">
        <f t="array" ref="D1972">IFNA(_xlfn.XLOOKUP(C1972,Table_Tarikan_Warkah[Nomor Sertipikat],Table_Tarikan_Warkah[Nomor Tiket]),"")</f>
        <v/>
      </c>
      <c r="E1972" s="20" t="str">
        <f t="array" ref="E1972">IFNA(_xlfn.XLOOKUP(D1972,Table_Tarikan_Warkah[Nomor Tiket],Table_Tarikan_Warkah[Tanggal diserahkan kepada Validator]),"")</f>
        <v/>
      </c>
      <c r="F1972" s="20" t="str">
        <f t="array" ref="F1972">IFNA(_xlfn.XLOOKUP(D1972,Table_Tarikan_Warkah[Nomor Tiket],Table_Tarikan_Warkah[Nama Petugas Warkah]),"")</f>
        <v/>
      </c>
      <c r="G1972" s="21" t="str">
        <f t="array" ref="G1972">IFNA(_xlfn.XLOOKUP(D1972,Table_Tarikan_Warkah[Nomor Tiket],Table_Tarikan_Warkah[Jenis Permohonan]),"")</f>
        <v/>
      </c>
      <c r="H1972" s="26"/>
      <c r="I1972" s="26"/>
      <c r="J1972" s="20" t="str">
        <f t="shared" si="29"/>
        <v/>
      </c>
      <c r="K1972" s="26"/>
      <c r="L1972" s="26"/>
      <c r="M1972" s="20" t="str">
        <f t="shared" si="30"/>
        <v/>
      </c>
      <c r="N1972" s="8" t="str">
        <f t="shared" si="3"/>
        <v/>
      </c>
      <c r="O1972" s="21" t="str">
        <f t="shared" si="22"/>
        <v/>
      </c>
      <c r="P1972" s="24" t="b">
        <v>0</v>
      </c>
      <c r="Q1972" s="20" t="str">
        <f t="shared" si="31"/>
        <v/>
      </c>
      <c r="R1972" s="24" t="b">
        <v>0</v>
      </c>
      <c r="S1972" s="7" t="str">
        <f t="shared" si="6"/>
        <v/>
      </c>
      <c r="T1972" s="7"/>
    </row>
    <row r="1973" ht="22.5" hidden="1" customHeight="1">
      <c r="B1973" s="7">
        <f t="shared" si="7"/>
        <v>1967</v>
      </c>
      <c r="C1973" s="40"/>
      <c r="D1973" s="19" t="str">
        <f t="array" ref="D1973">IFNA(_xlfn.XLOOKUP(C1973,Table_Tarikan_Warkah[Nomor Sertipikat],Table_Tarikan_Warkah[Nomor Tiket]),"")</f>
        <v/>
      </c>
      <c r="E1973" s="20" t="str">
        <f t="array" ref="E1973">IFNA(_xlfn.XLOOKUP(D1973,Table_Tarikan_Warkah[Nomor Tiket],Table_Tarikan_Warkah[Tanggal diserahkan kepada Validator]),"")</f>
        <v/>
      </c>
      <c r="F1973" s="20" t="str">
        <f t="array" ref="F1973">IFNA(_xlfn.XLOOKUP(D1973,Table_Tarikan_Warkah[Nomor Tiket],Table_Tarikan_Warkah[Nama Petugas Warkah]),"")</f>
        <v/>
      </c>
      <c r="G1973" s="21" t="str">
        <f t="array" ref="G1973">IFNA(_xlfn.XLOOKUP(D1973,Table_Tarikan_Warkah[Nomor Tiket],Table_Tarikan_Warkah[Jenis Permohonan]),"")</f>
        <v/>
      </c>
      <c r="H1973" s="26"/>
      <c r="I1973" s="26"/>
      <c r="J1973" s="20" t="str">
        <f t="shared" si="29"/>
        <v/>
      </c>
      <c r="K1973" s="26"/>
      <c r="L1973" s="26"/>
      <c r="M1973" s="20" t="str">
        <f t="shared" si="30"/>
        <v/>
      </c>
      <c r="N1973" s="8" t="str">
        <f t="shared" si="3"/>
        <v/>
      </c>
      <c r="O1973" s="21" t="str">
        <f t="shared" si="22"/>
        <v/>
      </c>
      <c r="P1973" s="24" t="b">
        <v>0</v>
      </c>
      <c r="Q1973" s="20" t="str">
        <f t="shared" si="31"/>
        <v/>
      </c>
      <c r="R1973" s="24" t="b">
        <v>0</v>
      </c>
      <c r="S1973" s="7" t="str">
        <f t="shared" si="6"/>
        <v/>
      </c>
      <c r="T1973" s="7"/>
    </row>
    <row r="1974" ht="22.5" hidden="1" customHeight="1">
      <c r="B1974" s="7">
        <f t="shared" si="7"/>
        <v>1968</v>
      </c>
      <c r="C1974" s="40"/>
      <c r="D1974" s="19" t="str">
        <f t="array" ref="D1974">IFNA(_xlfn.XLOOKUP(C1974,Table_Tarikan_Warkah[Nomor Sertipikat],Table_Tarikan_Warkah[Nomor Tiket]),"")</f>
        <v/>
      </c>
      <c r="E1974" s="20" t="str">
        <f t="array" ref="E1974">IFNA(_xlfn.XLOOKUP(D1974,Table_Tarikan_Warkah[Nomor Tiket],Table_Tarikan_Warkah[Tanggal diserahkan kepada Validator]),"")</f>
        <v/>
      </c>
      <c r="F1974" s="20" t="str">
        <f t="array" ref="F1974">IFNA(_xlfn.XLOOKUP(D1974,Table_Tarikan_Warkah[Nomor Tiket],Table_Tarikan_Warkah[Nama Petugas Warkah]),"")</f>
        <v/>
      </c>
      <c r="G1974" s="21" t="str">
        <f t="array" ref="G1974">IFNA(_xlfn.XLOOKUP(D1974,Table_Tarikan_Warkah[Nomor Tiket],Table_Tarikan_Warkah[Jenis Permohonan]),"")</f>
        <v/>
      </c>
      <c r="H1974" s="26"/>
      <c r="I1974" s="26"/>
      <c r="J1974" s="20" t="str">
        <f t="shared" si="29"/>
        <v/>
      </c>
      <c r="K1974" s="26"/>
      <c r="L1974" s="26"/>
      <c r="M1974" s="20" t="str">
        <f t="shared" si="30"/>
        <v/>
      </c>
      <c r="N1974" s="8" t="str">
        <f t="shared" si="3"/>
        <v/>
      </c>
      <c r="O1974" s="21" t="str">
        <f t="shared" si="22"/>
        <v/>
      </c>
      <c r="P1974" s="24" t="b">
        <v>0</v>
      </c>
      <c r="Q1974" s="20" t="str">
        <f t="shared" si="31"/>
        <v/>
      </c>
      <c r="R1974" s="24" t="b">
        <v>0</v>
      </c>
      <c r="S1974" s="7" t="str">
        <f t="shared" si="6"/>
        <v/>
      </c>
      <c r="T1974" s="7"/>
    </row>
    <row r="1975" ht="22.5" hidden="1" customHeight="1">
      <c r="B1975" s="7">
        <f t="shared" si="7"/>
        <v>1969</v>
      </c>
      <c r="C1975" s="40"/>
      <c r="D1975" s="19" t="str">
        <f t="array" ref="D1975">IFNA(_xlfn.XLOOKUP(C1975,Table_Tarikan_Warkah[Nomor Sertipikat],Table_Tarikan_Warkah[Nomor Tiket]),"")</f>
        <v/>
      </c>
      <c r="E1975" s="20" t="str">
        <f t="array" ref="E1975">IFNA(_xlfn.XLOOKUP(D1975,Table_Tarikan_Warkah[Nomor Tiket],Table_Tarikan_Warkah[Tanggal diserahkan kepada Validator]),"")</f>
        <v/>
      </c>
      <c r="F1975" s="20" t="str">
        <f t="array" ref="F1975">IFNA(_xlfn.XLOOKUP(D1975,Table_Tarikan_Warkah[Nomor Tiket],Table_Tarikan_Warkah[Nama Petugas Warkah]),"")</f>
        <v/>
      </c>
      <c r="G1975" s="21" t="str">
        <f t="array" ref="G1975">IFNA(_xlfn.XLOOKUP(D1975,Table_Tarikan_Warkah[Nomor Tiket],Table_Tarikan_Warkah[Jenis Permohonan]),"")</f>
        <v/>
      </c>
      <c r="H1975" s="26"/>
      <c r="I1975" s="26"/>
      <c r="J1975" s="20" t="str">
        <f t="shared" si="29"/>
        <v/>
      </c>
      <c r="K1975" s="26"/>
      <c r="L1975" s="26"/>
      <c r="M1975" s="20" t="str">
        <f t="shared" si="30"/>
        <v/>
      </c>
      <c r="N1975" s="8" t="str">
        <f t="shared" si="3"/>
        <v/>
      </c>
      <c r="O1975" s="21" t="str">
        <f t="shared" si="22"/>
        <v/>
      </c>
      <c r="P1975" s="24" t="b">
        <v>0</v>
      </c>
      <c r="Q1975" s="20" t="str">
        <f t="shared" si="31"/>
        <v/>
      </c>
      <c r="R1975" s="24" t="b">
        <v>0</v>
      </c>
      <c r="S1975" s="7" t="str">
        <f t="shared" si="6"/>
        <v/>
      </c>
      <c r="T1975" s="7"/>
    </row>
    <row r="1976" ht="22.5" hidden="1" customHeight="1">
      <c r="B1976" s="7">
        <f t="shared" si="7"/>
        <v>1970</v>
      </c>
      <c r="C1976" s="40"/>
      <c r="D1976" s="19" t="str">
        <f t="array" ref="D1976">IFNA(_xlfn.XLOOKUP(C1976,Table_Tarikan_Warkah[Nomor Sertipikat],Table_Tarikan_Warkah[Nomor Tiket]),"")</f>
        <v/>
      </c>
      <c r="E1976" s="20" t="str">
        <f t="array" ref="E1976">IFNA(_xlfn.XLOOKUP(D1976,Table_Tarikan_Warkah[Nomor Tiket],Table_Tarikan_Warkah[Tanggal diserahkan kepada Validator]),"")</f>
        <v/>
      </c>
      <c r="F1976" s="20" t="str">
        <f t="array" ref="F1976">IFNA(_xlfn.XLOOKUP(D1976,Table_Tarikan_Warkah[Nomor Tiket],Table_Tarikan_Warkah[Nama Petugas Warkah]),"")</f>
        <v/>
      </c>
      <c r="G1976" s="21" t="str">
        <f t="array" ref="G1976">IFNA(_xlfn.XLOOKUP(D1976,Table_Tarikan_Warkah[Nomor Tiket],Table_Tarikan_Warkah[Jenis Permohonan]),"")</f>
        <v/>
      </c>
      <c r="H1976" s="26"/>
      <c r="I1976" s="26"/>
      <c r="J1976" s="20" t="str">
        <f t="shared" si="29"/>
        <v/>
      </c>
      <c r="K1976" s="26"/>
      <c r="L1976" s="26"/>
      <c r="M1976" s="20" t="str">
        <f t="shared" si="30"/>
        <v/>
      </c>
      <c r="N1976" s="8" t="str">
        <f t="shared" si="3"/>
        <v/>
      </c>
      <c r="O1976" s="21" t="str">
        <f t="shared" si="22"/>
        <v/>
      </c>
      <c r="P1976" s="24" t="b">
        <v>0</v>
      </c>
      <c r="Q1976" s="20" t="str">
        <f t="shared" si="31"/>
        <v/>
      </c>
      <c r="R1976" s="24" t="b">
        <v>0</v>
      </c>
      <c r="S1976" s="7" t="str">
        <f t="shared" si="6"/>
        <v/>
      </c>
      <c r="T1976" s="7"/>
    </row>
    <row r="1977" ht="22.5" hidden="1" customHeight="1">
      <c r="B1977" s="7">
        <f t="shared" si="7"/>
        <v>1971</v>
      </c>
      <c r="C1977" s="40"/>
      <c r="D1977" s="19" t="str">
        <f t="array" ref="D1977">IFNA(_xlfn.XLOOKUP(C1977,Table_Tarikan_Warkah[Nomor Sertipikat],Table_Tarikan_Warkah[Nomor Tiket]),"")</f>
        <v/>
      </c>
      <c r="E1977" s="20" t="str">
        <f t="array" ref="E1977">IFNA(_xlfn.XLOOKUP(D1977,Table_Tarikan_Warkah[Nomor Tiket],Table_Tarikan_Warkah[Tanggal diserahkan kepada Validator]),"")</f>
        <v/>
      </c>
      <c r="F1977" s="20" t="str">
        <f t="array" ref="F1977">IFNA(_xlfn.XLOOKUP(D1977,Table_Tarikan_Warkah[Nomor Tiket],Table_Tarikan_Warkah[Nama Petugas Warkah]),"")</f>
        <v/>
      </c>
      <c r="G1977" s="21" t="str">
        <f t="array" ref="G1977">IFNA(_xlfn.XLOOKUP(D1977,Table_Tarikan_Warkah[Nomor Tiket],Table_Tarikan_Warkah[Jenis Permohonan]),"")</f>
        <v/>
      </c>
      <c r="H1977" s="26"/>
      <c r="I1977" s="26"/>
      <c r="J1977" s="20" t="str">
        <f t="shared" si="29"/>
        <v/>
      </c>
      <c r="K1977" s="26"/>
      <c r="L1977" s="26"/>
      <c r="M1977" s="20" t="str">
        <f t="shared" si="30"/>
        <v/>
      </c>
      <c r="N1977" s="8" t="str">
        <f t="shared" si="3"/>
        <v/>
      </c>
      <c r="O1977" s="21" t="str">
        <f t="shared" si="22"/>
        <v/>
      </c>
      <c r="P1977" s="24" t="b">
        <v>0</v>
      </c>
      <c r="Q1977" s="20" t="str">
        <f t="shared" si="31"/>
        <v/>
      </c>
      <c r="R1977" s="24" t="b">
        <v>0</v>
      </c>
      <c r="S1977" s="7" t="str">
        <f t="shared" si="6"/>
        <v/>
      </c>
      <c r="T1977" s="7"/>
    </row>
    <row r="1978" ht="22.5" hidden="1" customHeight="1">
      <c r="B1978" s="7">
        <f t="shared" si="7"/>
        <v>1972</v>
      </c>
      <c r="C1978" s="40"/>
      <c r="D1978" s="19" t="str">
        <f t="array" ref="D1978">IFNA(_xlfn.XLOOKUP(C1978,Table_Tarikan_Warkah[Nomor Sertipikat],Table_Tarikan_Warkah[Nomor Tiket]),"")</f>
        <v/>
      </c>
      <c r="E1978" s="20" t="str">
        <f t="array" ref="E1978">IFNA(_xlfn.XLOOKUP(D1978,Table_Tarikan_Warkah[Nomor Tiket],Table_Tarikan_Warkah[Tanggal diserahkan kepada Validator]),"")</f>
        <v/>
      </c>
      <c r="F1978" s="20" t="str">
        <f t="array" ref="F1978">IFNA(_xlfn.XLOOKUP(D1978,Table_Tarikan_Warkah[Nomor Tiket],Table_Tarikan_Warkah[Nama Petugas Warkah]),"")</f>
        <v/>
      </c>
      <c r="G1978" s="21" t="str">
        <f t="array" ref="G1978">IFNA(_xlfn.XLOOKUP(D1978,Table_Tarikan_Warkah[Nomor Tiket],Table_Tarikan_Warkah[Jenis Permohonan]),"")</f>
        <v/>
      </c>
      <c r="H1978" s="26"/>
      <c r="I1978" s="26"/>
      <c r="J1978" s="20" t="str">
        <f t="shared" si="29"/>
        <v/>
      </c>
      <c r="K1978" s="26"/>
      <c r="L1978" s="26"/>
      <c r="M1978" s="20" t="str">
        <f t="shared" si="30"/>
        <v/>
      </c>
      <c r="N1978" s="8" t="str">
        <f t="shared" si="3"/>
        <v/>
      </c>
      <c r="O1978" s="21" t="str">
        <f t="shared" si="22"/>
        <v/>
      </c>
      <c r="P1978" s="24" t="b">
        <v>0</v>
      </c>
      <c r="Q1978" s="20" t="str">
        <f t="shared" si="31"/>
        <v/>
      </c>
      <c r="R1978" s="24" t="b">
        <v>0</v>
      </c>
      <c r="S1978" s="7" t="str">
        <f t="shared" si="6"/>
        <v/>
      </c>
      <c r="T1978" s="7"/>
    </row>
    <row r="1979" ht="22.5" hidden="1" customHeight="1">
      <c r="B1979" s="7">
        <f t="shared" si="7"/>
        <v>1973</v>
      </c>
      <c r="C1979" s="40"/>
      <c r="D1979" s="19" t="str">
        <f t="array" ref="D1979">IFNA(_xlfn.XLOOKUP(C1979,Table_Tarikan_Warkah[Nomor Sertipikat],Table_Tarikan_Warkah[Nomor Tiket]),"")</f>
        <v/>
      </c>
      <c r="E1979" s="20" t="str">
        <f t="array" ref="E1979">IFNA(_xlfn.XLOOKUP(D1979,Table_Tarikan_Warkah[Nomor Tiket],Table_Tarikan_Warkah[Tanggal diserahkan kepada Validator]),"")</f>
        <v/>
      </c>
      <c r="F1979" s="20" t="str">
        <f t="array" ref="F1979">IFNA(_xlfn.XLOOKUP(D1979,Table_Tarikan_Warkah[Nomor Tiket],Table_Tarikan_Warkah[Nama Petugas Warkah]),"")</f>
        <v/>
      </c>
      <c r="G1979" s="21" t="str">
        <f t="array" ref="G1979">IFNA(_xlfn.XLOOKUP(D1979,Table_Tarikan_Warkah[Nomor Tiket],Table_Tarikan_Warkah[Jenis Permohonan]),"")</f>
        <v/>
      </c>
      <c r="H1979" s="26"/>
      <c r="I1979" s="26"/>
      <c r="J1979" s="20" t="str">
        <f t="shared" si="29"/>
        <v/>
      </c>
      <c r="K1979" s="26"/>
      <c r="L1979" s="26"/>
      <c r="M1979" s="20" t="str">
        <f t="shared" si="30"/>
        <v/>
      </c>
      <c r="N1979" s="8" t="str">
        <f t="shared" si="3"/>
        <v/>
      </c>
      <c r="O1979" s="21" t="str">
        <f t="shared" si="22"/>
        <v/>
      </c>
      <c r="P1979" s="24" t="b">
        <v>0</v>
      </c>
      <c r="Q1979" s="20" t="str">
        <f t="shared" si="31"/>
        <v/>
      </c>
      <c r="R1979" s="24" t="b">
        <v>0</v>
      </c>
      <c r="S1979" s="7" t="str">
        <f t="shared" si="6"/>
        <v/>
      </c>
      <c r="T1979" s="7"/>
    </row>
    <row r="1980" ht="22.5" hidden="1" customHeight="1">
      <c r="B1980" s="7">
        <f t="shared" si="7"/>
        <v>1974</v>
      </c>
      <c r="C1980" s="40"/>
      <c r="D1980" s="19" t="str">
        <f t="array" ref="D1980">IFNA(_xlfn.XLOOKUP(C1980,Table_Tarikan_Warkah[Nomor Sertipikat],Table_Tarikan_Warkah[Nomor Tiket]),"")</f>
        <v/>
      </c>
      <c r="E1980" s="20" t="str">
        <f t="array" ref="E1980">IFNA(_xlfn.XLOOKUP(D1980,Table_Tarikan_Warkah[Nomor Tiket],Table_Tarikan_Warkah[Tanggal diserahkan kepada Validator]),"")</f>
        <v/>
      </c>
      <c r="F1980" s="20" t="str">
        <f t="array" ref="F1980">IFNA(_xlfn.XLOOKUP(D1980,Table_Tarikan_Warkah[Nomor Tiket],Table_Tarikan_Warkah[Nama Petugas Warkah]),"")</f>
        <v/>
      </c>
      <c r="G1980" s="21" t="str">
        <f t="array" ref="G1980">IFNA(_xlfn.XLOOKUP(D1980,Table_Tarikan_Warkah[Nomor Tiket],Table_Tarikan_Warkah[Jenis Permohonan]),"")</f>
        <v/>
      </c>
      <c r="H1980" s="26"/>
      <c r="I1980" s="26"/>
      <c r="J1980" s="20" t="str">
        <f t="shared" si="29"/>
        <v/>
      </c>
      <c r="K1980" s="26"/>
      <c r="L1980" s="26"/>
      <c r="M1980" s="20" t="str">
        <f t="shared" si="30"/>
        <v/>
      </c>
      <c r="N1980" s="8" t="str">
        <f t="shared" si="3"/>
        <v/>
      </c>
      <c r="O1980" s="21" t="str">
        <f t="shared" si="22"/>
        <v/>
      </c>
      <c r="P1980" s="24" t="b">
        <v>0</v>
      </c>
      <c r="Q1980" s="20" t="str">
        <f t="shared" si="31"/>
        <v/>
      </c>
      <c r="R1980" s="24" t="b">
        <v>0</v>
      </c>
      <c r="S1980" s="7" t="str">
        <f t="shared" si="6"/>
        <v/>
      </c>
      <c r="T1980" s="7"/>
    </row>
    <row r="1981" ht="22.5" hidden="1" customHeight="1">
      <c r="B1981" s="7">
        <f t="shared" si="7"/>
        <v>1975</v>
      </c>
      <c r="C1981" s="40"/>
      <c r="D1981" s="19" t="str">
        <f t="array" ref="D1981">IFNA(_xlfn.XLOOKUP(C1981,Table_Tarikan_Warkah[Nomor Sertipikat],Table_Tarikan_Warkah[Nomor Tiket]),"")</f>
        <v/>
      </c>
      <c r="E1981" s="20" t="str">
        <f t="array" ref="E1981">IFNA(_xlfn.XLOOKUP(D1981,Table_Tarikan_Warkah[Nomor Tiket],Table_Tarikan_Warkah[Tanggal diserahkan kepada Validator]),"")</f>
        <v/>
      </c>
      <c r="F1981" s="20" t="str">
        <f t="array" ref="F1981">IFNA(_xlfn.XLOOKUP(D1981,Table_Tarikan_Warkah[Nomor Tiket],Table_Tarikan_Warkah[Nama Petugas Warkah]),"")</f>
        <v/>
      </c>
      <c r="G1981" s="21" t="str">
        <f t="array" ref="G1981">IFNA(_xlfn.XLOOKUP(D1981,Table_Tarikan_Warkah[Nomor Tiket],Table_Tarikan_Warkah[Jenis Permohonan]),"")</f>
        <v/>
      </c>
      <c r="H1981" s="26"/>
      <c r="I1981" s="26"/>
      <c r="J1981" s="20" t="str">
        <f t="shared" si="29"/>
        <v/>
      </c>
      <c r="K1981" s="26"/>
      <c r="L1981" s="26"/>
      <c r="M1981" s="20" t="str">
        <f t="shared" si="30"/>
        <v/>
      </c>
      <c r="N1981" s="8" t="str">
        <f t="shared" si="3"/>
        <v/>
      </c>
      <c r="O1981" s="21" t="str">
        <f t="shared" si="22"/>
        <v/>
      </c>
      <c r="P1981" s="24" t="b">
        <v>0</v>
      </c>
      <c r="Q1981" s="20" t="str">
        <f t="shared" si="31"/>
        <v/>
      </c>
      <c r="R1981" s="24" t="b">
        <v>0</v>
      </c>
      <c r="S1981" s="7" t="str">
        <f t="shared" si="6"/>
        <v/>
      </c>
      <c r="T1981" s="7"/>
    </row>
    <row r="1982" ht="22.5" hidden="1" customHeight="1">
      <c r="B1982" s="7">
        <f t="shared" si="7"/>
        <v>1976</v>
      </c>
      <c r="C1982" s="40"/>
      <c r="D1982" s="19" t="str">
        <f t="array" ref="D1982">IFNA(_xlfn.XLOOKUP(C1982,Table_Tarikan_Warkah[Nomor Sertipikat],Table_Tarikan_Warkah[Nomor Tiket]),"")</f>
        <v/>
      </c>
      <c r="E1982" s="20" t="str">
        <f t="array" ref="E1982">IFNA(_xlfn.XLOOKUP(D1982,Table_Tarikan_Warkah[Nomor Tiket],Table_Tarikan_Warkah[Tanggal diserahkan kepada Validator]),"")</f>
        <v/>
      </c>
      <c r="F1982" s="20" t="str">
        <f t="array" ref="F1982">IFNA(_xlfn.XLOOKUP(D1982,Table_Tarikan_Warkah[Nomor Tiket],Table_Tarikan_Warkah[Nama Petugas Warkah]),"")</f>
        <v/>
      </c>
      <c r="G1982" s="21" t="str">
        <f t="array" ref="G1982">IFNA(_xlfn.XLOOKUP(D1982,Table_Tarikan_Warkah[Nomor Tiket],Table_Tarikan_Warkah[Jenis Permohonan]),"")</f>
        <v/>
      </c>
      <c r="H1982" s="26"/>
      <c r="I1982" s="26"/>
      <c r="J1982" s="20" t="str">
        <f t="shared" si="29"/>
        <v/>
      </c>
      <c r="K1982" s="26"/>
      <c r="L1982" s="26"/>
      <c r="M1982" s="20" t="str">
        <f t="shared" si="30"/>
        <v/>
      </c>
      <c r="N1982" s="8" t="str">
        <f t="shared" si="3"/>
        <v/>
      </c>
      <c r="O1982" s="21" t="str">
        <f t="shared" si="22"/>
        <v/>
      </c>
      <c r="P1982" s="24" t="b">
        <v>0</v>
      </c>
      <c r="Q1982" s="20" t="str">
        <f t="shared" si="31"/>
        <v/>
      </c>
      <c r="R1982" s="24" t="b">
        <v>0</v>
      </c>
      <c r="S1982" s="7" t="str">
        <f t="shared" si="6"/>
        <v/>
      </c>
      <c r="T1982" s="7"/>
    </row>
    <row r="1983" ht="22.5" hidden="1" customHeight="1">
      <c r="B1983" s="7">
        <f t="shared" si="7"/>
        <v>1977</v>
      </c>
      <c r="C1983" s="40"/>
      <c r="D1983" s="19" t="str">
        <f t="array" ref="D1983">IFNA(_xlfn.XLOOKUP(C1983,Table_Tarikan_Warkah[Nomor Sertipikat],Table_Tarikan_Warkah[Nomor Tiket]),"")</f>
        <v/>
      </c>
      <c r="E1983" s="20" t="str">
        <f t="array" ref="E1983">IFNA(_xlfn.XLOOKUP(D1983,Table_Tarikan_Warkah[Nomor Tiket],Table_Tarikan_Warkah[Tanggal diserahkan kepada Validator]),"")</f>
        <v/>
      </c>
      <c r="F1983" s="20" t="str">
        <f t="array" ref="F1983">IFNA(_xlfn.XLOOKUP(D1983,Table_Tarikan_Warkah[Nomor Tiket],Table_Tarikan_Warkah[Nama Petugas Warkah]),"")</f>
        <v/>
      </c>
      <c r="G1983" s="21" t="str">
        <f t="array" ref="G1983">IFNA(_xlfn.XLOOKUP(D1983,Table_Tarikan_Warkah[Nomor Tiket],Table_Tarikan_Warkah[Jenis Permohonan]),"")</f>
        <v/>
      </c>
      <c r="H1983" s="26"/>
      <c r="I1983" s="26"/>
      <c r="J1983" s="20" t="str">
        <f t="shared" si="29"/>
        <v/>
      </c>
      <c r="K1983" s="26"/>
      <c r="L1983" s="26"/>
      <c r="M1983" s="20" t="str">
        <f t="shared" si="30"/>
        <v/>
      </c>
      <c r="N1983" s="8" t="str">
        <f t="shared" si="3"/>
        <v/>
      </c>
      <c r="O1983" s="21" t="str">
        <f t="shared" si="22"/>
        <v/>
      </c>
      <c r="P1983" s="24" t="b">
        <v>0</v>
      </c>
      <c r="Q1983" s="20" t="str">
        <f t="shared" si="31"/>
        <v/>
      </c>
      <c r="R1983" s="24" t="b">
        <v>0</v>
      </c>
      <c r="S1983" s="7" t="str">
        <f t="shared" si="6"/>
        <v/>
      </c>
      <c r="T1983" s="7"/>
    </row>
    <row r="1984" ht="22.5" hidden="1" customHeight="1">
      <c r="B1984" s="7">
        <f t="shared" si="7"/>
        <v>1978</v>
      </c>
      <c r="C1984" s="40"/>
      <c r="D1984" s="19" t="str">
        <f t="array" ref="D1984">IFNA(_xlfn.XLOOKUP(C1984,Table_Tarikan_Warkah[Nomor Sertipikat],Table_Tarikan_Warkah[Nomor Tiket]),"")</f>
        <v/>
      </c>
      <c r="E1984" s="20" t="str">
        <f t="array" ref="E1984">IFNA(_xlfn.XLOOKUP(D1984,Table_Tarikan_Warkah[Nomor Tiket],Table_Tarikan_Warkah[Tanggal diserahkan kepada Validator]),"")</f>
        <v/>
      </c>
      <c r="F1984" s="20" t="str">
        <f t="array" ref="F1984">IFNA(_xlfn.XLOOKUP(D1984,Table_Tarikan_Warkah[Nomor Tiket],Table_Tarikan_Warkah[Nama Petugas Warkah]),"")</f>
        <v/>
      </c>
      <c r="G1984" s="21" t="str">
        <f t="array" ref="G1984">IFNA(_xlfn.XLOOKUP(D1984,Table_Tarikan_Warkah[Nomor Tiket],Table_Tarikan_Warkah[Jenis Permohonan]),"")</f>
        <v/>
      </c>
      <c r="H1984" s="26"/>
      <c r="I1984" s="26"/>
      <c r="J1984" s="20" t="str">
        <f t="shared" si="29"/>
        <v/>
      </c>
      <c r="K1984" s="26"/>
      <c r="L1984" s="26"/>
      <c r="M1984" s="20" t="str">
        <f t="shared" si="30"/>
        <v/>
      </c>
      <c r="N1984" s="8" t="str">
        <f t="shared" si="3"/>
        <v/>
      </c>
      <c r="O1984" s="21" t="str">
        <f t="shared" si="22"/>
        <v/>
      </c>
      <c r="P1984" s="24" t="b">
        <v>0</v>
      </c>
      <c r="Q1984" s="20" t="str">
        <f t="shared" si="31"/>
        <v/>
      </c>
      <c r="R1984" s="24" t="b">
        <v>0</v>
      </c>
      <c r="S1984" s="7" t="str">
        <f t="shared" si="6"/>
        <v/>
      </c>
      <c r="T1984" s="7"/>
    </row>
    <row r="1985" ht="22.5" hidden="1" customHeight="1">
      <c r="B1985" s="7">
        <f t="shared" si="7"/>
        <v>1979</v>
      </c>
      <c r="C1985" s="40"/>
      <c r="D1985" s="19" t="str">
        <f t="array" ref="D1985">IFNA(_xlfn.XLOOKUP(C1985,Table_Tarikan_Warkah[Nomor Sertipikat],Table_Tarikan_Warkah[Nomor Tiket]),"")</f>
        <v/>
      </c>
      <c r="E1985" s="20" t="str">
        <f t="array" ref="E1985">IFNA(_xlfn.XLOOKUP(D1985,Table_Tarikan_Warkah[Nomor Tiket],Table_Tarikan_Warkah[Tanggal diserahkan kepada Validator]),"")</f>
        <v/>
      </c>
      <c r="F1985" s="20" t="str">
        <f t="array" ref="F1985">IFNA(_xlfn.XLOOKUP(D1985,Table_Tarikan_Warkah[Nomor Tiket],Table_Tarikan_Warkah[Nama Petugas Warkah]),"")</f>
        <v/>
      </c>
      <c r="G1985" s="21" t="str">
        <f t="array" ref="G1985">IFNA(_xlfn.XLOOKUP(D1985,Table_Tarikan_Warkah[Nomor Tiket],Table_Tarikan_Warkah[Jenis Permohonan]),"")</f>
        <v/>
      </c>
      <c r="H1985" s="26"/>
      <c r="I1985" s="26"/>
      <c r="J1985" s="20" t="str">
        <f t="shared" si="29"/>
        <v/>
      </c>
      <c r="K1985" s="26"/>
      <c r="L1985" s="26"/>
      <c r="M1985" s="20" t="str">
        <f t="shared" si="30"/>
        <v/>
      </c>
      <c r="N1985" s="8" t="str">
        <f t="shared" si="3"/>
        <v/>
      </c>
      <c r="O1985" s="21" t="str">
        <f t="shared" si="22"/>
        <v/>
      </c>
      <c r="P1985" s="24" t="b">
        <v>0</v>
      </c>
      <c r="Q1985" s="20" t="str">
        <f t="shared" si="31"/>
        <v/>
      </c>
      <c r="R1985" s="24" t="b">
        <v>0</v>
      </c>
      <c r="S1985" s="7" t="str">
        <f t="shared" si="6"/>
        <v/>
      </c>
      <c r="T1985" s="7"/>
    </row>
    <row r="1986" ht="22.5" hidden="1" customHeight="1">
      <c r="B1986" s="7">
        <f t="shared" si="7"/>
        <v>1980</v>
      </c>
      <c r="C1986" s="40"/>
      <c r="D1986" s="19" t="str">
        <f t="array" ref="D1986">IFNA(_xlfn.XLOOKUP(C1986,Table_Tarikan_Warkah[Nomor Sertipikat],Table_Tarikan_Warkah[Nomor Tiket]),"")</f>
        <v/>
      </c>
      <c r="E1986" s="20" t="str">
        <f t="array" ref="E1986">IFNA(_xlfn.XLOOKUP(D1986,Table_Tarikan_Warkah[Nomor Tiket],Table_Tarikan_Warkah[Tanggal diserahkan kepada Validator]),"")</f>
        <v/>
      </c>
      <c r="F1986" s="20" t="str">
        <f t="array" ref="F1986">IFNA(_xlfn.XLOOKUP(D1986,Table_Tarikan_Warkah[Nomor Tiket],Table_Tarikan_Warkah[Nama Petugas Warkah]),"")</f>
        <v/>
      </c>
      <c r="G1986" s="21" t="str">
        <f t="array" ref="G1986">IFNA(_xlfn.XLOOKUP(D1986,Table_Tarikan_Warkah[Nomor Tiket],Table_Tarikan_Warkah[Jenis Permohonan]),"")</f>
        <v/>
      </c>
      <c r="H1986" s="26"/>
      <c r="I1986" s="26"/>
      <c r="J1986" s="20" t="str">
        <f t="shared" si="29"/>
        <v/>
      </c>
      <c r="K1986" s="26"/>
      <c r="L1986" s="26"/>
      <c r="M1986" s="20" t="str">
        <f t="shared" si="30"/>
        <v/>
      </c>
      <c r="N1986" s="8" t="str">
        <f t="shared" si="3"/>
        <v/>
      </c>
      <c r="O1986" s="21" t="str">
        <f t="shared" si="22"/>
        <v/>
      </c>
      <c r="P1986" s="24" t="b">
        <v>0</v>
      </c>
      <c r="Q1986" s="20" t="str">
        <f t="shared" si="31"/>
        <v/>
      </c>
      <c r="R1986" s="24" t="b">
        <v>0</v>
      </c>
      <c r="S1986" s="7" t="str">
        <f t="shared" si="6"/>
        <v/>
      </c>
      <c r="T1986" s="7"/>
    </row>
    <row r="1987" ht="22.5" hidden="1" customHeight="1">
      <c r="B1987" s="7">
        <f t="shared" si="7"/>
        <v>1981</v>
      </c>
      <c r="C1987" s="40"/>
      <c r="D1987" s="19" t="str">
        <f t="array" ref="D1987">IFNA(_xlfn.XLOOKUP(C1987,Table_Tarikan_Warkah[Nomor Sertipikat],Table_Tarikan_Warkah[Nomor Tiket]),"")</f>
        <v/>
      </c>
      <c r="E1987" s="20" t="str">
        <f t="array" ref="E1987">IFNA(_xlfn.XLOOKUP(D1987,Table_Tarikan_Warkah[Nomor Tiket],Table_Tarikan_Warkah[Tanggal diserahkan kepada Validator]),"")</f>
        <v/>
      </c>
      <c r="F1987" s="20" t="str">
        <f t="array" ref="F1987">IFNA(_xlfn.XLOOKUP(D1987,Table_Tarikan_Warkah[Nomor Tiket],Table_Tarikan_Warkah[Nama Petugas Warkah]),"")</f>
        <v/>
      </c>
      <c r="G1987" s="21" t="str">
        <f t="array" ref="G1987">IFNA(_xlfn.XLOOKUP(D1987,Table_Tarikan_Warkah[Nomor Tiket],Table_Tarikan_Warkah[Jenis Permohonan]),"")</f>
        <v/>
      </c>
      <c r="H1987" s="26"/>
      <c r="I1987" s="26"/>
      <c r="J1987" s="20" t="str">
        <f t="shared" si="29"/>
        <v/>
      </c>
      <c r="K1987" s="26"/>
      <c r="L1987" s="26"/>
      <c r="M1987" s="20" t="str">
        <f t="shared" si="30"/>
        <v/>
      </c>
      <c r="N1987" s="8" t="str">
        <f t="shared" si="3"/>
        <v/>
      </c>
      <c r="O1987" s="21" t="str">
        <f t="shared" si="22"/>
        <v/>
      </c>
      <c r="P1987" s="24" t="b">
        <v>0</v>
      </c>
      <c r="Q1987" s="20" t="str">
        <f t="shared" si="31"/>
        <v/>
      </c>
      <c r="R1987" s="24" t="b">
        <v>0</v>
      </c>
      <c r="S1987" s="7" t="str">
        <f t="shared" si="6"/>
        <v/>
      </c>
      <c r="T1987" s="7"/>
    </row>
    <row r="1988" ht="22.5" hidden="1" customHeight="1">
      <c r="B1988" s="7">
        <f t="shared" si="7"/>
        <v>1982</v>
      </c>
      <c r="C1988" s="40"/>
      <c r="D1988" s="19" t="str">
        <f t="array" ref="D1988">IFNA(_xlfn.XLOOKUP(C1988,Table_Tarikan_Warkah[Nomor Sertipikat],Table_Tarikan_Warkah[Nomor Tiket]),"")</f>
        <v/>
      </c>
      <c r="E1988" s="20" t="str">
        <f t="array" ref="E1988">IFNA(_xlfn.XLOOKUP(D1988,Table_Tarikan_Warkah[Nomor Tiket],Table_Tarikan_Warkah[Tanggal diserahkan kepada Validator]),"")</f>
        <v/>
      </c>
      <c r="F1988" s="20" t="str">
        <f t="array" ref="F1988">IFNA(_xlfn.XLOOKUP(D1988,Table_Tarikan_Warkah[Nomor Tiket],Table_Tarikan_Warkah[Nama Petugas Warkah]),"")</f>
        <v/>
      </c>
      <c r="G1988" s="21" t="str">
        <f t="array" ref="G1988">IFNA(_xlfn.XLOOKUP(D1988,Table_Tarikan_Warkah[Nomor Tiket],Table_Tarikan_Warkah[Jenis Permohonan]),"")</f>
        <v/>
      </c>
      <c r="H1988" s="26"/>
      <c r="I1988" s="26"/>
      <c r="J1988" s="20" t="str">
        <f t="shared" si="29"/>
        <v/>
      </c>
      <c r="K1988" s="26"/>
      <c r="L1988" s="26"/>
      <c r="M1988" s="20" t="str">
        <f t="shared" si="30"/>
        <v/>
      </c>
      <c r="N1988" s="8" t="str">
        <f t="shared" si="3"/>
        <v/>
      </c>
      <c r="O1988" s="21" t="str">
        <f t="shared" si="22"/>
        <v/>
      </c>
      <c r="P1988" s="24" t="b">
        <v>0</v>
      </c>
      <c r="Q1988" s="20" t="str">
        <f t="shared" si="31"/>
        <v/>
      </c>
      <c r="R1988" s="24" t="b">
        <v>0</v>
      </c>
      <c r="S1988" s="7" t="str">
        <f t="shared" si="6"/>
        <v/>
      </c>
      <c r="T1988" s="7"/>
    </row>
    <row r="1989" ht="22.5" hidden="1" customHeight="1">
      <c r="B1989" s="7">
        <f t="shared" si="7"/>
        <v>1983</v>
      </c>
      <c r="C1989" s="40"/>
      <c r="D1989" s="19" t="str">
        <f t="array" ref="D1989">IFNA(_xlfn.XLOOKUP(C1989,Table_Tarikan_Warkah[Nomor Sertipikat],Table_Tarikan_Warkah[Nomor Tiket]),"")</f>
        <v/>
      </c>
      <c r="E1989" s="20" t="str">
        <f t="array" ref="E1989">IFNA(_xlfn.XLOOKUP(D1989,Table_Tarikan_Warkah[Nomor Tiket],Table_Tarikan_Warkah[Tanggal diserahkan kepada Validator]),"")</f>
        <v/>
      </c>
      <c r="F1989" s="20" t="str">
        <f t="array" ref="F1989">IFNA(_xlfn.XLOOKUP(D1989,Table_Tarikan_Warkah[Nomor Tiket],Table_Tarikan_Warkah[Nama Petugas Warkah]),"")</f>
        <v/>
      </c>
      <c r="G1989" s="21" t="str">
        <f t="array" ref="G1989">IFNA(_xlfn.XLOOKUP(D1989,Table_Tarikan_Warkah[Nomor Tiket],Table_Tarikan_Warkah[Jenis Permohonan]),"")</f>
        <v/>
      </c>
      <c r="H1989" s="26"/>
      <c r="I1989" s="26"/>
      <c r="J1989" s="20" t="str">
        <f t="shared" si="29"/>
        <v/>
      </c>
      <c r="K1989" s="26"/>
      <c r="L1989" s="26"/>
      <c r="M1989" s="20" t="str">
        <f t="shared" si="30"/>
        <v/>
      </c>
      <c r="N1989" s="8" t="str">
        <f t="shared" si="3"/>
        <v/>
      </c>
      <c r="O1989" s="21" t="str">
        <f t="shared" si="22"/>
        <v/>
      </c>
      <c r="P1989" s="24" t="b">
        <v>0</v>
      </c>
      <c r="Q1989" s="20" t="str">
        <f t="shared" si="31"/>
        <v/>
      </c>
      <c r="R1989" s="24" t="b">
        <v>0</v>
      </c>
      <c r="S1989" s="7" t="str">
        <f t="shared" si="6"/>
        <v/>
      </c>
      <c r="T1989" s="7"/>
    </row>
    <row r="1990" ht="22.5" hidden="1" customHeight="1">
      <c r="B1990" s="7">
        <f t="shared" si="7"/>
        <v>1984</v>
      </c>
      <c r="C1990" s="40"/>
      <c r="D1990" s="19" t="str">
        <f t="array" ref="D1990">IFNA(_xlfn.XLOOKUP(C1990,Table_Tarikan_Warkah[Nomor Sertipikat],Table_Tarikan_Warkah[Nomor Tiket]),"")</f>
        <v/>
      </c>
      <c r="E1990" s="20" t="str">
        <f t="array" ref="E1990">IFNA(_xlfn.XLOOKUP(D1990,Table_Tarikan_Warkah[Nomor Tiket],Table_Tarikan_Warkah[Tanggal diserahkan kepada Validator]),"")</f>
        <v/>
      </c>
      <c r="F1990" s="20" t="str">
        <f t="array" ref="F1990">IFNA(_xlfn.XLOOKUP(D1990,Table_Tarikan_Warkah[Nomor Tiket],Table_Tarikan_Warkah[Nama Petugas Warkah]),"")</f>
        <v/>
      </c>
      <c r="G1990" s="21" t="str">
        <f t="array" ref="G1990">IFNA(_xlfn.XLOOKUP(D1990,Table_Tarikan_Warkah[Nomor Tiket],Table_Tarikan_Warkah[Jenis Permohonan]),"")</f>
        <v/>
      </c>
      <c r="H1990" s="26"/>
      <c r="I1990" s="26"/>
      <c r="J1990" s="20" t="str">
        <f t="shared" si="29"/>
        <v/>
      </c>
      <c r="K1990" s="26"/>
      <c r="L1990" s="26"/>
      <c r="M1990" s="20" t="str">
        <f t="shared" si="30"/>
        <v/>
      </c>
      <c r="N1990" s="8" t="str">
        <f t="shared" si="3"/>
        <v/>
      </c>
      <c r="O1990" s="21" t="str">
        <f t="shared" si="22"/>
        <v/>
      </c>
      <c r="P1990" s="24" t="b">
        <v>0</v>
      </c>
      <c r="Q1990" s="20" t="str">
        <f t="shared" si="31"/>
        <v/>
      </c>
      <c r="R1990" s="24" t="b">
        <v>0</v>
      </c>
      <c r="S1990" s="7" t="str">
        <f t="shared" si="6"/>
        <v/>
      </c>
      <c r="T1990" s="7"/>
    </row>
    <row r="1991" ht="22.5" hidden="1" customHeight="1">
      <c r="B1991" s="7">
        <f t="shared" si="7"/>
        <v>1985</v>
      </c>
      <c r="C1991" s="40"/>
      <c r="D1991" s="19" t="str">
        <f t="array" ref="D1991">IFNA(_xlfn.XLOOKUP(C1991,Table_Tarikan_Warkah[Nomor Sertipikat],Table_Tarikan_Warkah[Nomor Tiket]),"")</f>
        <v/>
      </c>
      <c r="E1991" s="20" t="str">
        <f t="array" ref="E1991">IFNA(_xlfn.XLOOKUP(D1991,Table_Tarikan_Warkah[Nomor Tiket],Table_Tarikan_Warkah[Tanggal diserahkan kepada Validator]),"")</f>
        <v/>
      </c>
      <c r="F1991" s="20" t="str">
        <f t="array" ref="F1991">IFNA(_xlfn.XLOOKUP(D1991,Table_Tarikan_Warkah[Nomor Tiket],Table_Tarikan_Warkah[Nama Petugas Warkah]),"")</f>
        <v/>
      </c>
      <c r="G1991" s="21" t="str">
        <f t="array" ref="G1991">IFNA(_xlfn.XLOOKUP(D1991,Table_Tarikan_Warkah[Nomor Tiket],Table_Tarikan_Warkah[Jenis Permohonan]),"")</f>
        <v/>
      </c>
      <c r="H1991" s="26"/>
      <c r="I1991" s="26"/>
      <c r="J1991" s="20" t="str">
        <f t="shared" si="29"/>
        <v/>
      </c>
      <c r="K1991" s="26"/>
      <c r="L1991" s="26"/>
      <c r="M1991" s="20" t="str">
        <f t="shared" si="30"/>
        <v/>
      </c>
      <c r="N1991" s="8" t="str">
        <f t="shared" si="3"/>
        <v/>
      </c>
      <c r="O1991" s="21" t="str">
        <f t="shared" si="22"/>
        <v/>
      </c>
      <c r="P1991" s="24" t="b">
        <v>0</v>
      </c>
      <c r="Q1991" s="20" t="str">
        <f t="shared" si="31"/>
        <v/>
      </c>
      <c r="R1991" s="24" t="b">
        <v>0</v>
      </c>
      <c r="S1991" s="7" t="str">
        <f t="shared" si="6"/>
        <v/>
      </c>
      <c r="T1991" s="7"/>
    </row>
    <row r="1992" ht="22.5" hidden="1" customHeight="1">
      <c r="B1992" s="7">
        <f t="shared" si="7"/>
        <v>1986</v>
      </c>
      <c r="C1992" s="40"/>
      <c r="D1992" s="19" t="str">
        <f t="array" ref="D1992">IFNA(_xlfn.XLOOKUP(C1992,Table_Tarikan_Warkah[Nomor Sertipikat],Table_Tarikan_Warkah[Nomor Tiket]),"")</f>
        <v/>
      </c>
      <c r="E1992" s="20" t="str">
        <f t="array" ref="E1992">IFNA(_xlfn.XLOOKUP(D1992,Table_Tarikan_Warkah[Nomor Tiket],Table_Tarikan_Warkah[Tanggal diserahkan kepada Validator]),"")</f>
        <v/>
      </c>
      <c r="F1992" s="20" t="str">
        <f t="array" ref="F1992">IFNA(_xlfn.XLOOKUP(D1992,Table_Tarikan_Warkah[Nomor Tiket],Table_Tarikan_Warkah[Nama Petugas Warkah]),"")</f>
        <v/>
      </c>
      <c r="G1992" s="21" t="str">
        <f t="array" ref="G1992">IFNA(_xlfn.XLOOKUP(D1992,Table_Tarikan_Warkah[Nomor Tiket],Table_Tarikan_Warkah[Jenis Permohonan]),"")</f>
        <v/>
      </c>
      <c r="H1992" s="26"/>
      <c r="I1992" s="26"/>
      <c r="J1992" s="20" t="str">
        <f t="shared" si="29"/>
        <v/>
      </c>
      <c r="K1992" s="26"/>
      <c r="L1992" s="26"/>
      <c r="M1992" s="20" t="str">
        <f t="shared" si="30"/>
        <v/>
      </c>
      <c r="N1992" s="8" t="str">
        <f t="shared" si="3"/>
        <v/>
      </c>
      <c r="O1992" s="21" t="str">
        <f t="shared" si="22"/>
        <v/>
      </c>
      <c r="P1992" s="24" t="b">
        <v>0</v>
      </c>
      <c r="Q1992" s="20" t="str">
        <f t="shared" si="31"/>
        <v/>
      </c>
      <c r="R1992" s="24" t="b">
        <v>0</v>
      </c>
      <c r="S1992" s="7" t="str">
        <f t="shared" si="6"/>
        <v/>
      </c>
      <c r="T1992" s="7"/>
    </row>
    <row r="1993" ht="22.5" hidden="1" customHeight="1">
      <c r="B1993" s="7">
        <f t="shared" si="7"/>
        <v>1987</v>
      </c>
      <c r="C1993" s="40"/>
      <c r="D1993" s="19" t="str">
        <f t="array" ref="D1993">IFNA(_xlfn.XLOOKUP(C1993,Table_Tarikan_Warkah[Nomor Sertipikat],Table_Tarikan_Warkah[Nomor Tiket]),"")</f>
        <v/>
      </c>
      <c r="E1993" s="20" t="str">
        <f t="array" ref="E1993">IFNA(_xlfn.XLOOKUP(D1993,Table_Tarikan_Warkah[Nomor Tiket],Table_Tarikan_Warkah[Tanggal diserahkan kepada Validator]),"")</f>
        <v/>
      </c>
      <c r="F1993" s="20" t="str">
        <f t="array" ref="F1993">IFNA(_xlfn.XLOOKUP(D1993,Table_Tarikan_Warkah[Nomor Tiket],Table_Tarikan_Warkah[Nama Petugas Warkah]),"")</f>
        <v/>
      </c>
      <c r="G1993" s="21" t="str">
        <f t="array" ref="G1993">IFNA(_xlfn.XLOOKUP(D1993,Table_Tarikan_Warkah[Nomor Tiket],Table_Tarikan_Warkah[Jenis Permohonan]),"")</f>
        <v/>
      </c>
      <c r="H1993" s="26"/>
      <c r="I1993" s="26"/>
      <c r="J1993" s="20" t="str">
        <f t="shared" si="29"/>
        <v/>
      </c>
      <c r="K1993" s="26"/>
      <c r="L1993" s="26"/>
      <c r="M1993" s="20" t="str">
        <f t="shared" si="30"/>
        <v/>
      </c>
      <c r="N1993" s="8" t="str">
        <f t="shared" si="3"/>
        <v/>
      </c>
      <c r="O1993" s="21" t="str">
        <f t="shared" si="22"/>
        <v/>
      </c>
      <c r="P1993" s="24" t="b">
        <v>0</v>
      </c>
      <c r="Q1993" s="20" t="str">
        <f t="shared" si="31"/>
        <v/>
      </c>
      <c r="R1993" s="24" t="b">
        <v>0</v>
      </c>
      <c r="S1993" s="7" t="str">
        <f t="shared" si="6"/>
        <v/>
      </c>
      <c r="T1993" s="7"/>
    </row>
    <row r="1994" ht="22.5" hidden="1" customHeight="1">
      <c r="B1994" s="7">
        <f t="shared" si="7"/>
        <v>1988</v>
      </c>
      <c r="C1994" s="40"/>
      <c r="D1994" s="19" t="str">
        <f t="array" ref="D1994">IFNA(_xlfn.XLOOKUP(C1994,Table_Tarikan_Warkah[Nomor Sertipikat],Table_Tarikan_Warkah[Nomor Tiket]),"")</f>
        <v/>
      </c>
      <c r="E1994" s="20" t="str">
        <f t="array" ref="E1994">IFNA(_xlfn.XLOOKUP(D1994,Table_Tarikan_Warkah[Nomor Tiket],Table_Tarikan_Warkah[Tanggal diserahkan kepada Validator]),"")</f>
        <v/>
      </c>
      <c r="F1994" s="20" t="str">
        <f t="array" ref="F1994">IFNA(_xlfn.XLOOKUP(D1994,Table_Tarikan_Warkah[Nomor Tiket],Table_Tarikan_Warkah[Nama Petugas Warkah]),"")</f>
        <v/>
      </c>
      <c r="G1994" s="21" t="str">
        <f t="array" ref="G1994">IFNA(_xlfn.XLOOKUP(D1994,Table_Tarikan_Warkah[Nomor Tiket],Table_Tarikan_Warkah[Jenis Permohonan]),"")</f>
        <v/>
      </c>
      <c r="H1994" s="26"/>
      <c r="I1994" s="26"/>
      <c r="J1994" s="20" t="str">
        <f t="shared" si="29"/>
        <v/>
      </c>
      <c r="K1994" s="26"/>
      <c r="L1994" s="26"/>
      <c r="M1994" s="20" t="str">
        <f t="shared" si="30"/>
        <v/>
      </c>
      <c r="N1994" s="8" t="str">
        <f t="shared" si="3"/>
        <v/>
      </c>
      <c r="O1994" s="21" t="str">
        <f t="shared" si="22"/>
        <v/>
      </c>
      <c r="P1994" s="24" t="b">
        <v>0</v>
      </c>
      <c r="Q1994" s="20" t="str">
        <f t="shared" si="31"/>
        <v/>
      </c>
      <c r="R1994" s="24" t="b">
        <v>0</v>
      </c>
      <c r="S1994" s="7" t="str">
        <f t="shared" si="6"/>
        <v/>
      </c>
      <c r="T1994" s="7"/>
    </row>
    <row r="1995" ht="22.5" hidden="1" customHeight="1">
      <c r="B1995" s="7">
        <f t="shared" si="7"/>
        <v>1989</v>
      </c>
      <c r="C1995" s="40"/>
      <c r="D1995" s="19" t="str">
        <f t="array" ref="D1995">IFNA(_xlfn.XLOOKUP(C1995,Table_Tarikan_Warkah[Nomor Sertipikat],Table_Tarikan_Warkah[Nomor Tiket]),"")</f>
        <v/>
      </c>
      <c r="E1995" s="20" t="str">
        <f t="array" ref="E1995">IFNA(_xlfn.XLOOKUP(D1995,Table_Tarikan_Warkah[Nomor Tiket],Table_Tarikan_Warkah[Tanggal diserahkan kepada Validator]),"")</f>
        <v/>
      </c>
      <c r="F1995" s="20" t="str">
        <f t="array" ref="F1995">IFNA(_xlfn.XLOOKUP(D1995,Table_Tarikan_Warkah[Nomor Tiket],Table_Tarikan_Warkah[Nama Petugas Warkah]),"")</f>
        <v/>
      </c>
      <c r="G1995" s="21" t="str">
        <f t="array" ref="G1995">IFNA(_xlfn.XLOOKUP(D1995,Table_Tarikan_Warkah[Nomor Tiket],Table_Tarikan_Warkah[Jenis Permohonan]),"")</f>
        <v/>
      </c>
      <c r="H1995" s="26"/>
      <c r="I1995" s="26"/>
      <c r="J1995" s="20" t="str">
        <f t="shared" si="29"/>
        <v/>
      </c>
      <c r="K1995" s="26"/>
      <c r="L1995" s="26"/>
      <c r="M1995" s="20" t="str">
        <f t="shared" si="30"/>
        <v/>
      </c>
      <c r="N1995" s="8" t="str">
        <f t="shared" si="3"/>
        <v/>
      </c>
      <c r="O1995" s="21" t="str">
        <f t="shared" si="22"/>
        <v/>
      </c>
      <c r="P1995" s="24" t="b">
        <v>0</v>
      </c>
      <c r="Q1995" s="20" t="str">
        <f t="shared" si="31"/>
        <v/>
      </c>
      <c r="R1995" s="24" t="b">
        <v>0</v>
      </c>
      <c r="S1995" s="7" t="str">
        <f t="shared" si="6"/>
        <v/>
      </c>
      <c r="T1995" s="7"/>
    </row>
    <row r="1996" ht="22.5" hidden="1" customHeight="1">
      <c r="B1996" s="7">
        <f t="shared" si="7"/>
        <v>1990</v>
      </c>
      <c r="C1996" s="40"/>
      <c r="D1996" s="19" t="str">
        <f t="array" ref="D1996">IFNA(_xlfn.XLOOKUP(C1996,Table_Tarikan_Warkah[Nomor Sertipikat],Table_Tarikan_Warkah[Nomor Tiket]),"")</f>
        <v/>
      </c>
      <c r="E1996" s="20" t="str">
        <f t="array" ref="E1996">IFNA(_xlfn.XLOOKUP(D1996,Table_Tarikan_Warkah[Nomor Tiket],Table_Tarikan_Warkah[Tanggal diserahkan kepada Validator]),"")</f>
        <v/>
      </c>
      <c r="F1996" s="20" t="str">
        <f t="array" ref="F1996">IFNA(_xlfn.XLOOKUP(D1996,Table_Tarikan_Warkah[Nomor Tiket],Table_Tarikan_Warkah[Nama Petugas Warkah]),"")</f>
        <v/>
      </c>
      <c r="G1996" s="21" t="str">
        <f t="array" ref="G1996">IFNA(_xlfn.XLOOKUP(D1996,Table_Tarikan_Warkah[Nomor Tiket],Table_Tarikan_Warkah[Jenis Permohonan]),"")</f>
        <v/>
      </c>
      <c r="H1996" s="26"/>
      <c r="I1996" s="26"/>
      <c r="J1996" s="20" t="str">
        <f t="shared" si="29"/>
        <v/>
      </c>
      <c r="K1996" s="26"/>
      <c r="L1996" s="26"/>
      <c r="M1996" s="20" t="str">
        <f t="shared" si="30"/>
        <v/>
      </c>
      <c r="N1996" s="8" t="str">
        <f t="shared" si="3"/>
        <v/>
      </c>
      <c r="O1996" s="21" t="str">
        <f t="shared" si="22"/>
        <v/>
      </c>
      <c r="P1996" s="24" t="b">
        <v>0</v>
      </c>
      <c r="Q1996" s="20" t="str">
        <f t="shared" si="31"/>
        <v/>
      </c>
      <c r="R1996" s="24" t="b">
        <v>0</v>
      </c>
      <c r="S1996" s="7" t="str">
        <f t="shared" si="6"/>
        <v/>
      </c>
      <c r="T1996" s="7"/>
    </row>
    <row r="1997" ht="22.5" hidden="1" customHeight="1">
      <c r="B1997" s="7">
        <f t="shared" si="7"/>
        <v>1991</v>
      </c>
      <c r="C1997" s="40"/>
      <c r="D1997" s="19" t="str">
        <f t="array" ref="D1997">IFNA(_xlfn.XLOOKUP(C1997,Table_Tarikan_Warkah[Nomor Sertipikat],Table_Tarikan_Warkah[Nomor Tiket]),"")</f>
        <v/>
      </c>
      <c r="E1997" s="20" t="str">
        <f t="array" ref="E1997">IFNA(_xlfn.XLOOKUP(D1997,Table_Tarikan_Warkah[Nomor Tiket],Table_Tarikan_Warkah[Tanggal diserahkan kepada Validator]),"")</f>
        <v/>
      </c>
      <c r="F1997" s="20" t="str">
        <f t="array" ref="F1997">IFNA(_xlfn.XLOOKUP(D1997,Table_Tarikan_Warkah[Nomor Tiket],Table_Tarikan_Warkah[Nama Petugas Warkah]),"")</f>
        <v/>
      </c>
      <c r="G1997" s="21" t="str">
        <f t="array" ref="G1997">IFNA(_xlfn.XLOOKUP(D1997,Table_Tarikan_Warkah[Nomor Tiket],Table_Tarikan_Warkah[Jenis Permohonan]),"")</f>
        <v/>
      </c>
      <c r="H1997" s="26"/>
      <c r="I1997" s="26"/>
      <c r="J1997" s="20" t="str">
        <f t="shared" si="29"/>
        <v/>
      </c>
      <c r="K1997" s="26"/>
      <c r="L1997" s="26"/>
      <c r="M1997" s="20" t="str">
        <f t="shared" si="30"/>
        <v/>
      </c>
      <c r="N1997" s="8" t="str">
        <f t="shared" si="3"/>
        <v/>
      </c>
      <c r="O1997" s="21" t="str">
        <f t="shared" si="22"/>
        <v/>
      </c>
      <c r="P1997" s="24" t="b">
        <v>0</v>
      </c>
      <c r="Q1997" s="20" t="str">
        <f t="shared" si="31"/>
        <v/>
      </c>
      <c r="R1997" s="24" t="b">
        <v>0</v>
      </c>
      <c r="S1997" s="7" t="str">
        <f t="shared" si="6"/>
        <v/>
      </c>
      <c r="T1997" s="7"/>
    </row>
    <row r="1998" ht="22.5" hidden="1" customHeight="1">
      <c r="B1998" s="7">
        <f t="shared" si="7"/>
        <v>1992</v>
      </c>
      <c r="C1998" s="40"/>
      <c r="D1998" s="19" t="str">
        <f t="array" ref="D1998">IFNA(_xlfn.XLOOKUP(C1998,Table_Tarikan_Warkah[Nomor Sertipikat],Table_Tarikan_Warkah[Nomor Tiket]),"")</f>
        <v/>
      </c>
      <c r="E1998" s="20" t="str">
        <f t="array" ref="E1998">IFNA(_xlfn.XLOOKUP(D1998,Table_Tarikan_Warkah[Nomor Tiket],Table_Tarikan_Warkah[Tanggal diserahkan kepada Validator]),"")</f>
        <v/>
      </c>
      <c r="F1998" s="20" t="str">
        <f t="array" ref="F1998">IFNA(_xlfn.XLOOKUP(D1998,Table_Tarikan_Warkah[Nomor Tiket],Table_Tarikan_Warkah[Nama Petugas Warkah]),"")</f>
        <v/>
      </c>
      <c r="G1998" s="21" t="str">
        <f t="array" ref="G1998">IFNA(_xlfn.XLOOKUP(D1998,Table_Tarikan_Warkah[Nomor Tiket],Table_Tarikan_Warkah[Jenis Permohonan]),"")</f>
        <v/>
      </c>
      <c r="H1998" s="26"/>
      <c r="I1998" s="26"/>
      <c r="J1998" s="20" t="str">
        <f t="shared" si="29"/>
        <v/>
      </c>
      <c r="K1998" s="26"/>
      <c r="L1998" s="26"/>
      <c r="M1998" s="20" t="str">
        <f t="shared" si="30"/>
        <v/>
      </c>
      <c r="N1998" s="8" t="str">
        <f t="shared" si="3"/>
        <v/>
      </c>
      <c r="O1998" s="21" t="str">
        <f t="shared" si="22"/>
        <v/>
      </c>
      <c r="P1998" s="24" t="b">
        <v>0</v>
      </c>
      <c r="Q1998" s="20" t="str">
        <f t="shared" si="31"/>
        <v/>
      </c>
      <c r="R1998" s="24" t="b">
        <v>0</v>
      </c>
      <c r="S1998" s="7" t="str">
        <f t="shared" si="6"/>
        <v/>
      </c>
      <c r="T1998" s="7"/>
    </row>
    <row r="1999" ht="22.5" hidden="1" customHeight="1">
      <c r="B1999" s="7">
        <f t="shared" si="7"/>
        <v>1993</v>
      </c>
      <c r="C1999" s="40"/>
      <c r="D1999" s="19" t="str">
        <f t="array" ref="D1999">IFNA(_xlfn.XLOOKUP(C1999,Table_Tarikan_Warkah[Nomor Sertipikat],Table_Tarikan_Warkah[Nomor Tiket]),"")</f>
        <v/>
      </c>
      <c r="E1999" s="20" t="str">
        <f t="array" ref="E1999">IFNA(_xlfn.XLOOKUP(D1999,Table_Tarikan_Warkah[Nomor Tiket],Table_Tarikan_Warkah[Tanggal diserahkan kepada Validator]),"")</f>
        <v/>
      </c>
      <c r="F1999" s="20" t="str">
        <f t="array" ref="F1999">IFNA(_xlfn.XLOOKUP(D1999,Table_Tarikan_Warkah[Nomor Tiket],Table_Tarikan_Warkah[Nama Petugas Warkah]),"")</f>
        <v/>
      </c>
      <c r="G1999" s="21" t="str">
        <f t="array" ref="G1999">IFNA(_xlfn.XLOOKUP(D1999,Table_Tarikan_Warkah[Nomor Tiket],Table_Tarikan_Warkah[Jenis Permohonan]),"")</f>
        <v/>
      </c>
      <c r="H1999" s="26"/>
      <c r="I1999" s="26"/>
      <c r="J1999" s="20" t="str">
        <f t="shared" si="29"/>
        <v/>
      </c>
      <c r="K1999" s="26"/>
      <c r="L1999" s="26"/>
      <c r="M1999" s="20" t="str">
        <f t="shared" si="30"/>
        <v/>
      </c>
      <c r="N1999" s="8" t="str">
        <f t="shared" si="3"/>
        <v/>
      </c>
      <c r="O1999" s="21" t="str">
        <f t="shared" si="22"/>
        <v/>
      </c>
      <c r="P1999" s="24" t="b">
        <v>0</v>
      </c>
      <c r="Q1999" s="20" t="str">
        <f t="shared" si="31"/>
        <v/>
      </c>
      <c r="R1999" s="24" t="b">
        <v>0</v>
      </c>
      <c r="S1999" s="7" t="str">
        <f t="shared" si="6"/>
        <v/>
      </c>
      <c r="T1999" s="7"/>
    </row>
    <row r="2000" ht="22.5" hidden="1" customHeight="1">
      <c r="B2000" s="7">
        <f t="shared" si="7"/>
        <v>1994</v>
      </c>
      <c r="C2000" s="40"/>
      <c r="D2000" s="19" t="str">
        <f t="array" ref="D2000">IFNA(_xlfn.XLOOKUP(C2000,Table_Tarikan_Warkah[Nomor Sertipikat],Table_Tarikan_Warkah[Nomor Tiket]),"")</f>
        <v/>
      </c>
      <c r="E2000" s="20" t="str">
        <f t="array" ref="E2000">IFNA(_xlfn.XLOOKUP(D2000,Table_Tarikan_Warkah[Nomor Tiket],Table_Tarikan_Warkah[Tanggal diserahkan kepada Validator]),"")</f>
        <v/>
      </c>
      <c r="F2000" s="20" t="str">
        <f t="array" ref="F2000">IFNA(_xlfn.XLOOKUP(D2000,Table_Tarikan_Warkah[Nomor Tiket],Table_Tarikan_Warkah[Nama Petugas Warkah]),"")</f>
        <v/>
      </c>
      <c r="G2000" s="21" t="str">
        <f t="array" ref="G2000">IFNA(_xlfn.XLOOKUP(D2000,Table_Tarikan_Warkah[Nomor Tiket],Table_Tarikan_Warkah[Jenis Permohonan]),"")</f>
        <v/>
      </c>
      <c r="H2000" s="26"/>
      <c r="I2000" s="26"/>
      <c r="J2000" s="20" t="str">
        <f t="shared" si="29"/>
        <v/>
      </c>
      <c r="K2000" s="26"/>
      <c r="L2000" s="26"/>
      <c r="M2000" s="20" t="str">
        <f t="shared" si="30"/>
        <v/>
      </c>
      <c r="N2000" s="8" t="str">
        <f t="shared" si="3"/>
        <v/>
      </c>
      <c r="O2000" s="21" t="str">
        <f t="shared" si="22"/>
        <v/>
      </c>
      <c r="P2000" s="24" t="b">
        <v>0</v>
      </c>
      <c r="Q2000" s="20" t="str">
        <f t="shared" si="31"/>
        <v/>
      </c>
      <c r="R2000" s="24" t="b">
        <v>0</v>
      </c>
      <c r="S2000" s="7" t="str">
        <f t="shared" si="6"/>
        <v/>
      </c>
      <c r="T2000" s="7"/>
    </row>
    <row r="2001" ht="22.5" hidden="1" customHeight="1">
      <c r="B2001" s="7">
        <f t="shared" si="7"/>
        <v>1995</v>
      </c>
      <c r="C2001" s="40"/>
      <c r="D2001" s="19" t="str">
        <f t="array" ref="D2001">IFNA(_xlfn.XLOOKUP(C2001,Table_Tarikan_Warkah[Nomor Sertipikat],Table_Tarikan_Warkah[Nomor Tiket]),"")</f>
        <v/>
      </c>
      <c r="E2001" s="20" t="str">
        <f t="array" ref="E2001">IFNA(_xlfn.XLOOKUP(D2001,Table_Tarikan_Warkah[Nomor Tiket],Table_Tarikan_Warkah[Tanggal diserahkan kepada Validator]),"")</f>
        <v/>
      </c>
      <c r="F2001" s="20" t="str">
        <f t="array" ref="F2001">IFNA(_xlfn.XLOOKUP(D2001,Table_Tarikan_Warkah[Nomor Tiket],Table_Tarikan_Warkah[Nama Petugas Warkah]),"")</f>
        <v/>
      </c>
      <c r="G2001" s="21" t="str">
        <f t="array" ref="G2001">IFNA(_xlfn.XLOOKUP(D2001,Table_Tarikan_Warkah[Nomor Tiket],Table_Tarikan_Warkah[Jenis Permohonan]),"")</f>
        <v/>
      </c>
      <c r="H2001" s="26"/>
      <c r="I2001" s="26"/>
      <c r="J2001" s="20" t="str">
        <f t="shared" si="29"/>
        <v/>
      </c>
      <c r="K2001" s="26"/>
      <c r="L2001" s="26"/>
      <c r="M2001" s="20" t="str">
        <f t="shared" si="30"/>
        <v/>
      </c>
      <c r="N2001" s="8" t="str">
        <f t="shared" si="3"/>
        <v/>
      </c>
      <c r="O2001" s="21" t="str">
        <f t="shared" si="22"/>
        <v/>
      </c>
      <c r="P2001" s="24" t="b">
        <v>0</v>
      </c>
      <c r="Q2001" s="20" t="str">
        <f t="shared" si="31"/>
        <v/>
      </c>
      <c r="R2001" s="24" t="b">
        <v>0</v>
      </c>
      <c r="S2001" s="7" t="str">
        <f t="shared" si="6"/>
        <v/>
      </c>
      <c r="T2001" s="7"/>
    </row>
    <row r="2002" ht="22.5" hidden="1" customHeight="1">
      <c r="B2002" s="7">
        <f t="shared" si="7"/>
        <v>1996</v>
      </c>
      <c r="C2002" s="40"/>
      <c r="D2002" s="19" t="str">
        <f t="array" ref="D2002">IFNA(_xlfn.XLOOKUP(C2002,Table_Tarikan_Warkah[Nomor Sertipikat],Table_Tarikan_Warkah[Nomor Tiket]),"")</f>
        <v/>
      </c>
      <c r="E2002" s="20" t="str">
        <f t="array" ref="E2002">IFNA(_xlfn.XLOOKUP(D2002,Table_Tarikan_Warkah[Nomor Tiket],Table_Tarikan_Warkah[Tanggal diserahkan kepada Validator]),"")</f>
        <v/>
      </c>
      <c r="F2002" s="20" t="str">
        <f t="array" ref="F2002">IFNA(_xlfn.XLOOKUP(D2002,Table_Tarikan_Warkah[Nomor Tiket],Table_Tarikan_Warkah[Nama Petugas Warkah]),"")</f>
        <v/>
      </c>
      <c r="G2002" s="21" t="str">
        <f t="array" ref="G2002">IFNA(_xlfn.XLOOKUP(D2002,Table_Tarikan_Warkah[Nomor Tiket],Table_Tarikan_Warkah[Jenis Permohonan]),"")</f>
        <v/>
      </c>
      <c r="H2002" s="26"/>
      <c r="I2002" s="26"/>
      <c r="J2002" s="20" t="str">
        <f t="shared" si="29"/>
        <v/>
      </c>
      <c r="K2002" s="26"/>
      <c r="L2002" s="26"/>
      <c r="M2002" s="20" t="str">
        <f t="shared" si="30"/>
        <v/>
      </c>
      <c r="N2002" s="8" t="str">
        <f t="shared" si="3"/>
        <v/>
      </c>
      <c r="O2002" s="21" t="str">
        <f t="shared" si="22"/>
        <v/>
      </c>
      <c r="P2002" s="24" t="b">
        <v>0</v>
      </c>
      <c r="Q2002" s="20" t="str">
        <f t="shared" si="31"/>
        <v/>
      </c>
      <c r="R2002" s="24" t="b">
        <v>0</v>
      </c>
      <c r="S2002" s="7" t="str">
        <f t="shared" si="6"/>
        <v/>
      </c>
      <c r="T2002" s="7"/>
    </row>
    <row r="2003" ht="22.5" hidden="1" customHeight="1">
      <c r="B2003" s="7">
        <f t="shared" si="7"/>
        <v>1997</v>
      </c>
      <c r="C2003" s="40"/>
      <c r="D2003" s="19" t="str">
        <f t="array" ref="D2003">IFNA(_xlfn.XLOOKUP(C2003,Table_Tarikan_Warkah[Nomor Sertipikat],Table_Tarikan_Warkah[Nomor Tiket]),"")</f>
        <v/>
      </c>
      <c r="E2003" s="20" t="str">
        <f t="array" ref="E2003">IFNA(_xlfn.XLOOKUP(D2003,Table_Tarikan_Warkah[Nomor Tiket],Table_Tarikan_Warkah[Tanggal diserahkan kepada Validator]),"")</f>
        <v/>
      </c>
      <c r="F2003" s="20" t="str">
        <f t="array" ref="F2003">IFNA(_xlfn.XLOOKUP(D2003,Table_Tarikan_Warkah[Nomor Tiket],Table_Tarikan_Warkah[Nama Petugas Warkah]),"")</f>
        <v/>
      </c>
      <c r="G2003" s="21" t="str">
        <f t="array" ref="G2003">IFNA(_xlfn.XLOOKUP(D2003,Table_Tarikan_Warkah[Nomor Tiket],Table_Tarikan_Warkah[Jenis Permohonan]),"")</f>
        <v/>
      </c>
      <c r="H2003" s="26"/>
      <c r="I2003" s="26"/>
      <c r="J2003" s="20" t="str">
        <f t="shared" si="29"/>
        <v/>
      </c>
      <c r="K2003" s="26"/>
      <c r="L2003" s="26"/>
      <c r="M2003" s="20" t="str">
        <f t="shared" si="30"/>
        <v/>
      </c>
      <c r="N2003" s="8" t="str">
        <f t="shared" si="3"/>
        <v/>
      </c>
      <c r="O2003" s="21" t="str">
        <f t="shared" si="22"/>
        <v/>
      </c>
      <c r="P2003" s="24" t="b">
        <v>0</v>
      </c>
      <c r="Q2003" s="20" t="str">
        <f t="shared" si="31"/>
        <v/>
      </c>
      <c r="R2003" s="24" t="b">
        <v>0</v>
      </c>
      <c r="S2003" s="7" t="str">
        <f t="shared" si="6"/>
        <v/>
      </c>
      <c r="T2003" s="7"/>
    </row>
    <row r="2004" ht="22.5" hidden="1" customHeight="1">
      <c r="B2004" s="7">
        <f t="shared" si="7"/>
        <v>1998</v>
      </c>
      <c r="C2004" s="40"/>
      <c r="D2004" s="19" t="str">
        <f t="array" ref="D2004">IFNA(_xlfn.XLOOKUP(C2004,Table_Tarikan_Warkah[Nomor Sertipikat],Table_Tarikan_Warkah[Nomor Tiket]),"")</f>
        <v/>
      </c>
      <c r="E2004" s="20" t="str">
        <f t="array" ref="E2004">IFNA(_xlfn.XLOOKUP(D2004,Table_Tarikan_Warkah[Nomor Tiket],Table_Tarikan_Warkah[Tanggal diserahkan kepada Validator]),"")</f>
        <v/>
      </c>
      <c r="F2004" s="20" t="str">
        <f t="array" ref="F2004">IFNA(_xlfn.XLOOKUP(D2004,Table_Tarikan_Warkah[Nomor Tiket],Table_Tarikan_Warkah[Nama Petugas Warkah]),"")</f>
        <v/>
      </c>
      <c r="G2004" s="21" t="str">
        <f t="array" ref="G2004">IFNA(_xlfn.XLOOKUP(D2004,Table_Tarikan_Warkah[Nomor Tiket],Table_Tarikan_Warkah[Jenis Permohonan]),"")</f>
        <v/>
      </c>
      <c r="H2004" s="26"/>
      <c r="I2004" s="26"/>
      <c r="J2004" s="20" t="str">
        <f t="shared" si="29"/>
        <v/>
      </c>
      <c r="K2004" s="26"/>
      <c r="L2004" s="26"/>
      <c r="M2004" s="20" t="str">
        <f t="shared" si="30"/>
        <v/>
      </c>
      <c r="N2004" s="8" t="str">
        <f t="shared" si="3"/>
        <v/>
      </c>
      <c r="O2004" s="21" t="str">
        <f t="shared" si="22"/>
        <v/>
      </c>
      <c r="P2004" s="24" t="b">
        <v>0</v>
      </c>
      <c r="Q2004" s="20" t="str">
        <f t="shared" si="31"/>
        <v/>
      </c>
      <c r="R2004" s="24" t="b">
        <v>0</v>
      </c>
      <c r="S2004" s="7" t="str">
        <f t="shared" si="6"/>
        <v/>
      </c>
      <c r="T2004" s="7"/>
    </row>
    <row r="2005" ht="22.5" hidden="1" customHeight="1">
      <c r="B2005" s="7">
        <f t="shared" si="7"/>
        <v>1999</v>
      </c>
      <c r="C2005" s="40"/>
      <c r="D2005" s="19" t="str">
        <f t="array" ref="D2005">IFNA(_xlfn.XLOOKUP(C2005,Table_Tarikan_Warkah[Nomor Sertipikat],Table_Tarikan_Warkah[Nomor Tiket]),"")</f>
        <v/>
      </c>
      <c r="E2005" s="20" t="str">
        <f t="array" ref="E2005">IFNA(_xlfn.XLOOKUP(D2005,Table_Tarikan_Warkah[Nomor Tiket],Table_Tarikan_Warkah[Tanggal diserahkan kepada Validator]),"")</f>
        <v/>
      </c>
      <c r="F2005" s="20" t="str">
        <f t="array" ref="F2005">IFNA(_xlfn.XLOOKUP(D2005,Table_Tarikan_Warkah[Nomor Tiket],Table_Tarikan_Warkah[Nama Petugas Warkah]),"")</f>
        <v/>
      </c>
      <c r="G2005" s="21" t="str">
        <f t="array" ref="G2005">IFNA(_xlfn.XLOOKUP(D2005,Table_Tarikan_Warkah[Nomor Tiket],Table_Tarikan_Warkah[Jenis Permohonan]),"")</f>
        <v/>
      </c>
      <c r="H2005" s="26"/>
      <c r="I2005" s="26"/>
      <c r="J2005" s="20" t="str">
        <f t="shared" si="29"/>
        <v/>
      </c>
      <c r="K2005" s="26"/>
      <c r="L2005" s="26"/>
      <c r="M2005" s="20" t="str">
        <f t="shared" si="30"/>
        <v/>
      </c>
      <c r="N2005" s="8" t="str">
        <f t="shared" si="3"/>
        <v/>
      </c>
      <c r="O2005" s="21" t="str">
        <f t="shared" si="22"/>
        <v/>
      </c>
      <c r="P2005" s="24" t="b">
        <v>0</v>
      </c>
      <c r="Q2005" s="20" t="str">
        <f t="shared" si="31"/>
        <v/>
      </c>
      <c r="R2005" s="24" t="b">
        <v>0</v>
      </c>
      <c r="S2005" s="7" t="str">
        <f t="shared" si="6"/>
        <v/>
      </c>
      <c r="T2005" s="7"/>
    </row>
    <row r="2006" ht="22.5" hidden="1" customHeight="1">
      <c r="B2006" s="7">
        <f t="shared" si="7"/>
        <v>2000</v>
      </c>
      <c r="C2006" s="18"/>
      <c r="D2006" s="19" t="str">
        <f t="array" ref="D2006">IFNA(_xlfn.XLOOKUP(C2006,Table_Tarikan_Warkah[Nomor Sertipikat],Table_Tarikan_Warkah[Nomor Tiket]),"")</f>
        <v/>
      </c>
      <c r="E2006" s="20" t="str">
        <f t="array" ref="E2006">IFNA(_xlfn.XLOOKUP(D2006,Table_Tarikan_Warkah[Nomor Tiket],Table_Tarikan_Warkah[Tanggal diserahkan kepada Validator]),"")</f>
        <v/>
      </c>
      <c r="F2006" s="20" t="str">
        <f t="array" ref="F2006">IFNA(_xlfn.XLOOKUP(D2006,Table_Tarikan_Warkah[Nomor Tiket],Table_Tarikan_Warkah[Nama Petugas Warkah]),"")</f>
        <v/>
      </c>
      <c r="G2006" s="21" t="str">
        <f t="array" ref="G2006">IFNA(_xlfn.XLOOKUP(D2006,Table_Tarikan_Warkah[Nomor Tiket],Table_Tarikan_Warkah[Jenis Permohonan]),"")</f>
        <v/>
      </c>
      <c r="H2006" s="26"/>
      <c r="I2006" s="26"/>
      <c r="J2006" s="20" t="str">
        <f t="shared" si="29"/>
        <v/>
      </c>
      <c r="K2006" s="26"/>
      <c r="L2006" s="26"/>
      <c r="M2006" s="20" t="str">
        <f t="shared" si="30"/>
        <v/>
      </c>
      <c r="N2006" s="8" t="str">
        <f t="shared" si="3"/>
        <v/>
      </c>
      <c r="O2006" s="21" t="str">
        <f t="shared" si="22"/>
        <v/>
      </c>
      <c r="P2006" s="24" t="b">
        <v>0</v>
      </c>
      <c r="Q2006" s="20" t="str">
        <f t="shared" si="31"/>
        <v/>
      </c>
      <c r="R2006" s="24" t="b">
        <v>0</v>
      </c>
      <c r="S2006" s="7" t="str">
        <f t="shared" si="6"/>
        <v/>
      </c>
      <c r="T2006" s="7"/>
    </row>
  </sheetData>
  <mergeCells count="2">
    <mergeCell ref="E4:K4"/>
    <mergeCell ref="E5:K5"/>
  </mergeCells>
  <conditionalFormatting sqref="C7:C2006">
    <cfRule type="expression" dxfId="5" priority="1">
      <formula>countif($C$7:$C$2006,C7)&gt;1</formula>
    </cfRule>
  </conditionalFormatting>
  <dataValidations>
    <dataValidation type="list" allowBlank="1" sqref="I7:I2006 L7:L2006">
      <formula1>"SELESAI,SELESAI (VIA PERMOHONAN)"</formula1>
    </dataValidation>
    <dataValidation type="list" allowBlank="1" sqref="H7:H2006">
      <formula1>"Afriza (BT),Nadian (BT),Anggi (SU),Devi (SU)"</formula1>
    </dataValidation>
    <dataValidation type="list" allowBlank="1" sqref="C7:C2006">
      <formula1>#REF!</formula1>
    </dataValidation>
    <dataValidation type="list" allowBlank="1" sqref="K7:K2006">
      <formula1>"Afriza (BT),Nadian (BT),Aprill (SU),Bu Eva (SU)"</formula1>
    </dataValidation>
  </dataValidations>
  <drawing r:id="rId1"/>
  <tableParts count="1">
    <tablePart r:id="rId3"/>
  </tableParts>
</worksheet>
</file>